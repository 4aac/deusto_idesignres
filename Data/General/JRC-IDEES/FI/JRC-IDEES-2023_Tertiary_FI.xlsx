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FI\"/>
    </mc:Choice>
  </mc:AlternateContent>
  <bookViews>
    <workbookView xWindow="-120" yWindow="-120" windowWidth="29040" windowHeight="15720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95" i="6" l="1"/>
  <c r="X95" i="6"/>
  <c r="Y67" i="6"/>
  <c r="Y27" i="6"/>
  <c r="Y119" i="6"/>
  <c r="Y173" i="6" s="1"/>
  <c r="X119" i="6"/>
  <c r="X173" i="6" s="1"/>
  <c r="X24" i="12"/>
  <c r="Y16" i="7"/>
  <c r="X16" i="7"/>
  <c r="Y14" i="13"/>
  <c r="X13" i="12"/>
  <c r="X21" i="12"/>
  <c r="X20" i="12"/>
  <c r="X16" i="8"/>
  <c r="Y6" i="12"/>
  <c r="Y33" i="10"/>
  <c r="Y22" i="13"/>
  <c r="X22" i="13"/>
  <c r="Y21" i="13"/>
  <c r="X21" i="13"/>
  <c r="Y20" i="13"/>
  <c r="Y18" i="13"/>
  <c r="Y17" i="13"/>
  <c r="X17" i="10"/>
  <c r="Y6" i="13"/>
  <c r="X18" i="10"/>
  <c r="X6" i="10"/>
  <c r="Y33" i="14"/>
  <c r="Y33" i="17" s="1"/>
  <c r="X33" i="14"/>
  <c r="X33" i="17" s="1"/>
  <c r="Y26" i="14"/>
  <c r="Y26" i="17" s="1"/>
  <c r="X26" i="14"/>
  <c r="X26" i="17" s="1"/>
  <c r="Y25" i="14"/>
  <c r="Y25" i="17" s="1"/>
  <c r="X25" i="14"/>
  <c r="X25" i="17" s="1"/>
  <c r="X22" i="14"/>
  <c r="Y21" i="14"/>
  <c r="X21" i="14"/>
  <c r="Y20" i="14"/>
  <c r="X20" i="14"/>
  <c r="Y18" i="14"/>
  <c r="Y18" i="17" s="1"/>
  <c r="X18" i="14"/>
  <c r="X18" i="17" s="1"/>
  <c r="Y17" i="14"/>
  <c r="X16" i="11"/>
  <c r="Y14" i="14"/>
  <c r="Y14" i="17" s="1"/>
  <c r="X14" i="14"/>
  <c r="X14" i="17" s="1"/>
  <c r="Y13" i="14"/>
  <c r="Y13" i="17" s="1"/>
  <c r="X13" i="14"/>
  <c r="X13" i="17" s="1"/>
  <c r="Y12" i="14"/>
  <c r="Y12" i="17" s="1"/>
  <c r="X12" i="14"/>
  <c r="X12" i="17" s="1"/>
  <c r="Y11" i="14"/>
  <c r="Y11" i="17" s="1"/>
  <c r="X11" i="14"/>
  <c r="X11" i="17" s="1"/>
  <c r="Y6" i="14"/>
  <c r="X32" i="12"/>
  <c r="Y31" i="12"/>
  <c r="X31" i="12"/>
  <c r="X26" i="12"/>
  <c r="X23" i="12"/>
  <c r="Y22" i="12"/>
  <c r="X17" i="12"/>
  <c r="X14" i="12"/>
  <c r="X33" i="13"/>
  <c r="X32" i="13"/>
  <c r="Y28" i="14"/>
  <c r="Y28" i="17" s="1"/>
  <c r="X28" i="14"/>
  <c r="X28" i="17" s="1"/>
  <c r="Y27" i="14"/>
  <c r="Y27" i="17" s="1"/>
  <c r="X27" i="14"/>
  <c r="X27" i="17" s="1"/>
  <c r="Y15" i="14"/>
  <c r="Y15" i="17" s="1"/>
  <c r="X15" i="14"/>
  <c r="X15" i="17" s="1"/>
  <c r="Y29" i="18"/>
  <c r="X28" i="23"/>
  <c r="Y26" i="23"/>
  <c r="Y14" i="24"/>
  <c r="X13" i="23"/>
  <c r="Y10" i="24"/>
  <c r="X9" i="23"/>
  <c r="Y7" i="25"/>
  <c r="X24" i="23"/>
  <c r="Y23" i="23"/>
  <c r="X23" i="23"/>
  <c r="Y20" i="23"/>
  <c r="Y20" i="26" s="1"/>
  <c r="Y33" i="24"/>
  <c r="Y22" i="24"/>
  <c r="X18" i="24"/>
  <c r="Y17" i="24"/>
  <c r="X5" i="21"/>
  <c r="Y20" i="21"/>
  <c r="X20" i="21"/>
  <c r="Y18" i="21"/>
  <c r="Y33" i="25"/>
  <c r="Y33" i="28" s="1"/>
  <c r="X33" i="25"/>
  <c r="X33" i="28" s="1"/>
  <c r="Y26" i="25"/>
  <c r="Y26" i="28" s="1"/>
  <c r="X25" i="25"/>
  <c r="X25" i="28" s="1"/>
  <c r="Y24" i="25"/>
  <c r="Y24" i="28" s="1"/>
  <c r="Y23" i="25"/>
  <c r="X23" i="25"/>
  <c r="Y22" i="25"/>
  <c r="X20" i="25"/>
  <c r="X20" i="28" s="1"/>
  <c r="Y18" i="25"/>
  <c r="Y18" i="28" s="1"/>
  <c r="X18" i="25"/>
  <c r="X18" i="28" s="1"/>
  <c r="Y14" i="25"/>
  <c r="Y14" i="28" s="1"/>
  <c r="X14" i="25"/>
  <c r="X14" i="28" s="1"/>
  <c r="Y13" i="25"/>
  <c r="Y13" i="28" s="1"/>
  <c r="X13" i="25"/>
  <c r="X13" i="28" s="1"/>
  <c r="Y12" i="25"/>
  <c r="Y12" i="28" s="1"/>
  <c r="X12" i="25"/>
  <c r="X12" i="28" s="1"/>
  <c r="Y11" i="25"/>
  <c r="Y11" i="28" s="1"/>
  <c r="Y33" i="23"/>
  <c r="Y22" i="23"/>
  <c r="Y8" i="23"/>
  <c r="Y21" i="24"/>
  <c r="X21" i="24"/>
  <c r="Y20" i="24"/>
  <c r="Y20" i="27" s="1"/>
  <c r="X20" i="24"/>
  <c r="X20" i="27" s="1"/>
  <c r="Y18" i="24"/>
  <c r="Y28" i="25"/>
  <c r="Y28" i="28" s="1"/>
  <c r="X28" i="25"/>
  <c r="X28" i="28" s="1"/>
  <c r="Y27" i="25"/>
  <c r="Y27" i="28" s="1"/>
  <c r="X27" i="25"/>
  <c r="X27" i="28" s="1"/>
  <c r="X26" i="25"/>
  <c r="X26" i="28" s="1"/>
  <c r="Y25" i="25"/>
  <c r="Y25" i="28" s="1"/>
  <c r="X24" i="25"/>
  <c r="Y20" i="25"/>
  <c r="Y20" i="28" s="1"/>
  <c r="Y15" i="25"/>
  <c r="Y15" i="28" s="1"/>
  <c r="X15" i="25"/>
  <c r="X15" i="28" s="1"/>
  <c r="X11" i="25"/>
  <c r="X11" i="28" s="1"/>
  <c r="Y15" i="35"/>
  <c r="X15" i="35"/>
  <c r="Y15" i="34"/>
  <c r="X15" i="34"/>
  <c r="Y15" i="33"/>
  <c r="X15" i="33"/>
  <c r="Y15" i="32"/>
  <c r="X15" i="32"/>
  <c r="Y15" i="31"/>
  <c r="X15" i="31"/>
  <c r="Y15" i="30"/>
  <c r="X15" i="30"/>
  <c r="Y14" i="35"/>
  <c r="X14" i="35"/>
  <c r="Y14" i="34"/>
  <c r="X14" i="34"/>
  <c r="Y14" i="33"/>
  <c r="X14" i="33"/>
  <c r="Y14" i="32"/>
  <c r="Y14" i="31"/>
  <c r="X14" i="31"/>
  <c r="Y14" i="30"/>
  <c r="X14" i="30"/>
  <c r="Y12" i="35"/>
  <c r="X12" i="35"/>
  <c r="Y12" i="34"/>
  <c r="X12" i="34"/>
  <c r="Y12" i="33"/>
  <c r="X12" i="33"/>
  <c r="Y12" i="32"/>
  <c r="X12" i="32"/>
  <c r="Y12" i="31"/>
  <c r="X12" i="31"/>
  <c r="Y12" i="30"/>
  <c r="X12" i="30"/>
  <c r="Y10" i="35"/>
  <c r="X10" i="35"/>
  <c r="X10" i="34"/>
  <c r="Y10" i="33"/>
  <c r="X10" i="33"/>
  <c r="Y10" i="32"/>
  <c r="X10" i="32"/>
  <c r="Y10" i="31"/>
  <c r="X10" i="31"/>
  <c r="X10" i="30"/>
  <c r="Y9" i="35"/>
  <c r="X9" i="35"/>
  <c r="Y9" i="34"/>
  <c r="X9" i="34"/>
  <c r="Y9" i="33"/>
  <c r="X9" i="33"/>
  <c r="Y9" i="32"/>
  <c r="X9" i="32"/>
  <c r="Y9" i="31"/>
  <c r="X9" i="31"/>
  <c r="Y9" i="30"/>
  <c r="X9" i="30"/>
  <c r="Y8" i="32"/>
  <c r="X12" i="29"/>
  <c r="X5" i="30" s="1"/>
  <c r="Y10" i="30"/>
  <c r="X8" i="30"/>
  <c r="X14" i="32"/>
  <c r="Y10" i="34"/>
  <c r="Y49" i="38"/>
  <c r="X49" i="38"/>
  <c r="Y45" i="38"/>
  <c r="X45" i="38"/>
  <c r="Y40" i="39"/>
  <c r="X40" i="39"/>
  <c r="Y52" i="39"/>
  <c r="X52" i="39"/>
  <c r="Y47" i="39"/>
  <c r="X47" i="39"/>
  <c r="Y46" i="39"/>
  <c r="X46" i="39"/>
  <c r="Y32" i="39"/>
  <c r="X32" i="39"/>
  <c r="Y14" i="36"/>
  <c r="Y9" i="36"/>
  <c r="Y33" i="27" l="1"/>
  <c r="Y7" i="28"/>
  <c r="Y33" i="13"/>
  <c r="Y17" i="10"/>
  <c r="Y18" i="10"/>
  <c r="X7" i="12"/>
  <c r="X21" i="21"/>
  <c r="X5" i="10"/>
  <c r="X8" i="12"/>
  <c r="Y24" i="23"/>
  <c r="Y24" i="26" s="1"/>
  <c r="Y5" i="10"/>
  <c r="X25" i="23"/>
  <c r="Y24" i="12"/>
  <c r="X25" i="12"/>
  <c r="X23" i="21"/>
  <c r="Y23" i="10"/>
  <c r="Y10" i="12"/>
  <c r="X8" i="13"/>
  <c r="X11" i="12"/>
  <c r="Y8" i="13"/>
  <c r="X25" i="13"/>
  <c r="X12" i="12"/>
  <c r="Y23" i="28"/>
  <c r="X7" i="14"/>
  <c r="Y25" i="13"/>
  <c r="X31" i="23"/>
  <c r="X26" i="13"/>
  <c r="Y26" i="24"/>
  <c r="Y26" i="27" s="1"/>
  <c r="Y31" i="23"/>
  <c r="Y10" i="13"/>
  <c r="Y26" i="13"/>
  <c r="X67" i="6"/>
  <c r="Y19" i="22"/>
  <c r="X8" i="25"/>
  <c r="X8" i="28" s="1"/>
  <c r="X27" i="21"/>
  <c r="X32" i="23"/>
  <c r="X11" i="13"/>
  <c r="Y8" i="25"/>
  <c r="Y8" i="28" s="1"/>
  <c r="Y11" i="24"/>
  <c r="Y11" i="27" s="1"/>
  <c r="Y14" i="12"/>
  <c r="Y7" i="24"/>
  <c r="Y7" i="27" s="1"/>
  <c r="X12" i="24"/>
  <c r="X12" i="13"/>
  <c r="X30" i="13"/>
  <c r="Y13" i="29"/>
  <c r="Y5" i="29" s="1"/>
  <c r="Y9" i="25"/>
  <c r="Y9" i="28" s="1"/>
  <c r="Y12" i="24"/>
  <c r="Y12" i="27" s="1"/>
  <c r="Y21" i="25"/>
  <c r="Y21" i="28" s="1"/>
  <c r="X10" i="14"/>
  <c r="X30" i="14"/>
  <c r="Y12" i="13"/>
  <c r="X9" i="21"/>
  <c r="Y52" i="38"/>
  <c r="X14" i="29"/>
  <c r="X6" i="29" s="1"/>
  <c r="X10" i="25"/>
  <c r="X13" i="21"/>
  <c r="X31" i="24"/>
  <c r="X17" i="23"/>
  <c r="X22" i="24"/>
  <c r="Y10" i="14"/>
  <c r="X31" i="13"/>
  <c r="Y33" i="12"/>
  <c r="Y17" i="23"/>
  <c r="Y17" i="26" s="1"/>
  <c r="X31" i="14"/>
  <c r="Y31" i="13"/>
  <c r="Y8" i="24"/>
  <c r="Y8" i="27" s="1"/>
  <c r="X17" i="24"/>
  <c r="X13" i="29"/>
  <c r="X5" i="31" s="1"/>
  <c r="X9" i="36"/>
  <c r="Y53" i="38"/>
  <c r="Y31" i="14"/>
  <c r="X32" i="10"/>
  <c r="X25" i="24"/>
  <c r="Y14" i="21"/>
  <c r="Y32" i="21"/>
  <c r="X17" i="13"/>
  <c r="X7" i="21"/>
  <c r="X8" i="24"/>
  <c r="X8" i="27" s="1"/>
  <c r="Y45" i="37"/>
  <c r="X15" i="21"/>
  <c r="X33" i="21"/>
  <c r="X33" i="10"/>
  <c r="Y33" i="21"/>
  <c r="Y12" i="23"/>
  <c r="Y12" i="26" s="1"/>
  <c r="X6" i="14"/>
  <c r="X10" i="12"/>
  <c r="X14" i="13"/>
  <c r="X13" i="24"/>
  <c r="X32" i="25"/>
  <c r="X11" i="24"/>
  <c r="X29" i="19"/>
  <c r="X71" i="6"/>
  <c r="X7" i="25"/>
  <c r="X17" i="25"/>
  <c r="X17" i="28" s="1"/>
  <c r="Y31" i="21"/>
  <c r="Y6" i="23"/>
  <c r="Y6" i="26" s="1"/>
  <c r="Y10" i="23"/>
  <c r="Y10" i="26" s="1"/>
  <c r="Y14" i="23"/>
  <c r="Y14" i="26" s="1"/>
  <c r="Y19" i="19"/>
  <c r="Y5" i="23"/>
  <c r="Y5" i="26" s="1"/>
  <c r="X14" i="36"/>
  <c r="X22" i="25"/>
  <c r="X17" i="21"/>
  <c r="X32" i="21"/>
  <c r="X7" i="23"/>
  <c r="X11" i="23"/>
  <c r="Y26" i="12"/>
  <c r="Y29" i="7"/>
  <c r="Y23" i="26"/>
  <c r="Y37" i="6"/>
  <c r="X33" i="24"/>
  <c r="Y30" i="14"/>
  <c r="Y24" i="13"/>
  <c r="Y30" i="13"/>
  <c r="X18" i="12"/>
  <c r="X23" i="14"/>
  <c r="X28" i="12"/>
  <c r="X33" i="12"/>
  <c r="X27" i="6"/>
  <c r="X24" i="28" s="1"/>
  <c r="Y8" i="14"/>
  <c r="Y12" i="12"/>
  <c r="Y18" i="12"/>
  <c r="Y28" i="12"/>
  <c r="X82" i="6"/>
  <c r="X81" i="6" s="1"/>
  <c r="X93" i="6" s="1"/>
  <c r="X107" i="6"/>
  <c r="X9" i="25"/>
  <c r="X8" i="21"/>
  <c r="X9" i="14"/>
  <c r="X20" i="13"/>
  <c r="X24" i="14"/>
  <c r="Y8" i="36"/>
  <c r="X45" i="37"/>
  <c r="Y8" i="21"/>
  <c r="X71" i="29"/>
  <c r="X6" i="33" s="1"/>
  <c r="X20" i="6"/>
  <c r="Y8" i="33"/>
  <c r="X23" i="6"/>
  <c r="X162" i="6" s="1"/>
  <c r="Y115" i="6"/>
  <c r="X19" i="6"/>
  <c r="X21" i="6"/>
  <c r="X116" i="6"/>
  <c r="Y71" i="29"/>
  <c r="Y6" i="33" s="1"/>
  <c r="Y19" i="6"/>
  <c r="Y26" i="6"/>
  <c r="Y24" i="15" s="1"/>
  <c r="Y68" i="29"/>
  <c r="Y6" i="30" s="1"/>
  <c r="X101" i="6"/>
  <c r="X122" i="6" s="1"/>
  <c r="X118" i="6"/>
  <c r="Y73" i="29"/>
  <c r="Y6" i="35" s="1"/>
  <c r="Y118" i="6"/>
  <c r="X48" i="6"/>
  <c r="X47" i="6" s="1"/>
  <c r="X60" i="6" s="1"/>
  <c r="X37" i="6"/>
  <c r="X21" i="27"/>
  <c r="X29" i="8"/>
  <c r="X30" i="12"/>
  <c r="X30" i="10"/>
  <c r="X4" i="7"/>
  <c r="X3" i="7" s="1"/>
  <c r="X5" i="12"/>
  <c r="X32" i="14"/>
  <c r="X29" i="11"/>
  <c r="Y20" i="12"/>
  <c r="Y20" i="10"/>
  <c r="X33" i="6"/>
  <c r="X5" i="24"/>
  <c r="X5" i="23"/>
  <c r="X30" i="23"/>
  <c r="X30" i="26" s="1"/>
  <c r="X18" i="13"/>
  <c r="X20" i="10"/>
  <c r="X10" i="13"/>
  <c r="X14" i="10"/>
  <c r="X19" i="9"/>
  <c r="X19" i="10" s="1"/>
  <c r="X24" i="13"/>
  <c r="X29" i="9"/>
  <c r="X29" i="10" s="1"/>
  <c r="Y8" i="12"/>
  <c r="X22" i="12"/>
  <c r="Y31" i="10"/>
  <c r="Y24" i="14"/>
  <c r="Y101" i="6"/>
  <c r="Y122" i="6" s="1"/>
  <c r="X117" i="6"/>
  <c r="X9" i="13"/>
  <c r="X23" i="13"/>
  <c r="X52" i="37"/>
  <c r="Y31" i="24"/>
  <c r="Y31" i="27" s="1"/>
  <c r="X21" i="25"/>
  <c r="Y12" i="21"/>
  <c r="X9" i="24"/>
  <c r="X12" i="21"/>
  <c r="X17" i="26"/>
  <c r="X17" i="14"/>
  <c r="X5" i="13"/>
  <c r="X6" i="12"/>
  <c r="Y14" i="10"/>
  <c r="X4" i="8"/>
  <c r="X9" i="12"/>
  <c r="Y117" i="6"/>
  <c r="Y29" i="22"/>
  <c r="Y29" i="25" s="1"/>
  <c r="Y29" i="28" s="1"/>
  <c r="Y5" i="21"/>
  <c r="Y23" i="24"/>
  <c r="Y23" i="27" s="1"/>
  <c r="Y28" i="24"/>
  <c r="Y28" i="27" s="1"/>
  <c r="Y16" i="18"/>
  <c r="Y32" i="25"/>
  <c r="Y32" i="28" s="1"/>
  <c r="Y5" i="13"/>
  <c r="X5" i="14"/>
  <c r="X19" i="11"/>
  <c r="X4" i="9"/>
  <c r="X15" i="10"/>
  <c r="Y13" i="12"/>
  <c r="X27" i="10"/>
  <c r="Y11" i="12"/>
  <c r="Y21" i="27"/>
  <c r="X5" i="25"/>
  <c r="X28" i="13"/>
  <c r="X11" i="26"/>
  <c r="Y9" i="13"/>
  <c r="Y16" i="9"/>
  <c r="Y16" i="13" s="1"/>
  <c r="Y9" i="39"/>
  <c r="Y17" i="38"/>
  <c r="Y46" i="37"/>
  <c r="Y17" i="27"/>
  <c r="X6" i="25"/>
  <c r="X6" i="28" s="1"/>
  <c r="Y15" i="21"/>
  <c r="X51" i="39"/>
  <c r="Y32" i="24"/>
  <c r="Y32" i="27" s="1"/>
  <c r="Y16" i="22"/>
  <c r="Y16" i="25" s="1"/>
  <c r="Y16" i="28" s="1"/>
  <c r="X6" i="24"/>
  <c r="X24" i="24"/>
  <c r="X30" i="24"/>
  <c r="X6" i="13"/>
  <c r="Y11" i="10"/>
  <c r="Y15" i="10"/>
  <c r="X8" i="14"/>
  <c r="Y22" i="26"/>
  <c r="X13" i="13"/>
  <c r="X9" i="39"/>
  <c r="X46" i="37"/>
  <c r="X17" i="27"/>
  <c r="X21" i="23"/>
  <c r="X21" i="26" s="1"/>
  <c r="Y13" i="13"/>
  <c r="X19" i="7"/>
  <c r="X27" i="12" s="1"/>
  <c r="X29" i="7"/>
  <c r="Y19" i="18"/>
  <c r="Y31" i="25"/>
  <c r="Y31" i="28" s="1"/>
  <c r="Y9" i="38"/>
  <c r="Y52" i="37"/>
  <c r="X32" i="24"/>
  <c r="X32" i="27" s="1"/>
  <c r="Y51" i="39"/>
  <c r="Y6" i="24"/>
  <c r="Y24" i="24"/>
  <c r="Y24" i="27" s="1"/>
  <c r="Y18" i="23"/>
  <c r="Y18" i="26" s="1"/>
  <c r="X16" i="9"/>
  <c r="X16" i="13" s="1"/>
  <c r="X19" i="8"/>
  <c r="Y33" i="6"/>
  <c r="Y31" i="6" s="1"/>
  <c r="X16" i="10"/>
  <c r="X103" i="6"/>
  <c r="X124" i="6" s="1"/>
  <c r="X17" i="37"/>
  <c r="X50" i="37" s="1"/>
  <c r="Y11" i="23"/>
  <c r="Y11" i="26" s="1"/>
  <c r="Y71" i="6"/>
  <c r="Y104" i="6"/>
  <c r="Y10" i="21"/>
  <c r="X21" i="10"/>
  <c r="X105" i="6"/>
  <c r="X8" i="33"/>
  <c r="Y9" i="21"/>
  <c r="Y25" i="21"/>
  <c r="Y13" i="23"/>
  <c r="Y13" i="26" s="1"/>
  <c r="Y21" i="10"/>
  <c r="Y9" i="12"/>
  <c r="Y105" i="6"/>
  <c r="X72" i="29"/>
  <c r="X6" i="34" s="1"/>
  <c r="X10" i="21"/>
  <c r="X26" i="21"/>
  <c r="X14" i="23"/>
  <c r="X22" i="10"/>
  <c r="Y72" i="29"/>
  <c r="Y6" i="34" s="1"/>
  <c r="Y22" i="10"/>
  <c r="Y25" i="12"/>
  <c r="X29" i="18"/>
  <c r="X17" i="29"/>
  <c r="X5" i="35" s="1"/>
  <c r="X11" i="21"/>
  <c r="X23" i="10"/>
  <c r="X24" i="10"/>
  <c r="X104" i="6"/>
  <c r="Y8" i="30"/>
  <c r="Y24" i="10"/>
  <c r="Y16" i="11"/>
  <c r="Y16" i="14" s="1"/>
  <c r="Y6" i="10"/>
  <c r="X25" i="10"/>
  <c r="X16" i="19"/>
  <c r="X7" i="10"/>
  <c r="Y25" i="10"/>
  <c r="Y19" i="9"/>
  <c r="X12" i="23"/>
  <c r="Y22" i="21"/>
  <c r="Y13" i="21"/>
  <c r="Y16" i="19"/>
  <c r="Y16" i="23" s="1"/>
  <c r="Y16" i="26" s="1"/>
  <c r="X8" i="10"/>
  <c r="X26" i="10"/>
  <c r="X30" i="25"/>
  <c r="Y23" i="21"/>
  <c r="X14" i="21"/>
  <c r="X33" i="23"/>
  <c r="X4" i="11"/>
  <c r="X4" i="14" s="1"/>
  <c r="Y8" i="10"/>
  <c r="Y26" i="10"/>
  <c r="X15" i="7"/>
  <c r="X15" i="13" s="1"/>
  <c r="Y19" i="7"/>
  <c r="Y27" i="12" s="1"/>
  <c r="Y17" i="37"/>
  <c r="X31" i="25"/>
  <c r="Y24" i="21"/>
  <c r="Y27" i="24"/>
  <c r="Y27" i="27" s="1"/>
  <c r="X7" i="13"/>
  <c r="X9" i="10"/>
  <c r="X115" i="6"/>
  <c r="X23" i="24"/>
  <c r="X25" i="21"/>
  <c r="Y9" i="10"/>
  <c r="Y6" i="21"/>
  <c r="Y103" i="6"/>
  <c r="Y19" i="36"/>
  <c r="Y12" i="36" s="1"/>
  <c r="Y34" i="39"/>
  <c r="Y9" i="37"/>
  <c r="Y48" i="37" s="1"/>
  <c r="Y53" i="37"/>
  <c r="Y10" i="25"/>
  <c r="Y10" i="28" s="1"/>
  <c r="Y26" i="21"/>
  <c r="X10" i="10"/>
  <c r="Y30" i="10"/>
  <c r="X8" i="32"/>
  <c r="X34" i="39"/>
  <c r="Y27" i="21"/>
  <c r="Y19" i="11"/>
  <c r="Y10" i="10"/>
  <c r="X31" i="10"/>
  <c r="X102" i="6"/>
  <c r="X123" i="6" s="1"/>
  <c r="Y33" i="39"/>
  <c r="X30" i="21"/>
  <c r="X19" i="19"/>
  <c r="X11" i="10"/>
  <c r="X19" i="36"/>
  <c r="X9" i="37"/>
  <c r="X48" i="37" s="1"/>
  <c r="X12" i="10"/>
  <c r="Y23" i="6"/>
  <c r="Y70" i="29"/>
  <c r="Y6" i="32" s="1"/>
  <c r="X4" i="29"/>
  <c r="Y25" i="24"/>
  <c r="Y25" i="27" s="1"/>
  <c r="X29" i="22"/>
  <c r="Y12" i="10"/>
  <c r="X24" i="6"/>
  <c r="X17" i="38"/>
  <c r="X53" i="37"/>
  <c r="X17" i="39"/>
  <c r="X47" i="38"/>
  <c r="Y14" i="29"/>
  <c r="X7" i="24"/>
  <c r="X26" i="24"/>
  <c r="Y21" i="23"/>
  <c r="Y21" i="26" s="1"/>
  <c r="X13" i="10"/>
  <c r="Y24" i="6"/>
  <c r="Y17" i="39"/>
  <c r="Y47" i="38"/>
  <c r="X15" i="29"/>
  <c r="X7" i="29" s="1"/>
  <c r="Y17" i="25"/>
  <c r="Y17" i="28" s="1"/>
  <c r="Y25" i="23"/>
  <c r="Y25" i="26" s="1"/>
  <c r="X25" i="6"/>
  <c r="X51" i="38"/>
  <c r="Y15" i="29"/>
  <c r="Y5" i="33" s="1"/>
  <c r="X28" i="24"/>
  <c r="X28" i="27" s="1"/>
  <c r="X4" i="19"/>
  <c r="X26" i="23"/>
  <c r="Y9" i="14"/>
  <c r="Y25" i="6"/>
  <c r="Y49" i="37"/>
  <c r="X16" i="29"/>
  <c r="Y9" i="23"/>
  <c r="Y9" i="26" s="1"/>
  <c r="X26" i="6"/>
  <c r="X33" i="39"/>
  <c r="Y51" i="38"/>
  <c r="X9" i="38"/>
  <c r="X52" i="38"/>
  <c r="X68" i="29"/>
  <c r="X6" i="30" s="1"/>
  <c r="X10" i="23"/>
  <c r="Y12" i="29"/>
  <c r="Y16" i="29"/>
  <c r="X8" i="23"/>
  <c r="X8" i="26" s="1"/>
  <c r="Y30" i="23"/>
  <c r="Y30" i="26" s="1"/>
  <c r="X24" i="21"/>
  <c r="X29" i="20"/>
  <c r="X31" i="21"/>
  <c r="X4" i="18"/>
  <c r="X3" i="18" s="1"/>
  <c r="X15" i="18"/>
  <c r="X6" i="23"/>
  <c r="Y32" i="14"/>
  <c r="Y29" i="11"/>
  <c r="Y29" i="8"/>
  <c r="Y30" i="12"/>
  <c r="Y30" i="15" s="1"/>
  <c r="X69" i="29"/>
  <c r="X6" i="31" s="1"/>
  <c r="Y22" i="28"/>
  <c r="Y8" i="26"/>
  <c r="Y13" i="24"/>
  <c r="Y13" i="27" s="1"/>
  <c r="X4" i="22"/>
  <c r="Y48" i="6"/>
  <c r="Y102" i="6"/>
  <c r="X8" i="35"/>
  <c r="Y4" i="18"/>
  <c r="Y3" i="18" s="1"/>
  <c r="Y15" i="18"/>
  <c r="Y15" i="24" s="1"/>
  <c r="Y15" i="27" s="1"/>
  <c r="X16" i="14"/>
  <c r="X16" i="12"/>
  <c r="Y8" i="35"/>
  <c r="X8" i="34"/>
  <c r="Y26" i="26"/>
  <c r="Y31" i="26"/>
  <c r="Y5" i="25"/>
  <c r="Y5" i="28" s="1"/>
  <c r="X20" i="23"/>
  <c r="X20" i="26" s="1"/>
  <c r="Y30" i="25"/>
  <c r="Y30" i="28" s="1"/>
  <c r="Y11" i="21"/>
  <c r="Y19" i="20"/>
  <c r="Y21" i="21"/>
  <c r="Y19" i="8"/>
  <c r="Y21" i="12"/>
  <c r="Y82" i="6"/>
  <c r="Y116" i="6"/>
  <c r="X73" i="29"/>
  <c r="X6" i="35" s="1"/>
  <c r="Y4" i="19"/>
  <c r="Y7" i="23"/>
  <c r="Y7" i="26" s="1"/>
  <c r="Y21" i="6"/>
  <c r="Y20" i="6"/>
  <c r="Y69" i="29"/>
  <c r="Y6" i="31" s="1"/>
  <c r="Y5" i="24"/>
  <c r="Y5" i="27" s="1"/>
  <c r="Y32" i="12"/>
  <c r="Y7" i="10"/>
  <c r="Y4" i="9"/>
  <c r="Y23" i="12"/>
  <c r="Y23" i="14"/>
  <c r="X70" i="29"/>
  <c r="X6" i="32" s="1"/>
  <c r="Y29" i="20"/>
  <c r="Y30" i="21"/>
  <c r="Y30" i="24"/>
  <c r="Y30" i="27" s="1"/>
  <c r="X8" i="31"/>
  <c r="Y8" i="34"/>
  <c r="Y8" i="31"/>
  <c r="Y17" i="29"/>
  <c r="Y6" i="25"/>
  <c r="Y6" i="28" s="1"/>
  <c r="Y4" i="22"/>
  <c r="X22" i="21"/>
  <c r="X19" i="20"/>
  <c r="X19" i="18"/>
  <c r="X22" i="23"/>
  <c r="Y22" i="14"/>
  <c r="Y13" i="10"/>
  <c r="Y16" i="8"/>
  <c r="Y16" i="12" s="1"/>
  <c r="Y17" i="12"/>
  <c r="Y107" i="6"/>
  <c r="Y32" i="10"/>
  <c r="Y29" i="9"/>
  <c r="Y32" i="13"/>
  <c r="Y9" i="24"/>
  <c r="Y9" i="27" s="1"/>
  <c r="X4" i="20"/>
  <c r="X6" i="21"/>
  <c r="Y27" i="10"/>
  <c r="Y28" i="13"/>
  <c r="Y28" i="16" s="1"/>
  <c r="Y7" i="12"/>
  <c r="Y4" i="7"/>
  <c r="Y3" i="7" s="1"/>
  <c r="Y7" i="14"/>
  <c r="Y15" i="7"/>
  <c r="Y15" i="12" s="1"/>
  <c r="X10" i="24"/>
  <c r="X19" i="22"/>
  <c r="Y4" i="20"/>
  <c r="Y16" i="20"/>
  <c r="Y17" i="21"/>
  <c r="Y32" i="23"/>
  <c r="Y32" i="26" s="1"/>
  <c r="Y29" i="19"/>
  <c r="Y29" i="23" s="1"/>
  <c r="Y29" i="26" s="1"/>
  <c r="Y4" i="11"/>
  <c r="Y5" i="14"/>
  <c r="Y4" i="8"/>
  <c r="Y5" i="12"/>
  <c r="Y149" i="6"/>
  <c r="X14" i="24"/>
  <c r="Y6" i="27"/>
  <c r="Y10" i="27"/>
  <c r="Y14" i="27"/>
  <c r="Y18" i="27"/>
  <c r="Y22" i="27"/>
  <c r="Y33" i="26"/>
  <c r="X16" i="22"/>
  <c r="Y7" i="21"/>
  <c r="X16" i="20"/>
  <c r="X18" i="21"/>
  <c r="Y28" i="23"/>
  <c r="Y28" i="26" s="1"/>
  <c r="X16" i="18"/>
  <c r="X18" i="23"/>
  <c r="Y7" i="13"/>
  <c r="Y11" i="13"/>
  <c r="Y23" i="13"/>
  <c r="X149" i="6"/>
  <c r="X53" i="38"/>
  <c r="X45" i="39"/>
  <c r="X47" i="37"/>
  <c r="Y53" i="39"/>
  <c r="Y47" i="37"/>
  <c r="Y51" i="37"/>
  <c r="X53" i="39"/>
  <c r="Y49" i="39"/>
  <c r="X39" i="39"/>
  <c r="Y45" i="39"/>
  <c r="Y46" i="38"/>
  <c r="Y39" i="39"/>
  <c r="X49" i="39"/>
  <c r="X51" i="37"/>
  <c r="X49" i="37"/>
  <c r="X46" i="38"/>
  <c r="X7" i="28" l="1"/>
  <c r="X4" i="13"/>
  <c r="X29" i="13"/>
  <c r="Y5" i="39"/>
  <c r="Y37" i="39" s="1"/>
  <c r="X3" i="19"/>
  <c r="X31" i="28"/>
  <c r="X94" i="6"/>
  <c r="X5" i="29"/>
  <c r="X29" i="23"/>
  <c r="X15" i="12"/>
  <c r="X90" i="6"/>
  <c r="X25" i="26"/>
  <c r="X5" i="26"/>
  <c r="X29" i="26"/>
  <c r="X14" i="26"/>
  <c r="Y29" i="12"/>
  <c r="X91" i="6"/>
  <c r="X114" i="6"/>
  <c r="X168" i="6" s="1"/>
  <c r="Y29" i="14"/>
  <c r="Y29" i="17" s="1"/>
  <c r="X5" i="39"/>
  <c r="X5" i="28"/>
  <c r="X14" i="27"/>
  <c r="Y5" i="37"/>
  <c r="Y38" i="37" s="1"/>
  <c r="X12" i="36"/>
  <c r="X9" i="29"/>
  <c r="X3" i="35" s="1"/>
  <c r="Y5" i="31"/>
  <c r="X5" i="27"/>
  <c r="Y139" i="6"/>
  <c r="X22" i="26"/>
  <c r="X12" i="26"/>
  <c r="X163" i="6"/>
  <c r="X23" i="27"/>
  <c r="X23" i="26"/>
  <c r="X10" i="28"/>
  <c r="X26" i="26"/>
  <c r="X22" i="28"/>
  <c r="X9" i="28"/>
  <c r="X31" i="26"/>
  <c r="X10" i="27"/>
  <c r="X31" i="6"/>
  <c r="X4" i="23"/>
  <c r="X4" i="26" s="1"/>
  <c r="X3" i="8"/>
  <c r="X25" i="27"/>
  <c r="X13" i="26"/>
  <c r="X5" i="32"/>
  <c r="X11" i="27"/>
  <c r="X92" i="6"/>
  <c r="X10" i="26"/>
  <c r="X27" i="13"/>
  <c r="X28" i="26"/>
  <c r="X33" i="27"/>
  <c r="X9" i="27"/>
  <c r="X13" i="27"/>
  <c r="X113" i="6"/>
  <c r="X143" i="6" s="1"/>
  <c r="Y10" i="16"/>
  <c r="X6" i="27"/>
  <c r="X89" i="6"/>
  <c r="X26" i="27"/>
  <c r="X21" i="28"/>
  <c r="X4" i="12"/>
  <c r="X4" i="15" s="1"/>
  <c r="X7" i="27"/>
  <c r="X30" i="27"/>
  <c r="X24" i="27"/>
  <c r="Y15" i="13"/>
  <c r="Y15" i="16" s="1"/>
  <c r="X33" i="26"/>
  <c r="X32" i="26"/>
  <c r="Y10" i="17"/>
  <c r="X22" i="15"/>
  <c r="X18" i="26"/>
  <c r="X6" i="26"/>
  <c r="X23" i="28"/>
  <c r="X22" i="27"/>
  <c r="X7" i="26"/>
  <c r="X30" i="28"/>
  <c r="X18" i="27"/>
  <c r="Y19" i="23"/>
  <c r="Y19" i="26" s="1"/>
  <c r="X57" i="6"/>
  <c r="X56" i="6"/>
  <c r="X19" i="13"/>
  <c r="Y19" i="25"/>
  <c r="Y19" i="28" s="1"/>
  <c r="Y172" i="6"/>
  <c r="X9" i="26"/>
  <c r="X59" i="6"/>
  <c r="X61" i="6"/>
  <c r="Y19" i="14"/>
  <c r="Y19" i="17" s="1"/>
  <c r="X100" i="6"/>
  <c r="X130" i="6" s="1"/>
  <c r="Y48" i="39"/>
  <c r="X29" i="14"/>
  <c r="X29" i="17" s="1"/>
  <c r="X48" i="38"/>
  <c r="X99" i="6"/>
  <c r="X153" i="6" s="1"/>
  <c r="X12" i="27"/>
  <c r="X24" i="26"/>
  <c r="X58" i="6"/>
  <c r="Y50" i="39"/>
  <c r="Y48" i="38"/>
  <c r="X19" i="14"/>
  <c r="X31" i="27"/>
  <c r="X16" i="23"/>
  <c r="X16" i="26" s="1"/>
  <c r="X5" i="37"/>
  <c r="X33" i="37" s="1"/>
  <c r="X48" i="39"/>
  <c r="Y27" i="23"/>
  <c r="Y27" i="26" s="1"/>
  <c r="X55" i="6"/>
  <c r="X32" i="28"/>
  <c r="X161" i="6"/>
  <c r="Y5" i="16"/>
  <c r="X169" i="6"/>
  <c r="X159" i="6"/>
  <c r="X155" i="6"/>
  <c r="X171" i="6"/>
  <c r="X131" i="6"/>
  <c r="X165" i="6"/>
  <c r="Y14" i="15"/>
  <c r="Y9" i="17"/>
  <c r="Y23" i="16"/>
  <c r="X156" i="6"/>
  <c r="X11" i="29"/>
  <c r="Y147" i="6"/>
  <c r="Y11" i="15"/>
  <c r="Y158" i="6"/>
  <c r="X164" i="6"/>
  <c r="X16" i="17"/>
  <c r="X172" i="6"/>
  <c r="Y12" i="15"/>
  <c r="X170" i="6"/>
  <c r="Y24" i="17"/>
  <c r="Y10" i="15"/>
  <c r="Y6" i="16"/>
  <c r="Y138" i="6"/>
  <c r="Y7" i="15"/>
  <c r="Y16" i="17"/>
  <c r="Y24" i="16"/>
  <c r="Y9" i="16"/>
  <c r="Y18" i="15"/>
  <c r="Y14" i="16"/>
  <c r="Y5" i="15"/>
  <c r="Y32" i="15"/>
  <c r="Y29" i="15"/>
  <c r="Y20" i="15"/>
  <c r="X27" i="16"/>
  <c r="Y25" i="15"/>
  <c r="Y11" i="16"/>
  <c r="Y17" i="16"/>
  <c r="Y22" i="15"/>
  <c r="Y18" i="16"/>
  <c r="Y17" i="15"/>
  <c r="Y6" i="17"/>
  <c r="Y27" i="15"/>
  <c r="Y12" i="16"/>
  <c r="Y7" i="16"/>
  <c r="Y148" i="6"/>
  <c r="Y21" i="16"/>
  <c r="Y26" i="15"/>
  <c r="Y22" i="16"/>
  <c r="Y5" i="17"/>
  <c r="Y16" i="15"/>
  <c r="Y145" i="6"/>
  <c r="Y32" i="17"/>
  <c r="Y133" i="6"/>
  <c r="Y8" i="16"/>
  <c r="Y20" i="16"/>
  <c r="Y8" i="15"/>
  <c r="Y33" i="15"/>
  <c r="Y25" i="16"/>
  <c r="Y141" i="6"/>
  <c r="Y26" i="16"/>
  <c r="Y15" i="15"/>
  <c r="Y21" i="15"/>
  <c r="Y9" i="15"/>
  <c r="Y31" i="17"/>
  <c r="Y13" i="15"/>
  <c r="X27" i="15"/>
  <c r="X4" i="16"/>
  <c r="X32" i="17"/>
  <c r="Y8" i="17"/>
  <c r="Y33" i="16"/>
  <c r="Y17" i="17"/>
  <c r="Y30" i="16"/>
  <c r="Y7" i="17"/>
  <c r="Y32" i="16"/>
  <c r="Y22" i="17"/>
  <c r="Y23" i="17"/>
  <c r="Y31" i="16"/>
  <c r="Y28" i="15"/>
  <c r="Y30" i="17"/>
  <c r="Y140" i="6"/>
  <c r="Y13" i="16"/>
  <c r="X19" i="17"/>
  <c r="Y20" i="17"/>
  <c r="Y6" i="15"/>
  <c r="Y21" i="17"/>
  <c r="Y31" i="15"/>
  <c r="Y23" i="15"/>
  <c r="Y16" i="16"/>
  <c r="Y50" i="38"/>
  <c r="X10" i="16"/>
  <c r="X6" i="15"/>
  <c r="X31" i="16"/>
  <c r="Y131" i="6"/>
  <c r="X11" i="16"/>
  <c r="X22" i="16"/>
  <c r="X10" i="15"/>
  <c r="X50" i="39"/>
  <c r="X29" i="16"/>
  <c r="X8" i="16"/>
  <c r="X138" i="6"/>
  <c r="X146" i="6"/>
  <c r="Y19" i="13"/>
  <c r="Y19" i="16" s="1"/>
  <c r="X7" i="16"/>
  <c r="X29" i="12"/>
  <c r="X29" i="15" s="1"/>
  <c r="X3" i="9"/>
  <c r="X134" i="6"/>
  <c r="X28" i="15"/>
  <c r="X25" i="15"/>
  <c r="X24" i="15"/>
  <c r="X33" i="16"/>
  <c r="X148" i="6"/>
  <c r="X19" i="16"/>
  <c r="X9" i="15"/>
  <c r="X50" i="38"/>
  <c r="X21" i="17"/>
  <c r="X7" i="15"/>
  <c r="X132" i="6"/>
  <c r="Y19" i="12"/>
  <c r="Y19" i="15" s="1"/>
  <c r="X23" i="17"/>
  <c r="X28" i="16"/>
  <c r="Y50" i="37"/>
  <c r="X4" i="10"/>
  <c r="X10" i="17"/>
  <c r="X14" i="16"/>
  <c r="X21" i="16"/>
  <c r="X135" i="6"/>
  <c r="X5" i="15"/>
  <c r="X30" i="17"/>
  <c r="X23" i="16"/>
  <c r="X19" i="12"/>
  <c r="X19" i="15" s="1"/>
  <c r="X30" i="15"/>
  <c r="X26" i="16"/>
  <c r="Y5" i="38"/>
  <c r="Y33" i="36" s="1"/>
  <c r="X145" i="6"/>
  <c r="Y27" i="13"/>
  <c r="Y27" i="16" s="1"/>
  <c r="X144" i="6"/>
  <c r="X29" i="25"/>
  <c r="X29" i="28" s="1"/>
  <c r="X4" i="17"/>
  <c r="X140" i="6"/>
  <c r="X16" i="15"/>
  <c r="X20" i="17"/>
  <c r="X32" i="16"/>
  <c r="X8" i="15"/>
  <c r="X23" i="15"/>
  <c r="Y31" i="36"/>
  <c r="Y34" i="36"/>
  <c r="Y32" i="36"/>
  <c r="X8" i="36"/>
  <c r="X3" i="23"/>
  <c r="X3" i="11"/>
  <c r="Y44" i="37"/>
  <c r="Y159" i="6"/>
  <c r="Y135" i="6"/>
  <c r="X5" i="38"/>
  <c r="X38" i="38" s="1"/>
  <c r="X44" i="37"/>
  <c r="X3" i="31"/>
  <c r="Y163" i="6"/>
  <c r="Y165" i="6"/>
  <c r="Y3" i="31"/>
  <c r="X158" i="6"/>
  <c r="X125" i="6"/>
  <c r="Y164" i="6"/>
  <c r="X3" i="32"/>
  <c r="X3" i="30"/>
  <c r="X3" i="33"/>
  <c r="Y171" i="6"/>
  <c r="Y162" i="6"/>
  <c r="Y157" i="6"/>
  <c r="Y124" i="6"/>
  <c r="Y134" i="6"/>
  <c r="Y125" i="6"/>
  <c r="X12" i="15"/>
  <c r="X13" i="16"/>
  <c r="X16" i="16"/>
  <c r="Y169" i="6"/>
  <c r="X15" i="15"/>
  <c r="X16" i="25"/>
  <c r="X16" i="28" s="1"/>
  <c r="X30" i="16"/>
  <c r="X9" i="17"/>
  <c r="X31" i="17"/>
  <c r="X147" i="6"/>
  <c r="X26" i="15"/>
  <c r="Y33" i="37"/>
  <c r="X5" i="33"/>
  <c r="X139" i="6"/>
  <c r="X22" i="17"/>
  <c r="X31" i="15"/>
  <c r="X6" i="16"/>
  <c r="X5" i="16"/>
  <c r="X7" i="17"/>
  <c r="X6" i="17"/>
  <c r="X21" i="15"/>
  <c r="X14" i="15"/>
  <c r="X20" i="15"/>
  <c r="X18" i="16"/>
  <c r="X18" i="15"/>
  <c r="X17" i="16"/>
  <c r="X141" i="6"/>
  <c r="X17" i="15"/>
  <c r="X20" i="16"/>
  <c r="X137" i="6"/>
  <c r="X13" i="15"/>
  <c r="X133" i="6"/>
  <c r="X157" i="6"/>
  <c r="X25" i="16"/>
  <c r="Y5" i="32"/>
  <c r="Y6" i="29"/>
  <c r="X17" i="17"/>
  <c r="X9" i="16"/>
  <c r="Y36" i="39"/>
  <c r="Y155" i="6"/>
  <c r="X8" i="29"/>
  <c r="X5" i="34"/>
  <c r="X15" i="16"/>
  <c r="X32" i="15"/>
  <c r="X33" i="15"/>
  <c r="X5" i="17"/>
  <c r="X11" i="15"/>
  <c r="X24" i="17"/>
  <c r="Y7" i="29"/>
  <c r="X12" i="16"/>
  <c r="X24" i="16"/>
  <c r="X8" i="17"/>
  <c r="X3" i="20"/>
  <c r="X4" i="24"/>
  <c r="X4" i="27" s="1"/>
  <c r="X4" i="21"/>
  <c r="Y137" i="6"/>
  <c r="Y161" i="6"/>
  <c r="Y9" i="29"/>
  <c r="Y5" i="35"/>
  <c r="Y146" i="6"/>
  <c r="Y170" i="6"/>
  <c r="Y100" i="6"/>
  <c r="Y47" i="6"/>
  <c r="X29" i="24"/>
  <c r="X29" i="27" s="1"/>
  <c r="X29" i="21"/>
  <c r="Y3" i="11"/>
  <c r="Y4" i="14"/>
  <c r="Y4" i="17" s="1"/>
  <c r="Y114" i="6"/>
  <c r="Y81" i="6"/>
  <c r="Y19" i="10"/>
  <c r="X16" i="24"/>
  <c r="X16" i="27" s="1"/>
  <c r="X16" i="21"/>
  <c r="X27" i="23"/>
  <c r="X27" i="26" s="1"/>
  <c r="X27" i="24"/>
  <c r="X27" i="27" s="1"/>
  <c r="X3" i="22"/>
  <c r="X4" i="25"/>
  <c r="X4" i="28" s="1"/>
  <c r="X19" i="21"/>
  <c r="X19" i="24"/>
  <c r="X19" i="27" s="1"/>
  <c r="Y4" i="10"/>
  <c r="Y4" i="13"/>
  <c r="Y4" i="16" s="1"/>
  <c r="Y3" i="9"/>
  <c r="X19" i="23"/>
  <c r="X19" i="26" s="1"/>
  <c r="Y16" i="21"/>
  <c r="Y16" i="24"/>
  <c r="Y16" i="27" s="1"/>
  <c r="Y3" i="22"/>
  <c r="Y4" i="25"/>
  <c r="Y4" i="28" s="1"/>
  <c r="Y4" i="23"/>
  <c r="Y4" i="26" s="1"/>
  <c r="Y3" i="19"/>
  <c r="X15" i="23"/>
  <c r="X15" i="26" s="1"/>
  <c r="X15" i="24"/>
  <c r="X15" i="27" s="1"/>
  <c r="Y5" i="34"/>
  <c r="Y8" i="29"/>
  <c r="Y29" i="10"/>
  <c r="Y29" i="13"/>
  <c r="Y29" i="16" s="1"/>
  <c r="Y3" i="20"/>
  <c r="Y4" i="21"/>
  <c r="Y4" i="24"/>
  <c r="Y4" i="27" s="1"/>
  <c r="Y15" i="23"/>
  <c r="Y15" i="26" s="1"/>
  <c r="Y29" i="21"/>
  <c r="Y29" i="24"/>
  <c r="Y29" i="27" s="1"/>
  <c r="Y19" i="24"/>
  <c r="Y19" i="27" s="1"/>
  <c r="Y19" i="21"/>
  <c r="Y4" i="29"/>
  <c r="Y5" i="30"/>
  <c r="Y11" i="29"/>
  <c r="Y3" i="8"/>
  <c r="Y4" i="12"/>
  <c r="Y4" i="15" s="1"/>
  <c r="X19" i="25"/>
  <c r="X19" i="28" s="1"/>
  <c r="Y123" i="6"/>
  <c r="Y132" i="6"/>
  <c r="Y156" i="6"/>
  <c r="Y16" i="10"/>
  <c r="Y38" i="39"/>
  <c r="Y35" i="39"/>
  <c r="X32" i="36" l="1"/>
  <c r="Y44" i="38"/>
  <c r="Y37" i="37"/>
  <c r="Y39" i="37"/>
  <c r="X38" i="39"/>
  <c r="X35" i="39"/>
  <c r="Y44" i="39"/>
  <c r="X3" i="12"/>
  <c r="X34" i="36"/>
  <c r="X31" i="36"/>
  <c r="Y35" i="37"/>
  <c r="Y36" i="37"/>
  <c r="Y34" i="37"/>
  <c r="X36" i="37"/>
  <c r="X34" i="37"/>
  <c r="Y32" i="37"/>
  <c r="Y31" i="37" s="1"/>
  <c r="Y40" i="37"/>
  <c r="X3" i="29"/>
  <c r="X36" i="39"/>
  <c r="X37" i="39"/>
  <c r="X38" i="37"/>
  <c r="X44" i="39"/>
  <c r="X40" i="37"/>
  <c r="X32" i="37"/>
  <c r="X37" i="37"/>
  <c r="X39" i="37"/>
  <c r="X35" i="37"/>
  <c r="X167" i="6"/>
  <c r="X3" i="10"/>
  <c r="X129" i="6"/>
  <c r="X3" i="14"/>
  <c r="X3" i="13"/>
  <c r="Y39" i="38"/>
  <c r="X154" i="6"/>
  <c r="X121" i="6"/>
  <c r="Y33" i="38"/>
  <c r="Y34" i="38"/>
  <c r="Y35" i="38"/>
  <c r="Y32" i="38"/>
  <c r="Y36" i="38"/>
  <c r="Y40" i="38"/>
  <c r="Y38" i="38"/>
  <c r="Y37" i="38"/>
  <c r="Y3" i="32"/>
  <c r="Y31" i="39"/>
  <c r="Y3" i="12"/>
  <c r="Y3" i="33"/>
  <c r="X36" i="38"/>
  <c r="X35" i="38"/>
  <c r="X44" i="38"/>
  <c r="X33" i="38"/>
  <c r="Y121" i="6"/>
  <c r="X3" i="26"/>
  <c r="X39" i="38"/>
  <c r="X37" i="38"/>
  <c r="Y3" i="35"/>
  <c r="X32" i="38"/>
  <c r="Y3" i="14"/>
  <c r="Y3" i="34"/>
  <c r="Y3" i="25"/>
  <c r="X34" i="38"/>
  <c r="X33" i="36"/>
  <c r="X3" i="34"/>
  <c r="X3" i="25"/>
  <c r="X40" i="38"/>
  <c r="Y3" i="23"/>
  <c r="Y3" i="10"/>
  <c r="Y3" i="13"/>
  <c r="Y144" i="6"/>
  <c r="Y168" i="6"/>
  <c r="Y99" i="6"/>
  <c r="Y61" i="6"/>
  <c r="Y57" i="6"/>
  <c r="Y60" i="6"/>
  <c r="Y55" i="6"/>
  <c r="Y59" i="6"/>
  <c r="Y58" i="6"/>
  <c r="Y3" i="24"/>
  <c r="Y3" i="21"/>
  <c r="Y56" i="6"/>
  <c r="Y3" i="30"/>
  <c r="Y3" i="29"/>
  <c r="Y130" i="6"/>
  <c r="Y154" i="6"/>
  <c r="Y93" i="6"/>
  <c r="Y89" i="6"/>
  <c r="Y113" i="6"/>
  <c r="Y91" i="6"/>
  <c r="Y94" i="6"/>
  <c r="Y92" i="6"/>
  <c r="Y90" i="6"/>
  <c r="X3" i="21"/>
  <c r="X3" i="24"/>
  <c r="X3" i="15" l="1"/>
  <c r="X31" i="39"/>
  <c r="X3" i="17"/>
  <c r="X3" i="16"/>
  <c r="X31" i="37"/>
  <c r="Y31" i="38"/>
  <c r="X31" i="38"/>
  <c r="Y3" i="27"/>
  <c r="Y3" i="28"/>
  <c r="Y3" i="16"/>
  <c r="X3" i="27"/>
  <c r="Y3" i="26"/>
  <c r="Y3" i="17"/>
  <c r="Y3" i="15"/>
  <c r="X3" i="28"/>
  <c r="Y143" i="6"/>
  <c r="Y167" i="6"/>
  <c r="Y129" i="6"/>
  <c r="Y153" i="6"/>
  <c r="Y14" i="6" l="1"/>
  <c r="X14" i="6"/>
  <c r="H9" i="36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I5" i="39" s="1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D5" i="38" l="1"/>
  <c r="I5" i="38"/>
  <c r="X15" i="6"/>
  <c r="Y15" i="6"/>
  <c r="B5" i="38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B33" i="36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Q67" i="6" l="1"/>
  <c r="I67" i="6"/>
  <c r="C33" i="6" l="1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H31" i="6" l="1"/>
  <c r="N31" i="6"/>
  <c r="K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Q9" i="29" s="1"/>
  <c r="P17" i="29"/>
  <c r="P9" i="29" s="1"/>
  <c r="O17" i="29"/>
  <c r="O9" i="29" s="1"/>
  <c r="N17" i="29"/>
  <c r="N9" i="29" s="1"/>
  <c r="M17" i="29"/>
  <c r="M9" i="29" s="1"/>
  <c r="L17" i="29"/>
  <c r="L9" i="29" s="1"/>
  <c r="K17" i="29"/>
  <c r="K9" i="29" s="1"/>
  <c r="J17" i="29"/>
  <c r="J9" i="29" s="1"/>
  <c r="I17" i="29"/>
  <c r="I9" i="29" s="1"/>
  <c r="H17" i="29"/>
  <c r="H9" i="29" s="1"/>
  <c r="G17" i="29"/>
  <c r="G9" i="29" s="1"/>
  <c r="F17" i="29"/>
  <c r="F9" i="29" s="1"/>
  <c r="E17" i="29"/>
  <c r="E9" i="29" s="1"/>
  <c r="D17" i="29"/>
  <c r="D9" i="29" s="1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P8" i="29" s="1"/>
  <c r="O16" i="29"/>
  <c r="O8" i="29" s="1"/>
  <c r="N16" i="29"/>
  <c r="N8" i="29" s="1"/>
  <c r="M16" i="29"/>
  <c r="M8" i="29" s="1"/>
  <c r="L16" i="29"/>
  <c r="L8" i="29" s="1"/>
  <c r="K16" i="29"/>
  <c r="K8" i="29" s="1"/>
  <c r="J16" i="29"/>
  <c r="J8" i="29" s="1"/>
  <c r="I16" i="29"/>
  <c r="I8" i="29" s="1"/>
  <c r="H16" i="29"/>
  <c r="G16" i="29"/>
  <c r="G8" i="29" s="1"/>
  <c r="F16" i="29"/>
  <c r="F8" i="29" s="1"/>
  <c r="E16" i="29"/>
  <c r="E8" i="29" s="1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Q7" i="29" s="1"/>
  <c r="P15" i="29"/>
  <c r="P7" i="29" s="1"/>
  <c r="O15" i="29"/>
  <c r="O7" i="29" s="1"/>
  <c r="N15" i="29"/>
  <c r="N7" i="29" s="1"/>
  <c r="M15" i="29"/>
  <c r="M7" i="29" s="1"/>
  <c r="L15" i="29"/>
  <c r="L7" i="29" s="1"/>
  <c r="K15" i="29"/>
  <c r="K7" i="29" s="1"/>
  <c r="J15" i="29"/>
  <c r="J7" i="29" s="1"/>
  <c r="I15" i="29"/>
  <c r="I7" i="29" s="1"/>
  <c r="H15" i="29"/>
  <c r="H7" i="29" s="1"/>
  <c r="G15" i="29"/>
  <c r="G7" i="29" s="1"/>
  <c r="F15" i="29"/>
  <c r="F7" i="29" s="1"/>
  <c r="E15" i="29"/>
  <c r="E7" i="29" s="1"/>
  <c r="D15" i="29"/>
  <c r="D7" i="29" s="1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P6" i="29" s="1"/>
  <c r="O14" i="29"/>
  <c r="O6" i="29" s="1"/>
  <c r="N14" i="29"/>
  <c r="N6" i="29" s="1"/>
  <c r="M14" i="29"/>
  <c r="M6" i="29" s="1"/>
  <c r="L14" i="29"/>
  <c r="L6" i="29" s="1"/>
  <c r="K14" i="29"/>
  <c r="K6" i="29" s="1"/>
  <c r="J14" i="29"/>
  <c r="J6" i="29" s="1"/>
  <c r="I14" i="29"/>
  <c r="I6" i="29" s="1"/>
  <c r="H14" i="29"/>
  <c r="H6" i="29" s="1"/>
  <c r="G14" i="29"/>
  <c r="G6" i="29" s="1"/>
  <c r="F14" i="29"/>
  <c r="F6" i="29" s="1"/>
  <c r="E14" i="29"/>
  <c r="E6" i="29" s="1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Q5" i="29" s="1"/>
  <c r="P13" i="29"/>
  <c r="P5" i="29" s="1"/>
  <c r="O13" i="29"/>
  <c r="O5" i="29" s="1"/>
  <c r="N13" i="29"/>
  <c r="M13" i="29"/>
  <c r="L13" i="29"/>
  <c r="L5" i="29" s="1"/>
  <c r="K13" i="29"/>
  <c r="J13" i="29"/>
  <c r="J5" i="29" s="1"/>
  <c r="I13" i="29"/>
  <c r="I5" i="29" s="1"/>
  <c r="H13" i="29"/>
  <c r="H5" i="29" s="1"/>
  <c r="G13" i="29"/>
  <c r="F13" i="29"/>
  <c r="F5" i="29" s="1"/>
  <c r="E13" i="29"/>
  <c r="D13" i="29"/>
  <c r="D5" i="29" s="1"/>
  <c r="W12" i="29"/>
  <c r="W5" i="30" s="1"/>
  <c r="V12" i="29"/>
  <c r="V5" i="30" s="1"/>
  <c r="U12" i="29"/>
  <c r="U5" i="30" s="1"/>
  <c r="T12" i="29"/>
  <c r="S12" i="29"/>
  <c r="S5" i="30" s="1"/>
  <c r="R12" i="29"/>
  <c r="R5" i="30" s="1"/>
  <c r="Q12" i="29"/>
  <c r="P12" i="29"/>
  <c r="P4" i="29" s="1"/>
  <c r="O12" i="29"/>
  <c r="O4" i="29" s="1"/>
  <c r="N12" i="29"/>
  <c r="N4" i="29" s="1"/>
  <c r="M12" i="29"/>
  <c r="M4" i="29" s="1"/>
  <c r="L12" i="29"/>
  <c r="K12" i="29"/>
  <c r="J12" i="29"/>
  <c r="I12" i="29"/>
  <c r="H12" i="29"/>
  <c r="H4" i="29" s="1"/>
  <c r="G12" i="29"/>
  <c r="G4" i="29" s="1"/>
  <c r="F12" i="29"/>
  <c r="F4" i="29" s="1"/>
  <c r="E12" i="29"/>
  <c r="E4" i="29" s="1"/>
  <c r="D12" i="29"/>
  <c r="H8" i="29"/>
  <c r="K5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V4" i="29" l="1"/>
  <c r="T7" i="29"/>
  <c r="R7" i="29"/>
  <c r="V8" i="29"/>
  <c r="W8" i="29"/>
  <c r="S7" i="29"/>
  <c r="N11" i="29"/>
  <c r="L11" i="29"/>
  <c r="U8" i="29"/>
  <c r="W4" i="29"/>
  <c r="J11" i="29"/>
  <c r="K11" i="29"/>
  <c r="R5" i="29"/>
  <c r="S5" i="29"/>
  <c r="T5" i="29"/>
  <c r="T11" i="29"/>
  <c r="U6" i="29"/>
  <c r="V6" i="29"/>
  <c r="W6" i="29"/>
  <c r="R9" i="29"/>
  <c r="S9" i="29"/>
  <c r="G11" i="29"/>
  <c r="T9" i="29"/>
  <c r="U11" i="29"/>
  <c r="V11" i="29"/>
  <c r="W11" i="29"/>
  <c r="U4" i="29"/>
  <c r="D11" i="29"/>
  <c r="W9" i="29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6" i="10" s="1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8" i="34"/>
  <c r="S3" i="33"/>
  <c r="S8" i="32"/>
  <c r="W8" i="30"/>
  <c r="W8" i="35"/>
  <c r="S8" i="33"/>
  <c r="U8" i="32"/>
  <c r="W8" i="31"/>
  <c r="B69" i="29"/>
  <c r="T3" i="34"/>
  <c r="R8" i="34"/>
  <c r="T8" i="33"/>
  <c r="V8" i="32"/>
  <c r="R3" i="31"/>
  <c r="R8" i="30"/>
  <c r="P3" i="29"/>
  <c r="S3" i="35"/>
  <c r="U3" i="34"/>
  <c r="S8" i="34"/>
  <c r="W3" i="33"/>
  <c r="W8" i="32"/>
  <c r="S3" i="31"/>
  <c r="S8" i="30"/>
  <c r="G3" i="29"/>
  <c r="P11" i="29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U15" i="24" l="1"/>
  <c r="U19" i="23"/>
  <c r="N3" i="29"/>
  <c r="W3" i="31"/>
  <c r="R3" i="35"/>
  <c r="T3" i="35"/>
  <c r="U3" i="32"/>
  <c r="K3" i="29"/>
  <c r="V3" i="32"/>
  <c r="W3" i="32"/>
  <c r="W3" i="35"/>
  <c r="V3" i="31"/>
  <c r="W3" i="8"/>
  <c r="W3" i="29"/>
  <c r="V4" i="14"/>
  <c r="U19" i="25"/>
  <c r="U3" i="30"/>
  <c r="R3" i="8"/>
  <c r="U27" i="24"/>
  <c r="R3" i="29"/>
  <c r="S3" i="30"/>
  <c r="T15" i="12"/>
  <c r="T19" i="14"/>
  <c r="T3" i="11"/>
  <c r="T27" i="13"/>
  <c r="S3" i="32"/>
  <c r="S15" i="24"/>
  <c r="S3" i="29"/>
  <c r="S3" i="34"/>
  <c r="U3" i="22"/>
  <c r="V3" i="19"/>
  <c r="V3" i="23" s="1"/>
  <c r="R19" i="14"/>
  <c r="S3" i="8"/>
  <c r="S3" i="12" s="1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U3" i="33"/>
  <c r="T3" i="22"/>
  <c r="D3" i="29"/>
  <c r="U3" i="29"/>
  <c r="U3" i="31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T3" i="14" l="1"/>
  <c r="U3" i="25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C81" i="6" l="1"/>
  <c r="C113" i="6" s="1"/>
  <c r="S81" i="6"/>
  <c r="S113" i="6" s="1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C47" i="6"/>
  <c r="C99" i="6" s="1"/>
  <c r="C89" i="6"/>
  <c r="C92" i="6"/>
  <c r="C93" i="6"/>
  <c r="C94" i="6"/>
  <c r="T56" i="6" l="1"/>
  <c r="L90" i="6"/>
  <c r="S91" i="6"/>
  <c r="O56" i="6"/>
  <c r="C90" i="6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D15" i="16" s="1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I15" i="16" s="1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O32" i="28" s="1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32" i="17" s="1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N26" i="21"/>
  <c r="C18" i="21"/>
  <c r="F17" i="21"/>
  <c r="P16" i="22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P23" i="28" s="1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I30" i="17" s="1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N10" i="25"/>
  <c r="P8" i="25"/>
  <c r="P8" i="28" s="1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Q9" i="17" s="1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O27" i="10"/>
  <c r="G27" i="10"/>
  <c r="G26" i="10"/>
  <c r="O25" i="10"/>
  <c r="G24" i="10"/>
  <c r="O23" i="10"/>
  <c r="G22" i="10"/>
  <c r="O21" i="10"/>
  <c r="K19" i="8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19" i="12" s="1"/>
  <c r="I4" i="8"/>
  <c r="J29" i="9"/>
  <c r="E27" i="10"/>
  <c r="M25" i="10"/>
  <c r="E25" i="10"/>
  <c r="E24" i="10"/>
  <c r="M23" i="10"/>
  <c r="E23" i="10"/>
  <c r="M21" i="10"/>
  <c r="E21" i="10"/>
  <c r="E20" i="10"/>
  <c r="P19" i="9"/>
  <c r="P19" i="13" s="1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D33" i="21"/>
  <c r="O32" i="21"/>
  <c r="O29" i="19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29" i="23" s="1"/>
  <c r="M30" i="21"/>
  <c r="I29" i="19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C29" i="8"/>
  <c r="M19" i="8"/>
  <c r="E19" i="8"/>
  <c r="E19" i="12" s="1"/>
  <c r="Q19" i="8"/>
  <c r="G18" i="10"/>
  <c r="O17" i="10"/>
  <c r="K16" i="8"/>
  <c r="C16" i="8"/>
  <c r="C16" i="12" s="1"/>
  <c r="M4" i="8"/>
  <c r="E4" i="8"/>
  <c r="Q4" i="8"/>
  <c r="J33" i="10"/>
  <c r="B32" i="10"/>
  <c r="J31" i="10"/>
  <c r="N29" i="9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M33" i="10"/>
  <c r="E33" i="10"/>
  <c r="E32" i="10"/>
  <c r="M31" i="10"/>
  <c r="E31" i="10"/>
  <c r="P29" i="9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19" i="8"/>
  <c r="P16" i="8"/>
  <c r="P4" i="8"/>
  <c r="Q29" i="9"/>
  <c r="Q19" i="9"/>
  <c r="Q16" i="9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J19" i="19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D30" i="21"/>
  <c r="D29" i="20"/>
  <c r="I29" i="20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16" i="8"/>
  <c r="H4" i="8"/>
  <c r="G33" i="16"/>
  <c r="K32" i="16"/>
  <c r="G32" i="16"/>
  <c r="G31" i="16"/>
  <c r="K30" i="16"/>
  <c r="G30" i="16"/>
  <c r="I19" i="9"/>
  <c r="I19" i="13" s="1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H4" i="19"/>
  <c r="D4" i="19"/>
  <c r="J4" i="19"/>
  <c r="O29" i="20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J20" i="27"/>
  <c r="J19" i="20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K4" i="20"/>
  <c r="K5" i="21"/>
  <c r="G5" i="21"/>
  <c r="C5" i="21"/>
  <c r="C4" i="20"/>
  <c r="C4" i="24" s="1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F51" i="39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5" i="21"/>
  <c r="O4" i="19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L21" i="21"/>
  <c r="L21" i="27"/>
  <c r="H21" i="21"/>
  <c r="D21" i="21"/>
  <c r="D21" i="27"/>
  <c r="O20" i="21"/>
  <c r="O19" i="20"/>
  <c r="K20" i="21"/>
  <c r="K19" i="20"/>
  <c r="G20" i="21"/>
  <c r="G19" i="20"/>
  <c r="C20" i="21"/>
  <c r="C19" i="20"/>
  <c r="C19" i="24" s="1"/>
  <c r="L19" i="20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N29" i="8"/>
  <c r="N29" i="12" s="1"/>
  <c r="J29" i="8"/>
  <c r="J29" i="12" s="1"/>
  <c r="F29" i="8"/>
  <c r="B29" i="8"/>
  <c r="N19" i="8"/>
  <c r="J19" i="8"/>
  <c r="J19" i="12" s="1"/>
  <c r="F19" i="8"/>
  <c r="B19" i="8"/>
  <c r="N16" i="8"/>
  <c r="J16" i="8"/>
  <c r="J16" i="12" s="1"/>
  <c r="F16" i="8"/>
  <c r="F16" i="12" s="1"/>
  <c r="B16" i="8"/>
  <c r="N4" i="8"/>
  <c r="J4" i="8"/>
  <c r="F4" i="8"/>
  <c r="B4" i="8"/>
  <c r="O29" i="9"/>
  <c r="K29" i="9"/>
  <c r="G29" i="9"/>
  <c r="C29" i="9"/>
  <c r="O19" i="9"/>
  <c r="K19" i="9"/>
  <c r="K19" i="13" s="1"/>
  <c r="G19" i="9"/>
  <c r="C19" i="9"/>
  <c r="O16" i="9"/>
  <c r="K16" i="9"/>
  <c r="K16" i="13" s="1"/>
  <c r="G16" i="9"/>
  <c r="C16" i="9"/>
  <c r="C4" i="9"/>
  <c r="E29" i="11"/>
  <c r="E19" i="1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K29" i="13" l="1"/>
  <c r="J19" i="24"/>
  <c r="K29" i="12"/>
  <c r="P29" i="25"/>
  <c r="P29" i="28" s="1"/>
  <c r="I29" i="24"/>
  <c r="O4" i="24"/>
  <c r="E19" i="14"/>
  <c r="K16" i="24"/>
  <c r="N19" i="24"/>
  <c r="G16" i="12"/>
  <c r="O4" i="23"/>
  <c r="N19" i="23"/>
  <c r="F4" i="24"/>
  <c r="C4" i="13"/>
  <c r="O4" i="12"/>
  <c r="C16" i="13"/>
  <c r="E4" i="24"/>
  <c r="E4" i="23"/>
  <c r="H4" i="12"/>
  <c r="J29" i="13"/>
  <c r="C4" i="12"/>
  <c r="C4" i="15" s="1"/>
  <c r="G19" i="24"/>
  <c r="P29" i="12"/>
  <c r="P29" i="15" s="1"/>
  <c r="H29" i="23"/>
  <c r="H29" i="26" s="1"/>
  <c r="O29" i="13"/>
  <c r="P19" i="24"/>
  <c r="J19" i="23"/>
  <c r="J19" i="26" s="1"/>
  <c r="P29" i="13"/>
  <c r="P29" i="16" s="1"/>
  <c r="H29" i="24"/>
  <c r="G19" i="23"/>
  <c r="G19" i="26" s="1"/>
  <c r="O29" i="23"/>
  <c r="O29" i="26" s="1"/>
  <c r="O29" i="12"/>
  <c r="C17" i="16"/>
  <c r="E4" i="13"/>
  <c r="P4" i="12"/>
  <c r="O4" i="13"/>
  <c r="O4" i="16" s="1"/>
  <c r="K4" i="24"/>
  <c r="D16" i="13"/>
  <c r="O16" i="24"/>
  <c r="B16" i="13"/>
  <c r="B16" i="16" s="1"/>
  <c r="M29" i="24"/>
  <c r="M29" i="27" s="1"/>
  <c r="L19" i="24"/>
  <c r="N29" i="13"/>
  <c r="K19" i="12"/>
  <c r="K19" i="15" s="1"/>
  <c r="H29" i="12"/>
  <c r="D16" i="25"/>
  <c r="O29" i="24"/>
  <c r="J4" i="12"/>
  <c r="H4" i="23"/>
  <c r="Q16" i="13"/>
  <c r="O16" i="12"/>
  <c r="N4" i="12"/>
  <c r="N4" i="15" s="1"/>
  <c r="L4" i="23"/>
  <c r="L4" i="26" s="1"/>
  <c r="N29" i="24"/>
  <c r="N29" i="27" s="1"/>
  <c r="D16" i="14"/>
  <c r="D16" i="17" s="1"/>
  <c r="K16" i="12"/>
  <c r="K16" i="15" s="1"/>
  <c r="I29" i="23"/>
  <c r="I29" i="26" s="1"/>
  <c r="C19" i="23"/>
  <c r="C19" i="26" s="1"/>
  <c r="F4" i="12"/>
  <c r="F4" i="15" s="1"/>
  <c r="E19" i="24"/>
  <c r="E19" i="27" s="1"/>
  <c r="P16" i="25"/>
  <c r="G29" i="12"/>
  <c r="G29" i="13"/>
  <c r="I4" i="23"/>
  <c r="I4" i="26" s="1"/>
  <c r="G16" i="13"/>
  <c r="G16" i="16" s="1"/>
  <c r="N29" i="23"/>
  <c r="C19" i="13"/>
  <c r="K19" i="24"/>
  <c r="K19" i="27" s="1"/>
  <c r="O19" i="23"/>
  <c r="O19" i="26" s="1"/>
  <c r="Q29" i="24"/>
  <c r="G29" i="24"/>
  <c r="G29" i="27" s="1"/>
  <c r="C19" i="12"/>
  <c r="C19" i="15" s="1"/>
  <c r="P16" i="23"/>
  <c r="P16" i="26" s="1"/>
  <c r="M4" i="14"/>
  <c r="M4" i="17" s="1"/>
  <c r="O16" i="13"/>
  <c r="O16" i="23"/>
  <c r="O16" i="26" s="1"/>
  <c r="F19" i="12"/>
  <c r="F19" i="15" s="1"/>
  <c r="M16" i="24"/>
  <c r="M16" i="27" s="1"/>
  <c r="J4" i="23"/>
  <c r="J4" i="26" s="1"/>
  <c r="P19" i="12"/>
  <c r="P19" i="15" s="1"/>
  <c r="H4" i="24"/>
  <c r="H4" i="27" s="1"/>
  <c r="M4" i="12"/>
  <c r="O19" i="24"/>
  <c r="O19" i="27" s="1"/>
  <c r="P16" i="24"/>
  <c r="P16" i="27" s="1"/>
  <c r="L19" i="13"/>
  <c r="G4" i="23"/>
  <c r="G4" i="26" s="1"/>
  <c r="P4" i="24"/>
  <c r="P4" i="27" s="1"/>
  <c r="C29" i="24"/>
  <c r="C29" i="27" s="1"/>
  <c r="G4" i="24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M29" i="16" s="1"/>
  <c r="D19" i="24"/>
  <c r="D19" i="27" s="1"/>
  <c r="D4" i="24"/>
  <c r="D4" i="27" s="1"/>
  <c r="P19" i="23"/>
  <c r="P19" i="26" s="1"/>
  <c r="N16" i="14"/>
  <c r="N16" i="17" s="1"/>
  <c r="D4" i="13"/>
  <c r="D4" i="16" s="1"/>
  <c r="N16" i="12"/>
  <c r="N16" i="15" s="1"/>
  <c r="E16" i="12"/>
  <c r="E16" i="15" s="1"/>
  <c r="I16" i="14"/>
  <c r="I16" i="17" s="1"/>
  <c r="Q4" i="23"/>
  <c r="J29" i="24"/>
  <c r="J29" i="27" s="1"/>
  <c r="P16" i="13"/>
  <c r="P16" i="16" s="1"/>
  <c r="C29" i="12"/>
  <c r="G16" i="24"/>
  <c r="I4" i="12"/>
  <c r="L16" i="13"/>
  <c r="L16" i="16" s="1"/>
  <c r="B29" i="13"/>
  <c r="B29" i="16" s="1"/>
  <c r="L4" i="24"/>
  <c r="Q29" i="23"/>
  <c r="Q29" i="26" s="1"/>
  <c r="G16" i="25"/>
  <c r="G16" i="28" s="1"/>
  <c r="Q4" i="24"/>
  <c r="Q4" i="27" s="1"/>
  <c r="D4" i="23"/>
  <c r="C29" i="13"/>
  <c r="B29" i="12"/>
  <c r="H19" i="24"/>
  <c r="H19" i="27" s="1"/>
  <c r="Q4" i="12"/>
  <c r="B4" i="14"/>
  <c r="B4" i="17" s="1"/>
  <c r="N19" i="12"/>
  <c r="D29" i="25"/>
  <c r="D29" i="28" s="1"/>
  <c r="F16" i="24"/>
  <c r="D29" i="24"/>
  <c r="D29" i="27" s="1"/>
  <c r="G19" i="14"/>
  <c r="G19" i="17" s="1"/>
  <c r="D29" i="23"/>
  <c r="D29" i="26" s="1"/>
  <c r="I16" i="13"/>
  <c r="I16" i="16" s="1"/>
  <c r="B4" i="13"/>
  <c r="B4" i="16" s="1"/>
  <c r="M4" i="23"/>
  <c r="M4" i="26" s="1"/>
  <c r="B4" i="12"/>
  <c r="B4" i="15" s="1"/>
  <c r="I16" i="23"/>
  <c r="I16" i="26" s="1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19" i="13"/>
  <c r="H19" i="16" s="1"/>
  <c r="I19" i="24"/>
  <c r="I19" i="27" s="1"/>
  <c r="K16" i="23"/>
  <c r="E29" i="13"/>
  <c r="L16" i="24"/>
  <c r="L16" i="27" s="1"/>
  <c r="M4" i="13"/>
  <c r="M4" i="16" s="1"/>
  <c r="D27" i="13"/>
  <c r="D27" i="12"/>
  <c r="D27" i="15" s="1"/>
  <c r="M27" i="12"/>
  <c r="M27" i="15" s="1"/>
  <c r="M27" i="13"/>
  <c r="G16" i="23"/>
  <c r="G16" i="26" s="1"/>
  <c r="M27" i="23"/>
  <c r="M27" i="26" s="1"/>
  <c r="M27" i="24"/>
  <c r="M27" i="27" s="1"/>
  <c r="O19" i="13"/>
  <c r="O19" i="16" s="1"/>
  <c r="E15" i="24"/>
  <c r="E15" i="27" s="1"/>
  <c r="E15" i="23"/>
  <c r="E15" i="26" s="1"/>
  <c r="Q19" i="13"/>
  <c r="Q19" i="16" s="1"/>
  <c r="I29" i="12"/>
  <c r="I29" i="15" s="1"/>
  <c r="D19" i="13"/>
  <c r="D19" i="16" s="1"/>
  <c r="E4" i="12"/>
  <c r="M19" i="12"/>
  <c r="M19" i="15" s="1"/>
  <c r="N27" i="12"/>
  <c r="N27" i="15" s="1"/>
  <c r="N27" i="13"/>
  <c r="N27" i="16" s="1"/>
  <c r="E29" i="23"/>
  <c r="E29" i="26" s="1"/>
  <c r="N19" i="13"/>
  <c r="N19" i="16" s="1"/>
  <c r="M16" i="12"/>
  <c r="E29" i="12"/>
  <c r="E29" i="15" s="1"/>
  <c r="P27" i="13"/>
  <c r="P27" i="16" s="1"/>
  <c r="P27" i="12"/>
  <c r="P27" i="15" s="1"/>
  <c r="N27" i="23"/>
  <c r="N27" i="26" s="1"/>
  <c r="N27" i="24"/>
  <c r="N27" i="27" s="1"/>
  <c r="C27" i="12"/>
  <c r="C27" i="15" s="1"/>
  <c r="C27" i="13"/>
  <c r="C27" i="16" s="1"/>
  <c r="L19" i="12"/>
  <c r="L19" i="15" s="1"/>
  <c r="I27" i="13"/>
  <c r="I27" i="16" s="1"/>
  <c r="I27" i="12"/>
  <c r="I27" i="15" s="1"/>
  <c r="E27" i="12"/>
  <c r="E27" i="13"/>
  <c r="E27" i="16" s="1"/>
  <c r="E19" i="23"/>
  <c r="E19" i="26" s="1"/>
  <c r="D15" i="23"/>
  <c r="D15" i="24"/>
  <c r="D15" i="27" s="1"/>
  <c r="E19" i="13"/>
  <c r="E19" i="16" s="1"/>
  <c r="C16" i="23"/>
  <c r="C16" i="26" s="1"/>
  <c r="F16" i="23"/>
  <c r="F16" i="26" s="1"/>
  <c r="F3" i="19"/>
  <c r="F3" i="23" s="1"/>
  <c r="F3" i="26" s="1"/>
  <c r="F19" i="23"/>
  <c r="F19" i="26" s="1"/>
  <c r="B16" i="10"/>
  <c r="B16" i="12"/>
  <c r="B16" i="15" s="1"/>
  <c r="Q27" i="13"/>
  <c r="Q27" i="16" s="1"/>
  <c r="Q27" i="12"/>
  <c r="Q27" i="15" s="1"/>
  <c r="F29" i="12"/>
  <c r="L29" i="23"/>
  <c r="L29" i="26" s="1"/>
  <c r="I15" i="24"/>
  <c r="I15" i="27" s="1"/>
  <c r="I15" i="23"/>
  <c r="I15" i="26" s="1"/>
  <c r="M4" i="24"/>
  <c r="M4" i="27" s="1"/>
  <c r="I19" i="23"/>
  <c r="I19" i="26" s="1"/>
  <c r="Q19" i="23"/>
  <c r="Q19" i="26" s="1"/>
  <c r="G15" i="23"/>
  <c r="G15" i="26" s="1"/>
  <c r="G15" i="24"/>
  <c r="G15" i="27" s="1"/>
  <c r="H27" i="23"/>
  <c r="H27" i="26" s="1"/>
  <c r="H27" i="24"/>
  <c r="H27" i="27" s="1"/>
  <c r="Q29" i="13"/>
  <c r="I16" i="12"/>
  <c r="I16" i="15" s="1"/>
  <c r="F29" i="13"/>
  <c r="F29" i="16" s="1"/>
  <c r="D29" i="13"/>
  <c r="C4" i="23"/>
  <c r="C4" i="26" s="1"/>
  <c r="K4" i="23"/>
  <c r="K4" i="26" s="1"/>
  <c r="M19" i="13"/>
  <c r="M19" i="16" s="1"/>
  <c r="N4" i="21"/>
  <c r="N4" i="24"/>
  <c r="P4" i="13"/>
  <c r="G29" i="23"/>
  <c r="G29" i="26" s="1"/>
  <c r="B19" i="13"/>
  <c r="K27" i="12"/>
  <c r="K27" i="15" s="1"/>
  <c r="K27" i="13"/>
  <c r="K27" i="16" s="1"/>
  <c r="H15" i="23"/>
  <c r="H15" i="26" s="1"/>
  <c r="H15" i="24"/>
  <c r="H15" i="27" s="1"/>
  <c r="L16" i="12"/>
  <c r="L16" i="15" s="1"/>
  <c r="P15" i="23"/>
  <c r="P15" i="26" s="1"/>
  <c r="P15" i="24"/>
  <c r="P15" i="27" s="1"/>
  <c r="M29" i="12"/>
  <c r="M29" i="15" s="1"/>
  <c r="H16" i="12"/>
  <c r="H16" i="15" s="1"/>
  <c r="J15" i="24"/>
  <c r="J15" i="27" s="1"/>
  <c r="J15" i="23"/>
  <c r="J15" i="26" s="1"/>
  <c r="L27" i="23"/>
  <c r="L27" i="26" s="1"/>
  <c r="L27" i="24"/>
  <c r="L27" i="27" s="1"/>
  <c r="O19" i="12"/>
  <c r="G27" i="24"/>
  <c r="G27" i="27" s="1"/>
  <c r="G27" i="23"/>
  <c r="G27" i="26" s="1"/>
  <c r="L4" i="13"/>
  <c r="K4" i="12"/>
  <c r="K4" i="15" s="1"/>
  <c r="P4" i="23"/>
  <c r="P4" i="26" s="1"/>
  <c r="K29" i="23"/>
  <c r="K29" i="26" s="1"/>
  <c r="G4" i="12"/>
  <c r="G4" i="15" s="1"/>
  <c r="B47" i="6"/>
  <c r="B58" i="6" s="1"/>
  <c r="B100" i="6"/>
  <c r="B121" i="6" s="1"/>
  <c r="O15" i="23"/>
  <c r="O15" i="26" s="1"/>
  <c r="O15" i="24"/>
  <c r="O15" i="27" s="1"/>
  <c r="E29" i="24"/>
  <c r="E29" i="27" s="1"/>
  <c r="K27" i="23"/>
  <c r="K27" i="24"/>
  <c r="K27" i="27" s="1"/>
  <c r="B27" i="12"/>
  <c r="B27" i="15" s="1"/>
  <c r="B27" i="13"/>
  <c r="B27" i="16" s="1"/>
  <c r="Q19" i="24"/>
  <c r="Q19" i="27" s="1"/>
  <c r="K15" i="23"/>
  <c r="K15" i="26" s="1"/>
  <c r="K15" i="24"/>
  <c r="K15" i="27" s="1"/>
  <c r="P27" i="23"/>
  <c r="P27" i="26" s="1"/>
  <c r="P27" i="24"/>
  <c r="P27" i="27" s="1"/>
  <c r="P16" i="12"/>
  <c r="F4" i="13"/>
  <c r="F4" i="16" s="1"/>
  <c r="L29" i="13"/>
  <c r="L29" i="16" s="1"/>
  <c r="L15" i="23"/>
  <c r="L15" i="26" s="1"/>
  <c r="L15" i="24"/>
  <c r="J27" i="12"/>
  <c r="J27" i="15" s="1"/>
  <c r="J27" i="13"/>
  <c r="J27" i="16" s="1"/>
  <c r="E16" i="24"/>
  <c r="E16" i="27" s="1"/>
  <c r="D16" i="12"/>
  <c r="D16" i="15" s="1"/>
  <c r="M15" i="23"/>
  <c r="M15" i="26" s="1"/>
  <c r="M15" i="24"/>
  <c r="M15" i="27" s="1"/>
  <c r="D19" i="23"/>
  <c r="D19" i="26" s="1"/>
  <c r="N15" i="23"/>
  <c r="N15" i="26" s="1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G4" i="16" s="1"/>
  <c r="N4" i="23"/>
  <c r="H19" i="12"/>
  <c r="L4" i="12"/>
  <c r="L4" i="15" s="1"/>
  <c r="I16" i="24"/>
  <c r="I16" i="27" s="1"/>
  <c r="H16" i="13"/>
  <c r="H16" i="16" s="1"/>
  <c r="L29" i="12"/>
  <c r="L29" i="15" s="1"/>
  <c r="M19" i="21"/>
  <c r="M19" i="24"/>
  <c r="M19" i="27" s="1"/>
  <c r="E27" i="23"/>
  <c r="E27" i="26" s="1"/>
  <c r="E27" i="24"/>
  <c r="E27" i="27" s="1"/>
  <c r="G19" i="13"/>
  <c r="G19" i="16" s="1"/>
  <c r="Q15" i="23"/>
  <c r="Q15" i="26" s="1"/>
  <c r="Q15" i="24"/>
  <c r="Q15" i="27" s="1"/>
  <c r="M16" i="23"/>
  <c r="M16" i="26" s="1"/>
  <c r="H19" i="23"/>
  <c r="H19" i="26" s="1"/>
  <c r="O27" i="24"/>
  <c r="O27" i="23"/>
  <c r="O27" i="26" s="1"/>
  <c r="Q19" i="12"/>
  <c r="Q19" i="15" s="1"/>
  <c r="J27" i="24"/>
  <c r="J27" i="27" s="1"/>
  <c r="J27" i="23"/>
  <c r="J27" i="26" s="1"/>
  <c r="N4" i="13"/>
  <c r="N4" i="16" s="1"/>
  <c r="Q16" i="12"/>
  <c r="Q16" i="15" s="1"/>
  <c r="L27" i="13"/>
  <c r="L27" i="12"/>
  <c r="L27" i="15" s="1"/>
  <c r="K4" i="13"/>
  <c r="K4" i="16" s="1"/>
  <c r="I29" i="13"/>
  <c r="I29" i="16" s="1"/>
  <c r="J16" i="24"/>
  <c r="J16" i="27" s="1"/>
  <c r="H29" i="13"/>
  <c r="H29" i="16" s="1"/>
  <c r="Q27" i="23"/>
  <c r="Q27" i="26" s="1"/>
  <c r="Q27" i="24"/>
  <c r="Q27" i="27" s="1"/>
  <c r="K19" i="23"/>
  <c r="K19" i="26" s="1"/>
  <c r="F15" i="23"/>
  <c r="F15" i="26" s="1"/>
  <c r="F15" i="24"/>
  <c r="F15" i="27" s="1"/>
  <c r="G27" i="13"/>
  <c r="G27" i="16" s="1"/>
  <c r="G27" i="12"/>
  <c r="G27" i="15" s="1"/>
  <c r="O27" i="13"/>
  <c r="O27" i="16" s="1"/>
  <c r="O27" i="12"/>
  <c r="O27" i="15" s="1"/>
  <c r="B19" i="12"/>
  <c r="I27" i="23"/>
  <c r="I27" i="24"/>
  <c r="I27" i="27" s="1"/>
  <c r="D27" i="23"/>
  <c r="D27" i="26" s="1"/>
  <c r="D27" i="24"/>
  <c r="D27" i="27" s="1"/>
  <c r="L29" i="24"/>
  <c r="L29" i="27" s="1"/>
  <c r="L19" i="23"/>
  <c r="L19" i="26" s="1"/>
  <c r="C15" i="24"/>
  <c r="C15" i="27" s="1"/>
  <c r="C15" i="23"/>
  <c r="F27" i="13"/>
  <c r="F27" i="12"/>
  <c r="F27" i="15" s="1"/>
  <c r="F19" i="13"/>
  <c r="F19" i="16" s="1"/>
  <c r="Q29" i="12"/>
  <c r="Q29" i="15" s="1"/>
  <c r="H27" i="13"/>
  <c r="H27" i="16" s="1"/>
  <c r="H27" i="12"/>
  <c r="H27" i="15" s="1"/>
  <c r="C27" i="24"/>
  <c r="C27" i="27" s="1"/>
  <c r="C27" i="23"/>
  <c r="C27" i="26" s="1"/>
  <c r="L16" i="23"/>
  <c r="L16" i="26" s="1"/>
  <c r="M16" i="13"/>
  <c r="M16" i="16" s="1"/>
  <c r="F19" i="24"/>
  <c r="F19" i="27" s="1"/>
  <c r="E16" i="13"/>
  <c r="E16" i="16" s="1"/>
  <c r="N16" i="21"/>
  <c r="N16" i="24"/>
  <c r="N16" i="27" s="1"/>
  <c r="D4" i="12"/>
  <c r="D4" i="15" s="1"/>
  <c r="D29" i="12"/>
  <c r="D29" i="15" s="1"/>
  <c r="G19" i="12"/>
  <c r="G19" i="15" s="1"/>
  <c r="D19" i="12"/>
  <c r="D19" i="15" s="1"/>
  <c r="M31" i="39"/>
  <c r="M31" i="37"/>
  <c r="N19" i="25"/>
  <c r="N19" i="28" s="1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O16" i="28" s="1"/>
  <c r="K19" i="14"/>
  <c r="K19" i="17" s="1"/>
  <c r="O27" i="27"/>
  <c r="H16" i="25"/>
  <c r="H16" i="28" s="1"/>
  <c r="K29" i="14"/>
  <c r="K29" i="17" s="1"/>
  <c r="L16" i="14"/>
  <c r="L16" i="17" s="1"/>
  <c r="I16" i="25"/>
  <c r="I16" i="28" s="1"/>
  <c r="M29" i="14"/>
  <c r="M29" i="17" s="1"/>
  <c r="O19" i="25"/>
  <c r="O19" i="28" s="1"/>
  <c r="K16" i="25"/>
  <c r="K16" i="28" s="1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I24" i="17"/>
  <c r="I20" i="28"/>
  <c r="F6" i="27"/>
  <c r="M9" i="27"/>
  <c r="I17" i="27"/>
  <c r="M21" i="27"/>
  <c r="M28" i="26"/>
  <c r="I31" i="28"/>
  <c r="I8" i="27"/>
  <c r="M12" i="27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L29" i="28" s="1"/>
  <c r="D7" i="27"/>
  <c r="I30" i="16"/>
  <c r="H9" i="15"/>
  <c r="H25" i="15"/>
  <c r="L24" i="28"/>
  <c r="I8" i="15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E29" i="16"/>
  <c r="G4" i="27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E27" i="15"/>
  <c r="D25" i="26"/>
  <c r="I5" i="15"/>
  <c r="D15" i="26"/>
  <c r="I7" i="15"/>
  <c r="I15" i="15"/>
  <c r="I8" i="17"/>
  <c r="I28" i="16"/>
  <c r="I24" i="15"/>
  <c r="H26" i="15"/>
  <c r="D4" i="14"/>
  <c r="D4" i="17" s="1"/>
  <c r="I25" i="16"/>
  <c r="H6" i="15"/>
  <c r="H14" i="15"/>
  <c r="D24" i="28"/>
  <c r="I31" i="15"/>
  <c r="I33" i="15"/>
  <c r="D18" i="15"/>
  <c r="M4" i="10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5"/>
  <c r="E16" i="28" s="1"/>
  <c r="G10" i="28"/>
  <c r="G23" i="26"/>
  <c r="G17" i="28"/>
  <c r="G22" i="28"/>
  <c r="G31" i="27"/>
  <c r="G9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C15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G14" i="26"/>
  <c r="I17" i="26"/>
  <c r="J18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C17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L27" i="1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E22" i="28"/>
  <c r="G31" i="15"/>
  <c r="K30" i="15"/>
  <c r="E30" i="26"/>
  <c r="G9" i="15"/>
  <c r="G17" i="15"/>
  <c r="G20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7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27" i="26"/>
  <c r="K17" i="15"/>
  <c r="M21" i="16"/>
  <c r="D16" i="28"/>
  <c r="J26" i="16"/>
  <c r="D19" i="14"/>
  <c r="D19" i="17" s="1"/>
  <c r="J31" i="16"/>
  <c r="K18" i="27"/>
  <c r="K20" i="27"/>
  <c r="K9" i="26"/>
  <c r="K26" i="26"/>
  <c r="K5" i="28"/>
  <c r="K7" i="27"/>
  <c r="K10" i="27"/>
  <c r="H44" i="37"/>
  <c r="K13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19" i="14"/>
  <c r="O19" i="17" s="1"/>
  <c r="D29" i="14"/>
  <c r="D29" i="17" s="1"/>
  <c r="O4" i="10"/>
  <c r="K32" i="26"/>
  <c r="D21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F27" i="16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K32" i="15"/>
  <c r="J16" i="14"/>
  <c r="J16" i="17" s="1"/>
  <c r="J16" i="21"/>
  <c r="H19" i="10"/>
  <c r="H19" i="15"/>
  <c r="L31" i="37"/>
  <c r="P44" i="37"/>
  <c r="Q3" i="11"/>
  <c r="B30" i="15"/>
  <c r="B31" i="15"/>
  <c r="B32" i="15"/>
  <c r="B33" i="15"/>
  <c r="L17" i="26"/>
  <c r="L11" i="26"/>
  <c r="L7" i="27"/>
  <c r="L24" i="26"/>
  <c r="L6" i="27"/>
  <c r="L28" i="26"/>
  <c r="L14" i="27"/>
  <c r="L14" i="26"/>
  <c r="L10" i="28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0" i="27"/>
  <c r="O22" i="28"/>
  <c r="O5" i="28"/>
  <c r="O21" i="26"/>
  <c r="O28" i="27"/>
  <c r="O28" i="26"/>
  <c r="O32" i="27"/>
  <c r="O9" i="28"/>
  <c r="B19" i="14"/>
  <c r="B19" i="17" s="1"/>
  <c r="D44" i="37"/>
  <c r="C29" i="14"/>
  <c r="C29" i="17" s="1"/>
  <c r="O3" i="11"/>
  <c r="O3" i="14" s="1"/>
  <c r="O3" i="17" s="1"/>
  <c r="L3" i="8"/>
  <c r="E19" i="15"/>
  <c r="J29" i="26"/>
  <c r="I19" i="14"/>
  <c r="I19" i="17" s="1"/>
  <c r="I3" i="11"/>
  <c r="I3" i="14" s="1"/>
  <c r="I3" i="17" s="1"/>
  <c r="D3" i="7"/>
  <c r="M44" i="37"/>
  <c r="B31" i="16"/>
  <c r="M19" i="10"/>
  <c r="L25" i="26"/>
  <c r="E29" i="21"/>
  <c r="M29" i="26"/>
  <c r="M29" i="21"/>
  <c r="E4" i="16"/>
  <c r="L32" i="26"/>
  <c r="M23" i="16"/>
  <c r="O5" i="15"/>
  <c r="O11" i="15"/>
  <c r="O13" i="15"/>
  <c r="O25" i="15"/>
  <c r="M29" i="10"/>
  <c r="M33" i="15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H11" i="26"/>
  <c r="O8" i="17"/>
  <c r="O31" i="15"/>
  <c r="O16" i="17"/>
  <c r="B30" i="16"/>
  <c r="J33" i="1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M16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L21" i="26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J7" i="16"/>
  <c r="O14" i="15"/>
  <c r="O33" i="15"/>
  <c r="J19" i="14"/>
  <c r="J19" i="17" s="1"/>
  <c r="G19" i="25"/>
  <c r="G19" i="28" s="1"/>
  <c r="O20" i="28"/>
  <c r="J17" i="16"/>
  <c r="B33" i="16"/>
  <c r="O8" i="15"/>
  <c r="J17" i="17"/>
  <c r="B31" i="17"/>
  <c r="B32" i="17"/>
  <c r="H21" i="26"/>
  <c r="J12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K44" i="37"/>
  <c r="I44" i="37"/>
  <c r="D10" i="31"/>
  <c r="H3" i="22"/>
  <c r="H3" i="25" s="1"/>
  <c r="H3" i="28" s="1"/>
  <c r="H4" i="25"/>
  <c r="H4" i="28" s="1"/>
  <c r="E19" i="21"/>
  <c r="G16" i="10"/>
  <c r="G19" i="10"/>
  <c r="G29" i="16"/>
  <c r="G29" i="10"/>
  <c r="F3" i="8"/>
  <c r="F16" i="15"/>
  <c r="F29" i="15"/>
  <c r="G16" i="21"/>
  <c r="G16" i="27"/>
  <c r="O3" i="19"/>
  <c r="O4" i="26"/>
  <c r="I3" i="19"/>
  <c r="E4" i="25"/>
  <c r="E4" i="28" s="1"/>
  <c r="E3" i="22"/>
  <c r="E3" i="25" s="1"/>
  <c r="E3" i="28" s="1"/>
  <c r="E4" i="27"/>
  <c r="E3" i="20"/>
  <c r="E3" i="24" s="1"/>
  <c r="E4" i="21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1"/>
  <c r="N19" i="27"/>
  <c r="N19" i="21"/>
  <c r="N3" i="20"/>
  <c r="N3" i="24" s="1"/>
  <c r="J3" i="19"/>
  <c r="K4" i="14"/>
  <c r="K4" i="17" s="1"/>
  <c r="K3" i="11"/>
  <c r="K3" i="14" s="1"/>
  <c r="J4" i="21"/>
  <c r="Q29" i="27"/>
  <c r="Q29" i="21"/>
  <c r="J29" i="21"/>
  <c r="G29" i="21"/>
  <c r="I19" i="21"/>
  <c r="Q3" i="9"/>
  <c r="Q4" i="10"/>
  <c r="Q29" i="16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B89" i="6"/>
  <c r="B91" i="6"/>
  <c r="B92" i="6"/>
  <c r="B93" i="6"/>
  <c r="B94" i="6"/>
  <c r="B113" i="6"/>
  <c r="G3" i="20"/>
  <c r="G3" i="24" s="1"/>
  <c r="I4" i="15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3" i="9"/>
  <c r="F3" i="13" s="1"/>
  <c r="F4" i="10"/>
  <c r="N5" i="16"/>
  <c r="N7" i="16"/>
  <c r="N20" i="16"/>
  <c r="F24" i="16"/>
  <c r="N25" i="16"/>
  <c r="D29" i="10"/>
  <c r="D29" i="16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1"/>
  <c r="G19" i="27"/>
  <c r="G19" i="21"/>
  <c r="O19" i="21"/>
  <c r="M9" i="17"/>
  <c r="M32" i="17"/>
  <c r="K4" i="25"/>
  <c r="K4" i="28" s="1"/>
  <c r="K3" i="22"/>
  <c r="K3" i="25" s="1"/>
  <c r="K3" i="28" s="1"/>
  <c r="M3" i="20"/>
  <c r="M3" i="24" s="1"/>
  <c r="M4" i="21"/>
  <c r="Q3" i="20"/>
  <c r="Q3" i="24" s="1"/>
  <c r="Q4" i="21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K4" i="27"/>
  <c r="M16" i="21"/>
  <c r="H19" i="21"/>
  <c r="D3" i="19"/>
  <c r="D4" i="26"/>
  <c r="L3" i="19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P29" i="27"/>
  <c r="P29" i="21"/>
  <c r="N3" i="19"/>
  <c r="N19" i="26"/>
  <c r="G5" i="17"/>
  <c r="C7" i="17"/>
  <c r="G24" i="17"/>
  <c r="G30" i="17"/>
  <c r="C32" i="17"/>
  <c r="M5" i="16"/>
  <c r="M6" i="16"/>
  <c r="Q19" i="10"/>
  <c r="G5" i="16"/>
  <c r="B147" i="6"/>
  <c r="B171" i="6"/>
  <c r="B125" i="6"/>
  <c r="B134" i="6"/>
  <c r="B158" i="6"/>
  <c r="N4" i="27"/>
  <c r="C21" i="17"/>
  <c r="J14" i="16"/>
  <c r="B23" i="16"/>
  <c r="G11" i="15"/>
  <c r="J4" i="14"/>
  <c r="J4" i="17" s="1"/>
  <c r="J3" i="11"/>
  <c r="J3" i="14" s="1"/>
  <c r="J3" i="17" s="1"/>
  <c r="C8" i="17"/>
  <c r="J19" i="10"/>
  <c r="J19" i="16"/>
  <c r="M30" i="16"/>
  <c r="F19" i="21"/>
  <c r="L15" i="27"/>
  <c r="M6" i="17"/>
  <c r="B25" i="16"/>
  <c r="J28" i="16"/>
  <c r="C7" i="15"/>
  <c r="M17" i="15"/>
  <c r="F17" i="17"/>
  <c r="P19" i="14"/>
  <c r="P19" i="17" s="1"/>
  <c r="N30" i="17"/>
  <c r="N31" i="17"/>
  <c r="N32" i="17"/>
  <c r="D4" i="10"/>
  <c r="D3" i="9"/>
  <c r="H16" i="10"/>
  <c r="F17" i="16"/>
  <c r="B18" i="16"/>
  <c r="B19" i="16"/>
  <c r="L19" i="10"/>
  <c r="L19" i="16"/>
  <c r="N29" i="16"/>
  <c r="N29" i="10"/>
  <c r="N31" i="16"/>
  <c r="F33" i="16"/>
  <c r="E4" i="15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C25" i="15"/>
  <c r="E8" i="15"/>
  <c r="E12" i="15"/>
  <c r="C17" i="15"/>
  <c r="C44" i="37"/>
  <c r="Q44" i="37"/>
  <c r="P10" i="30"/>
  <c r="H10" i="31"/>
  <c r="F4" i="27"/>
  <c r="F3" i="20"/>
  <c r="F3" i="24" s="1"/>
  <c r="F4" i="21"/>
  <c r="F16" i="27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6"/>
  <c r="O29" i="10"/>
  <c r="N3" i="8"/>
  <c r="N19" i="15"/>
  <c r="N29" i="15"/>
  <c r="G3" i="22"/>
  <c r="G3" i="25" s="1"/>
  <c r="G3" i="28" s="1"/>
  <c r="G4" i="25"/>
  <c r="G4" i="28" s="1"/>
  <c r="L19" i="27"/>
  <c r="L19" i="21"/>
  <c r="P19" i="27"/>
  <c r="P19" i="21"/>
  <c r="M3" i="19"/>
  <c r="C3" i="22"/>
  <c r="C3" i="25" s="1"/>
  <c r="C3" i="28" s="1"/>
  <c r="C4" i="25"/>
  <c r="C4" i="28" s="1"/>
  <c r="D4" i="21"/>
  <c r="D3" i="20"/>
  <c r="D3" i="24" s="1"/>
  <c r="L4" i="27"/>
  <c r="L4" i="21"/>
  <c r="L3" i="20"/>
  <c r="L3" i="24" s="1"/>
  <c r="I4" i="25"/>
  <c r="I4" i="28" s="1"/>
  <c r="I3" i="22"/>
  <c r="I3" i="25" s="1"/>
  <c r="I3" i="28" s="1"/>
  <c r="H16" i="27"/>
  <c r="H16" i="21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D27" i="16"/>
  <c r="F31" i="16"/>
  <c r="C16" i="15"/>
  <c r="E16" i="21"/>
  <c r="N4" i="26"/>
  <c r="E19" i="10"/>
  <c r="J29" i="10"/>
  <c r="J29" i="16"/>
  <c r="O29" i="15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6"/>
  <c r="C16" i="10"/>
  <c r="C19" i="16"/>
  <c r="C19" i="10"/>
  <c r="C29" i="16"/>
  <c r="C29" i="10"/>
  <c r="B3" i="8"/>
  <c r="B19" i="15"/>
  <c r="B29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1"/>
  <c r="K29" i="21"/>
  <c r="K29" i="27"/>
  <c r="E4" i="26"/>
  <c r="E3" i="19"/>
  <c r="Q3" i="19"/>
  <c r="Q4" i="26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C7" i="16"/>
  <c r="G17" i="16"/>
  <c r="G18" i="16"/>
  <c r="C20" i="16"/>
  <c r="C21" i="16"/>
  <c r="C22" i="16"/>
  <c r="C23" i="16"/>
  <c r="C24" i="16"/>
  <c r="C25" i="16"/>
  <c r="C26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1"/>
  <c r="C4" i="14"/>
  <c r="C4" i="17" s="1"/>
  <c r="C3" i="11"/>
  <c r="C3" i="14" s="1"/>
  <c r="C3" i="17" s="1"/>
  <c r="G9" i="17"/>
  <c r="G20" i="17"/>
  <c r="C22" i="17"/>
  <c r="P4" i="15"/>
  <c r="P3" i="8"/>
  <c r="P3" i="12" s="1"/>
  <c r="P16" i="15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29" i="10"/>
  <c r="O19" i="15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J30" i="17"/>
  <c r="F31" i="17"/>
  <c r="F32" i="17"/>
  <c r="B17" i="16"/>
  <c r="N17" i="16"/>
  <c r="N18" i="16"/>
  <c r="F29" i="10"/>
  <c r="B32" i="16"/>
  <c r="M3" i="8"/>
  <c r="M3" i="12" s="1"/>
  <c r="M4" i="15"/>
  <c r="M14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22" i="15"/>
  <c r="C24" i="15"/>
  <c r="K25" i="15"/>
  <c r="C28" i="15"/>
  <c r="K28" i="15"/>
  <c r="G29" i="15"/>
  <c r="O7" i="16"/>
  <c r="B29" i="10"/>
  <c r="M23" i="15"/>
  <c r="M28" i="15"/>
  <c r="P4" i="16"/>
  <c r="C15" i="15"/>
  <c r="E9" i="16"/>
  <c r="C21" i="15"/>
  <c r="M32" i="15"/>
  <c r="M5" i="15"/>
  <c r="M9" i="15"/>
  <c r="M13" i="15"/>
  <c r="B154" i="6" l="1"/>
  <c r="B130" i="6"/>
  <c r="G3" i="13"/>
  <c r="Q3" i="13"/>
  <c r="Q3" i="12"/>
  <c r="D3" i="13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23" i="4"/>
  <c r="B11" i="4"/>
  <c r="B28" i="4"/>
  <c r="B20" i="4"/>
  <c r="B26" i="4"/>
  <c r="B4" i="4"/>
  <c r="B45" i="4"/>
  <c r="B35" i="4"/>
  <c r="B29" i="4"/>
  <c r="B36" i="4"/>
  <c r="B34" i="4"/>
  <c r="B37" i="4"/>
  <c r="B33" i="4"/>
  <c r="B17" i="4"/>
  <c r="B43" i="4"/>
  <c r="B21" i="4"/>
  <c r="B25" i="4"/>
  <c r="B27" i="4"/>
  <c r="B9" i="4"/>
  <c r="B42" i="4"/>
  <c r="B38" i="4"/>
  <c r="B22" i="4"/>
  <c r="B8" i="4"/>
  <c r="B16" i="4"/>
  <c r="B14" i="4"/>
  <c r="B13" i="4"/>
  <c r="B24" i="4"/>
  <c r="B7" i="4"/>
  <c r="B12" i="4"/>
  <c r="B39" i="4"/>
  <c r="B30" i="4"/>
  <c r="B44" i="4"/>
  <c r="B15" i="4"/>
  <c r="B10" i="4"/>
  <c r="B31" i="6" l="1"/>
</calcChain>
</file>

<file path=xl/sharedStrings.xml><?xml version="1.0" encoding="utf-8"?>
<sst xmlns="http://schemas.openxmlformats.org/spreadsheetml/2006/main" count="2101" uniqueCount="1057">
  <si>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</si>
  <si>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</si>
  <si>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</si>
  <si>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</si>
  <si>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</si>
  <si>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</si>
  <si>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</si>
  <si>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</si>
  <si>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</si>
  <si>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</si>
  <si>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</si>
  <si>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</si>
  <si>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</si>
  <si>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</si>
  <si>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</si>
  <si>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</si>
  <si>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</si>
  <si>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</si>
  <si>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</si>
  <si>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</si>
  <si>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</si>
  <si>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</si>
  <si>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</si>
  <si>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</si>
  <si>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</si>
  <si>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</si>
  <si>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</si>
  <si>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</si>
  <si>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</si>
  <si>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</si>
  <si>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</si>
  <si>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</si>
  <si>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</si>
  <si>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</si>
  <si>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</si>
  <si>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</si>
  <si>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</si>
  <si>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</si>
  <si>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</si>
  <si>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</si>
  <si>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</si>
  <si>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</si>
  <si>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</si>
  <si>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</si>
  <si>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</si>
  <si>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</si>
  <si>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</si>
  <si>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</si>
  <si>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</si>
  <si>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</si>
  <si>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</si>
  <si>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</si>
  <si>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</si>
  <si>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</si>
  <si>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</si>
  <si>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</si>
  <si>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</si>
  <si>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</si>
  <si>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</si>
  <si>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</si>
  <si>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</si>
  <si>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</si>
  <si>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</si>
  <si>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</si>
  <si>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</si>
  <si>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</si>
  <si>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</si>
  <si>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</si>
  <si>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</si>
  <si>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</si>
  <si>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</si>
  <si>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</si>
  <si>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</si>
  <si>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</si>
  <si>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</si>
  <si>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</si>
  <si>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</si>
  <si>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</si>
  <si>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</si>
  <si>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</si>
  <si>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</si>
  <si>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</si>
  <si>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</si>
  <si>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</si>
  <si>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</si>
  <si>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</si>
  <si>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</si>
  <si>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</si>
  <si>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</si>
  <si>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</si>
  <si>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</si>
  <si>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</si>
  <si>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</si>
  <si>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</si>
  <si>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</si>
  <si>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</si>
  <si>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</si>
  <si>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</si>
  <si>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</si>
  <si>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</si>
  <si>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</si>
  <si>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</si>
  <si>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</si>
  <si>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</si>
  <si>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</si>
  <si>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</si>
  <si>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</si>
  <si>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</si>
  <si>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</si>
  <si>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</si>
  <si>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</si>
  <si>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</si>
  <si>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</si>
  <si>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</si>
  <si>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</si>
  <si>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</si>
  <si>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</si>
  <si>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</si>
  <si>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</si>
  <si>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</si>
  <si>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</si>
  <si>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</si>
  <si>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</si>
  <si>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</si>
  <si>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</si>
  <si>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</si>
  <si>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</si>
  <si>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</si>
  <si>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</si>
  <si>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</si>
  <si>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</si>
  <si>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</si>
  <si>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</si>
  <si>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</si>
  <si>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</si>
  <si>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</si>
  <si>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</si>
  <si>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</si>
  <si>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</si>
  <si>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</si>
  <si>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</si>
  <si>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</si>
  <si>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</si>
  <si>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</si>
  <si>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</si>
  <si>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</si>
  <si>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</si>
  <si>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Mean heating degree-days over period 2000- 2020</t>
  </si>
  <si>
    <t>Value added per capita relative to EU</t>
  </si>
  <si>
    <t>Natural gas</t>
  </si>
  <si>
    <t>Code</t>
  </si>
  <si>
    <t>Ambient heat</t>
  </si>
  <si>
    <t>Solar and geothermal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</si>
  <si>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</si>
  <si>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</si>
  <si>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</si>
  <si>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</si>
  <si>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</si>
  <si>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</si>
  <si>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</si>
  <si>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</si>
  <si>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</si>
  <si>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</si>
  <si>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</si>
  <si>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</si>
  <si>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</si>
  <si>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</si>
  <si>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</si>
  <si>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</si>
  <si>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</si>
  <si>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</si>
  <si>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</si>
  <si>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</si>
  <si>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</si>
  <si>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</si>
  <si>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</si>
  <si>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JRC-IDEES-2023 - Integrated Database of the European Energy System</t>
  </si>
  <si>
    <t>v2023-1.00</t>
  </si>
  <si>
    <t>Gross domestic product (M€2023)</t>
  </si>
  <si>
    <t>Value added (M€2023)</t>
  </si>
  <si>
    <t>GDP per capita (€2023)</t>
  </si>
  <si>
    <t>Value added per employee (€2023)</t>
  </si>
  <si>
    <t>Value added per capita (€2023)</t>
  </si>
  <si>
    <t>Value added intensity (toe / M€2023)</t>
  </si>
  <si>
    <t>Data centers - final energy consumption (ktoe)</t>
  </si>
  <si>
    <t>FI</t>
  </si>
  <si>
    <t>Finland</t>
  </si>
  <si>
    <t>FI - Services sector summary</t>
  </si>
  <si>
    <t>Macro.number.FI.Population</t>
  </si>
  <si>
    <t>Macro.Meuro2015.FI.GDP</t>
  </si>
  <si>
    <t>Macro.Meuro2015.FI.VA</t>
  </si>
  <si>
    <t>Macro.number.FI.Employees</t>
  </si>
  <si>
    <t>NUM.number.FI.Ser.Bld</t>
  </si>
  <si>
    <t>SurfaceArea.ksqm.FI.Ser.Bld</t>
  </si>
  <si>
    <t>NUM.number.FI.Ser.BldNew</t>
  </si>
  <si>
    <t>SurfaceArea.ksqm.FI.Ser.BldNew</t>
  </si>
  <si>
    <t>HDD.Celsius.FI.Actual</t>
  </si>
  <si>
    <t>HDD.Celsius.FI.Mean</t>
  </si>
  <si>
    <t>HDD.ratio.FI.Relative</t>
  </si>
  <si>
    <t>FEC.ktoe.FI.ES.Ser</t>
  </si>
  <si>
    <t>FEC.ktoe.FI.ES.Ser.Solids</t>
  </si>
  <si>
    <t>FEC.ktoe.FI.ES.Ser.LPG</t>
  </si>
  <si>
    <t>FEC.ktoe.FI.ES.Ser.Oil</t>
  </si>
  <si>
    <t>FEC.ktoe.FI.ES.Ser.NG</t>
  </si>
  <si>
    <t>FEC.ktoe.FI.ES.Ser.Biomass_Waste</t>
  </si>
  <si>
    <t>FEC.ktoe.FI.ES.Ser.Biogas</t>
  </si>
  <si>
    <t>FEC.ktoe.FI.ES.Ser.LiqBio</t>
  </si>
  <si>
    <t>FEC.ktoe.FI.ES.Ser.Solar</t>
  </si>
  <si>
    <t>FEC.ktoe.FI.ES.Ser.Geo</t>
  </si>
  <si>
    <t>FEC.ktoe.FI.ES.Ser.Ambient</t>
  </si>
  <si>
    <t>FEC.ktoe.FI.ES.Ser.Steam_Distr</t>
  </si>
  <si>
    <t>FEC.ktoe.FI.ES.Ser.Elec</t>
  </si>
  <si>
    <t>FEC.ktoe.FI.Ser</t>
  </si>
  <si>
    <t>FEC.ktoe.FI.Ser.Bld.Thermal</t>
  </si>
  <si>
    <t>FEC.ktoe.FI.Ser.Bld.Thermal.SH</t>
  </si>
  <si>
    <t>FEC.ktoe.FI.Ser.Bld.Thermal.SC</t>
  </si>
  <si>
    <t>FEC.ktoe.FI.Ser.Bld.Thermal.HW</t>
  </si>
  <si>
    <t>FEC.ktoe.FI.Ser.Bld.Thermal.CA</t>
  </si>
  <si>
    <t>FEC.ktoe.FI.Ser.SEU</t>
  </si>
  <si>
    <t>EMI.ktCO2.FI.ES.Ser</t>
  </si>
  <si>
    <t>EMI.ktCO2.FI.ES.Ser.Solids</t>
  </si>
  <si>
    <t>EMI.ktCO2.FI.ES.Ser.LPG</t>
  </si>
  <si>
    <t>EMI.ktCO2.FI.ES.Ser.Oil</t>
  </si>
  <si>
    <t>EMI.ktCO2.FI.ES.Ser.NG</t>
  </si>
  <si>
    <t>EMI.ktCO2.FI.ES.Ser.Biomass_Waste</t>
  </si>
  <si>
    <t>EMI.ktCO2.FI.ES.Ser.Biogas</t>
  </si>
  <si>
    <t>EMI.ktCO2.FI.ES.Ser.LiqBio</t>
  </si>
  <si>
    <t>EMI.ktCO2.FI.ES.Ser.Solar</t>
  </si>
  <si>
    <t>EMI.ktCO2.FI.ES.Ser.Geo</t>
  </si>
  <si>
    <t>EMI.ktCO2.FI.ES.Ser.Ambient</t>
  </si>
  <si>
    <t>EMI.ktCO2.FI.ES.Ser.Steam_Distr</t>
  </si>
  <si>
    <t>EMI.ktCO2.FI.ES.Ser.Elec</t>
  </si>
  <si>
    <t>EMI.ktCO2.FI.Ser</t>
  </si>
  <si>
    <t>EMI.ktCO2.FI.Ser.Bld.Thermal</t>
  </si>
  <si>
    <t>EMI.ktCO2.FI.Ser.Bld.Thermal.SH</t>
  </si>
  <si>
    <t>EMI.ktCO2.FI.Ser.Bld.Thermal.SC</t>
  </si>
  <si>
    <t>EMI.ktCO2.FI.Ser.Bld.Thermal.HW</t>
  </si>
  <si>
    <t>EMI.ktCO2.FI.Ser.Bld.Thermal.CA</t>
  </si>
  <si>
    <t>EMI.ktCO2.FI.Ser.SEU</t>
  </si>
  <si>
    <t>Eff.ratio.FI.Ser.Bld.Thermal</t>
  </si>
  <si>
    <t>Eff.ratio.FI.Ser.Bld.Thermal.SH</t>
  </si>
  <si>
    <t>Eff.ratio.FI.Ser.Bld.Thermal.SC</t>
  </si>
  <si>
    <t>Eff.ratio.FI.Ser.Bld.Thermal.HW</t>
  </si>
  <si>
    <t>Eff.ratio.FI.Ser.Bld.Thermal.CA</t>
  </si>
  <si>
    <t>FI - Number of buildings</t>
  </si>
  <si>
    <t>NUM.number.FI.Ser.Bld.Thermal</t>
  </si>
  <si>
    <t>NUM.number.FI.Ser.Bld.Thermal.SH</t>
  </si>
  <si>
    <t>NUM.number.FI.Ser.Bld.Thermal.SH.Solids</t>
  </si>
  <si>
    <t>NUM.number.FI.Ser.Bld.Thermal.SH.LPG</t>
  </si>
  <si>
    <t>NUM.number.FI.Ser.Bld.Thermal.SH.Oil</t>
  </si>
  <si>
    <t>NUM.number.FI.Ser.Bld.Thermal.SH.GasHP</t>
  </si>
  <si>
    <t>NUM.number.FI.Ser.Bld.Thermal.SH.GasTH</t>
  </si>
  <si>
    <t>NUM.number.FI.Ser.Bld.Thermal.SH.Biomass</t>
  </si>
  <si>
    <t>NUM.number.FI.Ser.Bld.Thermal.SH.Geo</t>
  </si>
  <si>
    <t>NUM.number.FI.Ser.Bld.Thermal.SH.DistrHeat</t>
  </si>
  <si>
    <t>NUM.number.FI.Ser.Bld.Thermal.SH.AdvElc</t>
  </si>
  <si>
    <t>NUM.number.FI.Ser.Bld.Thermal.SH.ConvElc</t>
  </si>
  <si>
    <t>NUM.number.FI.Ser.Bld.Thermal.SC</t>
  </si>
  <si>
    <t>NUM.number.FI.Ser.Bld.Thermal.SC.GasHP</t>
  </si>
  <si>
    <t>NUM.number.FI.Ser.Bld.Thermal.SC.AC</t>
  </si>
  <si>
    <t>NUM.number.FI.Ser.Bld.Thermal.HW</t>
  </si>
  <si>
    <t>NUM.number.FI.Ser.Bld.Thermal.HW.Solids</t>
  </si>
  <si>
    <t>NUM.number.FI.Ser.Bld.Thermal.HW.LPG</t>
  </si>
  <si>
    <t>NUM.number.FI.Ser.Bld.Thermal.HW.Oil</t>
  </si>
  <si>
    <t>NUM.number.FI.Ser.Bld.Thermal.HW.Gas</t>
  </si>
  <si>
    <t>NUM.number.FI.Ser.Bld.Thermal.HW.Biomass</t>
  </si>
  <si>
    <t>NUM.number.FI.Ser.Bld.Thermal.HW.DistrHeat</t>
  </si>
  <si>
    <t>NUM.number.FI.Ser.Bld.Thermal.HW.Elc</t>
  </si>
  <si>
    <t>NUM.number.FI.Ser.Bld.Thermal.HW.Solar</t>
  </si>
  <si>
    <t>NUM.number.FI.Ser.Bld.Thermal.CA</t>
  </si>
  <si>
    <t>NUM.number.FI.Ser.Bld.Thermal.CA.LPG</t>
  </si>
  <si>
    <t>NUM.number.FI.Ser.Bld.Thermal.CA.Gas</t>
  </si>
  <si>
    <t>NUM.number.FI.Ser.Bld.Thermal.CA.Biomass</t>
  </si>
  <si>
    <t>NUM.number.FI.Ser.Bld.Thermal.CA.Elc</t>
  </si>
  <si>
    <t>FI - Final energy consumption</t>
  </si>
  <si>
    <t>FEC.ktoe.FI.Ser.Bld.Thermal.SH.Solids.Solids</t>
  </si>
  <si>
    <t>FEC.ktoe.FI.Ser.Bld.Thermal.SH.LPG.LPG</t>
  </si>
  <si>
    <t>FEC.ktoe.FI.Ser.Bld.Thermal.SH.Oil.Oil_LiqBio</t>
  </si>
  <si>
    <t>FEC.ktoe.FI.Ser.Bld.Thermal.SH.GasHP.NG_Biogas</t>
  </si>
  <si>
    <t>FEC.ktoe.FI.Ser.Bld.Thermal.SH.GasTH.NG_Biogas</t>
  </si>
  <si>
    <t>FEC.ktoe.FI.Ser.Bld.Thermal.SH.Biomass.Biomass_Waste</t>
  </si>
  <si>
    <t>FEC.ktoe.FI.Ser.Bld.Thermal.SH.Geo.Geo</t>
  </si>
  <si>
    <t>FEC.ktoe.FI.Ser.Bld.Thermal.SH.DistrHeat.Steam_Distr</t>
  </si>
  <si>
    <t>FEC.ktoe.FI.Ser.Bld.Thermal.SH.AdvElc.Elec</t>
  </si>
  <si>
    <t>FEC.ktoe.FI.Ser.Bld.Thermal.SH.ConvElc.Elec</t>
  </si>
  <si>
    <t>FEC.ktoe.FI.Ser.Bld.Thermal.SH.TotalCirculation.Elec</t>
  </si>
  <si>
    <t>FEC.ktoe.FI.Ser.Bld.Thermal.SC.GasHP.NG_Biogas</t>
  </si>
  <si>
    <t>FEC.ktoe.FI.Ser.Bld.Thermal.SC.AC.Elec</t>
  </si>
  <si>
    <t>FEC.ktoe.FI.Ser.Bld.Thermal.HW.Solids.Solids</t>
  </si>
  <si>
    <t>FEC.ktoe.FI.Ser.Bld.Thermal.HW.LPG.LPG</t>
  </si>
  <si>
    <t>FEC.ktoe.FI.Ser.Bld.Thermal.HW.Oil.Oil_LiqBio</t>
  </si>
  <si>
    <t>FEC.ktoe.FI.Ser.Bld.Thermal.HW.Gas.NG_Biogas</t>
  </si>
  <si>
    <t>FEC.ktoe.FI.Ser.Bld.Thermal.HW.Biomass.Biomass_Waste</t>
  </si>
  <si>
    <t>FEC.ktoe.FI.Ser.Bld.Thermal.HW.DistrHeat.Steam_Distr</t>
  </si>
  <si>
    <t>FEC.ktoe.FI.Ser.Bld.Thermal.HW.Elc.Elec</t>
  </si>
  <si>
    <t>FEC.ktoe.FI.Ser.Bld.Thermal.HW.TotalSolar.Solar</t>
  </si>
  <si>
    <t>FEC.ktoe.FI.Ser.Bld.Thermal.CA.LPG</t>
  </si>
  <si>
    <t>FEC.ktoe.FI.Ser.Bld.Thermal.CA.Gas.NG_Biogas</t>
  </si>
  <si>
    <t>FEC.ktoe.FI.Ser.Bld.Thermal.CA.Biomass.Biomass_Waste</t>
  </si>
  <si>
    <t>FEC.ktoe.FI.Ser.Bld.Thermal.CA.Elc.Elec</t>
  </si>
  <si>
    <t>FI - Thermal energy service</t>
  </si>
  <si>
    <t>TES.ktoe.FI.Ser.Bld.Thermal</t>
  </si>
  <si>
    <t>TES.ktoe.FI.Ser.Bld.Thermal.SH</t>
  </si>
  <si>
    <t>TES.ktoe.FI.Ser.Bld.Thermal.SH.Solids.Solids</t>
  </si>
  <si>
    <t>TES.ktoe.FI.Ser.Bld.Thermal.SH.LPG.LPG</t>
  </si>
  <si>
    <t>TES.ktoe.FI.Ser.Bld.Thermal.SH.Oil.Oil_LiqBio</t>
  </si>
  <si>
    <t>TES.ktoe.FI.Ser.Bld.Thermal.SH.GasHP.NG_Biogas</t>
  </si>
  <si>
    <t>TES.ktoe.FI.Ser.Bld.Thermal.SH.GasTH.NG_Biogas</t>
  </si>
  <si>
    <t>TES.ktoe.FI.Ser.Bld.Thermal.SH.Biomass.Biomass_Waste</t>
  </si>
  <si>
    <t>TES.ktoe.FI.Ser.Bld.Thermal.SH.Geo.Geo</t>
  </si>
  <si>
    <t>TES.ktoe.FI.Ser.Bld.Thermal.SH.DistrHeat.Steam_Distr</t>
  </si>
  <si>
    <t>TES.ktoe.FI.Ser.Bld.Thermal.SH.AdvElc.Elec</t>
  </si>
  <si>
    <t>TES.ktoe.FI.Ser.Bld.Thermal.SH.ConvElc.Elec</t>
  </si>
  <si>
    <t>TES.ktoe.FI.Ser.Bld.Thermal.SH.TotalCirculation.Elec</t>
  </si>
  <si>
    <t>TES.ktoe.FI.Ser.Bld.Thermal.SC</t>
  </si>
  <si>
    <t>TES.ktoe.FI.Ser.Bld.Thermal.SC.GasHP.NG_Biogas</t>
  </si>
  <si>
    <t>TES.ktoe.FI.Ser.Bld.Thermal.SC.AC.Elec</t>
  </si>
  <si>
    <t>TES.ktoe.FI.Ser.Bld.Thermal.HW</t>
  </si>
  <si>
    <t>TES.ktoe.FI.Ser.Bld.Thermal.HW.Solids.Solids</t>
  </si>
  <si>
    <t>TES.ktoe.FI.Ser.Bld.Thermal.HW.LPG.LPG</t>
  </si>
  <si>
    <t>TES.ktoe.FI.Ser.Bld.Thermal.HW.Oil.Oil_LiqBio</t>
  </si>
  <si>
    <t>TES.ktoe.FI.Ser.Bld.Thermal.HW.Gas.NG_Biogas</t>
  </si>
  <si>
    <t>TES.ktoe.FI.Ser.Bld.Thermal.HW.Biomass.Biomass_Waste</t>
  </si>
  <si>
    <t>TES.ktoe.FI.Ser.Bld.Thermal.HW.DistrHeat.Steam_Distr</t>
  </si>
  <si>
    <t>TES.ktoe.FI.Ser.Bld.Thermal.HW.Elc.Elec</t>
  </si>
  <si>
    <t>TES.ktoe.FI.Ser.Bld.Thermal.HW.TotalSolar.Solar</t>
  </si>
  <si>
    <t>TES.ktoe.FI.Ser.Bld.Thermal.CA</t>
  </si>
  <si>
    <t>TES.ktoe.FI.Ser.Bld.Thermal.CA.LPG</t>
  </si>
  <si>
    <t>TES.ktoe.FI.Ser.Bld.Thermal.CA.Gas.NG_Biogas</t>
  </si>
  <si>
    <t>TES.ktoe.FI.Ser.Bld.Thermal.CA.Biomass.Biomass_Waste</t>
  </si>
  <si>
    <t>TES.ktoe.FI.Ser.Bld.Thermal.CA.Elc.Elec</t>
  </si>
  <si>
    <t>FI - System efficiency indicator of total stock</t>
  </si>
  <si>
    <t>Eff.ratio.FI.Ser.Bld.Thermal.SH.Solids.Solids</t>
  </si>
  <si>
    <t>Eff.ratio.FI.Ser.Bld.Thermal.SH.LPG.LPG</t>
  </si>
  <si>
    <t>Eff.ratio.FI.Ser.Bld.Thermal.SH.Oil.Oil_LiqBio</t>
  </si>
  <si>
    <t>Eff.ratio.FI.Ser.Bld.Thermal.SH.GasHP.NG_Biogas</t>
  </si>
  <si>
    <t>Eff.ratio.FI.Ser.Bld.Thermal.SH.GasTH.NG_Biogas</t>
  </si>
  <si>
    <t>Eff.ratio.FI.Ser.Bld.Thermal.SH.Biomass.Biomass_Waste</t>
  </si>
  <si>
    <t>Eff.ratio.FI.Ser.Bld.Thermal.SH.Geo.Geo</t>
  </si>
  <si>
    <t>Eff.ratio.FI.Ser.Bld.Thermal.SH.DistrHeat.Steam_Distr</t>
  </si>
  <si>
    <t>Eff.ratio.FI.Ser.Bld.Thermal.SH.AdvElc.Elec</t>
  </si>
  <si>
    <t>Eff.ratio.FI.Ser.Bld.Thermal.SH.ConvElc.Elec</t>
  </si>
  <si>
    <t>Eff.ratio.FI.Ser.Bld.Thermal.SH.TotalCirculation.Elec</t>
  </si>
  <si>
    <t>Eff.ratio.FI.Ser.Bld.Thermal.SC.GasHP.NG_Biogas</t>
  </si>
  <si>
    <t>Eff.ratio.FI.Ser.Bld.Thermal.SC.AC.Elec</t>
  </si>
  <si>
    <t>Eff.ratio.FI.Ser.Bld.Thermal.HW.Solids.Solids</t>
  </si>
  <si>
    <t>Eff.ratio.FI.Ser.Bld.Thermal.HW.LPG.LPG</t>
  </si>
  <si>
    <t>Eff.ratio.FI.Ser.Bld.Thermal.HW.Oil.Oil_LiqBio</t>
  </si>
  <si>
    <t>Eff.ratio.FI.Ser.Bld.Thermal.HW.Gas.NG_Biogas</t>
  </si>
  <si>
    <t>Eff.ratio.FI.Ser.Bld.Thermal.HW.Biomass.Biomass_Waste</t>
  </si>
  <si>
    <t>Eff.ratio.FI.Ser.Bld.Thermal.HW.DistrHeat.Steam_Distr</t>
  </si>
  <si>
    <t>Eff.ratio.FI.Ser.Bld.Thermal.HW.Elc.Elec</t>
  </si>
  <si>
    <t>Eff.ratio.FI.Ser.Bld.Thermal.HW.TotalSolar.Solar</t>
  </si>
  <si>
    <t>Eff.ratio.FI.Ser.Bld.Thermal.CA.LPG</t>
  </si>
  <si>
    <t>Eff.ratio.FI.Ser.Bld.Thermal.CA.Gas.NG_Biogas</t>
  </si>
  <si>
    <t>Eff.ratio.FI.Ser.Bld.Thermal.CA.Biomass.Biomass_Waste</t>
  </si>
  <si>
    <t>Eff.ratio.FI.Ser.Bld.Thermal.CA.Elc.Elec</t>
  </si>
  <si>
    <t>FI - CO2 emissions</t>
  </si>
  <si>
    <t>EMI.ktCO2.FI.Ser.Bld.Thermal.SH.Solids.Solids</t>
  </si>
  <si>
    <t>EMI.ktCO2.FI.Ser.Bld.Thermal.SH.LPG.LPG</t>
  </si>
  <si>
    <t>EMI.ktCO2.FI.Ser.Bld.Thermal.SH.Oil.Oil_LiqBio</t>
  </si>
  <si>
    <t>EMI.ktCO2.FI.Ser.Bld.Thermal.SH.GasHP.NG_Biogas</t>
  </si>
  <si>
    <t>EMI.ktCO2.FI.Ser.Bld.Thermal.SH.GasTH.NG_Biogas</t>
  </si>
  <si>
    <t>EMI.ktCO2.FI.Ser.Bld.Thermal.SH.Biomass.Biomass_Waste</t>
  </si>
  <si>
    <t>EMI.ktCO2.FI.Ser.Bld.Thermal.SH.Geo.Geo</t>
  </si>
  <si>
    <t>EMI.ktCO2.FI.Ser.Bld.Thermal.SH.DistrHeat.Steam_Distr</t>
  </si>
  <si>
    <t>EMI.ktCO2.FI.Ser.Bld.Thermal.SH.AdvElc.Elec</t>
  </si>
  <si>
    <t>EMI.ktCO2.FI.Ser.Bld.Thermal.SH.ConvElc.Elec</t>
  </si>
  <si>
    <t>EMI.ktCO2.FI.Ser.Bld.Thermal.SH.TotalCirculation.Elec</t>
  </si>
  <si>
    <t>EMI.ktCO2.FI.Ser.Bld.Thermal.SC.GasHP.NG_Biogas</t>
  </si>
  <si>
    <t>EMI.ktCO2.FI.Ser.Bld.Thermal.SC.AC.Elec</t>
  </si>
  <si>
    <t>EMI.ktCO2.FI.Ser.Bld.Thermal.HW.Solids.Solids</t>
  </si>
  <si>
    <t>EMI.ktCO2.FI.Ser.Bld.Thermal.HW.LPG.LPG</t>
  </si>
  <si>
    <t>EMI.ktCO2.FI.Ser.Bld.Thermal.HW.Oil.Oil_LiqBio</t>
  </si>
  <si>
    <t>EMI.ktCO2.FI.Ser.Bld.Thermal.HW.Gas.NG_Biogas</t>
  </si>
  <si>
    <t>EMI.ktCO2.FI.Ser.Bld.Thermal.HW.Biomass.Biomass_Waste</t>
  </si>
  <si>
    <t>EMI.ktCO2.FI.Ser.Bld.Thermal.HW.DistrHeat.Steam_Distr</t>
  </si>
  <si>
    <t>EMI.ktCO2.FI.Ser.Bld.Thermal.HW.Elc.Elec</t>
  </si>
  <si>
    <t>EMI.ktCO2.FI.Ser.Bld.Thermal.HW.TotalSolar.Solar</t>
  </si>
  <si>
    <t>EMI.ktCO2.FI.Ser.Bld.Thermal.CA.LPG</t>
  </si>
  <si>
    <t>EMI.ktCO2.FI.Ser.Bld.Thermal.CA.Gas.NG_Biogas</t>
  </si>
  <si>
    <t>EMI.ktCO2.FI.Ser.Bld.Thermal.CA.Biomass.Biomass_Waste</t>
  </si>
  <si>
    <t>EMI.ktCO2.FI.Ser.Bld.Thermal.CA.Elc.Elec</t>
  </si>
  <si>
    <t>FI - Final energy consumption per building</t>
  </si>
  <si>
    <t>FEC_per_building.kWh.FI.Ser.Bld.Thermal</t>
  </si>
  <si>
    <t>FEC_per_building.kWh.FI.Ser.Bld.Thermal.SH</t>
  </si>
  <si>
    <t>FEC_per_building.kWh.FI.Ser.Bld.Thermal.SH.Solids.Solids</t>
  </si>
  <si>
    <t>FEC_per_building.kWh.FI.Ser.Bld.Thermal.SH.LPG.LPG</t>
  </si>
  <si>
    <t>FEC_per_building.kWh.FI.Ser.Bld.Thermal.SH.Oil.Oil_LiqBio</t>
  </si>
  <si>
    <t>FEC_per_building.kWh.FI.Ser.Bld.Thermal.SH.GasHP.NG_Biogas</t>
  </si>
  <si>
    <t>FEC_per_building.kWh.FI.Ser.Bld.Thermal.SH.GasTH.NG_Biogas</t>
  </si>
  <si>
    <t>FEC_per_building.kWh.FI.Ser.Bld.Thermal.SH.Biomass.Biomass_Waste</t>
  </si>
  <si>
    <t>FEC_per_building.kWh.FI.Ser.Bld.Thermal.SH.Geo.Geo</t>
  </si>
  <si>
    <t>FEC_per_building.kWh.FI.Ser.Bld.Thermal.SH.DistrHeat.Steam_Distr</t>
  </si>
  <si>
    <t>FEC_per_building.kWh.FI.Ser.Bld.Thermal.SH.AdvElc.Elec</t>
  </si>
  <si>
    <t>FEC_per_building.kWh.FI.Ser.Bld.Thermal.SH.ConvElc.Elec</t>
  </si>
  <si>
    <t>FEC_per_building.kWh.FI.Ser.Bld.Thermal.SH.TotalCirculation.Elec</t>
  </si>
  <si>
    <t>FEC_per_building.kWh.FI.Ser.Bld.Thermal.SC</t>
  </si>
  <si>
    <t>FEC_per_building.kWh.FI.Ser.Bld.Thermal.SC.GasHP.NG_Biogas</t>
  </si>
  <si>
    <t>FEC_per_building.kWh.FI.Ser.Bld.Thermal.SC.AC.Elec</t>
  </si>
  <si>
    <t>FEC_per_building.kWh.FI.Ser.Bld.Thermal.HW</t>
  </si>
  <si>
    <t>FEC_per_building.kWh.FI.Ser.Bld.Thermal.HW.Solids.Solids</t>
  </si>
  <si>
    <t>FEC_per_building.kWh.FI.Ser.Bld.Thermal.HW.LPG.LPG</t>
  </si>
  <si>
    <t>FEC_per_building.kWh.FI.Ser.Bld.Thermal.HW.Oil.Oil_LiqBio</t>
  </si>
  <si>
    <t>FEC_per_building.kWh.FI.Ser.Bld.Thermal.HW.Gas.NG_Biogas</t>
  </si>
  <si>
    <t>FEC_per_building.kWh.FI.Ser.Bld.Thermal.HW.Biomass.Biomass_Waste</t>
  </si>
  <si>
    <t>FEC_per_building.kWh.FI.Ser.Bld.Thermal.HW.DistrHeat.Steam_Distr</t>
  </si>
  <si>
    <t>FEC_per_building.kWh.FI.Ser.Bld.Thermal.HW.Elc.Elec</t>
  </si>
  <si>
    <t>FEC_per_building.kWh.FI.Ser.Bld.Thermal.HW.TotalSolar.Solar</t>
  </si>
  <si>
    <t>FEC_per_building.kWh.FI.Ser.Bld.Thermal.CA</t>
  </si>
  <si>
    <t>FEC_per_building.kWh.FI.Ser.Bld.Thermal.CA.LPG</t>
  </si>
  <si>
    <t>FEC_per_building.kWh.FI.Ser.Bld.Thermal.CA.Gas.NG_Biogas</t>
  </si>
  <si>
    <t>FEC_per_building.kWh.FI.Ser.Bld.Thermal.CA.Biomass.Biomass_Waste</t>
  </si>
  <si>
    <t>FEC_per_building.kWh.FI.Ser.Bld.Thermal.CA.Elc.Elec</t>
  </si>
  <si>
    <t>FI - Thermal energy service per building</t>
  </si>
  <si>
    <t>TES_per_building.kWh.FI.Ser.Bld.Thermal</t>
  </si>
  <si>
    <t>TES_per_building.kWh.FI.Ser.Bld.Thermal.SH</t>
  </si>
  <si>
    <t>TES_per_building.kWh.FI.Ser.Bld.Thermal.SH.Solids.Solids</t>
  </si>
  <si>
    <t>TES_per_building.kWh.FI.Ser.Bld.Thermal.SH.LPG.LPG</t>
  </si>
  <si>
    <t>TES_per_building.kWh.FI.Ser.Bld.Thermal.SH.Oil.Oil_LiqBio</t>
  </si>
  <si>
    <t>TES_per_building.kWh.FI.Ser.Bld.Thermal.SH.GasHP.NG_Biogas</t>
  </si>
  <si>
    <t>TES_per_building.kWh.FI.Ser.Bld.Thermal.SH.GasTH.NG_Biogas</t>
  </si>
  <si>
    <t>TES_per_building.kWh.FI.Ser.Bld.Thermal.SH.Biomass.Biomass_Waste</t>
  </si>
  <si>
    <t>TES_per_building.kWh.FI.Ser.Bld.Thermal.SH.Geo.Geo</t>
  </si>
  <si>
    <t>TES_per_building.kWh.FI.Ser.Bld.Thermal.SH.DistrHeat.Steam_Distr</t>
  </si>
  <si>
    <t>TES_per_building.kWh.FI.Ser.Bld.Thermal.SH.AdvElc.Elec</t>
  </si>
  <si>
    <t>TES_per_building.kWh.FI.Ser.Bld.Thermal.SH.ConvElc.Elec</t>
  </si>
  <si>
    <t>TES_per_building.kWh.FI.Ser.Bld.Thermal.SH.TotalCirculation.Elec</t>
  </si>
  <si>
    <t>TES_per_building.kWh.FI.Ser.Bld.Thermal.SC</t>
  </si>
  <si>
    <t>TES_per_building.kWh.FI.Ser.Bld.Thermal.SC.GasHP.NG_Biogas</t>
  </si>
  <si>
    <t>TES_per_building.kWh.FI.Ser.Bld.Thermal.SC.AC.Elec</t>
  </si>
  <si>
    <t>TES_per_building.kWh.FI.Ser.Bld.Thermal.HW</t>
  </si>
  <si>
    <t>TES_per_building.kWh.FI.Ser.Bld.Thermal.HW.Solids.Solids</t>
  </si>
  <si>
    <t>TES_per_building.kWh.FI.Ser.Bld.Thermal.HW.LPG.LPG</t>
  </si>
  <si>
    <t>TES_per_building.kWh.FI.Ser.Bld.Thermal.HW.Oil.Oil_LiqBio</t>
  </si>
  <si>
    <t>TES_per_building.kWh.FI.Ser.Bld.Thermal.HW.Gas.NG_Biogas</t>
  </si>
  <si>
    <t>TES_per_building.kWh.FI.Ser.Bld.Thermal.HW.Biomass.Biomass_Waste</t>
  </si>
  <si>
    <t>TES_per_building.kWh.FI.Ser.Bld.Thermal.HW.DistrHeat.Steam_Distr</t>
  </si>
  <si>
    <t>TES_per_building.kWh.FI.Ser.Bld.Thermal.HW.Elc.Elec</t>
  </si>
  <si>
    <t>TES_per_building.kWh.FI.Ser.Bld.Thermal.HW.TotalSolar.Solar</t>
  </si>
  <si>
    <t>TES_per_building.kWh.FI.Ser.Bld.Thermal.CA</t>
  </si>
  <si>
    <t>TES_per_building.kWh.FI.Ser.Bld.Thermal.CA.LPG</t>
  </si>
  <si>
    <t>TES_per_building.kWh.FI.Ser.Bld.Thermal.CA.Gas.NG_Biogas</t>
  </si>
  <si>
    <t>TES_per_building.kWh.FI.Ser.Bld.Thermal.CA.Biomass.Biomass_Waste</t>
  </si>
  <si>
    <t>TES_per_building.kWh.FI.Ser.Bld.Thermal.CA.Elc.Elec</t>
  </si>
  <si>
    <t>FI - CO2 emissions per building</t>
  </si>
  <si>
    <t>EMI_per_building.kgCO2.FI.Ser.Bld.Thermal</t>
  </si>
  <si>
    <t>EMI_per_building.kgCO2.FI.Ser.Bld.Thermal.SH</t>
  </si>
  <si>
    <t>EMI_per_building.kgCO2.FI.Ser.Bld.Thermal.SH.Solids.Solids</t>
  </si>
  <si>
    <t>EMI_per_building.kgCO2.FI.Ser.Bld.Thermal.SH.LPG.LPG</t>
  </si>
  <si>
    <t>EMI_per_building.kgCO2.FI.Ser.Bld.Thermal.SH.Oil.Oil_LiqBio</t>
  </si>
  <si>
    <t>EMI_per_building.kgCO2.FI.Ser.Bld.Thermal.SH.GasHP.NG_Biogas</t>
  </si>
  <si>
    <t>EMI_per_building.kgCO2.FI.Ser.Bld.Thermal.SH.GasTH.NG_Biogas</t>
  </si>
  <si>
    <t>EMI_per_building.kgCO2.FI.Ser.Bld.Thermal.SH.Biomass.Biomass_Waste</t>
  </si>
  <si>
    <t>EMI_per_building.kgCO2.FI.Ser.Bld.Thermal.SH.Geo.Geo</t>
  </si>
  <si>
    <t>EMI_per_building.kgCO2.FI.Ser.Bld.Thermal.SH.DistrHeat.Steam_Distr</t>
  </si>
  <si>
    <t>EMI_per_building.kgCO2.FI.Ser.Bld.Thermal.SH.AdvElc.Elec</t>
  </si>
  <si>
    <t>EMI_per_building.kgCO2.FI.Ser.Bld.Thermal.SH.ConvElc.Elec</t>
  </si>
  <si>
    <t>EMI_per_building.kgCO2.FI.Ser.Bld.Thermal.SH.TotalCirculation.Elec</t>
  </si>
  <si>
    <t>EMI_per_building.kgCO2.FI.Ser.Bld.Thermal.SC</t>
  </si>
  <si>
    <t>EMI_per_building.kgCO2.FI.Ser.Bld.Thermal.SC.GasHP.NG_Biogas</t>
  </si>
  <si>
    <t>EMI_per_building.kgCO2.FI.Ser.Bld.Thermal.SC.AC.Elec</t>
  </si>
  <si>
    <t>EMI_per_building.kgCO2.FI.Ser.Bld.Thermal.HW</t>
  </si>
  <si>
    <t>EMI_per_building.kgCO2.FI.Ser.Bld.Thermal.HW.Solids.Solids</t>
  </si>
  <si>
    <t>EMI_per_building.kgCO2.FI.Ser.Bld.Thermal.HW.LPG.LPG</t>
  </si>
  <si>
    <t>EMI_per_building.kgCO2.FI.Ser.Bld.Thermal.HW.Oil.Oil_LiqBio</t>
  </si>
  <si>
    <t>EMI_per_building.kgCO2.FI.Ser.Bld.Thermal.HW.Gas.NG_Biogas</t>
  </si>
  <si>
    <t>EMI_per_building.kgCO2.FI.Ser.Bld.Thermal.HW.Biomass.Biomass_Waste</t>
  </si>
  <si>
    <t>EMI_per_building.kgCO2.FI.Ser.Bld.Thermal.HW.DistrHeat.Steam_Distr</t>
  </si>
  <si>
    <t>EMI_per_building.kgCO2.FI.Ser.Bld.Thermal.HW.Elc.Elec</t>
  </si>
  <si>
    <t>EMI_per_building.kgCO2.FI.Ser.Bld.Thermal.HW.TotalSolar.Solar</t>
  </si>
  <si>
    <t>EMI_per_building.kgCO2.FI.Ser.Bld.Thermal.CA</t>
  </si>
  <si>
    <t>EMI_per_building.kgCO2.FI.Ser.Bld.Thermal.CA.LPG</t>
  </si>
  <si>
    <t>EMI_per_building.kgCO2.FI.Ser.Bld.Thermal.CA.Gas.NG_Biogas</t>
  </si>
  <si>
    <t>EMI_per_building.kgCO2.FI.Ser.Bld.Thermal.CA.Biomass.Biomass_Waste</t>
  </si>
  <si>
    <t>EMI_per_building.kgCO2.FI.Ser.Bld.Thermal.CA.Elc.Elec</t>
  </si>
  <si>
    <t>FI - Final energy consumption per useful surface area</t>
  </si>
  <si>
    <t>FEC_per_sqm.kWh.FI.Ser.Bld.Thermal</t>
  </si>
  <si>
    <t>FEC_per_sqm.kWh.FI.Ser.Bld.Thermal.SH</t>
  </si>
  <si>
    <t>FEC_per_sqm.kWh.FI.Ser.Bld.Thermal.SH.Solids.Solids</t>
  </si>
  <si>
    <t>FEC_per_sqm.kWh.FI.Ser.Bld.Thermal.SH.LPG.LPG</t>
  </si>
  <si>
    <t>FEC_per_sqm.kWh.FI.Ser.Bld.Thermal.SH.Oil.Oil_LiqBio</t>
  </si>
  <si>
    <t>FEC_per_sqm.kWh.FI.Ser.Bld.Thermal.SH.GasHP.NG_Biogas</t>
  </si>
  <si>
    <t>FEC_per_sqm.kWh.FI.Ser.Bld.Thermal.SH.GasTH.NG_Biogas</t>
  </si>
  <si>
    <t>FEC_per_sqm.kWh.FI.Ser.Bld.Thermal.SH.Biomass.Biomass_Waste</t>
  </si>
  <si>
    <t>FEC_per_sqm.kWh.FI.Ser.Bld.Thermal.SH.Geo.Geo</t>
  </si>
  <si>
    <t>FEC_per_sqm.kWh.FI.Ser.Bld.Thermal.SH.DistrHeat.Steam_Distr</t>
  </si>
  <si>
    <t>FEC_per_sqm.kWh.FI.Ser.Bld.Thermal.SH.AdvElc.Elec</t>
  </si>
  <si>
    <t>FEC_per_sqm.kWh.FI.Ser.Bld.Thermal.SH.ConvElc.Elec</t>
  </si>
  <si>
    <t>FEC_per_sqm.kWh.FI.Ser.Bld.Thermal.SH.TotalCirculation.Elec</t>
  </si>
  <si>
    <t>FEC_per_sqm.kWh.FI.Ser.Bld.Thermal.SC</t>
  </si>
  <si>
    <t>FEC_per_sqm.kWh.FI.Ser.Bld.Thermal.SC.GasHP.NG_Biogas</t>
  </si>
  <si>
    <t>FEC_per_sqm.kWh.FI.Ser.Bld.Thermal.SC.AC.Elec</t>
  </si>
  <si>
    <t>FEC_per_sqm.kWh.FI.Ser.Bld.Thermal.HW</t>
  </si>
  <si>
    <t>FEC_per_sqm.kWh.FI.Ser.Bld.Thermal.HW.Solids.Solids</t>
  </si>
  <si>
    <t>FEC_per_sqm.kWh.FI.Ser.Bld.Thermal.HW.LPG.LPG</t>
  </si>
  <si>
    <t>FEC_per_sqm.kWh.FI.Ser.Bld.Thermal.HW.Oil.Oil_LiqBio</t>
  </si>
  <si>
    <t>FEC_per_sqm.kWh.FI.Ser.Bld.Thermal.HW.Gas.NG_Biogas</t>
  </si>
  <si>
    <t>FEC_per_sqm.kWh.FI.Ser.Bld.Thermal.HW.Biomass.Biomass_Waste</t>
  </si>
  <si>
    <t>FEC_per_sqm.kWh.FI.Ser.Bld.Thermal.HW.DistrHeat.Steam_Distr</t>
  </si>
  <si>
    <t>FEC_per_sqm.kWh.FI.Ser.Bld.Thermal.HW.Elc.Elec</t>
  </si>
  <si>
    <t>FEC_per_sqm.kWh.FI.Ser.Bld.Thermal.HW.TotalSolar.Solar</t>
  </si>
  <si>
    <t>FEC_per_sqm.kWh.FI.Ser.Bld.Thermal.CA</t>
  </si>
  <si>
    <t>FEC_per_sqm.kWh.FI.Ser.Bld.Thermal.CA.LPG</t>
  </si>
  <si>
    <t>FEC_per_sqm.kWh.FI.Ser.Bld.Thermal.CA.Gas.NG_Biogas</t>
  </si>
  <si>
    <t>FEC_per_sqm.kWh.FI.Ser.Bld.Thermal.CA.Biomass.Biomass_Waste</t>
  </si>
  <si>
    <t>FEC_per_sqm.kWh.FI.Ser.Bld.Thermal.CA.Elc.Elec</t>
  </si>
  <si>
    <t>FI - Thermal energy service per useful surface area</t>
  </si>
  <si>
    <t>TES_per_sqm.kWh.FI.Ser.Bld.Thermal</t>
  </si>
  <si>
    <t>TES_per_sqm.kWh.FI.Ser.Bld.Thermal.SH</t>
  </si>
  <si>
    <t>TES_per_sqm.kWh.FI.Ser.Bld.Thermal.SH.Solids.Solids</t>
  </si>
  <si>
    <t>TES_per_sqm.kWh.FI.Ser.Bld.Thermal.SH.LPG.LPG</t>
  </si>
  <si>
    <t>TES_per_sqm.kWh.FI.Ser.Bld.Thermal.SH.Oil.Oil_LiqBio</t>
  </si>
  <si>
    <t>TES_per_sqm.kWh.FI.Ser.Bld.Thermal.SH.GasHP.NG_Biogas</t>
  </si>
  <si>
    <t>TES_per_sqm.kWh.FI.Ser.Bld.Thermal.SH.GasTH.NG_Biogas</t>
  </si>
  <si>
    <t>TES_per_sqm.kWh.FI.Ser.Bld.Thermal.SH.Biomass.Biomass_Waste</t>
  </si>
  <si>
    <t>TES_per_sqm.kWh.FI.Ser.Bld.Thermal.SH.Geo.Geo</t>
  </si>
  <si>
    <t>TES_per_sqm.kWh.FI.Ser.Bld.Thermal.SH.DistrHeat.Steam_Distr</t>
  </si>
  <si>
    <t>TES_per_sqm.kWh.FI.Ser.Bld.Thermal.SH.AdvElc.Elec</t>
  </si>
  <si>
    <t>TES_per_sqm.kWh.FI.Ser.Bld.Thermal.SH.ConvElc.Elec</t>
  </si>
  <si>
    <t>TES_per_sqm.kWh.FI.Ser.Bld.Thermal.SH.TotalCirculation.Elec</t>
  </si>
  <si>
    <t>TES_per_sqm.kWh.FI.Ser.Bld.Thermal.SC</t>
  </si>
  <si>
    <t>TES_per_sqm.kWh.FI.Ser.Bld.Thermal.SC.GasHP.NG_Biogas</t>
  </si>
  <si>
    <t>TES_per_sqm.kWh.FI.Ser.Bld.Thermal.SC.AC.Elec</t>
  </si>
  <si>
    <t>TES_per_sqm.kWh.FI.Ser.Bld.Thermal.HW</t>
  </si>
  <si>
    <t>TES_per_sqm.kWh.FI.Ser.Bld.Thermal.HW.Solids.Solids</t>
  </si>
  <si>
    <t>TES_per_sqm.kWh.FI.Ser.Bld.Thermal.HW.LPG.LPG</t>
  </si>
  <si>
    <t>TES_per_sqm.kWh.FI.Ser.Bld.Thermal.HW.Oil.Oil_LiqBio</t>
  </si>
  <si>
    <t>TES_per_sqm.kWh.FI.Ser.Bld.Thermal.HW.Gas.NG_Biogas</t>
  </si>
  <si>
    <t>TES_per_sqm.kWh.FI.Ser.Bld.Thermal.HW.Biomass.Biomass_Waste</t>
  </si>
  <si>
    <t>TES_per_sqm.kWh.FI.Ser.Bld.Thermal.HW.DistrHeat.Steam_Distr</t>
  </si>
  <si>
    <t>TES_per_sqm.kWh.FI.Ser.Bld.Thermal.HW.Elc.Elec</t>
  </si>
  <si>
    <t>TES_per_sqm.kWh.FI.Ser.Bld.Thermal.HW.TotalSolar.Solar</t>
  </si>
  <si>
    <t>TES_per_sqm.kWh.FI.Ser.Bld.Thermal.CA</t>
  </si>
  <si>
    <t>TES_per_sqm.kWh.FI.Ser.Bld.Thermal.CA.LPG</t>
  </si>
  <si>
    <t>TES_per_sqm.kWh.FI.Ser.Bld.Thermal.CA.Gas.NG_Biogas</t>
  </si>
  <si>
    <t>TES_per_sqm.kWh.FI.Ser.Bld.Thermal.CA.Biomass.Biomass_Waste</t>
  </si>
  <si>
    <t>TES_per_sqm.kWh.FI.Ser.Bld.Thermal.CA.Elc.Elec</t>
  </si>
  <si>
    <t>FI - CO2 emissions per useful surface area</t>
  </si>
  <si>
    <t>EMI_per_sqm.kgCO2.FI.Ser.Bld.Thermal</t>
  </si>
  <si>
    <t>EMI_per_sqm.kgCO2.FI.Ser.Bld.Thermal.SH</t>
  </si>
  <si>
    <t>EMI_per_sqm.kgCO2.FI.Ser.Bld.Thermal.SH.Solids.Solids</t>
  </si>
  <si>
    <t>EMI_per_sqm.kgCO2.FI.Ser.Bld.Thermal.SH.LPG.LPG</t>
  </si>
  <si>
    <t>EMI_per_sqm.kgCO2.FI.Ser.Bld.Thermal.SH.Oil.Oil_LiqBio</t>
  </si>
  <si>
    <t>EMI_per_sqm.kgCO2.FI.Ser.Bld.Thermal.SH.GasHP.NG_Biogas</t>
  </si>
  <si>
    <t>EMI_per_sqm.kgCO2.FI.Ser.Bld.Thermal.SH.GasTH.NG_Biogas</t>
  </si>
  <si>
    <t>EMI_per_sqm.kgCO2.FI.Ser.Bld.Thermal.SH.Biomass.Biomass_Waste</t>
  </si>
  <si>
    <t>EMI_per_sqm.kgCO2.FI.Ser.Bld.Thermal.SH.Geo.Geo</t>
  </si>
  <si>
    <t>EMI_per_sqm.kgCO2.FI.Ser.Bld.Thermal.SH.DistrHeat.Steam_Distr</t>
  </si>
  <si>
    <t>EMI_per_sqm.kgCO2.FI.Ser.Bld.Thermal.SH.AdvElc.Elec</t>
  </si>
  <si>
    <t>EMI_per_sqm.kgCO2.FI.Ser.Bld.Thermal.SH.ConvElc.Elec</t>
  </si>
  <si>
    <t>EMI_per_sqm.kgCO2.FI.Ser.Bld.Thermal.SH.TotalCirculation.Elec</t>
  </si>
  <si>
    <t>EMI_per_sqm.kgCO2.FI.Ser.Bld.Thermal.SC</t>
  </si>
  <si>
    <t>EMI_per_sqm.kgCO2.FI.Ser.Bld.Thermal.SC.GasHP.NG_Biogas</t>
  </si>
  <si>
    <t>EMI_per_sqm.kgCO2.FI.Ser.Bld.Thermal.SC.AC.Elec</t>
  </si>
  <si>
    <t>EMI_per_sqm.kgCO2.FI.Ser.Bld.Thermal.HW</t>
  </si>
  <si>
    <t>EMI_per_sqm.kgCO2.FI.Ser.Bld.Thermal.HW.Solids.Solids</t>
  </si>
  <si>
    <t>EMI_per_sqm.kgCO2.FI.Ser.Bld.Thermal.HW.LPG.LPG</t>
  </si>
  <si>
    <t>EMI_per_sqm.kgCO2.FI.Ser.Bld.Thermal.HW.Oil.Oil_LiqBio</t>
  </si>
  <si>
    <t>EMI_per_sqm.kgCO2.FI.Ser.Bld.Thermal.HW.Gas.NG_Biogas</t>
  </si>
  <si>
    <t>EMI_per_sqm.kgCO2.FI.Ser.Bld.Thermal.HW.Biomass.Biomass_Waste</t>
  </si>
  <si>
    <t>EMI_per_sqm.kgCO2.FI.Ser.Bld.Thermal.HW.DistrHeat.Steam_Distr</t>
  </si>
  <si>
    <t>EMI_per_sqm.kgCO2.FI.Ser.Bld.Thermal.HW.Elc.Elec</t>
  </si>
  <si>
    <t>EMI_per_sqm.kgCO2.FI.Ser.Bld.Thermal.HW.TotalSolar.Solar</t>
  </si>
  <si>
    <t>EMI_per_sqm.kgCO2.FI.Ser.Bld.Thermal.CA</t>
  </si>
  <si>
    <t>EMI_per_sqm.kgCO2.FI.Ser.Bld.Thermal.CA.LPG</t>
  </si>
  <si>
    <t>EMI_per_sqm.kgCO2.FI.Ser.Bld.Thermal.CA.Gas.NG_Biogas</t>
  </si>
  <si>
    <t>EMI_per_sqm.kgCO2.FI.Ser.Bld.Thermal.CA.Biomass.Biomass_Waste</t>
  </si>
  <si>
    <t>EMI_per_sqm.kgCO2.FI.Ser.Bld.Thermal.CA.Elc.Elec</t>
  </si>
  <si>
    <t>FI - Number of new and renovated buildings</t>
  </si>
  <si>
    <t>NUM.number.FI.Ser.BldNew.Thermal</t>
  </si>
  <si>
    <t>NUM.number.FI.Ser.BldNew.Thermal.SH</t>
  </si>
  <si>
    <t>NUM.number.FI.Ser.BldNew.Thermal.SH.Solids</t>
  </si>
  <si>
    <t>NUM.number.FI.Ser.BldNew.Thermal.SH.LPG</t>
  </si>
  <si>
    <t>NUM.number.FI.Ser.BldNew.Thermal.SH.Oil</t>
  </si>
  <si>
    <t>NUM.number.FI.Ser.BldNew.Thermal.SH.GasHP</t>
  </si>
  <si>
    <t>NUM.number.FI.Ser.BldNew.Thermal.SH.GasTH</t>
  </si>
  <si>
    <t>NUM.number.FI.Ser.BldNew.Thermal.SH.Biomass</t>
  </si>
  <si>
    <t>NUM.number.FI.Ser.BldNew.Thermal.SH.Geo</t>
  </si>
  <si>
    <t>NUM.number.FI.Ser.BldNew.Thermal.SH.DistrHeat</t>
  </si>
  <si>
    <t>NUM.number.FI.Ser.BldNew.Thermal.SH.AdvElc</t>
  </si>
  <si>
    <t>NUM.number.FI.Ser.BldNew.Thermal.SH.ConvElc</t>
  </si>
  <si>
    <t>NUM.number.FI.Ser.BldNew.Thermal.SC</t>
  </si>
  <si>
    <t>NUM.number.FI.Ser.BldNew.Thermal.SC.GasHP</t>
  </si>
  <si>
    <t>NUM.number.FI.Ser.BldNew.Thermal.SC.AC</t>
  </si>
  <si>
    <t>NUM.number.FI.Ser.BldNew.Thermal.HW</t>
  </si>
  <si>
    <t>NUM.number.FI.Ser.BldNew.Thermal.HW.Solids</t>
  </si>
  <si>
    <t>NUM.number.FI.Ser.BldNew.Thermal.HW.LPG</t>
  </si>
  <si>
    <t>NUM.number.FI.Ser.BldNew.Thermal.HW.Oil</t>
  </si>
  <si>
    <t>NUM.number.FI.Ser.BldNew.Thermal.HW.Gas</t>
  </si>
  <si>
    <t>NUM.number.FI.Ser.BldNew.Thermal.HW.Biomass</t>
  </si>
  <si>
    <t>NUM.number.FI.Ser.BldNew.Thermal.HW.DistrHeat</t>
  </si>
  <si>
    <t>NUM.number.FI.Ser.BldNew.Thermal.HW.Elc</t>
  </si>
  <si>
    <t>NUM.number.FI.Ser.BldNew.Thermal.HW.Solar</t>
  </si>
  <si>
    <t>NUM.number.FI.Ser.BldNew.Thermal.CA</t>
  </si>
  <si>
    <t>NUM.number.FI.Ser.BldNew.Thermal.CA.LPG</t>
  </si>
  <si>
    <t>NUM.number.FI.Ser.BldNew.Thermal.CA.Gas</t>
  </si>
  <si>
    <t>NUM.number.FI.Ser.BldNew.Thermal.CA.Biomass</t>
  </si>
  <si>
    <t>NUM.number.FI.Ser.BldNew.Thermal.CA.Elc</t>
  </si>
  <si>
    <t>FI - Final energy consumption in new and renovated buildings</t>
  </si>
  <si>
    <t>FEC.ktoe.FI.Ser.BldNew.Thermal</t>
  </si>
  <si>
    <t>FEC.ktoe.FI.Ser.BldNew.Thermal.SH</t>
  </si>
  <si>
    <t>FEC.ktoe.FI.Ser.BldNew.Thermal.SH.Solids.Solids</t>
  </si>
  <si>
    <t>FEC.ktoe.FI.Ser.BldNew.Thermal.SH.LPG.LPG</t>
  </si>
  <si>
    <t>FEC.ktoe.FI.Ser.BldNew.Thermal.SH.Oil.Oil_LiqBio</t>
  </si>
  <si>
    <t>FEC.ktoe.FI.Ser.BldNew.Thermal.SH.GasHP.NG_Biogas</t>
  </si>
  <si>
    <t>FEC.ktoe.FI.Ser.BldNew.Thermal.SH.GasTH.NG_Biogas</t>
  </si>
  <si>
    <t>FEC.ktoe.FI.Ser.BldNew.Thermal.SH.Biomass.Biomass_Waste</t>
  </si>
  <si>
    <t>FEC.ktoe.FI.Ser.BldNew.Thermal.SH.Geo.Geo</t>
  </si>
  <si>
    <t>FEC.ktoe.FI.Ser.BldNew.Thermal.SH.DistrHeat.Steam_Distr</t>
  </si>
  <si>
    <t>FEC.ktoe.FI.Ser.BldNew.Thermal.SH.AdvElc.Elec</t>
  </si>
  <si>
    <t>FEC.ktoe.FI.Ser.BldNew.Thermal.SH.ConvElc.Elec</t>
  </si>
  <si>
    <t>FEC.ktoe.FI.Ser.BldNew.Thermal.SH.TotalCirculation.Elec</t>
  </si>
  <si>
    <t>FEC.ktoe.FI.Ser.BldNew.Thermal.SC</t>
  </si>
  <si>
    <t>FEC.ktoe.FI.Ser.BldNew.Thermal.SC.GasHP.NG_Biogas</t>
  </si>
  <si>
    <t>FEC.ktoe.FI.Ser.BldNew.Thermal.SC.AC.Elec</t>
  </si>
  <si>
    <t>FEC.ktoe.FI.Ser.BldNew.Thermal.HW</t>
  </si>
  <si>
    <t>FEC.ktoe.FI.Ser.BldNew.Thermal.HW.Solids.Solids</t>
  </si>
  <si>
    <t>FEC.ktoe.FI.Ser.BldNew.Thermal.HW.LPG.LPG</t>
  </si>
  <si>
    <t>FEC.ktoe.FI.Ser.BldNew.Thermal.HW.Oil.Oil_LiqBio</t>
  </si>
  <si>
    <t>FEC.ktoe.FI.Ser.BldNew.Thermal.HW.Gas.NG_Biogas</t>
  </si>
  <si>
    <t>FEC.ktoe.FI.Ser.BldNew.Thermal.HW.Biomass.Biomass_Waste</t>
  </si>
  <si>
    <t>FEC.ktoe.FI.Ser.BldNew.Thermal.HW.DistrHeat.Steam_Distr</t>
  </si>
  <si>
    <t>FEC.ktoe.FI.Ser.BldNew.Thermal.HW.Elc.Elec</t>
  </si>
  <si>
    <t>FEC.ktoe.FI.Ser.BldNew.Thermal.HW.TotalSolar.Solar</t>
  </si>
  <si>
    <t>FEC.ktoe.FI.Ser.BldNew.Thermal.CA</t>
  </si>
  <si>
    <t>FEC.ktoe.FI.Ser.BldNew.Thermal.CA.LPG</t>
  </si>
  <si>
    <t>FEC.ktoe.FI.Ser.BldNew.Thermal.CA.Gas.NG_Biogas</t>
  </si>
  <si>
    <t>FEC.ktoe.FI.Ser.BldNew.Thermal.CA.Biomass.Biomass_Waste</t>
  </si>
  <si>
    <t>FEC.ktoe.FI.Ser.BldNew.Thermal.CA.Elc.Elec</t>
  </si>
  <si>
    <t>FI - Thermal energy service in new and renovated buildings</t>
  </si>
  <si>
    <t>TES.ktoe.FI.Ser.BldNew.Thermal</t>
  </si>
  <si>
    <t>TES.ktoe.FI.Ser.BldNew.Thermal.SH</t>
  </si>
  <si>
    <t>TES.ktoe.FI.Ser.BldNew.Thermal.SH.Solids.Solids</t>
  </si>
  <si>
    <t>TES.ktoe.FI.Ser.BldNew.Thermal.SH.LPG.LPG</t>
  </si>
  <si>
    <t>TES.ktoe.FI.Ser.BldNew.Thermal.SH.Oil.Oil_LiqBio</t>
  </si>
  <si>
    <t>TES.ktoe.FI.Ser.BldNew.Thermal.SH.GasHP.NG_Biogas</t>
  </si>
  <si>
    <t>TES.ktoe.FI.Ser.BldNew.Thermal.SH.GasTH.NG_Biogas</t>
  </si>
  <si>
    <t>TES.ktoe.FI.Ser.BldNew.Thermal.SH.Biomass.Biomass_Waste</t>
  </si>
  <si>
    <t>TES.ktoe.FI.Ser.BldNew.Thermal.SH.Geo.Geo</t>
  </si>
  <si>
    <t>TES.ktoe.FI.Ser.BldNew.Thermal.SH.DistrHeat.Steam_Distr</t>
  </si>
  <si>
    <t>TES.ktoe.FI.Ser.BldNew.Thermal.SH.AdvElc.Elec</t>
  </si>
  <si>
    <t>TES.ktoe.FI.Ser.BldNew.Thermal.SH.ConvElc.Elec</t>
  </si>
  <si>
    <t>TES.ktoe.FI.Ser.BldNew.Thermal.SH.TotalCirculation.Elec</t>
  </si>
  <si>
    <t>TES.ktoe.FI.Ser.BldNew.Thermal.SC</t>
  </si>
  <si>
    <t>TES.ktoe.FI.Ser.BldNew.Thermal.SC.GasHP.NG_Biogas</t>
  </si>
  <si>
    <t>TES.ktoe.FI.Ser.BldNew.Thermal.SC.AC.Elec</t>
  </si>
  <si>
    <t>TES.ktoe.FI.Ser.BldNew.Thermal.HW</t>
  </si>
  <si>
    <t>TES.ktoe.FI.Ser.BldNew.Thermal.HW.Solids.Solids</t>
  </si>
  <si>
    <t>TES.ktoe.FI.Ser.BldNew.Thermal.HW.LPG.LPG</t>
  </si>
  <si>
    <t>TES.ktoe.FI.Ser.BldNew.Thermal.HW.Oil.Oil_LiqBio</t>
  </si>
  <si>
    <t>TES.ktoe.FI.Ser.BldNew.Thermal.HW.Gas.NG_Biogas</t>
  </si>
  <si>
    <t>TES.ktoe.FI.Ser.BldNew.Thermal.HW.Biomass.Biomass_Waste</t>
  </si>
  <si>
    <t>TES.ktoe.FI.Ser.BldNew.Thermal.HW.DistrHeat.Steam_Distr</t>
  </si>
  <si>
    <t>TES.ktoe.FI.Ser.BldNew.Thermal.HW.Elc.Elec</t>
  </si>
  <si>
    <t>TES.ktoe.FI.Ser.BldNew.Thermal.HW.TotalSolar.Solar</t>
  </si>
  <si>
    <t>TES.ktoe.FI.Ser.BldNew.Thermal.CA</t>
  </si>
  <si>
    <t>TES.ktoe.FI.Ser.BldNew.Thermal.CA.LPG</t>
  </si>
  <si>
    <t>TES.ktoe.FI.Ser.BldNew.Thermal.CA.Gas.NG_Biogas</t>
  </si>
  <si>
    <t>TES.ktoe.FI.Ser.BldNew.Thermal.CA.Biomass.Biomass_Waste</t>
  </si>
  <si>
    <t>TES.ktoe.FI.Ser.BldNew.Thermal.CA.Elc.Elec</t>
  </si>
  <si>
    <t>FI - System efficiency indicator of new and renovated buildings</t>
  </si>
  <si>
    <t>Eff.ratio.FI.Ser.BldNew.Thermal</t>
  </si>
  <si>
    <t>Eff.ratio.FI.Ser.BldNew.Thermal.SH</t>
  </si>
  <si>
    <t>Eff.ratio.FI.Ser.BldNew.Thermal.SH.Solids.Solids</t>
  </si>
  <si>
    <t>Eff.ratio.FI.Ser.BldNew.Thermal.SH.LPG.LPG</t>
  </si>
  <si>
    <t>Eff.ratio.FI.Ser.BldNew.Thermal.SH.Oil.Oil_LiqBio</t>
  </si>
  <si>
    <t>Eff.ratio.FI.Ser.BldNew.Thermal.SH.GasHP.NG_Biogas</t>
  </si>
  <si>
    <t>Eff.ratio.FI.Ser.BldNew.Thermal.SH.GasTH.NG_Biogas</t>
  </si>
  <si>
    <t>Eff.ratio.FI.Ser.BldNew.Thermal.SH.Biomass.Biomass_Waste</t>
  </si>
  <si>
    <t>Eff.ratio.FI.Ser.BldNew.Thermal.SH.Geo.Geo</t>
  </si>
  <si>
    <t>Eff.ratio.FI.Ser.BldNew.Thermal.SH.DistrHeat.Steam_Distr</t>
  </si>
  <si>
    <t>Eff.ratio.FI.Ser.BldNew.Thermal.SH.AdvElc.Elec</t>
  </si>
  <si>
    <t>Eff.ratio.FI.Ser.BldNew.Thermal.SH.ConvElc.Elec</t>
  </si>
  <si>
    <t>Eff.ratio.FI.Ser.BldNew.Thermal.SH.TotalCirculation.Elec</t>
  </si>
  <si>
    <t>Eff.ratio.FI.Ser.BldNew.Thermal.SC</t>
  </si>
  <si>
    <t>Eff.ratio.FI.Ser.BldNew.Thermal.SC.GasHP.NG_Biogas</t>
  </si>
  <si>
    <t>Eff.ratio.FI.Ser.BldNew.Thermal.SC.AC.Elec</t>
  </si>
  <si>
    <t>Eff.ratio.FI.Ser.BldNew.Thermal.HW</t>
  </si>
  <si>
    <t>Eff.ratio.FI.Ser.BldNew.Thermal.HW.Solids.Solids</t>
  </si>
  <si>
    <t>Eff.ratio.FI.Ser.BldNew.Thermal.HW.LPG.LPG</t>
  </si>
  <si>
    <t>Eff.ratio.FI.Ser.BldNew.Thermal.HW.Oil.Oil_LiqBio</t>
  </si>
  <si>
    <t>Eff.ratio.FI.Ser.BldNew.Thermal.HW.Gas.NG_Biogas</t>
  </si>
  <si>
    <t>Eff.ratio.FI.Ser.BldNew.Thermal.HW.Biomass.Biomass_Waste</t>
  </si>
  <si>
    <t>Eff.ratio.FI.Ser.BldNew.Thermal.HW.DistrHeat.Steam_Distr</t>
  </si>
  <si>
    <t>Eff.ratio.FI.Ser.BldNew.Thermal.HW.Elc.Elec</t>
  </si>
  <si>
    <t>Eff.ratio.FI.Ser.BldNew.Thermal.HW.TotalSolar.Solar</t>
  </si>
  <si>
    <t>Eff.ratio.FI.Ser.BldNew.Thermal.CA</t>
  </si>
  <si>
    <t>Eff.ratio.FI.Ser.BldNew.Thermal.CA.LPG</t>
  </si>
  <si>
    <t>Eff.ratio.FI.Ser.BldNew.Thermal.CA.Gas.NG_Biogas</t>
  </si>
  <si>
    <t>Eff.ratio.FI.Ser.BldNew.Thermal.CA.Biomass.Biomass_Waste</t>
  </si>
  <si>
    <t>Eff.ratio.FI.Ser.BldNew.Thermal.CA.Elc.Elec</t>
  </si>
  <si>
    <t>FI - CO2 emissions in new and renovated buildings</t>
  </si>
  <si>
    <t>EMI.ktCO2.FI.Ser.BldNew.Thermal</t>
  </si>
  <si>
    <t>EMI.ktCO2.FI.Ser.BldNew.Thermal.SH</t>
  </si>
  <si>
    <t>EMI.ktCO2.FI.Ser.BldNew.Thermal.SH.Solids.Solids</t>
  </si>
  <si>
    <t>EMI.ktCO2.FI.Ser.BldNew.Thermal.SH.LPG.LPG</t>
  </si>
  <si>
    <t>EMI.ktCO2.FI.Ser.BldNew.Thermal.SH.Oil.Oil_LiqBio</t>
  </si>
  <si>
    <t>EMI.ktCO2.FI.Ser.BldNew.Thermal.SH.GasHP.NG_Biogas</t>
  </si>
  <si>
    <t>EMI.ktCO2.FI.Ser.BldNew.Thermal.SH.GasTH.NG_Biogas</t>
  </si>
  <si>
    <t>EMI.ktCO2.FI.Ser.BldNew.Thermal.SH.Biomass.Biomass_Waste</t>
  </si>
  <si>
    <t>EMI.ktCO2.FI.Ser.BldNew.Thermal.SH.Geo.Geo</t>
  </si>
  <si>
    <t>EMI.ktCO2.FI.Ser.BldNew.Thermal.SH.DistrHeat.Steam_Distr</t>
  </si>
  <si>
    <t>EMI.ktCO2.FI.Ser.BldNew.Thermal.SH.AdvElc.Elec</t>
  </si>
  <si>
    <t>EMI.ktCO2.FI.Ser.BldNew.Thermal.SH.ConvElc.Elec</t>
  </si>
  <si>
    <t>EMI.ktCO2.FI.Ser.BldNew.Thermal.SH.TotalCirculation.Elec</t>
  </si>
  <si>
    <t>EMI.ktCO2.FI.Ser.BldNew.Thermal.SC</t>
  </si>
  <si>
    <t>EMI.ktCO2.FI.Ser.BldNew.Thermal.SC.GasHP.NG_Biogas</t>
  </si>
  <si>
    <t>EMI.ktCO2.FI.Ser.BldNew.Thermal.SC.AC.Elec</t>
  </si>
  <si>
    <t>EMI.ktCO2.FI.Ser.BldNew.Thermal.HW</t>
  </si>
  <si>
    <t>EMI.ktCO2.FI.Ser.BldNew.Thermal.HW.Solids.Solids</t>
  </si>
  <si>
    <t>EMI.ktCO2.FI.Ser.BldNew.Thermal.HW.LPG.LPG</t>
  </si>
  <si>
    <t>EMI.ktCO2.FI.Ser.BldNew.Thermal.HW.Oil.Oil_LiqBio</t>
  </si>
  <si>
    <t>EMI.ktCO2.FI.Ser.BldNew.Thermal.HW.Gas.NG_Biogas</t>
  </si>
  <si>
    <t>EMI.ktCO2.FI.Ser.BldNew.Thermal.HW.Biomass.Biomass_Waste</t>
  </si>
  <si>
    <t>EMI.ktCO2.FI.Ser.BldNew.Thermal.HW.DistrHeat.Steam_Distr</t>
  </si>
  <si>
    <t>EMI.ktCO2.FI.Ser.BldNew.Thermal.HW.Elc.Elec</t>
  </si>
  <si>
    <t>EMI.ktCO2.FI.Ser.BldNew.Thermal.HW.TotalSolar.Solar</t>
  </si>
  <si>
    <t>EMI.ktCO2.FI.Ser.BldNew.Thermal.CA</t>
  </si>
  <si>
    <t>EMI.ktCO2.FI.Ser.BldNew.Thermal.CA.LPG</t>
  </si>
  <si>
    <t>EMI.ktCO2.FI.Ser.BldNew.Thermal.CA.Gas.NG_Biogas</t>
  </si>
  <si>
    <t>EMI.ktCO2.FI.Ser.BldNew.Thermal.CA.Biomass.Biomass_Waste</t>
  </si>
  <si>
    <t>EMI.ktCO2.FI.Ser.BldNew.Thermal.CA.Elc.Elec</t>
  </si>
  <si>
    <t>FI - Final energy consumption of new and renovated buildings (per building)</t>
  </si>
  <si>
    <t>FEC_per_building.kWh.FI.Ser.BldNew.Thermal</t>
  </si>
  <si>
    <t>FEC_per_building.kWh.FI.Ser.BldNew.Thermal.SH</t>
  </si>
  <si>
    <t>FEC_per_building.kWh.FI.Ser.BldNew.Thermal.SH.Solids.Solids</t>
  </si>
  <si>
    <t>FEC_per_building.kWh.FI.Ser.BldNew.Thermal.SH.LPG.LPG</t>
  </si>
  <si>
    <t>FEC_per_building.kWh.FI.Ser.BldNew.Thermal.SH.Oil.Oil_LiqBio</t>
  </si>
  <si>
    <t>FEC_per_building.kWh.FI.Ser.BldNew.Thermal.SH.GasHP.NG_Biogas</t>
  </si>
  <si>
    <t>FEC_per_building.kWh.FI.Ser.BldNew.Thermal.SH.GasTH.NG_Biogas</t>
  </si>
  <si>
    <t>FEC_per_building.kWh.FI.Ser.BldNew.Thermal.SH.Biomass.Biomass_Waste</t>
  </si>
  <si>
    <t>FEC_per_building.kWh.FI.Ser.BldNew.Thermal.SH.Geo.Geo</t>
  </si>
  <si>
    <t>FEC_per_building.kWh.FI.Ser.BldNew.Thermal.SH.DistrHeat.Steam_Distr</t>
  </si>
  <si>
    <t>FEC_per_building.kWh.FI.Ser.BldNew.Thermal.SH.AdvElc.Elec</t>
  </si>
  <si>
    <t>FEC_per_building.kWh.FI.Ser.BldNew.Thermal.SH.ConvElc.Elec</t>
  </si>
  <si>
    <t>FEC_per_building.kWh.FI.Ser.BldNew.Thermal.SH.TotalCirculation.Elec</t>
  </si>
  <si>
    <t>FEC_per_building.kWh.FI.Ser.BldNew.Thermal.SC</t>
  </si>
  <si>
    <t>FEC_per_building.kWh.FI.Ser.BldNew.Thermal.SC.GasHP.NG_Biogas</t>
  </si>
  <si>
    <t>FEC_per_building.kWh.FI.Ser.BldNew.Thermal.SC.AC.Elec</t>
  </si>
  <si>
    <t>FEC_per_building.kWh.FI.Ser.BldNew.Thermal.HW</t>
  </si>
  <si>
    <t>FEC_per_building.kWh.FI.Ser.BldNew.Thermal.HW.Solids.Solids</t>
  </si>
  <si>
    <t>FEC_per_building.kWh.FI.Ser.BldNew.Thermal.HW.LPG.LPG</t>
  </si>
  <si>
    <t>FEC_per_building.kWh.FI.Ser.BldNew.Thermal.HW.Oil.Oil_LiqBio</t>
  </si>
  <si>
    <t>FEC_per_building.kWh.FI.Ser.BldNew.Thermal.HW.Gas.NG_Biogas</t>
  </si>
  <si>
    <t>FEC_per_building.kWh.FI.Ser.BldNew.Thermal.HW.Biomass.Biomass_Waste</t>
  </si>
  <si>
    <t>FEC_per_building.kWh.FI.Ser.BldNew.Thermal.HW.DistrHeat.Steam_Distr</t>
  </si>
  <si>
    <t>FEC_per_building.kWh.FI.Ser.BldNew.Thermal.HW.Elc.Elec</t>
  </si>
  <si>
    <t>FEC_per_building.kWh.FI.Ser.BldNew.Thermal.HW.TotalSolar.Solar</t>
  </si>
  <si>
    <t>FEC_per_building.kWh.FI.Ser.BldNew.Thermal.CA</t>
  </si>
  <si>
    <t>FEC_per_building.kWh.FI.Ser.BldNew.Thermal.CA.LPG</t>
  </si>
  <si>
    <t>FEC_per_building.kWh.FI.Ser.BldNew.Thermal.CA.Gas.NG_Biogas</t>
  </si>
  <si>
    <t>FEC_per_building.kWh.FI.Ser.BldNew.Thermal.CA.Biomass.Biomass_Waste</t>
  </si>
  <si>
    <t>FEC_per_building.kWh.FI.Ser.BldNew.Thermal.CA.Elc.Elec</t>
  </si>
  <si>
    <t>FI - Thermal energy service of new and renovated buildings (per building)</t>
  </si>
  <si>
    <t>TES_per_building.kWh.FI.Ser.BldNew.Thermal</t>
  </si>
  <si>
    <t>TES_per_building.kWh.FI.Ser.BldNew.Thermal.SH</t>
  </si>
  <si>
    <t>TES_per_building.kWh.FI.Ser.BldNew.Thermal.SH.Solids.Solids</t>
  </si>
  <si>
    <t>TES_per_building.kWh.FI.Ser.BldNew.Thermal.SH.LPG.LPG</t>
  </si>
  <si>
    <t>TES_per_building.kWh.FI.Ser.BldNew.Thermal.SH.Oil.Oil_LiqBio</t>
  </si>
  <si>
    <t>TES_per_building.kWh.FI.Ser.BldNew.Thermal.SH.GasHP.NG_Biogas</t>
  </si>
  <si>
    <t>TES_per_building.kWh.FI.Ser.BldNew.Thermal.SH.GasTH.NG_Biogas</t>
  </si>
  <si>
    <t>TES_per_building.kWh.FI.Ser.BldNew.Thermal.SH.Biomass.Biomass_Waste</t>
  </si>
  <si>
    <t>TES_per_building.kWh.FI.Ser.BldNew.Thermal.SH.Geo.Geo</t>
  </si>
  <si>
    <t>TES_per_building.kWh.FI.Ser.BldNew.Thermal.SH.DistrHeat.Steam_Distr</t>
  </si>
  <si>
    <t>TES_per_building.kWh.FI.Ser.BldNew.Thermal.SH.AdvElc.Elec</t>
  </si>
  <si>
    <t>TES_per_building.kWh.FI.Ser.BldNew.Thermal.SH.ConvElc.Elec</t>
  </si>
  <si>
    <t>TES_per_building.kWh.FI.Ser.BldNew.Thermal.SH.TotalCirculation.Elec</t>
  </si>
  <si>
    <t>TES_per_building.kWh.FI.Ser.BldNew.Thermal.SC</t>
  </si>
  <si>
    <t>TES_per_building.kWh.FI.Ser.BldNew.Thermal.SC.GasHP.NG_Biogas</t>
  </si>
  <si>
    <t>TES_per_building.kWh.FI.Ser.BldNew.Thermal.SC.AC.Elec</t>
  </si>
  <si>
    <t>TES_per_building.kWh.FI.Ser.BldNew.Thermal.HW</t>
  </si>
  <si>
    <t>TES_per_building.kWh.FI.Ser.BldNew.Thermal.HW.Solids.Solids</t>
  </si>
  <si>
    <t>TES_per_building.kWh.FI.Ser.BldNew.Thermal.HW.LPG.LPG</t>
  </si>
  <si>
    <t>TES_per_building.kWh.FI.Ser.BldNew.Thermal.HW.Oil.Oil_LiqBio</t>
  </si>
  <si>
    <t>TES_per_building.kWh.FI.Ser.BldNew.Thermal.HW.Gas.NG_Biogas</t>
  </si>
  <si>
    <t>TES_per_building.kWh.FI.Ser.BldNew.Thermal.HW.Biomass.Biomass_Waste</t>
  </si>
  <si>
    <t>TES_per_building.kWh.FI.Ser.BldNew.Thermal.HW.DistrHeat.Steam_Distr</t>
  </si>
  <si>
    <t>TES_per_building.kWh.FI.Ser.BldNew.Thermal.HW.Elc.Elec</t>
  </si>
  <si>
    <t>TES_per_building.kWh.FI.Ser.BldNew.Thermal.HW.TotalSolar.Solar</t>
  </si>
  <si>
    <t>TES_per_building.kWh.FI.Ser.BldNew.Thermal.CA</t>
  </si>
  <si>
    <t>TES_per_building.kWh.FI.Ser.BldNew.Thermal.CA.LPG</t>
  </si>
  <si>
    <t>TES_per_building.kWh.FI.Ser.BldNew.Thermal.CA.Gas.NG_Biogas</t>
  </si>
  <si>
    <t>TES_per_building.kWh.FI.Ser.BldNew.Thermal.CA.Biomass.Biomass_Waste</t>
  </si>
  <si>
    <t>TES_per_building.kWh.FI.Ser.BldNew.Thermal.CA.Elc.Elec</t>
  </si>
  <si>
    <t>FI - CO2 emissions in new and renovated buildings (per building)</t>
  </si>
  <si>
    <t>EMI_per_building.kgCO2.FI.Ser.BldNew.Thermal</t>
  </si>
  <si>
    <t>EMI_per_building.kgCO2.FI.Ser.BldNew.Thermal.SH</t>
  </si>
  <si>
    <t>EMI_per_building.kgCO2.FI.Ser.BldNew.Thermal.SH.Solids.Solids</t>
  </si>
  <si>
    <t>EMI_per_building.kgCO2.FI.Ser.BldNew.Thermal.SH.LPG.LPG</t>
  </si>
  <si>
    <t>EMI_per_building.kgCO2.FI.Ser.BldNew.Thermal.SH.Oil.Oil_LiqBio</t>
  </si>
  <si>
    <t>EMI_per_building.kgCO2.FI.Ser.BldNew.Thermal.SH.GasHP.NG_Biogas</t>
  </si>
  <si>
    <t>EMI_per_building.kgCO2.FI.Ser.BldNew.Thermal.SH.GasTH.NG_Biogas</t>
  </si>
  <si>
    <t>EMI_per_building.kgCO2.FI.Ser.BldNew.Thermal.SH.Biomass.Biomass_Waste</t>
  </si>
  <si>
    <t>EMI_per_building.kgCO2.FI.Ser.BldNew.Thermal.SH.Geo.Geo</t>
  </si>
  <si>
    <t>EMI_per_building.kgCO2.FI.Ser.BldNew.Thermal.SH.DistrHeat.Steam_Distr</t>
  </si>
  <si>
    <t>EMI_per_building.kgCO2.FI.Ser.BldNew.Thermal.SH.AdvElc.Elec</t>
  </si>
  <si>
    <t>EMI_per_building.kgCO2.FI.Ser.BldNew.Thermal.SH.ConvElc.Elec</t>
  </si>
  <si>
    <t>EMI_per_building.kgCO2.FI.Ser.BldNew.Thermal.SH.TotalCirculation.Elec</t>
  </si>
  <si>
    <t>EMI_per_building.kgCO2.FI.Ser.BldNew.Thermal.SC</t>
  </si>
  <si>
    <t>EMI_per_building.kgCO2.FI.Ser.BldNew.Thermal.SC.GasHP.NG_Biogas</t>
  </si>
  <si>
    <t>EMI_per_building.kgCO2.FI.Ser.BldNew.Thermal.SC.AC.Elec</t>
  </si>
  <si>
    <t>EMI_per_building.kgCO2.FI.Ser.BldNew.Thermal.HW</t>
  </si>
  <si>
    <t>EMI_per_building.kgCO2.FI.Ser.BldNew.Thermal.HW.Solids.Solids</t>
  </si>
  <si>
    <t>EMI_per_building.kgCO2.FI.Ser.BldNew.Thermal.HW.LPG.LPG</t>
  </si>
  <si>
    <t>EMI_per_building.kgCO2.FI.Ser.BldNew.Thermal.HW.Oil.Oil_LiqBio</t>
  </si>
  <si>
    <t>EMI_per_building.kgCO2.FI.Ser.BldNew.Thermal.HW.Gas.NG_Biogas</t>
  </si>
  <si>
    <t>EMI_per_building.kgCO2.FI.Ser.BldNew.Thermal.HW.Biomass.Biomass_Waste</t>
  </si>
  <si>
    <t>EMI_per_building.kgCO2.FI.Ser.BldNew.Thermal.HW.DistrHeat.Steam_Distr</t>
  </si>
  <si>
    <t>EMI_per_building.kgCO2.FI.Ser.BldNew.Thermal.HW.Elc.Elec</t>
  </si>
  <si>
    <t>EMI_per_building.kgCO2.FI.Ser.BldNew.Thermal.HW.TotalSolar.Solar</t>
  </si>
  <si>
    <t>EMI_per_building.kgCO2.FI.Ser.BldNew.Thermal.CA</t>
  </si>
  <si>
    <t>EMI_per_building.kgCO2.FI.Ser.BldNew.Thermal.CA.LPG</t>
  </si>
  <si>
    <t>EMI_per_building.kgCO2.FI.Ser.BldNew.Thermal.CA.Gas.NG_Biogas</t>
  </si>
  <si>
    <t>EMI_per_building.kgCO2.FI.Ser.BldNew.Thermal.CA.Biomass.Biomass_Waste</t>
  </si>
  <si>
    <t>EMI_per_building.kgCO2.FI.Ser.BldNew.Thermal.CA.Elc.Elec</t>
  </si>
  <si>
    <t>FI - Final energy consumption in new and renovated buildings per surface area</t>
  </si>
  <si>
    <t>FEC_per_sqm.kWh.FI.Ser.BldNew.Thermal</t>
  </si>
  <si>
    <t>FEC_per_sqm.kWh.FI.Ser.BldNew.Thermal.SH</t>
  </si>
  <si>
    <t>FEC_per_sqm.kWh.FI.Ser.BldNew.Thermal.SH.Solids.Solids</t>
  </si>
  <si>
    <t>FEC_per_sqm.kWh.FI.Ser.BldNew.Thermal.SH.LPG.LPG</t>
  </si>
  <si>
    <t>FEC_per_sqm.kWh.FI.Ser.BldNew.Thermal.SH.Oil.Oil_LiqBio</t>
  </si>
  <si>
    <t>FEC_per_sqm.kWh.FI.Ser.BldNew.Thermal.SH.GasHP.NG_Biogas</t>
  </si>
  <si>
    <t>FEC_per_sqm.kWh.FI.Ser.BldNew.Thermal.SH.GasTH.NG_Biogas</t>
  </si>
  <si>
    <t>FEC_per_sqm.kWh.FI.Ser.BldNew.Thermal.SH.Biomass.Biomass_Waste</t>
  </si>
  <si>
    <t>FEC_per_sqm.kWh.FI.Ser.BldNew.Thermal.SH.Geo.Geo</t>
  </si>
  <si>
    <t>FEC_per_sqm.kWh.FI.Ser.BldNew.Thermal.SH.DistrHeat.Steam_Distr</t>
  </si>
  <si>
    <t>FEC_per_sqm.kWh.FI.Ser.BldNew.Thermal.SH.AdvElc.Elec</t>
  </si>
  <si>
    <t>FEC_per_sqm.kWh.FI.Ser.BldNew.Thermal.SH.ConvElc.Elec</t>
  </si>
  <si>
    <t>FEC_per_sqm.kWh.FI.Ser.BldNew.Thermal.SH.TotalCirculation.Elec</t>
  </si>
  <si>
    <t>FEC_per_sqm.kWh.FI.Ser.BldNew.Thermal.SC</t>
  </si>
  <si>
    <t>FEC_per_sqm.kWh.FI.Ser.BldNew.Thermal.SC.GasHP.NG_Biogas</t>
  </si>
  <si>
    <t>FEC_per_sqm.kWh.FI.Ser.BldNew.Thermal.SC.AC.Elec</t>
  </si>
  <si>
    <t>FEC_per_sqm.kWh.FI.Ser.BldNew.Thermal.HW</t>
  </si>
  <si>
    <t>FEC_per_sqm.kWh.FI.Ser.BldNew.Thermal.HW.Solids.Solids</t>
  </si>
  <si>
    <t>FEC_per_sqm.kWh.FI.Ser.BldNew.Thermal.HW.LPG.LPG</t>
  </si>
  <si>
    <t>FEC_per_sqm.kWh.FI.Ser.BldNew.Thermal.HW.Oil.Oil_LiqBio</t>
  </si>
  <si>
    <t>FEC_per_sqm.kWh.FI.Ser.BldNew.Thermal.HW.Gas.NG_Biogas</t>
  </si>
  <si>
    <t>FEC_per_sqm.kWh.FI.Ser.BldNew.Thermal.HW.Biomass.Biomass_Waste</t>
  </si>
  <si>
    <t>FEC_per_sqm.kWh.FI.Ser.BldNew.Thermal.HW.DistrHeat.Steam_Distr</t>
  </si>
  <si>
    <t>FEC_per_sqm.kWh.FI.Ser.BldNew.Thermal.HW.Elc.Elec</t>
  </si>
  <si>
    <t>FEC_per_sqm.kWh.FI.Ser.BldNew.Thermal.HW.TotalSolar.Solar</t>
  </si>
  <si>
    <t>FEC_per_sqm.kWh.FI.Ser.BldNew.Thermal.CA</t>
  </si>
  <si>
    <t>FEC_per_sqm.kWh.FI.Ser.BldNew.Thermal.CA.LPG</t>
  </si>
  <si>
    <t>FEC_per_sqm.kWh.FI.Ser.BldNew.Thermal.CA.Gas.NG_Biogas</t>
  </si>
  <si>
    <t>FEC_per_sqm.kWh.FI.Ser.BldNew.Thermal.CA.Biomass.Biomass_Waste</t>
  </si>
  <si>
    <t>FEC_per_sqm.kWh.FI.Ser.BldNew.Thermal.CA.Elc.Elec</t>
  </si>
  <si>
    <t>FI - Thermal energy service in new and renovated buildings per surface area</t>
  </si>
  <si>
    <t>TES_per_sqm.kWh.FI.Ser.BldNew.Thermal</t>
  </si>
  <si>
    <t>TES_per_sqm.kWh.FI.Ser.BldNew.Thermal.SH</t>
  </si>
  <si>
    <t>TES_per_sqm.kWh.FI.Ser.BldNew.Thermal.SH.Solids.Solids</t>
  </si>
  <si>
    <t>TES_per_sqm.kWh.FI.Ser.BldNew.Thermal.SH.LPG.LPG</t>
  </si>
  <si>
    <t>TES_per_sqm.kWh.FI.Ser.BldNew.Thermal.SH.Oil.Oil_LiqBio</t>
  </si>
  <si>
    <t>TES_per_sqm.kWh.FI.Ser.BldNew.Thermal.SH.GasHP.NG_Biogas</t>
  </si>
  <si>
    <t>TES_per_sqm.kWh.FI.Ser.BldNew.Thermal.SH.GasTH.NG_Biogas</t>
  </si>
  <si>
    <t>TES_per_sqm.kWh.FI.Ser.BldNew.Thermal.SH.Biomass.Biomass_Waste</t>
  </si>
  <si>
    <t>TES_per_sqm.kWh.FI.Ser.BldNew.Thermal.SH.Geo.Geo</t>
  </si>
  <si>
    <t>TES_per_sqm.kWh.FI.Ser.BldNew.Thermal.SH.DistrHeat.Steam_Distr</t>
  </si>
  <si>
    <t>TES_per_sqm.kWh.FI.Ser.BldNew.Thermal.SH.AdvElc.Elec</t>
  </si>
  <si>
    <t>TES_per_sqm.kWh.FI.Ser.BldNew.Thermal.SH.ConvElc.Elec</t>
  </si>
  <si>
    <t>TES_per_sqm.kWh.FI.Ser.BldNew.Thermal.SH.TotalCirculation.Elec</t>
  </si>
  <si>
    <t>TES_per_sqm.kWh.FI.Ser.BldNew.Thermal.SC</t>
  </si>
  <si>
    <t>TES_per_sqm.kWh.FI.Ser.BldNew.Thermal.SC.GasHP.NG_Biogas</t>
  </si>
  <si>
    <t>TES_per_sqm.kWh.FI.Ser.BldNew.Thermal.SC.AC.Elec</t>
  </si>
  <si>
    <t>TES_per_sqm.kWh.FI.Ser.BldNew.Thermal.HW</t>
  </si>
  <si>
    <t>TES_per_sqm.kWh.FI.Ser.BldNew.Thermal.HW.Solids.Solids</t>
  </si>
  <si>
    <t>TES_per_sqm.kWh.FI.Ser.BldNew.Thermal.HW.LPG.LPG</t>
  </si>
  <si>
    <t>TES_per_sqm.kWh.FI.Ser.BldNew.Thermal.HW.Oil.Oil_LiqBio</t>
  </si>
  <si>
    <t>TES_per_sqm.kWh.FI.Ser.BldNew.Thermal.HW.Gas.NG_Biogas</t>
  </si>
  <si>
    <t>TES_per_sqm.kWh.FI.Ser.BldNew.Thermal.HW.Biomass.Biomass_Waste</t>
  </si>
  <si>
    <t>TES_per_sqm.kWh.FI.Ser.BldNew.Thermal.HW.DistrHeat.Steam_Distr</t>
  </si>
  <si>
    <t>TES_per_sqm.kWh.FI.Ser.BldNew.Thermal.HW.Elc.Elec</t>
  </si>
  <si>
    <t>TES_per_sqm.kWh.FI.Ser.BldNew.Thermal.HW.TotalSolar.Solar</t>
  </si>
  <si>
    <t>TES_per_sqm.kWh.FI.Ser.BldNew.Thermal.CA</t>
  </si>
  <si>
    <t>TES_per_sqm.kWh.FI.Ser.BldNew.Thermal.CA.LPG</t>
  </si>
  <si>
    <t>TES_per_sqm.kWh.FI.Ser.BldNew.Thermal.CA.Gas.NG_Biogas</t>
  </si>
  <si>
    <t>TES_per_sqm.kWh.FI.Ser.BldNew.Thermal.CA.Biomass.Biomass_Waste</t>
  </si>
  <si>
    <t>TES_per_sqm.kWh.FI.Ser.BldNew.Thermal.CA.Elc.Elec</t>
  </si>
  <si>
    <t>FI - CO2 emissions in new and renovated buildings per surface area</t>
  </si>
  <si>
    <t>EMI_per_sqm.kgCO2.FI.Ser.BldNew.Thermal</t>
  </si>
  <si>
    <t>EMI_per_sqm.kgCO2.FI.Ser.BldNew.Thermal.SH</t>
  </si>
  <si>
    <t>EMI_per_sqm.kgCO2.FI.Ser.BldNew.Thermal.SH.Solids.Solids</t>
  </si>
  <si>
    <t>EMI_per_sqm.kgCO2.FI.Ser.BldNew.Thermal.SH.LPG.LPG</t>
  </si>
  <si>
    <t>EMI_per_sqm.kgCO2.FI.Ser.BldNew.Thermal.SH.Oil.Oil_LiqBio</t>
  </si>
  <si>
    <t>EMI_per_sqm.kgCO2.FI.Ser.BldNew.Thermal.SH.GasHP.NG_Biogas</t>
  </si>
  <si>
    <t>EMI_per_sqm.kgCO2.FI.Ser.BldNew.Thermal.SH.GasTH.NG_Biogas</t>
  </si>
  <si>
    <t>EMI_per_sqm.kgCO2.FI.Ser.BldNew.Thermal.SH.Biomass.Biomass_Waste</t>
  </si>
  <si>
    <t>EMI_per_sqm.kgCO2.FI.Ser.BldNew.Thermal.SH.Geo.Geo</t>
  </si>
  <si>
    <t>EMI_per_sqm.kgCO2.FI.Ser.BldNew.Thermal.SH.DistrHeat.Steam_Distr</t>
  </si>
  <si>
    <t>EMI_per_sqm.kgCO2.FI.Ser.BldNew.Thermal.SH.AdvElc.Elec</t>
  </si>
  <si>
    <t>EMI_per_sqm.kgCO2.FI.Ser.BldNew.Thermal.SH.ConvElc.Elec</t>
  </si>
  <si>
    <t>EMI_per_sqm.kgCO2.FI.Ser.BldNew.Thermal.SH.TotalCirculation.Elec</t>
  </si>
  <si>
    <t>EMI_per_sqm.kgCO2.FI.Ser.BldNew.Thermal.SC</t>
  </si>
  <si>
    <t>EMI_per_sqm.kgCO2.FI.Ser.BldNew.Thermal.SC.GasHP.NG_Biogas</t>
  </si>
  <si>
    <t>EMI_per_sqm.kgCO2.FI.Ser.BldNew.Thermal.SC.AC.Elec</t>
  </si>
  <si>
    <t>EMI_per_sqm.kgCO2.FI.Ser.BldNew.Thermal.HW</t>
  </si>
  <si>
    <t>EMI_per_sqm.kgCO2.FI.Ser.BldNew.Thermal.HW.Solids.Solids</t>
  </si>
  <si>
    <t>EMI_per_sqm.kgCO2.FI.Ser.BldNew.Thermal.HW.LPG.LPG</t>
  </si>
  <si>
    <t>EMI_per_sqm.kgCO2.FI.Ser.BldNew.Thermal.HW.Oil.Oil_LiqBio</t>
  </si>
  <si>
    <t>EMI_per_sqm.kgCO2.FI.Ser.BldNew.Thermal.HW.Gas.NG_Biogas</t>
  </si>
  <si>
    <t>EMI_per_sqm.kgCO2.FI.Ser.BldNew.Thermal.HW.Biomass.Biomass_Waste</t>
  </si>
  <si>
    <t>EMI_per_sqm.kgCO2.FI.Ser.BldNew.Thermal.HW.DistrHeat.Steam_Distr</t>
  </si>
  <si>
    <t>EMI_per_sqm.kgCO2.FI.Ser.BldNew.Thermal.HW.Elc.Elec</t>
  </si>
  <si>
    <t>EMI_per_sqm.kgCO2.FI.Ser.BldNew.Thermal.HW.TotalSolar.Solar</t>
  </si>
  <si>
    <t>EMI_per_sqm.kgCO2.FI.Ser.BldNew.Thermal.CA</t>
  </si>
  <si>
    <t>EMI_per_sqm.kgCO2.FI.Ser.BldNew.Thermal.CA.LPG</t>
  </si>
  <si>
    <t>EMI_per_sqm.kgCO2.FI.Ser.BldNew.Thermal.CA.Gas.NG_Biogas</t>
  </si>
  <si>
    <t>EMI_per_sqm.kgCO2.FI.Ser.BldNew.Thermal.CA.Biomass.Biomass_Waste</t>
  </si>
  <si>
    <t>EMI_per_sqm.kgCO2.FI.Ser.BldNew.Thermal.CA.Elc.Elec</t>
  </si>
  <si>
    <t>FEC.ktoe.FI.Ser.SEU.VE</t>
  </si>
  <si>
    <t>FEC.ktoe.FI.Ser.SEU.SL</t>
  </si>
  <si>
    <t>FEC.ktoe.FI.Ser.SEU.BL</t>
  </si>
  <si>
    <t>FEC.ktoe.FI.Ser.SEU.CR</t>
  </si>
  <si>
    <t>FEC.ktoe.FI.Ser.SEU.BT</t>
  </si>
  <si>
    <t>FEC.ktoe.FI.Ser.SEU.IT</t>
  </si>
  <si>
    <t>Size.MW.FI.Ser.SEU</t>
  </si>
  <si>
    <t>Size.MW.FI.Ser.SEU.VE</t>
  </si>
  <si>
    <t>Size.MW.FI.Ser.SEU.SL</t>
  </si>
  <si>
    <t>Size.MW.FI.Ser.SEU.BL</t>
  </si>
  <si>
    <t>Size.MW.FI.Ser.SEU.CR</t>
  </si>
  <si>
    <t>Size.MW.FI.Ser.SEU.BT</t>
  </si>
  <si>
    <t>Size.MW.FI.Ser.SEU.IT</t>
  </si>
  <si>
    <t>NUM.Msqm.FI.Ser.SEU.VE</t>
  </si>
  <si>
    <t>NUM.k.FI.Ser.SEU.SL</t>
  </si>
  <si>
    <t>NUM.M.FI.Ser.SEU.BL</t>
  </si>
  <si>
    <t>NUM.k.FI.Ser.SEU.CR</t>
  </si>
  <si>
    <t>NUM.Msqm.FI.Ser.SEU.BT</t>
  </si>
  <si>
    <t>NUM.k.FI.Ser.SEU.IT</t>
  </si>
  <si>
    <t>NUM.Msqm.FI.Ser.SEUnew.VE</t>
  </si>
  <si>
    <t>NUM.k.FI.Ser.SEUnew.SL</t>
  </si>
  <si>
    <t>NUM.M.FI.Ser.SEUnew.BL</t>
  </si>
  <si>
    <t>NUM.k.FI.Ser.SEUnew.CR</t>
  </si>
  <si>
    <t>NUM.Msqm.FI.Ser.SEUnew.BT</t>
  </si>
  <si>
    <t>NUM.k.FI.Ser.SEUnew.IT</t>
  </si>
  <si>
    <t>NUM.Msqm.FI.Ser.SEUrepl.VE</t>
  </si>
  <si>
    <t>NUM.k.FI.Ser.SEUrepl.SL</t>
  </si>
  <si>
    <t>NUM.M.FI.Ser.SEUrepl.BL</t>
  </si>
  <si>
    <t>NUM.k.FI.Ser.SEUrepl.CR</t>
  </si>
  <si>
    <t>NUM.Msqm.FI.Ser.SEUrepl.BT</t>
  </si>
  <si>
    <t>NUM.k.FI.Ser.SEUrepl.IT</t>
  </si>
  <si>
    <t>Op.hours.FI.Ser.SEU.VE</t>
  </si>
  <si>
    <t>Op.hours.FI.Ser.SEU.SL</t>
  </si>
  <si>
    <t>Op.hours.FI.Ser.SEU.BL</t>
  </si>
  <si>
    <t>Op.hours.FI.Ser.SEU.CR</t>
  </si>
  <si>
    <t>Op.hours.FI.Ser.SEU.BT</t>
  </si>
  <si>
    <t>Op.hours.FI.Ser.SEU.IT</t>
  </si>
  <si>
    <t>Size_per_appl.W.FI.Ser.SEU.VE</t>
  </si>
  <si>
    <t>Size_per_appl.W.FI.Ser.SEU.SL</t>
  </si>
  <si>
    <t>Size_per_appl.W.FI.Ser.SEU.BL</t>
  </si>
  <si>
    <t>Size_per_appl.W.FI.Ser.SEU.CR</t>
  </si>
  <si>
    <t>Size_per_appl.W.FI.Ser.SEU.BT</t>
  </si>
  <si>
    <t>Size_per_appl.W.FI.Ser.SEU.IT</t>
  </si>
  <si>
    <t>Size_per_appl.W.FI.Ser.SEUnew.VE</t>
  </si>
  <si>
    <t>Size_per_appl.W.FI.Ser.SEUnew.SL</t>
  </si>
  <si>
    <t>Size_per_appl.W.FI.Ser.SEUnew.BL</t>
  </si>
  <si>
    <t>Size_per_appl.W.FI.Ser.SEUnew.CR</t>
  </si>
  <si>
    <t>Size_per_appl.W.FI.Ser.SEUnew.BT</t>
  </si>
  <si>
    <t>Size_per_appl.W.FI.Ser.SEUnew.IT</t>
  </si>
  <si>
    <t>NUM.sqm_per_building.FI.Ser.SEU.VE</t>
  </si>
  <si>
    <t>NUM.number_per_capita.FI.Ser.SEU.SL</t>
  </si>
  <si>
    <t>NUM.number_per_building.FI.Ser.SEU.BL</t>
  </si>
  <si>
    <t>NUM.number_per_capita.FI.Ser.SEU.CR</t>
  </si>
  <si>
    <t>NUM.sqm_per_building.FI.Ser.SEU.BT</t>
  </si>
  <si>
    <t>NUM.number_per_capita.FI.Ser.SEU.IT</t>
  </si>
  <si>
    <t>Lumens_per_sqm.lumen.FI.Ser.SEU.BL</t>
  </si>
  <si>
    <t>FEC.ktoe.FI.Ser.SEU.IT.DataCenters</t>
  </si>
  <si>
    <t>FI - Services / specific electric uses</t>
  </si>
  <si>
    <t>FI - Ventilation and others</t>
  </si>
  <si>
    <t>FI - Street lighting</t>
  </si>
  <si>
    <t>FI - Building lighting</t>
  </si>
  <si>
    <t>FI - Commercial refrigeration</t>
  </si>
  <si>
    <t>FI - Miscellaneous building technologies</t>
  </si>
  <si>
    <t>FI - ICT and multimedia</t>
  </si>
  <si>
    <t>FI - Agriculture, forestry and fishing</t>
  </si>
  <si>
    <t>VA.Meuro2015.Meuro2023.FI.AGR.AGR</t>
  </si>
  <si>
    <t>OUTPUT.index.index.FI.AGR.AGR</t>
  </si>
  <si>
    <t>CAP.index.index.FI.AGR.AGR</t>
  </si>
  <si>
    <t>NEWCAP.index.index.FI.AGR.AGR</t>
  </si>
  <si>
    <t>CAPOUT.index.FI.AGR.AGR</t>
  </si>
  <si>
    <t>CAPIDLE.index.FI.AGR.AGR</t>
  </si>
  <si>
    <t>FEC.ktoe.FI.ES.AGR</t>
  </si>
  <si>
    <t>FEC.ktoe.FI.ES.AGR.Solids</t>
  </si>
  <si>
    <t>FEC.ktoe.FI.ES.AGR.LPG</t>
  </si>
  <si>
    <t>FEC.ktoe.FI.ES.AGR.Diesel</t>
  </si>
  <si>
    <t>FEC.ktoe.FI.ES.AGR.RFO</t>
  </si>
  <si>
    <t>FEC.ktoe.FI.ES.AGR.NG</t>
  </si>
  <si>
    <t>FEC.ktoe.FI.ES.AGR.Biomass_Waste</t>
  </si>
  <si>
    <t>FEC.ktoe.FI.ES.AGR.Biogas</t>
  </si>
  <si>
    <t>FEC.ktoe.FI.ES.AGR.LiqBio</t>
  </si>
  <si>
    <t>FEC.ktoe.FI.ES.AGR.Solar</t>
  </si>
  <si>
    <t>FEC.ktoe.FI.ES.AGR.Geo</t>
  </si>
  <si>
    <t>FEC.ktoe.FI.ES.AGR.Ambient</t>
  </si>
  <si>
    <t>FEC.ktoe.FI.ES.AGR.Steam_Distr</t>
  </si>
  <si>
    <t>FEC.ktoe.FI.ES.AGR.Elec</t>
  </si>
  <si>
    <t>FI - Agriculture, forestry and fishing / final energy consumption</t>
  </si>
  <si>
    <t>FEC.ktoe.ktoe.FI.AGR.AGR.LIGHT.GENERIC.ELEC</t>
  </si>
  <si>
    <t>FEC.ktoe.ktoe.FI.AGR.AGR.FANS.GENERIC.ELEC</t>
  </si>
  <si>
    <t>FEC.ktoe.ktoe.FI.AGR.AGR.MOTOR.GENERIC.ELEC</t>
  </si>
  <si>
    <t>FEC.ktoe.ktoe.FI.AGR.AGR.LOW_ENTH.THERM.DIESEL_LIQBIO</t>
  </si>
  <si>
    <t>FEC.ktoe.ktoe.FI.AGR.AGR.LOW_ENTH.THERM.NG_BIOGAS</t>
  </si>
  <si>
    <t>FEC.ktoe.ktoe.FI.AGR.AGR.LOW_ENTH.THERM.SOLAR_GEO</t>
  </si>
  <si>
    <t>FEC.ktoe.ktoe.FI.AGR.AGR.LOW_ENTH.HP.AMBIENT</t>
  </si>
  <si>
    <t>FEC.ktoe.ktoe.FI.AGR.AGR.LOW_ENTH.THERM.STEAM_DISTR</t>
  </si>
  <si>
    <t>FEC.ktoe.ktoe.FI.AGR.AGR.LOW_ENTH.THERM.ELEC</t>
  </si>
  <si>
    <t>FEC.ktoe.ktoe.FI.AGR.AGR.FARM_DRIVES.MECH.DIESEL_LIQBIO</t>
  </si>
  <si>
    <t>FEC.ktoe.ktoe.FI.AGR.AGR.HEAT_USE.THERM.SOLIDS</t>
  </si>
  <si>
    <t>FEC.ktoe.ktoe.FI.AGR.AGR.HEAT_USE.THERM.LPG</t>
  </si>
  <si>
    <t>FEC.ktoe.ktoe.FI.AGR.AGR.HEAT_USE.THERM.DIESEL_LIQBIO</t>
  </si>
  <si>
    <t>FEC.ktoe.ktoe.FI.AGR.AGR.HEAT_USE.THERM.RFO</t>
  </si>
  <si>
    <t>FEC.ktoe.ktoe.FI.AGR.AGR.HEAT_USE.THERM.NG_BIOGAS</t>
  </si>
  <si>
    <t>FEC.ktoe.ktoe.FI.AGR.AGR.HEAT_USE.THERM.BIOMASS_WASTE</t>
  </si>
  <si>
    <t>FEC.ktoe.ktoe.FI.AGR.AGR.HEAT_USE.THERM.SOLAR_GEO</t>
  </si>
  <si>
    <t>FEC.ktoe.ktoe.FI.AGR.AGR.FARM_PUMP.MECH.DIESEL_LIQBIO</t>
  </si>
  <si>
    <t>FEC.ktoe.ktoe.FI.AGR.AGR.FARM_PUMP_ELEC.MECH.ELEC</t>
  </si>
  <si>
    <t>FEC.ktoe.ktoe.FI.AGR.AGR.GENERIC.MECH.ELEC</t>
  </si>
  <si>
    <t>FI - Agriculture, forestry and fishing / useful energy demand</t>
  </si>
  <si>
    <t>UED.ktoe.ktoe.FI.AGR.AGR.LIGHT.GENERIC.ELEC</t>
  </si>
  <si>
    <t>UED.ktoe.ktoe.FI.AGR.AGR.FANS.GENERIC.ELEC</t>
  </si>
  <si>
    <t>UED.ktoe.ktoe.FI.AGR.AGR.MOTOR.GENERIC.ELEC</t>
  </si>
  <si>
    <t>UED.ktoe.ktoe.FI.AGR.AGR.LOW_ENTH.THERM.DIESEL_LIQBIO</t>
  </si>
  <si>
    <t>UED.ktoe.ktoe.FI.AGR.AGR.LOW_ENTH.THERM.NG_BIOGAS</t>
  </si>
  <si>
    <t>UED.ktoe.ktoe.FI.AGR.AGR.LOW_ENTH.THERM.SOLAR_GEO</t>
  </si>
  <si>
    <t>UED.ktoe.ktoe.FI.AGR.AGR.LOW_ENTH.HP.AMBIENT</t>
  </si>
  <si>
    <t>UED.ktoe.ktoe.FI.AGR.AGR.LOW_ENTH.THERM.STEAM_DISTR</t>
  </si>
  <si>
    <t>UED.ktoe.ktoe.FI.AGR.AGR.LOW_ENTH.THERM.ELEC</t>
  </si>
  <si>
    <t>UED.ktoe.ktoe.FI.AGR.AGR.FARM_DRIVES.MECH.DIESEL_LIQBIO</t>
  </si>
  <si>
    <t>UED.ktoe.ktoe.FI.AGR.AGR.HEAT_USE.THERM.SOLIDS</t>
  </si>
  <si>
    <t>UED.ktoe.ktoe.FI.AGR.AGR.HEAT_USE.THERM.LPG</t>
  </si>
  <si>
    <t>UED.ktoe.ktoe.FI.AGR.AGR.HEAT_USE.THERM.DIESEL_LIQBIO</t>
  </si>
  <si>
    <t>UED.ktoe.ktoe.FI.AGR.AGR.HEAT_USE.THERM.RFO</t>
  </si>
  <si>
    <t>UED.ktoe.ktoe.FI.AGR.AGR.HEAT_USE.THERM.NG_BIOGAS</t>
  </si>
  <si>
    <t>UED.ktoe.ktoe.FI.AGR.AGR.HEAT_USE.THERM.BIOMASS_WASTE</t>
  </si>
  <si>
    <t>UED.ktoe.ktoe.FI.AGR.AGR.HEAT_USE.THERM.SOLAR_GEO</t>
  </si>
  <si>
    <t>UED.ktoe.ktoe.FI.AGR.AGR.FARM_PUMP.MECH.DIESEL_LIQBIO</t>
  </si>
  <si>
    <t>UED.ktoe.ktoe.FI.AGR.AGR.FARM_PUMP_ELEC.MECH.ELEC</t>
  </si>
  <si>
    <t>UED.ktoe.ktoe.FI.AGR.AGR.GENERIC.MECH.ELEC</t>
  </si>
  <si>
    <t>FI - Agriculture, forestry and fishing / CO2 emissions</t>
  </si>
  <si>
    <t>FUEL_EMI.ktCO2.ktCO2.FI.AGR.AGR.LIGHT.GENERIC.ELEC</t>
  </si>
  <si>
    <t>FUEL_EMI.ktCO2.ktCO2.FI.AGR.AGR.FANS.GENERIC.ELEC</t>
  </si>
  <si>
    <t>FUEL_EMI.ktCO2.ktCO2.FI.AGR.AGR.MOTOR.GENERIC.ELEC</t>
  </si>
  <si>
    <t>FUEL_EMI.ktCO2.ktCO2.FI.AGR.AGR.LOW_ENTH.THERM.DIESEL_LIQBIO</t>
  </si>
  <si>
    <t>FUEL_EMI.ktCO2.ktCO2.FI.AGR.AGR.LOW_ENTH.THERM.NG_BIOGAS</t>
  </si>
  <si>
    <t>FUEL_EMI.ktCO2.ktCO2.FI.AGR.AGR.LOW_ENTH.THERM.SOLAR_GEO</t>
  </si>
  <si>
    <t>FUEL_EMI.ktCO2.ktCO2.FI.AGR.AGR.LOW_ENTH.HP.AMBIENT</t>
  </si>
  <si>
    <t>FUEL_EMI.ktCO2.ktCO2.FI.AGR.AGR.LOW_ENTH.THERM.STEAM_DISTR</t>
  </si>
  <si>
    <t>FUEL_EMI.ktCO2.ktCO2.FI.AGR.AGR.LOW_ENTH.THERM.ELEC</t>
  </si>
  <si>
    <t>FUEL_EMI.ktCO2.ktCO2.FI.AGR.AGR.FARM_DRIVES.MECH.DIESEL_LIQBIO</t>
  </si>
  <si>
    <t>FUEL_EMI.ktCO2.ktCO2.FI.AGR.AGR.HEAT_USE.THERM.SOLIDS</t>
  </si>
  <si>
    <t>FUEL_EMI.ktCO2.ktCO2.FI.AGR.AGR.HEAT_USE.THERM.LPG</t>
  </si>
  <si>
    <t>FUEL_EMI.ktCO2.ktCO2.FI.AGR.AGR.HEAT_USE.THERM.DIESEL_LIQBIO</t>
  </si>
  <si>
    <t>FUEL_EMI.ktCO2.ktCO2.FI.AGR.AGR.HEAT_USE.THERM.RFO</t>
  </si>
  <si>
    <t>FUEL_EMI.ktCO2.ktCO2.FI.AGR.AGR.HEAT_USE.THERM.NG_BIOGAS</t>
  </si>
  <si>
    <t>FUEL_EMI.ktCO2.ktCO2.FI.AGR.AGR.HEAT_USE.THERM.BIOMASS_WASTE</t>
  </si>
  <si>
    <t>FUEL_EMI.ktCO2.ktCO2.FI.AGR.AGR.HEAT_USE.THERM.SOLAR_GEO</t>
  </si>
  <si>
    <t>FUEL_EMI.ktCO2.ktCO2.FI.AGR.AGR.FARM_PUMP.MECH.DIESEL_LIQBIO</t>
  </si>
  <si>
    <t>FUEL_EMI.ktCO2.ktCO2.FI.AGR.AGR.FARM_PUMP_ELEC.MECH.ELEC</t>
  </si>
  <si>
    <t>FUEL_EMI.ktCO2.ktCO2.FI.AGR.AGR.GENERIC.MECH.ELEC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</si>
</sst>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3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1" fillId="2" borderId="0" xfId="5" applyFont="1" applyFill="1" applyBorder="1" applyAlignment="1">
      <alignment horizontal="left" vertical="center"/>
    </xf>
    <xf numFmtId="0" fontId="11" fillId="2" borderId="0" xfId="5" applyFont="1" applyFill="1" applyAlignment="1">
      <alignment horizontal="left" vertical="center"/>
    </xf>
    <xf numFmtId="3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2" xfId="5" applyNumberFormat="1" applyFont="1" applyFill="1" applyBorder="1" applyAlignment="1">
      <alignment vertical="center" shrinkToFit="1"/>
    </xf>
    <xf numFmtId="0" fontId="10" fillId="2" borderId="5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4" fillId="2" borderId="0" xfId="3" applyFont="1" applyFill="1"/>
    <xf numFmtId="0" fontId="14" fillId="2" borderId="0" xfId="3" applyFont="1" applyFill="1" applyAlignment="1">
      <alignment horizontal="left" indent="1"/>
    </xf>
    <xf numFmtId="0" fontId="14" fillId="2" borderId="0" xfId="3" applyFont="1" applyFill="1" applyAlignment="1">
      <alignment horizontal="left" indent="2"/>
    </xf>
    <xf numFmtId="1" fontId="16" fillId="3" borderId="2" xfId="5" applyNumberFormat="1" applyFont="1" applyFill="1" applyBorder="1" applyAlignment="1">
      <alignment horizontal="center" vertical="center"/>
    </xf>
    <xf numFmtId="0" fontId="15" fillId="3" borderId="2" xfId="5" applyFont="1" applyFill="1" applyBorder="1" applyAlignment="1">
      <alignment horizontal="left" vertical="center" wrapText="1"/>
    </xf>
    <xf numFmtId="172" fontId="10" fillId="2" borderId="0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horizontal="left" vertical="center"/>
    </xf>
    <xf numFmtId="0" fontId="11" fillId="2" borderId="2" xfId="5" applyNumberFormat="1" applyFont="1" applyFill="1" applyBorder="1" applyAlignment="1">
      <alignment vertical="center"/>
    </xf>
    <xf numFmtId="0" fontId="11" fillId="2" borderId="2" xfId="5" applyNumberFormat="1" applyFont="1" applyFill="1" applyBorder="1" applyAlignment="1">
      <alignment vertical="center" shrinkToFit="1"/>
    </xf>
    <xf numFmtId="0" fontId="16" fillId="2" borderId="5" xfId="5" applyFont="1" applyFill="1" applyBorder="1" applyAlignment="1">
      <alignment horizontal="left" vertical="center"/>
    </xf>
    <xf numFmtId="169" fontId="17" fillId="2" borderId="5" xfId="5" applyNumberFormat="1" applyFont="1" applyFill="1" applyBorder="1" applyAlignment="1">
      <alignment vertical="center"/>
    </xf>
    <xf numFmtId="0" fontId="16" fillId="2" borderId="0" xfId="5" applyFont="1" applyFill="1" applyBorder="1" applyAlignment="1">
      <alignment horizontal="left" vertical="center"/>
    </xf>
    <xf numFmtId="169" fontId="17" fillId="2" borderId="0" xfId="5" applyNumberFormat="1" applyFont="1" applyFill="1" applyBorder="1" applyAlignment="1">
      <alignment vertical="center"/>
    </xf>
    <xf numFmtId="0" fontId="16" fillId="2" borderId="1" xfId="5" applyFont="1" applyFill="1" applyBorder="1" applyAlignment="1">
      <alignment horizontal="left" vertical="center"/>
    </xf>
    <xf numFmtId="169" fontId="17" fillId="2" borderId="1" xfId="5" applyNumberFormat="1" applyFont="1" applyFill="1" applyBorder="1" applyAlignment="1">
      <alignment vertical="center"/>
    </xf>
    <xf numFmtId="0" fontId="16" fillId="2" borderId="3" xfId="5" applyFont="1" applyFill="1" applyBorder="1" applyAlignment="1">
      <alignment horizontal="left" vertical="center"/>
    </xf>
    <xf numFmtId="169" fontId="17" fillId="2" borderId="3" xfId="5" applyNumberFormat="1" applyFont="1" applyFill="1" applyBorder="1" applyAlignment="1">
      <alignment vertical="center"/>
    </xf>
    <xf numFmtId="173" fontId="17" fillId="2" borderId="0" xfId="5" applyNumberFormat="1" applyFont="1" applyFill="1" applyBorder="1" applyAlignment="1">
      <alignment vertical="center"/>
    </xf>
    <xf numFmtId="173" fontId="17" fillId="2" borderId="1" xfId="5" applyNumberFormat="1" applyFont="1" applyFill="1" applyBorder="1" applyAlignment="1">
      <alignment vertical="center"/>
    </xf>
    <xf numFmtId="172" fontId="17" fillId="2" borderId="5" xfId="5" applyNumberFormat="1" applyFont="1" applyFill="1" applyBorder="1" applyAlignment="1">
      <alignment vertical="center"/>
    </xf>
    <xf numFmtId="172" fontId="17" fillId="2" borderId="0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171" fontId="17" fillId="2" borderId="1" xfId="5" applyNumberFormat="1" applyFont="1" applyFill="1" applyBorder="1" applyAlignment="1">
      <alignment vertical="center"/>
    </xf>
    <xf numFmtId="0" fontId="15" fillId="4" borderId="2" xfId="5" applyNumberFormat="1" applyFont="1" applyFill="1" applyBorder="1" applyAlignment="1">
      <alignment horizontal="left" vertical="center"/>
    </xf>
    <xf numFmtId="0" fontId="19" fillId="4" borderId="2" xfId="5" applyNumberFormat="1" applyFont="1" applyFill="1" applyBorder="1" applyAlignment="1">
      <alignment vertical="center"/>
    </xf>
    <xf numFmtId="0" fontId="16" fillId="2" borderId="5" xfId="5" applyFont="1" applyFill="1" applyBorder="1" applyAlignment="1">
      <alignment horizontal="left" vertical="center" indent="1"/>
    </xf>
    <xf numFmtId="0" fontId="16" fillId="2" borderId="0" xfId="5" applyFont="1" applyFill="1" applyBorder="1" applyAlignment="1">
      <alignment horizontal="left" vertical="center" indent="1"/>
    </xf>
    <xf numFmtId="0" fontId="16" fillId="2" borderId="1" xfId="5" applyFont="1" applyFill="1" applyBorder="1" applyAlignment="1">
      <alignment horizontal="left" vertical="center" indent="1"/>
    </xf>
    <xf numFmtId="165" fontId="17" fillId="2" borderId="1" xfId="5" applyNumberFormat="1" applyFont="1" applyFill="1" applyBorder="1" applyAlignment="1">
      <alignment vertical="center"/>
    </xf>
    <xf numFmtId="165" fontId="17" fillId="2" borderId="5" xfId="5" applyNumberFormat="1" applyFont="1" applyFill="1" applyBorder="1" applyAlignment="1">
      <alignment vertical="center"/>
    </xf>
    <xf numFmtId="165" fontId="17" fillId="2" borderId="0" xfId="5" applyNumberFormat="1" applyFont="1" applyFill="1" applyBorder="1" applyAlignment="1">
      <alignment vertical="center"/>
    </xf>
    <xf numFmtId="166" fontId="17" fillId="2" borderId="0" xfId="5" applyNumberFormat="1" applyFont="1" applyFill="1" applyBorder="1" applyAlignment="1">
      <alignment vertical="center"/>
    </xf>
    <xf numFmtId="167" fontId="17" fillId="2" borderId="1" xfId="5" applyNumberFormat="1" applyFont="1" applyFill="1" applyBorder="1" applyAlignment="1">
      <alignment vertical="center"/>
    </xf>
    <xf numFmtId="170" fontId="17" fillId="2" borderId="1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2"/>
    </xf>
    <xf numFmtId="166" fontId="17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 indent="2"/>
    </xf>
    <xf numFmtId="0" fontId="17" fillId="2" borderId="0" xfId="5" applyFont="1" applyFill="1" applyBorder="1" applyAlignment="1">
      <alignment horizontal="left" vertical="center" indent="3"/>
    </xf>
    <xf numFmtId="0" fontId="17" fillId="2" borderId="1" xfId="5" applyFont="1" applyFill="1" applyBorder="1" applyAlignment="1">
      <alignment horizontal="left" vertical="center" indent="2"/>
    </xf>
    <xf numFmtId="166" fontId="17" fillId="2" borderId="1" xfId="5" applyNumberFormat="1" applyFont="1" applyFill="1" applyBorder="1" applyAlignment="1">
      <alignment vertical="center"/>
    </xf>
    <xf numFmtId="166" fontId="17" fillId="2" borderId="4" xfId="1" applyNumberFormat="1" applyFont="1" applyFill="1" applyBorder="1" applyAlignment="1">
      <alignment vertical="center"/>
    </xf>
    <xf numFmtId="166" fontId="17" fillId="2" borderId="0" xfId="1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 indent="3"/>
    </xf>
    <xf numFmtId="166" fontId="17" fillId="2" borderId="3" xfId="1" applyNumberFormat="1" applyFont="1" applyFill="1" applyBorder="1" applyAlignment="1">
      <alignment vertical="center"/>
    </xf>
    <xf numFmtId="166" fontId="17" fillId="2" borderId="1" xfId="1" applyNumberFormat="1" applyFont="1" applyFill="1" applyBorder="1" applyAlignment="1">
      <alignment vertical="center"/>
    </xf>
    <xf numFmtId="0" fontId="18" fillId="2" borderId="2" xfId="5" applyFont="1" applyFill="1" applyBorder="1" applyAlignment="1">
      <alignment horizontal="left" vertical="center" indent="2"/>
    </xf>
    <xf numFmtId="168" fontId="17" fillId="2" borderId="2" xfId="5" applyNumberFormat="1" applyFont="1" applyFill="1" applyBorder="1" applyAlignment="1">
      <alignment vertical="center"/>
    </xf>
    <xf numFmtId="168" fontId="17" fillId="2" borderId="5" xfId="5" applyNumberFormat="1" applyFont="1" applyFill="1" applyBorder="1" applyAlignment="1">
      <alignment vertical="center"/>
    </xf>
    <xf numFmtId="168" fontId="17" fillId="2" borderId="0" xfId="5" applyNumberFormat="1" applyFont="1" applyFill="1" applyBorder="1" applyAlignment="1">
      <alignment vertical="center"/>
    </xf>
    <xf numFmtId="168" fontId="17" fillId="2" borderId="1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 indent="3"/>
    </xf>
    <xf numFmtId="167" fontId="17" fillId="2" borderId="5" xfId="5" applyNumberFormat="1" applyFont="1" applyFill="1" applyBorder="1" applyAlignment="1">
      <alignment vertical="center"/>
    </xf>
    <xf numFmtId="167" fontId="17" fillId="2" borderId="0" xfId="5" applyNumberFormat="1" applyFont="1" applyFill="1" applyBorder="1" applyAlignment="1">
      <alignment vertical="center"/>
    </xf>
    <xf numFmtId="0" fontId="18" fillId="2" borderId="4" xfId="5" applyFont="1" applyFill="1" applyBorder="1" applyAlignment="1">
      <alignment horizontal="left" vertical="center" indent="2"/>
    </xf>
    <xf numFmtId="0" fontId="18" fillId="2" borderId="1" xfId="5" applyFont="1" applyFill="1" applyBorder="1" applyAlignment="1">
      <alignment horizontal="left" vertical="center" indent="2"/>
    </xf>
    <xf numFmtId="0" fontId="20" fillId="5" borderId="2" xfId="5" applyFont="1" applyFill="1" applyBorder="1" applyAlignment="1">
      <alignment horizontal="left" vertical="center" indent="1"/>
    </xf>
    <xf numFmtId="166" fontId="21" fillId="5" borderId="2" xfId="5" applyNumberFormat="1" applyFont="1" applyFill="1" applyBorder="1" applyAlignment="1">
      <alignment vertical="center"/>
    </xf>
    <xf numFmtId="0" fontId="20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68" fontId="22" fillId="5" borderId="2" xfId="2" applyNumberFormat="1" applyFont="1" applyFill="1" applyBorder="1" applyAlignment="1">
      <alignment vertical="center"/>
    </xf>
    <xf numFmtId="0" fontId="20" fillId="5" borderId="4" xfId="5" applyFont="1" applyFill="1" applyBorder="1" applyAlignment="1">
      <alignment horizontal="left" vertical="center" indent="1"/>
    </xf>
    <xf numFmtId="166" fontId="21" fillId="5" borderId="4" xfId="5" applyNumberFormat="1" applyFont="1" applyFill="1" applyBorder="1" applyAlignment="1">
      <alignment vertical="center"/>
    </xf>
    <xf numFmtId="167" fontId="22" fillId="5" borderId="2" xfId="1" applyNumberFormat="1" applyFont="1" applyFill="1" applyBorder="1" applyAlignment="1">
      <alignment vertical="center"/>
    </xf>
    <xf numFmtId="1" fontId="16" fillId="3" borderId="2" xfId="5" applyNumberFormat="1" applyFont="1" applyFill="1" applyBorder="1" applyAlignment="1">
      <alignment horizontal="center" vertical="center" shrinkToFit="1"/>
    </xf>
    <xf numFmtId="169" fontId="17" fillId="2" borderId="5" xfId="5" applyNumberFormat="1" applyFont="1" applyFill="1" applyBorder="1" applyAlignment="1">
      <alignment vertical="center" shrinkToFit="1"/>
    </xf>
    <xf numFmtId="169" fontId="17" fillId="2" borderId="0" xfId="5" applyNumberFormat="1" applyFont="1" applyFill="1" applyBorder="1" applyAlignment="1">
      <alignment vertical="center" shrinkToFit="1"/>
    </xf>
    <xf numFmtId="169" fontId="17" fillId="2" borderId="1" xfId="5" applyNumberFormat="1" applyFont="1" applyFill="1" applyBorder="1" applyAlignment="1">
      <alignment vertical="center" shrinkToFit="1"/>
    </xf>
    <xf numFmtId="169" fontId="17" fillId="2" borderId="3" xfId="5" applyNumberFormat="1" applyFont="1" applyFill="1" applyBorder="1" applyAlignment="1">
      <alignment vertical="center" shrinkToFit="1"/>
    </xf>
    <xf numFmtId="173" fontId="17" fillId="2" borderId="0" xfId="5" applyNumberFormat="1" applyFont="1" applyFill="1" applyBorder="1" applyAlignment="1">
      <alignment vertical="center" shrinkToFit="1"/>
    </xf>
    <xf numFmtId="173" fontId="17" fillId="2" borderId="1" xfId="5" applyNumberFormat="1" applyFont="1" applyFill="1" applyBorder="1" applyAlignment="1">
      <alignment vertical="center" shrinkToFit="1"/>
    </xf>
    <xf numFmtId="172" fontId="17" fillId="2" borderId="5" xfId="5" applyNumberFormat="1" applyFont="1" applyFill="1" applyBorder="1" applyAlignment="1">
      <alignment vertical="center" shrinkToFit="1"/>
    </xf>
    <xf numFmtId="172" fontId="17" fillId="2" borderId="0" xfId="5" applyNumberFormat="1" applyFont="1" applyFill="1" applyBorder="1" applyAlignment="1">
      <alignment vertical="center" shrinkToFit="1"/>
    </xf>
    <xf numFmtId="171" fontId="17" fillId="2" borderId="1" xfId="5" applyNumberFormat="1" applyFont="1" applyFill="1" applyBorder="1" applyAlignment="1">
      <alignment vertical="center" shrinkToFit="1"/>
    </xf>
    <xf numFmtId="0" fontId="19" fillId="4" borderId="2" xfId="5" applyNumberFormat="1" applyFont="1" applyFill="1" applyBorder="1" applyAlignment="1">
      <alignment vertical="center" shrinkToFit="1"/>
    </xf>
    <xf numFmtId="165" fontId="17" fillId="2" borderId="1" xfId="5" applyNumberFormat="1" applyFont="1" applyFill="1" applyBorder="1" applyAlignment="1">
      <alignment vertical="center" shrinkToFit="1"/>
    </xf>
    <xf numFmtId="165" fontId="17" fillId="2" borderId="5" xfId="5" applyNumberFormat="1" applyFont="1" applyFill="1" applyBorder="1" applyAlignment="1">
      <alignment vertical="center" shrinkToFit="1"/>
    </xf>
    <xf numFmtId="165" fontId="17" fillId="2" borderId="0" xfId="5" applyNumberFormat="1" applyFont="1" applyFill="1" applyBorder="1" applyAlignment="1">
      <alignment vertical="center" shrinkToFit="1"/>
    </xf>
    <xf numFmtId="166" fontId="17" fillId="2" borderId="0" xfId="5" applyNumberFormat="1" applyFont="1" applyFill="1" applyBorder="1" applyAlignment="1">
      <alignment vertical="center" shrinkToFit="1"/>
    </xf>
    <xf numFmtId="170" fontId="17" fillId="2" borderId="1" xfId="5" applyNumberFormat="1" applyFont="1" applyFill="1" applyBorder="1" applyAlignment="1">
      <alignment vertical="center" shrinkToFit="1"/>
    </xf>
    <xf numFmtId="166" fontId="21" fillId="5" borderId="2" xfId="5" applyNumberFormat="1" applyFont="1" applyFill="1" applyBorder="1" applyAlignment="1">
      <alignment vertical="center" shrinkToFit="1"/>
    </xf>
    <xf numFmtId="166" fontId="17" fillId="2" borderId="5" xfId="5" applyNumberFormat="1" applyFont="1" applyFill="1" applyBorder="1" applyAlignment="1">
      <alignment vertical="center" shrinkToFit="1"/>
    </xf>
    <xf numFmtId="166" fontId="17" fillId="2" borderId="1" xfId="5" applyNumberFormat="1" applyFont="1" applyFill="1" applyBorder="1" applyAlignment="1">
      <alignment vertical="center" shrinkToFit="1"/>
    </xf>
    <xf numFmtId="166" fontId="10" fillId="2" borderId="0" xfId="5" applyNumberFormat="1" applyFont="1" applyFill="1" applyAlignment="1">
      <alignment vertical="center" shrinkToFit="1"/>
    </xf>
    <xf numFmtId="166" fontId="21" fillId="5" borderId="5" xfId="5" applyNumberFormat="1" applyFont="1" applyFill="1" applyBorder="1" applyAlignment="1">
      <alignment vertical="center" shrinkToFit="1"/>
    </xf>
    <xf numFmtId="166" fontId="17" fillId="2" borderId="4" xfId="1" applyNumberFormat="1" applyFont="1" applyFill="1" applyBorder="1" applyAlignment="1">
      <alignment vertical="center" shrinkToFit="1"/>
    </xf>
    <xf numFmtId="166" fontId="17" fillId="2" borderId="0" xfId="1" applyNumberFormat="1" applyFont="1" applyFill="1" applyBorder="1" applyAlignment="1">
      <alignment vertical="center" shrinkToFit="1"/>
    </xf>
    <xf numFmtId="166" fontId="17" fillId="2" borderId="3" xfId="1" applyNumberFormat="1" applyFont="1" applyFill="1" applyBorder="1" applyAlignment="1">
      <alignment vertical="center" shrinkToFit="1"/>
    </xf>
    <xf numFmtId="166" fontId="17" fillId="2" borderId="1" xfId="1" applyNumberFormat="1" applyFont="1" applyFill="1" applyBorder="1" applyAlignment="1">
      <alignment vertical="center" shrinkToFit="1"/>
    </xf>
    <xf numFmtId="168" fontId="22" fillId="5" borderId="2" xfId="2" applyNumberFormat="1" applyFont="1" applyFill="1" applyBorder="1" applyAlignment="1">
      <alignment vertical="center" shrinkToFit="1"/>
    </xf>
    <xf numFmtId="168" fontId="17" fillId="2" borderId="2" xfId="5" applyNumberFormat="1" applyFont="1" applyFill="1" applyBorder="1" applyAlignment="1">
      <alignment vertical="center" shrinkToFit="1"/>
    </xf>
    <xf numFmtId="168" fontId="17" fillId="2" borderId="5" xfId="5" applyNumberFormat="1" applyFont="1" applyFill="1" applyBorder="1" applyAlignment="1">
      <alignment vertical="center" shrinkToFit="1"/>
    </xf>
    <xf numFmtId="168" fontId="17" fillId="2" borderId="0" xfId="5" applyNumberFormat="1" applyFont="1" applyFill="1" applyBorder="1" applyAlignment="1">
      <alignment vertical="center" shrinkToFit="1"/>
    </xf>
    <xf numFmtId="168" fontId="17" fillId="2" borderId="1" xfId="5" applyNumberFormat="1" applyFont="1" applyFill="1" applyBorder="1" applyAlignment="1">
      <alignment vertical="center" shrinkToFit="1"/>
    </xf>
    <xf numFmtId="166" fontId="21" fillId="5" borderId="4" xfId="5" applyNumberFormat="1" applyFont="1" applyFill="1" applyBorder="1" applyAlignment="1">
      <alignment vertical="center" shrinkToFit="1"/>
    </xf>
    <xf numFmtId="0" fontId="10" fillId="2" borderId="0" xfId="5" applyFont="1" applyFill="1" applyAlignment="1">
      <alignment vertical="center" shrinkToFit="1"/>
    </xf>
    <xf numFmtId="167" fontId="22" fillId="5" borderId="2" xfId="1" applyNumberFormat="1" applyFont="1" applyFill="1" applyBorder="1" applyAlignment="1">
      <alignment vertical="center" shrinkToFit="1"/>
    </xf>
    <xf numFmtId="167" fontId="17" fillId="2" borderId="5" xfId="5" applyNumberFormat="1" applyFont="1" applyFill="1" applyBorder="1" applyAlignment="1">
      <alignment vertical="center" shrinkToFit="1"/>
    </xf>
    <xf numFmtId="167" fontId="17" fillId="2" borderId="0" xfId="5" applyNumberFormat="1" applyFont="1" applyFill="1" applyBorder="1" applyAlignment="1">
      <alignment vertical="center" shrinkToFit="1"/>
    </xf>
    <xf numFmtId="167" fontId="17" fillId="2" borderId="1" xfId="5" applyNumberFormat="1" applyFont="1" applyFill="1" applyBorder="1" applyAlignment="1">
      <alignment vertical="center" shrinkToFit="1"/>
    </xf>
    <xf numFmtId="0" fontId="24" fillId="6" borderId="2" xfId="5" applyFont="1" applyFill="1" applyBorder="1" applyAlignment="1">
      <alignment horizontal="left" vertical="center"/>
    </xf>
    <xf numFmtId="169" fontId="22" fillId="6" borderId="2" xfId="1" applyNumberFormat="1" applyFont="1" applyFill="1" applyBorder="1" applyAlignment="1">
      <alignment vertical="center"/>
    </xf>
    <xf numFmtId="166" fontId="22" fillId="6" borderId="2" xfId="1" applyNumberFormat="1" applyFont="1" applyFill="1" applyBorder="1" applyAlignment="1">
      <alignment vertical="center"/>
    </xf>
    <xf numFmtId="165" fontId="22" fillId="6" borderId="2" xfId="1" applyNumberFormat="1" applyFont="1" applyFill="1" applyBorder="1" applyAlignment="1">
      <alignment vertical="center"/>
    </xf>
    <xf numFmtId="0" fontId="25" fillId="2" borderId="0" xfId="5" applyFont="1" applyFill="1" applyBorder="1" applyAlignment="1">
      <alignment horizontal="left" vertical="center" indent="2"/>
    </xf>
    <xf numFmtId="0" fontId="25" fillId="2" borderId="7" xfId="5" applyFont="1" applyFill="1" applyBorder="1" applyAlignment="1">
      <alignment horizontal="left" vertical="center" indent="2"/>
    </xf>
    <xf numFmtId="0" fontId="16" fillId="5" borderId="2" xfId="5" applyFont="1" applyFill="1" applyBorder="1" applyAlignment="1">
      <alignment horizontal="left" vertical="center" indent="1"/>
    </xf>
    <xf numFmtId="166" fontId="17" fillId="5" borderId="2" xfId="1" applyNumberFormat="1" applyFont="1" applyFill="1" applyBorder="1" applyAlignment="1">
      <alignment vertical="center"/>
    </xf>
    <xf numFmtId="0" fontId="17" fillId="2" borderId="0" xfId="5" applyFont="1" applyFill="1" applyAlignment="1">
      <alignment horizontal="left" vertical="center" indent="2"/>
    </xf>
    <xf numFmtId="166" fontId="17" fillId="2" borderId="0" xfId="1" applyNumberFormat="1" applyFont="1" applyFill="1" applyAlignment="1">
      <alignment vertical="center"/>
    </xf>
    <xf numFmtId="0" fontId="17" fillId="2" borderId="7" xfId="5" applyFont="1" applyFill="1" applyBorder="1" applyAlignment="1">
      <alignment horizontal="left" vertical="center" indent="2"/>
    </xf>
    <xf numFmtId="166" fontId="17" fillId="2" borderId="7" xfId="1" applyNumberFormat="1" applyFont="1" applyFill="1" applyBorder="1" applyAlignment="1">
      <alignment vertical="center"/>
    </xf>
    <xf numFmtId="165" fontId="17" fillId="5" borderId="2" xfId="1" applyNumberFormat="1" applyFont="1" applyFill="1" applyBorder="1" applyAlignment="1">
      <alignment vertical="center"/>
    </xf>
    <xf numFmtId="165" fontId="17" fillId="2" borderId="0" xfId="1" applyNumberFormat="1" applyFont="1" applyFill="1" applyAlignment="1">
      <alignment vertical="center"/>
    </xf>
    <xf numFmtId="165" fontId="17" fillId="2" borderId="0" xfId="1" applyNumberFormat="1" applyFont="1" applyFill="1" applyBorder="1" applyAlignment="1">
      <alignment vertical="center"/>
    </xf>
    <xf numFmtId="165" fontId="17" fillId="2" borderId="7" xfId="1" applyNumberFormat="1" applyFont="1" applyFill="1" applyBorder="1" applyAlignment="1">
      <alignment vertical="center"/>
    </xf>
    <xf numFmtId="169" fontId="17" fillId="5" borderId="2" xfId="1" applyNumberFormat="1" applyFont="1" applyFill="1" applyBorder="1" applyAlignment="1">
      <alignment vertical="center"/>
    </xf>
    <xf numFmtId="169" fontId="17" fillId="2" borderId="0" xfId="1" applyNumberFormat="1" applyFont="1" applyFill="1" applyAlignment="1">
      <alignment vertical="center"/>
    </xf>
    <xf numFmtId="169" fontId="17" fillId="2" borderId="0" xfId="1" applyNumberFormat="1" applyFont="1" applyFill="1" applyBorder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9" fontId="18" fillId="2" borderId="7" xfId="1" applyNumberFormat="1" applyFont="1" applyFill="1" applyBorder="1" applyAlignment="1">
      <alignment vertical="center"/>
    </xf>
    <xf numFmtId="0" fontId="18" fillId="2" borderId="6" xfId="5" applyFont="1" applyFill="1" applyBorder="1" applyAlignment="1">
      <alignment horizontal="left" vertical="center" indent="2"/>
    </xf>
    <xf numFmtId="166" fontId="18" fillId="2" borderId="6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166" fontId="17" fillId="2" borderId="6" xfId="1" applyNumberFormat="1" applyFont="1" applyFill="1" applyBorder="1" applyAlignment="1">
      <alignment vertical="center"/>
    </xf>
    <xf numFmtId="165" fontId="17" fillId="2" borderId="6" xfId="1" applyNumberFormat="1" applyFont="1" applyFill="1" applyBorder="1" applyAlignment="1">
      <alignment vertical="center"/>
    </xf>
    <xf numFmtId="165" fontId="17" fillId="2" borderId="1" xfId="1" applyNumberFormat="1" applyFont="1" applyFill="1" applyBorder="1" applyAlignment="1">
      <alignment vertical="center"/>
    </xf>
    <xf numFmtId="169" fontId="18" fillId="2" borderId="6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9" fontId="17" fillId="2" borderId="1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6" fontId="22" fillId="6" borderId="2" xfId="1" applyNumberFormat="1" applyFont="1" applyFill="1" applyBorder="1" applyAlignment="1">
      <alignment vertical="center" shrinkToFit="1"/>
    </xf>
    <xf numFmtId="166" fontId="17" fillId="5" borderId="2" xfId="1" applyNumberFormat="1" applyFont="1" applyFill="1" applyBorder="1" applyAlignment="1">
      <alignment vertical="center" shrinkToFit="1"/>
    </xf>
    <xf numFmtId="166" fontId="17" fillId="2" borderId="0" xfId="1" applyNumberFormat="1" applyFont="1" applyFill="1" applyAlignment="1">
      <alignment vertical="center" shrinkToFit="1"/>
    </xf>
    <xf numFmtId="166" fontId="17" fillId="2" borderId="7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6" fontId="17" fillId="2" borderId="6" xfId="1" applyNumberFormat="1" applyFont="1" applyFill="1" applyBorder="1" applyAlignment="1">
      <alignment vertical="center" shrinkToFit="1"/>
    </xf>
    <xf numFmtId="165" fontId="22" fillId="6" borderId="2" xfId="1" applyNumberFormat="1" applyFont="1" applyFill="1" applyBorder="1" applyAlignment="1">
      <alignment vertical="center" shrinkToFit="1"/>
    </xf>
    <xf numFmtId="165" fontId="17" fillId="5" borderId="2" xfId="1" applyNumberFormat="1" applyFont="1" applyFill="1" applyBorder="1" applyAlignment="1">
      <alignment vertical="center" shrinkToFit="1"/>
    </xf>
    <xf numFmtId="165" fontId="17" fillId="2" borderId="0" xfId="1" applyNumberFormat="1" applyFont="1" applyFill="1" applyAlignment="1">
      <alignment vertical="center" shrinkToFit="1"/>
    </xf>
    <xf numFmtId="165" fontId="17" fillId="2" borderId="0" xfId="1" applyNumberFormat="1" applyFont="1" applyFill="1" applyBorder="1" applyAlignment="1">
      <alignment vertical="center" shrinkToFit="1"/>
    </xf>
    <xf numFmtId="165" fontId="17" fillId="2" borderId="7" xfId="1" applyNumberFormat="1" applyFont="1" applyFill="1" applyBorder="1" applyAlignment="1">
      <alignment vertical="center" shrinkToFit="1"/>
    </xf>
    <xf numFmtId="165" fontId="17" fillId="2" borderId="6" xfId="1" applyNumberFormat="1" applyFont="1" applyFill="1" applyBorder="1" applyAlignment="1">
      <alignment vertical="center" shrinkToFit="1"/>
    </xf>
    <xf numFmtId="165" fontId="17" fillId="2" borderId="1" xfId="1" applyNumberFormat="1" applyFont="1" applyFill="1" applyBorder="1" applyAlignment="1">
      <alignment vertical="center" shrinkToFit="1"/>
    </xf>
    <xf numFmtId="169" fontId="22" fillId="6" borderId="2" xfId="1" applyNumberFormat="1" applyFont="1" applyFill="1" applyBorder="1" applyAlignment="1">
      <alignment vertical="center" shrinkToFit="1"/>
    </xf>
    <xf numFmtId="169" fontId="17" fillId="5" borderId="2" xfId="1" applyNumberFormat="1" applyFont="1" applyFill="1" applyBorder="1" applyAlignment="1">
      <alignment vertical="center" shrinkToFit="1"/>
    </xf>
    <xf numFmtId="169" fontId="17" fillId="2" borderId="0" xfId="1" applyNumberFormat="1" applyFont="1" applyFill="1" applyAlignment="1">
      <alignment vertical="center" shrinkToFit="1"/>
    </xf>
    <xf numFmtId="169" fontId="17" fillId="2" borderId="0" xfId="1" applyNumberFormat="1" applyFont="1" applyFill="1" applyBorder="1" applyAlignment="1">
      <alignment vertical="center" shrinkToFit="1"/>
    </xf>
    <xf numFmtId="169" fontId="18" fillId="2" borderId="7" xfId="1" applyNumberFormat="1" applyFont="1" applyFill="1" applyBorder="1" applyAlignment="1">
      <alignment vertical="center" shrinkToFit="1"/>
    </xf>
    <xf numFmtId="169" fontId="18" fillId="2" borderId="6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9" fontId="17" fillId="2" borderId="1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9" fontId="10" fillId="2" borderId="0" xfId="5" applyNumberFormat="1" applyFont="1" applyFill="1" applyAlignment="1">
      <alignment vertical="center"/>
    </xf>
    <xf numFmtId="0" fontId="15" fillId="6" borderId="2" xfId="5" applyFont="1" applyFill="1" applyBorder="1" applyAlignment="1">
      <alignment horizontal="left" vertical="center"/>
    </xf>
    <xf numFmtId="166" fontId="16" fillId="6" borderId="2" xfId="5" applyNumberFormat="1" applyFont="1" applyFill="1" applyBorder="1" applyAlignment="1">
      <alignment vertical="center"/>
    </xf>
    <xf numFmtId="166" fontId="17" fillId="2" borderId="0" xfId="5" applyNumberFormat="1" applyFont="1" applyFill="1" applyAlignment="1">
      <alignment vertical="center"/>
    </xf>
    <xf numFmtId="169" fontId="17" fillId="2" borderId="0" xfId="5" applyNumberFormat="1" applyFont="1" applyFill="1" applyAlignment="1">
      <alignment vertical="center"/>
    </xf>
    <xf numFmtId="173" fontId="17" fillId="2" borderId="0" xfId="5" applyNumberFormat="1" applyFont="1" applyFill="1" applyAlignment="1">
      <alignment vertical="center"/>
    </xf>
    <xf numFmtId="172" fontId="16" fillId="6" borderId="2" xfId="5" applyNumberFormat="1" applyFont="1" applyFill="1" applyBorder="1" applyAlignment="1">
      <alignment vertical="center"/>
    </xf>
    <xf numFmtId="172" fontId="17" fillId="2" borderId="0" xfId="5" applyNumberFormat="1" applyFont="1" applyFill="1" applyAlignment="1">
      <alignment vertical="center"/>
    </xf>
    <xf numFmtId="172" fontId="17" fillId="2" borderId="1" xfId="5" applyNumberFormat="1" applyFont="1" applyFill="1" applyBorder="1" applyAlignment="1">
      <alignment vertical="center"/>
    </xf>
    <xf numFmtId="165" fontId="16" fillId="6" borderId="2" xfId="2" applyNumberFormat="1" applyFont="1" applyFill="1" applyBorder="1" applyAlignment="1">
      <alignment vertical="center"/>
    </xf>
    <xf numFmtId="165" fontId="17" fillId="2" borderId="0" xfId="5" applyNumberFormat="1" applyFont="1" applyFill="1" applyAlignment="1">
      <alignment vertical="center"/>
    </xf>
    <xf numFmtId="166" fontId="16" fillId="6" borderId="2" xfId="5" applyNumberFormat="1" applyFont="1" applyFill="1" applyBorder="1" applyAlignment="1">
      <alignment vertical="center" shrinkToFit="1"/>
    </xf>
    <xf numFmtId="166" fontId="17" fillId="2" borderId="0" xfId="5" applyNumberFormat="1" applyFont="1" applyFill="1" applyAlignment="1">
      <alignment vertical="center" shrinkToFit="1"/>
    </xf>
    <xf numFmtId="169" fontId="17" fillId="2" borderId="0" xfId="5" applyNumberFormat="1" applyFont="1" applyFill="1" applyAlignment="1">
      <alignment vertical="center" shrinkToFit="1"/>
    </xf>
    <xf numFmtId="173" fontId="17" fillId="2" borderId="0" xfId="5" applyNumberFormat="1" applyFont="1" applyFill="1" applyAlignment="1">
      <alignment vertical="center" shrinkToFit="1"/>
    </xf>
    <xf numFmtId="172" fontId="16" fillId="6" borderId="2" xfId="5" applyNumberFormat="1" applyFont="1" applyFill="1" applyBorder="1" applyAlignment="1">
      <alignment vertical="center" shrinkToFit="1"/>
    </xf>
    <xf numFmtId="172" fontId="17" fillId="2" borderId="0" xfId="5" applyNumberFormat="1" applyFont="1" applyFill="1" applyAlignment="1">
      <alignment vertical="center" shrinkToFit="1"/>
    </xf>
    <xf numFmtId="172" fontId="17" fillId="2" borderId="1" xfId="5" applyNumberFormat="1" applyFont="1" applyFill="1" applyBorder="1" applyAlignment="1">
      <alignment vertical="center" shrinkToFit="1"/>
    </xf>
    <xf numFmtId="165" fontId="16" fillId="6" borderId="2" xfId="2" applyNumberFormat="1" applyFont="1" applyFill="1" applyBorder="1" applyAlignment="1">
      <alignment vertical="center" shrinkToFit="1"/>
    </xf>
    <xf numFmtId="165" fontId="17" fillId="2" borderId="0" xfId="5" applyNumberFormat="1" applyFont="1" applyFill="1" applyAlignment="1">
      <alignment vertical="center" shrinkToFit="1"/>
    </xf>
    <xf numFmtId="0" fontId="23" fillId="2" borderId="2" xfId="5" applyFont="1" applyFill="1" applyBorder="1" applyAlignment="1">
      <alignment horizontal="left" vertical="center"/>
    </xf>
    <xf numFmtId="166" fontId="17" fillId="2" borderId="2" xfId="5" applyNumberFormat="1" applyFont="1" applyFill="1" applyBorder="1" applyAlignment="1">
      <alignment vertical="center"/>
    </xf>
    <xf numFmtId="0" fontId="23" fillId="2" borderId="5" xfId="5" applyFont="1" applyFill="1" applyBorder="1" applyAlignment="1">
      <alignment horizontal="left" vertical="center"/>
    </xf>
    <xf numFmtId="0" fontId="23" fillId="2" borderId="7" xfId="5" applyFont="1" applyFill="1" applyBorder="1" applyAlignment="1">
      <alignment horizontal="left" vertical="center"/>
    </xf>
    <xf numFmtId="165" fontId="17" fillId="2" borderId="7" xfId="5" applyNumberFormat="1" applyFont="1" applyFill="1" applyBorder="1" applyAlignment="1">
      <alignment vertical="center"/>
    </xf>
    <xf numFmtId="0" fontId="23" fillId="2" borderId="0" xfId="5" applyFont="1" applyFill="1" applyBorder="1" applyAlignment="1">
      <alignment horizontal="left" vertical="center"/>
    </xf>
    <xf numFmtId="0" fontId="23" fillId="2" borderId="1" xfId="5" applyFont="1" applyFill="1" applyBorder="1" applyAlignment="1">
      <alignment horizontal="left" vertical="center"/>
    </xf>
    <xf numFmtId="172" fontId="17" fillId="2" borderId="2" xfId="5" applyNumberFormat="1" applyFont="1" applyFill="1" applyBorder="1" applyAlignment="1">
      <alignment vertical="center"/>
    </xf>
    <xf numFmtId="166" fontId="17" fillId="2" borderId="2" xfId="5" applyNumberFormat="1" applyFont="1" applyFill="1" applyBorder="1" applyAlignment="1">
      <alignment vertical="center" shrinkToFit="1"/>
    </xf>
    <xf numFmtId="165" fontId="17" fillId="2" borderId="7" xfId="5" applyNumberFormat="1" applyFont="1" applyFill="1" applyBorder="1" applyAlignment="1">
      <alignment vertical="center" shrinkToFit="1"/>
    </xf>
    <xf numFmtId="169" fontId="10" fillId="2" borderId="0" xfId="5" applyNumberFormat="1" applyFont="1" applyFill="1" applyAlignment="1">
      <alignment vertical="center" shrinkToFit="1"/>
    </xf>
    <xf numFmtId="172" fontId="17" fillId="2" borderId="2" xfId="5" applyNumberFormat="1" applyFont="1" applyFill="1" applyBorder="1" applyAlignment="1">
      <alignment vertical="center" shrinkToFit="1"/>
    </xf>
    <xf numFmtId="172" fontId="10" fillId="2" borderId="0" xfId="5" applyNumberFormat="1" applyFont="1" applyFill="1" applyBorder="1" applyAlignment="1">
      <alignment vertical="center" shrinkToFit="1"/>
    </xf>
    <xf numFmtId="0" fontId="13" fillId="2" borderId="2" xfId="5" applyNumberFormat="1" applyFont="1" applyFill="1" applyBorder="1" applyAlignment="1">
      <alignment vertical="center" shrinkToFit="1"/>
    </xf>
    <xf numFmtId="0" fontId="13" fillId="2" borderId="5" xfId="5" applyNumberFormat="1" applyFont="1" applyFill="1" applyBorder="1" applyAlignment="1">
      <alignment vertical="center" shrinkToFit="1"/>
    </xf>
    <xf numFmtId="0" fontId="13" fillId="2" borderId="6" xfId="5" applyNumberFormat="1" applyFont="1" applyFill="1" applyBorder="1" applyAlignment="1">
      <alignment vertical="center" shrinkToFit="1"/>
    </xf>
    <xf numFmtId="0" fontId="13" fillId="2" borderId="3" xfId="5" applyNumberFormat="1" applyFont="1" applyFill="1" applyBorder="1" applyAlignment="1">
      <alignment vertical="center" shrinkToFit="1"/>
    </xf>
    <xf numFmtId="0" fontId="13" fillId="2" borderId="1" xfId="5" applyNumberFormat="1" applyFont="1" applyFill="1" applyBorder="1" applyAlignment="1">
      <alignment vertical="center" shrinkToFit="1"/>
    </xf>
    <xf numFmtId="175" fontId="10" fillId="2" borderId="0" xfId="5" applyNumberFormat="1" applyFont="1" applyFill="1" applyAlignment="1">
      <alignment vertical="center"/>
    </xf>
    <xf numFmtId="0" fontId="13" fillId="2" borderId="0" xfId="5" applyNumberFormat="1" applyFont="1" applyFill="1" applyBorder="1" applyAlignment="1">
      <alignment vertical="center" shrinkToFit="1"/>
    </xf>
    <xf numFmtId="174" fontId="17" fillId="2" borderId="1" xfId="5" applyNumberFormat="1" applyFont="1" applyFill="1" applyBorder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0" fontId="16" fillId="6" borderId="5" xfId="5" applyFont="1" applyFill="1" applyBorder="1" applyAlignment="1">
      <alignment horizontal="left" vertical="center"/>
    </xf>
    <xf numFmtId="166" fontId="17" fillId="6" borderId="5" xfId="5" applyNumberFormat="1" applyFont="1" applyFill="1" applyBorder="1" applyAlignment="1">
      <alignment vertical="center"/>
    </xf>
    <xf numFmtId="0" fontId="16" fillId="6" borderId="1" xfId="5" applyFont="1" applyFill="1" applyBorder="1" applyAlignment="1">
      <alignment horizontal="left" vertical="center"/>
    </xf>
    <xf numFmtId="166" fontId="17" fillId="6" borderId="1" xfId="5" applyNumberFormat="1" applyFont="1" applyFill="1" applyBorder="1" applyAlignment="1">
      <alignment vertical="center"/>
    </xf>
    <xf numFmtId="0" fontId="16" fillId="5" borderId="6" xfId="5" applyFont="1" applyFill="1" applyBorder="1" applyAlignment="1">
      <alignment horizontal="left" vertical="center" indent="1"/>
    </xf>
    <xf numFmtId="166" fontId="17" fillId="5" borderId="6" xfId="5" applyNumberFormat="1" applyFont="1" applyFill="1" applyBorder="1" applyAlignment="1">
      <alignment vertical="center"/>
    </xf>
    <xf numFmtId="0" fontId="16" fillId="5" borderId="3" xfId="5" applyFont="1" applyFill="1" applyBorder="1" applyAlignment="1">
      <alignment horizontal="left" vertical="center" indent="1"/>
    </xf>
    <xf numFmtId="166" fontId="17" fillId="5" borderId="3" xfId="5" applyNumberFormat="1" applyFont="1" applyFill="1" applyBorder="1" applyAlignment="1">
      <alignment vertical="center"/>
    </xf>
    <xf numFmtId="0" fontId="18" fillId="5" borderId="2" xfId="5" applyFont="1" applyFill="1" applyBorder="1" applyAlignment="1">
      <alignment horizontal="left" vertical="center" indent="1"/>
    </xf>
    <xf numFmtId="166" fontId="17" fillId="5" borderId="2" xfId="5" applyNumberFormat="1" applyFont="1" applyFill="1" applyBorder="1" applyAlignment="1">
      <alignment vertical="center"/>
    </xf>
    <xf numFmtId="3" fontId="17" fillId="6" borderId="2" xfId="5" applyNumberFormat="1" applyFont="1" applyFill="1" applyBorder="1" applyAlignment="1">
      <alignment vertical="center"/>
    </xf>
    <xf numFmtId="165" fontId="19" fillId="6" borderId="2" xfId="5" applyNumberFormat="1" applyFont="1" applyFill="1" applyBorder="1" applyAlignment="1">
      <alignment vertical="center"/>
    </xf>
    <xf numFmtId="0" fontId="15" fillId="6" borderId="2" xfId="5" applyNumberFormat="1" applyFont="1" applyFill="1" applyBorder="1" applyAlignment="1">
      <alignment horizontal="left" vertical="center"/>
    </xf>
    <xf numFmtId="0" fontId="24" fillId="5" borderId="2" xfId="5" applyFont="1" applyFill="1" applyBorder="1" applyAlignment="1">
      <alignment horizontal="left" vertical="center" indent="1"/>
    </xf>
    <xf numFmtId="0" fontId="22" fillId="5" borderId="2" xfId="5" applyFont="1" applyFill="1" applyBorder="1" applyAlignment="1">
      <alignment horizontal="left" vertical="center" indent="1"/>
    </xf>
    <xf numFmtId="176" fontId="22" fillId="5" borderId="2" xfId="2" applyNumberFormat="1" applyFont="1" applyFill="1" applyBorder="1" applyAlignment="1">
      <alignment vertical="center"/>
    </xf>
    <xf numFmtId="174" fontId="22" fillId="5" borderId="2" xfId="2" applyNumberFormat="1" applyFont="1" applyFill="1" applyBorder="1" applyAlignment="1">
      <alignment vertical="center"/>
    </xf>
    <xf numFmtId="165" fontId="22" fillId="5" borderId="2" xfId="2" applyNumberFormat="1" applyFont="1" applyFill="1" applyBorder="1" applyAlignment="1">
      <alignment vertical="center"/>
    </xf>
    <xf numFmtId="0" fontId="26" fillId="2" borderId="5" xfId="5" applyFont="1" applyFill="1" applyBorder="1" applyAlignment="1">
      <alignment horizontal="left" vertical="center" indent="2"/>
    </xf>
    <xf numFmtId="166" fontId="26" fillId="2" borderId="5" xfId="5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166" fontId="26" fillId="2" borderId="0" xfId="5" applyNumberFormat="1" applyFont="1" applyFill="1" applyBorder="1" applyAlignment="1">
      <alignment vertical="center"/>
    </xf>
    <xf numFmtId="0" fontId="26" fillId="2" borderId="3" xfId="5" applyFont="1" applyFill="1" applyBorder="1" applyAlignment="1">
      <alignment horizontal="left" vertical="center" indent="2"/>
    </xf>
    <xf numFmtId="166" fontId="26" fillId="2" borderId="3" xfId="5" applyNumberFormat="1" applyFont="1" applyFill="1" applyBorder="1" applyAlignment="1">
      <alignment vertical="center"/>
    </xf>
    <xf numFmtId="176" fontId="26" fillId="2" borderId="5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176" fontId="26" fillId="2" borderId="3" xfId="5" applyNumberFormat="1" applyFont="1" applyFill="1" applyBorder="1" applyAlignment="1">
      <alignment vertical="center"/>
    </xf>
    <xf numFmtId="174" fontId="26" fillId="2" borderId="5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3" xfId="5" applyNumberFormat="1" applyFont="1" applyFill="1" applyBorder="1" applyAlignment="1">
      <alignment vertical="center"/>
    </xf>
    <xf numFmtId="165" fontId="26" fillId="2" borderId="5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3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3"/>
    </xf>
    <xf numFmtId="166" fontId="27" fillId="2" borderId="0" xfId="5" applyNumberFormat="1" applyFont="1" applyFill="1" applyAlignment="1">
      <alignment vertical="center"/>
    </xf>
    <xf numFmtId="166" fontId="27" fillId="2" borderId="0" xfId="5" applyNumberFormat="1" applyFont="1" applyFill="1" applyBorder="1" applyAlignment="1">
      <alignment vertical="center"/>
    </xf>
    <xf numFmtId="0" fontId="25" fillId="2" borderId="8" xfId="5" applyFont="1" applyFill="1" applyBorder="1" applyAlignment="1">
      <alignment horizontal="left" vertical="center" indent="2"/>
    </xf>
    <xf numFmtId="166" fontId="25" fillId="2" borderId="8" xfId="5" applyNumberFormat="1" applyFont="1" applyFill="1" applyBorder="1" applyAlignment="1">
      <alignment vertical="center"/>
    </xf>
    <xf numFmtId="166" fontId="25" fillId="2" borderId="7" xfId="5" applyNumberFormat="1" applyFont="1" applyFill="1" applyBorder="1" applyAlignment="1">
      <alignment vertical="center"/>
    </xf>
    <xf numFmtId="176" fontId="25" fillId="2" borderId="0" xfId="5" applyNumberFormat="1" applyFont="1" applyFill="1" applyBorder="1" applyAlignment="1">
      <alignment vertical="center"/>
    </xf>
    <xf numFmtId="0" fontId="25" fillId="2" borderId="1" xfId="5" applyFont="1" applyFill="1" applyBorder="1" applyAlignment="1">
      <alignment horizontal="left" vertical="center" indent="2"/>
    </xf>
    <xf numFmtId="176" fontId="25" fillId="2" borderId="1" xfId="5" applyNumberFormat="1" applyFont="1" applyFill="1" applyBorder="1" applyAlignment="1">
      <alignment vertical="center"/>
    </xf>
    <xf numFmtId="174" fontId="25" fillId="2" borderId="0" xfId="5" applyNumberFormat="1" applyFont="1" applyFill="1" applyBorder="1" applyAlignment="1">
      <alignment vertical="center"/>
    </xf>
    <xf numFmtId="174" fontId="25" fillId="2" borderId="1" xfId="5" applyNumberFormat="1" applyFont="1" applyFill="1" applyBorder="1" applyAlignment="1">
      <alignment vertical="center"/>
    </xf>
    <xf numFmtId="165" fontId="25" fillId="2" borderId="0" xfId="5" applyNumberFormat="1" applyFont="1" applyFill="1" applyBorder="1" applyAlignment="1">
      <alignment vertical="center"/>
    </xf>
    <xf numFmtId="165" fontId="25" fillId="2" borderId="1" xfId="5" applyNumberFormat="1" applyFont="1" applyFill="1" applyBorder="1" applyAlignment="1">
      <alignment vertical="center"/>
    </xf>
    <xf numFmtId="165" fontId="19" fillId="6" borderId="2" xfId="5" applyNumberFormat="1" applyFont="1" applyFill="1" applyBorder="1" applyAlignment="1">
      <alignment vertical="center" shrinkToFit="1"/>
    </xf>
    <xf numFmtId="166" fontId="26" fillId="2" borderId="5" xfId="5" applyNumberFormat="1" applyFont="1" applyFill="1" applyBorder="1" applyAlignment="1">
      <alignment vertical="center" shrinkToFit="1"/>
    </xf>
    <xf numFmtId="166" fontId="26" fillId="2" borderId="0" xfId="5" applyNumberFormat="1" applyFont="1" applyFill="1" applyBorder="1" applyAlignment="1">
      <alignment vertical="center" shrinkToFit="1"/>
    </xf>
    <xf numFmtId="166" fontId="26" fillId="2" borderId="3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5" fillId="2" borderId="8" xfId="5" applyNumberFormat="1" applyFont="1" applyFill="1" applyBorder="1" applyAlignment="1">
      <alignment vertical="center" shrinkToFit="1"/>
    </xf>
    <xf numFmtId="166" fontId="25" fillId="2" borderId="7" xfId="5" applyNumberFormat="1" applyFont="1" applyFill="1" applyBorder="1" applyAlignment="1">
      <alignment vertical="center" shrinkToFit="1"/>
    </xf>
    <xf numFmtId="176" fontId="22" fillId="5" borderId="2" xfId="2" applyNumberFormat="1" applyFont="1" applyFill="1" applyBorder="1" applyAlignment="1">
      <alignment vertical="center" shrinkToFit="1"/>
    </xf>
    <xf numFmtId="176" fontId="26" fillId="2" borderId="5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3" xfId="5" applyNumberFormat="1" applyFont="1" applyFill="1" applyBorder="1" applyAlignment="1">
      <alignment vertical="center" shrinkToFit="1"/>
    </xf>
    <xf numFmtId="176" fontId="25" fillId="2" borderId="0" xfId="5" applyNumberFormat="1" applyFont="1" applyFill="1" applyBorder="1" applyAlignment="1">
      <alignment vertical="center" shrinkToFit="1"/>
    </xf>
    <xf numFmtId="176" fontId="25" fillId="2" borderId="1" xfId="5" applyNumberFormat="1" applyFont="1" applyFill="1" applyBorder="1" applyAlignment="1">
      <alignment vertical="center" shrinkToFit="1"/>
    </xf>
    <xf numFmtId="174" fontId="22" fillId="5" borderId="2" xfId="2" applyNumberFormat="1" applyFont="1" applyFill="1" applyBorder="1" applyAlignment="1">
      <alignment vertical="center" shrinkToFit="1"/>
    </xf>
    <xf numFmtId="174" fontId="26" fillId="2" borderId="5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3" xfId="5" applyNumberFormat="1" applyFont="1" applyFill="1" applyBorder="1" applyAlignment="1">
      <alignment vertical="center" shrinkToFit="1"/>
    </xf>
    <xf numFmtId="174" fontId="25" fillId="2" borderId="0" xfId="5" applyNumberFormat="1" applyFont="1" applyFill="1" applyBorder="1" applyAlignment="1">
      <alignment vertical="center" shrinkToFit="1"/>
    </xf>
    <xf numFmtId="174" fontId="25" fillId="2" borderId="1" xfId="5" applyNumberFormat="1" applyFont="1" applyFill="1" applyBorder="1" applyAlignment="1">
      <alignment vertical="center" shrinkToFit="1"/>
    </xf>
    <xf numFmtId="165" fontId="22" fillId="5" borderId="2" xfId="2" applyNumberFormat="1" applyFont="1" applyFill="1" applyBorder="1" applyAlignment="1">
      <alignment vertical="center" shrinkToFit="1"/>
    </xf>
    <xf numFmtId="165" fontId="26" fillId="2" borderId="5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3" xfId="5" applyNumberFormat="1" applyFont="1" applyFill="1" applyBorder="1" applyAlignment="1">
      <alignment vertical="center" shrinkToFit="1"/>
    </xf>
    <xf numFmtId="165" fontId="25" fillId="2" borderId="0" xfId="5" applyNumberFormat="1" applyFont="1" applyFill="1" applyBorder="1" applyAlignment="1">
      <alignment vertical="center" shrinkToFit="1"/>
    </xf>
    <xf numFmtId="165" fontId="25" fillId="2" borderId="1" xfId="5" applyNumberFormat="1" applyFont="1" applyFill="1" applyBorder="1" applyAlignment="1">
      <alignment vertical="center" shrinkToFit="1"/>
    </xf>
    <xf numFmtId="0" fontId="28" fillId="2" borderId="0" xfId="0" applyFont="1" applyFill="1"/>
    <xf numFmtId="0" fontId="29" fillId="2" borderId="1" xfId="0" applyFont="1" applyFill="1" applyBorder="1"/>
    <xf numFmtId="0" fontId="23" fillId="2" borderId="0" xfId="0" applyFont="1" applyFill="1"/>
    <xf numFmtId="0" fontId="30" fillId="2" borderId="0" xfId="0" applyFont="1" applyFill="1" applyAlignment="1">
      <alignment horizontal="left"/>
    </xf>
    <xf numFmtId="0" fontId="23" fillId="2" borderId="0" xfId="0" applyFont="1" applyFill="1" applyAlignment="1">
      <alignment horizontal="left"/>
    </xf>
    <xf numFmtId="0" fontId="23" fillId="2" borderId="0" xfId="0" applyFont="1" applyFill="1" applyAlignment="1">
      <alignment horizontal="left" indent="1"/>
    </xf>
    <xf numFmtId="0" fontId="32" fillId="2" borderId="0" xfId="6" applyFont="1" applyFill="1"/>
    <xf numFmtId="0" fontId="17" fillId="2" borderId="0" xfId="6" applyFont="1" applyFill="1" applyAlignment="1">
      <alignment vertical="center"/>
    </xf>
    <xf numFmtId="0" fontId="17" fillId="2" borderId="0" xfId="6" applyFont="1" applyFill="1" applyAlignment="1">
      <alignment horizontal="center" vertical="center"/>
    </xf>
    <xf numFmtId="0" fontId="33" fillId="2" borderId="2" xfId="6" applyFont="1" applyFill="1" applyBorder="1" applyAlignment="1">
      <alignment vertical="center"/>
    </xf>
    <xf numFmtId="0" fontId="34" fillId="2" borderId="2" xfId="6" applyFont="1" applyFill="1" applyBorder="1" applyAlignment="1">
      <alignment vertical="center"/>
    </xf>
    <xf numFmtId="0" fontId="35" fillId="2" borderId="0" xfId="6" applyFont="1" applyFill="1" applyAlignment="1">
      <alignment vertical="center"/>
    </xf>
    <xf numFmtId="0" fontId="34" fillId="2" borderId="0" xfId="6" applyFont="1" applyFill="1" applyAlignment="1">
      <alignment vertical="center"/>
    </xf>
    <xf numFmtId="0" fontId="15" fillId="2" borderId="0" xfId="6" applyFont="1" applyFill="1" applyAlignment="1">
      <alignment vertical="center"/>
    </xf>
    <xf numFmtId="0" fontId="19" fillId="2" borderId="0" xfId="6" applyFont="1" applyFill="1" applyAlignment="1">
      <alignment vertical="center"/>
    </xf>
    <xf numFmtId="0" fontId="38" fillId="2" borderId="0" xfId="9" applyFont="1" applyFill="1" applyAlignment="1">
      <alignment vertical="center"/>
    </xf>
    <xf numFmtId="0" fontId="39" fillId="2" borderId="0" xfId="3" applyFont="1" applyFill="1" applyAlignment="1">
      <alignment horizontal="left" vertical="center" indent="1"/>
    </xf>
    <xf numFmtId="166" fontId="17" fillId="7" borderId="0" xfId="5" applyNumberFormat="1" applyFont="1" applyFill="1" applyBorder="1" applyAlignment="1">
      <alignment vertical="center"/>
    </xf>
    <xf numFmtId="0" fontId="36" fillId="2" borderId="0" xfId="6" applyFont="1" applyFill="1" applyAlignment="1">
      <alignment horizontal="left" vertical="center"/>
    </xf>
    <xf numFmtId="177" fontId="37" fillId="2" borderId="0" xfId="6" quotePrefix="1" applyNumberFormat="1" applyFont="1" applyFill="1" applyAlignment="1">
      <alignment horizontal="left" vertical="center"/>
    </xf>
    <xf numFmtId="0" fontId="40" fillId="0" borderId="0" xfId="6" applyFont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99"/>
    <col min="5" max="21" width="9.7109375" style="299" customWidth="1"/>
    <col min="22" max="22" width="9.7109375" style="300" customWidth="1"/>
    <col min="23" max="23" width="107.42578125" style="299" customWidth="1"/>
    <col min="24" max="24" width="44.7109375" style="299" customWidth="1"/>
    <col min="25" max="26" width="9.7109375" style="299" customWidth="1"/>
    <col min="27" max="16384" width="9.140625" style="299"/>
  </cols>
  <sheetData>
    <row r="2" spans="1:23" ht="21" x14ac:dyDescent="0.35">
      <c r="A2" s="298"/>
      <c r="B2" s="312"/>
      <c r="C2" s="312"/>
      <c r="D2" s="312"/>
      <c r="E2" s="312"/>
      <c r="F2" s="312"/>
      <c r="G2" s="312"/>
      <c r="H2" s="312"/>
      <c r="I2" s="312"/>
      <c r="J2" s="312"/>
      <c r="K2" s="312"/>
    </row>
    <row r="3" spans="1:23" ht="15" customHeight="1" x14ac:dyDescent="0.25">
      <c r="B3" s="312"/>
      <c r="C3" s="312"/>
      <c r="D3" s="312"/>
      <c r="E3" s="312"/>
      <c r="F3" s="312"/>
      <c r="G3" s="312"/>
      <c r="H3" s="312"/>
      <c r="I3" s="312"/>
      <c r="J3" s="312"/>
      <c r="K3" s="312"/>
    </row>
    <row r="6" spans="1:23" ht="31.5" x14ac:dyDescent="0.25">
      <c r="A6" s="301"/>
      <c r="B6" s="302" t="s">
        <v>176</v>
      </c>
      <c r="C6" s="302"/>
      <c r="D6" s="302"/>
      <c r="E6" s="302"/>
      <c r="F6" s="302"/>
      <c r="G6" s="302"/>
      <c r="H6" s="302"/>
      <c r="I6" s="302"/>
      <c r="J6" s="302"/>
      <c r="K6" s="302"/>
      <c r="L6" s="302"/>
      <c r="M6" s="302"/>
      <c r="N6" s="302"/>
      <c r="O6" s="302"/>
      <c r="P6" s="302"/>
      <c r="Q6" s="302"/>
      <c r="V6" s="299"/>
    </row>
    <row r="7" spans="1:23" ht="15" customHeight="1" x14ac:dyDescent="0.25">
      <c r="V7" s="299"/>
    </row>
    <row r="8" spans="1:23" ht="15" customHeight="1" x14ac:dyDescent="0.25">
      <c r="V8" s="299"/>
    </row>
    <row r="9" spans="1:23" ht="15" customHeight="1" x14ac:dyDescent="0.25">
      <c r="V9" s="299"/>
    </row>
    <row r="10" spans="1:23" ht="28.5" x14ac:dyDescent="0.25">
      <c r="C10" s="303" t="s">
        <v>186</v>
      </c>
      <c r="V10" s="299"/>
    </row>
    <row r="11" spans="1:23" ht="15" customHeight="1" x14ac:dyDescent="0.25">
      <c r="V11" s="299"/>
    </row>
    <row r="15" spans="1:23" ht="30" customHeight="1" x14ac:dyDescent="0.25">
      <c r="C15" s="303" t="s">
        <v>137</v>
      </c>
    </row>
    <row r="16" spans="1:23" ht="15" customHeight="1" x14ac:dyDescent="0.25">
      <c r="W16" s="304"/>
    </row>
    <row r="17" spans="12:32" ht="15" customHeight="1" x14ac:dyDescent="0.25">
      <c r="W17" s="304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299"/>
    </row>
    <row r="30" spans="12:32" ht="18.75" x14ac:dyDescent="0.25">
      <c r="L30" s="311">
        <v>45967.474942129629</v>
      </c>
      <c r="M30" s="311"/>
      <c r="N30" s="311"/>
      <c r="O30" s="311"/>
      <c r="V30" s="299"/>
    </row>
    <row r="31" spans="12:32" ht="15" customHeight="1" x14ac:dyDescent="0.25">
      <c r="L31" s="305" t="s">
        <v>177</v>
      </c>
      <c r="V31" s="299"/>
      <c r="AA31" s="306"/>
      <c r="AB31" s="306"/>
      <c r="AC31" s="306"/>
      <c r="AD31" s="306"/>
      <c r="AE31" s="306"/>
      <c r="AF31" s="306"/>
    </row>
    <row r="32" spans="12:32" ht="15" customHeight="1" x14ac:dyDescent="0.25">
      <c r="V32" s="299"/>
    </row>
    <row r="33" spans="2:32" ht="15" customHeight="1" x14ac:dyDescent="0.25">
      <c r="B33" s="307" t="s">
        <v>138</v>
      </c>
      <c r="V33" s="299"/>
    </row>
    <row r="34" spans="2:32" ht="15" customHeight="1" x14ac:dyDescent="0.25">
      <c r="B34" s="307"/>
      <c r="V34" s="307"/>
    </row>
    <row r="35" spans="2:32" ht="15" customHeight="1" x14ac:dyDescent="0.25">
      <c r="B35" s="307" t="s">
        <v>143</v>
      </c>
      <c r="V35" s="307"/>
    </row>
    <row r="36" spans="2:32" ht="15" customHeight="1" x14ac:dyDescent="0.25">
      <c r="B36" s="307" t="s">
        <v>139</v>
      </c>
      <c r="E36" s="306"/>
      <c r="F36" s="306"/>
      <c r="G36" s="306"/>
      <c r="H36" s="306"/>
      <c r="I36" s="306"/>
      <c r="J36" s="306"/>
      <c r="K36" s="306"/>
      <c r="L36" s="306"/>
      <c r="M36" s="306"/>
      <c r="N36" s="306"/>
      <c r="O36" s="306"/>
      <c r="P36" s="306"/>
      <c r="Q36" s="306"/>
      <c r="R36" s="306"/>
      <c r="S36" s="306"/>
      <c r="T36" s="306"/>
      <c r="U36" s="306"/>
      <c r="W36" s="306"/>
      <c r="X36" s="306"/>
      <c r="Y36" s="306"/>
      <c r="Z36" s="306"/>
    </row>
    <row r="38" spans="2:32" ht="15" customHeight="1" x14ac:dyDescent="0.25">
      <c r="B38" s="307" t="s">
        <v>144</v>
      </c>
    </row>
    <row r="39" spans="2:32" ht="15" customHeight="1" x14ac:dyDescent="0.25">
      <c r="B39" s="307" t="s">
        <v>145</v>
      </c>
    </row>
    <row r="40" spans="2:32" ht="15" customHeight="1" x14ac:dyDescent="0.25">
      <c r="B40" s="308" t="s">
        <v>146</v>
      </c>
      <c r="AA40" s="306"/>
      <c r="AB40" s="306"/>
      <c r="AC40" s="306"/>
      <c r="AD40" s="306"/>
      <c r="AE40" s="306"/>
      <c r="AF40" s="306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2" t="s">
        <v>185</v>
      </c>
      <c r="B1" s="292" t="s">
        <v>186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3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4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5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6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6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6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6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6" t="s">
        <v>153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6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6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6" t="s">
        <v>154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6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6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6" t="s">
        <v>155</v>
      </c>
    </row>
    <row r="18" spans="1:4" x14ac:dyDescent="0.25">
      <c r="B18" s="21"/>
      <c r="C18" s="21"/>
      <c r="D18" s="23"/>
    </row>
    <row r="19" spans="1:4" x14ac:dyDescent="0.25">
      <c r="A19" s="19"/>
      <c r="B19" s="295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6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6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6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6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6" t="s">
        <v>153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6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6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6" t="s">
        <v>154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6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6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6" t="s">
        <v>155</v>
      </c>
    </row>
    <row r="31" spans="1:4" x14ac:dyDescent="0.25">
      <c r="B31" s="21"/>
      <c r="C31" s="21"/>
      <c r="D31" s="23"/>
    </row>
    <row r="32" spans="1:4" x14ac:dyDescent="0.25">
      <c r="B32" s="295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6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6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6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6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6" t="s">
        <v>171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6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6" t="s">
        <v>3</v>
      </c>
    </row>
    <row r="41" spans="2:4" x14ac:dyDescent="0.25">
      <c r="B41" s="295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4" t="s">
        <v>175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7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7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7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H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5171302</v>
      </c>
      <c r="C3" s="34">
        <v>5181115</v>
      </c>
      <c r="D3" s="34">
        <v>5194901</v>
      </c>
      <c r="E3" s="34">
        <v>5206295</v>
      </c>
      <c r="F3" s="34">
        <v>5219732</v>
      </c>
      <c r="G3" s="34">
        <v>5236611</v>
      </c>
      <c r="H3" s="34">
        <v>5255580</v>
      </c>
      <c r="I3" s="34">
        <v>5276955</v>
      </c>
      <c r="J3" s="34">
        <v>5300484</v>
      </c>
      <c r="K3" s="34">
        <v>5326314</v>
      </c>
      <c r="L3" s="34">
        <v>5351427</v>
      </c>
      <c r="M3" s="34">
        <v>5375276</v>
      </c>
      <c r="N3" s="34">
        <v>5401267</v>
      </c>
      <c r="O3" s="34">
        <v>5426674</v>
      </c>
      <c r="P3" s="34">
        <v>5451270</v>
      </c>
      <c r="Q3" s="34">
        <v>5471753</v>
      </c>
      <c r="R3" s="34">
        <v>5487308</v>
      </c>
      <c r="S3" s="34">
        <v>5503297</v>
      </c>
      <c r="T3" s="34">
        <v>5513130</v>
      </c>
      <c r="U3" s="34">
        <v>5517919</v>
      </c>
      <c r="V3" s="34">
        <v>5525292</v>
      </c>
      <c r="W3" s="34">
        <v>5533793</v>
      </c>
      <c r="X3" s="34">
        <v>5548241</v>
      </c>
      <c r="Y3" s="34">
        <v>5563970</v>
      </c>
      <c r="DA3" s="88" t="s">
        <v>188</v>
      </c>
    </row>
    <row r="4" spans="1:105" ht="12" customHeight="1" x14ac:dyDescent="0.25">
      <c r="A4" s="35" t="s">
        <v>178</v>
      </c>
      <c r="B4" s="36">
        <v>211189.72170330738</v>
      </c>
      <c r="C4" s="36">
        <v>216765.35155877707</v>
      </c>
      <c r="D4" s="36">
        <v>220423.09141053993</v>
      </c>
      <c r="E4" s="36">
        <v>224857.35355313899</v>
      </c>
      <c r="F4" s="36">
        <v>233865.72804811911</v>
      </c>
      <c r="G4" s="36">
        <v>240360.96094570504</v>
      </c>
      <c r="H4" s="36">
        <v>250020.92942884803</v>
      </c>
      <c r="I4" s="36">
        <v>263304.77356446377</v>
      </c>
      <c r="J4" s="36">
        <v>265371.42218412476</v>
      </c>
      <c r="K4" s="36">
        <v>243937.84410829993</v>
      </c>
      <c r="L4" s="36">
        <v>251668.37829429607</v>
      </c>
      <c r="M4" s="36">
        <v>257681.89476898918</v>
      </c>
      <c r="N4" s="36">
        <v>253758.91659603326</v>
      </c>
      <c r="O4" s="36">
        <v>251274.15435790955</v>
      </c>
      <c r="P4" s="36">
        <v>250070.49657499441</v>
      </c>
      <c r="Q4" s="36">
        <v>251238.29376000003</v>
      </c>
      <c r="R4" s="36">
        <v>257700.48049572736</v>
      </c>
      <c r="S4" s="36">
        <v>266211.976846529</v>
      </c>
      <c r="T4" s="36">
        <v>269389.87754626031</v>
      </c>
      <c r="U4" s="36">
        <v>273025.34455712931</v>
      </c>
      <c r="V4" s="36">
        <v>266223.80936946446</v>
      </c>
      <c r="W4" s="36">
        <v>273348.13465958188</v>
      </c>
      <c r="X4" s="36">
        <v>275435.39188861568</v>
      </c>
      <c r="Y4" s="36">
        <v>272848</v>
      </c>
      <c r="DA4" s="89" t="s">
        <v>189</v>
      </c>
    </row>
    <row r="5" spans="1:105" ht="12" customHeight="1" x14ac:dyDescent="0.25">
      <c r="A5" s="35" t="s">
        <v>179</v>
      </c>
      <c r="B5" s="36">
        <v>116319.0087404545</v>
      </c>
      <c r="C5" s="36">
        <v>121941.74915151208</v>
      </c>
      <c r="D5" s="36">
        <v>125197.48528341655</v>
      </c>
      <c r="E5" s="36">
        <v>128029.80661024987</v>
      </c>
      <c r="F5" s="36">
        <v>133784.8709438435</v>
      </c>
      <c r="G5" s="36">
        <v>137855.62552462524</v>
      </c>
      <c r="H5" s="36">
        <v>140938.68031137084</v>
      </c>
      <c r="I5" s="36">
        <v>148032.50213077408</v>
      </c>
      <c r="J5" s="36">
        <v>153255.95893388239</v>
      </c>
      <c r="K5" s="36">
        <v>149242.16017972477</v>
      </c>
      <c r="L5" s="36">
        <v>152506.11402526428</v>
      </c>
      <c r="M5" s="36">
        <v>157548.80999539889</v>
      </c>
      <c r="N5" s="36">
        <v>158576.65068507698</v>
      </c>
      <c r="O5" s="36">
        <v>156624.32490225972</v>
      </c>
      <c r="P5" s="36">
        <v>156624.53447396867</v>
      </c>
      <c r="Q5" s="36">
        <v>157035.93035999997</v>
      </c>
      <c r="R5" s="36">
        <v>159971.87661408892</v>
      </c>
      <c r="S5" s="36">
        <v>163580.7889587839</v>
      </c>
      <c r="T5" s="36">
        <v>165491.57913969713</v>
      </c>
      <c r="U5" s="36">
        <v>167996.91220843911</v>
      </c>
      <c r="V5" s="36">
        <v>163752.80882505199</v>
      </c>
      <c r="W5" s="36">
        <v>168625.44749533795</v>
      </c>
      <c r="X5" s="36">
        <v>167670.4734688935</v>
      </c>
      <c r="Y5" s="36">
        <v>172255</v>
      </c>
      <c r="DA5" s="89" t="s">
        <v>190</v>
      </c>
    </row>
    <row r="6" spans="1:105" ht="12" customHeight="1" x14ac:dyDescent="0.25">
      <c r="A6" s="37" t="s">
        <v>70</v>
      </c>
      <c r="B6" s="38">
        <v>1566000</v>
      </c>
      <c r="C6" s="38">
        <v>1602800</v>
      </c>
      <c r="D6" s="38">
        <v>1642100</v>
      </c>
      <c r="E6" s="38">
        <v>1658399.9999999998</v>
      </c>
      <c r="F6" s="38">
        <v>1681200</v>
      </c>
      <c r="G6" s="38">
        <v>1713400</v>
      </c>
      <c r="H6" s="38">
        <v>1749600</v>
      </c>
      <c r="I6" s="38">
        <v>1792500</v>
      </c>
      <c r="J6" s="38">
        <v>1839800</v>
      </c>
      <c r="K6" s="38">
        <v>1830800.0000000002</v>
      </c>
      <c r="L6" s="38">
        <v>1829100</v>
      </c>
      <c r="M6" s="38">
        <v>1858500</v>
      </c>
      <c r="N6" s="38">
        <v>1882400</v>
      </c>
      <c r="O6" s="38">
        <v>1881500.0000000002</v>
      </c>
      <c r="P6" s="38">
        <v>1882400</v>
      </c>
      <c r="Q6" s="38">
        <v>1892500</v>
      </c>
      <c r="R6" s="38">
        <v>1902900</v>
      </c>
      <c r="S6" s="38">
        <v>1917500.0000000002</v>
      </c>
      <c r="T6" s="38">
        <v>1971000</v>
      </c>
      <c r="U6" s="38">
        <v>2013000</v>
      </c>
      <c r="V6" s="38">
        <v>1965800</v>
      </c>
      <c r="W6" s="38">
        <v>2024300</v>
      </c>
      <c r="X6" s="38">
        <v>2110200</v>
      </c>
      <c r="Y6" s="38">
        <v>2148300</v>
      </c>
      <c r="DA6" s="90" t="s">
        <v>191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102430.20094684516</v>
      </c>
      <c r="C8" s="34">
        <v>103578.69346339145</v>
      </c>
      <c r="D8" s="34">
        <v>104631.00230979911</v>
      </c>
      <c r="E8" s="34">
        <v>105509.35956141938</v>
      </c>
      <c r="F8" s="34">
        <v>107109.92214372168</v>
      </c>
      <c r="G8" s="34">
        <v>108459.19175101758</v>
      </c>
      <c r="H8" s="34">
        <v>110373.074977932</v>
      </c>
      <c r="I8" s="34">
        <v>112262.02051241392</v>
      </c>
      <c r="J8" s="34">
        <v>113504.79126117386</v>
      </c>
      <c r="K8" s="34">
        <v>114243.96728495175</v>
      </c>
      <c r="L8" s="34">
        <v>115188.12437404327</v>
      </c>
      <c r="M8" s="34">
        <v>115861.29109970828</v>
      </c>
      <c r="N8" s="34">
        <v>116262.70440647154</v>
      </c>
      <c r="O8" s="34">
        <v>116613.88622291548</v>
      </c>
      <c r="P8" s="34">
        <v>116981.41904739381</v>
      </c>
      <c r="Q8" s="34">
        <v>117385.0608260351</v>
      </c>
      <c r="R8" s="34">
        <v>118112.60996344869</v>
      </c>
      <c r="S8" s="34">
        <v>119161.28920837922</v>
      </c>
      <c r="T8" s="34">
        <v>120233.18791484731</v>
      </c>
      <c r="U8" s="34">
        <v>121216.84413996509</v>
      </c>
      <c r="V8" s="34">
        <v>122111.11111111111</v>
      </c>
      <c r="W8" s="34">
        <v>122876.55854138291</v>
      </c>
      <c r="X8" s="34">
        <v>123525.97177853652</v>
      </c>
      <c r="Y8" s="34">
        <v>124073.57814648592</v>
      </c>
      <c r="DA8" s="88" t="s">
        <v>192</v>
      </c>
    </row>
    <row r="9" spans="1:105" ht="12" customHeight="1" x14ac:dyDescent="0.25">
      <c r="A9" s="39" t="s">
        <v>68</v>
      </c>
      <c r="B9" s="40">
        <v>92187.180852160644</v>
      </c>
      <c r="C9" s="40">
        <v>93220.824117052296</v>
      </c>
      <c r="D9" s="40">
        <v>94167.902078819185</v>
      </c>
      <c r="E9" s="40">
        <v>94958.423605277436</v>
      </c>
      <c r="F9" s="40">
        <v>96398.929929349513</v>
      </c>
      <c r="G9" s="40">
        <v>97613.27257591582</v>
      </c>
      <c r="H9" s="40">
        <v>99335.767480138806</v>
      </c>
      <c r="I9" s="40">
        <v>101035.81846117252</v>
      </c>
      <c r="J9" s="40">
        <v>102154.31213505648</v>
      </c>
      <c r="K9" s="40">
        <v>102819.57055645657</v>
      </c>
      <c r="L9" s="40">
        <v>103669.31193663894</v>
      </c>
      <c r="M9" s="40">
        <v>104275.16198973745</v>
      </c>
      <c r="N9" s="40">
        <v>104636.43396582438</v>
      </c>
      <c r="O9" s="40">
        <v>104952.49760062393</v>
      </c>
      <c r="P9" s="40">
        <v>105283.27714265444</v>
      </c>
      <c r="Q9" s="40">
        <v>105646.5547434316</v>
      </c>
      <c r="R9" s="40">
        <v>106301.34896710383</v>
      </c>
      <c r="S9" s="40">
        <v>107245.16028754131</v>
      </c>
      <c r="T9" s="40">
        <v>108209.86912336257</v>
      </c>
      <c r="U9" s="40">
        <v>109095.15972596858</v>
      </c>
      <c r="V9" s="40">
        <v>109900</v>
      </c>
      <c r="W9" s="40">
        <v>110588.90268724461</v>
      </c>
      <c r="X9" s="40">
        <v>111173.37460068286</v>
      </c>
      <c r="Y9" s="40">
        <v>111666.22033183732</v>
      </c>
      <c r="DA9" s="91" t="s">
        <v>193</v>
      </c>
    </row>
    <row r="10" spans="1:105" ht="12" customHeight="1" x14ac:dyDescent="0.25">
      <c r="A10" s="35" t="s">
        <v>17</v>
      </c>
      <c r="B10" s="41"/>
      <c r="C10" s="41">
        <v>1558.1589690393594</v>
      </c>
      <c r="D10" s="41">
        <v>1466.7444077772261</v>
      </c>
      <c r="E10" s="41">
        <v>1297.0850109787361</v>
      </c>
      <c r="F10" s="41">
        <v>2022.6287178743182</v>
      </c>
      <c r="G10" s="41">
        <v>1777.5355844073777</v>
      </c>
      <c r="H10" s="41">
        <v>2347.8721346777315</v>
      </c>
      <c r="I10" s="41">
        <v>2330.5650164476615</v>
      </c>
      <c r="J10" s="41">
        <v>1692.0208049281266</v>
      </c>
      <c r="K10" s="41">
        <v>1193.1951888225808</v>
      </c>
      <c r="L10" s="41">
        <v>1401.0377194621335</v>
      </c>
      <c r="M10" s="41">
        <v>1133.8626431368129</v>
      </c>
      <c r="N10" s="41">
        <v>864.9706895609919</v>
      </c>
      <c r="O10" s="41">
        <v>816.16993190463552</v>
      </c>
      <c r="P10" s="41">
        <v>833.95167260198821</v>
      </c>
      <c r="Q10" s="41">
        <v>871.49135942790997</v>
      </c>
      <c r="R10" s="41">
        <v>1335.7618878075195</v>
      </c>
      <c r="S10" s="41">
        <v>1660.6616799743017</v>
      </c>
      <c r="T10" s="41">
        <v>1689.3147127290786</v>
      </c>
      <c r="U10" s="41">
        <v>1606.6261106869929</v>
      </c>
      <c r="V10" s="41">
        <v>1522.3335210939986</v>
      </c>
      <c r="W10" s="41">
        <v>1398.1474878422691</v>
      </c>
      <c r="X10" s="41">
        <v>1286.0793435856763</v>
      </c>
      <c r="Y10" s="41">
        <v>1187.6373098070851</v>
      </c>
      <c r="DA10" s="92" t="s">
        <v>194</v>
      </c>
    </row>
    <row r="11" spans="1:105" ht="12" customHeight="1" x14ac:dyDescent="0.25">
      <c r="A11" s="37" t="s">
        <v>67</v>
      </c>
      <c r="B11" s="42"/>
      <c r="C11" s="42">
        <v>1402.3430721354234</v>
      </c>
      <c r="D11" s="42">
        <v>1320.0699669995033</v>
      </c>
      <c r="E11" s="42">
        <v>1167.3765098808626</v>
      </c>
      <c r="F11" s="42">
        <v>1820.3658460868864</v>
      </c>
      <c r="G11" s="42">
        <v>1599.7820259666398</v>
      </c>
      <c r="H11" s="42">
        <v>2113.0849212099583</v>
      </c>
      <c r="I11" s="42">
        <v>2097.5085148028952</v>
      </c>
      <c r="J11" s="42">
        <v>1522.8187244353139</v>
      </c>
      <c r="K11" s="42">
        <v>1073.8756699403227</v>
      </c>
      <c r="L11" s="42">
        <v>1260.9339475159202</v>
      </c>
      <c r="M11" s="42">
        <v>1020.4763788231315</v>
      </c>
      <c r="N11" s="42">
        <v>778.47362060489274</v>
      </c>
      <c r="O11" s="42">
        <v>734.55293871417189</v>
      </c>
      <c r="P11" s="42">
        <v>750.55650534178938</v>
      </c>
      <c r="Q11" s="42">
        <v>784.34222348511901</v>
      </c>
      <c r="R11" s="42">
        <v>1202.1856990267675</v>
      </c>
      <c r="S11" s="42">
        <v>1494.5955119768714</v>
      </c>
      <c r="T11" s="42">
        <v>1520.3832414561707</v>
      </c>
      <c r="U11" s="42">
        <v>1445.9634996182936</v>
      </c>
      <c r="V11" s="42">
        <v>1370.1001689845987</v>
      </c>
      <c r="W11" s="42">
        <v>1258.3327390580421</v>
      </c>
      <c r="X11" s="42">
        <v>1157.4714092271088</v>
      </c>
      <c r="Y11" s="42">
        <v>1068.8735788263766</v>
      </c>
      <c r="DA11" s="93" t="s">
        <v>195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5211.6899999999996</v>
      </c>
      <c r="C13" s="43">
        <v>5766.64</v>
      </c>
      <c r="D13" s="43">
        <v>5736.48</v>
      </c>
      <c r="E13" s="43">
        <v>5665.7</v>
      </c>
      <c r="F13" s="43">
        <v>5561.61</v>
      </c>
      <c r="G13" s="43">
        <v>5295.38</v>
      </c>
      <c r="H13" s="43">
        <v>5442.56</v>
      </c>
      <c r="I13" s="43">
        <v>5321.96</v>
      </c>
      <c r="J13" s="43">
        <v>5332.63</v>
      </c>
      <c r="K13" s="43">
        <v>5608.3</v>
      </c>
      <c r="L13" s="43">
        <v>6179.75</v>
      </c>
      <c r="M13" s="43">
        <v>5239.13</v>
      </c>
      <c r="N13" s="43">
        <v>5839.92</v>
      </c>
      <c r="O13" s="43">
        <v>5238.58</v>
      </c>
      <c r="P13" s="43">
        <v>5237.1400000000003</v>
      </c>
      <c r="Q13" s="43">
        <v>5014.74</v>
      </c>
      <c r="R13" s="43">
        <v>5325.9</v>
      </c>
      <c r="S13" s="43">
        <v>5508.23</v>
      </c>
      <c r="T13" s="43">
        <v>5349.59</v>
      </c>
      <c r="U13" s="43">
        <v>5482.97</v>
      </c>
      <c r="V13" s="43">
        <v>4873.47</v>
      </c>
      <c r="W13" s="43">
        <v>5623.37</v>
      </c>
      <c r="X13" s="43">
        <v>5277.38</v>
      </c>
      <c r="Y13" s="43">
        <v>5437.01</v>
      </c>
      <c r="DA13" s="94" t="s">
        <v>196</v>
      </c>
    </row>
    <row r="14" spans="1:105" ht="12" customHeight="1" x14ac:dyDescent="0.25">
      <c r="A14" s="35" t="s">
        <v>147</v>
      </c>
      <c r="B14" s="44">
        <f>AVERAGE($B$13:$V$13)</f>
        <v>5439.6366666666663</v>
      </c>
      <c r="C14" s="44">
        <f t="shared" ref="C14:Y14" si="0">AVERAGE($B$13:$V$13)</f>
        <v>5439.6366666666663</v>
      </c>
      <c r="D14" s="44">
        <f t="shared" si="0"/>
        <v>5439.6366666666663</v>
      </c>
      <c r="E14" s="44">
        <f t="shared" si="0"/>
        <v>5439.6366666666663</v>
      </c>
      <c r="F14" s="44">
        <f t="shared" si="0"/>
        <v>5439.6366666666663</v>
      </c>
      <c r="G14" s="44">
        <f t="shared" si="0"/>
        <v>5439.6366666666663</v>
      </c>
      <c r="H14" s="44">
        <f t="shared" si="0"/>
        <v>5439.6366666666663</v>
      </c>
      <c r="I14" s="44">
        <f t="shared" si="0"/>
        <v>5439.6366666666663</v>
      </c>
      <c r="J14" s="44">
        <f t="shared" si="0"/>
        <v>5439.6366666666663</v>
      </c>
      <c r="K14" s="44">
        <f t="shared" si="0"/>
        <v>5439.6366666666663</v>
      </c>
      <c r="L14" s="44">
        <f t="shared" si="0"/>
        <v>5439.6366666666663</v>
      </c>
      <c r="M14" s="44">
        <f t="shared" si="0"/>
        <v>5439.6366666666663</v>
      </c>
      <c r="N14" s="44">
        <f t="shared" si="0"/>
        <v>5439.6366666666663</v>
      </c>
      <c r="O14" s="44">
        <f t="shared" si="0"/>
        <v>5439.6366666666663</v>
      </c>
      <c r="P14" s="44">
        <f t="shared" si="0"/>
        <v>5439.6366666666663</v>
      </c>
      <c r="Q14" s="44">
        <f t="shared" si="0"/>
        <v>5439.6366666666663</v>
      </c>
      <c r="R14" s="44">
        <f t="shared" si="0"/>
        <v>5439.6366666666663</v>
      </c>
      <c r="S14" s="44">
        <f t="shared" si="0"/>
        <v>5439.6366666666663</v>
      </c>
      <c r="T14" s="44">
        <f t="shared" si="0"/>
        <v>5439.6366666666663</v>
      </c>
      <c r="U14" s="44">
        <f t="shared" si="0"/>
        <v>5439.6366666666663</v>
      </c>
      <c r="V14" s="44">
        <f t="shared" si="0"/>
        <v>5439.6366666666663</v>
      </c>
      <c r="W14" s="44">
        <f t="shared" si="0"/>
        <v>5439.6366666666663</v>
      </c>
      <c r="X14" s="44">
        <f t="shared" si="0"/>
        <v>5439.6366666666663</v>
      </c>
      <c r="Y14" s="44">
        <f t="shared" si="0"/>
        <v>5439.6366666666663</v>
      </c>
      <c r="DA14" s="95" t="s">
        <v>197</v>
      </c>
    </row>
    <row r="15" spans="1:105" ht="12" customHeight="1" x14ac:dyDescent="0.25">
      <c r="A15" s="45" t="s">
        <v>65</v>
      </c>
      <c r="B15" s="46">
        <f>B13/B14</f>
        <v>0.95809524042966099</v>
      </c>
      <c r="C15" s="46">
        <f t="shared" ref="C15:W15" si="1">C13/C14</f>
        <v>1.0601149218912294</v>
      </c>
      <c r="D15" s="46">
        <f t="shared" si="1"/>
        <v>1.0545704339321682</v>
      </c>
      <c r="E15" s="46">
        <f t="shared" si="1"/>
        <v>1.0415585354659105</v>
      </c>
      <c r="F15" s="46">
        <f t="shared" si="1"/>
        <v>1.0224230662464588</v>
      </c>
      <c r="G15" s="46">
        <f t="shared" si="1"/>
        <v>0.97348045917282477</v>
      </c>
      <c r="H15" s="46">
        <f t="shared" si="1"/>
        <v>1.0005374133443963</v>
      </c>
      <c r="I15" s="46">
        <f t="shared" si="1"/>
        <v>0.97836681494045874</v>
      </c>
      <c r="J15" s="46">
        <f t="shared" si="1"/>
        <v>0.98032834300820348</v>
      </c>
      <c r="K15" s="46">
        <f t="shared" si="1"/>
        <v>1.0310063601061592</v>
      </c>
      <c r="L15" s="46">
        <f t="shared" si="1"/>
        <v>1.1360593323941366</v>
      </c>
      <c r="M15" s="46">
        <f t="shared" si="1"/>
        <v>0.96313969499188368</v>
      </c>
      <c r="N15" s="46">
        <f t="shared" si="1"/>
        <v>1.0735864098766401</v>
      </c>
      <c r="O15" s="46">
        <f t="shared" si="1"/>
        <v>0.96303858529767006</v>
      </c>
      <c r="P15" s="46">
        <f t="shared" si="1"/>
        <v>0.96277386173463808</v>
      </c>
      <c r="Q15" s="46">
        <f t="shared" si="1"/>
        <v>0.92188877811079295</v>
      </c>
      <c r="R15" s="46">
        <f t="shared" si="1"/>
        <v>0.97909112802264364</v>
      </c>
      <c r="S15" s="46">
        <f t="shared" si="1"/>
        <v>1.0126099108335054</v>
      </c>
      <c r="T15" s="46">
        <f t="shared" si="1"/>
        <v>0.983446198306137</v>
      </c>
      <c r="U15" s="46">
        <f t="shared" si="1"/>
        <v>1.0079662183319842</v>
      </c>
      <c r="V15" s="46">
        <f t="shared" si="1"/>
        <v>0.89591829356249908</v>
      </c>
      <c r="W15" s="46">
        <f t="shared" si="1"/>
        <v>1.0337767657276129</v>
      </c>
      <c r="X15" s="46">
        <f t="shared" ref="X15:Y15" si="2">X13/X14</f>
        <v>0.97017141463492362</v>
      </c>
      <c r="Y15" s="46">
        <f t="shared" si="2"/>
        <v>0.99951712461187681</v>
      </c>
      <c r="DA15" s="96" t="s">
        <v>198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180</v>
      </c>
      <c r="B19" s="34">
        <f t="shared" ref="B19:C19" si="3">B4*1000000/B3</f>
        <v>40838.791024640872</v>
      </c>
      <c r="C19" s="34">
        <f t="shared" si="3"/>
        <v>41837.587383946709</v>
      </c>
      <c r="D19" s="34">
        <f t="shared" ref="D19:W19" si="4">D4*1000000/D3</f>
        <v>42430.662569034503</v>
      </c>
      <c r="E19" s="34">
        <f t="shared" si="4"/>
        <v>43189.514530609391</v>
      </c>
      <c r="F19" s="34">
        <f t="shared" si="4"/>
        <v>44804.163901157975</v>
      </c>
      <c r="G19" s="34">
        <f t="shared" si="4"/>
        <v>45900.098545739798</v>
      </c>
      <c r="H19" s="34">
        <f t="shared" si="4"/>
        <v>47572.471435854466</v>
      </c>
      <c r="I19" s="34">
        <f t="shared" si="4"/>
        <v>49897.104213407882</v>
      </c>
      <c r="J19" s="34">
        <f t="shared" si="4"/>
        <v>50065.507637439288</v>
      </c>
      <c r="K19" s="34">
        <f t="shared" si="4"/>
        <v>45798.622482320781</v>
      </c>
      <c r="L19" s="34">
        <f t="shared" si="4"/>
        <v>47028.274569436544</v>
      </c>
      <c r="M19" s="34">
        <f t="shared" si="4"/>
        <v>47938.356052598821</v>
      </c>
      <c r="N19" s="34">
        <f t="shared" si="4"/>
        <v>46981.368741081169</v>
      </c>
      <c r="O19" s="34">
        <f t="shared" si="4"/>
        <v>46303.528525559035</v>
      </c>
      <c r="P19" s="34">
        <f t="shared" si="4"/>
        <v>45873.804925273267</v>
      </c>
      <c r="Q19" s="34">
        <f t="shared" si="4"/>
        <v>45915.503452001583</v>
      </c>
      <c r="R19" s="34">
        <f t="shared" si="4"/>
        <v>46963.006358623818</v>
      </c>
      <c r="S19" s="34">
        <f t="shared" si="4"/>
        <v>48373.180085779306</v>
      </c>
      <c r="T19" s="34">
        <f t="shared" si="4"/>
        <v>48863.327646230056</v>
      </c>
      <c r="U19" s="34">
        <f t="shared" si="4"/>
        <v>49479.766657888475</v>
      </c>
      <c r="V19" s="34">
        <f t="shared" si="4"/>
        <v>48182.758371768308</v>
      </c>
      <c r="W19" s="34">
        <f t="shared" si="4"/>
        <v>49396.161847684198</v>
      </c>
      <c r="X19" s="34">
        <f t="shared" ref="X19:Y19" si="5">X4*1000000/X3</f>
        <v>49643.73247099678</v>
      </c>
      <c r="Y19" s="34">
        <f t="shared" si="5"/>
        <v>49038.366490114073</v>
      </c>
      <c r="DA19" s="88"/>
    </row>
    <row r="20" spans="1:105" ht="12" customHeight="1" x14ac:dyDescent="0.25">
      <c r="A20" s="50" t="s">
        <v>181</v>
      </c>
      <c r="B20" s="36">
        <f t="shared" ref="B20:C20" si="6">B5*1000000/B6</f>
        <v>74277.783359166351</v>
      </c>
      <c r="C20" s="36">
        <f t="shared" si="6"/>
        <v>76080.452427946148</v>
      </c>
      <c r="D20" s="36">
        <f t="shared" ref="D20:W20" si="7">D5*1000000/D6</f>
        <v>76242.302712025179</v>
      </c>
      <c r="E20" s="36">
        <f t="shared" si="7"/>
        <v>77200.799933821691</v>
      </c>
      <c r="F20" s="36">
        <f t="shared" si="7"/>
        <v>79577.011030123424</v>
      </c>
      <c r="G20" s="36">
        <f t="shared" si="7"/>
        <v>80457.351187478256</v>
      </c>
      <c r="H20" s="36">
        <f t="shared" si="7"/>
        <v>80554.801275360573</v>
      </c>
      <c r="I20" s="36">
        <f t="shared" si="7"/>
        <v>82584.380547154302</v>
      </c>
      <c r="J20" s="36">
        <f t="shared" si="7"/>
        <v>83300.33641367669</v>
      </c>
      <c r="K20" s="36">
        <f t="shared" si="7"/>
        <v>81517.456947632047</v>
      </c>
      <c r="L20" s="36">
        <f t="shared" si="7"/>
        <v>83377.679747014539</v>
      </c>
      <c r="M20" s="36">
        <f t="shared" si="7"/>
        <v>84772.025824804354</v>
      </c>
      <c r="N20" s="36">
        <f t="shared" si="7"/>
        <v>84241.73963295632</v>
      </c>
      <c r="O20" s="36">
        <f t="shared" si="7"/>
        <v>83244.392719776602</v>
      </c>
      <c r="P20" s="36">
        <f t="shared" si="7"/>
        <v>83204.703821700314</v>
      </c>
      <c r="Q20" s="36">
        <f t="shared" si="7"/>
        <v>82978.034536327599</v>
      </c>
      <c r="R20" s="36">
        <f t="shared" si="7"/>
        <v>84067.411116763324</v>
      </c>
      <c r="S20" s="36">
        <f t="shared" si="7"/>
        <v>85309.407540434884</v>
      </c>
      <c r="T20" s="36">
        <f t="shared" si="7"/>
        <v>83963.256793352179</v>
      </c>
      <c r="U20" s="36">
        <f t="shared" si="7"/>
        <v>83455.992155210683</v>
      </c>
      <c r="V20" s="36">
        <f t="shared" si="7"/>
        <v>83300.848929215586</v>
      </c>
      <c r="W20" s="36">
        <f t="shared" si="7"/>
        <v>83300.621200087902</v>
      </c>
      <c r="X20" s="36">
        <f t="shared" ref="X20:Y20" si="8">X5*1000000/X6</f>
        <v>79457.147885931903</v>
      </c>
      <c r="Y20" s="36">
        <f t="shared" si="8"/>
        <v>80182.004375552759</v>
      </c>
      <c r="DA20" s="89"/>
    </row>
    <row r="21" spans="1:105" ht="12" customHeight="1" x14ac:dyDescent="0.25">
      <c r="A21" s="50" t="s">
        <v>182</v>
      </c>
      <c r="B21" s="36">
        <f t="shared" ref="B21:C21" si="9">B5*1000000/B3</f>
        <v>22493.176523137598</v>
      </c>
      <c r="C21" s="36">
        <f t="shared" si="9"/>
        <v>23535.812108303344</v>
      </c>
      <c r="D21" s="36">
        <f t="shared" ref="D21:W21" si="10">D5*1000000/D3</f>
        <v>24100.071451489941</v>
      </c>
      <c r="E21" s="36">
        <f t="shared" si="10"/>
        <v>24591.346938705909</v>
      </c>
      <c r="F21" s="36">
        <f t="shared" si="10"/>
        <v>25630.601522040499</v>
      </c>
      <c r="G21" s="36">
        <f t="shared" si="10"/>
        <v>26325.351553633685</v>
      </c>
      <c r="H21" s="36">
        <f t="shared" si="10"/>
        <v>26816.960318627222</v>
      </c>
      <c r="I21" s="36">
        <f t="shared" si="10"/>
        <v>28052.636820055141</v>
      </c>
      <c r="J21" s="36">
        <f t="shared" si="10"/>
        <v>28913.578256982266</v>
      </c>
      <c r="K21" s="36">
        <f t="shared" si="10"/>
        <v>28019.782570033378</v>
      </c>
      <c r="L21" s="36">
        <f t="shared" si="10"/>
        <v>28498.214406225532</v>
      </c>
      <c r="M21" s="36">
        <f t="shared" si="10"/>
        <v>29309.901481412096</v>
      </c>
      <c r="N21" s="36">
        <f t="shared" si="10"/>
        <v>29359.157894819302</v>
      </c>
      <c r="O21" s="36">
        <f t="shared" si="10"/>
        <v>28861.937330722227</v>
      </c>
      <c r="P21" s="36">
        <f t="shared" si="10"/>
        <v>28731.751403612125</v>
      </c>
      <c r="Q21" s="36">
        <f t="shared" si="10"/>
        <v>28699.382146818392</v>
      </c>
      <c r="R21" s="36">
        <f t="shared" si="10"/>
        <v>29153.070433460074</v>
      </c>
      <c r="S21" s="36">
        <f t="shared" si="10"/>
        <v>29724.143356025288</v>
      </c>
      <c r="T21" s="36">
        <f t="shared" si="10"/>
        <v>30017.717546964635</v>
      </c>
      <c r="U21" s="36">
        <f t="shared" si="10"/>
        <v>30445.701034835616</v>
      </c>
      <c r="V21" s="36">
        <f t="shared" si="10"/>
        <v>29636.951101417264</v>
      </c>
      <c r="W21" s="36">
        <f t="shared" si="10"/>
        <v>30471.947088613171</v>
      </c>
      <c r="X21" s="36">
        <f t="shared" ref="X21:Y21" si="11">X5*1000000/X3</f>
        <v>30220.474105016976</v>
      </c>
      <c r="Y21" s="36">
        <f t="shared" si="11"/>
        <v>30959.009484235179</v>
      </c>
      <c r="DA21" s="89"/>
    </row>
    <row r="22" spans="1:105" ht="12" customHeight="1" x14ac:dyDescent="0.25">
      <c r="A22" s="51" t="s">
        <v>148</v>
      </c>
      <c r="B22" s="52">
        <v>1.2272695209889448</v>
      </c>
      <c r="C22" s="52">
        <v>1.2521326659418628</v>
      </c>
      <c r="D22" s="52">
        <v>1.2567929077144397</v>
      </c>
      <c r="E22" s="52">
        <v>1.2683982689063142</v>
      </c>
      <c r="F22" s="52">
        <v>1.2920273015035477</v>
      </c>
      <c r="G22" s="52">
        <v>1.2990208698367216</v>
      </c>
      <c r="H22" s="52">
        <v>1.2839533937052861</v>
      </c>
      <c r="I22" s="52">
        <v>1.30318630608912</v>
      </c>
      <c r="J22" s="52">
        <v>1.3253322727914953</v>
      </c>
      <c r="K22" s="52">
        <v>1.3140846398045098</v>
      </c>
      <c r="L22" s="52">
        <v>1.3167147903488319</v>
      </c>
      <c r="M22" s="52">
        <v>1.3275424072849722</v>
      </c>
      <c r="N22" s="52">
        <v>1.3340018936502103</v>
      </c>
      <c r="O22" s="52">
        <v>1.3038629633194541</v>
      </c>
      <c r="P22" s="52">
        <v>1.2768748971744583</v>
      </c>
      <c r="Q22" s="52">
        <v>1.2545857815503505</v>
      </c>
      <c r="R22" s="52">
        <v>1.2533251753951671</v>
      </c>
      <c r="S22" s="52">
        <v>1.2444282490345915</v>
      </c>
      <c r="T22" s="52">
        <v>1.2301880390660584</v>
      </c>
      <c r="U22" s="52">
        <v>1.2245184979347474</v>
      </c>
      <c r="V22" s="52">
        <v>1.2594258194206351</v>
      </c>
      <c r="W22" s="52">
        <v>1.2201571317852371</v>
      </c>
      <c r="X22" s="52">
        <v>1.1735607454949761</v>
      </c>
      <c r="Y22" s="52">
        <v>1.1994430318537226</v>
      </c>
      <c r="DA22" s="98"/>
    </row>
    <row r="23" spans="1:105" ht="12" customHeight="1" x14ac:dyDescent="0.25">
      <c r="A23" s="49" t="s">
        <v>63</v>
      </c>
      <c r="B23" s="53">
        <f t="shared" ref="B23:C23" si="12">B6/B8</f>
        <v>15.288459707431949</v>
      </c>
      <c r="C23" s="53">
        <f t="shared" si="12"/>
        <v>15.474224924129681</v>
      </c>
      <c r="D23" s="53">
        <f t="shared" ref="D23:W23" si="13">D6/D8</f>
        <v>15.694201180812074</v>
      </c>
      <c r="E23" s="53">
        <f t="shared" si="13"/>
        <v>15.718036834775855</v>
      </c>
      <c r="F23" s="53">
        <f t="shared" si="13"/>
        <v>15.69602485327308</v>
      </c>
      <c r="G23" s="53">
        <f t="shared" si="13"/>
        <v>15.797646767766224</v>
      </c>
      <c r="H23" s="53">
        <f t="shared" si="13"/>
        <v>15.851692093835522</v>
      </c>
      <c r="I23" s="53">
        <f t="shared" si="13"/>
        <v>15.967109729704051</v>
      </c>
      <c r="J23" s="53">
        <f t="shared" si="13"/>
        <v>16.209007386891987</v>
      </c>
      <c r="K23" s="53">
        <f t="shared" si="13"/>
        <v>16.025353841516615</v>
      </c>
      <c r="L23" s="53">
        <f t="shared" si="13"/>
        <v>15.879241110485285</v>
      </c>
      <c r="M23" s="53">
        <f t="shared" si="13"/>
        <v>16.040732693032101</v>
      </c>
      <c r="N23" s="53">
        <f t="shared" si="13"/>
        <v>16.190918743975303</v>
      </c>
      <c r="O23" s="53">
        <f t="shared" si="13"/>
        <v>16.134442140135725</v>
      </c>
      <c r="P23" s="53">
        <f t="shared" si="13"/>
        <v>16.091444396287972</v>
      </c>
      <c r="Q23" s="53">
        <f t="shared" si="13"/>
        <v>16.122153762008004</v>
      </c>
      <c r="R23" s="53">
        <f t="shared" si="13"/>
        <v>16.110896208193811</v>
      </c>
      <c r="S23" s="53">
        <f t="shared" si="13"/>
        <v>16.091635234382515</v>
      </c>
      <c r="T23" s="53">
        <f t="shared" si="13"/>
        <v>16.393144307176819</v>
      </c>
      <c r="U23" s="53">
        <f t="shared" si="13"/>
        <v>16.606602937753891</v>
      </c>
      <c r="V23" s="53">
        <f t="shared" si="13"/>
        <v>16.098453139217472</v>
      </c>
      <c r="W23" s="53">
        <f t="shared" si="13"/>
        <v>16.47425696186183</v>
      </c>
      <c r="X23" s="53">
        <f t="shared" ref="X23:Y23" si="14">X6/X8</f>
        <v>17.083047148847946</v>
      </c>
      <c r="Y23" s="53">
        <f t="shared" si="14"/>
        <v>17.314725923867822</v>
      </c>
      <c r="DA23" s="99"/>
    </row>
    <row r="24" spans="1:105" ht="12" customHeight="1" x14ac:dyDescent="0.25">
      <c r="A24" s="50" t="s">
        <v>62</v>
      </c>
      <c r="B24" s="54">
        <f t="shared" ref="B24:C24" si="15">B9*1000/B3</f>
        <v>17.826686751646037</v>
      </c>
      <c r="C24" s="54">
        <f t="shared" si="15"/>
        <v>17.992425205202412</v>
      </c>
      <c r="D24" s="54">
        <f t="shared" ref="D24:W24" si="16">D9*1000/D3</f>
        <v>18.126986843217836</v>
      </c>
      <c r="E24" s="54">
        <f t="shared" si="16"/>
        <v>18.239155408073771</v>
      </c>
      <c r="F24" s="54">
        <f t="shared" si="16"/>
        <v>18.468176130374033</v>
      </c>
      <c r="G24" s="54">
        <f t="shared" si="16"/>
        <v>18.64054301072121</v>
      </c>
      <c r="H24" s="54">
        <f t="shared" si="16"/>
        <v>18.901009494696837</v>
      </c>
      <c r="I24" s="54">
        <f t="shared" si="16"/>
        <v>19.146613617355563</v>
      </c>
      <c r="J24" s="54">
        <f t="shared" si="16"/>
        <v>19.272638524152978</v>
      </c>
      <c r="K24" s="54">
        <f t="shared" si="16"/>
        <v>19.304076056435381</v>
      </c>
      <c r="L24" s="54">
        <f t="shared" si="16"/>
        <v>19.372274336665516</v>
      </c>
      <c r="M24" s="54">
        <f t="shared" si="16"/>
        <v>19.399034019785674</v>
      </c>
      <c r="N24" s="54">
        <f t="shared" si="16"/>
        <v>19.37257202168017</v>
      </c>
      <c r="O24" s="54">
        <f t="shared" si="16"/>
        <v>19.340114700205675</v>
      </c>
      <c r="P24" s="54">
        <f t="shared" si="16"/>
        <v>19.31353191873718</v>
      </c>
      <c r="Q24" s="54">
        <f t="shared" si="16"/>
        <v>19.30762495007205</v>
      </c>
      <c r="R24" s="54">
        <f t="shared" si="16"/>
        <v>19.372222038038291</v>
      </c>
      <c r="S24" s="54">
        <f t="shared" si="16"/>
        <v>19.487438218860678</v>
      </c>
      <c r="T24" s="54">
        <f t="shared" si="16"/>
        <v>19.627665069273274</v>
      </c>
      <c r="U24" s="54">
        <f t="shared" si="16"/>
        <v>19.771069442296739</v>
      </c>
      <c r="V24" s="54">
        <f t="shared" si="16"/>
        <v>19.890351496355304</v>
      </c>
      <c r="W24" s="54">
        <f t="shared" si="16"/>
        <v>19.9842861283833</v>
      </c>
      <c r="X24" s="54">
        <f t="shared" ref="X24:Y24" si="17">X9*1000/X3</f>
        <v>20.03758931897206</v>
      </c>
      <c r="Y24" s="54">
        <f t="shared" si="17"/>
        <v>20.069522361162502</v>
      </c>
      <c r="DA24" s="100"/>
    </row>
    <row r="25" spans="1:105" ht="12" customHeight="1" x14ac:dyDescent="0.25">
      <c r="A25" s="50" t="s">
        <v>61</v>
      </c>
      <c r="B25" s="54">
        <f t="shared" ref="B25:C25" si="18">B9*1000/B6</f>
        <v>58.867931578646647</v>
      </c>
      <c r="C25" s="54">
        <f t="shared" si="18"/>
        <v>58.161232915555466</v>
      </c>
      <c r="D25" s="54">
        <f t="shared" ref="D25:W25" si="19">D9*1000/D6</f>
        <v>57.34602160576042</v>
      </c>
      <c r="E25" s="54">
        <f t="shared" si="19"/>
        <v>57.259059096284034</v>
      </c>
      <c r="F25" s="54">
        <f t="shared" si="19"/>
        <v>57.339358749315672</v>
      </c>
      <c r="G25" s="54">
        <f t="shared" si="19"/>
        <v>56.970510433007945</v>
      </c>
      <c r="H25" s="54">
        <f t="shared" si="19"/>
        <v>56.776273136796299</v>
      </c>
      <c r="I25" s="54">
        <f t="shared" si="19"/>
        <v>56.365868039705731</v>
      </c>
      <c r="J25" s="54">
        <f t="shared" si="19"/>
        <v>55.524683191138429</v>
      </c>
      <c r="K25" s="54">
        <f t="shared" si="19"/>
        <v>56.161006421485993</v>
      </c>
      <c r="L25" s="54">
        <f t="shared" si="19"/>
        <v>56.677771547011609</v>
      </c>
      <c r="M25" s="54">
        <f t="shared" si="19"/>
        <v>56.107162760149286</v>
      </c>
      <c r="N25" s="54">
        <f t="shared" si="19"/>
        <v>55.586715876447293</v>
      </c>
      <c r="O25" s="54">
        <f t="shared" si="19"/>
        <v>55.781290247474843</v>
      </c>
      <c r="P25" s="54">
        <f t="shared" si="19"/>
        <v>55.930342723467078</v>
      </c>
      <c r="Q25" s="54">
        <f t="shared" si="19"/>
        <v>55.823806997850248</v>
      </c>
      <c r="R25" s="54">
        <f t="shared" si="19"/>
        <v>55.862814108520588</v>
      </c>
      <c r="S25" s="54">
        <f t="shared" si="19"/>
        <v>55.929679419839012</v>
      </c>
      <c r="T25" s="54">
        <f t="shared" si="19"/>
        <v>54.90099904787548</v>
      </c>
      <c r="U25" s="54">
        <f t="shared" si="19"/>
        <v>54.195310345736999</v>
      </c>
      <c r="V25" s="54">
        <f t="shared" si="19"/>
        <v>55.905992471258521</v>
      </c>
      <c r="W25" s="54">
        <f t="shared" si="19"/>
        <v>54.630688478607226</v>
      </c>
      <c r="X25" s="54">
        <f t="shared" ref="X25:Y25" si="20">X9*1000/X6</f>
        <v>52.683809402276019</v>
      </c>
      <c r="Y25" s="54">
        <f t="shared" si="20"/>
        <v>51.978876475276884</v>
      </c>
      <c r="DA25" s="100"/>
    </row>
    <row r="26" spans="1:105" ht="12" customHeight="1" x14ac:dyDescent="0.25">
      <c r="A26" s="50" t="s">
        <v>60</v>
      </c>
      <c r="B26" s="55">
        <f t="shared" ref="B26:C26" si="21">B9*1000/B8</f>
        <v>900</v>
      </c>
      <c r="C26" s="55">
        <f t="shared" si="21"/>
        <v>900</v>
      </c>
      <c r="D26" s="55">
        <f t="shared" ref="D26:W26" si="22">D9*1000/D8</f>
        <v>899.99999999999989</v>
      </c>
      <c r="E26" s="55">
        <f t="shared" si="22"/>
        <v>900</v>
      </c>
      <c r="F26" s="55">
        <f t="shared" si="22"/>
        <v>900</v>
      </c>
      <c r="G26" s="55">
        <f t="shared" si="22"/>
        <v>899.99999999999989</v>
      </c>
      <c r="H26" s="55">
        <f t="shared" si="22"/>
        <v>900</v>
      </c>
      <c r="I26" s="55">
        <f t="shared" si="22"/>
        <v>900</v>
      </c>
      <c r="J26" s="55">
        <f t="shared" si="22"/>
        <v>900.00000000000011</v>
      </c>
      <c r="K26" s="55">
        <f t="shared" si="22"/>
        <v>899.99999999999989</v>
      </c>
      <c r="L26" s="55">
        <f t="shared" si="22"/>
        <v>900</v>
      </c>
      <c r="M26" s="55">
        <f t="shared" si="22"/>
        <v>900</v>
      </c>
      <c r="N26" s="55">
        <f t="shared" si="22"/>
        <v>899.99999999999989</v>
      </c>
      <c r="O26" s="55">
        <f t="shared" si="22"/>
        <v>900</v>
      </c>
      <c r="P26" s="55">
        <f t="shared" si="22"/>
        <v>900.00000000000011</v>
      </c>
      <c r="Q26" s="55">
        <f t="shared" si="22"/>
        <v>900.00000000000011</v>
      </c>
      <c r="R26" s="55">
        <f t="shared" si="22"/>
        <v>900</v>
      </c>
      <c r="S26" s="55">
        <f t="shared" si="22"/>
        <v>900.00000000000011</v>
      </c>
      <c r="T26" s="55">
        <f t="shared" si="22"/>
        <v>899.99999999999989</v>
      </c>
      <c r="U26" s="55">
        <f t="shared" si="22"/>
        <v>900</v>
      </c>
      <c r="V26" s="55">
        <f t="shared" si="22"/>
        <v>900</v>
      </c>
      <c r="W26" s="55">
        <f t="shared" si="22"/>
        <v>899.99999999999989</v>
      </c>
      <c r="X26" s="55">
        <f t="shared" ref="X26:Y26" si="23">X9*1000/X8</f>
        <v>899.99999999999989</v>
      </c>
      <c r="Y26" s="55">
        <f t="shared" si="23"/>
        <v>900</v>
      </c>
      <c r="DA26" s="101"/>
    </row>
    <row r="27" spans="1:105" ht="12" customHeight="1" x14ac:dyDescent="0.25">
      <c r="A27" s="51" t="s">
        <v>59</v>
      </c>
      <c r="B27" s="56" t="str">
        <f t="shared" ref="B27:C27" si="24">IF(SUM(B11)=0,"",B11*1000/B10)</f>
        <v/>
      </c>
      <c r="C27" s="57">
        <f t="shared" si="24"/>
        <v>899.99999999999989</v>
      </c>
      <c r="D27" s="57">
        <f t="shared" ref="D27:W27" si="25">IF(SUM(D11)=0,"",D11*1000/D10)</f>
        <v>899.99999999999989</v>
      </c>
      <c r="E27" s="57">
        <f t="shared" si="25"/>
        <v>900.00000000000011</v>
      </c>
      <c r="F27" s="57">
        <f t="shared" si="25"/>
        <v>900</v>
      </c>
      <c r="G27" s="57">
        <f t="shared" si="25"/>
        <v>900</v>
      </c>
      <c r="H27" s="57">
        <f t="shared" si="25"/>
        <v>900</v>
      </c>
      <c r="I27" s="57">
        <f t="shared" si="25"/>
        <v>899.99999999999989</v>
      </c>
      <c r="J27" s="57">
        <f t="shared" si="25"/>
        <v>899.99999999999989</v>
      </c>
      <c r="K27" s="57">
        <f t="shared" si="25"/>
        <v>899.99999999999989</v>
      </c>
      <c r="L27" s="57">
        <f t="shared" si="25"/>
        <v>900.00000000000011</v>
      </c>
      <c r="M27" s="57">
        <f t="shared" si="25"/>
        <v>899.99999999999989</v>
      </c>
      <c r="N27" s="57">
        <f t="shared" si="25"/>
        <v>900</v>
      </c>
      <c r="O27" s="57">
        <f t="shared" si="25"/>
        <v>899.99999999999989</v>
      </c>
      <c r="P27" s="57">
        <f t="shared" si="25"/>
        <v>899.99999999999989</v>
      </c>
      <c r="Q27" s="57">
        <f t="shared" si="25"/>
        <v>900.00000000000011</v>
      </c>
      <c r="R27" s="57">
        <f t="shared" si="25"/>
        <v>899.99999999999989</v>
      </c>
      <c r="S27" s="57">
        <f t="shared" si="25"/>
        <v>899.99999999999989</v>
      </c>
      <c r="T27" s="57">
        <f t="shared" si="25"/>
        <v>900</v>
      </c>
      <c r="U27" s="57">
        <f t="shared" si="25"/>
        <v>899.99999999999989</v>
      </c>
      <c r="V27" s="57">
        <f t="shared" si="25"/>
        <v>900</v>
      </c>
      <c r="W27" s="57">
        <f t="shared" si="25"/>
        <v>900</v>
      </c>
      <c r="X27" s="57">
        <f t="shared" ref="X27:Y27" si="26">IF(SUM(X11)=0,"",X11*1000/X10)</f>
        <v>900.00000000000011</v>
      </c>
      <c r="Y27" s="57">
        <f t="shared" si="26"/>
        <v>900.00000000000011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2325.5604886237534</v>
      </c>
      <c r="C31" s="80">
        <f t="shared" ref="C31:W31" si="27">SUM(C32:C33,C36:C37,C44:C45)</f>
        <v>2523.0422747760922</v>
      </c>
      <c r="D31" s="80">
        <f t="shared" si="27"/>
        <v>2595.3252225652004</v>
      </c>
      <c r="E31" s="80">
        <f t="shared" si="27"/>
        <v>2609.9416505894628</v>
      </c>
      <c r="F31" s="80">
        <f t="shared" si="27"/>
        <v>2622.0035545543856</v>
      </c>
      <c r="G31" s="80">
        <f t="shared" si="27"/>
        <v>2619.297858166964</v>
      </c>
      <c r="H31" s="80">
        <f t="shared" si="27"/>
        <v>2677.8435845955787</v>
      </c>
      <c r="I31" s="80">
        <f t="shared" si="27"/>
        <v>2804.7884989095446</v>
      </c>
      <c r="J31" s="80">
        <f t="shared" si="27"/>
        <v>2780.0730899701657</v>
      </c>
      <c r="K31" s="80">
        <f t="shared" si="27"/>
        <v>3022.7485905433177</v>
      </c>
      <c r="L31" s="80">
        <f t="shared" si="27"/>
        <v>3207.9932842680041</v>
      </c>
      <c r="M31" s="80">
        <f t="shared" si="27"/>
        <v>2903.7154573366106</v>
      </c>
      <c r="N31" s="80">
        <f t="shared" si="27"/>
        <v>3086.1724293567395</v>
      </c>
      <c r="O31" s="80">
        <f t="shared" si="27"/>
        <v>2950.2554234592667</v>
      </c>
      <c r="P31" s="80">
        <f t="shared" si="27"/>
        <v>3024.3276104197107</v>
      </c>
      <c r="Q31" s="80">
        <f t="shared" si="27"/>
        <v>2864.5515711925291</v>
      </c>
      <c r="R31" s="80">
        <f t="shared" si="27"/>
        <v>3012.0665054773472</v>
      </c>
      <c r="S31" s="80">
        <f t="shared" si="27"/>
        <v>2998.9648277782626</v>
      </c>
      <c r="T31" s="80">
        <f t="shared" si="27"/>
        <v>3074.6588064030511</v>
      </c>
      <c r="U31" s="80">
        <f t="shared" si="27"/>
        <v>3002.8044517115472</v>
      </c>
      <c r="V31" s="80">
        <f t="shared" si="27"/>
        <v>2755.0104843419158</v>
      </c>
      <c r="W31" s="80">
        <f t="shared" si="27"/>
        <v>3048.9417644719542</v>
      </c>
      <c r="X31" s="80">
        <f t="shared" ref="X31:Y31" si="28">SUM(X32:X33,X36:X37,X44:X45)</f>
        <v>2933.9994252148481</v>
      </c>
      <c r="Y31" s="80">
        <f t="shared" si="28"/>
        <v>2862.1927356583042</v>
      </c>
      <c r="DA31" s="103" t="s">
        <v>199</v>
      </c>
    </row>
    <row r="32" spans="1:105" ht="12" customHeight="1" x14ac:dyDescent="0.25">
      <c r="A32" s="58" t="s">
        <v>29</v>
      </c>
      <c r="B32" s="59">
        <v>1.9701633705932931</v>
      </c>
      <c r="C32" s="59">
        <v>2.016423043852106</v>
      </c>
      <c r="D32" s="59">
        <v>2.0030954428202921</v>
      </c>
      <c r="E32" s="59">
        <v>2.010490111779879</v>
      </c>
      <c r="F32" s="59">
        <v>1.918572656921754</v>
      </c>
      <c r="G32" s="59">
        <v>1.872398968185726</v>
      </c>
      <c r="H32" s="59">
        <v>1.980481513327601</v>
      </c>
      <c r="I32" s="59">
        <v>1.7137575236457441</v>
      </c>
      <c r="J32" s="59">
        <v>2.093551160791058</v>
      </c>
      <c r="K32" s="59">
        <v>2.3626827171109199</v>
      </c>
      <c r="L32" s="59">
        <v>2.6548581255374031</v>
      </c>
      <c r="M32" s="59">
        <v>2.153482373172829</v>
      </c>
      <c r="N32" s="59">
        <v>2.520636285468616</v>
      </c>
      <c r="O32" s="59">
        <v>2.3019776440240749</v>
      </c>
      <c r="P32" s="59">
        <v>2.3851246775580388</v>
      </c>
      <c r="Q32" s="59">
        <v>2.1603611349957008</v>
      </c>
      <c r="R32" s="59">
        <v>2.376526225279449</v>
      </c>
      <c r="S32" s="59">
        <v>2.3693895098882201</v>
      </c>
      <c r="T32" s="59">
        <v>2.429062768701634</v>
      </c>
      <c r="U32" s="59">
        <v>2.493551160791057</v>
      </c>
      <c r="V32" s="59">
        <v>2.237747205503009</v>
      </c>
      <c r="W32" s="59">
        <v>2.493551160791057</v>
      </c>
      <c r="X32" s="59">
        <v>2.464918314703354</v>
      </c>
      <c r="Y32" s="59">
        <v>2.450558899398108</v>
      </c>
      <c r="DA32" s="104" t="s">
        <v>200</v>
      </c>
    </row>
    <row r="33" spans="1:105" ht="12" customHeight="1" x14ac:dyDescent="0.25">
      <c r="A33" s="60" t="s">
        <v>28</v>
      </c>
      <c r="B33" s="55">
        <f>SUM(B34:B35)</f>
        <v>342.55993121238174</v>
      </c>
      <c r="C33" s="55">
        <f t="shared" ref="C33:W33" si="29">SUM(C34:C35)</f>
        <v>355.72992261392955</v>
      </c>
      <c r="D33" s="55">
        <f t="shared" si="29"/>
        <v>348.5406706792777</v>
      </c>
      <c r="E33" s="55">
        <f t="shared" si="29"/>
        <v>342.33301805674972</v>
      </c>
      <c r="F33" s="55">
        <f t="shared" si="29"/>
        <v>330.73233018056754</v>
      </c>
      <c r="G33" s="55">
        <f t="shared" si="29"/>
        <v>313.43508168529661</v>
      </c>
      <c r="H33" s="55">
        <f t="shared" si="29"/>
        <v>310.1542562338779</v>
      </c>
      <c r="I33" s="55">
        <f t="shared" si="29"/>
        <v>295.90988822012037</v>
      </c>
      <c r="J33" s="55">
        <f t="shared" si="29"/>
        <v>242.64909716251071</v>
      </c>
      <c r="K33" s="55">
        <f t="shared" si="29"/>
        <v>265.01607910576098</v>
      </c>
      <c r="L33" s="55">
        <f t="shared" si="29"/>
        <v>314.02055030094579</v>
      </c>
      <c r="M33" s="55">
        <f t="shared" si="29"/>
        <v>268.27867583834916</v>
      </c>
      <c r="N33" s="55">
        <f t="shared" si="29"/>
        <v>295.74462596732587</v>
      </c>
      <c r="O33" s="55">
        <f t="shared" si="29"/>
        <v>266.89776440240757</v>
      </c>
      <c r="P33" s="55">
        <f t="shared" si="29"/>
        <v>265.86775580395528</v>
      </c>
      <c r="Q33" s="55">
        <f t="shared" si="29"/>
        <v>245.16732588134133</v>
      </c>
      <c r="R33" s="55">
        <f t="shared" si="29"/>
        <v>269.46577815993129</v>
      </c>
      <c r="S33" s="55">
        <f t="shared" si="29"/>
        <v>265.83241616509025</v>
      </c>
      <c r="T33" s="55">
        <f t="shared" si="29"/>
        <v>263.68564058469474</v>
      </c>
      <c r="U33" s="55">
        <f t="shared" si="29"/>
        <v>261.69131556319866</v>
      </c>
      <c r="V33" s="55">
        <f t="shared" si="29"/>
        <v>237.2525365434222</v>
      </c>
      <c r="W33" s="55">
        <f t="shared" si="29"/>
        <v>270.83258813413579</v>
      </c>
      <c r="X33" s="55">
        <f t="shared" ref="X33:Y33" si="30">SUM(X34:X35)</f>
        <v>252.64230438521065</v>
      </c>
      <c r="Y33" s="55">
        <f t="shared" si="30"/>
        <v>251.79432502149615</v>
      </c>
      <c r="DA33" s="101"/>
    </row>
    <row r="34" spans="1:105" ht="12" customHeight="1" x14ac:dyDescent="0.25">
      <c r="A34" s="61" t="s">
        <v>52</v>
      </c>
      <c r="B34" s="55">
        <v>0</v>
      </c>
      <c r="C34" s="55">
        <v>0</v>
      </c>
      <c r="D34" s="55">
        <v>0</v>
      </c>
      <c r="E34" s="55">
        <v>0</v>
      </c>
      <c r="F34" s="55">
        <v>0</v>
      </c>
      <c r="G34" s="55">
        <v>0</v>
      </c>
      <c r="H34" s="55">
        <v>0</v>
      </c>
      <c r="I34" s="55">
        <v>0</v>
      </c>
      <c r="J34" s="55">
        <v>0</v>
      </c>
      <c r="K34" s="55">
        <v>0</v>
      </c>
      <c r="L34" s="55">
        <v>0</v>
      </c>
      <c r="M34" s="55">
        <v>0</v>
      </c>
      <c r="N34" s="55">
        <v>0</v>
      </c>
      <c r="O34" s="55">
        <v>0</v>
      </c>
      <c r="P34" s="55">
        <v>0</v>
      </c>
      <c r="Q34" s="55">
        <v>0</v>
      </c>
      <c r="R34" s="55">
        <v>0</v>
      </c>
      <c r="S34" s="55">
        <v>0</v>
      </c>
      <c r="T34" s="55">
        <v>0</v>
      </c>
      <c r="U34" s="55">
        <v>0</v>
      </c>
      <c r="V34" s="55">
        <v>0</v>
      </c>
      <c r="W34" s="55">
        <v>0</v>
      </c>
      <c r="X34" s="55">
        <v>0</v>
      </c>
      <c r="Y34" s="55">
        <v>0</v>
      </c>
      <c r="DA34" s="101" t="s">
        <v>201</v>
      </c>
    </row>
    <row r="35" spans="1:105" ht="12" customHeight="1" x14ac:dyDescent="0.25">
      <c r="A35" s="61" t="s">
        <v>163</v>
      </c>
      <c r="B35" s="55">
        <v>342.55993121238174</v>
      </c>
      <c r="C35" s="55">
        <v>355.72992261392955</v>
      </c>
      <c r="D35" s="55">
        <v>348.5406706792777</v>
      </c>
      <c r="E35" s="55">
        <v>342.33301805674972</v>
      </c>
      <c r="F35" s="55">
        <v>330.73233018056754</v>
      </c>
      <c r="G35" s="55">
        <v>313.43508168529661</v>
      </c>
      <c r="H35" s="55">
        <v>310.1542562338779</v>
      </c>
      <c r="I35" s="55">
        <v>295.90988822012037</v>
      </c>
      <c r="J35" s="55">
        <v>242.64909716251071</v>
      </c>
      <c r="K35" s="55">
        <v>265.01607910576098</v>
      </c>
      <c r="L35" s="55">
        <v>314.02055030094579</v>
      </c>
      <c r="M35" s="55">
        <v>268.27867583834916</v>
      </c>
      <c r="N35" s="55">
        <v>295.74462596732587</v>
      </c>
      <c r="O35" s="55">
        <v>266.89776440240757</v>
      </c>
      <c r="P35" s="55">
        <v>265.86775580395528</v>
      </c>
      <c r="Q35" s="55">
        <v>245.16732588134133</v>
      </c>
      <c r="R35" s="55">
        <v>269.46577815993129</v>
      </c>
      <c r="S35" s="55">
        <v>265.83241616509025</v>
      </c>
      <c r="T35" s="55">
        <v>263.68564058469474</v>
      </c>
      <c r="U35" s="55">
        <v>261.69131556319866</v>
      </c>
      <c r="V35" s="55">
        <v>237.2525365434222</v>
      </c>
      <c r="W35" s="55">
        <v>270.83258813413579</v>
      </c>
      <c r="X35" s="55">
        <v>252.64230438521065</v>
      </c>
      <c r="Y35" s="55">
        <v>251.79432502149615</v>
      </c>
      <c r="DA35" s="101" t="s">
        <v>202</v>
      </c>
    </row>
    <row r="36" spans="1:105" ht="12" customHeight="1" x14ac:dyDescent="0.25">
      <c r="A36" s="60" t="s">
        <v>149</v>
      </c>
      <c r="B36" s="55">
        <v>26.977644024075669</v>
      </c>
      <c r="C36" s="55">
        <v>28.181427343078241</v>
      </c>
      <c r="D36" s="55">
        <v>30.803955288048151</v>
      </c>
      <c r="E36" s="55">
        <v>30.09458297506449</v>
      </c>
      <c r="F36" s="55">
        <v>31.276870163370589</v>
      </c>
      <c r="G36" s="55">
        <v>31.534823731728292</v>
      </c>
      <c r="H36" s="55">
        <v>30.331040412725709</v>
      </c>
      <c r="I36" s="55">
        <v>28.89045571797076</v>
      </c>
      <c r="J36" s="55">
        <v>27.8371453138435</v>
      </c>
      <c r="K36" s="55">
        <v>27.773086844368009</v>
      </c>
      <c r="L36" s="55">
        <v>30.56732588134135</v>
      </c>
      <c r="M36" s="55">
        <v>37.059031916820977</v>
      </c>
      <c r="N36" s="55">
        <v>33.528991690487743</v>
      </c>
      <c r="O36" s="55">
        <v>34.723141184048878</v>
      </c>
      <c r="P36" s="55">
        <v>29.864685268385049</v>
      </c>
      <c r="Q36" s="55">
        <v>28.285671658907741</v>
      </c>
      <c r="R36" s="55">
        <v>29.123978972376328</v>
      </c>
      <c r="S36" s="55">
        <v>28.731595166589429</v>
      </c>
      <c r="T36" s="55">
        <v>25.681631814219877</v>
      </c>
      <c r="U36" s="55">
        <v>26.969739159866673</v>
      </c>
      <c r="V36" s="55">
        <v>23.563237581362898</v>
      </c>
      <c r="W36" s="55">
        <v>29.244218204315803</v>
      </c>
      <c r="X36" s="55">
        <v>23.825719590580466</v>
      </c>
      <c r="Y36" s="55">
        <v>13.347818822416748</v>
      </c>
      <c r="DA36" s="101" t="s">
        <v>203</v>
      </c>
    </row>
    <row r="37" spans="1:105" ht="12" customHeight="1" x14ac:dyDescent="0.25">
      <c r="A37" s="60" t="s">
        <v>51</v>
      </c>
      <c r="B37" s="55">
        <f>SUM(B38:B42)</f>
        <v>61.598280309544272</v>
      </c>
      <c r="C37" s="55">
        <f t="shared" ref="C37:W37" si="31">SUM(C38:C42)</f>
        <v>66.423043852106616</v>
      </c>
      <c r="D37" s="55">
        <f t="shared" si="31"/>
        <v>70.364058469475495</v>
      </c>
      <c r="E37" s="55">
        <f t="shared" si="31"/>
        <v>72.585210662080826</v>
      </c>
      <c r="F37" s="55">
        <f t="shared" si="31"/>
        <v>74.519948409286329</v>
      </c>
      <c r="G37" s="55">
        <f t="shared" si="31"/>
        <v>73.683920894239037</v>
      </c>
      <c r="H37" s="55">
        <f t="shared" si="31"/>
        <v>74.782717110920032</v>
      </c>
      <c r="I37" s="55">
        <f t="shared" si="31"/>
        <v>74.830438521066199</v>
      </c>
      <c r="J37" s="55">
        <f t="shared" si="31"/>
        <v>80.586586414445378</v>
      </c>
      <c r="K37" s="55">
        <f t="shared" si="31"/>
        <v>87.617540842648324</v>
      </c>
      <c r="L37" s="55">
        <f t="shared" si="31"/>
        <v>98.55219260533103</v>
      </c>
      <c r="M37" s="55">
        <f t="shared" si="31"/>
        <v>91.169944867357827</v>
      </c>
      <c r="N37" s="55">
        <f t="shared" si="31"/>
        <v>103.37651131897054</v>
      </c>
      <c r="O37" s="55">
        <f t="shared" si="31"/>
        <v>88.144442650860839</v>
      </c>
      <c r="P37" s="55">
        <f t="shared" si="31"/>
        <v>90.5178598734894</v>
      </c>
      <c r="Q37" s="55">
        <f t="shared" si="31"/>
        <v>81.065317163104282</v>
      </c>
      <c r="R37" s="55">
        <f t="shared" si="31"/>
        <v>88.742143125646024</v>
      </c>
      <c r="S37" s="55">
        <f t="shared" si="31"/>
        <v>98.30331454966165</v>
      </c>
      <c r="T37" s="55">
        <f t="shared" si="31"/>
        <v>99.051128288961536</v>
      </c>
      <c r="U37" s="55">
        <f t="shared" si="31"/>
        <v>95.004723436865902</v>
      </c>
      <c r="V37" s="55">
        <f t="shared" si="31"/>
        <v>87.393770157244163</v>
      </c>
      <c r="W37" s="55">
        <f t="shared" si="31"/>
        <v>112.8097800759937</v>
      </c>
      <c r="X37" s="55">
        <f t="shared" ref="X37:Y37" si="32">SUM(X38:X42)</f>
        <v>114.96636983332323</v>
      </c>
      <c r="Y37" s="55">
        <f t="shared" si="32"/>
        <v>108.02844944929433</v>
      </c>
      <c r="DA37" s="101"/>
    </row>
    <row r="38" spans="1:105" ht="12" customHeight="1" x14ac:dyDescent="0.25">
      <c r="A38" s="61" t="s">
        <v>164</v>
      </c>
      <c r="B38" s="55">
        <v>52.187790197764393</v>
      </c>
      <c r="C38" s="55">
        <v>59.47265692175408</v>
      </c>
      <c r="D38" s="55">
        <v>61.287876182287192</v>
      </c>
      <c r="E38" s="55">
        <v>62.099914015477218</v>
      </c>
      <c r="F38" s="55">
        <v>61.741702493551159</v>
      </c>
      <c r="G38" s="55">
        <v>61.669991401547719</v>
      </c>
      <c r="H38" s="55">
        <v>63.77188306104901</v>
      </c>
      <c r="I38" s="55">
        <v>63.556921754084257</v>
      </c>
      <c r="J38" s="55">
        <v>69.241444539982794</v>
      </c>
      <c r="K38" s="55">
        <v>73.851074806534825</v>
      </c>
      <c r="L38" s="55">
        <v>82.210834049871011</v>
      </c>
      <c r="M38" s="55">
        <v>71.916595012897659</v>
      </c>
      <c r="N38" s="55">
        <v>78.890713671539103</v>
      </c>
      <c r="O38" s="55">
        <v>72.513585554600169</v>
      </c>
      <c r="P38" s="55">
        <v>74.400515907136722</v>
      </c>
      <c r="Q38" s="55">
        <v>68.405503009458286</v>
      </c>
      <c r="R38" s="55">
        <v>76.86061908856405</v>
      </c>
      <c r="S38" s="55">
        <v>77.553224419604476</v>
      </c>
      <c r="T38" s="55">
        <v>79.559501289767837</v>
      </c>
      <c r="U38" s="55">
        <v>78.222012037833181</v>
      </c>
      <c r="V38" s="55">
        <v>71.128202923473779</v>
      </c>
      <c r="W38" s="55">
        <v>85.291917454858094</v>
      </c>
      <c r="X38" s="55">
        <v>88.372914875322437</v>
      </c>
      <c r="Y38" s="55">
        <v>80.109028374892517</v>
      </c>
      <c r="DA38" s="101" t="s">
        <v>204</v>
      </c>
    </row>
    <row r="39" spans="1:105" ht="12" customHeight="1" x14ac:dyDescent="0.25">
      <c r="A39" s="61" t="s">
        <v>50</v>
      </c>
      <c r="B39" s="55">
        <v>9.4104901117798789</v>
      </c>
      <c r="C39" s="55">
        <v>6.9503869303525363</v>
      </c>
      <c r="D39" s="55">
        <v>9.0761822871883044</v>
      </c>
      <c r="E39" s="55">
        <v>10.48529664660361</v>
      </c>
      <c r="F39" s="55">
        <v>12.77824591573517</v>
      </c>
      <c r="G39" s="55">
        <v>12.01392949269132</v>
      </c>
      <c r="H39" s="55">
        <v>11.01083404987102</v>
      </c>
      <c r="I39" s="55">
        <v>11.27351676698194</v>
      </c>
      <c r="J39" s="55">
        <v>11.345141874462589</v>
      </c>
      <c r="K39" s="55">
        <v>10.67644024075666</v>
      </c>
      <c r="L39" s="55">
        <v>10.60472914875322</v>
      </c>
      <c r="M39" s="55">
        <v>13.925232915509191</v>
      </c>
      <c r="N39" s="55">
        <v>21.644267122925847</v>
      </c>
      <c r="O39" s="55">
        <v>14.318647294025066</v>
      </c>
      <c r="P39" s="55">
        <v>14.797395557066357</v>
      </c>
      <c r="Q39" s="55">
        <v>11.983717850980481</v>
      </c>
      <c r="R39" s="55">
        <v>11.169658172937522</v>
      </c>
      <c r="S39" s="55">
        <v>19.415782305465601</v>
      </c>
      <c r="T39" s="55">
        <v>18.173054342271943</v>
      </c>
      <c r="U39" s="55">
        <v>15.452014924398156</v>
      </c>
      <c r="V39" s="55">
        <v>14.890932667992223</v>
      </c>
      <c r="W39" s="55">
        <v>18.930072423371204</v>
      </c>
      <c r="X39" s="55">
        <v>17.067057709505523</v>
      </c>
      <c r="Y39" s="55">
        <v>17.644098632441374</v>
      </c>
      <c r="DA39" s="101" t="s">
        <v>205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3.0900257953568349</v>
      </c>
      <c r="L40" s="55">
        <v>5.7366294067067924</v>
      </c>
      <c r="M40" s="55">
        <v>5.3281169389509886</v>
      </c>
      <c r="N40" s="55">
        <v>2.8415305245055889</v>
      </c>
      <c r="O40" s="55">
        <v>1.312209802235597</v>
      </c>
      <c r="P40" s="55">
        <v>1.3199484092863289</v>
      </c>
      <c r="Q40" s="55">
        <v>0.67609630266552023</v>
      </c>
      <c r="R40" s="55">
        <v>0.71186586414445396</v>
      </c>
      <c r="S40" s="55">
        <v>1.3343078245915729</v>
      </c>
      <c r="T40" s="55">
        <v>1.318572656921754</v>
      </c>
      <c r="U40" s="55">
        <v>1.330696474634566</v>
      </c>
      <c r="V40" s="55">
        <v>1.37463456577816</v>
      </c>
      <c r="W40" s="55">
        <v>8.5877901977644022</v>
      </c>
      <c r="X40" s="55">
        <v>9.5263972484952699</v>
      </c>
      <c r="Y40" s="55">
        <v>10.275322441960448</v>
      </c>
      <c r="DA40" s="101" t="s">
        <v>206</v>
      </c>
    </row>
    <row r="41" spans="1:105" ht="12" customHeight="1" x14ac:dyDescent="0.25">
      <c r="A41" s="61" t="s">
        <v>26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55">
        <v>0</v>
      </c>
      <c r="M41" s="55">
        <v>0</v>
      </c>
      <c r="N41" s="55">
        <v>0</v>
      </c>
      <c r="O41" s="55">
        <v>0</v>
      </c>
      <c r="P41" s="55">
        <v>0</v>
      </c>
      <c r="Q41" s="55">
        <v>0</v>
      </c>
      <c r="R41" s="55">
        <v>0</v>
      </c>
      <c r="S41" s="55">
        <v>0</v>
      </c>
      <c r="T41" s="55">
        <v>0</v>
      </c>
      <c r="U41" s="55">
        <v>0</v>
      </c>
      <c r="V41" s="55">
        <v>0</v>
      </c>
      <c r="W41" s="55">
        <v>0</v>
      </c>
      <c r="X41" s="55">
        <v>0</v>
      </c>
      <c r="Y41" s="55">
        <v>0</v>
      </c>
      <c r="DA41" s="101" t="s">
        <v>207</v>
      </c>
    </row>
    <row r="42" spans="1:105" ht="12" customHeight="1" x14ac:dyDescent="0.25">
      <c r="A42" s="61" t="s">
        <v>25</v>
      </c>
      <c r="B42" s="55">
        <v>0</v>
      </c>
      <c r="C42" s="55">
        <v>0</v>
      </c>
      <c r="D42" s="55">
        <v>0</v>
      </c>
      <c r="E42" s="55">
        <v>0</v>
      </c>
      <c r="F42" s="55">
        <v>0</v>
      </c>
      <c r="G42" s="55">
        <v>0</v>
      </c>
      <c r="H42" s="55">
        <v>0</v>
      </c>
      <c r="I42" s="55">
        <v>0</v>
      </c>
      <c r="J42" s="55">
        <v>0</v>
      </c>
      <c r="K42" s="55">
        <v>0</v>
      </c>
      <c r="L42" s="55">
        <v>0</v>
      </c>
      <c r="M42" s="55">
        <v>0</v>
      </c>
      <c r="N42" s="55">
        <v>0</v>
      </c>
      <c r="O42" s="55">
        <v>0</v>
      </c>
      <c r="P42" s="55">
        <v>0</v>
      </c>
      <c r="Q42" s="55">
        <v>0</v>
      </c>
      <c r="R42" s="55">
        <v>0</v>
      </c>
      <c r="S42" s="55">
        <v>0</v>
      </c>
      <c r="T42" s="55">
        <v>0</v>
      </c>
      <c r="U42" s="55">
        <v>0</v>
      </c>
      <c r="V42" s="55">
        <v>0</v>
      </c>
      <c r="W42" s="55">
        <v>0</v>
      </c>
      <c r="X42" s="55">
        <v>0</v>
      </c>
      <c r="Y42" s="55">
        <v>0</v>
      </c>
      <c r="DA42" s="101" t="s">
        <v>208</v>
      </c>
    </row>
    <row r="43" spans="1:105" ht="12" customHeight="1" x14ac:dyDescent="0.25">
      <c r="A43" s="61" t="s">
        <v>151</v>
      </c>
      <c r="B43" s="309">
        <v>1.7906376302153744</v>
      </c>
      <c r="C43" s="309">
        <v>2.0331793707260064</v>
      </c>
      <c r="D43" s="55">
        <v>2.395967540356275</v>
      </c>
      <c r="E43" s="55">
        <v>2.8650683331247446</v>
      </c>
      <c r="F43" s="55">
        <v>3.4916373151999673</v>
      </c>
      <c r="G43" s="55">
        <v>4.1982467273855262</v>
      </c>
      <c r="H43" s="55">
        <v>5.015470308234609</v>
      </c>
      <c r="I43" s="55">
        <v>5.9076240253168582</v>
      </c>
      <c r="J43" s="55">
        <v>6.9656618803583594</v>
      </c>
      <c r="K43" s="55">
        <v>8.2455500096589134</v>
      </c>
      <c r="L43" s="55">
        <v>9.8935358976302687</v>
      </c>
      <c r="M43" s="55">
        <v>12.28340727645325</v>
      </c>
      <c r="N43" s="55">
        <v>15.165507306841798</v>
      </c>
      <c r="O43" s="55">
        <v>18.904672543350387</v>
      </c>
      <c r="P43" s="55">
        <v>22.969667221927295</v>
      </c>
      <c r="Q43" s="55">
        <v>29.237514310077394</v>
      </c>
      <c r="R43" s="55">
        <v>32.48397594463168</v>
      </c>
      <c r="S43" s="55">
        <v>37.092777300085942</v>
      </c>
      <c r="T43" s="55">
        <v>43.135597592433385</v>
      </c>
      <c r="U43" s="55">
        <v>48.127429062768641</v>
      </c>
      <c r="V43" s="55">
        <v>50.754772141014669</v>
      </c>
      <c r="W43" s="55">
        <v>68.954772141014672</v>
      </c>
      <c r="X43" s="55">
        <v>76.167927773000827</v>
      </c>
      <c r="Y43" s="55">
        <v>91.812381771281082</v>
      </c>
      <c r="DA43" s="101" t="s">
        <v>209</v>
      </c>
    </row>
    <row r="44" spans="1:105" ht="12" customHeight="1" x14ac:dyDescent="0.25">
      <c r="A44" s="60" t="s">
        <v>162</v>
      </c>
      <c r="B44" s="55">
        <v>750</v>
      </c>
      <c r="C44" s="55">
        <v>855.66543422183997</v>
      </c>
      <c r="D44" s="55">
        <v>884.30300945829742</v>
      </c>
      <c r="E44" s="55">
        <v>901.28495270851238</v>
      </c>
      <c r="F44" s="55">
        <v>878.92897678417876</v>
      </c>
      <c r="G44" s="55">
        <v>864.04892519346504</v>
      </c>
      <c r="H44" s="55">
        <v>890.27420464316413</v>
      </c>
      <c r="I44" s="55">
        <v>1010.5092003439379</v>
      </c>
      <c r="J44" s="55">
        <v>1003.9649183147034</v>
      </c>
      <c r="K44" s="55">
        <v>1156.4201203783321</v>
      </c>
      <c r="L44" s="55">
        <v>1227.7395528804816</v>
      </c>
      <c r="M44" s="55">
        <v>1020.7318142734306</v>
      </c>
      <c r="N44" s="55">
        <v>1115.7208942390371</v>
      </c>
      <c r="O44" s="55">
        <v>1053.071539122958</v>
      </c>
      <c r="P44" s="55">
        <v>1134.470249355116</v>
      </c>
      <c r="Q44" s="55">
        <v>1007.4042132416165</v>
      </c>
      <c r="R44" s="55">
        <v>1105.0683576956146</v>
      </c>
      <c r="S44" s="55">
        <v>1096.8281169389506</v>
      </c>
      <c r="T44" s="55">
        <v>1117.5122098022357</v>
      </c>
      <c r="U44" s="55">
        <v>1079.2490111779882</v>
      </c>
      <c r="V44" s="55">
        <v>979.33981083404979</v>
      </c>
      <c r="W44" s="55">
        <v>1156.8262252794493</v>
      </c>
      <c r="X44" s="55">
        <v>1071.5104901117795</v>
      </c>
      <c r="Y44" s="55">
        <v>1082.1391229578674</v>
      </c>
      <c r="DA44" s="101" t="s">
        <v>210</v>
      </c>
    </row>
    <row r="45" spans="1:105" ht="12" customHeight="1" x14ac:dyDescent="0.25">
      <c r="A45" s="62" t="s">
        <v>24</v>
      </c>
      <c r="B45" s="63">
        <v>1142.4544697071583</v>
      </c>
      <c r="C45" s="63">
        <v>1215.026023701286</v>
      </c>
      <c r="D45" s="63">
        <v>1259.3104332272817</v>
      </c>
      <c r="E45" s="63">
        <v>1261.6333960752754</v>
      </c>
      <c r="F45" s="63">
        <v>1304.6268563600606</v>
      </c>
      <c r="G45" s="63">
        <v>1334.7227076940494</v>
      </c>
      <c r="H45" s="63">
        <v>1370.3208846815633</v>
      </c>
      <c r="I45" s="63">
        <v>1392.9347585828034</v>
      </c>
      <c r="J45" s="63">
        <v>1422.9417916038719</v>
      </c>
      <c r="K45" s="63">
        <v>1483.5590806550972</v>
      </c>
      <c r="L45" s="63">
        <v>1534.4588044743668</v>
      </c>
      <c r="M45" s="63">
        <v>1484.3225080674792</v>
      </c>
      <c r="N45" s="63">
        <v>1535.28076985545</v>
      </c>
      <c r="O45" s="63">
        <v>1505.1165584549672</v>
      </c>
      <c r="P45" s="63">
        <v>1501.2219354412068</v>
      </c>
      <c r="Q45" s="63">
        <v>1500.4686821125633</v>
      </c>
      <c r="R45" s="63">
        <v>1517.2897212984994</v>
      </c>
      <c r="S45" s="63">
        <v>1506.8999954480823</v>
      </c>
      <c r="T45" s="63">
        <v>1566.2991331442374</v>
      </c>
      <c r="U45" s="63">
        <v>1537.3961112128368</v>
      </c>
      <c r="V45" s="63">
        <v>1425.2233820203339</v>
      </c>
      <c r="W45" s="63">
        <v>1476.7354016172683</v>
      </c>
      <c r="X45" s="63">
        <v>1468.5896229792509</v>
      </c>
      <c r="Y45" s="63">
        <v>1404.4324605078314</v>
      </c>
      <c r="DA45" s="105" t="s">
        <v>211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DA46" s="106"/>
    </row>
    <row r="47" spans="1:105" ht="12.95" customHeight="1" x14ac:dyDescent="0.25">
      <c r="A47" s="81" t="s">
        <v>56</v>
      </c>
      <c r="B47" s="82">
        <f t="shared" ref="B47" si="33">SUM(B48,B53)</f>
        <v>2325.5604886237534</v>
      </c>
      <c r="C47" s="82">
        <f t="shared" ref="C47:W47" si="34">SUM(C48,C53)</f>
        <v>2523.0422747760931</v>
      </c>
      <c r="D47" s="82">
        <f t="shared" si="34"/>
        <v>2595.3252225652004</v>
      </c>
      <c r="E47" s="82">
        <f t="shared" si="34"/>
        <v>2609.9416505894628</v>
      </c>
      <c r="F47" s="82">
        <f t="shared" si="34"/>
        <v>2622.0035545543856</v>
      </c>
      <c r="G47" s="82">
        <f t="shared" si="34"/>
        <v>2619.2978581669645</v>
      </c>
      <c r="H47" s="82">
        <f t="shared" si="34"/>
        <v>2677.8435845955787</v>
      </c>
      <c r="I47" s="82">
        <f t="shared" si="34"/>
        <v>2804.7884989095455</v>
      </c>
      <c r="J47" s="82">
        <f t="shared" si="34"/>
        <v>2780.0730899701657</v>
      </c>
      <c r="K47" s="82">
        <f t="shared" si="34"/>
        <v>3022.7485905433182</v>
      </c>
      <c r="L47" s="82">
        <f t="shared" si="34"/>
        <v>3207.9932842680032</v>
      </c>
      <c r="M47" s="82">
        <f t="shared" si="34"/>
        <v>2903.7154573366101</v>
      </c>
      <c r="N47" s="82">
        <f t="shared" si="34"/>
        <v>3086.1724293567395</v>
      </c>
      <c r="O47" s="82">
        <f t="shared" si="34"/>
        <v>2950.2554234592653</v>
      </c>
      <c r="P47" s="82">
        <f t="shared" si="34"/>
        <v>3024.3276104197103</v>
      </c>
      <c r="Q47" s="82">
        <f t="shared" si="34"/>
        <v>2864.5515711925291</v>
      </c>
      <c r="R47" s="82">
        <f t="shared" si="34"/>
        <v>3012.0665054773472</v>
      </c>
      <c r="S47" s="82">
        <f t="shared" si="34"/>
        <v>2998.9648277782621</v>
      </c>
      <c r="T47" s="82">
        <f t="shared" si="34"/>
        <v>3074.6588064030516</v>
      </c>
      <c r="U47" s="82">
        <f t="shared" si="34"/>
        <v>3002.8044517115482</v>
      </c>
      <c r="V47" s="82">
        <f t="shared" si="34"/>
        <v>2755.010484341914</v>
      </c>
      <c r="W47" s="82">
        <f t="shared" si="34"/>
        <v>3048.9417644719533</v>
      </c>
      <c r="X47" s="82">
        <f t="shared" ref="X47:Y47" si="35">SUM(X48,X53)</f>
        <v>2933.9994252148485</v>
      </c>
      <c r="Y47" s="82">
        <f t="shared" si="35"/>
        <v>2862.1927356583028</v>
      </c>
      <c r="DA47" s="107" t="s">
        <v>212</v>
      </c>
    </row>
    <row r="48" spans="1:105" ht="12" customHeight="1" x14ac:dyDescent="0.25">
      <c r="A48" s="77" t="s">
        <v>36</v>
      </c>
      <c r="B48" s="64">
        <f t="shared" ref="B48" si="36">SUM(B49:B52)</f>
        <v>1903.992910740157</v>
      </c>
      <c r="C48" s="64">
        <f t="shared" ref="C48:W48" si="37">SUM(C49:C52)</f>
        <v>2086.0936908905724</v>
      </c>
      <c r="D48" s="64">
        <f t="shared" si="37"/>
        <v>2143.8259639212752</v>
      </c>
      <c r="E48" s="64">
        <f t="shared" si="37"/>
        <v>2144.2124091435389</v>
      </c>
      <c r="F48" s="64">
        <f t="shared" si="37"/>
        <v>2140.054959837792</v>
      </c>
      <c r="G48" s="64">
        <f t="shared" si="37"/>
        <v>2120.0810265853074</v>
      </c>
      <c r="H48" s="64">
        <f t="shared" si="37"/>
        <v>2164.3075870699317</v>
      </c>
      <c r="I48" s="64">
        <f t="shared" si="37"/>
        <v>2275.7265901177839</v>
      </c>
      <c r="J48" s="64">
        <f t="shared" si="37"/>
        <v>2240.1959859920407</v>
      </c>
      <c r="K48" s="64">
        <f t="shared" si="37"/>
        <v>2473.9594438158056</v>
      </c>
      <c r="L48" s="64">
        <f t="shared" si="37"/>
        <v>2651.2681416124128</v>
      </c>
      <c r="M48" s="64">
        <f t="shared" si="37"/>
        <v>2344.8711107090267</v>
      </c>
      <c r="N48" s="64">
        <f t="shared" si="37"/>
        <v>2522.7673735027211</v>
      </c>
      <c r="O48" s="64">
        <f t="shared" si="37"/>
        <v>2380.423660217597</v>
      </c>
      <c r="P48" s="64">
        <f t="shared" si="37"/>
        <v>2447.3991963673225</v>
      </c>
      <c r="Q48" s="64">
        <f t="shared" si="37"/>
        <v>2279.2690603870465</v>
      </c>
      <c r="R48" s="64">
        <f t="shared" si="37"/>
        <v>2424.9955616055622</v>
      </c>
      <c r="S48" s="64">
        <f t="shared" si="37"/>
        <v>2408.508388749985</v>
      </c>
      <c r="T48" s="64">
        <f t="shared" si="37"/>
        <v>2489.3045995195039</v>
      </c>
      <c r="U48" s="64">
        <f t="shared" si="37"/>
        <v>2422.0218505048115</v>
      </c>
      <c r="V48" s="64">
        <f t="shared" si="37"/>
        <v>2199.8783617825511</v>
      </c>
      <c r="W48" s="64">
        <f t="shared" si="37"/>
        <v>2491.8171127152891</v>
      </c>
      <c r="X48" s="64">
        <f t="shared" ref="X48:Y48" si="38">SUM(X49:X52)</f>
        <v>2380.7898147356459</v>
      </c>
      <c r="Y48" s="64">
        <f t="shared" si="38"/>
        <v>2307.0820016370549</v>
      </c>
      <c r="DA48" s="108" t="s">
        <v>213</v>
      </c>
    </row>
    <row r="49" spans="1:105" ht="12" customHeight="1" x14ac:dyDescent="0.25">
      <c r="A49" s="61" t="s">
        <v>32</v>
      </c>
      <c r="B49" s="65">
        <v>1496.6344365588918</v>
      </c>
      <c r="C49" s="65">
        <v>1678.391817470256</v>
      </c>
      <c r="D49" s="65">
        <v>1734.4965965057718</v>
      </c>
      <c r="E49" s="65">
        <v>1728.9386479657339</v>
      </c>
      <c r="F49" s="65">
        <v>1719.008333254339</v>
      </c>
      <c r="G49" s="65">
        <v>1690.3701693094736</v>
      </c>
      <c r="H49" s="65">
        <v>1728.0368861911024</v>
      </c>
      <c r="I49" s="65">
        <v>1837.5040026212514</v>
      </c>
      <c r="J49" s="65">
        <v>1798.1194970562956</v>
      </c>
      <c r="K49" s="65">
        <v>2025.6759514565369</v>
      </c>
      <c r="L49" s="65">
        <v>2198.0711783642641</v>
      </c>
      <c r="M49" s="65">
        <v>1883.6429815536098</v>
      </c>
      <c r="N49" s="65">
        <v>2060.6210590003047</v>
      </c>
      <c r="O49" s="65">
        <v>1914.0640016652033</v>
      </c>
      <c r="P49" s="65">
        <v>1975.3292856323451</v>
      </c>
      <c r="Q49" s="65">
        <v>1801.7882286997485</v>
      </c>
      <c r="R49" s="65">
        <v>1943.083345409932</v>
      </c>
      <c r="S49" s="65">
        <v>1915.4124390094053</v>
      </c>
      <c r="T49" s="65">
        <v>1996.7825155174269</v>
      </c>
      <c r="U49" s="65">
        <v>1911.8788405278233</v>
      </c>
      <c r="V49" s="65">
        <v>1729.59324891546</v>
      </c>
      <c r="W49" s="65">
        <v>1975.7113745150357</v>
      </c>
      <c r="X49" s="65">
        <v>1866.9900796887</v>
      </c>
      <c r="Y49" s="65">
        <v>1790.9383411832468</v>
      </c>
      <c r="DA49" s="109" t="s">
        <v>214</v>
      </c>
    </row>
    <row r="50" spans="1:105" ht="12" customHeight="1" x14ac:dyDescent="0.25">
      <c r="A50" s="61" t="s">
        <v>31</v>
      </c>
      <c r="B50" s="65">
        <v>11.472550861423928</v>
      </c>
      <c r="C50" s="65">
        <v>11.641327877321574</v>
      </c>
      <c r="D50" s="65">
        <v>12.022679897235877</v>
      </c>
      <c r="E50" s="65">
        <v>12.899808143165378</v>
      </c>
      <c r="F50" s="65">
        <v>12.787943505728428</v>
      </c>
      <c r="G50" s="65">
        <v>13.451130580315453</v>
      </c>
      <c r="H50" s="65">
        <v>14.019119675741356</v>
      </c>
      <c r="I50" s="65">
        <v>14.803514442209837</v>
      </c>
      <c r="J50" s="65">
        <v>15.632418312141841</v>
      </c>
      <c r="K50" s="65">
        <v>16.308212427380884</v>
      </c>
      <c r="L50" s="65">
        <v>17.849902841350932</v>
      </c>
      <c r="M50" s="65">
        <v>16.873120143408158</v>
      </c>
      <c r="N50" s="65">
        <v>16.467675765827231</v>
      </c>
      <c r="O50" s="65">
        <v>16.357534554472291</v>
      </c>
      <c r="P50" s="65">
        <v>16.463320005075346</v>
      </c>
      <c r="Q50" s="65">
        <v>16.174735323115964</v>
      </c>
      <c r="R50" s="65">
        <v>16.225759694959446</v>
      </c>
      <c r="S50" s="65">
        <v>15.81127290738122</v>
      </c>
      <c r="T50" s="65">
        <v>15.453097162044921</v>
      </c>
      <c r="U50" s="65">
        <v>15.4090498092516</v>
      </c>
      <c r="V50" s="65">
        <v>15.25384048819201</v>
      </c>
      <c r="W50" s="65">
        <v>14.828642649926234</v>
      </c>
      <c r="X50" s="65">
        <v>14.807877362327776</v>
      </c>
      <c r="Y50" s="65">
        <v>14.994718832484226</v>
      </c>
      <c r="DA50" s="109" t="s">
        <v>215</v>
      </c>
    </row>
    <row r="51" spans="1:105" ht="12" customHeight="1" x14ac:dyDescent="0.25">
      <c r="A51" s="61" t="s">
        <v>35</v>
      </c>
      <c r="B51" s="65">
        <v>204.99939679757375</v>
      </c>
      <c r="C51" s="65">
        <v>206.8752611407694</v>
      </c>
      <c r="D51" s="65">
        <v>208.03696490141493</v>
      </c>
      <c r="E51" s="65">
        <v>211.00141909368696</v>
      </c>
      <c r="F51" s="65">
        <v>212.62111778832204</v>
      </c>
      <c r="G51" s="65">
        <v>217.03571286996163</v>
      </c>
      <c r="H51" s="65">
        <v>218.52546107829437</v>
      </c>
      <c r="I51" s="65">
        <v>219.63032741981488</v>
      </c>
      <c r="J51" s="65">
        <v>221.75457892166548</v>
      </c>
      <c r="K51" s="65">
        <v>223.55423618476914</v>
      </c>
      <c r="L51" s="65">
        <v>227.61474856141569</v>
      </c>
      <c r="M51" s="65">
        <v>230.47328186341497</v>
      </c>
      <c r="N51" s="65">
        <v>232.4027002587365</v>
      </c>
      <c r="O51" s="65">
        <v>234.30817472368915</v>
      </c>
      <c r="P51" s="65">
        <v>237.34898125114984</v>
      </c>
      <c r="Q51" s="65">
        <v>239.27936721224751</v>
      </c>
      <c r="R51" s="65">
        <v>238.33974715960511</v>
      </c>
      <c r="S51" s="65">
        <v>241.65239675944389</v>
      </c>
      <c r="T51" s="65">
        <v>242.02209615417701</v>
      </c>
      <c r="U51" s="65">
        <v>245.54984706004677</v>
      </c>
      <c r="V51" s="65">
        <v>223.79237813866797</v>
      </c>
      <c r="W51" s="65">
        <v>246.73666724465193</v>
      </c>
      <c r="X51" s="65">
        <v>245.99407897143385</v>
      </c>
      <c r="Y51" s="65">
        <v>246.26610385050355</v>
      </c>
      <c r="DA51" s="109" t="s">
        <v>216</v>
      </c>
    </row>
    <row r="52" spans="1:105" ht="12" customHeight="1" x14ac:dyDescent="0.25">
      <c r="A52" s="66" t="s">
        <v>34</v>
      </c>
      <c r="B52" s="67">
        <v>190.88652652226733</v>
      </c>
      <c r="C52" s="67">
        <v>189.18528440222508</v>
      </c>
      <c r="D52" s="67">
        <v>189.26972261685259</v>
      </c>
      <c r="E52" s="67">
        <v>191.37253394095271</v>
      </c>
      <c r="F52" s="67">
        <v>195.63756528940249</v>
      </c>
      <c r="G52" s="67">
        <v>199.22401382555663</v>
      </c>
      <c r="H52" s="67">
        <v>203.7261201247936</v>
      </c>
      <c r="I52" s="67">
        <v>203.78874563450731</v>
      </c>
      <c r="J52" s="67">
        <v>204.68949170193758</v>
      </c>
      <c r="K52" s="67">
        <v>208.42104374711869</v>
      </c>
      <c r="L52" s="67">
        <v>207.7323118453823</v>
      </c>
      <c r="M52" s="67">
        <v>213.88172714859388</v>
      </c>
      <c r="N52" s="67">
        <v>213.27593847785263</v>
      </c>
      <c r="O52" s="67">
        <v>215.69394927423235</v>
      </c>
      <c r="P52" s="67">
        <v>218.25760947875222</v>
      </c>
      <c r="Q52" s="67">
        <v>222.02672915193463</v>
      </c>
      <c r="R52" s="67">
        <v>227.34670934106606</v>
      </c>
      <c r="S52" s="67">
        <v>235.63228007375494</v>
      </c>
      <c r="T52" s="67">
        <v>235.04689068585489</v>
      </c>
      <c r="U52" s="67">
        <v>249.18411310768994</v>
      </c>
      <c r="V52" s="67">
        <v>231.23889424023119</v>
      </c>
      <c r="W52" s="67">
        <v>254.54042830567519</v>
      </c>
      <c r="X52" s="67">
        <v>252.99777871318412</v>
      </c>
      <c r="Y52" s="67">
        <v>254.88283777082023</v>
      </c>
      <c r="DA52" s="110" t="s">
        <v>217</v>
      </c>
    </row>
    <row r="53" spans="1:105" ht="12" customHeight="1" x14ac:dyDescent="0.25">
      <c r="A53" s="78" t="s">
        <v>33</v>
      </c>
      <c r="B53" s="68">
        <v>421.56757788359653</v>
      </c>
      <c r="C53" s="68">
        <v>436.94858388552075</v>
      </c>
      <c r="D53" s="68">
        <v>451.49925864392532</v>
      </c>
      <c r="E53" s="68">
        <v>465.729241445924</v>
      </c>
      <c r="F53" s="68">
        <v>481.94859471659356</v>
      </c>
      <c r="G53" s="68">
        <v>499.216831581657</v>
      </c>
      <c r="H53" s="68">
        <v>513.53599752564708</v>
      </c>
      <c r="I53" s="68">
        <v>529.06190879176154</v>
      </c>
      <c r="J53" s="68">
        <v>539.87710397812521</v>
      </c>
      <c r="K53" s="68">
        <v>548.7891467275125</v>
      </c>
      <c r="L53" s="68">
        <v>556.7251426555905</v>
      </c>
      <c r="M53" s="68">
        <v>558.8443466275836</v>
      </c>
      <c r="N53" s="68">
        <v>563.40505585401866</v>
      </c>
      <c r="O53" s="68">
        <v>569.83176324166834</v>
      </c>
      <c r="P53" s="68">
        <v>576.92841405238778</v>
      </c>
      <c r="Q53" s="68">
        <v>585.28251080548284</v>
      </c>
      <c r="R53" s="68">
        <v>587.07094387178495</v>
      </c>
      <c r="S53" s="68">
        <v>590.45643902827715</v>
      </c>
      <c r="T53" s="68">
        <v>585.3542068835477</v>
      </c>
      <c r="U53" s="68">
        <v>580.78260120673679</v>
      </c>
      <c r="V53" s="68">
        <v>555.13212255936264</v>
      </c>
      <c r="W53" s="68">
        <v>557.12465175666421</v>
      </c>
      <c r="X53" s="68">
        <v>553.20961047920275</v>
      </c>
      <c r="Y53" s="68">
        <v>555.11073402124805</v>
      </c>
      <c r="DA53" s="111" t="s">
        <v>218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39">IF(B47=0,0,B47/B$47)</f>
        <v>1</v>
      </c>
      <c r="C55" s="83">
        <f t="shared" ref="C55:W55" si="40">IF(C47=0,0,C47/C$47)</f>
        <v>1</v>
      </c>
      <c r="D55" s="83">
        <f t="shared" si="40"/>
        <v>1</v>
      </c>
      <c r="E55" s="83">
        <f t="shared" si="40"/>
        <v>1</v>
      </c>
      <c r="F55" s="83">
        <f t="shared" si="40"/>
        <v>1</v>
      </c>
      <c r="G55" s="83">
        <f t="shared" si="40"/>
        <v>1</v>
      </c>
      <c r="H55" s="83">
        <f t="shared" si="40"/>
        <v>1</v>
      </c>
      <c r="I55" s="83">
        <f t="shared" si="40"/>
        <v>1</v>
      </c>
      <c r="J55" s="83">
        <f t="shared" si="40"/>
        <v>1</v>
      </c>
      <c r="K55" s="83">
        <f t="shared" si="40"/>
        <v>1</v>
      </c>
      <c r="L55" s="83">
        <f t="shared" si="40"/>
        <v>1</v>
      </c>
      <c r="M55" s="83">
        <f t="shared" si="40"/>
        <v>1</v>
      </c>
      <c r="N55" s="83">
        <f t="shared" si="40"/>
        <v>1</v>
      </c>
      <c r="O55" s="83">
        <f t="shared" si="40"/>
        <v>1</v>
      </c>
      <c r="P55" s="83">
        <f t="shared" si="40"/>
        <v>1</v>
      </c>
      <c r="Q55" s="83">
        <f t="shared" si="40"/>
        <v>1</v>
      </c>
      <c r="R55" s="83">
        <f t="shared" si="40"/>
        <v>1</v>
      </c>
      <c r="S55" s="83">
        <f t="shared" si="40"/>
        <v>1</v>
      </c>
      <c r="T55" s="83">
        <f t="shared" si="40"/>
        <v>1</v>
      </c>
      <c r="U55" s="83">
        <f t="shared" si="40"/>
        <v>1</v>
      </c>
      <c r="V55" s="83">
        <f t="shared" si="40"/>
        <v>1</v>
      </c>
      <c r="W55" s="83">
        <f t="shared" si="40"/>
        <v>1</v>
      </c>
      <c r="X55" s="83">
        <f t="shared" ref="X55:Y55" si="41">IF(X47=0,0,X47/X$47)</f>
        <v>1</v>
      </c>
      <c r="Y55" s="83">
        <f t="shared" si="41"/>
        <v>1</v>
      </c>
      <c r="DA55" s="112"/>
    </row>
    <row r="56" spans="1:105" ht="12" customHeight="1" x14ac:dyDescent="0.25">
      <c r="A56" s="69" t="s">
        <v>36</v>
      </c>
      <c r="B56" s="70">
        <f t="shared" ref="B56" si="42">IF(B48=0,0,B48/B$47)</f>
        <v>0.81872431186123373</v>
      </c>
      <c r="C56" s="70">
        <f t="shared" ref="C56:W56" si="43">IF(C48=0,0,C48/C$47)</f>
        <v>0.82681678057721109</v>
      </c>
      <c r="D56" s="70">
        <f t="shared" si="43"/>
        <v>0.82603364899383724</v>
      </c>
      <c r="E56" s="70">
        <f t="shared" si="43"/>
        <v>0.82155568828876402</v>
      </c>
      <c r="F56" s="70">
        <f t="shared" si="43"/>
        <v>0.81619071649256336</v>
      </c>
      <c r="G56" s="70">
        <f t="shared" si="43"/>
        <v>0.80940814729218358</v>
      </c>
      <c r="H56" s="70">
        <f t="shared" si="43"/>
        <v>0.80822778429636932</v>
      </c>
      <c r="I56" s="70">
        <f t="shared" si="43"/>
        <v>0.81137190593962716</v>
      </c>
      <c r="J56" s="70">
        <f t="shared" si="43"/>
        <v>0.80580470854314168</v>
      </c>
      <c r="K56" s="70">
        <f t="shared" si="43"/>
        <v>0.81844697622408902</v>
      </c>
      <c r="L56" s="70">
        <f t="shared" si="43"/>
        <v>0.82645688649481586</v>
      </c>
      <c r="M56" s="70">
        <f t="shared" si="43"/>
        <v>0.80754162904784921</v>
      </c>
      <c r="N56" s="70">
        <f t="shared" si="43"/>
        <v>0.81744213301411328</v>
      </c>
      <c r="O56" s="70">
        <f t="shared" si="43"/>
        <v>0.80685341387373066</v>
      </c>
      <c r="P56" s="70">
        <f t="shared" si="43"/>
        <v>0.80923746089388682</v>
      </c>
      <c r="Q56" s="70">
        <f t="shared" si="43"/>
        <v>0.79568093076368451</v>
      </c>
      <c r="R56" s="70">
        <f t="shared" si="43"/>
        <v>0.80509363162990755</v>
      </c>
      <c r="S56" s="70">
        <f t="shared" si="43"/>
        <v>0.8031132497590151</v>
      </c>
      <c r="T56" s="70">
        <f t="shared" si="43"/>
        <v>0.80961978426206727</v>
      </c>
      <c r="U56" s="70">
        <f t="shared" si="43"/>
        <v>0.80658660577258023</v>
      </c>
      <c r="V56" s="70">
        <f t="shared" si="43"/>
        <v>0.79850090382071026</v>
      </c>
      <c r="W56" s="70">
        <f t="shared" si="43"/>
        <v>0.81727278026474448</v>
      </c>
      <c r="X56" s="70">
        <f t="shared" ref="X56:Y56" si="44">IF(X48=0,0,X48/X$47)</f>
        <v>0.81144863024685399</v>
      </c>
      <c r="Y56" s="70">
        <f t="shared" si="44"/>
        <v>0.80605403434036293</v>
      </c>
      <c r="DA56" s="113"/>
    </row>
    <row r="57" spans="1:105" ht="12" customHeight="1" x14ac:dyDescent="0.25">
      <c r="A57" s="61" t="s">
        <v>32</v>
      </c>
      <c r="B57" s="71">
        <f t="shared" ref="B57" si="45">IF(B49=0,0,B49/B$47)</f>
        <v>0.6435585932424347</v>
      </c>
      <c r="C57" s="71">
        <f t="shared" ref="C57:W57" si="46">IF(C49=0,0,C49/C$47)</f>
        <v>0.66522540436592748</v>
      </c>
      <c r="D57" s="71">
        <f t="shared" si="46"/>
        <v>0.6683157014100175</v>
      </c>
      <c r="E57" s="71">
        <f t="shared" si="46"/>
        <v>0.66244341040162646</v>
      </c>
      <c r="F57" s="71">
        <f t="shared" si="46"/>
        <v>0.65560869674201783</v>
      </c>
      <c r="G57" s="71">
        <f t="shared" si="46"/>
        <v>0.64535240390431481</v>
      </c>
      <c r="H57" s="71">
        <f t="shared" si="46"/>
        <v>0.64530911967066185</v>
      </c>
      <c r="I57" s="71">
        <f t="shared" si="46"/>
        <v>0.65513103869886868</v>
      </c>
      <c r="J57" s="71">
        <f t="shared" si="46"/>
        <v>0.64678856953203057</v>
      </c>
      <c r="K57" s="71">
        <f t="shared" si="46"/>
        <v>0.67014370887273678</v>
      </c>
      <c r="L57" s="71">
        <f t="shared" si="46"/>
        <v>0.68518571692266428</v>
      </c>
      <c r="M57" s="71">
        <f t="shared" si="46"/>
        <v>0.64870095201454536</v>
      </c>
      <c r="N57" s="71">
        <f t="shared" si="46"/>
        <v>0.66769472742318758</v>
      </c>
      <c r="O57" s="71">
        <f t="shared" si="46"/>
        <v>0.6487790807688455</v>
      </c>
      <c r="P57" s="71">
        <f t="shared" si="46"/>
        <v>0.65314659656141316</v>
      </c>
      <c r="Q57" s="71">
        <f t="shared" si="46"/>
        <v>0.62899486496228585</v>
      </c>
      <c r="R57" s="71">
        <f t="shared" si="46"/>
        <v>0.64509974858672503</v>
      </c>
      <c r="S57" s="71">
        <f t="shared" si="46"/>
        <v>0.63869119813199338</v>
      </c>
      <c r="T57" s="71">
        <f t="shared" si="46"/>
        <v>0.64943222687313429</v>
      </c>
      <c r="U57" s="71">
        <f t="shared" si="46"/>
        <v>0.6366977508102748</v>
      </c>
      <c r="V57" s="71">
        <f t="shared" si="46"/>
        <v>0.62779915312322521</v>
      </c>
      <c r="W57" s="71">
        <f t="shared" si="46"/>
        <v>0.64799905250312628</v>
      </c>
      <c r="X57" s="71">
        <f t="shared" ref="X57:Y57" si="47">IF(X49=0,0,X49/X$47)</f>
        <v>0.6363293951742971</v>
      </c>
      <c r="Y57" s="71">
        <f t="shared" si="47"/>
        <v>0.62572248153349186</v>
      </c>
      <c r="DA57" s="114"/>
    </row>
    <row r="58" spans="1:105" ht="12" customHeight="1" x14ac:dyDescent="0.25">
      <c r="A58" s="61" t="s">
        <v>31</v>
      </c>
      <c r="B58" s="72">
        <f t="shared" ref="B58" si="48">IF(B50=0,0,B50/B$47)</f>
        <v>4.933241219717009E-3</v>
      </c>
      <c r="C58" s="72">
        <f t="shared" ref="C58:W58" si="49">IF(C50=0,0,C50/C$47)</f>
        <v>4.6140042890699014E-3</v>
      </c>
      <c r="D58" s="72">
        <f t="shared" si="49"/>
        <v>4.6324367338258857E-3</v>
      </c>
      <c r="E58" s="72">
        <f t="shared" si="49"/>
        <v>4.9425657237401914E-3</v>
      </c>
      <c r="F58" s="72">
        <f t="shared" si="49"/>
        <v>4.8771648244015304E-3</v>
      </c>
      <c r="G58" s="72">
        <f t="shared" si="49"/>
        <v>5.1353955558642791E-3</v>
      </c>
      <c r="H58" s="72">
        <f t="shared" si="49"/>
        <v>5.2352272389571226E-3</v>
      </c>
      <c r="I58" s="72">
        <f t="shared" si="49"/>
        <v>5.2779432203052716E-3</v>
      </c>
      <c r="J58" s="72">
        <f t="shared" si="49"/>
        <v>5.6230242177947917E-3</v>
      </c>
      <c r="K58" s="72">
        <f t="shared" si="49"/>
        <v>5.3951600468531173E-3</v>
      </c>
      <c r="L58" s="72">
        <f t="shared" si="49"/>
        <v>5.5641958257477793E-3</v>
      </c>
      <c r="M58" s="72">
        <f t="shared" si="49"/>
        <v>5.8108724464637374E-3</v>
      </c>
      <c r="N58" s="72">
        <f t="shared" si="49"/>
        <v>5.3359545335772566E-3</v>
      </c>
      <c r="O58" s="72">
        <f t="shared" si="49"/>
        <v>5.5444469059877464E-3</v>
      </c>
      <c r="P58" s="72">
        <f t="shared" si="49"/>
        <v>5.4436298330757223E-3</v>
      </c>
      <c r="Q58" s="72">
        <f t="shared" si="49"/>
        <v>5.6465156661090693E-3</v>
      </c>
      <c r="R58" s="72">
        <f t="shared" si="49"/>
        <v>5.3869194672340132E-3</v>
      </c>
      <c r="S58" s="72">
        <f t="shared" si="49"/>
        <v>5.2722435291429415E-3</v>
      </c>
      <c r="T58" s="72">
        <f t="shared" si="49"/>
        <v>5.0259551173169109E-3</v>
      </c>
      <c r="U58" s="72">
        <f t="shared" si="49"/>
        <v>5.1315528723386234E-3</v>
      </c>
      <c r="V58" s="72">
        <f t="shared" si="49"/>
        <v>5.536763135707513E-3</v>
      </c>
      <c r="W58" s="72">
        <f t="shared" si="49"/>
        <v>4.8635375141362885E-3</v>
      </c>
      <c r="X58" s="72">
        <f t="shared" ref="X58:Y58" si="50">IF(X50=0,0,X50/X$47)</f>
        <v>5.0469939547597006E-3</v>
      </c>
      <c r="Y58" s="72">
        <f t="shared" si="50"/>
        <v>5.2388920723870991E-3</v>
      </c>
      <c r="DA58" s="115"/>
    </row>
    <row r="59" spans="1:105" ht="12" customHeight="1" x14ac:dyDescent="0.25">
      <c r="A59" s="61" t="s">
        <v>35</v>
      </c>
      <c r="B59" s="72">
        <f t="shared" ref="B59" si="51">IF(B51=0,0,B51/B$47)</f>
        <v>8.8150533086710045E-2</v>
      </c>
      <c r="C59" s="72">
        <f t="shared" ref="C59:W59" si="52">IF(C51=0,0,C51/C$47)</f>
        <v>8.1994369737276196E-2</v>
      </c>
      <c r="D59" s="72">
        <f t="shared" si="52"/>
        <v>8.0158341271693384E-2</v>
      </c>
      <c r="E59" s="72">
        <f t="shared" si="52"/>
        <v>8.0845262975910465E-2</v>
      </c>
      <c r="F59" s="72">
        <f t="shared" si="52"/>
        <v>8.109108678323565E-2</v>
      </c>
      <c r="G59" s="72">
        <f t="shared" si="52"/>
        <v>8.2860264323602911E-2</v>
      </c>
      <c r="H59" s="72">
        <f t="shared" si="52"/>
        <v>8.1605013203673429E-2</v>
      </c>
      <c r="I59" s="72">
        <f t="shared" si="52"/>
        <v>7.8305486315707384E-2</v>
      </c>
      <c r="J59" s="72">
        <f t="shared" si="52"/>
        <v>7.9765736995082104E-2</v>
      </c>
      <c r="K59" s="72">
        <f t="shared" si="52"/>
        <v>7.3957270837594472E-2</v>
      </c>
      <c r="L59" s="72">
        <f t="shared" si="52"/>
        <v>7.0952376888579624E-2</v>
      </c>
      <c r="M59" s="72">
        <f t="shared" si="52"/>
        <v>7.9371854869971711E-2</v>
      </c>
      <c r="N59" s="72">
        <f t="shared" si="52"/>
        <v>7.5304509251667748E-2</v>
      </c>
      <c r="O59" s="72">
        <f t="shared" si="52"/>
        <v>7.9419623419912433E-2</v>
      </c>
      <c r="P59" s="72">
        <f t="shared" si="52"/>
        <v>7.8479917464434681E-2</v>
      </c>
      <c r="Q59" s="72">
        <f t="shared" si="52"/>
        <v>8.3531178010048585E-2</v>
      </c>
      <c r="R59" s="72">
        <f t="shared" si="52"/>
        <v>7.9128314971197308E-2</v>
      </c>
      <c r="S59" s="72">
        <f t="shared" si="52"/>
        <v>8.0578603163701801E-2</v>
      </c>
      <c r="T59" s="72">
        <f t="shared" si="52"/>
        <v>7.8715106746205507E-2</v>
      </c>
      <c r="U59" s="72">
        <f t="shared" si="52"/>
        <v>8.1773505737307489E-2</v>
      </c>
      <c r="V59" s="72">
        <f t="shared" si="52"/>
        <v>8.1231044096053584E-2</v>
      </c>
      <c r="W59" s="72">
        <f t="shared" si="52"/>
        <v>8.0925346006857662E-2</v>
      </c>
      <c r="X59" s="72">
        <f t="shared" ref="X59:Y59" si="53">IF(X51=0,0,X51/X$47)</f>
        <v>8.3842579128460604E-2</v>
      </c>
      <c r="Y59" s="72">
        <f t="shared" si="53"/>
        <v>8.6041062428265327E-2</v>
      </c>
      <c r="DA59" s="115"/>
    </row>
    <row r="60" spans="1:105" ht="12" customHeight="1" x14ac:dyDescent="0.25">
      <c r="A60" s="61" t="s">
        <v>34</v>
      </c>
      <c r="B60" s="73">
        <f t="shared" ref="B60" si="54">IF(B52=0,0,B52/B$47)</f>
        <v>8.208194431237191E-2</v>
      </c>
      <c r="C60" s="73">
        <f t="shared" ref="C60:W60" si="55">IF(C52=0,0,C52/C$47)</f>
        <v>7.498300218493735E-2</v>
      </c>
      <c r="D60" s="73">
        <f t="shared" si="55"/>
        <v>7.2927169578300394E-2</v>
      </c>
      <c r="E60" s="73">
        <f t="shared" si="55"/>
        <v>7.3324449187486887E-2</v>
      </c>
      <c r="F60" s="73">
        <f t="shared" si="55"/>
        <v>7.4613768142908363E-2</v>
      </c>
      <c r="G60" s="73">
        <f t="shared" si="55"/>
        <v>7.6060083508401544E-2</v>
      </c>
      <c r="H60" s="73">
        <f t="shared" si="55"/>
        <v>7.6078424183076893E-2</v>
      </c>
      <c r="I60" s="73">
        <f t="shared" si="55"/>
        <v>7.2657437704745628E-2</v>
      </c>
      <c r="J60" s="73">
        <f t="shared" si="55"/>
        <v>7.3627377798234153E-2</v>
      </c>
      <c r="K60" s="73">
        <f t="shared" si="55"/>
        <v>6.89508364669046E-2</v>
      </c>
      <c r="L60" s="73">
        <f t="shared" si="55"/>
        <v>6.4754596857824295E-2</v>
      </c>
      <c r="M60" s="73">
        <f t="shared" si="55"/>
        <v>7.3657949716868509E-2</v>
      </c>
      <c r="N60" s="73">
        <f t="shared" si="55"/>
        <v>6.9106941805680763E-2</v>
      </c>
      <c r="O60" s="73">
        <f t="shared" si="55"/>
        <v>7.3110262778984927E-2</v>
      </c>
      <c r="P60" s="73">
        <f t="shared" si="55"/>
        <v>7.2167317034963305E-2</v>
      </c>
      <c r="Q60" s="73">
        <f t="shared" si="55"/>
        <v>7.7508372125241101E-2</v>
      </c>
      <c r="R60" s="73">
        <f t="shared" si="55"/>
        <v>7.5478648604751356E-2</v>
      </c>
      <c r="S60" s="73">
        <f t="shared" si="55"/>
        <v>7.8571204934177089E-2</v>
      </c>
      <c r="T60" s="73">
        <f t="shared" si="55"/>
        <v>7.644649552541051E-2</v>
      </c>
      <c r="U60" s="73">
        <f t="shared" si="55"/>
        <v>8.2983796352659317E-2</v>
      </c>
      <c r="V60" s="73">
        <f t="shared" si="55"/>
        <v>8.3933943465724026E-2</v>
      </c>
      <c r="W60" s="73">
        <f t="shared" si="55"/>
        <v>8.3484844240624287E-2</v>
      </c>
      <c r="X60" s="73">
        <f t="shared" ref="X60:Y60" si="56">IF(X52=0,0,X52/X$47)</f>
        <v>8.6229661989336556E-2</v>
      </c>
      <c r="Y60" s="73">
        <f t="shared" si="56"/>
        <v>8.9051598306218643E-2</v>
      </c>
      <c r="DA60" s="116"/>
    </row>
    <row r="61" spans="1:105" ht="12" customHeight="1" x14ac:dyDescent="0.25">
      <c r="A61" s="69" t="s">
        <v>33</v>
      </c>
      <c r="B61" s="70">
        <f t="shared" ref="B61" si="57">IF(B53=0,0,B53/B$47)</f>
        <v>0.18127568813876632</v>
      </c>
      <c r="C61" s="70">
        <f t="shared" ref="C61:W61" si="58">IF(C53=0,0,C53/C$47)</f>
        <v>0.17318321942278897</v>
      </c>
      <c r="D61" s="70">
        <f t="shared" si="58"/>
        <v>0.17396635100616284</v>
      </c>
      <c r="E61" s="70">
        <f t="shared" si="58"/>
        <v>0.17844431171123604</v>
      </c>
      <c r="F61" s="70">
        <f t="shared" si="58"/>
        <v>0.18380928350743661</v>
      </c>
      <c r="G61" s="70">
        <f t="shared" si="58"/>
        <v>0.19059185270781637</v>
      </c>
      <c r="H61" s="70">
        <f t="shared" si="58"/>
        <v>0.19177221570363073</v>
      </c>
      <c r="I61" s="70">
        <f t="shared" si="58"/>
        <v>0.18862809406037279</v>
      </c>
      <c r="J61" s="70">
        <f t="shared" si="58"/>
        <v>0.19419529145685838</v>
      </c>
      <c r="K61" s="70">
        <f t="shared" si="58"/>
        <v>0.18155302377591101</v>
      </c>
      <c r="L61" s="70">
        <f t="shared" si="58"/>
        <v>0.17354311350518414</v>
      </c>
      <c r="M61" s="70">
        <f t="shared" si="58"/>
        <v>0.19245837095215082</v>
      </c>
      <c r="N61" s="70">
        <f t="shared" si="58"/>
        <v>0.18255786698588677</v>
      </c>
      <c r="O61" s="70">
        <f t="shared" si="58"/>
        <v>0.19314658612626939</v>
      </c>
      <c r="P61" s="70">
        <f t="shared" si="58"/>
        <v>0.19076253910611318</v>
      </c>
      <c r="Q61" s="70">
        <f t="shared" si="58"/>
        <v>0.20431906923631554</v>
      </c>
      <c r="R61" s="70">
        <f t="shared" si="58"/>
        <v>0.19490636837009245</v>
      </c>
      <c r="S61" s="70">
        <f t="shared" si="58"/>
        <v>0.19688675024098495</v>
      </c>
      <c r="T61" s="70">
        <f t="shared" si="58"/>
        <v>0.19038021573793273</v>
      </c>
      <c r="U61" s="70">
        <f t="shared" si="58"/>
        <v>0.19341339422741979</v>
      </c>
      <c r="V61" s="70">
        <f t="shared" si="58"/>
        <v>0.20149909617928963</v>
      </c>
      <c r="W61" s="70">
        <f t="shared" si="58"/>
        <v>0.18272721973525549</v>
      </c>
      <c r="X61" s="70">
        <f t="shared" ref="X61:Y61" si="59">IF(X53=0,0,X53/X$47)</f>
        <v>0.18855136975314601</v>
      </c>
      <c r="Y61" s="70">
        <f t="shared" si="59"/>
        <v>0.19394596565963712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1139.2286107391999</v>
      </c>
      <c r="C65" s="80">
        <v>1183.6598844384</v>
      </c>
      <c r="D65" s="80">
        <v>1167.4572585264</v>
      </c>
      <c r="E65" s="80">
        <v>1146.7003392287997</v>
      </c>
      <c r="F65" s="80">
        <v>1112.9491478592001</v>
      </c>
      <c r="G65" s="80">
        <v>1059.4183465583999</v>
      </c>
      <c r="H65" s="80">
        <v>1047.0211284672</v>
      </c>
      <c r="I65" s="80">
        <v>998.14239779040008</v>
      </c>
      <c r="J65" s="80">
        <v>852.47360117626431</v>
      </c>
      <c r="K65" s="80">
        <v>910.48101384526933</v>
      </c>
      <c r="L65" s="80">
        <v>1068.8041961922015</v>
      </c>
      <c r="M65" s="80">
        <v>940.56899188132093</v>
      </c>
      <c r="N65" s="80">
        <v>1017.1887356420273</v>
      </c>
      <c r="O65" s="80">
        <v>923.20191275897059</v>
      </c>
      <c r="P65" s="80">
        <v>912.02071665373649</v>
      </c>
      <c r="Q65" s="80">
        <v>842.96997116626528</v>
      </c>
      <c r="R65" s="80">
        <v>922.82950184594995</v>
      </c>
      <c r="S65" s="80">
        <v>910.20394478170158</v>
      </c>
      <c r="T65" s="80">
        <v>898.13401539078541</v>
      </c>
      <c r="U65" s="80">
        <v>893.42547867237317</v>
      </c>
      <c r="V65" s="80">
        <v>809.37996813956215</v>
      </c>
      <c r="W65" s="80">
        <v>930.59939493861361</v>
      </c>
      <c r="X65" s="80">
        <v>910.89700031964082</v>
      </c>
      <c r="Y65" s="80">
        <v>831.74375175111766</v>
      </c>
      <c r="DA65" s="103" t="s">
        <v>219</v>
      </c>
    </row>
    <row r="66" spans="1:105" ht="12" customHeight="1" x14ac:dyDescent="0.25">
      <c r="A66" s="58" t="s">
        <v>29</v>
      </c>
      <c r="B66" s="59">
        <v>8.6235000191999998</v>
      </c>
      <c r="C66" s="59">
        <v>8.8259808383999978</v>
      </c>
      <c r="D66" s="59">
        <v>8.7676452863999987</v>
      </c>
      <c r="E66" s="59">
        <v>8.8000121087999972</v>
      </c>
      <c r="F66" s="59">
        <v>8.397684979200001</v>
      </c>
      <c r="G66" s="59">
        <v>8.1955805183999981</v>
      </c>
      <c r="H66" s="59">
        <v>8.6686630272000009</v>
      </c>
      <c r="I66" s="59">
        <v>7.5011992704000017</v>
      </c>
      <c r="J66" s="59">
        <v>9.1635743232000024</v>
      </c>
      <c r="K66" s="59">
        <v>10.341576115200001</v>
      </c>
      <c r="L66" s="59">
        <v>11.620441958399999</v>
      </c>
      <c r="M66" s="59">
        <v>9.5240825460000007</v>
      </c>
      <c r="N66" s="59">
        <v>11.224490706000003</v>
      </c>
      <c r="O66" s="59">
        <v>10.215809683199996</v>
      </c>
      <c r="P66" s="59">
        <v>10.548553633199997</v>
      </c>
      <c r="Q66" s="59">
        <v>9.5545048500000007</v>
      </c>
      <c r="R66" s="59">
        <v>10.546644398399996</v>
      </c>
      <c r="S66" s="59">
        <v>10.514972793599998</v>
      </c>
      <c r="T66" s="59">
        <v>10.742876100000002</v>
      </c>
      <c r="U66" s="59">
        <v>10.952290799999997</v>
      </c>
      <c r="V66" s="59">
        <v>9.8287368299999969</v>
      </c>
      <c r="W66" s="59">
        <v>10.990187999999998</v>
      </c>
      <c r="X66" s="59">
        <v>10.826528288400002</v>
      </c>
      <c r="Y66" s="59">
        <v>10.726214399999998</v>
      </c>
      <c r="DA66" s="104" t="s">
        <v>220</v>
      </c>
    </row>
    <row r="67" spans="1:105" ht="12" customHeight="1" x14ac:dyDescent="0.25">
      <c r="A67" s="60" t="s">
        <v>28</v>
      </c>
      <c r="B67" s="55">
        <f>SUM(B68:B69)</f>
        <v>1067.2401607199999</v>
      </c>
      <c r="C67" s="55">
        <f t="shared" ref="C67:W67" si="60">SUM(C68:C69)</f>
        <v>1108.6415136000001</v>
      </c>
      <c r="D67" s="55">
        <f t="shared" si="60"/>
        <v>1086.3374432399999</v>
      </c>
      <c r="E67" s="55">
        <f t="shared" si="60"/>
        <v>1067.2143271199998</v>
      </c>
      <c r="F67" s="55">
        <f t="shared" si="60"/>
        <v>1031.0885128800001</v>
      </c>
      <c r="G67" s="55">
        <f t="shared" si="60"/>
        <v>977.15393603999996</v>
      </c>
      <c r="H67" s="55">
        <f t="shared" si="60"/>
        <v>967.11107544000004</v>
      </c>
      <c r="I67" s="55">
        <f t="shared" si="60"/>
        <v>922.78344636000008</v>
      </c>
      <c r="J67" s="55">
        <f t="shared" si="60"/>
        <v>757.52711135999994</v>
      </c>
      <c r="K67" s="55">
        <f t="shared" si="60"/>
        <v>827.32411908000006</v>
      </c>
      <c r="L67" s="55">
        <f t="shared" si="60"/>
        <v>975.76884791999998</v>
      </c>
      <c r="M67" s="55">
        <f t="shared" si="60"/>
        <v>833.25631284000031</v>
      </c>
      <c r="N67" s="55">
        <f t="shared" si="60"/>
        <v>919.01501532000009</v>
      </c>
      <c r="O67" s="55">
        <f t="shared" si="60"/>
        <v>829.0003384800001</v>
      </c>
      <c r="P67" s="55">
        <f t="shared" si="60"/>
        <v>825.80506992000005</v>
      </c>
      <c r="Q67" s="55">
        <f t="shared" si="60"/>
        <v>761.1816834</v>
      </c>
      <c r="R67" s="55">
        <f t="shared" si="60"/>
        <v>837.31197204000023</v>
      </c>
      <c r="S67" s="55">
        <f t="shared" si="60"/>
        <v>826.11489060000008</v>
      </c>
      <c r="T67" s="55">
        <f t="shared" si="60"/>
        <v>819.66300408000006</v>
      </c>
      <c r="U67" s="55">
        <f t="shared" si="60"/>
        <v>813.6841003200002</v>
      </c>
      <c r="V67" s="55">
        <f t="shared" si="60"/>
        <v>737.46482076000018</v>
      </c>
      <c r="W67" s="55">
        <f t="shared" si="60"/>
        <v>842.65243055999986</v>
      </c>
      <c r="X67" s="55">
        <f t="shared" ref="X67:Y67" si="61">SUM(X68:X69)</f>
        <v>785.81858832</v>
      </c>
      <c r="Y67" s="55">
        <f t="shared" si="61"/>
        <v>783.18780120000008</v>
      </c>
      <c r="DA67" s="101"/>
    </row>
    <row r="68" spans="1:105" ht="12" customHeight="1" x14ac:dyDescent="0.25">
      <c r="A68" s="61" t="s">
        <v>52</v>
      </c>
      <c r="B68" s="55">
        <v>0</v>
      </c>
      <c r="C68" s="55">
        <v>0</v>
      </c>
      <c r="D68" s="55">
        <v>0</v>
      </c>
      <c r="E68" s="55">
        <v>0</v>
      </c>
      <c r="F68" s="55">
        <v>0</v>
      </c>
      <c r="G68" s="55">
        <v>0</v>
      </c>
      <c r="H68" s="55">
        <v>0</v>
      </c>
      <c r="I68" s="55">
        <v>0</v>
      </c>
      <c r="J68" s="55">
        <v>0</v>
      </c>
      <c r="K68" s="55">
        <v>0</v>
      </c>
      <c r="L68" s="55">
        <v>0</v>
      </c>
      <c r="M68" s="55">
        <v>0</v>
      </c>
      <c r="N68" s="55">
        <v>0</v>
      </c>
      <c r="O68" s="55">
        <v>0</v>
      </c>
      <c r="P68" s="55">
        <v>0</v>
      </c>
      <c r="Q68" s="55">
        <v>0</v>
      </c>
      <c r="R68" s="55">
        <v>0</v>
      </c>
      <c r="S68" s="55">
        <v>0</v>
      </c>
      <c r="T68" s="55">
        <v>0</v>
      </c>
      <c r="U68" s="55">
        <v>0</v>
      </c>
      <c r="V68" s="55">
        <v>0</v>
      </c>
      <c r="W68" s="55">
        <v>0</v>
      </c>
      <c r="X68" s="55">
        <v>0</v>
      </c>
      <c r="Y68" s="55">
        <v>0</v>
      </c>
      <c r="DA68" s="101" t="s">
        <v>221</v>
      </c>
    </row>
    <row r="69" spans="1:105" ht="12" customHeight="1" x14ac:dyDescent="0.25">
      <c r="A69" s="61" t="s">
        <v>163</v>
      </c>
      <c r="B69" s="55">
        <v>1067.2401607199999</v>
      </c>
      <c r="C69" s="55">
        <v>1108.6415136000001</v>
      </c>
      <c r="D69" s="55">
        <v>1086.3374432399999</v>
      </c>
      <c r="E69" s="55">
        <v>1067.2143271199998</v>
      </c>
      <c r="F69" s="55">
        <v>1031.0885128800001</v>
      </c>
      <c r="G69" s="55">
        <v>977.15393603999996</v>
      </c>
      <c r="H69" s="55">
        <v>967.11107544000004</v>
      </c>
      <c r="I69" s="55">
        <v>922.78344636000008</v>
      </c>
      <c r="J69" s="55">
        <v>757.52711135999994</v>
      </c>
      <c r="K69" s="55">
        <v>827.32411908000006</v>
      </c>
      <c r="L69" s="55">
        <v>975.76884791999998</v>
      </c>
      <c r="M69" s="55">
        <v>833.25631284000031</v>
      </c>
      <c r="N69" s="55">
        <v>919.01501532000009</v>
      </c>
      <c r="O69" s="55">
        <v>829.0003384800001</v>
      </c>
      <c r="P69" s="55">
        <v>825.80506992000005</v>
      </c>
      <c r="Q69" s="55">
        <v>761.1816834</v>
      </c>
      <c r="R69" s="55">
        <v>837.31197204000023</v>
      </c>
      <c r="S69" s="55">
        <v>826.11489060000008</v>
      </c>
      <c r="T69" s="55">
        <v>819.66300408000006</v>
      </c>
      <c r="U69" s="55">
        <v>813.6841003200002</v>
      </c>
      <c r="V69" s="55">
        <v>737.46482076000018</v>
      </c>
      <c r="W69" s="55">
        <v>842.65243055999986</v>
      </c>
      <c r="X69" s="55">
        <v>785.81858832</v>
      </c>
      <c r="Y69" s="55">
        <v>783.18780120000008</v>
      </c>
      <c r="DA69" s="101" t="s">
        <v>222</v>
      </c>
    </row>
    <row r="70" spans="1:105" ht="12" customHeight="1" x14ac:dyDescent="0.25">
      <c r="A70" s="60" t="s">
        <v>149</v>
      </c>
      <c r="B70" s="55">
        <v>63.364950000000015</v>
      </c>
      <c r="C70" s="55">
        <v>66.192389999999989</v>
      </c>
      <c r="D70" s="55">
        <v>72.352170000000001</v>
      </c>
      <c r="E70" s="55">
        <v>70.686000000000007</v>
      </c>
      <c r="F70" s="55">
        <v>73.462949999999992</v>
      </c>
      <c r="G70" s="55">
        <v>74.06883000000002</v>
      </c>
      <c r="H70" s="55">
        <v>71.24139000000001</v>
      </c>
      <c r="I70" s="55">
        <v>67.85775215999999</v>
      </c>
      <c r="J70" s="55">
        <v>65.383742159999983</v>
      </c>
      <c r="K70" s="55">
        <v>65.233281959999999</v>
      </c>
      <c r="L70" s="55">
        <v>71.796376079999987</v>
      </c>
      <c r="M70" s="55">
        <v>87.044061459263162</v>
      </c>
      <c r="N70" s="55">
        <v>78.752721331860826</v>
      </c>
      <c r="O70" s="55">
        <v>81.557533452759856</v>
      </c>
      <c r="P70" s="55">
        <v>70.146017462019415</v>
      </c>
      <c r="Q70" s="55">
        <v>66.437238506949882</v>
      </c>
      <c r="R70" s="55">
        <v>68.406250365626875</v>
      </c>
      <c r="S70" s="55">
        <v>67.484621322990392</v>
      </c>
      <c r="T70" s="55">
        <v>60.320883260754222</v>
      </c>
      <c r="U70" s="55">
        <v>63.34638309605122</v>
      </c>
      <c r="V70" s="55">
        <v>55.345209902269758</v>
      </c>
      <c r="W70" s="55">
        <v>68.688667648362312</v>
      </c>
      <c r="X70" s="55">
        <v>55.961726280613533</v>
      </c>
      <c r="Y70" s="55">
        <v>31.351287441434586</v>
      </c>
      <c r="DA70" s="101" t="s">
        <v>223</v>
      </c>
    </row>
    <row r="71" spans="1:105" ht="12" customHeight="1" x14ac:dyDescent="0.25">
      <c r="A71" s="60" t="s">
        <v>51</v>
      </c>
      <c r="B71" s="55">
        <f>SUM(B72:B76)</f>
        <v>0</v>
      </c>
      <c r="C71" s="55">
        <f t="shared" ref="C71:W71" si="62">SUM(C72:C76)</f>
        <v>0</v>
      </c>
      <c r="D71" s="55">
        <f t="shared" si="62"/>
        <v>0</v>
      </c>
      <c r="E71" s="55">
        <f t="shared" si="62"/>
        <v>0</v>
      </c>
      <c r="F71" s="55">
        <f t="shared" si="62"/>
        <v>0</v>
      </c>
      <c r="G71" s="55">
        <f t="shared" si="62"/>
        <v>0</v>
      </c>
      <c r="H71" s="55">
        <f t="shared" si="62"/>
        <v>0</v>
      </c>
      <c r="I71" s="55">
        <f t="shared" si="62"/>
        <v>0</v>
      </c>
      <c r="J71" s="55">
        <f t="shared" si="62"/>
        <v>20.39917333306439</v>
      </c>
      <c r="K71" s="55">
        <f t="shared" si="62"/>
        <v>7.5820366900692413</v>
      </c>
      <c r="L71" s="55">
        <f t="shared" si="62"/>
        <v>9.6185302338014473</v>
      </c>
      <c r="M71" s="55">
        <f t="shared" si="62"/>
        <v>10.744535036057364</v>
      </c>
      <c r="N71" s="55">
        <f t="shared" si="62"/>
        <v>8.1965082841663595</v>
      </c>
      <c r="O71" s="55">
        <f t="shared" si="62"/>
        <v>2.4282311430105783</v>
      </c>
      <c r="P71" s="55">
        <f t="shared" si="62"/>
        <v>5.5210756385171678</v>
      </c>
      <c r="Q71" s="55">
        <f t="shared" si="62"/>
        <v>5.7965444093155103</v>
      </c>
      <c r="R71" s="55">
        <f t="shared" si="62"/>
        <v>6.5646350419228394</v>
      </c>
      <c r="S71" s="55">
        <f t="shared" si="62"/>
        <v>6.089460065111056</v>
      </c>
      <c r="T71" s="55">
        <f t="shared" si="62"/>
        <v>7.4072519500310747</v>
      </c>
      <c r="U71" s="55">
        <f t="shared" si="62"/>
        <v>5.4427044563216924</v>
      </c>
      <c r="V71" s="55">
        <f t="shared" si="62"/>
        <v>6.7412006472921933</v>
      </c>
      <c r="W71" s="55">
        <f t="shared" si="62"/>
        <v>8.2681087302514769</v>
      </c>
      <c r="X71" s="55">
        <f t="shared" ref="X71:Y71" si="63">SUM(X72:X76)</f>
        <v>58.29015743062719</v>
      </c>
      <c r="Y71" s="55">
        <f t="shared" si="63"/>
        <v>6.4784487096829775</v>
      </c>
      <c r="DA71" s="101"/>
    </row>
    <row r="72" spans="1:105" ht="12" customHeight="1" x14ac:dyDescent="0.25">
      <c r="A72" s="61" t="s">
        <v>164</v>
      </c>
      <c r="B72" s="55">
        <v>0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20.39917333306439</v>
      </c>
      <c r="K72" s="55">
        <v>7.5820366900692413</v>
      </c>
      <c r="L72" s="55">
        <v>9.6185302338014473</v>
      </c>
      <c r="M72" s="55">
        <v>10.744535036057364</v>
      </c>
      <c r="N72" s="55">
        <v>8.1965082841663595</v>
      </c>
      <c r="O72" s="55">
        <v>2.4282311430105783</v>
      </c>
      <c r="P72" s="55">
        <v>5.5210756385171678</v>
      </c>
      <c r="Q72" s="55">
        <v>5.7965444093155103</v>
      </c>
      <c r="R72" s="55">
        <v>6.5646350419228394</v>
      </c>
      <c r="S72" s="55">
        <v>6.089460065111056</v>
      </c>
      <c r="T72" s="55">
        <v>7.4072519500310747</v>
      </c>
      <c r="U72" s="55">
        <v>5.4427044563216924</v>
      </c>
      <c r="V72" s="55">
        <v>6.7412006472921933</v>
      </c>
      <c r="W72" s="55">
        <v>8.2681087302514769</v>
      </c>
      <c r="X72" s="55">
        <v>58.29015743062719</v>
      </c>
      <c r="Y72" s="55">
        <v>6.4784487096829775</v>
      </c>
      <c r="DA72" s="101" t="s">
        <v>224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X73" s="55">
        <v>0</v>
      </c>
      <c r="Y73" s="55">
        <v>0</v>
      </c>
      <c r="DA73" s="101" t="s">
        <v>225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X74" s="55">
        <v>0</v>
      </c>
      <c r="Y74" s="55">
        <v>0</v>
      </c>
      <c r="DA74" s="101" t="s">
        <v>226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X75" s="55">
        <v>0</v>
      </c>
      <c r="Y75" s="55">
        <v>0</v>
      </c>
      <c r="DA75" s="101" t="s">
        <v>227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X76" s="55">
        <v>0</v>
      </c>
      <c r="Y76" s="55">
        <v>0</v>
      </c>
      <c r="DA76" s="101" t="s">
        <v>228</v>
      </c>
    </row>
    <row r="77" spans="1:105" ht="12" customHeight="1" x14ac:dyDescent="0.25">
      <c r="A77" s="61" t="s">
        <v>151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DA77" s="101" t="s">
        <v>229</v>
      </c>
    </row>
    <row r="78" spans="1:105" ht="12" customHeight="1" x14ac:dyDescent="0.25">
      <c r="A78" s="60" t="s">
        <v>162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X78" s="55">
        <v>0</v>
      </c>
      <c r="Y78" s="55">
        <v>0</v>
      </c>
      <c r="DA78" s="101" t="s">
        <v>230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X79" s="63">
        <v>0</v>
      </c>
      <c r="Y79" s="63">
        <v>0</v>
      </c>
      <c r="DA79" s="105" t="s">
        <v>231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64">B82+B87</f>
        <v>1139.2286107392001</v>
      </c>
      <c r="C81" s="82">
        <f t="shared" ref="C81:W81" si="65">C82+C87</f>
        <v>1183.6598844383996</v>
      </c>
      <c r="D81" s="82">
        <f t="shared" si="65"/>
        <v>1167.4572585264</v>
      </c>
      <c r="E81" s="82">
        <f t="shared" si="65"/>
        <v>1146.7003392288</v>
      </c>
      <c r="F81" s="82">
        <f t="shared" si="65"/>
        <v>1112.9491478592006</v>
      </c>
      <c r="G81" s="82">
        <f t="shared" si="65"/>
        <v>1059.4183465583997</v>
      </c>
      <c r="H81" s="82">
        <f t="shared" si="65"/>
        <v>1047.0211284671998</v>
      </c>
      <c r="I81" s="82">
        <f t="shared" si="65"/>
        <v>998.14239779039997</v>
      </c>
      <c r="J81" s="82">
        <f t="shared" si="65"/>
        <v>852.47360117626374</v>
      </c>
      <c r="K81" s="82">
        <f t="shared" si="65"/>
        <v>910.48101384526922</v>
      </c>
      <c r="L81" s="82">
        <f t="shared" si="65"/>
        <v>1068.8041961922022</v>
      </c>
      <c r="M81" s="82">
        <f t="shared" si="65"/>
        <v>940.56899188132081</v>
      </c>
      <c r="N81" s="82">
        <f t="shared" si="65"/>
        <v>1017.1887356420281</v>
      </c>
      <c r="O81" s="82">
        <f t="shared" si="65"/>
        <v>923.2019127589698</v>
      </c>
      <c r="P81" s="82">
        <f t="shared" si="65"/>
        <v>912.0207166537366</v>
      </c>
      <c r="Q81" s="82">
        <f t="shared" si="65"/>
        <v>842.96997116626642</v>
      </c>
      <c r="R81" s="82">
        <f t="shared" si="65"/>
        <v>922.82950184594927</v>
      </c>
      <c r="S81" s="82">
        <f t="shared" si="65"/>
        <v>910.20394478170169</v>
      </c>
      <c r="T81" s="82">
        <f t="shared" si="65"/>
        <v>898.13401539078541</v>
      </c>
      <c r="U81" s="82">
        <f t="shared" si="65"/>
        <v>893.42547867237363</v>
      </c>
      <c r="V81" s="82">
        <f t="shared" si="65"/>
        <v>809.37996813956124</v>
      </c>
      <c r="W81" s="82">
        <f t="shared" si="65"/>
        <v>930.59939493861373</v>
      </c>
      <c r="X81" s="82">
        <f t="shared" ref="X81:Y81" si="66">X82+X87</f>
        <v>910.89700031963991</v>
      </c>
      <c r="Y81" s="82">
        <f t="shared" si="66"/>
        <v>831.74375175111652</v>
      </c>
      <c r="DA81" s="107" t="s">
        <v>232</v>
      </c>
    </row>
    <row r="82" spans="1:105" ht="12" customHeight="1" x14ac:dyDescent="0.25">
      <c r="A82" s="77" t="s">
        <v>36</v>
      </c>
      <c r="B82" s="64">
        <f t="shared" ref="B82" si="67">SUM(B83:B86)</f>
        <v>1139.2286107392001</v>
      </c>
      <c r="C82" s="64">
        <f t="shared" ref="C82:W82" si="68">SUM(C83:C86)</f>
        <v>1183.6598844383996</v>
      </c>
      <c r="D82" s="64">
        <f t="shared" si="68"/>
        <v>1167.4572585264</v>
      </c>
      <c r="E82" s="64">
        <f t="shared" si="68"/>
        <v>1146.7003392288</v>
      </c>
      <c r="F82" s="64">
        <f t="shared" si="68"/>
        <v>1112.9491478592006</v>
      </c>
      <c r="G82" s="64">
        <f t="shared" si="68"/>
        <v>1059.4183465583997</v>
      </c>
      <c r="H82" s="64">
        <f t="shared" si="68"/>
        <v>1047.0211284671998</v>
      </c>
      <c r="I82" s="64">
        <f t="shared" si="68"/>
        <v>998.14239779039997</v>
      </c>
      <c r="J82" s="64">
        <f t="shared" si="68"/>
        <v>852.47360117626374</v>
      </c>
      <c r="K82" s="64">
        <f t="shared" si="68"/>
        <v>910.48101384526922</v>
      </c>
      <c r="L82" s="64">
        <f t="shared" si="68"/>
        <v>1068.8041961922022</v>
      </c>
      <c r="M82" s="64">
        <f t="shared" si="68"/>
        <v>940.56899188132081</v>
      </c>
      <c r="N82" s="64">
        <f t="shared" si="68"/>
        <v>1017.1887356420281</v>
      </c>
      <c r="O82" s="64">
        <f t="shared" si="68"/>
        <v>923.2019127589698</v>
      </c>
      <c r="P82" s="64">
        <f t="shared" si="68"/>
        <v>912.0207166537366</v>
      </c>
      <c r="Q82" s="64">
        <f t="shared" si="68"/>
        <v>842.96997116626642</v>
      </c>
      <c r="R82" s="64">
        <f t="shared" si="68"/>
        <v>922.82950184594927</v>
      </c>
      <c r="S82" s="64">
        <f t="shared" si="68"/>
        <v>910.20394478170169</v>
      </c>
      <c r="T82" s="64">
        <f t="shared" si="68"/>
        <v>898.13401539078541</v>
      </c>
      <c r="U82" s="64">
        <f t="shared" si="68"/>
        <v>893.42547867237363</v>
      </c>
      <c r="V82" s="64">
        <f t="shared" si="68"/>
        <v>809.37996813956124</v>
      </c>
      <c r="W82" s="64">
        <f t="shared" si="68"/>
        <v>930.59939493861373</v>
      </c>
      <c r="X82" s="64">
        <f t="shared" ref="X82:Y82" si="69">SUM(X83:X86)</f>
        <v>910.89700031963991</v>
      </c>
      <c r="Y82" s="64">
        <f t="shared" si="69"/>
        <v>831.74375175111652</v>
      </c>
      <c r="DA82" s="108" t="s">
        <v>233</v>
      </c>
    </row>
    <row r="83" spans="1:105" ht="12" customHeight="1" x14ac:dyDescent="0.25">
      <c r="A83" s="61" t="s">
        <v>32</v>
      </c>
      <c r="B83" s="65">
        <v>1057.7060089597303</v>
      </c>
      <c r="C83" s="65">
        <v>1099.9651455836206</v>
      </c>
      <c r="D83" s="65">
        <v>1081.2389146535284</v>
      </c>
      <c r="E83" s="65">
        <v>1059.5932886873343</v>
      </c>
      <c r="F83" s="65">
        <v>1025.6931171265196</v>
      </c>
      <c r="G83" s="65">
        <v>971.89034982412477</v>
      </c>
      <c r="H83" s="65">
        <v>958.07009913513082</v>
      </c>
      <c r="I83" s="65">
        <v>909.56172533505787</v>
      </c>
      <c r="J83" s="65">
        <v>761.9253165505645</v>
      </c>
      <c r="K83" s="65">
        <v>822.65335401675668</v>
      </c>
      <c r="L83" s="65">
        <v>975.55385065592714</v>
      </c>
      <c r="M83" s="65">
        <v>847.33800999768835</v>
      </c>
      <c r="N83" s="65">
        <v>927.72420107062135</v>
      </c>
      <c r="O83" s="65">
        <v>833.37738460540754</v>
      </c>
      <c r="P83" s="65">
        <v>826.13541210876031</v>
      </c>
      <c r="Q83" s="65">
        <v>757.86558162769268</v>
      </c>
      <c r="R83" s="65">
        <v>837.55185749255918</v>
      </c>
      <c r="S83" s="65">
        <v>835.03630396958988</v>
      </c>
      <c r="T83" s="65">
        <v>833.27136042024392</v>
      </c>
      <c r="U83" s="65">
        <v>831.41780144850031</v>
      </c>
      <c r="V83" s="65">
        <v>754.56805950854994</v>
      </c>
      <c r="W83" s="65">
        <v>869.01955845492273</v>
      </c>
      <c r="X83" s="65">
        <v>852.69302396158128</v>
      </c>
      <c r="Y83" s="65">
        <v>788.57726208618431</v>
      </c>
      <c r="DA83" s="109" t="s">
        <v>234</v>
      </c>
    </row>
    <row r="84" spans="1:105" ht="12" customHeight="1" x14ac:dyDescent="0.25">
      <c r="A84" s="61" t="s">
        <v>31</v>
      </c>
      <c r="B84" s="65">
        <v>0</v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X84" s="65">
        <v>0</v>
      </c>
      <c r="Y84" s="65">
        <v>0</v>
      </c>
      <c r="DA84" s="109" t="s">
        <v>235</v>
      </c>
    </row>
    <row r="85" spans="1:105" ht="12" customHeight="1" x14ac:dyDescent="0.25">
      <c r="A85" s="61" t="s">
        <v>35</v>
      </c>
      <c r="B85" s="65">
        <v>73.069026595704415</v>
      </c>
      <c r="C85" s="65">
        <v>74.525630409719383</v>
      </c>
      <c r="D85" s="65">
        <v>77.169786299955661</v>
      </c>
      <c r="E85" s="65">
        <v>78.273916254320852</v>
      </c>
      <c r="F85" s="65">
        <v>78.594943535148417</v>
      </c>
      <c r="G85" s="65">
        <v>78.616210013624922</v>
      </c>
      <c r="H85" s="65">
        <v>79.923430446261676</v>
      </c>
      <c r="I85" s="65">
        <v>79.804368810978801</v>
      </c>
      <c r="J85" s="65">
        <v>81.948387475030643</v>
      </c>
      <c r="K85" s="65">
        <v>79.672737368564626</v>
      </c>
      <c r="L85" s="65">
        <v>85.365290337276562</v>
      </c>
      <c r="M85" s="65">
        <v>86.096292144763595</v>
      </c>
      <c r="N85" s="65">
        <v>83.647717086091532</v>
      </c>
      <c r="O85" s="65">
        <v>83.090760712484538</v>
      </c>
      <c r="P85" s="65">
        <v>79.82965598302404</v>
      </c>
      <c r="Q85" s="65">
        <v>78.887755460838207</v>
      </c>
      <c r="R85" s="65">
        <v>79.170142082458909</v>
      </c>
      <c r="S85" s="65">
        <v>69.532842346366536</v>
      </c>
      <c r="T85" s="65">
        <v>60.163168470180096</v>
      </c>
      <c r="U85" s="65">
        <v>57.205292505920482</v>
      </c>
      <c r="V85" s="65">
        <v>50.312017885833328</v>
      </c>
      <c r="W85" s="65">
        <v>55.687819522309809</v>
      </c>
      <c r="X85" s="65">
        <v>53.538709213304841</v>
      </c>
      <c r="Y85" s="65">
        <v>40.59562482798821</v>
      </c>
      <c r="DA85" s="109" t="s">
        <v>236</v>
      </c>
    </row>
    <row r="86" spans="1:105" ht="12" customHeight="1" x14ac:dyDescent="0.25">
      <c r="A86" s="66" t="s">
        <v>34</v>
      </c>
      <c r="B86" s="67">
        <v>8.4535751837654498</v>
      </c>
      <c r="C86" s="67">
        <v>9.1691084450597664</v>
      </c>
      <c r="D86" s="67">
        <v>9.0485575729159535</v>
      </c>
      <c r="E86" s="67">
        <v>8.8331342871448513</v>
      </c>
      <c r="F86" s="67">
        <v>8.6610871975325487</v>
      </c>
      <c r="G86" s="67">
        <v>8.9117867206500012</v>
      </c>
      <c r="H86" s="67">
        <v>9.027598885807306</v>
      </c>
      <c r="I86" s="67">
        <v>8.7763036443633151</v>
      </c>
      <c r="J86" s="67">
        <v>8.599897150668685</v>
      </c>
      <c r="K86" s="67">
        <v>8.1549224599479508</v>
      </c>
      <c r="L86" s="67">
        <v>7.8850551989986046</v>
      </c>
      <c r="M86" s="67">
        <v>7.1346897388688211</v>
      </c>
      <c r="N86" s="67">
        <v>5.8168174853151617</v>
      </c>
      <c r="O86" s="67">
        <v>6.733767441077676</v>
      </c>
      <c r="P86" s="67">
        <v>6.0556485619522498</v>
      </c>
      <c r="Q86" s="67">
        <v>6.2166340777355762</v>
      </c>
      <c r="R86" s="67">
        <v>6.1075022709311995</v>
      </c>
      <c r="S86" s="67">
        <v>5.6347984657452246</v>
      </c>
      <c r="T86" s="67">
        <v>4.699486500361469</v>
      </c>
      <c r="U86" s="67">
        <v>4.8023847179527994</v>
      </c>
      <c r="V86" s="67">
        <v>4.4998907451779404</v>
      </c>
      <c r="W86" s="67">
        <v>5.8920169613811826</v>
      </c>
      <c r="X86" s="67">
        <v>4.6652671447538117</v>
      </c>
      <c r="Y86" s="67">
        <v>2.5708648369439597</v>
      </c>
      <c r="DA86" s="110" t="s">
        <v>237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X87" s="68">
        <v>0</v>
      </c>
      <c r="Y87" s="68">
        <v>0</v>
      </c>
      <c r="DA87" s="111" t="s">
        <v>238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70">IF(B81=0,0,B81/B$81)</f>
        <v>1</v>
      </c>
      <c r="C89" s="83">
        <f t="shared" ref="C89:W89" si="71">IF(C81=0,0,C81/C$81)</f>
        <v>1</v>
      </c>
      <c r="D89" s="83">
        <f t="shared" si="71"/>
        <v>1</v>
      </c>
      <c r="E89" s="83">
        <f t="shared" si="71"/>
        <v>1</v>
      </c>
      <c r="F89" s="83">
        <f t="shared" si="71"/>
        <v>1</v>
      </c>
      <c r="G89" s="83">
        <f t="shared" si="71"/>
        <v>1</v>
      </c>
      <c r="H89" s="83">
        <f t="shared" si="71"/>
        <v>1</v>
      </c>
      <c r="I89" s="83">
        <f t="shared" si="71"/>
        <v>1</v>
      </c>
      <c r="J89" s="83">
        <f t="shared" si="71"/>
        <v>1</v>
      </c>
      <c r="K89" s="83">
        <f t="shared" si="71"/>
        <v>1</v>
      </c>
      <c r="L89" s="83">
        <f t="shared" si="71"/>
        <v>1</v>
      </c>
      <c r="M89" s="83">
        <f t="shared" si="71"/>
        <v>1</v>
      </c>
      <c r="N89" s="83">
        <f t="shared" si="71"/>
        <v>1</v>
      </c>
      <c r="O89" s="83">
        <f t="shared" si="71"/>
        <v>1</v>
      </c>
      <c r="P89" s="83">
        <f t="shared" si="71"/>
        <v>1</v>
      </c>
      <c r="Q89" s="83">
        <f t="shared" si="71"/>
        <v>1</v>
      </c>
      <c r="R89" s="83">
        <f t="shared" si="71"/>
        <v>1</v>
      </c>
      <c r="S89" s="83">
        <f t="shared" si="71"/>
        <v>1</v>
      </c>
      <c r="T89" s="83">
        <f t="shared" si="71"/>
        <v>1</v>
      </c>
      <c r="U89" s="83">
        <f t="shared" si="71"/>
        <v>1</v>
      </c>
      <c r="V89" s="83">
        <f t="shared" si="71"/>
        <v>1</v>
      </c>
      <c r="W89" s="83">
        <f t="shared" si="71"/>
        <v>1</v>
      </c>
      <c r="X89" s="83">
        <f t="shared" ref="X89:Y89" si="72">IF(X81=0,0,X81/X$81)</f>
        <v>1</v>
      </c>
      <c r="Y89" s="83">
        <f t="shared" si="72"/>
        <v>1</v>
      </c>
      <c r="DA89" s="112"/>
    </row>
    <row r="90" spans="1:105" ht="12" customHeight="1" x14ac:dyDescent="0.25">
      <c r="A90" s="69" t="s">
        <v>36</v>
      </c>
      <c r="B90" s="70">
        <f t="shared" ref="B90" si="73">IF(B82=0,0,B82/B$81)</f>
        <v>1</v>
      </c>
      <c r="C90" s="70">
        <f t="shared" ref="C90:W90" si="74">IF(C82=0,0,C82/C$81)</f>
        <v>1</v>
      </c>
      <c r="D90" s="70">
        <f t="shared" si="74"/>
        <v>1</v>
      </c>
      <c r="E90" s="70">
        <f t="shared" si="74"/>
        <v>1</v>
      </c>
      <c r="F90" s="70">
        <f t="shared" si="74"/>
        <v>1</v>
      </c>
      <c r="G90" s="70">
        <f t="shared" si="74"/>
        <v>1</v>
      </c>
      <c r="H90" s="70">
        <f t="shared" si="74"/>
        <v>1</v>
      </c>
      <c r="I90" s="70">
        <f t="shared" si="74"/>
        <v>1</v>
      </c>
      <c r="J90" s="70">
        <f t="shared" si="74"/>
        <v>1</v>
      </c>
      <c r="K90" s="70">
        <f t="shared" si="74"/>
        <v>1</v>
      </c>
      <c r="L90" s="70">
        <f t="shared" si="74"/>
        <v>1</v>
      </c>
      <c r="M90" s="70">
        <f t="shared" si="74"/>
        <v>1</v>
      </c>
      <c r="N90" s="70">
        <f t="shared" si="74"/>
        <v>1</v>
      </c>
      <c r="O90" s="70">
        <f t="shared" si="74"/>
        <v>1</v>
      </c>
      <c r="P90" s="70">
        <f t="shared" si="74"/>
        <v>1</v>
      </c>
      <c r="Q90" s="70">
        <f t="shared" si="74"/>
        <v>1</v>
      </c>
      <c r="R90" s="70">
        <f t="shared" si="74"/>
        <v>1</v>
      </c>
      <c r="S90" s="70">
        <f t="shared" si="74"/>
        <v>1</v>
      </c>
      <c r="T90" s="70">
        <f t="shared" si="74"/>
        <v>1</v>
      </c>
      <c r="U90" s="70">
        <f t="shared" si="74"/>
        <v>1</v>
      </c>
      <c r="V90" s="70">
        <f t="shared" si="74"/>
        <v>1</v>
      </c>
      <c r="W90" s="70">
        <f t="shared" si="74"/>
        <v>1</v>
      </c>
      <c r="X90" s="70">
        <f t="shared" ref="X90:Y90" si="75">IF(X82=0,0,X82/X$81)</f>
        <v>1</v>
      </c>
      <c r="Y90" s="70">
        <f t="shared" si="75"/>
        <v>1</v>
      </c>
      <c r="DA90" s="113"/>
    </row>
    <row r="91" spans="1:105" ht="12" customHeight="1" x14ac:dyDescent="0.25">
      <c r="A91" s="61" t="s">
        <v>32</v>
      </c>
      <c r="B91" s="71">
        <f t="shared" ref="B91" si="76">IF(B83=0,0,B83/B$81)</f>
        <v>0.92844052456989024</v>
      </c>
      <c r="C91" s="71">
        <f t="shared" ref="C91:W91" si="77">IF(C83=0,0,C83/C$81)</f>
        <v>0.92929156427862813</v>
      </c>
      <c r="D91" s="71">
        <f t="shared" si="77"/>
        <v>0.92614860780282526</v>
      </c>
      <c r="E91" s="71">
        <f t="shared" si="77"/>
        <v>0.92403677965243425</v>
      </c>
      <c r="F91" s="71">
        <f t="shared" si="77"/>
        <v>0.92159926542868442</v>
      </c>
      <c r="G91" s="71">
        <f t="shared" si="77"/>
        <v>0.91738108272467045</v>
      </c>
      <c r="H91" s="71">
        <f t="shared" si="77"/>
        <v>0.91504371123599959</v>
      </c>
      <c r="I91" s="71">
        <f t="shared" si="77"/>
        <v>0.91125447365883439</v>
      </c>
      <c r="J91" s="71">
        <f t="shared" si="77"/>
        <v>0.89378171417770769</v>
      </c>
      <c r="K91" s="71">
        <f t="shared" si="77"/>
        <v>0.90353707711313314</v>
      </c>
      <c r="L91" s="71">
        <f t="shared" si="77"/>
        <v>0.91275263900675596</v>
      </c>
      <c r="M91" s="71">
        <f t="shared" si="77"/>
        <v>0.9008781039047945</v>
      </c>
      <c r="N91" s="71">
        <f t="shared" si="77"/>
        <v>0.91204726179459839</v>
      </c>
      <c r="O91" s="71">
        <f t="shared" si="77"/>
        <v>0.90270326901173381</v>
      </c>
      <c r="P91" s="71">
        <f t="shared" si="77"/>
        <v>0.90582965608490229</v>
      </c>
      <c r="Q91" s="71">
        <f t="shared" si="77"/>
        <v>0.89904220500188159</v>
      </c>
      <c r="R91" s="71">
        <f t="shared" si="77"/>
        <v>0.90759111603735254</v>
      </c>
      <c r="S91" s="71">
        <f t="shared" si="77"/>
        <v>0.91741670507686102</v>
      </c>
      <c r="T91" s="71">
        <f t="shared" si="77"/>
        <v>0.92778064981502872</v>
      </c>
      <c r="U91" s="71">
        <f t="shared" si="77"/>
        <v>0.93059557992904296</v>
      </c>
      <c r="V91" s="71">
        <f t="shared" si="77"/>
        <v>0.93227913861396661</v>
      </c>
      <c r="W91" s="71">
        <f t="shared" si="77"/>
        <v>0.9338277707694479</v>
      </c>
      <c r="X91" s="71">
        <f t="shared" ref="X91:Y91" si="78">IF(X83=0,0,X83/X$81)</f>
        <v>0.93610257105069572</v>
      </c>
      <c r="Y91" s="71">
        <f t="shared" si="78"/>
        <v>0.94810121557985694</v>
      </c>
      <c r="DA91" s="114"/>
    </row>
    <row r="92" spans="1:105" ht="12" customHeight="1" x14ac:dyDescent="0.25">
      <c r="A92" s="61" t="s">
        <v>31</v>
      </c>
      <c r="B92" s="72">
        <f t="shared" ref="B92" si="79">IF(B84=0,0,B84/B$81)</f>
        <v>0</v>
      </c>
      <c r="C92" s="72">
        <f t="shared" ref="C92:W92" si="80">IF(C84=0,0,C84/C$81)</f>
        <v>0</v>
      </c>
      <c r="D92" s="72">
        <f t="shared" si="80"/>
        <v>0</v>
      </c>
      <c r="E92" s="72">
        <f t="shared" si="80"/>
        <v>0</v>
      </c>
      <c r="F92" s="72">
        <f t="shared" si="80"/>
        <v>0</v>
      </c>
      <c r="G92" s="72">
        <f t="shared" si="80"/>
        <v>0</v>
      </c>
      <c r="H92" s="72">
        <f t="shared" si="80"/>
        <v>0</v>
      </c>
      <c r="I92" s="72">
        <f t="shared" si="80"/>
        <v>0</v>
      </c>
      <c r="J92" s="72">
        <f t="shared" si="80"/>
        <v>0</v>
      </c>
      <c r="K92" s="72">
        <f t="shared" si="80"/>
        <v>0</v>
      </c>
      <c r="L92" s="72">
        <f t="shared" si="80"/>
        <v>0</v>
      </c>
      <c r="M92" s="72">
        <f t="shared" si="80"/>
        <v>0</v>
      </c>
      <c r="N92" s="72">
        <f t="shared" si="80"/>
        <v>0</v>
      </c>
      <c r="O92" s="72">
        <f t="shared" si="80"/>
        <v>0</v>
      </c>
      <c r="P92" s="72">
        <f t="shared" si="80"/>
        <v>0</v>
      </c>
      <c r="Q92" s="72">
        <f t="shared" si="80"/>
        <v>0</v>
      </c>
      <c r="R92" s="72">
        <f t="shared" si="80"/>
        <v>0</v>
      </c>
      <c r="S92" s="72">
        <f t="shared" si="80"/>
        <v>0</v>
      </c>
      <c r="T92" s="72">
        <f t="shared" si="80"/>
        <v>0</v>
      </c>
      <c r="U92" s="72">
        <f t="shared" si="80"/>
        <v>0</v>
      </c>
      <c r="V92" s="72">
        <f t="shared" si="80"/>
        <v>0</v>
      </c>
      <c r="W92" s="72">
        <f t="shared" si="80"/>
        <v>0</v>
      </c>
      <c r="X92" s="72">
        <f t="shared" ref="X92:Y92" si="81">IF(X84=0,0,X84/X$81)</f>
        <v>0</v>
      </c>
      <c r="Y92" s="72">
        <f t="shared" si="81"/>
        <v>0</v>
      </c>
      <c r="DA92" s="115"/>
    </row>
    <row r="93" spans="1:105" ht="12" customHeight="1" x14ac:dyDescent="0.25">
      <c r="A93" s="61" t="s">
        <v>35</v>
      </c>
      <c r="B93" s="72">
        <f t="shared" ref="B93" si="82">IF(B85=0,0,B85/B$81)</f>
        <v>6.4139037509155283E-2</v>
      </c>
      <c r="C93" s="72">
        <f t="shared" ref="C93:W93" si="83">IF(C85=0,0,C85/C$81)</f>
        <v>6.2962031061041562E-2</v>
      </c>
      <c r="D93" s="72">
        <f t="shared" si="83"/>
        <v>6.6100737938245127E-2</v>
      </c>
      <c r="E93" s="72">
        <f t="shared" si="83"/>
        <v>6.8260131768133142E-2</v>
      </c>
      <c r="F93" s="72">
        <f t="shared" si="83"/>
        <v>7.0618629509109868E-2</v>
      </c>
      <c r="G93" s="72">
        <f t="shared" si="83"/>
        <v>7.4206955419467299E-2</v>
      </c>
      <c r="H93" s="72">
        <f t="shared" si="83"/>
        <v>7.6334114253517146E-2</v>
      </c>
      <c r="I93" s="72">
        <f t="shared" si="83"/>
        <v>7.9952889475131711E-2</v>
      </c>
      <c r="J93" s="72">
        <f t="shared" si="83"/>
        <v>9.6130117533207216E-2</v>
      </c>
      <c r="K93" s="72">
        <f t="shared" si="83"/>
        <v>8.7506204036127799E-2</v>
      </c>
      <c r="L93" s="72">
        <f t="shared" si="83"/>
        <v>7.9869905677209183E-2</v>
      </c>
      <c r="M93" s="72">
        <f t="shared" si="83"/>
        <v>9.1536392213562426E-2</v>
      </c>
      <c r="N93" s="72">
        <f t="shared" si="83"/>
        <v>8.2234214905353681E-2</v>
      </c>
      <c r="O93" s="72">
        <f t="shared" si="83"/>
        <v>9.0002803898195483E-2</v>
      </c>
      <c r="P93" s="72">
        <f t="shared" si="83"/>
        <v>8.7530529214209354E-2</v>
      </c>
      <c r="Q93" s="72">
        <f t="shared" si="83"/>
        <v>9.3583114653177216E-2</v>
      </c>
      <c r="R93" s="72">
        <f t="shared" si="83"/>
        <v>8.5790649219702794E-2</v>
      </c>
      <c r="S93" s="72">
        <f t="shared" si="83"/>
        <v>7.6392596126402104E-2</v>
      </c>
      <c r="T93" s="72">
        <f t="shared" si="83"/>
        <v>6.6986849890105338E-2</v>
      </c>
      <c r="U93" s="72">
        <f t="shared" si="83"/>
        <v>6.4029170727173915E-2</v>
      </c>
      <c r="V93" s="72">
        <f t="shared" si="83"/>
        <v>6.2161184939479544E-2</v>
      </c>
      <c r="W93" s="72">
        <f t="shared" si="83"/>
        <v>5.9840807790320145E-2</v>
      </c>
      <c r="X93" s="72">
        <f t="shared" ref="X93:Y93" si="84">IF(X85=0,0,X85/X$81)</f>
        <v>5.8775810211821697E-2</v>
      </c>
      <c r="Y93" s="72">
        <f t="shared" si="84"/>
        <v>4.8807850666169689E-2</v>
      </c>
      <c r="DA93" s="115"/>
    </row>
    <row r="94" spans="1:105" ht="12" customHeight="1" x14ac:dyDescent="0.25">
      <c r="A94" s="61" t="s">
        <v>34</v>
      </c>
      <c r="B94" s="73">
        <f t="shared" ref="B94" si="85">IF(B86=0,0,B86/B$81)</f>
        <v>7.4204379209544796E-3</v>
      </c>
      <c r="C94" s="73">
        <f t="shared" ref="C94:W94" si="86">IF(C86=0,0,C86/C$81)</f>
        <v>7.7464046603304042E-3</v>
      </c>
      <c r="D94" s="73">
        <f t="shared" si="86"/>
        <v>7.7506542589296313E-3</v>
      </c>
      <c r="E94" s="73">
        <f t="shared" si="86"/>
        <v>7.7030885794325951E-3</v>
      </c>
      <c r="F94" s="73">
        <f t="shared" si="86"/>
        <v>7.7821050622056496E-3</v>
      </c>
      <c r="G94" s="73">
        <f t="shared" si="86"/>
        <v>8.4119618558623349E-3</v>
      </c>
      <c r="H94" s="73">
        <f t="shared" si="86"/>
        <v>8.6221745104832579E-3</v>
      </c>
      <c r="I94" s="73">
        <f t="shared" si="86"/>
        <v>8.7926368660338709E-3</v>
      </c>
      <c r="J94" s="73">
        <f t="shared" si="86"/>
        <v>1.0088168289085243E-2</v>
      </c>
      <c r="K94" s="73">
        <f t="shared" si="86"/>
        <v>8.9567188507390788E-3</v>
      </c>
      <c r="L94" s="73">
        <f t="shared" si="86"/>
        <v>7.3774553160349324E-3</v>
      </c>
      <c r="M94" s="73">
        <f t="shared" si="86"/>
        <v>7.5855038816430203E-3</v>
      </c>
      <c r="N94" s="73">
        <f t="shared" si="86"/>
        <v>5.7185233000478612E-3</v>
      </c>
      <c r="O94" s="73">
        <f t="shared" si="86"/>
        <v>7.2939270900706345E-3</v>
      </c>
      <c r="P94" s="73">
        <f t="shared" si="86"/>
        <v>6.639814700888395E-3</v>
      </c>
      <c r="Q94" s="73">
        <f t="shared" si="86"/>
        <v>7.3746803449412724E-3</v>
      </c>
      <c r="R94" s="73">
        <f t="shared" si="86"/>
        <v>6.6182347429446864E-3</v>
      </c>
      <c r="S94" s="73">
        <f t="shared" si="86"/>
        <v>6.1906987967368602E-3</v>
      </c>
      <c r="T94" s="73">
        <f t="shared" si="86"/>
        <v>5.2325002948659998E-3</v>
      </c>
      <c r="U94" s="73">
        <f t="shared" si="86"/>
        <v>5.3752493437831238E-3</v>
      </c>
      <c r="V94" s="73">
        <f t="shared" si="86"/>
        <v>5.5596764465537466E-3</v>
      </c>
      <c r="W94" s="73">
        <f t="shared" si="86"/>
        <v>6.3314214402319111E-3</v>
      </c>
      <c r="X94" s="73">
        <f t="shared" ref="X94:Y94" si="87">IF(X86=0,0,X86/X$81)</f>
        <v>5.1216187374826545E-3</v>
      </c>
      <c r="Y94" s="73">
        <f t="shared" si="87"/>
        <v>3.0909337539733535E-3</v>
      </c>
      <c r="DA94" s="116"/>
    </row>
    <row r="95" spans="1:105" ht="12" customHeight="1" x14ac:dyDescent="0.25">
      <c r="A95" s="69" t="s">
        <v>33</v>
      </c>
      <c r="B95" s="70">
        <f t="shared" ref="B95" si="88">IF(B87=0,0,B87/B$81)</f>
        <v>0</v>
      </c>
      <c r="C95" s="70">
        <f t="shared" ref="C95:W95" si="89">IF(C87=0,0,C87/C$81)</f>
        <v>0</v>
      </c>
      <c r="D95" s="70">
        <f t="shared" si="89"/>
        <v>0</v>
      </c>
      <c r="E95" s="70">
        <f t="shared" si="89"/>
        <v>0</v>
      </c>
      <c r="F95" s="70">
        <f t="shared" si="89"/>
        <v>0</v>
      </c>
      <c r="G95" s="70">
        <f t="shared" si="89"/>
        <v>0</v>
      </c>
      <c r="H95" s="70">
        <f t="shared" si="89"/>
        <v>0</v>
      </c>
      <c r="I95" s="70">
        <f t="shared" si="89"/>
        <v>0</v>
      </c>
      <c r="J95" s="70">
        <f t="shared" si="89"/>
        <v>0</v>
      </c>
      <c r="K95" s="70">
        <f t="shared" si="89"/>
        <v>0</v>
      </c>
      <c r="L95" s="70">
        <f t="shared" si="89"/>
        <v>0</v>
      </c>
      <c r="M95" s="70">
        <f t="shared" si="89"/>
        <v>0</v>
      </c>
      <c r="N95" s="70">
        <f t="shared" si="89"/>
        <v>0</v>
      </c>
      <c r="O95" s="70">
        <f t="shared" si="89"/>
        <v>0</v>
      </c>
      <c r="P95" s="70">
        <f t="shared" si="89"/>
        <v>0</v>
      </c>
      <c r="Q95" s="70">
        <f t="shared" si="89"/>
        <v>0</v>
      </c>
      <c r="R95" s="70">
        <f t="shared" si="89"/>
        <v>0</v>
      </c>
      <c r="S95" s="70">
        <f t="shared" si="89"/>
        <v>0</v>
      </c>
      <c r="T95" s="70">
        <f t="shared" si="89"/>
        <v>0</v>
      </c>
      <c r="U95" s="70">
        <f t="shared" si="89"/>
        <v>0</v>
      </c>
      <c r="V95" s="70">
        <f t="shared" si="89"/>
        <v>0</v>
      </c>
      <c r="W95" s="70">
        <f t="shared" si="89"/>
        <v>0</v>
      </c>
      <c r="X95" s="70">
        <f t="shared" ref="X95:Y95" si="90">IF(X87=0,0,X87/X$81)</f>
        <v>0</v>
      </c>
      <c r="Y95" s="70">
        <f t="shared" si="90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91">B47*11630*1000/B$8</f>
        <v>264045.8403154902</v>
      </c>
      <c r="C99" s="82">
        <f t="shared" ref="C99:W99" si="92">C47*11630*1000/C$8</f>
        <v>283291.67586977588</v>
      </c>
      <c r="D99" s="82">
        <f t="shared" si="92"/>
        <v>288476.94920348161</v>
      </c>
      <c r="E99" s="82">
        <f t="shared" si="92"/>
        <v>287686.52868834755</v>
      </c>
      <c r="F99" s="82">
        <f t="shared" si="92"/>
        <v>284697.25987243588</v>
      </c>
      <c r="G99" s="82">
        <f t="shared" si="92"/>
        <v>280865.39830033347</v>
      </c>
      <c r="H99" s="82">
        <f t="shared" si="92"/>
        <v>282164.11380287609</v>
      </c>
      <c r="I99" s="82">
        <f t="shared" si="92"/>
        <v>290567.46077994327</v>
      </c>
      <c r="J99" s="82">
        <f t="shared" si="92"/>
        <v>284853.61434617074</v>
      </c>
      <c r="K99" s="82">
        <f t="shared" si="92"/>
        <v>307714.85745356604</v>
      </c>
      <c r="L99" s="82">
        <f t="shared" si="92"/>
        <v>323895.90592590778</v>
      </c>
      <c r="M99" s="82">
        <f t="shared" si="92"/>
        <v>291471.03789619176</v>
      </c>
      <c r="N99" s="82">
        <f t="shared" si="92"/>
        <v>308716.24341314571</v>
      </c>
      <c r="O99" s="82">
        <f t="shared" si="92"/>
        <v>294231.43063119013</v>
      </c>
      <c r="P99" s="82">
        <f t="shared" si="92"/>
        <v>300671.08431067405</v>
      </c>
      <c r="Q99" s="82">
        <f t="shared" si="92"/>
        <v>283807.27955102921</v>
      </c>
      <c r="R99" s="82">
        <f t="shared" si="92"/>
        <v>296584.19595961936</v>
      </c>
      <c r="S99" s="82">
        <f t="shared" si="92"/>
        <v>292695.39779877296</v>
      </c>
      <c r="T99" s="82">
        <f t="shared" si="92"/>
        <v>297407.75021113607</v>
      </c>
      <c r="U99" s="82">
        <f t="shared" si="92"/>
        <v>288100.35454380675</v>
      </c>
      <c r="V99" s="82">
        <f t="shared" si="92"/>
        <v>262390.30700279179</v>
      </c>
      <c r="W99" s="82">
        <f t="shared" si="92"/>
        <v>288575.73113806505</v>
      </c>
      <c r="X99" s="82">
        <f t="shared" ref="X99:Y99" si="93">X47*11630*1000/X$8</f>
        <v>276236.75267598819</v>
      </c>
      <c r="Y99" s="82">
        <f t="shared" si="93"/>
        <v>268286.78605855815</v>
      </c>
      <c r="DA99" s="107"/>
    </row>
    <row r="100" spans="1:105" ht="12" customHeight="1" x14ac:dyDescent="0.25">
      <c r="A100" s="77" t="s">
        <v>36</v>
      </c>
      <c r="B100" s="64">
        <f t="shared" si="91"/>
        <v>216180.74891212094</v>
      </c>
      <c r="C100" s="64">
        <f t="shared" ref="C100:W100" si="94">C48*11630*1000/C$8</f>
        <v>234230.31140697087</v>
      </c>
      <c r="D100" s="64">
        <f t="shared" si="94"/>
        <v>238291.6670011617</v>
      </c>
      <c r="E100" s="64">
        <f t="shared" si="94"/>
        <v>236350.50408796064</v>
      </c>
      <c r="F100" s="64">
        <f t="shared" si="94"/>
        <v>232367.26051875294</v>
      </c>
      <c r="G100" s="64">
        <f t="shared" si="94"/>
        <v>227334.74167675414</v>
      </c>
      <c r="H100" s="64">
        <f t="shared" si="94"/>
        <v>228052.87650684713</v>
      </c>
      <c r="I100" s="64">
        <f t="shared" si="94"/>
        <v>235758.27445706044</v>
      </c>
      <c r="J100" s="64">
        <f t="shared" si="94"/>
        <v>229536.38368567658</v>
      </c>
      <c r="K100" s="64">
        <f t="shared" si="94"/>
        <v>251848.29462209769</v>
      </c>
      <c r="L100" s="64">
        <f t="shared" si="94"/>
        <v>267686.0019599435</v>
      </c>
      <c r="M100" s="64">
        <f t="shared" si="94"/>
        <v>235374.99676295806</v>
      </c>
      <c r="N100" s="64">
        <f t="shared" si="94"/>
        <v>252357.66451174606</v>
      </c>
      <c r="O100" s="64">
        <f t="shared" si="94"/>
        <v>237401.63427372754</v>
      </c>
      <c r="P100" s="64">
        <f t="shared" si="94"/>
        <v>243314.30483178163</v>
      </c>
      <c r="Q100" s="64">
        <f t="shared" si="94"/>
        <v>225820.04035067218</v>
      </c>
      <c r="R100" s="64">
        <f t="shared" si="94"/>
        <v>238778.04740916603</v>
      </c>
      <c r="S100" s="64">
        <f t="shared" si="94"/>
        <v>235067.55211568021</v>
      </c>
      <c r="T100" s="64">
        <f t="shared" si="94"/>
        <v>240787.19856380677</v>
      </c>
      <c r="U100" s="64">
        <f t="shared" si="94"/>
        <v>232377.88709336604</v>
      </c>
      <c r="V100" s="64">
        <f t="shared" si="94"/>
        <v>209518.89729552288</v>
      </c>
      <c r="W100" s="64">
        <f t="shared" si="94"/>
        <v>235845.09010413778</v>
      </c>
      <c r="X100" s="64">
        <f t="shared" ref="X100:Y100" si="95">X48*11630*1000/X$8</f>
        <v>224151.93458276961</v>
      </c>
      <c r="Y100" s="64">
        <f t="shared" si="95"/>
        <v>216253.64626271062</v>
      </c>
      <c r="DA100" s="108"/>
    </row>
    <row r="101" spans="1:105" ht="12" customHeight="1" x14ac:dyDescent="0.25">
      <c r="A101" s="61" t="s">
        <v>32</v>
      </c>
      <c r="B101" s="65">
        <f t="shared" si="91"/>
        <v>169928.9695449534</v>
      </c>
      <c r="C101" s="65">
        <f t="shared" ref="C101:W101" si="96">C49*11630*1000/C$8</f>
        <v>188452.81963397292</v>
      </c>
      <c r="D101" s="65">
        <f t="shared" si="96"/>
        <v>192793.67464754681</v>
      </c>
      <c r="E101" s="65">
        <f t="shared" si="96"/>
        <v>190576.0451909143</v>
      </c>
      <c r="F101" s="65">
        <f t="shared" si="96"/>
        <v>186649.99951099127</v>
      </c>
      <c r="G101" s="65">
        <f t="shared" si="96"/>
        <v>181257.15996666305</v>
      </c>
      <c r="H101" s="65">
        <f t="shared" si="96"/>
        <v>182083.07588078643</v>
      </c>
      <c r="I101" s="65">
        <f t="shared" si="96"/>
        <v>190359.76239285702</v>
      </c>
      <c r="J101" s="65">
        <f t="shared" si="96"/>
        <v>184240.06174898846</v>
      </c>
      <c r="K101" s="65">
        <f t="shared" si="96"/>
        <v>206213.17584917828</v>
      </c>
      <c r="L101" s="65">
        <f t="shared" si="96"/>
        <v>221928.84851015892</v>
      </c>
      <c r="M101" s="65">
        <f t="shared" si="96"/>
        <v>189077.5397679272</v>
      </c>
      <c r="N101" s="65">
        <f t="shared" si="96"/>
        <v>206128.20799685075</v>
      </c>
      <c r="O101" s="65">
        <f t="shared" si="96"/>
        <v>190891.19709820588</v>
      </c>
      <c r="P101" s="65">
        <f t="shared" si="96"/>
        <v>196382.29540194644</v>
      </c>
      <c r="Q101" s="65">
        <f t="shared" si="96"/>
        <v>178513.32147651335</v>
      </c>
      <c r="R101" s="65">
        <f t="shared" si="96"/>
        <v>191326.3902483464</v>
      </c>
      <c r="S101" s="65">
        <f t="shared" si="96"/>
        <v>186941.97430781869</v>
      </c>
      <c r="T101" s="65">
        <f t="shared" si="96"/>
        <v>193146.17750894694</v>
      </c>
      <c r="U101" s="65">
        <f t="shared" si="96"/>
        <v>183432.8477456845</v>
      </c>
      <c r="V101" s="65">
        <f t="shared" si="96"/>
        <v>164728.41252409571</v>
      </c>
      <c r="W101" s="65">
        <f t="shared" si="96"/>
        <v>186996.80035286301</v>
      </c>
      <c r="X101" s="65">
        <f t="shared" ref="X101:Y101" si="97">X49*11630*1000/X$8</f>
        <v>175777.56575522348</v>
      </c>
      <c r="Y101" s="65">
        <f t="shared" si="97"/>
        <v>167873.073535206</v>
      </c>
      <c r="DA101" s="109"/>
    </row>
    <row r="102" spans="1:105" ht="12" customHeight="1" x14ac:dyDescent="0.25">
      <c r="A102" s="61" t="s">
        <v>31</v>
      </c>
      <c r="B102" s="65">
        <f t="shared" si="91"/>
        <v>1302.6018233391915</v>
      </c>
      <c r="C102" s="65">
        <f t="shared" ref="C102:W102" si="98">C50*11630*1000/C$8</f>
        <v>1307.1090075209463</v>
      </c>
      <c r="D102" s="65">
        <f t="shared" si="98"/>
        <v>1336.3512163522321</v>
      </c>
      <c r="E102" s="65">
        <f t="shared" si="98"/>
        <v>1421.909575876826</v>
      </c>
      <c r="F102" s="65">
        <f t="shared" si="98"/>
        <v>1388.5154614533453</v>
      </c>
      <c r="G102" s="65">
        <f t="shared" si="98"/>
        <v>1442.3549182275831</v>
      </c>
      <c r="H102" s="65">
        <f t="shared" si="98"/>
        <v>1477.1932544370143</v>
      </c>
      <c r="I102" s="65">
        <f t="shared" si="98"/>
        <v>1533.5985596648195</v>
      </c>
      <c r="J102" s="65">
        <f t="shared" si="98"/>
        <v>1601.7387719948958</v>
      </c>
      <c r="K102" s="65">
        <f t="shared" si="98"/>
        <v>1660.1709047565816</v>
      </c>
      <c r="L102" s="65">
        <f t="shared" si="98"/>
        <v>1802.220247729731</v>
      </c>
      <c r="M102" s="65">
        <f t="shared" si="98"/>
        <v>1693.7010230531687</v>
      </c>
      <c r="N102" s="65">
        <f t="shared" si="98"/>
        <v>1647.2958386293149</v>
      </c>
      <c r="O102" s="65">
        <f t="shared" si="98"/>
        <v>1631.3505452074503</v>
      </c>
      <c r="P102" s="65">
        <f t="shared" si="98"/>
        <v>1636.742084496811</v>
      </c>
      <c r="Q102" s="65">
        <f t="shared" si="98"/>
        <v>1602.5222501406824</v>
      </c>
      <c r="R102" s="65">
        <f t="shared" si="98"/>
        <v>1597.6751788888205</v>
      </c>
      <c r="S102" s="65">
        <f t="shared" si="98"/>
        <v>1543.1614170544999</v>
      </c>
      <c r="T102" s="65">
        <f t="shared" si="98"/>
        <v>1494.7580041033686</v>
      </c>
      <c r="U102" s="65">
        <f t="shared" si="98"/>
        <v>1478.4022018810472</v>
      </c>
      <c r="V102" s="65">
        <f t="shared" si="98"/>
        <v>1452.7929789800344</v>
      </c>
      <c r="W102" s="65">
        <f t="shared" si="98"/>
        <v>1403.4988940592866</v>
      </c>
      <c r="X102" s="65">
        <f t="shared" ref="X102:Y102" si="99">X50*11630*1000/X$8</f>
        <v>1394.1652208381629</v>
      </c>
      <c r="Y102" s="65">
        <f t="shared" si="99"/>
        <v>1405.5255166083939</v>
      </c>
      <c r="DA102" s="109"/>
    </row>
    <row r="103" spans="1:105" ht="12" customHeight="1" x14ac:dyDescent="0.25">
      <c r="A103" s="61" t="s">
        <v>35</v>
      </c>
      <c r="B103" s="65">
        <f t="shared" si="91"/>
        <v>23275.781583138782</v>
      </c>
      <c r="C103" s="65">
        <f t="shared" ref="C103:W103" si="100">C51*11630*1000/C$8</f>
        <v>23228.322414759004</v>
      </c>
      <c r="D103" s="65">
        <f t="shared" si="100"/>
        <v>23123.833743269635</v>
      </c>
      <c r="E103" s="65">
        <f t="shared" si="100"/>
        <v>23258.093066436271</v>
      </c>
      <c r="F103" s="65">
        <f t="shared" si="100"/>
        <v>23086.410207265089</v>
      </c>
      <c r="G103" s="65">
        <f t="shared" si="100"/>
        <v>23272.581142519641</v>
      </c>
      <c r="H103" s="65">
        <f t="shared" si="100"/>
        <v>23026.00623248651</v>
      </c>
      <c r="I103" s="65">
        <f t="shared" si="100"/>
        <v>22753.026323893686</v>
      </c>
      <c r="J103" s="65">
        <f t="shared" si="100"/>
        <v>22721.558484035198</v>
      </c>
      <c r="K103" s="65">
        <f t="shared" si="100"/>
        <v>22757.751053445158</v>
      </c>
      <c r="L103" s="65">
        <f t="shared" si="100"/>
        <v>22981.184389922932</v>
      </c>
      <c r="M103" s="65">
        <f t="shared" si="100"/>
        <v>23134.596918696556</v>
      </c>
      <c r="N103" s="65">
        <f t="shared" si="100"/>
        <v>23247.725208245345</v>
      </c>
      <c r="O103" s="65">
        <f t="shared" si="100"/>
        <v>23367.74941903121</v>
      </c>
      <c r="P103" s="65">
        <f t="shared" si="100"/>
        <v>23596.641880643776</v>
      </c>
      <c r="Q103" s="65">
        <f t="shared" si="100"/>
        <v>23706.756388724643</v>
      </c>
      <c r="R103" s="65">
        <f t="shared" si="100"/>
        <v>23468.207673372057</v>
      </c>
      <c r="S103" s="65">
        <f t="shared" si="100"/>
        <v>23584.986307069161</v>
      </c>
      <c r="T103" s="65">
        <f t="shared" si="100"/>
        <v>23410.482805018401</v>
      </c>
      <c r="U103" s="65">
        <f t="shared" si="100"/>
        <v>23558.975995208304</v>
      </c>
      <c r="V103" s="65">
        <f t="shared" si="100"/>
        <v>21314.23859852082</v>
      </c>
      <c r="W103" s="65">
        <f t="shared" si="100"/>
        <v>23353.090891529835</v>
      </c>
      <c r="X103" s="65">
        <f t="shared" ref="X103:Y103" si="101">X51*11630*1000/X$8</f>
        <v>23160.401794425543</v>
      </c>
      <c r="Y103" s="65">
        <f t="shared" si="101"/>
        <v>23083.680107943066</v>
      </c>
      <c r="DA103" s="109"/>
    </row>
    <row r="104" spans="1:105" ht="12" customHeight="1" x14ac:dyDescent="0.25">
      <c r="A104" s="66" t="s">
        <v>34</v>
      </c>
      <c r="B104" s="67">
        <f t="shared" si="91"/>
        <v>21673.395960689515</v>
      </c>
      <c r="C104" s="67">
        <f t="shared" ref="C104:W104" si="102">C52*11630*1000/C$8</f>
        <v>21242.060350717966</v>
      </c>
      <c r="D104" s="67">
        <f t="shared" si="102"/>
        <v>21037.807393993051</v>
      </c>
      <c r="E104" s="67">
        <f t="shared" si="102"/>
        <v>21094.456254733224</v>
      </c>
      <c r="F104" s="67">
        <f t="shared" si="102"/>
        <v>21242.33533904326</v>
      </c>
      <c r="G104" s="67">
        <f t="shared" si="102"/>
        <v>21362.645649343827</v>
      </c>
      <c r="H104" s="67">
        <f t="shared" si="102"/>
        <v>21466.60113913719</v>
      </c>
      <c r="I104" s="67">
        <f t="shared" si="102"/>
        <v>21111.887180644844</v>
      </c>
      <c r="J104" s="67">
        <f t="shared" si="102"/>
        <v>20973.024680658003</v>
      </c>
      <c r="K104" s="67">
        <f t="shared" si="102"/>
        <v>21217.196814717689</v>
      </c>
      <c r="L104" s="67">
        <f t="shared" si="102"/>
        <v>20973.74881213194</v>
      </c>
      <c r="M104" s="67">
        <f t="shared" si="102"/>
        <v>21469.159053281168</v>
      </c>
      <c r="N104" s="67">
        <f t="shared" si="102"/>
        <v>21334.435468020638</v>
      </c>
      <c r="O104" s="67">
        <f t="shared" si="102"/>
        <v>21511.337211282989</v>
      </c>
      <c r="P104" s="67">
        <f t="shared" si="102"/>
        <v>21698.625464694593</v>
      </c>
      <c r="Q104" s="67">
        <f t="shared" si="102"/>
        <v>21997.440235293503</v>
      </c>
      <c r="R104" s="67">
        <f t="shared" si="102"/>
        <v>22385.774308558823</v>
      </c>
      <c r="S104" s="67">
        <f t="shared" si="102"/>
        <v>22997.430083737876</v>
      </c>
      <c r="T104" s="67">
        <f t="shared" si="102"/>
        <v>22735.780245738017</v>
      </c>
      <c r="U104" s="67">
        <f t="shared" si="102"/>
        <v>23907.661150592205</v>
      </c>
      <c r="V104" s="67">
        <f t="shared" si="102"/>
        <v>22023.453193926296</v>
      </c>
      <c r="W104" s="67">
        <f t="shared" si="102"/>
        <v>24091.699965685628</v>
      </c>
      <c r="X104" s="67">
        <f t="shared" ref="X104:Y104" si="103">X52*11630*1000/X$8</f>
        <v>23819.801812282421</v>
      </c>
      <c r="Y104" s="67">
        <f t="shared" si="103"/>
        <v>23891.367102953143</v>
      </c>
      <c r="DA104" s="110"/>
    </row>
    <row r="105" spans="1:105" ht="12" customHeight="1" x14ac:dyDescent="0.25">
      <c r="A105" s="78" t="s">
        <v>33</v>
      </c>
      <c r="B105" s="68">
        <f t="shared" si="91"/>
        <v>47865.091403369304</v>
      </c>
      <c r="C105" s="68">
        <f t="shared" ref="C105:W105" si="104">C53*11630*1000/C$8</f>
        <v>49061.36446280501</v>
      </c>
      <c r="D105" s="68">
        <f t="shared" si="104"/>
        <v>50185.282202319875</v>
      </c>
      <c r="E105" s="68">
        <f t="shared" si="104"/>
        <v>51336.02460038694</v>
      </c>
      <c r="F105" s="68">
        <f t="shared" si="104"/>
        <v>52329.999353682913</v>
      </c>
      <c r="G105" s="68">
        <f t="shared" si="104"/>
        <v>53530.656623579336</v>
      </c>
      <c r="H105" s="68">
        <f t="shared" si="104"/>
        <v>54111.237296028972</v>
      </c>
      <c r="I105" s="68">
        <f t="shared" si="104"/>
        <v>54809.186322882815</v>
      </c>
      <c r="J105" s="68">
        <f t="shared" si="104"/>
        <v>55317.230660494162</v>
      </c>
      <c r="K105" s="68">
        <f t="shared" si="104"/>
        <v>55866.562831468342</v>
      </c>
      <c r="L105" s="68">
        <f t="shared" si="104"/>
        <v>56209.903965964244</v>
      </c>
      <c r="M105" s="68">
        <f t="shared" si="104"/>
        <v>56096.041133233681</v>
      </c>
      <c r="N105" s="68">
        <f t="shared" si="104"/>
        <v>56358.578901399698</v>
      </c>
      <c r="O105" s="68">
        <f t="shared" si="104"/>
        <v>56829.796357462626</v>
      </c>
      <c r="P105" s="68">
        <f t="shared" si="104"/>
        <v>57356.7794788924</v>
      </c>
      <c r="Q105" s="68">
        <f t="shared" si="104"/>
        <v>57987.239200357108</v>
      </c>
      <c r="R105" s="68">
        <f t="shared" si="104"/>
        <v>57806.148550453247</v>
      </c>
      <c r="S105" s="68">
        <f t="shared" si="104"/>
        <v>57627.845683092746</v>
      </c>
      <c r="T105" s="68">
        <f t="shared" si="104"/>
        <v>56620.551647329288</v>
      </c>
      <c r="U105" s="68">
        <f t="shared" si="104"/>
        <v>55722.467450440701</v>
      </c>
      <c r="V105" s="68">
        <f t="shared" si="104"/>
        <v>52871.409707268875</v>
      </c>
      <c r="W105" s="68">
        <f t="shared" si="104"/>
        <v>52730.641033927212</v>
      </c>
      <c r="X105" s="68">
        <f t="shared" ref="X105:Y105" si="105">X53*11630*1000/X$8</f>
        <v>52084.818093218593</v>
      </c>
      <c r="Y105" s="68">
        <f t="shared" si="105"/>
        <v>52033.139795847535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106">SUM(B108:B111)</f>
        <v>146447.60033105465</v>
      </c>
      <c r="C107" s="85">
        <f t="shared" ref="C107:W107" si="107">SUM(C108:C111)</f>
        <v>160121.03157012386</v>
      </c>
      <c r="D107" s="85">
        <f t="shared" si="107"/>
        <v>164166.86474510236</v>
      </c>
      <c r="E107" s="85">
        <f t="shared" si="107"/>
        <v>164212.18920002613</v>
      </c>
      <c r="F107" s="85">
        <f t="shared" si="107"/>
        <v>162546.33646105544</v>
      </c>
      <c r="G107" s="85">
        <f t="shared" si="107"/>
        <v>160577.63345611392</v>
      </c>
      <c r="H107" s="85">
        <f t="shared" si="107"/>
        <v>162668.7237200792</v>
      </c>
      <c r="I107" s="85">
        <f t="shared" si="107"/>
        <v>170863.19890254753</v>
      </c>
      <c r="J107" s="85">
        <f t="shared" si="107"/>
        <v>169018.21820839753</v>
      </c>
      <c r="K107" s="85">
        <f t="shared" si="107"/>
        <v>187001.07539404015</v>
      </c>
      <c r="L107" s="85">
        <f t="shared" si="107"/>
        <v>199615.32242430255</v>
      </c>
      <c r="M107" s="85">
        <f t="shared" si="107"/>
        <v>177197.60378840362</v>
      </c>
      <c r="N107" s="85">
        <f t="shared" si="107"/>
        <v>191607.28799129525</v>
      </c>
      <c r="O107" s="85">
        <f t="shared" si="107"/>
        <v>183047.54941465298</v>
      </c>
      <c r="P107" s="85">
        <f t="shared" si="107"/>
        <v>189241.96795319612</v>
      </c>
      <c r="Q107" s="85">
        <f t="shared" si="107"/>
        <v>177469.73062680953</v>
      </c>
      <c r="R107" s="85">
        <f t="shared" si="107"/>
        <v>188874.17026593306</v>
      </c>
      <c r="S107" s="85">
        <f t="shared" si="107"/>
        <v>187921.31167213988</v>
      </c>
      <c r="T107" s="85">
        <f t="shared" si="107"/>
        <v>194771.92244984891</v>
      </c>
      <c r="U107" s="85">
        <f t="shared" si="107"/>
        <v>190492.13338293228</v>
      </c>
      <c r="V107" s="85">
        <f t="shared" si="107"/>
        <v>174696.36776614314</v>
      </c>
      <c r="W107" s="85">
        <f t="shared" si="107"/>
        <v>198779.4890846473</v>
      </c>
      <c r="X107" s="85">
        <f t="shared" ref="X107:Y107" si="108">SUM(X108:X111)</f>
        <v>191891.68527823285</v>
      </c>
      <c r="Y107" s="85">
        <f t="shared" si="108"/>
        <v>189215.09050309187</v>
      </c>
      <c r="DA107" s="117"/>
    </row>
    <row r="108" spans="1:105" ht="12" customHeight="1" x14ac:dyDescent="0.25">
      <c r="A108" s="61" t="s">
        <v>32</v>
      </c>
      <c r="B108" s="65">
        <v>112726.90020629883</v>
      </c>
      <c r="C108" s="65">
        <v>126534.59358937196</v>
      </c>
      <c r="D108" s="65">
        <v>130524.52409305508</v>
      </c>
      <c r="E108" s="65">
        <v>129994.2308799875</v>
      </c>
      <c r="F108" s="65">
        <v>128123.93725956217</v>
      </c>
      <c r="G108" s="65">
        <v>125466.50996956963</v>
      </c>
      <c r="H108" s="65">
        <v>127192.12113671681</v>
      </c>
      <c r="I108" s="65">
        <v>135248.33335307692</v>
      </c>
      <c r="J108" s="65">
        <v>132909.68417093201</v>
      </c>
      <c r="K108" s="65">
        <v>150254.1110035108</v>
      </c>
      <c r="L108" s="65">
        <v>162210.20397122452</v>
      </c>
      <c r="M108" s="65">
        <v>139344.29322326821</v>
      </c>
      <c r="N108" s="65">
        <v>153544.65353592005</v>
      </c>
      <c r="O108" s="65">
        <v>144381.52374161538</v>
      </c>
      <c r="P108" s="65">
        <v>149836.62804621225</v>
      </c>
      <c r="Q108" s="65">
        <v>137414.40760768205</v>
      </c>
      <c r="R108" s="65">
        <v>148176.91777128688</v>
      </c>
      <c r="S108" s="65">
        <v>146256.87188265868</v>
      </c>
      <c r="T108" s="65">
        <v>152921.08772013916</v>
      </c>
      <c r="U108" s="65">
        <v>147052.24065442572</v>
      </c>
      <c r="V108" s="65">
        <v>133955.36217688263</v>
      </c>
      <c r="W108" s="65">
        <v>154339.38036721162</v>
      </c>
      <c r="X108" s="65">
        <v>147190.60431262845</v>
      </c>
      <c r="Y108" s="65">
        <v>143780.19224444201</v>
      </c>
      <c r="DA108" s="109"/>
    </row>
    <row r="109" spans="1:105" ht="12" customHeight="1" x14ac:dyDescent="0.25">
      <c r="A109" s="61" t="s">
        <v>31</v>
      </c>
      <c r="B109" s="65">
        <v>2476.1992690675656</v>
      </c>
      <c r="C109" s="65">
        <v>2591.782988015168</v>
      </c>
      <c r="D109" s="65">
        <v>2788.1801817164128</v>
      </c>
      <c r="E109" s="65">
        <v>3125.8064462149696</v>
      </c>
      <c r="F109" s="65">
        <v>3227.0992411345055</v>
      </c>
      <c r="G109" s="65">
        <v>3562.6454513785452</v>
      </c>
      <c r="H109" s="65">
        <v>3871.0122588061367</v>
      </c>
      <c r="I109" s="65">
        <v>4283.8177790942291</v>
      </c>
      <c r="J109" s="65">
        <v>4773.4107140624828</v>
      </c>
      <c r="K109" s="65">
        <v>5049.2710741497058</v>
      </c>
      <c r="L109" s="65">
        <v>5623.2940371938639</v>
      </c>
      <c r="M109" s="65">
        <v>5470.2029626064777</v>
      </c>
      <c r="N109" s="65">
        <v>5508.8299678900248</v>
      </c>
      <c r="O109" s="65">
        <v>5672.4383295197313</v>
      </c>
      <c r="P109" s="65">
        <v>5948.753306815308</v>
      </c>
      <c r="Q109" s="65">
        <v>6090.5054964033043</v>
      </c>
      <c r="R109" s="65">
        <v>6327.3705530967954</v>
      </c>
      <c r="S109" s="65">
        <v>6346.9938042698323</v>
      </c>
      <c r="T109" s="65">
        <v>6351.7022085452736</v>
      </c>
      <c r="U109" s="65">
        <v>6439.5429027300761</v>
      </c>
      <c r="V109" s="65">
        <v>6473.5507477664032</v>
      </c>
      <c r="W109" s="65">
        <v>6384.7846031263171</v>
      </c>
      <c r="X109" s="65">
        <v>6449.1534514259347</v>
      </c>
      <c r="Y109" s="65">
        <v>6597.9148959067279</v>
      </c>
      <c r="DA109" s="109"/>
    </row>
    <row r="110" spans="1:105" ht="12" customHeight="1" x14ac:dyDescent="0.25">
      <c r="A110" s="61" t="s">
        <v>35</v>
      </c>
      <c r="B110" s="65">
        <v>15922.237630475194</v>
      </c>
      <c r="C110" s="65">
        <v>15949.166865075569</v>
      </c>
      <c r="D110" s="65">
        <v>15924.197302804509</v>
      </c>
      <c r="E110" s="65">
        <v>16088.598762421558</v>
      </c>
      <c r="F110" s="65">
        <v>16048.170264429824</v>
      </c>
      <c r="G110" s="65">
        <v>16273.433746776365</v>
      </c>
      <c r="H110" s="65">
        <v>16208.216342472519</v>
      </c>
      <c r="I110" s="65">
        <v>16138.65740421016</v>
      </c>
      <c r="J110" s="65">
        <v>16189.693698824105</v>
      </c>
      <c r="K110" s="65">
        <v>16309.970653017088</v>
      </c>
      <c r="L110" s="65">
        <v>16521.159838959327</v>
      </c>
      <c r="M110" s="65">
        <v>16733.18373226254</v>
      </c>
      <c r="N110" s="65">
        <v>16968.074138836222</v>
      </c>
      <c r="O110" s="65">
        <v>17223.462804477786</v>
      </c>
      <c r="P110" s="65">
        <v>17476.15868076996</v>
      </c>
      <c r="Q110" s="65">
        <v>17671.7565018163</v>
      </c>
      <c r="R110" s="65">
        <v>17661.394010622163</v>
      </c>
      <c r="S110" s="65">
        <v>17992.657177726727</v>
      </c>
      <c r="T110" s="65">
        <v>18157.54272503512</v>
      </c>
      <c r="U110" s="65">
        <v>18512.247542602119</v>
      </c>
      <c r="V110" s="65">
        <v>16997.586334752767</v>
      </c>
      <c r="W110" s="65">
        <v>18911.037396303978</v>
      </c>
      <c r="X110" s="65">
        <v>19060.381105863511</v>
      </c>
      <c r="Y110" s="65">
        <v>19326.832747439199</v>
      </c>
      <c r="DA110" s="109"/>
    </row>
    <row r="111" spans="1:105" ht="12" customHeight="1" x14ac:dyDescent="0.25">
      <c r="A111" s="74" t="s">
        <v>34</v>
      </c>
      <c r="B111" s="68">
        <v>15322.263225213057</v>
      </c>
      <c r="C111" s="68">
        <v>15045.488127661156</v>
      </c>
      <c r="D111" s="68">
        <v>14929.963167526344</v>
      </c>
      <c r="E111" s="68">
        <v>15003.553111402103</v>
      </c>
      <c r="F111" s="68">
        <v>15147.129695928936</v>
      </c>
      <c r="G111" s="68">
        <v>15275.044288389397</v>
      </c>
      <c r="H111" s="68">
        <v>15397.37398208372</v>
      </c>
      <c r="I111" s="68">
        <v>15192.390366166215</v>
      </c>
      <c r="J111" s="68">
        <v>15145.429624578952</v>
      </c>
      <c r="K111" s="68">
        <v>15387.722663362565</v>
      </c>
      <c r="L111" s="68">
        <v>15260.664576924848</v>
      </c>
      <c r="M111" s="68">
        <v>15649.923870266395</v>
      </c>
      <c r="N111" s="68">
        <v>15585.730348648951</v>
      </c>
      <c r="O111" s="68">
        <v>15770.1245390401</v>
      </c>
      <c r="P111" s="68">
        <v>15980.427919398593</v>
      </c>
      <c r="Q111" s="68">
        <v>16293.06102090785</v>
      </c>
      <c r="R111" s="68">
        <v>16708.487930927233</v>
      </c>
      <c r="S111" s="68">
        <v>17324.788807484649</v>
      </c>
      <c r="T111" s="68">
        <v>17341.589796129381</v>
      </c>
      <c r="U111" s="68">
        <v>18488.102283174347</v>
      </c>
      <c r="V111" s="68">
        <v>17269.868506741357</v>
      </c>
      <c r="W111" s="68">
        <v>19144.286718005373</v>
      </c>
      <c r="X111" s="68">
        <v>19191.546408314971</v>
      </c>
      <c r="Y111" s="68">
        <v>19510.150615303963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109">B81*1000000/B$8</f>
        <v>11121.999178058708</v>
      </c>
      <c r="C113" s="82">
        <f t="shared" ref="C113:W113" si="110">C81*1000000/C$8</f>
        <v>11427.638685718206</v>
      </c>
      <c r="D113" s="82">
        <f t="shared" si="110"/>
        <v>11157.852192505119</v>
      </c>
      <c r="E113" s="82">
        <f t="shared" si="110"/>
        <v>10868.233339633533</v>
      </c>
      <c r="F113" s="82">
        <f t="shared" si="110"/>
        <v>10390.719417812936</v>
      </c>
      <c r="G113" s="82">
        <f t="shared" si="110"/>
        <v>9767.8982247114163</v>
      </c>
      <c r="H113" s="82">
        <f t="shared" si="110"/>
        <v>9486.2005853922365</v>
      </c>
      <c r="I113" s="82">
        <f t="shared" si="110"/>
        <v>8891.1850440107264</v>
      </c>
      <c r="J113" s="82">
        <f t="shared" si="110"/>
        <v>7510.4635822352811</v>
      </c>
      <c r="K113" s="82">
        <f t="shared" si="110"/>
        <v>7969.6200638263199</v>
      </c>
      <c r="L113" s="82">
        <f t="shared" si="110"/>
        <v>9278.7707239814099</v>
      </c>
      <c r="M113" s="82">
        <f t="shared" si="110"/>
        <v>8118.0606823368034</v>
      </c>
      <c r="N113" s="82">
        <f t="shared" si="110"/>
        <v>8749.0544868609486</v>
      </c>
      <c r="O113" s="82">
        <f t="shared" si="110"/>
        <v>7916.7408158768139</v>
      </c>
      <c r="P113" s="82">
        <f t="shared" si="110"/>
        <v>7796.2870007948941</v>
      </c>
      <c r="Q113" s="82">
        <f t="shared" si="110"/>
        <v>7181.2372480306476</v>
      </c>
      <c r="R113" s="82">
        <f t="shared" si="110"/>
        <v>7813.1327563714794</v>
      </c>
      <c r="S113" s="82">
        <f t="shared" si="110"/>
        <v>7638.4197487995762</v>
      </c>
      <c r="T113" s="82">
        <f t="shared" si="110"/>
        <v>7469.9343082117266</v>
      </c>
      <c r="U113" s="82">
        <f t="shared" si="110"/>
        <v>7370.4730147962337</v>
      </c>
      <c r="V113" s="82">
        <f t="shared" si="110"/>
        <v>6628.2253987771173</v>
      </c>
      <c r="W113" s="82">
        <f t="shared" si="110"/>
        <v>7573.4493705339446</v>
      </c>
      <c r="X113" s="82">
        <f t="shared" ref="X113:Y113" si="111">X81*1000000/X$8</f>
        <v>7374.1334490591271</v>
      </c>
      <c r="Y113" s="82">
        <f t="shared" si="111"/>
        <v>6703.6331520086305</v>
      </c>
      <c r="DA113" s="107"/>
    </row>
    <row r="114" spans="1:105" ht="12" customHeight="1" x14ac:dyDescent="0.25">
      <c r="A114" s="77" t="s">
        <v>36</v>
      </c>
      <c r="B114" s="64">
        <f t="shared" ref="B114" si="112">B82*1000000/B$8</f>
        <v>11121.999178058708</v>
      </c>
      <c r="C114" s="64">
        <f t="shared" ref="C114:W114" si="113">C82*1000000/C$8</f>
        <v>11427.638685718206</v>
      </c>
      <c r="D114" s="64">
        <f t="shared" si="113"/>
        <v>11157.852192505119</v>
      </c>
      <c r="E114" s="64">
        <f t="shared" si="113"/>
        <v>10868.233339633533</v>
      </c>
      <c r="F114" s="64">
        <f t="shared" si="113"/>
        <v>10390.719417812936</v>
      </c>
      <c r="G114" s="64">
        <f t="shared" si="113"/>
        <v>9767.8982247114163</v>
      </c>
      <c r="H114" s="64">
        <f t="shared" si="113"/>
        <v>9486.2005853922365</v>
      </c>
      <c r="I114" s="64">
        <f t="shared" si="113"/>
        <v>8891.1850440107264</v>
      </c>
      <c r="J114" s="64">
        <f t="shared" si="113"/>
        <v>7510.4635822352811</v>
      </c>
      <c r="K114" s="64">
        <f t="shared" si="113"/>
        <v>7969.6200638263199</v>
      </c>
      <c r="L114" s="64">
        <f t="shared" si="113"/>
        <v>9278.7707239814099</v>
      </c>
      <c r="M114" s="64">
        <f t="shared" si="113"/>
        <v>8118.0606823368034</v>
      </c>
      <c r="N114" s="64">
        <f t="shared" si="113"/>
        <v>8749.0544868609486</v>
      </c>
      <c r="O114" s="64">
        <f t="shared" si="113"/>
        <v>7916.7408158768139</v>
      </c>
      <c r="P114" s="64">
        <f t="shared" si="113"/>
        <v>7796.2870007948941</v>
      </c>
      <c r="Q114" s="64">
        <f t="shared" si="113"/>
        <v>7181.2372480306476</v>
      </c>
      <c r="R114" s="64">
        <f t="shared" si="113"/>
        <v>7813.1327563714794</v>
      </c>
      <c r="S114" s="64">
        <f t="shared" si="113"/>
        <v>7638.4197487995762</v>
      </c>
      <c r="T114" s="64">
        <f t="shared" si="113"/>
        <v>7469.9343082117266</v>
      </c>
      <c r="U114" s="64">
        <f t="shared" si="113"/>
        <v>7370.4730147962337</v>
      </c>
      <c r="V114" s="64">
        <f t="shared" si="113"/>
        <v>6628.2253987771173</v>
      </c>
      <c r="W114" s="64">
        <f t="shared" si="113"/>
        <v>7573.4493705339446</v>
      </c>
      <c r="X114" s="64">
        <f t="shared" ref="X114:Y114" si="114">X82*1000000/X$8</f>
        <v>7374.1334490591271</v>
      </c>
      <c r="Y114" s="64">
        <f t="shared" si="114"/>
        <v>6703.6331520086305</v>
      </c>
      <c r="DA114" s="108"/>
    </row>
    <row r="115" spans="1:105" ht="12" customHeight="1" x14ac:dyDescent="0.25">
      <c r="A115" s="61" t="s">
        <v>32</v>
      </c>
      <c r="B115" s="65">
        <f t="shared" ref="B115" si="115">B83*1000000/B$8</f>
        <v>10326.114751142715</v>
      </c>
      <c r="C115" s="65">
        <f t="shared" ref="C115:W115" si="116">C83*1000000/C$8</f>
        <v>10619.608230262038</v>
      </c>
      <c r="D115" s="65">
        <f t="shared" si="116"/>
        <v>10333.829274158317</v>
      </c>
      <c r="E115" s="65">
        <f t="shared" si="116"/>
        <v>10042.64733566619</v>
      </c>
      <c r="F115" s="65">
        <f t="shared" si="116"/>
        <v>9576.0793827319685</v>
      </c>
      <c r="G115" s="65">
        <f t="shared" si="116"/>
        <v>8960.8850493301452</v>
      </c>
      <c r="H115" s="65">
        <f t="shared" si="116"/>
        <v>8680.2881891864236</v>
      </c>
      <c r="I115" s="65">
        <f t="shared" si="116"/>
        <v>8102.1321474832948</v>
      </c>
      <c r="J115" s="65">
        <f t="shared" si="116"/>
        <v>6712.7150147994971</v>
      </c>
      <c r="K115" s="65">
        <f t="shared" si="116"/>
        <v>7200.8472181718153</v>
      </c>
      <c r="L115" s="65">
        <f t="shared" si="116"/>
        <v>8469.2224650526605</v>
      </c>
      <c r="M115" s="65">
        <f t="shared" si="116"/>
        <v>7313.3831148876416</v>
      </c>
      <c r="N115" s="65">
        <f t="shared" si="116"/>
        <v>7979.5511880332742</v>
      </c>
      <c r="O115" s="65">
        <f t="shared" si="116"/>
        <v>7146.467814410621</v>
      </c>
      <c r="P115" s="65">
        <f t="shared" si="116"/>
        <v>7062.1079726692333</v>
      </c>
      <c r="Q115" s="65">
        <f t="shared" si="116"/>
        <v>6456.2353701111169</v>
      </c>
      <c r="R115" s="65">
        <f t="shared" si="116"/>
        <v>7091.1298781031874</v>
      </c>
      <c r="S115" s="65">
        <f t="shared" si="116"/>
        <v>7007.6138779377306</v>
      </c>
      <c r="T115" s="65">
        <f t="shared" si="116"/>
        <v>6930.4605065482529</v>
      </c>
      <c r="U115" s="65">
        <f t="shared" si="116"/>
        <v>6858.929609555662</v>
      </c>
      <c r="V115" s="65">
        <f t="shared" si="116"/>
        <v>6179.3562653111458</v>
      </c>
      <c r="W115" s="65">
        <f t="shared" si="116"/>
        <v>7072.2973427209909</v>
      </c>
      <c r="X115" s="65">
        <f t="shared" ref="X115:Y115" si="117">X83*1000000/X$8</f>
        <v>6902.9452809351824</v>
      </c>
      <c r="Y115" s="65">
        <f t="shared" si="117"/>
        <v>6355.72274022081</v>
      </c>
      <c r="DA115" s="109"/>
    </row>
    <row r="116" spans="1:105" ht="12" customHeight="1" x14ac:dyDescent="0.25">
      <c r="A116" s="61" t="s">
        <v>31</v>
      </c>
      <c r="B116" s="65">
        <f t="shared" ref="B116" si="118">B84*1000000/B$8</f>
        <v>0</v>
      </c>
      <c r="C116" s="65">
        <f t="shared" ref="C116:W116" si="119">C84*1000000/C$8</f>
        <v>0</v>
      </c>
      <c r="D116" s="65">
        <f t="shared" si="119"/>
        <v>0</v>
      </c>
      <c r="E116" s="65">
        <f t="shared" si="119"/>
        <v>0</v>
      </c>
      <c r="F116" s="65">
        <f t="shared" si="119"/>
        <v>0</v>
      </c>
      <c r="G116" s="65">
        <f t="shared" si="119"/>
        <v>0</v>
      </c>
      <c r="H116" s="65">
        <f t="shared" si="119"/>
        <v>0</v>
      </c>
      <c r="I116" s="65">
        <f t="shared" si="119"/>
        <v>0</v>
      </c>
      <c r="J116" s="65">
        <f t="shared" si="119"/>
        <v>0</v>
      </c>
      <c r="K116" s="65">
        <f t="shared" si="119"/>
        <v>0</v>
      </c>
      <c r="L116" s="65">
        <f t="shared" si="119"/>
        <v>0</v>
      </c>
      <c r="M116" s="65">
        <f t="shared" si="119"/>
        <v>0</v>
      </c>
      <c r="N116" s="65">
        <f t="shared" si="119"/>
        <v>0</v>
      </c>
      <c r="O116" s="65">
        <f t="shared" si="119"/>
        <v>0</v>
      </c>
      <c r="P116" s="65">
        <f t="shared" si="119"/>
        <v>0</v>
      </c>
      <c r="Q116" s="65">
        <f t="shared" si="119"/>
        <v>0</v>
      </c>
      <c r="R116" s="65">
        <f t="shared" si="119"/>
        <v>0</v>
      </c>
      <c r="S116" s="65">
        <f t="shared" si="119"/>
        <v>0</v>
      </c>
      <c r="T116" s="65">
        <f t="shared" si="119"/>
        <v>0</v>
      </c>
      <c r="U116" s="65">
        <f t="shared" si="119"/>
        <v>0</v>
      </c>
      <c r="V116" s="65">
        <f t="shared" si="119"/>
        <v>0</v>
      </c>
      <c r="W116" s="65">
        <f t="shared" si="119"/>
        <v>0</v>
      </c>
      <c r="X116" s="65">
        <f t="shared" ref="X116:Y116" si="120">X84*1000000/X$8</f>
        <v>0</v>
      </c>
      <c r="Y116" s="65">
        <f t="shared" si="120"/>
        <v>0</v>
      </c>
      <c r="DA116" s="109"/>
    </row>
    <row r="117" spans="1:105" ht="12" customHeight="1" x14ac:dyDescent="0.25">
      <c r="A117" s="61" t="s">
        <v>35</v>
      </c>
      <c r="B117" s="65">
        <f t="shared" ref="B117" si="121">B85*1000000/B$8</f>
        <v>713.35432245830168</v>
      </c>
      <c r="C117" s="65">
        <f t="shared" ref="C117:W117" si="122">C85*1000000/C$8</f>
        <v>719.50734188454987</v>
      </c>
      <c r="D117" s="65">
        <f t="shared" si="122"/>
        <v>737.54226373045469</v>
      </c>
      <c r="E117" s="65">
        <f t="shared" si="122"/>
        <v>741.86703985020245</v>
      </c>
      <c r="F117" s="65">
        <f t="shared" si="122"/>
        <v>733.77836489964534</v>
      </c>
      <c r="G117" s="65">
        <f t="shared" si="122"/>
        <v>724.84598810305374</v>
      </c>
      <c r="H117" s="65">
        <f t="shared" si="122"/>
        <v>724.12071931711216</v>
      </c>
      <c r="I117" s="65">
        <f t="shared" si="122"/>
        <v>710.87593512673368</v>
      </c>
      <c r="J117" s="65">
        <f t="shared" si="122"/>
        <v>721.98174688915014</v>
      </c>
      <c r="K117" s="65">
        <f t="shared" si="122"/>
        <v>697.39119939560373</v>
      </c>
      <c r="L117" s="65">
        <f t="shared" si="122"/>
        <v>741.09454252484511</v>
      </c>
      <c r="M117" s="65">
        <f t="shared" si="122"/>
        <v>743.09798663188178</v>
      </c>
      <c r="N117" s="65">
        <f t="shared" si="122"/>
        <v>719.47162689117215</v>
      </c>
      <c r="O117" s="65">
        <f t="shared" si="122"/>
        <v>712.52887116420106</v>
      </c>
      <c r="P117" s="65">
        <f t="shared" si="122"/>
        <v>682.41312708543819</v>
      </c>
      <c r="Q117" s="65">
        <f t="shared" si="122"/>
        <v>672.04254873411901</v>
      </c>
      <c r="R117" s="65">
        <f t="shared" si="122"/>
        <v>670.29373160883517</v>
      </c>
      <c r="S117" s="65">
        <f t="shared" si="122"/>
        <v>583.51871491397981</v>
      </c>
      <c r="T117" s="65">
        <f t="shared" si="122"/>
        <v>500.38736819312675</v>
      </c>
      <c r="U117" s="65">
        <f t="shared" si="122"/>
        <v>471.92527500441622</v>
      </c>
      <c r="V117" s="65">
        <f t="shared" si="122"/>
        <v>412.01834483393992</v>
      </c>
      <c r="W117" s="65">
        <f t="shared" si="122"/>
        <v>453.20132809184281</v>
      </c>
      <c r="X117" s="65">
        <f t="shared" ref="X117:Y117" si="123">X85*1000000/X$8</f>
        <v>433.42066807854536</v>
      </c>
      <c r="Y117" s="65">
        <f t="shared" si="123"/>
        <v>327.18992580402164</v>
      </c>
      <c r="DA117" s="109"/>
    </row>
    <row r="118" spans="1:105" ht="12" customHeight="1" x14ac:dyDescent="0.25">
      <c r="A118" s="66" t="s">
        <v>34</v>
      </c>
      <c r="B118" s="67">
        <f t="shared" ref="B118" si="124">B86*1000000/B$8</f>
        <v>82.530104457691394</v>
      </c>
      <c r="C118" s="67">
        <f t="shared" ref="C118:W118" si="125">C86*1000000/C$8</f>
        <v>88.523113571619533</v>
      </c>
      <c r="D118" s="67">
        <f t="shared" si="125"/>
        <v>86.48065461634711</v>
      </c>
      <c r="E118" s="67">
        <f t="shared" si="125"/>
        <v>83.71896411713962</v>
      </c>
      <c r="F118" s="67">
        <f t="shared" si="125"/>
        <v>80.861670181320591</v>
      </c>
      <c r="G118" s="67">
        <f t="shared" si="125"/>
        <v>82.167187278217838</v>
      </c>
      <c r="H118" s="67">
        <f t="shared" si="125"/>
        <v>81.791676888700295</v>
      </c>
      <c r="I118" s="67">
        <f t="shared" si="125"/>
        <v>78.176961400697692</v>
      </c>
      <c r="J118" s="67">
        <f t="shared" si="125"/>
        <v>75.766820546635529</v>
      </c>
      <c r="K118" s="67">
        <f t="shared" si="125"/>
        <v>71.381646258901583</v>
      </c>
      <c r="L118" s="67">
        <f t="shared" si="125"/>
        <v>68.453716403905958</v>
      </c>
      <c r="M118" s="67">
        <f t="shared" si="125"/>
        <v>61.579580817279407</v>
      </c>
      <c r="N118" s="67">
        <f t="shared" si="125"/>
        <v>50.031671936502619</v>
      </c>
      <c r="O118" s="67">
        <f t="shared" si="125"/>
        <v>57.744130301991781</v>
      </c>
      <c r="P118" s="67">
        <f t="shared" si="125"/>
        <v>51.765901040223035</v>
      </c>
      <c r="Q118" s="67">
        <f t="shared" si="125"/>
        <v>52.959329185411761</v>
      </c>
      <c r="R118" s="67">
        <f t="shared" si="125"/>
        <v>51.709146659456906</v>
      </c>
      <c r="S118" s="67">
        <f t="shared" si="125"/>
        <v>47.287155947864612</v>
      </c>
      <c r="T118" s="67">
        <f t="shared" si="125"/>
        <v>39.086433470347501</v>
      </c>
      <c r="U118" s="67">
        <f t="shared" si="125"/>
        <v>39.61813023615467</v>
      </c>
      <c r="V118" s="67">
        <f t="shared" si="125"/>
        <v>36.850788632030451</v>
      </c>
      <c r="W118" s="67">
        <f t="shared" si="125"/>
        <v>47.950699721109487</v>
      </c>
      <c r="X118" s="67">
        <f t="shared" ref="X118:Y118" si="126">X86*1000000/X$8</f>
        <v>37.767500045398826</v>
      </c>
      <c r="Y118" s="67">
        <f t="shared" si="126"/>
        <v>20.720485983798262</v>
      </c>
      <c r="DA118" s="110"/>
    </row>
    <row r="119" spans="1:105" ht="12" customHeight="1" x14ac:dyDescent="0.25">
      <c r="A119" s="78" t="s">
        <v>33</v>
      </c>
      <c r="B119" s="68">
        <f t="shared" ref="B119" si="127">B87*1000000/B$8</f>
        <v>0</v>
      </c>
      <c r="C119" s="68">
        <f t="shared" ref="C119:W119" si="128">C87*1000000/C$8</f>
        <v>0</v>
      </c>
      <c r="D119" s="68">
        <f t="shared" si="128"/>
        <v>0</v>
      </c>
      <c r="E119" s="68">
        <f t="shared" si="128"/>
        <v>0</v>
      </c>
      <c r="F119" s="68">
        <f t="shared" si="128"/>
        <v>0</v>
      </c>
      <c r="G119" s="68">
        <f t="shared" si="128"/>
        <v>0</v>
      </c>
      <c r="H119" s="68">
        <f t="shared" si="128"/>
        <v>0</v>
      </c>
      <c r="I119" s="68">
        <f t="shared" si="128"/>
        <v>0</v>
      </c>
      <c r="J119" s="68">
        <f t="shared" si="128"/>
        <v>0</v>
      </c>
      <c r="K119" s="68">
        <f t="shared" si="128"/>
        <v>0</v>
      </c>
      <c r="L119" s="68">
        <f t="shared" si="128"/>
        <v>0</v>
      </c>
      <c r="M119" s="68">
        <f t="shared" si="128"/>
        <v>0</v>
      </c>
      <c r="N119" s="68">
        <f t="shared" si="128"/>
        <v>0</v>
      </c>
      <c r="O119" s="68">
        <f t="shared" si="128"/>
        <v>0</v>
      </c>
      <c r="P119" s="68">
        <f t="shared" si="128"/>
        <v>0</v>
      </c>
      <c r="Q119" s="68">
        <f t="shared" si="128"/>
        <v>0</v>
      </c>
      <c r="R119" s="68">
        <f t="shared" si="128"/>
        <v>0</v>
      </c>
      <c r="S119" s="68">
        <f t="shared" si="128"/>
        <v>0</v>
      </c>
      <c r="T119" s="68">
        <f t="shared" si="128"/>
        <v>0</v>
      </c>
      <c r="U119" s="68">
        <f t="shared" si="128"/>
        <v>0</v>
      </c>
      <c r="V119" s="68">
        <f t="shared" si="128"/>
        <v>0</v>
      </c>
      <c r="W119" s="68">
        <f t="shared" si="128"/>
        <v>0</v>
      </c>
      <c r="X119" s="68">
        <f t="shared" ref="X119:Y119" si="129">X87*1000000/X$8</f>
        <v>0</v>
      </c>
      <c r="Y119" s="68">
        <f t="shared" si="129"/>
        <v>0</v>
      </c>
      <c r="DA119" s="111"/>
    </row>
    <row r="121" spans="1:105" ht="12.95" customHeight="1" x14ac:dyDescent="0.25">
      <c r="A121" s="79" t="s">
        <v>30</v>
      </c>
      <c r="B121" s="86">
        <f t="shared" ref="B121" si="130">IF(B107=0,"",B107/B100)</f>
        <v>0.67743127483838383</v>
      </c>
      <c r="C121" s="86">
        <f t="shared" ref="C121:W121" si="131">IF(C107=0,"",C107/C100)</f>
        <v>0.68360508342541759</v>
      </c>
      <c r="D121" s="86">
        <f t="shared" si="131"/>
        <v>0.68893246168067657</v>
      </c>
      <c r="E121" s="86">
        <f t="shared" si="131"/>
        <v>0.69478247924071534</v>
      </c>
      <c r="F121" s="86">
        <f t="shared" si="131"/>
        <v>0.69952340143863478</v>
      </c>
      <c r="G121" s="86">
        <f t="shared" si="131"/>
        <v>0.70634885047371365</v>
      </c>
      <c r="H121" s="86">
        <f t="shared" si="131"/>
        <v>0.7132938913629322</v>
      </c>
      <c r="I121" s="86">
        <f t="shared" si="131"/>
        <v>0.72473892717461119</v>
      </c>
      <c r="J121" s="86">
        <f t="shared" si="131"/>
        <v>0.73634608812103775</v>
      </c>
      <c r="K121" s="86">
        <f t="shared" si="131"/>
        <v>0.74251475744411211</v>
      </c>
      <c r="L121" s="86">
        <f t="shared" si="131"/>
        <v>0.74570698864624585</v>
      </c>
      <c r="M121" s="86">
        <f t="shared" si="131"/>
        <v>0.75283104078746366</v>
      </c>
      <c r="N121" s="86">
        <f t="shared" si="131"/>
        <v>0.7592687480366852</v>
      </c>
      <c r="O121" s="86">
        <f t="shared" si="131"/>
        <v>0.77104586905916783</v>
      </c>
      <c r="P121" s="86">
        <f t="shared" si="131"/>
        <v>0.7777675385096281</v>
      </c>
      <c r="Q121" s="86">
        <f t="shared" si="131"/>
        <v>0.78589008464979349</v>
      </c>
      <c r="R121" s="86">
        <f t="shared" si="131"/>
        <v>0.79100307718942631</v>
      </c>
      <c r="S121" s="86">
        <f t="shared" si="131"/>
        <v>0.79943535371339147</v>
      </c>
      <c r="T121" s="86">
        <f t="shared" si="131"/>
        <v>0.80889650119101253</v>
      </c>
      <c r="U121" s="86">
        <f t="shared" si="131"/>
        <v>0.81975155108624997</v>
      </c>
      <c r="V121" s="86">
        <f t="shared" si="131"/>
        <v>0.83379766704163616</v>
      </c>
      <c r="W121" s="86">
        <f t="shared" si="131"/>
        <v>0.84283920855369898</v>
      </c>
      <c r="X121" s="86">
        <f t="shared" ref="X121:Y121" si="132">IF(X107=0,"",X107/X100)</f>
        <v>0.8560786487763975</v>
      </c>
      <c r="Y121" s="86">
        <f t="shared" si="132"/>
        <v>0.87496832434089178</v>
      </c>
      <c r="DA121" s="119" t="s">
        <v>239</v>
      </c>
    </row>
    <row r="122" spans="1:105" ht="12" customHeight="1" x14ac:dyDescent="0.25">
      <c r="A122" s="61" t="s">
        <v>32</v>
      </c>
      <c r="B122" s="75">
        <f t="shared" ref="B122" si="133">IF(B108=0,"",B108/B101)</f>
        <v>0.66337658910170583</v>
      </c>
      <c r="C122" s="75">
        <f t="shared" ref="C122:W122" si="134">IF(C108=0,"",C108/C101)</f>
        <v>0.67143911051655714</v>
      </c>
      <c r="D122" s="75">
        <f t="shared" si="134"/>
        <v>0.67701663102626031</v>
      </c>
      <c r="E122" s="75">
        <f t="shared" si="134"/>
        <v>0.6821121235345321</v>
      </c>
      <c r="F122" s="75">
        <f t="shared" si="134"/>
        <v>0.68643952636076666</v>
      </c>
      <c r="G122" s="75">
        <f t="shared" si="134"/>
        <v>0.69220167629596274</v>
      </c>
      <c r="H122" s="75">
        <f t="shared" si="134"/>
        <v>0.69853895273601452</v>
      </c>
      <c r="I122" s="75">
        <f t="shared" si="134"/>
        <v>0.71048803409386851</v>
      </c>
      <c r="J122" s="75">
        <f t="shared" si="134"/>
        <v>0.72139404920527139</v>
      </c>
      <c r="K122" s="75">
        <f t="shared" si="134"/>
        <v>0.72863487206755773</v>
      </c>
      <c r="L122" s="75">
        <f t="shared" si="134"/>
        <v>0.73091085300611225</v>
      </c>
      <c r="M122" s="75">
        <f t="shared" si="134"/>
        <v>0.7369690413483202</v>
      </c>
      <c r="N122" s="75">
        <f t="shared" si="134"/>
        <v>0.74489879394995728</v>
      </c>
      <c r="O122" s="75">
        <f t="shared" si="134"/>
        <v>0.75635506475103131</v>
      </c>
      <c r="P122" s="75">
        <f t="shared" si="134"/>
        <v>0.76298440111178756</v>
      </c>
      <c r="Q122" s="75">
        <f t="shared" si="134"/>
        <v>0.76977116593375017</v>
      </c>
      <c r="R122" s="75">
        <f t="shared" si="134"/>
        <v>0.77447192506454321</v>
      </c>
      <c r="S122" s="75">
        <f t="shared" si="134"/>
        <v>0.78236507570970704</v>
      </c>
      <c r="T122" s="75">
        <f t="shared" si="134"/>
        <v>0.79173758286288387</v>
      </c>
      <c r="U122" s="75">
        <f t="shared" si="134"/>
        <v>0.80166798074411583</v>
      </c>
      <c r="V122" s="75">
        <f t="shared" si="134"/>
        <v>0.81318917680511404</v>
      </c>
      <c r="W122" s="75">
        <f t="shared" si="134"/>
        <v>0.82535840226128565</v>
      </c>
      <c r="X122" s="75">
        <f t="shared" ref="X122:Y122" si="135">IF(X108=0,"",X108/X101)</f>
        <v>0.837368544047291</v>
      </c>
      <c r="Y122" s="75">
        <f t="shared" si="135"/>
        <v>0.85648156203138026</v>
      </c>
      <c r="DA122" s="120" t="s">
        <v>240</v>
      </c>
    </row>
    <row r="123" spans="1:105" ht="12" customHeight="1" x14ac:dyDescent="0.25">
      <c r="A123" s="61" t="s">
        <v>31</v>
      </c>
      <c r="B123" s="76">
        <f t="shared" ref="B123" si="136">IF(B109=0,"",B109/B102)</f>
        <v>1.9009640741327096</v>
      </c>
      <c r="C123" s="76">
        <f t="shared" ref="C123:W123" si="137">IF(C109=0,"",C109/C102)</f>
        <v>1.982836146872498</v>
      </c>
      <c r="D123" s="76">
        <f t="shared" si="137"/>
        <v>2.0864127241393637</v>
      </c>
      <c r="E123" s="76">
        <f t="shared" si="137"/>
        <v>2.1983159120982987</v>
      </c>
      <c r="F123" s="76">
        <f t="shared" si="137"/>
        <v>2.3241363389333332</v>
      </c>
      <c r="G123" s="76">
        <f t="shared" si="137"/>
        <v>2.4700199696732414</v>
      </c>
      <c r="H123" s="76">
        <f t="shared" si="137"/>
        <v>2.6205185050627997</v>
      </c>
      <c r="I123" s="76">
        <f t="shared" si="137"/>
        <v>2.7933110344277399</v>
      </c>
      <c r="J123" s="76">
        <f t="shared" si="137"/>
        <v>2.9801430779610882</v>
      </c>
      <c r="K123" s="76">
        <f t="shared" si="137"/>
        <v>3.0414164347073909</v>
      </c>
      <c r="L123" s="76">
        <f t="shared" si="137"/>
        <v>3.1202035623989719</v>
      </c>
      <c r="M123" s="76">
        <f t="shared" si="137"/>
        <v>3.229733517398222</v>
      </c>
      <c r="N123" s="76">
        <f t="shared" si="137"/>
        <v>3.3441655340268586</v>
      </c>
      <c r="O123" s="76">
        <f t="shared" si="137"/>
        <v>3.4771425100412108</v>
      </c>
      <c r="P123" s="76">
        <f t="shared" si="137"/>
        <v>3.6345086762060945</v>
      </c>
      <c r="Q123" s="76">
        <f t="shared" si="137"/>
        <v>3.8005746852305049</v>
      </c>
      <c r="R123" s="76">
        <f t="shared" si="137"/>
        <v>3.9603610525497852</v>
      </c>
      <c r="S123" s="76">
        <f t="shared" si="137"/>
        <v>4.1129811399669505</v>
      </c>
      <c r="T123" s="76">
        <f t="shared" si="137"/>
        <v>4.2493180776478567</v>
      </c>
      <c r="U123" s="76">
        <f t="shared" si="137"/>
        <v>4.3557449349958448</v>
      </c>
      <c r="V123" s="76">
        <f t="shared" si="137"/>
        <v>4.4559347693924733</v>
      </c>
      <c r="W123" s="76">
        <f t="shared" si="137"/>
        <v>4.5491910468556531</v>
      </c>
      <c r="X123" s="76">
        <f t="shared" ref="X123:Y123" si="138">IF(X109=0,"",X109/X102)</f>
        <v>4.6258171951447382</v>
      </c>
      <c r="Y123" s="76">
        <f t="shared" si="138"/>
        <v>4.6942690246050027</v>
      </c>
      <c r="DA123" s="121" t="s">
        <v>241</v>
      </c>
    </row>
    <row r="124" spans="1:105" ht="12" customHeight="1" x14ac:dyDescent="0.25">
      <c r="A124" s="61" t="s">
        <v>35</v>
      </c>
      <c r="B124" s="76">
        <f t="shared" ref="B124" si="139">IF(B110=0,"",B110/B103)</f>
        <v>0.68406887105391245</v>
      </c>
      <c r="C124" s="76">
        <f t="shared" ref="C124:W124" si="140">IF(C110=0,"",C110/C103)</f>
        <v>0.68662586045997254</v>
      </c>
      <c r="D124" s="76">
        <f t="shared" si="140"/>
        <v>0.68864866784641043</v>
      </c>
      <c r="E124" s="76">
        <f t="shared" si="140"/>
        <v>0.69174195478815914</v>
      </c>
      <c r="F124" s="76">
        <f t="shared" si="140"/>
        <v>0.69513493524340164</v>
      </c>
      <c r="G124" s="76">
        <f t="shared" si="140"/>
        <v>0.69925349694213157</v>
      </c>
      <c r="H124" s="76">
        <f t="shared" si="140"/>
        <v>0.70390914424425743</v>
      </c>
      <c r="I124" s="76">
        <f t="shared" si="140"/>
        <v>0.70929717983327945</v>
      </c>
      <c r="J124" s="76">
        <f t="shared" si="140"/>
        <v>0.71252567072806361</v>
      </c>
      <c r="K124" s="76">
        <f t="shared" si="140"/>
        <v>0.71667761083747428</v>
      </c>
      <c r="L124" s="76">
        <f t="shared" si="140"/>
        <v>0.71889940738666736</v>
      </c>
      <c r="M124" s="76">
        <f t="shared" si="140"/>
        <v>0.72329696476100591</v>
      </c>
      <c r="N124" s="76">
        <f t="shared" si="140"/>
        <v>0.72988105231122147</v>
      </c>
      <c r="O124" s="76">
        <f t="shared" si="140"/>
        <v>0.73706125890115104</v>
      </c>
      <c r="P124" s="76">
        <f t="shared" si="140"/>
        <v>0.74062058360539762</v>
      </c>
      <c r="Q124" s="76">
        <f t="shared" si="140"/>
        <v>0.74543122694850417</v>
      </c>
      <c r="R124" s="76">
        <f t="shared" si="140"/>
        <v>0.75256680256249264</v>
      </c>
      <c r="S124" s="76">
        <f t="shared" si="140"/>
        <v>0.76288605570798074</v>
      </c>
      <c r="T124" s="76">
        <f t="shared" si="140"/>
        <v>0.77561590148592618</v>
      </c>
      <c r="U124" s="76">
        <f t="shared" si="140"/>
        <v>0.78578319984567047</v>
      </c>
      <c r="V124" s="76">
        <f t="shared" si="140"/>
        <v>0.79747565254019337</v>
      </c>
      <c r="W124" s="76">
        <f t="shared" si="140"/>
        <v>0.80978734181876588</v>
      </c>
      <c r="X124" s="76">
        <f t="shared" ref="X124:Y124" si="141">IF(X110=0,"",X110/X103)</f>
        <v>0.82297281692458102</v>
      </c>
      <c r="Y124" s="76">
        <f t="shared" si="141"/>
        <v>0.83725093473240686</v>
      </c>
      <c r="DA124" s="121" t="s">
        <v>242</v>
      </c>
    </row>
    <row r="125" spans="1:105" ht="12" customHeight="1" x14ac:dyDescent="0.25">
      <c r="A125" s="74" t="s">
        <v>34</v>
      </c>
      <c r="B125" s="56">
        <f t="shared" ref="B125" si="142">IF(B111=0,"",B111/B104)</f>
        <v>0.70696180944620168</v>
      </c>
      <c r="C125" s="56">
        <f t="shared" ref="C125:W125" si="143">IF(C111=0,"",C111/C104)</f>
        <v>0.70828760860537854</v>
      </c>
      <c r="D125" s="56">
        <f t="shared" si="143"/>
        <v>0.70967296581436112</v>
      </c>
      <c r="E125" s="56">
        <f t="shared" si="143"/>
        <v>0.71125574085539989</v>
      </c>
      <c r="F125" s="56">
        <f t="shared" si="143"/>
        <v>0.71306329808703373</v>
      </c>
      <c r="G125" s="56">
        <f t="shared" si="143"/>
        <v>0.71503523201764962</v>
      </c>
      <c r="H125" s="56">
        <f t="shared" si="143"/>
        <v>0.71727116380858924</v>
      </c>
      <c r="I125" s="56">
        <f t="shared" si="143"/>
        <v>0.7196130898281059</v>
      </c>
      <c r="J125" s="56">
        <f t="shared" si="143"/>
        <v>0.72213854964594371</v>
      </c>
      <c r="K125" s="56">
        <f t="shared" si="143"/>
        <v>0.725247675163601</v>
      </c>
      <c r="L125" s="56">
        <f t="shared" si="143"/>
        <v>0.7276078641743603</v>
      </c>
      <c r="M125" s="56">
        <f t="shared" si="143"/>
        <v>0.72894908605535669</v>
      </c>
      <c r="N125" s="56">
        <f t="shared" si="143"/>
        <v>0.7305433683497865</v>
      </c>
      <c r="O125" s="56">
        <f t="shared" si="143"/>
        <v>0.73310758806609455</v>
      </c>
      <c r="P125" s="56">
        <f t="shared" si="143"/>
        <v>0.73647189981688166</v>
      </c>
      <c r="Q125" s="56">
        <f t="shared" si="143"/>
        <v>0.74067986304909528</v>
      </c>
      <c r="R125" s="56">
        <f t="shared" si="143"/>
        <v>0.7463886529285263</v>
      </c>
      <c r="S125" s="56">
        <f t="shared" si="143"/>
        <v>0.75333586163331745</v>
      </c>
      <c r="T125" s="56">
        <f t="shared" si="143"/>
        <v>0.7627444322866459</v>
      </c>
      <c r="U125" s="56">
        <f t="shared" si="143"/>
        <v>0.77331287936195248</v>
      </c>
      <c r="V125" s="56">
        <f t="shared" si="143"/>
        <v>0.78415806797746423</v>
      </c>
      <c r="W125" s="56">
        <f t="shared" si="143"/>
        <v>0.7946424181470394</v>
      </c>
      <c r="X125" s="56">
        <f t="shared" ref="X125:Y125" si="144">IF(X111=0,"",X111/X104)</f>
        <v>0.80569714893341637</v>
      </c>
      <c r="Y125" s="56">
        <f t="shared" si="144"/>
        <v>0.8166192638215487</v>
      </c>
      <c r="DA125" s="122" t="s">
        <v>243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145">IF(B99=0,0,B99/B$26)</f>
        <v>293.38426701721136</v>
      </c>
      <c r="C129" s="82">
        <f t="shared" ref="C129:W129" si="146">IF(C99=0,0,C99/C$26)</f>
        <v>314.76852874419541</v>
      </c>
      <c r="D129" s="82">
        <f t="shared" si="146"/>
        <v>320.52994355942405</v>
      </c>
      <c r="E129" s="82">
        <f t="shared" si="146"/>
        <v>319.65169854260841</v>
      </c>
      <c r="F129" s="82">
        <f t="shared" si="146"/>
        <v>316.33028874715097</v>
      </c>
      <c r="G129" s="82">
        <f t="shared" si="146"/>
        <v>312.07266477814835</v>
      </c>
      <c r="H129" s="82">
        <f t="shared" si="146"/>
        <v>313.51568200319565</v>
      </c>
      <c r="I129" s="82">
        <f t="shared" si="146"/>
        <v>322.85273419993695</v>
      </c>
      <c r="J129" s="82">
        <f t="shared" si="146"/>
        <v>316.50401594018967</v>
      </c>
      <c r="K129" s="82">
        <f t="shared" si="146"/>
        <v>341.90539717062899</v>
      </c>
      <c r="L129" s="82">
        <f t="shared" si="146"/>
        <v>359.88433991767533</v>
      </c>
      <c r="M129" s="82">
        <f t="shared" si="146"/>
        <v>323.85670877354642</v>
      </c>
      <c r="N129" s="82">
        <f t="shared" si="146"/>
        <v>343.01804823682863</v>
      </c>
      <c r="O129" s="82">
        <f t="shared" si="146"/>
        <v>326.92381181243348</v>
      </c>
      <c r="P129" s="82">
        <f t="shared" si="146"/>
        <v>334.07898256741555</v>
      </c>
      <c r="Q129" s="82">
        <f t="shared" si="146"/>
        <v>315.34142172336573</v>
      </c>
      <c r="R129" s="82">
        <f t="shared" si="146"/>
        <v>329.53799551068818</v>
      </c>
      <c r="S129" s="82">
        <f t="shared" si="146"/>
        <v>325.21710866530327</v>
      </c>
      <c r="T129" s="82">
        <f t="shared" si="146"/>
        <v>330.45305579015121</v>
      </c>
      <c r="U129" s="82">
        <f t="shared" si="146"/>
        <v>320.11150504867419</v>
      </c>
      <c r="V129" s="82">
        <f t="shared" si="146"/>
        <v>291.54478555865757</v>
      </c>
      <c r="W129" s="82">
        <f t="shared" si="146"/>
        <v>320.63970126451676</v>
      </c>
      <c r="X129" s="82">
        <f t="shared" ref="X129:Y129" si="147">IF(X99=0,0,X99/X$26)</f>
        <v>306.92972519554246</v>
      </c>
      <c r="Y129" s="82">
        <f t="shared" si="147"/>
        <v>298.09642895395348</v>
      </c>
      <c r="DA129" s="107"/>
    </row>
    <row r="130" spans="1:105" ht="12" customHeight="1" x14ac:dyDescent="0.25">
      <c r="A130" s="77" t="s">
        <v>36</v>
      </c>
      <c r="B130" s="64">
        <f t="shared" ref="B130" si="148">IF(B100=0,0,B100/B$26)</f>
        <v>240.20083212457882</v>
      </c>
      <c r="C130" s="64">
        <f t="shared" ref="C130:W130" si="149">IF(C100=0,0,C100/C$26)</f>
        <v>260.25590156330094</v>
      </c>
      <c r="D130" s="64">
        <f t="shared" si="149"/>
        <v>264.76851889017968</v>
      </c>
      <c r="E130" s="64">
        <f t="shared" si="149"/>
        <v>262.61167120884517</v>
      </c>
      <c r="F130" s="64">
        <f t="shared" si="149"/>
        <v>258.18584502083661</v>
      </c>
      <c r="G130" s="64">
        <f t="shared" si="149"/>
        <v>252.59415741861574</v>
      </c>
      <c r="H130" s="64">
        <f t="shared" si="149"/>
        <v>253.3920850076079</v>
      </c>
      <c r="I130" s="64">
        <f t="shared" si="149"/>
        <v>261.95363828562273</v>
      </c>
      <c r="J130" s="64">
        <f t="shared" si="149"/>
        <v>255.04042631741839</v>
      </c>
      <c r="K130" s="64">
        <f t="shared" si="149"/>
        <v>279.83143846899748</v>
      </c>
      <c r="L130" s="64">
        <f t="shared" si="149"/>
        <v>297.42889106660391</v>
      </c>
      <c r="M130" s="64">
        <f t="shared" si="149"/>
        <v>261.5277741810645</v>
      </c>
      <c r="N130" s="64">
        <f t="shared" si="149"/>
        <v>280.39740501305118</v>
      </c>
      <c r="O130" s="64">
        <f t="shared" si="149"/>
        <v>263.77959363747505</v>
      </c>
      <c r="P130" s="64">
        <f t="shared" si="149"/>
        <v>270.34922759086845</v>
      </c>
      <c r="Q130" s="64">
        <f t="shared" si="149"/>
        <v>250.91115594519127</v>
      </c>
      <c r="R130" s="64">
        <f t="shared" si="149"/>
        <v>265.30894156574004</v>
      </c>
      <c r="S130" s="64">
        <f t="shared" si="149"/>
        <v>261.1861690174224</v>
      </c>
      <c r="T130" s="64">
        <f t="shared" si="149"/>
        <v>267.5413317375631</v>
      </c>
      <c r="U130" s="64">
        <f t="shared" si="149"/>
        <v>258.19765232596228</v>
      </c>
      <c r="V130" s="64">
        <f t="shared" si="149"/>
        <v>232.7987747728032</v>
      </c>
      <c r="W130" s="64">
        <f t="shared" si="149"/>
        <v>262.05010011570869</v>
      </c>
      <c r="X130" s="64">
        <f t="shared" ref="X130:Y130" si="150">IF(X100=0,0,X100/X$26)</f>
        <v>249.05770509196626</v>
      </c>
      <c r="Y130" s="64">
        <f t="shared" si="150"/>
        <v>240.28182918078957</v>
      </c>
      <c r="DA130" s="108"/>
    </row>
    <row r="131" spans="1:105" ht="12" customHeight="1" x14ac:dyDescent="0.25">
      <c r="A131" s="61" t="s">
        <v>32</v>
      </c>
      <c r="B131" s="65">
        <f t="shared" ref="B131" si="151">IF(B101=0,0,B101/B$26)</f>
        <v>188.80996616105935</v>
      </c>
      <c r="C131" s="65">
        <f t="shared" ref="C131:W131" si="152">IF(C101=0,0,C101/C$26)</f>
        <v>209.39202181552545</v>
      </c>
      <c r="D131" s="65">
        <f t="shared" si="152"/>
        <v>214.21519405282982</v>
      </c>
      <c r="E131" s="65">
        <f t="shared" si="152"/>
        <v>211.75116132323811</v>
      </c>
      <c r="F131" s="65">
        <f t="shared" si="152"/>
        <v>207.38888834554587</v>
      </c>
      <c r="G131" s="65">
        <f t="shared" si="152"/>
        <v>201.39684440740342</v>
      </c>
      <c r="H131" s="65">
        <f t="shared" si="152"/>
        <v>202.31452875642938</v>
      </c>
      <c r="I131" s="65">
        <f t="shared" si="152"/>
        <v>211.51084710317448</v>
      </c>
      <c r="J131" s="65">
        <f t="shared" si="152"/>
        <v>204.71117972109826</v>
      </c>
      <c r="K131" s="65">
        <f t="shared" si="152"/>
        <v>229.12575094353144</v>
      </c>
      <c r="L131" s="65">
        <f t="shared" si="152"/>
        <v>246.58760945573212</v>
      </c>
      <c r="M131" s="65">
        <f t="shared" si="152"/>
        <v>210.08615529769688</v>
      </c>
      <c r="N131" s="65">
        <f t="shared" si="152"/>
        <v>229.03134221872307</v>
      </c>
      <c r="O131" s="65">
        <f t="shared" si="152"/>
        <v>212.10133010911764</v>
      </c>
      <c r="P131" s="65">
        <f t="shared" si="152"/>
        <v>218.20255044660712</v>
      </c>
      <c r="Q131" s="65">
        <f t="shared" si="152"/>
        <v>198.34813497390368</v>
      </c>
      <c r="R131" s="65">
        <f t="shared" si="152"/>
        <v>212.58487805371823</v>
      </c>
      <c r="S131" s="65">
        <f t="shared" si="152"/>
        <v>207.71330478646519</v>
      </c>
      <c r="T131" s="65">
        <f t="shared" si="152"/>
        <v>214.60686389882997</v>
      </c>
      <c r="U131" s="65">
        <f t="shared" si="152"/>
        <v>203.81427527298277</v>
      </c>
      <c r="V131" s="65">
        <f t="shared" si="152"/>
        <v>183.03156947121747</v>
      </c>
      <c r="W131" s="65">
        <f t="shared" si="152"/>
        <v>207.77422261429226</v>
      </c>
      <c r="X131" s="65">
        <f t="shared" ref="X131:Y131" si="153">IF(X101=0,0,X101/X$26)</f>
        <v>195.30840639469278</v>
      </c>
      <c r="Y131" s="65">
        <f t="shared" si="153"/>
        <v>186.52563726133999</v>
      </c>
      <c r="DA131" s="109"/>
    </row>
    <row r="132" spans="1:105" ht="12" customHeight="1" x14ac:dyDescent="0.25">
      <c r="A132" s="61" t="s">
        <v>31</v>
      </c>
      <c r="B132" s="65">
        <f t="shared" ref="B132" si="154">IF(B102=0,0,B102/B$26)</f>
        <v>1.4473353592657683</v>
      </c>
      <c r="C132" s="65">
        <f t="shared" ref="C132:W132" si="155">IF(C102=0,0,C102/C$26)</f>
        <v>1.4523433416899403</v>
      </c>
      <c r="D132" s="65">
        <f t="shared" si="155"/>
        <v>1.4848346848358136</v>
      </c>
      <c r="E132" s="65">
        <f t="shared" si="155"/>
        <v>1.579899528752029</v>
      </c>
      <c r="F132" s="65">
        <f t="shared" si="155"/>
        <v>1.5427949571703836</v>
      </c>
      <c r="G132" s="65">
        <f t="shared" si="155"/>
        <v>1.6026165758084259</v>
      </c>
      <c r="H132" s="65">
        <f t="shared" si="155"/>
        <v>1.6413258382633491</v>
      </c>
      <c r="I132" s="65">
        <f t="shared" si="155"/>
        <v>1.7039983996275772</v>
      </c>
      <c r="J132" s="65">
        <f t="shared" si="155"/>
        <v>1.7797097466609952</v>
      </c>
      <c r="K132" s="65">
        <f t="shared" si="155"/>
        <v>1.8446343386184243</v>
      </c>
      <c r="L132" s="65">
        <f t="shared" si="155"/>
        <v>2.0024669419219232</v>
      </c>
      <c r="M132" s="65">
        <f t="shared" si="155"/>
        <v>1.8818900256146318</v>
      </c>
      <c r="N132" s="65">
        <f t="shared" si="155"/>
        <v>1.8303287095881278</v>
      </c>
      <c r="O132" s="65">
        <f t="shared" si="155"/>
        <v>1.8126117168971669</v>
      </c>
      <c r="P132" s="65">
        <f t="shared" si="155"/>
        <v>1.8186023161075675</v>
      </c>
      <c r="Q132" s="65">
        <f t="shared" si="155"/>
        <v>1.7805802779340913</v>
      </c>
      <c r="R132" s="65">
        <f t="shared" si="155"/>
        <v>1.7751946432098005</v>
      </c>
      <c r="S132" s="65">
        <f t="shared" si="155"/>
        <v>1.714623796727222</v>
      </c>
      <c r="T132" s="65">
        <f t="shared" si="155"/>
        <v>1.6608422267815208</v>
      </c>
      <c r="U132" s="65">
        <f t="shared" si="155"/>
        <v>1.6426691132011635</v>
      </c>
      <c r="V132" s="65">
        <f t="shared" si="155"/>
        <v>1.6142144210889271</v>
      </c>
      <c r="W132" s="65">
        <f t="shared" si="155"/>
        <v>1.5594432156214297</v>
      </c>
      <c r="X132" s="65">
        <f t="shared" ref="X132:Y132" si="156">IF(X102=0,0,X102/X$26)</f>
        <v>1.549072467597959</v>
      </c>
      <c r="Y132" s="65">
        <f t="shared" si="156"/>
        <v>1.561695018453771</v>
      </c>
      <c r="DA132" s="109"/>
    </row>
    <row r="133" spans="1:105" ht="12" customHeight="1" x14ac:dyDescent="0.25">
      <c r="A133" s="61" t="s">
        <v>35</v>
      </c>
      <c r="B133" s="65">
        <f t="shared" ref="B133" si="157">IF(B103=0,0,B103/B$26)</f>
        <v>25.861979536820868</v>
      </c>
      <c r="C133" s="65">
        <f t="shared" ref="C133:W133" si="158">IF(C103=0,0,C103/C$26)</f>
        <v>25.809247127510005</v>
      </c>
      <c r="D133" s="65">
        <f t="shared" si="158"/>
        <v>25.693148603632931</v>
      </c>
      <c r="E133" s="65">
        <f t="shared" si="158"/>
        <v>25.842325629373637</v>
      </c>
      <c r="F133" s="65">
        <f t="shared" si="158"/>
        <v>25.65156689696121</v>
      </c>
      <c r="G133" s="65">
        <f t="shared" si="158"/>
        <v>25.858423491688495</v>
      </c>
      <c r="H133" s="65">
        <f t="shared" si="158"/>
        <v>25.584451369429456</v>
      </c>
      <c r="I133" s="65">
        <f t="shared" si="158"/>
        <v>25.281140359881874</v>
      </c>
      <c r="J133" s="65">
        <f t="shared" si="158"/>
        <v>25.246176093372441</v>
      </c>
      <c r="K133" s="65">
        <f t="shared" si="158"/>
        <v>25.28639005938351</v>
      </c>
      <c r="L133" s="65">
        <f t="shared" si="158"/>
        <v>25.534649322136591</v>
      </c>
      <c r="M133" s="65">
        <f t="shared" si="158"/>
        <v>25.705107687440616</v>
      </c>
      <c r="N133" s="65">
        <f t="shared" si="158"/>
        <v>25.830805786939276</v>
      </c>
      <c r="O133" s="65">
        <f t="shared" si="158"/>
        <v>25.96416602114579</v>
      </c>
      <c r="P133" s="65">
        <f t="shared" si="158"/>
        <v>26.21849097849308</v>
      </c>
      <c r="Q133" s="65">
        <f t="shared" si="158"/>
        <v>26.340840431916266</v>
      </c>
      <c r="R133" s="65">
        <f t="shared" si="158"/>
        <v>26.075786303746728</v>
      </c>
      <c r="S133" s="65">
        <f t="shared" si="158"/>
        <v>26.205540341187952</v>
      </c>
      <c r="T133" s="65">
        <f t="shared" si="158"/>
        <v>26.011647561131561</v>
      </c>
      <c r="U133" s="65">
        <f t="shared" si="158"/>
        <v>26.176639994675895</v>
      </c>
      <c r="V133" s="65">
        <f t="shared" si="158"/>
        <v>23.682487331689799</v>
      </c>
      <c r="W133" s="65">
        <f t="shared" si="158"/>
        <v>25.947878768366486</v>
      </c>
      <c r="X133" s="65">
        <f t="shared" ref="X133:Y133" si="159">IF(X103=0,0,X103/X$26)</f>
        <v>25.73377977158394</v>
      </c>
      <c r="Y133" s="65">
        <f t="shared" si="159"/>
        <v>25.648533453270073</v>
      </c>
      <c r="DA133" s="109"/>
    </row>
    <row r="134" spans="1:105" ht="12" customHeight="1" x14ac:dyDescent="0.25">
      <c r="A134" s="66" t="s">
        <v>34</v>
      </c>
      <c r="B134" s="67">
        <f t="shared" ref="B134" si="160">IF(B104=0,0,B104/B$26)</f>
        <v>24.081551067432795</v>
      </c>
      <c r="C134" s="67">
        <f t="shared" ref="C134:W134" si="161">IF(C104=0,0,C104/C$26)</f>
        <v>23.602289278575519</v>
      </c>
      <c r="D134" s="67">
        <f t="shared" si="161"/>
        <v>23.37534154888117</v>
      </c>
      <c r="E134" s="67">
        <f t="shared" si="161"/>
        <v>23.43828472748136</v>
      </c>
      <c r="F134" s="67">
        <f t="shared" si="161"/>
        <v>23.60259482115918</v>
      </c>
      <c r="G134" s="67">
        <f t="shared" si="161"/>
        <v>23.736272943715367</v>
      </c>
      <c r="H134" s="67">
        <f t="shared" si="161"/>
        <v>23.851779043485767</v>
      </c>
      <c r="I134" s="67">
        <f t="shared" si="161"/>
        <v>23.457652422938715</v>
      </c>
      <c r="J134" s="67">
        <f t="shared" si="161"/>
        <v>23.303360756286668</v>
      </c>
      <c r="K134" s="67">
        <f t="shared" si="161"/>
        <v>23.574663127464103</v>
      </c>
      <c r="L134" s="67">
        <f t="shared" si="161"/>
        <v>23.304165346813267</v>
      </c>
      <c r="M134" s="67">
        <f t="shared" si="161"/>
        <v>23.854621170312409</v>
      </c>
      <c r="N134" s="67">
        <f t="shared" si="161"/>
        <v>23.704928297800713</v>
      </c>
      <c r="O134" s="67">
        <f t="shared" si="161"/>
        <v>23.901485790314432</v>
      </c>
      <c r="P134" s="67">
        <f t="shared" si="161"/>
        <v>24.109583849660655</v>
      </c>
      <c r="Q134" s="67">
        <f t="shared" si="161"/>
        <v>24.441600261437223</v>
      </c>
      <c r="R134" s="67">
        <f t="shared" si="161"/>
        <v>24.87308256506536</v>
      </c>
      <c r="S134" s="67">
        <f t="shared" si="161"/>
        <v>25.55270009304208</v>
      </c>
      <c r="T134" s="67">
        <f t="shared" si="161"/>
        <v>25.261978050820023</v>
      </c>
      <c r="U134" s="67">
        <f t="shared" si="161"/>
        <v>26.564067945102451</v>
      </c>
      <c r="V134" s="67">
        <f t="shared" si="161"/>
        <v>24.470503548806995</v>
      </c>
      <c r="W134" s="67">
        <f t="shared" si="161"/>
        <v>26.768555517428478</v>
      </c>
      <c r="X134" s="67">
        <f t="shared" ref="X134:Y134" si="162">IF(X104=0,0,X104/X$26)</f>
        <v>26.466446458091582</v>
      </c>
      <c r="Y134" s="67">
        <f t="shared" si="162"/>
        <v>26.545963447725715</v>
      </c>
      <c r="DA134" s="110"/>
    </row>
    <row r="135" spans="1:105" ht="12" customHeight="1" x14ac:dyDescent="0.25">
      <c r="A135" s="78" t="s">
        <v>33</v>
      </c>
      <c r="B135" s="68">
        <f t="shared" ref="B135" si="163">IF(B105=0,0,B105/B$26)</f>
        <v>53.183434892632562</v>
      </c>
      <c r="C135" s="68">
        <f t="shared" ref="C135:W135" si="164">IF(C105=0,0,C105/C$26)</f>
        <v>54.512627180894455</v>
      </c>
      <c r="D135" s="68">
        <f t="shared" si="164"/>
        <v>55.761424669244313</v>
      </c>
      <c r="E135" s="68">
        <f t="shared" si="164"/>
        <v>57.04002733376327</v>
      </c>
      <c r="F135" s="68">
        <f t="shared" si="164"/>
        <v>58.14444372631435</v>
      </c>
      <c r="G135" s="68">
        <f t="shared" si="164"/>
        <v>59.4785073595326</v>
      </c>
      <c r="H135" s="68">
        <f t="shared" si="164"/>
        <v>60.123596995587747</v>
      </c>
      <c r="I135" s="68">
        <f t="shared" si="164"/>
        <v>60.899095914314238</v>
      </c>
      <c r="J135" s="68">
        <f t="shared" si="164"/>
        <v>61.463589622771281</v>
      </c>
      <c r="K135" s="68">
        <f t="shared" si="164"/>
        <v>62.073958701631497</v>
      </c>
      <c r="L135" s="68">
        <f t="shared" si="164"/>
        <v>62.455448851071381</v>
      </c>
      <c r="M135" s="68">
        <f t="shared" si="164"/>
        <v>62.328934592481865</v>
      </c>
      <c r="N135" s="68">
        <f t="shared" si="164"/>
        <v>62.620643223777449</v>
      </c>
      <c r="O135" s="68">
        <f t="shared" si="164"/>
        <v>63.144218174958475</v>
      </c>
      <c r="P135" s="68">
        <f t="shared" si="164"/>
        <v>63.729754976547106</v>
      </c>
      <c r="Q135" s="68">
        <f t="shared" si="164"/>
        <v>64.430265778174558</v>
      </c>
      <c r="R135" s="68">
        <f t="shared" si="164"/>
        <v>64.229053944948049</v>
      </c>
      <c r="S135" s="68">
        <f t="shared" si="164"/>
        <v>64.030939647880814</v>
      </c>
      <c r="T135" s="68">
        <f t="shared" si="164"/>
        <v>62.911724052588106</v>
      </c>
      <c r="U135" s="68">
        <f t="shared" si="164"/>
        <v>61.913852722711887</v>
      </c>
      <c r="V135" s="68">
        <f t="shared" si="164"/>
        <v>58.746010785854303</v>
      </c>
      <c r="W135" s="68">
        <f t="shared" si="164"/>
        <v>58.589601148808022</v>
      </c>
      <c r="X135" s="68">
        <f t="shared" ref="X135:Y135" si="165">IF(X105=0,0,X105/X$26)</f>
        <v>57.872020103576219</v>
      </c>
      <c r="Y135" s="68">
        <f t="shared" si="165"/>
        <v>57.814599773163927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66">IF(B107=0,0,B107/B$26)</f>
        <v>162.71955592339407</v>
      </c>
      <c r="C137" s="85">
        <f t="shared" ref="C137:W137" si="167">IF(C107=0,0,C107/C$26)</f>
        <v>177.91225730013761</v>
      </c>
      <c r="D137" s="85">
        <f t="shared" si="167"/>
        <v>182.4076274945582</v>
      </c>
      <c r="E137" s="85">
        <f t="shared" si="167"/>
        <v>182.45798800002902</v>
      </c>
      <c r="F137" s="85">
        <f t="shared" si="167"/>
        <v>180.60704051228382</v>
      </c>
      <c r="G137" s="85">
        <f t="shared" si="167"/>
        <v>178.41959272901551</v>
      </c>
      <c r="H137" s="85">
        <f t="shared" si="167"/>
        <v>180.74302635564356</v>
      </c>
      <c r="I137" s="85">
        <f t="shared" si="167"/>
        <v>189.84799878060838</v>
      </c>
      <c r="J137" s="85">
        <f t="shared" si="167"/>
        <v>187.79802023155278</v>
      </c>
      <c r="K137" s="85">
        <f t="shared" si="167"/>
        <v>207.77897266004464</v>
      </c>
      <c r="L137" s="85">
        <f t="shared" si="167"/>
        <v>221.79480269366951</v>
      </c>
      <c r="M137" s="85">
        <f t="shared" si="167"/>
        <v>196.88622643155958</v>
      </c>
      <c r="N137" s="85">
        <f t="shared" si="167"/>
        <v>212.89698665699476</v>
      </c>
      <c r="O137" s="85">
        <f t="shared" si="167"/>
        <v>203.38616601628109</v>
      </c>
      <c r="P137" s="85">
        <f t="shared" si="167"/>
        <v>210.268853281329</v>
      </c>
      <c r="Q137" s="85">
        <f t="shared" si="167"/>
        <v>197.18858958534389</v>
      </c>
      <c r="R137" s="85">
        <f t="shared" si="167"/>
        <v>209.86018918437006</v>
      </c>
      <c r="S137" s="85">
        <f t="shared" si="167"/>
        <v>208.80145741348872</v>
      </c>
      <c r="T137" s="85">
        <f t="shared" si="167"/>
        <v>216.41324716649882</v>
      </c>
      <c r="U137" s="85">
        <f t="shared" si="167"/>
        <v>211.65792598103587</v>
      </c>
      <c r="V137" s="85">
        <f t="shared" si="167"/>
        <v>194.10707529571459</v>
      </c>
      <c r="W137" s="85">
        <f t="shared" si="167"/>
        <v>220.86609898294148</v>
      </c>
      <c r="X137" s="85">
        <f t="shared" ref="X137:Y137" si="168">IF(X107=0,0,X107/X$26)</f>
        <v>213.21298364248096</v>
      </c>
      <c r="Y137" s="85">
        <f t="shared" si="168"/>
        <v>210.23898944787985</v>
      </c>
      <c r="DA137" s="117"/>
    </row>
    <row r="138" spans="1:105" ht="12" customHeight="1" x14ac:dyDescent="0.25">
      <c r="A138" s="61" t="s">
        <v>32</v>
      </c>
      <c r="B138" s="65">
        <f t="shared" ref="B138" si="169">IF(B108=0,0,B108/B$26)</f>
        <v>125.25211134033204</v>
      </c>
      <c r="C138" s="65">
        <f t="shared" ref="C138:W138" si="170">IF(C108=0,0,C108/C$26)</f>
        <v>140.59399287707996</v>
      </c>
      <c r="D138" s="65">
        <f t="shared" si="170"/>
        <v>145.02724899228343</v>
      </c>
      <c r="E138" s="65">
        <f t="shared" si="170"/>
        <v>144.43803431109723</v>
      </c>
      <c r="F138" s="65">
        <f t="shared" si="170"/>
        <v>142.35993028840241</v>
      </c>
      <c r="G138" s="65">
        <f t="shared" si="170"/>
        <v>139.40723329952183</v>
      </c>
      <c r="H138" s="65">
        <f t="shared" si="170"/>
        <v>141.32457904079646</v>
      </c>
      <c r="I138" s="65">
        <f t="shared" si="170"/>
        <v>150.27592594786324</v>
      </c>
      <c r="J138" s="65">
        <f t="shared" si="170"/>
        <v>147.6774268565911</v>
      </c>
      <c r="K138" s="65">
        <f t="shared" si="170"/>
        <v>166.94901222612313</v>
      </c>
      <c r="L138" s="65">
        <f t="shared" si="170"/>
        <v>180.23355996802724</v>
      </c>
      <c r="M138" s="65">
        <f t="shared" si="170"/>
        <v>154.82699247029799</v>
      </c>
      <c r="N138" s="65">
        <f t="shared" si="170"/>
        <v>170.60517059546675</v>
      </c>
      <c r="O138" s="65">
        <f t="shared" si="170"/>
        <v>160.42391526846154</v>
      </c>
      <c r="P138" s="65">
        <f t="shared" si="170"/>
        <v>166.48514227356915</v>
      </c>
      <c r="Q138" s="65">
        <f t="shared" si="170"/>
        <v>152.68267511964669</v>
      </c>
      <c r="R138" s="65">
        <f t="shared" si="170"/>
        <v>164.6410197458743</v>
      </c>
      <c r="S138" s="65">
        <f t="shared" si="170"/>
        <v>162.50763542517629</v>
      </c>
      <c r="T138" s="65">
        <f t="shared" si="170"/>
        <v>169.91231968904353</v>
      </c>
      <c r="U138" s="65">
        <f t="shared" si="170"/>
        <v>163.39137850491747</v>
      </c>
      <c r="V138" s="65">
        <f t="shared" si="170"/>
        <v>148.83929130764736</v>
      </c>
      <c r="W138" s="65">
        <f t="shared" si="170"/>
        <v>171.48820040801294</v>
      </c>
      <c r="X138" s="65">
        <f t="shared" ref="X138:Y138" si="171">IF(X108=0,0,X108/X$26)</f>
        <v>163.54511590292051</v>
      </c>
      <c r="Y138" s="65">
        <f t="shared" si="171"/>
        <v>159.75576916049113</v>
      </c>
      <c r="DA138" s="109"/>
    </row>
    <row r="139" spans="1:105" ht="12" customHeight="1" x14ac:dyDescent="0.25">
      <c r="A139" s="61" t="s">
        <v>31</v>
      </c>
      <c r="B139" s="65">
        <f t="shared" ref="B139" si="172">IF(B109=0,0,B109/B$26)</f>
        <v>2.7513325211861841</v>
      </c>
      <c r="C139" s="65">
        <f t="shared" ref="C139:W139" si="173">IF(C109=0,0,C109/C$26)</f>
        <v>2.8797588755724091</v>
      </c>
      <c r="D139" s="65">
        <f t="shared" si="173"/>
        <v>3.0979779796849036</v>
      </c>
      <c r="E139" s="65">
        <f t="shared" si="173"/>
        <v>3.4731182735721884</v>
      </c>
      <c r="F139" s="65">
        <f t="shared" si="173"/>
        <v>3.5856658234827838</v>
      </c>
      <c r="G139" s="65">
        <f t="shared" si="173"/>
        <v>3.9584949459761618</v>
      </c>
      <c r="H139" s="65">
        <f t="shared" si="173"/>
        <v>4.3011247320068184</v>
      </c>
      <c r="I139" s="65">
        <f t="shared" si="173"/>
        <v>4.759797532326921</v>
      </c>
      <c r="J139" s="65">
        <f t="shared" si="173"/>
        <v>5.3037896822916473</v>
      </c>
      <c r="K139" s="65">
        <f t="shared" si="173"/>
        <v>5.6103011934996738</v>
      </c>
      <c r="L139" s="65">
        <f t="shared" si="173"/>
        <v>6.24810448577096</v>
      </c>
      <c r="M139" s="65">
        <f t="shared" si="173"/>
        <v>6.0780032917849756</v>
      </c>
      <c r="N139" s="65">
        <f t="shared" si="173"/>
        <v>6.1209221865444725</v>
      </c>
      <c r="O139" s="65">
        <f t="shared" si="173"/>
        <v>6.3027092550219237</v>
      </c>
      <c r="P139" s="65">
        <f t="shared" si="173"/>
        <v>6.6097258964614527</v>
      </c>
      <c r="Q139" s="65">
        <f t="shared" si="173"/>
        <v>6.7672283293370041</v>
      </c>
      <c r="R139" s="65">
        <f t="shared" si="173"/>
        <v>7.0304117256631065</v>
      </c>
      <c r="S139" s="65">
        <f t="shared" si="173"/>
        <v>7.0522153380775903</v>
      </c>
      <c r="T139" s="65">
        <f t="shared" si="173"/>
        <v>7.0574468983836383</v>
      </c>
      <c r="U139" s="65">
        <f t="shared" si="173"/>
        <v>7.1550476697000844</v>
      </c>
      <c r="V139" s="65">
        <f t="shared" si="173"/>
        <v>7.1928341641848927</v>
      </c>
      <c r="W139" s="65">
        <f t="shared" si="173"/>
        <v>7.0942051145847973</v>
      </c>
      <c r="X139" s="65">
        <f t="shared" ref="X139:Y139" si="174">IF(X109=0,0,X109/X$26)</f>
        <v>7.1657260571399286</v>
      </c>
      <c r="Y139" s="65">
        <f t="shared" si="174"/>
        <v>7.3310165510074752</v>
      </c>
      <c r="DA139" s="109"/>
    </row>
    <row r="140" spans="1:105" ht="12" customHeight="1" x14ac:dyDescent="0.25">
      <c r="A140" s="61" t="s">
        <v>35</v>
      </c>
      <c r="B140" s="65">
        <f t="shared" ref="B140" si="175">IF(B110=0,0,B110/B$26)</f>
        <v>17.691375144972437</v>
      </c>
      <c r="C140" s="65">
        <f t="shared" ref="C140:W140" si="176">IF(C110=0,0,C110/C$26)</f>
        <v>17.721296516750634</v>
      </c>
      <c r="D140" s="65">
        <f t="shared" si="176"/>
        <v>17.69355255867168</v>
      </c>
      <c r="E140" s="65">
        <f t="shared" si="176"/>
        <v>17.876220847135063</v>
      </c>
      <c r="F140" s="65">
        <f t="shared" si="176"/>
        <v>17.831300293810916</v>
      </c>
      <c r="G140" s="65">
        <f t="shared" si="176"/>
        <v>18.081593051973741</v>
      </c>
      <c r="H140" s="65">
        <f t="shared" si="176"/>
        <v>18.009129269413908</v>
      </c>
      <c r="I140" s="65">
        <f t="shared" si="176"/>
        <v>17.931841560233512</v>
      </c>
      <c r="J140" s="65">
        <f t="shared" si="176"/>
        <v>17.988548554249004</v>
      </c>
      <c r="K140" s="65">
        <f t="shared" si="176"/>
        <v>18.122189614463434</v>
      </c>
      <c r="L140" s="65">
        <f t="shared" si="176"/>
        <v>18.356844265510365</v>
      </c>
      <c r="M140" s="65">
        <f t="shared" si="176"/>
        <v>18.5924263691806</v>
      </c>
      <c r="N140" s="65">
        <f t="shared" si="176"/>
        <v>18.853415709818027</v>
      </c>
      <c r="O140" s="65">
        <f t="shared" si="176"/>
        <v>19.137180893864205</v>
      </c>
      <c r="P140" s="65">
        <f t="shared" si="176"/>
        <v>19.417954089744399</v>
      </c>
      <c r="Q140" s="65">
        <f t="shared" si="176"/>
        <v>19.635285002018108</v>
      </c>
      <c r="R140" s="65">
        <f t="shared" si="176"/>
        <v>19.623771122913514</v>
      </c>
      <c r="S140" s="65">
        <f t="shared" si="176"/>
        <v>19.991841308585251</v>
      </c>
      <c r="T140" s="65">
        <f t="shared" si="176"/>
        <v>20.175047472261248</v>
      </c>
      <c r="U140" s="65">
        <f t="shared" si="176"/>
        <v>20.569163936224577</v>
      </c>
      <c r="V140" s="65">
        <f t="shared" si="176"/>
        <v>18.886207038614184</v>
      </c>
      <c r="W140" s="65">
        <f t="shared" si="176"/>
        <v>21.012263773671091</v>
      </c>
      <c r="X140" s="65">
        <f t="shared" ref="X140:Y140" si="177">IF(X110=0,0,X110/X$26)</f>
        <v>21.178201228737237</v>
      </c>
      <c r="Y140" s="65">
        <f t="shared" si="177"/>
        <v>21.474258608265778</v>
      </c>
      <c r="DA140" s="109"/>
    </row>
    <row r="141" spans="1:105" ht="12" customHeight="1" x14ac:dyDescent="0.25">
      <c r="A141" s="74" t="s">
        <v>34</v>
      </c>
      <c r="B141" s="68">
        <f t="shared" ref="B141" si="178">IF(B111=0,0,B111/B$26)</f>
        <v>17.024736916903397</v>
      </c>
      <c r="C141" s="68">
        <f t="shared" ref="C141:W141" si="179">IF(C111=0,0,C111/C$26)</f>
        <v>16.717209030734619</v>
      </c>
      <c r="D141" s="68">
        <f t="shared" si="179"/>
        <v>16.588847963918163</v>
      </c>
      <c r="E141" s="68">
        <f t="shared" si="179"/>
        <v>16.670614568224558</v>
      </c>
      <c r="F141" s="68">
        <f t="shared" si="179"/>
        <v>16.830144106587706</v>
      </c>
      <c r="G141" s="68">
        <f t="shared" si="179"/>
        <v>16.972271431543778</v>
      </c>
      <c r="H141" s="68">
        <f t="shared" si="179"/>
        <v>17.108193313426355</v>
      </c>
      <c r="I141" s="68">
        <f t="shared" si="179"/>
        <v>16.880433740184685</v>
      </c>
      <c r="J141" s="68">
        <f t="shared" si="179"/>
        <v>16.828255138421056</v>
      </c>
      <c r="K141" s="68">
        <f t="shared" si="179"/>
        <v>17.097469625958407</v>
      </c>
      <c r="L141" s="68">
        <f t="shared" si="179"/>
        <v>16.956293974360943</v>
      </c>
      <c r="M141" s="68">
        <f t="shared" si="179"/>
        <v>17.388804300295995</v>
      </c>
      <c r="N141" s="68">
        <f t="shared" si="179"/>
        <v>17.317478165165504</v>
      </c>
      <c r="O141" s="68">
        <f t="shared" si="179"/>
        <v>17.522360598933446</v>
      </c>
      <c r="P141" s="68">
        <f t="shared" si="179"/>
        <v>17.756031021553991</v>
      </c>
      <c r="Q141" s="68">
        <f t="shared" si="179"/>
        <v>18.103401134342054</v>
      </c>
      <c r="R141" s="68">
        <f t="shared" si="179"/>
        <v>18.564986589919148</v>
      </c>
      <c r="S141" s="68">
        <f t="shared" si="179"/>
        <v>19.249765341649606</v>
      </c>
      <c r="T141" s="68">
        <f t="shared" si="179"/>
        <v>19.268433106810427</v>
      </c>
      <c r="U141" s="68">
        <f t="shared" si="179"/>
        <v>20.542335870193718</v>
      </c>
      <c r="V141" s="68">
        <f t="shared" si="179"/>
        <v>19.188742785268175</v>
      </c>
      <c r="W141" s="68">
        <f t="shared" si="179"/>
        <v>21.27142968667264</v>
      </c>
      <c r="X141" s="68">
        <f t="shared" ref="X141:Y141" si="180">IF(X111=0,0,X111/X$26)</f>
        <v>21.323940453683303</v>
      </c>
      <c r="Y141" s="68">
        <f t="shared" si="180"/>
        <v>21.677945128115514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81">IF(B113=0,0,B113/B$26)</f>
        <v>12.357776864509676</v>
      </c>
      <c r="C143" s="82">
        <f t="shared" ref="C143:W143" si="182">IF(C113=0,0,C113/C$26)</f>
        <v>12.697376317464673</v>
      </c>
      <c r="D143" s="82">
        <f t="shared" si="182"/>
        <v>12.397613547227913</v>
      </c>
      <c r="E143" s="82">
        <f t="shared" si="182"/>
        <v>12.075814821815037</v>
      </c>
      <c r="F143" s="82">
        <f t="shared" si="182"/>
        <v>11.545243797569929</v>
      </c>
      <c r="G143" s="82">
        <f t="shared" si="182"/>
        <v>10.853220249679353</v>
      </c>
      <c r="H143" s="82">
        <f t="shared" si="182"/>
        <v>10.54022287265804</v>
      </c>
      <c r="I143" s="82">
        <f t="shared" si="182"/>
        <v>9.8790944933452511</v>
      </c>
      <c r="J143" s="82">
        <f t="shared" si="182"/>
        <v>8.3449595358169777</v>
      </c>
      <c r="K143" s="82">
        <f t="shared" si="182"/>
        <v>8.8551334042514682</v>
      </c>
      <c r="L143" s="82">
        <f t="shared" si="182"/>
        <v>10.309745248868234</v>
      </c>
      <c r="M143" s="82">
        <f t="shared" si="182"/>
        <v>9.0200674248186701</v>
      </c>
      <c r="N143" s="82">
        <f t="shared" si="182"/>
        <v>9.7211716520677225</v>
      </c>
      <c r="O143" s="82">
        <f t="shared" si="182"/>
        <v>8.7963786843075713</v>
      </c>
      <c r="P143" s="82">
        <f t="shared" si="182"/>
        <v>8.6625411119943259</v>
      </c>
      <c r="Q143" s="82">
        <f t="shared" si="182"/>
        <v>7.97915249781183</v>
      </c>
      <c r="R143" s="82">
        <f t="shared" si="182"/>
        <v>8.6812586181905331</v>
      </c>
      <c r="S143" s="82">
        <f t="shared" si="182"/>
        <v>8.4871330542217507</v>
      </c>
      <c r="T143" s="82">
        <f t="shared" si="182"/>
        <v>8.2999270091241417</v>
      </c>
      <c r="U143" s="82">
        <f t="shared" si="182"/>
        <v>8.1894144608847039</v>
      </c>
      <c r="V143" s="82">
        <f t="shared" si="182"/>
        <v>7.3646948875301304</v>
      </c>
      <c r="W143" s="82">
        <f t="shared" si="182"/>
        <v>8.4149437450377178</v>
      </c>
      <c r="X143" s="82">
        <f t="shared" ref="X143:Y143" si="183">IF(X113=0,0,X113/X$26)</f>
        <v>8.1934816100656978</v>
      </c>
      <c r="Y143" s="82">
        <f t="shared" si="183"/>
        <v>7.4484812800095899</v>
      </c>
      <c r="DA143" s="107"/>
    </row>
    <row r="144" spans="1:105" ht="12" customHeight="1" x14ac:dyDescent="0.25">
      <c r="A144" s="77" t="s">
        <v>36</v>
      </c>
      <c r="B144" s="64">
        <f t="shared" ref="B144" si="184">IF(B114=0,0,B114/B$26)</f>
        <v>12.357776864509676</v>
      </c>
      <c r="C144" s="64">
        <f t="shared" ref="C144:W144" si="185">IF(C114=0,0,C114/C$26)</f>
        <v>12.697376317464673</v>
      </c>
      <c r="D144" s="64">
        <f t="shared" si="185"/>
        <v>12.397613547227913</v>
      </c>
      <c r="E144" s="64">
        <f t="shared" si="185"/>
        <v>12.075814821815037</v>
      </c>
      <c r="F144" s="64">
        <f t="shared" si="185"/>
        <v>11.545243797569929</v>
      </c>
      <c r="G144" s="64">
        <f t="shared" si="185"/>
        <v>10.853220249679353</v>
      </c>
      <c r="H144" s="64">
        <f t="shared" si="185"/>
        <v>10.54022287265804</v>
      </c>
      <c r="I144" s="64">
        <f t="shared" si="185"/>
        <v>9.8790944933452511</v>
      </c>
      <c r="J144" s="64">
        <f t="shared" si="185"/>
        <v>8.3449595358169777</v>
      </c>
      <c r="K144" s="64">
        <f t="shared" si="185"/>
        <v>8.8551334042514682</v>
      </c>
      <c r="L144" s="64">
        <f t="shared" si="185"/>
        <v>10.309745248868234</v>
      </c>
      <c r="M144" s="64">
        <f t="shared" si="185"/>
        <v>9.0200674248186701</v>
      </c>
      <c r="N144" s="64">
        <f t="shared" si="185"/>
        <v>9.7211716520677225</v>
      </c>
      <c r="O144" s="64">
        <f t="shared" si="185"/>
        <v>8.7963786843075713</v>
      </c>
      <c r="P144" s="64">
        <f t="shared" si="185"/>
        <v>8.6625411119943259</v>
      </c>
      <c r="Q144" s="64">
        <f t="shared" si="185"/>
        <v>7.97915249781183</v>
      </c>
      <c r="R144" s="64">
        <f t="shared" si="185"/>
        <v>8.6812586181905331</v>
      </c>
      <c r="S144" s="64">
        <f t="shared" si="185"/>
        <v>8.4871330542217507</v>
      </c>
      <c r="T144" s="64">
        <f t="shared" si="185"/>
        <v>8.2999270091241417</v>
      </c>
      <c r="U144" s="64">
        <f t="shared" si="185"/>
        <v>8.1894144608847039</v>
      </c>
      <c r="V144" s="64">
        <f t="shared" si="185"/>
        <v>7.3646948875301304</v>
      </c>
      <c r="W144" s="64">
        <f t="shared" si="185"/>
        <v>8.4149437450377178</v>
      </c>
      <c r="X144" s="64">
        <f t="shared" ref="X144:Y144" si="186">IF(X114=0,0,X114/X$26)</f>
        <v>8.1934816100656978</v>
      </c>
      <c r="Y144" s="64">
        <f t="shared" si="186"/>
        <v>7.4484812800095899</v>
      </c>
      <c r="DA144" s="108"/>
    </row>
    <row r="145" spans="1:105" ht="12" customHeight="1" x14ac:dyDescent="0.25">
      <c r="A145" s="61" t="s">
        <v>32</v>
      </c>
      <c r="B145" s="65">
        <f t="shared" ref="B145" si="187">IF(B115=0,0,B115/B$26)</f>
        <v>11.473460834603017</v>
      </c>
      <c r="C145" s="65">
        <f t="shared" ref="C145:W145" si="188">IF(C115=0,0,C115/C$26)</f>
        <v>11.799564700291153</v>
      </c>
      <c r="D145" s="65">
        <f t="shared" si="188"/>
        <v>11.482032526842577</v>
      </c>
      <c r="E145" s="65">
        <f t="shared" si="188"/>
        <v>11.158497039629101</v>
      </c>
      <c r="F145" s="65">
        <f t="shared" si="188"/>
        <v>10.640088203035521</v>
      </c>
      <c r="G145" s="65">
        <f t="shared" si="188"/>
        <v>9.9565389437001635</v>
      </c>
      <c r="H145" s="65">
        <f t="shared" si="188"/>
        <v>9.6447646546515813</v>
      </c>
      <c r="I145" s="65">
        <f t="shared" si="188"/>
        <v>9.0023690527592173</v>
      </c>
      <c r="J145" s="65">
        <f t="shared" si="188"/>
        <v>7.4585722386661066</v>
      </c>
      <c r="K145" s="65">
        <f t="shared" si="188"/>
        <v>8.0009413535242402</v>
      </c>
      <c r="L145" s="65">
        <f t="shared" si="188"/>
        <v>9.4102471833918457</v>
      </c>
      <c r="M145" s="65">
        <f t="shared" si="188"/>
        <v>8.1259812387640462</v>
      </c>
      <c r="N145" s="65">
        <f t="shared" si="188"/>
        <v>8.8661679867036387</v>
      </c>
      <c r="O145" s="65">
        <f t="shared" si="188"/>
        <v>7.9405197937895791</v>
      </c>
      <c r="P145" s="65">
        <f t="shared" si="188"/>
        <v>7.8467866362991474</v>
      </c>
      <c r="Q145" s="65">
        <f t="shared" si="188"/>
        <v>7.1735948556790179</v>
      </c>
      <c r="R145" s="65">
        <f t="shared" si="188"/>
        <v>7.8790331978924302</v>
      </c>
      <c r="S145" s="65">
        <f t="shared" si="188"/>
        <v>7.7862376421530328</v>
      </c>
      <c r="T145" s="65">
        <f t="shared" si="188"/>
        <v>7.7005116739425041</v>
      </c>
      <c r="U145" s="65">
        <f t="shared" si="188"/>
        <v>7.6210328995062913</v>
      </c>
      <c r="V145" s="65">
        <f t="shared" si="188"/>
        <v>6.8659514059012734</v>
      </c>
      <c r="W145" s="65">
        <f t="shared" si="188"/>
        <v>7.8581081585788795</v>
      </c>
      <c r="X145" s="65">
        <f t="shared" ref="X145:Y145" si="189">IF(X115=0,0,X115/X$26)</f>
        <v>7.6699392010390923</v>
      </c>
      <c r="Y145" s="65">
        <f t="shared" si="189"/>
        <v>7.0619141558009</v>
      </c>
      <c r="DA145" s="109"/>
    </row>
    <row r="146" spans="1:105" ht="12" customHeight="1" x14ac:dyDescent="0.25">
      <c r="A146" s="61" t="s">
        <v>31</v>
      </c>
      <c r="B146" s="65">
        <f t="shared" ref="B146" si="190">IF(B116=0,0,B116/B$26)</f>
        <v>0</v>
      </c>
      <c r="C146" s="65">
        <f t="shared" ref="C146:W146" si="191">IF(C116=0,0,C116/C$26)</f>
        <v>0</v>
      </c>
      <c r="D146" s="65">
        <f t="shared" si="191"/>
        <v>0</v>
      </c>
      <c r="E146" s="65">
        <f t="shared" si="191"/>
        <v>0</v>
      </c>
      <c r="F146" s="65">
        <f t="shared" si="191"/>
        <v>0</v>
      </c>
      <c r="G146" s="65">
        <f t="shared" si="191"/>
        <v>0</v>
      </c>
      <c r="H146" s="65">
        <f t="shared" si="191"/>
        <v>0</v>
      </c>
      <c r="I146" s="65">
        <f t="shared" si="191"/>
        <v>0</v>
      </c>
      <c r="J146" s="65">
        <f t="shared" si="191"/>
        <v>0</v>
      </c>
      <c r="K146" s="65">
        <f t="shared" si="191"/>
        <v>0</v>
      </c>
      <c r="L146" s="65">
        <f t="shared" si="191"/>
        <v>0</v>
      </c>
      <c r="M146" s="65">
        <f t="shared" si="191"/>
        <v>0</v>
      </c>
      <c r="N146" s="65">
        <f t="shared" si="191"/>
        <v>0</v>
      </c>
      <c r="O146" s="65">
        <f t="shared" si="191"/>
        <v>0</v>
      </c>
      <c r="P146" s="65">
        <f t="shared" si="191"/>
        <v>0</v>
      </c>
      <c r="Q146" s="65">
        <f t="shared" si="191"/>
        <v>0</v>
      </c>
      <c r="R146" s="65">
        <f t="shared" si="191"/>
        <v>0</v>
      </c>
      <c r="S146" s="65">
        <f t="shared" si="191"/>
        <v>0</v>
      </c>
      <c r="T146" s="65">
        <f t="shared" si="191"/>
        <v>0</v>
      </c>
      <c r="U146" s="65">
        <f t="shared" si="191"/>
        <v>0</v>
      </c>
      <c r="V146" s="65">
        <f t="shared" si="191"/>
        <v>0</v>
      </c>
      <c r="W146" s="65">
        <f t="shared" si="191"/>
        <v>0</v>
      </c>
      <c r="X146" s="65">
        <f t="shared" ref="X146:Y146" si="192">IF(X116=0,0,X116/X$26)</f>
        <v>0</v>
      </c>
      <c r="Y146" s="65">
        <f t="shared" si="192"/>
        <v>0</v>
      </c>
      <c r="DA146" s="109"/>
    </row>
    <row r="147" spans="1:105" ht="12" customHeight="1" x14ac:dyDescent="0.25">
      <c r="A147" s="61" t="s">
        <v>35</v>
      </c>
      <c r="B147" s="65">
        <f t="shared" ref="B147" si="193">IF(B117=0,0,B117/B$26)</f>
        <v>0.79261591384255747</v>
      </c>
      <c r="C147" s="65">
        <f t="shared" ref="C147:W147" si="194">IF(C117=0,0,C117/C$26)</f>
        <v>0.79945260209394431</v>
      </c>
      <c r="D147" s="65">
        <f t="shared" si="194"/>
        <v>0.81949140414494981</v>
      </c>
      <c r="E147" s="65">
        <f t="shared" si="194"/>
        <v>0.82429671094466939</v>
      </c>
      <c r="F147" s="65">
        <f t="shared" si="194"/>
        <v>0.8153092943329393</v>
      </c>
      <c r="G147" s="65">
        <f t="shared" si="194"/>
        <v>0.80538443122561532</v>
      </c>
      <c r="H147" s="65">
        <f t="shared" si="194"/>
        <v>0.80457857701901347</v>
      </c>
      <c r="I147" s="65">
        <f t="shared" si="194"/>
        <v>0.78986215014081518</v>
      </c>
      <c r="J147" s="65">
        <f t="shared" si="194"/>
        <v>0.80220194098794451</v>
      </c>
      <c r="K147" s="65">
        <f t="shared" si="194"/>
        <v>0.77487911043955982</v>
      </c>
      <c r="L147" s="65">
        <f t="shared" si="194"/>
        <v>0.82343838058316121</v>
      </c>
      <c r="M147" s="65">
        <f t="shared" si="194"/>
        <v>0.82566442959097974</v>
      </c>
      <c r="N147" s="65">
        <f t="shared" si="194"/>
        <v>0.79941291876796916</v>
      </c>
      <c r="O147" s="65">
        <f t="shared" si="194"/>
        <v>0.79169874573800114</v>
      </c>
      <c r="P147" s="65">
        <f t="shared" si="194"/>
        <v>0.75823680787270897</v>
      </c>
      <c r="Q147" s="65">
        <f t="shared" si="194"/>
        <v>0.74671394303790994</v>
      </c>
      <c r="R147" s="65">
        <f t="shared" si="194"/>
        <v>0.74477081289870573</v>
      </c>
      <c r="S147" s="65">
        <f t="shared" si="194"/>
        <v>0.64835412768219969</v>
      </c>
      <c r="T147" s="65">
        <f t="shared" si="194"/>
        <v>0.55598596465902983</v>
      </c>
      <c r="U147" s="65">
        <f t="shared" si="194"/>
        <v>0.52436141667157354</v>
      </c>
      <c r="V147" s="65">
        <f t="shared" si="194"/>
        <v>0.45779816092659992</v>
      </c>
      <c r="W147" s="65">
        <f t="shared" si="194"/>
        <v>0.50355703121315876</v>
      </c>
      <c r="X147" s="65">
        <f t="shared" ref="X147:Y147" si="195">IF(X117=0,0,X117/X$26)</f>
        <v>0.4815785200872727</v>
      </c>
      <c r="Y147" s="65">
        <f t="shared" si="195"/>
        <v>0.36354436200446849</v>
      </c>
      <c r="DA147" s="109"/>
    </row>
    <row r="148" spans="1:105" ht="12" customHeight="1" x14ac:dyDescent="0.25">
      <c r="A148" s="66" t="s">
        <v>34</v>
      </c>
      <c r="B148" s="67">
        <f t="shared" ref="B148" si="196">IF(B118=0,0,B118/B$26)</f>
        <v>9.1700116064101556E-2</v>
      </c>
      <c r="C148" s="67">
        <f t="shared" ref="C148:W148" si="197">IF(C118=0,0,C118/C$26)</f>
        <v>9.8359015079577256E-2</v>
      </c>
      <c r="D148" s="67">
        <f t="shared" si="197"/>
        <v>9.6089616240385686E-2</v>
      </c>
      <c r="E148" s="67">
        <f t="shared" si="197"/>
        <v>9.302107124126624E-2</v>
      </c>
      <c r="F148" s="67">
        <f t="shared" si="197"/>
        <v>8.9846300201467319E-2</v>
      </c>
      <c r="G148" s="67">
        <f t="shared" si="197"/>
        <v>9.1296874753575383E-2</v>
      </c>
      <c r="H148" s="67">
        <f t="shared" si="197"/>
        <v>9.0879640987444776E-2</v>
      </c>
      <c r="I148" s="67">
        <f t="shared" si="197"/>
        <v>8.6863290445219662E-2</v>
      </c>
      <c r="J148" s="67">
        <f t="shared" si="197"/>
        <v>8.4185356162928354E-2</v>
      </c>
      <c r="K148" s="67">
        <f t="shared" si="197"/>
        <v>7.9312940287668429E-2</v>
      </c>
      <c r="L148" s="67">
        <f t="shared" si="197"/>
        <v>7.6059684893228841E-2</v>
      </c>
      <c r="M148" s="67">
        <f t="shared" si="197"/>
        <v>6.842175646364379E-2</v>
      </c>
      <c r="N148" s="67">
        <f t="shared" si="197"/>
        <v>5.559074659611403E-2</v>
      </c>
      <c r="O148" s="67">
        <f t="shared" si="197"/>
        <v>6.4160144779990866E-2</v>
      </c>
      <c r="P148" s="67">
        <f t="shared" si="197"/>
        <v>5.7517667822470031E-2</v>
      </c>
      <c r="Q148" s="67">
        <f t="shared" si="197"/>
        <v>5.8843699094901947E-2</v>
      </c>
      <c r="R148" s="67">
        <f t="shared" si="197"/>
        <v>5.7454607399396562E-2</v>
      </c>
      <c r="S148" s="67">
        <f t="shared" si="197"/>
        <v>5.2541284386516229E-2</v>
      </c>
      <c r="T148" s="67">
        <f t="shared" si="197"/>
        <v>4.342937052260834E-2</v>
      </c>
      <c r="U148" s="67">
        <f t="shared" si="197"/>
        <v>4.4020144706838522E-2</v>
      </c>
      <c r="V148" s="67">
        <f t="shared" si="197"/>
        <v>4.0945320702256059E-2</v>
      </c>
      <c r="W148" s="67">
        <f t="shared" si="197"/>
        <v>5.3278555245677213E-2</v>
      </c>
      <c r="X148" s="67">
        <f t="shared" ref="X148:Y148" si="198">IF(X118=0,0,X118/X$26)</f>
        <v>4.1963888939332034E-2</v>
      </c>
      <c r="Y148" s="67">
        <f t="shared" si="198"/>
        <v>2.3022762204220292E-2</v>
      </c>
      <c r="DA148" s="110"/>
    </row>
    <row r="149" spans="1:105" ht="12" customHeight="1" x14ac:dyDescent="0.25">
      <c r="A149" s="78" t="s">
        <v>33</v>
      </c>
      <c r="B149" s="68">
        <f t="shared" ref="B149" si="199">IF(B119=0,0,B119/B$26)</f>
        <v>0</v>
      </c>
      <c r="C149" s="68">
        <f t="shared" ref="C149:W149" si="200">IF(C119=0,0,C119/C$26)</f>
        <v>0</v>
      </c>
      <c r="D149" s="68">
        <f t="shared" si="200"/>
        <v>0</v>
      </c>
      <c r="E149" s="68">
        <f t="shared" si="200"/>
        <v>0</v>
      </c>
      <c r="F149" s="68">
        <f t="shared" si="200"/>
        <v>0</v>
      </c>
      <c r="G149" s="68">
        <f t="shared" si="200"/>
        <v>0</v>
      </c>
      <c r="H149" s="68">
        <f t="shared" si="200"/>
        <v>0</v>
      </c>
      <c r="I149" s="68">
        <f t="shared" si="200"/>
        <v>0</v>
      </c>
      <c r="J149" s="68">
        <f t="shared" si="200"/>
        <v>0</v>
      </c>
      <c r="K149" s="68">
        <f t="shared" si="200"/>
        <v>0</v>
      </c>
      <c r="L149" s="68">
        <f t="shared" si="200"/>
        <v>0</v>
      </c>
      <c r="M149" s="68">
        <f t="shared" si="200"/>
        <v>0</v>
      </c>
      <c r="N149" s="68">
        <f t="shared" si="200"/>
        <v>0</v>
      </c>
      <c r="O149" s="68">
        <f t="shared" si="200"/>
        <v>0</v>
      </c>
      <c r="P149" s="68">
        <f t="shared" si="200"/>
        <v>0</v>
      </c>
      <c r="Q149" s="68">
        <f t="shared" si="200"/>
        <v>0</v>
      </c>
      <c r="R149" s="68">
        <f t="shared" si="200"/>
        <v>0</v>
      </c>
      <c r="S149" s="68">
        <f t="shared" si="200"/>
        <v>0</v>
      </c>
      <c r="T149" s="68">
        <f t="shared" si="200"/>
        <v>0</v>
      </c>
      <c r="U149" s="68">
        <f t="shared" si="200"/>
        <v>0</v>
      </c>
      <c r="V149" s="68">
        <f t="shared" si="200"/>
        <v>0</v>
      </c>
      <c r="W149" s="68">
        <f t="shared" si="200"/>
        <v>0</v>
      </c>
      <c r="X149" s="68">
        <f t="shared" ref="X149:Y149" si="201">IF(X119=0,0,X119/X$26)</f>
        <v>0</v>
      </c>
      <c r="Y149" s="68">
        <f t="shared" si="201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202">IF(B99=0,0,B99/B$23)</f>
        <v>17270.924957020594</v>
      </c>
      <c r="C153" s="82">
        <f t="shared" ref="C153:W153" si="203">IF(C99=0,0,C99/C$23)</f>
        <v>18307.325714777868</v>
      </c>
      <c r="D153" s="82">
        <f t="shared" si="203"/>
        <v>18381.1170686519</v>
      </c>
      <c r="E153" s="82">
        <f t="shared" si="203"/>
        <v>18302.955497078783</v>
      </c>
      <c r="F153" s="82">
        <f t="shared" si="203"/>
        <v>18138.175909747504</v>
      </c>
      <c r="G153" s="82">
        <f t="shared" si="203"/>
        <v>17778.939004600092</v>
      </c>
      <c r="H153" s="82">
        <f t="shared" si="203"/>
        <v>17800.251994082406</v>
      </c>
      <c r="I153" s="82">
        <f t="shared" si="203"/>
        <v>18197.874612171836</v>
      </c>
      <c r="J153" s="82">
        <f t="shared" si="203"/>
        <v>17573.785213802057</v>
      </c>
      <c r="K153" s="82">
        <f t="shared" si="203"/>
        <v>19201.751206040415</v>
      </c>
      <c r="L153" s="82">
        <f t="shared" si="203"/>
        <v>20397.442401201075</v>
      </c>
      <c r="M153" s="82">
        <f t="shared" si="203"/>
        <v>18170.681070123639</v>
      </c>
      <c r="N153" s="82">
        <f t="shared" si="203"/>
        <v>19067.246787834083</v>
      </c>
      <c r="O153" s="82">
        <f t="shared" si="203"/>
        <v>18236.232035520195</v>
      </c>
      <c r="P153" s="82">
        <f t="shared" si="203"/>
        <v>18685.151991702736</v>
      </c>
      <c r="Q153" s="82">
        <f t="shared" si="203"/>
        <v>17603.558664712869</v>
      </c>
      <c r="R153" s="82">
        <f t="shared" si="203"/>
        <v>18408.919784908063</v>
      </c>
      <c r="S153" s="82">
        <f t="shared" si="203"/>
        <v>18189.288629497358</v>
      </c>
      <c r="T153" s="82">
        <f t="shared" si="203"/>
        <v>18142.202901302637</v>
      </c>
      <c r="U153" s="82">
        <f t="shared" si="203"/>
        <v>17348.542361353855</v>
      </c>
      <c r="V153" s="82">
        <f t="shared" si="203"/>
        <v>16299.100586476987</v>
      </c>
      <c r="W153" s="82">
        <f t="shared" si="203"/>
        <v>17516.767633655498</v>
      </c>
      <c r="X153" s="82">
        <f t="shared" ref="X153:Y153" si="204">IF(X99=0,0,X99/X$23)</f>
        <v>16170.227142094915</v>
      </c>
      <c r="Y153" s="82">
        <f t="shared" si="204"/>
        <v>15494.717458318701</v>
      </c>
      <c r="DA153" s="107"/>
    </row>
    <row r="154" spans="1:105" ht="12" customHeight="1" x14ac:dyDescent="0.25">
      <c r="A154" s="77" t="s">
        <v>36</v>
      </c>
      <c r="B154" s="64">
        <f t="shared" ref="B154" si="205">IF(B100=0,0,B100/B$23)</f>
        <v>14140.126150643693</v>
      </c>
      <c r="C154" s="64">
        <f t="shared" ref="C154:W154" si="206">IF(C100=0,0,C100/C$23)</f>
        <v>15136.804108471024</v>
      </c>
      <c r="D154" s="64">
        <f t="shared" si="206"/>
        <v>15183.421204801431</v>
      </c>
      <c r="E154" s="64">
        <f t="shared" si="206"/>
        <v>15036.897201121177</v>
      </c>
      <c r="F154" s="64">
        <f t="shared" si="206"/>
        <v>14804.210791644968</v>
      </c>
      <c r="G154" s="64">
        <f t="shared" si="206"/>
        <v>14390.418080534098</v>
      </c>
      <c r="H154" s="64">
        <f t="shared" si="206"/>
        <v>14386.658229094253</v>
      </c>
      <c r="I154" s="64">
        <f t="shared" si="206"/>
        <v>14765.244208128217</v>
      </c>
      <c r="J154" s="64">
        <f t="shared" si="206"/>
        <v>14161.03887220754</v>
      </c>
      <c r="K154" s="64">
        <f t="shared" si="206"/>
        <v>15715.61521279103</v>
      </c>
      <c r="L154" s="64">
        <f t="shared" si="206"/>
        <v>16857.606739353978</v>
      </c>
      <c r="M154" s="64">
        <f t="shared" si="206"/>
        <v>14673.581392276557</v>
      </c>
      <c r="N154" s="64">
        <f t="shared" si="206"/>
        <v>15586.370884953592</v>
      </c>
      <c r="O154" s="64">
        <f t="shared" si="206"/>
        <v>14713.966074052963</v>
      </c>
      <c r="P154" s="64">
        <f t="shared" si="206"/>
        <v>15120.724954181875</v>
      </c>
      <c r="Q154" s="64">
        <f t="shared" si="206"/>
        <v>14006.815943091864</v>
      </c>
      <c r="R154" s="64">
        <f t="shared" si="206"/>
        <v>14820.904084015285</v>
      </c>
      <c r="S154" s="64">
        <f t="shared" si="206"/>
        <v>14608.058702040325</v>
      </c>
      <c r="T154" s="64">
        <f t="shared" si="206"/>
        <v>14688.286398991291</v>
      </c>
      <c r="U154" s="64">
        <f t="shared" si="206"/>
        <v>13993.101898346229</v>
      </c>
      <c r="V154" s="64">
        <f t="shared" si="206"/>
        <v>13014.846549766542</v>
      </c>
      <c r="W154" s="64">
        <f t="shared" si="206"/>
        <v>14315.977385209115</v>
      </c>
      <c r="X154" s="64">
        <f t="shared" ref="X154:Y154" si="207">IF(X100=0,0,X100/X$23)</f>
        <v>13121.308665233419</v>
      </c>
      <c r="Y154" s="64">
        <f t="shared" si="207"/>
        <v>12489.579518241842</v>
      </c>
      <c r="DA154" s="108"/>
    </row>
    <row r="155" spans="1:105" ht="12" customHeight="1" x14ac:dyDescent="0.25">
      <c r="A155" s="61" t="s">
        <v>32</v>
      </c>
      <c r="B155" s="65">
        <f t="shared" ref="B155" si="208">IF(B101=0,0,B101/B$23)</f>
        <v>11114.852169335829</v>
      </c>
      <c r="C155" s="65">
        <f t="shared" ref="C155:W155" si="209">IF(C101=0,0,C101/C$23)</f>
        <v>12178.498151471847</v>
      </c>
      <c r="D155" s="65">
        <f t="shared" si="209"/>
        <v>12284.38914643574</v>
      </c>
      <c r="E155" s="65">
        <f t="shared" si="209"/>
        <v>12124.672259914067</v>
      </c>
      <c r="F155" s="65">
        <f t="shared" si="209"/>
        <v>11891.545869467025</v>
      </c>
      <c r="G155" s="65">
        <f t="shared" si="209"/>
        <v>11473.681025486854</v>
      </c>
      <c r="H155" s="65">
        <f t="shared" si="209"/>
        <v>11486.664944217262</v>
      </c>
      <c r="I155" s="65">
        <f t="shared" si="209"/>
        <v>11921.992496783909</v>
      </c>
      <c r="J155" s="65">
        <f t="shared" si="209"/>
        <v>11366.523399698182</v>
      </c>
      <c r="K155" s="65">
        <f t="shared" si="209"/>
        <v>12867.932770067471</v>
      </c>
      <c r="L155" s="65">
        <f t="shared" si="209"/>
        <v>13976.036195055707</v>
      </c>
      <c r="M155" s="65">
        <f t="shared" si="209"/>
        <v>11787.33810894188</v>
      </c>
      <c r="N155" s="65">
        <f t="shared" si="209"/>
        <v>12731.100146713525</v>
      </c>
      <c r="O155" s="65">
        <f t="shared" si="209"/>
        <v>11831.285856692166</v>
      </c>
      <c r="P155" s="65">
        <f t="shared" si="209"/>
        <v>12204.143429613352</v>
      </c>
      <c r="Q155" s="65">
        <f t="shared" si="209"/>
        <v>11072.548005166751</v>
      </c>
      <c r="R155" s="65">
        <f t="shared" si="209"/>
        <v>11875.589524997378</v>
      </c>
      <c r="S155" s="65">
        <f t="shared" si="209"/>
        <v>11617.33854794231</v>
      </c>
      <c r="T155" s="65">
        <f t="shared" si="209"/>
        <v>11782.131230577206</v>
      </c>
      <c r="U155" s="65">
        <f t="shared" si="209"/>
        <v>11045.777901310774</v>
      </c>
      <c r="V155" s="65">
        <f t="shared" si="209"/>
        <v>10232.561544860513</v>
      </c>
      <c r="W155" s="65">
        <f t="shared" si="209"/>
        <v>11350.848829526189</v>
      </c>
      <c r="X155" s="65">
        <f t="shared" ref="X155:Y155" si="210">IF(X101=0,0,X101/X$23)</f>
        <v>10289.590857160259</v>
      </c>
      <c r="Y155" s="65">
        <f t="shared" si="210"/>
        <v>9695.3930586794959</v>
      </c>
      <c r="DA155" s="109"/>
    </row>
    <row r="156" spans="1:105" ht="12" customHeight="1" x14ac:dyDescent="0.25">
      <c r="A156" s="61" t="s">
        <v>31</v>
      </c>
      <c r="B156" s="65">
        <f t="shared" ref="B156" si="211">IF(B102=0,0,B102/B$23)</f>
        <v>85.201638900613204</v>
      </c>
      <c r="C156" s="65">
        <f t="shared" ref="C156:W156" si="212">IF(C102=0,0,C102/C$23)</f>
        <v>84.470079369384777</v>
      </c>
      <c r="D156" s="65">
        <f t="shared" si="212"/>
        <v>85.149361917577025</v>
      </c>
      <c r="E156" s="65">
        <f t="shared" si="212"/>
        <v>90.463560483003732</v>
      </c>
      <c r="F156" s="65">
        <f t="shared" si="212"/>
        <v>88.462873525827732</v>
      </c>
      <c r="G156" s="65">
        <f t="shared" si="212"/>
        <v>91.301884352205391</v>
      </c>
      <c r="H156" s="65">
        <f t="shared" si="212"/>
        <v>93.188364099721056</v>
      </c>
      <c r="I156" s="65">
        <f t="shared" si="212"/>
        <v>96.047348933277775</v>
      </c>
      <c r="J156" s="65">
        <f t="shared" si="212"/>
        <v>98.817819855532989</v>
      </c>
      <c r="K156" s="65">
        <f t="shared" si="212"/>
        <v>103.5965209364429</v>
      </c>
      <c r="L156" s="65">
        <f t="shared" si="212"/>
        <v>113.49536386469374</v>
      </c>
      <c r="M156" s="65">
        <f t="shared" si="212"/>
        <v>105.58750996386168</v>
      </c>
      <c r="N156" s="65">
        <f t="shared" si="212"/>
        <v>101.74196194037965</v>
      </c>
      <c r="O156" s="65">
        <f t="shared" si="212"/>
        <v>101.10982028621457</v>
      </c>
      <c r="P156" s="65">
        <f t="shared" si="212"/>
        <v>101.71505081758727</v>
      </c>
      <c r="Q156" s="65">
        <f t="shared" si="212"/>
        <v>99.398769779571268</v>
      </c>
      <c r="R156" s="65">
        <f t="shared" si="212"/>
        <v>99.167368360070611</v>
      </c>
      <c r="S156" s="65">
        <f t="shared" si="212"/>
        <v>95.898359276580734</v>
      </c>
      <c r="T156" s="65">
        <f t="shared" si="212"/>
        <v>91.181897511203672</v>
      </c>
      <c r="U156" s="65">
        <f t="shared" si="212"/>
        <v>89.024962385293648</v>
      </c>
      <c r="V156" s="65">
        <f t="shared" si="212"/>
        <v>90.244259272394473</v>
      </c>
      <c r="W156" s="65">
        <f t="shared" si="212"/>
        <v>85.193456512691839</v>
      </c>
      <c r="X156" s="65">
        <f t="shared" ref="X156:Y156" si="213">IF(X102=0,0,X102/X$23)</f>
        <v>81.611038633244263</v>
      </c>
      <c r="Y156" s="65">
        <f t="shared" si="213"/>
        <v>81.175152456263817</v>
      </c>
      <c r="DA156" s="109"/>
    </row>
    <row r="157" spans="1:105" ht="12" customHeight="1" x14ac:dyDescent="0.25">
      <c r="A157" s="61" t="s">
        <v>35</v>
      </c>
      <c r="B157" s="65">
        <f t="shared" ref="B157" si="214">IF(B103=0,0,B103/B$23)</f>
        <v>1522.4412418619304</v>
      </c>
      <c r="C157" s="65">
        <f t="shared" ref="C157:W157" si="215">IF(C103=0,0,C103/C$23)</f>
        <v>1501.0976335582402</v>
      </c>
      <c r="D157" s="65">
        <f t="shared" si="215"/>
        <v>1473.3998549439473</v>
      </c>
      <c r="E157" s="65">
        <f t="shared" si="215"/>
        <v>1479.7072503977206</v>
      </c>
      <c r="F157" s="65">
        <f t="shared" si="215"/>
        <v>1470.8443967869291</v>
      </c>
      <c r="G157" s="65">
        <f t="shared" si="215"/>
        <v>1473.167585314377</v>
      </c>
      <c r="H157" s="65">
        <f t="shared" si="215"/>
        <v>1452.5897990058088</v>
      </c>
      <c r="I157" s="65">
        <f t="shared" si="215"/>
        <v>1424.9934214183804</v>
      </c>
      <c r="J157" s="65">
        <f t="shared" si="215"/>
        <v>1401.7859293721976</v>
      </c>
      <c r="K157" s="65">
        <f t="shared" si="215"/>
        <v>1420.1091145012369</v>
      </c>
      <c r="L157" s="65">
        <f t="shared" si="215"/>
        <v>1447.2470208131126</v>
      </c>
      <c r="M157" s="65">
        <f t="shared" si="215"/>
        <v>1442.2406607863954</v>
      </c>
      <c r="N157" s="65">
        <f t="shared" si="215"/>
        <v>1435.8496621382837</v>
      </c>
      <c r="O157" s="65">
        <f t="shared" si="215"/>
        <v>1448.3146808591571</v>
      </c>
      <c r="P157" s="65">
        <f t="shared" si="215"/>
        <v>1466.4091861192478</v>
      </c>
      <c r="Q157" s="65">
        <f t="shared" si="215"/>
        <v>1470.445992432464</v>
      </c>
      <c r="R157" s="65">
        <f t="shared" si="215"/>
        <v>1456.6668030197106</v>
      </c>
      <c r="S157" s="65">
        <f t="shared" si="215"/>
        <v>1465.6674703063009</v>
      </c>
      <c r="T157" s="65">
        <f t="shared" si="215"/>
        <v>1428.0654379873563</v>
      </c>
      <c r="U157" s="65">
        <f t="shared" si="215"/>
        <v>1418.6511283200916</v>
      </c>
      <c r="V157" s="65">
        <f t="shared" si="215"/>
        <v>1323.9929584661252</v>
      </c>
      <c r="W157" s="65">
        <f t="shared" si="215"/>
        <v>1417.5504816752959</v>
      </c>
      <c r="X157" s="65">
        <f t="shared" ref="X157:Y157" si="216">IF(X103=0,0,X103/X$23)</f>
        <v>1355.7535486862744</v>
      </c>
      <c r="Y157" s="65">
        <f t="shared" si="216"/>
        <v>1333.1819521395321</v>
      </c>
      <c r="DA157" s="109"/>
    </row>
    <row r="158" spans="1:105" ht="12" customHeight="1" x14ac:dyDescent="0.25">
      <c r="A158" s="66" t="s">
        <v>34</v>
      </c>
      <c r="B158" s="67">
        <f t="shared" ref="B158" si="217">IF(B104=0,0,B104/B$23)</f>
        <v>1417.6311005453188</v>
      </c>
      <c r="C158" s="67">
        <f t="shared" ref="C158:W158" si="218">IF(C104=0,0,C104/C$23)</f>
        <v>1372.7382440715483</v>
      </c>
      <c r="D158" s="67">
        <f t="shared" si="218"/>
        <v>1340.4828415041688</v>
      </c>
      <c r="E158" s="67">
        <f t="shared" si="218"/>
        <v>1342.0541303263869</v>
      </c>
      <c r="F158" s="67">
        <f t="shared" si="218"/>
        <v>1353.3576518651862</v>
      </c>
      <c r="G158" s="67">
        <f t="shared" si="218"/>
        <v>1352.2675853806604</v>
      </c>
      <c r="H158" s="67">
        <f t="shared" si="218"/>
        <v>1354.2151217714618</v>
      </c>
      <c r="I158" s="67">
        <f t="shared" si="218"/>
        <v>1322.210940992647</v>
      </c>
      <c r="J158" s="67">
        <f t="shared" si="218"/>
        <v>1293.9117232816252</v>
      </c>
      <c r="K158" s="67">
        <f t="shared" si="218"/>
        <v>1323.9768072858806</v>
      </c>
      <c r="L158" s="67">
        <f t="shared" si="218"/>
        <v>1320.828159620467</v>
      </c>
      <c r="M158" s="67">
        <f t="shared" si="218"/>
        <v>1338.4151125844214</v>
      </c>
      <c r="N158" s="67">
        <f t="shared" si="218"/>
        <v>1317.6791141614033</v>
      </c>
      <c r="O158" s="67">
        <f t="shared" si="218"/>
        <v>1333.2557162154249</v>
      </c>
      <c r="P158" s="67">
        <f t="shared" si="218"/>
        <v>1348.4572876316872</v>
      </c>
      <c r="Q158" s="67">
        <f t="shared" si="218"/>
        <v>1364.4231757130776</v>
      </c>
      <c r="R158" s="67">
        <f t="shared" si="218"/>
        <v>1389.4803876381304</v>
      </c>
      <c r="S158" s="67">
        <f t="shared" si="218"/>
        <v>1429.1543245151342</v>
      </c>
      <c r="T158" s="67">
        <f t="shared" si="218"/>
        <v>1386.9078329155213</v>
      </c>
      <c r="U158" s="67">
        <f t="shared" si="218"/>
        <v>1439.6479063300715</v>
      </c>
      <c r="V158" s="67">
        <f t="shared" si="218"/>
        <v>1368.0477871675087</v>
      </c>
      <c r="W158" s="67">
        <f t="shared" si="218"/>
        <v>1462.3846174949379</v>
      </c>
      <c r="X158" s="67">
        <f t="shared" ref="X158:Y158" si="219">IF(X104=0,0,X104/X$23)</f>
        <v>1394.35322075364</v>
      </c>
      <c r="Y158" s="67">
        <f t="shared" si="219"/>
        <v>1379.8293549665502</v>
      </c>
      <c r="DA158" s="110"/>
    </row>
    <row r="159" spans="1:105" ht="12" customHeight="1" x14ac:dyDescent="0.25">
      <c r="A159" s="78" t="s">
        <v>33</v>
      </c>
      <c r="B159" s="68">
        <f t="shared" ref="B159" si="220">IF(B105=0,0,B105/B$23)</f>
        <v>3130.7988063769017</v>
      </c>
      <c r="C159" s="68">
        <f t="shared" ref="C159:W159" si="221">IF(C105=0,0,C105/C$23)</f>
        <v>3170.5216063068424</v>
      </c>
      <c r="D159" s="68">
        <f t="shared" si="221"/>
        <v>3197.6958638504661</v>
      </c>
      <c r="E159" s="68">
        <f t="shared" si="221"/>
        <v>3266.0582959576077</v>
      </c>
      <c r="F159" s="68">
        <f t="shared" si="221"/>
        <v>3333.9651181025351</v>
      </c>
      <c r="G159" s="68">
        <f t="shared" si="221"/>
        <v>3388.5209240659919</v>
      </c>
      <c r="H159" s="68">
        <f t="shared" si="221"/>
        <v>3413.5937649881553</v>
      </c>
      <c r="I159" s="68">
        <f t="shared" si="221"/>
        <v>3432.6304040436189</v>
      </c>
      <c r="J159" s="68">
        <f t="shared" si="221"/>
        <v>3412.746341594519</v>
      </c>
      <c r="K159" s="68">
        <f t="shared" si="221"/>
        <v>3486.1359932493829</v>
      </c>
      <c r="L159" s="68">
        <f t="shared" si="221"/>
        <v>3539.835661847093</v>
      </c>
      <c r="M159" s="68">
        <f t="shared" si="221"/>
        <v>3497.0996778470799</v>
      </c>
      <c r="N159" s="68">
        <f t="shared" si="221"/>
        <v>3480.8759028804911</v>
      </c>
      <c r="O159" s="68">
        <f t="shared" si="221"/>
        <v>3522.2659614672348</v>
      </c>
      <c r="P159" s="68">
        <f t="shared" si="221"/>
        <v>3564.4270375208612</v>
      </c>
      <c r="Q159" s="68">
        <f t="shared" si="221"/>
        <v>3596.7427216210122</v>
      </c>
      <c r="R159" s="68">
        <f t="shared" si="221"/>
        <v>3588.0157008927736</v>
      </c>
      <c r="S159" s="68">
        <f t="shared" si="221"/>
        <v>3581.2299274570341</v>
      </c>
      <c r="T159" s="68">
        <f t="shared" si="221"/>
        <v>3453.9165023113446</v>
      </c>
      <c r="U159" s="68">
        <f t="shared" si="221"/>
        <v>3355.4404630076251</v>
      </c>
      <c r="V159" s="68">
        <f t="shared" si="221"/>
        <v>3284.2540367104421</v>
      </c>
      <c r="W159" s="68">
        <f t="shared" si="221"/>
        <v>3200.7902484463789</v>
      </c>
      <c r="X159" s="68">
        <f t="shared" ref="X159:Y159" si="222">IF(X105=0,0,X105/X$23)</f>
        <v>3048.9184768614955</v>
      </c>
      <c r="Y159" s="68">
        <f t="shared" si="222"/>
        <v>3005.1379400768587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223">IF(B107=0,0,B107/B$23)</f>
        <v>9578.9636846061276</v>
      </c>
      <c r="C161" s="85">
        <f t="shared" ref="C161:W161" si="224">IF(C107=0,0,C107/C$23)</f>
        <v>10347.596235365538</v>
      </c>
      <c r="D161" s="85">
        <f t="shared" si="224"/>
        <v>10460.351747358432</v>
      </c>
      <c r="E161" s="85">
        <f t="shared" si="224"/>
        <v>10447.372717482745</v>
      </c>
      <c r="F161" s="85">
        <f t="shared" si="224"/>
        <v>10355.891888586031</v>
      </c>
      <c r="G161" s="85">
        <f t="shared" si="224"/>
        <v>10164.655269021405</v>
      </c>
      <c r="H161" s="85">
        <f t="shared" si="224"/>
        <v>10261.915431939191</v>
      </c>
      <c r="I161" s="85">
        <f t="shared" si="224"/>
        <v>10700.947246869986</v>
      </c>
      <c r="J161" s="85">
        <f t="shared" si="224"/>
        <v>10427.425577279973</v>
      </c>
      <c r="K161" s="85">
        <f t="shared" si="224"/>
        <v>11669.076217810529</v>
      </c>
      <c r="L161" s="85">
        <f t="shared" si="224"/>
        <v>12570.835157386316</v>
      </c>
      <c r="M161" s="85">
        <f t="shared" si="224"/>
        <v>11046.72755162712</v>
      </c>
      <c r="N161" s="85">
        <f t="shared" si="224"/>
        <v>11834.244308254156</v>
      </c>
      <c r="O161" s="85">
        <f t="shared" si="224"/>
        <v>11345.142758875279</v>
      </c>
      <c r="P161" s="85">
        <f t="shared" si="224"/>
        <v>11760.409028095146</v>
      </c>
      <c r="Q161" s="85">
        <f t="shared" si="224"/>
        <v>11007.817767190541</v>
      </c>
      <c r="R161" s="85">
        <f t="shared" si="224"/>
        <v>11723.380737185427</v>
      </c>
      <c r="S161" s="85">
        <f t="shared" si="224"/>
        <v>11678.198575531593</v>
      </c>
      <c r="T161" s="85">
        <f t="shared" si="224"/>
        <v>11881.303476635592</v>
      </c>
      <c r="U161" s="85">
        <f t="shared" si="224"/>
        <v>11470.86698567727</v>
      </c>
      <c r="V161" s="85">
        <f t="shared" si="224"/>
        <v>10851.74869010023</v>
      </c>
      <c r="W161" s="85">
        <f t="shared" si="224"/>
        <v>12066.067049022304</v>
      </c>
      <c r="X161" s="85">
        <f t="shared" ref="X161:Y161" si="225">IF(X107=0,0,X107/X$23)</f>
        <v>11232.872192311061</v>
      </c>
      <c r="Y161" s="85">
        <f t="shared" si="225"/>
        <v>10927.986462798388</v>
      </c>
      <c r="DA161" s="117"/>
    </row>
    <row r="162" spans="1:105" ht="12" customHeight="1" x14ac:dyDescent="0.25">
      <c r="A162" s="61" t="s">
        <v>32</v>
      </c>
      <c r="B162" s="65">
        <f t="shared" ref="B162" si="226">IF(B108=0,0,B108/B$23)</f>
        <v>7373.3327204636971</v>
      </c>
      <c r="C162" s="65">
        <f t="shared" ref="C162:W162" si="227">IF(C108=0,0,C108/C$23)</f>
        <v>8177.1199662517938</v>
      </c>
      <c r="D162" s="65">
        <f t="shared" si="227"/>
        <v>8316.7357541354813</v>
      </c>
      <c r="E162" s="65">
        <f t="shared" si="227"/>
        <v>8270.3859423702179</v>
      </c>
      <c r="F162" s="65">
        <f t="shared" si="227"/>
        <v>8162.8271143342754</v>
      </c>
      <c r="G162" s="65">
        <f t="shared" si="227"/>
        <v>7942.1012391271806</v>
      </c>
      <c r="H162" s="65">
        <f t="shared" si="227"/>
        <v>8023.8829005630168</v>
      </c>
      <c r="I162" s="65">
        <f t="shared" si="227"/>
        <v>8470.4330115218509</v>
      </c>
      <c r="J162" s="65">
        <f t="shared" si="227"/>
        <v>8199.7423406947382</v>
      </c>
      <c r="K162" s="65">
        <f t="shared" si="227"/>
        <v>9376.0245476920445</v>
      </c>
      <c r="L162" s="65">
        <f t="shared" si="227"/>
        <v>10215.236536972465</v>
      </c>
      <c r="M162" s="65">
        <f t="shared" si="227"/>
        <v>8686.9032661954188</v>
      </c>
      <c r="N162" s="65">
        <f t="shared" si="227"/>
        <v>9483.3811449430286</v>
      </c>
      <c r="O162" s="65">
        <f t="shared" si="227"/>
        <v>8948.6529802263631</v>
      </c>
      <c r="P162" s="65">
        <f t="shared" si="227"/>
        <v>9311.5710657259006</v>
      </c>
      <c r="Q162" s="65">
        <f t="shared" si="227"/>
        <v>8523.3281877946301</v>
      </c>
      <c r="R162" s="65">
        <f t="shared" si="227"/>
        <v>9197.3106807010445</v>
      </c>
      <c r="S162" s="65">
        <f t="shared" si="227"/>
        <v>9088.9999526061838</v>
      </c>
      <c r="T162" s="65">
        <f t="shared" si="227"/>
        <v>9328.3561014704937</v>
      </c>
      <c r="U162" s="65">
        <f t="shared" si="227"/>
        <v>8855.0464658917845</v>
      </c>
      <c r="V162" s="65">
        <f t="shared" si="227"/>
        <v>8321.0082992727857</v>
      </c>
      <c r="W162" s="65">
        <f t="shared" si="227"/>
        <v>9368.5184542471179</v>
      </c>
      <c r="X162" s="65">
        <f t="shared" ref="X162:Y162" si="228">IF(X108=0,0,X108/X$23)</f>
        <v>8616.1797149026042</v>
      </c>
      <c r="Y162" s="65">
        <f t="shared" si="228"/>
        <v>8303.9253914060155</v>
      </c>
      <c r="DA162" s="109"/>
    </row>
    <row r="163" spans="1:105" ht="12" customHeight="1" x14ac:dyDescent="0.25">
      <c r="A163" s="61" t="s">
        <v>31</v>
      </c>
      <c r="B163" s="65">
        <f t="shared" ref="B163" si="229">IF(B109=0,0,B109/B$23)</f>
        <v>161.96525460729364</v>
      </c>
      <c r="C163" s="65">
        <f t="shared" ref="C163:W163" si="230">IF(C109=0,0,C109/C$23)</f>
        <v>167.49032670280499</v>
      </c>
      <c r="D163" s="65">
        <f t="shared" si="230"/>
        <v>177.65671215718049</v>
      </c>
      <c r="E163" s="65">
        <f t="shared" si="230"/>
        <v>198.86748447485394</v>
      </c>
      <c r="F163" s="65">
        <f t="shared" si="230"/>
        <v>205.59977900783974</v>
      </c>
      <c r="G163" s="65">
        <f t="shared" si="230"/>
        <v>225.51747761874415</v>
      </c>
      <c r="H163" s="65">
        <f t="shared" si="230"/>
        <v>244.20183257984891</v>
      </c>
      <c r="I163" s="65">
        <f t="shared" si="230"/>
        <v>268.29011960285624</v>
      </c>
      <c r="J163" s="65">
        <f t="shared" si="230"/>
        <v>294.49124182167242</v>
      </c>
      <c r="K163" s="65">
        <f t="shared" si="230"/>
        <v>315.08016135460571</v>
      </c>
      <c r="L163" s="65">
        <f t="shared" si="230"/>
        <v>354.12863864638496</v>
      </c>
      <c r="M163" s="65">
        <f t="shared" si="230"/>
        <v>341.01951994890277</v>
      </c>
      <c r="N163" s="65">
        <f t="shared" si="230"/>
        <v>340.24196248529006</v>
      </c>
      <c r="O163" s="65">
        <f t="shared" si="230"/>
        <v>351.57325429982382</v>
      </c>
      <c r="P163" s="65">
        <f t="shared" si="230"/>
        <v>369.68423469726474</v>
      </c>
      <c r="Q163" s="65">
        <f t="shared" si="230"/>
        <v>377.77244816729348</v>
      </c>
      <c r="R163" s="65">
        <f t="shared" si="230"/>
        <v>392.73858333708148</v>
      </c>
      <c r="S163" s="65">
        <f t="shared" si="230"/>
        <v>394.42814305835122</v>
      </c>
      <c r="T163" s="65">
        <f t="shared" si="230"/>
        <v>387.46088544859191</v>
      </c>
      <c r="U163" s="65">
        <f t="shared" si="230"/>
        <v>387.77002899793843</v>
      </c>
      <c r="V163" s="65">
        <f t="shared" si="230"/>
        <v>402.12253262993164</v>
      </c>
      <c r="W163" s="65">
        <f t="shared" si="230"/>
        <v>387.56130961822413</v>
      </c>
      <c r="X163" s="65">
        <f t="shared" ref="X163:Y163" si="231">IF(X109=0,0,X109/X$23)</f>
        <v>377.51774582328278</v>
      </c>
      <c r="Y163" s="65">
        <f t="shared" si="231"/>
        <v>381.05800374302794</v>
      </c>
      <c r="DA163" s="109"/>
    </row>
    <row r="164" spans="1:105" ht="12" customHeight="1" x14ac:dyDescent="0.25">
      <c r="A164" s="61" t="s">
        <v>35</v>
      </c>
      <c r="B164" s="65">
        <f t="shared" ref="B164" si="232">IF(B110=0,0,B110/B$23)</f>
        <v>1041.4546615664074</v>
      </c>
      <c r="C164" s="65">
        <f t="shared" ref="C164:W164" si="233">IF(C110=0,0,C110/C$23)</f>
        <v>1030.6924542763554</v>
      </c>
      <c r="D164" s="65">
        <f t="shared" si="233"/>
        <v>1014.6548473122436</v>
      </c>
      <c r="E164" s="65">
        <f t="shared" si="233"/>
        <v>1023.5755859043313</v>
      </c>
      <c r="F164" s="65">
        <f t="shared" si="233"/>
        <v>1022.435324513602</v>
      </c>
      <c r="G164" s="65">
        <f t="shared" si="233"/>
        <v>1030.1175856128739</v>
      </c>
      <c r="H164" s="65">
        <f t="shared" si="233"/>
        <v>1022.4912423561169</v>
      </c>
      <c r="I164" s="65">
        <f t="shared" si="233"/>
        <v>1010.743815093033</v>
      </c>
      <c r="J164" s="65">
        <f t="shared" si="233"/>
        <v>998.80845954308711</v>
      </c>
      <c r="K164" s="65">
        <f t="shared" si="233"/>
        <v>1017.7604073092676</v>
      </c>
      <c r="L164" s="65">
        <f t="shared" si="233"/>
        <v>1040.4250256046666</v>
      </c>
      <c r="M164" s="65">
        <f t="shared" si="233"/>
        <v>1043.1682924017075</v>
      </c>
      <c r="N164" s="65">
        <f t="shared" si="233"/>
        <v>1047.9994623622024</v>
      </c>
      <c r="O164" s="65">
        <f t="shared" si="233"/>
        <v>1067.4966419590692</v>
      </c>
      <c r="P164" s="65">
        <f t="shared" si="233"/>
        <v>1086.0528272279535</v>
      </c>
      <c r="Q164" s="65">
        <f t="shared" si="233"/>
        <v>1096.1163603004425</v>
      </c>
      <c r="R164" s="65">
        <f t="shared" si="233"/>
        <v>1096.2390783474718</v>
      </c>
      <c r="S164" s="65">
        <f t="shared" si="233"/>
        <v>1118.1372754014678</v>
      </c>
      <c r="T164" s="65">
        <f t="shared" si="233"/>
        <v>1107.6302620654574</v>
      </c>
      <c r="U164" s="65">
        <f t="shared" si="233"/>
        <v>1114.7522230760324</v>
      </c>
      <c r="V164" s="65">
        <f t="shared" si="233"/>
        <v>1055.8521485113943</v>
      </c>
      <c r="W164" s="65">
        <f t="shared" si="233"/>
        <v>1147.914436449749</v>
      </c>
      <c r="X164" s="65">
        <f t="shared" ref="X164:Y164" si="234">IF(X110=0,0,X110/X$23)</f>
        <v>1115.7483170178402</v>
      </c>
      <c r="Y164" s="65">
        <f t="shared" si="234"/>
        <v>1116.2078355971983</v>
      </c>
      <c r="DA164" s="109"/>
    </row>
    <row r="165" spans="1:105" ht="12" customHeight="1" x14ac:dyDescent="0.25">
      <c r="A165" s="74" t="s">
        <v>34</v>
      </c>
      <c r="B165" s="68">
        <f t="shared" ref="B165" si="235">IF(B111=0,0,B111/B$23)</f>
        <v>1002.2110479687287</v>
      </c>
      <c r="C165" s="68">
        <f t="shared" ref="C165:W165" si="236">IF(C111=0,0,C111/C$23)</f>
        <v>972.29348813458341</v>
      </c>
      <c r="D165" s="68">
        <f t="shared" si="236"/>
        <v>951.3044337535257</v>
      </c>
      <c r="E165" s="68">
        <f t="shared" si="236"/>
        <v>954.54370473334359</v>
      </c>
      <c r="F165" s="68">
        <f t="shared" si="236"/>
        <v>965.02967073031334</v>
      </c>
      <c r="G165" s="68">
        <f t="shared" si="236"/>
        <v>966.91896666260743</v>
      </c>
      <c r="H165" s="68">
        <f t="shared" si="236"/>
        <v>971.33945644020685</v>
      </c>
      <c r="I165" s="68">
        <f t="shared" si="236"/>
        <v>951.48030065224611</v>
      </c>
      <c r="J165" s="68">
        <f t="shared" si="236"/>
        <v>934.38353522047646</v>
      </c>
      <c r="K165" s="68">
        <f t="shared" si="236"/>
        <v>960.21110145461193</v>
      </c>
      <c r="L165" s="68">
        <f t="shared" si="236"/>
        <v>961.04495616279905</v>
      </c>
      <c r="M165" s="68">
        <f t="shared" si="236"/>
        <v>975.63647308109137</v>
      </c>
      <c r="N165" s="68">
        <f t="shared" si="236"/>
        <v>962.62173846363441</v>
      </c>
      <c r="O165" s="68">
        <f t="shared" si="236"/>
        <v>977.41988239002353</v>
      </c>
      <c r="P165" s="68">
        <f t="shared" si="236"/>
        <v>993.10090044402796</v>
      </c>
      <c r="Q165" s="68">
        <f t="shared" si="236"/>
        <v>1010.600770928174</v>
      </c>
      <c r="R165" s="68">
        <f t="shared" si="236"/>
        <v>1037.0923947998308</v>
      </c>
      <c r="S165" s="68">
        <f t="shared" si="236"/>
        <v>1076.6332044655903</v>
      </c>
      <c r="T165" s="68">
        <f t="shared" si="236"/>
        <v>1057.8562276510515</v>
      </c>
      <c r="U165" s="68">
        <f t="shared" si="236"/>
        <v>1113.298267711514</v>
      </c>
      <c r="V165" s="68">
        <f t="shared" si="236"/>
        <v>1072.7657096861187</v>
      </c>
      <c r="W165" s="68">
        <f t="shared" si="236"/>
        <v>1162.0728487072106</v>
      </c>
      <c r="X165" s="68">
        <f t="shared" ref="X165:Y165" si="237">IF(X111=0,0,X111/X$23)</f>
        <v>1123.4264145673344</v>
      </c>
      <c r="Y165" s="68">
        <f t="shared" si="237"/>
        <v>1126.7952320521467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238">IF(B113=0,0,B113/B$23)</f>
        <v>727.47676292413803</v>
      </c>
      <c r="C167" s="82">
        <f t="shared" ref="C167:W167" si="239">IF(C113=0,0,C113/C$23)</f>
        <v>738.4950614165208</v>
      </c>
      <c r="D167" s="82">
        <f t="shared" si="239"/>
        <v>710.95381433919988</v>
      </c>
      <c r="E167" s="82">
        <f t="shared" si="239"/>
        <v>691.4497945180899</v>
      </c>
      <c r="F167" s="82">
        <f t="shared" si="239"/>
        <v>661.99687595717376</v>
      </c>
      <c r="G167" s="82">
        <f t="shared" si="239"/>
        <v>618.31349746609067</v>
      </c>
      <c r="H167" s="82">
        <f t="shared" si="239"/>
        <v>598.43457274074058</v>
      </c>
      <c r="I167" s="82">
        <f t="shared" si="239"/>
        <v>556.843736563682</v>
      </c>
      <c r="J167" s="82">
        <f t="shared" si="239"/>
        <v>463.35123446910728</v>
      </c>
      <c r="K167" s="82">
        <f t="shared" si="239"/>
        <v>497.31320397928181</v>
      </c>
      <c r="L167" s="82">
        <f t="shared" si="239"/>
        <v>584.33338592324208</v>
      </c>
      <c r="M167" s="82">
        <f t="shared" si="239"/>
        <v>506.09039111182187</v>
      </c>
      <c r="N167" s="82">
        <f t="shared" si="239"/>
        <v>540.36800660966207</v>
      </c>
      <c r="O167" s="82">
        <f t="shared" si="239"/>
        <v>490.67335251606147</v>
      </c>
      <c r="P167" s="82">
        <f t="shared" si="239"/>
        <v>484.49889324996627</v>
      </c>
      <c r="Q167" s="82">
        <f t="shared" si="239"/>
        <v>445.42666904426227</v>
      </c>
      <c r="R167" s="82">
        <f t="shared" si="239"/>
        <v>484.95953641596998</v>
      </c>
      <c r="S167" s="82">
        <f t="shared" si="239"/>
        <v>474.68263091614165</v>
      </c>
      <c r="T167" s="82">
        <f t="shared" si="239"/>
        <v>455.67428482536047</v>
      </c>
      <c r="U167" s="82">
        <f t="shared" si="239"/>
        <v>443.82785825751301</v>
      </c>
      <c r="V167" s="82">
        <f t="shared" si="239"/>
        <v>411.73057693537555</v>
      </c>
      <c r="W167" s="82">
        <f t="shared" si="239"/>
        <v>459.71417030015994</v>
      </c>
      <c r="X167" s="82">
        <f t="shared" ref="X167:Y167" si="240">IF(X113=0,0,X113/X$23)</f>
        <v>431.66382348575485</v>
      </c>
      <c r="Y167" s="82">
        <f t="shared" si="240"/>
        <v>387.16368838203073</v>
      </c>
      <c r="DA167" s="107"/>
    </row>
    <row r="168" spans="1:105" ht="12" customHeight="1" x14ac:dyDescent="0.25">
      <c r="A168" s="77" t="s">
        <v>36</v>
      </c>
      <c r="B168" s="64">
        <f t="shared" ref="B168" si="241">IF(B114=0,0,B114/B$23)</f>
        <v>727.47676292413803</v>
      </c>
      <c r="C168" s="64">
        <f t="shared" ref="C168:W168" si="242">IF(C114=0,0,C114/C$23)</f>
        <v>738.4950614165208</v>
      </c>
      <c r="D168" s="64">
        <f t="shared" si="242"/>
        <v>710.95381433919988</v>
      </c>
      <c r="E168" s="64">
        <f t="shared" si="242"/>
        <v>691.4497945180899</v>
      </c>
      <c r="F168" s="64">
        <f t="shared" si="242"/>
        <v>661.99687595717376</v>
      </c>
      <c r="G168" s="64">
        <f t="shared" si="242"/>
        <v>618.31349746609067</v>
      </c>
      <c r="H168" s="64">
        <f t="shared" si="242"/>
        <v>598.43457274074058</v>
      </c>
      <c r="I168" s="64">
        <f t="shared" si="242"/>
        <v>556.843736563682</v>
      </c>
      <c r="J168" s="64">
        <f t="shared" si="242"/>
        <v>463.35123446910728</v>
      </c>
      <c r="K168" s="64">
        <f t="shared" si="242"/>
        <v>497.31320397928181</v>
      </c>
      <c r="L168" s="64">
        <f t="shared" si="242"/>
        <v>584.33338592324208</v>
      </c>
      <c r="M168" s="64">
        <f t="shared" si="242"/>
        <v>506.09039111182187</v>
      </c>
      <c r="N168" s="64">
        <f t="shared" si="242"/>
        <v>540.36800660966207</v>
      </c>
      <c r="O168" s="64">
        <f t="shared" si="242"/>
        <v>490.67335251606147</v>
      </c>
      <c r="P168" s="64">
        <f t="shared" si="242"/>
        <v>484.49889324996627</v>
      </c>
      <c r="Q168" s="64">
        <f t="shared" si="242"/>
        <v>445.42666904426227</v>
      </c>
      <c r="R168" s="64">
        <f t="shared" si="242"/>
        <v>484.95953641596998</v>
      </c>
      <c r="S168" s="64">
        <f t="shared" si="242"/>
        <v>474.68263091614165</v>
      </c>
      <c r="T168" s="64">
        <f t="shared" si="242"/>
        <v>455.67428482536047</v>
      </c>
      <c r="U168" s="64">
        <f t="shared" si="242"/>
        <v>443.82785825751301</v>
      </c>
      <c r="V168" s="64">
        <f t="shared" si="242"/>
        <v>411.73057693537555</v>
      </c>
      <c r="W168" s="64">
        <f t="shared" si="242"/>
        <v>459.71417030015994</v>
      </c>
      <c r="X168" s="64">
        <f t="shared" ref="X168:Y168" si="243">IF(X114=0,0,X114/X$23)</f>
        <v>431.66382348575485</v>
      </c>
      <c r="Y168" s="64">
        <f t="shared" si="243"/>
        <v>387.16368838203073</v>
      </c>
      <c r="DA168" s="108"/>
    </row>
    <row r="169" spans="1:105" ht="12" customHeight="1" x14ac:dyDescent="0.25">
      <c r="A169" s="61" t="s">
        <v>32</v>
      </c>
      <c r="B169" s="65">
        <f t="shared" ref="B169" si="244">IF(B115=0,0,B115/B$23)</f>
        <v>675.41890738169241</v>
      </c>
      <c r="C169" s="65">
        <f t="shared" ref="C169:W169" si="245">IF(C115=0,0,C115/C$23)</f>
        <v>686.2772308358002</v>
      </c>
      <c r="D169" s="65">
        <f t="shared" si="245"/>
        <v>658.44888536235828</v>
      </c>
      <c r="E169" s="65">
        <f t="shared" si="245"/>
        <v>638.92504141783309</v>
      </c>
      <c r="F169" s="65">
        <f t="shared" si="245"/>
        <v>610.09583459821522</v>
      </c>
      <c r="G169" s="65">
        <f t="shared" si="245"/>
        <v>567.22910576872005</v>
      </c>
      <c r="H169" s="65">
        <f t="shared" si="245"/>
        <v>547.59379237261703</v>
      </c>
      <c r="I169" s="65">
        <f t="shared" si="245"/>
        <v>507.42634607255667</v>
      </c>
      <c r="J169" s="65">
        <f t="shared" si="245"/>
        <v>414.13486061015573</v>
      </c>
      <c r="K169" s="65">
        <f t="shared" si="245"/>
        <v>449.34091873320767</v>
      </c>
      <c r="L169" s="65">
        <f t="shared" si="245"/>
        <v>533.35184006119243</v>
      </c>
      <c r="M169" s="65">
        <f t="shared" si="245"/>
        <v>455.92575194925394</v>
      </c>
      <c r="N169" s="65">
        <f t="shared" si="245"/>
        <v>492.84116078974785</v>
      </c>
      <c r="O169" s="65">
        <f t="shared" si="245"/>
        <v>442.93243933319553</v>
      </c>
      <c r="P169" s="65">
        <f t="shared" si="245"/>
        <v>438.87346584613272</v>
      </c>
      <c r="Q169" s="65">
        <f t="shared" si="245"/>
        <v>400.45737470419687</v>
      </c>
      <c r="R169" s="65">
        <f t="shared" si="245"/>
        <v>440.14496688872731</v>
      </c>
      <c r="S169" s="65">
        <f t="shared" si="245"/>
        <v>435.48177521230235</v>
      </c>
      <c r="T169" s="65">
        <f t="shared" si="245"/>
        <v>422.76578407927144</v>
      </c>
      <c r="U169" s="65">
        <f t="shared" si="245"/>
        <v>413.0242431438154</v>
      </c>
      <c r="V169" s="65">
        <f t="shared" si="245"/>
        <v>383.8478276063434</v>
      </c>
      <c r="W169" s="65">
        <f t="shared" si="245"/>
        <v>429.29385884252463</v>
      </c>
      <c r="X169" s="65">
        <f t="shared" ref="X169:Y169" si="246">IF(X115=0,0,X115/X$23)</f>
        <v>404.08161499458873</v>
      </c>
      <c r="Y169" s="65">
        <f t="shared" si="246"/>
        <v>367.07036358338422</v>
      </c>
      <c r="DA169" s="109"/>
    </row>
    <row r="170" spans="1:105" ht="12" customHeight="1" x14ac:dyDescent="0.25">
      <c r="A170" s="61" t="s">
        <v>31</v>
      </c>
      <c r="B170" s="65">
        <f t="shared" ref="B170" si="247">IF(B116=0,0,B116/B$23)</f>
        <v>0</v>
      </c>
      <c r="C170" s="65">
        <f t="shared" ref="C170:W170" si="248">IF(C116=0,0,C116/C$23)</f>
        <v>0</v>
      </c>
      <c r="D170" s="65">
        <f t="shared" si="248"/>
        <v>0</v>
      </c>
      <c r="E170" s="65">
        <f t="shared" si="248"/>
        <v>0</v>
      </c>
      <c r="F170" s="65">
        <f t="shared" si="248"/>
        <v>0</v>
      </c>
      <c r="G170" s="65">
        <f t="shared" si="248"/>
        <v>0</v>
      </c>
      <c r="H170" s="65">
        <f t="shared" si="248"/>
        <v>0</v>
      </c>
      <c r="I170" s="65">
        <f t="shared" si="248"/>
        <v>0</v>
      </c>
      <c r="J170" s="65">
        <f t="shared" si="248"/>
        <v>0</v>
      </c>
      <c r="K170" s="65">
        <f t="shared" si="248"/>
        <v>0</v>
      </c>
      <c r="L170" s="65">
        <f t="shared" si="248"/>
        <v>0</v>
      </c>
      <c r="M170" s="65">
        <f t="shared" si="248"/>
        <v>0</v>
      </c>
      <c r="N170" s="65">
        <f t="shared" si="248"/>
        <v>0</v>
      </c>
      <c r="O170" s="65">
        <f t="shared" si="248"/>
        <v>0</v>
      </c>
      <c r="P170" s="65">
        <f t="shared" si="248"/>
        <v>0</v>
      </c>
      <c r="Q170" s="65">
        <f t="shared" si="248"/>
        <v>0</v>
      </c>
      <c r="R170" s="65">
        <f t="shared" si="248"/>
        <v>0</v>
      </c>
      <c r="S170" s="65">
        <f t="shared" si="248"/>
        <v>0</v>
      </c>
      <c r="T170" s="65">
        <f t="shared" si="248"/>
        <v>0</v>
      </c>
      <c r="U170" s="65">
        <f t="shared" si="248"/>
        <v>0</v>
      </c>
      <c r="V170" s="65">
        <f t="shared" si="248"/>
        <v>0</v>
      </c>
      <c r="W170" s="65">
        <f t="shared" si="248"/>
        <v>0</v>
      </c>
      <c r="X170" s="65">
        <f t="shared" ref="X170:Y170" si="249">IF(X116=0,0,X116/X$23)</f>
        <v>0</v>
      </c>
      <c r="Y170" s="65">
        <f t="shared" si="249"/>
        <v>0</v>
      </c>
      <c r="DA170" s="109"/>
    </row>
    <row r="171" spans="1:105" ht="12" customHeight="1" x14ac:dyDescent="0.25">
      <c r="A171" s="61" t="s">
        <v>35</v>
      </c>
      <c r="B171" s="65">
        <f t="shared" ref="B171" si="250">IF(B117=0,0,B117/B$23)</f>
        <v>46.659659384230153</v>
      </c>
      <c r="C171" s="65">
        <f t="shared" ref="C171:W171" si="251">IF(C117=0,0,C117/C$23)</f>
        <v>46.497148995332779</v>
      </c>
      <c r="D171" s="65">
        <f t="shared" si="251"/>
        <v>46.994571767831232</v>
      </c>
      <c r="E171" s="65">
        <f t="shared" si="251"/>
        <v>47.198454084853388</v>
      </c>
      <c r="F171" s="65">
        <f t="shared" si="251"/>
        <v>46.749312119407804</v>
      </c>
      <c r="G171" s="65">
        <f t="shared" si="251"/>
        <v>45.883162141721087</v>
      </c>
      <c r="H171" s="65">
        <f t="shared" si="251"/>
        <v>45.680973048846404</v>
      </c>
      <c r="I171" s="65">
        <f t="shared" si="251"/>
        <v>44.521265724395427</v>
      </c>
      <c r="J171" s="65">
        <f t="shared" si="251"/>
        <v>44.542008628671944</v>
      </c>
      <c r="K171" s="65">
        <f t="shared" si="251"/>
        <v>43.517990697271472</v>
      </c>
      <c r="L171" s="65">
        <f t="shared" si="251"/>
        <v>46.670652417733614</v>
      </c>
      <c r="M171" s="65">
        <f t="shared" si="251"/>
        <v>46.325688536326929</v>
      </c>
      <c r="N171" s="65">
        <f t="shared" si="251"/>
        <v>44.436738783516532</v>
      </c>
      <c r="O171" s="65">
        <f t="shared" si="251"/>
        <v>44.161977524573224</v>
      </c>
      <c r="P171" s="65">
        <f t="shared" si="251"/>
        <v>42.408444529868277</v>
      </c>
      <c r="Q171" s="65">
        <f t="shared" si="251"/>
        <v>41.684415038752029</v>
      </c>
      <c r="R171" s="65">
        <f t="shared" si="251"/>
        <v>41.604993474412161</v>
      </c>
      <c r="S171" s="65">
        <f t="shared" si="251"/>
        <v>36.262238511794799</v>
      </c>
      <c r="T171" s="65">
        <f t="shared" si="251"/>
        <v>30.524184916377525</v>
      </c>
      <c r="U171" s="65">
        <f t="shared" si="251"/>
        <v>28.417929709846245</v>
      </c>
      <c r="V171" s="65">
        <f t="shared" si="251"/>
        <v>25.593660538118488</v>
      </c>
      <c r="W171" s="65">
        <f t="shared" si="251"/>
        <v>27.509667303418368</v>
      </c>
      <c r="X171" s="65">
        <f t="shared" ref="X171:Y171" si="252">IF(X117=0,0,X117/X$23)</f>
        <v>25.371390964508024</v>
      </c>
      <c r="Y171" s="65">
        <f t="shared" si="252"/>
        <v>18.896627485913612</v>
      </c>
      <c r="DA171" s="109"/>
    </row>
    <row r="172" spans="1:105" ht="12" customHeight="1" x14ac:dyDescent="0.25">
      <c r="A172" s="66" t="s">
        <v>34</v>
      </c>
      <c r="B172" s="67">
        <f t="shared" ref="B172" si="253">IF(B118=0,0,B118/B$23)</f>
        <v>5.3981961582154856</v>
      </c>
      <c r="C172" s="67">
        <f t="shared" ref="C172:W172" si="254">IF(C118=0,0,C118/C$23)</f>
        <v>5.7206815853879256</v>
      </c>
      <c r="D172" s="67">
        <f t="shared" si="254"/>
        <v>5.5103572090103849</v>
      </c>
      <c r="E172" s="67">
        <f t="shared" si="254"/>
        <v>5.3262990154033112</v>
      </c>
      <c r="F172" s="67">
        <f t="shared" si="254"/>
        <v>5.1517292395506473</v>
      </c>
      <c r="G172" s="67">
        <f t="shared" si="254"/>
        <v>5.2012295556495864</v>
      </c>
      <c r="H172" s="67">
        <f t="shared" si="254"/>
        <v>5.1598073192771521</v>
      </c>
      <c r="I172" s="67">
        <f t="shared" si="254"/>
        <v>4.8961247667298835</v>
      </c>
      <c r="J172" s="67">
        <f t="shared" si="254"/>
        <v>4.6743652302797498</v>
      </c>
      <c r="K172" s="67">
        <f t="shared" si="254"/>
        <v>4.4542945488026824</v>
      </c>
      <c r="L172" s="67">
        <f t="shared" si="254"/>
        <v>4.3108934443161147</v>
      </c>
      <c r="M172" s="67">
        <f t="shared" si="254"/>
        <v>3.8389506262409587</v>
      </c>
      <c r="N172" s="67">
        <f t="shared" si="254"/>
        <v>3.0901070363977694</v>
      </c>
      <c r="O172" s="67">
        <f t="shared" si="254"/>
        <v>3.5789356582926781</v>
      </c>
      <c r="P172" s="67">
        <f t="shared" si="254"/>
        <v>3.2169828739652835</v>
      </c>
      <c r="Q172" s="67">
        <f t="shared" si="254"/>
        <v>3.2848793013133819</v>
      </c>
      <c r="R172" s="67">
        <f t="shared" si="254"/>
        <v>3.2095760528305215</v>
      </c>
      <c r="S172" s="67">
        <f t="shared" si="254"/>
        <v>2.9386171920444455</v>
      </c>
      <c r="T172" s="67">
        <f t="shared" si="254"/>
        <v>2.3843158297115519</v>
      </c>
      <c r="U172" s="67">
        <f t="shared" si="254"/>
        <v>2.3856854038513657</v>
      </c>
      <c r="V172" s="67">
        <f t="shared" si="254"/>
        <v>2.2890887909135924</v>
      </c>
      <c r="W172" s="67">
        <f t="shared" si="254"/>
        <v>2.9106441542168566</v>
      </c>
      <c r="X172" s="67">
        <f t="shared" ref="X172:Y172" si="255">IF(X118=0,0,X118/X$23)</f>
        <v>2.2108175266580474</v>
      </c>
      <c r="Y172" s="67">
        <f t="shared" si="255"/>
        <v>1.19669731273284</v>
      </c>
      <c r="DA172" s="110"/>
    </row>
    <row r="173" spans="1:105" ht="12" customHeight="1" x14ac:dyDescent="0.25">
      <c r="A173" s="78" t="s">
        <v>33</v>
      </c>
      <c r="B173" s="68">
        <f t="shared" ref="B173" si="256">IF(B119=0,0,B119/B$23)</f>
        <v>0</v>
      </c>
      <c r="C173" s="68">
        <f t="shared" ref="C173:W173" si="257">IF(C119=0,0,C119/C$23)</f>
        <v>0</v>
      </c>
      <c r="D173" s="68">
        <f t="shared" si="257"/>
        <v>0</v>
      </c>
      <c r="E173" s="68">
        <f t="shared" si="257"/>
        <v>0</v>
      </c>
      <c r="F173" s="68">
        <f t="shared" si="257"/>
        <v>0</v>
      </c>
      <c r="G173" s="68">
        <f t="shared" si="257"/>
        <v>0</v>
      </c>
      <c r="H173" s="68">
        <f t="shared" si="257"/>
        <v>0</v>
      </c>
      <c r="I173" s="68">
        <f t="shared" si="257"/>
        <v>0</v>
      </c>
      <c r="J173" s="68">
        <f t="shared" si="257"/>
        <v>0</v>
      </c>
      <c r="K173" s="68">
        <f t="shared" si="257"/>
        <v>0</v>
      </c>
      <c r="L173" s="68">
        <f t="shared" si="257"/>
        <v>0</v>
      </c>
      <c r="M173" s="68">
        <f t="shared" si="257"/>
        <v>0</v>
      </c>
      <c r="N173" s="68">
        <f t="shared" si="257"/>
        <v>0</v>
      </c>
      <c r="O173" s="68">
        <f t="shared" si="257"/>
        <v>0</v>
      </c>
      <c r="P173" s="68">
        <f t="shared" si="257"/>
        <v>0</v>
      </c>
      <c r="Q173" s="68">
        <f t="shared" si="257"/>
        <v>0</v>
      </c>
      <c r="R173" s="68">
        <f t="shared" si="257"/>
        <v>0</v>
      </c>
      <c r="S173" s="68">
        <f t="shared" si="257"/>
        <v>0</v>
      </c>
      <c r="T173" s="68">
        <f t="shared" si="257"/>
        <v>0</v>
      </c>
      <c r="U173" s="68">
        <f t="shared" si="257"/>
        <v>0</v>
      </c>
      <c r="V173" s="68">
        <f t="shared" si="257"/>
        <v>0</v>
      </c>
      <c r="W173" s="68">
        <f t="shared" si="257"/>
        <v>0</v>
      </c>
      <c r="X173" s="68">
        <f t="shared" ref="X173:Y173" si="258">IF(X119=0,0,X119/X$23)</f>
        <v>0</v>
      </c>
      <c r="Y173" s="68">
        <f t="shared" si="25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Y31 B33:Y33 B37:Y37 B48:Y48 B67:Y67 B82:Y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79</v>
      </c>
      <c r="B3" s="124">
        <f t="shared" ref="B3:Y3" si="0">B4</f>
        <v>102430.20094684517</v>
      </c>
      <c r="C3" s="124">
        <f t="shared" si="0"/>
        <v>103578.69346339144</v>
      </c>
      <c r="D3" s="124">
        <f t="shared" si="0"/>
        <v>104631.00230979911</v>
      </c>
      <c r="E3" s="124">
        <f t="shared" si="0"/>
        <v>105509.35956141936</v>
      </c>
      <c r="F3" s="124">
        <f t="shared" si="0"/>
        <v>107109.92214372163</v>
      </c>
      <c r="G3" s="124">
        <f t="shared" si="0"/>
        <v>108459.19175101758</v>
      </c>
      <c r="H3" s="124">
        <f t="shared" si="0"/>
        <v>110373.07497793202</v>
      </c>
      <c r="I3" s="124">
        <f t="shared" si="0"/>
        <v>112262.0205124139</v>
      </c>
      <c r="J3" s="124">
        <f t="shared" si="0"/>
        <v>113504.79126117387</v>
      </c>
      <c r="K3" s="124">
        <f t="shared" si="0"/>
        <v>114243.9672849518</v>
      </c>
      <c r="L3" s="124">
        <f t="shared" si="0"/>
        <v>115188.12437404331</v>
      </c>
      <c r="M3" s="124">
        <f t="shared" si="0"/>
        <v>115861.29109970827</v>
      </c>
      <c r="N3" s="124">
        <f t="shared" si="0"/>
        <v>116262.70440647152</v>
      </c>
      <c r="O3" s="124">
        <f t="shared" si="0"/>
        <v>116613.88622291542</v>
      </c>
      <c r="P3" s="124">
        <f t="shared" si="0"/>
        <v>116981.41904739385</v>
      </c>
      <c r="Q3" s="124">
        <f t="shared" si="0"/>
        <v>117385.06082603513</v>
      </c>
      <c r="R3" s="124">
        <f t="shared" si="0"/>
        <v>118112.60996344867</v>
      </c>
      <c r="S3" s="124">
        <f t="shared" si="0"/>
        <v>119161.28920837918</v>
      </c>
      <c r="T3" s="124">
        <f t="shared" si="0"/>
        <v>120233.18791484725</v>
      </c>
      <c r="U3" s="124">
        <f t="shared" si="0"/>
        <v>121216.84413996502</v>
      </c>
      <c r="V3" s="124">
        <f t="shared" si="0"/>
        <v>122111.11111111117</v>
      </c>
      <c r="W3" s="124">
        <f t="shared" si="0"/>
        <v>122876.55854138281</v>
      </c>
      <c r="X3" s="124">
        <f t="shared" si="0"/>
        <v>123525.97177853654</v>
      </c>
      <c r="Y3" s="124">
        <f t="shared" si="0"/>
        <v>124073.57814648595</v>
      </c>
      <c r="DA3" s="168" t="s">
        <v>245</v>
      </c>
    </row>
    <row r="4" spans="1:105" ht="12.95" customHeight="1" x14ac:dyDescent="0.25">
      <c r="A4" s="129" t="s">
        <v>32</v>
      </c>
      <c r="B4" s="139">
        <f t="shared" ref="B4:Q4" si="1">SUM(B5:B14)</f>
        <v>102430.20094684517</v>
      </c>
      <c r="C4" s="139">
        <f t="shared" si="1"/>
        <v>103578.69346339144</v>
      </c>
      <c r="D4" s="139">
        <f t="shared" si="1"/>
        <v>104631.00230979911</v>
      </c>
      <c r="E4" s="139">
        <f t="shared" si="1"/>
        <v>105509.35956141936</v>
      </c>
      <c r="F4" s="139">
        <f t="shared" si="1"/>
        <v>107109.92214372163</v>
      </c>
      <c r="G4" s="139">
        <f t="shared" si="1"/>
        <v>108459.19175101758</v>
      </c>
      <c r="H4" s="139">
        <f t="shared" si="1"/>
        <v>110373.07497793202</v>
      </c>
      <c r="I4" s="139">
        <f t="shared" si="1"/>
        <v>112262.0205124139</v>
      </c>
      <c r="J4" s="139">
        <f t="shared" si="1"/>
        <v>113504.79126117387</v>
      </c>
      <c r="K4" s="139">
        <f t="shared" si="1"/>
        <v>114243.9672849518</v>
      </c>
      <c r="L4" s="139">
        <f t="shared" si="1"/>
        <v>115188.12437404331</v>
      </c>
      <c r="M4" s="139">
        <f t="shared" si="1"/>
        <v>115861.29109970827</v>
      </c>
      <c r="N4" s="139">
        <f t="shared" si="1"/>
        <v>116262.70440647152</v>
      </c>
      <c r="O4" s="139">
        <f t="shared" si="1"/>
        <v>116613.88622291542</v>
      </c>
      <c r="P4" s="139">
        <f t="shared" si="1"/>
        <v>116981.41904739385</v>
      </c>
      <c r="Q4" s="139">
        <f t="shared" si="1"/>
        <v>117385.06082603513</v>
      </c>
      <c r="R4" s="139">
        <f t="shared" ref="R4:W4" si="2">SUM(R5:R14)</f>
        <v>118112.60996344867</v>
      </c>
      <c r="S4" s="139">
        <f t="shared" si="2"/>
        <v>119161.28920837918</v>
      </c>
      <c r="T4" s="139">
        <f t="shared" si="2"/>
        <v>120233.18791484725</v>
      </c>
      <c r="U4" s="139">
        <f t="shared" si="2"/>
        <v>121216.84413996502</v>
      </c>
      <c r="V4" s="139">
        <f t="shared" si="2"/>
        <v>122111.11111111117</v>
      </c>
      <c r="W4" s="139">
        <f t="shared" si="2"/>
        <v>122876.55854138281</v>
      </c>
      <c r="X4" s="139">
        <f t="shared" ref="X4:Y4" si="3">SUM(X5:X14)</f>
        <v>123525.97177853654</v>
      </c>
      <c r="Y4" s="139">
        <f t="shared" si="3"/>
        <v>124073.57814648595</v>
      </c>
      <c r="DA4" s="169" t="s">
        <v>246</v>
      </c>
    </row>
    <row r="5" spans="1:105" ht="12" customHeight="1" x14ac:dyDescent="0.25">
      <c r="A5" s="131" t="s">
        <v>29</v>
      </c>
      <c r="B5" s="140">
        <v>104.63014409434589</v>
      </c>
      <c r="C5" s="140">
        <v>100.12647868601894</v>
      </c>
      <c r="D5" s="140">
        <v>97.80269136719788</v>
      </c>
      <c r="E5" s="140">
        <v>96.738790350105589</v>
      </c>
      <c r="F5" s="140">
        <v>96.818477262793991</v>
      </c>
      <c r="G5" s="140">
        <v>96.415313751478962</v>
      </c>
      <c r="H5" s="140">
        <v>97.512523470824149</v>
      </c>
      <c r="I5" s="140">
        <v>101.52434207444036</v>
      </c>
      <c r="J5" s="140">
        <v>103.75228171902347</v>
      </c>
      <c r="K5" s="140">
        <v>108.2859485622279</v>
      </c>
      <c r="L5" s="140">
        <v>113.78017018477844</v>
      </c>
      <c r="M5" s="140">
        <v>115.3458716757259</v>
      </c>
      <c r="N5" s="140">
        <v>118.64783737391264</v>
      </c>
      <c r="O5" s="140">
        <v>119.41511947716431</v>
      </c>
      <c r="P5" s="140">
        <v>120.20958478257016</v>
      </c>
      <c r="Q5" s="140">
        <v>120.49476312316651</v>
      </c>
      <c r="R5" s="140">
        <v>121.82730942634487</v>
      </c>
      <c r="S5" s="140">
        <v>123.89677927680435</v>
      </c>
      <c r="T5" s="140">
        <v>125.95059624171712</v>
      </c>
      <c r="U5" s="140">
        <v>126.32301533461384</v>
      </c>
      <c r="V5" s="140">
        <v>125.94373799205061</v>
      </c>
      <c r="W5" s="140">
        <v>132.41783976196794</v>
      </c>
      <c r="X5" s="140">
        <v>135.05738093206847</v>
      </c>
      <c r="Y5" s="140">
        <v>138.36919700758452</v>
      </c>
      <c r="DA5" s="170" t="s">
        <v>247</v>
      </c>
    </row>
    <row r="6" spans="1:105" ht="12" customHeight="1" x14ac:dyDescent="0.25">
      <c r="A6" s="131" t="s">
        <v>52</v>
      </c>
      <c r="B6" s="140">
        <v>0</v>
      </c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DA6" s="170" t="s">
        <v>248</v>
      </c>
    </row>
    <row r="7" spans="1:105" ht="12" customHeight="1" x14ac:dyDescent="0.25">
      <c r="A7" s="131" t="s">
        <v>161</v>
      </c>
      <c r="B7" s="140">
        <v>14855.565275167643</v>
      </c>
      <c r="C7" s="140">
        <v>14236.757499427637</v>
      </c>
      <c r="D7" s="140">
        <v>13707.932187100927</v>
      </c>
      <c r="E7" s="140">
        <v>13341.370351476902</v>
      </c>
      <c r="F7" s="140">
        <v>13081.574671791048</v>
      </c>
      <c r="G7" s="140">
        <v>12720.961999219726</v>
      </c>
      <c r="H7" s="140">
        <v>12092.773127102364</v>
      </c>
      <c r="I7" s="140">
        <v>11122.636191232177</v>
      </c>
      <c r="J7" s="140">
        <v>10216.534291924187</v>
      </c>
      <c r="K7" s="140">
        <v>10020.111464950345</v>
      </c>
      <c r="L7" s="140">
        <v>10467.744619766221</v>
      </c>
      <c r="M7" s="140">
        <v>10873.043235455967</v>
      </c>
      <c r="N7" s="140">
        <v>11133.159833001044</v>
      </c>
      <c r="O7" s="140">
        <v>11084.833235906022</v>
      </c>
      <c r="P7" s="140">
        <v>11024.622792839988</v>
      </c>
      <c r="Q7" s="140">
        <v>11127.82439257994</v>
      </c>
      <c r="R7" s="140">
        <v>11391.741430186967</v>
      </c>
      <c r="S7" s="140">
        <v>11702.02114357402</v>
      </c>
      <c r="T7" s="140">
        <v>11912.541271870965</v>
      </c>
      <c r="U7" s="140">
        <v>12289.056794448999</v>
      </c>
      <c r="V7" s="140">
        <v>12614.220477280385</v>
      </c>
      <c r="W7" s="140">
        <v>13015.746938612914</v>
      </c>
      <c r="X7" s="140">
        <v>13323.734000610688</v>
      </c>
      <c r="Y7" s="140">
        <v>13615.620934567378</v>
      </c>
      <c r="DA7" s="170" t="s">
        <v>249</v>
      </c>
    </row>
    <row r="8" spans="1:105" ht="12" customHeight="1" x14ac:dyDescent="0.25">
      <c r="A8" s="131" t="s">
        <v>73</v>
      </c>
      <c r="B8" s="140">
        <v>0</v>
      </c>
      <c r="C8" s="140">
        <v>0</v>
      </c>
      <c r="D8" s="140">
        <v>0</v>
      </c>
      <c r="E8" s="140">
        <v>0</v>
      </c>
      <c r="F8" s="140">
        <v>0</v>
      </c>
      <c r="G8" s="140">
        <v>0</v>
      </c>
      <c r="H8" s="140">
        <v>0</v>
      </c>
      <c r="I8" s="140">
        <v>0</v>
      </c>
      <c r="J8" s="140">
        <v>0</v>
      </c>
      <c r="K8" s="140">
        <v>0</v>
      </c>
      <c r="L8" s="140">
        <v>0</v>
      </c>
      <c r="M8" s="140">
        <v>0</v>
      </c>
      <c r="N8" s="140">
        <v>0</v>
      </c>
      <c r="O8" s="140">
        <v>0</v>
      </c>
      <c r="P8" s="140">
        <v>0</v>
      </c>
      <c r="Q8" s="140">
        <v>0</v>
      </c>
      <c r="R8" s="140">
        <v>0</v>
      </c>
      <c r="S8" s="140">
        <v>0</v>
      </c>
      <c r="T8" s="140">
        <v>0</v>
      </c>
      <c r="U8" s="140">
        <v>0</v>
      </c>
      <c r="V8" s="140">
        <v>0</v>
      </c>
      <c r="W8" s="140">
        <v>0</v>
      </c>
      <c r="X8" s="140">
        <v>0</v>
      </c>
      <c r="Y8" s="140">
        <v>0</v>
      </c>
      <c r="DA8" s="170" t="s">
        <v>250</v>
      </c>
    </row>
    <row r="9" spans="1:105" ht="12" customHeight="1" x14ac:dyDescent="0.25">
      <c r="A9" s="131" t="s">
        <v>78</v>
      </c>
      <c r="B9" s="140">
        <v>1263.0756401504843</v>
      </c>
      <c r="C9" s="140">
        <v>1325.7777148197531</v>
      </c>
      <c r="D9" s="140">
        <v>1413.1605815112505</v>
      </c>
      <c r="E9" s="140">
        <v>1490.6860745810313</v>
      </c>
      <c r="F9" s="140">
        <v>1589.6854920147107</v>
      </c>
      <c r="G9" s="140">
        <v>1606.1243439016494</v>
      </c>
      <c r="H9" s="140">
        <v>1557.9774095342407</v>
      </c>
      <c r="I9" s="140">
        <v>1466.9253239657196</v>
      </c>
      <c r="J9" s="140">
        <v>1400.1620386967736</v>
      </c>
      <c r="K9" s="140">
        <v>1404.5808222504345</v>
      </c>
      <c r="L9" s="140">
        <v>1441.2726902362165</v>
      </c>
      <c r="M9" s="140">
        <v>1424.498779688789</v>
      </c>
      <c r="N9" s="140">
        <v>1453.8609909257275</v>
      </c>
      <c r="O9" s="140">
        <v>1607.7374772349617</v>
      </c>
      <c r="P9" s="140">
        <v>1747.1694789594667</v>
      </c>
      <c r="Q9" s="140">
        <v>1816.4885925800083</v>
      </c>
      <c r="R9" s="140">
        <v>1928.0962003233465</v>
      </c>
      <c r="S9" s="140">
        <v>1949.051572936233</v>
      </c>
      <c r="T9" s="140">
        <v>1957.3392205892726</v>
      </c>
      <c r="U9" s="140">
        <v>2005.186139857848</v>
      </c>
      <c r="V9" s="140">
        <v>2017.2714254567579</v>
      </c>
      <c r="W9" s="140">
        <v>2017.5142742341907</v>
      </c>
      <c r="X9" s="140">
        <v>1914.3865791518037</v>
      </c>
      <c r="Y9" s="140">
        <v>1683.2283222335971</v>
      </c>
      <c r="DA9" s="170" t="s">
        <v>251</v>
      </c>
    </row>
    <row r="10" spans="1:105" ht="12" customHeight="1" x14ac:dyDescent="0.25">
      <c r="A10" s="131" t="s">
        <v>128</v>
      </c>
      <c r="B10" s="140">
        <v>2187.4008379375846</v>
      </c>
      <c r="C10" s="140">
        <v>2218.0960220072388</v>
      </c>
      <c r="D10" s="140">
        <v>2275.2352201265358</v>
      </c>
      <c r="E10" s="140">
        <v>2342.624082829172</v>
      </c>
      <c r="F10" s="140">
        <v>2413.3515625588484</v>
      </c>
      <c r="G10" s="140">
        <v>2474.1497930217324</v>
      </c>
      <c r="H10" s="140">
        <v>2540.1070604131601</v>
      </c>
      <c r="I10" s="140">
        <v>2569.4405554185755</v>
      </c>
      <c r="J10" s="140">
        <v>2675.8176615156567</v>
      </c>
      <c r="K10" s="140">
        <v>2725.604396062824</v>
      </c>
      <c r="L10" s="140">
        <v>2814.6408716757337</v>
      </c>
      <c r="M10" s="140">
        <v>2860.8507899764782</v>
      </c>
      <c r="N10" s="140">
        <v>2896.2968732560785</v>
      </c>
      <c r="O10" s="140">
        <v>2885.6411453179771</v>
      </c>
      <c r="P10" s="140">
        <v>2879.1859802576409</v>
      </c>
      <c r="Q10" s="140">
        <v>2891.7802974553711</v>
      </c>
      <c r="R10" s="140">
        <v>2940.2086080464464</v>
      </c>
      <c r="S10" s="140">
        <v>2986.777820143071</v>
      </c>
      <c r="T10" s="140">
        <v>3005.2060696793651</v>
      </c>
      <c r="U10" s="140">
        <v>3039.6225829019227</v>
      </c>
      <c r="V10" s="140">
        <v>3100.0241967339766</v>
      </c>
      <c r="W10" s="140">
        <v>3188.8194549243872</v>
      </c>
      <c r="X10" s="140">
        <v>3220.6500024809375</v>
      </c>
      <c r="Y10" s="140">
        <v>3297.4117650213257</v>
      </c>
      <c r="DA10" s="170" t="s">
        <v>252</v>
      </c>
    </row>
    <row r="11" spans="1:105" ht="12" customHeight="1" x14ac:dyDescent="0.25">
      <c r="A11" s="131" t="s">
        <v>25</v>
      </c>
      <c r="B11" s="140">
        <v>0</v>
      </c>
      <c r="C11" s="140">
        <v>0</v>
      </c>
      <c r="D11" s="140">
        <v>0</v>
      </c>
      <c r="E11" s="140">
        <v>0</v>
      </c>
      <c r="F11" s="140">
        <v>0</v>
      </c>
      <c r="G11" s="140">
        <v>0</v>
      </c>
      <c r="H11" s="140">
        <v>0</v>
      </c>
      <c r="I11" s="140">
        <v>0</v>
      </c>
      <c r="J11" s="140">
        <v>0</v>
      </c>
      <c r="K11" s="140">
        <v>0</v>
      </c>
      <c r="L11" s="140">
        <v>0</v>
      </c>
      <c r="M11" s="140">
        <v>0</v>
      </c>
      <c r="N11" s="140">
        <v>0</v>
      </c>
      <c r="O11" s="140">
        <v>0</v>
      </c>
      <c r="P11" s="140">
        <v>0</v>
      </c>
      <c r="Q11" s="140">
        <v>0</v>
      </c>
      <c r="R11" s="140">
        <v>0</v>
      </c>
      <c r="S11" s="140">
        <v>0</v>
      </c>
      <c r="T11" s="140">
        <v>0</v>
      </c>
      <c r="U11" s="140">
        <v>0</v>
      </c>
      <c r="V11" s="140">
        <v>0</v>
      </c>
      <c r="W11" s="140">
        <v>0</v>
      </c>
      <c r="X11" s="140">
        <v>0</v>
      </c>
      <c r="Y11" s="140">
        <v>0</v>
      </c>
      <c r="DA11" s="170" t="s">
        <v>253</v>
      </c>
    </row>
    <row r="12" spans="1:105" ht="12" customHeight="1" x14ac:dyDescent="0.25">
      <c r="A12" s="131" t="s">
        <v>162</v>
      </c>
      <c r="B12" s="140">
        <v>53467.13539756566</v>
      </c>
      <c r="C12" s="140">
        <v>54581.160744471614</v>
      </c>
      <c r="D12" s="140">
        <v>55366.587377180775</v>
      </c>
      <c r="E12" s="140">
        <v>55807.520044654542</v>
      </c>
      <c r="F12" s="140">
        <v>56202.043054132111</v>
      </c>
      <c r="G12" s="140">
        <v>56769.257566540931</v>
      </c>
      <c r="H12" s="140">
        <v>58425.653873986012</v>
      </c>
      <c r="I12" s="140">
        <v>61272.215801650425</v>
      </c>
      <c r="J12" s="140">
        <v>63055.442071064099</v>
      </c>
      <c r="K12" s="140">
        <v>64013.065149368318</v>
      </c>
      <c r="L12" s="140">
        <v>64055.980637024863</v>
      </c>
      <c r="M12" s="140">
        <v>63436.278918491953</v>
      </c>
      <c r="N12" s="140">
        <v>63284.276292542811</v>
      </c>
      <c r="O12" s="140">
        <v>63253.72121023712</v>
      </c>
      <c r="P12" s="140">
        <v>63869.874025539269</v>
      </c>
      <c r="Q12" s="140">
        <v>63626.261517576342</v>
      </c>
      <c r="R12" s="140">
        <v>64016.922742584029</v>
      </c>
      <c r="S12" s="140">
        <v>64391.382288216635</v>
      </c>
      <c r="T12" s="140">
        <v>64358.97974826803</v>
      </c>
      <c r="U12" s="140">
        <v>64633.994559913444</v>
      </c>
      <c r="V12" s="140">
        <v>64847.815270335486</v>
      </c>
      <c r="W12" s="140">
        <v>65528.983532473023</v>
      </c>
      <c r="X12" s="140">
        <v>65572.6140575553</v>
      </c>
      <c r="Y12" s="140">
        <v>66143.919272073312</v>
      </c>
      <c r="DA12" s="170" t="s">
        <v>254</v>
      </c>
    </row>
    <row r="13" spans="1:105" ht="12" customHeight="1" x14ac:dyDescent="0.25">
      <c r="A13" s="131" t="s">
        <v>77</v>
      </c>
      <c r="B13" s="140">
        <v>548.18952836144513</v>
      </c>
      <c r="C13" s="140">
        <v>559.98223469892832</v>
      </c>
      <c r="D13" s="140">
        <v>620.98917175460019</v>
      </c>
      <c r="E13" s="140">
        <v>702.99490656666489</v>
      </c>
      <c r="F13" s="140">
        <v>812.13235565495404</v>
      </c>
      <c r="G13" s="140">
        <v>929.99121283191187</v>
      </c>
      <c r="H13" s="140">
        <v>1049.1236673892615</v>
      </c>
      <c r="I13" s="140">
        <v>1152.1339857903256</v>
      </c>
      <c r="J13" s="140">
        <v>1261.1495234814781</v>
      </c>
      <c r="K13" s="140">
        <v>1380.4275971972822</v>
      </c>
      <c r="L13" s="140">
        <v>1557.9914391934003</v>
      </c>
      <c r="M13" s="140">
        <v>1876.1432476216773</v>
      </c>
      <c r="N13" s="140">
        <v>2199.3897115414597</v>
      </c>
      <c r="O13" s="140">
        <v>2684.6642691958396</v>
      </c>
      <c r="P13" s="140">
        <v>3169.4960092894867</v>
      </c>
      <c r="Q13" s="140">
        <v>3777.0911294747771</v>
      </c>
      <c r="R13" s="140">
        <v>4185.6826387674291</v>
      </c>
      <c r="S13" s="140">
        <v>4666.3028914743863</v>
      </c>
      <c r="T13" s="140">
        <v>5164.7945777681471</v>
      </c>
      <c r="U13" s="140">
        <v>5847.2598991715322</v>
      </c>
      <c r="V13" s="140">
        <v>6668.7959000330111</v>
      </c>
      <c r="W13" s="140">
        <v>7733.7097298821145</v>
      </c>
      <c r="X13" s="140">
        <v>8914.6229876576726</v>
      </c>
      <c r="Y13" s="140">
        <v>9996.114992639441</v>
      </c>
      <c r="DA13" s="170" t="s">
        <v>255</v>
      </c>
    </row>
    <row r="14" spans="1:105" ht="12" customHeight="1" x14ac:dyDescent="0.25">
      <c r="A14" s="60" t="s">
        <v>76</v>
      </c>
      <c r="B14" s="141">
        <v>30004.204123568001</v>
      </c>
      <c r="C14" s="141">
        <v>30556.792769280248</v>
      </c>
      <c r="D14" s="141">
        <v>31149.295080757809</v>
      </c>
      <c r="E14" s="141">
        <v>31727.42531096096</v>
      </c>
      <c r="F14" s="141">
        <v>32914.31653030718</v>
      </c>
      <c r="G14" s="141">
        <v>33862.291521750158</v>
      </c>
      <c r="H14" s="141">
        <v>34609.927316036163</v>
      </c>
      <c r="I14" s="141">
        <v>34577.144312282231</v>
      </c>
      <c r="J14" s="141">
        <v>34791.933392772647</v>
      </c>
      <c r="K14" s="141">
        <v>34591.891906560355</v>
      </c>
      <c r="L14" s="141">
        <v>34736.713945962088</v>
      </c>
      <c r="M14" s="141">
        <v>35275.130256797689</v>
      </c>
      <c r="N14" s="141">
        <v>35177.072867830488</v>
      </c>
      <c r="O14" s="141">
        <v>34977.873765546334</v>
      </c>
      <c r="P14" s="141">
        <v>34170.861175725426</v>
      </c>
      <c r="Q14" s="141">
        <v>34025.120133245524</v>
      </c>
      <c r="R14" s="141">
        <v>33528.131034114122</v>
      </c>
      <c r="S14" s="141">
        <v>33341.856712758032</v>
      </c>
      <c r="T14" s="141">
        <v>33708.376430429758</v>
      </c>
      <c r="U14" s="141">
        <v>33275.401148336656</v>
      </c>
      <c r="V14" s="141">
        <v>32737.040103279491</v>
      </c>
      <c r="W14" s="141">
        <v>31259.36677149422</v>
      </c>
      <c r="X14" s="141">
        <v>30444.906770148064</v>
      </c>
      <c r="Y14" s="141">
        <v>29198.913662943309</v>
      </c>
      <c r="DA14" s="171" t="s">
        <v>256</v>
      </c>
    </row>
    <row r="15" spans="1:105" ht="12" hidden="1" customHeight="1" x14ac:dyDescent="0.25">
      <c r="A15" s="142" t="s">
        <v>75</v>
      </c>
      <c r="B15" s="143">
        <f t="shared" ref="B15:Q15" si="4">SUM(B5:B12)</f>
        <v>71877.807294915721</v>
      </c>
      <c r="C15" s="143">
        <f t="shared" si="4"/>
        <v>72461.918459412263</v>
      </c>
      <c r="D15" s="143">
        <f t="shared" si="4"/>
        <v>72860.718057286693</v>
      </c>
      <c r="E15" s="143">
        <f t="shared" si="4"/>
        <v>73078.939343891747</v>
      </c>
      <c r="F15" s="143">
        <f t="shared" si="4"/>
        <v>73383.473257759513</v>
      </c>
      <c r="G15" s="143">
        <f t="shared" si="4"/>
        <v>73666.909016435515</v>
      </c>
      <c r="H15" s="143">
        <f t="shared" si="4"/>
        <v>74714.023994506599</v>
      </c>
      <c r="I15" s="143">
        <f t="shared" si="4"/>
        <v>76532.742214341342</v>
      </c>
      <c r="J15" s="143">
        <f t="shared" si="4"/>
        <v>77451.708344919738</v>
      </c>
      <c r="K15" s="143">
        <f t="shared" si="4"/>
        <v>78271.647781194159</v>
      </c>
      <c r="L15" s="143">
        <f t="shared" si="4"/>
        <v>78893.418988887817</v>
      </c>
      <c r="M15" s="143">
        <f t="shared" si="4"/>
        <v>78710.017595288911</v>
      </c>
      <c r="N15" s="143">
        <f t="shared" si="4"/>
        <v>78886.241827099569</v>
      </c>
      <c r="O15" s="143">
        <f t="shared" si="4"/>
        <v>78951.348188173244</v>
      </c>
      <c r="P15" s="143">
        <f t="shared" si="4"/>
        <v>79641.061862378934</v>
      </c>
      <c r="Q15" s="143">
        <f t="shared" si="4"/>
        <v>79582.849563314827</v>
      </c>
      <c r="R15" s="143">
        <f t="shared" ref="R15:W15" si="5">SUM(R5:R12)</f>
        <v>80398.79629056713</v>
      </c>
      <c r="S15" s="143">
        <f t="shared" si="5"/>
        <v>81153.129604146758</v>
      </c>
      <c r="T15" s="143">
        <f t="shared" si="5"/>
        <v>81360.01690664934</v>
      </c>
      <c r="U15" s="143">
        <f t="shared" si="5"/>
        <v>82094.183092456835</v>
      </c>
      <c r="V15" s="143">
        <f t="shared" si="5"/>
        <v>82705.275107798661</v>
      </c>
      <c r="W15" s="143">
        <f t="shared" si="5"/>
        <v>83883.482040006478</v>
      </c>
      <c r="X15" s="143">
        <f t="shared" ref="X15:Y15" si="6">SUM(X5:X12)</f>
        <v>84166.442020730799</v>
      </c>
      <c r="Y15" s="143">
        <f t="shared" si="6"/>
        <v>84878.549490903199</v>
      </c>
      <c r="DA15" s="172"/>
    </row>
    <row r="16" spans="1:105" ht="12.95" customHeight="1" x14ac:dyDescent="0.25">
      <c r="A16" s="129" t="s">
        <v>74</v>
      </c>
      <c r="B16" s="139">
        <f t="shared" ref="B16:Q16" si="7">SUM(B17:B18)</f>
        <v>10631.532470937731</v>
      </c>
      <c r="C16" s="139">
        <f t="shared" si="7"/>
        <v>11249.692128603034</v>
      </c>
      <c r="D16" s="139">
        <f t="shared" si="7"/>
        <v>12211.303427392251</v>
      </c>
      <c r="E16" s="139">
        <f t="shared" si="7"/>
        <v>13200.638354201303</v>
      </c>
      <c r="F16" s="139">
        <f t="shared" si="7"/>
        <v>14408.630567166099</v>
      </c>
      <c r="G16" s="139">
        <f t="shared" si="7"/>
        <v>16058.196967729853</v>
      </c>
      <c r="H16" s="139">
        <f t="shared" si="7"/>
        <v>17678.376514494579</v>
      </c>
      <c r="I16" s="139">
        <f t="shared" si="7"/>
        <v>19871.115146362368</v>
      </c>
      <c r="J16" s="139">
        <f t="shared" si="7"/>
        <v>22207.612285633364</v>
      </c>
      <c r="K16" s="139">
        <f t="shared" si="7"/>
        <v>23597.050256760016</v>
      </c>
      <c r="L16" s="139">
        <f t="shared" si="7"/>
        <v>24700.948857570049</v>
      </c>
      <c r="M16" s="139">
        <f t="shared" si="7"/>
        <v>25562.030881309991</v>
      </c>
      <c r="N16" s="139">
        <f t="shared" si="7"/>
        <v>26027.164878219533</v>
      </c>
      <c r="O16" s="139">
        <f t="shared" si="7"/>
        <v>26747.388364959294</v>
      </c>
      <c r="P16" s="139">
        <f t="shared" si="7"/>
        <v>27821.704868965375</v>
      </c>
      <c r="Q16" s="139">
        <f t="shared" si="7"/>
        <v>28782.497404725116</v>
      </c>
      <c r="R16" s="139">
        <f t="shared" ref="R16:W16" si="8">SUM(R17:R18)</f>
        <v>29374.169630038115</v>
      </c>
      <c r="S16" s="139">
        <f t="shared" si="8"/>
        <v>29668.333537091959</v>
      </c>
      <c r="T16" s="139">
        <f t="shared" si="8"/>
        <v>29961.700334736266</v>
      </c>
      <c r="U16" s="139">
        <f t="shared" si="8"/>
        <v>30432.832865852528</v>
      </c>
      <c r="V16" s="139">
        <f t="shared" si="8"/>
        <v>30789.75479290666</v>
      </c>
      <c r="W16" s="139">
        <f t="shared" si="8"/>
        <v>31228.878160569526</v>
      </c>
      <c r="X16" s="139">
        <f t="shared" ref="X16:Y16" si="9">SUM(X17:X18)</f>
        <v>31466.575641365002</v>
      </c>
      <c r="Y16" s="139">
        <f t="shared" si="9"/>
        <v>32303.847835273275</v>
      </c>
      <c r="DA16" s="169" t="s">
        <v>257</v>
      </c>
    </row>
    <row r="17" spans="1:105" ht="12.95" customHeight="1" x14ac:dyDescent="0.25">
      <c r="A17" s="131" t="s">
        <v>73</v>
      </c>
      <c r="B17" s="140">
        <v>0</v>
      </c>
      <c r="C17" s="140">
        <v>0</v>
      </c>
      <c r="D17" s="140">
        <v>0</v>
      </c>
      <c r="E17" s="140">
        <v>0</v>
      </c>
      <c r="F17" s="140">
        <v>0</v>
      </c>
      <c r="G17" s="140">
        <v>0</v>
      </c>
      <c r="H17" s="140">
        <v>0</v>
      </c>
      <c r="I17" s="140">
        <v>0</v>
      </c>
      <c r="J17" s="140">
        <v>0</v>
      </c>
      <c r="K17" s="140">
        <v>0</v>
      </c>
      <c r="L17" s="140">
        <v>0</v>
      </c>
      <c r="M17" s="140">
        <v>0</v>
      </c>
      <c r="N17" s="140">
        <v>0</v>
      </c>
      <c r="O17" s="140">
        <v>0</v>
      </c>
      <c r="P17" s="140">
        <v>0</v>
      </c>
      <c r="Q17" s="140">
        <v>0</v>
      </c>
      <c r="R17" s="140">
        <v>0</v>
      </c>
      <c r="S17" s="140">
        <v>0</v>
      </c>
      <c r="T17" s="140">
        <v>0</v>
      </c>
      <c r="U17" s="140">
        <v>0</v>
      </c>
      <c r="V17" s="140">
        <v>0</v>
      </c>
      <c r="W17" s="140">
        <v>0</v>
      </c>
      <c r="X17" s="140">
        <v>0</v>
      </c>
      <c r="Y17" s="140">
        <v>0</v>
      </c>
      <c r="DA17" s="170" t="s">
        <v>258</v>
      </c>
    </row>
    <row r="18" spans="1:105" ht="12" customHeight="1" x14ac:dyDescent="0.25">
      <c r="A18" s="131" t="s">
        <v>72</v>
      </c>
      <c r="B18" s="140">
        <v>10631.532470937731</v>
      </c>
      <c r="C18" s="140">
        <v>11249.692128603034</v>
      </c>
      <c r="D18" s="140">
        <v>12211.303427392251</v>
      </c>
      <c r="E18" s="140">
        <v>13200.638354201303</v>
      </c>
      <c r="F18" s="140">
        <v>14408.630567166099</v>
      </c>
      <c r="G18" s="140">
        <v>16058.196967729853</v>
      </c>
      <c r="H18" s="140">
        <v>17678.376514494579</v>
      </c>
      <c r="I18" s="140">
        <v>19871.115146362368</v>
      </c>
      <c r="J18" s="140">
        <v>22207.612285633364</v>
      </c>
      <c r="K18" s="140">
        <v>23597.050256760016</v>
      </c>
      <c r="L18" s="140">
        <v>24700.948857570049</v>
      </c>
      <c r="M18" s="140">
        <v>25562.030881309991</v>
      </c>
      <c r="N18" s="140">
        <v>26027.164878219533</v>
      </c>
      <c r="O18" s="140">
        <v>26747.388364959294</v>
      </c>
      <c r="P18" s="140">
        <v>27821.704868965375</v>
      </c>
      <c r="Q18" s="140">
        <v>28782.497404725116</v>
      </c>
      <c r="R18" s="140">
        <v>29374.169630038115</v>
      </c>
      <c r="S18" s="140">
        <v>29668.333537091959</v>
      </c>
      <c r="T18" s="140">
        <v>29961.700334736266</v>
      </c>
      <c r="U18" s="140">
        <v>30432.832865852528</v>
      </c>
      <c r="V18" s="140">
        <v>30789.75479290666</v>
      </c>
      <c r="W18" s="140">
        <v>31228.878160569526</v>
      </c>
      <c r="X18" s="140">
        <v>31466.575641365002</v>
      </c>
      <c r="Y18" s="140">
        <v>32303.847835273275</v>
      </c>
      <c r="DA18" s="170" t="s">
        <v>259</v>
      </c>
    </row>
    <row r="19" spans="1:105" ht="12.95" customHeight="1" x14ac:dyDescent="0.25">
      <c r="A19" s="129" t="s">
        <v>35</v>
      </c>
      <c r="B19" s="139">
        <f t="shared" ref="B19:Q19" si="10">SUM(B20:B26)</f>
        <v>102430.20094684516</v>
      </c>
      <c r="C19" s="139">
        <f t="shared" si="10"/>
        <v>103578.69346339145</v>
      </c>
      <c r="D19" s="139">
        <f t="shared" si="10"/>
        <v>104631.00230979911</v>
      </c>
      <c r="E19" s="139">
        <f t="shared" si="10"/>
        <v>105509.35956141938</v>
      </c>
      <c r="F19" s="139">
        <f t="shared" si="10"/>
        <v>107109.92214372166</v>
      </c>
      <c r="G19" s="139">
        <f t="shared" si="10"/>
        <v>108459.19175101758</v>
      </c>
      <c r="H19" s="139">
        <f t="shared" si="10"/>
        <v>110373.07497793203</v>
      </c>
      <c r="I19" s="139">
        <f t="shared" si="10"/>
        <v>112262.0205124139</v>
      </c>
      <c r="J19" s="139">
        <f t="shared" si="10"/>
        <v>113504.7912611739</v>
      </c>
      <c r="K19" s="139">
        <f t="shared" si="10"/>
        <v>114243.96728495174</v>
      </c>
      <c r="L19" s="139">
        <f t="shared" si="10"/>
        <v>115188.12437404325</v>
      </c>
      <c r="M19" s="139">
        <f t="shared" si="10"/>
        <v>115861.29109970827</v>
      </c>
      <c r="N19" s="139">
        <f t="shared" si="10"/>
        <v>116262.70440647156</v>
      </c>
      <c r="O19" s="139">
        <f t="shared" si="10"/>
        <v>116613.88622291546</v>
      </c>
      <c r="P19" s="139">
        <f t="shared" si="10"/>
        <v>116981.41904739387</v>
      </c>
      <c r="Q19" s="139">
        <f t="shared" si="10"/>
        <v>117385.06082603511</v>
      </c>
      <c r="R19" s="139">
        <f t="shared" ref="R19:W19" si="11">SUM(R20:R26)</f>
        <v>118112.60996344866</v>
      </c>
      <c r="S19" s="139">
        <f t="shared" si="11"/>
        <v>119161.28920837922</v>
      </c>
      <c r="T19" s="139">
        <f t="shared" si="11"/>
        <v>120233.18791484731</v>
      </c>
      <c r="U19" s="139">
        <f t="shared" si="11"/>
        <v>121216.84413996505</v>
      </c>
      <c r="V19" s="139">
        <f t="shared" si="11"/>
        <v>122111.11111111114</v>
      </c>
      <c r="W19" s="139">
        <f t="shared" si="11"/>
        <v>122876.55854138291</v>
      </c>
      <c r="X19" s="139">
        <f t="shared" ref="X19:Y19" si="12">SUM(X20:X26)</f>
        <v>123525.97177853645</v>
      </c>
      <c r="Y19" s="139">
        <f t="shared" si="12"/>
        <v>124073.57814648599</v>
      </c>
      <c r="DA19" s="169" t="s">
        <v>260</v>
      </c>
    </row>
    <row r="20" spans="1:105" ht="12" customHeight="1" x14ac:dyDescent="0.25">
      <c r="A20" s="131" t="s">
        <v>29</v>
      </c>
      <c r="B20" s="140">
        <v>0</v>
      </c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  <c r="O20" s="140">
        <v>0</v>
      </c>
      <c r="P20" s="140">
        <v>0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0</v>
      </c>
      <c r="DA20" s="170" t="s">
        <v>261</v>
      </c>
    </row>
    <row r="21" spans="1:105" s="2" customFormat="1" ht="12" customHeight="1" x14ac:dyDescent="0.25">
      <c r="A21" s="131" t="s">
        <v>52</v>
      </c>
      <c r="B21" s="140">
        <v>0</v>
      </c>
      <c r="C21" s="140">
        <v>0</v>
      </c>
      <c r="D21" s="140">
        <v>0</v>
      </c>
      <c r="E21" s="140">
        <v>0</v>
      </c>
      <c r="F21" s="140">
        <v>0</v>
      </c>
      <c r="G21" s="140">
        <v>0</v>
      </c>
      <c r="H21" s="140">
        <v>0</v>
      </c>
      <c r="I21" s="140">
        <v>0</v>
      </c>
      <c r="J21" s="140">
        <v>0</v>
      </c>
      <c r="K21" s="140">
        <v>0</v>
      </c>
      <c r="L21" s="140">
        <v>0</v>
      </c>
      <c r="M21" s="140">
        <v>0</v>
      </c>
      <c r="N21" s="140">
        <v>0</v>
      </c>
      <c r="O21" s="140">
        <v>0</v>
      </c>
      <c r="P21" s="140">
        <v>0</v>
      </c>
      <c r="Q21" s="140">
        <v>0</v>
      </c>
      <c r="R21" s="140">
        <v>0</v>
      </c>
      <c r="S21" s="140">
        <v>0</v>
      </c>
      <c r="T21" s="140">
        <v>0</v>
      </c>
      <c r="U21" s="140">
        <v>0</v>
      </c>
      <c r="V21" s="140">
        <v>0</v>
      </c>
      <c r="W21" s="140">
        <v>0</v>
      </c>
      <c r="X21" s="140">
        <v>0</v>
      </c>
      <c r="Y21" s="140">
        <v>0</v>
      </c>
      <c r="DA21" s="170" t="s">
        <v>262</v>
      </c>
    </row>
    <row r="22" spans="1:105" ht="12" customHeight="1" x14ac:dyDescent="0.25">
      <c r="A22" s="131" t="s">
        <v>161</v>
      </c>
      <c r="B22" s="140">
        <v>8083.740434697901</v>
      </c>
      <c r="C22" s="140">
        <v>8234.6954678157563</v>
      </c>
      <c r="D22" s="140">
        <v>8473.6085990592874</v>
      </c>
      <c r="E22" s="140">
        <v>8620.016549360611</v>
      </c>
      <c r="F22" s="140">
        <v>8732.3959237705567</v>
      </c>
      <c r="G22" s="140">
        <v>8788.5247348201428</v>
      </c>
      <c r="H22" s="140">
        <v>8909.5432077114747</v>
      </c>
      <c r="I22" s="140">
        <v>9002.1603053615236</v>
      </c>
      <c r="J22" s="140">
        <v>9146.142773034353</v>
      </c>
      <c r="K22" s="140">
        <v>9340.8898260570622</v>
      </c>
      <c r="L22" s="140">
        <v>9655.9873079523459</v>
      </c>
      <c r="M22" s="140">
        <v>9785.990545118626</v>
      </c>
      <c r="N22" s="140">
        <v>9705.3234927840422</v>
      </c>
      <c r="O22" s="140">
        <v>9498.1765250892731</v>
      </c>
      <c r="P22" s="140">
        <v>9231.7637989265331</v>
      </c>
      <c r="Q22" s="140">
        <v>8955.7238051144777</v>
      </c>
      <c r="R22" s="140">
        <v>8573.1729323820255</v>
      </c>
      <c r="S22" s="140">
        <v>7850.1812818100952</v>
      </c>
      <c r="T22" s="140">
        <v>7108.5714646454217</v>
      </c>
      <c r="U22" s="140">
        <v>6636.6373750773582</v>
      </c>
      <c r="V22" s="140">
        <v>6395.9211515823026</v>
      </c>
      <c r="W22" s="140">
        <v>6240.3321507287837</v>
      </c>
      <c r="X22" s="140">
        <v>5894.3435690781816</v>
      </c>
      <c r="Y22" s="140">
        <v>5421.2585771805816</v>
      </c>
      <c r="DA22" s="170" t="s">
        <v>263</v>
      </c>
    </row>
    <row r="23" spans="1:105" ht="12" customHeight="1" x14ac:dyDescent="0.25">
      <c r="A23" s="131" t="s">
        <v>149</v>
      </c>
      <c r="B23" s="140">
        <v>1385.5612885506941</v>
      </c>
      <c r="C23" s="140">
        <v>1395.8800558095936</v>
      </c>
      <c r="D23" s="140">
        <v>1417.4905905544701</v>
      </c>
      <c r="E23" s="140">
        <v>1439.1687644606036</v>
      </c>
      <c r="F23" s="140">
        <v>1462.3035836520733</v>
      </c>
      <c r="G23" s="140">
        <v>1467.6148009628303</v>
      </c>
      <c r="H23" s="140">
        <v>1453.1893296626545</v>
      </c>
      <c r="I23" s="140">
        <v>1436.5556019631872</v>
      </c>
      <c r="J23" s="140">
        <v>1408.8650359302676</v>
      </c>
      <c r="K23" s="140">
        <v>1366.0836778963192</v>
      </c>
      <c r="L23" s="140">
        <v>1316.2261109020912</v>
      </c>
      <c r="M23" s="140">
        <v>1278.3933481687252</v>
      </c>
      <c r="N23" s="140">
        <v>1245.8542095106473</v>
      </c>
      <c r="O23" s="140">
        <v>1215.4750943717236</v>
      </c>
      <c r="P23" s="140">
        <v>1180.2083202541353</v>
      </c>
      <c r="Q23" s="140">
        <v>1165.7646983025256</v>
      </c>
      <c r="R23" s="140">
        <v>1154.5801035096938</v>
      </c>
      <c r="S23" s="140">
        <v>1130.1191990923853</v>
      </c>
      <c r="T23" s="140">
        <v>1109.4474851560865</v>
      </c>
      <c r="U23" s="140">
        <v>1095.9955421343586</v>
      </c>
      <c r="V23" s="140">
        <v>1086.756572123925</v>
      </c>
      <c r="W23" s="140">
        <v>1028.9338152702185</v>
      </c>
      <c r="X23" s="140">
        <v>1004.6166556961323</v>
      </c>
      <c r="Y23" s="140">
        <v>843.91185469760853</v>
      </c>
      <c r="DA23" s="170" t="s">
        <v>264</v>
      </c>
    </row>
    <row r="24" spans="1:105" ht="12" customHeight="1" x14ac:dyDescent="0.25">
      <c r="A24" s="131" t="s">
        <v>128</v>
      </c>
      <c r="B24" s="140">
        <v>1868.8743165595513</v>
      </c>
      <c r="C24" s="140">
        <v>2097.4070679926367</v>
      </c>
      <c r="D24" s="140">
        <v>2240.952756952468</v>
      </c>
      <c r="E24" s="140">
        <v>2348.9053007938783</v>
      </c>
      <c r="F24" s="140">
        <v>2429.3803566471374</v>
      </c>
      <c r="G24" s="140">
        <v>2507.0430441182384</v>
      </c>
      <c r="H24" s="140">
        <v>2638.9221090957794</v>
      </c>
      <c r="I24" s="140">
        <v>2776.4657449935476</v>
      </c>
      <c r="J24" s="140">
        <v>2940.7629420682097</v>
      </c>
      <c r="K24" s="140">
        <v>3024.2356826008167</v>
      </c>
      <c r="L24" s="140">
        <v>3114.1277820417768</v>
      </c>
      <c r="M24" s="140">
        <v>3171.5484905120625</v>
      </c>
      <c r="N24" s="140">
        <v>3196.9673700550261</v>
      </c>
      <c r="O24" s="140">
        <v>3183.3096648292694</v>
      </c>
      <c r="P24" s="140">
        <v>3222.2659418117628</v>
      </c>
      <c r="Q24" s="140">
        <v>3318.7886441687242</v>
      </c>
      <c r="R24" s="140">
        <v>3538.5468287754084</v>
      </c>
      <c r="S24" s="140">
        <v>3646.149040733967</v>
      </c>
      <c r="T24" s="140">
        <v>3716.759757193212</v>
      </c>
      <c r="U24" s="140">
        <v>3758.3560133035785</v>
      </c>
      <c r="V24" s="140">
        <v>3843.9686521228241</v>
      </c>
      <c r="W24" s="140">
        <v>3967.7608855886569</v>
      </c>
      <c r="X24" s="140">
        <v>3934.4749138491356</v>
      </c>
      <c r="Y24" s="140">
        <v>3828.5503209133485</v>
      </c>
      <c r="DA24" s="170" t="s">
        <v>265</v>
      </c>
    </row>
    <row r="25" spans="1:105" ht="12" customHeight="1" x14ac:dyDescent="0.25">
      <c r="A25" s="131" t="s">
        <v>162</v>
      </c>
      <c r="B25" s="140">
        <v>48464.867614165858</v>
      </c>
      <c r="C25" s="140">
        <v>49716.909834054823</v>
      </c>
      <c r="D25" s="140">
        <v>50573.306851177666</v>
      </c>
      <c r="E25" s="140">
        <v>51265.604919871199</v>
      </c>
      <c r="F25" s="140">
        <v>52623.353704267982</v>
      </c>
      <c r="G25" s="140">
        <v>53896.435463358364</v>
      </c>
      <c r="H25" s="140">
        <v>55822.417790859217</v>
      </c>
      <c r="I25" s="140">
        <v>57652.114648847091</v>
      </c>
      <c r="J25" s="140">
        <v>58265.286405268038</v>
      </c>
      <c r="K25" s="140">
        <v>58069.018695436913</v>
      </c>
      <c r="L25" s="140">
        <v>57696.976885979231</v>
      </c>
      <c r="M25" s="140">
        <v>57137.246326630899</v>
      </c>
      <c r="N25" s="140">
        <v>56449.224416777251</v>
      </c>
      <c r="O25" s="140">
        <v>55829.331495419625</v>
      </c>
      <c r="P25" s="140">
        <v>55327.876337347938</v>
      </c>
      <c r="Q25" s="140">
        <v>54842.387218300777</v>
      </c>
      <c r="R25" s="140">
        <v>54914.742237141741</v>
      </c>
      <c r="S25" s="140">
        <v>54630.876295468028</v>
      </c>
      <c r="T25" s="140">
        <v>54333.012798944212</v>
      </c>
      <c r="U25" s="140">
        <v>53498.133703597574</v>
      </c>
      <c r="V25" s="140">
        <v>53773.394741256045</v>
      </c>
      <c r="W25" s="140">
        <v>55207.026332166832</v>
      </c>
      <c r="X25" s="140">
        <v>56965.106937269797</v>
      </c>
      <c r="Y25" s="140">
        <v>57542.187125533143</v>
      </c>
      <c r="DA25" s="170" t="s">
        <v>266</v>
      </c>
    </row>
    <row r="26" spans="1:105" ht="12" customHeight="1" x14ac:dyDescent="0.25">
      <c r="A26" s="131" t="s">
        <v>24</v>
      </c>
      <c r="B26" s="141">
        <v>42627.157292871154</v>
      </c>
      <c r="C26" s="141">
        <v>42133.801037718637</v>
      </c>
      <c r="D26" s="141">
        <v>41925.64351205522</v>
      </c>
      <c r="E26" s="141">
        <v>41835.664026933075</v>
      </c>
      <c r="F26" s="141">
        <v>41862.488575383919</v>
      </c>
      <c r="G26" s="141">
        <v>41799.573707758005</v>
      </c>
      <c r="H26" s="141">
        <v>41549.002540602894</v>
      </c>
      <c r="I26" s="141">
        <v>41394.724211248555</v>
      </c>
      <c r="J26" s="141">
        <v>41743.73410487303</v>
      </c>
      <c r="K26" s="141">
        <v>42443.739402960629</v>
      </c>
      <c r="L26" s="141">
        <v>43404.806287167805</v>
      </c>
      <c r="M26" s="141">
        <v>44488.112389277958</v>
      </c>
      <c r="N26" s="141">
        <v>45665.334917344589</v>
      </c>
      <c r="O26" s="141">
        <v>46887.593443205573</v>
      </c>
      <c r="P26" s="141">
        <v>48019.304649053483</v>
      </c>
      <c r="Q26" s="141">
        <v>49102.396460148608</v>
      </c>
      <c r="R26" s="141">
        <v>49931.5678616398</v>
      </c>
      <c r="S26" s="141">
        <v>51903.963391274759</v>
      </c>
      <c r="T26" s="141">
        <v>53965.396408908367</v>
      </c>
      <c r="U26" s="141">
        <v>56227.721505852169</v>
      </c>
      <c r="V26" s="141">
        <v>57011.069994026038</v>
      </c>
      <c r="W26" s="141">
        <v>56432.505357628412</v>
      </c>
      <c r="X26" s="141">
        <v>55727.429702643196</v>
      </c>
      <c r="Y26" s="141">
        <v>56437.670268161317</v>
      </c>
      <c r="DA26" s="171" t="s">
        <v>267</v>
      </c>
    </row>
    <row r="27" spans="1:105" ht="12" customHeight="1" x14ac:dyDescent="0.25">
      <c r="A27" s="144" t="s">
        <v>26</v>
      </c>
      <c r="B27" s="150">
        <v>0</v>
      </c>
      <c r="C27" s="150">
        <v>0</v>
      </c>
      <c r="D27" s="150">
        <v>0</v>
      </c>
      <c r="E27" s="150">
        <v>0</v>
      </c>
      <c r="F27" s="150">
        <v>0</v>
      </c>
      <c r="G27" s="150">
        <v>0</v>
      </c>
      <c r="H27" s="150">
        <v>0</v>
      </c>
      <c r="I27" s="150">
        <v>0</v>
      </c>
      <c r="J27" s="150">
        <v>0</v>
      </c>
      <c r="K27" s="150">
        <v>0</v>
      </c>
      <c r="L27" s="150">
        <v>0</v>
      </c>
      <c r="M27" s="150">
        <v>0</v>
      </c>
      <c r="N27" s="150">
        <v>0</v>
      </c>
      <c r="O27" s="150">
        <v>0</v>
      </c>
      <c r="P27" s="150">
        <v>0</v>
      </c>
      <c r="Q27" s="150">
        <v>0</v>
      </c>
      <c r="R27" s="150">
        <v>0</v>
      </c>
      <c r="S27" s="150">
        <v>0</v>
      </c>
      <c r="T27" s="150">
        <v>0</v>
      </c>
      <c r="U27" s="150">
        <v>0</v>
      </c>
      <c r="V27" s="150">
        <v>0</v>
      </c>
      <c r="W27" s="150">
        <v>0</v>
      </c>
      <c r="X27" s="150">
        <v>0</v>
      </c>
      <c r="Y27" s="150">
        <v>0</v>
      </c>
      <c r="DA27" s="173" t="s">
        <v>268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DA28" s="175"/>
    </row>
    <row r="29" spans="1:105" ht="12.95" customHeight="1" x14ac:dyDescent="0.25">
      <c r="A29" s="129" t="s">
        <v>34</v>
      </c>
      <c r="B29" s="139">
        <f t="shared" ref="B29:Q29" si="13">SUM(B30:B33)</f>
        <v>102430.20094684517</v>
      </c>
      <c r="C29" s="139">
        <f t="shared" si="13"/>
        <v>103578.69346339145</v>
      </c>
      <c r="D29" s="139">
        <f t="shared" si="13"/>
        <v>104631.00230979911</v>
      </c>
      <c r="E29" s="139">
        <f t="shared" si="13"/>
        <v>105509.35956141938</v>
      </c>
      <c r="F29" s="139">
        <f t="shared" si="13"/>
        <v>107109.92214372166</v>
      </c>
      <c r="G29" s="139">
        <f t="shared" si="13"/>
        <v>108459.19175101756</v>
      </c>
      <c r="H29" s="139">
        <f t="shared" si="13"/>
        <v>110373.07497793203</v>
      </c>
      <c r="I29" s="139">
        <f t="shared" si="13"/>
        <v>112262.02051241389</v>
      </c>
      <c r="J29" s="139">
        <f t="shared" si="13"/>
        <v>113504.79126117386</v>
      </c>
      <c r="K29" s="139">
        <f t="shared" si="13"/>
        <v>114243.96728495178</v>
      </c>
      <c r="L29" s="139">
        <f t="shared" si="13"/>
        <v>115188.12437404327</v>
      </c>
      <c r="M29" s="139">
        <f t="shared" si="13"/>
        <v>115861.29109970822</v>
      </c>
      <c r="N29" s="139">
        <f t="shared" si="13"/>
        <v>116262.70440647157</v>
      </c>
      <c r="O29" s="139">
        <f t="shared" si="13"/>
        <v>116613.88622291549</v>
      </c>
      <c r="P29" s="139">
        <f t="shared" si="13"/>
        <v>116981.41904739381</v>
      </c>
      <c r="Q29" s="139">
        <f t="shared" si="13"/>
        <v>117385.060826035</v>
      </c>
      <c r="R29" s="139">
        <f t="shared" ref="R29:W29" si="14">SUM(R30:R33)</f>
        <v>118112.60996344865</v>
      </c>
      <c r="S29" s="139">
        <f t="shared" si="14"/>
        <v>119161.28920837905</v>
      </c>
      <c r="T29" s="139">
        <f t="shared" si="14"/>
        <v>120233.18791484722</v>
      </c>
      <c r="U29" s="139">
        <f t="shared" si="14"/>
        <v>121216.84413996524</v>
      </c>
      <c r="V29" s="139">
        <f t="shared" si="14"/>
        <v>122111.11111111112</v>
      </c>
      <c r="W29" s="139">
        <f t="shared" si="14"/>
        <v>122876.55854138287</v>
      </c>
      <c r="X29" s="139">
        <f t="shared" ref="X29:Y29" si="15">SUM(X30:X33)</f>
        <v>123525.97177853648</v>
      </c>
      <c r="Y29" s="139">
        <f t="shared" si="15"/>
        <v>124073.57814648583</v>
      </c>
      <c r="DA29" s="169" t="s">
        <v>269</v>
      </c>
    </row>
    <row r="30" spans="1:105" ht="12" customHeight="1" x14ac:dyDescent="0.25">
      <c r="A30" s="131" t="s">
        <v>52</v>
      </c>
      <c r="B30" s="140">
        <v>0</v>
      </c>
      <c r="C30" s="140">
        <v>0</v>
      </c>
      <c r="D30" s="140">
        <v>0</v>
      </c>
      <c r="E30" s="140">
        <v>0</v>
      </c>
      <c r="F30" s="140">
        <v>0</v>
      </c>
      <c r="G30" s="140">
        <v>0</v>
      </c>
      <c r="H30" s="140">
        <v>0</v>
      </c>
      <c r="I30" s="140">
        <v>0</v>
      </c>
      <c r="J30" s="140">
        <v>0</v>
      </c>
      <c r="K30" s="140">
        <v>0</v>
      </c>
      <c r="L30" s="140">
        <v>0</v>
      </c>
      <c r="M30" s="140">
        <v>0</v>
      </c>
      <c r="N30" s="140">
        <v>0</v>
      </c>
      <c r="O30" s="140">
        <v>0</v>
      </c>
      <c r="P30" s="140">
        <v>0</v>
      </c>
      <c r="Q30" s="140">
        <v>0</v>
      </c>
      <c r="R30" s="140">
        <v>0</v>
      </c>
      <c r="S30" s="140">
        <v>0</v>
      </c>
      <c r="T30" s="140">
        <v>0</v>
      </c>
      <c r="U30" s="140">
        <v>0</v>
      </c>
      <c r="V30" s="140">
        <v>0</v>
      </c>
      <c r="W30" s="140">
        <v>0</v>
      </c>
      <c r="X30" s="140">
        <v>0</v>
      </c>
      <c r="Y30" s="140">
        <v>0</v>
      </c>
      <c r="DA30" s="170" t="s">
        <v>270</v>
      </c>
    </row>
    <row r="31" spans="1:105" ht="12" customHeight="1" x14ac:dyDescent="0.25">
      <c r="A31" s="131" t="s">
        <v>149</v>
      </c>
      <c r="B31" s="140">
        <v>2019.932937630577</v>
      </c>
      <c r="C31" s="140">
        <v>2056.1928816882446</v>
      </c>
      <c r="D31" s="140">
        <v>2106.6189610818647</v>
      </c>
      <c r="E31" s="140">
        <v>2143.9566259424491</v>
      </c>
      <c r="F31" s="140">
        <v>2170.1571044917791</v>
      </c>
      <c r="G31" s="140">
        <v>2180.5321168078763</v>
      </c>
      <c r="H31" s="140">
        <v>2181.8390253815278</v>
      </c>
      <c r="I31" s="140">
        <v>2166.9146669700272</v>
      </c>
      <c r="J31" s="140">
        <v>2121.24840955945</v>
      </c>
      <c r="K31" s="140">
        <v>2012.9200252602418</v>
      </c>
      <c r="L31" s="140">
        <v>1896.3446124331681</v>
      </c>
      <c r="M31" s="140">
        <v>1774.0224962776128</v>
      </c>
      <c r="N31" s="140">
        <v>1697.2942325238459</v>
      </c>
      <c r="O31" s="140">
        <v>1634.6136563810371</v>
      </c>
      <c r="P31" s="140">
        <v>1563.9919374500112</v>
      </c>
      <c r="Q31" s="140">
        <v>1508.27460759517</v>
      </c>
      <c r="R31" s="140">
        <v>1446.7815883544079</v>
      </c>
      <c r="S31" s="140">
        <v>1407.4973377873084</v>
      </c>
      <c r="T31" s="140">
        <v>1307.9187217459153</v>
      </c>
      <c r="U31" s="140">
        <v>1251.9943758777222</v>
      </c>
      <c r="V31" s="140">
        <v>1245.662564667228</v>
      </c>
      <c r="W31" s="140">
        <v>1155.8061804214644</v>
      </c>
      <c r="X31" s="140">
        <v>1072.7800085233869</v>
      </c>
      <c r="Y31" s="140">
        <v>979.45948320211687</v>
      </c>
      <c r="DA31" s="170" t="s">
        <v>271</v>
      </c>
    </row>
    <row r="32" spans="1:105" ht="12" customHeight="1" x14ac:dyDescent="0.25">
      <c r="A32" s="131" t="s">
        <v>128</v>
      </c>
      <c r="B32" s="140">
        <v>0</v>
      </c>
      <c r="C32" s="140">
        <v>0</v>
      </c>
      <c r="D32" s="140">
        <v>0</v>
      </c>
      <c r="E32" s="140">
        <v>0</v>
      </c>
      <c r="F32" s="140">
        <v>0</v>
      </c>
      <c r="G32" s="140">
        <v>0</v>
      </c>
      <c r="H32" s="140">
        <v>0</v>
      </c>
      <c r="I32" s="140">
        <v>0</v>
      </c>
      <c r="J32" s="140">
        <v>0</v>
      </c>
      <c r="K32" s="140">
        <v>0</v>
      </c>
      <c r="L32" s="140">
        <v>0</v>
      </c>
      <c r="M32" s="140">
        <v>0</v>
      </c>
      <c r="N32" s="140">
        <v>0</v>
      </c>
      <c r="O32" s="140">
        <v>0</v>
      </c>
      <c r="P32" s="140">
        <v>0</v>
      </c>
      <c r="Q32" s="140">
        <v>0</v>
      </c>
      <c r="R32" s="140">
        <v>0</v>
      </c>
      <c r="S32" s="140">
        <v>0</v>
      </c>
      <c r="T32" s="140">
        <v>0</v>
      </c>
      <c r="U32" s="140">
        <v>0</v>
      </c>
      <c r="V32" s="140">
        <v>0</v>
      </c>
      <c r="W32" s="140">
        <v>0</v>
      </c>
      <c r="X32" s="140">
        <v>0</v>
      </c>
      <c r="Y32" s="140">
        <v>0</v>
      </c>
      <c r="DA32" s="170" t="s">
        <v>272</v>
      </c>
    </row>
    <row r="33" spans="1:105" ht="12" customHeight="1" x14ac:dyDescent="0.25">
      <c r="A33" s="62" t="s">
        <v>24</v>
      </c>
      <c r="B33" s="152">
        <v>100410.26800921459</v>
      </c>
      <c r="C33" s="152">
        <v>101522.50058170321</v>
      </c>
      <c r="D33" s="152">
        <v>102524.38334871724</v>
      </c>
      <c r="E33" s="152">
        <v>103365.40293547693</v>
      </c>
      <c r="F33" s="152">
        <v>104939.76503922988</v>
      </c>
      <c r="G33" s="152">
        <v>106278.65963420967</v>
      </c>
      <c r="H33" s="152">
        <v>108191.2359525505</v>
      </c>
      <c r="I33" s="152">
        <v>110095.10584544386</v>
      </c>
      <c r="J33" s="152">
        <v>111383.5428516144</v>
      </c>
      <c r="K33" s="152">
        <v>112231.04725969154</v>
      </c>
      <c r="L33" s="152">
        <v>113291.7797616101</v>
      </c>
      <c r="M33" s="152">
        <v>114087.26860343061</v>
      </c>
      <c r="N33" s="152">
        <v>114565.41017394773</v>
      </c>
      <c r="O33" s="152">
        <v>114979.27256653445</v>
      </c>
      <c r="P33" s="152">
        <v>115417.42710994379</v>
      </c>
      <c r="Q33" s="152">
        <v>115876.78621843983</v>
      </c>
      <c r="R33" s="152">
        <v>116665.82837509424</v>
      </c>
      <c r="S33" s="152">
        <v>117753.79187059174</v>
      </c>
      <c r="T33" s="152">
        <v>118925.26919310131</v>
      </c>
      <c r="U33" s="152">
        <v>119964.84976408751</v>
      </c>
      <c r="V33" s="152">
        <v>120865.44854644389</v>
      </c>
      <c r="W33" s="152">
        <v>121720.7523609614</v>
      </c>
      <c r="X33" s="152">
        <v>122453.19177001309</v>
      </c>
      <c r="Y33" s="152">
        <v>123094.11866328372</v>
      </c>
      <c r="DA33" s="175" t="s">
        <v>273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Y15 B19:Y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81</v>
      </c>
      <c r="B3" s="125">
        <f t="shared" ref="B3:Q3" si="0">SUM(B4,B16,B19,B29)</f>
        <v>1903.992910740157</v>
      </c>
      <c r="C3" s="125">
        <f t="shared" si="0"/>
        <v>2086.0936908905719</v>
      </c>
      <c r="D3" s="125">
        <f t="shared" si="0"/>
        <v>2143.8259639212752</v>
      </c>
      <c r="E3" s="125">
        <f t="shared" si="0"/>
        <v>2144.2124091435389</v>
      </c>
      <c r="F3" s="125">
        <f t="shared" si="0"/>
        <v>2140.054959837792</v>
      </c>
      <c r="G3" s="125">
        <f t="shared" si="0"/>
        <v>2120.081026585307</v>
      </c>
      <c r="H3" s="125">
        <f t="shared" si="0"/>
        <v>2164.3075870699317</v>
      </c>
      <c r="I3" s="125">
        <f t="shared" si="0"/>
        <v>2275.7265901177839</v>
      </c>
      <c r="J3" s="125">
        <f t="shared" si="0"/>
        <v>2240.1959859920407</v>
      </c>
      <c r="K3" s="125">
        <f t="shared" si="0"/>
        <v>2473.9594438158056</v>
      </c>
      <c r="L3" s="125">
        <f t="shared" si="0"/>
        <v>2651.2681416124128</v>
      </c>
      <c r="M3" s="125">
        <f t="shared" si="0"/>
        <v>2344.8711107090276</v>
      </c>
      <c r="N3" s="125">
        <f t="shared" si="0"/>
        <v>2522.7673735027211</v>
      </c>
      <c r="O3" s="125">
        <f t="shared" si="0"/>
        <v>2380.423660217597</v>
      </c>
      <c r="P3" s="125">
        <f t="shared" si="0"/>
        <v>2447.3991963673225</v>
      </c>
      <c r="Q3" s="125">
        <f t="shared" si="0"/>
        <v>2279.2690603870465</v>
      </c>
      <c r="R3" s="125">
        <f t="shared" ref="R3:W3" si="1">SUM(R4,R16,R19,R29)</f>
        <v>2424.9955616055622</v>
      </c>
      <c r="S3" s="125">
        <f t="shared" si="1"/>
        <v>2408.508388749985</v>
      </c>
      <c r="T3" s="125">
        <f t="shared" si="1"/>
        <v>2489.3045995195034</v>
      </c>
      <c r="U3" s="125">
        <f t="shared" si="1"/>
        <v>2422.0218505048115</v>
      </c>
      <c r="V3" s="125">
        <f t="shared" si="1"/>
        <v>2199.8783617825511</v>
      </c>
      <c r="W3" s="125">
        <f t="shared" si="1"/>
        <v>2491.8171127152891</v>
      </c>
      <c r="X3" s="125">
        <f t="shared" ref="X3:Y3" si="2">SUM(X4,X16,X19,X29)</f>
        <v>2380.7898147356464</v>
      </c>
      <c r="Y3" s="125">
        <f t="shared" si="2"/>
        <v>2307.0820016370544</v>
      </c>
      <c r="DA3" s="154" t="s">
        <v>213</v>
      </c>
    </row>
    <row r="4" spans="1:105" ht="12.95" customHeight="1" x14ac:dyDescent="0.25">
      <c r="A4" s="129" t="s">
        <v>32</v>
      </c>
      <c r="B4" s="130">
        <f t="shared" ref="B4:Q4" si="3">SUM(B5:B15)</f>
        <v>1496.6344365588918</v>
      </c>
      <c r="C4" s="130">
        <f t="shared" si="3"/>
        <v>1678.3918174702558</v>
      </c>
      <c r="D4" s="130">
        <f t="shared" si="3"/>
        <v>1734.496596505772</v>
      </c>
      <c r="E4" s="130">
        <f t="shared" si="3"/>
        <v>1728.9386479657339</v>
      </c>
      <c r="F4" s="130">
        <f t="shared" si="3"/>
        <v>1719.0083332543393</v>
      </c>
      <c r="G4" s="130">
        <f t="shared" si="3"/>
        <v>1690.3701693094733</v>
      </c>
      <c r="H4" s="130">
        <f t="shared" si="3"/>
        <v>1728.0368861911024</v>
      </c>
      <c r="I4" s="130">
        <f t="shared" si="3"/>
        <v>1837.5040026212514</v>
      </c>
      <c r="J4" s="130">
        <f t="shared" si="3"/>
        <v>1798.1194970562958</v>
      </c>
      <c r="K4" s="130">
        <f t="shared" si="3"/>
        <v>2025.6759514565369</v>
      </c>
      <c r="L4" s="130">
        <f t="shared" si="3"/>
        <v>2198.0711783642641</v>
      </c>
      <c r="M4" s="130">
        <f t="shared" si="3"/>
        <v>1883.6429815536101</v>
      </c>
      <c r="N4" s="130">
        <f t="shared" si="3"/>
        <v>2060.6210590003047</v>
      </c>
      <c r="O4" s="130">
        <f t="shared" si="3"/>
        <v>1914.0640016652033</v>
      </c>
      <c r="P4" s="130">
        <f t="shared" si="3"/>
        <v>1975.3292856323449</v>
      </c>
      <c r="Q4" s="130">
        <f t="shared" si="3"/>
        <v>1801.7882286997485</v>
      </c>
      <c r="R4" s="130">
        <f t="shared" ref="R4:W4" si="4">SUM(R5:R15)</f>
        <v>1943.0833454099318</v>
      </c>
      <c r="S4" s="130">
        <f t="shared" si="4"/>
        <v>1915.412439009405</v>
      </c>
      <c r="T4" s="130">
        <f t="shared" si="4"/>
        <v>1996.7825155174266</v>
      </c>
      <c r="U4" s="130">
        <f t="shared" si="4"/>
        <v>1911.8788405278231</v>
      </c>
      <c r="V4" s="130">
        <f t="shared" si="4"/>
        <v>1729.59324891546</v>
      </c>
      <c r="W4" s="130">
        <f t="shared" si="4"/>
        <v>1975.7113745150359</v>
      </c>
      <c r="X4" s="130">
        <f t="shared" ref="X4:Y4" si="5">SUM(X5:X15)</f>
        <v>1866.9900796887002</v>
      </c>
      <c r="Y4" s="130">
        <f t="shared" si="5"/>
        <v>1790.9383411832466</v>
      </c>
      <c r="DA4" s="155" t="s">
        <v>214</v>
      </c>
    </row>
    <row r="5" spans="1:105" ht="12" customHeight="1" x14ac:dyDescent="0.25">
      <c r="A5" s="131" t="s">
        <v>29</v>
      </c>
      <c r="B5" s="132">
        <v>1.9701633705932931</v>
      </c>
      <c r="C5" s="132">
        <v>2.016423043852106</v>
      </c>
      <c r="D5" s="132">
        <v>2.0030954428202921</v>
      </c>
      <c r="E5" s="132">
        <v>2.0104901117798795</v>
      </c>
      <c r="F5" s="132">
        <v>1.9185726569217538</v>
      </c>
      <c r="G5" s="132">
        <v>1.8723989681857256</v>
      </c>
      <c r="H5" s="132">
        <v>1.9804815133276015</v>
      </c>
      <c r="I5" s="132">
        <v>1.7137575236457443</v>
      </c>
      <c r="J5" s="132">
        <v>2.0935511607910571</v>
      </c>
      <c r="K5" s="132">
        <v>2.3626827171109199</v>
      </c>
      <c r="L5" s="132">
        <v>2.6548581255374035</v>
      </c>
      <c r="M5" s="132">
        <v>2.1534823731728294</v>
      </c>
      <c r="N5" s="132">
        <v>2.5206362854686151</v>
      </c>
      <c r="O5" s="132">
        <v>2.3019776440240758</v>
      </c>
      <c r="P5" s="132">
        <v>2.385124677558041</v>
      </c>
      <c r="Q5" s="132">
        <v>2.1603611349956986</v>
      </c>
      <c r="R5" s="132">
        <v>2.3765262252794499</v>
      </c>
      <c r="S5" s="132">
        <v>2.3693895098882218</v>
      </c>
      <c r="T5" s="132">
        <v>2.4290627687016388</v>
      </c>
      <c r="U5" s="132">
        <v>2.4935511607910583</v>
      </c>
      <c r="V5" s="132">
        <v>2.2377472055030063</v>
      </c>
      <c r="W5" s="132">
        <v>2.4935511607910601</v>
      </c>
      <c r="X5" s="132">
        <v>2.4649183147033553</v>
      </c>
      <c r="Y5" s="132">
        <v>2.4505588993981084</v>
      </c>
      <c r="DA5" s="156" t="s">
        <v>275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276</v>
      </c>
    </row>
    <row r="7" spans="1:105" ht="12" customHeight="1" x14ac:dyDescent="0.25">
      <c r="A7" s="131" t="s">
        <v>161</v>
      </c>
      <c r="B7" s="132">
        <v>321.12170473737842</v>
      </c>
      <c r="C7" s="132">
        <v>333.99590824102756</v>
      </c>
      <c r="D7" s="132">
        <v>325.89759344090862</v>
      </c>
      <c r="E7" s="132">
        <v>319.26814537703825</v>
      </c>
      <c r="F7" s="132">
        <v>307.52674558737999</v>
      </c>
      <c r="G7" s="132">
        <v>290.28327809192422</v>
      </c>
      <c r="H7" s="132">
        <v>286.51055011010749</v>
      </c>
      <c r="I7" s="132">
        <v>272.23999216646286</v>
      </c>
      <c r="J7" s="132">
        <v>218.98195808619133</v>
      </c>
      <c r="K7" s="132">
        <v>244.35961402051606</v>
      </c>
      <c r="L7" s="132">
        <v>293.86525770197142</v>
      </c>
      <c r="M7" s="132">
        <v>247.43076325915752</v>
      </c>
      <c r="N7" s="132">
        <v>273.04494136416082</v>
      </c>
      <c r="O7" s="132">
        <v>242.95962680064446</v>
      </c>
      <c r="P7" s="132">
        <v>242.95412560387464</v>
      </c>
      <c r="Q7" s="132">
        <v>222.01831355580606</v>
      </c>
      <c r="R7" s="132">
        <v>246.29090248239484</v>
      </c>
      <c r="S7" s="132">
        <v>246.20812866870321</v>
      </c>
      <c r="T7" s="132">
        <v>246.90812371203776</v>
      </c>
      <c r="U7" s="132">
        <v>245.83368660606419</v>
      </c>
      <c r="V7" s="132">
        <v>223.59527694126601</v>
      </c>
      <c r="W7" s="132">
        <v>262.50779760550142</v>
      </c>
      <c r="X7" s="132">
        <v>247.36501893573262</v>
      </c>
      <c r="Y7" s="132">
        <v>249.25981545129187</v>
      </c>
      <c r="DA7" s="156" t="s">
        <v>277</v>
      </c>
    </row>
    <row r="8" spans="1:105" ht="12" customHeight="1" x14ac:dyDescent="0.25">
      <c r="A8" s="131" t="s">
        <v>73</v>
      </c>
      <c r="B8" s="132">
        <v>0</v>
      </c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278</v>
      </c>
    </row>
    <row r="9" spans="1:105" ht="12" customHeight="1" x14ac:dyDescent="0.25">
      <c r="A9" s="131" t="s">
        <v>78</v>
      </c>
      <c r="B9" s="132">
        <v>27.928014509480512</v>
      </c>
      <c r="C9" s="132">
        <v>26.660931371197329</v>
      </c>
      <c r="D9" s="132">
        <v>31.257236322510362</v>
      </c>
      <c r="E9" s="132">
        <v>31.852095856869713</v>
      </c>
      <c r="F9" s="132">
        <v>35.113424489088558</v>
      </c>
      <c r="G9" s="132">
        <v>34.523273159591454</v>
      </c>
      <c r="H9" s="132">
        <v>32.506042888235271</v>
      </c>
      <c r="I9" s="132">
        <v>31.423594930503796</v>
      </c>
      <c r="J9" s="132">
        <v>30.532696247648786</v>
      </c>
      <c r="K9" s="132">
        <v>30.312317815076405</v>
      </c>
      <c r="L9" s="132">
        <v>33.506086745584575</v>
      </c>
      <c r="M9" s="132">
        <v>43.733014944796494</v>
      </c>
      <c r="N9" s="132">
        <v>48.116658089765274</v>
      </c>
      <c r="O9" s="132">
        <v>42.105464095323157</v>
      </c>
      <c r="P9" s="132">
        <v>38.011866897505719</v>
      </c>
      <c r="Q9" s="132">
        <v>33.770367560333554</v>
      </c>
      <c r="R9" s="132">
        <v>34.087707823504104</v>
      </c>
      <c r="S9" s="132">
        <v>41.218070315744825</v>
      </c>
      <c r="T9" s="132">
        <v>37.95620569219308</v>
      </c>
      <c r="U9" s="132">
        <v>36.89432789605587</v>
      </c>
      <c r="V9" s="132">
        <v>33.141237234302722</v>
      </c>
      <c r="W9" s="132">
        <v>41.379685771693723</v>
      </c>
      <c r="X9" s="132">
        <v>35.213500480891256</v>
      </c>
      <c r="Y9" s="132">
        <v>26.808910203803674</v>
      </c>
      <c r="DA9" s="156" t="s">
        <v>279</v>
      </c>
    </row>
    <row r="10" spans="1:105" ht="12" customHeight="1" x14ac:dyDescent="0.25">
      <c r="A10" s="131" t="s">
        <v>128</v>
      </c>
      <c r="B10" s="132">
        <v>46.969011177987952</v>
      </c>
      <c r="C10" s="132">
        <v>53.02743251942271</v>
      </c>
      <c r="D10" s="132">
        <v>54.711459137654259</v>
      </c>
      <c r="E10" s="132">
        <v>55.526456979494696</v>
      </c>
      <c r="F10" s="132">
        <v>55.052487936012554</v>
      </c>
      <c r="G10" s="132">
        <v>54.97195064208384</v>
      </c>
      <c r="H10" s="132">
        <v>56.891940630959034</v>
      </c>
      <c r="I10" s="132">
        <v>56.59259428893602</v>
      </c>
      <c r="J10" s="132">
        <v>61.678457968203681</v>
      </c>
      <c r="K10" s="132">
        <v>66.594725043807557</v>
      </c>
      <c r="L10" s="132">
        <v>74.768726669689272</v>
      </c>
      <c r="M10" s="132">
        <v>64.33118522200995</v>
      </c>
      <c r="N10" s="132">
        <v>71.391715165424287</v>
      </c>
      <c r="O10" s="132">
        <v>65.229942665355537</v>
      </c>
      <c r="P10" s="132">
        <v>67.109266395311863</v>
      </c>
      <c r="Q10" s="132">
        <v>61.150802217007701</v>
      </c>
      <c r="R10" s="132">
        <v>68.499909032403664</v>
      </c>
      <c r="S10" s="132">
        <v>69.293000114970255</v>
      </c>
      <c r="T10" s="132">
        <v>71.204082187947691</v>
      </c>
      <c r="U10" s="132">
        <v>69.885106789754246</v>
      </c>
      <c r="V10" s="132">
        <v>63.637025900928172</v>
      </c>
      <c r="W10" s="132">
        <v>76.128373389463945</v>
      </c>
      <c r="X10" s="132">
        <v>79.185939341378315</v>
      </c>
      <c r="Y10" s="132">
        <v>72.032478912078915</v>
      </c>
      <c r="DA10" s="156" t="s">
        <v>280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281</v>
      </c>
    </row>
    <row r="12" spans="1:105" ht="12" customHeight="1" x14ac:dyDescent="0.25">
      <c r="A12" s="131" t="s">
        <v>162</v>
      </c>
      <c r="B12" s="132">
        <v>665.61438010592326</v>
      </c>
      <c r="C12" s="132">
        <v>768.51940432660683</v>
      </c>
      <c r="D12" s="132">
        <v>796.49620164884607</v>
      </c>
      <c r="E12" s="132">
        <v>811.53367028640844</v>
      </c>
      <c r="F12" s="132">
        <v>787.63087345628276</v>
      </c>
      <c r="G12" s="132">
        <v>769.83210341567997</v>
      </c>
      <c r="H12" s="132">
        <v>793.02538276863902</v>
      </c>
      <c r="I12" s="132">
        <v>909.9470993102118</v>
      </c>
      <c r="J12" s="132">
        <v>903.22233317123948</v>
      </c>
      <c r="K12" s="132">
        <v>1055.2232434484981</v>
      </c>
      <c r="L12" s="132">
        <v>1127.0530872275192</v>
      </c>
      <c r="M12" s="132">
        <v>920.41223842857073</v>
      </c>
      <c r="N12" s="132">
        <v>1015.4567950247496</v>
      </c>
      <c r="O12" s="132">
        <v>952.67316065843147</v>
      </c>
      <c r="P12" s="132">
        <v>1034.0190032772614</v>
      </c>
      <c r="Q12" s="132">
        <v>907.39239215667703</v>
      </c>
      <c r="R12" s="132">
        <v>1003.7090768516017</v>
      </c>
      <c r="S12" s="132">
        <v>996.11189939104861</v>
      </c>
      <c r="T12" s="132">
        <v>1014.773065828964</v>
      </c>
      <c r="U12" s="132">
        <v>980.67592235705956</v>
      </c>
      <c r="V12" s="132">
        <v>889.88704458664438</v>
      </c>
      <c r="W12" s="132">
        <v>1050.9963040516093</v>
      </c>
      <c r="X12" s="132">
        <v>963.0770061021484</v>
      </c>
      <c r="Y12" s="132">
        <v>972.5199739570121</v>
      </c>
      <c r="DA12" s="156" t="s">
        <v>282</v>
      </c>
    </row>
    <row r="13" spans="1:105" ht="12" customHeight="1" x14ac:dyDescent="0.25">
      <c r="A13" s="131" t="s">
        <v>77</v>
      </c>
      <c r="B13" s="132">
        <v>3.5340337243829483</v>
      </c>
      <c r="C13" s="132">
        <v>3.9059947003226418</v>
      </c>
      <c r="D13" s="132">
        <v>4.3247091688617347</v>
      </c>
      <c r="E13" s="132">
        <v>4.7914815134042286</v>
      </c>
      <c r="F13" s="132">
        <v>5.3601595247646889</v>
      </c>
      <c r="G13" s="132">
        <v>5.9366877696475777</v>
      </c>
      <c r="H13" s="132">
        <v>6.5733878254409879</v>
      </c>
      <c r="I13" s="132">
        <v>7.2433602126717904</v>
      </c>
      <c r="J13" s="132">
        <v>7.9888811586387938</v>
      </c>
      <c r="K13" s="132">
        <v>8.8348167509417479</v>
      </c>
      <c r="L13" s="132">
        <v>9.7970788295686582</v>
      </c>
      <c r="M13" s="132">
        <v>11.014969942737071</v>
      </c>
      <c r="N13" s="132">
        <v>12.44239393018634</v>
      </c>
      <c r="O13" s="132">
        <v>14.061869027886651</v>
      </c>
      <c r="P13" s="132">
        <v>15.908610187411156</v>
      </c>
      <c r="Q13" s="132">
        <v>18.76519073033807</v>
      </c>
      <c r="R13" s="132">
        <v>19.714671645189998</v>
      </c>
      <c r="S13" s="132">
        <v>21.20297832402871</v>
      </c>
      <c r="T13" s="132">
        <v>23.331972502772121</v>
      </c>
      <c r="U13" s="132">
        <v>24.631299462857694</v>
      </c>
      <c r="V13" s="132">
        <v>24.703480425038702</v>
      </c>
      <c r="W13" s="132">
        <v>32.049735960300339</v>
      </c>
      <c r="X13" s="132">
        <v>34.061957115392687</v>
      </c>
      <c r="Y13" s="132">
        <v>39.8338268800535</v>
      </c>
      <c r="DA13" s="156" t="s">
        <v>283</v>
      </c>
    </row>
    <row r="14" spans="1:105" ht="12" customHeight="1" x14ac:dyDescent="0.25">
      <c r="A14" s="60" t="s">
        <v>76</v>
      </c>
      <c r="B14" s="65">
        <v>423.55086433569596</v>
      </c>
      <c r="C14" s="65">
        <v>483.89939805076978</v>
      </c>
      <c r="D14" s="65">
        <v>513.44950960009521</v>
      </c>
      <c r="E14" s="65">
        <v>497.67399395236254</v>
      </c>
      <c r="F14" s="65">
        <v>520.35090089593359</v>
      </c>
      <c r="G14" s="65">
        <v>527.17108047921113</v>
      </c>
      <c r="H14" s="65">
        <v>544.78302615668872</v>
      </c>
      <c r="I14" s="65">
        <v>552.35423760866058</v>
      </c>
      <c r="J14" s="65">
        <v>568.1252864290276</v>
      </c>
      <c r="K14" s="65">
        <v>611.75253421037064</v>
      </c>
      <c r="L14" s="65">
        <v>649.44512685149402</v>
      </c>
      <c r="M14" s="65">
        <v>588.60935791295776</v>
      </c>
      <c r="N14" s="65">
        <v>631.01704810041554</v>
      </c>
      <c r="O14" s="65">
        <v>588.61183741958132</v>
      </c>
      <c r="P14" s="65">
        <v>568.60063965141615</v>
      </c>
      <c r="Q14" s="65">
        <v>550.86900328233264</v>
      </c>
      <c r="R14" s="65">
        <v>562.13543136693613</v>
      </c>
      <c r="S14" s="65">
        <v>532.64235014683538</v>
      </c>
      <c r="T14" s="65">
        <v>593.71926889136364</v>
      </c>
      <c r="U14" s="65">
        <v>545.0799340239397</v>
      </c>
      <c r="V14" s="65">
        <v>486.5362263422553</v>
      </c>
      <c r="W14" s="65">
        <v>503.17172223990707</v>
      </c>
      <c r="X14" s="65">
        <v>499.07621808397107</v>
      </c>
      <c r="Y14" s="65">
        <v>421.49067095948743</v>
      </c>
      <c r="DA14" s="109" t="s">
        <v>284</v>
      </c>
    </row>
    <row r="15" spans="1:105" ht="12" customHeight="1" x14ac:dyDescent="0.25">
      <c r="A15" s="133" t="s">
        <v>80</v>
      </c>
      <c r="B15" s="134">
        <v>5.9462645974493897</v>
      </c>
      <c r="C15" s="134">
        <v>6.3663252170567493</v>
      </c>
      <c r="D15" s="134">
        <v>6.3567917440751822</v>
      </c>
      <c r="E15" s="134">
        <v>6.2823138883761809</v>
      </c>
      <c r="F15" s="134">
        <v>6.0551687079552394</v>
      </c>
      <c r="G15" s="134">
        <v>5.7793967831496555</v>
      </c>
      <c r="H15" s="134">
        <v>5.7660742977043418</v>
      </c>
      <c r="I15" s="134">
        <v>5.9893665801586202</v>
      </c>
      <c r="J15" s="134">
        <v>5.4963328345549023</v>
      </c>
      <c r="K15" s="134">
        <v>6.2360174502154155</v>
      </c>
      <c r="L15" s="134">
        <v>6.9809562128996827</v>
      </c>
      <c r="M15" s="134">
        <v>5.9579694702075834</v>
      </c>
      <c r="N15" s="134">
        <v>6.6308710401341102</v>
      </c>
      <c r="O15" s="134">
        <v>6.1201233539567763</v>
      </c>
      <c r="P15" s="134">
        <v>6.3406489420061556</v>
      </c>
      <c r="Q15" s="134">
        <v>5.6617980622578283</v>
      </c>
      <c r="R15" s="134">
        <v>6.2691199826220982</v>
      </c>
      <c r="S15" s="134">
        <v>6.3666225381860766</v>
      </c>
      <c r="T15" s="134">
        <v>6.4607339334468641</v>
      </c>
      <c r="U15" s="134">
        <v>6.3850122313007773</v>
      </c>
      <c r="V15" s="134">
        <v>5.8552102795217706</v>
      </c>
      <c r="W15" s="134">
        <v>6.9842043357690589</v>
      </c>
      <c r="X15" s="134">
        <v>6.5455213144822864</v>
      </c>
      <c r="Y15" s="134">
        <v>6.5421059201210863</v>
      </c>
      <c r="DA15" s="157" t="s">
        <v>285</v>
      </c>
    </row>
    <row r="16" spans="1:105" ht="12.95" customHeight="1" x14ac:dyDescent="0.25">
      <c r="A16" s="129" t="s">
        <v>74</v>
      </c>
      <c r="B16" s="130">
        <f t="shared" ref="B16:Q16" si="6">SUM(B17:B18)</f>
        <v>11.472550861423928</v>
      </c>
      <c r="C16" s="130">
        <f t="shared" si="6"/>
        <v>11.641327877321574</v>
      </c>
      <c r="D16" s="130">
        <f t="shared" si="6"/>
        <v>12.022679897235877</v>
      </c>
      <c r="E16" s="130">
        <f t="shared" si="6"/>
        <v>12.899808143165378</v>
      </c>
      <c r="F16" s="130">
        <f t="shared" si="6"/>
        <v>12.787943505728428</v>
      </c>
      <c r="G16" s="130">
        <f t="shared" si="6"/>
        <v>13.451130580315453</v>
      </c>
      <c r="H16" s="130">
        <f t="shared" si="6"/>
        <v>14.019119675741356</v>
      </c>
      <c r="I16" s="130">
        <f t="shared" si="6"/>
        <v>14.803514442209837</v>
      </c>
      <c r="J16" s="130">
        <f t="shared" si="6"/>
        <v>15.632418312141841</v>
      </c>
      <c r="K16" s="130">
        <f t="shared" si="6"/>
        <v>16.308212427380884</v>
      </c>
      <c r="L16" s="130">
        <f t="shared" si="6"/>
        <v>17.849902841350932</v>
      </c>
      <c r="M16" s="130">
        <f t="shared" si="6"/>
        <v>16.873120143408158</v>
      </c>
      <c r="N16" s="130">
        <f t="shared" si="6"/>
        <v>16.467675765827231</v>
      </c>
      <c r="O16" s="130">
        <f t="shared" si="6"/>
        <v>16.357534554472291</v>
      </c>
      <c r="P16" s="130">
        <f t="shared" si="6"/>
        <v>16.463320005075346</v>
      </c>
      <c r="Q16" s="130">
        <f t="shared" si="6"/>
        <v>16.174735323115964</v>
      </c>
      <c r="R16" s="130">
        <f t="shared" ref="R16:W16" si="7">SUM(R17:R18)</f>
        <v>16.225759694959446</v>
      </c>
      <c r="S16" s="130">
        <f t="shared" si="7"/>
        <v>15.81127290738122</v>
      </c>
      <c r="T16" s="130">
        <f t="shared" si="7"/>
        <v>15.453097162044921</v>
      </c>
      <c r="U16" s="130">
        <f t="shared" si="7"/>
        <v>15.4090498092516</v>
      </c>
      <c r="V16" s="130">
        <f t="shared" si="7"/>
        <v>15.25384048819201</v>
      </c>
      <c r="W16" s="130">
        <f t="shared" si="7"/>
        <v>14.828642649926234</v>
      </c>
      <c r="X16" s="130">
        <f t="shared" ref="X16:Y16" si="8">SUM(X17:X18)</f>
        <v>14.807877362327776</v>
      </c>
      <c r="Y16" s="130">
        <f t="shared" si="8"/>
        <v>14.994718832484226</v>
      </c>
      <c r="DA16" s="155" t="s">
        <v>215</v>
      </c>
    </row>
    <row r="17" spans="1:105" ht="12.95" customHeight="1" x14ac:dyDescent="0.25">
      <c r="A17" s="131" t="s">
        <v>73</v>
      </c>
      <c r="B17" s="132">
        <v>0</v>
      </c>
      <c r="C17" s="132">
        <v>0</v>
      </c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32">
        <v>0</v>
      </c>
      <c r="J17" s="132">
        <v>0</v>
      </c>
      <c r="K17" s="132">
        <v>0</v>
      </c>
      <c r="L17" s="132">
        <v>0</v>
      </c>
      <c r="M17" s="132">
        <v>0</v>
      </c>
      <c r="N17" s="132">
        <v>0</v>
      </c>
      <c r="O17" s="132">
        <v>0</v>
      </c>
      <c r="P17" s="132">
        <v>0</v>
      </c>
      <c r="Q17" s="132">
        <v>0</v>
      </c>
      <c r="R17" s="132">
        <v>0</v>
      </c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32">
        <v>0</v>
      </c>
      <c r="Y17" s="132">
        <v>0</v>
      </c>
      <c r="DA17" s="156" t="s">
        <v>286</v>
      </c>
    </row>
    <row r="18" spans="1:105" ht="12" customHeight="1" x14ac:dyDescent="0.25">
      <c r="A18" s="131" t="s">
        <v>72</v>
      </c>
      <c r="B18" s="132">
        <v>11.472550861423928</v>
      </c>
      <c r="C18" s="132">
        <v>11.641327877321574</v>
      </c>
      <c r="D18" s="132">
        <v>12.022679897235877</v>
      </c>
      <c r="E18" s="132">
        <v>12.899808143165378</v>
      </c>
      <c r="F18" s="132">
        <v>12.787943505728428</v>
      </c>
      <c r="G18" s="132">
        <v>13.451130580315453</v>
      </c>
      <c r="H18" s="132">
        <v>14.019119675741356</v>
      </c>
      <c r="I18" s="132">
        <v>14.803514442209837</v>
      </c>
      <c r="J18" s="132">
        <v>15.632418312141841</v>
      </c>
      <c r="K18" s="132">
        <v>16.308212427380884</v>
      </c>
      <c r="L18" s="132">
        <v>17.849902841350932</v>
      </c>
      <c r="M18" s="132">
        <v>16.873120143408158</v>
      </c>
      <c r="N18" s="132">
        <v>16.467675765827231</v>
      </c>
      <c r="O18" s="132">
        <v>16.357534554472291</v>
      </c>
      <c r="P18" s="132">
        <v>16.463320005075346</v>
      </c>
      <c r="Q18" s="132">
        <v>16.174735323115964</v>
      </c>
      <c r="R18" s="132">
        <v>16.225759694959446</v>
      </c>
      <c r="S18" s="132">
        <v>15.81127290738122</v>
      </c>
      <c r="T18" s="132">
        <v>15.453097162044921</v>
      </c>
      <c r="U18" s="132">
        <v>15.4090498092516</v>
      </c>
      <c r="V18" s="132">
        <v>15.25384048819201</v>
      </c>
      <c r="W18" s="132">
        <v>14.828642649926234</v>
      </c>
      <c r="X18" s="132">
        <v>14.807877362327776</v>
      </c>
      <c r="Y18" s="132">
        <v>14.994718832484226</v>
      </c>
      <c r="DA18" s="156" t="s">
        <v>287</v>
      </c>
    </row>
    <row r="19" spans="1:105" ht="12.95" customHeight="1" x14ac:dyDescent="0.25">
      <c r="A19" s="129" t="s">
        <v>35</v>
      </c>
      <c r="B19" s="130">
        <f t="shared" ref="B19:Q19" si="9">SUM(B20:B27)</f>
        <v>204.99939679757375</v>
      </c>
      <c r="C19" s="130">
        <f t="shared" si="9"/>
        <v>206.8752611407694</v>
      </c>
      <c r="D19" s="130">
        <f t="shared" si="9"/>
        <v>208.03696490141493</v>
      </c>
      <c r="E19" s="130">
        <f t="shared" si="9"/>
        <v>211.00141909368696</v>
      </c>
      <c r="F19" s="130">
        <f t="shared" si="9"/>
        <v>212.62111778832204</v>
      </c>
      <c r="G19" s="130">
        <f t="shared" si="9"/>
        <v>217.03571286996163</v>
      </c>
      <c r="H19" s="130">
        <f t="shared" si="9"/>
        <v>218.52546107829437</v>
      </c>
      <c r="I19" s="130">
        <f t="shared" si="9"/>
        <v>219.63032741981488</v>
      </c>
      <c r="J19" s="130">
        <f t="shared" si="9"/>
        <v>221.75457892166548</v>
      </c>
      <c r="K19" s="130">
        <f t="shared" si="9"/>
        <v>223.55423618476914</v>
      </c>
      <c r="L19" s="130">
        <f t="shared" si="9"/>
        <v>227.61474856141569</v>
      </c>
      <c r="M19" s="130">
        <f t="shared" si="9"/>
        <v>230.47328186341497</v>
      </c>
      <c r="N19" s="130">
        <f t="shared" si="9"/>
        <v>232.4027002587365</v>
      </c>
      <c r="O19" s="130">
        <f t="shared" si="9"/>
        <v>234.30817472368915</v>
      </c>
      <c r="P19" s="130">
        <f t="shared" si="9"/>
        <v>237.34898125114984</v>
      </c>
      <c r="Q19" s="130">
        <f t="shared" si="9"/>
        <v>239.27936721224751</v>
      </c>
      <c r="R19" s="130">
        <f t="shared" ref="R19:W19" si="10">SUM(R20:R27)</f>
        <v>238.33974715960511</v>
      </c>
      <c r="S19" s="130">
        <f t="shared" si="10"/>
        <v>241.65239675944389</v>
      </c>
      <c r="T19" s="130">
        <f t="shared" si="10"/>
        <v>242.02209615417701</v>
      </c>
      <c r="U19" s="130">
        <f t="shared" si="10"/>
        <v>245.54984706004677</v>
      </c>
      <c r="V19" s="130">
        <f t="shared" si="10"/>
        <v>223.79237813866797</v>
      </c>
      <c r="W19" s="130">
        <f t="shared" si="10"/>
        <v>246.73666724465193</v>
      </c>
      <c r="X19" s="130">
        <f t="shared" ref="X19:Y19" si="11">SUM(X20:X27)</f>
        <v>245.99407897143385</v>
      </c>
      <c r="Y19" s="130">
        <f t="shared" si="11"/>
        <v>246.26610385050355</v>
      </c>
      <c r="DA19" s="155" t="s">
        <v>216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288</v>
      </c>
    </row>
    <row r="21" spans="1:105" s="2" customFormat="1" ht="12" customHeight="1" x14ac:dyDescent="0.25">
      <c r="A21" s="131" t="s">
        <v>52</v>
      </c>
      <c r="B21" s="132">
        <v>0</v>
      </c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289</v>
      </c>
    </row>
    <row r="22" spans="1:105" ht="12" customHeight="1" x14ac:dyDescent="0.25">
      <c r="A22" s="131" t="s">
        <v>161</v>
      </c>
      <c r="B22" s="132">
        <v>21.438226475003329</v>
      </c>
      <c r="C22" s="132">
        <v>21.7340143729019</v>
      </c>
      <c r="D22" s="132">
        <v>22.643077238369045</v>
      </c>
      <c r="E22" s="132">
        <v>23.064872679711542</v>
      </c>
      <c r="F22" s="132">
        <v>23.205584593187695</v>
      </c>
      <c r="G22" s="132">
        <v>23.151803593372303</v>
      </c>
      <c r="H22" s="132">
        <v>23.643706123770347</v>
      </c>
      <c r="I22" s="132">
        <v>23.669896053657489</v>
      </c>
      <c r="J22" s="132">
        <v>23.66713907631928</v>
      </c>
      <c r="K22" s="132">
        <v>23.746490880601726</v>
      </c>
      <c r="L22" s="132">
        <v>25.891922005681415</v>
      </c>
      <c r="M22" s="132">
        <v>26.176029518142578</v>
      </c>
      <c r="N22" s="132">
        <v>25.541215127670956</v>
      </c>
      <c r="O22" s="132">
        <v>25.250347403998472</v>
      </c>
      <c r="P22" s="132">
        <v>24.233578609367026</v>
      </c>
      <c r="Q22" s="132">
        <v>23.825108628201093</v>
      </c>
      <c r="R22" s="132">
        <v>23.886741541680664</v>
      </c>
      <c r="S22" s="132">
        <v>20.958595320978617</v>
      </c>
      <c r="T22" s="132">
        <v>18.096089529578755</v>
      </c>
      <c r="U22" s="132">
        <v>17.188325431769197</v>
      </c>
      <c r="V22" s="132">
        <v>15.031894167934086</v>
      </c>
      <c r="W22" s="132">
        <v>16.912580726398716</v>
      </c>
      <c r="X22" s="132">
        <v>14.803682697973013</v>
      </c>
      <c r="Y22" s="132">
        <v>12.80983201216427</v>
      </c>
      <c r="DA22" s="156" t="s">
        <v>290</v>
      </c>
    </row>
    <row r="23" spans="1:105" ht="12" customHeight="1" x14ac:dyDescent="0.25">
      <c r="A23" s="131" t="s">
        <v>149</v>
      </c>
      <c r="B23" s="132">
        <v>3.6055458010284287</v>
      </c>
      <c r="C23" s="132">
        <v>3.6043504361178549</v>
      </c>
      <c r="D23" s="132">
        <v>3.6353836583631831</v>
      </c>
      <c r="E23" s="132">
        <v>3.6568004575753603</v>
      </c>
      <c r="F23" s="132">
        <v>3.7477101087595939</v>
      </c>
      <c r="G23" s="132">
        <v>3.7857969121950368</v>
      </c>
      <c r="H23" s="132">
        <v>3.5970531081394559</v>
      </c>
      <c r="I23" s="132">
        <v>3.5458167729383843</v>
      </c>
      <c r="J23" s="132">
        <v>3.4959605607562021</v>
      </c>
      <c r="K23" s="132">
        <v>3.3305691228742522</v>
      </c>
      <c r="L23" s="132">
        <v>3.1442369062191826</v>
      </c>
      <c r="M23" s="132">
        <v>3.0722524344651796</v>
      </c>
      <c r="N23" s="132">
        <v>2.981404702989062</v>
      </c>
      <c r="O23" s="132">
        <v>2.8872073419914259</v>
      </c>
      <c r="P23" s="132">
        <v>2.7945728622090154</v>
      </c>
      <c r="Q23" s="132">
        <v>2.7309535478165259</v>
      </c>
      <c r="R23" s="132">
        <v>2.608400162504473</v>
      </c>
      <c r="S23" s="132">
        <v>2.9091205806056215</v>
      </c>
      <c r="T23" s="132">
        <v>2.481844393518382</v>
      </c>
      <c r="U23" s="132">
        <v>2.3113691133461458</v>
      </c>
      <c r="V23" s="132">
        <v>2.1863830367592487</v>
      </c>
      <c r="W23" s="132">
        <v>2.6622822007641269</v>
      </c>
      <c r="X23" s="132">
        <v>2.2702374082372825</v>
      </c>
      <c r="Y23" s="132">
        <v>1.6416114323659223</v>
      </c>
      <c r="DA23" s="156" t="s">
        <v>291</v>
      </c>
    </row>
    <row r="24" spans="1:105" ht="12" customHeight="1" x14ac:dyDescent="0.25">
      <c r="A24" s="131" t="s">
        <v>128</v>
      </c>
      <c r="B24" s="132">
        <v>5.2187790197764379</v>
      </c>
      <c r="C24" s="132">
        <v>6.4452244023313767</v>
      </c>
      <c r="D24" s="132">
        <v>6.5764170446329375</v>
      </c>
      <c r="E24" s="132">
        <v>6.5734570359825204</v>
      </c>
      <c r="F24" s="132">
        <v>6.6892145575386017</v>
      </c>
      <c r="G24" s="132">
        <v>6.6980407594638613</v>
      </c>
      <c r="H24" s="132">
        <v>6.8799424300900043</v>
      </c>
      <c r="I24" s="132">
        <v>6.9643274651482194</v>
      </c>
      <c r="J24" s="132">
        <v>7.5629865717790929</v>
      </c>
      <c r="K24" s="132">
        <v>7.2563497627272691</v>
      </c>
      <c r="L24" s="132">
        <v>7.442107380181695</v>
      </c>
      <c r="M24" s="132">
        <v>7.5854097908877272</v>
      </c>
      <c r="N24" s="132">
        <v>7.4989985061148836</v>
      </c>
      <c r="O24" s="132">
        <v>7.283642889244641</v>
      </c>
      <c r="P24" s="132">
        <v>7.2912495118248444</v>
      </c>
      <c r="Q24" s="132">
        <v>7.2547007924506506</v>
      </c>
      <c r="R24" s="132">
        <v>8.3607100561605332</v>
      </c>
      <c r="S24" s="132">
        <v>8.2602243046342636</v>
      </c>
      <c r="T24" s="132">
        <v>8.3554191018201696</v>
      </c>
      <c r="U24" s="132">
        <v>8.3369052480789509</v>
      </c>
      <c r="V24" s="132">
        <v>7.4911770225456014</v>
      </c>
      <c r="W24" s="132">
        <v>9.1635440653941291</v>
      </c>
      <c r="X24" s="132">
        <v>9.1869755339441621</v>
      </c>
      <c r="Y24" s="132">
        <v>8.0765494628137233</v>
      </c>
      <c r="DA24" s="156" t="s">
        <v>292</v>
      </c>
    </row>
    <row r="25" spans="1:105" ht="12" customHeight="1" x14ac:dyDescent="0.25">
      <c r="A25" s="131" t="s">
        <v>162</v>
      </c>
      <c r="B25" s="132">
        <v>84.38561989407674</v>
      </c>
      <c r="C25" s="132">
        <v>87.146029895233269</v>
      </c>
      <c r="D25" s="132">
        <v>87.806807809451371</v>
      </c>
      <c r="E25" s="132">
        <v>89.751282422104069</v>
      </c>
      <c r="F25" s="132">
        <v>91.298103327895873</v>
      </c>
      <c r="G25" s="132">
        <v>94.216821777785142</v>
      </c>
      <c r="H25" s="132">
        <v>97.248821874525447</v>
      </c>
      <c r="I25" s="132">
        <v>100.56210103372621</v>
      </c>
      <c r="J25" s="132">
        <v>100.74258514346383</v>
      </c>
      <c r="K25" s="132">
        <v>101.19687692983435</v>
      </c>
      <c r="L25" s="132">
        <v>100.68646565296194</v>
      </c>
      <c r="M25" s="132">
        <v>100.31957584485963</v>
      </c>
      <c r="N25" s="132">
        <v>100.2640992142873</v>
      </c>
      <c r="O25" s="132">
        <v>100.39837846452633</v>
      </c>
      <c r="P25" s="132">
        <v>100.45124607785496</v>
      </c>
      <c r="Q25" s="132">
        <v>100.01182108493967</v>
      </c>
      <c r="R25" s="132">
        <v>101.35928084401324</v>
      </c>
      <c r="S25" s="132">
        <v>100.71621754790263</v>
      </c>
      <c r="T25" s="132">
        <v>102.73914397327236</v>
      </c>
      <c r="U25" s="132">
        <v>98.573088820929172</v>
      </c>
      <c r="V25" s="132">
        <v>89.452766247404099</v>
      </c>
      <c r="W25" s="132">
        <v>105.82992122783986</v>
      </c>
      <c r="X25" s="132">
        <v>108.4334840096315</v>
      </c>
      <c r="Y25" s="132">
        <v>109.61914900085473</v>
      </c>
      <c r="DA25" s="156" t="s">
        <v>293</v>
      </c>
    </row>
    <row r="26" spans="1:105" ht="12" customHeight="1" x14ac:dyDescent="0.25">
      <c r="A26" s="131" t="s">
        <v>24</v>
      </c>
      <c r="B26" s="65">
        <v>90.351225607688804</v>
      </c>
      <c r="C26" s="65">
        <v>87.945642034184985</v>
      </c>
      <c r="D26" s="65">
        <v>87.375279150598402</v>
      </c>
      <c r="E26" s="65">
        <v>87.95500649831348</v>
      </c>
      <c r="F26" s="65">
        <v>87.680505200940274</v>
      </c>
      <c r="G26" s="65">
        <v>89.183249827145303</v>
      </c>
      <c r="H26" s="65">
        <v>87.155937541769092</v>
      </c>
      <c r="I26" s="65">
        <v>84.88818609434459</v>
      </c>
      <c r="J26" s="65">
        <v>86.285907569347074</v>
      </c>
      <c r="K26" s="65">
        <v>88.023949488731546</v>
      </c>
      <c r="L26" s="65">
        <v>90.450016616371428</v>
      </c>
      <c r="M26" s="65">
        <v>93.320014275059862</v>
      </c>
      <c r="N26" s="65">
        <v>96.116982707674325</v>
      </c>
      <c r="O26" s="65">
        <v>98.488598623928269</v>
      </c>
      <c r="P26" s="65">
        <v>102.57833418989399</v>
      </c>
      <c r="Q26" s="65">
        <v>105.4567831588396</v>
      </c>
      <c r="R26" s="65">
        <v>102.12461455524617</v>
      </c>
      <c r="S26" s="65">
        <v>108.80823900532278</v>
      </c>
      <c r="T26" s="65">
        <v>110.34959915598732</v>
      </c>
      <c r="U26" s="65">
        <v>119.14015844592332</v>
      </c>
      <c r="V26" s="65">
        <v>109.63015766402492</v>
      </c>
      <c r="W26" s="65">
        <v>112.16833902425508</v>
      </c>
      <c r="X26" s="65">
        <v>111.29969932164791</v>
      </c>
      <c r="Y26" s="65">
        <v>114.11896194230489</v>
      </c>
      <c r="DA26" s="109" t="s">
        <v>294</v>
      </c>
    </row>
    <row r="27" spans="1:105" ht="12" customHeight="1" x14ac:dyDescent="0.25">
      <c r="A27" s="144" t="s">
        <v>26</v>
      </c>
      <c r="B27" s="145">
        <v>0</v>
      </c>
      <c r="C27" s="145">
        <v>0</v>
      </c>
      <c r="D27" s="145">
        <v>0</v>
      </c>
      <c r="E27" s="145">
        <v>0</v>
      </c>
      <c r="F27" s="145">
        <v>0</v>
      </c>
      <c r="G27" s="145">
        <v>0</v>
      </c>
      <c r="H27" s="145">
        <v>0</v>
      </c>
      <c r="I27" s="145">
        <v>0</v>
      </c>
      <c r="J27" s="145">
        <v>0</v>
      </c>
      <c r="K27" s="145">
        <v>0</v>
      </c>
      <c r="L27" s="145">
        <v>0</v>
      </c>
      <c r="M27" s="145">
        <v>0</v>
      </c>
      <c r="N27" s="145">
        <v>0</v>
      </c>
      <c r="O27" s="145">
        <v>0</v>
      </c>
      <c r="P27" s="145">
        <v>0</v>
      </c>
      <c r="Q27" s="145">
        <v>0</v>
      </c>
      <c r="R27" s="145">
        <v>0</v>
      </c>
      <c r="S27" s="145">
        <v>0</v>
      </c>
      <c r="T27" s="145">
        <v>0</v>
      </c>
      <c r="U27" s="145">
        <v>0</v>
      </c>
      <c r="V27" s="145">
        <v>0</v>
      </c>
      <c r="W27" s="145">
        <v>0</v>
      </c>
      <c r="X27" s="145">
        <v>0</v>
      </c>
      <c r="Y27" s="145">
        <v>0</v>
      </c>
      <c r="DA27" s="158" t="s">
        <v>295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190.88652652226733</v>
      </c>
      <c r="C29" s="130">
        <f t="shared" si="12"/>
        <v>189.18528440222508</v>
      </c>
      <c r="D29" s="130">
        <f t="shared" si="12"/>
        <v>189.26972261685259</v>
      </c>
      <c r="E29" s="130">
        <f t="shared" si="12"/>
        <v>191.37253394095271</v>
      </c>
      <c r="F29" s="130">
        <f t="shared" si="12"/>
        <v>195.63756528940249</v>
      </c>
      <c r="G29" s="130">
        <f t="shared" si="12"/>
        <v>199.22401382555663</v>
      </c>
      <c r="H29" s="130">
        <f t="shared" si="12"/>
        <v>203.7261201247936</v>
      </c>
      <c r="I29" s="130">
        <f t="shared" si="12"/>
        <v>203.78874563450731</v>
      </c>
      <c r="J29" s="130">
        <f t="shared" si="12"/>
        <v>204.68949170193758</v>
      </c>
      <c r="K29" s="130">
        <f t="shared" si="12"/>
        <v>208.42104374711869</v>
      </c>
      <c r="L29" s="130">
        <f t="shared" si="12"/>
        <v>207.7323118453823</v>
      </c>
      <c r="M29" s="130">
        <f t="shared" si="12"/>
        <v>213.88172714859388</v>
      </c>
      <c r="N29" s="130">
        <f t="shared" si="12"/>
        <v>213.27593847785263</v>
      </c>
      <c r="O29" s="130">
        <f t="shared" si="12"/>
        <v>215.69394927423235</v>
      </c>
      <c r="P29" s="130">
        <f t="shared" si="12"/>
        <v>218.25760947875222</v>
      </c>
      <c r="Q29" s="130">
        <f t="shared" si="12"/>
        <v>222.02672915193463</v>
      </c>
      <c r="R29" s="130">
        <f t="shared" ref="R29:W29" si="13">SUM(R30:R33)</f>
        <v>227.34670934106606</v>
      </c>
      <c r="S29" s="130">
        <f t="shared" si="13"/>
        <v>235.63228007375494</v>
      </c>
      <c r="T29" s="130">
        <f t="shared" si="13"/>
        <v>235.04689068585489</v>
      </c>
      <c r="U29" s="130">
        <f t="shared" si="13"/>
        <v>249.18411310768994</v>
      </c>
      <c r="V29" s="130">
        <f t="shared" si="13"/>
        <v>231.23889424023119</v>
      </c>
      <c r="W29" s="130">
        <f t="shared" si="13"/>
        <v>254.54042830567519</v>
      </c>
      <c r="X29" s="130">
        <f t="shared" ref="X29:Y29" si="14">SUM(X30:X33)</f>
        <v>252.99777871318412</v>
      </c>
      <c r="Y29" s="130">
        <f t="shared" si="14"/>
        <v>254.88283777082023</v>
      </c>
      <c r="DA29" s="155" t="s">
        <v>217</v>
      </c>
    </row>
    <row r="30" spans="1:105" ht="12" customHeight="1" x14ac:dyDescent="0.25">
      <c r="A30" s="131" t="s">
        <v>52</v>
      </c>
      <c r="B30" s="132">
        <v>0</v>
      </c>
      <c r="C30" s="132">
        <v>0</v>
      </c>
      <c r="D30" s="132">
        <v>0</v>
      </c>
      <c r="E30" s="132">
        <v>0</v>
      </c>
      <c r="F30" s="132">
        <v>0</v>
      </c>
      <c r="G30" s="132">
        <v>0</v>
      </c>
      <c r="H30" s="132">
        <v>0</v>
      </c>
      <c r="I30" s="132">
        <v>0</v>
      </c>
      <c r="J30" s="132">
        <v>0</v>
      </c>
      <c r="K30" s="132">
        <v>0</v>
      </c>
      <c r="L30" s="132">
        <v>0</v>
      </c>
      <c r="M30" s="132">
        <v>0</v>
      </c>
      <c r="N30" s="132">
        <v>0</v>
      </c>
      <c r="O30" s="132">
        <v>0</v>
      </c>
      <c r="P30" s="132">
        <v>0</v>
      </c>
      <c r="Q30" s="132">
        <v>0</v>
      </c>
      <c r="R30" s="132">
        <v>0</v>
      </c>
      <c r="S30" s="132">
        <v>0</v>
      </c>
      <c r="T30" s="132">
        <v>0</v>
      </c>
      <c r="U30" s="132">
        <v>0</v>
      </c>
      <c r="V30" s="132">
        <v>0</v>
      </c>
      <c r="W30" s="132">
        <v>0</v>
      </c>
      <c r="X30" s="132">
        <v>0</v>
      </c>
      <c r="Y30" s="132">
        <v>0</v>
      </c>
      <c r="DA30" s="156" t="s">
        <v>296</v>
      </c>
    </row>
    <row r="31" spans="1:105" ht="12" customHeight="1" x14ac:dyDescent="0.25">
      <c r="A31" s="131" t="s">
        <v>149</v>
      </c>
      <c r="B31" s="132">
        <v>4.8545738253466126</v>
      </c>
      <c r="C31" s="132">
        <v>4.866532466115598</v>
      </c>
      <c r="D31" s="132">
        <v>4.9875175943629042</v>
      </c>
      <c r="E31" s="132">
        <v>5.0709833072230293</v>
      </c>
      <c r="F31" s="132">
        <v>5.1939814812576035</v>
      </c>
      <c r="G31" s="132">
        <v>5.2396831526331189</v>
      </c>
      <c r="H31" s="132">
        <v>5.2387784662220049</v>
      </c>
      <c r="I31" s="132">
        <v>5.1945607815105435</v>
      </c>
      <c r="J31" s="132">
        <v>5.1536303799010907</v>
      </c>
      <c r="K31" s="132">
        <v>4.8066401471740434</v>
      </c>
      <c r="L31" s="132">
        <v>4.521731378290812</v>
      </c>
      <c r="M31" s="132">
        <v>4.178997453068475</v>
      </c>
      <c r="N31" s="132">
        <v>4.0751960206592113</v>
      </c>
      <c r="O31" s="132">
        <v>4.0491170407593735</v>
      </c>
      <c r="P31" s="132">
        <v>3.8556410657366178</v>
      </c>
      <c r="Q31" s="132">
        <v>3.7680684017381458</v>
      </c>
      <c r="R31" s="132">
        <v>3.5975291593053083</v>
      </c>
      <c r="S31" s="132">
        <v>4.0201865757045629</v>
      </c>
      <c r="T31" s="132">
        <v>3.4166360707803305</v>
      </c>
      <c r="U31" s="132">
        <v>3.2160570748628059</v>
      </c>
      <c r="V31" s="132">
        <v>3.1265499782931263</v>
      </c>
      <c r="W31" s="132">
        <v>4.1323226552292258</v>
      </c>
      <c r="X31" s="132">
        <v>3.4090394109574653</v>
      </c>
      <c r="Y31" s="132">
        <v>2.5413958186885428</v>
      </c>
      <c r="DA31" s="156" t="s">
        <v>297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298</v>
      </c>
    </row>
    <row r="33" spans="1:105" ht="12" customHeight="1" x14ac:dyDescent="0.25">
      <c r="A33" s="62" t="s">
        <v>24</v>
      </c>
      <c r="B33" s="68">
        <v>186.03195269692071</v>
      </c>
      <c r="C33" s="68">
        <v>184.31875193610949</v>
      </c>
      <c r="D33" s="68">
        <v>184.28220502248968</v>
      </c>
      <c r="E33" s="68">
        <v>186.30155063372968</v>
      </c>
      <c r="F33" s="68">
        <v>190.44358380814489</v>
      </c>
      <c r="G33" s="68">
        <v>193.98433067292351</v>
      </c>
      <c r="H33" s="68">
        <v>198.48734165857158</v>
      </c>
      <c r="I33" s="68">
        <v>198.59418485299676</v>
      </c>
      <c r="J33" s="68">
        <v>199.53586132203648</v>
      </c>
      <c r="K33" s="68">
        <v>203.61440359994464</v>
      </c>
      <c r="L33" s="68">
        <v>203.21058046709149</v>
      </c>
      <c r="M33" s="68">
        <v>209.70272969552542</v>
      </c>
      <c r="N33" s="68">
        <v>209.20074245719343</v>
      </c>
      <c r="O33" s="68">
        <v>211.64483223347298</v>
      </c>
      <c r="P33" s="68">
        <v>214.4019684130156</v>
      </c>
      <c r="Q33" s="68">
        <v>218.2586607501965</v>
      </c>
      <c r="R33" s="68">
        <v>223.74918018176075</v>
      </c>
      <c r="S33" s="68">
        <v>231.61209349805037</v>
      </c>
      <c r="T33" s="68">
        <v>231.63025461507456</v>
      </c>
      <c r="U33" s="68">
        <v>245.96805603282712</v>
      </c>
      <c r="V33" s="68">
        <v>228.11234426193806</v>
      </c>
      <c r="W33" s="68">
        <v>250.40810565044598</v>
      </c>
      <c r="X33" s="68">
        <v>249.58873930222666</v>
      </c>
      <c r="Y33" s="68">
        <v>252.34144195213167</v>
      </c>
      <c r="DA33" s="111" t="s">
        <v>299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300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82</v>
      </c>
      <c r="B3" s="125">
        <f t="shared" ref="B3:Q3" si="0">SUM(B4,B16,B19,B29)</f>
        <v>1289.82434480595</v>
      </c>
      <c r="C3" s="125">
        <f t="shared" si="0"/>
        <v>1426.0642515944867</v>
      </c>
      <c r="D3" s="125">
        <f t="shared" si="0"/>
        <v>1476.9512987392332</v>
      </c>
      <c r="E3" s="125">
        <f t="shared" si="0"/>
        <v>1489.7612136434552</v>
      </c>
      <c r="F3" s="125">
        <f t="shared" si="0"/>
        <v>1497.0185247713525</v>
      </c>
      <c r="G3" s="125">
        <f t="shared" si="0"/>
        <v>1497.5167960396627</v>
      </c>
      <c r="H3" s="125">
        <f t="shared" si="0"/>
        <v>1543.7873808874301</v>
      </c>
      <c r="I3" s="125">
        <f t="shared" si="0"/>
        <v>1649.3076474646989</v>
      </c>
      <c r="J3" s="125">
        <f t="shared" si="0"/>
        <v>1649.5595509096902</v>
      </c>
      <c r="K3" s="125">
        <f t="shared" si="0"/>
        <v>1836.9513963514639</v>
      </c>
      <c r="L3" s="125">
        <f t="shared" si="0"/>
        <v>1977.0691819755216</v>
      </c>
      <c r="M3" s="125">
        <f t="shared" si="0"/>
        <v>1765.2917587875327</v>
      </c>
      <c r="N3" s="125">
        <f t="shared" si="0"/>
        <v>1915.4584252672075</v>
      </c>
      <c r="O3" s="125">
        <f t="shared" si="0"/>
        <v>1835.415829821482</v>
      </c>
      <c r="P3" s="125">
        <f t="shared" si="0"/>
        <v>1903.507648709055</v>
      </c>
      <c r="Q3" s="125">
        <f t="shared" si="0"/>
        <v>1791.2549548072316</v>
      </c>
      <c r="R3" s="125">
        <f t="shared" ref="R3:W3" si="1">SUM(R4,R16,R19,R29)</f>
        <v>1918.1789514007012</v>
      </c>
      <c r="S3" s="125">
        <f t="shared" si="1"/>
        <v>1925.4467556820141</v>
      </c>
      <c r="T3" s="125">
        <f t="shared" si="1"/>
        <v>2013.5897809500211</v>
      </c>
      <c r="U3" s="125">
        <f t="shared" si="1"/>
        <v>1985.4561687161076</v>
      </c>
      <c r="V3" s="125">
        <f t="shared" si="1"/>
        <v>1834.2534458296684</v>
      </c>
      <c r="W3" s="125">
        <f t="shared" si="1"/>
        <v>2100.2011631415162</v>
      </c>
      <c r="X3" s="125">
        <f t="shared" ref="X3:Y3" si="2">SUM(X4,X16,X19,X29)</f>
        <v>2038.1433276195016</v>
      </c>
      <c r="Y3" s="125">
        <f t="shared" si="2"/>
        <v>2018.6236730894047</v>
      </c>
      <c r="DA3" s="154" t="s">
        <v>301</v>
      </c>
    </row>
    <row r="4" spans="1:105" ht="12.95" customHeight="1" x14ac:dyDescent="0.25">
      <c r="A4" s="129" t="s">
        <v>32</v>
      </c>
      <c r="B4" s="130">
        <f t="shared" ref="B4:Q4" si="3">SUM(B5:B15)</f>
        <v>992.83224765659088</v>
      </c>
      <c r="C4" s="130">
        <f t="shared" si="3"/>
        <v>1126.9379090204964</v>
      </c>
      <c r="D4" s="130">
        <f t="shared" si="3"/>
        <v>1174.2830422928525</v>
      </c>
      <c r="E4" s="130">
        <f t="shared" si="3"/>
        <v>1179.3300126248296</v>
      </c>
      <c r="F4" s="130">
        <f t="shared" si="3"/>
        <v>1179.9952660893189</v>
      </c>
      <c r="G4" s="130">
        <f t="shared" si="3"/>
        <v>1170.0770647567076</v>
      </c>
      <c r="H4" s="130">
        <f t="shared" si="3"/>
        <v>1207.1010767691366</v>
      </c>
      <c r="I4" s="130">
        <f t="shared" si="3"/>
        <v>1305.5246064619876</v>
      </c>
      <c r="J4" s="130">
        <f t="shared" si="3"/>
        <v>1297.152704936387</v>
      </c>
      <c r="K4" s="130">
        <f t="shared" si="3"/>
        <v>1475.9781377398626</v>
      </c>
      <c r="L4" s="130">
        <f t="shared" si="3"/>
        <v>1606.5940799463751</v>
      </c>
      <c r="M4" s="130">
        <f t="shared" si="3"/>
        <v>1388.1865623580557</v>
      </c>
      <c r="N4" s="130">
        <f t="shared" si="3"/>
        <v>1534.9541416372103</v>
      </c>
      <c r="O4" s="130">
        <f t="shared" si="3"/>
        <v>1447.712001917102</v>
      </c>
      <c r="P4" s="130">
        <f t="shared" si="3"/>
        <v>1507.1454319967704</v>
      </c>
      <c r="Q4" s="130">
        <f t="shared" si="3"/>
        <v>1386.9646255719126</v>
      </c>
      <c r="R4" s="130">
        <f t="shared" ref="R4:W4" si="4">SUM(R5:R15)</f>
        <v>1504.8634990804833</v>
      </c>
      <c r="S4" s="130">
        <f t="shared" si="4"/>
        <v>1498.5517978609075</v>
      </c>
      <c r="T4" s="130">
        <f t="shared" si="4"/>
        <v>1580.9277623386356</v>
      </c>
      <c r="U4" s="130">
        <f t="shared" si="4"/>
        <v>1532.6920495133404</v>
      </c>
      <c r="V4" s="130">
        <f t="shared" si="4"/>
        <v>1406.4865102932461</v>
      </c>
      <c r="W4" s="130">
        <f t="shared" si="4"/>
        <v>1630.6699833991772</v>
      </c>
      <c r="X4" s="130">
        <f t="shared" ref="X4:Y4" si="5">SUM(X5:X15)</f>
        <v>1563.3587647796628</v>
      </c>
      <c r="Y4" s="130">
        <f t="shared" si="5"/>
        <v>1533.9056679585162</v>
      </c>
      <c r="DA4" s="155" t="s">
        <v>302</v>
      </c>
    </row>
    <row r="5" spans="1:105" ht="12" customHeight="1" x14ac:dyDescent="0.25">
      <c r="A5" s="131" t="s">
        <v>29</v>
      </c>
      <c r="B5" s="132">
        <v>1.0331332035184186</v>
      </c>
      <c r="C5" s="132">
        <v>1.0621792977412525</v>
      </c>
      <c r="D5" s="132">
        <v>1.0636920554936378</v>
      </c>
      <c r="E5" s="132">
        <v>1.0790397844961093</v>
      </c>
      <c r="F5" s="132">
        <v>1.043199705723503</v>
      </c>
      <c r="G5" s="132">
        <v>1.0317904132247575</v>
      </c>
      <c r="H5" s="132">
        <v>1.1089990456443326</v>
      </c>
      <c r="I5" s="132">
        <v>0.97877654806527536</v>
      </c>
      <c r="J5" s="132">
        <v>1.2177150828966792</v>
      </c>
      <c r="K5" s="132">
        <v>1.4029641751191826</v>
      </c>
      <c r="L5" s="132">
        <v>1.6102609528069729</v>
      </c>
      <c r="M5" s="132">
        <v>1.3311864726136522</v>
      </c>
      <c r="N5" s="132">
        <v>1.5906629310184928</v>
      </c>
      <c r="O5" s="132">
        <v>1.477190302649696</v>
      </c>
      <c r="P5" s="132">
        <v>1.5349581137321198</v>
      </c>
      <c r="Q5" s="132">
        <v>1.3953978320214289</v>
      </c>
      <c r="R5" s="132">
        <v>1.543439791392315</v>
      </c>
      <c r="S5" s="132">
        <v>1.5507265717314971</v>
      </c>
      <c r="T5" s="132">
        <v>1.604317375843159</v>
      </c>
      <c r="U5" s="132">
        <v>1.6622852189703059</v>
      </c>
      <c r="V5" s="132">
        <v>1.5063781549657651</v>
      </c>
      <c r="W5" s="132">
        <v>1.7018872655600981</v>
      </c>
      <c r="X5" s="132">
        <v>1.7027081822084695</v>
      </c>
      <c r="Y5" s="132">
        <v>1.7140224493610554</v>
      </c>
      <c r="DA5" s="156" t="s">
        <v>303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304</v>
      </c>
    </row>
    <row r="7" spans="1:105" ht="12" customHeight="1" x14ac:dyDescent="0.25">
      <c r="A7" s="131" t="s">
        <v>161</v>
      </c>
      <c r="B7" s="132">
        <v>144.54668767090652</v>
      </c>
      <c r="C7" s="132">
        <v>150.93650076684753</v>
      </c>
      <c r="D7" s="132">
        <v>148.07354932214503</v>
      </c>
      <c r="E7" s="132">
        <v>146.17745174356349</v>
      </c>
      <c r="F7" s="132">
        <v>142.16462676140395</v>
      </c>
      <c r="G7" s="132">
        <v>135.54059207574335</v>
      </c>
      <c r="H7" s="132">
        <v>134.98081135136019</v>
      </c>
      <c r="I7" s="132">
        <v>129.17620464587748</v>
      </c>
      <c r="J7" s="132">
        <v>104.91784363131522</v>
      </c>
      <c r="K7" s="132">
        <v>119.5550439315053</v>
      </c>
      <c r="L7" s="132">
        <v>148.24060752804755</v>
      </c>
      <c r="M7" s="132">
        <v>129.02262040358832</v>
      </c>
      <c r="N7" s="132">
        <v>147.77886609754191</v>
      </c>
      <c r="O7" s="132">
        <v>136.12976395642721</v>
      </c>
      <c r="P7" s="132">
        <v>137.11957673749814</v>
      </c>
      <c r="Q7" s="132">
        <v>127.02043881091059</v>
      </c>
      <c r="R7" s="132">
        <v>143.69208909908846</v>
      </c>
      <c r="S7" s="132">
        <v>147.05959422753762</v>
      </c>
      <c r="T7" s="132">
        <v>150.77559031766228</v>
      </c>
      <c r="U7" s="132">
        <v>153.71997686403148</v>
      </c>
      <c r="V7" s="132">
        <v>142.87350149113703</v>
      </c>
      <c r="W7" s="132">
        <v>171.16597520790299</v>
      </c>
      <c r="X7" s="132">
        <v>164.18440103771732</v>
      </c>
      <c r="Y7" s="132">
        <v>168.34532118438744</v>
      </c>
      <c r="DA7" s="156" t="s">
        <v>305</v>
      </c>
    </row>
    <row r="8" spans="1:105" ht="12" customHeight="1" x14ac:dyDescent="0.25">
      <c r="A8" s="131" t="s">
        <v>73</v>
      </c>
      <c r="B8" s="132">
        <v>0</v>
      </c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306</v>
      </c>
    </row>
    <row r="9" spans="1:105" ht="12" customHeight="1" x14ac:dyDescent="0.25">
      <c r="A9" s="131" t="s">
        <v>78</v>
      </c>
      <c r="B9" s="132">
        <v>13.588196336115109</v>
      </c>
      <c r="C9" s="132">
        <v>13.118660515463933</v>
      </c>
      <c r="D9" s="132">
        <v>15.575405080972081</v>
      </c>
      <c r="E9" s="132">
        <v>16.059776628690816</v>
      </c>
      <c r="F9" s="132">
        <v>17.928028723348579</v>
      </c>
      <c r="G9" s="132">
        <v>17.781999183769603</v>
      </c>
      <c r="H9" s="132">
        <v>16.850690259634707</v>
      </c>
      <c r="I9" s="132">
        <v>16.372955028883339</v>
      </c>
      <c r="J9" s="132">
        <v>16.028752087923081</v>
      </c>
      <c r="K9" s="132">
        <v>16.124265251768374</v>
      </c>
      <c r="L9" s="132">
        <v>18.118475505659038</v>
      </c>
      <c r="M9" s="132">
        <v>24.028998756490239</v>
      </c>
      <c r="N9" s="132">
        <v>27.06788432513196</v>
      </c>
      <c r="O9" s="132">
        <v>24.528130188217393</v>
      </c>
      <c r="P9" s="132">
        <v>22.636638761675481</v>
      </c>
      <c r="Q9" s="132">
        <v>20.524990023274228</v>
      </c>
      <c r="R9" s="132">
        <v>21.285942404903118</v>
      </c>
      <c r="S9" s="132">
        <v>26.350595704622744</v>
      </c>
      <c r="T9" s="132">
        <v>24.80327509807373</v>
      </c>
      <c r="U9" s="132">
        <v>24.660398668776832</v>
      </c>
      <c r="V9" s="132">
        <v>22.554493404506385</v>
      </c>
      <c r="W9" s="132">
        <v>28.554410438483842</v>
      </c>
      <c r="X9" s="132">
        <v>24.474390891843694</v>
      </c>
      <c r="Y9" s="132">
        <v>18.77151656340213</v>
      </c>
      <c r="DA9" s="156" t="s">
        <v>307</v>
      </c>
    </row>
    <row r="10" spans="1:105" ht="12" customHeight="1" x14ac:dyDescent="0.25">
      <c r="A10" s="131" t="s">
        <v>128</v>
      </c>
      <c r="B10" s="132">
        <v>20.835479921265538</v>
      </c>
      <c r="C10" s="132">
        <v>23.919741826049048</v>
      </c>
      <c r="D10" s="132">
        <v>25.136795473757967</v>
      </c>
      <c r="E10" s="132">
        <v>25.985636199190651</v>
      </c>
      <c r="F10" s="132">
        <v>26.228621049890663</v>
      </c>
      <c r="G10" s="132">
        <v>26.633563686570582</v>
      </c>
      <c r="H10" s="132">
        <v>28.02110837055011</v>
      </c>
      <c r="I10" s="132">
        <v>28.28964041113624</v>
      </c>
      <c r="J10" s="132">
        <v>31.353003018404667</v>
      </c>
      <c r="K10" s="132">
        <v>34.356374442894207</v>
      </c>
      <c r="L10" s="132">
        <v>39.160160271150737</v>
      </c>
      <c r="M10" s="132">
        <v>34.172738393924007</v>
      </c>
      <c r="N10" s="132">
        <v>38.45534358453753</v>
      </c>
      <c r="O10" s="132">
        <v>35.52905761251742</v>
      </c>
      <c r="P10" s="132">
        <v>36.559693982465099</v>
      </c>
      <c r="Q10" s="132">
        <v>33.322706226765234</v>
      </c>
      <c r="R10" s="132">
        <v>37.341937711510191</v>
      </c>
      <c r="S10" s="132">
        <v>37.792885903073994</v>
      </c>
      <c r="T10" s="132">
        <v>38.853988260534251</v>
      </c>
      <c r="U10" s="132">
        <v>38.153606001013451</v>
      </c>
      <c r="V10" s="132">
        <v>34.760735008916335</v>
      </c>
      <c r="W10" s="132">
        <v>41.605915483922608</v>
      </c>
      <c r="X10" s="132">
        <v>43.330119746313926</v>
      </c>
      <c r="Y10" s="132">
        <v>39.501156280728068</v>
      </c>
      <c r="DA10" s="156" t="s">
        <v>308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309</v>
      </c>
    </row>
    <row r="12" spans="1:105" ht="12" customHeight="1" x14ac:dyDescent="0.25">
      <c r="A12" s="131" t="s">
        <v>162</v>
      </c>
      <c r="B12" s="132">
        <v>512.97615721222348</v>
      </c>
      <c r="C12" s="132">
        <v>594.11550379056189</v>
      </c>
      <c r="D12" s="132">
        <v>617.59772424318146</v>
      </c>
      <c r="E12" s="132">
        <v>631.11984406862825</v>
      </c>
      <c r="F12" s="132">
        <v>614.41281017227925</v>
      </c>
      <c r="G12" s="132">
        <v>602.5122806282759</v>
      </c>
      <c r="H12" s="132">
        <v>623.08173784287374</v>
      </c>
      <c r="I12" s="132">
        <v>718.07853728878911</v>
      </c>
      <c r="J12" s="132">
        <v>715.61832102502831</v>
      </c>
      <c r="K12" s="132">
        <v>839.27279800916415</v>
      </c>
      <c r="L12" s="132">
        <v>899.81719850701757</v>
      </c>
      <c r="M12" s="132">
        <v>737.81275831038215</v>
      </c>
      <c r="N12" s="132">
        <v>817.94336752283607</v>
      </c>
      <c r="O12" s="132">
        <v>771.07158966526833</v>
      </c>
      <c r="P12" s="132">
        <v>838.49420629660312</v>
      </c>
      <c r="Q12" s="132">
        <v>737.49549114484932</v>
      </c>
      <c r="R12" s="132">
        <v>818.60829611050951</v>
      </c>
      <c r="S12" s="132">
        <v>816.09552001715929</v>
      </c>
      <c r="T12" s="132">
        <v>835.1351078931549</v>
      </c>
      <c r="U12" s="132">
        <v>811.05399449120341</v>
      </c>
      <c r="V12" s="132">
        <v>739.79741199930129</v>
      </c>
      <c r="W12" s="132">
        <v>878.72854989246093</v>
      </c>
      <c r="X12" s="132">
        <v>809.85210486406788</v>
      </c>
      <c r="Y12" s="132">
        <v>822.78188857509599</v>
      </c>
      <c r="DA12" s="156" t="s">
        <v>310</v>
      </c>
    </row>
    <row r="13" spans="1:105" ht="12" customHeight="1" x14ac:dyDescent="0.25">
      <c r="A13" s="131" t="s">
        <v>77</v>
      </c>
      <c r="B13" s="132">
        <v>5.3246713545983226</v>
      </c>
      <c r="C13" s="132">
        <v>5.9391740710486483</v>
      </c>
      <c r="D13" s="132">
        <v>6.7206767092180097</v>
      </c>
      <c r="E13" s="132">
        <v>7.6565498465289732</v>
      </c>
      <c r="F13" s="132">
        <v>8.8517968399646563</v>
      </c>
      <c r="G13" s="132">
        <v>10.134934497033104</v>
      </c>
      <c r="H13" s="132">
        <v>11.588858133675597</v>
      </c>
      <c r="I13" s="132">
        <v>13.150984237988649</v>
      </c>
      <c r="J13" s="132">
        <v>14.954543038997153</v>
      </c>
      <c r="K13" s="132">
        <v>17.080366760600661</v>
      </c>
      <c r="L13" s="132">
        <v>19.690614727198927</v>
      </c>
      <c r="M13" s="132">
        <v>23.298377219190321</v>
      </c>
      <c r="N13" s="132">
        <v>27.607901237028138</v>
      </c>
      <c r="O13" s="132">
        <v>32.966541571237038</v>
      </c>
      <c r="P13" s="132">
        <v>38.878277409338452</v>
      </c>
      <c r="Q13" s="132">
        <v>48.002705040415464</v>
      </c>
      <c r="R13" s="132">
        <v>52.198647589821675</v>
      </c>
      <c r="S13" s="132">
        <v>58.295755624114648</v>
      </c>
      <c r="T13" s="132">
        <v>66.467570095205502</v>
      </c>
      <c r="U13" s="132">
        <v>72.758728525626339</v>
      </c>
      <c r="V13" s="132">
        <v>75.458252566053375</v>
      </c>
      <c r="W13" s="132">
        <v>101.00450810131501</v>
      </c>
      <c r="X13" s="132">
        <v>110.22988488839351</v>
      </c>
      <c r="Y13" s="132">
        <v>131.64620865133458</v>
      </c>
      <c r="DA13" s="156" t="s">
        <v>311</v>
      </c>
    </row>
    <row r="14" spans="1:105" ht="12" customHeight="1" x14ac:dyDescent="0.25">
      <c r="A14" s="60" t="s">
        <v>76</v>
      </c>
      <c r="B14" s="65">
        <v>288.5816573605141</v>
      </c>
      <c r="C14" s="65">
        <v>331.47982353572723</v>
      </c>
      <c r="D14" s="65">
        <v>353.75840766400921</v>
      </c>
      <c r="E14" s="65">
        <v>344.96940046535508</v>
      </c>
      <c r="F14" s="65">
        <v>363.31101412875296</v>
      </c>
      <c r="G14" s="65">
        <v>370.66250748894072</v>
      </c>
      <c r="H14" s="65">
        <v>385.70279746769359</v>
      </c>
      <c r="I14" s="65">
        <v>393.48814172108877</v>
      </c>
      <c r="J14" s="65">
        <v>407.56619421726691</v>
      </c>
      <c r="K14" s="65">
        <v>441.95030771859535</v>
      </c>
      <c r="L14" s="65">
        <v>472.97580624159463</v>
      </c>
      <c r="M14" s="65">
        <v>432.56191333165935</v>
      </c>
      <c r="N14" s="65">
        <v>467.87924489898222</v>
      </c>
      <c r="O14" s="65">
        <v>439.88960526682814</v>
      </c>
      <c r="P14" s="65">
        <v>425.58143175345219</v>
      </c>
      <c r="Q14" s="65">
        <v>413.54109843141873</v>
      </c>
      <c r="R14" s="65">
        <v>423.92402639063596</v>
      </c>
      <c r="S14" s="65">
        <v>405.04009727448158</v>
      </c>
      <c r="T14" s="65">
        <v>456.82717936471499</v>
      </c>
      <c r="U14" s="65">
        <v>424.29804751241767</v>
      </c>
      <c r="V14" s="65">
        <v>383.6805273888441</v>
      </c>
      <c r="W14" s="65">
        <v>400.92453267376254</v>
      </c>
      <c r="X14" s="65">
        <v>403.03963385463561</v>
      </c>
      <c r="Y14" s="65">
        <v>344.60344833408618</v>
      </c>
      <c r="DA14" s="109" t="s">
        <v>312</v>
      </c>
    </row>
    <row r="15" spans="1:105" ht="12" customHeight="1" x14ac:dyDescent="0.25">
      <c r="A15" s="133" t="s">
        <v>80</v>
      </c>
      <c r="B15" s="134">
        <v>5.9462645974493897</v>
      </c>
      <c r="C15" s="134">
        <v>6.3663252170567493</v>
      </c>
      <c r="D15" s="134">
        <v>6.3567917440751822</v>
      </c>
      <c r="E15" s="134">
        <v>6.2823138883761809</v>
      </c>
      <c r="F15" s="134">
        <v>6.0551687079552394</v>
      </c>
      <c r="G15" s="134">
        <v>5.7793967831496555</v>
      </c>
      <c r="H15" s="134">
        <v>5.7660742977043418</v>
      </c>
      <c r="I15" s="134">
        <v>5.9893665801586202</v>
      </c>
      <c r="J15" s="134">
        <v>5.4963328345549023</v>
      </c>
      <c r="K15" s="134">
        <v>6.2360174502154155</v>
      </c>
      <c r="L15" s="134">
        <v>6.9809562128996827</v>
      </c>
      <c r="M15" s="134">
        <v>5.9579694702075834</v>
      </c>
      <c r="N15" s="134">
        <v>6.6308710401341102</v>
      </c>
      <c r="O15" s="134">
        <v>6.1201233539567763</v>
      </c>
      <c r="P15" s="134">
        <v>6.3406489420061556</v>
      </c>
      <c r="Q15" s="134">
        <v>5.6617980622578283</v>
      </c>
      <c r="R15" s="134">
        <v>6.2691199826220982</v>
      </c>
      <c r="S15" s="134">
        <v>6.3666225381860766</v>
      </c>
      <c r="T15" s="134">
        <v>6.4607339334468641</v>
      </c>
      <c r="U15" s="134">
        <v>6.3850122313007773</v>
      </c>
      <c r="V15" s="134">
        <v>5.8552102795217706</v>
      </c>
      <c r="W15" s="134">
        <v>6.9842043357690589</v>
      </c>
      <c r="X15" s="134">
        <v>6.5455213144822864</v>
      </c>
      <c r="Y15" s="134">
        <v>6.5421059201210863</v>
      </c>
      <c r="DA15" s="157" t="s">
        <v>313</v>
      </c>
    </row>
    <row r="16" spans="1:105" ht="12.95" customHeight="1" x14ac:dyDescent="0.25">
      <c r="A16" s="129" t="s">
        <v>74</v>
      </c>
      <c r="B16" s="130">
        <f t="shared" ref="B16:Q16" si="6">SUM(B17:B18)</f>
        <v>21.80890702622716</v>
      </c>
      <c r="C16" s="130">
        <f t="shared" si="6"/>
        <v>23.082845712747705</v>
      </c>
      <c r="D16" s="130">
        <f t="shared" si="6"/>
        <v>25.084272315847468</v>
      </c>
      <c r="E16" s="130">
        <f t="shared" si="6"/>
        <v>28.357853504135662</v>
      </c>
      <c r="F16" s="130">
        <f t="shared" si="6"/>
        <v>29.720924201889943</v>
      </c>
      <c r="G16" s="130">
        <f t="shared" si="6"/>
        <v>33.224561148061582</v>
      </c>
      <c r="H16" s="130">
        <f t="shared" si="6"/>
        <v>36.737362534970224</v>
      </c>
      <c r="I16" s="130">
        <f t="shared" si="6"/>
        <v>41.350820239735135</v>
      </c>
      <c r="J16" s="130">
        <f t="shared" si="6"/>
        <v>46.586843224721669</v>
      </c>
      <c r="K16" s="130">
        <f t="shared" si="6"/>
        <v>49.60006529733554</v>
      </c>
      <c r="L16" s="130">
        <f t="shared" si="6"/>
        <v>55.695330434058718</v>
      </c>
      <c r="M16" s="130">
        <f t="shared" si="6"/>
        <v>54.495681670252424</v>
      </c>
      <c r="N16" s="130">
        <f t="shared" si="6"/>
        <v>55.070633721608772</v>
      </c>
      <c r="O16" s="130">
        <f t="shared" si="6"/>
        <v>56.877478758823585</v>
      </c>
      <c r="P16" s="130">
        <f t="shared" si="6"/>
        <v>59.836079397603733</v>
      </c>
      <c r="Q16" s="130">
        <f t="shared" si="6"/>
        <v>61.473289609338188</v>
      </c>
      <c r="R16" s="130">
        <f t="shared" ref="R16:W16" si="7">SUM(R17:R18)</f>
        <v>64.259866743949473</v>
      </c>
      <c r="S16" s="130">
        <f t="shared" si="7"/>
        <v>65.03146726692934</v>
      </c>
      <c r="T16" s="130">
        <f t="shared" si="7"/>
        <v>65.665125126326245</v>
      </c>
      <c r="U16" s="130">
        <f t="shared" si="7"/>
        <v>67.117890659746308</v>
      </c>
      <c r="V16" s="130">
        <f t="shared" si="7"/>
        <v>67.97011819810146</v>
      </c>
      <c r="W16" s="130">
        <f t="shared" si="7"/>
        <v>67.458328380066263</v>
      </c>
      <c r="X16" s="130">
        <f t="shared" ref="X16:Y16" si="8">SUM(X17:X18)</f>
        <v>68.498533726250344</v>
      </c>
      <c r="Y16" s="130">
        <f t="shared" si="8"/>
        <v>70.389244147992017</v>
      </c>
      <c r="DA16" s="155" t="s">
        <v>314</v>
      </c>
    </row>
    <row r="17" spans="1:105" ht="12.95" customHeight="1" x14ac:dyDescent="0.25">
      <c r="A17" s="131" t="s">
        <v>73</v>
      </c>
      <c r="B17" s="132">
        <v>0</v>
      </c>
      <c r="C17" s="132">
        <v>0</v>
      </c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32">
        <v>0</v>
      </c>
      <c r="J17" s="132">
        <v>0</v>
      </c>
      <c r="K17" s="132">
        <v>0</v>
      </c>
      <c r="L17" s="132">
        <v>0</v>
      </c>
      <c r="M17" s="132">
        <v>0</v>
      </c>
      <c r="N17" s="132">
        <v>0</v>
      </c>
      <c r="O17" s="132">
        <v>0</v>
      </c>
      <c r="P17" s="132">
        <v>0</v>
      </c>
      <c r="Q17" s="132">
        <v>0</v>
      </c>
      <c r="R17" s="132">
        <v>0</v>
      </c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32">
        <v>0</v>
      </c>
      <c r="Y17" s="132">
        <v>0</v>
      </c>
      <c r="DA17" s="156" t="s">
        <v>315</v>
      </c>
    </row>
    <row r="18" spans="1:105" ht="12" customHeight="1" x14ac:dyDescent="0.25">
      <c r="A18" s="131" t="s">
        <v>72</v>
      </c>
      <c r="B18" s="132">
        <v>21.80890702622716</v>
      </c>
      <c r="C18" s="132">
        <v>23.082845712747705</v>
      </c>
      <c r="D18" s="132">
        <v>25.084272315847468</v>
      </c>
      <c r="E18" s="132">
        <v>28.357853504135662</v>
      </c>
      <c r="F18" s="132">
        <v>29.720924201889943</v>
      </c>
      <c r="G18" s="132">
        <v>33.224561148061582</v>
      </c>
      <c r="H18" s="132">
        <v>36.737362534970224</v>
      </c>
      <c r="I18" s="132">
        <v>41.350820239735135</v>
      </c>
      <c r="J18" s="132">
        <v>46.586843224721669</v>
      </c>
      <c r="K18" s="132">
        <v>49.60006529733554</v>
      </c>
      <c r="L18" s="132">
        <v>55.695330434058718</v>
      </c>
      <c r="M18" s="132">
        <v>54.495681670252424</v>
      </c>
      <c r="N18" s="132">
        <v>55.070633721608772</v>
      </c>
      <c r="O18" s="132">
        <v>56.877478758823585</v>
      </c>
      <c r="P18" s="132">
        <v>59.836079397603733</v>
      </c>
      <c r="Q18" s="132">
        <v>61.473289609338188</v>
      </c>
      <c r="R18" s="132">
        <v>64.259866743949473</v>
      </c>
      <c r="S18" s="132">
        <v>65.03146726692934</v>
      </c>
      <c r="T18" s="132">
        <v>65.665125126326245</v>
      </c>
      <c r="U18" s="132">
        <v>67.117890659746308</v>
      </c>
      <c r="V18" s="132">
        <v>67.97011819810146</v>
      </c>
      <c r="W18" s="132">
        <v>67.458328380066263</v>
      </c>
      <c r="X18" s="132">
        <v>68.498533726250344</v>
      </c>
      <c r="Y18" s="132">
        <v>70.389244147992017</v>
      </c>
      <c r="DA18" s="156" t="s">
        <v>316</v>
      </c>
    </row>
    <row r="19" spans="1:105" ht="12.95" customHeight="1" x14ac:dyDescent="0.25">
      <c r="A19" s="129" t="s">
        <v>35</v>
      </c>
      <c r="B19" s="130">
        <f t="shared" ref="B19:Q19" si="9">SUM(B20:B27)</f>
        <v>140.23370593404934</v>
      </c>
      <c r="C19" s="130">
        <f t="shared" si="9"/>
        <v>142.04590418866229</v>
      </c>
      <c r="D19" s="130">
        <f t="shared" si="9"/>
        <v>143.26437874216984</v>
      </c>
      <c r="E19" s="130">
        <f t="shared" si="9"/>
        <v>145.95853410694264</v>
      </c>
      <c r="F19" s="130">
        <f t="shared" si="9"/>
        <v>147.80036694516488</v>
      </c>
      <c r="G19" s="130">
        <f t="shared" si="9"/>
        <v>151.76298118564904</v>
      </c>
      <c r="H19" s="130">
        <f t="shared" si="9"/>
        <v>153.82207030320399</v>
      </c>
      <c r="I19" s="130">
        <f t="shared" si="9"/>
        <v>155.78317184473443</v>
      </c>
      <c r="J19" s="130">
        <f t="shared" si="9"/>
        <v>158.00583008317903</v>
      </c>
      <c r="K19" s="130">
        <f t="shared" si="9"/>
        <v>160.21631588149674</v>
      </c>
      <c r="L19" s="130">
        <f t="shared" si="9"/>
        <v>163.63210785326703</v>
      </c>
      <c r="M19" s="130">
        <f t="shared" si="9"/>
        <v>166.70062523031584</v>
      </c>
      <c r="N19" s="130">
        <f t="shared" si="9"/>
        <v>169.626327424816</v>
      </c>
      <c r="O19" s="130">
        <f t="shared" si="9"/>
        <v>172.69947823267319</v>
      </c>
      <c r="P19" s="130">
        <f t="shared" si="9"/>
        <v>175.78554101237319</v>
      </c>
      <c r="Q19" s="130">
        <f t="shared" si="9"/>
        <v>178.36631228448735</v>
      </c>
      <c r="R19" s="130">
        <f t="shared" ref="R19:W19" si="10">SUM(R20:R27)</f>
        <v>179.36658144345691</v>
      </c>
      <c r="S19" s="130">
        <f t="shared" si="10"/>
        <v>184.35324381619219</v>
      </c>
      <c r="T19" s="130">
        <f t="shared" si="10"/>
        <v>187.71618628813553</v>
      </c>
      <c r="U19" s="130">
        <f t="shared" si="10"/>
        <v>192.94894454445847</v>
      </c>
      <c r="V19" s="130">
        <f t="shared" si="10"/>
        <v>178.46897278965599</v>
      </c>
      <c r="W19" s="130">
        <f t="shared" si="10"/>
        <v>199.80422989726804</v>
      </c>
      <c r="X19" s="130">
        <f t="shared" ref="X19:Y19" si="11">SUM(X20:X27)</f>
        <v>202.44644011788864</v>
      </c>
      <c r="Y19" s="130">
        <f t="shared" si="11"/>
        <v>206.18652564174221</v>
      </c>
      <c r="DA19" s="155" t="s">
        <v>317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318</v>
      </c>
    </row>
    <row r="21" spans="1:105" s="2" customFormat="1" ht="12" customHeight="1" x14ac:dyDescent="0.25">
      <c r="A21" s="131" t="s">
        <v>52</v>
      </c>
      <c r="B21" s="132">
        <v>0</v>
      </c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319</v>
      </c>
    </row>
    <row r="22" spans="1:105" ht="12" customHeight="1" x14ac:dyDescent="0.25">
      <c r="A22" s="131" t="s">
        <v>161</v>
      </c>
      <c r="B22" s="132">
        <v>11.00917750563649</v>
      </c>
      <c r="C22" s="132">
        <v>11.202081749396475</v>
      </c>
      <c r="D22" s="132">
        <v>11.721296259113217</v>
      </c>
      <c r="E22" s="132">
        <v>11.990277541970157</v>
      </c>
      <c r="F22" s="132">
        <v>12.116861788412656</v>
      </c>
      <c r="G22" s="132">
        <v>12.144190084767079</v>
      </c>
      <c r="H22" s="132">
        <v>12.468487937225834</v>
      </c>
      <c r="I22" s="132">
        <v>12.553784986297602</v>
      </c>
      <c r="J22" s="132">
        <v>12.635423137115167</v>
      </c>
      <c r="K22" s="132">
        <v>12.774996492038383</v>
      </c>
      <c r="L22" s="132">
        <v>14.057638692694333</v>
      </c>
      <c r="M22" s="132">
        <v>14.358766419694067</v>
      </c>
      <c r="N22" s="132">
        <v>14.18390681346413</v>
      </c>
      <c r="O22" s="132">
        <v>14.212119479330751</v>
      </c>
      <c r="P22" s="132">
        <v>13.701234117795298</v>
      </c>
      <c r="Q22" s="132">
        <v>13.57880795174029</v>
      </c>
      <c r="R22" s="132">
        <v>13.756115209336055</v>
      </c>
      <c r="S22" s="132">
        <v>12.163967064450112</v>
      </c>
      <c r="T22" s="132">
        <v>10.589250059971926</v>
      </c>
      <c r="U22" s="132">
        <v>10.241077784554463</v>
      </c>
      <c r="V22" s="132">
        <v>9.215405405027516</v>
      </c>
      <c r="W22" s="132">
        <v>10.722855357555199</v>
      </c>
      <c r="X22" s="132">
        <v>9.6717563400248299</v>
      </c>
      <c r="Y22" s="132">
        <v>8.6110059058228039</v>
      </c>
      <c r="DA22" s="156" t="s">
        <v>320</v>
      </c>
    </row>
    <row r="23" spans="1:105" ht="12" customHeight="1" x14ac:dyDescent="0.25">
      <c r="A23" s="131" t="s">
        <v>149</v>
      </c>
      <c r="B23" s="132">
        <v>1.8931563864638901</v>
      </c>
      <c r="C23" s="132">
        <v>1.9076828090514304</v>
      </c>
      <c r="D23" s="132">
        <v>1.9423667682972068</v>
      </c>
      <c r="E23" s="132">
        <v>1.9737712636329372</v>
      </c>
      <c r="F23" s="132">
        <v>2.045115477989949</v>
      </c>
      <c r="G23" s="132">
        <v>2.0879308375225718</v>
      </c>
      <c r="H23" s="132">
        <v>2.0044044467836057</v>
      </c>
      <c r="I23" s="132">
        <v>1.9983546591453345</v>
      </c>
      <c r="J23" s="132">
        <v>1.9939844409459024</v>
      </c>
      <c r="K23" s="132">
        <v>1.9238678490161427</v>
      </c>
      <c r="L23" s="132">
        <v>1.8424958904269986</v>
      </c>
      <c r="M23" s="132">
        <v>1.833887320078708</v>
      </c>
      <c r="N23" s="132">
        <v>1.8221773519156563</v>
      </c>
      <c r="O23" s="132">
        <v>1.8094376814627178</v>
      </c>
      <c r="P23" s="132">
        <v>1.762631659699909</v>
      </c>
      <c r="Q23" s="132">
        <v>1.74601504270788</v>
      </c>
      <c r="R23" s="132">
        <v>1.6999500612279972</v>
      </c>
      <c r="S23" s="132">
        <v>1.941166476416005</v>
      </c>
      <c r="T23" s="132">
        <v>1.6979630494918332</v>
      </c>
      <c r="U23" s="132">
        <v>1.6224947141476902</v>
      </c>
      <c r="V23" s="132">
        <v>1.5738308353245836</v>
      </c>
      <c r="W23" s="132">
        <v>1.9502043545066312</v>
      </c>
      <c r="X23" s="132">
        <v>1.6971704380144543</v>
      </c>
      <c r="Y23" s="132">
        <v>1.2432450306210485</v>
      </c>
      <c r="DA23" s="156" t="s">
        <v>321</v>
      </c>
    </row>
    <row r="24" spans="1:105" ht="12" customHeight="1" x14ac:dyDescent="0.25">
      <c r="A24" s="131" t="s">
        <v>128</v>
      </c>
      <c r="B24" s="132">
        <v>2.3392164708477128</v>
      </c>
      <c r="C24" s="132">
        <v>3.0024728345458174</v>
      </c>
      <c r="D24" s="132">
        <v>3.152317196801425</v>
      </c>
      <c r="E24" s="132">
        <v>3.2319613415776165</v>
      </c>
      <c r="F24" s="132">
        <v>3.3677152578035341</v>
      </c>
      <c r="G24" s="132">
        <v>3.4546002169105887</v>
      </c>
      <c r="H24" s="132">
        <v>3.6499525313795309</v>
      </c>
      <c r="I24" s="132">
        <v>3.8016421394911366</v>
      </c>
      <c r="J24" s="132">
        <v>4.2539529244082228</v>
      </c>
      <c r="K24" s="132">
        <v>4.1901219118691424</v>
      </c>
      <c r="L24" s="132">
        <v>4.4185835125071096</v>
      </c>
      <c r="M24" s="132">
        <v>4.6313965219926096</v>
      </c>
      <c r="N24" s="132">
        <v>4.7127683083609062</v>
      </c>
      <c r="O24" s="132">
        <v>4.6956891533919771</v>
      </c>
      <c r="P24" s="132">
        <v>4.7473950898779425</v>
      </c>
      <c r="Q24" s="132">
        <v>4.7900221747360447</v>
      </c>
      <c r="R24" s="132">
        <v>5.6327491330293391</v>
      </c>
      <c r="S24" s="132">
        <v>5.6790214380922812</v>
      </c>
      <c r="T24" s="132">
        <v>5.8442209763042978</v>
      </c>
      <c r="U24" s="132">
        <v>5.9233055013046192</v>
      </c>
      <c r="V24" s="132">
        <v>5.4099031545409</v>
      </c>
      <c r="W24" s="132">
        <v>6.7295443204135728</v>
      </c>
      <c r="X24" s="132">
        <v>6.8360441387365878</v>
      </c>
      <c r="Y24" s="132">
        <v>6.0778238656105268</v>
      </c>
      <c r="DA24" s="156" t="s">
        <v>322</v>
      </c>
    </row>
    <row r="25" spans="1:105" ht="12" customHeight="1" x14ac:dyDescent="0.25">
      <c r="A25" s="131" t="s">
        <v>162</v>
      </c>
      <c r="B25" s="132">
        <v>66.118797807949719</v>
      </c>
      <c r="C25" s="132">
        <v>68.505241798301427</v>
      </c>
      <c r="D25" s="132">
        <v>69.241817644693697</v>
      </c>
      <c r="E25" s="132">
        <v>71.000995905585313</v>
      </c>
      <c r="F25" s="132">
        <v>72.490480877312137</v>
      </c>
      <c r="G25" s="132">
        <v>75.086477168188452</v>
      </c>
      <c r="H25" s="132">
        <v>77.821564157341811</v>
      </c>
      <c r="I25" s="132">
        <v>80.803947448450813</v>
      </c>
      <c r="J25" s="132">
        <v>81.251449817101118</v>
      </c>
      <c r="K25" s="132">
        <v>81.917910920683681</v>
      </c>
      <c r="L25" s="132">
        <v>81.827933867679661</v>
      </c>
      <c r="M25" s="132">
        <v>81.890206314016211</v>
      </c>
      <c r="N25" s="132">
        <v>82.265418887162639</v>
      </c>
      <c r="O25" s="132">
        <v>82.804958287371292</v>
      </c>
      <c r="P25" s="132">
        <v>82.999945118531855</v>
      </c>
      <c r="Q25" s="132">
        <v>82.867041239758407</v>
      </c>
      <c r="R25" s="132">
        <v>84.345595445190099</v>
      </c>
      <c r="S25" s="132">
        <v>84.266889923615778</v>
      </c>
      <c r="T25" s="132">
        <v>86.449212602158482</v>
      </c>
      <c r="U25" s="132">
        <v>83.411556194440422</v>
      </c>
      <c r="V25" s="132">
        <v>76.212937321270687</v>
      </c>
      <c r="W25" s="132">
        <v>90.853082384890172</v>
      </c>
      <c r="X25" s="132">
        <v>93.796445131178857</v>
      </c>
      <c r="Y25" s="132">
        <v>95.4284166418864</v>
      </c>
      <c r="DA25" s="156" t="s">
        <v>323</v>
      </c>
    </row>
    <row r="26" spans="1:105" ht="12" customHeight="1" x14ac:dyDescent="0.25">
      <c r="A26" s="131" t="s">
        <v>24</v>
      </c>
      <c r="B26" s="65">
        <v>58.873357763151539</v>
      </c>
      <c r="C26" s="65">
        <v>57.428424997367138</v>
      </c>
      <c r="D26" s="65">
        <v>57.206580873264308</v>
      </c>
      <c r="E26" s="65">
        <v>57.761528054176623</v>
      </c>
      <c r="F26" s="65">
        <v>57.780193543646611</v>
      </c>
      <c r="G26" s="65">
        <v>58.989782878260357</v>
      </c>
      <c r="H26" s="65">
        <v>57.877661230473201</v>
      </c>
      <c r="I26" s="65">
        <v>56.625442611349548</v>
      </c>
      <c r="J26" s="65">
        <v>57.871019763608622</v>
      </c>
      <c r="K26" s="65">
        <v>59.40941870788938</v>
      </c>
      <c r="L26" s="65">
        <v>61.485455889958921</v>
      </c>
      <c r="M26" s="65">
        <v>63.986368654534232</v>
      </c>
      <c r="N26" s="65">
        <v>66.642056063912676</v>
      </c>
      <c r="O26" s="65">
        <v>69.177273631116435</v>
      </c>
      <c r="P26" s="65">
        <v>72.574335026468191</v>
      </c>
      <c r="Q26" s="65">
        <v>75.384425875544736</v>
      </c>
      <c r="R26" s="65">
        <v>73.93217159467342</v>
      </c>
      <c r="S26" s="65">
        <v>80.302198913618014</v>
      </c>
      <c r="T26" s="65">
        <v>83.135539600208986</v>
      </c>
      <c r="U26" s="65">
        <v>91.750510350011254</v>
      </c>
      <c r="V26" s="65">
        <v>86.056896073492311</v>
      </c>
      <c r="W26" s="65">
        <v>89.548543479902477</v>
      </c>
      <c r="X26" s="65">
        <v>90.445024069933922</v>
      </c>
      <c r="Y26" s="65">
        <v>94.82603419780142</v>
      </c>
      <c r="DA26" s="109" t="s">
        <v>324</v>
      </c>
    </row>
    <row r="27" spans="1:105" ht="12" customHeight="1" x14ac:dyDescent="0.25">
      <c r="A27" s="144" t="s">
        <v>26</v>
      </c>
      <c r="B27" s="145">
        <v>0</v>
      </c>
      <c r="C27" s="145">
        <v>0</v>
      </c>
      <c r="D27" s="145">
        <v>0</v>
      </c>
      <c r="E27" s="145">
        <v>0</v>
      </c>
      <c r="F27" s="145">
        <v>0</v>
      </c>
      <c r="G27" s="145">
        <v>0</v>
      </c>
      <c r="H27" s="145">
        <v>0</v>
      </c>
      <c r="I27" s="145">
        <v>0</v>
      </c>
      <c r="J27" s="145">
        <v>0</v>
      </c>
      <c r="K27" s="145">
        <v>0</v>
      </c>
      <c r="L27" s="145">
        <v>0</v>
      </c>
      <c r="M27" s="145">
        <v>0</v>
      </c>
      <c r="N27" s="145">
        <v>0</v>
      </c>
      <c r="O27" s="145">
        <v>0</v>
      </c>
      <c r="P27" s="145">
        <v>0</v>
      </c>
      <c r="Q27" s="145">
        <v>0</v>
      </c>
      <c r="R27" s="145">
        <v>0</v>
      </c>
      <c r="S27" s="145">
        <v>0</v>
      </c>
      <c r="T27" s="145">
        <v>0</v>
      </c>
      <c r="U27" s="145">
        <v>0</v>
      </c>
      <c r="V27" s="145">
        <v>0</v>
      </c>
      <c r="W27" s="145">
        <v>0</v>
      </c>
      <c r="X27" s="145">
        <v>0</v>
      </c>
      <c r="Y27" s="145">
        <v>0</v>
      </c>
      <c r="DA27" s="158" t="s">
        <v>325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134.94948418908248</v>
      </c>
      <c r="C29" s="130">
        <f t="shared" si="12"/>
        <v>133.99759267258042</v>
      </c>
      <c r="D29" s="130">
        <f t="shared" si="12"/>
        <v>134.31960538836324</v>
      </c>
      <c r="E29" s="130">
        <f t="shared" si="12"/>
        <v>136.11481340754747</v>
      </c>
      <c r="F29" s="130">
        <f t="shared" si="12"/>
        <v>139.50196753497872</v>
      </c>
      <c r="G29" s="130">
        <f t="shared" si="12"/>
        <v>142.45218894924429</v>
      </c>
      <c r="H29" s="130">
        <f t="shared" si="12"/>
        <v>146.12687128011919</v>
      </c>
      <c r="I29" s="130">
        <f t="shared" si="12"/>
        <v>146.64904891824168</v>
      </c>
      <c r="J29" s="130">
        <f t="shared" si="12"/>
        <v>147.81417266540265</v>
      </c>
      <c r="K29" s="130">
        <f t="shared" si="12"/>
        <v>151.15687743276905</v>
      </c>
      <c r="L29" s="130">
        <f t="shared" si="12"/>
        <v>151.14766374182079</v>
      </c>
      <c r="M29" s="130">
        <f t="shared" si="12"/>
        <v>155.90888952890862</v>
      </c>
      <c r="N29" s="130">
        <f t="shared" si="12"/>
        <v>155.80732248357234</v>
      </c>
      <c r="O29" s="130">
        <f t="shared" si="12"/>
        <v>158.12687091288302</v>
      </c>
      <c r="P29" s="130">
        <f t="shared" si="12"/>
        <v>160.74059630230767</v>
      </c>
      <c r="Q29" s="130">
        <f t="shared" si="12"/>
        <v>164.45072734149335</v>
      </c>
      <c r="R29" s="130">
        <f t="shared" ref="R29:W29" si="13">SUM(R30:R33)</f>
        <v>169.68900413281148</v>
      </c>
      <c r="S29" s="130">
        <f t="shared" si="13"/>
        <v>177.51024673798509</v>
      </c>
      <c r="T29" s="130">
        <f t="shared" si="13"/>
        <v>179.2807071969236</v>
      </c>
      <c r="U29" s="130">
        <f t="shared" si="13"/>
        <v>192.69728399856237</v>
      </c>
      <c r="V29" s="130">
        <f t="shared" si="13"/>
        <v>181.32784454866487</v>
      </c>
      <c r="W29" s="130">
        <f t="shared" si="13"/>
        <v>202.26862146500477</v>
      </c>
      <c r="X29" s="130">
        <f t="shared" ref="X29:Y29" si="14">SUM(X30:X33)</f>
        <v>203.83958899569973</v>
      </c>
      <c r="Y29" s="130">
        <f t="shared" si="14"/>
        <v>208.14223534115433</v>
      </c>
      <c r="DA29" s="155" t="s">
        <v>326</v>
      </c>
    </row>
    <row r="30" spans="1:105" ht="12" customHeight="1" x14ac:dyDescent="0.25">
      <c r="A30" s="131" t="s">
        <v>52</v>
      </c>
      <c r="B30" s="132">
        <v>0</v>
      </c>
      <c r="C30" s="132">
        <v>0</v>
      </c>
      <c r="D30" s="132">
        <v>0</v>
      </c>
      <c r="E30" s="132">
        <v>0</v>
      </c>
      <c r="F30" s="132">
        <v>0</v>
      </c>
      <c r="G30" s="132">
        <v>0</v>
      </c>
      <c r="H30" s="132">
        <v>0</v>
      </c>
      <c r="I30" s="132">
        <v>0</v>
      </c>
      <c r="J30" s="132">
        <v>0</v>
      </c>
      <c r="K30" s="132">
        <v>0</v>
      </c>
      <c r="L30" s="132">
        <v>0</v>
      </c>
      <c r="M30" s="132">
        <v>0</v>
      </c>
      <c r="N30" s="132">
        <v>0</v>
      </c>
      <c r="O30" s="132">
        <v>0</v>
      </c>
      <c r="P30" s="132">
        <v>0</v>
      </c>
      <c r="Q30" s="132">
        <v>0</v>
      </c>
      <c r="R30" s="132">
        <v>0</v>
      </c>
      <c r="S30" s="132">
        <v>0</v>
      </c>
      <c r="T30" s="132">
        <v>0</v>
      </c>
      <c r="U30" s="132">
        <v>0</v>
      </c>
      <c r="V30" s="132">
        <v>0</v>
      </c>
      <c r="W30" s="132">
        <v>0</v>
      </c>
      <c r="X30" s="132">
        <v>0</v>
      </c>
      <c r="Y30" s="132">
        <v>0</v>
      </c>
      <c r="DA30" s="156" t="s">
        <v>327</v>
      </c>
    </row>
    <row r="31" spans="1:105" ht="12" customHeight="1" x14ac:dyDescent="0.25">
      <c r="A31" s="131" t="s">
        <v>149</v>
      </c>
      <c r="B31" s="132">
        <v>2.6415777117488695</v>
      </c>
      <c r="C31" s="132">
        <v>2.651712511628471</v>
      </c>
      <c r="D31" s="132">
        <v>2.7218675617475245</v>
      </c>
      <c r="E31" s="132">
        <v>2.7718415923401656</v>
      </c>
      <c r="F31" s="132">
        <v>2.8437928304232383</v>
      </c>
      <c r="G31" s="132">
        <v>2.8737604537369101</v>
      </c>
      <c r="H31" s="132">
        <v>2.8785614308215313</v>
      </c>
      <c r="I31" s="132">
        <v>2.8598890352267721</v>
      </c>
      <c r="J31" s="132">
        <v>2.8433277430464354</v>
      </c>
      <c r="K31" s="132">
        <v>2.6578378309496</v>
      </c>
      <c r="L31" s="132">
        <v>2.5045026767830332</v>
      </c>
      <c r="M31" s="132">
        <v>2.3155103087315392</v>
      </c>
      <c r="N31" s="132">
        <v>2.2600201014477652</v>
      </c>
      <c r="O31" s="132">
        <v>2.2486987540748391</v>
      </c>
      <c r="P31" s="132">
        <v>2.1441672667230569</v>
      </c>
      <c r="Q31" s="132">
        <v>2.099005395816568</v>
      </c>
      <c r="R31" s="132">
        <v>2.0091276931747566</v>
      </c>
      <c r="S31" s="132">
        <v>2.2545899578226671</v>
      </c>
      <c r="T31" s="132">
        <v>1.9235343220989172</v>
      </c>
      <c r="U31" s="132">
        <v>1.8214985562938586</v>
      </c>
      <c r="V31" s="132">
        <v>1.7850504115366874</v>
      </c>
      <c r="W31" s="132">
        <v>2.3687200700310349</v>
      </c>
      <c r="X31" s="132">
        <v>1.9614676661965977</v>
      </c>
      <c r="Y31" s="132">
        <v>1.4676605888870649</v>
      </c>
      <c r="DA31" s="156" t="s">
        <v>328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329</v>
      </c>
    </row>
    <row r="33" spans="1:105" ht="12" customHeight="1" x14ac:dyDescent="0.25">
      <c r="A33" s="62" t="s">
        <v>24</v>
      </c>
      <c r="B33" s="68">
        <v>132.3079064773336</v>
      </c>
      <c r="C33" s="68">
        <v>131.34588016095196</v>
      </c>
      <c r="D33" s="68">
        <v>131.59773782661571</v>
      </c>
      <c r="E33" s="68">
        <v>133.34297181520731</v>
      </c>
      <c r="F33" s="68">
        <v>136.65817470455548</v>
      </c>
      <c r="G33" s="68">
        <v>139.57842849550738</v>
      </c>
      <c r="H33" s="68">
        <v>143.24830984929767</v>
      </c>
      <c r="I33" s="68">
        <v>143.78915988301489</v>
      </c>
      <c r="J33" s="68">
        <v>144.97084492235621</v>
      </c>
      <c r="K33" s="68">
        <v>148.49903960181945</v>
      </c>
      <c r="L33" s="68">
        <v>148.64316106503776</v>
      </c>
      <c r="M33" s="68">
        <v>153.59337922017707</v>
      </c>
      <c r="N33" s="68">
        <v>153.54730238212457</v>
      </c>
      <c r="O33" s="68">
        <v>155.87817215880818</v>
      </c>
      <c r="P33" s="68">
        <v>158.59642903558461</v>
      </c>
      <c r="Q33" s="68">
        <v>162.35172194567679</v>
      </c>
      <c r="R33" s="68">
        <v>167.67987643963673</v>
      </c>
      <c r="S33" s="68">
        <v>175.25565678016241</v>
      </c>
      <c r="T33" s="68">
        <v>177.35717287482467</v>
      </c>
      <c r="U33" s="68">
        <v>190.87578544226852</v>
      </c>
      <c r="V33" s="68">
        <v>179.5427941371282</v>
      </c>
      <c r="W33" s="68">
        <v>199.89990139497374</v>
      </c>
      <c r="X33" s="68">
        <v>201.87812132950313</v>
      </c>
      <c r="Y33" s="68">
        <v>206.67457475226726</v>
      </c>
      <c r="DA33" s="111" t="s">
        <v>330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83</v>
      </c>
      <c r="B3" s="126">
        <f>IF(SER_hh_tes!B3=0,"",SER_hh_tes!B3/SER_hh_fec!B3)</f>
        <v>0.67743127483838395</v>
      </c>
      <c r="C3" s="126">
        <f>IF(SER_hh_tes!C3=0,"",SER_hh_tes!C3/SER_hh_fec!C3)</f>
        <v>0.68360508342541759</v>
      </c>
      <c r="D3" s="126">
        <f>IF(SER_hh_tes!D3=0,"",SER_hh_tes!D3/SER_hh_fec!D3)</f>
        <v>0.68893246168067646</v>
      </c>
      <c r="E3" s="126">
        <f>IF(SER_hh_tes!E3=0,"",SER_hh_tes!E3/SER_hh_fec!E3)</f>
        <v>0.69478247924071546</v>
      </c>
      <c r="F3" s="126">
        <f>IF(SER_hh_tes!F3=0,"",SER_hh_tes!F3/SER_hh_fec!F3)</f>
        <v>0.69952340143863445</v>
      </c>
      <c r="G3" s="126">
        <f>IF(SER_hh_tes!G3=0,"",SER_hh_tes!G3/SER_hh_fec!G3)</f>
        <v>0.70634885047371387</v>
      </c>
      <c r="H3" s="126">
        <f>IF(SER_hh_tes!H3=0,"",SER_hh_tes!H3/SER_hh_fec!H3)</f>
        <v>0.71329389136293231</v>
      </c>
      <c r="I3" s="126">
        <f>IF(SER_hh_tes!I3=0,"",SER_hh_tes!I3/SER_hh_fec!I3)</f>
        <v>0.72473892717461119</v>
      </c>
      <c r="J3" s="126">
        <f>IF(SER_hh_tes!J3=0,"",SER_hh_tes!J3/SER_hh_fec!J3)</f>
        <v>0.73634608812103775</v>
      </c>
      <c r="K3" s="126">
        <f>IF(SER_hh_tes!K3=0,"",SER_hh_tes!K3/SER_hh_fec!K3)</f>
        <v>0.74251475744411233</v>
      </c>
      <c r="L3" s="126">
        <f>IF(SER_hh_tes!L3=0,"",SER_hh_tes!L3/SER_hh_fec!L3)</f>
        <v>0.74570698864624607</v>
      </c>
      <c r="M3" s="126">
        <f>IF(SER_hh_tes!M3=0,"",SER_hh_tes!M3/SER_hh_fec!M3)</f>
        <v>0.75283104078746343</v>
      </c>
      <c r="N3" s="126">
        <f>IF(SER_hh_tes!N3=0,"",SER_hh_tes!N3/SER_hh_fec!N3)</f>
        <v>0.7592687480366852</v>
      </c>
      <c r="O3" s="126">
        <f>IF(SER_hh_tes!O3=0,"",SER_hh_tes!O3/SER_hh_fec!O3)</f>
        <v>0.77104586905916772</v>
      </c>
      <c r="P3" s="126">
        <f>IF(SER_hh_tes!P3=0,"",SER_hh_tes!P3/SER_hh_fec!P3)</f>
        <v>0.77776753850962843</v>
      </c>
      <c r="Q3" s="126">
        <f>IF(SER_hh_tes!Q3=0,"",SER_hh_tes!Q3/SER_hh_fec!Q3)</f>
        <v>0.7858900846497936</v>
      </c>
      <c r="R3" s="126">
        <f>IF(SER_hh_tes!R3=0,"",SER_hh_tes!R3/SER_hh_fec!R3)</f>
        <v>0.79100307718942653</v>
      </c>
      <c r="S3" s="126">
        <f>IF(SER_hh_tes!S3=0,"",SER_hh_tes!S3/SER_hh_fec!S3)</f>
        <v>0.79943535371339114</v>
      </c>
      <c r="T3" s="126">
        <f>IF(SER_hh_tes!T3=0,"",SER_hh_tes!T3/SER_hh_fec!T3)</f>
        <v>0.80889650119101264</v>
      </c>
      <c r="U3" s="126">
        <f>IF(SER_hh_tes!U3=0,"",SER_hh_tes!U3/SER_hh_fec!U3)</f>
        <v>0.81975155108624953</v>
      </c>
      <c r="V3" s="126">
        <f>IF(SER_hh_tes!V3=0,"",SER_hh_tes!V3/SER_hh_fec!V3)</f>
        <v>0.83379766704163649</v>
      </c>
      <c r="W3" s="126">
        <f>IF(SER_hh_tes!W3=0,"",SER_hh_tes!W3/SER_hh_fec!W3)</f>
        <v>0.84283920855369843</v>
      </c>
      <c r="X3" s="126">
        <f>IF(SER_hh_tes!X3=0,"",SER_hh_tes!X3/SER_hh_fec!X3)</f>
        <v>0.85607864877639739</v>
      </c>
      <c r="Y3" s="126">
        <f>IF(SER_hh_tes!Y3=0,"",SER_hh_tes!Y3/SER_hh_fec!Y3)</f>
        <v>0.87496832434089211</v>
      </c>
      <c r="DA3" s="161" t="s">
        <v>239</v>
      </c>
    </row>
    <row r="4" spans="1:105" ht="12.95" customHeight="1" x14ac:dyDescent="0.25">
      <c r="A4" s="129" t="s">
        <v>32</v>
      </c>
      <c r="B4" s="135">
        <f>IF(SER_hh_tes!B4=0,"",SER_hh_tes!B4/SER_hh_fec!B4)</f>
        <v>0.66337658910170572</v>
      </c>
      <c r="C4" s="135">
        <f>IF(SER_hh_tes!C4=0,"",SER_hh_tes!C4/SER_hh_fec!C4)</f>
        <v>0.67143911051655725</v>
      </c>
      <c r="D4" s="135">
        <f>IF(SER_hh_tes!D4=0,"",SER_hh_tes!D4/SER_hh_fec!D4)</f>
        <v>0.67701663102626031</v>
      </c>
      <c r="E4" s="135">
        <f>IF(SER_hh_tes!E4=0,"",SER_hh_tes!E4/SER_hh_fec!E4)</f>
        <v>0.6821121235345321</v>
      </c>
      <c r="F4" s="135">
        <f>IF(SER_hh_tes!F4=0,"",SER_hh_tes!F4/SER_hh_fec!F4)</f>
        <v>0.68643952636076622</v>
      </c>
      <c r="G4" s="135">
        <f>IF(SER_hh_tes!G4=0,"",SER_hh_tes!G4/SER_hh_fec!G4)</f>
        <v>0.69220167629596263</v>
      </c>
      <c r="H4" s="135">
        <f>IF(SER_hh_tes!H4=0,"",SER_hh_tes!H4/SER_hh_fec!H4)</f>
        <v>0.69853895273601474</v>
      </c>
      <c r="I4" s="135">
        <f>IF(SER_hh_tes!I4=0,"",SER_hh_tes!I4/SER_hh_fec!I4)</f>
        <v>0.71048803409386851</v>
      </c>
      <c r="J4" s="135">
        <f>IF(SER_hh_tes!J4=0,"",SER_hh_tes!J4/SER_hh_fec!J4)</f>
        <v>0.72139404920527117</v>
      </c>
      <c r="K4" s="135">
        <f>IF(SER_hh_tes!K4=0,"",SER_hh_tes!K4/SER_hh_fec!K4)</f>
        <v>0.72863487206755795</v>
      </c>
      <c r="L4" s="135">
        <f>IF(SER_hh_tes!L4=0,"",SER_hh_tes!L4/SER_hh_fec!L4)</f>
        <v>0.73091085300611247</v>
      </c>
      <c r="M4" s="135">
        <f>IF(SER_hh_tes!M4=0,"",SER_hh_tes!M4/SER_hh_fec!M4)</f>
        <v>0.7369690413483202</v>
      </c>
      <c r="N4" s="135">
        <f>IF(SER_hh_tes!N4=0,"",SER_hh_tes!N4/SER_hh_fec!N4)</f>
        <v>0.74489879394995706</v>
      </c>
      <c r="O4" s="135">
        <f>IF(SER_hh_tes!O4=0,"",SER_hh_tes!O4/SER_hh_fec!O4)</f>
        <v>0.75635506475103087</v>
      </c>
      <c r="P4" s="135">
        <f>IF(SER_hh_tes!P4=0,"",SER_hh_tes!P4/SER_hh_fec!P4)</f>
        <v>0.76298440111178789</v>
      </c>
      <c r="Q4" s="135">
        <f>IF(SER_hh_tes!Q4=0,"",SER_hh_tes!Q4/SER_hh_fec!Q4)</f>
        <v>0.76977116593375061</v>
      </c>
      <c r="R4" s="135">
        <f>IF(SER_hh_tes!R4=0,"",SER_hh_tes!R4/SER_hh_fec!R4)</f>
        <v>0.77447192506454354</v>
      </c>
      <c r="S4" s="135">
        <f>IF(SER_hh_tes!S4=0,"",SER_hh_tes!S4/SER_hh_fec!S4)</f>
        <v>0.78236507570970693</v>
      </c>
      <c r="T4" s="135">
        <f>IF(SER_hh_tes!T4=0,"",SER_hh_tes!T4/SER_hh_fec!T4)</f>
        <v>0.79173758286288354</v>
      </c>
      <c r="U4" s="135">
        <f>IF(SER_hh_tes!U4=0,"",SER_hh_tes!U4/SER_hh_fec!U4)</f>
        <v>0.80166798074411538</v>
      </c>
      <c r="V4" s="135">
        <f>IF(SER_hh_tes!V4=0,"",SER_hh_tes!V4/SER_hh_fec!V4)</f>
        <v>0.81318917680511427</v>
      </c>
      <c r="W4" s="135">
        <f>IF(SER_hh_tes!W4=0,"",SER_hh_tes!W4/SER_hh_fec!W4)</f>
        <v>0.82535840226128498</v>
      </c>
      <c r="X4" s="135">
        <f>IF(SER_hh_tes!X4=0,"",SER_hh_tes!X4/SER_hh_fec!X4)</f>
        <v>0.837368544047291</v>
      </c>
      <c r="Y4" s="135">
        <f>IF(SER_hh_tes!Y4=0,"",SER_hh_tes!Y4/SER_hh_fec!Y4)</f>
        <v>0.85648156203138037</v>
      </c>
      <c r="DA4" s="162" t="s">
        <v>240</v>
      </c>
    </row>
    <row r="5" spans="1:105" ht="12" customHeight="1" x14ac:dyDescent="0.25">
      <c r="A5" s="131" t="s">
        <v>29</v>
      </c>
      <c r="B5" s="136">
        <f>IF(SER_hh_tes!B5=0,"",SER_hh_tes!B5/SER_hh_fec!B5)</f>
        <v>0.52438961100332604</v>
      </c>
      <c r="C5" s="136">
        <f>IF(SER_hh_tes!C5=0,"",SER_hh_tes!C5/SER_hh_fec!C5)</f>
        <v>0.5267641138002972</v>
      </c>
      <c r="D5" s="136">
        <f>IF(SER_hh_tes!D5=0,"",SER_hh_tes!D5/SER_hh_fec!D5)</f>
        <v>0.53102415030009487</v>
      </c>
      <c r="E5" s="136">
        <f>IF(SER_hh_tes!E5=0,"",SER_hh_tes!E5/SER_hh_fec!E5)</f>
        <v>0.53670484533785612</v>
      </c>
      <c r="F5" s="136">
        <f>IF(SER_hh_tes!F5=0,"",SER_hh_tes!F5/SER_hh_fec!F5)</f>
        <v>0.54373739871663784</v>
      </c>
      <c r="G5" s="136">
        <f>IF(SER_hh_tes!G5=0,"",SER_hh_tes!G5/SER_hh_fec!G5)</f>
        <v>0.55105264997262748</v>
      </c>
      <c r="H5" s="136">
        <f>IF(SER_hh_tes!H5=0,"",SER_hh_tes!H5/SER_hh_fec!H5)</f>
        <v>0.55996435118497745</v>
      </c>
      <c r="I5" s="136">
        <f>IF(SER_hh_tes!I5=0,"",SER_hh_tes!I5/SER_hh_fec!I5)</f>
        <v>0.5711289576036902</v>
      </c>
      <c r="J5" s="136">
        <f>IF(SER_hh_tes!J5=0,"",SER_hh_tes!J5/SER_hh_fec!J5)</f>
        <v>0.58165050164647536</v>
      </c>
      <c r="K5" s="136">
        <f>IF(SER_hh_tes!K5=0,"",SER_hh_tes!K5/SER_hh_fec!K5)</f>
        <v>0.59380134495363912</v>
      </c>
      <c r="L5" s="136">
        <f>IF(SER_hh_tes!L5=0,"",SER_hh_tes!L5/SER_hh_fec!L5)</f>
        <v>0.60653371165776304</v>
      </c>
      <c r="M5" s="136">
        <f>IF(SER_hh_tes!M5=0,"",SER_hh_tes!M5/SER_hh_fec!M5)</f>
        <v>0.61815526757823003</v>
      </c>
      <c r="N5" s="136">
        <f>IF(SER_hh_tes!N5=0,"",SER_hh_tes!N5/SER_hh_fec!N5)</f>
        <v>0.63105611078782453</v>
      </c>
      <c r="O5" s="136">
        <f>IF(SER_hh_tes!O5=0,"",SER_hh_tes!O5/SER_hh_fec!O5)</f>
        <v>0.64170488644165413</v>
      </c>
      <c r="P5" s="136">
        <f>IF(SER_hh_tes!P5=0,"",SER_hh_tes!P5/SER_hh_fec!P5)</f>
        <v>0.64355466537022032</v>
      </c>
      <c r="Q5" s="136">
        <f>IF(SER_hh_tes!Q5=0,"",SER_hh_tes!Q5/SER_hh_fec!Q5)</f>
        <v>0.64590952383718347</v>
      </c>
      <c r="R5" s="136">
        <f>IF(SER_hh_tes!R5=0,"",SER_hh_tes!R5/SER_hh_fec!R5)</f>
        <v>0.64945203422311304</v>
      </c>
      <c r="S5" s="136">
        <f>IF(SER_hh_tes!S5=0,"",SER_hh_tes!S5/SER_hh_fec!S5)</f>
        <v>0.6544835980997713</v>
      </c>
      <c r="T5" s="136">
        <f>IF(SER_hh_tes!T5=0,"",SER_hh_tes!T5/SER_hh_fec!T5)</f>
        <v>0.66046764888693454</v>
      </c>
      <c r="U5" s="136">
        <f>IF(SER_hh_tes!U5=0,"",SER_hh_tes!U5/SER_hh_fec!U5)</f>
        <v>0.66663369298705699</v>
      </c>
      <c r="V5" s="136">
        <f>IF(SER_hh_tes!V5=0,"",SER_hh_tes!V5/SER_hh_fec!V5)</f>
        <v>0.67316726002889038</v>
      </c>
      <c r="W5" s="136">
        <f>IF(SER_hh_tes!W5=0,"",SER_hh_tes!W5/SER_hh_fec!W5)</f>
        <v>0.68251547925737654</v>
      </c>
      <c r="X5" s="136">
        <f>IF(SER_hh_tes!X5=0,"",SER_hh_tes!X5/SER_hh_fec!X5)</f>
        <v>0.6907767174480931</v>
      </c>
      <c r="Y5" s="136">
        <f>IF(SER_hh_tes!Y5=0,"",SER_hh_tes!Y5/SER_hh_fec!Y5)</f>
        <v>0.69944144161645871</v>
      </c>
      <c r="DA5" s="163" t="s">
        <v>332</v>
      </c>
    </row>
    <row r="6" spans="1:105" ht="12" customHeight="1" x14ac:dyDescent="0.25">
      <c r="A6" s="131" t="s">
        <v>52</v>
      </c>
      <c r="B6" s="136" t="str">
        <f>IF(SER_hh_tes!B6=0,"",SER_hh_tes!B6/SER_hh_fec!B6)</f>
        <v/>
      </c>
      <c r="C6" s="136" t="str">
        <f>IF(SER_hh_tes!C6=0,"",SER_hh_tes!C6/SER_hh_fec!C6)</f>
        <v/>
      </c>
      <c r="D6" s="136" t="str">
        <f>IF(SER_hh_tes!D6=0,"",SER_hh_tes!D6/SER_hh_fec!D6)</f>
        <v/>
      </c>
      <c r="E6" s="136" t="str">
        <f>IF(SER_hh_tes!E6=0,"",SER_hh_tes!E6/SER_hh_fec!E6)</f>
        <v/>
      </c>
      <c r="F6" s="136" t="str">
        <f>IF(SER_hh_tes!F6=0,"",SER_hh_tes!F6/SER_hh_fec!F6)</f>
        <v/>
      </c>
      <c r="G6" s="136" t="str">
        <f>IF(SER_hh_tes!G6=0,"",SER_hh_tes!G6/SER_hh_fec!G6)</f>
        <v/>
      </c>
      <c r="H6" s="136" t="str">
        <f>IF(SER_hh_tes!H6=0,"",SER_hh_tes!H6/SER_hh_fec!H6)</f>
        <v/>
      </c>
      <c r="I6" s="136" t="str">
        <f>IF(SER_hh_tes!I6=0,"",SER_hh_tes!I6/SER_hh_fec!I6)</f>
        <v/>
      </c>
      <c r="J6" s="136" t="str">
        <f>IF(SER_hh_tes!J6=0,"",SER_hh_tes!J6/SER_hh_fec!J6)</f>
        <v/>
      </c>
      <c r="K6" s="136" t="str">
        <f>IF(SER_hh_tes!K6=0,"",SER_hh_tes!K6/SER_hh_fec!K6)</f>
        <v/>
      </c>
      <c r="L6" s="136" t="str">
        <f>IF(SER_hh_tes!L6=0,"",SER_hh_tes!L6/SER_hh_fec!L6)</f>
        <v/>
      </c>
      <c r="M6" s="136" t="str">
        <f>IF(SER_hh_tes!M6=0,"",SER_hh_tes!M6/SER_hh_fec!M6)</f>
        <v/>
      </c>
      <c r="N6" s="136" t="str">
        <f>IF(SER_hh_tes!N6=0,"",SER_hh_tes!N6/SER_hh_fec!N6)</f>
        <v/>
      </c>
      <c r="O6" s="136" t="str">
        <f>IF(SER_hh_tes!O6=0,"",SER_hh_tes!O6/SER_hh_fec!O6)</f>
        <v/>
      </c>
      <c r="P6" s="136" t="str">
        <f>IF(SER_hh_tes!P6=0,"",SER_hh_tes!P6/SER_hh_fec!P6)</f>
        <v/>
      </c>
      <c r="Q6" s="136" t="str">
        <f>IF(SER_hh_tes!Q6=0,"",SER_hh_tes!Q6/SER_hh_fec!Q6)</f>
        <v/>
      </c>
      <c r="R6" s="136" t="str">
        <f>IF(SER_hh_tes!R6=0,"",SER_hh_tes!R6/SER_hh_fec!R6)</f>
        <v/>
      </c>
      <c r="S6" s="136" t="str">
        <f>IF(SER_hh_tes!S6=0,"",SER_hh_tes!S6/SER_hh_fec!S6)</f>
        <v/>
      </c>
      <c r="T6" s="136" t="str">
        <f>IF(SER_hh_tes!T6=0,"",SER_hh_tes!T6/SER_hh_fec!T6)</f>
        <v/>
      </c>
      <c r="U6" s="136" t="str">
        <f>IF(SER_hh_tes!U6=0,"",SER_hh_tes!U6/SER_hh_fec!U6)</f>
        <v/>
      </c>
      <c r="V6" s="136" t="str">
        <f>IF(SER_hh_tes!V6=0,"",SER_hh_tes!V6/SER_hh_fec!V6)</f>
        <v/>
      </c>
      <c r="W6" s="136" t="str">
        <f>IF(SER_hh_tes!W6=0,"",SER_hh_tes!W6/SER_hh_fec!W6)</f>
        <v/>
      </c>
      <c r="X6" s="136" t="str">
        <f>IF(SER_hh_tes!X6=0,"",SER_hh_tes!X6/SER_hh_fec!X6)</f>
        <v/>
      </c>
      <c r="Y6" s="136" t="str">
        <f>IF(SER_hh_tes!Y6=0,"",SER_hh_tes!Y6/SER_hh_fec!Y6)</f>
        <v/>
      </c>
      <c r="DA6" s="163" t="s">
        <v>333</v>
      </c>
    </row>
    <row r="7" spans="1:105" ht="12" customHeight="1" x14ac:dyDescent="0.25">
      <c r="A7" s="131" t="s">
        <v>161</v>
      </c>
      <c r="B7" s="136">
        <f>IF(SER_hh_tes!B7=0,"",SER_hh_tes!B7/SER_hh_fec!B7)</f>
        <v>0.45013054408489928</v>
      </c>
      <c r="C7" s="136">
        <f>IF(SER_hh_tes!C7=0,"",SER_hh_tes!C7/SER_hh_fec!C7)</f>
        <v>0.45191122718163501</v>
      </c>
      <c r="D7" s="136">
        <f>IF(SER_hh_tes!D7=0,"",SER_hh_tes!D7/SER_hh_fec!D7)</f>
        <v>0.454356068600407</v>
      </c>
      <c r="E7" s="136">
        <f>IF(SER_hh_tes!E7=0,"",SER_hh_tes!E7/SER_hh_fec!E7)</f>
        <v>0.4578516643774026</v>
      </c>
      <c r="F7" s="136">
        <f>IF(SER_hh_tes!F7=0,"",SER_hh_tes!F7/SER_hh_fec!F7)</f>
        <v>0.4622837811711879</v>
      </c>
      <c r="G7" s="136">
        <f>IF(SER_hh_tes!G7=0,"",SER_hh_tes!G7/SER_hh_fec!G7)</f>
        <v>0.46692524959299103</v>
      </c>
      <c r="H7" s="136">
        <f>IF(SER_hh_tes!H7=0,"",SER_hh_tes!H7/SER_hh_fec!H7)</f>
        <v>0.47111986382172094</v>
      </c>
      <c r="I7" s="136">
        <f>IF(SER_hh_tes!I7=0,"",SER_hh_tes!I7/SER_hh_fec!I7)</f>
        <v>0.47449385969307506</v>
      </c>
      <c r="J7" s="136">
        <f>IF(SER_hh_tes!J7=0,"",SER_hh_tes!J7/SER_hh_fec!J7)</f>
        <v>0.4791163826839997</v>
      </c>
      <c r="K7" s="136">
        <f>IF(SER_hh_tes!K7=0,"",SER_hh_tes!K7/SER_hh_fec!K7)</f>
        <v>0.4892586052352646</v>
      </c>
      <c r="L7" s="136">
        <f>IF(SER_hh_tes!L7=0,"",SER_hh_tes!L7/SER_hh_fec!L7)</f>
        <v>0.50445094696559312</v>
      </c>
      <c r="M7" s="136">
        <f>IF(SER_hh_tes!M7=0,"",SER_hh_tes!M7/SER_hh_fec!M7)</f>
        <v>0.52144938933260609</v>
      </c>
      <c r="N7" s="136">
        <f>IF(SER_hh_tes!N7=0,"",SER_hh_tes!N7/SER_hh_fec!N7)</f>
        <v>0.54122543109285737</v>
      </c>
      <c r="O7" s="136">
        <f>IF(SER_hh_tes!O7=0,"",SER_hh_tes!O7/SER_hh_fec!O7)</f>
        <v>0.56029788055332208</v>
      </c>
      <c r="P7" s="136">
        <f>IF(SER_hh_tes!P7=0,"",SER_hh_tes!P7/SER_hh_fec!P7)</f>
        <v>0.56438464009071898</v>
      </c>
      <c r="Q7" s="136">
        <f>IF(SER_hh_tes!Q7=0,"",SER_hh_tes!Q7/SER_hh_fec!Q7)</f>
        <v>0.57211694286193648</v>
      </c>
      <c r="R7" s="136">
        <f>IF(SER_hh_tes!R7=0,"",SER_hh_tes!R7/SER_hh_fec!R7)</f>
        <v>0.58342426638905076</v>
      </c>
      <c r="S7" s="136">
        <f>IF(SER_hh_tes!S7=0,"",SER_hh_tes!S7/SER_hh_fec!S7)</f>
        <v>0.59729788379741311</v>
      </c>
      <c r="T7" s="136">
        <f>IF(SER_hh_tes!T7=0,"",SER_hh_tes!T7/SER_hh_fec!T7)</f>
        <v>0.61065463562271349</v>
      </c>
      <c r="U7" s="136">
        <f>IF(SER_hh_tes!U7=0,"",SER_hh_tes!U7/SER_hh_fec!U7)</f>
        <v>0.62530070221970768</v>
      </c>
      <c r="V7" s="136">
        <f>IF(SER_hh_tes!V7=0,"",SER_hh_tes!V7/SER_hh_fec!V7)</f>
        <v>0.6389826450970475</v>
      </c>
      <c r="W7" s="136">
        <f>IF(SER_hh_tes!W7=0,"",SER_hh_tes!W7/SER_hh_fec!W7)</f>
        <v>0.65204148893562552</v>
      </c>
      <c r="X7" s="136">
        <f>IF(SER_hh_tes!X7=0,"",SER_hh_tes!X7/SER_hh_fec!X7)</f>
        <v>0.66373330289022681</v>
      </c>
      <c r="Y7" s="136">
        <f>IF(SER_hh_tes!Y7=0,"",SER_hh_tes!Y7/SER_hh_fec!Y7)</f>
        <v>0.67538091079620488</v>
      </c>
      <c r="DA7" s="163" t="s">
        <v>334</v>
      </c>
    </row>
    <row r="8" spans="1:105" ht="12" customHeight="1" x14ac:dyDescent="0.25">
      <c r="A8" s="131" t="s">
        <v>73</v>
      </c>
      <c r="B8" s="136" t="str">
        <f>IF(SER_hh_tes!B8=0,"",SER_hh_tes!B8/SER_hh_fec!B8)</f>
        <v/>
      </c>
      <c r="C8" s="136" t="str">
        <f>IF(SER_hh_tes!C8=0,"",SER_hh_tes!C8/SER_hh_fec!C8)</f>
        <v/>
      </c>
      <c r="D8" s="136" t="str">
        <f>IF(SER_hh_tes!D8=0,"",SER_hh_tes!D8/SER_hh_fec!D8)</f>
        <v/>
      </c>
      <c r="E8" s="136" t="str">
        <f>IF(SER_hh_tes!E8=0,"",SER_hh_tes!E8/SER_hh_fec!E8)</f>
        <v/>
      </c>
      <c r="F8" s="136" t="str">
        <f>IF(SER_hh_tes!F8=0,"",SER_hh_tes!F8/SER_hh_fec!F8)</f>
        <v/>
      </c>
      <c r="G8" s="136" t="str">
        <f>IF(SER_hh_tes!G8=0,"",SER_hh_tes!G8/SER_hh_fec!G8)</f>
        <v/>
      </c>
      <c r="H8" s="136" t="str">
        <f>IF(SER_hh_tes!H8=0,"",SER_hh_tes!H8/SER_hh_fec!H8)</f>
        <v/>
      </c>
      <c r="I8" s="136" t="str">
        <f>IF(SER_hh_tes!I8=0,"",SER_hh_tes!I8/SER_hh_fec!I8)</f>
        <v/>
      </c>
      <c r="J8" s="136" t="str">
        <f>IF(SER_hh_tes!J8=0,"",SER_hh_tes!J8/SER_hh_fec!J8)</f>
        <v/>
      </c>
      <c r="K8" s="136" t="str">
        <f>IF(SER_hh_tes!K8=0,"",SER_hh_tes!K8/SER_hh_fec!K8)</f>
        <v/>
      </c>
      <c r="L8" s="136" t="str">
        <f>IF(SER_hh_tes!L8=0,"",SER_hh_tes!L8/SER_hh_fec!L8)</f>
        <v/>
      </c>
      <c r="M8" s="136" t="str">
        <f>IF(SER_hh_tes!M8=0,"",SER_hh_tes!M8/SER_hh_fec!M8)</f>
        <v/>
      </c>
      <c r="N8" s="136" t="str">
        <f>IF(SER_hh_tes!N8=0,"",SER_hh_tes!N8/SER_hh_fec!N8)</f>
        <v/>
      </c>
      <c r="O8" s="136" t="str">
        <f>IF(SER_hh_tes!O8=0,"",SER_hh_tes!O8/SER_hh_fec!O8)</f>
        <v/>
      </c>
      <c r="P8" s="136" t="str">
        <f>IF(SER_hh_tes!P8=0,"",SER_hh_tes!P8/SER_hh_fec!P8)</f>
        <v/>
      </c>
      <c r="Q8" s="136" t="str">
        <f>IF(SER_hh_tes!Q8=0,"",SER_hh_tes!Q8/SER_hh_fec!Q8)</f>
        <v/>
      </c>
      <c r="R8" s="136" t="str">
        <f>IF(SER_hh_tes!R8=0,"",SER_hh_tes!R8/SER_hh_fec!R8)</f>
        <v/>
      </c>
      <c r="S8" s="136" t="str">
        <f>IF(SER_hh_tes!S8=0,"",SER_hh_tes!S8/SER_hh_fec!S8)</f>
        <v/>
      </c>
      <c r="T8" s="136" t="str">
        <f>IF(SER_hh_tes!T8=0,"",SER_hh_tes!T8/SER_hh_fec!T8)</f>
        <v/>
      </c>
      <c r="U8" s="136" t="str">
        <f>IF(SER_hh_tes!U8=0,"",SER_hh_tes!U8/SER_hh_fec!U8)</f>
        <v/>
      </c>
      <c r="V8" s="136" t="str">
        <f>IF(SER_hh_tes!V8=0,"",SER_hh_tes!V8/SER_hh_fec!V8)</f>
        <v/>
      </c>
      <c r="W8" s="136" t="str">
        <f>IF(SER_hh_tes!W8=0,"",SER_hh_tes!W8/SER_hh_fec!W8)</f>
        <v/>
      </c>
      <c r="X8" s="136" t="str">
        <f>IF(SER_hh_tes!X8=0,"",SER_hh_tes!X8/SER_hh_fec!X8)</f>
        <v/>
      </c>
      <c r="Y8" s="136" t="str">
        <f>IF(SER_hh_tes!Y8=0,"",SER_hh_tes!Y8/SER_hh_fec!Y8)</f>
        <v/>
      </c>
      <c r="DA8" s="163" t="s">
        <v>335</v>
      </c>
    </row>
    <row r="9" spans="1:105" ht="12" customHeight="1" x14ac:dyDescent="0.25">
      <c r="A9" s="131" t="s">
        <v>78</v>
      </c>
      <c r="B9" s="136">
        <f>IF(SER_hh_tes!B9=0,"",SER_hh_tes!B9/SER_hh_fec!B9)</f>
        <v>0.48654358624392818</v>
      </c>
      <c r="C9" s="136">
        <f>IF(SER_hh_tes!C9=0,"",SER_hh_tes!C9/SER_hh_fec!C9)</f>
        <v>0.49205559748885774</v>
      </c>
      <c r="D9" s="136">
        <f>IF(SER_hh_tes!D9=0,"",SER_hh_tes!D9/SER_hh_fec!D9)</f>
        <v>0.49829757564827387</v>
      </c>
      <c r="E9" s="136">
        <f>IF(SER_hh_tes!E9=0,"",SER_hh_tes!E9/SER_hh_fec!E9)</f>
        <v>0.50419842703151718</v>
      </c>
      <c r="F9" s="136">
        <f>IF(SER_hh_tes!F9=0,"",SER_hh_tes!F9/SER_hh_fec!F9)</f>
        <v>0.51057477258931794</v>
      </c>
      <c r="G9" s="136">
        <f>IF(SER_hh_tes!G9=0,"",SER_hh_tes!G9/SER_hh_fec!G9)</f>
        <v>0.51507280614930062</v>
      </c>
      <c r="H9" s="136">
        <f>IF(SER_hh_tes!H9=0,"",SER_hh_tes!H9/SER_hh_fec!H9)</f>
        <v>0.51838639103418471</v>
      </c>
      <c r="I9" s="136">
        <f>IF(SER_hh_tes!I9=0,"",SER_hh_tes!I9/SER_hh_fec!I9)</f>
        <v>0.52104016313517443</v>
      </c>
      <c r="J9" s="136">
        <f>IF(SER_hh_tes!J9=0,"",SER_hh_tes!J9/SER_hh_fec!J9)</f>
        <v>0.52497008315003946</v>
      </c>
      <c r="K9" s="136">
        <f>IF(SER_hh_tes!K9=0,"",SER_hh_tes!K9/SER_hh_fec!K9)</f>
        <v>0.53193772083468538</v>
      </c>
      <c r="L9" s="136">
        <f>IF(SER_hh_tes!L9=0,"",SER_hh_tes!L9/SER_hh_fec!L9)</f>
        <v>0.54075176379845935</v>
      </c>
      <c r="M9" s="136">
        <f>IF(SER_hh_tes!M9=0,"",SER_hh_tes!M9/SER_hh_fec!M9)</f>
        <v>0.54944756922937221</v>
      </c>
      <c r="N9" s="136">
        <f>IF(SER_hh_tes!N9=0,"",SER_hh_tes!N9/SER_hh_fec!N9)</f>
        <v>0.56254705542173711</v>
      </c>
      <c r="O9" s="136">
        <f>IF(SER_hh_tes!O9=0,"",SER_hh_tes!O9/SER_hh_fec!O9)</f>
        <v>0.58254031193404754</v>
      </c>
      <c r="P9" s="136">
        <f>IF(SER_hh_tes!P9=0,"",SER_hh_tes!P9/SER_hh_fec!P9)</f>
        <v>0.59551504856923676</v>
      </c>
      <c r="Q9" s="136">
        <f>IF(SER_hh_tes!Q9=0,"",SER_hh_tes!Q9/SER_hh_fec!Q9)</f>
        <v>0.60778106683632138</v>
      </c>
      <c r="R9" s="136">
        <f>IF(SER_hh_tes!R9=0,"",SER_hh_tes!R9/SER_hh_fec!R9)</f>
        <v>0.62444628178331385</v>
      </c>
      <c r="S9" s="136">
        <f>IF(SER_hh_tes!S9=0,"",SER_hh_tes!S9/SER_hh_fec!S9)</f>
        <v>0.63929716997345998</v>
      </c>
      <c r="T9" s="136">
        <f>IF(SER_hh_tes!T9=0,"",SER_hh_tes!T9/SER_hh_fec!T9)</f>
        <v>0.65347087902348799</v>
      </c>
      <c r="U9" s="136">
        <f>IF(SER_hh_tes!U9=0,"",SER_hh_tes!U9/SER_hh_fec!U9)</f>
        <v>0.66840623139290511</v>
      </c>
      <c r="V9" s="136">
        <f>IF(SER_hh_tes!V9=0,"",SER_hh_tes!V9/SER_hh_fec!V9)</f>
        <v>0.68055677116246693</v>
      </c>
      <c r="W9" s="136">
        <f>IF(SER_hh_tes!W9=0,"",SER_hh_tes!W9/SER_hh_fec!W9)</f>
        <v>0.69005865815483869</v>
      </c>
      <c r="X9" s="136">
        <f>IF(SER_hh_tes!X9=0,"",SER_hh_tes!X9/SER_hh_fec!X9)</f>
        <v>0.69502862702118517</v>
      </c>
      <c r="Y9" s="136">
        <f>IF(SER_hh_tes!Y9=0,"",SER_hh_tes!Y9/SER_hh_fec!Y9)</f>
        <v>0.70019692783852172</v>
      </c>
      <c r="DA9" s="163" t="s">
        <v>336</v>
      </c>
    </row>
    <row r="10" spans="1:105" ht="12" customHeight="1" x14ac:dyDescent="0.25">
      <c r="A10" s="131" t="s">
        <v>128</v>
      </c>
      <c r="B10" s="136">
        <f>IF(SER_hh_tes!B10=0,"",SER_hh_tes!B10/SER_hh_fec!B10)</f>
        <v>0.44360056553692351</v>
      </c>
      <c r="C10" s="136">
        <f>IF(SER_hh_tes!C10=0,"",SER_hh_tes!C10/SER_hh_fec!C10)</f>
        <v>0.45108240564518759</v>
      </c>
      <c r="D10" s="136">
        <f>IF(SER_hh_tes!D10=0,"",SER_hh_tes!D10/SER_hh_fec!D10)</f>
        <v>0.45944297355538782</v>
      </c>
      <c r="E10" s="136">
        <f>IF(SER_hh_tes!E10=0,"",SER_hh_tes!E10/SER_hh_fec!E10)</f>
        <v>0.46798657095637952</v>
      </c>
      <c r="F10" s="136">
        <f>IF(SER_hh_tes!F10=0,"",SER_hh_tes!F10/SER_hh_fec!F10)</f>
        <v>0.47642935012085486</v>
      </c>
      <c r="G10" s="136">
        <f>IF(SER_hh_tes!G10=0,"",SER_hh_tes!G10/SER_hh_fec!G10)</f>
        <v>0.48449369861329294</v>
      </c>
      <c r="H10" s="136">
        <f>IF(SER_hh_tes!H10=0,"",SER_hh_tes!H10/SER_hh_fec!H10)</f>
        <v>0.49253212423029546</v>
      </c>
      <c r="I10" s="136">
        <f>IF(SER_hh_tes!I10=0,"",SER_hh_tes!I10/SER_hh_fec!I10)</f>
        <v>0.49988237447999317</v>
      </c>
      <c r="J10" s="136">
        <f>IF(SER_hh_tes!J10=0,"",SER_hh_tes!J10/SER_hh_fec!J10)</f>
        <v>0.50832987806808805</v>
      </c>
      <c r="K10" s="136">
        <f>IF(SER_hh_tes!K10=0,"",SER_hh_tes!K10/SER_hh_fec!K10)</f>
        <v>0.5159023394164296</v>
      </c>
      <c r="L10" s="136">
        <f>IF(SER_hh_tes!L10=0,"",SER_hh_tes!L10/SER_hh_fec!L10)</f>
        <v>0.52375053067509303</v>
      </c>
      <c r="M10" s="136">
        <f>IF(SER_hh_tes!M10=0,"",SER_hh_tes!M10/SER_hh_fec!M10)</f>
        <v>0.5312001990324331</v>
      </c>
      <c r="N10" s="136">
        <f>IF(SER_hh_tes!N10=0,"",SER_hh_tes!N10/SER_hh_fec!N10)</f>
        <v>0.53865274836766819</v>
      </c>
      <c r="O10" s="136">
        <f>IF(SER_hh_tes!O10=0,"",SER_hh_tes!O10/SER_hh_fec!O10)</f>
        <v>0.54467405858057516</v>
      </c>
      <c r="P10" s="136">
        <f>IF(SER_hh_tes!P10=0,"",SER_hh_tes!P10/SER_hh_fec!P10)</f>
        <v>0.5447786266520579</v>
      </c>
      <c r="Q10" s="136">
        <f>IF(SER_hh_tes!Q10=0,"",SER_hh_tes!Q10/SER_hh_fec!Q10)</f>
        <v>0.54492672244121898</v>
      </c>
      <c r="R10" s="136">
        <f>IF(SER_hh_tes!R10=0,"",SER_hh_tes!R10/SER_hh_fec!R10)</f>
        <v>0.54513850075108428</v>
      </c>
      <c r="S10" s="136">
        <f>IF(SER_hh_tes!S10=0,"",SER_hh_tes!S10/SER_hh_fec!S10)</f>
        <v>0.5454069796425095</v>
      </c>
      <c r="T10" s="136">
        <f>IF(SER_hh_tes!T10=0,"",SER_hh_tes!T10/SER_hh_fec!T10)</f>
        <v>0.54567079676663321</v>
      </c>
      <c r="U10" s="136">
        <f>IF(SER_hh_tes!U10=0,"",SER_hh_tes!U10/SER_hh_fec!U10)</f>
        <v>0.54594759532666404</v>
      </c>
      <c r="V10" s="136">
        <f>IF(SER_hh_tes!V10=0,"",SER_hh_tes!V10/SER_hh_fec!V10)</f>
        <v>0.54623443689893336</v>
      </c>
      <c r="W10" s="136">
        <f>IF(SER_hh_tes!W10=0,"",SER_hh_tes!W10/SER_hh_fec!W10)</f>
        <v>0.54652311131188314</v>
      </c>
      <c r="X10" s="136">
        <f>IF(SER_hh_tes!X10=0,"",SER_hh_tes!X10/SER_hh_fec!X10)</f>
        <v>0.54719461695735594</v>
      </c>
      <c r="Y10" s="136">
        <f>IF(SER_hh_tes!Y10=0,"",SER_hh_tes!Y10/SER_hh_fec!Y10)</f>
        <v>0.54837979863142317</v>
      </c>
      <c r="DA10" s="163" t="s">
        <v>337</v>
      </c>
    </row>
    <row r="11" spans="1:105" ht="12" customHeight="1" x14ac:dyDescent="0.25">
      <c r="A11" s="131" t="s">
        <v>25</v>
      </c>
      <c r="B11" s="136" t="str">
        <f>IF(SER_hh_tes!B11=0,"",SER_hh_tes!B11/SER_hh_fec!B11)</f>
        <v/>
      </c>
      <c r="C11" s="136" t="str">
        <f>IF(SER_hh_tes!C11=0,"",SER_hh_tes!C11/SER_hh_fec!C11)</f>
        <v/>
      </c>
      <c r="D11" s="136" t="str">
        <f>IF(SER_hh_tes!D11=0,"",SER_hh_tes!D11/SER_hh_fec!D11)</f>
        <v/>
      </c>
      <c r="E11" s="136" t="str">
        <f>IF(SER_hh_tes!E11=0,"",SER_hh_tes!E11/SER_hh_fec!E11)</f>
        <v/>
      </c>
      <c r="F11" s="136" t="str">
        <f>IF(SER_hh_tes!F11=0,"",SER_hh_tes!F11/SER_hh_fec!F11)</f>
        <v/>
      </c>
      <c r="G11" s="136" t="str">
        <f>IF(SER_hh_tes!G11=0,"",SER_hh_tes!G11/SER_hh_fec!G11)</f>
        <v/>
      </c>
      <c r="H11" s="136" t="str">
        <f>IF(SER_hh_tes!H11=0,"",SER_hh_tes!H11/SER_hh_fec!H11)</f>
        <v/>
      </c>
      <c r="I11" s="136" t="str">
        <f>IF(SER_hh_tes!I11=0,"",SER_hh_tes!I11/SER_hh_fec!I11)</f>
        <v/>
      </c>
      <c r="J11" s="136" t="str">
        <f>IF(SER_hh_tes!J11=0,"",SER_hh_tes!J11/SER_hh_fec!J11)</f>
        <v/>
      </c>
      <c r="K11" s="136" t="str">
        <f>IF(SER_hh_tes!K11=0,"",SER_hh_tes!K11/SER_hh_fec!K11)</f>
        <v/>
      </c>
      <c r="L11" s="136" t="str">
        <f>IF(SER_hh_tes!L11=0,"",SER_hh_tes!L11/SER_hh_fec!L11)</f>
        <v/>
      </c>
      <c r="M11" s="136" t="str">
        <f>IF(SER_hh_tes!M11=0,"",SER_hh_tes!M11/SER_hh_fec!M11)</f>
        <v/>
      </c>
      <c r="N11" s="136" t="str">
        <f>IF(SER_hh_tes!N11=0,"",SER_hh_tes!N11/SER_hh_fec!N11)</f>
        <v/>
      </c>
      <c r="O11" s="136" t="str">
        <f>IF(SER_hh_tes!O11=0,"",SER_hh_tes!O11/SER_hh_fec!O11)</f>
        <v/>
      </c>
      <c r="P11" s="136" t="str">
        <f>IF(SER_hh_tes!P11=0,"",SER_hh_tes!P11/SER_hh_fec!P11)</f>
        <v/>
      </c>
      <c r="Q11" s="136" t="str">
        <f>IF(SER_hh_tes!Q11=0,"",SER_hh_tes!Q11/SER_hh_fec!Q11)</f>
        <v/>
      </c>
      <c r="R11" s="136" t="str">
        <f>IF(SER_hh_tes!R11=0,"",SER_hh_tes!R11/SER_hh_fec!R11)</f>
        <v/>
      </c>
      <c r="S11" s="136" t="str">
        <f>IF(SER_hh_tes!S11=0,"",SER_hh_tes!S11/SER_hh_fec!S11)</f>
        <v/>
      </c>
      <c r="T11" s="136" t="str">
        <f>IF(SER_hh_tes!T11=0,"",SER_hh_tes!T11/SER_hh_fec!T11)</f>
        <v/>
      </c>
      <c r="U11" s="136" t="str">
        <f>IF(SER_hh_tes!U11=0,"",SER_hh_tes!U11/SER_hh_fec!U11)</f>
        <v/>
      </c>
      <c r="V11" s="136" t="str">
        <f>IF(SER_hh_tes!V11=0,"",SER_hh_tes!V11/SER_hh_fec!V11)</f>
        <v/>
      </c>
      <c r="W11" s="136" t="str">
        <f>IF(SER_hh_tes!W11=0,"",SER_hh_tes!W11/SER_hh_fec!W11)</f>
        <v/>
      </c>
      <c r="X11" s="136" t="str">
        <f>IF(SER_hh_tes!X11=0,"",SER_hh_tes!X11/SER_hh_fec!X11)</f>
        <v/>
      </c>
      <c r="Y11" s="136" t="str">
        <f>IF(SER_hh_tes!Y11=0,"",SER_hh_tes!Y11/SER_hh_fec!Y11)</f>
        <v/>
      </c>
      <c r="DA11" s="163" t="s">
        <v>338</v>
      </c>
    </row>
    <row r="12" spans="1:105" ht="12" customHeight="1" x14ac:dyDescent="0.25">
      <c r="A12" s="131" t="s">
        <v>162</v>
      </c>
      <c r="B12" s="136">
        <f>IF(SER_hh_tes!B12=0,"",SER_hh_tes!B12/SER_hh_fec!B12)</f>
        <v>0.77068070123513632</v>
      </c>
      <c r="C12" s="136">
        <f>IF(SER_hh_tes!C12=0,"",SER_hh_tes!C12/SER_hh_fec!C12)</f>
        <v>0.77306506569100697</v>
      </c>
      <c r="D12" s="136">
        <f>IF(SER_hh_tes!D12=0,"",SER_hh_tes!D12/SER_hh_fec!D12)</f>
        <v>0.7753931819946881</v>
      </c>
      <c r="E12" s="136">
        <f>IF(SER_hh_tes!E12=0,"",SER_hh_tes!E12/SER_hh_fec!E12)</f>
        <v>0.77768781158013067</v>
      </c>
      <c r="F12" s="136">
        <f>IF(SER_hh_tes!F12=0,"",SER_hh_tes!F12/SER_hh_fec!F12)</f>
        <v>0.78007710321982704</v>
      </c>
      <c r="G12" s="136">
        <f>IF(SER_hh_tes!G12=0,"",SER_hh_tes!G12/SER_hh_fec!G12)</f>
        <v>0.78265413712286069</v>
      </c>
      <c r="H12" s="136">
        <f>IF(SER_hh_tes!H12=0,"",SER_hh_tes!H12/SER_hh_fec!H12)</f>
        <v>0.78570213688185886</v>
      </c>
      <c r="I12" s="136">
        <f>IF(SER_hh_tes!I12=0,"",SER_hh_tes!I12/SER_hh_fec!I12)</f>
        <v>0.78914316868874113</v>
      </c>
      <c r="J12" s="136">
        <f>IF(SER_hh_tes!J12=0,"",SER_hh_tes!J12/SER_hh_fec!J12)</f>
        <v>0.79229475926760129</v>
      </c>
      <c r="K12" s="136">
        <f>IF(SER_hh_tes!K12=0,"",SER_hh_tes!K12/SER_hh_fec!K12)</f>
        <v>0.79535093945277202</v>
      </c>
      <c r="L12" s="136">
        <f>IF(SER_hh_tes!L12=0,"",SER_hh_tes!L12/SER_hh_fec!L12)</f>
        <v>0.7983804921918205</v>
      </c>
      <c r="M12" s="136">
        <f>IF(SER_hh_tes!M12=0,"",SER_hh_tes!M12/SER_hh_fec!M12)</f>
        <v>0.80161119931440439</v>
      </c>
      <c r="N12" s="136">
        <f>IF(SER_hh_tes!N12=0,"",SER_hh_tes!N12/SER_hh_fec!N12)</f>
        <v>0.80549302691199232</v>
      </c>
      <c r="O12" s="136">
        <f>IF(SER_hh_tes!O12=0,"",SER_hh_tes!O12/SER_hh_fec!O12)</f>
        <v>0.80937683720652853</v>
      </c>
      <c r="P12" s="136">
        <f>IF(SER_hh_tes!P12=0,"",SER_hh_tes!P12/SER_hh_fec!P12)</f>
        <v>0.81090792687469559</v>
      </c>
      <c r="Q12" s="136">
        <f>IF(SER_hh_tes!Q12=0,"",SER_hh_tes!Q12/SER_hh_fec!Q12)</f>
        <v>0.81276358223808864</v>
      </c>
      <c r="R12" s="136">
        <f>IF(SER_hh_tes!R12=0,"",SER_hh_tes!R12/SER_hh_fec!R12)</f>
        <v>0.81558323521222942</v>
      </c>
      <c r="S12" s="136">
        <f>IF(SER_hh_tes!S12=0,"",SER_hh_tes!S12/SER_hh_fec!S12)</f>
        <v>0.81928096684324481</v>
      </c>
      <c r="T12" s="136">
        <f>IF(SER_hh_tes!T12=0,"",SER_hh_tes!T12/SER_hh_fec!T12)</f>
        <v>0.82297721137379265</v>
      </c>
      <c r="U12" s="136">
        <f>IF(SER_hh_tes!U12=0,"",SER_hh_tes!U12/SER_hh_fec!U12)</f>
        <v>0.82703569650392861</v>
      </c>
      <c r="V12" s="136">
        <f>IF(SER_hh_tes!V12=0,"",SER_hh_tes!V12/SER_hh_fec!V12)</f>
        <v>0.83133855751652141</v>
      </c>
      <c r="W12" s="136">
        <f>IF(SER_hh_tes!W12=0,"",SER_hh_tes!W12/SER_hh_fec!W12)</f>
        <v>0.83609099908814799</v>
      </c>
      <c r="X12" s="136">
        <f>IF(SER_hh_tes!X12=0,"",SER_hh_tes!X12/SER_hh_fec!X12)</f>
        <v>0.84090067536943269</v>
      </c>
      <c r="Y12" s="136">
        <f>IF(SER_hh_tes!Y12=0,"",SER_hh_tes!Y12/SER_hh_fec!Y12)</f>
        <v>0.84603083803753842</v>
      </c>
      <c r="DA12" s="163" t="s">
        <v>339</v>
      </c>
    </row>
    <row r="13" spans="1:105" ht="12" customHeight="1" x14ac:dyDescent="0.25">
      <c r="A13" s="131" t="s">
        <v>77</v>
      </c>
      <c r="B13" s="136">
        <f>IF(SER_hh_tes!B13=0,"",SER_hh_tes!B13/SER_hh_fec!B13)</f>
        <v>1.5066837981372192</v>
      </c>
      <c r="C13" s="136">
        <f>IF(SER_hh_tes!C13=0,"",SER_hh_tes!C13/SER_hh_fec!C13)</f>
        <v>1.5205279389032613</v>
      </c>
      <c r="D13" s="136">
        <f>IF(SER_hh_tes!D13=0,"",SER_hh_tes!D13/SER_hh_fec!D13)</f>
        <v>1.5540181886928814</v>
      </c>
      <c r="E13" s="136">
        <f>IF(SER_hh_tes!E13=0,"",SER_hh_tes!E13/SER_hh_fec!E13)</f>
        <v>1.5979504095152368</v>
      </c>
      <c r="F13" s="136">
        <f>IF(SER_hh_tes!F13=0,"",SER_hh_tes!F13/SER_hh_fec!F13)</f>
        <v>1.6514054850547102</v>
      </c>
      <c r="G13" s="136">
        <f>IF(SER_hh_tes!G13=0,"",SER_hh_tes!G13/SER_hh_fec!G13)</f>
        <v>1.7071698715317056</v>
      </c>
      <c r="H13" s="136">
        <f>IF(SER_hh_tes!H13=0,"",SER_hh_tes!H13/SER_hh_fec!H13)</f>
        <v>1.7629962572454998</v>
      </c>
      <c r="I13" s="136">
        <f>IF(SER_hh_tes!I13=0,"",SER_hh_tes!I13/SER_hh_fec!I13)</f>
        <v>1.8155916386681767</v>
      </c>
      <c r="J13" s="136">
        <f>IF(SER_hh_tes!J13=0,"",SER_hh_tes!J13/SER_hh_fec!J13)</f>
        <v>1.8719195769768118</v>
      </c>
      <c r="K13" s="136">
        <f>IF(SER_hh_tes!K13=0,"",SER_hh_tes!K13/SER_hh_fec!K13)</f>
        <v>1.933301758497705</v>
      </c>
      <c r="L13" s="136">
        <f>IF(SER_hh_tes!L13=0,"",SER_hh_tes!L13/SER_hh_fec!L13)</f>
        <v>2.0098454926963019</v>
      </c>
      <c r="M13" s="136">
        <f>IF(SER_hh_tes!M13=0,"",SER_hh_tes!M13/SER_hh_fec!M13)</f>
        <v>2.115155768949923</v>
      </c>
      <c r="N13" s="136">
        <f>IF(SER_hh_tes!N13=0,"",SER_hh_tes!N13/SER_hh_fec!N13)</f>
        <v>2.218857672561624</v>
      </c>
      <c r="O13" s="136">
        <f>IF(SER_hh_tes!O13=0,"",SER_hh_tes!O13/SER_hh_fec!O13)</f>
        <v>2.3443925914727108</v>
      </c>
      <c r="P13" s="136">
        <f>IF(SER_hh_tes!P13=0,"",SER_hh_tes!P13/SER_hh_fec!P13)</f>
        <v>2.4438512825025853</v>
      </c>
      <c r="Q13" s="136">
        <f>IF(SER_hh_tes!Q13=0,"",SER_hh_tes!Q13/SER_hh_fec!Q13)</f>
        <v>2.5580717899556706</v>
      </c>
      <c r="R13" s="136">
        <f>IF(SER_hh_tes!R13=0,"",SER_hh_tes!R13/SER_hh_fec!R13)</f>
        <v>2.6477056544107924</v>
      </c>
      <c r="S13" s="136">
        <f>IF(SER_hh_tes!S13=0,"",SER_hh_tes!S13/SER_hh_fec!S13)</f>
        <v>2.7494135367789245</v>
      </c>
      <c r="T13" s="136">
        <f>IF(SER_hh_tes!T13=0,"",SER_hh_tes!T13/SER_hh_fec!T13)</f>
        <v>2.8487762913019186</v>
      </c>
      <c r="U13" s="136">
        <f>IF(SER_hh_tes!U13=0,"",SER_hh_tes!U13/SER_hh_fec!U13)</f>
        <v>2.9539135211011298</v>
      </c>
      <c r="V13" s="136">
        <f>IF(SER_hh_tes!V13=0,"",SER_hh_tes!V13/SER_hh_fec!V13)</f>
        <v>3.0545595708680455</v>
      </c>
      <c r="W13" s="136">
        <f>IF(SER_hh_tes!W13=0,"",SER_hh_tes!W13/SER_hh_fec!W13)</f>
        <v>3.1514926745864056</v>
      </c>
      <c r="X13" s="136">
        <f>IF(SER_hh_tes!X13=0,"",SER_hh_tes!X13/SER_hh_fec!X13)</f>
        <v>3.2361582898764305</v>
      </c>
      <c r="Y13" s="136">
        <f>IF(SER_hh_tes!Y13=0,"",SER_hh_tes!Y13/SER_hh_fec!Y13)</f>
        <v>3.3048847917059021</v>
      </c>
      <c r="DA13" s="163" t="s">
        <v>340</v>
      </c>
    </row>
    <row r="14" spans="1:105" ht="12" customHeight="1" x14ac:dyDescent="0.25">
      <c r="A14" s="60" t="s">
        <v>76</v>
      </c>
      <c r="B14" s="137">
        <f>IF(SER_hh_tes!B14=0,"",SER_hh_tes!B14/SER_hh_fec!B14)</f>
        <v>0.68133884654710897</v>
      </c>
      <c r="C14" s="137">
        <f>IF(SER_hh_tes!C14=0,"",SER_hh_tes!C14/SER_hh_fec!C14)</f>
        <v>0.68501805307257069</v>
      </c>
      <c r="D14" s="137">
        <f>IF(SER_hh_tes!D14=0,"",SER_hh_tes!D14/SER_hh_fec!D14)</f>
        <v>0.68898382615953246</v>
      </c>
      <c r="E14" s="137">
        <f>IF(SER_hh_tes!E14=0,"",SER_hh_tes!E14/SER_hh_fec!E14)</f>
        <v>0.69316340547699107</v>
      </c>
      <c r="F14" s="137">
        <f>IF(SER_hh_tes!F14=0,"",SER_hh_tes!F14/SER_hh_fec!F14)</f>
        <v>0.69820387262366346</v>
      </c>
      <c r="G14" s="137">
        <f>IF(SER_hh_tes!G14=0,"",SER_hh_tes!G14/SER_hh_fec!G14)</f>
        <v>0.70311616326145898</v>
      </c>
      <c r="H14" s="137">
        <f>IF(SER_hh_tes!H14=0,"",SER_hh_tes!H14/SER_hh_fec!H14)</f>
        <v>0.70799341930443882</v>
      </c>
      <c r="I14" s="137">
        <f>IF(SER_hh_tes!I14=0,"",SER_hh_tes!I14/SER_hh_fec!I14)</f>
        <v>0.712383675057224</v>
      </c>
      <c r="J14" s="137">
        <f>IF(SER_hh_tes!J14=0,"",SER_hh_tes!J14/SER_hh_fec!J14)</f>
        <v>0.71738787896423206</v>
      </c>
      <c r="K14" s="137">
        <f>IF(SER_hh_tes!K14=0,"",SER_hh_tes!K14/SER_hh_fec!K14)</f>
        <v>0.72243314576383366</v>
      </c>
      <c r="L14" s="137">
        <f>IF(SER_hh_tes!L14=0,"",SER_hh_tes!L14/SER_hh_fec!L14)</f>
        <v>0.72827678072599977</v>
      </c>
      <c r="M14" s="137">
        <f>IF(SER_hh_tes!M14=0,"",SER_hh_tes!M14/SER_hh_fec!M14)</f>
        <v>0.73488793121706641</v>
      </c>
      <c r="N14" s="137">
        <f>IF(SER_hh_tes!N14=0,"",SER_hh_tes!N14/SER_hh_fec!N14)</f>
        <v>0.74146846952465739</v>
      </c>
      <c r="O14" s="137">
        <f>IF(SER_hh_tes!O14=0,"",SER_hh_tes!O14/SER_hh_fec!O14)</f>
        <v>0.74733394284977794</v>
      </c>
      <c r="P14" s="137">
        <f>IF(SER_hh_tes!P14=0,"",SER_hh_tes!P14/SER_hh_fec!P14)</f>
        <v>0.74847160216766073</v>
      </c>
      <c r="Q14" s="137">
        <f>IF(SER_hh_tes!Q14=0,"",SER_hh_tes!Q14/SER_hh_fec!Q14)</f>
        <v>0.75070678503845623</v>
      </c>
      <c r="R14" s="137">
        <f>IF(SER_hh_tes!R14=0,"",SER_hh_tes!R14/SER_hh_fec!R14)</f>
        <v>0.75413148279905851</v>
      </c>
      <c r="S14" s="137">
        <f>IF(SER_hh_tes!S14=0,"",SER_hh_tes!S14/SER_hh_fec!S14)</f>
        <v>0.76043539752860956</v>
      </c>
      <c r="T14" s="137">
        <f>IF(SER_hh_tes!T14=0,"",SER_hh_tes!T14/SER_hh_fec!T14)</f>
        <v>0.76943296824059015</v>
      </c>
      <c r="U14" s="137">
        <f>IF(SER_hh_tes!U14=0,"",SER_hh_tes!U14/SER_hh_fec!U14)</f>
        <v>0.77841435912000145</v>
      </c>
      <c r="V14" s="137">
        <f>IF(SER_hh_tes!V14=0,"",SER_hh_tes!V14/SER_hh_fec!V14)</f>
        <v>0.78859601118158662</v>
      </c>
      <c r="W14" s="137">
        <f>IF(SER_hh_tes!W14=0,"",SER_hh_tes!W14/SER_hh_fec!W14)</f>
        <v>0.79679464276930467</v>
      </c>
      <c r="X14" s="137">
        <f>IF(SER_hh_tes!X14=0,"",SER_hh_tes!X14/SER_hh_fec!X14)</f>
        <v>0.80757130724835091</v>
      </c>
      <c r="Y14" s="137">
        <f>IF(SER_hh_tes!Y14=0,"",SER_hh_tes!Y14/SER_hh_fec!Y14)</f>
        <v>0.81758262300236906</v>
      </c>
      <c r="DA14" s="164" t="s">
        <v>341</v>
      </c>
    </row>
    <row r="15" spans="1:105" ht="12" customHeight="1" x14ac:dyDescent="0.25">
      <c r="A15" s="133" t="s">
        <v>80</v>
      </c>
      <c r="B15" s="138">
        <f>IF(SER_hh_tes!B15=0,"",SER_hh_tes!B15/SER_hh_fec!B15)</f>
        <v>1</v>
      </c>
      <c r="C15" s="138">
        <f>IF(SER_hh_tes!C15=0,"",SER_hh_tes!C15/SER_hh_fec!C15)</f>
        <v>1</v>
      </c>
      <c r="D15" s="138">
        <f>IF(SER_hh_tes!D15=0,"",SER_hh_tes!D15/SER_hh_fec!D15)</f>
        <v>1</v>
      </c>
      <c r="E15" s="138">
        <f>IF(SER_hh_tes!E15=0,"",SER_hh_tes!E15/SER_hh_fec!E15)</f>
        <v>1</v>
      </c>
      <c r="F15" s="138">
        <f>IF(SER_hh_tes!F15=0,"",SER_hh_tes!F15/SER_hh_fec!F15)</f>
        <v>1</v>
      </c>
      <c r="G15" s="138">
        <f>IF(SER_hh_tes!G15=0,"",SER_hh_tes!G15/SER_hh_fec!G15)</f>
        <v>1</v>
      </c>
      <c r="H15" s="138">
        <f>IF(SER_hh_tes!H15=0,"",SER_hh_tes!H15/SER_hh_fec!H15)</f>
        <v>1</v>
      </c>
      <c r="I15" s="138">
        <f>IF(SER_hh_tes!I15=0,"",SER_hh_tes!I15/SER_hh_fec!I15)</f>
        <v>1</v>
      </c>
      <c r="J15" s="138">
        <f>IF(SER_hh_tes!J15=0,"",SER_hh_tes!J15/SER_hh_fec!J15)</f>
        <v>1</v>
      </c>
      <c r="K15" s="138">
        <f>IF(SER_hh_tes!K15=0,"",SER_hh_tes!K15/SER_hh_fec!K15)</f>
        <v>1</v>
      </c>
      <c r="L15" s="138">
        <f>IF(SER_hh_tes!L15=0,"",SER_hh_tes!L15/SER_hh_fec!L15)</f>
        <v>1</v>
      </c>
      <c r="M15" s="138">
        <f>IF(SER_hh_tes!M15=0,"",SER_hh_tes!M15/SER_hh_fec!M15)</f>
        <v>1</v>
      </c>
      <c r="N15" s="138">
        <f>IF(SER_hh_tes!N15=0,"",SER_hh_tes!N15/SER_hh_fec!N15)</f>
        <v>1</v>
      </c>
      <c r="O15" s="138">
        <f>IF(SER_hh_tes!O15=0,"",SER_hh_tes!O15/SER_hh_fec!O15)</f>
        <v>1</v>
      </c>
      <c r="P15" s="138">
        <f>IF(SER_hh_tes!P15=0,"",SER_hh_tes!P15/SER_hh_fec!P15)</f>
        <v>1</v>
      </c>
      <c r="Q15" s="138">
        <f>IF(SER_hh_tes!Q15=0,"",SER_hh_tes!Q15/SER_hh_fec!Q15)</f>
        <v>1</v>
      </c>
      <c r="R15" s="138">
        <f>IF(SER_hh_tes!R15=0,"",SER_hh_tes!R15/SER_hh_fec!R15)</f>
        <v>1</v>
      </c>
      <c r="S15" s="138">
        <f>IF(SER_hh_tes!S15=0,"",SER_hh_tes!S15/SER_hh_fec!S15)</f>
        <v>1</v>
      </c>
      <c r="T15" s="138">
        <f>IF(SER_hh_tes!T15=0,"",SER_hh_tes!T15/SER_hh_fec!T15)</f>
        <v>1</v>
      </c>
      <c r="U15" s="138">
        <f>IF(SER_hh_tes!U15=0,"",SER_hh_tes!U15/SER_hh_fec!U15)</f>
        <v>1</v>
      </c>
      <c r="V15" s="138">
        <f>IF(SER_hh_tes!V15=0,"",SER_hh_tes!V15/SER_hh_fec!V15)</f>
        <v>1</v>
      </c>
      <c r="W15" s="138">
        <f>IF(SER_hh_tes!W15=0,"",SER_hh_tes!W15/SER_hh_fec!W15)</f>
        <v>1</v>
      </c>
      <c r="X15" s="138">
        <f>IF(SER_hh_tes!X15=0,"",SER_hh_tes!X15/SER_hh_fec!X15)</f>
        <v>1</v>
      </c>
      <c r="Y15" s="138">
        <f>IF(SER_hh_tes!Y15=0,"",SER_hh_tes!Y15/SER_hh_fec!Y15)</f>
        <v>1</v>
      </c>
      <c r="DA15" s="165" t="s">
        <v>342</v>
      </c>
    </row>
    <row r="16" spans="1:105" ht="12.95" customHeight="1" x14ac:dyDescent="0.25">
      <c r="A16" s="129" t="s">
        <v>74</v>
      </c>
      <c r="B16" s="135">
        <f>IF(SER_hh_tes!B16=0,"",SER_hh_tes!B16/SER_hh_fec!B16)</f>
        <v>1.9009640741327098</v>
      </c>
      <c r="C16" s="135">
        <f>IF(SER_hh_tes!C16=0,"",SER_hh_tes!C16/SER_hh_fec!C16)</f>
        <v>1.982836146872498</v>
      </c>
      <c r="D16" s="135">
        <f>IF(SER_hh_tes!D16=0,"",SER_hh_tes!D16/SER_hh_fec!D16)</f>
        <v>2.0864127241393633</v>
      </c>
      <c r="E16" s="135">
        <f>IF(SER_hh_tes!E16=0,"",SER_hh_tes!E16/SER_hh_fec!E16)</f>
        <v>2.1983159120982987</v>
      </c>
      <c r="F16" s="135">
        <f>IF(SER_hh_tes!F16=0,"",SER_hh_tes!F16/SER_hh_fec!F16)</f>
        <v>2.3241363389333314</v>
      </c>
      <c r="G16" s="135">
        <f>IF(SER_hh_tes!G16=0,"",SER_hh_tes!G16/SER_hh_fec!G16)</f>
        <v>2.470019969673241</v>
      </c>
      <c r="H16" s="135">
        <f>IF(SER_hh_tes!H16=0,"",SER_hh_tes!H16/SER_hh_fec!H16)</f>
        <v>2.6205185050628002</v>
      </c>
      <c r="I16" s="135">
        <f>IF(SER_hh_tes!I16=0,"",SER_hh_tes!I16/SER_hh_fec!I16)</f>
        <v>2.7933110344277394</v>
      </c>
      <c r="J16" s="135">
        <f>IF(SER_hh_tes!J16=0,"",SER_hh_tes!J16/SER_hh_fec!J16)</f>
        <v>2.9801430779610887</v>
      </c>
      <c r="K16" s="135">
        <f>IF(SER_hh_tes!K16=0,"",SER_hh_tes!K16/SER_hh_fec!K16)</f>
        <v>3.0414164347073913</v>
      </c>
      <c r="L16" s="135">
        <f>IF(SER_hh_tes!L16=0,"",SER_hh_tes!L16/SER_hh_fec!L16)</f>
        <v>3.1202035623989723</v>
      </c>
      <c r="M16" s="135">
        <f>IF(SER_hh_tes!M16=0,"",SER_hh_tes!M16/SER_hh_fec!M16)</f>
        <v>3.229733517398222</v>
      </c>
      <c r="N16" s="135">
        <f>IF(SER_hh_tes!N16=0,"",SER_hh_tes!N16/SER_hh_fec!N16)</f>
        <v>3.3441655340268581</v>
      </c>
      <c r="O16" s="135">
        <f>IF(SER_hh_tes!O16=0,"",SER_hh_tes!O16/SER_hh_fec!O16)</f>
        <v>3.4771425100412086</v>
      </c>
      <c r="P16" s="135">
        <f>IF(SER_hh_tes!P16=0,"",SER_hh_tes!P16/SER_hh_fec!P16)</f>
        <v>3.6345086762060959</v>
      </c>
      <c r="Q16" s="135">
        <f>IF(SER_hh_tes!Q16=0,"",SER_hh_tes!Q16/SER_hh_fec!Q16)</f>
        <v>3.8005746852305049</v>
      </c>
      <c r="R16" s="135">
        <f>IF(SER_hh_tes!R16=0,"",SER_hh_tes!R16/SER_hh_fec!R16)</f>
        <v>3.9603610525497852</v>
      </c>
      <c r="S16" s="135">
        <f>IF(SER_hh_tes!S16=0,"",SER_hh_tes!S16/SER_hh_fec!S16)</f>
        <v>4.1129811399669487</v>
      </c>
      <c r="T16" s="135">
        <f>IF(SER_hh_tes!T16=0,"",SER_hh_tes!T16/SER_hh_fec!T16)</f>
        <v>4.249318077647855</v>
      </c>
      <c r="U16" s="135">
        <f>IF(SER_hh_tes!U16=0,"",SER_hh_tes!U16/SER_hh_fec!U16)</f>
        <v>4.3557449349958421</v>
      </c>
      <c r="V16" s="135">
        <f>IF(SER_hh_tes!V16=0,"",SER_hh_tes!V16/SER_hh_fec!V16)</f>
        <v>4.4559347693924751</v>
      </c>
      <c r="W16" s="135">
        <f>IF(SER_hh_tes!W16=0,"",SER_hh_tes!W16/SER_hh_fec!W16)</f>
        <v>4.5491910468556496</v>
      </c>
      <c r="X16" s="135">
        <f>IF(SER_hh_tes!X16=0,"",SER_hh_tes!X16/SER_hh_fec!X16)</f>
        <v>4.6258171951447382</v>
      </c>
      <c r="Y16" s="135">
        <f>IF(SER_hh_tes!Y16=0,"",SER_hh_tes!Y16/SER_hh_fec!Y16)</f>
        <v>4.6942690246050045</v>
      </c>
      <c r="DA16" s="162" t="s">
        <v>241</v>
      </c>
    </row>
    <row r="17" spans="1:105" ht="12.95" customHeight="1" x14ac:dyDescent="0.25">
      <c r="A17" s="131" t="s">
        <v>73</v>
      </c>
      <c r="B17" s="136" t="str">
        <f>IF(SER_hh_tes!B17=0,"",SER_hh_tes!B17/SER_hh_fec!B17)</f>
        <v/>
      </c>
      <c r="C17" s="136" t="str">
        <f>IF(SER_hh_tes!C17=0,"",SER_hh_tes!C17/SER_hh_fec!C17)</f>
        <v/>
      </c>
      <c r="D17" s="136" t="str">
        <f>IF(SER_hh_tes!D17=0,"",SER_hh_tes!D17/SER_hh_fec!D17)</f>
        <v/>
      </c>
      <c r="E17" s="136" t="str">
        <f>IF(SER_hh_tes!E17=0,"",SER_hh_tes!E17/SER_hh_fec!E17)</f>
        <v/>
      </c>
      <c r="F17" s="136" t="str">
        <f>IF(SER_hh_tes!F17=0,"",SER_hh_tes!F17/SER_hh_fec!F17)</f>
        <v/>
      </c>
      <c r="G17" s="136" t="str">
        <f>IF(SER_hh_tes!G17=0,"",SER_hh_tes!G17/SER_hh_fec!G17)</f>
        <v/>
      </c>
      <c r="H17" s="136" t="str">
        <f>IF(SER_hh_tes!H17=0,"",SER_hh_tes!H17/SER_hh_fec!H17)</f>
        <v/>
      </c>
      <c r="I17" s="136" t="str">
        <f>IF(SER_hh_tes!I17=0,"",SER_hh_tes!I17/SER_hh_fec!I17)</f>
        <v/>
      </c>
      <c r="J17" s="136" t="str">
        <f>IF(SER_hh_tes!J17=0,"",SER_hh_tes!J17/SER_hh_fec!J17)</f>
        <v/>
      </c>
      <c r="K17" s="136" t="str">
        <f>IF(SER_hh_tes!K17=0,"",SER_hh_tes!K17/SER_hh_fec!K17)</f>
        <v/>
      </c>
      <c r="L17" s="136" t="str">
        <f>IF(SER_hh_tes!L17=0,"",SER_hh_tes!L17/SER_hh_fec!L17)</f>
        <v/>
      </c>
      <c r="M17" s="136" t="str">
        <f>IF(SER_hh_tes!M17=0,"",SER_hh_tes!M17/SER_hh_fec!M17)</f>
        <v/>
      </c>
      <c r="N17" s="136" t="str">
        <f>IF(SER_hh_tes!N17=0,"",SER_hh_tes!N17/SER_hh_fec!N17)</f>
        <v/>
      </c>
      <c r="O17" s="136" t="str">
        <f>IF(SER_hh_tes!O17=0,"",SER_hh_tes!O17/SER_hh_fec!O17)</f>
        <v/>
      </c>
      <c r="P17" s="136" t="str">
        <f>IF(SER_hh_tes!P17=0,"",SER_hh_tes!P17/SER_hh_fec!P17)</f>
        <v/>
      </c>
      <c r="Q17" s="136" t="str">
        <f>IF(SER_hh_tes!Q17=0,"",SER_hh_tes!Q17/SER_hh_fec!Q17)</f>
        <v/>
      </c>
      <c r="R17" s="136" t="str">
        <f>IF(SER_hh_tes!R17=0,"",SER_hh_tes!R17/SER_hh_fec!R17)</f>
        <v/>
      </c>
      <c r="S17" s="136" t="str">
        <f>IF(SER_hh_tes!S17=0,"",SER_hh_tes!S17/SER_hh_fec!S17)</f>
        <v/>
      </c>
      <c r="T17" s="136" t="str">
        <f>IF(SER_hh_tes!T17=0,"",SER_hh_tes!T17/SER_hh_fec!T17)</f>
        <v/>
      </c>
      <c r="U17" s="136" t="str">
        <f>IF(SER_hh_tes!U17=0,"",SER_hh_tes!U17/SER_hh_fec!U17)</f>
        <v/>
      </c>
      <c r="V17" s="136" t="str">
        <f>IF(SER_hh_tes!V17=0,"",SER_hh_tes!V17/SER_hh_fec!V17)</f>
        <v/>
      </c>
      <c r="W17" s="136" t="str">
        <f>IF(SER_hh_tes!W17=0,"",SER_hh_tes!W17/SER_hh_fec!W17)</f>
        <v/>
      </c>
      <c r="X17" s="136" t="str">
        <f>IF(SER_hh_tes!X17=0,"",SER_hh_tes!X17/SER_hh_fec!X17)</f>
        <v/>
      </c>
      <c r="Y17" s="136" t="str">
        <f>IF(SER_hh_tes!Y17=0,"",SER_hh_tes!Y17/SER_hh_fec!Y17)</f>
        <v/>
      </c>
      <c r="DA17" s="163" t="s">
        <v>343</v>
      </c>
    </row>
    <row r="18" spans="1:105" ht="12" customHeight="1" x14ac:dyDescent="0.25">
      <c r="A18" s="131" t="s">
        <v>72</v>
      </c>
      <c r="B18" s="136">
        <f>IF(SER_hh_tes!B18=0,"",SER_hh_tes!B18/SER_hh_fec!B18)</f>
        <v>1.9009640741327098</v>
      </c>
      <c r="C18" s="136">
        <f>IF(SER_hh_tes!C18=0,"",SER_hh_tes!C18/SER_hh_fec!C18)</f>
        <v>1.982836146872498</v>
      </c>
      <c r="D18" s="136">
        <f>IF(SER_hh_tes!D18=0,"",SER_hh_tes!D18/SER_hh_fec!D18)</f>
        <v>2.0864127241393633</v>
      </c>
      <c r="E18" s="136">
        <f>IF(SER_hh_tes!E18=0,"",SER_hh_tes!E18/SER_hh_fec!E18)</f>
        <v>2.1983159120982987</v>
      </c>
      <c r="F18" s="136">
        <f>IF(SER_hh_tes!F18=0,"",SER_hh_tes!F18/SER_hh_fec!F18)</f>
        <v>2.3241363389333314</v>
      </c>
      <c r="G18" s="136">
        <f>IF(SER_hh_tes!G18=0,"",SER_hh_tes!G18/SER_hh_fec!G18)</f>
        <v>2.470019969673241</v>
      </c>
      <c r="H18" s="136">
        <f>IF(SER_hh_tes!H18=0,"",SER_hh_tes!H18/SER_hh_fec!H18)</f>
        <v>2.6205185050628002</v>
      </c>
      <c r="I18" s="136">
        <f>IF(SER_hh_tes!I18=0,"",SER_hh_tes!I18/SER_hh_fec!I18)</f>
        <v>2.7933110344277394</v>
      </c>
      <c r="J18" s="136">
        <f>IF(SER_hh_tes!J18=0,"",SER_hh_tes!J18/SER_hh_fec!J18)</f>
        <v>2.9801430779610887</v>
      </c>
      <c r="K18" s="136">
        <f>IF(SER_hh_tes!K18=0,"",SER_hh_tes!K18/SER_hh_fec!K18)</f>
        <v>3.0414164347073913</v>
      </c>
      <c r="L18" s="136">
        <f>IF(SER_hh_tes!L18=0,"",SER_hh_tes!L18/SER_hh_fec!L18)</f>
        <v>3.1202035623989723</v>
      </c>
      <c r="M18" s="136">
        <f>IF(SER_hh_tes!M18=0,"",SER_hh_tes!M18/SER_hh_fec!M18)</f>
        <v>3.229733517398222</v>
      </c>
      <c r="N18" s="136">
        <f>IF(SER_hh_tes!N18=0,"",SER_hh_tes!N18/SER_hh_fec!N18)</f>
        <v>3.3441655340268581</v>
      </c>
      <c r="O18" s="136">
        <f>IF(SER_hh_tes!O18=0,"",SER_hh_tes!O18/SER_hh_fec!O18)</f>
        <v>3.4771425100412086</v>
      </c>
      <c r="P18" s="136">
        <f>IF(SER_hh_tes!P18=0,"",SER_hh_tes!P18/SER_hh_fec!P18)</f>
        <v>3.6345086762060959</v>
      </c>
      <c r="Q18" s="136">
        <f>IF(SER_hh_tes!Q18=0,"",SER_hh_tes!Q18/SER_hh_fec!Q18)</f>
        <v>3.8005746852305049</v>
      </c>
      <c r="R18" s="136">
        <f>IF(SER_hh_tes!R18=0,"",SER_hh_tes!R18/SER_hh_fec!R18)</f>
        <v>3.9603610525497852</v>
      </c>
      <c r="S18" s="136">
        <f>IF(SER_hh_tes!S18=0,"",SER_hh_tes!S18/SER_hh_fec!S18)</f>
        <v>4.1129811399669487</v>
      </c>
      <c r="T18" s="136">
        <f>IF(SER_hh_tes!T18=0,"",SER_hh_tes!T18/SER_hh_fec!T18)</f>
        <v>4.249318077647855</v>
      </c>
      <c r="U18" s="136">
        <f>IF(SER_hh_tes!U18=0,"",SER_hh_tes!U18/SER_hh_fec!U18)</f>
        <v>4.3557449349958421</v>
      </c>
      <c r="V18" s="136">
        <f>IF(SER_hh_tes!V18=0,"",SER_hh_tes!V18/SER_hh_fec!V18)</f>
        <v>4.4559347693924751</v>
      </c>
      <c r="W18" s="136">
        <f>IF(SER_hh_tes!W18=0,"",SER_hh_tes!W18/SER_hh_fec!W18)</f>
        <v>4.5491910468556496</v>
      </c>
      <c r="X18" s="136">
        <f>IF(SER_hh_tes!X18=0,"",SER_hh_tes!X18/SER_hh_fec!X18)</f>
        <v>4.6258171951447382</v>
      </c>
      <c r="Y18" s="136">
        <f>IF(SER_hh_tes!Y18=0,"",SER_hh_tes!Y18/SER_hh_fec!Y18)</f>
        <v>4.6942690246050045</v>
      </c>
      <c r="DA18" s="163" t="s">
        <v>344</v>
      </c>
    </row>
    <row r="19" spans="1:105" ht="12.95" customHeight="1" x14ac:dyDescent="0.25">
      <c r="A19" s="129" t="s">
        <v>35</v>
      </c>
      <c r="B19" s="135">
        <f>IF(SER_hh_tes!B19=0,"",SER_hh_tes!B19/SER_hh_fec!B19)</f>
        <v>0.68406887105391256</v>
      </c>
      <c r="C19" s="135">
        <f>IF(SER_hh_tes!C19=0,"",SER_hh_tes!C19/SER_hh_fec!C19)</f>
        <v>0.68662586045997243</v>
      </c>
      <c r="D19" s="135">
        <f>IF(SER_hh_tes!D19=0,"",SER_hh_tes!D19/SER_hh_fec!D19)</f>
        <v>0.68864866784641043</v>
      </c>
      <c r="E19" s="135">
        <f>IF(SER_hh_tes!E19=0,"",SER_hh_tes!E19/SER_hh_fec!E19)</f>
        <v>0.69174195478815914</v>
      </c>
      <c r="F19" s="135">
        <f>IF(SER_hh_tes!F19=0,"",SER_hh_tes!F19/SER_hh_fec!F19)</f>
        <v>0.69513493524340153</v>
      </c>
      <c r="G19" s="135">
        <f>IF(SER_hh_tes!G19=0,"",SER_hh_tes!G19/SER_hh_fec!G19)</f>
        <v>0.69925349694213146</v>
      </c>
      <c r="H19" s="135">
        <f>IF(SER_hh_tes!H19=0,"",SER_hh_tes!H19/SER_hh_fec!H19)</f>
        <v>0.70390914424425743</v>
      </c>
      <c r="I19" s="135">
        <f>IF(SER_hh_tes!I19=0,"",SER_hh_tes!I19/SER_hh_fec!I19)</f>
        <v>0.70929717983327922</v>
      </c>
      <c r="J19" s="135">
        <f>IF(SER_hh_tes!J19=0,"",SER_hh_tes!J19/SER_hh_fec!J19)</f>
        <v>0.71252567072806372</v>
      </c>
      <c r="K19" s="135">
        <f>IF(SER_hh_tes!K19=0,"",SER_hh_tes!K19/SER_hh_fec!K19)</f>
        <v>0.71667761083747406</v>
      </c>
      <c r="L19" s="135">
        <f>IF(SER_hh_tes!L19=0,"",SER_hh_tes!L19/SER_hh_fec!L19)</f>
        <v>0.71889940738666736</v>
      </c>
      <c r="M19" s="135">
        <f>IF(SER_hh_tes!M19=0,"",SER_hh_tes!M19/SER_hh_fec!M19)</f>
        <v>0.72329696476100591</v>
      </c>
      <c r="N19" s="135">
        <f>IF(SER_hh_tes!N19=0,"",SER_hh_tes!N19/SER_hh_fec!N19)</f>
        <v>0.72988105231122158</v>
      </c>
      <c r="O19" s="135">
        <f>IF(SER_hh_tes!O19=0,"",SER_hh_tes!O19/SER_hh_fec!O19)</f>
        <v>0.73706125890115104</v>
      </c>
      <c r="P19" s="135">
        <f>IF(SER_hh_tes!P19=0,"",SER_hh_tes!P19/SER_hh_fec!P19)</f>
        <v>0.74062058360539773</v>
      </c>
      <c r="Q19" s="135">
        <f>IF(SER_hh_tes!Q19=0,"",SER_hh_tes!Q19/SER_hh_fec!Q19)</f>
        <v>0.74543122694850417</v>
      </c>
      <c r="R19" s="135">
        <f>IF(SER_hh_tes!R19=0,"",SER_hh_tes!R19/SER_hh_fec!R19)</f>
        <v>0.75256680256249242</v>
      </c>
      <c r="S19" s="135">
        <f>IF(SER_hh_tes!S19=0,"",SER_hh_tes!S19/SER_hh_fec!S19)</f>
        <v>0.76288605570798085</v>
      </c>
      <c r="T19" s="135">
        <f>IF(SER_hh_tes!T19=0,"",SER_hh_tes!T19/SER_hh_fec!T19)</f>
        <v>0.7756159014859263</v>
      </c>
      <c r="U19" s="135">
        <f>IF(SER_hh_tes!U19=0,"",SER_hh_tes!U19/SER_hh_fec!U19)</f>
        <v>0.78578319984567013</v>
      </c>
      <c r="V19" s="135">
        <f>IF(SER_hh_tes!V19=0,"",SER_hh_tes!V19/SER_hh_fec!V19)</f>
        <v>0.79747565254019359</v>
      </c>
      <c r="W19" s="135">
        <f>IF(SER_hh_tes!W19=0,"",SER_hh_tes!W19/SER_hh_fec!W19)</f>
        <v>0.80978734181876588</v>
      </c>
      <c r="X19" s="135">
        <f>IF(SER_hh_tes!X19=0,"",SER_hh_tes!X19/SER_hh_fec!X19)</f>
        <v>0.82297281692458057</v>
      </c>
      <c r="Y19" s="135">
        <f>IF(SER_hh_tes!Y19=0,"",SER_hh_tes!Y19/SER_hh_fec!Y19)</f>
        <v>0.83725093473240741</v>
      </c>
      <c r="DA19" s="162" t="s">
        <v>242</v>
      </c>
    </row>
    <row r="20" spans="1:105" ht="12" customHeight="1" x14ac:dyDescent="0.25">
      <c r="A20" s="131" t="s">
        <v>29</v>
      </c>
      <c r="B20" s="136" t="str">
        <f>IF(SER_hh_tes!B20=0,"",SER_hh_tes!B20/SER_hh_fec!B20)</f>
        <v/>
      </c>
      <c r="C20" s="136" t="str">
        <f>IF(SER_hh_tes!C20=0,"",SER_hh_tes!C20/SER_hh_fec!C20)</f>
        <v/>
      </c>
      <c r="D20" s="136" t="str">
        <f>IF(SER_hh_tes!D20=0,"",SER_hh_tes!D20/SER_hh_fec!D20)</f>
        <v/>
      </c>
      <c r="E20" s="136" t="str">
        <f>IF(SER_hh_tes!E20=0,"",SER_hh_tes!E20/SER_hh_fec!E20)</f>
        <v/>
      </c>
      <c r="F20" s="136" t="str">
        <f>IF(SER_hh_tes!F20=0,"",SER_hh_tes!F20/SER_hh_fec!F20)</f>
        <v/>
      </c>
      <c r="G20" s="136" t="str">
        <f>IF(SER_hh_tes!G20=0,"",SER_hh_tes!G20/SER_hh_fec!G20)</f>
        <v/>
      </c>
      <c r="H20" s="136" t="str">
        <f>IF(SER_hh_tes!H20=0,"",SER_hh_tes!H20/SER_hh_fec!H20)</f>
        <v/>
      </c>
      <c r="I20" s="136" t="str">
        <f>IF(SER_hh_tes!I20=0,"",SER_hh_tes!I20/SER_hh_fec!I20)</f>
        <v/>
      </c>
      <c r="J20" s="136" t="str">
        <f>IF(SER_hh_tes!J20=0,"",SER_hh_tes!J20/SER_hh_fec!J20)</f>
        <v/>
      </c>
      <c r="K20" s="136" t="str">
        <f>IF(SER_hh_tes!K20=0,"",SER_hh_tes!K20/SER_hh_fec!K20)</f>
        <v/>
      </c>
      <c r="L20" s="136" t="str">
        <f>IF(SER_hh_tes!L20=0,"",SER_hh_tes!L20/SER_hh_fec!L20)</f>
        <v/>
      </c>
      <c r="M20" s="136" t="str">
        <f>IF(SER_hh_tes!M20=0,"",SER_hh_tes!M20/SER_hh_fec!M20)</f>
        <v/>
      </c>
      <c r="N20" s="136" t="str">
        <f>IF(SER_hh_tes!N20=0,"",SER_hh_tes!N20/SER_hh_fec!N20)</f>
        <v/>
      </c>
      <c r="O20" s="136" t="str">
        <f>IF(SER_hh_tes!O20=0,"",SER_hh_tes!O20/SER_hh_fec!O20)</f>
        <v/>
      </c>
      <c r="P20" s="136" t="str">
        <f>IF(SER_hh_tes!P20=0,"",SER_hh_tes!P20/SER_hh_fec!P20)</f>
        <v/>
      </c>
      <c r="Q20" s="136" t="str">
        <f>IF(SER_hh_tes!Q20=0,"",SER_hh_tes!Q20/SER_hh_fec!Q20)</f>
        <v/>
      </c>
      <c r="R20" s="136" t="str">
        <f>IF(SER_hh_tes!R20=0,"",SER_hh_tes!R20/SER_hh_fec!R20)</f>
        <v/>
      </c>
      <c r="S20" s="136" t="str">
        <f>IF(SER_hh_tes!S20=0,"",SER_hh_tes!S20/SER_hh_fec!S20)</f>
        <v/>
      </c>
      <c r="T20" s="136" t="str">
        <f>IF(SER_hh_tes!T20=0,"",SER_hh_tes!T20/SER_hh_fec!T20)</f>
        <v/>
      </c>
      <c r="U20" s="136" t="str">
        <f>IF(SER_hh_tes!U20=0,"",SER_hh_tes!U20/SER_hh_fec!U20)</f>
        <v/>
      </c>
      <c r="V20" s="136" t="str">
        <f>IF(SER_hh_tes!V20=0,"",SER_hh_tes!V20/SER_hh_fec!V20)</f>
        <v/>
      </c>
      <c r="W20" s="136" t="str">
        <f>IF(SER_hh_tes!W20=0,"",SER_hh_tes!W20/SER_hh_fec!W20)</f>
        <v/>
      </c>
      <c r="X20" s="136" t="str">
        <f>IF(SER_hh_tes!X20=0,"",SER_hh_tes!X20/SER_hh_fec!X20)</f>
        <v/>
      </c>
      <c r="Y20" s="136" t="str">
        <f>IF(SER_hh_tes!Y20=0,"",SER_hh_tes!Y20/SER_hh_fec!Y20)</f>
        <v/>
      </c>
      <c r="DA20" s="163" t="s">
        <v>345</v>
      </c>
    </row>
    <row r="21" spans="1:105" s="2" customFormat="1" ht="12" customHeight="1" x14ac:dyDescent="0.25">
      <c r="A21" s="131" t="s">
        <v>52</v>
      </c>
      <c r="B21" s="136" t="str">
        <f>IF(SER_hh_tes!B21=0,"",SER_hh_tes!B21/SER_hh_fec!B21)</f>
        <v/>
      </c>
      <c r="C21" s="136" t="str">
        <f>IF(SER_hh_tes!C21=0,"",SER_hh_tes!C21/SER_hh_fec!C21)</f>
        <v/>
      </c>
      <c r="D21" s="136" t="str">
        <f>IF(SER_hh_tes!D21=0,"",SER_hh_tes!D21/SER_hh_fec!D21)</f>
        <v/>
      </c>
      <c r="E21" s="136" t="str">
        <f>IF(SER_hh_tes!E21=0,"",SER_hh_tes!E21/SER_hh_fec!E21)</f>
        <v/>
      </c>
      <c r="F21" s="136" t="str">
        <f>IF(SER_hh_tes!F21=0,"",SER_hh_tes!F21/SER_hh_fec!F21)</f>
        <v/>
      </c>
      <c r="G21" s="136" t="str">
        <f>IF(SER_hh_tes!G21=0,"",SER_hh_tes!G21/SER_hh_fec!G21)</f>
        <v/>
      </c>
      <c r="H21" s="136" t="str">
        <f>IF(SER_hh_tes!H21=0,"",SER_hh_tes!H21/SER_hh_fec!H21)</f>
        <v/>
      </c>
      <c r="I21" s="136" t="str">
        <f>IF(SER_hh_tes!I21=0,"",SER_hh_tes!I21/SER_hh_fec!I21)</f>
        <v/>
      </c>
      <c r="J21" s="136" t="str">
        <f>IF(SER_hh_tes!J21=0,"",SER_hh_tes!J21/SER_hh_fec!J21)</f>
        <v/>
      </c>
      <c r="K21" s="136" t="str">
        <f>IF(SER_hh_tes!K21=0,"",SER_hh_tes!K21/SER_hh_fec!K21)</f>
        <v/>
      </c>
      <c r="L21" s="136" t="str">
        <f>IF(SER_hh_tes!L21=0,"",SER_hh_tes!L21/SER_hh_fec!L21)</f>
        <v/>
      </c>
      <c r="M21" s="136" t="str">
        <f>IF(SER_hh_tes!M21=0,"",SER_hh_tes!M21/SER_hh_fec!M21)</f>
        <v/>
      </c>
      <c r="N21" s="136" t="str">
        <f>IF(SER_hh_tes!N21=0,"",SER_hh_tes!N21/SER_hh_fec!N21)</f>
        <v/>
      </c>
      <c r="O21" s="136" t="str">
        <f>IF(SER_hh_tes!O21=0,"",SER_hh_tes!O21/SER_hh_fec!O21)</f>
        <v/>
      </c>
      <c r="P21" s="136" t="str">
        <f>IF(SER_hh_tes!P21=0,"",SER_hh_tes!P21/SER_hh_fec!P21)</f>
        <v/>
      </c>
      <c r="Q21" s="136" t="str">
        <f>IF(SER_hh_tes!Q21=0,"",SER_hh_tes!Q21/SER_hh_fec!Q21)</f>
        <v/>
      </c>
      <c r="R21" s="136" t="str">
        <f>IF(SER_hh_tes!R21=0,"",SER_hh_tes!R21/SER_hh_fec!R21)</f>
        <v/>
      </c>
      <c r="S21" s="136" t="str">
        <f>IF(SER_hh_tes!S21=0,"",SER_hh_tes!S21/SER_hh_fec!S21)</f>
        <v/>
      </c>
      <c r="T21" s="136" t="str">
        <f>IF(SER_hh_tes!T21=0,"",SER_hh_tes!T21/SER_hh_fec!T21)</f>
        <v/>
      </c>
      <c r="U21" s="136" t="str">
        <f>IF(SER_hh_tes!U21=0,"",SER_hh_tes!U21/SER_hh_fec!U21)</f>
        <v/>
      </c>
      <c r="V21" s="136" t="str">
        <f>IF(SER_hh_tes!V21=0,"",SER_hh_tes!V21/SER_hh_fec!V21)</f>
        <v/>
      </c>
      <c r="W21" s="136" t="str">
        <f>IF(SER_hh_tes!W21=0,"",SER_hh_tes!W21/SER_hh_fec!W21)</f>
        <v/>
      </c>
      <c r="X21" s="136" t="str">
        <f>IF(SER_hh_tes!X21=0,"",SER_hh_tes!X21/SER_hh_fec!X21)</f>
        <v/>
      </c>
      <c r="Y21" s="136" t="str">
        <f>IF(SER_hh_tes!Y21=0,"",SER_hh_tes!Y21/SER_hh_fec!Y21)</f>
        <v/>
      </c>
      <c r="DA21" s="163" t="s">
        <v>346</v>
      </c>
    </row>
    <row r="22" spans="1:105" ht="12" customHeight="1" x14ac:dyDescent="0.25">
      <c r="A22" s="131" t="s">
        <v>161</v>
      </c>
      <c r="B22" s="136">
        <f>IF(SER_hh_tes!B22=0,"",SER_hh_tes!B22/SER_hh_fec!B22)</f>
        <v>0.51353023621021243</v>
      </c>
      <c r="C22" s="136">
        <f>IF(SER_hh_tes!C22=0,"",SER_hh_tes!C22/SER_hh_fec!C22)</f>
        <v>0.51541705812817062</v>
      </c>
      <c r="D22" s="136">
        <f>IF(SER_hh_tes!D22=0,"",SER_hh_tes!D22/SER_hh_fec!D22)</f>
        <v>0.51765473993310851</v>
      </c>
      <c r="E22" s="136">
        <f>IF(SER_hh_tes!E22=0,"",SER_hh_tes!E22/SER_hh_fec!E22)</f>
        <v>0.51985015085373154</v>
      </c>
      <c r="F22" s="136">
        <f>IF(SER_hh_tes!F22=0,"",SER_hh_tes!F22/SER_hh_fec!F22)</f>
        <v>0.52215283522612577</v>
      </c>
      <c r="G22" s="136">
        <f>IF(SER_hh_tes!G22=0,"",SER_hh_tes!G22/SER_hh_fec!G22)</f>
        <v>0.52454617782968804</v>
      </c>
      <c r="H22" s="136">
        <f>IF(SER_hh_tes!H22=0,"",SER_hh_tes!H22/SER_hh_fec!H22)</f>
        <v>0.52734913350536705</v>
      </c>
      <c r="I22" s="136">
        <f>IF(SER_hh_tes!I22=0,"",SER_hh_tes!I22/SER_hh_fec!I22)</f>
        <v>0.53036924867939095</v>
      </c>
      <c r="J22" s="136">
        <f>IF(SER_hh_tes!J22=0,"",SER_hh_tes!J22/SER_hh_fec!J22)</f>
        <v>0.53388046169711489</v>
      </c>
      <c r="K22" s="136">
        <f>IF(SER_hh_tes!K22=0,"",SER_hh_tes!K22/SER_hh_fec!K22)</f>
        <v>0.53797407609703507</v>
      </c>
      <c r="L22" s="136">
        <f>IF(SER_hh_tes!L22=0,"",SER_hh_tes!L22/SER_hh_fec!L22)</f>
        <v>0.54293530969271775</v>
      </c>
      <c r="M22" s="136">
        <f>IF(SER_hh_tes!M22=0,"",SER_hh_tes!M22/SER_hh_fec!M22)</f>
        <v>0.54854638705774772</v>
      </c>
      <c r="N22" s="136">
        <f>IF(SER_hh_tes!N22=0,"",SER_hh_tes!N22/SER_hh_fec!N22)</f>
        <v>0.5553340646701459</v>
      </c>
      <c r="O22" s="136">
        <f>IF(SER_hh_tes!O22=0,"",SER_hh_tes!O22/SER_hh_fec!O22)</f>
        <v>0.5628484730107205</v>
      </c>
      <c r="P22" s="136">
        <f>IF(SER_hh_tes!P22=0,"",SER_hh_tes!P22/SER_hh_fec!P22)</f>
        <v>0.56538220535448891</v>
      </c>
      <c r="Q22" s="136">
        <f>IF(SER_hh_tes!Q22=0,"",SER_hh_tes!Q22/SER_hh_fec!Q22)</f>
        <v>0.56993687473338306</v>
      </c>
      <c r="R22" s="136">
        <f>IF(SER_hh_tes!R22=0,"",SER_hh_tes!R22/SER_hh_fec!R22)</f>
        <v>0.57588914692833315</v>
      </c>
      <c r="S22" s="136">
        <f>IF(SER_hh_tes!S22=0,"",SER_hh_tes!S22/SER_hh_fec!S22)</f>
        <v>0.58038083555506814</v>
      </c>
      <c r="T22" s="136">
        <f>IF(SER_hh_tes!T22=0,"",SER_hh_tes!T22/SER_hh_fec!T22)</f>
        <v>0.5851678641765885</v>
      </c>
      <c r="U22" s="136">
        <f>IF(SER_hh_tes!U22=0,"",SER_hh_tes!U22/SER_hh_fec!U22)</f>
        <v>0.59581591151549118</v>
      </c>
      <c r="V22" s="136">
        <f>IF(SER_hh_tes!V22=0,"",SER_hh_tes!V22/SER_hh_fec!V22)</f>
        <v>0.61305683116674303</v>
      </c>
      <c r="W22" s="136">
        <f>IF(SER_hh_tes!W22=0,"",SER_hh_tes!W22/SER_hh_fec!W22)</f>
        <v>0.63401650706198709</v>
      </c>
      <c r="X22" s="136">
        <f>IF(SER_hh_tes!X22=0,"",SER_hh_tes!X22/SER_hh_fec!X22)</f>
        <v>0.65333448016615014</v>
      </c>
      <c r="Y22" s="136">
        <f>IF(SER_hh_tes!Y22=0,"",SER_hh_tes!Y22/SER_hh_fec!Y22)</f>
        <v>0.67221848792753547</v>
      </c>
      <c r="DA22" s="163" t="s">
        <v>347</v>
      </c>
    </row>
    <row r="23" spans="1:105" ht="12" customHeight="1" x14ac:dyDescent="0.25">
      <c r="A23" s="131" t="s">
        <v>149</v>
      </c>
      <c r="B23" s="136">
        <f>IF(SER_hh_tes!B23=0,"",SER_hh_tes!B23/SER_hh_fec!B23)</f>
        <v>0.5250679067573889</v>
      </c>
      <c r="C23" s="136">
        <f>IF(SER_hh_tes!C23=0,"",SER_hh_tes!C23/SER_hh_fec!C23)</f>
        <v>0.52927228993475517</v>
      </c>
      <c r="D23" s="136">
        <f>IF(SER_hh_tes!D23=0,"",SER_hh_tes!D23/SER_hh_fec!D23)</f>
        <v>0.53429485051152747</v>
      </c>
      <c r="E23" s="136">
        <f>IF(SER_hh_tes!E23=0,"",SER_hh_tes!E23/SER_hh_fec!E23)</f>
        <v>0.53975361426793445</v>
      </c>
      <c r="F23" s="136">
        <f>IF(SER_hh_tes!F23=0,"",SER_hh_tes!F23/SER_hh_fec!F23)</f>
        <v>0.54569735081960091</v>
      </c>
      <c r="G23" s="136">
        <f>IF(SER_hh_tes!G23=0,"",SER_hh_tes!G23/SER_hh_fec!G23)</f>
        <v>0.55151686314625159</v>
      </c>
      <c r="H23" s="136">
        <f>IF(SER_hh_tes!H23=0,"",SER_hh_tes!H23/SER_hh_fec!H23)</f>
        <v>0.55723515514630984</v>
      </c>
      <c r="I23" s="136">
        <f>IF(SER_hh_tes!I23=0,"",SER_hh_tes!I23/SER_hh_fec!I23)</f>
        <v>0.56358091438811631</v>
      </c>
      <c r="J23" s="136">
        <f>IF(SER_hh_tes!J23=0,"",SER_hh_tes!J23/SER_hh_fec!J23)</f>
        <v>0.57036811665706799</v>
      </c>
      <c r="K23" s="136">
        <f>IF(SER_hh_tes!K23=0,"",SER_hh_tes!K23/SER_hh_fec!K23)</f>
        <v>0.57763936974106744</v>
      </c>
      <c r="L23" s="136">
        <f>IF(SER_hh_tes!L23=0,"",SER_hh_tes!L23/SER_hh_fec!L23)</f>
        <v>0.58599143301912493</v>
      </c>
      <c r="M23" s="136">
        <f>IF(SER_hh_tes!M23=0,"",SER_hh_tes!M23/SER_hh_fec!M23)</f>
        <v>0.59691947819969837</v>
      </c>
      <c r="N23" s="136">
        <f>IF(SER_hh_tes!N23=0,"",SER_hh_tes!N23/SER_hh_fec!N23)</f>
        <v>0.61118081355704545</v>
      </c>
      <c r="O23" s="136">
        <f>IF(SER_hh_tes!O23=0,"",SER_hh_tes!O23/SER_hh_fec!O23)</f>
        <v>0.62670860355137292</v>
      </c>
      <c r="P23" s="136">
        <f>IF(SER_hh_tes!P23=0,"",SER_hh_tes!P23/SER_hh_fec!P23)</f>
        <v>0.63073383540503158</v>
      </c>
      <c r="Q23" s="136">
        <f>IF(SER_hh_tes!Q23=0,"",SER_hh_tes!Q23/SER_hh_fec!Q23)</f>
        <v>0.63934263697156912</v>
      </c>
      <c r="R23" s="136">
        <f>IF(SER_hh_tes!R23=0,"",SER_hh_tes!R23/SER_hh_fec!R23)</f>
        <v>0.65172134462519682</v>
      </c>
      <c r="S23" s="136">
        <f>IF(SER_hh_tes!S23=0,"",SER_hh_tes!S23/SER_hh_fec!S23)</f>
        <v>0.66726917040059319</v>
      </c>
      <c r="T23" s="136">
        <f>IF(SER_hh_tes!T23=0,"",SER_hh_tes!T23/SER_hh_fec!T23)</f>
        <v>0.68415371000948177</v>
      </c>
      <c r="U23" s="136">
        <f>IF(SER_hh_tes!U23=0,"",SER_hh_tes!U23/SER_hh_fec!U23)</f>
        <v>0.70196261807739613</v>
      </c>
      <c r="V23" s="136">
        <f>IF(SER_hh_tes!V23=0,"",SER_hh_tes!V23/SER_hh_fec!V23)</f>
        <v>0.71983307996085788</v>
      </c>
      <c r="W23" s="136">
        <f>IF(SER_hh_tes!W23=0,"",SER_hh_tes!W23/SER_hh_fec!W23)</f>
        <v>0.73253104195598973</v>
      </c>
      <c r="X23" s="136">
        <f>IF(SER_hh_tes!X23=0,"",SER_hh_tes!X23/SER_hh_fec!X23)</f>
        <v>0.74757399021638715</v>
      </c>
      <c r="Y23" s="136">
        <f>IF(SER_hh_tes!Y23=0,"",SER_hh_tes!Y23/SER_hh_fec!Y23)</f>
        <v>0.75733209827203729</v>
      </c>
      <c r="DA23" s="163" t="s">
        <v>348</v>
      </c>
    </row>
    <row r="24" spans="1:105" ht="12" customHeight="1" x14ac:dyDescent="0.25">
      <c r="A24" s="131" t="s">
        <v>128</v>
      </c>
      <c r="B24" s="136">
        <f>IF(SER_hh_tes!B24=0,"",SER_hh_tes!B24/SER_hh_fec!B24)</f>
        <v>0.44823060374530288</v>
      </c>
      <c r="C24" s="136">
        <f>IF(SER_hh_tes!C24=0,"",SER_hh_tes!C24/SER_hh_fec!C24)</f>
        <v>0.46584457687148306</v>
      </c>
      <c r="D24" s="136">
        <f>IF(SER_hh_tes!D24=0,"",SER_hh_tes!D24/SER_hh_fec!D24)</f>
        <v>0.47933657117655798</v>
      </c>
      <c r="E24" s="136">
        <f>IF(SER_hh_tes!E24=0,"",SER_hh_tes!E24/SER_hh_fec!E24)</f>
        <v>0.49166843624080098</v>
      </c>
      <c r="F24" s="136">
        <f>IF(SER_hh_tes!F24=0,"",SER_hh_tes!F24/SER_hh_fec!F24)</f>
        <v>0.50345451305761912</v>
      </c>
      <c r="G24" s="136">
        <f>IF(SER_hh_tes!G24=0,"",SER_hh_tes!G24/SER_hh_fec!G24)</f>
        <v>0.51576279407220404</v>
      </c>
      <c r="H24" s="136">
        <f>IF(SER_hh_tes!H24=0,"",SER_hh_tes!H24/SER_hh_fec!H24)</f>
        <v>0.53052079555435783</v>
      </c>
      <c r="I24" s="136">
        <f>IF(SER_hh_tes!I24=0,"",SER_hh_tes!I24/SER_hh_fec!I24)</f>
        <v>0.5458735475199582</v>
      </c>
      <c r="J24" s="136">
        <f>IF(SER_hh_tes!J24=0,"",SER_hh_tes!J24/SER_hh_fec!J24)</f>
        <v>0.56246998246455127</v>
      </c>
      <c r="K24" s="136">
        <f>IF(SER_hh_tes!K24=0,"",SER_hh_tes!K24/SER_hh_fec!K24)</f>
        <v>0.57744210917064487</v>
      </c>
      <c r="L24" s="136">
        <f>IF(SER_hh_tes!L24=0,"",SER_hh_tes!L24/SER_hh_fec!L24)</f>
        <v>0.59372746008392485</v>
      </c>
      <c r="M24" s="136">
        <f>IF(SER_hh_tes!M24=0,"",SER_hh_tes!M24/SER_hh_fec!M24)</f>
        <v>0.61056642286567797</v>
      </c>
      <c r="N24" s="136">
        <f>IF(SER_hh_tes!N24=0,"",SER_hh_tes!N24/SER_hh_fec!N24)</f>
        <v>0.62845302669656344</v>
      </c>
      <c r="O24" s="136">
        <f>IF(SER_hh_tes!O24=0,"",SER_hh_tes!O24/SER_hh_fec!O24)</f>
        <v>0.64468964566149256</v>
      </c>
      <c r="P24" s="136">
        <f>IF(SER_hh_tes!P24=0,"",SER_hh_tes!P24/SER_hh_fec!P24)</f>
        <v>0.65110857640774533</v>
      </c>
      <c r="Q24" s="136">
        <f>IF(SER_hh_tes!Q24=0,"",SER_hh_tes!Q24/SER_hh_fec!Q24)</f>
        <v>0.66026460797950659</v>
      </c>
      <c r="R24" s="136">
        <f>IF(SER_hh_tes!R24=0,"",SER_hh_tes!R24/SER_hh_fec!R24)</f>
        <v>0.67371659765654546</v>
      </c>
      <c r="S24" s="136">
        <f>IF(SER_hh_tes!S24=0,"",SER_hh_tes!S24/SER_hh_fec!S24)</f>
        <v>0.68751419194587238</v>
      </c>
      <c r="T24" s="136">
        <f>IF(SER_hh_tes!T24=0,"",SER_hh_tes!T24/SER_hh_fec!T24)</f>
        <v>0.69945276294173864</v>
      </c>
      <c r="U24" s="136">
        <f>IF(SER_hh_tes!U24=0,"",SER_hh_tes!U24/SER_hh_fec!U24)</f>
        <v>0.71049212208205315</v>
      </c>
      <c r="V24" s="136">
        <f>IF(SER_hh_tes!V24=0,"",SER_hh_tes!V24/SER_hh_fec!V24)</f>
        <v>0.72216997919808112</v>
      </c>
      <c r="W24" s="136">
        <f>IF(SER_hh_tes!W24=0,"",SER_hh_tes!W24/SER_hh_fec!W24)</f>
        <v>0.73438227310190074</v>
      </c>
      <c r="X24" s="136">
        <f>IF(SER_hh_tes!X24=0,"",SER_hh_tes!X24/SER_hh_fec!X24)</f>
        <v>0.74410170283774879</v>
      </c>
      <c r="Y24" s="136">
        <f>IF(SER_hh_tes!Y24=0,"",SER_hh_tes!Y24/SER_hh_fec!Y24)</f>
        <v>0.75252728824285853</v>
      </c>
      <c r="DA24" s="163" t="s">
        <v>349</v>
      </c>
    </row>
    <row r="25" spans="1:105" ht="12" customHeight="1" x14ac:dyDescent="0.25">
      <c r="A25" s="131" t="s">
        <v>162</v>
      </c>
      <c r="B25" s="136">
        <f>IF(SER_hh_tes!B25=0,"",SER_hh_tes!B25/SER_hh_fec!B25)</f>
        <v>0.78353157671821261</v>
      </c>
      <c r="C25" s="136">
        <f>IF(SER_hh_tes!C25=0,"",SER_hh_tes!C25/SER_hh_fec!C25)</f>
        <v>0.78609710483263839</v>
      </c>
      <c r="D25" s="136">
        <f>IF(SER_hh_tes!D25=0,"",SER_hh_tes!D25/SER_hh_fec!D25)</f>
        <v>0.78857003656202418</v>
      </c>
      <c r="E25" s="136">
        <f>IF(SER_hh_tes!E25=0,"",SER_hh_tes!E25/SER_hh_fec!E25)</f>
        <v>0.79108614372399311</v>
      </c>
      <c r="F25" s="136">
        <f>IF(SER_hh_tes!F25=0,"",SER_hh_tes!F25/SER_hh_fec!F25)</f>
        <v>0.79399766517562342</v>
      </c>
      <c r="G25" s="136">
        <f>IF(SER_hh_tes!G25=0,"",SER_hh_tes!G25/SER_hh_fec!G25)</f>
        <v>0.79695404441983286</v>
      </c>
      <c r="H25" s="136">
        <f>IF(SER_hh_tes!H25=0,"",SER_hh_tes!H25/SER_hh_fec!H25)</f>
        <v>0.80023143373140804</v>
      </c>
      <c r="I25" s="136">
        <f>IF(SER_hh_tes!I25=0,"",SER_hh_tes!I25/SER_hh_fec!I25)</f>
        <v>0.80352286415884489</v>
      </c>
      <c r="J25" s="136">
        <f>IF(SER_hh_tes!J25=0,"",SER_hh_tes!J25/SER_hh_fec!J25)</f>
        <v>0.80652536066444891</v>
      </c>
      <c r="K25" s="136">
        <f>IF(SER_hh_tes!K25=0,"",SER_hh_tes!K25/SER_hh_fec!K25)</f>
        <v>0.80949050411389778</v>
      </c>
      <c r="L25" s="136">
        <f>IF(SER_hh_tes!L25=0,"",SER_hh_tes!L25/SER_hh_fec!L25)</f>
        <v>0.81270042936771303</v>
      </c>
      <c r="M25" s="136">
        <f>IF(SER_hh_tes!M25=0,"",SER_hh_tes!M25/SER_hh_fec!M25)</f>
        <v>0.81629338665323181</v>
      </c>
      <c r="N25" s="136">
        <f>IF(SER_hh_tes!N25=0,"",SER_hh_tes!N25/SER_hh_fec!N25)</f>
        <v>0.82048728838966212</v>
      </c>
      <c r="O25" s="136">
        <f>IF(SER_hh_tes!O25=0,"",SER_hh_tes!O25/SER_hh_fec!O25)</f>
        <v>0.82476390110850939</v>
      </c>
      <c r="P25" s="136">
        <f>IF(SER_hh_tes!P25=0,"",SER_hh_tes!P25/SER_hh_fec!P25)</f>
        <v>0.82627093599418933</v>
      </c>
      <c r="Q25" s="136">
        <f>IF(SER_hh_tes!Q25=0,"",SER_hh_tes!Q25/SER_hh_fec!Q25)</f>
        <v>0.82857246614257463</v>
      </c>
      <c r="R25" s="136">
        <f>IF(SER_hh_tes!R25=0,"",SER_hh_tes!R25/SER_hh_fec!R25)</f>
        <v>0.83214476999884857</v>
      </c>
      <c r="S25" s="136">
        <f>IF(SER_hh_tes!S25=0,"",SER_hh_tes!S25/SER_hh_fec!S25)</f>
        <v>0.83667647549945745</v>
      </c>
      <c r="T25" s="136">
        <f>IF(SER_hh_tes!T25=0,"",SER_hh_tes!T25/SER_hh_fec!T25)</f>
        <v>0.84144376971496171</v>
      </c>
      <c r="U25" s="136">
        <f>IF(SER_hh_tes!U25=0,"",SER_hh_tes!U25/SER_hh_fec!U25)</f>
        <v>0.8461899408059369</v>
      </c>
      <c r="V25" s="136">
        <f>IF(SER_hh_tes!V25=0,"",SER_hh_tes!V25/SER_hh_fec!V25)</f>
        <v>0.85199083850000412</v>
      </c>
      <c r="W25" s="136">
        <f>IF(SER_hh_tes!W25=0,"",SER_hh_tes!W25/SER_hh_fec!W25)</f>
        <v>0.85848199952160742</v>
      </c>
      <c r="X25" s="136">
        <f>IF(SER_hh_tes!X25=0,"",SER_hh_tes!X25/SER_hh_fec!X25)</f>
        <v>0.86501366241121125</v>
      </c>
      <c r="Y25" s="136">
        <f>IF(SER_hh_tes!Y25=0,"",SER_hh_tes!Y25/SER_hh_fec!Y25)</f>
        <v>0.87054513295977431</v>
      </c>
      <c r="DA25" s="163" t="s">
        <v>350</v>
      </c>
    </row>
    <row r="26" spans="1:105" ht="12" customHeight="1" x14ac:dyDescent="0.25">
      <c r="A26" s="131" t="s">
        <v>24</v>
      </c>
      <c r="B26" s="137">
        <f>IF(SER_hh_tes!B26=0,"",SER_hh_tes!B26/SER_hh_fec!B26)</f>
        <v>0.65160552463099597</v>
      </c>
      <c r="C26" s="137">
        <f>IF(SER_hh_tes!C26=0,"",SER_hh_tes!C26/SER_hh_fec!C26)</f>
        <v>0.65299909886432317</v>
      </c>
      <c r="D26" s="137">
        <f>IF(SER_hh_tes!D26=0,"",SER_hh_tes!D26/SER_hh_fec!D26)</f>
        <v>0.65472272511615226</v>
      </c>
      <c r="E26" s="137">
        <f>IF(SER_hh_tes!E26=0,"",SER_hh_tes!E26/SER_hh_fec!E26)</f>
        <v>0.65671677319794397</v>
      </c>
      <c r="F26" s="137">
        <f>IF(SER_hh_tes!F26=0,"",SER_hh_tes!F26/SER_hh_fec!F26)</f>
        <v>0.65898563667293952</v>
      </c>
      <c r="G26" s="137">
        <f>IF(SER_hh_tes!G26=0,"",SER_hh_tes!G26/SER_hh_fec!G26)</f>
        <v>0.6614446433898088</v>
      </c>
      <c r="H26" s="137">
        <f>IF(SER_hh_tes!H26=0,"",SER_hh_tes!H26/SER_hh_fec!H26)</f>
        <v>0.66407020408375039</v>
      </c>
      <c r="I26" s="137">
        <f>IF(SER_hh_tes!I26=0,"",SER_hh_tes!I26/SER_hh_fec!I26)</f>
        <v>0.66705916590579661</v>
      </c>
      <c r="J26" s="137">
        <f>IF(SER_hh_tes!J26=0,"",SER_hh_tes!J26/SER_hh_fec!J26)</f>
        <v>0.67068912402756264</v>
      </c>
      <c r="K26" s="137">
        <f>IF(SER_hh_tes!K26=0,"",SER_hh_tes!K26/SER_hh_fec!K26)</f>
        <v>0.67492334816781563</v>
      </c>
      <c r="L26" s="137">
        <f>IF(SER_hh_tes!L26=0,"",SER_hh_tes!L26/SER_hh_fec!L26)</f>
        <v>0.67977274289223366</v>
      </c>
      <c r="M26" s="137">
        <f>IF(SER_hh_tes!M26=0,"",SER_hh_tes!M26/SER_hh_fec!M26)</f>
        <v>0.68566608301124998</v>
      </c>
      <c r="N26" s="137">
        <f>IF(SER_hh_tes!N26=0,"",SER_hh_tes!N26/SER_hh_fec!N26)</f>
        <v>0.69334319686870216</v>
      </c>
      <c r="O26" s="137">
        <f>IF(SER_hh_tes!O26=0,"",SER_hh_tes!O26/SER_hh_fec!O26)</f>
        <v>0.70238864800244494</v>
      </c>
      <c r="P26" s="137">
        <f>IF(SER_hh_tes!P26=0,"",SER_hh_tes!P26/SER_hh_fec!P26)</f>
        <v>0.70750159475311702</v>
      </c>
      <c r="Q26" s="137">
        <f>IF(SER_hh_tes!Q26=0,"",SER_hh_tes!Q26/SER_hh_fec!Q26)</f>
        <v>0.71483714577183988</v>
      </c>
      <c r="R26" s="137">
        <f>IF(SER_hh_tes!R26=0,"",SER_hh_tes!R26/SER_hh_fec!R26)</f>
        <v>0.723940765080474</v>
      </c>
      <c r="S26" s="137">
        <f>IF(SER_hh_tes!S26=0,"",SER_hh_tes!S26/SER_hh_fec!S26)</f>
        <v>0.73801579409524054</v>
      </c>
      <c r="T26" s="137">
        <f>IF(SER_hh_tes!T26=0,"",SER_hh_tes!T26/SER_hh_fec!T26)</f>
        <v>0.75338324956387703</v>
      </c>
      <c r="U26" s="137">
        <f>IF(SER_hh_tes!U26=0,"",SER_hh_tes!U26/SER_hh_fec!U26)</f>
        <v>0.77010565997909108</v>
      </c>
      <c r="V26" s="137">
        <f>IF(SER_hh_tes!V26=0,"",SER_hh_tes!V26/SER_hh_fec!V26)</f>
        <v>0.78497466305963215</v>
      </c>
      <c r="W26" s="137">
        <f>IF(SER_hh_tes!W26=0,"",SER_hh_tes!W26/SER_hh_fec!W26)</f>
        <v>0.7983406392470398</v>
      </c>
      <c r="X26" s="137">
        <f>IF(SER_hh_tes!X26=0,"",SER_hh_tes!X26/SER_hh_fec!X26)</f>
        <v>0.81262595156303596</v>
      </c>
      <c r="Y26" s="137">
        <f>IF(SER_hh_tes!Y26=0,"",SER_hh_tes!Y26/SER_hh_fec!Y26)</f>
        <v>0.83094020996916007</v>
      </c>
      <c r="DA26" s="164" t="s">
        <v>351</v>
      </c>
    </row>
    <row r="27" spans="1:105" ht="12" customHeight="1" x14ac:dyDescent="0.25">
      <c r="A27" s="144" t="s">
        <v>26</v>
      </c>
      <c r="B27" s="153" t="str">
        <f>IF(SER_hh_tes!B27=0,"",SER_hh_tes!B27/SER_hh_fec!B27)</f>
        <v/>
      </c>
      <c r="C27" s="153" t="str">
        <f>IF(SER_hh_tes!C27=0,"",SER_hh_tes!C27/SER_hh_fec!C27)</f>
        <v/>
      </c>
      <c r="D27" s="153" t="str">
        <f>IF(SER_hh_tes!D27=0,"",SER_hh_tes!D27/SER_hh_fec!D27)</f>
        <v/>
      </c>
      <c r="E27" s="153" t="str">
        <f>IF(SER_hh_tes!E27=0,"",SER_hh_tes!E27/SER_hh_fec!E27)</f>
        <v/>
      </c>
      <c r="F27" s="153" t="str">
        <f>IF(SER_hh_tes!F27=0,"",SER_hh_tes!F27/SER_hh_fec!F27)</f>
        <v/>
      </c>
      <c r="G27" s="153" t="str">
        <f>IF(SER_hh_tes!G27=0,"",SER_hh_tes!G27/SER_hh_fec!G27)</f>
        <v/>
      </c>
      <c r="H27" s="153" t="str">
        <f>IF(SER_hh_tes!H27=0,"",SER_hh_tes!H27/SER_hh_fec!H27)</f>
        <v/>
      </c>
      <c r="I27" s="153" t="str">
        <f>IF(SER_hh_tes!I27=0,"",SER_hh_tes!I27/SER_hh_fec!I27)</f>
        <v/>
      </c>
      <c r="J27" s="153" t="str">
        <f>IF(SER_hh_tes!J27=0,"",SER_hh_tes!J27/SER_hh_fec!J27)</f>
        <v/>
      </c>
      <c r="K27" s="153" t="str">
        <f>IF(SER_hh_tes!K27=0,"",SER_hh_tes!K27/SER_hh_fec!K27)</f>
        <v/>
      </c>
      <c r="L27" s="153" t="str">
        <f>IF(SER_hh_tes!L27=0,"",SER_hh_tes!L27/SER_hh_fec!L27)</f>
        <v/>
      </c>
      <c r="M27" s="153" t="str">
        <f>IF(SER_hh_tes!M27=0,"",SER_hh_tes!M27/SER_hh_fec!M27)</f>
        <v/>
      </c>
      <c r="N27" s="153" t="str">
        <f>IF(SER_hh_tes!N27=0,"",SER_hh_tes!N27/SER_hh_fec!N27)</f>
        <v/>
      </c>
      <c r="O27" s="153" t="str">
        <f>IF(SER_hh_tes!O27=0,"",SER_hh_tes!O27/SER_hh_fec!O27)</f>
        <v/>
      </c>
      <c r="P27" s="153" t="str">
        <f>IF(SER_hh_tes!P27=0,"",SER_hh_tes!P27/SER_hh_fec!P27)</f>
        <v/>
      </c>
      <c r="Q27" s="153" t="str">
        <f>IF(SER_hh_tes!Q27=0,"",SER_hh_tes!Q27/SER_hh_fec!Q27)</f>
        <v/>
      </c>
      <c r="R27" s="153" t="str">
        <f>IF(SER_hh_tes!R27=0,"",SER_hh_tes!R27/SER_hh_fec!R27)</f>
        <v/>
      </c>
      <c r="S27" s="153" t="str">
        <f>IF(SER_hh_tes!S27=0,"",SER_hh_tes!S27/SER_hh_fec!S27)</f>
        <v/>
      </c>
      <c r="T27" s="153" t="str">
        <f>IF(SER_hh_tes!T27=0,"",SER_hh_tes!T27/SER_hh_fec!T27)</f>
        <v/>
      </c>
      <c r="U27" s="153" t="str">
        <f>IF(SER_hh_tes!U27=0,"",SER_hh_tes!U27/SER_hh_fec!U27)</f>
        <v/>
      </c>
      <c r="V27" s="153" t="str">
        <f>IF(SER_hh_tes!V27=0,"",SER_hh_tes!V27/SER_hh_fec!V27)</f>
        <v/>
      </c>
      <c r="W27" s="153" t="str">
        <f>IF(SER_hh_tes!W27=0,"",SER_hh_tes!W27/SER_hh_fec!W27)</f>
        <v/>
      </c>
      <c r="X27" s="153" t="str">
        <f>IF(SER_hh_tes!X27=0,"",SER_hh_tes!X27/SER_hh_fec!X27)</f>
        <v/>
      </c>
      <c r="Y27" s="153" t="str">
        <f>IF(SER_hh_tes!Y27=0,"",SER_hh_tes!Y27/SER_hh_fec!Y27)</f>
        <v/>
      </c>
      <c r="DA27" s="176" t="s">
        <v>352</v>
      </c>
    </row>
    <row r="28" spans="1:105" ht="12" hidden="1" customHeight="1" x14ac:dyDescent="0.25">
      <c r="A28" s="78" t="s">
        <v>26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DA28" s="167"/>
    </row>
    <row r="29" spans="1:105" ht="12.95" customHeight="1" x14ac:dyDescent="0.25">
      <c r="A29" s="129" t="s">
        <v>34</v>
      </c>
      <c r="B29" s="135">
        <f>IF(SER_hh_tes!B29=0,"",SER_hh_tes!B29/SER_hh_fec!B29)</f>
        <v>0.70696180944620168</v>
      </c>
      <c r="C29" s="135">
        <f>IF(SER_hh_tes!C29=0,"",SER_hh_tes!C29/SER_hh_fec!C29)</f>
        <v>0.70828760860537854</v>
      </c>
      <c r="D29" s="135">
        <f>IF(SER_hh_tes!D29=0,"",SER_hh_tes!D29/SER_hh_fec!D29)</f>
        <v>0.70967296581436112</v>
      </c>
      <c r="E29" s="135">
        <f>IF(SER_hh_tes!E29=0,"",SER_hh_tes!E29/SER_hh_fec!E29)</f>
        <v>0.71125574085539989</v>
      </c>
      <c r="F29" s="135">
        <f>IF(SER_hh_tes!F29=0,"",SER_hh_tes!F29/SER_hh_fec!F29)</f>
        <v>0.71306329808703361</v>
      </c>
      <c r="G29" s="135">
        <f>IF(SER_hh_tes!G29=0,"",SER_hh_tes!G29/SER_hh_fec!G29)</f>
        <v>0.71503523201764951</v>
      </c>
      <c r="H29" s="135">
        <f>IF(SER_hh_tes!H29=0,"",SER_hh_tes!H29/SER_hh_fec!H29)</f>
        <v>0.71727116380858935</v>
      </c>
      <c r="I29" s="135">
        <f>IF(SER_hh_tes!I29=0,"",SER_hh_tes!I29/SER_hh_fec!I29)</f>
        <v>0.71961308982810568</v>
      </c>
      <c r="J29" s="135">
        <f>IF(SER_hh_tes!J29=0,"",SER_hh_tes!J29/SER_hh_fec!J29)</f>
        <v>0.72213854964594382</v>
      </c>
      <c r="K29" s="135">
        <f>IF(SER_hh_tes!K29=0,"",SER_hh_tes!K29/SER_hh_fec!K29)</f>
        <v>0.72524767516360122</v>
      </c>
      <c r="L29" s="135">
        <f>IF(SER_hh_tes!L29=0,"",SER_hh_tes!L29/SER_hh_fec!L29)</f>
        <v>0.72760786417436041</v>
      </c>
      <c r="M29" s="135">
        <f>IF(SER_hh_tes!M29=0,"",SER_hh_tes!M29/SER_hh_fec!M29)</f>
        <v>0.72894908605535635</v>
      </c>
      <c r="N29" s="135">
        <f>IF(SER_hh_tes!N29=0,"",SER_hh_tes!N29/SER_hh_fec!N29)</f>
        <v>0.73054336834978661</v>
      </c>
      <c r="O29" s="135">
        <f>IF(SER_hh_tes!O29=0,"",SER_hh_tes!O29/SER_hh_fec!O29)</f>
        <v>0.73310758806609455</v>
      </c>
      <c r="P29" s="135">
        <f>IF(SER_hh_tes!P29=0,"",SER_hh_tes!P29/SER_hh_fec!P29)</f>
        <v>0.73647189981688155</v>
      </c>
      <c r="Q29" s="135">
        <f>IF(SER_hh_tes!Q29=0,"",SER_hh_tes!Q29/SER_hh_fec!Q29)</f>
        <v>0.7406798630490945</v>
      </c>
      <c r="R29" s="135">
        <f>IF(SER_hh_tes!R29=0,"",SER_hh_tes!R29/SER_hh_fec!R29)</f>
        <v>0.74638865292852619</v>
      </c>
      <c r="S29" s="135">
        <f>IF(SER_hh_tes!S29=0,"",SER_hh_tes!S29/SER_hh_fec!S29)</f>
        <v>0.75333586163331634</v>
      </c>
      <c r="T29" s="135">
        <f>IF(SER_hh_tes!T29=0,"",SER_hh_tes!T29/SER_hh_fec!T29)</f>
        <v>0.76274443228664546</v>
      </c>
      <c r="U29" s="135">
        <f>IF(SER_hh_tes!U29=0,"",SER_hh_tes!U29/SER_hh_fec!U29)</f>
        <v>0.77331287936195336</v>
      </c>
      <c r="V29" s="135">
        <f>IF(SER_hh_tes!V29=0,"",SER_hh_tes!V29/SER_hh_fec!V29)</f>
        <v>0.78415806797746423</v>
      </c>
      <c r="W29" s="135">
        <f>IF(SER_hh_tes!W29=0,"",SER_hh_tes!W29/SER_hh_fec!W29)</f>
        <v>0.79464241814703906</v>
      </c>
      <c r="X29" s="135">
        <f>IF(SER_hh_tes!X29=0,"",SER_hh_tes!X29/SER_hh_fec!X29)</f>
        <v>0.80569714893341604</v>
      </c>
      <c r="Y29" s="135">
        <f>IF(SER_hh_tes!Y29=0,"",SER_hh_tes!Y29/SER_hh_fec!Y29)</f>
        <v>0.81661926382154826</v>
      </c>
      <c r="DA29" s="162" t="s">
        <v>243</v>
      </c>
    </row>
    <row r="30" spans="1:105" ht="12" customHeight="1" x14ac:dyDescent="0.25">
      <c r="A30" s="131" t="s">
        <v>52</v>
      </c>
      <c r="B30" s="136" t="str">
        <f>IF(SER_hh_tes!B30=0,"",SER_hh_tes!B30/SER_hh_fec!B30)</f>
        <v/>
      </c>
      <c r="C30" s="136" t="str">
        <f>IF(SER_hh_tes!C30=0,"",SER_hh_tes!C30/SER_hh_fec!C30)</f>
        <v/>
      </c>
      <c r="D30" s="136" t="str">
        <f>IF(SER_hh_tes!D30=0,"",SER_hh_tes!D30/SER_hh_fec!D30)</f>
        <v/>
      </c>
      <c r="E30" s="136" t="str">
        <f>IF(SER_hh_tes!E30=0,"",SER_hh_tes!E30/SER_hh_fec!E30)</f>
        <v/>
      </c>
      <c r="F30" s="136" t="str">
        <f>IF(SER_hh_tes!F30=0,"",SER_hh_tes!F30/SER_hh_fec!F30)</f>
        <v/>
      </c>
      <c r="G30" s="136" t="str">
        <f>IF(SER_hh_tes!G30=0,"",SER_hh_tes!G30/SER_hh_fec!G30)</f>
        <v/>
      </c>
      <c r="H30" s="136" t="str">
        <f>IF(SER_hh_tes!H30=0,"",SER_hh_tes!H30/SER_hh_fec!H30)</f>
        <v/>
      </c>
      <c r="I30" s="136" t="str">
        <f>IF(SER_hh_tes!I30=0,"",SER_hh_tes!I30/SER_hh_fec!I30)</f>
        <v/>
      </c>
      <c r="J30" s="136" t="str">
        <f>IF(SER_hh_tes!J30=0,"",SER_hh_tes!J30/SER_hh_fec!J30)</f>
        <v/>
      </c>
      <c r="K30" s="136" t="str">
        <f>IF(SER_hh_tes!K30=0,"",SER_hh_tes!K30/SER_hh_fec!K30)</f>
        <v/>
      </c>
      <c r="L30" s="136" t="str">
        <f>IF(SER_hh_tes!L30=0,"",SER_hh_tes!L30/SER_hh_fec!L30)</f>
        <v/>
      </c>
      <c r="M30" s="136" t="str">
        <f>IF(SER_hh_tes!M30=0,"",SER_hh_tes!M30/SER_hh_fec!M30)</f>
        <v/>
      </c>
      <c r="N30" s="136" t="str">
        <f>IF(SER_hh_tes!N30=0,"",SER_hh_tes!N30/SER_hh_fec!N30)</f>
        <v/>
      </c>
      <c r="O30" s="136" t="str">
        <f>IF(SER_hh_tes!O30=0,"",SER_hh_tes!O30/SER_hh_fec!O30)</f>
        <v/>
      </c>
      <c r="P30" s="136" t="str">
        <f>IF(SER_hh_tes!P30=0,"",SER_hh_tes!P30/SER_hh_fec!P30)</f>
        <v/>
      </c>
      <c r="Q30" s="136" t="str">
        <f>IF(SER_hh_tes!Q30=0,"",SER_hh_tes!Q30/SER_hh_fec!Q30)</f>
        <v/>
      </c>
      <c r="R30" s="136" t="str">
        <f>IF(SER_hh_tes!R30=0,"",SER_hh_tes!R30/SER_hh_fec!R30)</f>
        <v/>
      </c>
      <c r="S30" s="136" t="str">
        <f>IF(SER_hh_tes!S30=0,"",SER_hh_tes!S30/SER_hh_fec!S30)</f>
        <v/>
      </c>
      <c r="T30" s="136" t="str">
        <f>IF(SER_hh_tes!T30=0,"",SER_hh_tes!T30/SER_hh_fec!T30)</f>
        <v/>
      </c>
      <c r="U30" s="136" t="str">
        <f>IF(SER_hh_tes!U30=0,"",SER_hh_tes!U30/SER_hh_fec!U30)</f>
        <v/>
      </c>
      <c r="V30" s="136" t="str">
        <f>IF(SER_hh_tes!V30=0,"",SER_hh_tes!V30/SER_hh_fec!V30)</f>
        <v/>
      </c>
      <c r="W30" s="136" t="str">
        <f>IF(SER_hh_tes!W30=0,"",SER_hh_tes!W30/SER_hh_fec!W30)</f>
        <v/>
      </c>
      <c r="X30" s="136" t="str">
        <f>IF(SER_hh_tes!X30=0,"",SER_hh_tes!X30/SER_hh_fec!X30)</f>
        <v/>
      </c>
      <c r="Y30" s="136" t="str">
        <f>IF(SER_hh_tes!Y30=0,"",SER_hh_tes!Y30/SER_hh_fec!Y30)</f>
        <v/>
      </c>
      <c r="DA30" s="163" t="s">
        <v>353</v>
      </c>
    </row>
    <row r="31" spans="1:105" ht="12" customHeight="1" x14ac:dyDescent="0.25">
      <c r="A31" s="131" t="s">
        <v>149</v>
      </c>
      <c r="B31" s="136">
        <f>IF(SER_hh_tes!B31=0,"",SER_hh_tes!B31/SER_hh_fec!B31)</f>
        <v>0.54414204146133527</v>
      </c>
      <c r="C31" s="136">
        <f>IF(SER_hh_tes!C31=0,"",SER_hh_tes!C31/SER_hh_fec!C31)</f>
        <v>0.54488745941625927</v>
      </c>
      <c r="D31" s="136">
        <f>IF(SER_hh_tes!D31=0,"",SER_hh_tes!D31/SER_hh_fec!D31)</f>
        <v>0.54573593180380764</v>
      </c>
      <c r="E31" s="136">
        <f>IF(SER_hh_tes!E31=0,"",SER_hh_tes!E31/SER_hh_fec!E31)</f>
        <v>0.54660830541327121</v>
      </c>
      <c r="F31" s="136">
        <f>IF(SER_hh_tes!F31=0,"",SER_hh_tes!F31/SER_hh_fec!F31)</f>
        <v>0.54751693680176139</v>
      </c>
      <c r="G31" s="136">
        <f>IF(SER_hh_tes!G31=0,"",SER_hh_tes!G31/SER_hh_fec!G31)</f>
        <v>0.54846073131211148</v>
      </c>
      <c r="H31" s="136">
        <f>IF(SER_hh_tes!H31=0,"",SER_hh_tes!H31/SER_hh_fec!H31)</f>
        <v>0.54947187581639301</v>
      </c>
      <c r="I31" s="136">
        <f>IF(SER_hh_tes!I31=0,"",SER_hh_tes!I31/SER_hh_fec!I31)</f>
        <v>0.55055454262971115</v>
      </c>
      <c r="J31" s="136">
        <f>IF(SER_hh_tes!J31=0,"",SER_hh_tes!J31/SER_hh_fec!J31)</f>
        <v>0.55171355596925931</v>
      </c>
      <c r="K31" s="136">
        <f>IF(SER_hh_tes!K31=0,"",SER_hh_tes!K31/SER_hh_fec!K31)</f>
        <v>0.55295128188704046</v>
      </c>
      <c r="L31" s="136">
        <f>IF(SER_hh_tes!L31=0,"",SER_hh_tes!L31/SER_hh_fec!L31)</f>
        <v>0.55388134925647015</v>
      </c>
      <c r="M31" s="136">
        <f>IF(SER_hh_tes!M31=0,"",SER_hh_tes!M31/SER_hh_fec!M31)</f>
        <v>0.55408272791153534</v>
      </c>
      <c r="N31" s="136">
        <f>IF(SER_hh_tes!N31=0,"",SER_hh_tes!N31/SER_hh_fec!N31)</f>
        <v>0.55457948280048142</v>
      </c>
      <c r="O31" s="136">
        <f>IF(SER_hh_tes!O31=0,"",SER_hh_tes!O31/SER_hh_fec!O31)</f>
        <v>0.55535533585196561</v>
      </c>
      <c r="P31" s="136">
        <f>IF(SER_hh_tes!P31=0,"",SER_hh_tes!P31/SER_hh_fec!P31)</f>
        <v>0.55611174125551421</v>
      </c>
      <c r="Q31" s="136">
        <f>IF(SER_hh_tes!Q31=0,"",SER_hh_tes!Q31/SER_hh_fec!Q31)</f>
        <v>0.55705076766874306</v>
      </c>
      <c r="R31" s="136">
        <f>IF(SER_hh_tes!R31=0,"",SER_hh_tes!R31/SER_hh_fec!R31)</f>
        <v>0.55847433174460337</v>
      </c>
      <c r="S31" s="136">
        <f>IF(SER_hh_tes!S31=0,"",SER_hh_tes!S31/SER_hh_fec!S31)</f>
        <v>0.5608172445149604</v>
      </c>
      <c r="T31" s="136">
        <f>IF(SER_hh_tes!T31=0,"",SER_hh_tes!T31/SER_hh_fec!T31)</f>
        <v>0.56299069677022939</v>
      </c>
      <c r="U31" s="136">
        <f>IF(SER_hh_tes!U31=0,"",SER_hh_tes!U31/SER_hh_fec!U31)</f>
        <v>0.56637631543636768</v>
      </c>
      <c r="V31" s="136">
        <f>IF(SER_hh_tes!V31=0,"",SER_hh_tes!V31/SER_hh_fec!V31)</f>
        <v>0.57093295291290946</v>
      </c>
      <c r="W31" s="136">
        <f>IF(SER_hh_tes!W31=0,"",SER_hh_tes!W31/SER_hh_fec!W31)</f>
        <v>0.57321759883235412</v>
      </c>
      <c r="X31" s="136">
        <f>IF(SER_hh_tes!X31=0,"",SER_hh_tes!X31/SER_hh_fec!X31)</f>
        <v>0.57537254039714913</v>
      </c>
      <c r="Y31" s="136">
        <f>IF(SER_hh_tes!Y31=0,"",SER_hh_tes!Y31/SER_hh_fec!Y31)</f>
        <v>0.57750177209484577</v>
      </c>
      <c r="DA31" s="163" t="s">
        <v>354</v>
      </c>
    </row>
    <row r="32" spans="1:105" ht="12" customHeight="1" x14ac:dyDescent="0.25">
      <c r="A32" s="131" t="s">
        <v>128</v>
      </c>
      <c r="B32" s="136" t="str">
        <f>IF(SER_hh_tes!B32=0,"",SER_hh_tes!B32/SER_hh_fec!B32)</f>
        <v/>
      </c>
      <c r="C32" s="136" t="str">
        <f>IF(SER_hh_tes!C32=0,"",SER_hh_tes!C32/SER_hh_fec!C32)</f>
        <v/>
      </c>
      <c r="D32" s="136" t="str">
        <f>IF(SER_hh_tes!D32=0,"",SER_hh_tes!D32/SER_hh_fec!D32)</f>
        <v/>
      </c>
      <c r="E32" s="136" t="str">
        <f>IF(SER_hh_tes!E32=0,"",SER_hh_tes!E32/SER_hh_fec!E32)</f>
        <v/>
      </c>
      <c r="F32" s="136" t="str">
        <f>IF(SER_hh_tes!F32=0,"",SER_hh_tes!F32/SER_hh_fec!F32)</f>
        <v/>
      </c>
      <c r="G32" s="136" t="str">
        <f>IF(SER_hh_tes!G32=0,"",SER_hh_tes!G32/SER_hh_fec!G32)</f>
        <v/>
      </c>
      <c r="H32" s="136" t="str">
        <f>IF(SER_hh_tes!H32=0,"",SER_hh_tes!H32/SER_hh_fec!H32)</f>
        <v/>
      </c>
      <c r="I32" s="136" t="str">
        <f>IF(SER_hh_tes!I32=0,"",SER_hh_tes!I32/SER_hh_fec!I32)</f>
        <v/>
      </c>
      <c r="J32" s="136" t="str">
        <f>IF(SER_hh_tes!J32=0,"",SER_hh_tes!J32/SER_hh_fec!J32)</f>
        <v/>
      </c>
      <c r="K32" s="136" t="str">
        <f>IF(SER_hh_tes!K32=0,"",SER_hh_tes!K32/SER_hh_fec!K32)</f>
        <v/>
      </c>
      <c r="L32" s="136" t="str">
        <f>IF(SER_hh_tes!L32=0,"",SER_hh_tes!L32/SER_hh_fec!L32)</f>
        <v/>
      </c>
      <c r="M32" s="136" t="str">
        <f>IF(SER_hh_tes!M32=0,"",SER_hh_tes!M32/SER_hh_fec!M32)</f>
        <v/>
      </c>
      <c r="N32" s="136" t="str">
        <f>IF(SER_hh_tes!N32=0,"",SER_hh_tes!N32/SER_hh_fec!N32)</f>
        <v/>
      </c>
      <c r="O32" s="136" t="str">
        <f>IF(SER_hh_tes!O32=0,"",SER_hh_tes!O32/SER_hh_fec!O32)</f>
        <v/>
      </c>
      <c r="P32" s="136" t="str">
        <f>IF(SER_hh_tes!P32=0,"",SER_hh_tes!P32/SER_hh_fec!P32)</f>
        <v/>
      </c>
      <c r="Q32" s="136" t="str">
        <f>IF(SER_hh_tes!Q32=0,"",SER_hh_tes!Q32/SER_hh_fec!Q32)</f>
        <v/>
      </c>
      <c r="R32" s="136" t="str">
        <f>IF(SER_hh_tes!R32=0,"",SER_hh_tes!R32/SER_hh_fec!R32)</f>
        <v/>
      </c>
      <c r="S32" s="136" t="str">
        <f>IF(SER_hh_tes!S32=0,"",SER_hh_tes!S32/SER_hh_fec!S32)</f>
        <v/>
      </c>
      <c r="T32" s="136" t="str">
        <f>IF(SER_hh_tes!T32=0,"",SER_hh_tes!T32/SER_hh_fec!T32)</f>
        <v/>
      </c>
      <c r="U32" s="136" t="str">
        <f>IF(SER_hh_tes!U32=0,"",SER_hh_tes!U32/SER_hh_fec!U32)</f>
        <v/>
      </c>
      <c r="V32" s="136" t="str">
        <f>IF(SER_hh_tes!V32=0,"",SER_hh_tes!V32/SER_hh_fec!V32)</f>
        <v/>
      </c>
      <c r="W32" s="136" t="str">
        <f>IF(SER_hh_tes!W32=0,"",SER_hh_tes!W32/SER_hh_fec!W32)</f>
        <v/>
      </c>
      <c r="X32" s="136" t="str">
        <f>IF(SER_hh_tes!X32=0,"",SER_hh_tes!X32/SER_hh_fec!X32)</f>
        <v/>
      </c>
      <c r="Y32" s="136" t="str">
        <f>IF(SER_hh_tes!Y32=0,"",SER_hh_tes!Y32/SER_hh_fec!Y32)</f>
        <v/>
      </c>
      <c r="DA32" s="163" t="s">
        <v>355</v>
      </c>
    </row>
    <row r="33" spans="1:105" ht="12" customHeight="1" x14ac:dyDescent="0.25">
      <c r="A33" s="62" t="s">
        <v>24</v>
      </c>
      <c r="B33" s="149">
        <f>IF(SER_hh_tes!B33=0,"",SER_hh_tes!B33/SER_hh_fec!B33)</f>
        <v>0.71121065257475857</v>
      </c>
      <c r="C33" s="149">
        <f>IF(SER_hh_tes!C33=0,"",SER_hh_tes!C33/SER_hh_fec!C33)</f>
        <v>0.71260183123679388</v>
      </c>
      <c r="D33" s="149">
        <f>IF(SER_hh_tes!D33=0,"",SER_hh_tes!D33/SER_hh_fec!D33)</f>
        <v>0.71410985021888362</v>
      </c>
      <c r="E33" s="149">
        <f>IF(SER_hh_tes!E33=0,"",SER_hh_tes!E33/SER_hh_fec!E33)</f>
        <v>0.71573731598917634</v>
      </c>
      <c r="F33" s="149">
        <f>IF(SER_hh_tes!F33=0,"",SER_hh_tes!F33/SER_hh_fec!F33)</f>
        <v>0.71757825583783663</v>
      </c>
      <c r="G33" s="149">
        <f>IF(SER_hh_tes!G33=0,"",SER_hh_tes!G33/SER_hh_fec!G33)</f>
        <v>0.71953455215333972</v>
      </c>
      <c r="H33" s="149">
        <f>IF(SER_hh_tes!H33=0,"",SER_hh_tes!H33/SER_hh_fec!H33)</f>
        <v>0.7216999766952723</v>
      </c>
      <c r="I33" s="149">
        <f>IF(SER_hh_tes!I33=0,"",SER_hh_tes!I33/SER_hh_fec!I33)</f>
        <v>0.72403509694631996</v>
      </c>
      <c r="J33" s="149">
        <f>IF(SER_hh_tes!J33=0,"",SER_hh_tes!J33/SER_hh_fec!J33)</f>
        <v>0.72654030188780816</v>
      </c>
      <c r="K33" s="149">
        <f>IF(SER_hh_tes!K33=0,"",SER_hh_tes!K33/SER_hh_fec!K33)</f>
        <v>0.72931500412704509</v>
      </c>
      <c r="L33" s="149">
        <f>IF(SER_hh_tes!L33=0,"",SER_hh_tes!L33/SER_hh_fec!L33)</f>
        <v>0.73147353215257149</v>
      </c>
      <c r="M33" s="149">
        <f>IF(SER_hh_tes!M33=0,"",SER_hh_tes!M33/SER_hh_fec!M33)</f>
        <v>0.73243385740941269</v>
      </c>
      <c r="N33" s="149">
        <f>IF(SER_hh_tes!N33=0,"",SER_hh_tes!N33/SER_hh_fec!N33)</f>
        <v>0.73397111586993224</v>
      </c>
      <c r="O33" s="149">
        <f>IF(SER_hh_tes!O33=0,"",SER_hh_tes!O33/SER_hh_fec!O33)</f>
        <v>0.73650828377823752</v>
      </c>
      <c r="P33" s="149">
        <f>IF(SER_hh_tes!P33=0,"",SER_hh_tes!P33/SER_hh_fec!P33)</f>
        <v>0.73971535900300422</v>
      </c>
      <c r="Q33" s="149">
        <f>IF(SER_hh_tes!Q33=0,"",SER_hh_tes!Q33/SER_hh_fec!Q33)</f>
        <v>0.74385007856111218</v>
      </c>
      <c r="R33" s="149">
        <f>IF(SER_hh_tes!R33=0,"",SER_hh_tes!R33/SER_hh_fec!R33)</f>
        <v>0.74941001483636005</v>
      </c>
      <c r="S33" s="149">
        <f>IF(SER_hh_tes!S33=0,"",SER_hh_tes!S33/SER_hh_fec!S33)</f>
        <v>0.75667748662544532</v>
      </c>
      <c r="T33" s="149">
        <f>IF(SER_hh_tes!T33=0,"",SER_hh_tes!T33/SER_hh_fec!T33)</f>
        <v>0.76569087734052088</v>
      </c>
      <c r="U33" s="149">
        <f>IF(SER_hh_tes!U33=0,"",SER_hh_tes!U33/SER_hh_fec!U33)</f>
        <v>0.77601859575128762</v>
      </c>
      <c r="V33" s="149">
        <f>IF(SER_hh_tes!V33=0,"",SER_hh_tes!V33/SER_hh_fec!V33)</f>
        <v>0.78708057083908545</v>
      </c>
      <c r="W33" s="149">
        <f>IF(SER_hh_tes!W33=0,"",SER_hh_tes!W33/SER_hh_fec!W33)</f>
        <v>0.79829644841457914</v>
      </c>
      <c r="X33" s="149">
        <f>IF(SER_hh_tes!X33=0,"",SER_hh_tes!X33/SER_hh_fec!X33)</f>
        <v>0.8088430667741352</v>
      </c>
      <c r="Y33" s="149">
        <f>IF(SER_hh_tes!Y33=0,"",SER_hh_tes!Y33/SER_hh_fec!Y33)</f>
        <v>0.8190274778229758</v>
      </c>
      <c r="DA33" s="167" t="s">
        <v>356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84</v>
      </c>
      <c r="B3" s="125">
        <f t="shared" ref="B3:Q3" si="0">SUM(B4,B16,B19,B29)</f>
        <v>1139.2286107392001</v>
      </c>
      <c r="C3" s="125">
        <f t="shared" si="0"/>
        <v>1183.6598844383996</v>
      </c>
      <c r="D3" s="125">
        <f t="shared" si="0"/>
        <v>1167.4572585264</v>
      </c>
      <c r="E3" s="125">
        <f t="shared" si="0"/>
        <v>1146.7003392288</v>
      </c>
      <c r="F3" s="125">
        <f t="shared" si="0"/>
        <v>1112.9491478592006</v>
      </c>
      <c r="G3" s="125">
        <f t="shared" si="0"/>
        <v>1059.4183465583997</v>
      </c>
      <c r="H3" s="125">
        <f t="shared" si="0"/>
        <v>1047.0211284671998</v>
      </c>
      <c r="I3" s="125">
        <f t="shared" si="0"/>
        <v>998.14239779039997</v>
      </c>
      <c r="J3" s="125">
        <f t="shared" si="0"/>
        <v>852.47360117626374</v>
      </c>
      <c r="K3" s="125">
        <f t="shared" si="0"/>
        <v>910.48101384526922</v>
      </c>
      <c r="L3" s="125">
        <f t="shared" si="0"/>
        <v>1068.8041961922022</v>
      </c>
      <c r="M3" s="125">
        <f t="shared" si="0"/>
        <v>940.56899188132081</v>
      </c>
      <c r="N3" s="125">
        <f t="shared" si="0"/>
        <v>1017.1887356420281</v>
      </c>
      <c r="O3" s="125">
        <f t="shared" si="0"/>
        <v>923.2019127589698</v>
      </c>
      <c r="P3" s="125">
        <f t="shared" si="0"/>
        <v>912.0207166537366</v>
      </c>
      <c r="Q3" s="125">
        <f t="shared" si="0"/>
        <v>842.96997116626642</v>
      </c>
      <c r="R3" s="125">
        <f t="shared" ref="R3:W3" si="1">SUM(R4,R16,R19,R29)</f>
        <v>922.82950184594927</v>
      </c>
      <c r="S3" s="125">
        <f t="shared" si="1"/>
        <v>910.20394478170169</v>
      </c>
      <c r="T3" s="125">
        <f t="shared" si="1"/>
        <v>898.13401539078541</v>
      </c>
      <c r="U3" s="125">
        <f t="shared" si="1"/>
        <v>893.42547867237363</v>
      </c>
      <c r="V3" s="125">
        <f t="shared" si="1"/>
        <v>809.37996813956124</v>
      </c>
      <c r="W3" s="125">
        <f t="shared" si="1"/>
        <v>930.59939493861373</v>
      </c>
      <c r="X3" s="125">
        <f t="shared" ref="X3:Y3" si="2">SUM(X4,X16,X19,X29)</f>
        <v>910.89700031963991</v>
      </c>
      <c r="Y3" s="125">
        <f t="shared" si="2"/>
        <v>831.74375175111652</v>
      </c>
      <c r="DA3" s="154" t="s">
        <v>233</v>
      </c>
    </row>
    <row r="4" spans="1:105" ht="12.95" customHeight="1" x14ac:dyDescent="0.25">
      <c r="A4" s="129" t="s">
        <v>32</v>
      </c>
      <c r="B4" s="130">
        <f t="shared" ref="B4:Q4" si="3">SUM(B5:B15)</f>
        <v>1057.7060089597303</v>
      </c>
      <c r="C4" s="130">
        <f t="shared" si="3"/>
        <v>1099.9651455836206</v>
      </c>
      <c r="D4" s="130">
        <f t="shared" si="3"/>
        <v>1081.2389146535284</v>
      </c>
      <c r="E4" s="130">
        <f t="shared" si="3"/>
        <v>1059.5932886873343</v>
      </c>
      <c r="F4" s="130">
        <f t="shared" si="3"/>
        <v>1025.6931171265196</v>
      </c>
      <c r="G4" s="130">
        <f t="shared" si="3"/>
        <v>971.89034982412477</v>
      </c>
      <c r="H4" s="130">
        <f t="shared" si="3"/>
        <v>958.07009913513082</v>
      </c>
      <c r="I4" s="130">
        <f t="shared" si="3"/>
        <v>909.56172533505787</v>
      </c>
      <c r="J4" s="130">
        <f t="shared" si="3"/>
        <v>761.9253165505645</v>
      </c>
      <c r="K4" s="130">
        <f t="shared" si="3"/>
        <v>822.65335401675668</v>
      </c>
      <c r="L4" s="130">
        <f t="shared" si="3"/>
        <v>975.55385065592714</v>
      </c>
      <c r="M4" s="130">
        <f t="shared" si="3"/>
        <v>847.33800999768835</v>
      </c>
      <c r="N4" s="130">
        <f t="shared" si="3"/>
        <v>927.72420107062135</v>
      </c>
      <c r="O4" s="130">
        <f t="shared" si="3"/>
        <v>833.37738460540754</v>
      </c>
      <c r="P4" s="130">
        <f t="shared" si="3"/>
        <v>826.13541210876031</v>
      </c>
      <c r="Q4" s="130">
        <f t="shared" si="3"/>
        <v>757.86558162769268</v>
      </c>
      <c r="R4" s="130">
        <f t="shared" ref="R4:W4" si="4">SUM(R5:R15)</f>
        <v>837.55185749255918</v>
      </c>
      <c r="S4" s="130">
        <f t="shared" si="4"/>
        <v>835.03630396958988</v>
      </c>
      <c r="T4" s="130">
        <f t="shared" si="4"/>
        <v>833.27136042024392</v>
      </c>
      <c r="U4" s="130">
        <f t="shared" si="4"/>
        <v>831.41780144850031</v>
      </c>
      <c r="V4" s="130">
        <f t="shared" si="4"/>
        <v>754.56805950854994</v>
      </c>
      <c r="W4" s="130">
        <f t="shared" si="4"/>
        <v>869.01955845492273</v>
      </c>
      <c r="X4" s="130">
        <f t="shared" ref="X4:Y4" si="5">SUM(X5:X15)</f>
        <v>852.69302396158128</v>
      </c>
      <c r="Y4" s="130">
        <f t="shared" si="5"/>
        <v>788.57726208618431</v>
      </c>
      <c r="DA4" s="155" t="s">
        <v>234</v>
      </c>
    </row>
    <row r="5" spans="1:105" ht="12" customHeight="1" x14ac:dyDescent="0.25">
      <c r="A5" s="131" t="s">
        <v>29</v>
      </c>
      <c r="B5" s="132">
        <v>8.6235000191999998</v>
      </c>
      <c r="C5" s="132">
        <v>8.8259808383999978</v>
      </c>
      <c r="D5" s="132">
        <v>8.7676452863999987</v>
      </c>
      <c r="E5" s="132">
        <v>8.800012108799999</v>
      </c>
      <c r="F5" s="132">
        <v>8.3976849791999992</v>
      </c>
      <c r="G5" s="132">
        <v>8.1955805183999964</v>
      </c>
      <c r="H5" s="132">
        <v>8.6686630272000027</v>
      </c>
      <c r="I5" s="132">
        <v>7.5011992704000026</v>
      </c>
      <c r="J5" s="132">
        <v>9.1635743231999989</v>
      </c>
      <c r="K5" s="132">
        <v>10.341576115200001</v>
      </c>
      <c r="L5" s="132">
        <v>11.620441958400001</v>
      </c>
      <c r="M5" s="132">
        <v>9.5240825460000025</v>
      </c>
      <c r="N5" s="132">
        <v>11.224490705999997</v>
      </c>
      <c r="O5" s="132">
        <v>10.2158096832</v>
      </c>
      <c r="P5" s="132">
        <v>10.548553633200006</v>
      </c>
      <c r="Q5" s="132">
        <v>9.5545048499999901</v>
      </c>
      <c r="R5" s="132">
        <v>10.5466443984</v>
      </c>
      <c r="S5" s="132">
        <v>10.514972793600007</v>
      </c>
      <c r="T5" s="132">
        <v>10.742876100000023</v>
      </c>
      <c r="U5" s="132">
        <v>10.952290800000002</v>
      </c>
      <c r="V5" s="132">
        <v>9.8287368299999862</v>
      </c>
      <c r="W5" s="132">
        <v>10.990188000000012</v>
      </c>
      <c r="X5" s="132">
        <v>10.826528288400008</v>
      </c>
      <c r="Y5" s="132">
        <v>10.726214400000002</v>
      </c>
      <c r="DA5" s="156" t="s">
        <v>358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359</v>
      </c>
    </row>
    <row r="7" spans="1:105" ht="12" customHeight="1" x14ac:dyDescent="0.25">
      <c r="A7" s="131" t="s">
        <v>161</v>
      </c>
      <c r="B7" s="132">
        <v>1000.4496981350773</v>
      </c>
      <c r="C7" s="132">
        <v>1040.9068951177405</v>
      </c>
      <c r="D7" s="132">
        <v>1015.763118050701</v>
      </c>
      <c r="E7" s="132">
        <v>995.31018326407116</v>
      </c>
      <c r="F7" s="132">
        <v>958.74296475763322</v>
      </c>
      <c r="G7" s="132">
        <v>904.97670595443071</v>
      </c>
      <c r="H7" s="132">
        <v>893.38618017528927</v>
      </c>
      <c r="I7" s="132">
        <v>848.96979860812382</v>
      </c>
      <c r="J7" s="132">
        <v>683.64058258947557</v>
      </c>
      <c r="K7" s="132">
        <v>754.0469937557524</v>
      </c>
      <c r="L7" s="132">
        <v>896.75723376635744</v>
      </c>
      <c r="M7" s="132">
        <v>753.53847535622242</v>
      </c>
      <c r="N7" s="132">
        <v>840.40199290919782</v>
      </c>
      <c r="O7" s="132">
        <v>750.95496896409577</v>
      </c>
      <c r="P7" s="132">
        <v>750.90561997394855</v>
      </c>
      <c r="Q7" s="132">
        <v>687.41425805384608</v>
      </c>
      <c r="R7" s="132">
        <v>763.28417918496905</v>
      </c>
      <c r="S7" s="132">
        <v>761.30813838864083</v>
      </c>
      <c r="T7" s="132">
        <v>763.69145961103925</v>
      </c>
      <c r="U7" s="132">
        <v>760.51034879024371</v>
      </c>
      <c r="V7" s="132">
        <v>691.00953619743007</v>
      </c>
      <c r="W7" s="132">
        <v>791.64889480780778</v>
      </c>
      <c r="X7" s="132">
        <v>741.44636170726017</v>
      </c>
      <c r="Y7" s="132">
        <v>744.90597701909189</v>
      </c>
      <c r="DA7" s="156" t="s">
        <v>360</v>
      </c>
    </row>
    <row r="8" spans="1:105" ht="12" customHeight="1" x14ac:dyDescent="0.25">
      <c r="A8" s="131" t="s">
        <v>73</v>
      </c>
      <c r="B8" s="132">
        <v>0</v>
      </c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361</v>
      </c>
    </row>
    <row r="9" spans="1:105" ht="12" customHeight="1" x14ac:dyDescent="0.25">
      <c r="A9" s="131" t="s">
        <v>78</v>
      </c>
      <c r="B9" s="132">
        <v>48.632810805452955</v>
      </c>
      <c r="C9" s="132">
        <v>50.232269627480086</v>
      </c>
      <c r="D9" s="132">
        <v>56.708151316427241</v>
      </c>
      <c r="E9" s="132">
        <v>55.483093314463154</v>
      </c>
      <c r="F9" s="132">
        <v>58.552467389686385</v>
      </c>
      <c r="G9" s="132">
        <v>58.71806335129407</v>
      </c>
      <c r="H9" s="132">
        <v>56.015255932641601</v>
      </c>
      <c r="I9" s="132">
        <v>53.090727456534104</v>
      </c>
      <c r="J9" s="132">
        <v>50.950112465657014</v>
      </c>
      <c r="K9" s="132">
        <v>51.42773201122192</v>
      </c>
      <c r="L9" s="132">
        <v>58.428358827285081</v>
      </c>
      <c r="M9" s="132">
        <v>74.664197927981775</v>
      </c>
      <c r="N9" s="132">
        <v>68.680332600590589</v>
      </c>
      <c r="O9" s="132">
        <v>70.022279020953945</v>
      </c>
      <c r="P9" s="132">
        <v>59.701228197968639</v>
      </c>
      <c r="Q9" s="132">
        <v>55.715023033123487</v>
      </c>
      <c r="R9" s="132">
        <v>57.870483802580964</v>
      </c>
      <c r="S9" s="132">
        <v>57.77232349855143</v>
      </c>
      <c r="T9" s="132">
        <v>52.20768983296054</v>
      </c>
      <c r="U9" s="132">
        <v>55.092541065900313</v>
      </c>
      <c r="V9" s="132">
        <v>47.698564791790346</v>
      </c>
      <c r="W9" s="132">
        <v>59.000671236287701</v>
      </c>
      <c r="X9" s="132">
        <v>48.189641433078833</v>
      </c>
      <c r="Y9" s="132">
        <v>27.119775696850489</v>
      </c>
      <c r="DA9" s="156" t="s">
        <v>362</v>
      </c>
    </row>
    <row r="10" spans="1:105" ht="12" customHeight="1" x14ac:dyDescent="0.25">
      <c r="A10" s="131" t="s">
        <v>128</v>
      </c>
      <c r="B10" s="132">
        <v>0</v>
      </c>
      <c r="C10" s="132">
        <v>0</v>
      </c>
      <c r="D10" s="132">
        <v>0</v>
      </c>
      <c r="E10" s="132">
        <v>0</v>
      </c>
      <c r="F10" s="132">
        <v>0</v>
      </c>
      <c r="G10" s="132">
        <v>0</v>
      </c>
      <c r="H10" s="132">
        <v>0</v>
      </c>
      <c r="I10" s="132">
        <v>0</v>
      </c>
      <c r="J10" s="132">
        <v>18.171047172232001</v>
      </c>
      <c r="K10" s="132">
        <v>6.8370521345823789</v>
      </c>
      <c r="L10" s="132">
        <v>8.7478161038845617</v>
      </c>
      <c r="M10" s="132">
        <v>9.6112541674841392</v>
      </c>
      <c r="N10" s="132">
        <v>7.4173848548330561</v>
      </c>
      <c r="O10" s="132">
        <v>2.1843269371578122</v>
      </c>
      <c r="P10" s="132">
        <v>4.9800103036432608</v>
      </c>
      <c r="Q10" s="132">
        <v>5.1817956907230629</v>
      </c>
      <c r="R10" s="132">
        <v>5.8505501066091536</v>
      </c>
      <c r="S10" s="132">
        <v>5.4408692887975105</v>
      </c>
      <c r="T10" s="132">
        <v>6.6293348762441386</v>
      </c>
      <c r="U10" s="132">
        <v>4.8626207923563047</v>
      </c>
      <c r="V10" s="132">
        <v>6.031221689329529</v>
      </c>
      <c r="W10" s="132">
        <v>7.379804410827199</v>
      </c>
      <c r="X10" s="132">
        <v>52.230492532842305</v>
      </c>
      <c r="Y10" s="132">
        <v>5.8252949702418615</v>
      </c>
      <c r="DA10" s="156" t="s">
        <v>363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364</v>
      </c>
    </row>
    <row r="12" spans="1:105" ht="12" customHeight="1" x14ac:dyDescent="0.25">
      <c r="A12" s="131" t="s">
        <v>162</v>
      </c>
      <c r="B12" s="132">
        <v>0</v>
      </c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365</v>
      </c>
    </row>
    <row r="13" spans="1:105" ht="12" customHeight="1" x14ac:dyDescent="0.25">
      <c r="A13" s="131" t="s">
        <v>77</v>
      </c>
      <c r="B13" s="132">
        <v>0</v>
      </c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366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DA14" s="109" t="s">
        <v>367</v>
      </c>
    </row>
    <row r="15" spans="1:105" ht="12" customHeight="1" x14ac:dyDescent="0.25">
      <c r="A15" s="133" t="s">
        <v>80</v>
      </c>
      <c r="B15" s="134">
        <v>0</v>
      </c>
      <c r="C15" s="134">
        <v>0</v>
      </c>
      <c r="D15" s="134">
        <v>0</v>
      </c>
      <c r="E15" s="134">
        <v>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4">
        <v>0</v>
      </c>
      <c r="L15" s="134">
        <v>0</v>
      </c>
      <c r="M15" s="134">
        <v>0</v>
      </c>
      <c r="N15" s="134">
        <v>0</v>
      </c>
      <c r="O15" s="134">
        <v>0</v>
      </c>
      <c r="P15" s="134">
        <v>0</v>
      </c>
      <c r="Q15" s="134">
        <v>0</v>
      </c>
      <c r="R15" s="134">
        <v>0</v>
      </c>
      <c r="S15" s="134">
        <v>0</v>
      </c>
      <c r="T15" s="134">
        <v>0</v>
      </c>
      <c r="U15" s="134">
        <v>0</v>
      </c>
      <c r="V15" s="134">
        <v>0</v>
      </c>
      <c r="W15" s="134">
        <v>0</v>
      </c>
      <c r="X15" s="134">
        <v>0</v>
      </c>
      <c r="Y15" s="134">
        <v>0</v>
      </c>
      <c r="DA15" s="157" t="s">
        <v>368</v>
      </c>
    </row>
    <row r="16" spans="1:105" ht="12.95" customHeight="1" x14ac:dyDescent="0.25">
      <c r="A16" s="129" t="s">
        <v>74</v>
      </c>
      <c r="B16" s="130">
        <f t="shared" ref="B16:Q16" si="6">SUM(B17:B18)</f>
        <v>0</v>
      </c>
      <c r="C16" s="130">
        <f t="shared" si="6"/>
        <v>0</v>
      </c>
      <c r="D16" s="130">
        <f t="shared" si="6"/>
        <v>0</v>
      </c>
      <c r="E16" s="130">
        <f t="shared" si="6"/>
        <v>0</v>
      </c>
      <c r="F16" s="130">
        <f t="shared" si="6"/>
        <v>0</v>
      </c>
      <c r="G16" s="130">
        <f t="shared" si="6"/>
        <v>0</v>
      </c>
      <c r="H16" s="130">
        <f t="shared" si="6"/>
        <v>0</v>
      </c>
      <c r="I16" s="130">
        <f t="shared" si="6"/>
        <v>0</v>
      </c>
      <c r="J16" s="130">
        <f t="shared" si="6"/>
        <v>0</v>
      </c>
      <c r="K16" s="130">
        <f t="shared" si="6"/>
        <v>0</v>
      </c>
      <c r="L16" s="130">
        <f t="shared" si="6"/>
        <v>0</v>
      </c>
      <c r="M16" s="130">
        <f t="shared" si="6"/>
        <v>0</v>
      </c>
      <c r="N16" s="130">
        <f t="shared" si="6"/>
        <v>0</v>
      </c>
      <c r="O16" s="130">
        <f t="shared" si="6"/>
        <v>0</v>
      </c>
      <c r="P16" s="130">
        <f t="shared" si="6"/>
        <v>0</v>
      </c>
      <c r="Q16" s="130">
        <f t="shared" si="6"/>
        <v>0</v>
      </c>
      <c r="R16" s="130">
        <f t="shared" ref="R16:W16" si="7">SUM(R17:R18)</f>
        <v>0</v>
      </c>
      <c r="S16" s="130">
        <f t="shared" si="7"/>
        <v>0</v>
      </c>
      <c r="T16" s="130">
        <f t="shared" si="7"/>
        <v>0</v>
      </c>
      <c r="U16" s="130">
        <f t="shared" si="7"/>
        <v>0</v>
      </c>
      <c r="V16" s="130">
        <f t="shared" si="7"/>
        <v>0</v>
      </c>
      <c r="W16" s="130">
        <f t="shared" si="7"/>
        <v>0</v>
      </c>
      <c r="X16" s="130">
        <f t="shared" ref="X16:Y16" si="8">SUM(X17:X18)</f>
        <v>0</v>
      </c>
      <c r="Y16" s="130">
        <f t="shared" si="8"/>
        <v>0</v>
      </c>
      <c r="DA16" s="155" t="s">
        <v>235</v>
      </c>
    </row>
    <row r="17" spans="1:105" ht="12.95" customHeight="1" x14ac:dyDescent="0.25">
      <c r="A17" s="131" t="s">
        <v>73</v>
      </c>
      <c r="B17" s="132">
        <v>0</v>
      </c>
      <c r="C17" s="132">
        <v>0</v>
      </c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32">
        <v>0</v>
      </c>
      <c r="J17" s="132">
        <v>0</v>
      </c>
      <c r="K17" s="132">
        <v>0</v>
      </c>
      <c r="L17" s="132">
        <v>0</v>
      </c>
      <c r="M17" s="132">
        <v>0</v>
      </c>
      <c r="N17" s="132">
        <v>0</v>
      </c>
      <c r="O17" s="132">
        <v>0</v>
      </c>
      <c r="P17" s="132">
        <v>0</v>
      </c>
      <c r="Q17" s="132">
        <v>0</v>
      </c>
      <c r="R17" s="132">
        <v>0</v>
      </c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32">
        <v>0</v>
      </c>
      <c r="Y17" s="132">
        <v>0</v>
      </c>
      <c r="DA17" s="156" t="s">
        <v>369</v>
      </c>
    </row>
    <row r="18" spans="1:105" ht="12" customHeight="1" x14ac:dyDescent="0.25">
      <c r="A18" s="131" t="s">
        <v>72</v>
      </c>
      <c r="B18" s="132">
        <v>0</v>
      </c>
      <c r="C18" s="132">
        <v>0</v>
      </c>
      <c r="D18" s="132">
        <v>0</v>
      </c>
      <c r="E18" s="132">
        <v>0</v>
      </c>
      <c r="F18" s="132">
        <v>0</v>
      </c>
      <c r="G18" s="132">
        <v>0</v>
      </c>
      <c r="H18" s="132">
        <v>0</v>
      </c>
      <c r="I18" s="132">
        <v>0</v>
      </c>
      <c r="J18" s="132">
        <v>0</v>
      </c>
      <c r="K18" s="132">
        <v>0</v>
      </c>
      <c r="L18" s="132">
        <v>0</v>
      </c>
      <c r="M18" s="132">
        <v>0</v>
      </c>
      <c r="N18" s="132">
        <v>0</v>
      </c>
      <c r="O18" s="132">
        <v>0</v>
      </c>
      <c r="P18" s="132">
        <v>0</v>
      </c>
      <c r="Q18" s="132">
        <v>0</v>
      </c>
      <c r="R18" s="132">
        <v>0</v>
      </c>
      <c r="S18" s="132">
        <v>0</v>
      </c>
      <c r="T18" s="132">
        <v>0</v>
      </c>
      <c r="U18" s="132">
        <v>0</v>
      </c>
      <c r="V18" s="132">
        <v>0</v>
      </c>
      <c r="W18" s="132">
        <v>0</v>
      </c>
      <c r="X18" s="132">
        <v>0</v>
      </c>
      <c r="Y18" s="132">
        <v>0</v>
      </c>
      <c r="DA18" s="156" t="s">
        <v>370</v>
      </c>
    </row>
    <row r="19" spans="1:105" ht="12.95" customHeight="1" x14ac:dyDescent="0.25">
      <c r="A19" s="129" t="s">
        <v>35</v>
      </c>
      <c r="B19" s="130">
        <f t="shared" ref="B19:Q19" si="9">SUM(B20:B27)</f>
        <v>73.069026595704415</v>
      </c>
      <c r="C19" s="130">
        <f t="shared" si="9"/>
        <v>74.525630409719383</v>
      </c>
      <c r="D19" s="130">
        <f t="shared" si="9"/>
        <v>77.169786299955661</v>
      </c>
      <c r="E19" s="130">
        <f t="shared" si="9"/>
        <v>78.273916254320852</v>
      </c>
      <c r="F19" s="130">
        <f t="shared" si="9"/>
        <v>78.594943535148417</v>
      </c>
      <c r="G19" s="130">
        <f t="shared" si="9"/>
        <v>78.616210013624922</v>
      </c>
      <c r="H19" s="130">
        <f t="shared" si="9"/>
        <v>79.923430446261676</v>
      </c>
      <c r="I19" s="130">
        <f t="shared" si="9"/>
        <v>79.804368810978801</v>
      </c>
      <c r="J19" s="130">
        <f t="shared" si="9"/>
        <v>81.948387475030643</v>
      </c>
      <c r="K19" s="130">
        <f t="shared" si="9"/>
        <v>79.672737368564626</v>
      </c>
      <c r="L19" s="130">
        <f t="shared" si="9"/>
        <v>85.365290337276562</v>
      </c>
      <c r="M19" s="130">
        <f t="shared" si="9"/>
        <v>86.096292144763595</v>
      </c>
      <c r="N19" s="130">
        <f t="shared" si="9"/>
        <v>83.647717086091532</v>
      </c>
      <c r="O19" s="130">
        <f t="shared" si="9"/>
        <v>83.090760712484538</v>
      </c>
      <c r="P19" s="130">
        <f t="shared" si="9"/>
        <v>79.82965598302404</v>
      </c>
      <c r="Q19" s="130">
        <f t="shared" si="9"/>
        <v>78.887755460838207</v>
      </c>
      <c r="R19" s="130">
        <f t="shared" ref="R19:W19" si="10">SUM(R20:R27)</f>
        <v>79.170142082458909</v>
      </c>
      <c r="S19" s="130">
        <f t="shared" si="10"/>
        <v>69.532842346366536</v>
      </c>
      <c r="T19" s="130">
        <f t="shared" si="10"/>
        <v>60.163168470180096</v>
      </c>
      <c r="U19" s="130">
        <f t="shared" si="10"/>
        <v>57.205292505920482</v>
      </c>
      <c r="V19" s="130">
        <f t="shared" si="10"/>
        <v>50.312017885833328</v>
      </c>
      <c r="W19" s="130">
        <f t="shared" si="10"/>
        <v>55.687819522309809</v>
      </c>
      <c r="X19" s="130">
        <f t="shared" ref="X19:Y19" si="11">SUM(X20:X27)</f>
        <v>53.538709213304841</v>
      </c>
      <c r="Y19" s="130">
        <f t="shared" si="11"/>
        <v>40.59562482798821</v>
      </c>
      <c r="DA19" s="155" t="s">
        <v>236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371</v>
      </c>
    </row>
    <row r="21" spans="1:105" s="2" customFormat="1" ht="12" customHeight="1" x14ac:dyDescent="0.25">
      <c r="A21" s="131" t="s">
        <v>52</v>
      </c>
      <c r="B21" s="132">
        <v>0</v>
      </c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372</v>
      </c>
    </row>
    <row r="22" spans="1:105" ht="12" customHeight="1" x14ac:dyDescent="0.25">
      <c r="A22" s="131" t="s">
        <v>161</v>
      </c>
      <c r="B22" s="132">
        <v>66.790462584922807</v>
      </c>
      <c r="C22" s="132">
        <v>67.734618482259236</v>
      </c>
      <c r="D22" s="132">
        <v>70.574325189298861</v>
      </c>
      <c r="E22" s="132">
        <v>71.904143855928837</v>
      </c>
      <c r="F22" s="132">
        <v>72.345548122367362</v>
      </c>
      <c r="G22" s="132">
        <v>72.177230085568979</v>
      </c>
      <c r="H22" s="132">
        <v>73.724895264710568</v>
      </c>
      <c r="I22" s="132">
        <v>73.813647751876189</v>
      </c>
      <c r="J22" s="132">
        <v>73.886528770523995</v>
      </c>
      <c r="K22" s="132">
        <v>73.277125324247578</v>
      </c>
      <c r="L22" s="132">
        <v>79.011614153643379</v>
      </c>
      <c r="M22" s="132">
        <v>79.717837483777842</v>
      </c>
      <c r="N22" s="132">
        <v>78.613022410803211</v>
      </c>
      <c r="O22" s="132">
        <v>78.045369515903502</v>
      </c>
      <c r="P22" s="132">
        <v>74.899449946051689</v>
      </c>
      <c r="Q22" s="132">
        <v>73.767425346154923</v>
      </c>
      <c r="R22" s="132">
        <v>74.027792855030441</v>
      </c>
      <c r="S22" s="132">
        <v>64.806752211359267</v>
      </c>
      <c r="T22" s="132">
        <v>55.971544468960992</v>
      </c>
      <c r="U22" s="132">
        <v>53.173751529756998</v>
      </c>
      <c r="V22" s="132">
        <v>46.455284562569233</v>
      </c>
      <c r="W22" s="132">
        <v>51.003535752192001</v>
      </c>
      <c r="X22" s="132">
        <v>44.372226612739027</v>
      </c>
      <c r="Y22" s="132">
        <v>38.281824180906931</v>
      </c>
      <c r="DA22" s="156" t="s">
        <v>373</v>
      </c>
    </row>
    <row r="23" spans="1:105" ht="12" customHeight="1" x14ac:dyDescent="0.25">
      <c r="A23" s="131" t="s">
        <v>149</v>
      </c>
      <c r="B23" s="132">
        <v>6.2785640107816079</v>
      </c>
      <c r="C23" s="132">
        <v>6.7910119274601488</v>
      </c>
      <c r="D23" s="132">
        <v>6.5954611106567986</v>
      </c>
      <c r="E23" s="132">
        <v>6.3697723983920129</v>
      </c>
      <c r="F23" s="132">
        <v>6.2493954127810589</v>
      </c>
      <c r="G23" s="132">
        <v>6.4389799280559377</v>
      </c>
      <c r="H23" s="132">
        <v>6.1985351815511098</v>
      </c>
      <c r="I23" s="132">
        <v>5.9907210591026079</v>
      </c>
      <c r="J23" s="132">
        <v>5.8337325436742651</v>
      </c>
      <c r="K23" s="132">
        <v>5.6506274888301791</v>
      </c>
      <c r="L23" s="132">
        <v>5.4829620537163057</v>
      </c>
      <c r="M23" s="132">
        <v>5.2451737924125288</v>
      </c>
      <c r="N23" s="132">
        <v>4.2555712459550135</v>
      </c>
      <c r="O23" s="132">
        <v>4.8014869907282698</v>
      </c>
      <c r="P23" s="132">
        <v>4.3891407020984428</v>
      </c>
      <c r="Q23" s="132">
        <v>4.505581396090828</v>
      </c>
      <c r="R23" s="132">
        <v>4.4282642921147746</v>
      </c>
      <c r="S23" s="132">
        <v>4.0774993586937089</v>
      </c>
      <c r="T23" s="132">
        <v>3.4137069274321665</v>
      </c>
      <c r="U23" s="132">
        <v>3.4514573121980936</v>
      </c>
      <c r="V23" s="132">
        <v>3.1467543653014296</v>
      </c>
      <c r="W23" s="132">
        <v>3.7959794506935283</v>
      </c>
      <c r="X23" s="132">
        <v>3.1068177027809045</v>
      </c>
      <c r="Y23" s="132">
        <v>1.6606469076401584</v>
      </c>
      <c r="DA23" s="156" t="s">
        <v>374</v>
      </c>
    </row>
    <row r="24" spans="1:105" ht="12" customHeight="1" x14ac:dyDescent="0.25">
      <c r="A24" s="131" t="s">
        <v>128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2.2281261608323817</v>
      </c>
      <c r="K24" s="132">
        <v>0.7449845554868626</v>
      </c>
      <c r="L24" s="132">
        <v>0.8707141299168808</v>
      </c>
      <c r="M24" s="132">
        <v>1.1332808685732283</v>
      </c>
      <c r="N24" s="132">
        <v>0.77912342933331002</v>
      </c>
      <c r="O24" s="132">
        <v>0.24390420585276634</v>
      </c>
      <c r="P24" s="132">
        <v>0.54106533487390651</v>
      </c>
      <c r="Q24" s="132">
        <v>0.61474871859245228</v>
      </c>
      <c r="R24" s="132">
        <v>0.71408493531369888</v>
      </c>
      <c r="S24" s="132">
        <v>0.64859077631354811</v>
      </c>
      <c r="T24" s="132">
        <v>0.77791707378693831</v>
      </c>
      <c r="U24" s="132">
        <v>0.58008366396538857</v>
      </c>
      <c r="V24" s="132">
        <v>0.70997895796266386</v>
      </c>
      <c r="W24" s="132">
        <v>0.88830431942427679</v>
      </c>
      <c r="X24" s="132">
        <v>6.0596648977849119</v>
      </c>
      <c r="Y24" s="132">
        <v>0.65315373944112598</v>
      </c>
      <c r="DA24" s="156" t="s">
        <v>375</v>
      </c>
    </row>
    <row r="25" spans="1:105" ht="12" customHeight="1" x14ac:dyDescent="0.25">
      <c r="A25" s="131" t="s">
        <v>162</v>
      </c>
      <c r="B25" s="132">
        <v>0</v>
      </c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376</v>
      </c>
    </row>
    <row r="26" spans="1:105" ht="12" customHeight="1" x14ac:dyDescent="0.25">
      <c r="A26" s="131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DA26" s="109" t="s">
        <v>377</v>
      </c>
    </row>
    <row r="27" spans="1:105" ht="12" customHeight="1" x14ac:dyDescent="0.25">
      <c r="A27" s="144" t="s">
        <v>26</v>
      </c>
      <c r="B27" s="145">
        <v>0</v>
      </c>
      <c r="C27" s="145">
        <v>0</v>
      </c>
      <c r="D27" s="145">
        <v>0</v>
      </c>
      <c r="E27" s="145">
        <v>0</v>
      </c>
      <c r="F27" s="145">
        <v>0</v>
      </c>
      <c r="G27" s="145">
        <v>0</v>
      </c>
      <c r="H27" s="145">
        <v>0</v>
      </c>
      <c r="I27" s="145">
        <v>0</v>
      </c>
      <c r="J27" s="145">
        <v>0</v>
      </c>
      <c r="K27" s="145">
        <v>0</v>
      </c>
      <c r="L27" s="145">
        <v>0</v>
      </c>
      <c r="M27" s="145">
        <v>0</v>
      </c>
      <c r="N27" s="145">
        <v>0</v>
      </c>
      <c r="O27" s="145">
        <v>0</v>
      </c>
      <c r="P27" s="145">
        <v>0</v>
      </c>
      <c r="Q27" s="145">
        <v>0</v>
      </c>
      <c r="R27" s="145">
        <v>0</v>
      </c>
      <c r="S27" s="145">
        <v>0</v>
      </c>
      <c r="T27" s="145">
        <v>0</v>
      </c>
      <c r="U27" s="145">
        <v>0</v>
      </c>
      <c r="V27" s="145">
        <v>0</v>
      </c>
      <c r="W27" s="145">
        <v>0</v>
      </c>
      <c r="X27" s="145">
        <v>0</v>
      </c>
      <c r="Y27" s="145">
        <v>0</v>
      </c>
      <c r="DA27" s="158" t="s">
        <v>378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8.4535751837654498</v>
      </c>
      <c r="C29" s="130">
        <f t="shared" si="12"/>
        <v>9.1691084450597664</v>
      </c>
      <c r="D29" s="130">
        <f t="shared" si="12"/>
        <v>9.0485575729159535</v>
      </c>
      <c r="E29" s="130">
        <f t="shared" si="12"/>
        <v>8.8331342871448513</v>
      </c>
      <c r="F29" s="130">
        <f t="shared" si="12"/>
        <v>8.6610871975325487</v>
      </c>
      <c r="G29" s="130">
        <f t="shared" si="12"/>
        <v>8.9117867206500012</v>
      </c>
      <c r="H29" s="130">
        <f t="shared" si="12"/>
        <v>9.027598885807306</v>
      </c>
      <c r="I29" s="130">
        <f t="shared" si="12"/>
        <v>8.7763036443633151</v>
      </c>
      <c r="J29" s="130">
        <f t="shared" si="12"/>
        <v>8.599897150668685</v>
      </c>
      <c r="K29" s="130">
        <f t="shared" si="12"/>
        <v>8.1549224599479508</v>
      </c>
      <c r="L29" s="130">
        <f t="shared" si="12"/>
        <v>7.8850551989986046</v>
      </c>
      <c r="M29" s="130">
        <f t="shared" si="12"/>
        <v>7.1346897388688211</v>
      </c>
      <c r="N29" s="130">
        <f t="shared" si="12"/>
        <v>5.8168174853151617</v>
      </c>
      <c r="O29" s="130">
        <f t="shared" si="12"/>
        <v>6.733767441077676</v>
      </c>
      <c r="P29" s="130">
        <f t="shared" si="12"/>
        <v>6.0556485619522498</v>
      </c>
      <c r="Q29" s="130">
        <f t="shared" si="12"/>
        <v>6.2166340777355762</v>
      </c>
      <c r="R29" s="130">
        <f t="shared" ref="R29:W29" si="13">SUM(R30:R33)</f>
        <v>6.1075022709311995</v>
      </c>
      <c r="S29" s="130">
        <f t="shared" si="13"/>
        <v>5.6347984657452246</v>
      </c>
      <c r="T29" s="130">
        <f t="shared" si="13"/>
        <v>4.699486500361469</v>
      </c>
      <c r="U29" s="130">
        <f t="shared" si="13"/>
        <v>4.8023847179527994</v>
      </c>
      <c r="V29" s="130">
        <f t="shared" si="13"/>
        <v>4.4998907451779404</v>
      </c>
      <c r="W29" s="130">
        <f t="shared" si="13"/>
        <v>5.8920169613811826</v>
      </c>
      <c r="X29" s="130">
        <f t="shared" ref="X29:Y29" si="14">SUM(X30:X33)</f>
        <v>4.6652671447538117</v>
      </c>
      <c r="Y29" s="130">
        <f t="shared" si="14"/>
        <v>2.5708648369439597</v>
      </c>
      <c r="DA29" s="155" t="s">
        <v>237</v>
      </c>
    </row>
    <row r="30" spans="1:105" ht="12" customHeight="1" x14ac:dyDescent="0.25">
      <c r="A30" s="131" t="s">
        <v>52</v>
      </c>
      <c r="B30" s="132">
        <v>0</v>
      </c>
      <c r="C30" s="132">
        <v>0</v>
      </c>
      <c r="D30" s="132">
        <v>0</v>
      </c>
      <c r="E30" s="132">
        <v>0</v>
      </c>
      <c r="F30" s="132">
        <v>0</v>
      </c>
      <c r="G30" s="132">
        <v>0</v>
      </c>
      <c r="H30" s="132">
        <v>0</v>
      </c>
      <c r="I30" s="132">
        <v>0</v>
      </c>
      <c r="J30" s="132">
        <v>0</v>
      </c>
      <c r="K30" s="132">
        <v>0</v>
      </c>
      <c r="L30" s="132">
        <v>0</v>
      </c>
      <c r="M30" s="132">
        <v>0</v>
      </c>
      <c r="N30" s="132">
        <v>0</v>
      </c>
      <c r="O30" s="132">
        <v>0</v>
      </c>
      <c r="P30" s="132">
        <v>0</v>
      </c>
      <c r="Q30" s="132">
        <v>0</v>
      </c>
      <c r="R30" s="132">
        <v>0</v>
      </c>
      <c r="S30" s="132">
        <v>0</v>
      </c>
      <c r="T30" s="132">
        <v>0</v>
      </c>
      <c r="U30" s="132">
        <v>0</v>
      </c>
      <c r="V30" s="132">
        <v>0</v>
      </c>
      <c r="W30" s="132">
        <v>0</v>
      </c>
      <c r="X30" s="132">
        <v>0</v>
      </c>
      <c r="Y30" s="132">
        <v>0</v>
      </c>
      <c r="DA30" s="156" t="s">
        <v>379</v>
      </c>
    </row>
    <row r="31" spans="1:105" ht="12" customHeight="1" x14ac:dyDescent="0.25">
      <c r="A31" s="131" t="s">
        <v>149</v>
      </c>
      <c r="B31" s="132">
        <v>8.4535751837654498</v>
      </c>
      <c r="C31" s="132">
        <v>9.1691084450597664</v>
      </c>
      <c r="D31" s="132">
        <v>9.0485575729159535</v>
      </c>
      <c r="E31" s="132">
        <v>8.8331342871448513</v>
      </c>
      <c r="F31" s="132">
        <v>8.6610871975325487</v>
      </c>
      <c r="G31" s="132">
        <v>8.9117867206500012</v>
      </c>
      <c r="H31" s="132">
        <v>9.027598885807306</v>
      </c>
      <c r="I31" s="132">
        <v>8.7763036443633151</v>
      </c>
      <c r="J31" s="132">
        <v>8.599897150668685</v>
      </c>
      <c r="K31" s="132">
        <v>8.1549224599479508</v>
      </c>
      <c r="L31" s="132">
        <v>7.8850551989986046</v>
      </c>
      <c r="M31" s="132">
        <v>7.1346897388688211</v>
      </c>
      <c r="N31" s="132">
        <v>5.8168174853151617</v>
      </c>
      <c r="O31" s="132">
        <v>6.733767441077676</v>
      </c>
      <c r="P31" s="132">
        <v>6.0556485619522498</v>
      </c>
      <c r="Q31" s="132">
        <v>6.2166340777355762</v>
      </c>
      <c r="R31" s="132">
        <v>6.1075022709311995</v>
      </c>
      <c r="S31" s="132">
        <v>5.6347984657452246</v>
      </c>
      <c r="T31" s="132">
        <v>4.699486500361469</v>
      </c>
      <c r="U31" s="132">
        <v>4.8023847179527994</v>
      </c>
      <c r="V31" s="132">
        <v>4.4998907451779404</v>
      </c>
      <c r="W31" s="132">
        <v>5.8920169613811826</v>
      </c>
      <c r="X31" s="132">
        <v>4.6652671447538117</v>
      </c>
      <c r="Y31" s="132">
        <v>2.5708648369439597</v>
      </c>
      <c r="DA31" s="156" t="s">
        <v>380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381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DA33" s="111" t="s">
        <v>382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87</v>
      </c>
      <c r="B3" s="125">
        <f>IF(SER_hh_fec!B3=0,0,11630*1000*SER_hh_fec!B3/SER_hh_num!B3)</f>
        <v>216180.74891212088</v>
      </c>
      <c r="C3" s="125">
        <f>IF(SER_hh_fec!C3=0,0,11630*1000*SER_hh_fec!C3/SER_hh_num!C3)</f>
        <v>234230.31140697084</v>
      </c>
      <c r="D3" s="125">
        <f>IF(SER_hh_fec!D3=0,0,11630*1000*SER_hh_fec!D3/SER_hh_num!D3)</f>
        <v>238291.6670011617</v>
      </c>
      <c r="E3" s="125">
        <f>IF(SER_hh_fec!E3=0,0,11630*1000*SER_hh_fec!E3/SER_hh_num!E3)</f>
        <v>236350.50408796067</v>
      </c>
      <c r="F3" s="125">
        <f>IF(SER_hh_fec!F3=0,0,11630*1000*SER_hh_fec!F3/SER_hh_num!F3)</f>
        <v>232367.26051875306</v>
      </c>
      <c r="G3" s="125">
        <f>IF(SER_hh_fec!G3=0,0,11630*1000*SER_hh_fec!G3/SER_hh_num!G3)</f>
        <v>227334.74167675406</v>
      </c>
      <c r="H3" s="125">
        <f>IF(SER_hh_fec!H3=0,0,11630*1000*SER_hh_fec!H3/SER_hh_num!H3)</f>
        <v>228052.8765068471</v>
      </c>
      <c r="I3" s="125">
        <f>IF(SER_hh_fec!I3=0,0,11630*1000*SER_hh_fec!I3/SER_hh_num!I3)</f>
        <v>235758.27445706047</v>
      </c>
      <c r="J3" s="125">
        <f>IF(SER_hh_fec!J3=0,0,11630*1000*SER_hh_fec!J3/SER_hh_num!J3)</f>
        <v>229536.38368567656</v>
      </c>
      <c r="K3" s="125">
        <f>IF(SER_hh_fec!K3=0,0,11630*1000*SER_hh_fec!K3/SER_hh_num!K3)</f>
        <v>251848.2946220976</v>
      </c>
      <c r="L3" s="125">
        <f>IF(SER_hh_fec!L3=0,0,11630*1000*SER_hh_fec!L3/SER_hh_num!L3)</f>
        <v>267686.00195994339</v>
      </c>
      <c r="M3" s="125">
        <f>IF(SER_hh_fec!M3=0,0,11630*1000*SER_hh_fec!M3/SER_hh_num!M3)</f>
        <v>235374.99676295818</v>
      </c>
      <c r="N3" s="125">
        <f>IF(SER_hh_fec!N3=0,0,11630*1000*SER_hh_fec!N3/SER_hh_num!N3)</f>
        <v>252357.66451174612</v>
      </c>
      <c r="O3" s="125">
        <f>IF(SER_hh_fec!O3=0,0,11630*1000*SER_hh_fec!O3/SER_hh_num!O3)</f>
        <v>237401.63427372766</v>
      </c>
      <c r="P3" s="125">
        <f>IF(SER_hh_fec!P3=0,0,11630*1000*SER_hh_fec!P3/SER_hh_num!P3)</f>
        <v>243314.30483178151</v>
      </c>
      <c r="Q3" s="125">
        <f>IF(SER_hh_fec!Q3=0,0,11630*1000*SER_hh_fec!Q3/SER_hh_num!Q3)</f>
        <v>225820.04035067209</v>
      </c>
      <c r="R3" s="125">
        <f>IF(SER_hh_fec!R3=0,0,11630*1000*SER_hh_fec!R3/SER_hh_num!R3)</f>
        <v>238778.04740916606</v>
      </c>
      <c r="S3" s="125">
        <f>IF(SER_hh_fec!S3=0,0,11630*1000*SER_hh_fec!S3/SER_hh_num!S3)</f>
        <v>235067.5521156803</v>
      </c>
      <c r="T3" s="125">
        <f>IF(SER_hh_fec!T3=0,0,11630*1000*SER_hh_fec!T3/SER_hh_num!T3)</f>
        <v>240787.19856380683</v>
      </c>
      <c r="U3" s="125">
        <f>IF(SER_hh_fec!U3=0,0,11630*1000*SER_hh_fec!U3/SER_hh_num!U3)</f>
        <v>232377.88709336618</v>
      </c>
      <c r="V3" s="125">
        <f>IF(SER_hh_fec!V3=0,0,11630*1000*SER_hh_fec!V3/SER_hh_num!V3)</f>
        <v>209518.89729552277</v>
      </c>
      <c r="W3" s="125">
        <f>IF(SER_hh_fec!W3=0,0,11630*1000*SER_hh_fec!W3/SER_hh_num!W3)</f>
        <v>235845.09010413795</v>
      </c>
      <c r="X3" s="125">
        <f>IF(SER_hh_fec!X3=0,0,11630*1000*SER_hh_fec!X3/SER_hh_num!X3)</f>
        <v>224151.93458276964</v>
      </c>
      <c r="Y3" s="125">
        <f>IF(SER_hh_fec!Y3=0,0,11630*1000*SER_hh_fec!Y3/SER_hh_num!Y3)</f>
        <v>216253.64626271054</v>
      </c>
      <c r="DA3" s="154" t="s">
        <v>384</v>
      </c>
    </row>
    <row r="4" spans="1:105" ht="12.95" customHeight="1" x14ac:dyDescent="0.25">
      <c r="A4" s="129" t="s">
        <v>32</v>
      </c>
      <c r="B4" s="130">
        <f>IF(SER_hh_fec!B4=0,0,11630*1000*SER_hh_fec!B4/SER_hh_num!B4)</f>
        <v>169928.96954495343</v>
      </c>
      <c r="C4" s="130">
        <f>IF(SER_hh_fec!C4=0,0,11630*1000*SER_hh_fec!C4/SER_hh_num!C4)</f>
        <v>188452.81963397289</v>
      </c>
      <c r="D4" s="130">
        <f>IF(SER_hh_fec!D4=0,0,11630*1000*SER_hh_fec!D4/SER_hh_num!D4)</f>
        <v>192793.67464754681</v>
      </c>
      <c r="E4" s="130">
        <f>IF(SER_hh_fec!E4=0,0,11630*1000*SER_hh_fec!E4/SER_hh_num!E4)</f>
        <v>190576.04519091433</v>
      </c>
      <c r="F4" s="130">
        <f>IF(SER_hh_fec!F4=0,0,11630*1000*SER_hh_fec!F4/SER_hh_num!F4)</f>
        <v>186649.99951099139</v>
      </c>
      <c r="G4" s="130">
        <f>IF(SER_hh_fec!G4=0,0,11630*1000*SER_hh_fec!G4/SER_hh_num!G4)</f>
        <v>181257.15996666305</v>
      </c>
      <c r="H4" s="130">
        <f>IF(SER_hh_fec!H4=0,0,11630*1000*SER_hh_fec!H4/SER_hh_num!H4)</f>
        <v>182083.0758807864</v>
      </c>
      <c r="I4" s="130">
        <f>IF(SER_hh_fec!I4=0,0,11630*1000*SER_hh_fec!I4/SER_hh_num!I4)</f>
        <v>190359.76239285702</v>
      </c>
      <c r="J4" s="130">
        <f>IF(SER_hh_fec!J4=0,0,11630*1000*SER_hh_fec!J4/SER_hh_num!J4)</f>
        <v>184240.06174898846</v>
      </c>
      <c r="K4" s="130">
        <f>IF(SER_hh_fec!K4=0,0,11630*1000*SER_hh_fec!K4/SER_hh_num!K4)</f>
        <v>206213.17584917819</v>
      </c>
      <c r="L4" s="130">
        <f>IF(SER_hh_fec!L4=0,0,11630*1000*SER_hh_fec!L4/SER_hh_num!L4)</f>
        <v>221928.84851015883</v>
      </c>
      <c r="M4" s="130">
        <f>IF(SER_hh_fec!M4=0,0,11630*1000*SER_hh_fec!M4/SER_hh_num!M4)</f>
        <v>189077.53976792726</v>
      </c>
      <c r="N4" s="130">
        <f>IF(SER_hh_fec!N4=0,0,11630*1000*SER_hh_fec!N4/SER_hh_num!N4)</f>
        <v>206128.20799685083</v>
      </c>
      <c r="O4" s="130">
        <f>IF(SER_hh_fec!O4=0,0,11630*1000*SER_hh_fec!O4/SER_hh_num!O4)</f>
        <v>190891.19709820597</v>
      </c>
      <c r="P4" s="130">
        <f>IF(SER_hh_fec!P4=0,0,11630*1000*SER_hh_fec!P4/SER_hh_num!P4)</f>
        <v>196382.29540194635</v>
      </c>
      <c r="Q4" s="130">
        <f>IF(SER_hh_fec!Q4=0,0,11630*1000*SER_hh_fec!Q4/SER_hh_num!Q4)</f>
        <v>178513.32147651329</v>
      </c>
      <c r="R4" s="130">
        <f>IF(SER_hh_fec!R4=0,0,11630*1000*SER_hh_fec!R4/SER_hh_num!R4)</f>
        <v>191326.3902483464</v>
      </c>
      <c r="S4" s="130">
        <f>IF(SER_hh_fec!S4=0,0,11630*1000*SER_hh_fec!S4/SER_hh_num!S4)</f>
        <v>186941.97430781877</v>
      </c>
      <c r="T4" s="130">
        <f>IF(SER_hh_fec!T4=0,0,11630*1000*SER_hh_fec!T4/SER_hh_num!T4)</f>
        <v>193146.17750894703</v>
      </c>
      <c r="U4" s="130">
        <f>IF(SER_hh_fec!U4=0,0,11630*1000*SER_hh_fec!U4/SER_hh_num!U4)</f>
        <v>183432.84774568459</v>
      </c>
      <c r="V4" s="130">
        <f>IF(SER_hh_fec!V4=0,0,11630*1000*SER_hh_fec!V4/SER_hh_num!V4)</f>
        <v>164728.41252409565</v>
      </c>
      <c r="W4" s="130">
        <f>IF(SER_hh_fec!W4=0,0,11630*1000*SER_hh_fec!W4/SER_hh_num!W4)</f>
        <v>186996.80035286318</v>
      </c>
      <c r="X4" s="130">
        <f>IF(SER_hh_fec!X4=0,0,11630*1000*SER_hh_fec!X4/SER_hh_num!X4)</f>
        <v>175777.56575522345</v>
      </c>
      <c r="Y4" s="130">
        <f>IF(SER_hh_fec!Y4=0,0,11630*1000*SER_hh_fec!Y4/SER_hh_num!Y4)</f>
        <v>167873.07353520597</v>
      </c>
      <c r="DA4" s="155" t="s">
        <v>385</v>
      </c>
    </row>
    <row r="5" spans="1:105" ht="12" customHeight="1" x14ac:dyDescent="0.25">
      <c r="A5" s="131" t="s">
        <v>29</v>
      </c>
      <c r="B5" s="132">
        <f>IF(SER_hh_fec!B5=0,0,11630*1000*SER_hh_fec!B5/SER_hh_num!B5)</f>
        <v>218990.42764711432</v>
      </c>
      <c r="C5" s="132">
        <f>IF(SER_hh_fec!C5=0,0,11630*1000*SER_hh_fec!C5/SER_hh_num!C5)</f>
        <v>234213.76950185854</v>
      </c>
      <c r="D5" s="132">
        <f>IF(SER_hh_fec!D5=0,0,11630*1000*SER_hh_fec!D5/SER_hh_num!D5)</f>
        <v>238193.85411936895</v>
      </c>
      <c r="E5" s="132">
        <f>IF(SER_hh_fec!E5=0,0,11630*1000*SER_hh_fec!E5/SER_hh_num!E5)</f>
        <v>241702.42273423754</v>
      </c>
      <c r="F5" s="132">
        <f>IF(SER_hh_fec!F5=0,0,11630*1000*SER_hh_fec!F5/SER_hh_num!F5)</f>
        <v>230462.20753334009</v>
      </c>
      <c r="G5" s="132">
        <f>IF(SER_hh_fec!G5=0,0,11630*1000*SER_hh_fec!G5/SER_hh_num!G5)</f>
        <v>225856.2374866094</v>
      </c>
      <c r="H5" s="132">
        <f>IF(SER_hh_fec!H5=0,0,11630*1000*SER_hh_fec!H5/SER_hh_num!H5)</f>
        <v>236205.55781116159</v>
      </c>
      <c r="I5" s="132">
        <f>IF(SER_hh_fec!I5=0,0,11630*1000*SER_hh_fec!I5/SER_hh_num!I5)</f>
        <v>196317.45050252153</v>
      </c>
      <c r="J5" s="132">
        <f>IF(SER_hh_fec!J5=0,0,11630*1000*SER_hh_fec!J5/SER_hh_num!J5)</f>
        <v>234674.35700294262</v>
      </c>
      <c r="K5" s="132">
        <f>IF(SER_hh_fec!K5=0,0,11630*1000*SER_hh_fec!K5/SER_hh_num!K5)</f>
        <v>253754.06841645218</v>
      </c>
      <c r="L5" s="132">
        <f>IF(SER_hh_fec!L5=0,0,11630*1000*SER_hh_fec!L5/SER_hh_num!L5)</f>
        <v>271365.38774601521</v>
      </c>
      <c r="M5" s="132">
        <f>IF(SER_hh_fec!M5=0,0,11630*1000*SER_hh_fec!M5/SER_hh_num!M5)</f>
        <v>217129.57417678114</v>
      </c>
      <c r="N5" s="132">
        <f>IF(SER_hh_fec!N5=0,0,11630*1000*SER_hh_fec!N5/SER_hh_num!N5)</f>
        <v>247075.72130131</v>
      </c>
      <c r="O5" s="132">
        <f>IF(SER_hh_fec!O5=0,0,11630*1000*SER_hh_fec!O5/SER_hh_num!O5)</f>
        <v>224192.71627592848</v>
      </c>
      <c r="P5" s="132">
        <f>IF(SER_hh_fec!P5=0,0,11630*1000*SER_hh_fec!P5/SER_hh_num!P5)</f>
        <v>230755.3099877444</v>
      </c>
      <c r="Q5" s="132">
        <f>IF(SER_hh_fec!Q5=0,0,11630*1000*SER_hh_fec!Q5/SER_hh_num!Q5)</f>
        <v>208515.28604872126</v>
      </c>
      <c r="R5" s="132">
        <f>IF(SER_hh_fec!R5=0,0,11630*1000*SER_hh_fec!R5/SER_hh_num!R5)</f>
        <v>226870.31446516651</v>
      </c>
      <c r="S5" s="132">
        <f>IF(SER_hh_fec!S5=0,0,11630*1000*SER_hh_fec!S5/SER_hh_num!S5)</f>
        <v>222410.94692571225</v>
      </c>
      <c r="T5" s="132">
        <f>IF(SER_hh_fec!T5=0,0,11630*1000*SER_hh_fec!T5/SER_hh_num!T5)</f>
        <v>224294.29350047925</v>
      </c>
      <c r="U5" s="132">
        <f>IF(SER_hh_fec!U5=0,0,11630*1000*SER_hh_fec!U5/SER_hh_num!U5)</f>
        <v>229570.20083143711</v>
      </c>
      <c r="V5" s="132">
        <f>IF(SER_hh_fec!V5=0,0,11630*1000*SER_hh_fec!V5/SER_hh_num!V5)</f>
        <v>206639.88869095361</v>
      </c>
      <c r="W5" s="132">
        <f>IF(SER_hh_fec!W5=0,0,11630*1000*SER_hh_fec!W5/SER_hh_num!W5)</f>
        <v>219003.72375904891</v>
      </c>
      <c r="X5" s="132">
        <f>IF(SER_hh_fec!X5=0,0,11630*1000*SER_hh_fec!X5/SER_hh_num!X5)</f>
        <v>212257.92920135945</v>
      </c>
      <c r="Y5" s="132">
        <f>IF(SER_hh_fec!Y5=0,0,11630*1000*SER_hh_fec!Y5/SER_hh_num!Y5)</f>
        <v>205970.69735425155</v>
      </c>
      <c r="DA5" s="156" t="s">
        <v>386</v>
      </c>
    </row>
    <row r="6" spans="1:105" ht="12" customHeight="1" x14ac:dyDescent="0.25">
      <c r="A6" s="131" t="s">
        <v>52</v>
      </c>
      <c r="B6" s="132">
        <f>IF(SER_hh_fec!B6=0,0,11630*1000*SER_hh_fec!B6/SER_hh_num!B6)</f>
        <v>0</v>
      </c>
      <c r="C6" s="132">
        <f>IF(SER_hh_fec!C6=0,0,11630*1000*SER_hh_fec!C6/SER_hh_num!C6)</f>
        <v>0</v>
      </c>
      <c r="D6" s="132">
        <f>IF(SER_hh_fec!D6=0,0,11630*1000*SER_hh_fec!D6/SER_hh_num!D6)</f>
        <v>0</v>
      </c>
      <c r="E6" s="132">
        <f>IF(SER_hh_fec!E6=0,0,11630*1000*SER_hh_fec!E6/SER_hh_num!E6)</f>
        <v>0</v>
      </c>
      <c r="F6" s="132">
        <f>IF(SER_hh_fec!F6=0,0,11630*1000*SER_hh_fec!F6/SER_hh_num!F6)</f>
        <v>0</v>
      </c>
      <c r="G6" s="132">
        <f>IF(SER_hh_fec!G6=0,0,11630*1000*SER_hh_fec!G6/SER_hh_num!G6)</f>
        <v>0</v>
      </c>
      <c r="H6" s="132">
        <f>IF(SER_hh_fec!H6=0,0,11630*1000*SER_hh_fec!H6/SER_hh_num!H6)</f>
        <v>0</v>
      </c>
      <c r="I6" s="132">
        <f>IF(SER_hh_fec!I6=0,0,11630*1000*SER_hh_fec!I6/SER_hh_num!I6)</f>
        <v>0</v>
      </c>
      <c r="J6" s="132">
        <f>IF(SER_hh_fec!J6=0,0,11630*1000*SER_hh_fec!J6/SER_hh_num!J6)</f>
        <v>0</v>
      </c>
      <c r="K6" s="132">
        <f>IF(SER_hh_fec!K6=0,0,11630*1000*SER_hh_fec!K6/SER_hh_num!K6)</f>
        <v>0</v>
      </c>
      <c r="L6" s="132">
        <f>IF(SER_hh_fec!L6=0,0,11630*1000*SER_hh_fec!L6/SER_hh_num!L6)</f>
        <v>0</v>
      </c>
      <c r="M6" s="132">
        <f>IF(SER_hh_fec!M6=0,0,11630*1000*SER_hh_fec!M6/SER_hh_num!M6)</f>
        <v>0</v>
      </c>
      <c r="N6" s="132">
        <f>IF(SER_hh_fec!N6=0,0,11630*1000*SER_hh_fec!N6/SER_hh_num!N6)</f>
        <v>0</v>
      </c>
      <c r="O6" s="132">
        <f>IF(SER_hh_fec!O6=0,0,11630*1000*SER_hh_fec!O6/SER_hh_num!O6)</f>
        <v>0</v>
      </c>
      <c r="P6" s="132">
        <f>IF(SER_hh_fec!P6=0,0,11630*1000*SER_hh_fec!P6/SER_hh_num!P6)</f>
        <v>0</v>
      </c>
      <c r="Q6" s="132">
        <f>IF(SER_hh_fec!Q6=0,0,11630*1000*SER_hh_fec!Q6/SER_hh_num!Q6)</f>
        <v>0</v>
      </c>
      <c r="R6" s="132">
        <f>IF(SER_hh_fec!R6=0,0,11630*1000*SER_hh_fec!R6/SER_hh_num!R6)</f>
        <v>0</v>
      </c>
      <c r="S6" s="132">
        <f>IF(SER_hh_fec!S6=0,0,11630*1000*SER_hh_fec!S6/SER_hh_num!S6)</f>
        <v>0</v>
      </c>
      <c r="T6" s="132">
        <f>IF(SER_hh_fec!T6=0,0,11630*1000*SER_hh_fec!T6/SER_hh_num!T6)</f>
        <v>0</v>
      </c>
      <c r="U6" s="132">
        <f>IF(SER_hh_fec!U6=0,0,11630*1000*SER_hh_fec!U6/SER_hh_num!U6)</f>
        <v>0</v>
      </c>
      <c r="V6" s="132">
        <f>IF(SER_hh_fec!V6=0,0,11630*1000*SER_hh_fec!V6/SER_hh_num!V6)</f>
        <v>0</v>
      </c>
      <c r="W6" s="132">
        <f>IF(SER_hh_fec!W6=0,0,11630*1000*SER_hh_fec!W6/SER_hh_num!W6)</f>
        <v>0</v>
      </c>
      <c r="X6" s="132">
        <f>IF(SER_hh_fec!X6=0,0,11630*1000*SER_hh_fec!X6/SER_hh_num!X6)</f>
        <v>0</v>
      </c>
      <c r="Y6" s="132">
        <f>IF(SER_hh_fec!Y6=0,0,11630*1000*SER_hh_fec!Y6/SER_hh_num!Y6)</f>
        <v>0</v>
      </c>
      <c r="DA6" s="156" t="s">
        <v>387</v>
      </c>
    </row>
    <row r="7" spans="1:105" ht="12" customHeight="1" x14ac:dyDescent="0.25">
      <c r="A7" s="131" t="s">
        <v>161</v>
      </c>
      <c r="B7" s="132">
        <f>IF(SER_hh_fec!B7=0,0,11630*1000*SER_hh_fec!B7/SER_hh_num!B7)</f>
        <v>251397.05941304658</v>
      </c>
      <c r="C7" s="132">
        <f>IF(SER_hh_fec!C7=0,0,11630*1000*SER_hh_fec!C7/SER_hh_num!C7)</f>
        <v>272841.08849921165</v>
      </c>
      <c r="D7" s="132">
        <f>IF(SER_hh_fec!D7=0,0,11630*1000*SER_hh_fec!D7/SER_hh_num!D7)</f>
        <v>276496.04331164621</v>
      </c>
      <c r="E7" s="132">
        <f>IF(SER_hh_fec!E7=0,0,11630*1000*SER_hh_fec!E7/SER_hh_num!E7)</f>
        <v>278313.87877812062</v>
      </c>
      <c r="F7" s="132">
        <f>IF(SER_hh_fec!F7=0,0,11630*1000*SER_hh_fec!F7/SER_hh_num!F7)</f>
        <v>273402.56359913835</v>
      </c>
      <c r="G7" s="132">
        <f>IF(SER_hh_fec!G7=0,0,11630*1000*SER_hh_fec!G7/SER_hh_num!G7)</f>
        <v>265388.30352737114</v>
      </c>
      <c r="H7" s="132">
        <f>IF(SER_hh_fec!H7=0,0,11630*1000*SER_hh_fec!H7/SER_hh_num!H7)</f>
        <v>275546.20125243207</v>
      </c>
      <c r="I7" s="132">
        <f>IF(SER_hh_fec!I7=0,0,11630*1000*SER_hh_fec!I7/SER_hh_num!I7)</f>
        <v>284658.3358890941</v>
      </c>
      <c r="J7" s="132">
        <f>IF(SER_hh_fec!J7=0,0,11630*1000*SER_hh_fec!J7/SER_hh_num!J7)</f>
        <v>249278.28750651091</v>
      </c>
      <c r="K7" s="132">
        <f>IF(SER_hh_fec!K7=0,0,11630*1000*SER_hh_fec!K7/SER_hh_num!K7)</f>
        <v>283619.83007867518</v>
      </c>
      <c r="L7" s="132">
        <f>IF(SER_hh_fec!L7=0,0,11630*1000*SER_hh_fec!L7/SER_hh_num!L7)</f>
        <v>326493.72632003081</v>
      </c>
      <c r="M7" s="132">
        <f>IF(SER_hh_fec!M7=0,0,11630*1000*SER_hh_fec!M7/SER_hh_num!M7)</f>
        <v>264656.33534136566</v>
      </c>
      <c r="N7" s="132">
        <f>IF(SER_hh_fec!N7=0,0,11630*1000*SER_hh_fec!N7/SER_hh_num!N7)</f>
        <v>285230.13373546459</v>
      </c>
      <c r="O7" s="132">
        <f>IF(SER_hh_fec!O7=0,0,11630*1000*SER_hh_fec!O7/SER_hh_num!O7)</f>
        <v>254908.70268925087</v>
      </c>
      <c r="P7" s="132">
        <f>IF(SER_hh_fec!P7=0,0,11630*1000*SER_hh_fec!P7/SER_hh_num!P7)</f>
        <v>256295.07093958245</v>
      </c>
      <c r="Q7" s="132">
        <f>IF(SER_hh_fec!Q7=0,0,11630*1000*SER_hh_fec!Q7/SER_hh_num!Q7)</f>
        <v>232037.53901578076</v>
      </c>
      <c r="R7" s="132">
        <f>IF(SER_hh_fec!R7=0,0,11630*1000*SER_hh_fec!R7/SER_hh_num!R7)</f>
        <v>251442.08314630267</v>
      </c>
      <c r="S7" s="132">
        <f>IF(SER_hh_fec!S7=0,0,11630*1000*SER_hh_fec!S7/SER_hh_num!S7)</f>
        <v>244692.81855548598</v>
      </c>
      <c r="T7" s="132">
        <f>IF(SER_hh_fec!T7=0,0,11630*1000*SER_hh_fec!T7/SER_hh_num!T7)</f>
        <v>241051.96475176612</v>
      </c>
      <c r="U7" s="132">
        <f>IF(SER_hh_fec!U7=0,0,11630*1000*SER_hh_fec!U7/SER_hh_num!U7)</f>
        <v>232649.73244488263</v>
      </c>
      <c r="V7" s="132">
        <f>IF(SER_hh_fec!V7=0,0,11630*1000*SER_hh_fec!V7/SER_hh_num!V7)</f>
        <v>206149.32769809733</v>
      </c>
      <c r="W7" s="132">
        <f>IF(SER_hh_fec!W7=0,0,11630*1000*SER_hh_fec!W7/SER_hh_num!W7)</f>
        <v>234559.39183136387</v>
      </c>
      <c r="X7" s="132">
        <f>IF(SER_hh_fec!X7=0,0,11630*1000*SER_hh_fec!X7/SER_hh_num!X7)</f>
        <v>215919.58906495062</v>
      </c>
      <c r="Y7" s="132">
        <f>IF(SER_hh_fec!Y7=0,0,11630*1000*SER_hh_fec!Y7/SER_hh_num!Y7)</f>
        <v>212909.25089863583</v>
      </c>
      <c r="DA7" s="156" t="s">
        <v>388</v>
      </c>
    </row>
    <row r="8" spans="1:105" ht="12" customHeight="1" x14ac:dyDescent="0.25">
      <c r="A8" s="131" t="s">
        <v>73</v>
      </c>
      <c r="B8" s="132">
        <f>IF(SER_hh_fec!B8=0,0,11630*1000*SER_hh_fec!B8/SER_hh_num!B8)</f>
        <v>0</v>
      </c>
      <c r="C8" s="132">
        <f>IF(SER_hh_fec!C8=0,0,11630*1000*SER_hh_fec!C8/SER_hh_num!C8)</f>
        <v>0</v>
      </c>
      <c r="D8" s="132">
        <f>IF(SER_hh_fec!D8=0,0,11630*1000*SER_hh_fec!D8/SER_hh_num!D8)</f>
        <v>0</v>
      </c>
      <c r="E8" s="132">
        <f>IF(SER_hh_fec!E8=0,0,11630*1000*SER_hh_fec!E8/SER_hh_num!E8)</f>
        <v>0</v>
      </c>
      <c r="F8" s="132">
        <f>IF(SER_hh_fec!F8=0,0,11630*1000*SER_hh_fec!F8/SER_hh_num!F8)</f>
        <v>0</v>
      </c>
      <c r="G8" s="132">
        <f>IF(SER_hh_fec!G8=0,0,11630*1000*SER_hh_fec!G8/SER_hh_num!G8)</f>
        <v>0</v>
      </c>
      <c r="H8" s="132">
        <f>IF(SER_hh_fec!H8=0,0,11630*1000*SER_hh_fec!H8/SER_hh_num!H8)</f>
        <v>0</v>
      </c>
      <c r="I8" s="132">
        <f>IF(SER_hh_fec!I8=0,0,11630*1000*SER_hh_fec!I8/SER_hh_num!I8)</f>
        <v>0</v>
      </c>
      <c r="J8" s="132">
        <f>IF(SER_hh_fec!J8=0,0,11630*1000*SER_hh_fec!J8/SER_hh_num!J8)</f>
        <v>0</v>
      </c>
      <c r="K8" s="132">
        <f>IF(SER_hh_fec!K8=0,0,11630*1000*SER_hh_fec!K8/SER_hh_num!K8)</f>
        <v>0</v>
      </c>
      <c r="L8" s="132">
        <f>IF(SER_hh_fec!L8=0,0,11630*1000*SER_hh_fec!L8/SER_hh_num!L8)</f>
        <v>0</v>
      </c>
      <c r="M8" s="132">
        <f>IF(SER_hh_fec!M8=0,0,11630*1000*SER_hh_fec!M8/SER_hh_num!M8)</f>
        <v>0</v>
      </c>
      <c r="N8" s="132">
        <f>IF(SER_hh_fec!N8=0,0,11630*1000*SER_hh_fec!N8/SER_hh_num!N8)</f>
        <v>0</v>
      </c>
      <c r="O8" s="132">
        <f>IF(SER_hh_fec!O8=0,0,11630*1000*SER_hh_fec!O8/SER_hh_num!O8)</f>
        <v>0</v>
      </c>
      <c r="P8" s="132">
        <f>IF(SER_hh_fec!P8=0,0,11630*1000*SER_hh_fec!P8/SER_hh_num!P8)</f>
        <v>0</v>
      </c>
      <c r="Q8" s="132">
        <f>IF(SER_hh_fec!Q8=0,0,11630*1000*SER_hh_fec!Q8/SER_hh_num!Q8)</f>
        <v>0</v>
      </c>
      <c r="R8" s="132">
        <f>IF(SER_hh_fec!R8=0,0,11630*1000*SER_hh_fec!R8/SER_hh_num!R8)</f>
        <v>0</v>
      </c>
      <c r="S8" s="132">
        <f>IF(SER_hh_fec!S8=0,0,11630*1000*SER_hh_fec!S8/SER_hh_num!S8)</f>
        <v>0</v>
      </c>
      <c r="T8" s="132">
        <f>IF(SER_hh_fec!T8=0,0,11630*1000*SER_hh_fec!T8/SER_hh_num!T8)</f>
        <v>0</v>
      </c>
      <c r="U8" s="132">
        <f>IF(SER_hh_fec!U8=0,0,11630*1000*SER_hh_fec!U8/SER_hh_num!U8)</f>
        <v>0</v>
      </c>
      <c r="V8" s="132">
        <f>IF(SER_hh_fec!V8=0,0,11630*1000*SER_hh_fec!V8/SER_hh_num!V8)</f>
        <v>0</v>
      </c>
      <c r="W8" s="132">
        <f>IF(SER_hh_fec!W8=0,0,11630*1000*SER_hh_fec!W8/SER_hh_num!W8)</f>
        <v>0</v>
      </c>
      <c r="X8" s="132">
        <f>IF(SER_hh_fec!X8=0,0,11630*1000*SER_hh_fec!X8/SER_hh_num!X8)</f>
        <v>0</v>
      </c>
      <c r="Y8" s="132">
        <f>IF(SER_hh_fec!Y8=0,0,11630*1000*SER_hh_fec!Y8/SER_hh_num!Y8)</f>
        <v>0</v>
      </c>
      <c r="DA8" s="156" t="s">
        <v>389</v>
      </c>
    </row>
    <row r="9" spans="1:105" ht="12" customHeight="1" x14ac:dyDescent="0.25">
      <c r="A9" s="131" t="s">
        <v>78</v>
      </c>
      <c r="B9" s="132">
        <f>IF(SER_hh_fec!B9=0,0,11630*1000*SER_hh_fec!B9/SER_hh_num!B9)</f>
        <v>257152.30222202762</v>
      </c>
      <c r="C9" s="132">
        <f>IF(SER_hh_fec!C9=0,0,11630*1000*SER_hh_fec!C9/SER_hh_num!C9)</f>
        <v>233875.27817148459</v>
      </c>
      <c r="D9" s="132">
        <f>IF(SER_hh_fec!D9=0,0,11630*1000*SER_hh_fec!D9/SER_hh_num!D9)</f>
        <v>257240.1630691122</v>
      </c>
      <c r="E9" s="132">
        <f>IF(SER_hh_fec!E9=0,0,11630*1000*SER_hh_fec!E9/SER_hh_num!E9)</f>
        <v>248502.94178773335</v>
      </c>
      <c r="F9" s="132">
        <f>IF(SER_hh_fec!F9=0,0,11630*1000*SER_hh_fec!F9/SER_hh_num!F9)</f>
        <v>256886.74197469556</v>
      </c>
      <c r="G9" s="132">
        <f>IF(SER_hh_fec!G9=0,0,11630*1000*SER_hh_fec!G9/SER_hh_num!G9)</f>
        <v>249984.17362300729</v>
      </c>
      <c r="H9" s="132">
        <f>IF(SER_hh_fec!H9=0,0,11630*1000*SER_hh_fec!H9/SER_hh_num!H9)</f>
        <v>242651.32246249536</v>
      </c>
      <c r="I9" s="132">
        <f>IF(SER_hh_fec!I9=0,0,11630*1000*SER_hh_fec!I9/SER_hh_num!I9)</f>
        <v>249130.88830846269</v>
      </c>
      <c r="J9" s="132">
        <f>IF(SER_hh_fec!J9=0,0,11630*1000*SER_hh_fec!J9/SER_hh_num!J9)</f>
        <v>253610.11621959612</v>
      </c>
      <c r="K9" s="132">
        <f>IF(SER_hh_fec!K9=0,0,11630*1000*SER_hh_fec!K9/SER_hh_num!K9)</f>
        <v>250987.51926892152</v>
      </c>
      <c r="L9" s="132">
        <f>IF(SER_hh_fec!L9=0,0,11630*1000*SER_hh_fec!L9/SER_hh_num!L9)</f>
        <v>270369.23095190467</v>
      </c>
      <c r="M9" s="132">
        <f>IF(SER_hh_fec!M9=0,0,11630*1000*SER_hh_fec!M9/SER_hh_num!M9)</f>
        <v>357048.36751007999</v>
      </c>
      <c r="N9" s="132">
        <f>IF(SER_hh_fec!N9=0,0,11630*1000*SER_hh_fec!N9/SER_hh_num!N9)</f>
        <v>384903.87807135133</v>
      </c>
      <c r="O9" s="132">
        <f>IF(SER_hh_fec!O9=0,0,11630*1000*SER_hh_fec!O9/SER_hh_num!O9)</f>
        <v>304581.1610181451</v>
      </c>
      <c r="P9" s="132">
        <f>IF(SER_hh_fec!P9=0,0,11630*1000*SER_hh_fec!P9/SER_hh_num!P9)</f>
        <v>253025.26019471945</v>
      </c>
      <c r="Q9" s="132">
        <f>IF(SER_hh_fec!Q9=0,0,11630*1000*SER_hh_fec!Q9/SER_hh_num!Q9)</f>
        <v>216213.51013762577</v>
      </c>
      <c r="R9" s="132">
        <f>IF(SER_hh_fec!R9=0,0,11630*1000*SER_hh_fec!R9/SER_hh_num!R9)</f>
        <v>205612.16910280139</v>
      </c>
      <c r="S9" s="132">
        <f>IF(SER_hh_fec!S9=0,0,11630*1000*SER_hh_fec!S9/SER_hh_num!S9)</f>
        <v>245948.42149299849</v>
      </c>
      <c r="T9" s="132">
        <f>IF(SER_hh_fec!T9=0,0,11630*1000*SER_hh_fec!T9/SER_hh_num!T9)</f>
        <v>225525.89124909544</v>
      </c>
      <c r="U9" s="132">
        <f>IF(SER_hh_fec!U9=0,0,11630*1000*SER_hh_fec!U9/SER_hh_num!U9)</f>
        <v>213985.63699505135</v>
      </c>
      <c r="V9" s="132">
        <f>IF(SER_hh_fec!V9=0,0,11630*1000*SER_hh_fec!V9/SER_hh_num!V9)</f>
        <v>191066.30083141619</v>
      </c>
      <c r="W9" s="132">
        <f>IF(SER_hh_fec!W9=0,0,11630*1000*SER_hh_fec!W9/SER_hh_num!W9)</f>
        <v>238533.99783625794</v>
      </c>
      <c r="X9" s="132">
        <f>IF(SER_hh_fec!X9=0,0,11630*1000*SER_hh_fec!X9/SER_hh_num!X9)</f>
        <v>213923.88300915417</v>
      </c>
      <c r="Y9" s="132">
        <f>IF(SER_hh_fec!Y9=0,0,11630*1000*SER_hh_fec!Y9/SER_hh_num!Y9)</f>
        <v>185231.92697738309</v>
      </c>
      <c r="DA9" s="156" t="s">
        <v>390</v>
      </c>
    </row>
    <row r="10" spans="1:105" ht="12" customHeight="1" x14ac:dyDescent="0.25">
      <c r="A10" s="131" t="s">
        <v>128</v>
      </c>
      <c r="B10" s="132">
        <f>IF(SER_hh_fec!B10=0,0,11630*1000*SER_hh_fec!B10/SER_hh_num!B10)</f>
        <v>249725.42321737311</v>
      </c>
      <c r="C10" s="132">
        <f>IF(SER_hh_fec!C10=0,0,11630*1000*SER_hh_fec!C10/SER_hh_num!C10)</f>
        <v>278035.32132157328</v>
      </c>
      <c r="D10" s="132">
        <f>IF(SER_hh_fec!D10=0,0,11630*1000*SER_hh_fec!D10/SER_hh_num!D10)</f>
        <v>279660.8738043058</v>
      </c>
      <c r="E10" s="132">
        <f>IF(SER_hh_fec!E10=0,0,11630*1000*SER_hh_fec!E10/SER_hh_num!E10)</f>
        <v>275662.10874585895</v>
      </c>
      <c r="F10" s="132">
        <f>IF(SER_hh_fec!F10=0,0,11630*1000*SER_hh_fec!F10/SER_hh_num!F10)</f>
        <v>265299.28114450321</v>
      </c>
      <c r="G10" s="132">
        <f>IF(SER_hh_fec!G10=0,0,11630*1000*SER_hh_fec!G10/SER_hh_num!G10)</f>
        <v>258401.40632173087</v>
      </c>
      <c r="H10" s="132">
        <f>IF(SER_hh_fec!H10=0,0,11630*1000*SER_hh_fec!H10/SER_hh_num!H10)</f>
        <v>260482.43392954965</v>
      </c>
      <c r="I10" s="132">
        <f>IF(SER_hh_fec!I10=0,0,11630*1000*SER_hh_fec!I10/SER_hh_num!I10)</f>
        <v>256153.76475331857</v>
      </c>
      <c r="J10" s="132">
        <f>IF(SER_hh_fec!J10=0,0,11630*1000*SER_hh_fec!J10/SER_hh_num!J10)</f>
        <v>268075.24163058959</v>
      </c>
      <c r="K10" s="132">
        <f>IF(SER_hh_fec!K10=0,0,11630*1000*SER_hh_fec!K10/SER_hh_num!K10)</f>
        <v>284155.93010425643</v>
      </c>
      <c r="L10" s="132">
        <f>IF(SER_hh_fec!L10=0,0,11630*1000*SER_hh_fec!L10/SER_hh_num!L10)</f>
        <v>308941.82626246806</v>
      </c>
      <c r="M10" s="132">
        <f>IF(SER_hh_fec!M10=0,0,11630*1000*SER_hh_fec!M10/SER_hh_num!M10)</f>
        <v>261520.69403735915</v>
      </c>
      <c r="N10" s="132">
        <f>IF(SER_hh_fec!N10=0,0,11630*1000*SER_hh_fec!N10/SER_hh_num!N10)</f>
        <v>286671.45797124715</v>
      </c>
      <c r="O10" s="132">
        <f>IF(SER_hh_fec!O10=0,0,11630*1000*SER_hh_fec!O10/SER_hh_num!O10)</f>
        <v>262896.24904641078</v>
      </c>
      <c r="P10" s="132">
        <f>IF(SER_hh_fec!P10=0,0,11630*1000*SER_hh_fec!P10/SER_hh_num!P10)</f>
        <v>271076.88545622764</v>
      </c>
      <c r="Q10" s="132">
        <f>IF(SER_hh_fec!Q10=0,0,11630*1000*SER_hh_fec!Q10/SER_hh_num!Q10)</f>
        <v>245932.87062976652</v>
      </c>
      <c r="R10" s="132">
        <f>IF(SER_hh_fec!R10=0,0,11630*1000*SER_hh_fec!R10/SER_hh_num!R10)</f>
        <v>270951.50319152791</v>
      </c>
      <c r="S10" s="132">
        <f>IF(SER_hh_fec!S10=0,0,11630*1000*SER_hh_fec!S10/SER_hh_num!S10)</f>
        <v>269815.0447958333</v>
      </c>
      <c r="T10" s="132">
        <f>IF(SER_hh_fec!T10=0,0,11630*1000*SER_hh_fec!T10/SER_hh_num!T10)</f>
        <v>275556.30350972392</v>
      </c>
      <c r="U10" s="132">
        <f>IF(SER_hh_fec!U10=0,0,11630*1000*SER_hh_fec!U10/SER_hh_num!U10)</f>
        <v>267389.70704346377</v>
      </c>
      <c r="V10" s="132">
        <f>IF(SER_hh_fec!V10=0,0,11630*1000*SER_hh_fec!V10/SER_hh_num!V10)</f>
        <v>238739.62403503942</v>
      </c>
      <c r="W10" s="132">
        <f>IF(SER_hh_fec!W10=0,0,11630*1000*SER_hh_fec!W10/SER_hh_num!W10)</f>
        <v>277649.14101744263</v>
      </c>
      <c r="X10" s="132">
        <f>IF(SER_hh_fec!X10=0,0,11630*1000*SER_hh_fec!X10/SER_hh_num!X10)</f>
        <v>285946.15181122295</v>
      </c>
      <c r="Y10" s="132">
        <f>IF(SER_hh_fec!Y10=0,0,11630*1000*SER_hh_fec!Y10/SER_hh_num!Y10)</f>
        <v>254059.18018311547</v>
      </c>
      <c r="DA10" s="156" t="s">
        <v>391</v>
      </c>
    </row>
    <row r="11" spans="1:105" ht="12" customHeight="1" x14ac:dyDescent="0.25">
      <c r="A11" s="131" t="s">
        <v>25</v>
      </c>
      <c r="B11" s="132">
        <f>IF(SER_hh_fec!B11=0,0,11630*1000*SER_hh_fec!B11/SER_hh_num!B11)</f>
        <v>0</v>
      </c>
      <c r="C11" s="132">
        <f>IF(SER_hh_fec!C11=0,0,11630*1000*SER_hh_fec!C11/SER_hh_num!C11)</f>
        <v>0</v>
      </c>
      <c r="D11" s="132">
        <f>IF(SER_hh_fec!D11=0,0,11630*1000*SER_hh_fec!D11/SER_hh_num!D11)</f>
        <v>0</v>
      </c>
      <c r="E11" s="132">
        <f>IF(SER_hh_fec!E11=0,0,11630*1000*SER_hh_fec!E11/SER_hh_num!E11)</f>
        <v>0</v>
      </c>
      <c r="F11" s="132">
        <f>IF(SER_hh_fec!F11=0,0,11630*1000*SER_hh_fec!F11/SER_hh_num!F11)</f>
        <v>0</v>
      </c>
      <c r="G11" s="132">
        <f>IF(SER_hh_fec!G11=0,0,11630*1000*SER_hh_fec!G11/SER_hh_num!G11)</f>
        <v>0</v>
      </c>
      <c r="H11" s="132">
        <f>IF(SER_hh_fec!H11=0,0,11630*1000*SER_hh_fec!H11/SER_hh_num!H11)</f>
        <v>0</v>
      </c>
      <c r="I11" s="132">
        <f>IF(SER_hh_fec!I11=0,0,11630*1000*SER_hh_fec!I11/SER_hh_num!I11)</f>
        <v>0</v>
      </c>
      <c r="J11" s="132">
        <f>IF(SER_hh_fec!J11=0,0,11630*1000*SER_hh_fec!J11/SER_hh_num!J11)</f>
        <v>0</v>
      </c>
      <c r="K11" s="132">
        <f>IF(SER_hh_fec!K11=0,0,11630*1000*SER_hh_fec!K11/SER_hh_num!K11)</f>
        <v>0</v>
      </c>
      <c r="L11" s="132">
        <f>IF(SER_hh_fec!L11=0,0,11630*1000*SER_hh_fec!L11/SER_hh_num!L11)</f>
        <v>0</v>
      </c>
      <c r="M11" s="132">
        <f>IF(SER_hh_fec!M11=0,0,11630*1000*SER_hh_fec!M11/SER_hh_num!M11)</f>
        <v>0</v>
      </c>
      <c r="N11" s="132">
        <f>IF(SER_hh_fec!N11=0,0,11630*1000*SER_hh_fec!N11/SER_hh_num!N11)</f>
        <v>0</v>
      </c>
      <c r="O11" s="132">
        <f>IF(SER_hh_fec!O11=0,0,11630*1000*SER_hh_fec!O11/SER_hh_num!O11)</f>
        <v>0</v>
      </c>
      <c r="P11" s="132">
        <f>IF(SER_hh_fec!P11=0,0,11630*1000*SER_hh_fec!P11/SER_hh_num!P11)</f>
        <v>0</v>
      </c>
      <c r="Q11" s="132">
        <f>IF(SER_hh_fec!Q11=0,0,11630*1000*SER_hh_fec!Q11/SER_hh_num!Q11)</f>
        <v>0</v>
      </c>
      <c r="R11" s="132">
        <f>IF(SER_hh_fec!R11=0,0,11630*1000*SER_hh_fec!R11/SER_hh_num!R11)</f>
        <v>0</v>
      </c>
      <c r="S11" s="132">
        <f>IF(SER_hh_fec!S11=0,0,11630*1000*SER_hh_fec!S11/SER_hh_num!S11)</f>
        <v>0</v>
      </c>
      <c r="T11" s="132">
        <f>IF(SER_hh_fec!T11=0,0,11630*1000*SER_hh_fec!T11/SER_hh_num!T11)</f>
        <v>0</v>
      </c>
      <c r="U11" s="132">
        <f>IF(SER_hh_fec!U11=0,0,11630*1000*SER_hh_fec!U11/SER_hh_num!U11)</f>
        <v>0</v>
      </c>
      <c r="V11" s="132">
        <f>IF(SER_hh_fec!V11=0,0,11630*1000*SER_hh_fec!V11/SER_hh_num!V11)</f>
        <v>0</v>
      </c>
      <c r="W11" s="132">
        <f>IF(SER_hh_fec!W11=0,0,11630*1000*SER_hh_fec!W11/SER_hh_num!W11)</f>
        <v>0</v>
      </c>
      <c r="X11" s="132">
        <f>IF(SER_hh_fec!X11=0,0,11630*1000*SER_hh_fec!X11/SER_hh_num!X11)</f>
        <v>0</v>
      </c>
      <c r="Y11" s="132">
        <f>IF(SER_hh_fec!Y11=0,0,11630*1000*SER_hh_fec!Y11/SER_hh_num!Y11)</f>
        <v>0</v>
      </c>
      <c r="DA11" s="156" t="s">
        <v>392</v>
      </c>
    </row>
    <row r="12" spans="1:105" ht="12" customHeight="1" x14ac:dyDescent="0.25">
      <c r="A12" s="131" t="s">
        <v>162</v>
      </c>
      <c r="B12" s="132">
        <f>IF(SER_hh_fec!B12=0,0,11630*1000*SER_hh_fec!B12/SER_hh_num!B12)</f>
        <v>144782.30754409067</v>
      </c>
      <c r="C12" s="132">
        <f>IF(SER_hh_fec!C12=0,0,11630*1000*SER_hh_fec!C12/SER_hh_num!C12)</f>
        <v>163753.95008842373</v>
      </c>
      <c r="D12" s="132">
        <f>IF(SER_hh_fec!D12=0,0,11630*1000*SER_hh_fec!D12/SER_hh_num!D12)</f>
        <v>167307.59947458692</v>
      </c>
      <c r="E12" s="132">
        <f>IF(SER_hh_fec!E12=0,0,11630*1000*SER_hh_fec!E12/SER_hh_num!E12)</f>
        <v>169119.44085454752</v>
      </c>
      <c r="F12" s="132">
        <f>IF(SER_hh_fec!F12=0,0,11630*1000*SER_hh_fec!F12/SER_hh_num!F12)</f>
        <v>162986.0154634199</v>
      </c>
      <c r="G12" s="132">
        <f>IF(SER_hh_fec!G12=0,0,11630*1000*SER_hh_fec!G12/SER_hh_num!G12)</f>
        <v>157711.19346118113</v>
      </c>
      <c r="H12" s="132">
        <f>IF(SER_hh_fec!H12=0,0,11630*1000*SER_hh_fec!H12/SER_hh_num!H12)</f>
        <v>157856.77335321627</v>
      </c>
      <c r="I12" s="132">
        <f>IF(SER_hh_fec!I12=0,0,11630*1000*SER_hh_fec!I12/SER_hh_num!I12)</f>
        <v>172715.88152182853</v>
      </c>
      <c r="J12" s="132">
        <f>IF(SER_hh_fec!J12=0,0,11630*1000*SER_hh_fec!J12/SER_hh_num!J12)</f>
        <v>166591.10442747935</v>
      </c>
      <c r="K12" s="132">
        <f>IF(SER_hh_fec!K12=0,0,11630*1000*SER_hh_fec!K12/SER_hh_num!K12)</f>
        <v>191714.71156192772</v>
      </c>
      <c r="L12" s="132">
        <f>IF(SER_hh_fec!L12=0,0,11630*1000*SER_hh_fec!L12/SER_hh_num!L12)</f>
        <v>204627.6908744995</v>
      </c>
      <c r="M12" s="132">
        <f>IF(SER_hh_fec!M12=0,0,11630*1000*SER_hh_fec!M12/SER_hh_num!M12)</f>
        <v>168742.46906376944</v>
      </c>
      <c r="N12" s="132">
        <f>IF(SER_hh_fec!N12=0,0,11630*1000*SER_hh_fec!N12/SER_hh_num!N12)</f>
        <v>186614.48337569844</v>
      </c>
      <c r="O12" s="132">
        <f>IF(SER_hh_fec!O12=0,0,11630*1000*SER_hh_fec!O12/SER_hh_num!O12)</f>
        <v>175161.06003680322</v>
      </c>
      <c r="P12" s="132">
        <f>IF(SER_hh_fec!P12=0,0,11630*1000*SER_hh_fec!P12/SER_hh_num!P12)</f>
        <v>188283.46214219756</v>
      </c>
      <c r="Q12" s="132">
        <f>IF(SER_hh_fec!Q12=0,0,11630*1000*SER_hh_fec!Q12/SER_hh_num!Q12)</f>
        <v>165858.77071949234</v>
      </c>
      <c r="R12" s="132">
        <f>IF(SER_hh_fec!R12=0,0,11630*1000*SER_hh_fec!R12/SER_hh_num!R12)</f>
        <v>182344.54365640983</v>
      </c>
      <c r="S12" s="132">
        <f>IF(SER_hh_fec!S12=0,0,11630*1000*SER_hh_fec!S12/SER_hh_num!S12)</f>
        <v>179911.9847756066</v>
      </c>
      <c r="T12" s="132">
        <f>IF(SER_hh_fec!T12=0,0,11630*1000*SER_hh_fec!T12/SER_hh_num!T12)</f>
        <v>183374.73343661032</v>
      </c>
      <c r="U12" s="132">
        <f>IF(SER_hh_fec!U12=0,0,11630*1000*SER_hh_fec!U12/SER_hh_num!U12)</f>
        <v>176459.16912098517</v>
      </c>
      <c r="V12" s="132">
        <f>IF(SER_hh_fec!V12=0,0,11630*1000*SER_hh_fec!V12/SER_hh_num!V12)</f>
        <v>159594.98844176147</v>
      </c>
      <c r="W12" s="132">
        <f>IF(SER_hh_fec!W12=0,0,11630*1000*SER_hh_fec!W12/SER_hh_num!W12)</f>
        <v>186529.47683925298</v>
      </c>
      <c r="X12" s="132">
        <f>IF(SER_hh_fec!X12=0,0,11630*1000*SER_hh_fec!X12/SER_hh_num!X12)</f>
        <v>170811.94248466063</v>
      </c>
      <c r="Y12" s="132">
        <f>IF(SER_hh_fec!Y12=0,0,11630*1000*SER_hh_fec!Y12/SER_hh_num!Y12)</f>
        <v>170996.93247078918</v>
      </c>
      <c r="DA12" s="156" t="s">
        <v>393</v>
      </c>
    </row>
    <row r="13" spans="1:105" ht="12" customHeight="1" x14ac:dyDescent="0.25">
      <c r="A13" s="131" t="s">
        <v>77</v>
      </c>
      <c r="B13" s="132">
        <f>IF(SER_hh_fec!B13=0,0,11630*1000*SER_hh_fec!B13/SER_hh_num!B13)</f>
        <v>74975.551498448433</v>
      </c>
      <c r="C13" s="132">
        <f>IF(SER_hh_fec!C13=0,0,11630*1000*SER_hh_fec!C13/SER_hh_num!C13)</f>
        <v>81121.713422169138</v>
      </c>
      <c r="D13" s="132">
        <f>IF(SER_hh_fec!D13=0,0,11630*1000*SER_hh_fec!D13/SER_hh_num!D13)</f>
        <v>80993.952747597781</v>
      </c>
      <c r="E13" s="132">
        <f>IF(SER_hh_fec!E13=0,0,11630*1000*SER_hh_fec!E13/SER_hh_num!E13)</f>
        <v>79267.900066366681</v>
      </c>
      <c r="F13" s="132">
        <f>IF(SER_hh_fec!F13=0,0,11630*1000*SER_hh_fec!F13/SER_hh_num!F13)</f>
        <v>76759.231224988645</v>
      </c>
      <c r="G13" s="132">
        <f>IF(SER_hh_fec!G13=0,0,11630*1000*SER_hh_fec!G13/SER_hh_num!G13)</f>
        <v>74241.216269943834</v>
      </c>
      <c r="H13" s="132">
        <f>IF(SER_hh_fec!H13=0,0,11630*1000*SER_hh_fec!H13/SER_hh_num!H13)</f>
        <v>72868.912203763699</v>
      </c>
      <c r="I13" s="132">
        <f>IF(SER_hh_fec!I13=0,0,11630*1000*SER_hh_fec!I13/SER_hh_num!I13)</f>
        <v>73116.738428288692</v>
      </c>
      <c r="J13" s="132">
        <f>IF(SER_hh_fec!J13=0,0,11630*1000*SER_hh_fec!J13/SER_hh_num!J13)</f>
        <v>73671.429235832169</v>
      </c>
      <c r="K13" s="132">
        <f>IF(SER_hh_fec!K13=0,0,11630*1000*SER_hh_fec!K13/SER_hh_num!K13)</f>
        <v>74432.675079856635</v>
      </c>
      <c r="L13" s="132">
        <f>IF(SER_hh_fec!L13=0,0,11630*1000*SER_hh_fec!L13/SER_hh_num!L13)</f>
        <v>73132.639834575893</v>
      </c>
      <c r="M13" s="132">
        <f>IF(SER_hh_fec!M13=0,0,11630*1000*SER_hh_fec!M13/SER_hh_num!M13)</f>
        <v>68280.554054934415</v>
      </c>
      <c r="N13" s="132">
        <f>IF(SER_hh_fec!N13=0,0,11630*1000*SER_hh_fec!N13/SER_hh_num!N13)</f>
        <v>65793.270127943571</v>
      </c>
      <c r="O13" s="132">
        <f>IF(SER_hh_fec!O13=0,0,11630*1000*SER_hh_fec!O13/SER_hh_num!O13)</f>
        <v>60916.196736699647</v>
      </c>
      <c r="P13" s="132">
        <f>IF(SER_hh_fec!P13=0,0,11630*1000*SER_hh_fec!P13/SER_hh_num!P13)</f>
        <v>58374.308072111278</v>
      </c>
      <c r="Q13" s="132">
        <f>IF(SER_hh_fec!Q13=0,0,11630*1000*SER_hh_fec!Q13/SER_hh_num!Q13)</f>
        <v>57779.693608869573</v>
      </c>
      <c r="R13" s="132">
        <f>IF(SER_hh_fec!R13=0,0,11630*1000*SER_hh_fec!R13/SER_hh_num!R13)</f>
        <v>54777.595680564293</v>
      </c>
      <c r="S13" s="132">
        <f>IF(SER_hh_fec!S13=0,0,11630*1000*SER_hh_fec!S13/SER_hh_num!S13)</f>
        <v>52844.970342364548</v>
      </c>
      <c r="T13" s="132">
        <f>IF(SER_hh_fec!T13=0,0,11630*1000*SER_hh_fec!T13/SER_hh_num!T13)</f>
        <v>52538.554268018546</v>
      </c>
      <c r="U13" s="132">
        <f>IF(SER_hh_fec!U13=0,0,11630*1000*SER_hh_fec!U13/SER_hh_num!U13)</f>
        <v>48990.812396353766</v>
      </c>
      <c r="V13" s="132">
        <f>IF(SER_hh_fec!V13=0,0,11630*1000*SER_hh_fec!V13/SER_hh_num!V13)</f>
        <v>43081.462028516711</v>
      </c>
      <c r="W13" s="132">
        <f>IF(SER_hh_fec!W13=0,0,11630*1000*SER_hh_fec!W13/SER_hh_num!W13)</f>
        <v>48196.588989896656</v>
      </c>
      <c r="X13" s="132">
        <f>IF(SER_hh_fec!X13=0,0,11630*1000*SER_hh_fec!X13/SER_hh_num!X13)</f>
        <v>44437.163725316816</v>
      </c>
      <c r="Y13" s="132">
        <f>IF(SER_hh_fec!Y13=0,0,11630*1000*SER_hh_fec!Y13/SER_hh_num!Y13)</f>
        <v>46344.745629291523</v>
      </c>
      <c r="DA13" s="156" t="s">
        <v>394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164173.54487849594</v>
      </c>
      <c r="C14" s="65">
        <f>IF(SER_hh_fec!C14=0,0,11630*1000*SER_hh_fec!C14/SER_hh_num!C14)</f>
        <v>184173.45176972289</v>
      </c>
      <c r="D14" s="65">
        <f>IF(SER_hh_fec!D14=0,0,11630*1000*SER_hh_fec!D14/SER_hh_num!D14)</f>
        <v>191703.1438807068</v>
      </c>
      <c r="E14" s="65">
        <f>IF(SER_hh_fec!E14=0,0,11630*1000*SER_hh_fec!E14/SER_hh_num!E14)</f>
        <v>182427.30044868778</v>
      </c>
      <c r="F14" s="65">
        <f>IF(SER_hh_fec!F14=0,0,11630*1000*SER_hh_fec!F14/SER_hh_num!F14)</f>
        <v>183861.66311086481</v>
      </c>
      <c r="G14" s="65">
        <f>IF(SER_hh_fec!G14=0,0,11630*1000*SER_hh_fec!G14/SER_hh_num!G14)</f>
        <v>181056.84495791464</v>
      </c>
      <c r="H14" s="65">
        <f>IF(SER_hh_fec!H14=0,0,11630*1000*SER_hh_fec!H14/SER_hh_num!H14)</f>
        <v>183063.85148825921</v>
      </c>
      <c r="I14" s="65">
        <f>IF(SER_hh_fec!I14=0,0,11630*1000*SER_hh_fec!I14/SER_hh_num!I14)</f>
        <v>185783.9885611051</v>
      </c>
      <c r="J14" s="65">
        <f>IF(SER_hh_fec!J14=0,0,11630*1000*SER_hh_fec!J14/SER_hh_num!J14)</f>
        <v>189908.87935368746</v>
      </c>
      <c r="K14" s="65">
        <f>IF(SER_hh_fec!K14=0,0,11630*1000*SER_hh_fec!K14/SER_hh_num!K14)</f>
        <v>205674.84403815769</v>
      </c>
      <c r="L14" s="65">
        <f>IF(SER_hh_fec!L14=0,0,11630*1000*SER_hh_fec!L14/SER_hh_num!L14)</f>
        <v>217436.99870496432</v>
      </c>
      <c r="M14" s="65">
        <f>IF(SER_hh_fec!M14=0,0,11630*1000*SER_hh_fec!M14/SER_hh_num!M14)</f>
        <v>194060.99375660086</v>
      </c>
      <c r="N14" s="65">
        <f>IF(SER_hh_fec!N14=0,0,11630*1000*SER_hh_fec!N14/SER_hh_num!N14)</f>
        <v>208622.48251812664</v>
      </c>
      <c r="O14" s="65">
        <f>IF(SER_hh_fec!O14=0,0,11630*1000*SER_hh_fec!O14/SER_hh_num!O14)</f>
        <v>195711.02906582883</v>
      </c>
      <c r="P14" s="65">
        <f>IF(SER_hh_fec!P14=0,0,11630*1000*SER_hh_fec!P14/SER_hh_num!P14)</f>
        <v>193522.35242592136</v>
      </c>
      <c r="Q14" s="65">
        <f>IF(SER_hh_fec!Q14=0,0,11630*1000*SER_hh_fec!Q14/SER_hh_num!Q14)</f>
        <v>188290.4890000289</v>
      </c>
      <c r="R14" s="65">
        <f>IF(SER_hh_fec!R14=0,0,11630*1000*SER_hh_fec!R14/SER_hh_num!R14)</f>
        <v>194989.54654363435</v>
      </c>
      <c r="S14" s="65">
        <f>IF(SER_hh_fec!S14=0,0,11630*1000*SER_hh_fec!S14/SER_hh_num!S14)</f>
        <v>185791.40884608755</v>
      </c>
      <c r="T14" s="65">
        <f>IF(SER_hh_fec!T14=0,0,11630*1000*SER_hh_fec!T14/SER_hh_num!T14)</f>
        <v>204843.89426045478</v>
      </c>
      <c r="U14" s="65">
        <f>IF(SER_hh_fec!U14=0,0,11630*1000*SER_hh_fec!U14/SER_hh_num!U14)</f>
        <v>190509.48790786558</v>
      </c>
      <c r="V14" s="65">
        <f>IF(SER_hh_fec!V14=0,0,11630*1000*SER_hh_fec!V14/SER_hh_num!V14)</f>
        <v>172844.46897181726</v>
      </c>
      <c r="W14" s="65">
        <f>IF(SER_hh_fec!W14=0,0,11630*1000*SER_hh_fec!W14/SER_hh_num!W14)</f>
        <v>187204.27615912305</v>
      </c>
      <c r="X14" s="65">
        <f>IF(SER_hh_fec!X14=0,0,11630*1000*SER_hh_fec!X14/SER_hh_num!X14)</f>
        <v>190647.86304446141</v>
      </c>
      <c r="Y14" s="65">
        <f>IF(SER_hh_fec!Y14=0,0,11630*1000*SER_hh_fec!Y14/SER_hh_num!Y14)</f>
        <v>167880.78350599547</v>
      </c>
      <c r="DA14" s="109" t="s">
        <v>395</v>
      </c>
    </row>
    <row r="15" spans="1:105" ht="12" customHeight="1" x14ac:dyDescent="0.25">
      <c r="A15" s="133" t="s">
        <v>80</v>
      </c>
      <c r="B15" s="134">
        <f>IF(SER_hh_fec!B15=0,0,11630*1000*SER_hh_fec!B15/SER_hh_num!B15)</f>
        <v>962.11974002757438</v>
      </c>
      <c r="C15" s="134">
        <f>IF(SER_hh_fec!C15=0,0,11630*1000*SER_hh_fec!C15/SER_hh_num!C15)</f>
        <v>1021.7830806652167</v>
      </c>
      <c r="D15" s="134">
        <f>IF(SER_hh_fec!D15=0,0,11630*1000*SER_hh_fec!D15/SER_hh_num!D15)</f>
        <v>1014.6686713335348</v>
      </c>
      <c r="E15" s="134">
        <f>IF(SER_hh_fec!E15=0,0,11630*1000*SER_hh_fec!E15/SER_hh_num!E15)</f>
        <v>999.78613780909961</v>
      </c>
      <c r="F15" s="134">
        <f>IF(SER_hh_fec!F15=0,0,11630*1000*SER_hh_fec!F15/SER_hh_num!F15)</f>
        <v>959.63858001328811</v>
      </c>
      <c r="G15" s="134">
        <f>IF(SER_hh_fec!G15=0,0,11630*1000*SER_hh_fec!G15/SER_hh_num!G15)</f>
        <v>912.40945881188759</v>
      </c>
      <c r="H15" s="134">
        <f>IF(SER_hh_fec!H15=0,0,11630*1000*SER_hh_fec!H15/SER_hh_num!H15)</f>
        <v>897.54828474011913</v>
      </c>
      <c r="I15" s="134">
        <f>IF(SER_hh_fec!I15=0,0,11630*1000*SER_hh_fec!I15/SER_hh_num!I15)</f>
        <v>910.15075785683757</v>
      </c>
      <c r="J15" s="134">
        <f>IF(SER_hh_fec!J15=0,0,11630*1000*SER_hh_fec!J15/SER_hh_num!J15)</f>
        <v>825.31879840796762</v>
      </c>
      <c r="K15" s="134">
        <f>IF(SER_hh_fec!K15=0,0,11630*1000*SER_hh_fec!K15/SER_hh_num!K15)</f>
        <v>926.57922762462124</v>
      </c>
      <c r="L15" s="134">
        <f>IF(SER_hh_fec!L15=0,0,11630*1000*SER_hh_fec!L15/SER_hh_num!L15)</f>
        <v>1029.0911687761784</v>
      </c>
      <c r="M15" s="134">
        <f>IF(SER_hh_fec!M15=0,0,11630*1000*SER_hh_fec!M15/SER_hh_num!M15)</f>
        <v>880.33502031209719</v>
      </c>
      <c r="N15" s="134">
        <f>IF(SER_hh_fec!N15=0,0,11630*1000*SER_hh_fec!N15/SER_hh_num!N15)</f>
        <v>977.5726211648215</v>
      </c>
      <c r="O15" s="134">
        <f>IF(SER_hh_fec!O15=0,0,11630*1000*SER_hh_fec!O15/SER_hh_num!O15)</f>
        <v>901.53032519309772</v>
      </c>
      <c r="P15" s="134">
        <f>IF(SER_hh_fec!P15=0,0,11630*1000*SER_hh_fec!P15/SER_hh_num!P15)</f>
        <v>925.92621784675032</v>
      </c>
      <c r="Q15" s="134">
        <f>IF(SER_hh_fec!Q15=0,0,11630*1000*SER_hh_fec!Q15/SER_hh_num!Q15)</f>
        <v>827.39826263285488</v>
      </c>
      <c r="R15" s="134">
        <f>IF(SER_hh_fec!R15=0,0,11630*1000*SER_hh_fec!R15/SER_hh_num!R15)</f>
        <v>906.85269881894033</v>
      </c>
      <c r="S15" s="134">
        <f>IF(SER_hh_fec!S15=0,0,11630*1000*SER_hh_fec!S15/SER_hh_num!S15)</f>
        <v>912.3963608092397</v>
      </c>
      <c r="T15" s="134">
        <f>IF(SER_hh_fec!T15=0,0,11630*1000*SER_hh_fec!T15/SER_hh_num!T15)</f>
        <v>923.52900727883423</v>
      </c>
      <c r="U15" s="134">
        <f>IF(SER_hh_fec!U15=0,0,11630*1000*SER_hh_fec!U15/SER_hh_num!U15)</f>
        <v>904.54267833321262</v>
      </c>
      <c r="V15" s="134">
        <f>IF(SER_hh_fec!V15=0,0,11630*1000*SER_hh_fec!V15/SER_hh_num!V15)</f>
        <v>823.35855194340672</v>
      </c>
      <c r="W15" s="134">
        <f>IF(SER_hh_fec!W15=0,0,11630*1000*SER_hh_fec!W15/SER_hh_num!W15)</f>
        <v>968.32289802007699</v>
      </c>
      <c r="X15" s="134">
        <f>IF(SER_hh_fec!X15=0,0,11630*1000*SER_hh_fec!X15/SER_hh_num!X15)</f>
        <v>904.45088398389225</v>
      </c>
      <c r="Y15" s="134">
        <f>IF(SER_hh_fec!Y15=0,0,11630*1000*SER_hh_fec!Y15/SER_hh_num!Y15)</f>
        <v>896.39481715180068</v>
      </c>
      <c r="DA15" s="157" t="s">
        <v>396</v>
      </c>
    </row>
    <row r="16" spans="1:105" ht="12.95" customHeight="1" x14ac:dyDescent="0.25">
      <c r="A16" s="129" t="s">
        <v>74</v>
      </c>
      <c r="B16" s="130">
        <f>IF(SER_hh_fec!B16=0,0,11630*1000*SER_hh_fec!B16/SER_hh_num!B16)</f>
        <v>12550.003198794891</v>
      </c>
      <c r="C16" s="130">
        <f>IF(SER_hh_fec!C16=0,0,11630*1000*SER_hh_fec!C16/SER_hh_num!C16)</f>
        <v>12034.875413969414</v>
      </c>
      <c r="D16" s="130">
        <f>IF(SER_hh_fec!D16=0,0,11630*1000*SER_hh_fec!D16/SER_hh_num!D16)</f>
        <v>11450.355650912925</v>
      </c>
      <c r="E16" s="130">
        <f>IF(SER_hh_fec!E16=0,0,11630*1000*SER_hh_fec!E16/SER_hh_num!E16)</f>
        <v>11364.963169168688</v>
      </c>
      <c r="F16" s="130">
        <f>IF(SER_hh_fec!F16=0,0,11630*1000*SER_hh_fec!F16/SER_hh_num!F16)</f>
        <v>10321.85413307274</v>
      </c>
      <c r="G16" s="130">
        <f>IF(SER_hh_fec!G16=0,0,11630*1000*SER_hh_fec!G16/SER_hh_num!G16)</f>
        <v>9741.8563842154781</v>
      </c>
      <c r="H16" s="130">
        <f>IF(SER_hh_fec!H16=0,0,11630*1000*SER_hh_fec!H16/SER_hh_num!H16)</f>
        <v>9222.6999292153778</v>
      </c>
      <c r="I16" s="130">
        <f>IF(SER_hh_fec!I16=0,0,11630*1000*SER_hh_fec!I16/SER_hh_num!I16)</f>
        <v>8664.0770633558095</v>
      </c>
      <c r="J16" s="130">
        <f>IF(SER_hh_fec!J16=0,0,11630*1000*SER_hh_fec!J16/SER_hh_num!J16)</f>
        <v>8186.6083859822975</v>
      </c>
      <c r="K16" s="130">
        <f>IF(SER_hh_fec!K16=0,0,11630*1000*SER_hh_fec!K16/SER_hh_num!K16)</f>
        <v>8037.6364192429146</v>
      </c>
      <c r="L16" s="130">
        <f>IF(SER_hh_fec!L16=0,0,11630*1000*SER_hh_fec!L16/SER_hh_num!L16)</f>
        <v>8404.3075123120361</v>
      </c>
      <c r="M16" s="130">
        <f>IF(SER_hh_fec!M16=0,0,11630*1000*SER_hh_fec!M16/SER_hh_num!M16)</f>
        <v>7676.7917298510183</v>
      </c>
      <c r="N16" s="130">
        <f>IF(SER_hh_fec!N16=0,0,11630*1000*SER_hh_fec!N16/SER_hh_num!N16)</f>
        <v>7358.4299347502401</v>
      </c>
      <c r="O16" s="130">
        <f>IF(SER_hh_fec!O16=0,0,11630*1000*SER_hh_fec!O16/SER_hh_num!O16)</f>
        <v>7112.4000695984314</v>
      </c>
      <c r="P16" s="130">
        <f>IF(SER_hh_fec!P16=0,0,11630*1000*SER_hh_fec!P16/SER_hh_num!P16)</f>
        <v>6881.97982693023</v>
      </c>
      <c r="Q16" s="130">
        <f>IF(SER_hh_fec!Q16=0,0,11630*1000*SER_hh_fec!Q16/SER_hh_num!Q16)</f>
        <v>6535.6445329499793</v>
      </c>
      <c r="R16" s="130">
        <f>IF(SER_hh_fec!R16=0,0,11630*1000*SER_hh_fec!R16/SER_hh_num!R16)</f>
        <v>6424.2015222587761</v>
      </c>
      <c r="S16" s="130">
        <f>IF(SER_hh_fec!S16=0,0,11630*1000*SER_hh_fec!S16/SER_hh_num!S16)</f>
        <v>6198.026042916993</v>
      </c>
      <c r="T16" s="130">
        <f>IF(SER_hh_fec!T16=0,0,11630*1000*SER_hh_fec!T16/SER_hh_num!T16)</f>
        <v>5998.308439999435</v>
      </c>
      <c r="U16" s="130">
        <f>IF(SER_hh_fec!U16=0,0,11630*1000*SER_hh_fec!U16/SER_hh_num!U16)</f>
        <v>5888.6154329286073</v>
      </c>
      <c r="V16" s="130">
        <f>IF(SER_hh_fec!V16=0,0,11630*1000*SER_hh_fec!V16/SER_hh_num!V16)</f>
        <v>5761.7271092572309</v>
      </c>
      <c r="W16" s="130">
        <f>IF(SER_hh_fec!W16=0,0,11630*1000*SER_hh_fec!W16/SER_hh_num!W16)</f>
        <v>5522.3602055738074</v>
      </c>
      <c r="X16" s="130">
        <f>IF(SER_hh_fec!X16=0,0,11630*1000*SER_hh_fec!X16/SER_hh_num!X16)</f>
        <v>5472.9696579211704</v>
      </c>
      <c r="Y16" s="130">
        <f>IF(SER_hh_fec!Y16=0,0,11630*1000*SER_hh_fec!Y16/SER_hh_num!Y16)</f>
        <v>5398.3841464041589</v>
      </c>
      <c r="DA16" s="155" t="s">
        <v>397</v>
      </c>
    </row>
    <row r="17" spans="1:105" ht="12.95" customHeight="1" x14ac:dyDescent="0.25">
      <c r="A17" s="131" t="s">
        <v>73</v>
      </c>
      <c r="B17" s="132">
        <f>IF(SER_hh_fec!B17=0,0,11630*1000*SER_hh_fec!B17/SER_hh_num!B17)</f>
        <v>0</v>
      </c>
      <c r="C17" s="132">
        <f>IF(SER_hh_fec!C17=0,0,11630*1000*SER_hh_fec!C17/SER_hh_num!C17)</f>
        <v>0</v>
      </c>
      <c r="D17" s="132">
        <f>IF(SER_hh_fec!D17=0,0,11630*1000*SER_hh_fec!D17/SER_hh_num!D17)</f>
        <v>0</v>
      </c>
      <c r="E17" s="132">
        <f>IF(SER_hh_fec!E17=0,0,11630*1000*SER_hh_fec!E17/SER_hh_num!E17)</f>
        <v>0</v>
      </c>
      <c r="F17" s="132">
        <f>IF(SER_hh_fec!F17=0,0,11630*1000*SER_hh_fec!F17/SER_hh_num!F17)</f>
        <v>0</v>
      </c>
      <c r="G17" s="132">
        <f>IF(SER_hh_fec!G17=0,0,11630*1000*SER_hh_fec!G17/SER_hh_num!G17)</f>
        <v>0</v>
      </c>
      <c r="H17" s="132">
        <f>IF(SER_hh_fec!H17=0,0,11630*1000*SER_hh_fec!H17/SER_hh_num!H17)</f>
        <v>0</v>
      </c>
      <c r="I17" s="132">
        <f>IF(SER_hh_fec!I17=0,0,11630*1000*SER_hh_fec!I17/SER_hh_num!I17)</f>
        <v>0</v>
      </c>
      <c r="J17" s="132">
        <f>IF(SER_hh_fec!J17=0,0,11630*1000*SER_hh_fec!J17/SER_hh_num!J17)</f>
        <v>0</v>
      </c>
      <c r="K17" s="132">
        <f>IF(SER_hh_fec!K17=0,0,11630*1000*SER_hh_fec!K17/SER_hh_num!K17)</f>
        <v>0</v>
      </c>
      <c r="L17" s="132">
        <f>IF(SER_hh_fec!L17=0,0,11630*1000*SER_hh_fec!L17/SER_hh_num!L17)</f>
        <v>0</v>
      </c>
      <c r="M17" s="132">
        <f>IF(SER_hh_fec!M17=0,0,11630*1000*SER_hh_fec!M17/SER_hh_num!M17)</f>
        <v>0</v>
      </c>
      <c r="N17" s="132">
        <f>IF(SER_hh_fec!N17=0,0,11630*1000*SER_hh_fec!N17/SER_hh_num!N17)</f>
        <v>0</v>
      </c>
      <c r="O17" s="132">
        <f>IF(SER_hh_fec!O17=0,0,11630*1000*SER_hh_fec!O17/SER_hh_num!O17)</f>
        <v>0</v>
      </c>
      <c r="P17" s="132">
        <f>IF(SER_hh_fec!P17=0,0,11630*1000*SER_hh_fec!P17/SER_hh_num!P17)</f>
        <v>0</v>
      </c>
      <c r="Q17" s="132">
        <f>IF(SER_hh_fec!Q17=0,0,11630*1000*SER_hh_fec!Q17/SER_hh_num!Q17)</f>
        <v>0</v>
      </c>
      <c r="R17" s="132">
        <f>IF(SER_hh_fec!R17=0,0,11630*1000*SER_hh_fec!R17/SER_hh_num!R17)</f>
        <v>0</v>
      </c>
      <c r="S17" s="132">
        <f>IF(SER_hh_fec!S17=0,0,11630*1000*SER_hh_fec!S17/SER_hh_num!S17)</f>
        <v>0</v>
      </c>
      <c r="T17" s="132">
        <f>IF(SER_hh_fec!T17=0,0,11630*1000*SER_hh_fec!T17/SER_hh_num!T17)</f>
        <v>0</v>
      </c>
      <c r="U17" s="132">
        <f>IF(SER_hh_fec!U17=0,0,11630*1000*SER_hh_fec!U17/SER_hh_num!U17)</f>
        <v>0</v>
      </c>
      <c r="V17" s="132">
        <f>IF(SER_hh_fec!V17=0,0,11630*1000*SER_hh_fec!V17/SER_hh_num!V17)</f>
        <v>0</v>
      </c>
      <c r="W17" s="132">
        <f>IF(SER_hh_fec!W17=0,0,11630*1000*SER_hh_fec!W17/SER_hh_num!W17)</f>
        <v>0</v>
      </c>
      <c r="X17" s="132">
        <f>IF(SER_hh_fec!X17=0,0,11630*1000*SER_hh_fec!X17/SER_hh_num!X17)</f>
        <v>0</v>
      </c>
      <c r="Y17" s="132">
        <f>IF(SER_hh_fec!Y17=0,0,11630*1000*SER_hh_fec!Y17/SER_hh_num!Y17)</f>
        <v>0</v>
      </c>
      <c r="DA17" s="156" t="s">
        <v>398</v>
      </c>
    </row>
    <row r="18" spans="1:105" ht="12" customHeight="1" x14ac:dyDescent="0.25">
      <c r="A18" s="131" t="s">
        <v>72</v>
      </c>
      <c r="B18" s="132">
        <f>IF(SER_hh_fec!B18=0,0,11630*1000*SER_hh_fec!B18/SER_hh_num!B18)</f>
        <v>12550.003198794891</v>
      </c>
      <c r="C18" s="132">
        <f>IF(SER_hh_fec!C18=0,0,11630*1000*SER_hh_fec!C18/SER_hh_num!C18)</f>
        <v>12034.875413969414</v>
      </c>
      <c r="D18" s="132">
        <f>IF(SER_hh_fec!D18=0,0,11630*1000*SER_hh_fec!D18/SER_hh_num!D18)</f>
        <v>11450.355650912925</v>
      </c>
      <c r="E18" s="132">
        <f>IF(SER_hh_fec!E18=0,0,11630*1000*SER_hh_fec!E18/SER_hh_num!E18)</f>
        <v>11364.963169168688</v>
      </c>
      <c r="F18" s="132">
        <f>IF(SER_hh_fec!F18=0,0,11630*1000*SER_hh_fec!F18/SER_hh_num!F18)</f>
        <v>10321.85413307274</v>
      </c>
      <c r="G18" s="132">
        <f>IF(SER_hh_fec!G18=0,0,11630*1000*SER_hh_fec!G18/SER_hh_num!G18)</f>
        <v>9741.8563842154781</v>
      </c>
      <c r="H18" s="132">
        <f>IF(SER_hh_fec!H18=0,0,11630*1000*SER_hh_fec!H18/SER_hh_num!H18)</f>
        <v>9222.6999292153778</v>
      </c>
      <c r="I18" s="132">
        <f>IF(SER_hh_fec!I18=0,0,11630*1000*SER_hh_fec!I18/SER_hh_num!I18)</f>
        <v>8664.0770633558095</v>
      </c>
      <c r="J18" s="132">
        <f>IF(SER_hh_fec!J18=0,0,11630*1000*SER_hh_fec!J18/SER_hh_num!J18)</f>
        <v>8186.6083859822975</v>
      </c>
      <c r="K18" s="132">
        <f>IF(SER_hh_fec!K18=0,0,11630*1000*SER_hh_fec!K18/SER_hh_num!K18)</f>
        <v>8037.6364192429146</v>
      </c>
      <c r="L18" s="132">
        <f>IF(SER_hh_fec!L18=0,0,11630*1000*SER_hh_fec!L18/SER_hh_num!L18)</f>
        <v>8404.3075123120361</v>
      </c>
      <c r="M18" s="132">
        <f>IF(SER_hh_fec!M18=0,0,11630*1000*SER_hh_fec!M18/SER_hh_num!M18)</f>
        <v>7676.7917298510183</v>
      </c>
      <c r="N18" s="132">
        <f>IF(SER_hh_fec!N18=0,0,11630*1000*SER_hh_fec!N18/SER_hh_num!N18)</f>
        <v>7358.4299347502401</v>
      </c>
      <c r="O18" s="132">
        <f>IF(SER_hh_fec!O18=0,0,11630*1000*SER_hh_fec!O18/SER_hh_num!O18)</f>
        <v>7112.4000695984314</v>
      </c>
      <c r="P18" s="132">
        <f>IF(SER_hh_fec!P18=0,0,11630*1000*SER_hh_fec!P18/SER_hh_num!P18)</f>
        <v>6881.97982693023</v>
      </c>
      <c r="Q18" s="132">
        <f>IF(SER_hh_fec!Q18=0,0,11630*1000*SER_hh_fec!Q18/SER_hh_num!Q18)</f>
        <v>6535.6445329499793</v>
      </c>
      <c r="R18" s="132">
        <f>IF(SER_hh_fec!R18=0,0,11630*1000*SER_hh_fec!R18/SER_hh_num!R18)</f>
        <v>6424.2015222587761</v>
      </c>
      <c r="S18" s="132">
        <f>IF(SER_hh_fec!S18=0,0,11630*1000*SER_hh_fec!S18/SER_hh_num!S18)</f>
        <v>6198.026042916993</v>
      </c>
      <c r="T18" s="132">
        <f>IF(SER_hh_fec!T18=0,0,11630*1000*SER_hh_fec!T18/SER_hh_num!T18)</f>
        <v>5998.308439999435</v>
      </c>
      <c r="U18" s="132">
        <f>IF(SER_hh_fec!U18=0,0,11630*1000*SER_hh_fec!U18/SER_hh_num!U18)</f>
        <v>5888.6154329286073</v>
      </c>
      <c r="V18" s="132">
        <f>IF(SER_hh_fec!V18=0,0,11630*1000*SER_hh_fec!V18/SER_hh_num!V18)</f>
        <v>5761.7271092572309</v>
      </c>
      <c r="W18" s="132">
        <f>IF(SER_hh_fec!W18=0,0,11630*1000*SER_hh_fec!W18/SER_hh_num!W18)</f>
        <v>5522.3602055738074</v>
      </c>
      <c r="X18" s="132">
        <f>IF(SER_hh_fec!X18=0,0,11630*1000*SER_hh_fec!X18/SER_hh_num!X18)</f>
        <v>5472.9696579211704</v>
      </c>
      <c r="Y18" s="132">
        <f>IF(SER_hh_fec!Y18=0,0,11630*1000*SER_hh_fec!Y18/SER_hh_num!Y18)</f>
        <v>5398.3841464041589</v>
      </c>
      <c r="DA18" s="156" t="s">
        <v>399</v>
      </c>
    </row>
    <row r="19" spans="1:105" ht="12.95" customHeight="1" x14ac:dyDescent="0.25">
      <c r="A19" s="129" t="s">
        <v>35</v>
      </c>
      <c r="B19" s="130">
        <f>IF(SER_hh_fec!B19=0,0,11630*1000*SER_hh_fec!B19/SER_hh_num!B19)</f>
        <v>23275.781583138778</v>
      </c>
      <c r="C19" s="130">
        <f>IF(SER_hh_fec!C19=0,0,11630*1000*SER_hh_fec!C19/SER_hh_num!C19)</f>
        <v>23228.322414759012</v>
      </c>
      <c r="D19" s="130">
        <f>IF(SER_hh_fec!D19=0,0,11630*1000*SER_hh_fec!D19/SER_hh_num!D19)</f>
        <v>23123.833743269635</v>
      </c>
      <c r="E19" s="130">
        <f>IF(SER_hh_fec!E19=0,0,11630*1000*SER_hh_fec!E19/SER_hh_num!E19)</f>
        <v>23258.093066436271</v>
      </c>
      <c r="F19" s="130">
        <f>IF(SER_hh_fec!F19=0,0,11630*1000*SER_hh_fec!F19/SER_hh_num!F19)</f>
        <v>23086.410207265093</v>
      </c>
      <c r="G19" s="130">
        <f>IF(SER_hh_fec!G19=0,0,11630*1000*SER_hh_fec!G19/SER_hh_num!G19)</f>
        <v>23272.581142519641</v>
      </c>
      <c r="H19" s="130">
        <f>IF(SER_hh_fec!H19=0,0,11630*1000*SER_hh_fec!H19/SER_hh_num!H19)</f>
        <v>23026.006232486507</v>
      </c>
      <c r="I19" s="130">
        <f>IF(SER_hh_fec!I19=0,0,11630*1000*SER_hh_fec!I19/SER_hh_num!I19)</f>
        <v>22753.02632389369</v>
      </c>
      <c r="J19" s="130">
        <f>IF(SER_hh_fec!J19=0,0,11630*1000*SER_hh_fec!J19/SER_hh_num!J19)</f>
        <v>22721.558484035195</v>
      </c>
      <c r="K19" s="130">
        <f>IF(SER_hh_fec!K19=0,0,11630*1000*SER_hh_fec!K19/SER_hh_num!K19)</f>
        <v>22757.751053445161</v>
      </c>
      <c r="L19" s="130">
        <f>IF(SER_hh_fec!L19=0,0,11630*1000*SER_hh_fec!L19/SER_hh_num!L19)</f>
        <v>22981.184389922939</v>
      </c>
      <c r="M19" s="130">
        <f>IF(SER_hh_fec!M19=0,0,11630*1000*SER_hh_fec!M19/SER_hh_num!M19)</f>
        <v>23134.596918696559</v>
      </c>
      <c r="N19" s="130">
        <f>IF(SER_hh_fec!N19=0,0,11630*1000*SER_hh_fec!N19/SER_hh_num!N19)</f>
        <v>23247.725208245341</v>
      </c>
      <c r="O19" s="130">
        <f>IF(SER_hh_fec!O19=0,0,11630*1000*SER_hh_fec!O19/SER_hh_num!O19)</f>
        <v>23367.749419031214</v>
      </c>
      <c r="P19" s="130">
        <f>IF(SER_hh_fec!P19=0,0,11630*1000*SER_hh_fec!P19/SER_hh_num!P19)</f>
        <v>23596.641880643765</v>
      </c>
      <c r="Q19" s="130">
        <f>IF(SER_hh_fec!Q19=0,0,11630*1000*SER_hh_fec!Q19/SER_hh_num!Q19)</f>
        <v>23706.756388724643</v>
      </c>
      <c r="R19" s="130">
        <f>IF(SER_hh_fec!R19=0,0,11630*1000*SER_hh_fec!R19/SER_hh_num!R19)</f>
        <v>23468.207673372064</v>
      </c>
      <c r="S19" s="130">
        <f>IF(SER_hh_fec!S19=0,0,11630*1000*SER_hh_fec!S19/SER_hh_num!S19)</f>
        <v>23584.986307069164</v>
      </c>
      <c r="T19" s="130">
        <f>IF(SER_hh_fec!T19=0,0,11630*1000*SER_hh_fec!T19/SER_hh_num!T19)</f>
        <v>23410.482805018397</v>
      </c>
      <c r="U19" s="130">
        <f>IF(SER_hh_fec!U19=0,0,11630*1000*SER_hh_fec!U19/SER_hh_num!U19)</f>
        <v>23558.975995208311</v>
      </c>
      <c r="V19" s="130">
        <f>IF(SER_hh_fec!V19=0,0,11630*1000*SER_hh_fec!V19/SER_hh_num!V19)</f>
        <v>21314.238598520809</v>
      </c>
      <c r="W19" s="130">
        <f>IF(SER_hh_fec!W19=0,0,11630*1000*SER_hh_fec!W19/SER_hh_num!W19)</f>
        <v>23353.090891529835</v>
      </c>
      <c r="X19" s="130">
        <f>IF(SER_hh_fec!X19=0,0,11630*1000*SER_hh_fec!X19/SER_hh_num!X19)</f>
        <v>23160.40179442555</v>
      </c>
      <c r="Y19" s="130">
        <f>IF(SER_hh_fec!Y19=0,0,11630*1000*SER_hh_fec!Y19/SER_hh_num!Y19)</f>
        <v>23083.680107943052</v>
      </c>
      <c r="DA19" s="155" t="s">
        <v>400</v>
      </c>
    </row>
    <row r="20" spans="1:105" ht="12" customHeight="1" x14ac:dyDescent="0.25">
      <c r="A20" s="131" t="s">
        <v>29</v>
      </c>
      <c r="B20" s="132">
        <f>IF(SER_hh_fec!B20=0,0,11630*1000*SER_hh_fec!B20/SER_hh_num!B20)</f>
        <v>0</v>
      </c>
      <c r="C20" s="132">
        <f>IF(SER_hh_fec!C20=0,0,11630*1000*SER_hh_fec!C20/SER_hh_num!C20)</f>
        <v>0</v>
      </c>
      <c r="D20" s="132">
        <f>IF(SER_hh_fec!D20=0,0,11630*1000*SER_hh_fec!D20/SER_hh_num!D20)</f>
        <v>0</v>
      </c>
      <c r="E20" s="132">
        <f>IF(SER_hh_fec!E20=0,0,11630*1000*SER_hh_fec!E20/SER_hh_num!E20)</f>
        <v>0</v>
      </c>
      <c r="F20" s="132">
        <f>IF(SER_hh_fec!F20=0,0,11630*1000*SER_hh_fec!F20/SER_hh_num!F20)</f>
        <v>0</v>
      </c>
      <c r="G20" s="132">
        <f>IF(SER_hh_fec!G20=0,0,11630*1000*SER_hh_fec!G20/SER_hh_num!G20)</f>
        <v>0</v>
      </c>
      <c r="H20" s="132">
        <f>IF(SER_hh_fec!H20=0,0,11630*1000*SER_hh_fec!H20/SER_hh_num!H20)</f>
        <v>0</v>
      </c>
      <c r="I20" s="132">
        <f>IF(SER_hh_fec!I20=0,0,11630*1000*SER_hh_fec!I20/SER_hh_num!I20)</f>
        <v>0</v>
      </c>
      <c r="J20" s="132">
        <f>IF(SER_hh_fec!J20=0,0,11630*1000*SER_hh_fec!J20/SER_hh_num!J20)</f>
        <v>0</v>
      </c>
      <c r="K20" s="132">
        <f>IF(SER_hh_fec!K20=0,0,11630*1000*SER_hh_fec!K20/SER_hh_num!K20)</f>
        <v>0</v>
      </c>
      <c r="L20" s="132">
        <f>IF(SER_hh_fec!L20=0,0,11630*1000*SER_hh_fec!L20/SER_hh_num!L20)</f>
        <v>0</v>
      </c>
      <c r="M20" s="132">
        <f>IF(SER_hh_fec!M20=0,0,11630*1000*SER_hh_fec!M20/SER_hh_num!M20)</f>
        <v>0</v>
      </c>
      <c r="N20" s="132">
        <f>IF(SER_hh_fec!N20=0,0,11630*1000*SER_hh_fec!N20/SER_hh_num!N20)</f>
        <v>0</v>
      </c>
      <c r="O20" s="132">
        <f>IF(SER_hh_fec!O20=0,0,11630*1000*SER_hh_fec!O20/SER_hh_num!O20)</f>
        <v>0</v>
      </c>
      <c r="P20" s="132">
        <f>IF(SER_hh_fec!P20=0,0,11630*1000*SER_hh_fec!P20/SER_hh_num!P20)</f>
        <v>0</v>
      </c>
      <c r="Q20" s="132">
        <f>IF(SER_hh_fec!Q20=0,0,11630*1000*SER_hh_fec!Q20/SER_hh_num!Q20)</f>
        <v>0</v>
      </c>
      <c r="R20" s="132">
        <f>IF(SER_hh_fec!R20=0,0,11630*1000*SER_hh_fec!R20/SER_hh_num!R20)</f>
        <v>0</v>
      </c>
      <c r="S20" s="132">
        <f>IF(SER_hh_fec!S20=0,0,11630*1000*SER_hh_fec!S20/SER_hh_num!S20)</f>
        <v>0</v>
      </c>
      <c r="T20" s="132">
        <f>IF(SER_hh_fec!T20=0,0,11630*1000*SER_hh_fec!T20/SER_hh_num!T20)</f>
        <v>0</v>
      </c>
      <c r="U20" s="132">
        <f>IF(SER_hh_fec!U20=0,0,11630*1000*SER_hh_fec!U20/SER_hh_num!U20)</f>
        <v>0</v>
      </c>
      <c r="V20" s="132">
        <f>IF(SER_hh_fec!V20=0,0,11630*1000*SER_hh_fec!V20/SER_hh_num!V20)</f>
        <v>0</v>
      </c>
      <c r="W20" s="132">
        <f>IF(SER_hh_fec!W20=0,0,11630*1000*SER_hh_fec!W20/SER_hh_num!W20)</f>
        <v>0</v>
      </c>
      <c r="X20" s="132">
        <f>IF(SER_hh_fec!X20=0,0,11630*1000*SER_hh_fec!X20/SER_hh_num!X20)</f>
        <v>0</v>
      </c>
      <c r="Y20" s="132">
        <f>IF(SER_hh_fec!Y20=0,0,11630*1000*SER_hh_fec!Y20/SER_hh_num!Y20)</f>
        <v>0</v>
      </c>
      <c r="DA20" s="156" t="s">
        <v>401</v>
      </c>
    </row>
    <row r="21" spans="1:105" s="2" customFormat="1" ht="12" customHeight="1" x14ac:dyDescent="0.25">
      <c r="A21" s="131" t="s">
        <v>52</v>
      </c>
      <c r="B21" s="132">
        <f>IF(SER_hh_fec!B21=0,0,11630*1000*SER_hh_fec!B21/SER_hh_num!B21)</f>
        <v>0</v>
      </c>
      <c r="C21" s="132">
        <f>IF(SER_hh_fec!C21=0,0,11630*1000*SER_hh_fec!C21/SER_hh_num!C21)</f>
        <v>0</v>
      </c>
      <c r="D21" s="132">
        <f>IF(SER_hh_fec!D21=0,0,11630*1000*SER_hh_fec!D21/SER_hh_num!D21)</f>
        <v>0</v>
      </c>
      <c r="E21" s="132">
        <f>IF(SER_hh_fec!E21=0,0,11630*1000*SER_hh_fec!E21/SER_hh_num!E21)</f>
        <v>0</v>
      </c>
      <c r="F21" s="132">
        <f>IF(SER_hh_fec!F21=0,0,11630*1000*SER_hh_fec!F21/SER_hh_num!F21)</f>
        <v>0</v>
      </c>
      <c r="G21" s="132">
        <f>IF(SER_hh_fec!G21=0,0,11630*1000*SER_hh_fec!G21/SER_hh_num!G21)</f>
        <v>0</v>
      </c>
      <c r="H21" s="132">
        <f>IF(SER_hh_fec!H21=0,0,11630*1000*SER_hh_fec!H21/SER_hh_num!H21)</f>
        <v>0</v>
      </c>
      <c r="I21" s="132">
        <f>IF(SER_hh_fec!I21=0,0,11630*1000*SER_hh_fec!I21/SER_hh_num!I21)</f>
        <v>0</v>
      </c>
      <c r="J21" s="132">
        <f>IF(SER_hh_fec!J21=0,0,11630*1000*SER_hh_fec!J21/SER_hh_num!J21)</f>
        <v>0</v>
      </c>
      <c r="K21" s="132">
        <f>IF(SER_hh_fec!K21=0,0,11630*1000*SER_hh_fec!K21/SER_hh_num!K21)</f>
        <v>0</v>
      </c>
      <c r="L21" s="132">
        <f>IF(SER_hh_fec!L21=0,0,11630*1000*SER_hh_fec!L21/SER_hh_num!L21)</f>
        <v>0</v>
      </c>
      <c r="M21" s="132">
        <f>IF(SER_hh_fec!M21=0,0,11630*1000*SER_hh_fec!M21/SER_hh_num!M21)</f>
        <v>0</v>
      </c>
      <c r="N21" s="132">
        <f>IF(SER_hh_fec!N21=0,0,11630*1000*SER_hh_fec!N21/SER_hh_num!N21)</f>
        <v>0</v>
      </c>
      <c r="O21" s="132">
        <f>IF(SER_hh_fec!O21=0,0,11630*1000*SER_hh_fec!O21/SER_hh_num!O21)</f>
        <v>0</v>
      </c>
      <c r="P21" s="132">
        <f>IF(SER_hh_fec!P21=0,0,11630*1000*SER_hh_fec!P21/SER_hh_num!P21)</f>
        <v>0</v>
      </c>
      <c r="Q21" s="132">
        <f>IF(SER_hh_fec!Q21=0,0,11630*1000*SER_hh_fec!Q21/SER_hh_num!Q21)</f>
        <v>0</v>
      </c>
      <c r="R21" s="132">
        <f>IF(SER_hh_fec!R21=0,0,11630*1000*SER_hh_fec!R21/SER_hh_num!R21)</f>
        <v>0</v>
      </c>
      <c r="S21" s="132">
        <f>IF(SER_hh_fec!S21=0,0,11630*1000*SER_hh_fec!S21/SER_hh_num!S21)</f>
        <v>0</v>
      </c>
      <c r="T21" s="132">
        <f>IF(SER_hh_fec!T21=0,0,11630*1000*SER_hh_fec!T21/SER_hh_num!T21)</f>
        <v>0</v>
      </c>
      <c r="U21" s="132">
        <f>IF(SER_hh_fec!U21=0,0,11630*1000*SER_hh_fec!U21/SER_hh_num!U21)</f>
        <v>0</v>
      </c>
      <c r="V21" s="132">
        <f>IF(SER_hh_fec!V21=0,0,11630*1000*SER_hh_fec!V21/SER_hh_num!V21)</f>
        <v>0</v>
      </c>
      <c r="W21" s="132">
        <f>IF(SER_hh_fec!W21=0,0,11630*1000*SER_hh_fec!W21/SER_hh_num!W21)</f>
        <v>0</v>
      </c>
      <c r="X21" s="132">
        <f>IF(SER_hh_fec!X21=0,0,11630*1000*SER_hh_fec!X21/SER_hh_num!X21)</f>
        <v>0</v>
      </c>
      <c r="Y21" s="132">
        <f>IF(SER_hh_fec!Y21=0,0,11630*1000*SER_hh_fec!Y21/SER_hh_num!Y21)</f>
        <v>0</v>
      </c>
      <c r="DA21" s="156" t="s">
        <v>402</v>
      </c>
    </row>
    <row r="22" spans="1:105" ht="12" customHeight="1" x14ac:dyDescent="0.25">
      <c r="A22" s="131" t="s">
        <v>161</v>
      </c>
      <c r="B22" s="132">
        <f>IF(SER_hh_fec!B22=0,0,11630*1000*SER_hh_fec!B22/SER_hh_num!B22)</f>
        <v>30842.971260445516</v>
      </c>
      <c r="C22" s="132">
        <f>IF(SER_hh_fec!C22=0,0,11630*1000*SER_hh_fec!C22/SER_hh_num!C22)</f>
        <v>30695.316923953611</v>
      </c>
      <c r="D22" s="132">
        <f>IF(SER_hh_fec!D22=0,0,11630*1000*SER_hh_fec!D22/SER_hh_num!D22)</f>
        <v>31077.549216925952</v>
      </c>
      <c r="E22" s="132">
        <f>IF(SER_hh_fec!E22=0,0,11630*1000*SER_hh_fec!E22/SER_hh_num!E22)</f>
        <v>31118.788198259579</v>
      </c>
      <c r="F22" s="132">
        <f>IF(SER_hh_fec!F22=0,0,11630*1000*SER_hh_fec!F22/SER_hh_num!F22)</f>
        <v>30905.716045710527</v>
      </c>
      <c r="G22" s="132">
        <f>IF(SER_hh_fec!G22=0,0,11630*1000*SER_hh_fec!G22/SER_hh_num!G22)</f>
        <v>30637.164247160785</v>
      </c>
      <c r="H22" s="132">
        <f>IF(SER_hh_fec!H22=0,0,11630*1000*SER_hh_fec!H22/SER_hh_num!H22)</f>
        <v>30863.120118374754</v>
      </c>
      <c r="I22" s="132">
        <f>IF(SER_hh_fec!I22=0,0,11630*1000*SER_hh_fec!I22/SER_hh_num!I22)</f>
        <v>30579.425578556322</v>
      </c>
      <c r="J22" s="132">
        <f>IF(SER_hh_fec!J22=0,0,11630*1000*SER_hh_fec!J22/SER_hh_num!J22)</f>
        <v>30094.525559901773</v>
      </c>
      <c r="K22" s="132">
        <f>IF(SER_hh_fec!K22=0,0,11630*1000*SER_hh_fec!K22/SER_hh_num!K22)</f>
        <v>29565.886557295424</v>
      </c>
      <c r="L22" s="132">
        <f>IF(SER_hh_fec!L22=0,0,11630*1000*SER_hh_fec!L22/SER_hh_num!L22)</f>
        <v>31185.112751554683</v>
      </c>
      <c r="M22" s="132">
        <f>IF(SER_hh_fec!M22=0,0,11630*1000*SER_hh_fec!M22/SER_hh_num!M22)</f>
        <v>31108.473065902384</v>
      </c>
      <c r="N22" s="132">
        <f>IF(SER_hh_fec!N22=0,0,11630*1000*SER_hh_fec!N22/SER_hh_num!N22)</f>
        <v>30606.329830805455</v>
      </c>
      <c r="O22" s="132">
        <f>IF(SER_hh_fec!O22=0,0,11630*1000*SER_hh_fec!O22/SER_hh_num!O22)</f>
        <v>30917.675569915991</v>
      </c>
      <c r="P22" s="132">
        <f>IF(SER_hh_fec!P22=0,0,11630*1000*SER_hh_fec!P22/SER_hh_num!P22)</f>
        <v>30529.000239337835</v>
      </c>
      <c r="Q22" s="132">
        <f>IF(SER_hh_fec!Q22=0,0,11630*1000*SER_hh_fec!Q22/SER_hh_num!Q22)</f>
        <v>30939.544293197065</v>
      </c>
      <c r="R22" s="132">
        <f>IF(SER_hh_fec!R22=0,0,11630*1000*SER_hh_fec!R22/SER_hh_num!R22)</f>
        <v>32403.73270442821</v>
      </c>
      <c r="S22" s="132">
        <f>IF(SER_hh_fec!S22=0,0,11630*1000*SER_hh_fec!S22/SER_hh_num!S22)</f>
        <v>31050.042646502781</v>
      </c>
      <c r="T22" s="132">
        <f>IF(SER_hh_fec!T22=0,0,11630*1000*SER_hh_fec!T22/SER_hh_num!T22)</f>
        <v>29606.162402068308</v>
      </c>
      <c r="U22" s="132">
        <f>IF(SER_hh_fec!U22=0,0,11630*1000*SER_hh_fec!U22/SER_hh_num!U22)</f>
        <v>30120.709249862499</v>
      </c>
      <c r="V22" s="132">
        <f>IF(SER_hh_fec!V22=0,0,11630*1000*SER_hh_fec!V22/SER_hh_num!V22)</f>
        <v>27333.190173838218</v>
      </c>
      <c r="W22" s="132">
        <f>IF(SER_hh_fec!W22=0,0,11630*1000*SER_hh_fec!W22/SER_hh_num!W22)</f>
        <v>31519.686628386604</v>
      </c>
      <c r="X22" s="132">
        <f>IF(SER_hh_fec!X22=0,0,11630*1000*SER_hh_fec!X22/SER_hh_num!X22)</f>
        <v>29208.821603242817</v>
      </c>
      <c r="Y22" s="132">
        <f>IF(SER_hh_fec!Y22=0,0,11630*1000*SER_hh_fec!Y22/SER_hh_num!Y22)</f>
        <v>27480.398542242048</v>
      </c>
      <c r="DA22" s="156" t="s">
        <v>403</v>
      </c>
    </row>
    <row r="23" spans="1:105" ht="12" customHeight="1" x14ac:dyDescent="0.25">
      <c r="A23" s="131" t="s">
        <v>149</v>
      </c>
      <c r="B23" s="132">
        <f>IF(SER_hh_fec!B23=0,0,11630*1000*SER_hh_fec!B23/SER_hh_num!B23)</f>
        <v>30263.90677371066</v>
      </c>
      <c r="C23" s="132">
        <f>IF(SER_hh_fec!C23=0,0,11630*1000*SER_hh_fec!C23/SER_hh_num!C23)</f>
        <v>30030.227452270872</v>
      </c>
      <c r="D23" s="132">
        <f>IF(SER_hh_fec!D23=0,0,11630*1000*SER_hh_fec!D23/SER_hh_num!D23)</f>
        <v>29827.014181607818</v>
      </c>
      <c r="E23" s="132">
        <f>IF(SER_hh_fec!E23=0,0,11630*1000*SER_hh_fec!E23/SER_hh_num!E23)</f>
        <v>29550.80069260747</v>
      </c>
      <c r="F23" s="132">
        <f>IF(SER_hh_fec!F23=0,0,11630*1000*SER_hh_fec!F23/SER_hh_num!F23)</f>
        <v>29806.306332108728</v>
      </c>
      <c r="G23" s="132">
        <f>IF(SER_hh_fec!G23=0,0,11630*1000*SER_hh_fec!G23/SER_hh_num!G23)</f>
        <v>30000.254876104496</v>
      </c>
      <c r="H23" s="132">
        <f>IF(SER_hh_fec!H23=0,0,11630*1000*SER_hh_fec!H23/SER_hh_num!H23)</f>
        <v>28787.527401796444</v>
      </c>
      <c r="I23" s="132">
        <f>IF(SER_hh_fec!I23=0,0,11630*1000*SER_hh_fec!I23/SER_hh_num!I23)</f>
        <v>28706.05844487888</v>
      </c>
      <c r="J23" s="132">
        <f>IF(SER_hh_fec!J23=0,0,11630*1000*SER_hh_fec!J23/SER_hh_num!J23)</f>
        <v>28858.705613876147</v>
      </c>
      <c r="K23" s="132">
        <f>IF(SER_hh_fec!K23=0,0,11630*1000*SER_hh_fec!K23/SER_hh_num!K23)</f>
        <v>28354.426252040594</v>
      </c>
      <c r="L23" s="132">
        <f>IF(SER_hh_fec!L23=0,0,11630*1000*SER_hh_fec!L23/SER_hh_num!L23)</f>
        <v>27782.06184822389</v>
      </c>
      <c r="M23" s="132">
        <f>IF(SER_hh_fec!M23=0,0,11630*1000*SER_hh_fec!M23/SER_hh_num!M23)</f>
        <v>27949.375568961637</v>
      </c>
      <c r="N23" s="132">
        <f>IF(SER_hh_fec!N23=0,0,11630*1000*SER_hh_fec!N23/SER_hh_num!N23)</f>
        <v>27831.295532871467</v>
      </c>
      <c r="O23" s="132">
        <f>IF(SER_hh_fec!O23=0,0,11630*1000*SER_hh_fec!O23/SER_hh_num!O23)</f>
        <v>27625.593928534414</v>
      </c>
      <c r="P23" s="132">
        <f>IF(SER_hh_fec!P23=0,0,11630*1000*SER_hh_fec!P23/SER_hh_num!P23)</f>
        <v>27538.2589918468</v>
      </c>
      <c r="Q23" s="132">
        <f>IF(SER_hh_fec!Q23=0,0,11630*1000*SER_hh_fec!Q23/SER_hh_num!Q23)</f>
        <v>27244.768869183888</v>
      </c>
      <c r="R23" s="132">
        <f>IF(SER_hh_fec!R23=0,0,11630*1000*SER_hh_fec!R23/SER_hh_num!R23)</f>
        <v>26274.221942429587</v>
      </c>
      <c r="S23" s="132">
        <f>IF(SER_hh_fec!S23=0,0,11630*1000*SER_hh_fec!S23/SER_hh_num!S23)</f>
        <v>29937.613996483906</v>
      </c>
      <c r="T23" s="132">
        <f>IF(SER_hh_fec!T23=0,0,11630*1000*SER_hh_fec!T23/SER_hh_num!T23)</f>
        <v>26016.418697418536</v>
      </c>
      <c r="U23" s="132">
        <f>IF(SER_hh_fec!U23=0,0,11630*1000*SER_hh_fec!U23/SER_hh_num!U23)</f>
        <v>24526.762887982888</v>
      </c>
      <c r="V23" s="132">
        <f>IF(SER_hh_fec!V23=0,0,11630*1000*SER_hh_fec!V23/SER_hh_num!V23)</f>
        <v>23397.728037489615</v>
      </c>
      <c r="W23" s="132">
        <f>IF(SER_hh_fec!W23=0,0,11630*1000*SER_hh_fec!W23/SER_hh_num!W23)</f>
        <v>30091.675028442398</v>
      </c>
      <c r="X23" s="132">
        <f>IF(SER_hh_fec!X23=0,0,11630*1000*SER_hh_fec!X23/SER_hh_num!X23)</f>
        <v>26281.528290514132</v>
      </c>
      <c r="Y23" s="132">
        <f>IF(SER_hh_fec!Y23=0,0,11630*1000*SER_hh_fec!Y23/SER_hh_num!Y23)</f>
        <v>22623.14583228212</v>
      </c>
      <c r="DA23" s="156" t="s">
        <v>404</v>
      </c>
    </row>
    <row r="24" spans="1:105" ht="12" customHeight="1" x14ac:dyDescent="0.25">
      <c r="A24" s="131" t="s">
        <v>128</v>
      </c>
      <c r="B24" s="132">
        <f>IF(SER_hh_fec!B24=0,0,11630*1000*SER_hh_fec!B24/SER_hh_num!B24)</f>
        <v>32476.448235285039</v>
      </c>
      <c r="C24" s="132">
        <f>IF(SER_hh_fec!C24=0,0,11630*1000*SER_hh_fec!C24/SER_hh_num!C24)</f>
        <v>35738.393821116399</v>
      </c>
      <c r="D24" s="132">
        <f>IF(SER_hh_fec!D24=0,0,11630*1000*SER_hh_fec!D24/SER_hh_num!D24)</f>
        <v>34130.005637911505</v>
      </c>
      <c r="E24" s="132">
        <f>IF(SER_hh_fec!E24=0,0,11630*1000*SER_hh_fec!E24/SER_hh_num!E24)</f>
        <v>32546.780537571492</v>
      </c>
      <c r="F24" s="132">
        <f>IF(SER_hh_fec!F24=0,0,11630*1000*SER_hh_fec!F24/SER_hh_num!F24)</f>
        <v>32022.801654468789</v>
      </c>
      <c r="G24" s="132">
        <f>IF(SER_hh_fec!G24=0,0,11630*1000*SER_hh_fec!G24/SER_hh_num!G24)</f>
        <v>31071.749731350381</v>
      </c>
      <c r="H24" s="132">
        <f>IF(SER_hh_fec!H24=0,0,11630*1000*SER_hh_fec!H24/SER_hh_num!H24)</f>
        <v>30320.61089872913</v>
      </c>
      <c r="I24" s="132">
        <f>IF(SER_hh_fec!I24=0,0,11630*1000*SER_hh_fec!I24/SER_hh_num!I24)</f>
        <v>29172.025106278419</v>
      </c>
      <c r="J24" s="132">
        <f>IF(SER_hh_fec!J24=0,0,11630*1000*SER_hh_fec!J24/SER_hh_num!J24)</f>
        <v>29909.76680627347</v>
      </c>
      <c r="K24" s="132">
        <f>IF(SER_hh_fec!K24=0,0,11630*1000*SER_hh_fec!K24/SER_hh_num!K24)</f>
        <v>27905.016869565636</v>
      </c>
      <c r="L24" s="132">
        <f>IF(SER_hh_fec!L24=0,0,11630*1000*SER_hh_fec!L24/SER_hh_num!L24)</f>
        <v>27793.242567190198</v>
      </c>
      <c r="M24" s="132">
        <f>IF(SER_hh_fec!M24=0,0,11630*1000*SER_hh_fec!M24/SER_hh_num!M24)</f>
        <v>27815.5343145269</v>
      </c>
      <c r="N24" s="132">
        <f>IF(SER_hh_fec!N24=0,0,11630*1000*SER_hh_fec!N24/SER_hh_num!N24)</f>
        <v>27280.025890478508</v>
      </c>
      <c r="O24" s="132">
        <f>IF(SER_hh_fec!O24=0,0,11630*1000*SER_hh_fec!O24/SER_hh_num!O24)</f>
        <v>26610.281663081107</v>
      </c>
      <c r="P24" s="132">
        <f>IF(SER_hh_fec!P24=0,0,11630*1000*SER_hh_fec!P24/SER_hh_num!P24)</f>
        <v>26316.025230010822</v>
      </c>
      <c r="Q24" s="132">
        <f>IF(SER_hh_fec!Q24=0,0,11630*1000*SER_hh_fec!Q24/SER_hh_num!Q24)</f>
        <v>25422.580122553794</v>
      </c>
      <c r="R24" s="132">
        <f>IF(SER_hh_fec!R24=0,0,11630*1000*SER_hh_fec!R24/SER_hh_num!R24)</f>
        <v>27478.810556478438</v>
      </c>
      <c r="S24" s="132">
        <f>IF(SER_hh_fec!S24=0,0,11630*1000*SER_hh_fec!S24/SER_hh_num!S24)</f>
        <v>26347.36199471385</v>
      </c>
      <c r="T24" s="132">
        <f>IF(SER_hh_fec!T24=0,0,11630*1000*SER_hh_fec!T24/SER_hh_num!T24)</f>
        <v>26144.687981542065</v>
      </c>
      <c r="U24" s="132">
        <f>IF(SER_hh_fec!U24=0,0,11630*1000*SER_hh_fec!U24/SER_hh_num!U24)</f>
        <v>25798.037144951672</v>
      </c>
      <c r="V24" s="132">
        <f>IF(SER_hh_fec!V24=0,0,11630*1000*SER_hh_fec!V24/SER_hh_num!V24)</f>
        <v>22664.698039119587</v>
      </c>
      <c r="W24" s="132">
        <f>IF(SER_hh_fec!W24=0,0,11630*1000*SER_hh_fec!W24/SER_hh_num!W24)</f>
        <v>26859.485879709886</v>
      </c>
      <c r="X24" s="132">
        <f>IF(SER_hh_fec!X24=0,0,11630*1000*SER_hh_fec!X24/SER_hh_num!X24)</f>
        <v>27155.980861304706</v>
      </c>
      <c r="Y24" s="132">
        <f>IF(SER_hh_fec!Y24=0,0,11630*1000*SER_hh_fec!Y24/SER_hh_num!Y24)</f>
        <v>24534.161073822677</v>
      </c>
      <c r="DA24" s="156" t="s">
        <v>405</v>
      </c>
    </row>
    <row r="25" spans="1:105" ht="12" customHeight="1" x14ac:dyDescent="0.25">
      <c r="A25" s="131" t="s">
        <v>162</v>
      </c>
      <c r="B25" s="132">
        <f>IF(SER_hh_fec!B25=0,0,11630*1000*SER_hh_fec!B25/SER_hh_num!B25)</f>
        <v>20249.818222576891</v>
      </c>
      <c r="C25" s="132">
        <f>IF(SER_hh_fec!C25=0,0,11630*1000*SER_hh_fec!C25/SER_hh_num!C25)</f>
        <v>20385.585730578441</v>
      </c>
      <c r="D25" s="132">
        <f>IF(SER_hh_fec!D25=0,0,11630*1000*SER_hh_fec!D25/SER_hh_num!D25)</f>
        <v>20192.335411820903</v>
      </c>
      <c r="E25" s="132">
        <f>IF(SER_hh_fec!E25=0,0,11630*1000*SER_hh_fec!E25/SER_hh_num!E25)</f>
        <v>20360.774367152299</v>
      </c>
      <c r="F25" s="132">
        <f>IF(SER_hh_fec!F25=0,0,11630*1000*SER_hh_fec!F25/SER_hh_num!F25)</f>
        <v>20177.295192368416</v>
      </c>
      <c r="G25" s="132">
        <f>IF(SER_hh_fec!G25=0,0,11630*1000*SER_hh_fec!G25/SER_hh_num!G25)</f>
        <v>20330.502896069705</v>
      </c>
      <c r="H25" s="132">
        <f>IF(SER_hh_fec!H25=0,0,11630*1000*SER_hh_fec!H25/SER_hh_num!H25)</f>
        <v>20260.745470360653</v>
      </c>
      <c r="I25" s="132">
        <f>IF(SER_hh_fec!I25=0,0,11630*1000*SER_hh_fec!I25/SER_hh_num!I25)</f>
        <v>20286.111656888268</v>
      </c>
      <c r="J25" s="132">
        <f>IF(SER_hh_fec!J25=0,0,11630*1000*SER_hh_fec!J25/SER_hh_num!J25)</f>
        <v>20108.65023590704</v>
      </c>
      <c r="K25" s="132">
        <f>IF(SER_hh_fec!K25=0,0,11630*1000*SER_hh_fec!K25/SER_hh_num!K25)</f>
        <v>20267.60060931521</v>
      </c>
      <c r="L25" s="132">
        <f>IF(SER_hh_fec!L25=0,0,11630*1000*SER_hh_fec!L25/SER_hh_num!L25)</f>
        <v>20295.406427585371</v>
      </c>
      <c r="M25" s="132">
        <f>IF(SER_hh_fec!M25=0,0,11630*1000*SER_hh_fec!M25/SER_hh_num!M25)</f>
        <v>20419.546654489834</v>
      </c>
      <c r="N25" s="132">
        <f>IF(SER_hh_fec!N25=0,0,11630*1000*SER_hh_fec!N25/SER_hh_num!N25)</f>
        <v>20656.99725567166</v>
      </c>
      <c r="O25" s="132">
        <f>IF(SER_hh_fec!O25=0,0,11630*1000*SER_hh_fec!O25/SER_hh_num!O25)</f>
        <v>20914.331414450782</v>
      </c>
      <c r="P25" s="132">
        <f>IF(SER_hh_fec!P25=0,0,11630*1000*SER_hh_fec!P25/SER_hh_num!P25)</f>
        <v>21114.997885737601</v>
      </c>
      <c r="Q25" s="132">
        <f>IF(SER_hh_fec!Q25=0,0,11630*1000*SER_hh_fec!Q25/SER_hh_num!Q25)</f>
        <v>21208.73175319604</v>
      </c>
      <c r="R25" s="132">
        <f>IF(SER_hh_fec!R25=0,0,11630*1000*SER_hh_fec!R25/SER_hh_num!R25)</f>
        <v>21466.15623042265</v>
      </c>
      <c r="S25" s="132">
        <f>IF(SER_hh_fec!S25=0,0,11630*1000*SER_hh_fec!S25/SER_hh_num!S25)</f>
        <v>21440.798491809597</v>
      </c>
      <c r="T25" s="132">
        <f>IF(SER_hh_fec!T25=0,0,11630*1000*SER_hh_fec!T25/SER_hh_num!T25)</f>
        <v>21991.348958148988</v>
      </c>
      <c r="U25" s="132">
        <f>IF(SER_hh_fec!U25=0,0,11630*1000*SER_hh_fec!U25/SER_hh_num!U25)</f>
        <v>21428.878796762852</v>
      </c>
      <c r="V25" s="132">
        <f>IF(SER_hh_fec!V25=0,0,11630*1000*SER_hh_fec!V25/SER_hh_num!V25)</f>
        <v>19346.661605858091</v>
      </c>
      <c r="W25" s="132">
        <f>IF(SER_hh_fec!W25=0,0,11630*1000*SER_hh_fec!W25/SER_hh_num!W25)</f>
        <v>22294.299578360748</v>
      </c>
      <c r="X25" s="132">
        <f>IF(SER_hh_fec!X25=0,0,11630*1000*SER_hh_fec!X25/SER_hh_num!X25)</f>
        <v>22137.78726722522</v>
      </c>
      <c r="Y25" s="132">
        <f>IF(SER_hh_fec!Y25=0,0,11630*1000*SER_hh_fec!Y25/SER_hh_num!Y25)</f>
        <v>22155.409214785359</v>
      </c>
      <c r="DA25" s="156" t="s">
        <v>406</v>
      </c>
    </row>
    <row r="26" spans="1:105" ht="12" customHeight="1" x14ac:dyDescent="0.25">
      <c r="A26" s="131" t="s">
        <v>24</v>
      </c>
      <c r="B26" s="65">
        <f>IF(SER_hh_fec!B26=0,0,11630*1000*SER_hh_fec!B26/SER_hh_num!B26)</f>
        <v>24650.59414114746</v>
      </c>
      <c r="C26" s="65">
        <f>IF(SER_hh_fec!C26=0,0,11630*1000*SER_hh_fec!C26/SER_hh_num!C26)</f>
        <v>24275.232513248513</v>
      </c>
      <c r="D26" s="65">
        <f>IF(SER_hh_fec!D26=0,0,11630*1000*SER_hh_fec!D26/SER_hh_num!D26)</f>
        <v>24237.540831764945</v>
      </c>
      <c r="E26" s="65">
        <f>IF(SER_hh_fec!E26=0,0,11630*1000*SER_hh_fec!E26/SER_hh_num!E26)</f>
        <v>24450.830394776327</v>
      </c>
      <c r="F26" s="65">
        <f>IF(SER_hh_fec!F26=0,0,11630*1000*SER_hh_fec!F26/SER_hh_num!F26)</f>
        <v>24358.902449161997</v>
      </c>
      <c r="G26" s="65">
        <f>IF(SER_hh_fec!G26=0,0,11630*1000*SER_hh_fec!G26/SER_hh_num!G26)</f>
        <v>24813.678788719208</v>
      </c>
      <c r="H26" s="65">
        <f>IF(SER_hh_fec!H26=0,0,11630*1000*SER_hh_fec!H26/SER_hh_num!H26)</f>
        <v>24395.85770128253</v>
      </c>
      <c r="I26" s="65">
        <f>IF(SER_hh_fec!I26=0,0,11630*1000*SER_hh_fec!I26/SER_hh_num!I26)</f>
        <v>23849.64806720354</v>
      </c>
      <c r="J26" s="65">
        <f>IF(SER_hh_fec!J26=0,0,11630*1000*SER_hh_fec!J26/SER_hh_num!J26)</f>
        <v>24039.658323579646</v>
      </c>
      <c r="K26" s="65">
        <f>IF(SER_hh_fec!K26=0,0,11630*1000*SER_hh_fec!K26/SER_hh_num!K26)</f>
        <v>24119.423664224534</v>
      </c>
      <c r="L26" s="65">
        <f>IF(SER_hh_fec!L26=0,0,11630*1000*SER_hh_fec!L26/SER_hh_num!L26)</f>
        <v>24235.419605118554</v>
      </c>
      <c r="M26" s="65">
        <f>IF(SER_hh_fec!M26=0,0,11630*1000*SER_hh_fec!M26/SER_hh_num!M26)</f>
        <v>24395.545410475006</v>
      </c>
      <c r="N26" s="65">
        <f>IF(SER_hh_fec!N26=0,0,11630*1000*SER_hh_fec!N26/SER_hh_num!N26)</f>
        <v>24478.973184223261</v>
      </c>
      <c r="O26" s="65">
        <f>IF(SER_hh_fec!O26=0,0,11630*1000*SER_hh_fec!O26/SER_hh_num!O26)</f>
        <v>24429.114780303735</v>
      </c>
      <c r="P26" s="65">
        <f>IF(SER_hh_fec!P26=0,0,11630*1000*SER_hh_fec!P26/SER_hh_num!P26)</f>
        <v>24843.883836872308</v>
      </c>
      <c r="Q26" s="65">
        <f>IF(SER_hh_fec!Q26=0,0,11630*1000*SER_hh_fec!Q26/SER_hh_num!Q26)</f>
        <v>24977.648272884169</v>
      </c>
      <c r="R26" s="65">
        <f>IF(SER_hh_fec!R26=0,0,11630*1000*SER_hh_fec!R26/SER_hh_num!R26)</f>
        <v>23786.740896433519</v>
      </c>
      <c r="S26" s="65">
        <f>IF(SER_hh_fec!S26=0,0,11630*1000*SER_hh_fec!S26/SER_hh_num!S26)</f>
        <v>24380.408295460318</v>
      </c>
      <c r="T26" s="65">
        <f>IF(SER_hh_fec!T26=0,0,11630*1000*SER_hh_fec!T26/SER_hh_num!T26)</f>
        <v>23781.273252581541</v>
      </c>
      <c r="U26" s="65">
        <f>IF(SER_hh_fec!U26=0,0,11630*1000*SER_hh_fec!U26/SER_hh_num!U26)</f>
        <v>24642.64966848915</v>
      </c>
      <c r="V26" s="65">
        <f>IF(SER_hh_fec!V26=0,0,11630*1000*SER_hh_fec!V26/SER_hh_num!V26)</f>
        <v>22364.055503013922</v>
      </c>
      <c r="W26" s="65">
        <f>IF(SER_hh_fec!W26=0,0,11630*1000*SER_hh_fec!W26/SER_hh_num!W26)</f>
        <v>23116.425091974848</v>
      </c>
      <c r="X26" s="65">
        <f>IF(SER_hh_fec!X26=0,0,11630*1000*SER_hh_fec!X26/SER_hh_num!X26)</f>
        <v>23227.618966416641</v>
      </c>
      <c r="Y26" s="65">
        <f>IF(SER_hh_fec!Y26=0,0,11630*1000*SER_hh_fec!Y26/SER_hh_num!Y26)</f>
        <v>23516.270623554301</v>
      </c>
      <c r="DA26" s="109" t="s">
        <v>407</v>
      </c>
    </row>
    <row r="27" spans="1:105" ht="12" customHeight="1" x14ac:dyDescent="0.25">
      <c r="A27" s="144" t="s">
        <v>86</v>
      </c>
      <c r="B27" s="145">
        <f>IF(SER_hh_fec!B27=0,0,11630*1000*SER_hh_fec!B27/SER_hh_num!B19)</f>
        <v>0</v>
      </c>
      <c r="C27" s="145">
        <f>IF(SER_hh_fec!C27=0,0,11630*1000*SER_hh_fec!C27/SER_hh_num!C19)</f>
        <v>0</v>
      </c>
      <c r="D27" s="145">
        <f>IF(SER_hh_fec!D27=0,0,11630*1000*SER_hh_fec!D27/SER_hh_num!D19)</f>
        <v>0</v>
      </c>
      <c r="E27" s="145">
        <f>IF(SER_hh_fec!E27=0,0,11630*1000*SER_hh_fec!E27/SER_hh_num!E19)</f>
        <v>0</v>
      </c>
      <c r="F27" s="145">
        <f>IF(SER_hh_fec!F27=0,0,11630*1000*SER_hh_fec!F27/SER_hh_num!F19)</f>
        <v>0</v>
      </c>
      <c r="G27" s="145">
        <f>IF(SER_hh_fec!G27=0,0,11630*1000*SER_hh_fec!G27/SER_hh_num!G19)</f>
        <v>0</v>
      </c>
      <c r="H27" s="145">
        <f>IF(SER_hh_fec!H27=0,0,11630*1000*SER_hh_fec!H27/SER_hh_num!H19)</f>
        <v>0</v>
      </c>
      <c r="I27" s="145">
        <f>IF(SER_hh_fec!I27=0,0,11630*1000*SER_hh_fec!I27/SER_hh_num!I19)</f>
        <v>0</v>
      </c>
      <c r="J27" s="145">
        <f>IF(SER_hh_fec!J27=0,0,11630*1000*SER_hh_fec!J27/SER_hh_num!J19)</f>
        <v>0</v>
      </c>
      <c r="K27" s="145">
        <f>IF(SER_hh_fec!K27=0,0,11630*1000*SER_hh_fec!K27/SER_hh_num!K19)</f>
        <v>0</v>
      </c>
      <c r="L27" s="145">
        <f>IF(SER_hh_fec!L27=0,0,11630*1000*SER_hh_fec!L27/SER_hh_num!L19)</f>
        <v>0</v>
      </c>
      <c r="M27" s="145">
        <f>IF(SER_hh_fec!M27=0,0,11630*1000*SER_hh_fec!M27/SER_hh_num!M19)</f>
        <v>0</v>
      </c>
      <c r="N27" s="145">
        <f>IF(SER_hh_fec!N27=0,0,11630*1000*SER_hh_fec!N27/SER_hh_num!N19)</f>
        <v>0</v>
      </c>
      <c r="O27" s="145">
        <f>IF(SER_hh_fec!O27=0,0,11630*1000*SER_hh_fec!O27/SER_hh_num!O19)</f>
        <v>0</v>
      </c>
      <c r="P27" s="145">
        <f>IF(SER_hh_fec!P27=0,0,11630*1000*SER_hh_fec!P27/SER_hh_num!P19)</f>
        <v>0</v>
      </c>
      <c r="Q27" s="145">
        <f>IF(SER_hh_fec!Q27=0,0,11630*1000*SER_hh_fec!Q27/SER_hh_num!Q19)</f>
        <v>0</v>
      </c>
      <c r="R27" s="145">
        <f>IF(SER_hh_fec!R27=0,0,11630*1000*SER_hh_fec!R27/SER_hh_num!R19)</f>
        <v>0</v>
      </c>
      <c r="S27" s="145">
        <f>IF(SER_hh_fec!S27=0,0,11630*1000*SER_hh_fec!S27/SER_hh_num!S19)</f>
        <v>0</v>
      </c>
      <c r="T27" s="145">
        <f>IF(SER_hh_fec!T27=0,0,11630*1000*SER_hh_fec!T27/SER_hh_num!T19)</f>
        <v>0</v>
      </c>
      <c r="U27" s="145">
        <f>IF(SER_hh_fec!U27=0,0,11630*1000*SER_hh_fec!U27/SER_hh_num!U19)</f>
        <v>0</v>
      </c>
      <c r="V27" s="145">
        <f>IF(SER_hh_fec!V27=0,0,11630*1000*SER_hh_fec!V27/SER_hh_num!V19)</f>
        <v>0</v>
      </c>
      <c r="W27" s="145">
        <f>IF(SER_hh_fec!W27=0,0,11630*1000*SER_hh_fec!W27/SER_hh_num!W19)</f>
        <v>0</v>
      </c>
      <c r="X27" s="145">
        <f>IF(SER_hh_fec!X27=0,0,11630*1000*SER_hh_fec!X27/SER_hh_num!X19)</f>
        <v>0</v>
      </c>
      <c r="Y27" s="145">
        <f>IF(SER_hh_fec!Y27=0,0,11630*1000*SER_hh_fec!Y27/SER_hh_num!Y19)</f>
        <v>0</v>
      </c>
      <c r="DA27" s="158" t="s">
        <v>408</v>
      </c>
    </row>
    <row r="28" spans="1:105" ht="12" customHeight="1" x14ac:dyDescent="0.25">
      <c r="A28" s="78" t="s">
        <v>85</v>
      </c>
      <c r="B28" s="146">
        <f>IF(SER_hh_fec!B27=0,0,11630*1000*SER_hh_fec!B27/SER_hh_num!B27)</f>
        <v>0</v>
      </c>
      <c r="C28" s="146">
        <f>IF(SER_hh_fec!C27=0,0,11630*1000*SER_hh_fec!C27/SER_hh_num!C27)</f>
        <v>0</v>
      </c>
      <c r="D28" s="146">
        <f>IF(SER_hh_fec!D27=0,0,11630*1000*SER_hh_fec!D27/SER_hh_num!D27)</f>
        <v>0</v>
      </c>
      <c r="E28" s="146">
        <f>IF(SER_hh_fec!E27=0,0,11630*1000*SER_hh_fec!E27/SER_hh_num!E27)</f>
        <v>0</v>
      </c>
      <c r="F28" s="146">
        <f>IF(SER_hh_fec!F27=0,0,11630*1000*SER_hh_fec!F27/SER_hh_num!F27)</f>
        <v>0</v>
      </c>
      <c r="G28" s="146">
        <f>IF(SER_hh_fec!G27=0,0,11630*1000*SER_hh_fec!G27/SER_hh_num!G27)</f>
        <v>0</v>
      </c>
      <c r="H28" s="146">
        <f>IF(SER_hh_fec!H27=0,0,11630*1000*SER_hh_fec!H27/SER_hh_num!H27)</f>
        <v>0</v>
      </c>
      <c r="I28" s="146">
        <f>IF(SER_hh_fec!I27=0,0,11630*1000*SER_hh_fec!I27/SER_hh_num!I27)</f>
        <v>0</v>
      </c>
      <c r="J28" s="146">
        <f>IF(SER_hh_fec!J27=0,0,11630*1000*SER_hh_fec!J27/SER_hh_num!J27)</f>
        <v>0</v>
      </c>
      <c r="K28" s="146">
        <f>IF(SER_hh_fec!K27=0,0,11630*1000*SER_hh_fec!K27/SER_hh_num!K27)</f>
        <v>0</v>
      </c>
      <c r="L28" s="146">
        <f>IF(SER_hh_fec!L27=0,0,11630*1000*SER_hh_fec!L27/SER_hh_num!L27)</f>
        <v>0</v>
      </c>
      <c r="M28" s="146">
        <f>IF(SER_hh_fec!M27=0,0,11630*1000*SER_hh_fec!M27/SER_hh_num!M27)</f>
        <v>0</v>
      </c>
      <c r="N28" s="146">
        <f>IF(SER_hh_fec!N27=0,0,11630*1000*SER_hh_fec!N27/SER_hh_num!N27)</f>
        <v>0</v>
      </c>
      <c r="O28" s="146">
        <f>IF(SER_hh_fec!O27=0,0,11630*1000*SER_hh_fec!O27/SER_hh_num!O27)</f>
        <v>0</v>
      </c>
      <c r="P28" s="146">
        <f>IF(SER_hh_fec!P27=0,0,11630*1000*SER_hh_fec!P27/SER_hh_num!P27)</f>
        <v>0</v>
      </c>
      <c r="Q28" s="146">
        <f>IF(SER_hh_fec!Q27=0,0,11630*1000*SER_hh_fec!Q27/SER_hh_num!Q27)</f>
        <v>0</v>
      </c>
      <c r="R28" s="146">
        <f>IF(SER_hh_fec!R27=0,0,11630*1000*SER_hh_fec!R27/SER_hh_num!R27)</f>
        <v>0</v>
      </c>
      <c r="S28" s="146">
        <f>IF(SER_hh_fec!S27=0,0,11630*1000*SER_hh_fec!S27/SER_hh_num!S27)</f>
        <v>0</v>
      </c>
      <c r="T28" s="146">
        <f>IF(SER_hh_fec!T27=0,0,11630*1000*SER_hh_fec!T27/SER_hh_num!T27)</f>
        <v>0</v>
      </c>
      <c r="U28" s="146">
        <f>IF(SER_hh_fec!U27=0,0,11630*1000*SER_hh_fec!U27/SER_hh_num!U27)</f>
        <v>0</v>
      </c>
      <c r="V28" s="146">
        <f>IF(SER_hh_fec!V27=0,0,11630*1000*SER_hh_fec!V27/SER_hh_num!V27)</f>
        <v>0</v>
      </c>
      <c r="W28" s="146">
        <f>IF(SER_hh_fec!W27=0,0,11630*1000*SER_hh_fec!W27/SER_hh_num!W27)</f>
        <v>0</v>
      </c>
      <c r="X28" s="146">
        <f>IF(SER_hh_fec!X27=0,0,11630*1000*SER_hh_fec!X27/SER_hh_num!X27)</f>
        <v>0</v>
      </c>
      <c r="Y28" s="146">
        <f>IF(SER_hh_fec!Y27=0,0,11630*1000*SER_hh_fec!Y27/SER_hh_num!Y27)</f>
        <v>0</v>
      </c>
      <c r="DA28" s="159"/>
    </row>
    <row r="29" spans="1:105" ht="12.95" customHeight="1" x14ac:dyDescent="0.25">
      <c r="A29" s="129" t="s">
        <v>34</v>
      </c>
      <c r="B29" s="130">
        <f>IF(SER_hh_fec!B29=0,0,11630*1000*SER_hh_fec!B29/SER_hh_num!B29)</f>
        <v>21673.395960689511</v>
      </c>
      <c r="C29" s="130">
        <f>IF(SER_hh_fec!C29=0,0,11630*1000*SER_hh_fec!C29/SER_hh_num!C29)</f>
        <v>21242.060350717966</v>
      </c>
      <c r="D29" s="130">
        <f>IF(SER_hh_fec!D29=0,0,11630*1000*SER_hh_fec!D29/SER_hh_num!D29)</f>
        <v>21037.807393993051</v>
      </c>
      <c r="E29" s="130">
        <f>IF(SER_hh_fec!E29=0,0,11630*1000*SER_hh_fec!E29/SER_hh_num!E29)</f>
        <v>21094.456254733228</v>
      </c>
      <c r="F29" s="130">
        <f>IF(SER_hh_fec!F29=0,0,11630*1000*SER_hh_fec!F29/SER_hh_num!F29)</f>
        <v>21242.33533904326</v>
      </c>
      <c r="G29" s="130">
        <f>IF(SER_hh_fec!G29=0,0,11630*1000*SER_hh_fec!G29/SER_hh_num!G29)</f>
        <v>21362.645649343831</v>
      </c>
      <c r="H29" s="130">
        <f>IF(SER_hh_fec!H29=0,0,11630*1000*SER_hh_fec!H29/SER_hh_num!H29)</f>
        <v>21466.601139137183</v>
      </c>
      <c r="I29" s="130">
        <f>IF(SER_hh_fec!I29=0,0,11630*1000*SER_hh_fec!I29/SER_hh_num!I29)</f>
        <v>21111.887180644851</v>
      </c>
      <c r="J29" s="130">
        <f>IF(SER_hh_fec!J29=0,0,11630*1000*SER_hh_fec!J29/SER_hh_num!J29)</f>
        <v>20973.024680658003</v>
      </c>
      <c r="K29" s="130">
        <f>IF(SER_hh_fec!K29=0,0,11630*1000*SER_hh_fec!K29/SER_hh_num!K29)</f>
        <v>21217.196814717685</v>
      </c>
      <c r="L29" s="130">
        <f>IF(SER_hh_fec!L29=0,0,11630*1000*SER_hh_fec!L29/SER_hh_num!L29)</f>
        <v>20973.74881213194</v>
      </c>
      <c r="M29" s="130">
        <f>IF(SER_hh_fec!M29=0,0,11630*1000*SER_hh_fec!M29/SER_hh_num!M29)</f>
        <v>21469.159053281179</v>
      </c>
      <c r="N29" s="130">
        <f>IF(SER_hh_fec!N29=0,0,11630*1000*SER_hh_fec!N29/SER_hh_num!N29)</f>
        <v>21334.435468020634</v>
      </c>
      <c r="O29" s="130">
        <f>IF(SER_hh_fec!O29=0,0,11630*1000*SER_hh_fec!O29/SER_hh_num!O29)</f>
        <v>21511.337211282986</v>
      </c>
      <c r="P29" s="130">
        <f>IF(SER_hh_fec!P29=0,0,11630*1000*SER_hh_fec!P29/SER_hh_num!P29)</f>
        <v>21698.625464694593</v>
      </c>
      <c r="Q29" s="130">
        <f>IF(SER_hh_fec!Q29=0,0,11630*1000*SER_hh_fec!Q29/SER_hh_num!Q29)</f>
        <v>21997.440235293521</v>
      </c>
      <c r="R29" s="130">
        <f>IF(SER_hh_fec!R29=0,0,11630*1000*SER_hh_fec!R29/SER_hh_num!R29)</f>
        <v>22385.774308558826</v>
      </c>
      <c r="S29" s="130">
        <f>IF(SER_hh_fec!S29=0,0,11630*1000*SER_hh_fec!S29/SER_hh_num!S29)</f>
        <v>22997.430083737912</v>
      </c>
      <c r="T29" s="130">
        <f>IF(SER_hh_fec!T29=0,0,11630*1000*SER_hh_fec!T29/SER_hh_num!T29)</f>
        <v>22735.780245738031</v>
      </c>
      <c r="U29" s="130">
        <f>IF(SER_hh_fec!U29=0,0,11630*1000*SER_hh_fec!U29/SER_hh_num!U29)</f>
        <v>23907.661150592176</v>
      </c>
      <c r="V29" s="130">
        <f>IF(SER_hh_fec!V29=0,0,11630*1000*SER_hh_fec!V29/SER_hh_num!V29)</f>
        <v>22023.453193926292</v>
      </c>
      <c r="W29" s="130">
        <f>IF(SER_hh_fec!W29=0,0,11630*1000*SER_hh_fec!W29/SER_hh_num!W29)</f>
        <v>24091.699965685635</v>
      </c>
      <c r="X29" s="130">
        <f>IF(SER_hh_fec!X29=0,0,11630*1000*SER_hh_fec!X29/SER_hh_num!X29)</f>
        <v>23819.801812282429</v>
      </c>
      <c r="Y29" s="130">
        <f>IF(SER_hh_fec!Y29=0,0,11630*1000*SER_hh_fec!Y29/SER_hh_num!Y29)</f>
        <v>23891.367102953154</v>
      </c>
      <c r="DA29" s="155" t="s">
        <v>409</v>
      </c>
    </row>
    <row r="30" spans="1:105" ht="12" customHeight="1" x14ac:dyDescent="0.25">
      <c r="A30" s="131" t="s">
        <v>52</v>
      </c>
      <c r="B30" s="132">
        <f>IF(SER_hh_fec!B30=0,0,11630*1000*SER_hh_fec!B30/SER_hh_num!B30)</f>
        <v>0</v>
      </c>
      <c r="C30" s="132">
        <f>IF(SER_hh_fec!C30=0,0,11630*1000*SER_hh_fec!C30/SER_hh_num!C30)</f>
        <v>0</v>
      </c>
      <c r="D30" s="132">
        <f>IF(SER_hh_fec!D30=0,0,11630*1000*SER_hh_fec!D30/SER_hh_num!D30)</f>
        <v>0</v>
      </c>
      <c r="E30" s="132">
        <f>IF(SER_hh_fec!E30=0,0,11630*1000*SER_hh_fec!E30/SER_hh_num!E30)</f>
        <v>0</v>
      </c>
      <c r="F30" s="132">
        <f>IF(SER_hh_fec!F30=0,0,11630*1000*SER_hh_fec!F30/SER_hh_num!F30)</f>
        <v>0</v>
      </c>
      <c r="G30" s="132">
        <f>IF(SER_hh_fec!G30=0,0,11630*1000*SER_hh_fec!G30/SER_hh_num!G30)</f>
        <v>0</v>
      </c>
      <c r="H30" s="132">
        <f>IF(SER_hh_fec!H30=0,0,11630*1000*SER_hh_fec!H30/SER_hh_num!H30)</f>
        <v>0</v>
      </c>
      <c r="I30" s="132">
        <f>IF(SER_hh_fec!I30=0,0,11630*1000*SER_hh_fec!I30/SER_hh_num!I30)</f>
        <v>0</v>
      </c>
      <c r="J30" s="132">
        <f>IF(SER_hh_fec!J30=0,0,11630*1000*SER_hh_fec!J30/SER_hh_num!J30)</f>
        <v>0</v>
      </c>
      <c r="K30" s="132">
        <f>IF(SER_hh_fec!K30=0,0,11630*1000*SER_hh_fec!K30/SER_hh_num!K30)</f>
        <v>0</v>
      </c>
      <c r="L30" s="132">
        <f>IF(SER_hh_fec!L30=0,0,11630*1000*SER_hh_fec!L30/SER_hh_num!L30)</f>
        <v>0</v>
      </c>
      <c r="M30" s="132">
        <f>IF(SER_hh_fec!M30=0,0,11630*1000*SER_hh_fec!M30/SER_hh_num!M30)</f>
        <v>0</v>
      </c>
      <c r="N30" s="132">
        <f>IF(SER_hh_fec!N30=0,0,11630*1000*SER_hh_fec!N30/SER_hh_num!N30)</f>
        <v>0</v>
      </c>
      <c r="O30" s="132">
        <f>IF(SER_hh_fec!O30=0,0,11630*1000*SER_hh_fec!O30/SER_hh_num!O30)</f>
        <v>0</v>
      </c>
      <c r="P30" s="132">
        <f>IF(SER_hh_fec!P30=0,0,11630*1000*SER_hh_fec!P30/SER_hh_num!P30)</f>
        <v>0</v>
      </c>
      <c r="Q30" s="132">
        <f>IF(SER_hh_fec!Q30=0,0,11630*1000*SER_hh_fec!Q30/SER_hh_num!Q30)</f>
        <v>0</v>
      </c>
      <c r="R30" s="132">
        <f>IF(SER_hh_fec!R30=0,0,11630*1000*SER_hh_fec!R30/SER_hh_num!R30)</f>
        <v>0</v>
      </c>
      <c r="S30" s="132">
        <f>IF(SER_hh_fec!S30=0,0,11630*1000*SER_hh_fec!S30/SER_hh_num!S30)</f>
        <v>0</v>
      </c>
      <c r="T30" s="132">
        <f>IF(SER_hh_fec!T30=0,0,11630*1000*SER_hh_fec!T30/SER_hh_num!T30)</f>
        <v>0</v>
      </c>
      <c r="U30" s="132">
        <f>IF(SER_hh_fec!U30=0,0,11630*1000*SER_hh_fec!U30/SER_hh_num!U30)</f>
        <v>0</v>
      </c>
      <c r="V30" s="132">
        <f>IF(SER_hh_fec!V30=0,0,11630*1000*SER_hh_fec!V30/SER_hh_num!V30)</f>
        <v>0</v>
      </c>
      <c r="W30" s="132">
        <f>IF(SER_hh_fec!W30=0,0,11630*1000*SER_hh_fec!W30/SER_hh_num!W30)</f>
        <v>0</v>
      </c>
      <c r="X30" s="132">
        <f>IF(SER_hh_fec!X30=0,0,11630*1000*SER_hh_fec!X30/SER_hh_num!X30)</f>
        <v>0</v>
      </c>
      <c r="Y30" s="132">
        <f>IF(SER_hh_fec!Y30=0,0,11630*1000*SER_hh_fec!Y30/SER_hh_num!Y30)</f>
        <v>0</v>
      </c>
      <c r="DA30" s="156" t="s">
        <v>410</v>
      </c>
    </row>
    <row r="31" spans="1:105" ht="12" customHeight="1" x14ac:dyDescent="0.25">
      <c r="A31" s="131" t="s">
        <v>149</v>
      </c>
      <c r="B31" s="132">
        <f>IF(SER_hh_fec!B31=0,0,11630*1000*SER_hh_fec!B31/SER_hh_num!B31)</f>
        <v>27950.7762544871</v>
      </c>
      <c r="C31" s="132">
        <f>IF(SER_hh_fec!C31=0,0,11630*1000*SER_hh_fec!C31/SER_hh_num!C31)</f>
        <v>27525.517224072191</v>
      </c>
      <c r="D31" s="132">
        <f>IF(SER_hh_fec!D31=0,0,11630*1000*SER_hh_fec!D31/SER_hh_num!D31)</f>
        <v>27534.561633610243</v>
      </c>
      <c r="E31" s="132">
        <f>IF(SER_hh_fec!E31=0,0,11630*1000*SER_hh_fec!E31/SER_hh_num!E31)</f>
        <v>27507.802699636763</v>
      </c>
      <c r="F31" s="132">
        <f>IF(SER_hh_fec!F31=0,0,11630*1000*SER_hh_fec!F31/SER_hh_num!F31)</f>
        <v>27834.853293338958</v>
      </c>
      <c r="G31" s="132">
        <f>IF(SER_hh_fec!G31=0,0,11630*1000*SER_hh_fec!G31/SER_hh_num!G31)</f>
        <v>27946.167174244969</v>
      </c>
      <c r="H31" s="132">
        <f>IF(SER_hh_fec!H31=0,0,11630*1000*SER_hh_fec!H31/SER_hh_num!H31)</f>
        <v>27924.605277196333</v>
      </c>
      <c r="I31" s="132">
        <f>IF(SER_hh_fec!I31=0,0,11630*1000*SER_hh_fec!I31/SER_hh_num!I31)</f>
        <v>27879.612801477822</v>
      </c>
      <c r="J31" s="132">
        <f>IF(SER_hh_fec!J31=0,0,11630*1000*SER_hh_fec!J31/SER_hh_num!J31)</f>
        <v>28255.399531777424</v>
      </c>
      <c r="K31" s="132">
        <f>IF(SER_hh_fec!K31=0,0,11630*1000*SER_hh_fec!K31/SER_hh_num!K31)</f>
        <v>27771.210087895517</v>
      </c>
      <c r="L31" s="132">
        <f>IF(SER_hh_fec!L31=0,0,11630*1000*SER_hh_fec!L31/SER_hh_num!L31)</f>
        <v>27731.107302299712</v>
      </c>
      <c r="M31" s="132">
        <f>IF(SER_hh_fec!M31=0,0,11630*1000*SER_hh_fec!M31/SER_hh_num!M31)</f>
        <v>27396.349528355015</v>
      </c>
      <c r="N31" s="132">
        <f>IF(SER_hh_fec!N31=0,0,11630*1000*SER_hh_fec!N31/SER_hh_num!N31)</f>
        <v>27923.579077854884</v>
      </c>
      <c r="O31" s="132">
        <f>IF(SER_hh_fec!O31=0,0,11630*1000*SER_hh_fec!O31/SER_hh_num!O31)</f>
        <v>28808.783653679631</v>
      </c>
      <c r="P31" s="132">
        <f>IF(SER_hh_fec!P31=0,0,11630*1000*SER_hh_fec!P31/SER_hh_num!P31)</f>
        <v>28670.931429242162</v>
      </c>
      <c r="Q31" s="132">
        <f>IF(SER_hh_fec!Q31=0,0,11630*1000*SER_hh_fec!Q31/SER_hh_num!Q31)</f>
        <v>29054.812228183382</v>
      </c>
      <c r="R31" s="132">
        <f>IF(SER_hh_fec!R31=0,0,11630*1000*SER_hh_fec!R31/SER_hh_num!R31)</f>
        <v>28918.853031789942</v>
      </c>
      <c r="S31" s="132">
        <f>IF(SER_hh_fec!S31=0,0,11630*1000*SER_hh_fec!S31/SER_hh_num!S31)</f>
        <v>33218.371800934328</v>
      </c>
      <c r="T31" s="132">
        <f>IF(SER_hh_fec!T31=0,0,11630*1000*SER_hh_fec!T31/SER_hh_num!T31)</f>
        <v>30380.693266729242</v>
      </c>
      <c r="U31" s="132">
        <f>IF(SER_hh_fec!U31=0,0,11630*1000*SER_hh_fec!U31/SER_hh_num!U31)</f>
        <v>29874.530190627167</v>
      </c>
      <c r="V31" s="132">
        <f>IF(SER_hh_fec!V31=0,0,11630*1000*SER_hh_fec!V31/SER_hh_num!V31)</f>
        <v>29190.711255951494</v>
      </c>
      <c r="W31" s="132">
        <f>IF(SER_hh_fec!W31=0,0,11630*1000*SER_hh_fec!W31/SER_hh_num!W31)</f>
        <v>41580.42524291679</v>
      </c>
      <c r="X31" s="132">
        <f>IF(SER_hh_fec!X31=0,0,11630*1000*SER_hh_fec!X31/SER_hh_num!X31)</f>
        <v>36957.370602018455</v>
      </c>
      <c r="Y31" s="132">
        <f>IF(SER_hh_fec!Y31=0,0,11630*1000*SER_hh_fec!Y31/SER_hh_num!Y31)</f>
        <v>30176.269542788854</v>
      </c>
      <c r="DA31" s="156" t="s">
        <v>411</v>
      </c>
    </row>
    <row r="32" spans="1:105" ht="12" customHeight="1" x14ac:dyDescent="0.25">
      <c r="A32" s="131" t="s">
        <v>128</v>
      </c>
      <c r="B32" s="132">
        <f>IF(SER_hh_fec!B32=0,0,11630*1000*SER_hh_fec!B32/SER_hh_num!B32)</f>
        <v>0</v>
      </c>
      <c r="C32" s="132">
        <f>IF(SER_hh_fec!C32=0,0,11630*1000*SER_hh_fec!C32/SER_hh_num!C32)</f>
        <v>0</v>
      </c>
      <c r="D32" s="132">
        <f>IF(SER_hh_fec!D32=0,0,11630*1000*SER_hh_fec!D32/SER_hh_num!D32)</f>
        <v>0</v>
      </c>
      <c r="E32" s="132">
        <f>IF(SER_hh_fec!E32=0,0,11630*1000*SER_hh_fec!E32/SER_hh_num!E32)</f>
        <v>0</v>
      </c>
      <c r="F32" s="132">
        <f>IF(SER_hh_fec!F32=0,0,11630*1000*SER_hh_fec!F32/SER_hh_num!F32)</f>
        <v>0</v>
      </c>
      <c r="G32" s="132">
        <f>IF(SER_hh_fec!G32=0,0,11630*1000*SER_hh_fec!G32/SER_hh_num!G32)</f>
        <v>0</v>
      </c>
      <c r="H32" s="132">
        <f>IF(SER_hh_fec!H32=0,0,11630*1000*SER_hh_fec!H32/SER_hh_num!H32)</f>
        <v>0</v>
      </c>
      <c r="I32" s="132">
        <f>IF(SER_hh_fec!I32=0,0,11630*1000*SER_hh_fec!I32/SER_hh_num!I32)</f>
        <v>0</v>
      </c>
      <c r="J32" s="132">
        <f>IF(SER_hh_fec!J32=0,0,11630*1000*SER_hh_fec!J32/SER_hh_num!J32)</f>
        <v>0</v>
      </c>
      <c r="K32" s="132">
        <f>IF(SER_hh_fec!K32=0,0,11630*1000*SER_hh_fec!K32/SER_hh_num!K32)</f>
        <v>0</v>
      </c>
      <c r="L32" s="132">
        <f>IF(SER_hh_fec!L32=0,0,11630*1000*SER_hh_fec!L32/SER_hh_num!L32)</f>
        <v>0</v>
      </c>
      <c r="M32" s="132">
        <f>IF(SER_hh_fec!M32=0,0,11630*1000*SER_hh_fec!M32/SER_hh_num!M32)</f>
        <v>0</v>
      </c>
      <c r="N32" s="132">
        <f>IF(SER_hh_fec!N32=0,0,11630*1000*SER_hh_fec!N32/SER_hh_num!N32)</f>
        <v>0</v>
      </c>
      <c r="O32" s="132">
        <f>IF(SER_hh_fec!O32=0,0,11630*1000*SER_hh_fec!O32/SER_hh_num!O32)</f>
        <v>0</v>
      </c>
      <c r="P32" s="132">
        <f>IF(SER_hh_fec!P32=0,0,11630*1000*SER_hh_fec!P32/SER_hh_num!P32)</f>
        <v>0</v>
      </c>
      <c r="Q32" s="132">
        <f>IF(SER_hh_fec!Q32=0,0,11630*1000*SER_hh_fec!Q32/SER_hh_num!Q32)</f>
        <v>0</v>
      </c>
      <c r="R32" s="132">
        <f>IF(SER_hh_fec!R32=0,0,11630*1000*SER_hh_fec!R32/SER_hh_num!R32)</f>
        <v>0</v>
      </c>
      <c r="S32" s="132">
        <f>IF(SER_hh_fec!S32=0,0,11630*1000*SER_hh_fec!S32/SER_hh_num!S32)</f>
        <v>0</v>
      </c>
      <c r="T32" s="132">
        <f>IF(SER_hh_fec!T32=0,0,11630*1000*SER_hh_fec!T32/SER_hh_num!T32)</f>
        <v>0</v>
      </c>
      <c r="U32" s="132">
        <f>IF(SER_hh_fec!U32=0,0,11630*1000*SER_hh_fec!U32/SER_hh_num!U32)</f>
        <v>0</v>
      </c>
      <c r="V32" s="132">
        <f>IF(SER_hh_fec!V32=0,0,11630*1000*SER_hh_fec!V32/SER_hh_num!V32)</f>
        <v>0</v>
      </c>
      <c r="W32" s="132">
        <f>IF(SER_hh_fec!W32=0,0,11630*1000*SER_hh_fec!W32/SER_hh_num!W32)</f>
        <v>0</v>
      </c>
      <c r="X32" s="132">
        <f>IF(SER_hh_fec!X32=0,0,11630*1000*SER_hh_fec!X32/SER_hh_num!X32)</f>
        <v>0</v>
      </c>
      <c r="Y32" s="132">
        <f>IF(SER_hh_fec!Y32=0,0,11630*1000*SER_hh_fec!Y32/SER_hh_num!Y32)</f>
        <v>0</v>
      </c>
      <c r="DA32" s="156" t="s">
        <v>412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21547.115178167234</v>
      </c>
      <c r="C33" s="68">
        <f>IF(SER_hh_fec!C33=0,0,11630*1000*SER_hh_fec!C33/SER_hh_num!C33)</f>
        <v>21114.797928876927</v>
      </c>
      <c r="D33" s="68">
        <f>IF(SER_hh_fec!D33=0,0,11630*1000*SER_hh_fec!D33/SER_hh_num!D33)</f>
        <v>20904.31538731484</v>
      </c>
      <c r="E33" s="68">
        <f>IF(SER_hh_fec!E33=0,0,11630*1000*SER_hh_fec!E33/SER_hh_num!E33)</f>
        <v>20961.433635805319</v>
      </c>
      <c r="F33" s="68">
        <f>IF(SER_hh_fec!F33=0,0,11630*1000*SER_hh_fec!F33/SER_hh_num!F33)</f>
        <v>21106.001894141264</v>
      </c>
      <c r="G33" s="68">
        <f>IF(SER_hh_fec!G33=0,0,11630*1000*SER_hh_fec!G33/SER_hh_num!G33)</f>
        <v>21227.57074177394</v>
      </c>
      <c r="H33" s="68">
        <f>IF(SER_hh_fec!H33=0,0,11630*1000*SER_hh_fec!H33/SER_hh_num!H33)</f>
        <v>21336.365770898366</v>
      </c>
      <c r="I33" s="68">
        <f>IF(SER_hh_fec!I33=0,0,11630*1000*SER_hh_fec!I33/SER_hh_num!I33)</f>
        <v>20978.683403808493</v>
      </c>
      <c r="J33" s="68">
        <f>IF(SER_hh_fec!J33=0,0,11630*1000*SER_hh_fec!J33/SER_hh_num!J33)</f>
        <v>20834.335196778575</v>
      </c>
      <c r="K33" s="68">
        <f>IF(SER_hh_fec!K33=0,0,11630*1000*SER_hh_fec!K33/SER_hh_num!K33)</f>
        <v>21099.647305152168</v>
      </c>
      <c r="L33" s="68">
        <f>IF(SER_hh_fec!L33=0,0,11630*1000*SER_hh_fec!L33/SER_hh_num!L33)</f>
        <v>20860.640161230054</v>
      </c>
      <c r="M33" s="68">
        <f>IF(SER_hh_fec!M33=0,0,11630*1000*SER_hh_fec!M33/SER_hh_num!M33)</f>
        <v>21376.993035361567</v>
      </c>
      <c r="N33" s="68">
        <f>IF(SER_hh_fec!N33=0,0,11630*1000*SER_hh_fec!N33/SER_hh_num!N33)</f>
        <v>21236.816863685675</v>
      </c>
      <c r="O33" s="68">
        <f>IF(SER_hh_fec!O33=0,0,11630*1000*SER_hh_fec!O33/SER_hh_num!O33)</f>
        <v>21407.592376712495</v>
      </c>
      <c r="P33" s="68">
        <f>IF(SER_hh_fec!P33=0,0,11630*1000*SER_hh_fec!P33/SER_hh_num!P33)</f>
        <v>21604.145535735519</v>
      </c>
      <c r="Q33" s="68">
        <f>IF(SER_hh_fec!Q33=0,0,11630*1000*SER_hh_fec!Q33/SER_hh_num!Q33)</f>
        <v>21905.580119729366</v>
      </c>
      <c r="R33" s="68">
        <f>IF(SER_hh_fec!R33=0,0,11630*1000*SER_hh_fec!R33/SER_hh_num!R33)</f>
        <v>22304.757114889646</v>
      </c>
      <c r="S33" s="68">
        <f>IF(SER_hh_fec!S33=0,0,11630*1000*SER_hh_fec!S33/SER_hh_num!S33)</f>
        <v>22875.260359705218</v>
      </c>
      <c r="T33" s="68">
        <f>IF(SER_hh_fec!T33=0,0,11630*1000*SER_hh_fec!T33/SER_hh_num!T33)</f>
        <v>22651.702867279142</v>
      </c>
      <c r="U33" s="68">
        <f>IF(SER_hh_fec!U33=0,0,11630*1000*SER_hh_fec!U33/SER_hh_num!U33)</f>
        <v>23845.388855879071</v>
      </c>
      <c r="V33" s="68">
        <f>IF(SER_hh_fec!V33=0,0,11630*1000*SER_hh_fec!V33/SER_hh_num!V33)</f>
        <v>21949.586053510699</v>
      </c>
      <c r="W33" s="68">
        <f>IF(SER_hh_fec!W33=0,0,11630*1000*SER_hh_fec!W33/SER_hh_num!W33)</f>
        <v>23925.634801191962</v>
      </c>
      <c r="X33" s="68">
        <f>IF(SER_hh_fec!X33=0,0,11630*1000*SER_hh_fec!X33/SER_hh_num!X33)</f>
        <v>23704.707048687374</v>
      </c>
      <c r="Y33" s="68">
        <f>IF(SER_hh_fec!Y33=0,0,11630*1000*SER_hh_fec!Y33/SER_hh_num!Y33)</f>
        <v>23841.358155632639</v>
      </c>
      <c r="DA33" s="111" t="s">
        <v>413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88</v>
      </c>
      <c r="B3" s="125">
        <f>IF(SER_hh_tes!B3=0,0,11630*1000*SER_hh_tes!B3/SER_hh_num!B3)</f>
        <v>146447.60033105465</v>
      </c>
      <c r="C3" s="125">
        <f>IF(SER_hh_tes!C3=0,0,11630*1000*SER_hh_tes!C3/SER_hh_num!C3)</f>
        <v>160121.03157012386</v>
      </c>
      <c r="D3" s="125">
        <f>IF(SER_hh_tes!D3=0,0,11630*1000*SER_hh_tes!D3/SER_hh_num!D3)</f>
        <v>164166.86474510236</v>
      </c>
      <c r="E3" s="125">
        <f>IF(SER_hh_tes!E3=0,0,11630*1000*SER_hh_tes!E3/SER_hh_num!E3)</f>
        <v>164212.18920002616</v>
      </c>
      <c r="F3" s="125">
        <f>IF(SER_hh_tes!F3=0,0,11630*1000*SER_hh_tes!F3/SER_hh_num!F3)</f>
        <v>162546.33646105547</v>
      </c>
      <c r="G3" s="125">
        <f>IF(SER_hh_tes!G3=0,0,11630*1000*SER_hh_tes!G3/SER_hh_num!G3)</f>
        <v>160577.63345611392</v>
      </c>
      <c r="H3" s="125">
        <f>IF(SER_hh_tes!H3=0,0,11630*1000*SER_hh_tes!H3/SER_hh_num!H3)</f>
        <v>162668.72372007923</v>
      </c>
      <c r="I3" s="125">
        <f>IF(SER_hh_tes!I3=0,0,11630*1000*SER_hh_tes!I3/SER_hh_num!I3)</f>
        <v>170863.19890254756</v>
      </c>
      <c r="J3" s="125">
        <f>IF(SER_hh_tes!J3=0,0,11630*1000*SER_hh_tes!J3/SER_hh_num!J3)</f>
        <v>169018.21820839751</v>
      </c>
      <c r="K3" s="125">
        <f>IF(SER_hh_tes!K3=0,0,11630*1000*SER_hh_tes!K3/SER_hh_num!K3)</f>
        <v>187001.07539404012</v>
      </c>
      <c r="L3" s="125">
        <f>IF(SER_hh_tes!L3=0,0,11630*1000*SER_hh_tes!L3/SER_hh_num!L3)</f>
        <v>199615.32242430252</v>
      </c>
      <c r="M3" s="125">
        <f>IF(SER_hh_tes!M3=0,0,11630*1000*SER_hh_tes!M3/SER_hh_num!M3)</f>
        <v>177197.60378840368</v>
      </c>
      <c r="N3" s="125">
        <f>IF(SER_hh_tes!N3=0,0,11630*1000*SER_hh_tes!N3/SER_hh_num!N3)</f>
        <v>191607.28799129531</v>
      </c>
      <c r="O3" s="125">
        <f>IF(SER_hh_tes!O3=0,0,11630*1000*SER_hh_tes!O3/SER_hh_num!O3)</f>
        <v>183047.54941465304</v>
      </c>
      <c r="P3" s="125">
        <f>IF(SER_hh_tes!P3=0,0,11630*1000*SER_hh_tes!P3/SER_hh_num!P3)</f>
        <v>189241.96795319609</v>
      </c>
      <c r="Q3" s="125">
        <f>IF(SER_hh_tes!Q3=0,0,11630*1000*SER_hh_tes!Q3/SER_hh_num!Q3)</f>
        <v>177469.7306268095</v>
      </c>
      <c r="R3" s="125">
        <f>IF(SER_hh_tes!R3=0,0,11630*1000*SER_hh_tes!R3/SER_hh_num!R3)</f>
        <v>188874.17026593312</v>
      </c>
      <c r="S3" s="125">
        <f>IF(SER_hh_tes!S3=0,0,11630*1000*SER_hh_tes!S3/SER_hh_num!S3)</f>
        <v>187921.31167213991</v>
      </c>
      <c r="T3" s="125">
        <f>IF(SER_hh_tes!T3=0,0,11630*1000*SER_hh_tes!T3/SER_hh_num!T3)</f>
        <v>194771.92244984896</v>
      </c>
      <c r="U3" s="125">
        <f>IF(SER_hh_tes!U3=0,0,11630*1000*SER_hh_tes!U3/SER_hh_num!U3)</f>
        <v>190492.13338293228</v>
      </c>
      <c r="V3" s="125">
        <f>IF(SER_hh_tes!V3=0,0,11630*1000*SER_hh_tes!V3/SER_hh_num!V3)</f>
        <v>174696.36776614311</v>
      </c>
      <c r="W3" s="125">
        <f>IF(SER_hh_tes!W3=0,0,11630*1000*SER_hh_tes!W3/SER_hh_num!W3)</f>
        <v>198779.48908464736</v>
      </c>
      <c r="X3" s="125">
        <f>IF(SER_hh_tes!X3=0,0,11630*1000*SER_hh_tes!X3/SER_hh_num!X3)</f>
        <v>191891.68527823285</v>
      </c>
      <c r="Y3" s="125">
        <f>IF(SER_hh_tes!Y3=0,0,11630*1000*SER_hh_tes!Y3/SER_hh_num!Y3)</f>
        <v>189215.09050309184</v>
      </c>
      <c r="DA3" s="154" t="s">
        <v>415</v>
      </c>
    </row>
    <row r="4" spans="1:105" ht="12.95" customHeight="1" x14ac:dyDescent="0.25">
      <c r="A4" s="129" t="s">
        <v>32</v>
      </c>
      <c r="B4" s="130">
        <f>IF(SER_hh_tes!B4=0,0,11630*1000*SER_hh_tes!B4/SER_hh_num!B4)</f>
        <v>112726.90020629884</v>
      </c>
      <c r="C4" s="130">
        <f>IF(SER_hh_tes!C4=0,0,11630*1000*SER_hh_tes!C4/SER_hh_num!C4)</f>
        <v>126534.59358937196</v>
      </c>
      <c r="D4" s="130">
        <f>IF(SER_hh_tes!D4=0,0,11630*1000*SER_hh_tes!D4/SER_hh_num!D4)</f>
        <v>130524.52409305508</v>
      </c>
      <c r="E4" s="130">
        <f>IF(SER_hh_tes!E4=0,0,11630*1000*SER_hh_tes!E4/SER_hh_num!E4)</f>
        <v>129994.23087998753</v>
      </c>
      <c r="F4" s="130">
        <f>IF(SER_hh_tes!F4=0,0,11630*1000*SER_hh_tes!F4/SER_hh_num!F4)</f>
        <v>128123.93725956215</v>
      </c>
      <c r="G4" s="130">
        <f>IF(SER_hh_tes!G4=0,0,11630*1000*SER_hh_tes!G4/SER_hh_num!G4)</f>
        <v>125466.50996956961</v>
      </c>
      <c r="H4" s="130">
        <f>IF(SER_hh_tes!H4=0,0,11630*1000*SER_hh_tes!H4/SER_hh_num!H4)</f>
        <v>127192.12113671684</v>
      </c>
      <c r="I4" s="130">
        <f>IF(SER_hh_tes!I4=0,0,11630*1000*SER_hh_tes!I4/SER_hh_num!I4)</f>
        <v>135248.33335307695</v>
      </c>
      <c r="J4" s="130">
        <f>IF(SER_hh_tes!J4=0,0,11630*1000*SER_hh_tes!J4/SER_hh_num!J4)</f>
        <v>132909.68417093199</v>
      </c>
      <c r="K4" s="130">
        <f>IF(SER_hh_tes!K4=0,0,11630*1000*SER_hh_tes!K4/SER_hh_num!K4)</f>
        <v>150254.1110035108</v>
      </c>
      <c r="L4" s="130">
        <f>IF(SER_hh_tes!L4=0,0,11630*1000*SER_hh_tes!L4/SER_hh_num!L4)</f>
        <v>162210.20397122452</v>
      </c>
      <c r="M4" s="130">
        <f>IF(SER_hh_tes!M4=0,0,11630*1000*SER_hh_tes!M4/SER_hh_num!M4)</f>
        <v>139344.29322326824</v>
      </c>
      <c r="N4" s="130">
        <f>IF(SER_hh_tes!N4=0,0,11630*1000*SER_hh_tes!N4/SER_hh_num!N4)</f>
        <v>153544.65353592008</v>
      </c>
      <c r="O4" s="130">
        <f>IF(SER_hh_tes!O4=0,0,11630*1000*SER_hh_tes!O4/SER_hh_num!O4)</f>
        <v>144381.52374161538</v>
      </c>
      <c r="P4" s="130">
        <f>IF(SER_hh_tes!P4=0,0,11630*1000*SER_hh_tes!P4/SER_hh_num!P4)</f>
        <v>149836.62804621225</v>
      </c>
      <c r="Q4" s="130">
        <f>IF(SER_hh_tes!Q4=0,0,11630*1000*SER_hh_tes!Q4/SER_hh_num!Q4)</f>
        <v>137414.40760768208</v>
      </c>
      <c r="R4" s="130">
        <f>IF(SER_hh_tes!R4=0,0,11630*1000*SER_hh_tes!R4/SER_hh_num!R4)</f>
        <v>148176.91777128691</v>
      </c>
      <c r="S4" s="130">
        <f>IF(SER_hh_tes!S4=0,0,11630*1000*SER_hh_tes!S4/SER_hh_num!S4)</f>
        <v>146256.87188265871</v>
      </c>
      <c r="T4" s="130">
        <f>IF(SER_hh_tes!T4=0,0,11630*1000*SER_hh_tes!T4/SER_hh_num!T4)</f>
        <v>152921.08772013916</v>
      </c>
      <c r="U4" s="130">
        <f>IF(SER_hh_tes!U4=0,0,11630*1000*SER_hh_tes!U4/SER_hh_num!U4)</f>
        <v>147052.24065442572</v>
      </c>
      <c r="V4" s="130">
        <f>IF(SER_hh_tes!V4=0,0,11630*1000*SER_hh_tes!V4/SER_hh_num!V4)</f>
        <v>133955.36217688263</v>
      </c>
      <c r="W4" s="130">
        <f>IF(SER_hh_tes!W4=0,0,11630*1000*SER_hh_tes!W4/SER_hh_num!W4)</f>
        <v>154339.38036721165</v>
      </c>
      <c r="X4" s="130">
        <f>IF(SER_hh_tes!X4=0,0,11630*1000*SER_hh_tes!X4/SER_hh_num!X4)</f>
        <v>147190.60431262842</v>
      </c>
      <c r="Y4" s="130">
        <f>IF(SER_hh_tes!Y4=0,0,11630*1000*SER_hh_tes!Y4/SER_hh_num!Y4)</f>
        <v>143780.19224444198</v>
      </c>
      <c r="DA4" s="155" t="s">
        <v>416</v>
      </c>
    </row>
    <row r="5" spans="1:105" ht="12" customHeight="1" x14ac:dyDescent="0.25">
      <c r="A5" s="131" t="s">
        <v>29</v>
      </c>
      <c r="B5" s="132">
        <f>IF(SER_hh_tes!B5=0,0,11630*1000*SER_hh_tes!B5/SER_hh_num!B5)</f>
        <v>114836.30516732229</v>
      </c>
      <c r="C5" s="132">
        <f>IF(SER_hh_tes!C5=0,0,11630*1000*SER_hh_tes!C5/SER_hh_num!C5)</f>
        <v>123375.4087314736</v>
      </c>
      <c r="D5" s="132">
        <f>IF(SER_hh_tes!D5=0,0,11630*1000*SER_hh_tes!D5/SER_hh_num!D5)</f>
        <v>126486.68899044264</v>
      </c>
      <c r="E5" s="132">
        <f>IF(SER_hh_tes!E5=0,0,11630*1000*SER_hh_tes!E5/SER_hh_num!E5)</f>
        <v>129722.86141136407</v>
      </c>
      <c r="F5" s="132">
        <f>IF(SER_hh_tes!F5=0,0,11630*1000*SER_hh_tes!F5/SER_hh_num!F5)</f>
        <v>125310.92122667229</v>
      </c>
      <c r="G5" s="132">
        <f>IF(SER_hh_tes!G5=0,0,11630*1000*SER_hh_tes!G5/SER_hh_num!G5)</f>
        <v>124458.67817984319</v>
      </c>
      <c r="H5" s="132">
        <f>IF(SER_hh_tes!H5=0,0,11630*1000*SER_hh_tes!H5/SER_hh_num!H5)</f>
        <v>132266.69192601278</v>
      </c>
      <c r="I5" s="132">
        <f>IF(SER_hh_tes!I5=0,0,11630*1000*SER_hh_tes!I5/SER_hh_num!I5)</f>
        <v>112122.58086491916</v>
      </c>
      <c r="J5" s="132">
        <f>IF(SER_hh_tes!J5=0,0,11630*1000*SER_hh_tes!J5/SER_hh_num!J5)</f>
        <v>136498.45747432564</v>
      </c>
      <c r="K5" s="132">
        <f>IF(SER_hh_tes!K5=0,0,11630*1000*SER_hh_tes!K5/SER_hh_num!K5)</f>
        <v>150679.50711314703</v>
      </c>
      <c r="L5" s="132">
        <f>IF(SER_hh_tes!L5=0,0,11630*1000*SER_hh_tes!L5/SER_hh_num!L5)</f>
        <v>164592.25584503866</v>
      </c>
      <c r="M5" s="132">
        <f>IF(SER_hh_tes!M5=0,0,11630*1000*SER_hh_tes!M5/SER_hh_num!M5)</f>
        <v>134219.7900243953</v>
      </c>
      <c r="N5" s="132">
        <f>IF(SER_hh_tes!N5=0,0,11630*1000*SER_hh_tes!N5/SER_hh_num!N5)</f>
        <v>155918.64375450116</v>
      </c>
      <c r="O5" s="132">
        <f>IF(SER_hh_tes!O5=0,0,11630*1000*SER_hh_tes!O5/SER_hh_num!O5)</f>
        <v>143865.56153889067</v>
      </c>
      <c r="P5" s="132">
        <f>IF(SER_hh_tes!P5=0,0,11630*1000*SER_hh_tes!P5/SER_hh_num!P5)</f>
        <v>148503.6563015643</v>
      </c>
      <c r="Q5" s="132">
        <f>IF(SER_hh_tes!Q5=0,0,11630*1000*SER_hh_tes!Q5/SER_hh_num!Q5)</f>
        <v>134682.00912450365</v>
      </c>
      <c r="R5" s="132">
        <f>IF(SER_hh_tes!R5=0,0,11630*1000*SER_hh_tes!R5/SER_hh_num!R5)</f>
        <v>147341.38723423972</v>
      </c>
      <c r="S5" s="132">
        <f>IF(SER_hh_tes!S5=0,0,11630*1000*SER_hh_tes!S5/SER_hh_num!S5)</f>
        <v>145564.31680071744</v>
      </c>
      <c r="T5" s="132">
        <f>IF(SER_hh_tes!T5=0,0,11630*1000*SER_hh_tes!T5/SER_hh_num!T5)</f>
        <v>148139.12468701758</v>
      </c>
      <c r="U5" s="132">
        <f>IF(SER_hh_tes!U5=0,0,11630*1000*SER_hh_tes!U5/SER_hh_num!U5)</f>
        <v>153039.23078004125</v>
      </c>
      <c r="V5" s="132">
        <f>IF(SER_hh_tes!V5=0,0,11630*1000*SER_hh_tes!V5/SER_hh_num!V5)</f>
        <v>139103.20768276416</v>
      </c>
      <c r="W5" s="132">
        <f>IF(SER_hh_tes!W5=0,0,11630*1000*SER_hh_tes!W5/SER_hh_num!W5)</f>
        <v>149473.4314805574</v>
      </c>
      <c r="X5" s="132">
        <f>IF(SER_hh_tes!X5=0,0,11630*1000*SER_hh_tes!X5/SER_hh_num!X5)</f>
        <v>146622.83558604482</v>
      </c>
      <c r="Y5" s="132">
        <f>IF(SER_hh_tes!Y5=0,0,11630*1000*SER_hh_tes!Y5/SER_hh_num!Y5)</f>
        <v>144064.44148820502</v>
      </c>
      <c r="DA5" s="156" t="s">
        <v>417</v>
      </c>
    </row>
    <row r="6" spans="1:105" ht="12" customHeight="1" x14ac:dyDescent="0.25">
      <c r="A6" s="131" t="s">
        <v>52</v>
      </c>
      <c r="B6" s="132">
        <f>IF(SER_hh_tes!B6=0,0,11630*1000*SER_hh_tes!B6/SER_hh_num!B6)</f>
        <v>0</v>
      </c>
      <c r="C6" s="132">
        <f>IF(SER_hh_tes!C6=0,0,11630*1000*SER_hh_tes!C6/SER_hh_num!C6)</f>
        <v>0</v>
      </c>
      <c r="D6" s="132">
        <f>IF(SER_hh_tes!D6=0,0,11630*1000*SER_hh_tes!D6/SER_hh_num!D6)</f>
        <v>0</v>
      </c>
      <c r="E6" s="132">
        <f>IF(SER_hh_tes!E6=0,0,11630*1000*SER_hh_tes!E6/SER_hh_num!E6)</f>
        <v>0</v>
      </c>
      <c r="F6" s="132">
        <f>IF(SER_hh_tes!F6=0,0,11630*1000*SER_hh_tes!F6/SER_hh_num!F6)</f>
        <v>0</v>
      </c>
      <c r="G6" s="132">
        <f>IF(SER_hh_tes!G6=0,0,11630*1000*SER_hh_tes!G6/SER_hh_num!G6)</f>
        <v>0</v>
      </c>
      <c r="H6" s="132">
        <f>IF(SER_hh_tes!H6=0,0,11630*1000*SER_hh_tes!H6/SER_hh_num!H6)</f>
        <v>0</v>
      </c>
      <c r="I6" s="132">
        <f>IF(SER_hh_tes!I6=0,0,11630*1000*SER_hh_tes!I6/SER_hh_num!I6)</f>
        <v>0</v>
      </c>
      <c r="J6" s="132">
        <f>IF(SER_hh_tes!J6=0,0,11630*1000*SER_hh_tes!J6/SER_hh_num!J6)</f>
        <v>0</v>
      </c>
      <c r="K6" s="132">
        <f>IF(SER_hh_tes!K6=0,0,11630*1000*SER_hh_tes!K6/SER_hh_num!K6)</f>
        <v>0</v>
      </c>
      <c r="L6" s="132">
        <f>IF(SER_hh_tes!L6=0,0,11630*1000*SER_hh_tes!L6/SER_hh_num!L6)</f>
        <v>0</v>
      </c>
      <c r="M6" s="132">
        <f>IF(SER_hh_tes!M6=0,0,11630*1000*SER_hh_tes!M6/SER_hh_num!M6)</f>
        <v>0</v>
      </c>
      <c r="N6" s="132">
        <f>IF(SER_hh_tes!N6=0,0,11630*1000*SER_hh_tes!N6/SER_hh_num!N6)</f>
        <v>0</v>
      </c>
      <c r="O6" s="132">
        <f>IF(SER_hh_tes!O6=0,0,11630*1000*SER_hh_tes!O6/SER_hh_num!O6)</f>
        <v>0</v>
      </c>
      <c r="P6" s="132">
        <f>IF(SER_hh_tes!P6=0,0,11630*1000*SER_hh_tes!P6/SER_hh_num!P6)</f>
        <v>0</v>
      </c>
      <c r="Q6" s="132">
        <f>IF(SER_hh_tes!Q6=0,0,11630*1000*SER_hh_tes!Q6/SER_hh_num!Q6)</f>
        <v>0</v>
      </c>
      <c r="R6" s="132">
        <f>IF(SER_hh_tes!R6=0,0,11630*1000*SER_hh_tes!R6/SER_hh_num!R6)</f>
        <v>0</v>
      </c>
      <c r="S6" s="132">
        <f>IF(SER_hh_tes!S6=0,0,11630*1000*SER_hh_tes!S6/SER_hh_num!S6)</f>
        <v>0</v>
      </c>
      <c r="T6" s="132">
        <f>IF(SER_hh_tes!T6=0,0,11630*1000*SER_hh_tes!T6/SER_hh_num!T6)</f>
        <v>0</v>
      </c>
      <c r="U6" s="132">
        <f>IF(SER_hh_tes!U6=0,0,11630*1000*SER_hh_tes!U6/SER_hh_num!U6)</f>
        <v>0</v>
      </c>
      <c r="V6" s="132">
        <f>IF(SER_hh_tes!V6=0,0,11630*1000*SER_hh_tes!V6/SER_hh_num!V6)</f>
        <v>0</v>
      </c>
      <c r="W6" s="132">
        <f>IF(SER_hh_tes!W6=0,0,11630*1000*SER_hh_tes!W6/SER_hh_num!W6)</f>
        <v>0</v>
      </c>
      <c r="X6" s="132">
        <f>IF(SER_hh_tes!X6=0,0,11630*1000*SER_hh_tes!X6/SER_hh_num!X6)</f>
        <v>0</v>
      </c>
      <c r="Y6" s="132">
        <f>IF(SER_hh_tes!Y6=0,0,11630*1000*SER_hh_tes!Y6/SER_hh_num!Y6)</f>
        <v>0</v>
      </c>
      <c r="DA6" s="156" t="s">
        <v>418</v>
      </c>
    </row>
    <row r="7" spans="1:105" ht="12" customHeight="1" x14ac:dyDescent="0.25">
      <c r="A7" s="131" t="s">
        <v>161</v>
      </c>
      <c r="B7" s="132">
        <f>IF(SER_hh_tes!B7=0,0,11630*1000*SER_hh_tes!B7/SER_hh_num!B7)</f>
        <v>113161.49513493838</v>
      </c>
      <c r="C7" s="132">
        <f>IF(SER_hh_tes!C7=0,0,11630*1000*SER_hh_tes!C7/SER_hh_num!C7)</f>
        <v>123299.95112925181</v>
      </c>
      <c r="D7" s="132">
        <f>IF(SER_hh_tes!D7=0,0,11630*1000*SER_hh_tes!D7/SER_hh_num!D7)</f>
        <v>125627.65522264743</v>
      </c>
      <c r="E7" s="132">
        <f>IF(SER_hh_tes!E7=0,0,11630*1000*SER_hh_tes!E7/SER_hh_num!E7)</f>
        <v>127426.47261789319</v>
      </c>
      <c r="F7" s="132">
        <f>IF(SER_hh_tes!F7=0,0,11630*1000*SER_hh_tes!F7/SER_hh_num!F7)</f>
        <v>126389.57088250585</v>
      </c>
      <c r="G7" s="132">
        <f>IF(SER_hh_tes!G7=0,0,11630*1000*SER_hh_tes!G7/SER_hh_num!G7)</f>
        <v>123916.49986357824</v>
      </c>
      <c r="H7" s="132">
        <f>IF(SER_hh_tes!H7=0,0,11630*1000*SER_hh_tes!H7/SER_hh_num!H7)</f>
        <v>129815.2888106383</v>
      </c>
      <c r="I7" s="132">
        <f>IF(SER_hh_tes!I7=0,0,11630*1000*SER_hh_tes!I7/SER_hh_num!I7)</f>
        <v>135068.63248982403</v>
      </c>
      <c r="J7" s="132">
        <f>IF(SER_hh_tes!J7=0,0,11630*1000*SER_hh_tes!J7/SER_hh_num!J7)</f>
        <v>119433.31139178158</v>
      </c>
      <c r="K7" s="132">
        <f>IF(SER_hh_tes!K7=0,0,11630*1000*SER_hh_tes!K7/SER_hh_num!K7)</f>
        <v>138763.44248135536</v>
      </c>
      <c r="L7" s="132">
        <f>IF(SER_hh_tes!L7=0,0,11630*1000*SER_hh_tes!L7/SER_hh_num!L7)</f>
        <v>164700.06942046474</v>
      </c>
      <c r="M7" s="132">
        <f>IF(SER_hh_tes!M7=0,0,11630*1000*SER_hh_tes!M7/SER_hh_num!M7)</f>
        <v>138004.88444676055</v>
      </c>
      <c r="N7" s="132">
        <f>IF(SER_hh_tes!N7=0,0,11630*1000*SER_hh_tes!N7/SER_hh_num!N7)</f>
        <v>154373.8020916502</v>
      </c>
      <c r="O7" s="132">
        <f>IF(SER_hh_tes!O7=0,0,11630*1000*SER_hh_tes!O7/SER_hh_num!O7)</f>
        <v>142824.80585138418</v>
      </c>
      <c r="P7" s="132">
        <f>IF(SER_hh_tes!P7=0,0,11630*1000*SER_hh_tes!P7/SER_hh_num!P7)</f>
        <v>144649.00136926153</v>
      </c>
      <c r="Q7" s="132">
        <f>IF(SER_hh_tes!Q7=0,0,11630*1000*SER_hh_tes!Q7/SER_hh_num!Q7)</f>
        <v>132752.60745091579</v>
      </c>
      <c r="R7" s="132">
        <f>IF(SER_hh_tes!R7=0,0,11630*1000*SER_hh_tes!R7/SER_hh_num!R7)</f>
        <v>146697.41289896634</v>
      </c>
      <c r="S7" s="132">
        <f>IF(SER_hh_tes!S7=0,0,11630*1000*SER_hh_tes!S7/SER_hh_num!S7)</f>
        <v>146154.50270361613</v>
      </c>
      <c r="T7" s="132">
        <f>IF(SER_hh_tes!T7=0,0,11630*1000*SER_hh_tes!T7/SER_hh_num!T7)</f>
        <v>147199.49970162893</v>
      </c>
      <c r="U7" s="132">
        <f>IF(SER_hh_tes!U7=0,0,11630*1000*SER_hh_tes!U7/SER_hh_num!U7)</f>
        <v>145476.04106901219</v>
      </c>
      <c r="V7" s="132">
        <f>IF(SER_hh_tes!V7=0,0,11630*1000*SER_hh_tes!V7/SER_hh_num!V7)</f>
        <v>131725.84269750828</v>
      </c>
      <c r="W7" s="132">
        <f>IF(SER_hh_tes!W7=0,0,11630*1000*SER_hh_tes!W7/SER_hh_num!W7)</f>
        <v>152942.45509355731</v>
      </c>
      <c r="X7" s="132">
        <f>IF(SER_hh_tes!X7=0,0,11630*1000*SER_hh_tes!X7/SER_hh_num!X7)</f>
        <v>143313.02200878019</v>
      </c>
      <c r="Y7" s="132">
        <f>IF(SER_hh_tes!Y7=0,0,11630*1000*SER_hh_tes!Y7/SER_hh_num!Y7)</f>
        <v>143794.84378885836</v>
      </c>
      <c r="DA7" s="156" t="s">
        <v>419</v>
      </c>
    </row>
    <row r="8" spans="1:105" ht="12" customHeight="1" x14ac:dyDescent="0.25">
      <c r="A8" s="131" t="s">
        <v>73</v>
      </c>
      <c r="B8" s="132">
        <f>IF(SER_hh_tes!B8=0,0,11630*1000*SER_hh_tes!B8/SER_hh_num!B8)</f>
        <v>0</v>
      </c>
      <c r="C8" s="132">
        <f>IF(SER_hh_tes!C8=0,0,11630*1000*SER_hh_tes!C8/SER_hh_num!C8)</f>
        <v>0</v>
      </c>
      <c r="D8" s="132">
        <f>IF(SER_hh_tes!D8=0,0,11630*1000*SER_hh_tes!D8/SER_hh_num!D8)</f>
        <v>0</v>
      </c>
      <c r="E8" s="132">
        <f>IF(SER_hh_tes!E8=0,0,11630*1000*SER_hh_tes!E8/SER_hh_num!E8)</f>
        <v>0</v>
      </c>
      <c r="F8" s="132">
        <f>IF(SER_hh_tes!F8=0,0,11630*1000*SER_hh_tes!F8/SER_hh_num!F8)</f>
        <v>0</v>
      </c>
      <c r="G8" s="132">
        <f>IF(SER_hh_tes!G8=0,0,11630*1000*SER_hh_tes!G8/SER_hh_num!G8)</f>
        <v>0</v>
      </c>
      <c r="H8" s="132">
        <f>IF(SER_hh_tes!H8=0,0,11630*1000*SER_hh_tes!H8/SER_hh_num!H8)</f>
        <v>0</v>
      </c>
      <c r="I8" s="132">
        <f>IF(SER_hh_tes!I8=0,0,11630*1000*SER_hh_tes!I8/SER_hh_num!I8)</f>
        <v>0</v>
      </c>
      <c r="J8" s="132">
        <f>IF(SER_hh_tes!J8=0,0,11630*1000*SER_hh_tes!J8/SER_hh_num!J8)</f>
        <v>0</v>
      </c>
      <c r="K8" s="132">
        <f>IF(SER_hh_tes!K8=0,0,11630*1000*SER_hh_tes!K8/SER_hh_num!K8)</f>
        <v>0</v>
      </c>
      <c r="L8" s="132">
        <f>IF(SER_hh_tes!L8=0,0,11630*1000*SER_hh_tes!L8/SER_hh_num!L8)</f>
        <v>0</v>
      </c>
      <c r="M8" s="132">
        <f>IF(SER_hh_tes!M8=0,0,11630*1000*SER_hh_tes!M8/SER_hh_num!M8)</f>
        <v>0</v>
      </c>
      <c r="N8" s="132">
        <f>IF(SER_hh_tes!N8=0,0,11630*1000*SER_hh_tes!N8/SER_hh_num!N8)</f>
        <v>0</v>
      </c>
      <c r="O8" s="132">
        <f>IF(SER_hh_tes!O8=0,0,11630*1000*SER_hh_tes!O8/SER_hh_num!O8)</f>
        <v>0</v>
      </c>
      <c r="P8" s="132">
        <f>IF(SER_hh_tes!P8=0,0,11630*1000*SER_hh_tes!P8/SER_hh_num!P8)</f>
        <v>0</v>
      </c>
      <c r="Q8" s="132">
        <f>IF(SER_hh_tes!Q8=0,0,11630*1000*SER_hh_tes!Q8/SER_hh_num!Q8)</f>
        <v>0</v>
      </c>
      <c r="R8" s="132">
        <f>IF(SER_hh_tes!R8=0,0,11630*1000*SER_hh_tes!R8/SER_hh_num!R8)</f>
        <v>0</v>
      </c>
      <c r="S8" s="132">
        <f>IF(SER_hh_tes!S8=0,0,11630*1000*SER_hh_tes!S8/SER_hh_num!S8)</f>
        <v>0</v>
      </c>
      <c r="T8" s="132">
        <f>IF(SER_hh_tes!T8=0,0,11630*1000*SER_hh_tes!T8/SER_hh_num!T8)</f>
        <v>0</v>
      </c>
      <c r="U8" s="132">
        <f>IF(SER_hh_tes!U8=0,0,11630*1000*SER_hh_tes!U8/SER_hh_num!U8)</f>
        <v>0</v>
      </c>
      <c r="V8" s="132">
        <f>IF(SER_hh_tes!V8=0,0,11630*1000*SER_hh_tes!V8/SER_hh_num!V8)</f>
        <v>0</v>
      </c>
      <c r="W8" s="132">
        <f>IF(SER_hh_tes!W8=0,0,11630*1000*SER_hh_tes!W8/SER_hh_num!W8)</f>
        <v>0</v>
      </c>
      <c r="X8" s="132">
        <f>IF(SER_hh_tes!X8=0,0,11630*1000*SER_hh_tes!X8/SER_hh_num!X8)</f>
        <v>0</v>
      </c>
      <c r="Y8" s="132">
        <f>IF(SER_hh_tes!Y8=0,0,11630*1000*SER_hh_tes!Y8/SER_hh_num!Y8)</f>
        <v>0</v>
      </c>
      <c r="DA8" s="156" t="s">
        <v>420</v>
      </c>
    </row>
    <row r="9" spans="1:105" ht="12" customHeight="1" x14ac:dyDescent="0.25">
      <c r="A9" s="131" t="s">
        <v>78</v>
      </c>
      <c r="B9" s="132">
        <f>IF(SER_hh_tes!B9=0,0,11630*1000*SER_hh_tes!B9/SER_hh_num!B9)</f>
        <v>125115.80333398777</v>
      </c>
      <c r="C9" s="132">
        <f>IF(SER_hh_tes!C9=0,0,11630*1000*SER_hh_tes!C9/SER_hh_num!C9)</f>
        <v>115079.63973854267</v>
      </c>
      <c r="D9" s="132">
        <f>IF(SER_hh_tes!D9=0,0,11630*1000*SER_hh_tes!D9/SER_hh_num!D9)</f>
        <v>128182.14961670524</v>
      </c>
      <c r="E9" s="132">
        <f>IF(SER_hh_tes!E9=0,0,11630*1000*SER_hh_tes!E9/SER_hh_num!E9)</f>
        <v>125294.79236207985</v>
      </c>
      <c r="F9" s="132">
        <f>IF(SER_hh_tes!F9=0,0,11630*1000*SER_hh_tes!F9/SER_hh_num!F9)</f>
        <v>131159.88986494098</v>
      </c>
      <c r="G9" s="132">
        <f>IF(SER_hh_tes!G9=0,0,11630*1000*SER_hh_tes!G9/SER_hh_num!G9)</f>
        <v>128760.04980091636</v>
      </c>
      <c r="H9" s="132">
        <f>IF(SER_hh_tes!H9=0,0,11630*1000*SER_hh_tes!H9/SER_hh_num!H9)</f>
        <v>125787.14333100515</v>
      </c>
      <c r="I9" s="132">
        <f>IF(SER_hh_tes!I9=0,0,11630*1000*SER_hh_tes!I9/SER_hh_num!I9)</f>
        <v>129807.19868625235</v>
      </c>
      <c r="J9" s="132">
        <f>IF(SER_hh_tes!J9=0,0,11630*1000*SER_hh_tes!J9/SER_hh_num!J9)</f>
        <v>133137.72379949255</v>
      </c>
      <c r="K9" s="132">
        <f>IF(SER_hh_tes!K9=0,0,11630*1000*SER_hh_tes!K9/SER_hh_num!K9)</f>
        <v>133509.72895786181</v>
      </c>
      <c r="L9" s="132">
        <f>IF(SER_hh_tes!L9=0,0,11630*1000*SER_hh_tes!L9/SER_hh_num!L9)</f>
        <v>146202.63851407546</v>
      </c>
      <c r="M9" s="132">
        <f>IF(SER_hh_tes!M9=0,0,11630*1000*SER_hh_tes!M9/SER_hh_num!M9)</f>
        <v>196179.35762572897</v>
      </c>
      <c r="N9" s="132">
        <f>IF(SER_hh_tes!N9=0,0,11630*1000*SER_hh_tes!N9/SER_hh_num!N9)</f>
        <v>216526.54322944599</v>
      </c>
      <c r="O9" s="132">
        <f>IF(SER_hh_tes!O9=0,0,11630*1000*SER_hh_tes!O9/SER_hh_num!O9)</f>
        <v>177430.80454874464</v>
      </c>
      <c r="P9" s="132">
        <f>IF(SER_hh_tes!P9=0,0,11630*1000*SER_hh_tes!P9/SER_hh_num!P9)</f>
        <v>150680.35011410213</v>
      </c>
      <c r="Q9" s="132">
        <f>IF(SER_hh_tes!Q9=0,0,11630*1000*SER_hh_tes!Q9/SER_hh_num!Q9)</f>
        <v>131410.47785587201</v>
      </c>
      <c r="R9" s="132">
        <f>IF(SER_hh_tes!R9=0,0,11630*1000*SER_hh_tes!R9/SER_hh_num!R9)</f>
        <v>128393.75448564629</v>
      </c>
      <c r="S9" s="132">
        <f>IF(SER_hh_tes!S9=0,0,11630*1000*SER_hh_tes!S9/SER_hh_num!S9)</f>
        <v>157234.12981991362</v>
      </c>
      <c r="T9" s="132">
        <f>IF(SER_hh_tes!T9=0,0,11630*1000*SER_hh_tes!T9/SER_hh_num!T9)</f>
        <v>147374.60239710193</v>
      </c>
      <c r="U9" s="132">
        <f>IF(SER_hh_tes!U9=0,0,11630*1000*SER_hh_tes!U9/SER_hh_num!U9)</f>
        <v>143029.33319607249</v>
      </c>
      <c r="V9" s="132">
        <f>IF(SER_hh_tes!V9=0,0,11630*1000*SER_hh_tes!V9/SER_hh_num!V9)</f>
        <v>130031.46477178516</v>
      </c>
      <c r="W9" s="132">
        <f>IF(SER_hh_tes!W9=0,0,11630*1000*SER_hh_tes!W9/SER_hh_num!W9)</f>
        <v>164602.45047119737</v>
      </c>
      <c r="X9" s="132">
        <f>IF(SER_hh_tes!X9=0,0,11630*1000*SER_hh_tes!X9/SER_hh_num!X9)</f>
        <v>148683.22269489308</v>
      </c>
      <c r="Y9" s="132">
        <f>IF(SER_hh_tes!Y9=0,0,11630*1000*SER_hh_tes!Y9/SER_hh_num!Y9)</f>
        <v>129698.82620717304</v>
      </c>
      <c r="DA9" s="156" t="s">
        <v>421</v>
      </c>
    </row>
    <row r="10" spans="1:105" ht="12" customHeight="1" x14ac:dyDescent="0.25">
      <c r="A10" s="131" t="s">
        <v>128</v>
      </c>
      <c r="B10" s="132">
        <f>IF(SER_hh_tes!B10=0,0,11630*1000*SER_hh_tes!B10/SER_hh_num!B10)</f>
        <v>110778.33896817428</v>
      </c>
      <c r="C10" s="132">
        <f>IF(SER_hh_tes!C10=0,0,11630*1000*SER_hh_tes!C10/SER_hh_num!C10)</f>
        <v>125416.841596068</v>
      </c>
      <c r="D10" s="132">
        <f>IF(SER_hh_tes!D10=0,0,11630*1000*SER_hh_tes!D10/SER_hh_num!D10)</f>
        <v>128488.22344774833</v>
      </c>
      <c r="E10" s="132">
        <f>IF(SER_hh_tes!E10=0,0,11630*1000*SER_hh_tes!E10/SER_hh_num!E10)</f>
        <v>129006.16501457914</v>
      </c>
      <c r="F10" s="132">
        <f>IF(SER_hh_tes!F10=0,0,11630*1000*SER_hh_tes!F10/SER_hh_num!F10)</f>
        <v>126396.36410320562</v>
      </c>
      <c r="G10" s="132">
        <f>IF(SER_hh_tes!G10=0,0,11630*1000*SER_hh_tes!G10/SER_hh_num!G10)</f>
        <v>125193.85307569173</v>
      </c>
      <c r="H10" s="132">
        <f>IF(SER_hh_tes!H10=0,0,11630*1000*SER_hh_tes!H10/SER_hh_num!H10)</f>
        <v>128295.96650799869</v>
      </c>
      <c r="I10" s="132">
        <f>IF(SER_hh_tes!I10=0,0,11630*1000*SER_hh_tes!I10/SER_hh_num!I10)</f>
        <v>128046.75215687846</v>
      </c>
      <c r="J10" s="132">
        <f>IF(SER_hh_tes!J10=0,0,11630*1000*SER_hh_tes!J10/SER_hh_num!J10)</f>
        <v>136270.65489115083</v>
      </c>
      <c r="K10" s="132">
        <f>IF(SER_hh_tes!K10=0,0,11630*1000*SER_hh_tes!K10/SER_hh_num!K10)</f>
        <v>146596.70909983735</v>
      </c>
      <c r="L10" s="132">
        <f>IF(SER_hh_tes!L10=0,0,11630*1000*SER_hh_tes!L10/SER_hh_num!L10)</f>
        <v>161808.44545270005</v>
      </c>
      <c r="M10" s="132">
        <f>IF(SER_hh_tes!M10=0,0,11630*1000*SER_hh_tes!M10/SER_hh_num!M10)</f>
        <v>138919.84472374522</v>
      </c>
      <c r="N10" s="132">
        <f>IF(SER_hh_tes!N10=0,0,11630*1000*SER_hh_tes!N10/SER_hh_num!N10)</f>
        <v>154416.36871477877</v>
      </c>
      <c r="O10" s="132">
        <f>IF(SER_hh_tes!O10=0,0,11630*1000*SER_hh_tes!O10/SER_hh_num!O10)</f>
        <v>143192.76695371821</v>
      </c>
      <c r="P10" s="132">
        <f>IF(SER_hh_tes!P10=0,0,11630*1000*SER_hh_tes!P10/SER_hh_num!P10)</f>
        <v>147676.89337596091</v>
      </c>
      <c r="Q10" s="132">
        <f>IF(SER_hh_tes!Q10=0,0,11630*1000*SER_hh_tes!Q10/SER_hh_num!Q10)</f>
        <v>134015.393132839</v>
      </c>
      <c r="R10" s="132">
        <f>IF(SER_hh_tes!R10=0,0,11630*1000*SER_hh_tes!R10/SER_hh_num!R10)</f>
        <v>147706.09622608218</v>
      </c>
      <c r="S10" s="132">
        <f>IF(SER_hh_tes!S10=0,0,11630*1000*SER_hh_tes!S10/SER_hh_num!S10)</f>
        <v>147159.00864420386</v>
      </c>
      <c r="T10" s="132">
        <f>IF(SER_hh_tes!T10=0,0,11630*1000*SER_hh_tes!T10/SER_hh_num!T10)</f>
        <v>150363.02769021926</v>
      </c>
      <c r="U10" s="132">
        <f>IF(SER_hh_tes!U10=0,0,11630*1000*SER_hh_tes!U10/SER_hh_num!U10)</f>
        <v>145980.76757548022</v>
      </c>
      <c r="V10" s="132">
        <f>IF(SER_hh_tes!V10=0,0,11630*1000*SER_hh_tes!V10/SER_hh_num!V10)</f>
        <v>130407.80410024279</v>
      </c>
      <c r="W10" s="132">
        <f>IF(SER_hh_tes!W10=0,0,11630*1000*SER_hh_tes!W10/SER_hh_num!W10)</f>
        <v>151741.67240192453</v>
      </c>
      <c r="X10" s="132">
        <f>IF(SER_hh_tes!X10=0,0,11630*1000*SER_hh_tes!X10/SER_hh_num!X10)</f>
        <v>156468.19501077209</v>
      </c>
      <c r="Y10" s="132">
        <f>IF(SER_hh_tes!Y10=0,0,11630*1000*SER_hh_tes!Y10/SER_hh_num!Y10)</f>
        <v>139320.92206928131</v>
      </c>
      <c r="DA10" s="156" t="s">
        <v>422</v>
      </c>
    </row>
    <row r="11" spans="1:105" ht="12" customHeight="1" x14ac:dyDescent="0.25">
      <c r="A11" s="131" t="s">
        <v>25</v>
      </c>
      <c r="B11" s="132">
        <f>IF(SER_hh_tes!B11=0,0,11630*1000*SER_hh_tes!B11/SER_hh_num!B11)</f>
        <v>0</v>
      </c>
      <c r="C11" s="132">
        <f>IF(SER_hh_tes!C11=0,0,11630*1000*SER_hh_tes!C11/SER_hh_num!C11)</f>
        <v>0</v>
      </c>
      <c r="D11" s="132">
        <f>IF(SER_hh_tes!D11=0,0,11630*1000*SER_hh_tes!D11/SER_hh_num!D11)</f>
        <v>0</v>
      </c>
      <c r="E11" s="132">
        <f>IF(SER_hh_tes!E11=0,0,11630*1000*SER_hh_tes!E11/SER_hh_num!E11)</f>
        <v>0</v>
      </c>
      <c r="F11" s="132">
        <f>IF(SER_hh_tes!F11=0,0,11630*1000*SER_hh_tes!F11/SER_hh_num!F11)</f>
        <v>0</v>
      </c>
      <c r="G11" s="132">
        <f>IF(SER_hh_tes!G11=0,0,11630*1000*SER_hh_tes!G11/SER_hh_num!G11)</f>
        <v>0</v>
      </c>
      <c r="H11" s="132">
        <f>IF(SER_hh_tes!H11=0,0,11630*1000*SER_hh_tes!H11/SER_hh_num!H11)</f>
        <v>0</v>
      </c>
      <c r="I11" s="132">
        <f>IF(SER_hh_tes!I11=0,0,11630*1000*SER_hh_tes!I11/SER_hh_num!I11)</f>
        <v>0</v>
      </c>
      <c r="J11" s="132">
        <f>IF(SER_hh_tes!J11=0,0,11630*1000*SER_hh_tes!J11/SER_hh_num!J11)</f>
        <v>0</v>
      </c>
      <c r="K11" s="132">
        <f>IF(SER_hh_tes!K11=0,0,11630*1000*SER_hh_tes!K11/SER_hh_num!K11)</f>
        <v>0</v>
      </c>
      <c r="L11" s="132">
        <f>IF(SER_hh_tes!L11=0,0,11630*1000*SER_hh_tes!L11/SER_hh_num!L11)</f>
        <v>0</v>
      </c>
      <c r="M11" s="132">
        <f>IF(SER_hh_tes!M11=0,0,11630*1000*SER_hh_tes!M11/SER_hh_num!M11)</f>
        <v>0</v>
      </c>
      <c r="N11" s="132">
        <f>IF(SER_hh_tes!N11=0,0,11630*1000*SER_hh_tes!N11/SER_hh_num!N11)</f>
        <v>0</v>
      </c>
      <c r="O11" s="132">
        <f>IF(SER_hh_tes!O11=0,0,11630*1000*SER_hh_tes!O11/SER_hh_num!O11)</f>
        <v>0</v>
      </c>
      <c r="P11" s="132">
        <f>IF(SER_hh_tes!P11=0,0,11630*1000*SER_hh_tes!P11/SER_hh_num!P11)</f>
        <v>0</v>
      </c>
      <c r="Q11" s="132">
        <f>IF(SER_hh_tes!Q11=0,0,11630*1000*SER_hh_tes!Q11/SER_hh_num!Q11)</f>
        <v>0</v>
      </c>
      <c r="R11" s="132">
        <f>IF(SER_hh_tes!R11=0,0,11630*1000*SER_hh_tes!R11/SER_hh_num!R11)</f>
        <v>0</v>
      </c>
      <c r="S11" s="132">
        <f>IF(SER_hh_tes!S11=0,0,11630*1000*SER_hh_tes!S11/SER_hh_num!S11)</f>
        <v>0</v>
      </c>
      <c r="T11" s="132">
        <f>IF(SER_hh_tes!T11=0,0,11630*1000*SER_hh_tes!T11/SER_hh_num!T11)</f>
        <v>0</v>
      </c>
      <c r="U11" s="132">
        <f>IF(SER_hh_tes!U11=0,0,11630*1000*SER_hh_tes!U11/SER_hh_num!U11)</f>
        <v>0</v>
      </c>
      <c r="V11" s="132">
        <f>IF(SER_hh_tes!V11=0,0,11630*1000*SER_hh_tes!V11/SER_hh_num!V11)</f>
        <v>0</v>
      </c>
      <c r="W11" s="132">
        <f>IF(SER_hh_tes!W11=0,0,11630*1000*SER_hh_tes!W11/SER_hh_num!W11)</f>
        <v>0</v>
      </c>
      <c r="X11" s="132">
        <f>IF(SER_hh_tes!X11=0,0,11630*1000*SER_hh_tes!X11/SER_hh_num!X11)</f>
        <v>0</v>
      </c>
      <c r="Y11" s="132">
        <f>IF(SER_hh_tes!Y11=0,0,11630*1000*SER_hh_tes!Y11/SER_hh_num!Y11)</f>
        <v>0</v>
      </c>
      <c r="DA11" s="156" t="s">
        <v>423</v>
      </c>
    </row>
    <row r="12" spans="1:105" ht="12" customHeight="1" x14ac:dyDescent="0.25">
      <c r="A12" s="131" t="s">
        <v>162</v>
      </c>
      <c r="B12" s="132">
        <f>IF(SER_hh_tes!B12=0,0,11630*1000*SER_hh_tes!B12/SER_hh_num!B12)</f>
        <v>111580.93030452097</v>
      </c>
      <c r="C12" s="132">
        <f>IF(SER_hh_tes!C12=0,0,11630*1000*SER_hh_tes!C12/SER_hh_num!C12)</f>
        <v>126592.45818226918</v>
      </c>
      <c r="D12" s="132">
        <f>IF(SER_hh_tes!D12=0,0,11630*1000*SER_hh_tes!D12/SER_hh_num!D12)</f>
        <v>129729.17192849274</v>
      </c>
      <c r="E12" s="132">
        <f>IF(SER_hh_tes!E12=0,0,11630*1000*SER_hh_tes!E12/SER_hh_num!E12)</f>
        <v>131522.12785382842</v>
      </c>
      <c r="F12" s="132">
        <f>IF(SER_hh_tes!F12=0,0,11630*1000*SER_hh_tes!F12/SER_hh_num!F12)</f>
        <v>127141.65880804656</v>
      </c>
      <c r="G12" s="132">
        <f>IF(SER_hh_tes!G12=0,0,11630*1000*SER_hh_tes!G12/SER_hh_num!G12)</f>
        <v>123433.31803297729</v>
      </c>
      <c r="H12" s="132">
        <f>IF(SER_hh_tes!H12=0,0,11630*1000*SER_hh_tes!H12/SER_hh_num!H12)</f>
        <v>124028.4041448973</v>
      </c>
      <c r="I12" s="132">
        <f>IF(SER_hh_tes!I12=0,0,11630*1000*SER_hh_tes!I12/SER_hh_num!I12)</f>
        <v>136297.55802700494</v>
      </c>
      <c r="J12" s="132">
        <f>IF(SER_hh_tes!J12=0,0,11630*1000*SER_hh_tes!J12/SER_hh_num!J12)</f>
        <v>131989.25897849357</v>
      </c>
      <c r="K12" s="132">
        <f>IF(SER_hh_tes!K12=0,0,11630*1000*SER_hh_tes!K12/SER_hh_num!K12)</f>
        <v>152480.4759476964</v>
      </c>
      <c r="L12" s="132">
        <f>IF(SER_hh_tes!L12=0,0,11630*1000*SER_hh_tes!L12/SER_hh_num!L12)</f>
        <v>163370.7565564586</v>
      </c>
      <c r="M12" s="132">
        <f>IF(SER_hh_tes!M12=0,0,11630*1000*SER_hh_tes!M12/SER_hh_num!M12)</f>
        <v>135265.853001482</v>
      </c>
      <c r="N12" s="132">
        <f>IF(SER_hh_tes!N12=0,0,11630*1000*SER_hh_tes!N12/SER_hh_num!N12)</f>
        <v>150316.665079909</v>
      </c>
      <c r="O12" s="132">
        <f>IF(SER_hh_tes!O12=0,0,11630*1000*SER_hh_tes!O12/SER_hh_num!O12)</f>
        <v>141771.30477433064</v>
      </c>
      <c r="P12" s="132">
        <f>IF(SER_hh_tes!P12=0,0,11630*1000*SER_hh_tes!P12/SER_hh_num!P12)</f>
        <v>152680.55195051964</v>
      </c>
      <c r="Q12" s="132">
        <f>IF(SER_hh_tes!Q12=0,0,11630*1000*SER_hh_tes!Q12/SER_hh_num!Q12)</f>
        <v>134803.96863558042</v>
      </c>
      <c r="R12" s="132">
        <f>IF(SER_hh_tes!R12=0,0,11630*1000*SER_hh_tes!R12/SER_hh_num!R12)</f>
        <v>148717.15283859233</v>
      </c>
      <c r="S12" s="132">
        <f>IF(SER_hh_tes!S12=0,0,11630*1000*SER_hh_tes!S12/SER_hh_num!S12)</f>
        <v>147398.46483364611</v>
      </c>
      <c r="T12" s="132">
        <f>IF(SER_hh_tes!T12=0,0,11630*1000*SER_hh_tes!T12/SER_hh_num!T12)</f>
        <v>150913.22676007412</v>
      </c>
      <c r="U12" s="132">
        <f>IF(SER_hh_tes!U12=0,0,11630*1000*SER_hh_tes!U12/SER_hh_num!U12)</f>
        <v>145938.03183847852</v>
      </c>
      <c r="V12" s="132">
        <f>IF(SER_hh_tes!V12=0,0,11630*1000*SER_hh_tes!V12/SER_hh_num!V12)</f>
        <v>132677.46747803988</v>
      </c>
      <c r="W12" s="132">
        <f>IF(SER_hh_tes!W12=0,0,11630*1000*SER_hh_tes!W12/SER_hh_num!W12)</f>
        <v>155955.61664992059</v>
      </c>
      <c r="X12" s="132">
        <f>IF(SER_hh_tes!X12=0,0,11630*1000*SER_hh_tes!X12/SER_hh_num!X12)</f>
        <v>143635.87779651582</v>
      </c>
      <c r="Y12" s="132">
        <f>IF(SER_hh_tes!Y12=0,0,11630*1000*SER_hh_tes!Y12/SER_hh_num!Y12)</f>
        <v>144668.67808011014</v>
      </c>
      <c r="DA12" s="156" t="s">
        <v>424</v>
      </c>
    </row>
    <row r="13" spans="1:105" ht="12" customHeight="1" x14ac:dyDescent="0.25">
      <c r="A13" s="131" t="s">
        <v>77</v>
      </c>
      <c r="B13" s="132">
        <f>IF(SER_hh_tes!B13=0,0,11630*1000*SER_hh_tes!B13/SER_hh_num!B13)</f>
        <v>112964.44869911496</v>
      </c>
      <c r="C13" s="132">
        <f>IF(SER_hh_tes!C13=0,0,11630*1000*SER_hh_tes!C13/SER_hh_num!C13)</f>
        <v>123347.83171011187</v>
      </c>
      <c r="D13" s="132">
        <f>IF(SER_hh_tes!D13=0,0,11630*1000*SER_hh_tes!D13/SER_hh_num!D13)</f>
        <v>125866.07574389873</v>
      </c>
      <c r="E13" s="132">
        <f>IF(SER_hh_tes!E13=0,0,11630*1000*SER_hh_tes!E13/SER_hh_num!E13)</f>
        <v>126666.1733724635</v>
      </c>
      <c r="F13" s="132">
        <f>IF(SER_hh_tes!F13=0,0,11630*1000*SER_hh_tes!F13/SER_hh_num!F13)</f>
        <v>126760.61547352903</v>
      </c>
      <c r="G13" s="132">
        <f>IF(SER_hh_tes!G13=0,0,11630*1000*SER_hh_tes!G13/SER_hh_num!G13)</f>
        <v>126742.36764191759</v>
      </c>
      <c r="H13" s="132">
        <f>IF(SER_hh_tes!H13=0,0,11630*1000*SER_hh_tes!H13/SER_hh_num!H13)</f>
        <v>128467.61948478634</v>
      </c>
      <c r="I13" s="132">
        <f>IF(SER_hh_tes!I13=0,0,11630*1000*SER_hh_tes!I13/SER_hh_num!I13)</f>
        <v>132750.13893708913</v>
      </c>
      <c r="J13" s="132">
        <f>IF(SER_hh_tes!J13=0,0,11630*1000*SER_hh_tes!J13/SER_hh_num!J13)</f>
        <v>137906.99065041609</v>
      </c>
      <c r="K13" s="132">
        <f>IF(SER_hh_tes!K13=0,0,11630*1000*SER_hh_tes!K13/SER_hh_num!K13)</f>
        <v>143900.82162157513</v>
      </c>
      <c r="L13" s="132">
        <f>IF(SER_hh_tes!L13=0,0,11630*1000*SER_hh_tes!L13/SER_hh_num!L13)</f>
        <v>146985.30654050436</v>
      </c>
      <c r="M13" s="132">
        <f>IF(SER_hh_tes!M13=0,0,11630*1000*SER_hh_tes!M13/SER_hh_num!M13)</f>
        <v>144424.00781639159</v>
      </c>
      <c r="N13" s="132">
        <f>IF(SER_hh_tes!N13=0,0,11630*1000*SER_hh_tes!N13/SER_hh_num!N13)</f>
        <v>145985.90222630705</v>
      </c>
      <c r="O13" s="132">
        <f>IF(SER_hh_tes!O13=0,0,11630*1000*SER_hh_tes!O13/SER_hh_num!O13)</f>
        <v>142811.4803302128</v>
      </c>
      <c r="P13" s="132">
        <f>IF(SER_hh_tes!P13=0,0,11630*1000*SER_hh_tes!P13/SER_hh_num!P13)</f>
        <v>142658.12764723017</v>
      </c>
      <c r="Q13" s="132">
        <f>IF(SER_hh_tes!Q13=0,0,11630*1000*SER_hh_tes!Q13/SER_hh_num!Q13)</f>
        <v>147804.60425313123</v>
      </c>
      <c r="R13" s="132">
        <f>IF(SER_hh_tes!R13=0,0,11630*1000*SER_hh_tes!R13/SER_hh_num!R13)</f>
        <v>145034.94981845826</v>
      </c>
      <c r="S13" s="132">
        <f>IF(SER_hh_tes!S13=0,0,11630*1000*SER_hh_tes!S13/SER_hh_num!S13)</f>
        <v>145292.67680997789</v>
      </c>
      <c r="T13" s="132">
        <f>IF(SER_hh_tes!T13=0,0,11630*1000*SER_hh_tes!T13/SER_hh_num!T13)</f>
        <v>149670.58777801046</v>
      </c>
      <c r="U13" s="132">
        <f>IF(SER_hh_tes!U13=0,0,11630*1000*SER_hh_tes!U13/SER_hh_num!U13)</f>
        <v>144714.62314731826</v>
      </c>
      <c r="V13" s="132">
        <f>IF(SER_hh_tes!V13=0,0,11630*1000*SER_hh_tes!V13/SER_hh_num!V13)</f>
        <v>131594.89216619401</v>
      </c>
      <c r="W13" s="132">
        <f>IF(SER_hh_tes!W13=0,0,11630*1000*SER_hh_tes!W13/SER_hh_num!W13)</f>
        <v>151891.19714171111</v>
      </c>
      <c r="X13" s="132">
        <f>IF(SER_hh_tes!X13=0,0,11630*1000*SER_hh_tes!X13/SER_hh_num!X13)</f>
        <v>143805.69576828022</v>
      </c>
      <c r="Y13" s="132">
        <f>IF(SER_hh_tes!Y13=0,0,11630*1000*SER_hh_tes!Y13/SER_hh_num!Y13)</f>
        <v>153164.04500572415</v>
      </c>
      <c r="DA13" s="156" t="s">
        <v>425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111857.81370106444</v>
      </c>
      <c r="C14" s="65">
        <f>IF(SER_hh_tes!C14=0,0,11630*1000*SER_hh_tes!C14/SER_hh_num!C14)</f>
        <v>126162.13935895056</v>
      </c>
      <c r="D14" s="65">
        <f>IF(SER_hh_tes!D14=0,0,11630*1000*SER_hh_tes!D14/SER_hh_num!D14)</f>
        <v>132080.36555774076</v>
      </c>
      <c r="E14" s="65">
        <f>IF(SER_hh_tes!E14=0,0,11630*1000*SER_hh_tes!E14/SER_hh_num!E14)</f>
        <v>126451.92883098664</v>
      </c>
      <c r="F14" s="65">
        <f>IF(SER_hh_tes!F14=0,0,11630*1000*SER_hh_tes!F14/SER_hh_num!F14)</f>
        <v>128372.92521103319</v>
      </c>
      <c r="G14" s="65">
        <f>IF(SER_hh_tes!G14=0,0,11630*1000*SER_hh_tes!G14/SER_hh_num!G14)</f>
        <v>127303.99415903375</v>
      </c>
      <c r="H14" s="65">
        <f>IF(SER_hh_tes!H14=0,0,11630*1000*SER_hh_tes!H14/SER_hh_num!H14)</f>
        <v>129608.00216621262</v>
      </c>
      <c r="I14" s="65">
        <f>IF(SER_hh_tes!I14=0,0,11630*1000*SER_hh_tes!I14/SER_hh_num!I14)</f>
        <v>132349.48053794933</v>
      </c>
      <c r="J14" s="65">
        <f>IF(SER_hh_tes!J14=0,0,11630*1000*SER_hh_tes!J14/SER_hh_num!J14)</f>
        <v>136238.32815601607</v>
      </c>
      <c r="K14" s="65">
        <f>IF(SER_hh_tes!K14=0,0,11630*1000*SER_hh_tes!K14/SER_hh_num!K14)</f>
        <v>148586.32458297216</v>
      </c>
      <c r="L14" s="65">
        <f>IF(SER_hh_tes!L14=0,0,11630*1000*SER_hh_tes!L14/SER_hh_num!L14)</f>
        <v>158354.3174275748</v>
      </c>
      <c r="M14" s="65">
        <f>IF(SER_hh_tes!M14=0,0,11630*1000*SER_hh_tes!M14/SER_hh_num!M14)</f>
        <v>142613.08223171646</v>
      </c>
      <c r="N14" s="65">
        <f>IF(SER_hh_tes!N14=0,0,11630*1000*SER_hh_tes!N14/SER_hh_num!N14)</f>
        <v>154686.99282114994</v>
      </c>
      <c r="O14" s="65">
        <f>IF(SER_hh_tes!O14=0,0,11630*1000*SER_hh_tes!O14/SER_hh_num!O14)</f>
        <v>146261.49501095334</v>
      </c>
      <c r="P14" s="65">
        <f>IF(SER_hh_tes!P14=0,0,11630*1000*SER_hh_tes!P14/SER_hh_num!P14)</f>
        <v>144845.98517548406</v>
      </c>
      <c r="Q14" s="65">
        <f>IF(SER_hh_tes!Q14=0,0,11630*1000*SER_hh_tes!Q14/SER_hh_num!Q14)</f>
        <v>141350.94765053049</v>
      </c>
      <c r="R14" s="65">
        <f>IF(SER_hh_tes!R14=0,0,11630*1000*SER_hh_tes!R14/SER_hh_num!R14)</f>
        <v>147047.75586526704</v>
      </c>
      <c r="S14" s="65">
        <f>IF(SER_hh_tes!S14=0,0,11630*1000*SER_hh_tes!S14/SER_hh_num!S14)</f>
        <v>141282.36384327497</v>
      </c>
      <c r="T14" s="65">
        <f>IF(SER_hh_tes!T14=0,0,11630*1000*SER_hh_tes!T14/SER_hh_num!T14)</f>
        <v>157613.6455867833</v>
      </c>
      <c r="U14" s="65">
        <f>IF(SER_hh_tes!U14=0,0,11630*1000*SER_hh_tes!U14/SER_hh_num!U14)</f>
        <v>148295.32093608085</v>
      </c>
      <c r="V14" s="65">
        <f>IF(SER_hh_tes!V14=0,0,11630*1000*SER_hh_tes!V14/SER_hh_num!V14)</f>
        <v>136304.4587859746</v>
      </c>
      <c r="W14" s="65">
        <f>IF(SER_hh_tes!W14=0,0,11630*1000*SER_hh_tes!W14/SER_hh_num!W14)</f>
        <v>149163.36434709473</v>
      </c>
      <c r="X14" s="65">
        <f>IF(SER_hh_tes!X14=0,0,11630*1000*SER_hh_tes!X14/SER_hh_num!X14)</f>
        <v>153961.74398292028</v>
      </c>
      <c r="Y14" s="65">
        <f>IF(SER_hh_tes!Y14=0,0,11630*1000*SER_hh_tes!Y14/SER_hh_num!Y14)</f>
        <v>137256.41133052463</v>
      </c>
      <c r="DA14" s="109" t="s">
        <v>426</v>
      </c>
    </row>
    <row r="15" spans="1:105" ht="12" customHeight="1" x14ac:dyDescent="0.25">
      <c r="A15" s="133" t="s">
        <v>80</v>
      </c>
      <c r="B15" s="134">
        <f>IF(SER_hh_tes!B15=0,0,11630*1000*SER_hh_tes!B15/SER_hh_num!B15)</f>
        <v>962.11974002757438</v>
      </c>
      <c r="C15" s="134">
        <f>IF(SER_hh_tes!C15=0,0,11630*1000*SER_hh_tes!C15/SER_hh_num!C15)</f>
        <v>1021.7830806652167</v>
      </c>
      <c r="D15" s="134">
        <f>IF(SER_hh_tes!D15=0,0,11630*1000*SER_hh_tes!D15/SER_hh_num!D15)</f>
        <v>1014.6686713335348</v>
      </c>
      <c r="E15" s="134">
        <f>IF(SER_hh_tes!E15=0,0,11630*1000*SER_hh_tes!E15/SER_hh_num!E15)</f>
        <v>999.78613780909961</v>
      </c>
      <c r="F15" s="134">
        <f>IF(SER_hh_tes!F15=0,0,11630*1000*SER_hh_tes!F15/SER_hh_num!F15)</f>
        <v>959.63858001328811</v>
      </c>
      <c r="G15" s="134">
        <f>IF(SER_hh_tes!G15=0,0,11630*1000*SER_hh_tes!G15/SER_hh_num!G15)</f>
        <v>912.40945881188759</v>
      </c>
      <c r="H15" s="134">
        <f>IF(SER_hh_tes!H15=0,0,11630*1000*SER_hh_tes!H15/SER_hh_num!H15)</f>
        <v>897.54828474011913</v>
      </c>
      <c r="I15" s="134">
        <f>IF(SER_hh_tes!I15=0,0,11630*1000*SER_hh_tes!I15/SER_hh_num!I15)</f>
        <v>910.15075785683757</v>
      </c>
      <c r="J15" s="134">
        <f>IF(SER_hh_tes!J15=0,0,11630*1000*SER_hh_tes!J15/SER_hh_num!J15)</f>
        <v>825.31879840796762</v>
      </c>
      <c r="K15" s="134">
        <f>IF(SER_hh_tes!K15=0,0,11630*1000*SER_hh_tes!K15/SER_hh_num!K15)</f>
        <v>926.57922762462124</v>
      </c>
      <c r="L15" s="134">
        <f>IF(SER_hh_tes!L15=0,0,11630*1000*SER_hh_tes!L15/SER_hh_num!L15)</f>
        <v>1029.0911687761784</v>
      </c>
      <c r="M15" s="134">
        <f>IF(SER_hh_tes!M15=0,0,11630*1000*SER_hh_tes!M15/SER_hh_num!M15)</f>
        <v>880.33502031209719</v>
      </c>
      <c r="N15" s="134">
        <f>IF(SER_hh_tes!N15=0,0,11630*1000*SER_hh_tes!N15/SER_hh_num!N15)</f>
        <v>977.5726211648215</v>
      </c>
      <c r="O15" s="134">
        <f>IF(SER_hh_tes!O15=0,0,11630*1000*SER_hh_tes!O15/SER_hh_num!O15)</f>
        <v>901.53032519309772</v>
      </c>
      <c r="P15" s="134">
        <f>IF(SER_hh_tes!P15=0,0,11630*1000*SER_hh_tes!P15/SER_hh_num!P15)</f>
        <v>925.92621784675032</v>
      </c>
      <c r="Q15" s="134">
        <f>IF(SER_hh_tes!Q15=0,0,11630*1000*SER_hh_tes!Q15/SER_hh_num!Q15)</f>
        <v>827.39826263285488</v>
      </c>
      <c r="R15" s="134">
        <f>IF(SER_hh_tes!R15=0,0,11630*1000*SER_hh_tes!R15/SER_hh_num!R15)</f>
        <v>906.85269881894033</v>
      </c>
      <c r="S15" s="134">
        <f>IF(SER_hh_tes!S15=0,0,11630*1000*SER_hh_tes!S15/SER_hh_num!S15)</f>
        <v>912.3963608092397</v>
      </c>
      <c r="T15" s="134">
        <f>IF(SER_hh_tes!T15=0,0,11630*1000*SER_hh_tes!T15/SER_hh_num!T15)</f>
        <v>923.52900727883423</v>
      </c>
      <c r="U15" s="134">
        <f>IF(SER_hh_tes!U15=0,0,11630*1000*SER_hh_tes!U15/SER_hh_num!U15)</f>
        <v>904.54267833321262</v>
      </c>
      <c r="V15" s="134">
        <f>IF(SER_hh_tes!V15=0,0,11630*1000*SER_hh_tes!V15/SER_hh_num!V15)</f>
        <v>823.35855194340672</v>
      </c>
      <c r="W15" s="134">
        <f>IF(SER_hh_tes!W15=0,0,11630*1000*SER_hh_tes!W15/SER_hh_num!W15)</f>
        <v>968.32289802007699</v>
      </c>
      <c r="X15" s="134">
        <f>IF(SER_hh_tes!X15=0,0,11630*1000*SER_hh_tes!X15/SER_hh_num!X15)</f>
        <v>904.45088398389225</v>
      </c>
      <c r="Y15" s="134">
        <f>IF(SER_hh_tes!Y15=0,0,11630*1000*SER_hh_tes!Y15/SER_hh_num!Y15)</f>
        <v>896.39481715180068</v>
      </c>
      <c r="DA15" s="157" t="s">
        <v>427</v>
      </c>
    </row>
    <row r="16" spans="1:105" ht="12.95" customHeight="1" x14ac:dyDescent="0.25">
      <c r="A16" s="129" t="s">
        <v>74</v>
      </c>
      <c r="B16" s="130">
        <f>IF(SER_hh_tes!B16=0,0,11630*1000*SER_hh_tes!B16/SER_hh_num!B16)</f>
        <v>23857.10521115968</v>
      </c>
      <c r="C16" s="130">
        <f>IF(SER_hh_tes!C16=0,0,11630*1000*SER_hh_tes!C16/SER_hh_num!C16)</f>
        <v>23863.185993925676</v>
      </c>
      <c r="D16" s="130">
        <f>IF(SER_hh_tes!D16=0,0,11630*1000*SER_hh_tes!D16/SER_hh_num!D16)</f>
        <v>23890.167725985793</v>
      </c>
      <c r="E16" s="130">
        <f>IF(SER_hh_tes!E16=0,0,11630*1000*SER_hh_tes!E16/SER_hh_num!E16)</f>
        <v>24983.779375194637</v>
      </c>
      <c r="F16" s="130">
        <f>IF(SER_hh_tes!F16=0,0,11630*1000*SER_hh_tes!F16/SER_hh_num!F16)</f>
        <v>23989.396275843555</v>
      </c>
      <c r="G16" s="130">
        <f>IF(SER_hh_tes!G16=0,0,11630*1000*SER_hh_tes!G16/SER_hh_num!G16)</f>
        <v>24062.57981070099</v>
      </c>
      <c r="H16" s="130">
        <f>IF(SER_hh_tes!H16=0,0,11630*1000*SER_hh_tes!H16/SER_hh_num!H16)</f>
        <v>24168.255831150276</v>
      </c>
      <c r="I16" s="130">
        <f>IF(SER_hh_tes!I16=0,0,11630*1000*SER_hh_tes!I16/SER_hh_num!I16)</f>
        <v>24201.462064204065</v>
      </c>
      <c r="J16" s="130">
        <f>IF(SER_hh_tes!J16=0,0,11630*1000*SER_hh_tes!J16/SER_hh_num!J16)</f>
        <v>24397.264313463344</v>
      </c>
      <c r="K16" s="130">
        <f>IF(SER_hh_tes!K16=0,0,11630*1000*SER_hh_tes!K16/SER_hh_num!K16)</f>
        <v>24445.79950168807</v>
      </c>
      <c r="L16" s="130">
        <f>IF(SER_hh_tes!L16=0,0,11630*1000*SER_hh_tes!L16/SER_hh_num!L16)</f>
        <v>26223.150239412455</v>
      </c>
      <c r="M16" s="130">
        <f>IF(SER_hh_tes!M16=0,0,11630*1000*SER_hh_tes!M16/SER_hh_num!M16)</f>
        <v>24793.991555985311</v>
      </c>
      <c r="N16" s="130">
        <f>IF(SER_hh_tes!N16=0,0,11630*1000*SER_hh_tes!N16/SER_hh_num!N16)</f>
        <v>24607.807772343254</v>
      </c>
      <c r="O16" s="130">
        <f>IF(SER_hh_tes!O16=0,0,11630*1000*SER_hh_tes!O16/SER_hh_num!O16)</f>
        <v>24730.828630420754</v>
      </c>
      <c r="P16" s="130">
        <f>IF(SER_hh_tes!P16=0,0,11630*1000*SER_hh_tes!P16/SER_hh_num!P16)</f>
        <v>25012.615390453248</v>
      </c>
      <c r="Q16" s="130">
        <f>IF(SER_hh_tes!Q16=0,0,11630*1000*SER_hh_tes!Q16/SER_hh_num!Q16)</f>
        <v>24839.205163594837</v>
      </c>
      <c r="R16" s="130">
        <f>IF(SER_hh_tes!R16=0,0,11630*1000*SER_hh_tes!R16/SER_hh_num!R16)</f>
        <v>25442.157502484693</v>
      </c>
      <c r="S16" s="130">
        <f>IF(SER_hh_tes!S16=0,0,11630*1000*SER_hh_tes!S16/SER_hh_num!S16)</f>
        <v>25492.36421954157</v>
      </c>
      <c r="T16" s="130">
        <f>IF(SER_hh_tes!T16=0,0,11630*1000*SER_hh_tes!T16/SER_hh_num!T16)</f>
        <v>25488.720489397303</v>
      </c>
      <c r="U16" s="130">
        <f>IF(SER_hh_tes!U16=0,0,11630*1000*SER_hh_tes!U16/SER_hh_num!U16)</f>
        <v>25649.306846117128</v>
      </c>
      <c r="V16" s="130">
        <f>IF(SER_hh_tes!V16=0,0,11630*1000*SER_hh_tes!V16/SER_hh_num!V16)</f>
        <v>25673.880157890489</v>
      </c>
      <c r="W16" s="130">
        <f>IF(SER_hh_tes!W16=0,0,11630*1000*SER_hh_tes!W16/SER_hh_num!W16)</f>
        <v>25122.27160470829</v>
      </c>
      <c r="X16" s="130">
        <f>IF(SER_hh_tes!X16=0,0,11630*1000*SER_hh_tes!X16/SER_hh_num!X16)</f>
        <v>25316.957152117167</v>
      </c>
      <c r="Y16" s="130">
        <f>IF(SER_hh_tes!Y16=0,0,11630*1000*SER_hh_tes!Y16/SER_hh_num!Y16)</f>
        <v>25341.46748138377</v>
      </c>
      <c r="DA16" s="155" t="s">
        <v>428</v>
      </c>
    </row>
    <row r="17" spans="1:105" ht="12.95" customHeight="1" x14ac:dyDescent="0.25">
      <c r="A17" s="131" t="s">
        <v>73</v>
      </c>
      <c r="B17" s="132">
        <f>IF(SER_hh_tes!B17=0,0,11630*1000*SER_hh_tes!B17/SER_hh_num!B17)</f>
        <v>0</v>
      </c>
      <c r="C17" s="132">
        <f>IF(SER_hh_tes!C17=0,0,11630*1000*SER_hh_tes!C17/SER_hh_num!C17)</f>
        <v>0</v>
      </c>
      <c r="D17" s="132">
        <f>IF(SER_hh_tes!D17=0,0,11630*1000*SER_hh_tes!D17/SER_hh_num!D17)</f>
        <v>0</v>
      </c>
      <c r="E17" s="132">
        <f>IF(SER_hh_tes!E17=0,0,11630*1000*SER_hh_tes!E17/SER_hh_num!E17)</f>
        <v>0</v>
      </c>
      <c r="F17" s="132">
        <f>IF(SER_hh_tes!F17=0,0,11630*1000*SER_hh_tes!F17/SER_hh_num!F17)</f>
        <v>0</v>
      </c>
      <c r="G17" s="132">
        <f>IF(SER_hh_tes!G17=0,0,11630*1000*SER_hh_tes!G17/SER_hh_num!G17)</f>
        <v>0</v>
      </c>
      <c r="H17" s="132">
        <f>IF(SER_hh_tes!H17=0,0,11630*1000*SER_hh_tes!H17/SER_hh_num!H17)</f>
        <v>0</v>
      </c>
      <c r="I17" s="132">
        <f>IF(SER_hh_tes!I17=0,0,11630*1000*SER_hh_tes!I17/SER_hh_num!I17)</f>
        <v>0</v>
      </c>
      <c r="J17" s="132">
        <f>IF(SER_hh_tes!J17=0,0,11630*1000*SER_hh_tes!J17/SER_hh_num!J17)</f>
        <v>0</v>
      </c>
      <c r="K17" s="132">
        <f>IF(SER_hh_tes!K17=0,0,11630*1000*SER_hh_tes!K17/SER_hh_num!K17)</f>
        <v>0</v>
      </c>
      <c r="L17" s="132">
        <f>IF(SER_hh_tes!L17=0,0,11630*1000*SER_hh_tes!L17/SER_hh_num!L17)</f>
        <v>0</v>
      </c>
      <c r="M17" s="132">
        <f>IF(SER_hh_tes!M17=0,0,11630*1000*SER_hh_tes!M17/SER_hh_num!M17)</f>
        <v>0</v>
      </c>
      <c r="N17" s="132">
        <f>IF(SER_hh_tes!N17=0,0,11630*1000*SER_hh_tes!N17/SER_hh_num!N17)</f>
        <v>0</v>
      </c>
      <c r="O17" s="132">
        <f>IF(SER_hh_tes!O17=0,0,11630*1000*SER_hh_tes!O17/SER_hh_num!O17)</f>
        <v>0</v>
      </c>
      <c r="P17" s="132">
        <f>IF(SER_hh_tes!P17=0,0,11630*1000*SER_hh_tes!P17/SER_hh_num!P17)</f>
        <v>0</v>
      </c>
      <c r="Q17" s="132">
        <f>IF(SER_hh_tes!Q17=0,0,11630*1000*SER_hh_tes!Q17/SER_hh_num!Q17)</f>
        <v>0</v>
      </c>
      <c r="R17" s="132">
        <f>IF(SER_hh_tes!R17=0,0,11630*1000*SER_hh_tes!R17/SER_hh_num!R17)</f>
        <v>0</v>
      </c>
      <c r="S17" s="132">
        <f>IF(SER_hh_tes!S17=0,0,11630*1000*SER_hh_tes!S17/SER_hh_num!S17)</f>
        <v>0</v>
      </c>
      <c r="T17" s="132">
        <f>IF(SER_hh_tes!T17=0,0,11630*1000*SER_hh_tes!T17/SER_hh_num!T17)</f>
        <v>0</v>
      </c>
      <c r="U17" s="132">
        <f>IF(SER_hh_tes!U17=0,0,11630*1000*SER_hh_tes!U17/SER_hh_num!U17)</f>
        <v>0</v>
      </c>
      <c r="V17" s="132">
        <f>IF(SER_hh_tes!V17=0,0,11630*1000*SER_hh_tes!V17/SER_hh_num!V17)</f>
        <v>0</v>
      </c>
      <c r="W17" s="132">
        <f>IF(SER_hh_tes!W17=0,0,11630*1000*SER_hh_tes!W17/SER_hh_num!W17)</f>
        <v>0</v>
      </c>
      <c r="X17" s="132">
        <f>IF(SER_hh_tes!X17=0,0,11630*1000*SER_hh_tes!X17/SER_hh_num!X17)</f>
        <v>0</v>
      </c>
      <c r="Y17" s="132">
        <f>IF(SER_hh_tes!Y17=0,0,11630*1000*SER_hh_tes!Y17/SER_hh_num!Y17)</f>
        <v>0</v>
      </c>
      <c r="DA17" s="156" t="s">
        <v>429</v>
      </c>
    </row>
    <row r="18" spans="1:105" ht="12" customHeight="1" x14ac:dyDescent="0.25">
      <c r="A18" s="131" t="s">
        <v>72</v>
      </c>
      <c r="B18" s="132">
        <f>IF(SER_hh_tes!B18=0,0,11630*1000*SER_hh_tes!B18/SER_hh_num!B18)</f>
        <v>23857.10521115968</v>
      </c>
      <c r="C18" s="132">
        <f>IF(SER_hh_tes!C18=0,0,11630*1000*SER_hh_tes!C18/SER_hh_num!C18)</f>
        <v>23863.185993925676</v>
      </c>
      <c r="D18" s="132">
        <f>IF(SER_hh_tes!D18=0,0,11630*1000*SER_hh_tes!D18/SER_hh_num!D18)</f>
        <v>23890.167725985793</v>
      </c>
      <c r="E18" s="132">
        <f>IF(SER_hh_tes!E18=0,0,11630*1000*SER_hh_tes!E18/SER_hh_num!E18)</f>
        <v>24983.779375194637</v>
      </c>
      <c r="F18" s="132">
        <f>IF(SER_hh_tes!F18=0,0,11630*1000*SER_hh_tes!F18/SER_hh_num!F18)</f>
        <v>23989.396275843555</v>
      </c>
      <c r="G18" s="132">
        <f>IF(SER_hh_tes!G18=0,0,11630*1000*SER_hh_tes!G18/SER_hh_num!G18)</f>
        <v>24062.57981070099</v>
      </c>
      <c r="H18" s="132">
        <f>IF(SER_hh_tes!H18=0,0,11630*1000*SER_hh_tes!H18/SER_hh_num!H18)</f>
        <v>24168.255831150276</v>
      </c>
      <c r="I18" s="132">
        <f>IF(SER_hh_tes!I18=0,0,11630*1000*SER_hh_tes!I18/SER_hh_num!I18)</f>
        <v>24201.462064204065</v>
      </c>
      <c r="J18" s="132">
        <f>IF(SER_hh_tes!J18=0,0,11630*1000*SER_hh_tes!J18/SER_hh_num!J18)</f>
        <v>24397.264313463344</v>
      </c>
      <c r="K18" s="132">
        <f>IF(SER_hh_tes!K18=0,0,11630*1000*SER_hh_tes!K18/SER_hh_num!K18)</f>
        <v>24445.79950168807</v>
      </c>
      <c r="L18" s="132">
        <f>IF(SER_hh_tes!L18=0,0,11630*1000*SER_hh_tes!L18/SER_hh_num!L18)</f>
        <v>26223.150239412455</v>
      </c>
      <c r="M18" s="132">
        <f>IF(SER_hh_tes!M18=0,0,11630*1000*SER_hh_tes!M18/SER_hh_num!M18)</f>
        <v>24793.991555985311</v>
      </c>
      <c r="N18" s="132">
        <f>IF(SER_hh_tes!N18=0,0,11630*1000*SER_hh_tes!N18/SER_hh_num!N18)</f>
        <v>24607.807772343254</v>
      </c>
      <c r="O18" s="132">
        <f>IF(SER_hh_tes!O18=0,0,11630*1000*SER_hh_tes!O18/SER_hh_num!O18)</f>
        <v>24730.828630420754</v>
      </c>
      <c r="P18" s="132">
        <f>IF(SER_hh_tes!P18=0,0,11630*1000*SER_hh_tes!P18/SER_hh_num!P18)</f>
        <v>25012.615390453248</v>
      </c>
      <c r="Q18" s="132">
        <f>IF(SER_hh_tes!Q18=0,0,11630*1000*SER_hh_tes!Q18/SER_hh_num!Q18)</f>
        <v>24839.205163594837</v>
      </c>
      <c r="R18" s="132">
        <f>IF(SER_hh_tes!R18=0,0,11630*1000*SER_hh_tes!R18/SER_hh_num!R18)</f>
        <v>25442.157502484693</v>
      </c>
      <c r="S18" s="132">
        <f>IF(SER_hh_tes!S18=0,0,11630*1000*SER_hh_tes!S18/SER_hh_num!S18)</f>
        <v>25492.36421954157</v>
      </c>
      <c r="T18" s="132">
        <f>IF(SER_hh_tes!T18=0,0,11630*1000*SER_hh_tes!T18/SER_hh_num!T18)</f>
        <v>25488.720489397303</v>
      </c>
      <c r="U18" s="132">
        <f>IF(SER_hh_tes!U18=0,0,11630*1000*SER_hh_tes!U18/SER_hh_num!U18)</f>
        <v>25649.306846117128</v>
      </c>
      <c r="V18" s="132">
        <f>IF(SER_hh_tes!V18=0,0,11630*1000*SER_hh_tes!V18/SER_hh_num!V18)</f>
        <v>25673.880157890489</v>
      </c>
      <c r="W18" s="132">
        <f>IF(SER_hh_tes!W18=0,0,11630*1000*SER_hh_tes!W18/SER_hh_num!W18)</f>
        <v>25122.27160470829</v>
      </c>
      <c r="X18" s="132">
        <f>IF(SER_hh_tes!X18=0,0,11630*1000*SER_hh_tes!X18/SER_hh_num!X18)</f>
        <v>25316.957152117167</v>
      </c>
      <c r="Y18" s="132">
        <f>IF(SER_hh_tes!Y18=0,0,11630*1000*SER_hh_tes!Y18/SER_hh_num!Y18)</f>
        <v>25341.46748138377</v>
      </c>
      <c r="DA18" s="156" t="s">
        <v>430</v>
      </c>
    </row>
    <row r="19" spans="1:105" ht="12.95" customHeight="1" x14ac:dyDescent="0.25">
      <c r="A19" s="129" t="s">
        <v>35</v>
      </c>
      <c r="B19" s="130">
        <f>IF(SER_hh_tes!B19=0,0,11630*1000*SER_hh_tes!B19/SER_hh_num!B19)</f>
        <v>15922.237630475194</v>
      </c>
      <c r="C19" s="130">
        <f>IF(SER_hh_tes!C19=0,0,11630*1000*SER_hh_tes!C19/SER_hh_num!C19)</f>
        <v>15949.166865075571</v>
      </c>
      <c r="D19" s="130">
        <f>IF(SER_hh_tes!D19=0,0,11630*1000*SER_hh_tes!D19/SER_hh_num!D19)</f>
        <v>15924.197302804509</v>
      </c>
      <c r="E19" s="130">
        <f>IF(SER_hh_tes!E19=0,0,11630*1000*SER_hh_tes!E19/SER_hh_num!E19)</f>
        <v>16088.598762421556</v>
      </c>
      <c r="F19" s="130">
        <f>IF(SER_hh_tes!F19=0,0,11630*1000*SER_hh_tes!F19/SER_hh_num!F19)</f>
        <v>16048.170264429824</v>
      </c>
      <c r="G19" s="130">
        <f>IF(SER_hh_tes!G19=0,0,11630*1000*SER_hh_tes!G19/SER_hh_num!G19)</f>
        <v>16273.433746776365</v>
      </c>
      <c r="H19" s="130">
        <f>IF(SER_hh_tes!H19=0,0,11630*1000*SER_hh_tes!H19/SER_hh_num!H19)</f>
        <v>16208.216342472517</v>
      </c>
      <c r="I19" s="130">
        <f>IF(SER_hh_tes!I19=0,0,11630*1000*SER_hh_tes!I19/SER_hh_num!I19)</f>
        <v>16138.65740421016</v>
      </c>
      <c r="J19" s="130">
        <f>IF(SER_hh_tes!J19=0,0,11630*1000*SER_hh_tes!J19/SER_hh_num!J19)</f>
        <v>16189.693698824103</v>
      </c>
      <c r="K19" s="130">
        <f>IF(SER_hh_tes!K19=0,0,11630*1000*SER_hh_tes!K19/SER_hh_num!K19)</f>
        <v>16309.970653017088</v>
      </c>
      <c r="L19" s="130">
        <f>IF(SER_hh_tes!L19=0,0,11630*1000*SER_hh_tes!L19/SER_hh_num!L19)</f>
        <v>16521.159838959327</v>
      </c>
      <c r="M19" s="130">
        <f>IF(SER_hh_tes!M19=0,0,11630*1000*SER_hh_tes!M19/SER_hh_num!M19)</f>
        <v>16733.18373226254</v>
      </c>
      <c r="N19" s="130">
        <f>IF(SER_hh_tes!N19=0,0,11630*1000*SER_hh_tes!N19/SER_hh_num!N19)</f>
        <v>16968.074138836222</v>
      </c>
      <c r="O19" s="130">
        <f>IF(SER_hh_tes!O19=0,0,11630*1000*SER_hh_tes!O19/SER_hh_num!O19)</f>
        <v>17223.462804477789</v>
      </c>
      <c r="P19" s="130">
        <f>IF(SER_hh_tes!P19=0,0,11630*1000*SER_hh_tes!P19/SER_hh_num!P19)</f>
        <v>17476.158680769957</v>
      </c>
      <c r="Q19" s="130">
        <f>IF(SER_hh_tes!Q19=0,0,11630*1000*SER_hh_tes!Q19/SER_hh_num!Q19)</f>
        <v>17671.7565018163</v>
      </c>
      <c r="R19" s="130">
        <f>IF(SER_hh_tes!R19=0,0,11630*1000*SER_hh_tes!R19/SER_hh_num!R19)</f>
        <v>17661.394010622163</v>
      </c>
      <c r="S19" s="130">
        <f>IF(SER_hh_tes!S19=0,0,11630*1000*SER_hh_tes!S19/SER_hh_num!S19)</f>
        <v>17992.657177726731</v>
      </c>
      <c r="T19" s="130">
        <f>IF(SER_hh_tes!T19=0,0,11630*1000*SER_hh_tes!T19/SER_hh_num!T19)</f>
        <v>18157.54272503512</v>
      </c>
      <c r="U19" s="130">
        <f>IF(SER_hh_tes!U19=0,0,11630*1000*SER_hh_tes!U19/SER_hh_num!U19)</f>
        <v>18512.247542602119</v>
      </c>
      <c r="V19" s="130">
        <f>IF(SER_hh_tes!V19=0,0,11630*1000*SER_hh_tes!V19/SER_hh_num!V19)</f>
        <v>16997.586334752767</v>
      </c>
      <c r="W19" s="130">
        <f>IF(SER_hh_tes!W19=0,0,11630*1000*SER_hh_tes!W19/SER_hh_num!W19)</f>
        <v>18911.037396303978</v>
      </c>
      <c r="X19" s="130">
        <f>IF(SER_hh_tes!X19=0,0,11630*1000*SER_hh_tes!X19/SER_hh_num!X19)</f>
        <v>19060.381105863507</v>
      </c>
      <c r="Y19" s="130">
        <f>IF(SER_hh_tes!Y19=0,0,11630*1000*SER_hh_tes!Y19/SER_hh_num!Y19)</f>
        <v>19326.832747439199</v>
      </c>
      <c r="DA19" s="155" t="s">
        <v>431</v>
      </c>
    </row>
    <row r="20" spans="1:105" ht="12" customHeight="1" x14ac:dyDescent="0.25">
      <c r="A20" s="131" t="s">
        <v>29</v>
      </c>
      <c r="B20" s="132">
        <f>IF(SER_hh_tes!B20=0,0,11630*1000*SER_hh_tes!B20/SER_hh_num!B20)</f>
        <v>0</v>
      </c>
      <c r="C20" s="132">
        <f>IF(SER_hh_tes!C20=0,0,11630*1000*SER_hh_tes!C20/SER_hh_num!C20)</f>
        <v>0</v>
      </c>
      <c r="D20" s="132">
        <f>IF(SER_hh_tes!D20=0,0,11630*1000*SER_hh_tes!D20/SER_hh_num!D20)</f>
        <v>0</v>
      </c>
      <c r="E20" s="132">
        <f>IF(SER_hh_tes!E20=0,0,11630*1000*SER_hh_tes!E20/SER_hh_num!E20)</f>
        <v>0</v>
      </c>
      <c r="F20" s="132">
        <f>IF(SER_hh_tes!F20=0,0,11630*1000*SER_hh_tes!F20/SER_hh_num!F20)</f>
        <v>0</v>
      </c>
      <c r="G20" s="132">
        <f>IF(SER_hh_tes!G20=0,0,11630*1000*SER_hh_tes!G20/SER_hh_num!G20)</f>
        <v>0</v>
      </c>
      <c r="H20" s="132">
        <f>IF(SER_hh_tes!H20=0,0,11630*1000*SER_hh_tes!H20/SER_hh_num!H20)</f>
        <v>0</v>
      </c>
      <c r="I20" s="132">
        <f>IF(SER_hh_tes!I20=0,0,11630*1000*SER_hh_tes!I20/SER_hh_num!I20)</f>
        <v>0</v>
      </c>
      <c r="J20" s="132">
        <f>IF(SER_hh_tes!J20=0,0,11630*1000*SER_hh_tes!J20/SER_hh_num!J20)</f>
        <v>0</v>
      </c>
      <c r="K20" s="132">
        <f>IF(SER_hh_tes!K20=0,0,11630*1000*SER_hh_tes!K20/SER_hh_num!K20)</f>
        <v>0</v>
      </c>
      <c r="L20" s="132">
        <f>IF(SER_hh_tes!L20=0,0,11630*1000*SER_hh_tes!L20/SER_hh_num!L20)</f>
        <v>0</v>
      </c>
      <c r="M20" s="132">
        <f>IF(SER_hh_tes!M20=0,0,11630*1000*SER_hh_tes!M20/SER_hh_num!M20)</f>
        <v>0</v>
      </c>
      <c r="N20" s="132">
        <f>IF(SER_hh_tes!N20=0,0,11630*1000*SER_hh_tes!N20/SER_hh_num!N20)</f>
        <v>0</v>
      </c>
      <c r="O20" s="132">
        <f>IF(SER_hh_tes!O20=0,0,11630*1000*SER_hh_tes!O20/SER_hh_num!O20)</f>
        <v>0</v>
      </c>
      <c r="P20" s="132">
        <f>IF(SER_hh_tes!P20=0,0,11630*1000*SER_hh_tes!P20/SER_hh_num!P20)</f>
        <v>0</v>
      </c>
      <c r="Q20" s="132">
        <f>IF(SER_hh_tes!Q20=0,0,11630*1000*SER_hh_tes!Q20/SER_hh_num!Q20)</f>
        <v>0</v>
      </c>
      <c r="R20" s="132">
        <f>IF(SER_hh_tes!R20=0,0,11630*1000*SER_hh_tes!R20/SER_hh_num!R20)</f>
        <v>0</v>
      </c>
      <c r="S20" s="132">
        <f>IF(SER_hh_tes!S20=0,0,11630*1000*SER_hh_tes!S20/SER_hh_num!S20)</f>
        <v>0</v>
      </c>
      <c r="T20" s="132">
        <f>IF(SER_hh_tes!T20=0,0,11630*1000*SER_hh_tes!T20/SER_hh_num!T20)</f>
        <v>0</v>
      </c>
      <c r="U20" s="132">
        <f>IF(SER_hh_tes!U20=0,0,11630*1000*SER_hh_tes!U20/SER_hh_num!U20)</f>
        <v>0</v>
      </c>
      <c r="V20" s="132">
        <f>IF(SER_hh_tes!V20=0,0,11630*1000*SER_hh_tes!V20/SER_hh_num!V20)</f>
        <v>0</v>
      </c>
      <c r="W20" s="132">
        <f>IF(SER_hh_tes!W20=0,0,11630*1000*SER_hh_tes!W20/SER_hh_num!W20)</f>
        <v>0</v>
      </c>
      <c r="X20" s="132">
        <f>IF(SER_hh_tes!X20=0,0,11630*1000*SER_hh_tes!X20/SER_hh_num!X20)</f>
        <v>0</v>
      </c>
      <c r="Y20" s="132">
        <f>IF(SER_hh_tes!Y20=0,0,11630*1000*SER_hh_tes!Y20/SER_hh_num!Y20)</f>
        <v>0</v>
      </c>
      <c r="DA20" s="156" t="s">
        <v>432</v>
      </c>
    </row>
    <row r="21" spans="1:105" s="2" customFormat="1" ht="12" customHeight="1" x14ac:dyDescent="0.25">
      <c r="A21" s="131" t="s">
        <v>52</v>
      </c>
      <c r="B21" s="132">
        <f>IF(SER_hh_tes!B21=0,0,11630*1000*SER_hh_tes!B21/SER_hh_num!B21)</f>
        <v>0</v>
      </c>
      <c r="C21" s="132">
        <f>IF(SER_hh_tes!C21=0,0,11630*1000*SER_hh_tes!C21/SER_hh_num!C21)</f>
        <v>0</v>
      </c>
      <c r="D21" s="132">
        <f>IF(SER_hh_tes!D21=0,0,11630*1000*SER_hh_tes!D21/SER_hh_num!D21)</f>
        <v>0</v>
      </c>
      <c r="E21" s="132">
        <f>IF(SER_hh_tes!E21=0,0,11630*1000*SER_hh_tes!E21/SER_hh_num!E21)</f>
        <v>0</v>
      </c>
      <c r="F21" s="132">
        <f>IF(SER_hh_tes!F21=0,0,11630*1000*SER_hh_tes!F21/SER_hh_num!F21)</f>
        <v>0</v>
      </c>
      <c r="G21" s="132">
        <f>IF(SER_hh_tes!G21=0,0,11630*1000*SER_hh_tes!G21/SER_hh_num!G21)</f>
        <v>0</v>
      </c>
      <c r="H21" s="132">
        <f>IF(SER_hh_tes!H21=0,0,11630*1000*SER_hh_tes!H21/SER_hh_num!H21)</f>
        <v>0</v>
      </c>
      <c r="I21" s="132">
        <f>IF(SER_hh_tes!I21=0,0,11630*1000*SER_hh_tes!I21/SER_hh_num!I21)</f>
        <v>0</v>
      </c>
      <c r="J21" s="132">
        <f>IF(SER_hh_tes!J21=0,0,11630*1000*SER_hh_tes!J21/SER_hh_num!J21)</f>
        <v>0</v>
      </c>
      <c r="K21" s="132">
        <f>IF(SER_hh_tes!K21=0,0,11630*1000*SER_hh_tes!K21/SER_hh_num!K21)</f>
        <v>0</v>
      </c>
      <c r="L21" s="132">
        <f>IF(SER_hh_tes!L21=0,0,11630*1000*SER_hh_tes!L21/SER_hh_num!L21)</f>
        <v>0</v>
      </c>
      <c r="M21" s="132">
        <f>IF(SER_hh_tes!M21=0,0,11630*1000*SER_hh_tes!M21/SER_hh_num!M21)</f>
        <v>0</v>
      </c>
      <c r="N21" s="132">
        <f>IF(SER_hh_tes!N21=0,0,11630*1000*SER_hh_tes!N21/SER_hh_num!N21)</f>
        <v>0</v>
      </c>
      <c r="O21" s="132">
        <f>IF(SER_hh_tes!O21=0,0,11630*1000*SER_hh_tes!O21/SER_hh_num!O21)</f>
        <v>0</v>
      </c>
      <c r="P21" s="132">
        <f>IF(SER_hh_tes!P21=0,0,11630*1000*SER_hh_tes!P21/SER_hh_num!P21)</f>
        <v>0</v>
      </c>
      <c r="Q21" s="132">
        <f>IF(SER_hh_tes!Q21=0,0,11630*1000*SER_hh_tes!Q21/SER_hh_num!Q21)</f>
        <v>0</v>
      </c>
      <c r="R21" s="132">
        <f>IF(SER_hh_tes!R21=0,0,11630*1000*SER_hh_tes!R21/SER_hh_num!R21)</f>
        <v>0</v>
      </c>
      <c r="S21" s="132">
        <f>IF(SER_hh_tes!S21=0,0,11630*1000*SER_hh_tes!S21/SER_hh_num!S21)</f>
        <v>0</v>
      </c>
      <c r="T21" s="132">
        <f>IF(SER_hh_tes!T21=0,0,11630*1000*SER_hh_tes!T21/SER_hh_num!T21)</f>
        <v>0</v>
      </c>
      <c r="U21" s="132">
        <f>IF(SER_hh_tes!U21=0,0,11630*1000*SER_hh_tes!U21/SER_hh_num!U21)</f>
        <v>0</v>
      </c>
      <c r="V21" s="132">
        <f>IF(SER_hh_tes!V21=0,0,11630*1000*SER_hh_tes!V21/SER_hh_num!V21)</f>
        <v>0</v>
      </c>
      <c r="W21" s="132">
        <f>IF(SER_hh_tes!W21=0,0,11630*1000*SER_hh_tes!W21/SER_hh_num!W21)</f>
        <v>0</v>
      </c>
      <c r="X21" s="132">
        <f>IF(SER_hh_tes!X21=0,0,11630*1000*SER_hh_tes!X21/SER_hh_num!X21)</f>
        <v>0</v>
      </c>
      <c r="Y21" s="132">
        <f>IF(SER_hh_tes!Y21=0,0,11630*1000*SER_hh_tes!Y21/SER_hh_num!Y21)</f>
        <v>0</v>
      </c>
      <c r="DA21" s="156" t="s">
        <v>433</v>
      </c>
    </row>
    <row r="22" spans="1:105" ht="12" customHeight="1" x14ac:dyDescent="0.25">
      <c r="A22" s="131" t="s">
        <v>161</v>
      </c>
      <c r="B22" s="132">
        <f>IF(SER_hh_tes!B22=0,0,11630*1000*SER_hh_tes!B22/SER_hh_num!B22)</f>
        <v>15838.798316801382</v>
      </c>
      <c r="C22" s="132">
        <f>IF(SER_hh_tes!C22=0,0,11630*1000*SER_hh_tes!C22/SER_hh_num!C22)</f>
        <v>15820.889947256021</v>
      </c>
      <c r="D22" s="132">
        <f>IF(SER_hh_tes!D22=0,0,11630*1000*SER_hh_tes!D22/SER_hh_num!D22)</f>
        <v>16087.440657646184</v>
      </c>
      <c r="E22" s="132">
        <f>IF(SER_hh_tes!E22=0,0,11630*1000*SER_hh_tes!E22/SER_hh_num!E22)</f>
        <v>16177.106739250563</v>
      </c>
      <c r="F22" s="132">
        <f>IF(SER_hh_tes!F22=0,0,11630*1000*SER_hh_tes!F22/SER_hh_num!F22)</f>
        <v>16137.507257961319</v>
      </c>
      <c r="G22" s="132">
        <f>IF(SER_hh_tes!G22=0,0,11630*1000*SER_hh_tes!G22/SER_hh_num!G22)</f>
        <v>16070.607405388559</v>
      </c>
      <c r="H22" s="132">
        <f>IF(SER_hh_tes!H22=0,0,11630*1000*SER_hh_tes!H22/SER_hh_num!H22)</f>
        <v>16275.639651696987</v>
      </c>
      <c r="I22" s="132">
        <f>IF(SER_hh_tes!I22=0,0,11630*1000*SER_hh_tes!I22/SER_hh_num!I22)</f>
        <v>16218.386969146268</v>
      </c>
      <c r="J22" s="132">
        <f>IF(SER_hh_tes!J22=0,0,11630*1000*SER_hh_tes!J22/SER_hh_num!J22)</f>
        <v>16066.879200475983</v>
      </c>
      <c r="K22" s="132">
        <f>IF(SER_hh_tes!K22=0,0,11630*1000*SER_hh_tes!K22/SER_hh_num!K22)</f>
        <v>15905.680504650756</v>
      </c>
      <c r="L22" s="132">
        <f>IF(SER_hh_tes!L22=0,0,11630*1000*SER_hh_tes!L22/SER_hh_num!L22)</f>
        <v>16931.498849567663</v>
      </c>
      <c r="M22" s="132">
        <f>IF(SER_hh_tes!M22=0,0,11630*1000*SER_hh_tes!M22/SER_hh_num!M22)</f>
        <v>17064.440507184008</v>
      </c>
      <c r="N22" s="132">
        <f>IF(SER_hh_tes!N22=0,0,11630*1000*SER_hh_tes!N22/SER_hh_num!N22)</f>
        <v>16996.73754957633</v>
      </c>
      <c r="O22" s="132">
        <f>IF(SER_hh_tes!O22=0,0,11630*1000*SER_hh_tes!O22/SER_hh_num!O22)</f>
        <v>17401.966483568078</v>
      </c>
      <c r="P22" s="132">
        <f>IF(SER_hh_tes!P22=0,0,11630*1000*SER_hh_tes!P22/SER_hh_num!P22)</f>
        <v>17260.553482584546</v>
      </c>
      <c r="Q22" s="132">
        <f>IF(SER_hh_tes!Q22=0,0,11630*1000*SER_hh_tes!Q22/SER_hh_num!Q22)</f>
        <v>17633.58718013981</v>
      </c>
      <c r="R22" s="132">
        <f>IF(SER_hh_tes!R22=0,0,11630*1000*SER_hh_tes!R22/SER_hh_num!R22)</f>
        <v>18660.95798444689</v>
      </c>
      <c r="S22" s="132">
        <f>IF(SER_hh_tes!S22=0,0,11630*1000*SER_hh_tes!S22/SER_hh_num!S22)</f>
        <v>18020.849695197787</v>
      </c>
      <c r="T22" s="132">
        <f>IF(SER_hh_tes!T22=0,0,11630*1000*SER_hh_tes!T22/SER_hh_num!T22)</f>
        <v>17324.574819283527</v>
      </c>
      <c r="U22" s="132">
        <f>IF(SER_hh_tes!U22=0,0,11630*1000*SER_hh_tes!U22/SER_hh_num!U22)</f>
        <v>17946.397837199911</v>
      </c>
      <c r="V22" s="132">
        <f>IF(SER_hh_tes!V22=0,0,11630*1000*SER_hh_tes!V22/SER_hh_num!V22)</f>
        <v>16756.798953651218</v>
      </c>
      <c r="W22" s="132">
        <f>IF(SER_hh_tes!W22=0,0,11630*1000*SER_hh_tes!W22/SER_hh_num!W22)</f>
        <v>19984.001619818097</v>
      </c>
      <c r="X22" s="132">
        <f>IF(SER_hh_tes!X22=0,0,11630*1000*SER_hh_tes!X22/SER_hh_num!X22)</f>
        <v>19083.13027842046</v>
      </c>
      <c r="Y22" s="132">
        <f>IF(SER_hh_tes!Y22=0,0,11630*1000*SER_hh_tes!Y22/SER_hh_num!Y22)</f>
        <v>18472.831955711998</v>
      </c>
      <c r="DA22" s="156" t="s">
        <v>434</v>
      </c>
    </row>
    <row r="23" spans="1:105" ht="12" customHeight="1" x14ac:dyDescent="0.25">
      <c r="A23" s="131" t="s">
        <v>149</v>
      </c>
      <c r="B23" s="132">
        <f>IF(SER_hh_tes!B23=0,0,11630*1000*SER_hh_tes!B23/SER_hh_num!B23)</f>
        <v>15890.60617997302</v>
      </c>
      <c r="C23" s="132">
        <f>IF(SER_hh_tes!C23=0,0,11630*1000*SER_hh_tes!C23/SER_hh_num!C23)</f>
        <v>15894.167250924953</v>
      </c>
      <c r="D23" s="132">
        <f>IF(SER_hh_tes!D23=0,0,11630*1000*SER_hh_tes!D23/SER_hh_num!D23)</f>
        <v>15936.420083367359</v>
      </c>
      <c r="E23" s="132">
        <f>IF(SER_hh_tes!E23=0,0,11630*1000*SER_hh_tes!E23/SER_hh_num!E23)</f>
        <v>15950.151478346261</v>
      </c>
      <c r="F23" s="132">
        <f>IF(SER_hh_tes!F23=0,0,11630*1000*SER_hh_tes!F23/SER_hh_num!F23)</f>
        <v>16265.222403149231</v>
      </c>
      <c r="G23" s="132">
        <f>IF(SER_hh_tes!G23=0,0,11630*1000*SER_hh_tes!G23/SER_hh_num!G23)</f>
        <v>16545.646462857188</v>
      </c>
      <c r="H23" s="132">
        <f>IF(SER_hh_tes!H23=0,0,11630*1000*SER_hh_tes!H23/SER_hh_num!H23)</f>
        <v>16041.422298018688</v>
      </c>
      <c r="I23" s="132">
        <f>IF(SER_hh_tes!I23=0,0,11630*1000*SER_hh_tes!I23/SER_hh_num!I23)</f>
        <v>16178.186666843545</v>
      </c>
      <c r="J23" s="132">
        <f>IF(SER_hh_tes!J23=0,0,11630*1000*SER_hh_tes!J23/SER_hh_num!J23)</f>
        <v>16460.085570147294</v>
      </c>
      <c r="K23" s="132">
        <f>IF(SER_hh_tes!K23=0,0,11630*1000*SER_hh_tes!K23/SER_hh_num!K23)</f>
        <v>16378.632909598304</v>
      </c>
      <c r="L23" s="132">
        <f>IF(SER_hh_tes!L23=0,0,11630*1000*SER_hh_tes!L23/SER_hh_num!L23)</f>
        <v>16280.050234666674</v>
      </c>
      <c r="M23" s="132">
        <f>IF(SER_hh_tes!M23=0,0,11630*1000*SER_hh_tes!M23/SER_hh_num!M23)</f>
        <v>16683.526680631978</v>
      </c>
      <c r="N23" s="132">
        <f>IF(SER_hh_tes!N23=0,0,11630*1000*SER_hh_tes!N23/SER_hh_num!N23)</f>
        <v>17009.953846126948</v>
      </c>
      <c r="O23" s="132">
        <f>IF(SER_hh_tes!O23=0,0,11630*1000*SER_hh_tes!O23/SER_hh_num!O23)</f>
        <v>17313.197393229093</v>
      </c>
      <c r="P23" s="132">
        <f>IF(SER_hh_tes!P23=0,0,11630*1000*SER_hh_tes!P23/SER_hh_num!P23)</f>
        <v>17369.311714304629</v>
      </c>
      <c r="Q23" s="132">
        <f>IF(SER_hh_tes!Q23=0,0,11630*1000*SER_hh_tes!Q23/SER_hh_num!Q23)</f>
        <v>17418.742372504945</v>
      </c>
      <c r="R23" s="132">
        <f>IF(SER_hh_tes!R23=0,0,11630*1000*SER_hh_tes!R23/SER_hh_num!R23)</f>
        <v>17123.471253301064</v>
      </c>
      <c r="S23" s="132">
        <f>IF(SER_hh_tes!S23=0,0,11630*1000*SER_hh_tes!S23/SER_hh_num!S23)</f>
        <v>19976.446855207007</v>
      </c>
      <c r="T23" s="132">
        <f>IF(SER_hh_tes!T23=0,0,11630*1000*SER_hh_tes!T23/SER_hh_num!T23)</f>
        <v>17799.22937299894</v>
      </c>
      <c r="U23" s="132">
        <f>IF(SER_hh_tes!U23=0,0,11630*1000*SER_hh_tes!U23/SER_hh_num!U23)</f>
        <v>17216.870689811985</v>
      </c>
      <c r="V23" s="132">
        <f>IF(SER_hh_tes!V23=0,0,11630*1000*SER_hh_tes!V23/SER_hh_num!V23)</f>
        <v>16842.458637312666</v>
      </c>
      <c r="W23" s="132">
        <f>IF(SER_hh_tes!W23=0,0,11630*1000*SER_hh_tes!W23/SER_hh_num!W23)</f>
        <v>22043.086062785944</v>
      </c>
      <c r="X23" s="132">
        <f>IF(SER_hh_tes!X23=0,0,11630*1000*SER_hh_tes!X23/SER_hh_num!X23)</f>
        <v>19647.38697312451</v>
      </c>
      <c r="Y23" s="132">
        <f>IF(SER_hh_tes!Y23=0,0,11630*1000*SER_hh_tes!Y23/SER_hh_num!Y23)</f>
        <v>17133.234502676514</v>
      </c>
      <c r="DA23" s="156" t="s">
        <v>435</v>
      </c>
    </row>
    <row r="24" spans="1:105" ht="12" customHeight="1" x14ac:dyDescent="0.25">
      <c r="A24" s="131" t="s">
        <v>128</v>
      </c>
      <c r="B24" s="132">
        <f>IF(SER_hh_tes!B24=0,0,11630*1000*SER_hh_tes!B24/SER_hh_num!B24)</f>
        <v>14556.93800000489</v>
      </c>
      <c r="C24" s="132">
        <f>IF(SER_hh_tes!C24=0,0,11630*1000*SER_hh_tes!C24/SER_hh_num!C24)</f>
        <v>16648.536947664394</v>
      </c>
      <c r="D24" s="132">
        <f>IF(SER_hh_tes!D24=0,0,11630*1000*SER_hh_tes!D24/SER_hh_num!D24)</f>
        <v>16359.759876713093</v>
      </c>
      <c r="E24" s="132">
        <f>IF(SER_hh_tes!E24=0,0,11630*1000*SER_hh_tes!E24/SER_hh_num!E24)</f>
        <v>16002.224691580312</v>
      </c>
      <c r="F24" s="132">
        <f>IF(SER_hh_tes!F24=0,0,11630*1000*SER_hh_tes!F24/SER_hh_num!F24)</f>
        <v>16122.024013691305</v>
      </c>
      <c r="G24" s="132">
        <f>IF(SER_hh_tes!G24=0,0,11630*1000*SER_hh_tes!G24/SER_hh_num!G24)</f>
        <v>16025.652458153527</v>
      </c>
      <c r="H24" s="132">
        <f>IF(SER_hh_tes!H24=0,0,11630*1000*SER_hh_tes!H24/SER_hh_num!H24)</f>
        <v>16085.714615687912</v>
      </c>
      <c r="I24" s="132">
        <f>IF(SER_hh_tes!I24=0,0,11630*1000*SER_hh_tes!I24/SER_hh_num!I24)</f>
        <v>15924.236833105488</v>
      </c>
      <c r="J24" s="132">
        <f>IF(SER_hh_tes!J24=0,0,11630*1000*SER_hh_tes!J24/SER_hh_num!J24)</f>
        <v>16823.346011043457</v>
      </c>
      <c r="K24" s="132">
        <f>IF(SER_hh_tes!K24=0,0,11630*1000*SER_hh_tes!K24/SER_hh_num!K24)</f>
        <v>16113.531797604406</v>
      </c>
      <c r="L24" s="132">
        <f>IF(SER_hh_tes!L24=0,0,11630*1000*SER_hh_tes!L24/SER_hh_num!L24)</f>
        <v>16501.611316914259</v>
      </c>
      <c r="M24" s="132">
        <f>IF(SER_hh_tes!M24=0,0,11630*1000*SER_hh_tes!M24/SER_hh_num!M24)</f>
        <v>16983.231286518207</v>
      </c>
      <c r="N24" s="132">
        <f>IF(SER_hh_tes!N24=0,0,11630*1000*SER_hh_tes!N24/SER_hh_num!N24)</f>
        <v>17144.21483923183</v>
      </c>
      <c r="O24" s="132">
        <f>IF(SER_hh_tes!O24=0,0,11630*1000*SER_hh_tes!O24/SER_hh_num!O24)</f>
        <v>17155.373056324272</v>
      </c>
      <c r="P24" s="132">
        <f>IF(SER_hh_tes!P24=0,0,11630*1000*SER_hh_tes!P24/SER_hh_num!P24)</f>
        <v>17134.589724222657</v>
      </c>
      <c r="Q24" s="132">
        <f>IF(SER_hh_tes!Q24=0,0,11630*1000*SER_hh_tes!Q24/SER_hh_num!Q24)</f>
        <v>16785.629898445579</v>
      </c>
      <c r="R24" s="132">
        <f>IF(SER_hh_tes!R24=0,0,11630*1000*SER_hh_tes!R24/SER_hh_num!R24)</f>
        <v>18512.930755759418</v>
      </c>
      <c r="S24" s="132">
        <f>IF(SER_hh_tes!S24=0,0,11630*1000*SER_hh_tes!S24/SER_hh_num!S24)</f>
        <v>18114.18529170108</v>
      </c>
      <c r="T24" s="132">
        <f>IF(SER_hh_tes!T24=0,0,11630*1000*SER_hh_tes!T24/SER_hh_num!T24)</f>
        <v>18286.974244939265</v>
      </c>
      <c r="U24" s="132">
        <f>IF(SER_hh_tes!U24=0,0,11630*1000*SER_hh_tes!U24/SER_hh_num!U24)</f>
        <v>18329.302156668346</v>
      </c>
      <c r="V24" s="132">
        <f>IF(SER_hh_tes!V24=0,0,11630*1000*SER_hh_tes!V24/SER_hh_num!V24)</f>
        <v>16367.764511441783</v>
      </c>
      <c r="W24" s="132">
        <f>IF(SER_hh_tes!W24=0,0,11630*1000*SER_hh_tes!W24/SER_hh_num!W24)</f>
        <v>19725.130294689752</v>
      </c>
      <c r="X24" s="132">
        <f>IF(SER_hh_tes!X24=0,0,11630*1000*SER_hh_tes!X24/SER_hh_num!X24)</f>
        <v>20206.811601126148</v>
      </c>
      <c r="Y24" s="132">
        <f>IF(SER_hh_tes!Y24=0,0,11630*1000*SER_hh_tes!Y24/SER_hh_num!Y24)</f>
        <v>18462.625702197278</v>
      </c>
      <c r="DA24" s="156" t="s">
        <v>436</v>
      </c>
    </row>
    <row r="25" spans="1:105" ht="12" customHeight="1" x14ac:dyDescent="0.25">
      <c r="A25" s="131" t="s">
        <v>162</v>
      </c>
      <c r="B25" s="132">
        <f>IF(SER_hh_tes!B25=0,0,11630*1000*SER_hh_tes!B25/SER_hh_num!B25)</f>
        <v>15866.372000192865</v>
      </c>
      <c r="C25" s="132">
        <f>IF(SER_hh_tes!C25=0,0,11630*1000*SER_hh_tes!C25/SER_hh_num!C25)</f>
        <v>16025.049923125256</v>
      </c>
      <c r="D25" s="132">
        <f>IF(SER_hh_tes!D25=0,0,11630*1000*SER_hh_tes!D25/SER_hh_num!D25)</f>
        <v>15923.070673972266</v>
      </c>
      <c r="E25" s="132">
        <f>IF(SER_hh_tes!E25=0,0,11630*1000*SER_hh_tes!E25/SER_hh_num!E25)</f>
        <v>16107.126477344838</v>
      </c>
      <c r="F25" s="132">
        <f>IF(SER_hh_tes!F25=0,0,11630*1000*SER_hh_tes!F25/SER_hh_num!F25)</f>
        <v>16020.725272299853</v>
      </c>
      <c r="G25" s="132">
        <f>IF(SER_hh_tes!G25=0,0,11630*1000*SER_hh_tes!G25/SER_hh_num!G25)</f>
        <v>16202.476508111875</v>
      </c>
      <c r="H25" s="132">
        <f>IF(SER_hh_tes!H25=0,0,11630*1000*SER_hh_tes!H25/SER_hh_num!H25)</f>
        <v>16213.285396213838</v>
      </c>
      <c r="I25" s="132">
        <f>IF(SER_hh_tes!I25=0,0,11630*1000*SER_hh_tes!I25/SER_hh_num!I25)</f>
        <v>16300.35454118899</v>
      </c>
      <c r="J25" s="132">
        <f>IF(SER_hh_tes!J25=0,0,11630*1000*SER_hh_tes!J25/SER_hh_num!J25)</f>
        <v>16218.136383990182</v>
      </c>
      <c r="K25" s="132">
        <f>IF(SER_hh_tes!K25=0,0,11630*1000*SER_hh_tes!K25/SER_hh_num!K25)</f>
        <v>16406.43023441371</v>
      </c>
      <c r="L25" s="132">
        <f>IF(SER_hh_tes!L25=0,0,11630*1000*SER_hh_tes!L25/SER_hh_num!L25)</f>
        <v>16494.085517890871</v>
      </c>
      <c r="M25" s="132">
        <f>IF(SER_hh_tes!M25=0,0,11630*1000*SER_hh_tes!M25/SER_hh_num!M25)</f>
        <v>16668.340892517175</v>
      </c>
      <c r="N25" s="132">
        <f>IF(SER_hh_tes!N25=0,0,11630*1000*SER_hh_tes!N25/SER_hh_num!N25)</f>
        <v>16948.803664578732</v>
      </c>
      <c r="O25" s="132">
        <f>IF(SER_hh_tes!O25=0,0,11630*1000*SER_hh_tes!O25/SER_hh_num!O25)</f>
        <v>17249.385566458677</v>
      </c>
      <c r="P25" s="132">
        <f>IF(SER_hh_tes!P25=0,0,11630*1000*SER_hh_tes!P25/SER_hh_num!P25)</f>
        <v>17446.709066563737</v>
      </c>
      <c r="Q25" s="132">
        <f>IF(SER_hh_tes!Q25=0,0,11630*1000*SER_hh_tes!Q25/SER_hh_num!Q25)</f>
        <v>17572.971172501973</v>
      </c>
      <c r="R25" s="132">
        <f>IF(SER_hh_tes!R25=0,0,11630*1000*SER_hh_tes!R25/SER_hh_num!R25)</f>
        <v>17862.949639124407</v>
      </c>
      <c r="S25" s="132">
        <f>IF(SER_hh_tes!S25=0,0,11630*1000*SER_hh_tes!S25/SER_hh_num!S25)</f>
        <v>17939.011714021337</v>
      </c>
      <c r="T25" s="132">
        <f>IF(SER_hh_tes!T25=0,0,11630*1000*SER_hh_tes!T25/SER_hh_num!T25)</f>
        <v>18504.483568462081</v>
      </c>
      <c r="U25" s="132">
        <f>IF(SER_hh_tes!U25=0,0,11630*1000*SER_hh_tes!U25/SER_hh_num!U25)</f>
        <v>18132.901680570358</v>
      </c>
      <c r="V25" s="132">
        <f>IF(SER_hh_tes!V25=0,0,11630*1000*SER_hh_tes!V25/SER_hh_num!V25)</f>
        <v>16483.178443750872</v>
      </c>
      <c r="W25" s="132">
        <f>IF(SER_hh_tes!W25=0,0,11630*1000*SER_hh_tes!W25/SER_hh_num!W25)</f>
        <v>19139.254879964861</v>
      </c>
      <c r="X25" s="132">
        <f>IF(SER_hh_tes!X25=0,0,11630*1000*SER_hh_tes!X25/SER_hh_num!X25)</f>
        <v>19149.488441702768</v>
      </c>
      <c r="Y25" s="132">
        <f>IF(SER_hh_tes!Y25=0,0,11630*1000*SER_hh_tes!Y25/SER_hh_num!Y25)</f>
        <v>19287.283660663532</v>
      </c>
      <c r="DA25" s="156" t="s">
        <v>437</v>
      </c>
    </row>
    <row r="26" spans="1:105" ht="12" customHeight="1" x14ac:dyDescent="0.25">
      <c r="A26" s="131" t="s">
        <v>24</v>
      </c>
      <c r="B26" s="65">
        <f>IF(SER_hh_tes!B26=0,0,11630*1000*SER_hh_tes!B26/SER_hh_num!B26)</f>
        <v>16062.463327808144</v>
      </c>
      <c r="C26" s="65">
        <f>IF(SER_hh_tes!C26=0,0,11630*1000*SER_hh_tes!C26/SER_hh_num!C26)</f>
        <v>15851.704955873198</v>
      </c>
      <c r="D26" s="65">
        <f>IF(SER_hh_tes!D26=0,0,11630*1000*SER_hh_tes!D26/SER_hh_num!D26)</f>
        <v>15868.868783487156</v>
      </c>
      <c r="E26" s="65">
        <f>IF(SER_hh_tes!E26=0,0,11630*1000*SER_hh_tes!E26/SER_hh_num!E26)</f>
        <v>16057.270438867719</v>
      </c>
      <c r="F26" s="65">
        <f>IF(SER_hh_tes!F26=0,0,11630*1000*SER_hh_tes!F26/SER_hh_num!F26)</f>
        <v>16052.166839115042</v>
      </c>
      <c r="G26" s="65">
        <f>IF(SER_hh_tes!G26=0,0,11630*1000*SER_hh_tes!G26/SER_hh_num!G26)</f>
        <v>16412.874917593639</v>
      </c>
      <c r="H26" s="65">
        <f>IF(SER_hh_tes!H26=0,0,11630*1000*SER_hh_tes!H26/SER_hh_num!H26)</f>
        <v>16200.562202488822</v>
      </c>
      <c r="I26" s="65">
        <f>IF(SER_hh_tes!I26=0,0,11630*1000*SER_hh_tes!I26/SER_hh_num!I26)</f>
        <v>15909.126346855588</v>
      </c>
      <c r="J26" s="65">
        <f>IF(SER_hh_tes!J26=0,0,11630*1000*SER_hh_tes!J26/SER_hh_num!J26)</f>
        <v>16123.137382963538</v>
      </c>
      <c r="K26" s="65">
        <f>IF(SER_hh_tes!K26=0,0,11630*1000*SER_hh_tes!K26/SER_hh_num!K26)</f>
        <v>16278.762175336466</v>
      </c>
      <c r="L26" s="65">
        <f>IF(SER_hh_tes!L26=0,0,11630*1000*SER_hh_tes!L26/SER_hh_num!L26)</f>
        <v>16474.577660115654</v>
      </c>
      <c r="M26" s="65">
        <f>IF(SER_hh_tes!M26=0,0,11630*1000*SER_hh_tes!M26/SER_hh_num!M26)</f>
        <v>16727.198064523476</v>
      </c>
      <c r="N26" s="65">
        <f>IF(SER_hh_tes!N26=0,0,11630*1000*SER_hh_tes!N26/SER_hh_num!N26)</f>
        <v>16972.329523612589</v>
      </c>
      <c r="O26" s="65">
        <f>IF(SER_hh_tes!O26=0,0,11630*1000*SER_hh_tes!O26/SER_hh_num!O26)</f>
        <v>17158.732902434087</v>
      </c>
      <c r="P26" s="65">
        <f>IF(SER_hh_tes!P26=0,0,11630*1000*SER_hh_tes!P26/SER_hh_num!P26)</f>
        <v>17577.087434448345</v>
      </c>
      <c r="Q26" s="65">
        <f>IF(SER_hh_tes!Q26=0,0,11630*1000*SER_hh_tes!Q26/SER_hh_num!Q26)</f>
        <v>17854.950799481445</v>
      </c>
      <c r="R26" s="65">
        <f>IF(SER_hh_tes!R26=0,0,11630*1000*SER_hh_tes!R26/SER_hh_num!R26)</f>
        <v>17220.19140333508</v>
      </c>
      <c r="S26" s="65">
        <f>IF(SER_hh_tes!S26=0,0,11630*1000*SER_hh_tes!S26/SER_hh_num!S26)</f>
        <v>17993.126388540339</v>
      </c>
      <c r="T26" s="65">
        <f>IF(SER_hh_tes!T26=0,0,11630*1000*SER_hh_tes!T26/SER_hh_num!T26)</f>
        <v>17916.412921796393</v>
      </c>
      <c r="U26" s="65">
        <f>IF(SER_hh_tes!U26=0,0,11630*1000*SER_hh_tes!U26/SER_hh_num!U26)</f>
        <v>18977.443986585364</v>
      </c>
      <c r="V26" s="65">
        <f>IF(SER_hh_tes!V26=0,0,11630*1000*SER_hh_tes!V26/SER_hh_num!V26)</f>
        <v>17555.216933125266</v>
      </c>
      <c r="W26" s="65">
        <f>IF(SER_hh_tes!W26=0,0,11630*1000*SER_hh_tes!W26/SER_hh_num!W26)</f>
        <v>18454.781585033514</v>
      </c>
      <c r="X26" s="65">
        <f>IF(SER_hh_tes!X26=0,0,11630*1000*SER_hh_tes!X26/SER_hh_num!X26)</f>
        <v>18875.365965127945</v>
      </c>
      <c r="Y26" s="65">
        <f>IF(SER_hh_tes!Y26=0,0,11630*1000*SER_hh_tes!Y26/SER_hh_num!Y26)</f>
        <v>19540.614849627804</v>
      </c>
      <c r="DA26" s="109" t="s">
        <v>438</v>
      </c>
    </row>
    <row r="27" spans="1:105" ht="12" customHeight="1" x14ac:dyDescent="0.25">
      <c r="A27" s="144" t="s">
        <v>86</v>
      </c>
      <c r="B27" s="145">
        <f>IF(SER_hh_tes!B27=0,0,11630*1000*SER_hh_tes!B27/SER_hh_num!B19)</f>
        <v>0</v>
      </c>
      <c r="C27" s="145">
        <f>IF(SER_hh_tes!C27=0,0,11630*1000*SER_hh_tes!C27/SER_hh_num!C19)</f>
        <v>0</v>
      </c>
      <c r="D27" s="145">
        <f>IF(SER_hh_tes!D27=0,0,11630*1000*SER_hh_tes!D27/SER_hh_num!D19)</f>
        <v>0</v>
      </c>
      <c r="E27" s="145">
        <f>IF(SER_hh_tes!E27=0,0,11630*1000*SER_hh_tes!E27/SER_hh_num!E19)</f>
        <v>0</v>
      </c>
      <c r="F27" s="145">
        <f>IF(SER_hh_tes!F27=0,0,11630*1000*SER_hh_tes!F27/SER_hh_num!F19)</f>
        <v>0</v>
      </c>
      <c r="G27" s="145">
        <f>IF(SER_hh_tes!G27=0,0,11630*1000*SER_hh_tes!G27/SER_hh_num!G19)</f>
        <v>0</v>
      </c>
      <c r="H27" s="145">
        <f>IF(SER_hh_tes!H27=0,0,11630*1000*SER_hh_tes!H27/SER_hh_num!H19)</f>
        <v>0</v>
      </c>
      <c r="I27" s="145">
        <f>IF(SER_hh_tes!I27=0,0,11630*1000*SER_hh_tes!I27/SER_hh_num!I19)</f>
        <v>0</v>
      </c>
      <c r="J27" s="145">
        <f>IF(SER_hh_tes!J27=0,0,11630*1000*SER_hh_tes!J27/SER_hh_num!J19)</f>
        <v>0</v>
      </c>
      <c r="K27" s="145">
        <f>IF(SER_hh_tes!K27=0,0,11630*1000*SER_hh_tes!K27/SER_hh_num!K19)</f>
        <v>0</v>
      </c>
      <c r="L27" s="145">
        <f>IF(SER_hh_tes!L27=0,0,11630*1000*SER_hh_tes!L27/SER_hh_num!L19)</f>
        <v>0</v>
      </c>
      <c r="M27" s="145">
        <f>IF(SER_hh_tes!M27=0,0,11630*1000*SER_hh_tes!M27/SER_hh_num!M19)</f>
        <v>0</v>
      </c>
      <c r="N27" s="145">
        <f>IF(SER_hh_tes!N27=0,0,11630*1000*SER_hh_tes!N27/SER_hh_num!N19)</f>
        <v>0</v>
      </c>
      <c r="O27" s="145">
        <f>IF(SER_hh_tes!O27=0,0,11630*1000*SER_hh_tes!O27/SER_hh_num!O19)</f>
        <v>0</v>
      </c>
      <c r="P27" s="145">
        <f>IF(SER_hh_tes!P27=0,0,11630*1000*SER_hh_tes!P27/SER_hh_num!P19)</f>
        <v>0</v>
      </c>
      <c r="Q27" s="145">
        <f>IF(SER_hh_tes!Q27=0,0,11630*1000*SER_hh_tes!Q27/SER_hh_num!Q19)</f>
        <v>0</v>
      </c>
      <c r="R27" s="145">
        <f>IF(SER_hh_tes!R27=0,0,11630*1000*SER_hh_tes!R27/SER_hh_num!R19)</f>
        <v>0</v>
      </c>
      <c r="S27" s="145">
        <f>IF(SER_hh_tes!S27=0,0,11630*1000*SER_hh_tes!S27/SER_hh_num!S19)</f>
        <v>0</v>
      </c>
      <c r="T27" s="145">
        <f>IF(SER_hh_tes!T27=0,0,11630*1000*SER_hh_tes!T27/SER_hh_num!T19)</f>
        <v>0</v>
      </c>
      <c r="U27" s="145">
        <f>IF(SER_hh_tes!U27=0,0,11630*1000*SER_hh_tes!U27/SER_hh_num!U19)</f>
        <v>0</v>
      </c>
      <c r="V27" s="145">
        <f>IF(SER_hh_tes!V27=0,0,11630*1000*SER_hh_tes!V27/SER_hh_num!V19)</f>
        <v>0</v>
      </c>
      <c r="W27" s="145">
        <f>IF(SER_hh_tes!W27=0,0,11630*1000*SER_hh_tes!W27/SER_hh_num!W19)</f>
        <v>0</v>
      </c>
      <c r="X27" s="145">
        <f>IF(SER_hh_tes!X27=0,0,11630*1000*SER_hh_tes!X27/SER_hh_num!X19)</f>
        <v>0</v>
      </c>
      <c r="Y27" s="145">
        <f>IF(SER_hh_tes!Y27=0,0,11630*1000*SER_hh_tes!Y27/SER_hh_num!Y19)</f>
        <v>0</v>
      </c>
      <c r="DA27" s="158" t="s">
        <v>439</v>
      </c>
    </row>
    <row r="28" spans="1:105" ht="12" customHeight="1" x14ac:dyDescent="0.25">
      <c r="A28" s="78" t="s">
        <v>85</v>
      </c>
      <c r="B28" s="146">
        <f>IF(SER_hh_tes!B27=0,0,11630*1000*SER_hh_tes!B27/SER_hh_num!B27)</f>
        <v>0</v>
      </c>
      <c r="C28" s="146">
        <f>IF(SER_hh_tes!C27=0,0,11630*1000*SER_hh_tes!C27/SER_hh_num!C27)</f>
        <v>0</v>
      </c>
      <c r="D28" s="146">
        <f>IF(SER_hh_tes!D27=0,0,11630*1000*SER_hh_tes!D27/SER_hh_num!D27)</f>
        <v>0</v>
      </c>
      <c r="E28" s="146">
        <f>IF(SER_hh_tes!E27=0,0,11630*1000*SER_hh_tes!E27/SER_hh_num!E27)</f>
        <v>0</v>
      </c>
      <c r="F28" s="146">
        <f>IF(SER_hh_tes!F27=0,0,11630*1000*SER_hh_tes!F27/SER_hh_num!F27)</f>
        <v>0</v>
      </c>
      <c r="G28" s="146">
        <f>IF(SER_hh_tes!G27=0,0,11630*1000*SER_hh_tes!G27/SER_hh_num!G27)</f>
        <v>0</v>
      </c>
      <c r="H28" s="146">
        <f>IF(SER_hh_tes!H27=0,0,11630*1000*SER_hh_tes!H27/SER_hh_num!H27)</f>
        <v>0</v>
      </c>
      <c r="I28" s="146">
        <f>IF(SER_hh_tes!I27=0,0,11630*1000*SER_hh_tes!I27/SER_hh_num!I27)</f>
        <v>0</v>
      </c>
      <c r="J28" s="146">
        <f>IF(SER_hh_tes!J27=0,0,11630*1000*SER_hh_tes!J27/SER_hh_num!J27)</f>
        <v>0</v>
      </c>
      <c r="K28" s="146">
        <f>IF(SER_hh_tes!K27=0,0,11630*1000*SER_hh_tes!K27/SER_hh_num!K27)</f>
        <v>0</v>
      </c>
      <c r="L28" s="146">
        <f>IF(SER_hh_tes!L27=0,0,11630*1000*SER_hh_tes!L27/SER_hh_num!L27)</f>
        <v>0</v>
      </c>
      <c r="M28" s="146">
        <f>IF(SER_hh_tes!M27=0,0,11630*1000*SER_hh_tes!M27/SER_hh_num!M27)</f>
        <v>0</v>
      </c>
      <c r="N28" s="146">
        <f>IF(SER_hh_tes!N27=0,0,11630*1000*SER_hh_tes!N27/SER_hh_num!N27)</f>
        <v>0</v>
      </c>
      <c r="O28" s="146">
        <f>IF(SER_hh_tes!O27=0,0,11630*1000*SER_hh_tes!O27/SER_hh_num!O27)</f>
        <v>0</v>
      </c>
      <c r="P28" s="146">
        <f>IF(SER_hh_tes!P27=0,0,11630*1000*SER_hh_tes!P27/SER_hh_num!P27)</f>
        <v>0</v>
      </c>
      <c r="Q28" s="146">
        <f>IF(SER_hh_tes!Q27=0,0,11630*1000*SER_hh_tes!Q27/SER_hh_num!Q27)</f>
        <v>0</v>
      </c>
      <c r="R28" s="146">
        <f>IF(SER_hh_tes!R27=0,0,11630*1000*SER_hh_tes!R27/SER_hh_num!R27)</f>
        <v>0</v>
      </c>
      <c r="S28" s="146">
        <f>IF(SER_hh_tes!S27=0,0,11630*1000*SER_hh_tes!S27/SER_hh_num!S27)</f>
        <v>0</v>
      </c>
      <c r="T28" s="146">
        <f>IF(SER_hh_tes!T27=0,0,11630*1000*SER_hh_tes!T27/SER_hh_num!T27)</f>
        <v>0</v>
      </c>
      <c r="U28" s="146">
        <f>IF(SER_hh_tes!U27=0,0,11630*1000*SER_hh_tes!U27/SER_hh_num!U27)</f>
        <v>0</v>
      </c>
      <c r="V28" s="146">
        <f>IF(SER_hh_tes!V27=0,0,11630*1000*SER_hh_tes!V27/SER_hh_num!V27)</f>
        <v>0</v>
      </c>
      <c r="W28" s="146">
        <f>IF(SER_hh_tes!W27=0,0,11630*1000*SER_hh_tes!W27/SER_hh_num!W27)</f>
        <v>0</v>
      </c>
      <c r="X28" s="146">
        <f>IF(SER_hh_tes!X27=0,0,11630*1000*SER_hh_tes!X27/SER_hh_num!X27)</f>
        <v>0</v>
      </c>
      <c r="Y28" s="146">
        <f>IF(SER_hh_tes!Y27=0,0,11630*1000*SER_hh_tes!Y27/SER_hh_num!Y27)</f>
        <v>0</v>
      </c>
      <c r="DA28" s="159"/>
    </row>
    <row r="29" spans="1:105" ht="12.95" customHeight="1" x14ac:dyDescent="0.25">
      <c r="A29" s="129" t="s">
        <v>34</v>
      </c>
      <c r="B29" s="130">
        <f>IF(SER_hh_tes!B29=0,0,11630*1000*SER_hh_tes!B29/SER_hh_num!B29)</f>
        <v>15322.263225213055</v>
      </c>
      <c r="C29" s="130">
        <f>IF(SER_hh_tes!C29=0,0,11630*1000*SER_hh_tes!C29/SER_hh_num!C29)</f>
        <v>15045.488127661158</v>
      </c>
      <c r="D29" s="130">
        <f>IF(SER_hh_tes!D29=0,0,11630*1000*SER_hh_tes!D29/SER_hh_num!D29)</f>
        <v>14929.963167526344</v>
      </c>
      <c r="E29" s="130">
        <f>IF(SER_hh_tes!E29=0,0,11630*1000*SER_hh_tes!E29/SER_hh_num!E29)</f>
        <v>15003.553111402105</v>
      </c>
      <c r="F29" s="130">
        <f>IF(SER_hh_tes!F29=0,0,11630*1000*SER_hh_tes!F29/SER_hh_num!F29)</f>
        <v>15147.129695928934</v>
      </c>
      <c r="G29" s="130">
        <f>IF(SER_hh_tes!G29=0,0,11630*1000*SER_hh_tes!G29/SER_hh_num!G29)</f>
        <v>15275.044288389396</v>
      </c>
      <c r="H29" s="130">
        <f>IF(SER_hh_tes!H29=0,0,11630*1000*SER_hh_tes!H29/SER_hh_num!H29)</f>
        <v>15397.37398208372</v>
      </c>
      <c r="I29" s="130">
        <f>IF(SER_hh_tes!I29=0,0,11630*1000*SER_hh_tes!I29/SER_hh_num!I29)</f>
        <v>15192.390366166213</v>
      </c>
      <c r="J29" s="130">
        <f>IF(SER_hh_tes!J29=0,0,11630*1000*SER_hh_tes!J29/SER_hh_num!J29)</f>
        <v>15145.429624578954</v>
      </c>
      <c r="K29" s="130">
        <f>IF(SER_hh_tes!K29=0,0,11630*1000*SER_hh_tes!K29/SER_hh_num!K29)</f>
        <v>15387.722663362567</v>
      </c>
      <c r="L29" s="130">
        <f>IF(SER_hh_tes!L29=0,0,11630*1000*SER_hh_tes!L29/SER_hh_num!L29)</f>
        <v>15260.664576924848</v>
      </c>
      <c r="M29" s="130">
        <f>IF(SER_hh_tes!M29=0,0,11630*1000*SER_hh_tes!M29/SER_hh_num!M29)</f>
        <v>15649.923870266395</v>
      </c>
      <c r="N29" s="130">
        <f>IF(SER_hh_tes!N29=0,0,11630*1000*SER_hh_tes!N29/SER_hh_num!N29)</f>
        <v>15585.730348648953</v>
      </c>
      <c r="O29" s="130">
        <f>IF(SER_hh_tes!O29=0,0,11630*1000*SER_hh_tes!O29/SER_hh_num!O29)</f>
        <v>15770.124539040098</v>
      </c>
      <c r="P29" s="130">
        <f>IF(SER_hh_tes!P29=0,0,11630*1000*SER_hh_tes!P29/SER_hh_num!P29)</f>
        <v>15980.427919398591</v>
      </c>
      <c r="Q29" s="130">
        <f>IF(SER_hh_tes!Q29=0,0,11630*1000*SER_hh_tes!Q29/SER_hh_num!Q29)</f>
        <v>16293.061020907848</v>
      </c>
      <c r="R29" s="130">
        <f>IF(SER_hh_tes!R29=0,0,11630*1000*SER_hh_tes!R29/SER_hh_num!R29)</f>
        <v>16708.487930927233</v>
      </c>
      <c r="S29" s="130">
        <f>IF(SER_hh_tes!S29=0,0,11630*1000*SER_hh_tes!S29/SER_hh_num!S29)</f>
        <v>17324.788807484649</v>
      </c>
      <c r="T29" s="130">
        <f>IF(SER_hh_tes!T29=0,0,11630*1000*SER_hh_tes!T29/SER_hh_num!T29)</f>
        <v>17341.589796129385</v>
      </c>
      <c r="U29" s="130">
        <f>IF(SER_hh_tes!U29=0,0,11630*1000*SER_hh_tes!U29/SER_hh_num!U29)</f>
        <v>18488.102283174347</v>
      </c>
      <c r="V29" s="130">
        <f>IF(SER_hh_tes!V29=0,0,11630*1000*SER_hh_tes!V29/SER_hh_num!V29)</f>
        <v>17269.868506741357</v>
      </c>
      <c r="W29" s="130">
        <f>IF(SER_hh_tes!W29=0,0,11630*1000*SER_hh_tes!W29/SER_hh_num!W29)</f>
        <v>19144.286718005369</v>
      </c>
      <c r="X29" s="130">
        <f>IF(SER_hh_tes!X29=0,0,11630*1000*SER_hh_tes!X29/SER_hh_num!X29)</f>
        <v>19191.546408314971</v>
      </c>
      <c r="Y29" s="130">
        <f>IF(SER_hh_tes!Y29=0,0,11630*1000*SER_hh_tes!Y29/SER_hh_num!Y29)</f>
        <v>19510.150615303963</v>
      </c>
      <c r="DA29" s="155" t="s">
        <v>440</v>
      </c>
    </row>
    <row r="30" spans="1:105" ht="12" customHeight="1" x14ac:dyDescent="0.25">
      <c r="A30" s="131" t="s">
        <v>52</v>
      </c>
      <c r="B30" s="132">
        <f>IF(SER_hh_tes!B30=0,0,11630*1000*SER_hh_tes!B30/SER_hh_num!B30)</f>
        <v>0</v>
      </c>
      <c r="C30" s="132">
        <f>IF(SER_hh_tes!C30=0,0,11630*1000*SER_hh_tes!C30/SER_hh_num!C30)</f>
        <v>0</v>
      </c>
      <c r="D30" s="132">
        <f>IF(SER_hh_tes!D30=0,0,11630*1000*SER_hh_tes!D30/SER_hh_num!D30)</f>
        <v>0</v>
      </c>
      <c r="E30" s="132">
        <f>IF(SER_hh_tes!E30=0,0,11630*1000*SER_hh_tes!E30/SER_hh_num!E30)</f>
        <v>0</v>
      </c>
      <c r="F30" s="132">
        <f>IF(SER_hh_tes!F30=0,0,11630*1000*SER_hh_tes!F30/SER_hh_num!F30)</f>
        <v>0</v>
      </c>
      <c r="G30" s="132">
        <f>IF(SER_hh_tes!G30=0,0,11630*1000*SER_hh_tes!G30/SER_hh_num!G30)</f>
        <v>0</v>
      </c>
      <c r="H30" s="132">
        <f>IF(SER_hh_tes!H30=0,0,11630*1000*SER_hh_tes!H30/SER_hh_num!H30)</f>
        <v>0</v>
      </c>
      <c r="I30" s="132">
        <f>IF(SER_hh_tes!I30=0,0,11630*1000*SER_hh_tes!I30/SER_hh_num!I30)</f>
        <v>0</v>
      </c>
      <c r="J30" s="132">
        <f>IF(SER_hh_tes!J30=0,0,11630*1000*SER_hh_tes!J30/SER_hh_num!J30)</f>
        <v>0</v>
      </c>
      <c r="K30" s="132">
        <f>IF(SER_hh_tes!K30=0,0,11630*1000*SER_hh_tes!K30/SER_hh_num!K30)</f>
        <v>0</v>
      </c>
      <c r="L30" s="132">
        <f>IF(SER_hh_tes!L30=0,0,11630*1000*SER_hh_tes!L30/SER_hh_num!L30)</f>
        <v>0</v>
      </c>
      <c r="M30" s="132">
        <f>IF(SER_hh_tes!M30=0,0,11630*1000*SER_hh_tes!M30/SER_hh_num!M30)</f>
        <v>0</v>
      </c>
      <c r="N30" s="132">
        <f>IF(SER_hh_tes!N30=0,0,11630*1000*SER_hh_tes!N30/SER_hh_num!N30)</f>
        <v>0</v>
      </c>
      <c r="O30" s="132">
        <f>IF(SER_hh_tes!O30=0,0,11630*1000*SER_hh_tes!O30/SER_hh_num!O30)</f>
        <v>0</v>
      </c>
      <c r="P30" s="132">
        <f>IF(SER_hh_tes!P30=0,0,11630*1000*SER_hh_tes!P30/SER_hh_num!P30)</f>
        <v>0</v>
      </c>
      <c r="Q30" s="132">
        <f>IF(SER_hh_tes!Q30=0,0,11630*1000*SER_hh_tes!Q30/SER_hh_num!Q30)</f>
        <v>0</v>
      </c>
      <c r="R30" s="132">
        <f>IF(SER_hh_tes!R30=0,0,11630*1000*SER_hh_tes!R30/SER_hh_num!R30)</f>
        <v>0</v>
      </c>
      <c r="S30" s="132">
        <f>IF(SER_hh_tes!S30=0,0,11630*1000*SER_hh_tes!S30/SER_hh_num!S30)</f>
        <v>0</v>
      </c>
      <c r="T30" s="132">
        <f>IF(SER_hh_tes!T30=0,0,11630*1000*SER_hh_tes!T30/SER_hh_num!T30)</f>
        <v>0</v>
      </c>
      <c r="U30" s="132">
        <f>IF(SER_hh_tes!U30=0,0,11630*1000*SER_hh_tes!U30/SER_hh_num!U30)</f>
        <v>0</v>
      </c>
      <c r="V30" s="132">
        <f>IF(SER_hh_tes!V30=0,0,11630*1000*SER_hh_tes!V30/SER_hh_num!V30)</f>
        <v>0</v>
      </c>
      <c r="W30" s="132">
        <f>IF(SER_hh_tes!W30=0,0,11630*1000*SER_hh_tes!W30/SER_hh_num!W30)</f>
        <v>0</v>
      </c>
      <c r="X30" s="132">
        <f>IF(SER_hh_tes!X30=0,0,11630*1000*SER_hh_tes!X30/SER_hh_num!X30)</f>
        <v>0</v>
      </c>
      <c r="Y30" s="132">
        <f>IF(SER_hh_tes!Y30=0,0,11630*1000*SER_hh_tes!Y30/SER_hh_num!Y30)</f>
        <v>0</v>
      </c>
      <c r="DA30" s="156" t="s">
        <v>441</v>
      </c>
    </row>
    <row r="31" spans="1:105" ht="12" customHeight="1" x14ac:dyDescent="0.25">
      <c r="A31" s="131" t="s">
        <v>149</v>
      </c>
      <c r="B31" s="132">
        <f>IF(SER_hh_tes!B31=0,0,11630*1000*SER_hh_tes!B31/SER_hh_num!B31)</f>
        <v>15209.192451545625</v>
      </c>
      <c r="C31" s="132">
        <f>IF(SER_hh_tes!C31=0,0,11630*1000*SER_hh_tes!C31/SER_hh_num!C31)</f>
        <v>14998.30914934318</v>
      </c>
      <c r="D31" s="132">
        <f>IF(SER_hh_tes!D31=0,0,11630*1000*SER_hh_tes!D31/SER_hh_num!D31)</f>
        <v>15026.599649927655</v>
      </c>
      <c r="E31" s="132">
        <f>IF(SER_hh_tes!E31=0,0,11630*1000*SER_hh_tes!E31/SER_hh_num!E31)</f>
        <v>15035.993419291059</v>
      </c>
      <c r="F31" s="132">
        <f>IF(SER_hh_tes!F31=0,0,11630*1000*SER_hh_tes!F31/SER_hh_num!F31)</f>
        <v>15240.053611495363</v>
      </c>
      <c r="G31" s="132">
        <f>IF(SER_hh_tes!G31=0,0,11630*1000*SER_hh_tes!G31/SER_hh_num!G31)</f>
        <v>15327.375285756922</v>
      </c>
      <c r="H31" s="132">
        <f>IF(SER_hh_tes!H31=0,0,11630*1000*SER_hh_tes!H31/SER_hh_num!H31)</f>
        <v>15343.785243093416</v>
      </c>
      <c r="I31" s="132">
        <f>IF(SER_hh_tes!I31=0,0,11630*1000*SER_hh_tes!I31/SER_hh_num!I31)</f>
        <v>15349.247474611062</v>
      </c>
      <c r="J31" s="132">
        <f>IF(SER_hh_tes!J31=0,0,11630*1000*SER_hh_tes!J31/SER_hh_num!J31)</f>
        <v>15588.886951009066</v>
      </c>
      <c r="K31" s="132">
        <f>IF(SER_hh_tes!K31=0,0,11630*1000*SER_hh_tes!K31/SER_hh_num!K31)</f>
        <v>15356.126217656134</v>
      </c>
      <c r="L31" s="132">
        <f>IF(SER_hh_tes!L31=0,0,11630*1000*SER_hh_tes!L31/SER_hh_num!L31)</f>
        <v>15359.743128973714</v>
      </c>
      <c r="M31" s="132">
        <f>IF(SER_hh_tes!M31=0,0,11630*1000*SER_hh_tes!M31/SER_hh_num!M31)</f>
        <v>15179.844081488853</v>
      </c>
      <c r="N31" s="132">
        <f>IF(SER_hh_tes!N31=0,0,11630*1000*SER_hh_tes!N31/SER_hh_num!N31)</f>
        <v>15485.844042935103</v>
      </c>
      <c r="O31" s="132">
        <f>IF(SER_hh_tes!O31=0,0,11630*1000*SER_hh_tes!O31/SER_hh_num!O31)</f>
        <v>15999.111721475869</v>
      </c>
      <c r="P31" s="132">
        <f>IF(SER_hh_tes!P31=0,0,11630*1000*SER_hh_tes!P31/SER_hh_num!P31)</f>
        <v>15944.241600533305</v>
      </c>
      <c r="Q31" s="132">
        <f>IF(SER_hh_tes!Q31=0,0,11630*1000*SER_hh_tes!Q31/SER_hh_num!Q31)</f>
        <v>16185.005456180736</v>
      </c>
      <c r="R31" s="132">
        <f>IF(SER_hh_tes!R31=0,0,11630*1000*SER_hh_tes!R31/SER_hh_num!R31)</f>
        <v>16150.437121749284</v>
      </c>
      <c r="S31" s="132">
        <f>IF(SER_hh_tes!S31=0,0,11630*1000*SER_hh_tes!S31/SER_hh_num!S31)</f>
        <v>18629.435740673453</v>
      </c>
      <c r="T31" s="132">
        <f>IF(SER_hh_tes!T31=0,0,11630*1000*SER_hh_tes!T31/SER_hh_num!T31)</f>
        <v>17104.047670598513</v>
      </c>
      <c r="U31" s="132">
        <f>IF(SER_hh_tes!U31=0,0,11630*1000*SER_hh_tes!U31/SER_hh_num!U31)</f>
        <v>16920.226334759944</v>
      </c>
      <c r="V31" s="132">
        <f>IF(SER_hh_tes!V31=0,0,11630*1000*SER_hh_tes!V31/SER_hh_num!V31)</f>
        <v>16665.93897498849</v>
      </c>
      <c r="W31" s="132">
        <f>IF(SER_hh_tes!W31=0,0,11630*1000*SER_hh_tes!W31/SER_hh_num!W31)</f>
        <v>23834.631516172965</v>
      </c>
      <c r="X31" s="132">
        <f>IF(SER_hh_tes!X31=0,0,11630*1000*SER_hh_tes!X31/SER_hh_num!X31)</f>
        <v>21264.256209682273</v>
      </c>
      <c r="Y31" s="132">
        <f>IF(SER_hh_tes!Y31=0,0,11630*1000*SER_hh_tes!Y31/SER_hh_num!Y31)</f>
        <v>17426.849136172284</v>
      </c>
      <c r="DA31" s="156" t="s">
        <v>442</v>
      </c>
    </row>
    <row r="32" spans="1:105" ht="12" customHeight="1" x14ac:dyDescent="0.25">
      <c r="A32" s="131" t="s">
        <v>128</v>
      </c>
      <c r="B32" s="132">
        <f>IF(SER_hh_tes!B32=0,0,11630*1000*SER_hh_tes!B32/SER_hh_num!B32)</f>
        <v>0</v>
      </c>
      <c r="C32" s="132">
        <f>IF(SER_hh_tes!C32=0,0,11630*1000*SER_hh_tes!C32/SER_hh_num!C32)</f>
        <v>0</v>
      </c>
      <c r="D32" s="132">
        <f>IF(SER_hh_tes!D32=0,0,11630*1000*SER_hh_tes!D32/SER_hh_num!D32)</f>
        <v>0</v>
      </c>
      <c r="E32" s="132">
        <f>IF(SER_hh_tes!E32=0,0,11630*1000*SER_hh_tes!E32/SER_hh_num!E32)</f>
        <v>0</v>
      </c>
      <c r="F32" s="132">
        <f>IF(SER_hh_tes!F32=0,0,11630*1000*SER_hh_tes!F32/SER_hh_num!F32)</f>
        <v>0</v>
      </c>
      <c r="G32" s="132">
        <f>IF(SER_hh_tes!G32=0,0,11630*1000*SER_hh_tes!G32/SER_hh_num!G32)</f>
        <v>0</v>
      </c>
      <c r="H32" s="132">
        <f>IF(SER_hh_tes!H32=0,0,11630*1000*SER_hh_tes!H32/SER_hh_num!H32)</f>
        <v>0</v>
      </c>
      <c r="I32" s="132">
        <f>IF(SER_hh_tes!I32=0,0,11630*1000*SER_hh_tes!I32/SER_hh_num!I32)</f>
        <v>0</v>
      </c>
      <c r="J32" s="132">
        <f>IF(SER_hh_tes!J32=0,0,11630*1000*SER_hh_tes!J32/SER_hh_num!J32)</f>
        <v>0</v>
      </c>
      <c r="K32" s="132">
        <f>IF(SER_hh_tes!K32=0,0,11630*1000*SER_hh_tes!K32/SER_hh_num!K32)</f>
        <v>0</v>
      </c>
      <c r="L32" s="132">
        <f>IF(SER_hh_tes!L32=0,0,11630*1000*SER_hh_tes!L32/SER_hh_num!L32)</f>
        <v>0</v>
      </c>
      <c r="M32" s="132">
        <f>IF(SER_hh_tes!M32=0,0,11630*1000*SER_hh_tes!M32/SER_hh_num!M32)</f>
        <v>0</v>
      </c>
      <c r="N32" s="132">
        <f>IF(SER_hh_tes!N32=0,0,11630*1000*SER_hh_tes!N32/SER_hh_num!N32)</f>
        <v>0</v>
      </c>
      <c r="O32" s="132">
        <f>IF(SER_hh_tes!O32=0,0,11630*1000*SER_hh_tes!O32/SER_hh_num!O32)</f>
        <v>0</v>
      </c>
      <c r="P32" s="132">
        <f>IF(SER_hh_tes!P32=0,0,11630*1000*SER_hh_tes!P32/SER_hh_num!P32)</f>
        <v>0</v>
      </c>
      <c r="Q32" s="132">
        <f>IF(SER_hh_tes!Q32=0,0,11630*1000*SER_hh_tes!Q32/SER_hh_num!Q32)</f>
        <v>0</v>
      </c>
      <c r="R32" s="132">
        <f>IF(SER_hh_tes!R32=0,0,11630*1000*SER_hh_tes!R32/SER_hh_num!R32)</f>
        <v>0</v>
      </c>
      <c r="S32" s="132">
        <f>IF(SER_hh_tes!S32=0,0,11630*1000*SER_hh_tes!S32/SER_hh_num!S32)</f>
        <v>0</v>
      </c>
      <c r="T32" s="132">
        <f>IF(SER_hh_tes!T32=0,0,11630*1000*SER_hh_tes!T32/SER_hh_num!T32)</f>
        <v>0</v>
      </c>
      <c r="U32" s="132">
        <f>IF(SER_hh_tes!U32=0,0,11630*1000*SER_hh_tes!U32/SER_hh_num!U32)</f>
        <v>0</v>
      </c>
      <c r="V32" s="132">
        <f>IF(SER_hh_tes!V32=0,0,11630*1000*SER_hh_tes!V32/SER_hh_num!V32)</f>
        <v>0</v>
      </c>
      <c r="W32" s="132">
        <f>IF(SER_hh_tes!W32=0,0,11630*1000*SER_hh_tes!W32/SER_hh_num!W32)</f>
        <v>0</v>
      </c>
      <c r="X32" s="132">
        <f>IF(SER_hh_tes!X32=0,0,11630*1000*SER_hh_tes!X32/SER_hh_num!X32)</f>
        <v>0</v>
      </c>
      <c r="Y32" s="132">
        <f>IF(SER_hh_tes!Y32=0,0,11630*1000*SER_hh_tes!Y32/SER_hh_num!Y32)</f>
        <v>0</v>
      </c>
      <c r="DA32" s="156" t="s">
        <v>443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15324.537846967807</v>
      </c>
      <c r="C33" s="68">
        <f>IF(SER_hh_tes!C33=0,0,11630*1000*SER_hh_tes!C33/SER_hh_num!C33)</f>
        <v>15046.443670312559</v>
      </c>
      <c r="D33" s="68">
        <f>IF(SER_hh_tes!D33=0,0,11630*1000*SER_hh_tes!D33/SER_hh_num!D33)</f>
        <v>14927.977530163706</v>
      </c>
      <c r="E33" s="68">
        <f>IF(SER_hh_tes!E33=0,0,11630*1000*SER_hh_tes!E33/SER_hh_num!E33)</f>
        <v>15002.880249776541</v>
      </c>
      <c r="F33" s="68">
        <f>IF(SER_hh_tes!F33=0,0,11630*1000*SER_hh_tes!F33/SER_hh_num!F33)</f>
        <v>15145.208026907963</v>
      </c>
      <c r="G33" s="68">
        <f>IF(SER_hh_tes!G33=0,0,11630*1000*SER_hh_tes!G33/SER_hh_num!G33)</f>
        <v>15273.970606985649</v>
      </c>
      <c r="H33" s="68">
        <f>IF(SER_hh_tes!H33=0,0,11630*1000*SER_hh_tes!H33/SER_hh_num!H33)</f>
        <v>15398.454679619159</v>
      </c>
      <c r="I33" s="68">
        <f>IF(SER_hh_tes!I33=0,0,11630*1000*SER_hh_tes!I33/SER_hh_num!I33)</f>
        <v>15189.303072082634</v>
      </c>
      <c r="J33" s="68">
        <f>IF(SER_hh_tes!J33=0,0,11630*1000*SER_hh_tes!J33/SER_hh_num!J33)</f>
        <v>15136.984183499291</v>
      </c>
      <c r="K33" s="68">
        <f>IF(SER_hh_tes!K33=0,0,11630*1000*SER_hh_tes!K33/SER_hh_num!K33)</f>
        <v>15388.289361436249</v>
      </c>
      <c r="L33" s="68">
        <f>IF(SER_hh_tes!L33=0,0,11630*1000*SER_hh_tes!L33/SER_hh_num!L33)</f>
        <v>15259.006141698737</v>
      </c>
      <c r="M33" s="68">
        <f>IF(SER_hh_tes!M33=0,0,11630*1000*SER_hh_tes!M33/SER_hh_num!M33)</f>
        <v>15657.233468704022</v>
      </c>
      <c r="N33" s="68">
        <f>IF(SER_hh_tes!N33=0,0,11630*1000*SER_hh_tes!N33/SER_hh_num!N33)</f>
        <v>15587.210170964769</v>
      </c>
      <c r="O33" s="68">
        <f>IF(SER_hh_tes!O33=0,0,11630*1000*SER_hh_tes!O33/SER_hh_num!O33)</f>
        <v>15766.8691211966</v>
      </c>
      <c r="P33" s="68">
        <f>IF(SER_hh_tes!P33=0,0,11630*1000*SER_hh_tes!P33/SER_hh_num!P33)</f>
        <v>15980.918270919747</v>
      </c>
      <c r="Q33" s="68">
        <f>IF(SER_hh_tes!Q33=0,0,11630*1000*SER_hh_tes!Q33/SER_hh_num!Q33)</f>
        <v>16294.467492987425</v>
      </c>
      <c r="R33" s="68">
        <f>IF(SER_hh_tes!R33=0,0,11630*1000*SER_hh_tes!R33/SER_hh_num!R33)</f>
        <v>16715.408360390858</v>
      </c>
      <c r="S33" s="68">
        <f>IF(SER_hh_tes!S33=0,0,11630*1000*SER_hh_tes!S33/SER_hh_num!S33)</f>
        <v>17309.194514884428</v>
      </c>
      <c r="T33" s="68">
        <f>IF(SER_hh_tes!T33=0,0,11630*1000*SER_hh_tes!T33/SER_hh_num!T33)</f>
        <v>17344.202241703759</v>
      </c>
      <c r="U33" s="68">
        <f>IF(SER_hh_tes!U33=0,0,11630*1000*SER_hh_tes!U33/SER_hh_num!U33)</f>
        <v>18504.465175082678</v>
      </c>
      <c r="V33" s="68">
        <f>IF(SER_hh_tes!V33=0,0,11630*1000*SER_hh_tes!V33/SER_hh_num!V33)</f>
        <v>17276.092720678829</v>
      </c>
      <c r="W33" s="68">
        <f>IF(SER_hh_tes!W33=0,0,11630*1000*SER_hh_tes!W33/SER_hh_num!W33)</f>
        <v>19099.749287855801</v>
      </c>
      <c r="X33" s="68">
        <f>IF(SER_hh_tes!X33=0,0,11630*1000*SER_hh_tes!X33/SER_hh_num!X33)</f>
        <v>19173.387946242754</v>
      </c>
      <c r="Y33" s="68">
        <f>IF(SER_hh_tes!Y33=0,0,11630*1000*SER_hh_tes!Y33/SER_hh_num!Y33)</f>
        <v>19526.727438082038</v>
      </c>
      <c r="DA33" s="111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89</v>
      </c>
      <c r="B3" s="125">
        <f>IF(SER_hh_emi!B3=0,0,1000000*SER_hh_emi!B3/SER_hh_num!B3)</f>
        <v>11121.999178058706</v>
      </c>
      <c r="C3" s="125">
        <f>IF(SER_hh_emi!C3=0,0,1000000*SER_hh_emi!C3/SER_hh_num!C3)</f>
        <v>11427.638685718208</v>
      </c>
      <c r="D3" s="125">
        <f>IF(SER_hh_emi!D3=0,0,1000000*SER_hh_emi!D3/SER_hh_num!D3)</f>
        <v>11157.852192505119</v>
      </c>
      <c r="E3" s="125">
        <f>IF(SER_hh_emi!E3=0,0,1000000*SER_hh_emi!E3/SER_hh_num!E3)</f>
        <v>10868.233339633534</v>
      </c>
      <c r="F3" s="125">
        <f>IF(SER_hh_emi!F3=0,0,1000000*SER_hh_emi!F3/SER_hh_num!F3)</f>
        <v>10390.719417812939</v>
      </c>
      <c r="G3" s="125">
        <f>IF(SER_hh_emi!G3=0,0,1000000*SER_hh_emi!G3/SER_hh_num!G3)</f>
        <v>9767.8982247114163</v>
      </c>
      <c r="H3" s="125">
        <f>IF(SER_hh_emi!H3=0,0,1000000*SER_hh_emi!H3/SER_hh_num!H3)</f>
        <v>9486.2005853922346</v>
      </c>
      <c r="I3" s="125">
        <f>IF(SER_hh_emi!I3=0,0,1000000*SER_hh_emi!I3/SER_hh_num!I3)</f>
        <v>8891.1850440107264</v>
      </c>
      <c r="J3" s="125">
        <f>IF(SER_hh_emi!J3=0,0,1000000*SER_hh_emi!J3/SER_hh_num!J3)</f>
        <v>7510.4635822352802</v>
      </c>
      <c r="K3" s="125">
        <f>IF(SER_hh_emi!K3=0,0,1000000*SER_hh_emi!K3/SER_hh_num!K3)</f>
        <v>7969.6200638263172</v>
      </c>
      <c r="L3" s="125">
        <f>IF(SER_hh_emi!L3=0,0,1000000*SER_hh_emi!L3/SER_hh_num!L3)</f>
        <v>9278.7707239814063</v>
      </c>
      <c r="M3" s="125">
        <f>IF(SER_hh_emi!M3=0,0,1000000*SER_hh_emi!M3/SER_hh_num!M3)</f>
        <v>8118.0606823368043</v>
      </c>
      <c r="N3" s="125">
        <f>IF(SER_hh_emi!N3=0,0,1000000*SER_hh_emi!N3/SER_hh_num!N3)</f>
        <v>8749.0544868609504</v>
      </c>
      <c r="O3" s="125">
        <f>IF(SER_hh_emi!O3=0,0,1000000*SER_hh_emi!O3/SER_hh_num!O3)</f>
        <v>7916.7408158768176</v>
      </c>
      <c r="P3" s="125">
        <f>IF(SER_hh_emi!P3=0,0,1000000*SER_hh_emi!P3/SER_hh_num!P3)</f>
        <v>7796.2870007948914</v>
      </c>
      <c r="Q3" s="125">
        <f>IF(SER_hh_emi!Q3=0,0,1000000*SER_hh_emi!Q3/SER_hh_num!Q3)</f>
        <v>7181.2372480306458</v>
      </c>
      <c r="R3" s="125">
        <f>IF(SER_hh_emi!R3=0,0,1000000*SER_hh_emi!R3/SER_hh_num!R3)</f>
        <v>7813.1327563714804</v>
      </c>
      <c r="S3" s="125">
        <f>IF(SER_hh_emi!S3=0,0,1000000*SER_hh_emi!S3/SER_hh_num!S3)</f>
        <v>7638.4197487995789</v>
      </c>
      <c r="T3" s="125">
        <f>IF(SER_hh_emi!T3=0,0,1000000*SER_hh_emi!T3/SER_hh_num!T3)</f>
        <v>7469.9343082117302</v>
      </c>
      <c r="U3" s="125">
        <f>IF(SER_hh_emi!U3=0,0,1000000*SER_hh_emi!U3/SER_hh_num!U3)</f>
        <v>7370.4730147962382</v>
      </c>
      <c r="V3" s="125">
        <f>IF(SER_hh_emi!V3=0,0,1000000*SER_hh_emi!V3/SER_hh_num!V3)</f>
        <v>6628.2253987771137</v>
      </c>
      <c r="W3" s="125">
        <f>IF(SER_hh_emi!W3=0,0,1000000*SER_hh_emi!W3/SER_hh_num!W3)</f>
        <v>7573.449370533951</v>
      </c>
      <c r="X3" s="125">
        <f>IF(SER_hh_emi!X3=0,0,1000000*SER_hh_emi!X3/SER_hh_num!X3)</f>
        <v>7374.1334490591262</v>
      </c>
      <c r="Y3" s="125">
        <f>IF(SER_hh_emi!Y3=0,0,1000000*SER_hh_emi!Y3/SER_hh_num!Y3)</f>
        <v>6703.6331520086287</v>
      </c>
      <c r="DA3" s="154" t="s">
        <v>446</v>
      </c>
    </row>
    <row r="4" spans="1:105" ht="12.95" customHeight="1" x14ac:dyDescent="0.25">
      <c r="A4" s="129" t="s">
        <v>32</v>
      </c>
      <c r="B4" s="130">
        <f>IF(SER_hh_emi!B4=0,0,1000000*SER_hh_emi!B4/SER_hh_num!B4)</f>
        <v>10326.114751142713</v>
      </c>
      <c r="C4" s="130">
        <f>IF(SER_hh_emi!C4=0,0,1000000*SER_hh_emi!C4/SER_hh_num!C4)</f>
        <v>10619.60823026204</v>
      </c>
      <c r="D4" s="130">
        <f>IF(SER_hh_emi!D4=0,0,1000000*SER_hh_emi!D4/SER_hh_num!D4)</f>
        <v>10333.829274158317</v>
      </c>
      <c r="E4" s="130">
        <f>IF(SER_hh_emi!E4=0,0,1000000*SER_hh_emi!E4/SER_hh_num!E4)</f>
        <v>10042.647335666192</v>
      </c>
      <c r="F4" s="130">
        <f>IF(SER_hh_emi!F4=0,0,1000000*SER_hh_emi!F4/SER_hh_num!F4)</f>
        <v>9576.079382731974</v>
      </c>
      <c r="G4" s="130">
        <f>IF(SER_hh_emi!G4=0,0,1000000*SER_hh_emi!G4/SER_hh_num!G4)</f>
        <v>8960.8850493301452</v>
      </c>
      <c r="H4" s="130">
        <f>IF(SER_hh_emi!H4=0,0,1000000*SER_hh_emi!H4/SER_hh_num!H4)</f>
        <v>8680.2881891864217</v>
      </c>
      <c r="I4" s="130">
        <f>IF(SER_hh_emi!I4=0,0,1000000*SER_hh_emi!I4/SER_hh_num!I4)</f>
        <v>8102.1321474832957</v>
      </c>
      <c r="J4" s="130">
        <f>IF(SER_hh_emi!J4=0,0,1000000*SER_hh_emi!J4/SER_hh_num!J4)</f>
        <v>6712.7150147994962</v>
      </c>
      <c r="K4" s="130">
        <f>IF(SER_hh_emi!K4=0,0,1000000*SER_hh_emi!K4/SER_hh_num!K4)</f>
        <v>7200.8472181718125</v>
      </c>
      <c r="L4" s="130">
        <f>IF(SER_hh_emi!L4=0,0,1000000*SER_hh_emi!L4/SER_hh_num!L4)</f>
        <v>8469.2224650526568</v>
      </c>
      <c r="M4" s="130">
        <f>IF(SER_hh_emi!M4=0,0,1000000*SER_hh_emi!M4/SER_hh_num!M4)</f>
        <v>7313.3831148876425</v>
      </c>
      <c r="N4" s="130">
        <f>IF(SER_hh_emi!N4=0,0,1000000*SER_hh_emi!N4/SER_hh_num!N4)</f>
        <v>7979.551188033276</v>
      </c>
      <c r="O4" s="130">
        <f>IF(SER_hh_emi!O4=0,0,1000000*SER_hh_emi!O4/SER_hh_num!O4)</f>
        <v>7146.4678144106247</v>
      </c>
      <c r="P4" s="130">
        <f>IF(SER_hh_emi!P4=0,0,1000000*SER_hh_emi!P4/SER_hh_num!P4)</f>
        <v>7062.1079726692315</v>
      </c>
      <c r="Q4" s="130">
        <f>IF(SER_hh_emi!Q4=0,0,1000000*SER_hh_emi!Q4/SER_hh_num!Q4)</f>
        <v>6456.2353701111151</v>
      </c>
      <c r="R4" s="130">
        <f>IF(SER_hh_emi!R4=0,0,1000000*SER_hh_emi!R4/SER_hh_num!R4)</f>
        <v>7091.1298781031883</v>
      </c>
      <c r="S4" s="130">
        <f>IF(SER_hh_emi!S4=0,0,1000000*SER_hh_emi!S4/SER_hh_num!S4)</f>
        <v>7007.6138779377334</v>
      </c>
      <c r="T4" s="130">
        <f>IF(SER_hh_emi!T4=0,0,1000000*SER_hh_emi!T4/SER_hh_num!T4)</f>
        <v>6930.4605065482565</v>
      </c>
      <c r="U4" s="130">
        <f>IF(SER_hh_emi!U4=0,0,1000000*SER_hh_emi!U4/SER_hh_num!U4)</f>
        <v>6858.9296095556656</v>
      </c>
      <c r="V4" s="130">
        <f>IF(SER_hh_emi!V4=0,0,1000000*SER_hh_emi!V4/SER_hh_num!V4)</f>
        <v>6179.356265311143</v>
      </c>
      <c r="W4" s="130">
        <f>IF(SER_hh_emi!W4=0,0,1000000*SER_hh_emi!W4/SER_hh_num!W4)</f>
        <v>7072.2973427209972</v>
      </c>
      <c r="X4" s="130">
        <f>IF(SER_hh_emi!X4=0,0,1000000*SER_hh_emi!X4/SER_hh_num!X4)</f>
        <v>6902.9452809351815</v>
      </c>
      <c r="Y4" s="130">
        <f>IF(SER_hh_emi!Y4=0,0,1000000*SER_hh_emi!Y4/SER_hh_num!Y4)</f>
        <v>6355.7227402208082</v>
      </c>
      <c r="DA4" s="155" t="s">
        <v>447</v>
      </c>
    </row>
    <row r="5" spans="1:105" ht="12" customHeight="1" x14ac:dyDescent="0.25">
      <c r="A5" s="131" t="s">
        <v>29</v>
      </c>
      <c r="B5" s="132">
        <f>IF(SER_hh_emi!B5=0,0,1000000*SER_hh_emi!B5/SER_hh_num!B5)</f>
        <v>82418.886964583697</v>
      </c>
      <c r="C5" s="132">
        <f>IF(SER_hh_emi!C5=0,0,1000000*SER_hh_emi!C5/SER_hh_num!C5)</f>
        <v>88148.319547688283</v>
      </c>
      <c r="D5" s="132">
        <f>IF(SER_hh_emi!D5=0,0,1000000*SER_hh_emi!D5/SER_hh_num!D5)</f>
        <v>89646.257826199115</v>
      </c>
      <c r="E5" s="132">
        <f>IF(SER_hh_emi!E5=0,0,1000000*SER_hh_emi!E5/SER_hh_num!E5)</f>
        <v>90966.737096381257</v>
      </c>
      <c r="F5" s="132">
        <f>IF(SER_hh_emi!F5=0,0,1000000*SER_hh_emi!F5/SER_hh_num!F5)</f>
        <v>86736.387687715833</v>
      </c>
      <c r="G5" s="132">
        <f>IF(SER_hh_emi!G5=0,0,1000000*SER_hh_emi!G5/SER_hh_num!G5)</f>
        <v>85002.892170480336</v>
      </c>
      <c r="H5" s="132">
        <f>IF(SER_hh_emi!H5=0,0,1000000*SER_hh_emi!H5/SER_hh_num!H5)</f>
        <v>88897.94580891628</v>
      </c>
      <c r="I5" s="132">
        <f>IF(SER_hh_emi!I5=0,0,1000000*SER_hh_emi!I5/SER_hh_num!I5)</f>
        <v>73885.721563208193</v>
      </c>
      <c r="J5" s="132">
        <f>IF(SER_hh_emi!J5=0,0,1000000*SER_hh_emi!J5/SER_hh_num!J5)</f>
        <v>88321.665522656302</v>
      </c>
      <c r="K5" s="132">
        <f>IF(SER_hh_emi!K5=0,0,1000000*SER_hh_emi!K5/SER_hh_num!K5)</f>
        <v>95502.475182706476</v>
      </c>
      <c r="L5" s="132">
        <f>IF(SER_hh_emi!L5=0,0,1000000*SER_hh_emi!L5/SER_hh_num!L5)</f>
        <v>102130.64314746989</v>
      </c>
      <c r="M5" s="132">
        <f>IF(SER_hh_emi!M5=0,0,1000000*SER_hh_emi!M5/SER_hh_num!M5)</f>
        <v>82569.773912457313</v>
      </c>
      <c r="N5" s="132">
        <f>IF(SER_hh_emi!N5=0,0,1000000*SER_hh_emi!N5/SER_hh_num!N5)</f>
        <v>94603.415910789714</v>
      </c>
      <c r="O5" s="132">
        <f>IF(SER_hh_emi!O5=0,0,1000000*SER_hh_emi!O5/SER_hh_num!O5)</f>
        <v>85548.71215577994</v>
      </c>
      <c r="P5" s="132">
        <f>IF(SER_hh_emi!P5=0,0,1000000*SER_hh_emi!P5/SER_hh_num!P5)</f>
        <v>87751.352375767441</v>
      </c>
      <c r="Q5" s="132">
        <f>IF(SER_hh_emi!Q5=0,0,1000000*SER_hh_emi!Q5/SER_hh_num!Q5)</f>
        <v>79293.942760264457</v>
      </c>
      <c r="R5" s="132">
        <f>IF(SER_hh_emi!R5=0,0,1000000*SER_hh_emi!R5/SER_hh_num!R5)</f>
        <v>86570.445067379216</v>
      </c>
      <c r="S5" s="132">
        <f>IF(SER_hh_emi!S5=0,0,1000000*SER_hh_emi!S5/SER_hh_num!S5)</f>
        <v>84868.814629216067</v>
      </c>
      <c r="T5" s="132">
        <f>IF(SER_hh_emi!T5=0,0,1000000*SER_hh_emi!T5/SER_hh_num!T5)</f>
        <v>85294.364779210053</v>
      </c>
      <c r="U5" s="132">
        <f>IF(SER_hh_emi!U5=0,0,1000000*SER_hh_emi!U5/SER_hh_num!U5)</f>
        <v>86700.675811044857</v>
      </c>
      <c r="V5" s="132">
        <f>IF(SER_hh_emi!V5=0,0,1000000*SER_hh_emi!V5/SER_hh_num!V5)</f>
        <v>78040.694890446743</v>
      </c>
      <c r="W5" s="132">
        <f>IF(SER_hh_emi!W5=0,0,1000000*SER_hh_emi!W5/SER_hh_num!W5)</f>
        <v>82996.279200414298</v>
      </c>
      <c r="X5" s="132">
        <f>IF(SER_hh_emi!X5=0,0,1000000*SER_hh_emi!X5/SER_hh_num!X5)</f>
        <v>80162.433283417253</v>
      </c>
      <c r="Y5" s="132">
        <f>IF(SER_hh_emi!Y5=0,0,1000000*SER_hh_emi!Y5/SER_hh_num!Y5)</f>
        <v>77518.802103130365</v>
      </c>
      <c r="DA5" s="156" t="s">
        <v>448</v>
      </c>
    </row>
    <row r="6" spans="1:105" ht="12" customHeight="1" x14ac:dyDescent="0.25">
      <c r="A6" s="131" t="s">
        <v>52</v>
      </c>
      <c r="B6" s="132">
        <f>IF(SER_hh_emi!B6=0,0,1000000*SER_hh_emi!B6/SER_hh_num!B6)</f>
        <v>0</v>
      </c>
      <c r="C6" s="132">
        <f>IF(SER_hh_emi!C6=0,0,1000000*SER_hh_emi!C6/SER_hh_num!C6)</f>
        <v>0</v>
      </c>
      <c r="D6" s="132">
        <f>IF(SER_hh_emi!D6=0,0,1000000*SER_hh_emi!D6/SER_hh_num!D6)</f>
        <v>0</v>
      </c>
      <c r="E6" s="132">
        <f>IF(SER_hh_emi!E6=0,0,1000000*SER_hh_emi!E6/SER_hh_num!E6)</f>
        <v>0</v>
      </c>
      <c r="F6" s="132">
        <f>IF(SER_hh_emi!F6=0,0,1000000*SER_hh_emi!F6/SER_hh_num!F6)</f>
        <v>0</v>
      </c>
      <c r="G6" s="132">
        <f>IF(SER_hh_emi!G6=0,0,1000000*SER_hh_emi!G6/SER_hh_num!G6)</f>
        <v>0</v>
      </c>
      <c r="H6" s="132">
        <f>IF(SER_hh_emi!H6=0,0,1000000*SER_hh_emi!H6/SER_hh_num!H6)</f>
        <v>0</v>
      </c>
      <c r="I6" s="132">
        <f>IF(SER_hh_emi!I6=0,0,1000000*SER_hh_emi!I6/SER_hh_num!I6)</f>
        <v>0</v>
      </c>
      <c r="J6" s="132">
        <f>IF(SER_hh_emi!J6=0,0,1000000*SER_hh_emi!J6/SER_hh_num!J6)</f>
        <v>0</v>
      </c>
      <c r="K6" s="132">
        <f>IF(SER_hh_emi!K6=0,0,1000000*SER_hh_emi!K6/SER_hh_num!K6)</f>
        <v>0</v>
      </c>
      <c r="L6" s="132">
        <f>IF(SER_hh_emi!L6=0,0,1000000*SER_hh_emi!L6/SER_hh_num!L6)</f>
        <v>0</v>
      </c>
      <c r="M6" s="132">
        <f>IF(SER_hh_emi!M6=0,0,1000000*SER_hh_emi!M6/SER_hh_num!M6)</f>
        <v>0</v>
      </c>
      <c r="N6" s="132">
        <f>IF(SER_hh_emi!N6=0,0,1000000*SER_hh_emi!N6/SER_hh_num!N6)</f>
        <v>0</v>
      </c>
      <c r="O6" s="132">
        <f>IF(SER_hh_emi!O6=0,0,1000000*SER_hh_emi!O6/SER_hh_num!O6)</f>
        <v>0</v>
      </c>
      <c r="P6" s="132">
        <f>IF(SER_hh_emi!P6=0,0,1000000*SER_hh_emi!P6/SER_hh_num!P6)</f>
        <v>0</v>
      </c>
      <c r="Q6" s="132">
        <f>IF(SER_hh_emi!Q6=0,0,1000000*SER_hh_emi!Q6/SER_hh_num!Q6)</f>
        <v>0</v>
      </c>
      <c r="R6" s="132">
        <f>IF(SER_hh_emi!R6=0,0,1000000*SER_hh_emi!R6/SER_hh_num!R6)</f>
        <v>0</v>
      </c>
      <c r="S6" s="132">
        <f>IF(SER_hh_emi!S6=0,0,1000000*SER_hh_emi!S6/SER_hh_num!S6)</f>
        <v>0</v>
      </c>
      <c r="T6" s="132">
        <f>IF(SER_hh_emi!T6=0,0,1000000*SER_hh_emi!T6/SER_hh_num!T6)</f>
        <v>0</v>
      </c>
      <c r="U6" s="132">
        <f>IF(SER_hh_emi!U6=0,0,1000000*SER_hh_emi!U6/SER_hh_num!U6)</f>
        <v>0</v>
      </c>
      <c r="V6" s="132">
        <f>IF(SER_hh_emi!V6=0,0,1000000*SER_hh_emi!V6/SER_hh_num!V6)</f>
        <v>0</v>
      </c>
      <c r="W6" s="132">
        <f>IF(SER_hh_emi!W6=0,0,1000000*SER_hh_emi!W6/SER_hh_num!W6)</f>
        <v>0</v>
      </c>
      <c r="X6" s="132">
        <f>IF(SER_hh_emi!X6=0,0,1000000*SER_hh_emi!X6/SER_hh_num!X6)</f>
        <v>0</v>
      </c>
      <c r="Y6" s="132">
        <f>IF(SER_hh_emi!Y6=0,0,1000000*SER_hh_emi!Y6/SER_hh_num!Y6)</f>
        <v>0</v>
      </c>
      <c r="DA6" s="156" t="s">
        <v>449</v>
      </c>
    </row>
    <row r="7" spans="1:105" ht="12" customHeight="1" x14ac:dyDescent="0.25">
      <c r="A7" s="131" t="s">
        <v>161</v>
      </c>
      <c r="B7" s="132">
        <f>IF(SER_hh_emi!B7=0,0,1000000*SER_hh_emi!B7/SER_hh_num!B7)</f>
        <v>67345.111384446282</v>
      </c>
      <c r="C7" s="132">
        <f>IF(SER_hh_emi!C7=0,0,1000000*SER_hh_emi!C7/SER_hh_num!C7)</f>
        <v>73114.042657507394</v>
      </c>
      <c r="D7" s="132">
        <f>IF(SER_hh_emi!D7=0,0,1000000*SER_hh_emi!D7/SER_hh_num!D7)</f>
        <v>74100.389773340677</v>
      </c>
      <c r="E7" s="132">
        <f>IF(SER_hh_emi!E7=0,0,1000000*SER_hh_emi!E7/SER_hh_num!E7)</f>
        <v>74603.294642359528</v>
      </c>
      <c r="F7" s="132">
        <f>IF(SER_hh_emi!F7=0,0,1000000*SER_hh_emi!F7/SER_hh_num!F7)</f>
        <v>73289.568634657961</v>
      </c>
      <c r="G7" s="132">
        <f>IF(SER_hh_emi!G7=0,0,1000000*SER_hh_emi!G7/SER_hh_num!G7)</f>
        <v>71140.587167066449</v>
      </c>
      <c r="H7" s="132">
        <f>IF(SER_hh_emi!H7=0,0,1000000*SER_hh_emi!H7/SER_hh_num!H7)</f>
        <v>73877.692964654168</v>
      </c>
      <c r="I7" s="132">
        <f>IF(SER_hh_emi!I7=0,0,1000000*SER_hh_emi!I7/SER_hh_num!I7)</f>
        <v>76328.109992247628</v>
      </c>
      <c r="J7" s="132">
        <f>IF(SER_hh_emi!J7=0,0,1000000*SER_hh_emi!J7/SER_hh_num!J7)</f>
        <v>66915.116521447941</v>
      </c>
      <c r="K7" s="132">
        <f>IF(SER_hh_emi!K7=0,0,1000000*SER_hh_emi!K7/SER_hh_num!K7)</f>
        <v>75253.353856726695</v>
      </c>
      <c r="L7" s="132">
        <f>IF(SER_hh_emi!L7=0,0,1000000*SER_hh_emi!L7/SER_hh_num!L7)</f>
        <v>85668.619778229258</v>
      </c>
      <c r="M7" s="132">
        <f>IF(SER_hh_emi!M7=0,0,1000000*SER_hh_emi!M7/SER_hh_num!M7)</f>
        <v>69303.364204329162</v>
      </c>
      <c r="N7" s="132">
        <f>IF(SER_hh_emi!N7=0,0,1000000*SER_hh_emi!N7/SER_hh_num!N7)</f>
        <v>75486.385313365245</v>
      </c>
      <c r="O7" s="132">
        <f>IF(SER_hh_emi!O7=0,0,1000000*SER_hh_emi!O7/SER_hh_num!O7)</f>
        <v>67746.167486904567</v>
      </c>
      <c r="P7" s="132">
        <f>IF(SER_hh_emi!P7=0,0,1000000*SER_hh_emi!P7/SER_hh_num!P7)</f>
        <v>68111.68364523357</v>
      </c>
      <c r="Q7" s="132">
        <f>IF(SER_hh_emi!Q7=0,0,1000000*SER_hh_emi!Q7/SER_hh_num!Q7)</f>
        <v>61774.362517098634</v>
      </c>
      <c r="R7" s="132">
        <f>IF(SER_hh_emi!R7=0,0,1000000*SER_hh_emi!R7/SER_hh_num!R7)</f>
        <v>67003.292153589704</v>
      </c>
      <c r="S7" s="132">
        <f>IF(SER_hh_emi!S7=0,0,1000000*SER_hh_emi!S7/SER_hh_num!S7)</f>
        <v>65057.833091226399</v>
      </c>
      <c r="T7" s="132">
        <f>IF(SER_hh_emi!T7=0,0,1000000*SER_hh_emi!T7/SER_hh_num!T7)</f>
        <v>64108.19003115152</v>
      </c>
      <c r="U7" s="132">
        <f>IF(SER_hh_emi!U7=0,0,1000000*SER_hh_emi!U7/SER_hh_num!U7)</f>
        <v>61885.168366523321</v>
      </c>
      <c r="V7" s="132">
        <f>IF(SER_hh_emi!V7=0,0,1000000*SER_hh_emi!V7/SER_hh_num!V7)</f>
        <v>54780.201237326961</v>
      </c>
      <c r="W7" s="132">
        <f>IF(SER_hh_emi!W7=0,0,1000000*SER_hh_emi!W7/SER_hh_num!W7)</f>
        <v>60822.394484274882</v>
      </c>
      <c r="X7" s="132">
        <f>IF(SER_hh_emi!X7=0,0,1000000*SER_hh_emi!X7/SER_hh_num!X7)</f>
        <v>55648.541292799469</v>
      </c>
      <c r="Y7" s="132">
        <f>IF(SER_hh_emi!Y7=0,0,1000000*SER_hh_emi!Y7/SER_hh_num!Y7)</f>
        <v>54709.658898326292</v>
      </c>
      <c r="DA7" s="156" t="s">
        <v>450</v>
      </c>
    </row>
    <row r="8" spans="1:105" ht="12" customHeight="1" x14ac:dyDescent="0.25">
      <c r="A8" s="131" t="s">
        <v>73</v>
      </c>
      <c r="B8" s="132">
        <f>IF(SER_hh_emi!B8=0,0,1000000*SER_hh_emi!B8/SER_hh_num!B8)</f>
        <v>0</v>
      </c>
      <c r="C8" s="132">
        <f>IF(SER_hh_emi!C8=0,0,1000000*SER_hh_emi!C8/SER_hh_num!C8)</f>
        <v>0</v>
      </c>
      <c r="D8" s="132">
        <f>IF(SER_hh_emi!D8=0,0,1000000*SER_hh_emi!D8/SER_hh_num!D8)</f>
        <v>0</v>
      </c>
      <c r="E8" s="132">
        <f>IF(SER_hh_emi!E8=0,0,1000000*SER_hh_emi!E8/SER_hh_num!E8)</f>
        <v>0</v>
      </c>
      <c r="F8" s="132">
        <f>IF(SER_hh_emi!F8=0,0,1000000*SER_hh_emi!F8/SER_hh_num!F8)</f>
        <v>0</v>
      </c>
      <c r="G8" s="132">
        <f>IF(SER_hh_emi!G8=0,0,1000000*SER_hh_emi!G8/SER_hh_num!G8)</f>
        <v>0</v>
      </c>
      <c r="H8" s="132">
        <f>IF(SER_hh_emi!H8=0,0,1000000*SER_hh_emi!H8/SER_hh_num!H8)</f>
        <v>0</v>
      </c>
      <c r="I8" s="132">
        <f>IF(SER_hh_emi!I8=0,0,1000000*SER_hh_emi!I8/SER_hh_num!I8)</f>
        <v>0</v>
      </c>
      <c r="J8" s="132">
        <f>IF(SER_hh_emi!J8=0,0,1000000*SER_hh_emi!J8/SER_hh_num!J8)</f>
        <v>0</v>
      </c>
      <c r="K8" s="132">
        <f>IF(SER_hh_emi!K8=0,0,1000000*SER_hh_emi!K8/SER_hh_num!K8)</f>
        <v>0</v>
      </c>
      <c r="L8" s="132">
        <f>IF(SER_hh_emi!L8=0,0,1000000*SER_hh_emi!L8/SER_hh_num!L8)</f>
        <v>0</v>
      </c>
      <c r="M8" s="132">
        <f>IF(SER_hh_emi!M8=0,0,1000000*SER_hh_emi!M8/SER_hh_num!M8)</f>
        <v>0</v>
      </c>
      <c r="N8" s="132">
        <f>IF(SER_hh_emi!N8=0,0,1000000*SER_hh_emi!N8/SER_hh_num!N8)</f>
        <v>0</v>
      </c>
      <c r="O8" s="132">
        <f>IF(SER_hh_emi!O8=0,0,1000000*SER_hh_emi!O8/SER_hh_num!O8)</f>
        <v>0</v>
      </c>
      <c r="P8" s="132">
        <f>IF(SER_hh_emi!P8=0,0,1000000*SER_hh_emi!P8/SER_hh_num!P8)</f>
        <v>0</v>
      </c>
      <c r="Q8" s="132">
        <f>IF(SER_hh_emi!Q8=0,0,1000000*SER_hh_emi!Q8/SER_hh_num!Q8)</f>
        <v>0</v>
      </c>
      <c r="R8" s="132">
        <f>IF(SER_hh_emi!R8=0,0,1000000*SER_hh_emi!R8/SER_hh_num!R8)</f>
        <v>0</v>
      </c>
      <c r="S8" s="132">
        <f>IF(SER_hh_emi!S8=0,0,1000000*SER_hh_emi!S8/SER_hh_num!S8)</f>
        <v>0</v>
      </c>
      <c r="T8" s="132">
        <f>IF(SER_hh_emi!T8=0,0,1000000*SER_hh_emi!T8/SER_hh_num!T8)</f>
        <v>0</v>
      </c>
      <c r="U8" s="132">
        <f>IF(SER_hh_emi!U8=0,0,1000000*SER_hh_emi!U8/SER_hh_num!U8)</f>
        <v>0</v>
      </c>
      <c r="V8" s="132">
        <f>IF(SER_hh_emi!V8=0,0,1000000*SER_hh_emi!V8/SER_hh_num!V8)</f>
        <v>0</v>
      </c>
      <c r="W8" s="132">
        <f>IF(SER_hh_emi!W8=0,0,1000000*SER_hh_emi!W8/SER_hh_num!W8)</f>
        <v>0</v>
      </c>
      <c r="X8" s="132">
        <f>IF(SER_hh_emi!X8=0,0,1000000*SER_hh_emi!X8/SER_hh_num!X8)</f>
        <v>0</v>
      </c>
      <c r="Y8" s="132">
        <f>IF(SER_hh_emi!Y8=0,0,1000000*SER_hh_emi!Y8/SER_hh_num!Y8)</f>
        <v>0</v>
      </c>
      <c r="DA8" s="156" t="s">
        <v>451</v>
      </c>
    </row>
    <row r="9" spans="1:105" ht="12" customHeight="1" x14ac:dyDescent="0.25">
      <c r="A9" s="131" t="s">
        <v>78</v>
      </c>
      <c r="B9" s="132">
        <f>IF(SER_hh_emi!B9=0,0,1000000*SER_hh_emi!B9/SER_hh_num!B9)</f>
        <v>38503.482499004407</v>
      </c>
      <c r="C9" s="132">
        <f>IF(SER_hh_emi!C9=0,0,1000000*SER_hh_emi!C9/SER_hh_num!C9)</f>
        <v>37888.907820651853</v>
      </c>
      <c r="D9" s="132">
        <f>IF(SER_hh_emi!D9=0,0,1000000*SER_hh_emi!D9/SER_hh_num!D9)</f>
        <v>40128.596890087945</v>
      </c>
      <c r="E9" s="132">
        <f>IF(SER_hh_emi!E9=0,0,1000000*SER_hh_emi!E9/SER_hh_num!E9)</f>
        <v>37219.837402759062</v>
      </c>
      <c r="F9" s="132">
        <f>IF(SER_hh_emi!F9=0,0,1000000*SER_hh_emi!F9/SER_hh_num!F9)</f>
        <v>36832.736842480124</v>
      </c>
      <c r="G9" s="132">
        <f>IF(SER_hh_emi!G9=0,0,1000000*SER_hh_emi!G9/SER_hh_num!G9)</f>
        <v>36558.8527278369</v>
      </c>
      <c r="H9" s="132">
        <f>IF(SER_hh_emi!H9=0,0,1000000*SER_hh_emi!H9/SER_hh_num!H9)</f>
        <v>35953.830645970302</v>
      </c>
      <c r="I9" s="132">
        <f>IF(SER_hh_emi!I9=0,0,1000000*SER_hh_emi!I9/SER_hh_num!I9)</f>
        <v>36191.840572366295</v>
      </c>
      <c r="J9" s="132">
        <f>IF(SER_hh_emi!J9=0,0,1000000*SER_hh_emi!J9/SER_hh_num!J9)</f>
        <v>36388.725774253784</v>
      </c>
      <c r="K9" s="132">
        <f>IF(SER_hh_emi!K9=0,0,1000000*SER_hh_emi!K9/SER_hh_num!K9)</f>
        <v>36614.291749209457</v>
      </c>
      <c r="L9" s="132">
        <f>IF(SER_hh_emi!L9=0,0,1000000*SER_hh_emi!L9/SER_hh_num!L9)</f>
        <v>40539.419932885154</v>
      </c>
      <c r="M9" s="132">
        <f>IF(SER_hh_emi!M9=0,0,1000000*SER_hh_emi!M9/SER_hh_num!M9)</f>
        <v>52414.36426101657</v>
      </c>
      <c r="N9" s="132">
        <f>IF(SER_hh_emi!N9=0,0,1000000*SER_hh_emi!N9/SER_hh_num!N9)</f>
        <v>47239.958310497939</v>
      </c>
      <c r="O9" s="132">
        <f>IF(SER_hh_emi!O9=0,0,1000000*SER_hh_emi!O9/SER_hh_num!O9)</f>
        <v>43553.303951948976</v>
      </c>
      <c r="P9" s="132">
        <f>IF(SER_hh_emi!P9=0,0,1000000*SER_hh_emi!P9/SER_hh_num!P9)</f>
        <v>34170.255900717733</v>
      </c>
      <c r="Q9" s="132">
        <f>IF(SER_hh_emi!Q9=0,0,1000000*SER_hh_emi!Q9/SER_hh_num!Q9)</f>
        <v>30671.826545296339</v>
      </c>
      <c r="R9" s="132">
        <f>IF(SER_hh_emi!R9=0,0,1000000*SER_hh_emi!R9/SER_hh_num!R9)</f>
        <v>30014.31349373332</v>
      </c>
      <c r="S9" s="132">
        <f>IF(SER_hh_emi!S9=0,0,1000000*SER_hh_emi!S9/SER_hh_num!S9)</f>
        <v>29641.249262336252</v>
      </c>
      <c r="T9" s="132">
        <f>IF(SER_hh_emi!T9=0,0,1000000*SER_hh_emi!T9/SER_hh_num!T9)</f>
        <v>26672.785832822068</v>
      </c>
      <c r="U9" s="132">
        <f>IF(SER_hh_emi!U9=0,0,1000000*SER_hh_emi!U9/SER_hh_num!U9)</f>
        <v>27475.02586957136</v>
      </c>
      <c r="V9" s="132">
        <f>IF(SER_hh_emi!V9=0,0,1000000*SER_hh_emi!V9/SER_hh_num!V9)</f>
        <v>23645.090189581337</v>
      </c>
      <c r="W9" s="132">
        <f>IF(SER_hh_emi!W9=0,0,1000000*SER_hh_emi!W9/SER_hh_num!W9)</f>
        <v>29244.239800327166</v>
      </c>
      <c r="X9" s="132">
        <f>IF(SER_hh_emi!X9=0,0,1000000*SER_hh_emi!X9/SER_hh_num!X9)</f>
        <v>25172.366938776777</v>
      </c>
      <c r="Y9" s="132">
        <f>IF(SER_hh_emi!Y9=0,0,1000000*SER_hh_emi!Y9/SER_hh_num!Y9)</f>
        <v>16111.762937106063</v>
      </c>
      <c r="DA9" s="156" t="s">
        <v>452</v>
      </c>
    </row>
    <row r="10" spans="1:105" ht="12" customHeight="1" x14ac:dyDescent="0.25">
      <c r="A10" s="131" t="s">
        <v>128</v>
      </c>
      <c r="B10" s="132">
        <f>IF(SER_hh_emi!B10=0,0,1000000*SER_hh_emi!B10/SER_hh_num!B10)</f>
        <v>0</v>
      </c>
      <c r="C10" s="132">
        <f>IF(SER_hh_emi!C10=0,0,1000000*SER_hh_emi!C10/SER_hh_num!C10)</f>
        <v>0</v>
      </c>
      <c r="D10" s="132">
        <f>IF(SER_hh_emi!D10=0,0,1000000*SER_hh_emi!D10/SER_hh_num!D10)</f>
        <v>0</v>
      </c>
      <c r="E10" s="132">
        <f>IF(SER_hh_emi!E10=0,0,1000000*SER_hh_emi!E10/SER_hh_num!E10)</f>
        <v>0</v>
      </c>
      <c r="F10" s="132">
        <f>IF(SER_hh_emi!F10=0,0,1000000*SER_hh_emi!F10/SER_hh_num!F10)</f>
        <v>0</v>
      </c>
      <c r="G10" s="132">
        <f>IF(SER_hh_emi!G10=0,0,1000000*SER_hh_emi!G10/SER_hh_num!G10)</f>
        <v>0</v>
      </c>
      <c r="H10" s="132">
        <f>IF(SER_hh_emi!H10=0,0,1000000*SER_hh_emi!H10/SER_hh_num!H10)</f>
        <v>0</v>
      </c>
      <c r="I10" s="132">
        <f>IF(SER_hh_emi!I10=0,0,1000000*SER_hh_emi!I10/SER_hh_num!I10)</f>
        <v>0</v>
      </c>
      <c r="J10" s="132">
        <f>IF(SER_hh_emi!J10=0,0,1000000*SER_hh_emi!J10/SER_hh_num!J10)</f>
        <v>6790.8390895138282</v>
      </c>
      <c r="K10" s="132">
        <f>IF(SER_hh_emi!K10=0,0,1000000*SER_hh_emi!K10/SER_hh_num!K10)</f>
        <v>2508.4535908654252</v>
      </c>
      <c r="L10" s="132">
        <f>IF(SER_hh_emi!L10=0,0,1000000*SER_hh_emi!L10/SER_hh_num!L10)</f>
        <v>3107.9688325127008</v>
      </c>
      <c r="M10" s="132">
        <f>IF(SER_hh_emi!M10=0,0,1000000*SER_hh_emi!M10/SER_hh_num!M10)</f>
        <v>3359.5789760021576</v>
      </c>
      <c r="N10" s="132">
        <f>IF(SER_hh_emi!N10=0,0,1000000*SER_hh_emi!N10/SER_hh_num!N10)</f>
        <v>2560.9891455962093</v>
      </c>
      <c r="O10" s="132">
        <f>IF(SER_hh_emi!O10=0,0,1000000*SER_hh_emi!O10/SER_hh_num!O10)</f>
        <v>756.96416399590623</v>
      </c>
      <c r="P10" s="132">
        <f>IF(SER_hh_emi!P10=0,0,1000000*SER_hh_emi!P10/SER_hh_num!P10)</f>
        <v>1729.6591251106433</v>
      </c>
      <c r="Q10" s="132">
        <f>IF(SER_hh_emi!Q10=0,0,1000000*SER_hh_emi!Q10/SER_hh_num!Q10)</f>
        <v>1791.9050403942499</v>
      </c>
      <c r="R10" s="132">
        <f>IF(SER_hh_emi!R10=0,0,1000000*SER_hh_emi!R10/SER_hh_num!R10)</f>
        <v>1989.8418399966579</v>
      </c>
      <c r="S10" s="132">
        <f>IF(SER_hh_emi!S10=0,0,1000000*SER_hh_emi!S10/SER_hh_num!S10)</f>
        <v>1821.651832320385</v>
      </c>
      <c r="T10" s="132">
        <f>IF(SER_hh_emi!T10=0,0,1000000*SER_hh_emi!T10/SER_hh_num!T10)</f>
        <v>2205.9501819625448</v>
      </c>
      <c r="U10" s="132">
        <f>IF(SER_hh_emi!U10=0,0,1000000*SER_hh_emi!U10/SER_hh_num!U10)</f>
        <v>1599.7449221850329</v>
      </c>
      <c r="V10" s="132">
        <f>IF(SER_hh_emi!V10=0,0,1000000*SER_hh_emi!V10/SER_hh_num!V10)</f>
        <v>1945.540197939006</v>
      </c>
      <c r="W10" s="132">
        <f>IF(SER_hh_emi!W10=0,0,1000000*SER_hh_emi!W10/SER_hh_num!W10)</f>
        <v>2314.2747700660238</v>
      </c>
      <c r="X10" s="132">
        <f>IF(SER_hh_emi!X10=0,0,1000000*SER_hh_emi!X10/SER_hh_num!X10)</f>
        <v>16217.376148481831</v>
      </c>
      <c r="Y10" s="132">
        <f>IF(SER_hh_emi!Y10=0,0,1000000*SER_hh_emi!Y10/SER_hh_num!Y10)</f>
        <v>1766.6264893078001</v>
      </c>
      <c r="DA10" s="156" t="s">
        <v>453</v>
      </c>
    </row>
    <row r="11" spans="1:105" ht="12" customHeight="1" x14ac:dyDescent="0.25">
      <c r="A11" s="131" t="s">
        <v>25</v>
      </c>
      <c r="B11" s="132">
        <f>IF(SER_hh_emi!B11=0,0,1000000*SER_hh_emi!B11/SER_hh_num!B11)</f>
        <v>0</v>
      </c>
      <c r="C11" s="132">
        <f>IF(SER_hh_emi!C11=0,0,1000000*SER_hh_emi!C11/SER_hh_num!C11)</f>
        <v>0</v>
      </c>
      <c r="D11" s="132">
        <f>IF(SER_hh_emi!D11=0,0,1000000*SER_hh_emi!D11/SER_hh_num!D11)</f>
        <v>0</v>
      </c>
      <c r="E11" s="132">
        <f>IF(SER_hh_emi!E11=0,0,1000000*SER_hh_emi!E11/SER_hh_num!E11)</f>
        <v>0</v>
      </c>
      <c r="F11" s="132">
        <f>IF(SER_hh_emi!F11=0,0,1000000*SER_hh_emi!F11/SER_hh_num!F11)</f>
        <v>0</v>
      </c>
      <c r="G11" s="132">
        <f>IF(SER_hh_emi!G11=0,0,1000000*SER_hh_emi!G11/SER_hh_num!G11)</f>
        <v>0</v>
      </c>
      <c r="H11" s="132">
        <f>IF(SER_hh_emi!H11=0,0,1000000*SER_hh_emi!H11/SER_hh_num!H11)</f>
        <v>0</v>
      </c>
      <c r="I11" s="132">
        <f>IF(SER_hh_emi!I11=0,0,1000000*SER_hh_emi!I11/SER_hh_num!I11)</f>
        <v>0</v>
      </c>
      <c r="J11" s="132">
        <f>IF(SER_hh_emi!J11=0,0,1000000*SER_hh_emi!J11/SER_hh_num!J11)</f>
        <v>0</v>
      </c>
      <c r="K11" s="132">
        <f>IF(SER_hh_emi!K11=0,0,1000000*SER_hh_emi!K11/SER_hh_num!K11)</f>
        <v>0</v>
      </c>
      <c r="L11" s="132">
        <f>IF(SER_hh_emi!L11=0,0,1000000*SER_hh_emi!L11/SER_hh_num!L11)</f>
        <v>0</v>
      </c>
      <c r="M11" s="132">
        <f>IF(SER_hh_emi!M11=0,0,1000000*SER_hh_emi!M11/SER_hh_num!M11)</f>
        <v>0</v>
      </c>
      <c r="N11" s="132">
        <f>IF(SER_hh_emi!N11=0,0,1000000*SER_hh_emi!N11/SER_hh_num!N11)</f>
        <v>0</v>
      </c>
      <c r="O11" s="132">
        <f>IF(SER_hh_emi!O11=0,0,1000000*SER_hh_emi!O11/SER_hh_num!O11)</f>
        <v>0</v>
      </c>
      <c r="P11" s="132">
        <f>IF(SER_hh_emi!P11=0,0,1000000*SER_hh_emi!P11/SER_hh_num!P11)</f>
        <v>0</v>
      </c>
      <c r="Q11" s="132">
        <f>IF(SER_hh_emi!Q11=0,0,1000000*SER_hh_emi!Q11/SER_hh_num!Q11)</f>
        <v>0</v>
      </c>
      <c r="R11" s="132">
        <f>IF(SER_hh_emi!R11=0,0,1000000*SER_hh_emi!R11/SER_hh_num!R11)</f>
        <v>0</v>
      </c>
      <c r="S11" s="132">
        <f>IF(SER_hh_emi!S11=0,0,1000000*SER_hh_emi!S11/SER_hh_num!S11)</f>
        <v>0</v>
      </c>
      <c r="T11" s="132">
        <f>IF(SER_hh_emi!T11=0,0,1000000*SER_hh_emi!T11/SER_hh_num!T11)</f>
        <v>0</v>
      </c>
      <c r="U11" s="132">
        <f>IF(SER_hh_emi!U11=0,0,1000000*SER_hh_emi!U11/SER_hh_num!U11)</f>
        <v>0</v>
      </c>
      <c r="V11" s="132">
        <f>IF(SER_hh_emi!V11=0,0,1000000*SER_hh_emi!V11/SER_hh_num!V11)</f>
        <v>0</v>
      </c>
      <c r="W11" s="132">
        <f>IF(SER_hh_emi!W11=0,0,1000000*SER_hh_emi!W11/SER_hh_num!W11)</f>
        <v>0</v>
      </c>
      <c r="X11" s="132">
        <f>IF(SER_hh_emi!X11=0,0,1000000*SER_hh_emi!X11/SER_hh_num!X11)</f>
        <v>0</v>
      </c>
      <c r="Y11" s="132">
        <f>IF(SER_hh_emi!Y11=0,0,1000000*SER_hh_emi!Y11/SER_hh_num!Y11)</f>
        <v>0</v>
      </c>
      <c r="DA11" s="156" t="s">
        <v>454</v>
      </c>
    </row>
    <row r="12" spans="1:105" ht="12" customHeight="1" x14ac:dyDescent="0.25">
      <c r="A12" s="131" t="s">
        <v>162</v>
      </c>
      <c r="B12" s="132">
        <f>IF(SER_hh_emi!B12=0,0,1000000*SER_hh_emi!B12/SER_hh_num!B12)</f>
        <v>0</v>
      </c>
      <c r="C12" s="132">
        <f>IF(SER_hh_emi!C12=0,0,1000000*SER_hh_emi!C12/SER_hh_num!C12)</f>
        <v>0</v>
      </c>
      <c r="D12" s="132">
        <f>IF(SER_hh_emi!D12=0,0,1000000*SER_hh_emi!D12/SER_hh_num!D12)</f>
        <v>0</v>
      </c>
      <c r="E12" s="132">
        <f>IF(SER_hh_emi!E12=0,0,1000000*SER_hh_emi!E12/SER_hh_num!E12)</f>
        <v>0</v>
      </c>
      <c r="F12" s="132">
        <f>IF(SER_hh_emi!F12=0,0,1000000*SER_hh_emi!F12/SER_hh_num!F12)</f>
        <v>0</v>
      </c>
      <c r="G12" s="132">
        <f>IF(SER_hh_emi!G12=0,0,1000000*SER_hh_emi!G12/SER_hh_num!G12)</f>
        <v>0</v>
      </c>
      <c r="H12" s="132">
        <f>IF(SER_hh_emi!H12=0,0,1000000*SER_hh_emi!H12/SER_hh_num!H12)</f>
        <v>0</v>
      </c>
      <c r="I12" s="132">
        <f>IF(SER_hh_emi!I12=0,0,1000000*SER_hh_emi!I12/SER_hh_num!I12)</f>
        <v>0</v>
      </c>
      <c r="J12" s="132">
        <f>IF(SER_hh_emi!J12=0,0,1000000*SER_hh_emi!J12/SER_hh_num!J12)</f>
        <v>0</v>
      </c>
      <c r="K12" s="132">
        <f>IF(SER_hh_emi!K12=0,0,1000000*SER_hh_emi!K12/SER_hh_num!K12)</f>
        <v>0</v>
      </c>
      <c r="L12" s="132">
        <f>IF(SER_hh_emi!L12=0,0,1000000*SER_hh_emi!L12/SER_hh_num!L12)</f>
        <v>0</v>
      </c>
      <c r="M12" s="132">
        <f>IF(SER_hh_emi!M12=0,0,1000000*SER_hh_emi!M12/SER_hh_num!M12)</f>
        <v>0</v>
      </c>
      <c r="N12" s="132">
        <f>IF(SER_hh_emi!N12=0,0,1000000*SER_hh_emi!N12/SER_hh_num!N12)</f>
        <v>0</v>
      </c>
      <c r="O12" s="132">
        <f>IF(SER_hh_emi!O12=0,0,1000000*SER_hh_emi!O12/SER_hh_num!O12)</f>
        <v>0</v>
      </c>
      <c r="P12" s="132">
        <f>IF(SER_hh_emi!P12=0,0,1000000*SER_hh_emi!P12/SER_hh_num!P12)</f>
        <v>0</v>
      </c>
      <c r="Q12" s="132">
        <f>IF(SER_hh_emi!Q12=0,0,1000000*SER_hh_emi!Q12/SER_hh_num!Q12)</f>
        <v>0</v>
      </c>
      <c r="R12" s="132">
        <f>IF(SER_hh_emi!R12=0,0,1000000*SER_hh_emi!R12/SER_hh_num!R12)</f>
        <v>0</v>
      </c>
      <c r="S12" s="132">
        <f>IF(SER_hh_emi!S12=0,0,1000000*SER_hh_emi!S12/SER_hh_num!S12)</f>
        <v>0</v>
      </c>
      <c r="T12" s="132">
        <f>IF(SER_hh_emi!T12=0,0,1000000*SER_hh_emi!T12/SER_hh_num!T12)</f>
        <v>0</v>
      </c>
      <c r="U12" s="132">
        <f>IF(SER_hh_emi!U12=0,0,1000000*SER_hh_emi!U12/SER_hh_num!U12)</f>
        <v>0</v>
      </c>
      <c r="V12" s="132">
        <f>IF(SER_hh_emi!V12=0,0,1000000*SER_hh_emi!V12/SER_hh_num!V12)</f>
        <v>0</v>
      </c>
      <c r="W12" s="132">
        <f>IF(SER_hh_emi!W12=0,0,1000000*SER_hh_emi!W12/SER_hh_num!W12)</f>
        <v>0</v>
      </c>
      <c r="X12" s="132">
        <f>IF(SER_hh_emi!X12=0,0,1000000*SER_hh_emi!X12/SER_hh_num!X12)</f>
        <v>0</v>
      </c>
      <c r="Y12" s="132">
        <f>IF(SER_hh_emi!Y12=0,0,1000000*SER_hh_emi!Y12/SER_hh_num!Y12)</f>
        <v>0</v>
      </c>
      <c r="DA12" s="156" t="s">
        <v>455</v>
      </c>
    </row>
    <row r="13" spans="1:105" ht="12" customHeight="1" x14ac:dyDescent="0.25">
      <c r="A13" s="131" t="s">
        <v>77</v>
      </c>
      <c r="B13" s="132">
        <f>IF(SER_hh_emi!B13=0,0,1000000*SER_hh_emi!B13/SER_hh_num!B13)</f>
        <v>0</v>
      </c>
      <c r="C13" s="132">
        <f>IF(SER_hh_emi!C13=0,0,1000000*SER_hh_emi!C13/SER_hh_num!C13)</f>
        <v>0</v>
      </c>
      <c r="D13" s="132">
        <f>IF(SER_hh_emi!D13=0,0,1000000*SER_hh_emi!D13/SER_hh_num!D13)</f>
        <v>0</v>
      </c>
      <c r="E13" s="132">
        <f>IF(SER_hh_emi!E13=0,0,1000000*SER_hh_emi!E13/SER_hh_num!E13)</f>
        <v>0</v>
      </c>
      <c r="F13" s="132">
        <f>IF(SER_hh_emi!F13=0,0,1000000*SER_hh_emi!F13/SER_hh_num!F13)</f>
        <v>0</v>
      </c>
      <c r="G13" s="132">
        <f>IF(SER_hh_emi!G13=0,0,1000000*SER_hh_emi!G13/SER_hh_num!G13)</f>
        <v>0</v>
      </c>
      <c r="H13" s="132">
        <f>IF(SER_hh_emi!H13=0,0,1000000*SER_hh_emi!H13/SER_hh_num!H13)</f>
        <v>0</v>
      </c>
      <c r="I13" s="132">
        <f>IF(SER_hh_emi!I13=0,0,1000000*SER_hh_emi!I13/SER_hh_num!I13)</f>
        <v>0</v>
      </c>
      <c r="J13" s="132">
        <f>IF(SER_hh_emi!J13=0,0,1000000*SER_hh_emi!J13/SER_hh_num!J13)</f>
        <v>0</v>
      </c>
      <c r="K13" s="132">
        <f>IF(SER_hh_emi!K13=0,0,1000000*SER_hh_emi!K13/SER_hh_num!K13)</f>
        <v>0</v>
      </c>
      <c r="L13" s="132">
        <f>IF(SER_hh_emi!L13=0,0,1000000*SER_hh_emi!L13/SER_hh_num!L13)</f>
        <v>0</v>
      </c>
      <c r="M13" s="132">
        <f>IF(SER_hh_emi!M13=0,0,1000000*SER_hh_emi!M13/SER_hh_num!M13)</f>
        <v>0</v>
      </c>
      <c r="N13" s="132">
        <f>IF(SER_hh_emi!N13=0,0,1000000*SER_hh_emi!N13/SER_hh_num!N13)</f>
        <v>0</v>
      </c>
      <c r="O13" s="132">
        <f>IF(SER_hh_emi!O13=0,0,1000000*SER_hh_emi!O13/SER_hh_num!O13)</f>
        <v>0</v>
      </c>
      <c r="P13" s="132">
        <f>IF(SER_hh_emi!P13=0,0,1000000*SER_hh_emi!P13/SER_hh_num!P13)</f>
        <v>0</v>
      </c>
      <c r="Q13" s="132">
        <f>IF(SER_hh_emi!Q13=0,0,1000000*SER_hh_emi!Q13/SER_hh_num!Q13)</f>
        <v>0</v>
      </c>
      <c r="R13" s="132">
        <f>IF(SER_hh_emi!R13=0,0,1000000*SER_hh_emi!R13/SER_hh_num!R13)</f>
        <v>0</v>
      </c>
      <c r="S13" s="132">
        <f>IF(SER_hh_emi!S13=0,0,1000000*SER_hh_emi!S13/SER_hh_num!S13)</f>
        <v>0</v>
      </c>
      <c r="T13" s="132">
        <f>IF(SER_hh_emi!T13=0,0,1000000*SER_hh_emi!T13/SER_hh_num!T13)</f>
        <v>0</v>
      </c>
      <c r="U13" s="132">
        <f>IF(SER_hh_emi!U13=0,0,1000000*SER_hh_emi!U13/SER_hh_num!U13)</f>
        <v>0</v>
      </c>
      <c r="V13" s="132">
        <f>IF(SER_hh_emi!V13=0,0,1000000*SER_hh_emi!V13/SER_hh_num!V13)</f>
        <v>0</v>
      </c>
      <c r="W13" s="132">
        <f>IF(SER_hh_emi!W13=0,0,1000000*SER_hh_emi!W13/SER_hh_num!W13)</f>
        <v>0</v>
      </c>
      <c r="X13" s="132">
        <f>IF(SER_hh_emi!X13=0,0,1000000*SER_hh_emi!X13/SER_hh_num!X13)</f>
        <v>0</v>
      </c>
      <c r="Y13" s="132">
        <f>IF(SER_hh_emi!Y13=0,0,1000000*SER_hh_emi!Y13/SER_hh_num!Y13)</f>
        <v>0</v>
      </c>
      <c r="DA13" s="156" t="s">
        <v>456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X14" s="65">
        <f>IF(SER_hh_emi!X14=0,0,1000000*SER_hh_emi!X14/SER_hh_num!X14)</f>
        <v>0</v>
      </c>
      <c r="Y14" s="65">
        <f>IF(SER_hh_emi!Y14=0,0,1000000*SER_hh_emi!Y14/SER_hh_num!Y14)</f>
        <v>0</v>
      </c>
      <c r="DA14" s="109" t="s">
        <v>457</v>
      </c>
    </row>
    <row r="15" spans="1:105" ht="12" customHeight="1" x14ac:dyDescent="0.25">
      <c r="A15" s="133" t="s">
        <v>80</v>
      </c>
      <c r="B15" s="134">
        <f>IF(SER_hh_emi!B15=0,0,1000000*SER_hh_emi!B15/SER_hh_num!B15)</f>
        <v>0</v>
      </c>
      <c r="C15" s="134">
        <f>IF(SER_hh_emi!C15=0,0,1000000*SER_hh_emi!C15/SER_hh_num!C15)</f>
        <v>0</v>
      </c>
      <c r="D15" s="134">
        <f>IF(SER_hh_emi!D15=0,0,1000000*SER_hh_emi!D15/SER_hh_num!D15)</f>
        <v>0</v>
      </c>
      <c r="E15" s="134">
        <f>IF(SER_hh_emi!E15=0,0,1000000*SER_hh_emi!E15/SER_hh_num!E15)</f>
        <v>0</v>
      </c>
      <c r="F15" s="134">
        <f>IF(SER_hh_emi!F15=0,0,1000000*SER_hh_emi!F15/SER_hh_num!F15)</f>
        <v>0</v>
      </c>
      <c r="G15" s="134">
        <f>IF(SER_hh_emi!G15=0,0,1000000*SER_hh_emi!G15/SER_hh_num!G15)</f>
        <v>0</v>
      </c>
      <c r="H15" s="134">
        <f>IF(SER_hh_emi!H15=0,0,1000000*SER_hh_emi!H15/SER_hh_num!H15)</f>
        <v>0</v>
      </c>
      <c r="I15" s="134">
        <f>IF(SER_hh_emi!I15=0,0,1000000*SER_hh_emi!I15/SER_hh_num!I15)</f>
        <v>0</v>
      </c>
      <c r="J15" s="134">
        <f>IF(SER_hh_emi!J15=0,0,1000000*SER_hh_emi!J15/SER_hh_num!J15)</f>
        <v>0</v>
      </c>
      <c r="K15" s="134">
        <f>IF(SER_hh_emi!K15=0,0,1000000*SER_hh_emi!K15/SER_hh_num!K15)</f>
        <v>0</v>
      </c>
      <c r="L15" s="134">
        <f>IF(SER_hh_emi!L15=0,0,1000000*SER_hh_emi!L15/SER_hh_num!L15)</f>
        <v>0</v>
      </c>
      <c r="M15" s="134">
        <f>IF(SER_hh_emi!M15=0,0,1000000*SER_hh_emi!M15/SER_hh_num!M15)</f>
        <v>0</v>
      </c>
      <c r="N15" s="134">
        <f>IF(SER_hh_emi!N15=0,0,1000000*SER_hh_emi!N15/SER_hh_num!N15)</f>
        <v>0</v>
      </c>
      <c r="O15" s="134">
        <f>IF(SER_hh_emi!O15=0,0,1000000*SER_hh_emi!O15/SER_hh_num!O15)</f>
        <v>0</v>
      </c>
      <c r="P15" s="134">
        <f>IF(SER_hh_emi!P15=0,0,1000000*SER_hh_emi!P15/SER_hh_num!P15)</f>
        <v>0</v>
      </c>
      <c r="Q15" s="134">
        <f>IF(SER_hh_emi!Q15=0,0,1000000*SER_hh_emi!Q15/SER_hh_num!Q15)</f>
        <v>0</v>
      </c>
      <c r="R15" s="134">
        <f>IF(SER_hh_emi!R15=0,0,1000000*SER_hh_emi!R15/SER_hh_num!R15)</f>
        <v>0</v>
      </c>
      <c r="S15" s="134">
        <f>IF(SER_hh_emi!S15=0,0,1000000*SER_hh_emi!S15/SER_hh_num!S15)</f>
        <v>0</v>
      </c>
      <c r="T15" s="134">
        <f>IF(SER_hh_emi!T15=0,0,1000000*SER_hh_emi!T15/SER_hh_num!T15)</f>
        <v>0</v>
      </c>
      <c r="U15" s="134">
        <f>IF(SER_hh_emi!U15=0,0,1000000*SER_hh_emi!U15/SER_hh_num!U15)</f>
        <v>0</v>
      </c>
      <c r="V15" s="134">
        <f>IF(SER_hh_emi!V15=0,0,1000000*SER_hh_emi!V15/SER_hh_num!V15)</f>
        <v>0</v>
      </c>
      <c r="W15" s="134">
        <f>IF(SER_hh_emi!W15=0,0,1000000*SER_hh_emi!W15/SER_hh_num!W15)</f>
        <v>0</v>
      </c>
      <c r="X15" s="134">
        <f>IF(SER_hh_emi!X15=0,0,1000000*SER_hh_emi!X15/SER_hh_num!X15)</f>
        <v>0</v>
      </c>
      <c r="Y15" s="134">
        <f>IF(SER_hh_emi!Y15=0,0,1000000*SER_hh_emi!Y15/SER_hh_num!Y15)</f>
        <v>0</v>
      </c>
      <c r="DA15" s="157" t="s">
        <v>458</v>
      </c>
    </row>
    <row r="16" spans="1:105" ht="12.95" customHeight="1" x14ac:dyDescent="0.25">
      <c r="A16" s="129" t="s">
        <v>74</v>
      </c>
      <c r="B16" s="130">
        <f>IF(SER_hh_emi!B16=0,0,1000000*SER_hh_emi!B16/SER_hh_num!B16)</f>
        <v>0</v>
      </c>
      <c r="C16" s="130">
        <f>IF(SER_hh_emi!C16=0,0,1000000*SER_hh_emi!C16/SER_hh_num!C16)</f>
        <v>0</v>
      </c>
      <c r="D16" s="130">
        <f>IF(SER_hh_emi!D16=0,0,1000000*SER_hh_emi!D16/SER_hh_num!D16)</f>
        <v>0</v>
      </c>
      <c r="E16" s="130">
        <f>IF(SER_hh_emi!E16=0,0,1000000*SER_hh_emi!E16/SER_hh_num!E16)</f>
        <v>0</v>
      </c>
      <c r="F16" s="130">
        <f>IF(SER_hh_emi!F16=0,0,1000000*SER_hh_emi!F16/SER_hh_num!F16)</f>
        <v>0</v>
      </c>
      <c r="G16" s="130">
        <f>IF(SER_hh_emi!G16=0,0,1000000*SER_hh_emi!G16/SER_hh_num!G16)</f>
        <v>0</v>
      </c>
      <c r="H16" s="130">
        <f>IF(SER_hh_emi!H16=0,0,1000000*SER_hh_emi!H16/SER_hh_num!H16)</f>
        <v>0</v>
      </c>
      <c r="I16" s="130">
        <f>IF(SER_hh_emi!I16=0,0,1000000*SER_hh_emi!I16/SER_hh_num!I16)</f>
        <v>0</v>
      </c>
      <c r="J16" s="130">
        <f>IF(SER_hh_emi!J16=0,0,1000000*SER_hh_emi!J16/SER_hh_num!J16)</f>
        <v>0</v>
      </c>
      <c r="K16" s="130">
        <f>IF(SER_hh_emi!K16=0,0,1000000*SER_hh_emi!K16/SER_hh_num!K16)</f>
        <v>0</v>
      </c>
      <c r="L16" s="130">
        <f>IF(SER_hh_emi!L16=0,0,1000000*SER_hh_emi!L16/SER_hh_num!L16)</f>
        <v>0</v>
      </c>
      <c r="M16" s="130">
        <f>IF(SER_hh_emi!M16=0,0,1000000*SER_hh_emi!M16/SER_hh_num!M16)</f>
        <v>0</v>
      </c>
      <c r="N16" s="130">
        <f>IF(SER_hh_emi!N16=0,0,1000000*SER_hh_emi!N16/SER_hh_num!N16)</f>
        <v>0</v>
      </c>
      <c r="O16" s="130">
        <f>IF(SER_hh_emi!O16=0,0,1000000*SER_hh_emi!O16/SER_hh_num!O16)</f>
        <v>0</v>
      </c>
      <c r="P16" s="130">
        <f>IF(SER_hh_emi!P16=0,0,1000000*SER_hh_emi!P16/SER_hh_num!P16)</f>
        <v>0</v>
      </c>
      <c r="Q16" s="130">
        <f>IF(SER_hh_emi!Q16=0,0,1000000*SER_hh_emi!Q16/SER_hh_num!Q16)</f>
        <v>0</v>
      </c>
      <c r="R16" s="130">
        <f>IF(SER_hh_emi!R16=0,0,1000000*SER_hh_emi!R16/SER_hh_num!R16)</f>
        <v>0</v>
      </c>
      <c r="S16" s="130">
        <f>IF(SER_hh_emi!S16=0,0,1000000*SER_hh_emi!S16/SER_hh_num!S16)</f>
        <v>0</v>
      </c>
      <c r="T16" s="130">
        <f>IF(SER_hh_emi!T16=0,0,1000000*SER_hh_emi!T16/SER_hh_num!T16)</f>
        <v>0</v>
      </c>
      <c r="U16" s="130">
        <f>IF(SER_hh_emi!U16=0,0,1000000*SER_hh_emi!U16/SER_hh_num!U16)</f>
        <v>0</v>
      </c>
      <c r="V16" s="130">
        <f>IF(SER_hh_emi!V16=0,0,1000000*SER_hh_emi!V16/SER_hh_num!V16)</f>
        <v>0</v>
      </c>
      <c r="W16" s="130">
        <f>IF(SER_hh_emi!W16=0,0,1000000*SER_hh_emi!W16/SER_hh_num!W16)</f>
        <v>0</v>
      </c>
      <c r="X16" s="130">
        <f>IF(SER_hh_emi!X16=0,0,1000000*SER_hh_emi!X16/SER_hh_num!X16)</f>
        <v>0</v>
      </c>
      <c r="Y16" s="130">
        <f>IF(SER_hh_emi!Y16=0,0,1000000*SER_hh_emi!Y16/SER_hh_num!Y16)</f>
        <v>0</v>
      </c>
      <c r="DA16" s="155" t="s">
        <v>459</v>
      </c>
    </row>
    <row r="17" spans="1:105" ht="12.95" customHeight="1" x14ac:dyDescent="0.25">
      <c r="A17" s="131" t="s">
        <v>73</v>
      </c>
      <c r="B17" s="132">
        <f>IF(SER_hh_emi!B17=0,0,1000000*SER_hh_emi!B17/SER_hh_num!B17)</f>
        <v>0</v>
      </c>
      <c r="C17" s="132">
        <f>IF(SER_hh_emi!C17=0,0,1000000*SER_hh_emi!C17/SER_hh_num!C17)</f>
        <v>0</v>
      </c>
      <c r="D17" s="132">
        <f>IF(SER_hh_emi!D17=0,0,1000000*SER_hh_emi!D17/SER_hh_num!D17)</f>
        <v>0</v>
      </c>
      <c r="E17" s="132">
        <f>IF(SER_hh_emi!E17=0,0,1000000*SER_hh_emi!E17/SER_hh_num!E17)</f>
        <v>0</v>
      </c>
      <c r="F17" s="132">
        <f>IF(SER_hh_emi!F17=0,0,1000000*SER_hh_emi!F17/SER_hh_num!F17)</f>
        <v>0</v>
      </c>
      <c r="G17" s="132">
        <f>IF(SER_hh_emi!G17=0,0,1000000*SER_hh_emi!G17/SER_hh_num!G17)</f>
        <v>0</v>
      </c>
      <c r="H17" s="132">
        <f>IF(SER_hh_emi!H17=0,0,1000000*SER_hh_emi!H17/SER_hh_num!H17)</f>
        <v>0</v>
      </c>
      <c r="I17" s="132">
        <f>IF(SER_hh_emi!I17=0,0,1000000*SER_hh_emi!I17/SER_hh_num!I17)</f>
        <v>0</v>
      </c>
      <c r="J17" s="132">
        <f>IF(SER_hh_emi!J17=0,0,1000000*SER_hh_emi!J17/SER_hh_num!J17)</f>
        <v>0</v>
      </c>
      <c r="K17" s="132">
        <f>IF(SER_hh_emi!K17=0,0,1000000*SER_hh_emi!K17/SER_hh_num!K17)</f>
        <v>0</v>
      </c>
      <c r="L17" s="132">
        <f>IF(SER_hh_emi!L17=0,0,1000000*SER_hh_emi!L17/SER_hh_num!L17)</f>
        <v>0</v>
      </c>
      <c r="M17" s="132">
        <f>IF(SER_hh_emi!M17=0,0,1000000*SER_hh_emi!M17/SER_hh_num!M17)</f>
        <v>0</v>
      </c>
      <c r="N17" s="132">
        <f>IF(SER_hh_emi!N17=0,0,1000000*SER_hh_emi!N17/SER_hh_num!N17)</f>
        <v>0</v>
      </c>
      <c r="O17" s="132">
        <f>IF(SER_hh_emi!O17=0,0,1000000*SER_hh_emi!O17/SER_hh_num!O17)</f>
        <v>0</v>
      </c>
      <c r="P17" s="132">
        <f>IF(SER_hh_emi!P17=0,0,1000000*SER_hh_emi!P17/SER_hh_num!P17)</f>
        <v>0</v>
      </c>
      <c r="Q17" s="132">
        <f>IF(SER_hh_emi!Q17=0,0,1000000*SER_hh_emi!Q17/SER_hh_num!Q17)</f>
        <v>0</v>
      </c>
      <c r="R17" s="132">
        <f>IF(SER_hh_emi!R17=0,0,1000000*SER_hh_emi!R17/SER_hh_num!R17)</f>
        <v>0</v>
      </c>
      <c r="S17" s="132">
        <f>IF(SER_hh_emi!S17=0,0,1000000*SER_hh_emi!S17/SER_hh_num!S17)</f>
        <v>0</v>
      </c>
      <c r="T17" s="132">
        <f>IF(SER_hh_emi!T17=0,0,1000000*SER_hh_emi!T17/SER_hh_num!T17)</f>
        <v>0</v>
      </c>
      <c r="U17" s="132">
        <f>IF(SER_hh_emi!U17=0,0,1000000*SER_hh_emi!U17/SER_hh_num!U17)</f>
        <v>0</v>
      </c>
      <c r="V17" s="132">
        <f>IF(SER_hh_emi!V17=0,0,1000000*SER_hh_emi!V17/SER_hh_num!V17)</f>
        <v>0</v>
      </c>
      <c r="W17" s="132">
        <f>IF(SER_hh_emi!W17=0,0,1000000*SER_hh_emi!W17/SER_hh_num!W17)</f>
        <v>0</v>
      </c>
      <c r="X17" s="132">
        <f>IF(SER_hh_emi!X17=0,0,1000000*SER_hh_emi!X17/SER_hh_num!X17)</f>
        <v>0</v>
      </c>
      <c r="Y17" s="132">
        <f>IF(SER_hh_emi!Y17=0,0,1000000*SER_hh_emi!Y17/SER_hh_num!Y17)</f>
        <v>0</v>
      </c>
      <c r="DA17" s="156" t="s">
        <v>460</v>
      </c>
    </row>
    <row r="18" spans="1:105" ht="12" customHeight="1" x14ac:dyDescent="0.25">
      <c r="A18" s="131" t="s">
        <v>72</v>
      </c>
      <c r="B18" s="132">
        <f>IF(SER_hh_emi!B18=0,0,1000000*SER_hh_emi!B18/SER_hh_num!B18)</f>
        <v>0</v>
      </c>
      <c r="C18" s="132">
        <f>IF(SER_hh_emi!C18=0,0,1000000*SER_hh_emi!C18/SER_hh_num!C18)</f>
        <v>0</v>
      </c>
      <c r="D18" s="132">
        <f>IF(SER_hh_emi!D18=0,0,1000000*SER_hh_emi!D18/SER_hh_num!D18)</f>
        <v>0</v>
      </c>
      <c r="E18" s="132">
        <f>IF(SER_hh_emi!E18=0,0,1000000*SER_hh_emi!E18/SER_hh_num!E18)</f>
        <v>0</v>
      </c>
      <c r="F18" s="132">
        <f>IF(SER_hh_emi!F18=0,0,1000000*SER_hh_emi!F18/SER_hh_num!F18)</f>
        <v>0</v>
      </c>
      <c r="G18" s="132">
        <f>IF(SER_hh_emi!G18=0,0,1000000*SER_hh_emi!G18/SER_hh_num!G18)</f>
        <v>0</v>
      </c>
      <c r="H18" s="132">
        <f>IF(SER_hh_emi!H18=0,0,1000000*SER_hh_emi!H18/SER_hh_num!H18)</f>
        <v>0</v>
      </c>
      <c r="I18" s="132">
        <f>IF(SER_hh_emi!I18=0,0,1000000*SER_hh_emi!I18/SER_hh_num!I18)</f>
        <v>0</v>
      </c>
      <c r="J18" s="132">
        <f>IF(SER_hh_emi!J18=0,0,1000000*SER_hh_emi!J18/SER_hh_num!J18)</f>
        <v>0</v>
      </c>
      <c r="K18" s="132">
        <f>IF(SER_hh_emi!K18=0,0,1000000*SER_hh_emi!K18/SER_hh_num!K18)</f>
        <v>0</v>
      </c>
      <c r="L18" s="132">
        <f>IF(SER_hh_emi!L18=0,0,1000000*SER_hh_emi!L18/SER_hh_num!L18)</f>
        <v>0</v>
      </c>
      <c r="M18" s="132">
        <f>IF(SER_hh_emi!M18=0,0,1000000*SER_hh_emi!M18/SER_hh_num!M18)</f>
        <v>0</v>
      </c>
      <c r="N18" s="132">
        <f>IF(SER_hh_emi!N18=0,0,1000000*SER_hh_emi!N18/SER_hh_num!N18)</f>
        <v>0</v>
      </c>
      <c r="O18" s="132">
        <f>IF(SER_hh_emi!O18=0,0,1000000*SER_hh_emi!O18/SER_hh_num!O18)</f>
        <v>0</v>
      </c>
      <c r="P18" s="132">
        <f>IF(SER_hh_emi!P18=0,0,1000000*SER_hh_emi!P18/SER_hh_num!P18)</f>
        <v>0</v>
      </c>
      <c r="Q18" s="132">
        <f>IF(SER_hh_emi!Q18=0,0,1000000*SER_hh_emi!Q18/SER_hh_num!Q18)</f>
        <v>0</v>
      </c>
      <c r="R18" s="132">
        <f>IF(SER_hh_emi!R18=0,0,1000000*SER_hh_emi!R18/SER_hh_num!R18)</f>
        <v>0</v>
      </c>
      <c r="S18" s="132">
        <f>IF(SER_hh_emi!S18=0,0,1000000*SER_hh_emi!S18/SER_hh_num!S18)</f>
        <v>0</v>
      </c>
      <c r="T18" s="132">
        <f>IF(SER_hh_emi!T18=0,0,1000000*SER_hh_emi!T18/SER_hh_num!T18)</f>
        <v>0</v>
      </c>
      <c r="U18" s="132">
        <f>IF(SER_hh_emi!U18=0,0,1000000*SER_hh_emi!U18/SER_hh_num!U18)</f>
        <v>0</v>
      </c>
      <c r="V18" s="132">
        <f>IF(SER_hh_emi!V18=0,0,1000000*SER_hh_emi!V18/SER_hh_num!V18)</f>
        <v>0</v>
      </c>
      <c r="W18" s="132">
        <f>IF(SER_hh_emi!W18=0,0,1000000*SER_hh_emi!W18/SER_hh_num!W18)</f>
        <v>0</v>
      </c>
      <c r="X18" s="132">
        <f>IF(SER_hh_emi!X18=0,0,1000000*SER_hh_emi!X18/SER_hh_num!X18)</f>
        <v>0</v>
      </c>
      <c r="Y18" s="132">
        <f>IF(SER_hh_emi!Y18=0,0,1000000*SER_hh_emi!Y18/SER_hh_num!Y18)</f>
        <v>0</v>
      </c>
      <c r="DA18" s="156" t="s">
        <v>461</v>
      </c>
    </row>
    <row r="19" spans="1:105" ht="12.95" customHeight="1" x14ac:dyDescent="0.25">
      <c r="A19" s="129" t="s">
        <v>35</v>
      </c>
      <c r="B19" s="130">
        <f>IF(SER_hh_emi!B19=0,0,1000000*SER_hh_emi!B19/SER_hh_num!B19)</f>
        <v>713.35432245830168</v>
      </c>
      <c r="C19" s="130">
        <f>IF(SER_hh_emi!C19=0,0,1000000*SER_hh_emi!C19/SER_hh_num!C19)</f>
        <v>719.50734188454987</v>
      </c>
      <c r="D19" s="130">
        <f>IF(SER_hh_emi!D19=0,0,1000000*SER_hh_emi!D19/SER_hh_num!D19)</f>
        <v>737.54226373045469</v>
      </c>
      <c r="E19" s="130">
        <f>IF(SER_hh_emi!E19=0,0,1000000*SER_hh_emi!E19/SER_hh_num!E19)</f>
        <v>741.86703985020245</v>
      </c>
      <c r="F19" s="130">
        <f>IF(SER_hh_emi!F19=0,0,1000000*SER_hh_emi!F19/SER_hh_num!F19)</f>
        <v>733.77836489964545</v>
      </c>
      <c r="G19" s="130">
        <f>IF(SER_hh_emi!G19=0,0,1000000*SER_hh_emi!G19/SER_hh_num!G19)</f>
        <v>724.84598810305374</v>
      </c>
      <c r="H19" s="130">
        <f>IF(SER_hh_emi!H19=0,0,1000000*SER_hh_emi!H19/SER_hh_num!H19)</f>
        <v>724.12071931711193</v>
      </c>
      <c r="I19" s="130">
        <f>IF(SER_hh_emi!I19=0,0,1000000*SER_hh_emi!I19/SER_hh_num!I19)</f>
        <v>710.87593512673379</v>
      </c>
      <c r="J19" s="130">
        <f>IF(SER_hh_emi!J19=0,0,1000000*SER_hh_emi!J19/SER_hh_num!J19)</f>
        <v>721.98174688914992</v>
      </c>
      <c r="K19" s="130">
        <f>IF(SER_hh_emi!K19=0,0,1000000*SER_hh_emi!K19/SER_hh_num!K19)</f>
        <v>697.39119939560385</v>
      </c>
      <c r="L19" s="130">
        <f>IF(SER_hh_emi!L19=0,0,1000000*SER_hh_emi!L19/SER_hh_num!L19)</f>
        <v>741.09454252484522</v>
      </c>
      <c r="M19" s="130">
        <f>IF(SER_hh_emi!M19=0,0,1000000*SER_hh_emi!M19/SER_hh_num!M19)</f>
        <v>743.09798663188189</v>
      </c>
      <c r="N19" s="130">
        <f>IF(SER_hh_emi!N19=0,0,1000000*SER_hh_emi!N19/SER_hh_num!N19)</f>
        <v>719.47162689117204</v>
      </c>
      <c r="O19" s="130">
        <f>IF(SER_hh_emi!O19=0,0,1000000*SER_hh_emi!O19/SER_hh_num!O19)</f>
        <v>712.52887116420106</v>
      </c>
      <c r="P19" s="130">
        <f>IF(SER_hh_emi!P19=0,0,1000000*SER_hh_emi!P19/SER_hh_num!P19)</f>
        <v>682.41312708543785</v>
      </c>
      <c r="Q19" s="130">
        <f>IF(SER_hh_emi!Q19=0,0,1000000*SER_hh_emi!Q19/SER_hh_num!Q19)</f>
        <v>672.0425487341189</v>
      </c>
      <c r="R19" s="130">
        <f>IF(SER_hh_emi!R19=0,0,1000000*SER_hh_emi!R19/SER_hh_num!R19)</f>
        <v>670.2937316088354</v>
      </c>
      <c r="S19" s="130">
        <f>IF(SER_hh_emi!S19=0,0,1000000*SER_hh_emi!S19/SER_hh_num!S19)</f>
        <v>583.51871491397981</v>
      </c>
      <c r="T19" s="130">
        <f>IF(SER_hh_emi!T19=0,0,1000000*SER_hh_emi!T19/SER_hh_num!T19)</f>
        <v>500.38736819312675</v>
      </c>
      <c r="U19" s="130">
        <f>IF(SER_hh_emi!U19=0,0,1000000*SER_hh_emi!U19/SER_hh_num!U19)</f>
        <v>471.92527500441639</v>
      </c>
      <c r="V19" s="130">
        <f>IF(SER_hh_emi!V19=0,0,1000000*SER_hh_emi!V19/SER_hh_num!V19)</f>
        <v>412.01834483393981</v>
      </c>
      <c r="W19" s="130">
        <f>IF(SER_hh_emi!W19=0,0,1000000*SER_hh_emi!W19/SER_hh_num!W19)</f>
        <v>453.20132809184281</v>
      </c>
      <c r="X19" s="130">
        <f>IF(SER_hh_emi!X19=0,0,1000000*SER_hh_emi!X19/SER_hh_num!X19)</f>
        <v>433.42066807854565</v>
      </c>
      <c r="Y19" s="130">
        <f>IF(SER_hh_emi!Y19=0,0,1000000*SER_hh_emi!Y19/SER_hh_num!Y19)</f>
        <v>327.18992580402141</v>
      </c>
      <c r="DA19" s="155" t="s">
        <v>462</v>
      </c>
    </row>
    <row r="20" spans="1:105" ht="12" customHeight="1" x14ac:dyDescent="0.25">
      <c r="A20" s="131" t="s">
        <v>29</v>
      </c>
      <c r="B20" s="132">
        <f>IF(SER_hh_emi!B20=0,0,1000000*SER_hh_emi!B20/SER_hh_num!B20)</f>
        <v>0</v>
      </c>
      <c r="C20" s="132">
        <f>IF(SER_hh_emi!C20=0,0,1000000*SER_hh_emi!C20/SER_hh_num!C20)</f>
        <v>0</v>
      </c>
      <c r="D20" s="132">
        <f>IF(SER_hh_emi!D20=0,0,1000000*SER_hh_emi!D20/SER_hh_num!D20)</f>
        <v>0</v>
      </c>
      <c r="E20" s="132">
        <f>IF(SER_hh_emi!E20=0,0,1000000*SER_hh_emi!E20/SER_hh_num!E20)</f>
        <v>0</v>
      </c>
      <c r="F20" s="132">
        <f>IF(SER_hh_emi!F20=0,0,1000000*SER_hh_emi!F20/SER_hh_num!F20)</f>
        <v>0</v>
      </c>
      <c r="G20" s="132">
        <f>IF(SER_hh_emi!G20=0,0,1000000*SER_hh_emi!G20/SER_hh_num!G20)</f>
        <v>0</v>
      </c>
      <c r="H20" s="132">
        <f>IF(SER_hh_emi!H20=0,0,1000000*SER_hh_emi!H20/SER_hh_num!H20)</f>
        <v>0</v>
      </c>
      <c r="I20" s="132">
        <f>IF(SER_hh_emi!I20=0,0,1000000*SER_hh_emi!I20/SER_hh_num!I20)</f>
        <v>0</v>
      </c>
      <c r="J20" s="132">
        <f>IF(SER_hh_emi!J20=0,0,1000000*SER_hh_emi!J20/SER_hh_num!J20)</f>
        <v>0</v>
      </c>
      <c r="K20" s="132">
        <f>IF(SER_hh_emi!K20=0,0,1000000*SER_hh_emi!K20/SER_hh_num!K20)</f>
        <v>0</v>
      </c>
      <c r="L20" s="132">
        <f>IF(SER_hh_emi!L20=0,0,1000000*SER_hh_emi!L20/SER_hh_num!L20)</f>
        <v>0</v>
      </c>
      <c r="M20" s="132">
        <f>IF(SER_hh_emi!M20=0,0,1000000*SER_hh_emi!M20/SER_hh_num!M20)</f>
        <v>0</v>
      </c>
      <c r="N20" s="132">
        <f>IF(SER_hh_emi!N20=0,0,1000000*SER_hh_emi!N20/SER_hh_num!N20)</f>
        <v>0</v>
      </c>
      <c r="O20" s="132">
        <f>IF(SER_hh_emi!O20=0,0,1000000*SER_hh_emi!O20/SER_hh_num!O20)</f>
        <v>0</v>
      </c>
      <c r="P20" s="132">
        <f>IF(SER_hh_emi!P20=0,0,1000000*SER_hh_emi!P20/SER_hh_num!P20)</f>
        <v>0</v>
      </c>
      <c r="Q20" s="132">
        <f>IF(SER_hh_emi!Q20=0,0,1000000*SER_hh_emi!Q20/SER_hh_num!Q20)</f>
        <v>0</v>
      </c>
      <c r="R20" s="132">
        <f>IF(SER_hh_emi!R20=0,0,1000000*SER_hh_emi!R20/SER_hh_num!R20)</f>
        <v>0</v>
      </c>
      <c r="S20" s="132">
        <f>IF(SER_hh_emi!S20=0,0,1000000*SER_hh_emi!S20/SER_hh_num!S20)</f>
        <v>0</v>
      </c>
      <c r="T20" s="132">
        <f>IF(SER_hh_emi!T20=0,0,1000000*SER_hh_emi!T20/SER_hh_num!T20)</f>
        <v>0</v>
      </c>
      <c r="U20" s="132">
        <f>IF(SER_hh_emi!U20=0,0,1000000*SER_hh_emi!U20/SER_hh_num!U20)</f>
        <v>0</v>
      </c>
      <c r="V20" s="132">
        <f>IF(SER_hh_emi!V20=0,0,1000000*SER_hh_emi!V20/SER_hh_num!V20)</f>
        <v>0</v>
      </c>
      <c r="W20" s="132">
        <f>IF(SER_hh_emi!W20=0,0,1000000*SER_hh_emi!W20/SER_hh_num!W20)</f>
        <v>0</v>
      </c>
      <c r="X20" s="132">
        <f>IF(SER_hh_emi!X20=0,0,1000000*SER_hh_emi!X20/SER_hh_num!X20)</f>
        <v>0</v>
      </c>
      <c r="Y20" s="132">
        <f>IF(SER_hh_emi!Y20=0,0,1000000*SER_hh_emi!Y20/SER_hh_num!Y20)</f>
        <v>0</v>
      </c>
      <c r="DA20" s="156" t="s">
        <v>463</v>
      </c>
    </row>
    <row r="21" spans="1:105" s="2" customFormat="1" ht="12" customHeight="1" x14ac:dyDescent="0.25">
      <c r="A21" s="131" t="s">
        <v>52</v>
      </c>
      <c r="B21" s="132">
        <f>IF(SER_hh_emi!B21=0,0,1000000*SER_hh_emi!B21/SER_hh_num!B21)</f>
        <v>0</v>
      </c>
      <c r="C21" s="132">
        <f>IF(SER_hh_emi!C21=0,0,1000000*SER_hh_emi!C21/SER_hh_num!C21)</f>
        <v>0</v>
      </c>
      <c r="D21" s="132">
        <f>IF(SER_hh_emi!D21=0,0,1000000*SER_hh_emi!D21/SER_hh_num!D21)</f>
        <v>0</v>
      </c>
      <c r="E21" s="132">
        <f>IF(SER_hh_emi!E21=0,0,1000000*SER_hh_emi!E21/SER_hh_num!E21)</f>
        <v>0</v>
      </c>
      <c r="F21" s="132">
        <f>IF(SER_hh_emi!F21=0,0,1000000*SER_hh_emi!F21/SER_hh_num!F21)</f>
        <v>0</v>
      </c>
      <c r="G21" s="132">
        <f>IF(SER_hh_emi!G21=0,0,1000000*SER_hh_emi!G21/SER_hh_num!G21)</f>
        <v>0</v>
      </c>
      <c r="H21" s="132">
        <f>IF(SER_hh_emi!H21=0,0,1000000*SER_hh_emi!H21/SER_hh_num!H21)</f>
        <v>0</v>
      </c>
      <c r="I21" s="132">
        <f>IF(SER_hh_emi!I21=0,0,1000000*SER_hh_emi!I21/SER_hh_num!I21)</f>
        <v>0</v>
      </c>
      <c r="J21" s="132">
        <f>IF(SER_hh_emi!J21=0,0,1000000*SER_hh_emi!J21/SER_hh_num!J21)</f>
        <v>0</v>
      </c>
      <c r="K21" s="132">
        <f>IF(SER_hh_emi!K21=0,0,1000000*SER_hh_emi!K21/SER_hh_num!K21)</f>
        <v>0</v>
      </c>
      <c r="L21" s="132">
        <f>IF(SER_hh_emi!L21=0,0,1000000*SER_hh_emi!L21/SER_hh_num!L21)</f>
        <v>0</v>
      </c>
      <c r="M21" s="132">
        <f>IF(SER_hh_emi!M21=0,0,1000000*SER_hh_emi!M21/SER_hh_num!M21)</f>
        <v>0</v>
      </c>
      <c r="N21" s="132">
        <f>IF(SER_hh_emi!N21=0,0,1000000*SER_hh_emi!N21/SER_hh_num!N21)</f>
        <v>0</v>
      </c>
      <c r="O21" s="132">
        <f>IF(SER_hh_emi!O21=0,0,1000000*SER_hh_emi!O21/SER_hh_num!O21)</f>
        <v>0</v>
      </c>
      <c r="P21" s="132">
        <f>IF(SER_hh_emi!P21=0,0,1000000*SER_hh_emi!P21/SER_hh_num!P21)</f>
        <v>0</v>
      </c>
      <c r="Q21" s="132">
        <f>IF(SER_hh_emi!Q21=0,0,1000000*SER_hh_emi!Q21/SER_hh_num!Q21)</f>
        <v>0</v>
      </c>
      <c r="R21" s="132">
        <f>IF(SER_hh_emi!R21=0,0,1000000*SER_hh_emi!R21/SER_hh_num!R21)</f>
        <v>0</v>
      </c>
      <c r="S21" s="132">
        <f>IF(SER_hh_emi!S21=0,0,1000000*SER_hh_emi!S21/SER_hh_num!S21)</f>
        <v>0</v>
      </c>
      <c r="T21" s="132">
        <f>IF(SER_hh_emi!T21=0,0,1000000*SER_hh_emi!T21/SER_hh_num!T21)</f>
        <v>0</v>
      </c>
      <c r="U21" s="132">
        <f>IF(SER_hh_emi!U21=0,0,1000000*SER_hh_emi!U21/SER_hh_num!U21)</f>
        <v>0</v>
      </c>
      <c r="V21" s="132">
        <f>IF(SER_hh_emi!V21=0,0,1000000*SER_hh_emi!V21/SER_hh_num!V21)</f>
        <v>0</v>
      </c>
      <c r="W21" s="132">
        <f>IF(SER_hh_emi!W21=0,0,1000000*SER_hh_emi!W21/SER_hh_num!W21)</f>
        <v>0</v>
      </c>
      <c r="X21" s="132">
        <f>IF(SER_hh_emi!X21=0,0,1000000*SER_hh_emi!X21/SER_hh_num!X21)</f>
        <v>0</v>
      </c>
      <c r="Y21" s="132">
        <f>IF(SER_hh_emi!Y21=0,0,1000000*SER_hh_emi!Y21/SER_hh_num!Y21)</f>
        <v>0</v>
      </c>
      <c r="DA21" s="156" t="s">
        <v>464</v>
      </c>
    </row>
    <row r="22" spans="1:105" ht="12" customHeight="1" x14ac:dyDescent="0.25">
      <c r="A22" s="131" t="s">
        <v>161</v>
      </c>
      <c r="B22" s="132">
        <f>IF(SER_hh_emi!B22=0,0,1000000*SER_hh_emi!B22/SER_hh_num!B22)</f>
        <v>8262.3215236151809</v>
      </c>
      <c r="C22" s="132">
        <f>IF(SER_hh_emi!C22=0,0,1000000*SER_hh_emi!C22/SER_hh_num!C22)</f>
        <v>8225.5158975813065</v>
      </c>
      <c r="D22" s="132">
        <f>IF(SER_hh_emi!D22=0,0,1000000*SER_hh_emi!D22/SER_hh_num!D22)</f>
        <v>8328.7213899794478</v>
      </c>
      <c r="E22" s="132">
        <f>IF(SER_hh_emi!E22=0,0,1000000*SER_hh_emi!E22/SER_hh_num!E22)</f>
        <v>8341.5319963930142</v>
      </c>
      <c r="F22" s="132">
        <f>IF(SER_hh_emi!F22=0,0,1000000*SER_hh_emi!F22/SER_hh_num!F22)</f>
        <v>8284.7306459656393</v>
      </c>
      <c r="G22" s="132">
        <f>IF(SER_hh_emi!G22=0,0,1000000*SER_hh_emi!G22/SER_hh_num!G22)</f>
        <v>8212.6673433144842</v>
      </c>
      <c r="H22" s="132">
        <f>IF(SER_hh_emi!H22=0,0,1000000*SER_hh_emi!H22/SER_hh_num!H22)</f>
        <v>8274.8232480537827</v>
      </c>
      <c r="I22" s="132">
        <f>IF(SER_hh_emi!I22=0,0,1000000*SER_hh_emi!I22/SER_hh_num!I22)</f>
        <v>8199.54824709288</v>
      </c>
      <c r="J22" s="132">
        <f>IF(SER_hh_emi!J22=0,0,1000000*SER_hh_emi!J22/SER_hh_num!J22)</f>
        <v>8078.4359706656069</v>
      </c>
      <c r="K22" s="132">
        <f>IF(SER_hh_emi!K22=0,0,1000000*SER_hh_emi!K22/SER_hh_num!K22)</f>
        <v>7844.7692552625922</v>
      </c>
      <c r="L22" s="132">
        <f>IF(SER_hh_emi!L22=0,0,1000000*SER_hh_emi!L22/SER_hh_num!L22)</f>
        <v>8182.6551375613426</v>
      </c>
      <c r="M22" s="132">
        <f>IF(SER_hh_emi!M22=0,0,1000000*SER_hh_emi!M22/SER_hh_num!M22)</f>
        <v>8146.1183838504821</v>
      </c>
      <c r="N22" s="132">
        <f>IF(SER_hh_emi!N22=0,0,1000000*SER_hh_emi!N22/SER_hh_num!N22)</f>
        <v>8099.9899147362166</v>
      </c>
      <c r="O22" s="132">
        <f>IF(SER_hh_emi!O22=0,0,1000000*SER_hh_emi!O22/SER_hh_num!O22)</f>
        <v>8216.8792409519847</v>
      </c>
      <c r="P22" s="132">
        <f>IF(SER_hh_emi!P22=0,0,1000000*SER_hh_emi!P22/SER_hh_num!P22)</f>
        <v>8113.2329181516725</v>
      </c>
      <c r="Q22" s="132">
        <f>IF(SER_hh_emi!Q22=0,0,1000000*SER_hh_emi!Q22/SER_hh_num!Q22)</f>
        <v>8236.9026726826341</v>
      </c>
      <c r="R22" s="132">
        <f>IF(SER_hh_emi!R22=0,0,1000000*SER_hh_emi!R22/SER_hh_num!R22)</f>
        <v>8634.8185717119432</v>
      </c>
      <c r="S22" s="132">
        <f>IF(SER_hh_emi!S22=0,0,1000000*SER_hh_emi!S22/SER_hh_num!S22)</f>
        <v>8255.4465794981134</v>
      </c>
      <c r="T22" s="132">
        <f>IF(SER_hh_emi!T22=0,0,1000000*SER_hh_emi!T22/SER_hh_num!T22)</f>
        <v>7873.8104761746072</v>
      </c>
      <c r="U22" s="132">
        <f>IF(SER_hh_emi!U22=0,0,1000000*SER_hh_emi!U22/SER_hh_num!U22)</f>
        <v>8012.1526195541446</v>
      </c>
      <c r="V22" s="132">
        <f>IF(SER_hh_emi!V22=0,0,1000000*SER_hh_emi!V22/SER_hh_num!V22)</f>
        <v>7263.267238852146</v>
      </c>
      <c r="W22" s="132">
        <f>IF(SER_hh_emi!W22=0,0,1000000*SER_hh_emi!W22/SER_hh_num!W22)</f>
        <v>8173.2084959989661</v>
      </c>
      <c r="X22" s="132">
        <f>IF(SER_hh_emi!X22=0,0,1000000*SER_hh_emi!X22/SER_hh_num!X22)</f>
        <v>7527.9335336875201</v>
      </c>
      <c r="Y22" s="132">
        <f>IF(SER_hh_emi!Y22=0,0,1000000*SER_hh_emi!Y22/SER_hh_num!Y22)</f>
        <v>7061.4274593070686</v>
      </c>
      <c r="DA22" s="156" t="s">
        <v>465</v>
      </c>
    </row>
    <row r="23" spans="1:105" ht="12" customHeight="1" x14ac:dyDescent="0.25">
      <c r="A23" s="131" t="s">
        <v>149</v>
      </c>
      <c r="B23" s="132">
        <f>IF(SER_hh_emi!B23=0,0,1000000*SER_hh_emi!B23/SER_hh_num!B23)</f>
        <v>4531.4227978677327</v>
      </c>
      <c r="C23" s="132">
        <f>IF(SER_hh_emi!C23=0,0,1000000*SER_hh_emi!C23/SER_hh_num!C23)</f>
        <v>4865.0397283034781</v>
      </c>
      <c r="D23" s="132">
        <f>IF(SER_hh_emi!D23=0,0,1000000*SER_hh_emi!D23/SER_hh_num!D23)</f>
        <v>4652.9135040514784</v>
      </c>
      <c r="E23" s="132">
        <f>IF(SER_hh_emi!E23=0,0,1000000*SER_hh_emi!E23/SER_hh_num!E23)</f>
        <v>4426.0079538200553</v>
      </c>
      <c r="F23" s="132">
        <f>IF(SER_hh_emi!F23=0,0,1000000*SER_hh_emi!F23/SER_hh_num!F23)</f>
        <v>4273.6648413138137</v>
      </c>
      <c r="G23" s="132">
        <f>IF(SER_hh_emi!G23=0,0,1000000*SER_hh_emi!G23/SER_hh_num!G23)</f>
        <v>4387.3773444037479</v>
      </c>
      <c r="H23" s="132">
        <f>IF(SER_hh_emi!H23=0,0,1000000*SER_hh_emi!H23/SER_hh_num!H23)</f>
        <v>4265.469787746134</v>
      </c>
      <c r="I23" s="132">
        <f>IF(SER_hh_emi!I23=0,0,1000000*SER_hh_emi!I23/SER_hh_num!I23)</f>
        <v>4170.1978335650419</v>
      </c>
      <c r="J23" s="132">
        <f>IF(SER_hh_emi!J23=0,0,1000000*SER_hh_emi!J23/SER_hh_num!J23)</f>
        <v>4140.7320040576324</v>
      </c>
      <c r="K23" s="132">
        <f>IF(SER_hh_emi!K23=0,0,1000000*SER_hh_emi!K23/SER_hh_num!K23)</f>
        <v>4136.3699605369575</v>
      </c>
      <c r="L23" s="132">
        <f>IF(SER_hh_emi!L23=0,0,1000000*SER_hh_emi!L23/SER_hh_num!L23)</f>
        <v>4165.6688074349868</v>
      </c>
      <c r="M23" s="132">
        <f>IF(SER_hh_emi!M23=0,0,1000000*SER_hh_emi!M23/SER_hh_num!M23)</f>
        <v>4102.942024789274</v>
      </c>
      <c r="N23" s="132">
        <f>IF(SER_hh_emi!N23=0,0,1000000*SER_hh_emi!N23/SER_hh_num!N23)</f>
        <v>3415.7859029320434</v>
      </c>
      <c r="O23" s="132">
        <f>IF(SER_hh_emi!O23=0,0,1000000*SER_hh_emi!O23/SER_hh_num!O23)</f>
        <v>3950.2964832118978</v>
      </c>
      <c r="P23" s="132">
        <f>IF(SER_hh_emi!P23=0,0,1000000*SER_hh_emi!P23/SER_hh_num!P23)</f>
        <v>3718.9542106882668</v>
      </c>
      <c r="Q23" s="132">
        <f>IF(SER_hh_emi!Q23=0,0,1000000*SER_hh_emi!Q23/SER_hh_num!Q23)</f>
        <v>3864.9149375096208</v>
      </c>
      <c r="R23" s="132">
        <f>IF(SER_hh_emi!R23=0,0,1000000*SER_hh_emi!R23/SER_hh_num!R23)</f>
        <v>3835.3894014401708</v>
      </c>
      <c r="S23" s="132">
        <f>IF(SER_hh_emi!S23=0,0,1000000*SER_hh_emi!S23/SER_hh_num!S23)</f>
        <v>3608.0259161762815</v>
      </c>
      <c r="T23" s="132">
        <f>IF(SER_hh_emi!T23=0,0,1000000*SER_hh_emi!T23/SER_hh_num!T23)</f>
        <v>3076.9432290451286</v>
      </c>
      <c r="U23" s="132">
        <f>IF(SER_hh_emi!U23=0,0,1000000*SER_hh_emi!U23/SER_hh_num!U23)</f>
        <v>3149.1526922424086</v>
      </c>
      <c r="V23" s="132">
        <f>IF(SER_hh_emi!V23=0,0,1000000*SER_hh_emi!V23/SER_hh_num!V23)</f>
        <v>2895.5466624430028</v>
      </c>
      <c r="W23" s="132">
        <f>IF(SER_hh_emi!W23=0,0,1000000*SER_hh_emi!W23/SER_hh_num!W23)</f>
        <v>3689.2357840301211</v>
      </c>
      <c r="X23" s="132">
        <f>IF(SER_hh_emi!X23=0,0,1000000*SER_hh_emi!X23/SER_hh_num!X23)</f>
        <v>3092.5405080289929</v>
      </c>
      <c r="Y23" s="132">
        <f>IF(SER_hh_emi!Y23=0,0,1000000*SER_hh_emi!Y23/SER_hh_num!Y23)</f>
        <v>1967.796634679582</v>
      </c>
      <c r="DA23" s="156" t="s">
        <v>466</v>
      </c>
    </row>
    <row r="24" spans="1:105" ht="12" customHeight="1" x14ac:dyDescent="0.25">
      <c r="A24" s="131" t="s">
        <v>128</v>
      </c>
      <c r="B24" s="132">
        <f>IF(SER_hh_emi!B24=0,0,1000000*SER_hh_emi!B24/SER_hh_num!B24)</f>
        <v>0</v>
      </c>
      <c r="C24" s="132">
        <f>IF(SER_hh_emi!C24=0,0,1000000*SER_hh_emi!C24/SER_hh_num!C24)</f>
        <v>0</v>
      </c>
      <c r="D24" s="132">
        <f>IF(SER_hh_emi!D24=0,0,1000000*SER_hh_emi!D24/SER_hh_num!D24)</f>
        <v>0</v>
      </c>
      <c r="E24" s="132">
        <f>IF(SER_hh_emi!E24=0,0,1000000*SER_hh_emi!E24/SER_hh_num!E24)</f>
        <v>0</v>
      </c>
      <c r="F24" s="132">
        <f>IF(SER_hh_emi!F24=0,0,1000000*SER_hh_emi!F24/SER_hh_num!F24)</f>
        <v>0</v>
      </c>
      <c r="G24" s="132">
        <f>IF(SER_hh_emi!G24=0,0,1000000*SER_hh_emi!G24/SER_hh_num!G24)</f>
        <v>0</v>
      </c>
      <c r="H24" s="132">
        <f>IF(SER_hh_emi!H24=0,0,1000000*SER_hh_emi!H24/SER_hh_num!H24)</f>
        <v>0</v>
      </c>
      <c r="I24" s="132">
        <f>IF(SER_hh_emi!I24=0,0,1000000*SER_hh_emi!I24/SER_hh_num!I24)</f>
        <v>0</v>
      </c>
      <c r="J24" s="132">
        <f>IF(SER_hh_emi!J24=0,0,1000000*SER_hh_emi!J24/SER_hh_num!J24)</f>
        <v>757.66942277413307</v>
      </c>
      <c r="K24" s="132">
        <f>IF(SER_hh_emi!K24=0,0,1000000*SER_hh_emi!K24/SER_hh_num!K24)</f>
        <v>246.33812760458611</v>
      </c>
      <c r="L24" s="132">
        <f>IF(SER_hh_emi!L24=0,0,1000000*SER_hh_emi!L24/SER_hh_num!L24)</f>
        <v>279.60128512966713</v>
      </c>
      <c r="M24" s="132">
        <f>IF(SER_hh_emi!M24=0,0,1000000*SER_hh_emi!M24/SER_hh_num!M24)</f>
        <v>357.32730303935995</v>
      </c>
      <c r="N24" s="132">
        <f>IF(SER_hh_emi!N24=0,0,1000000*SER_hh_emi!N24/SER_hh_num!N24)</f>
        <v>243.70703205516287</v>
      </c>
      <c r="O24" s="132">
        <f>IF(SER_hh_emi!O24=0,0,1000000*SER_hh_emi!O24/SER_hh_num!O24)</f>
        <v>76.619691934949614</v>
      </c>
      <c r="P24" s="132">
        <f>IF(SER_hh_emi!P24=0,0,1000000*SER_hh_emi!P24/SER_hh_num!P24)</f>
        <v>167.91454977477287</v>
      </c>
      <c r="Q24" s="132">
        <f>IF(SER_hh_emi!Q24=0,0,1000000*SER_hh_emi!Q24/SER_hh_num!Q24)</f>
        <v>185.23286189754691</v>
      </c>
      <c r="R24" s="132">
        <f>IF(SER_hh_emi!R24=0,0,1000000*SER_hh_emi!R24/SER_hh_num!R24)</f>
        <v>201.80174796805602</v>
      </c>
      <c r="S24" s="132">
        <f>IF(SER_hh_emi!S24=0,0,1000000*SER_hh_emi!S24/SER_hh_num!S24)</f>
        <v>177.88378068686606</v>
      </c>
      <c r="T24" s="132">
        <f>IF(SER_hh_emi!T24=0,0,1000000*SER_hh_emi!T24/SER_hh_num!T24)</f>
        <v>209.29979998879415</v>
      </c>
      <c r="U24" s="132">
        <f>IF(SER_hh_emi!U24=0,0,1000000*SER_hh_emi!U24/SER_hh_num!U24)</f>
        <v>154.34505456961688</v>
      </c>
      <c r="V24" s="132">
        <f>IF(SER_hh_emi!V24=0,0,1000000*SER_hh_emi!V24/SER_hh_num!V24)</f>
        <v>184.69946615474592</v>
      </c>
      <c r="W24" s="132">
        <f>IF(SER_hh_emi!W24=0,0,1000000*SER_hh_emi!W24/SER_hh_num!W24)</f>
        <v>223.8805071774097</v>
      </c>
      <c r="X24" s="132">
        <f>IF(SER_hh_emi!X24=0,0,1000000*SER_hh_emi!X24/SER_hh_num!X24)</f>
        <v>1540.145770520794</v>
      </c>
      <c r="Y24" s="132">
        <f>IF(SER_hh_emi!Y24=0,0,1000000*SER_hh_emi!Y24/SER_hh_num!Y24)</f>
        <v>170.6007978720541</v>
      </c>
      <c r="DA24" s="156" t="s">
        <v>467</v>
      </c>
    </row>
    <row r="25" spans="1:105" ht="12" customHeight="1" x14ac:dyDescent="0.25">
      <c r="A25" s="131" t="s">
        <v>162</v>
      </c>
      <c r="B25" s="132">
        <f>IF(SER_hh_emi!B25=0,0,1000000*SER_hh_emi!B25/SER_hh_num!B25)</f>
        <v>0</v>
      </c>
      <c r="C25" s="132">
        <f>IF(SER_hh_emi!C25=0,0,1000000*SER_hh_emi!C25/SER_hh_num!C25)</f>
        <v>0</v>
      </c>
      <c r="D25" s="132">
        <f>IF(SER_hh_emi!D25=0,0,1000000*SER_hh_emi!D25/SER_hh_num!D25)</f>
        <v>0</v>
      </c>
      <c r="E25" s="132">
        <f>IF(SER_hh_emi!E25=0,0,1000000*SER_hh_emi!E25/SER_hh_num!E25)</f>
        <v>0</v>
      </c>
      <c r="F25" s="132">
        <f>IF(SER_hh_emi!F25=0,0,1000000*SER_hh_emi!F25/SER_hh_num!F25)</f>
        <v>0</v>
      </c>
      <c r="G25" s="132">
        <f>IF(SER_hh_emi!G25=0,0,1000000*SER_hh_emi!G25/SER_hh_num!G25)</f>
        <v>0</v>
      </c>
      <c r="H25" s="132">
        <f>IF(SER_hh_emi!H25=0,0,1000000*SER_hh_emi!H25/SER_hh_num!H25)</f>
        <v>0</v>
      </c>
      <c r="I25" s="132">
        <f>IF(SER_hh_emi!I25=0,0,1000000*SER_hh_emi!I25/SER_hh_num!I25)</f>
        <v>0</v>
      </c>
      <c r="J25" s="132">
        <f>IF(SER_hh_emi!J25=0,0,1000000*SER_hh_emi!J25/SER_hh_num!J25)</f>
        <v>0</v>
      </c>
      <c r="K25" s="132">
        <f>IF(SER_hh_emi!K25=0,0,1000000*SER_hh_emi!K25/SER_hh_num!K25)</f>
        <v>0</v>
      </c>
      <c r="L25" s="132">
        <f>IF(SER_hh_emi!L25=0,0,1000000*SER_hh_emi!L25/SER_hh_num!L25)</f>
        <v>0</v>
      </c>
      <c r="M25" s="132">
        <f>IF(SER_hh_emi!M25=0,0,1000000*SER_hh_emi!M25/SER_hh_num!M25)</f>
        <v>0</v>
      </c>
      <c r="N25" s="132">
        <f>IF(SER_hh_emi!N25=0,0,1000000*SER_hh_emi!N25/SER_hh_num!N25)</f>
        <v>0</v>
      </c>
      <c r="O25" s="132">
        <f>IF(SER_hh_emi!O25=0,0,1000000*SER_hh_emi!O25/SER_hh_num!O25)</f>
        <v>0</v>
      </c>
      <c r="P25" s="132">
        <f>IF(SER_hh_emi!P25=0,0,1000000*SER_hh_emi!P25/SER_hh_num!P25)</f>
        <v>0</v>
      </c>
      <c r="Q25" s="132">
        <f>IF(SER_hh_emi!Q25=0,0,1000000*SER_hh_emi!Q25/SER_hh_num!Q25)</f>
        <v>0</v>
      </c>
      <c r="R25" s="132">
        <f>IF(SER_hh_emi!R25=0,0,1000000*SER_hh_emi!R25/SER_hh_num!R25)</f>
        <v>0</v>
      </c>
      <c r="S25" s="132">
        <f>IF(SER_hh_emi!S25=0,0,1000000*SER_hh_emi!S25/SER_hh_num!S25)</f>
        <v>0</v>
      </c>
      <c r="T25" s="132">
        <f>IF(SER_hh_emi!T25=0,0,1000000*SER_hh_emi!T25/SER_hh_num!T25)</f>
        <v>0</v>
      </c>
      <c r="U25" s="132">
        <f>IF(SER_hh_emi!U25=0,0,1000000*SER_hh_emi!U25/SER_hh_num!U25)</f>
        <v>0</v>
      </c>
      <c r="V25" s="132">
        <f>IF(SER_hh_emi!V25=0,0,1000000*SER_hh_emi!V25/SER_hh_num!V25)</f>
        <v>0</v>
      </c>
      <c r="W25" s="132">
        <f>IF(SER_hh_emi!W25=0,0,1000000*SER_hh_emi!W25/SER_hh_num!W25)</f>
        <v>0</v>
      </c>
      <c r="X25" s="132">
        <f>IF(SER_hh_emi!X25=0,0,1000000*SER_hh_emi!X25/SER_hh_num!X25)</f>
        <v>0</v>
      </c>
      <c r="Y25" s="132">
        <f>IF(SER_hh_emi!Y25=0,0,1000000*SER_hh_emi!Y25/SER_hh_num!Y25)</f>
        <v>0</v>
      </c>
      <c r="DA25" s="156" t="s">
        <v>468</v>
      </c>
    </row>
    <row r="26" spans="1:105" ht="12" customHeight="1" x14ac:dyDescent="0.25">
      <c r="A26" s="131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X26" s="65">
        <f>IF(SER_hh_emi!X26=0,0,1000000*SER_hh_emi!X26/SER_hh_num!X26)</f>
        <v>0</v>
      </c>
      <c r="Y26" s="65">
        <f>IF(SER_hh_emi!Y26=0,0,1000000*SER_hh_emi!Y26/SER_hh_num!Y26)</f>
        <v>0</v>
      </c>
      <c r="DA26" s="109" t="s">
        <v>469</v>
      </c>
    </row>
    <row r="27" spans="1:105" ht="12" customHeight="1" x14ac:dyDescent="0.25">
      <c r="A27" s="144" t="s">
        <v>86</v>
      </c>
      <c r="B27" s="145">
        <f>IF(SER_hh_emi!B27=0,0,1000000*SER_hh_emi!B27/SER_hh_num!B19)</f>
        <v>0</v>
      </c>
      <c r="C27" s="145">
        <f>IF(SER_hh_emi!C27=0,0,1000000*SER_hh_emi!C27/SER_hh_num!C19)</f>
        <v>0</v>
      </c>
      <c r="D27" s="145">
        <f>IF(SER_hh_emi!D27=0,0,1000000*SER_hh_emi!D27/SER_hh_num!D19)</f>
        <v>0</v>
      </c>
      <c r="E27" s="145">
        <f>IF(SER_hh_emi!E27=0,0,1000000*SER_hh_emi!E27/SER_hh_num!E19)</f>
        <v>0</v>
      </c>
      <c r="F27" s="145">
        <f>IF(SER_hh_emi!F27=0,0,1000000*SER_hh_emi!F27/SER_hh_num!F19)</f>
        <v>0</v>
      </c>
      <c r="G27" s="145">
        <f>IF(SER_hh_emi!G27=0,0,1000000*SER_hh_emi!G27/SER_hh_num!G19)</f>
        <v>0</v>
      </c>
      <c r="H27" s="145">
        <f>IF(SER_hh_emi!H27=0,0,1000000*SER_hh_emi!H27/SER_hh_num!H19)</f>
        <v>0</v>
      </c>
      <c r="I27" s="145">
        <f>IF(SER_hh_emi!I27=0,0,1000000*SER_hh_emi!I27/SER_hh_num!I19)</f>
        <v>0</v>
      </c>
      <c r="J27" s="145">
        <f>IF(SER_hh_emi!J27=0,0,1000000*SER_hh_emi!J27/SER_hh_num!J19)</f>
        <v>0</v>
      </c>
      <c r="K27" s="145">
        <f>IF(SER_hh_emi!K27=0,0,1000000*SER_hh_emi!K27/SER_hh_num!K19)</f>
        <v>0</v>
      </c>
      <c r="L27" s="145">
        <f>IF(SER_hh_emi!L27=0,0,1000000*SER_hh_emi!L27/SER_hh_num!L19)</f>
        <v>0</v>
      </c>
      <c r="M27" s="145">
        <f>IF(SER_hh_emi!M27=0,0,1000000*SER_hh_emi!M27/SER_hh_num!M19)</f>
        <v>0</v>
      </c>
      <c r="N27" s="145">
        <f>IF(SER_hh_emi!N27=0,0,1000000*SER_hh_emi!N27/SER_hh_num!N19)</f>
        <v>0</v>
      </c>
      <c r="O27" s="145">
        <f>IF(SER_hh_emi!O27=0,0,1000000*SER_hh_emi!O27/SER_hh_num!O19)</f>
        <v>0</v>
      </c>
      <c r="P27" s="145">
        <f>IF(SER_hh_emi!P27=0,0,1000000*SER_hh_emi!P27/SER_hh_num!P19)</f>
        <v>0</v>
      </c>
      <c r="Q27" s="145">
        <f>IF(SER_hh_emi!Q27=0,0,1000000*SER_hh_emi!Q27/SER_hh_num!Q19)</f>
        <v>0</v>
      </c>
      <c r="R27" s="145">
        <f>IF(SER_hh_emi!R27=0,0,1000000*SER_hh_emi!R27/SER_hh_num!R19)</f>
        <v>0</v>
      </c>
      <c r="S27" s="145">
        <f>IF(SER_hh_emi!S27=0,0,1000000*SER_hh_emi!S27/SER_hh_num!S19)</f>
        <v>0</v>
      </c>
      <c r="T27" s="145">
        <f>IF(SER_hh_emi!T27=0,0,1000000*SER_hh_emi!T27/SER_hh_num!T19)</f>
        <v>0</v>
      </c>
      <c r="U27" s="145">
        <f>IF(SER_hh_emi!U27=0,0,1000000*SER_hh_emi!U27/SER_hh_num!U19)</f>
        <v>0</v>
      </c>
      <c r="V27" s="145">
        <f>IF(SER_hh_emi!V27=0,0,1000000*SER_hh_emi!V27/SER_hh_num!V19)</f>
        <v>0</v>
      </c>
      <c r="W27" s="145">
        <f>IF(SER_hh_emi!W27=0,0,1000000*SER_hh_emi!W27/SER_hh_num!W19)</f>
        <v>0</v>
      </c>
      <c r="X27" s="145">
        <f>IF(SER_hh_emi!X27=0,0,1000000*SER_hh_emi!X27/SER_hh_num!X19)</f>
        <v>0</v>
      </c>
      <c r="Y27" s="145">
        <f>IF(SER_hh_emi!Y27=0,0,1000000*SER_hh_emi!Y27/SER_hh_num!Y19)</f>
        <v>0</v>
      </c>
      <c r="DA27" s="158" t="s">
        <v>470</v>
      </c>
    </row>
    <row r="28" spans="1:105" ht="12" customHeight="1" x14ac:dyDescent="0.25">
      <c r="A28" s="78" t="s">
        <v>85</v>
      </c>
      <c r="B28" s="146">
        <f>IF(SER_hh_emi!B27=0,0,1000000*SER_hh_emi!B27/SER_hh_num!B27)</f>
        <v>0</v>
      </c>
      <c r="C28" s="146">
        <f>IF(SER_hh_emi!C27=0,0,1000000*SER_hh_emi!C27/SER_hh_num!C27)</f>
        <v>0</v>
      </c>
      <c r="D28" s="146">
        <f>IF(SER_hh_emi!D27=0,0,1000000*SER_hh_emi!D27/SER_hh_num!D27)</f>
        <v>0</v>
      </c>
      <c r="E28" s="146">
        <f>IF(SER_hh_emi!E27=0,0,1000000*SER_hh_emi!E27/SER_hh_num!E27)</f>
        <v>0</v>
      </c>
      <c r="F28" s="146">
        <f>IF(SER_hh_emi!F27=0,0,1000000*SER_hh_emi!F27/SER_hh_num!F27)</f>
        <v>0</v>
      </c>
      <c r="G28" s="146">
        <f>IF(SER_hh_emi!G27=0,0,1000000*SER_hh_emi!G27/SER_hh_num!G27)</f>
        <v>0</v>
      </c>
      <c r="H28" s="146">
        <f>IF(SER_hh_emi!H27=0,0,1000000*SER_hh_emi!H27/SER_hh_num!H27)</f>
        <v>0</v>
      </c>
      <c r="I28" s="146">
        <f>IF(SER_hh_emi!I27=0,0,1000000*SER_hh_emi!I27/SER_hh_num!I27)</f>
        <v>0</v>
      </c>
      <c r="J28" s="146">
        <f>IF(SER_hh_emi!J27=0,0,1000000*SER_hh_emi!J27/SER_hh_num!J27)</f>
        <v>0</v>
      </c>
      <c r="K28" s="146">
        <f>IF(SER_hh_emi!K27=0,0,1000000*SER_hh_emi!K27/SER_hh_num!K27)</f>
        <v>0</v>
      </c>
      <c r="L28" s="146">
        <f>IF(SER_hh_emi!L27=0,0,1000000*SER_hh_emi!L27/SER_hh_num!L27)</f>
        <v>0</v>
      </c>
      <c r="M28" s="146">
        <f>IF(SER_hh_emi!M27=0,0,1000000*SER_hh_emi!M27/SER_hh_num!M27)</f>
        <v>0</v>
      </c>
      <c r="N28" s="146">
        <f>IF(SER_hh_emi!N27=0,0,1000000*SER_hh_emi!N27/SER_hh_num!N27)</f>
        <v>0</v>
      </c>
      <c r="O28" s="146">
        <f>IF(SER_hh_emi!O27=0,0,1000000*SER_hh_emi!O27/SER_hh_num!O27)</f>
        <v>0</v>
      </c>
      <c r="P28" s="146">
        <f>IF(SER_hh_emi!P27=0,0,1000000*SER_hh_emi!P27/SER_hh_num!P27)</f>
        <v>0</v>
      </c>
      <c r="Q28" s="146">
        <f>IF(SER_hh_emi!Q27=0,0,1000000*SER_hh_emi!Q27/SER_hh_num!Q27)</f>
        <v>0</v>
      </c>
      <c r="R28" s="146">
        <f>IF(SER_hh_emi!R27=0,0,1000000*SER_hh_emi!R27/SER_hh_num!R27)</f>
        <v>0</v>
      </c>
      <c r="S28" s="146">
        <f>IF(SER_hh_emi!S27=0,0,1000000*SER_hh_emi!S27/SER_hh_num!S27)</f>
        <v>0</v>
      </c>
      <c r="T28" s="146">
        <f>IF(SER_hh_emi!T27=0,0,1000000*SER_hh_emi!T27/SER_hh_num!T27)</f>
        <v>0</v>
      </c>
      <c r="U28" s="146">
        <f>IF(SER_hh_emi!U27=0,0,1000000*SER_hh_emi!U27/SER_hh_num!U27)</f>
        <v>0</v>
      </c>
      <c r="V28" s="146">
        <f>IF(SER_hh_emi!V27=0,0,1000000*SER_hh_emi!V27/SER_hh_num!V27)</f>
        <v>0</v>
      </c>
      <c r="W28" s="146">
        <f>IF(SER_hh_emi!W27=0,0,1000000*SER_hh_emi!W27/SER_hh_num!W27)</f>
        <v>0</v>
      </c>
      <c r="X28" s="146">
        <f>IF(SER_hh_emi!X27=0,0,1000000*SER_hh_emi!X27/SER_hh_num!X27)</f>
        <v>0</v>
      </c>
      <c r="Y28" s="146">
        <f>IF(SER_hh_emi!Y27=0,0,1000000*SER_hh_emi!Y27/SER_hh_num!Y27)</f>
        <v>0</v>
      </c>
      <c r="DA28" s="159"/>
    </row>
    <row r="29" spans="1:105" ht="12.95" customHeight="1" x14ac:dyDescent="0.25">
      <c r="A29" s="129" t="s">
        <v>34</v>
      </c>
      <c r="B29" s="130">
        <f>IF(SER_hh_emi!B29=0,0,1000000*SER_hh_emi!B29/SER_hh_num!B29)</f>
        <v>82.53010445769138</v>
      </c>
      <c r="C29" s="130">
        <f>IF(SER_hh_emi!C29=0,0,1000000*SER_hh_emi!C29/SER_hh_num!C29)</f>
        <v>88.523113571619533</v>
      </c>
      <c r="D29" s="130">
        <f>IF(SER_hh_emi!D29=0,0,1000000*SER_hh_emi!D29/SER_hh_num!D29)</f>
        <v>86.48065461634711</v>
      </c>
      <c r="E29" s="130">
        <f>IF(SER_hh_emi!E29=0,0,1000000*SER_hh_emi!E29/SER_hh_num!E29)</f>
        <v>83.71896411713962</v>
      </c>
      <c r="F29" s="130">
        <f>IF(SER_hh_emi!F29=0,0,1000000*SER_hh_emi!F29/SER_hh_num!F29)</f>
        <v>80.861670181320605</v>
      </c>
      <c r="G29" s="130">
        <f>IF(SER_hh_emi!G29=0,0,1000000*SER_hh_emi!G29/SER_hh_num!G29)</f>
        <v>82.167187278217853</v>
      </c>
      <c r="H29" s="130">
        <f>IF(SER_hh_emi!H29=0,0,1000000*SER_hh_emi!H29/SER_hh_num!H29)</f>
        <v>81.791676888700266</v>
      </c>
      <c r="I29" s="130">
        <f>IF(SER_hh_emi!I29=0,0,1000000*SER_hh_emi!I29/SER_hh_num!I29)</f>
        <v>78.176961400697721</v>
      </c>
      <c r="J29" s="130">
        <f>IF(SER_hh_emi!J29=0,0,1000000*SER_hh_emi!J29/SER_hh_num!J29)</f>
        <v>75.766820546635529</v>
      </c>
      <c r="K29" s="130">
        <f>IF(SER_hh_emi!K29=0,0,1000000*SER_hh_emi!K29/SER_hh_num!K29)</f>
        <v>71.381646258901569</v>
      </c>
      <c r="L29" s="130">
        <f>IF(SER_hh_emi!L29=0,0,1000000*SER_hh_emi!L29/SER_hh_num!L29)</f>
        <v>68.453716403905958</v>
      </c>
      <c r="M29" s="130">
        <f>IF(SER_hh_emi!M29=0,0,1000000*SER_hh_emi!M29/SER_hh_num!M29)</f>
        <v>61.579580817279442</v>
      </c>
      <c r="N29" s="130">
        <f>IF(SER_hh_emi!N29=0,0,1000000*SER_hh_emi!N29/SER_hh_num!N29)</f>
        <v>50.031671936502605</v>
      </c>
      <c r="O29" s="130">
        <f>IF(SER_hh_emi!O29=0,0,1000000*SER_hh_emi!O29/SER_hh_num!O29)</f>
        <v>57.744130301991774</v>
      </c>
      <c r="P29" s="130">
        <f>IF(SER_hh_emi!P29=0,0,1000000*SER_hh_emi!P29/SER_hh_num!P29)</f>
        <v>51.765901040223035</v>
      </c>
      <c r="Q29" s="130">
        <f>IF(SER_hh_emi!Q29=0,0,1000000*SER_hh_emi!Q29/SER_hh_num!Q29)</f>
        <v>52.959329185411811</v>
      </c>
      <c r="R29" s="130">
        <f>IF(SER_hh_emi!R29=0,0,1000000*SER_hh_emi!R29/SER_hh_num!R29)</f>
        <v>51.709146659456927</v>
      </c>
      <c r="S29" s="130">
        <f>IF(SER_hh_emi!S29=0,0,1000000*SER_hh_emi!S29/SER_hh_num!S29)</f>
        <v>47.287155947864676</v>
      </c>
      <c r="T29" s="130">
        <f>IF(SER_hh_emi!T29=0,0,1000000*SER_hh_emi!T29/SER_hh_num!T29)</f>
        <v>39.086433470347529</v>
      </c>
      <c r="U29" s="130">
        <f>IF(SER_hh_emi!U29=0,0,1000000*SER_hh_emi!U29/SER_hh_num!U29)</f>
        <v>39.61813023615462</v>
      </c>
      <c r="V29" s="130">
        <f>IF(SER_hh_emi!V29=0,0,1000000*SER_hh_emi!V29/SER_hh_num!V29)</f>
        <v>36.850788632030444</v>
      </c>
      <c r="W29" s="130">
        <f>IF(SER_hh_emi!W29=0,0,1000000*SER_hh_emi!W29/SER_hh_num!W29)</f>
        <v>47.950699721109501</v>
      </c>
      <c r="X29" s="130">
        <f>IF(SER_hh_emi!X29=0,0,1000000*SER_hh_emi!X29/SER_hh_num!X29)</f>
        <v>37.76750004539884</v>
      </c>
      <c r="Y29" s="130">
        <f>IF(SER_hh_emi!Y29=0,0,1000000*SER_hh_emi!Y29/SER_hh_num!Y29)</f>
        <v>20.720485983798277</v>
      </c>
      <c r="DA29" s="155" t="s">
        <v>471</v>
      </c>
    </row>
    <row r="30" spans="1:105" ht="12" customHeight="1" x14ac:dyDescent="0.25">
      <c r="A30" s="131" t="s">
        <v>52</v>
      </c>
      <c r="B30" s="132">
        <f>IF(SER_hh_emi!B30=0,0,1000000*SER_hh_emi!B30/SER_hh_num!B30)</f>
        <v>0</v>
      </c>
      <c r="C30" s="132">
        <f>IF(SER_hh_emi!C30=0,0,1000000*SER_hh_emi!C30/SER_hh_num!C30)</f>
        <v>0</v>
      </c>
      <c r="D30" s="132">
        <f>IF(SER_hh_emi!D30=0,0,1000000*SER_hh_emi!D30/SER_hh_num!D30)</f>
        <v>0</v>
      </c>
      <c r="E30" s="132">
        <f>IF(SER_hh_emi!E30=0,0,1000000*SER_hh_emi!E30/SER_hh_num!E30)</f>
        <v>0</v>
      </c>
      <c r="F30" s="132">
        <f>IF(SER_hh_emi!F30=0,0,1000000*SER_hh_emi!F30/SER_hh_num!F30)</f>
        <v>0</v>
      </c>
      <c r="G30" s="132">
        <f>IF(SER_hh_emi!G30=0,0,1000000*SER_hh_emi!G30/SER_hh_num!G30)</f>
        <v>0</v>
      </c>
      <c r="H30" s="132">
        <f>IF(SER_hh_emi!H30=0,0,1000000*SER_hh_emi!H30/SER_hh_num!H30)</f>
        <v>0</v>
      </c>
      <c r="I30" s="132">
        <f>IF(SER_hh_emi!I30=0,0,1000000*SER_hh_emi!I30/SER_hh_num!I30)</f>
        <v>0</v>
      </c>
      <c r="J30" s="132">
        <f>IF(SER_hh_emi!J30=0,0,1000000*SER_hh_emi!J30/SER_hh_num!J30)</f>
        <v>0</v>
      </c>
      <c r="K30" s="132">
        <f>IF(SER_hh_emi!K30=0,0,1000000*SER_hh_emi!K30/SER_hh_num!K30)</f>
        <v>0</v>
      </c>
      <c r="L30" s="132">
        <f>IF(SER_hh_emi!L30=0,0,1000000*SER_hh_emi!L30/SER_hh_num!L30)</f>
        <v>0</v>
      </c>
      <c r="M30" s="132">
        <f>IF(SER_hh_emi!M30=0,0,1000000*SER_hh_emi!M30/SER_hh_num!M30)</f>
        <v>0</v>
      </c>
      <c r="N30" s="132">
        <f>IF(SER_hh_emi!N30=0,0,1000000*SER_hh_emi!N30/SER_hh_num!N30)</f>
        <v>0</v>
      </c>
      <c r="O30" s="132">
        <f>IF(SER_hh_emi!O30=0,0,1000000*SER_hh_emi!O30/SER_hh_num!O30)</f>
        <v>0</v>
      </c>
      <c r="P30" s="132">
        <f>IF(SER_hh_emi!P30=0,0,1000000*SER_hh_emi!P30/SER_hh_num!P30)</f>
        <v>0</v>
      </c>
      <c r="Q30" s="132">
        <f>IF(SER_hh_emi!Q30=0,0,1000000*SER_hh_emi!Q30/SER_hh_num!Q30)</f>
        <v>0</v>
      </c>
      <c r="R30" s="132">
        <f>IF(SER_hh_emi!R30=0,0,1000000*SER_hh_emi!R30/SER_hh_num!R30)</f>
        <v>0</v>
      </c>
      <c r="S30" s="132">
        <f>IF(SER_hh_emi!S30=0,0,1000000*SER_hh_emi!S30/SER_hh_num!S30)</f>
        <v>0</v>
      </c>
      <c r="T30" s="132">
        <f>IF(SER_hh_emi!T30=0,0,1000000*SER_hh_emi!T30/SER_hh_num!T30)</f>
        <v>0</v>
      </c>
      <c r="U30" s="132">
        <f>IF(SER_hh_emi!U30=0,0,1000000*SER_hh_emi!U30/SER_hh_num!U30)</f>
        <v>0</v>
      </c>
      <c r="V30" s="132">
        <f>IF(SER_hh_emi!V30=0,0,1000000*SER_hh_emi!V30/SER_hh_num!V30)</f>
        <v>0</v>
      </c>
      <c r="W30" s="132">
        <f>IF(SER_hh_emi!W30=0,0,1000000*SER_hh_emi!W30/SER_hh_num!W30)</f>
        <v>0</v>
      </c>
      <c r="X30" s="132">
        <f>IF(SER_hh_emi!X30=0,0,1000000*SER_hh_emi!X30/SER_hh_num!X30)</f>
        <v>0</v>
      </c>
      <c r="Y30" s="132">
        <f>IF(SER_hh_emi!Y30=0,0,1000000*SER_hh_emi!Y30/SER_hh_num!Y30)</f>
        <v>0</v>
      </c>
      <c r="DA30" s="156" t="s">
        <v>472</v>
      </c>
    </row>
    <row r="31" spans="1:105" ht="12" customHeight="1" x14ac:dyDescent="0.25">
      <c r="A31" s="131" t="s">
        <v>149</v>
      </c>
      <c r="B31" s="132">
        <f>IF(SER_hh_emi!B31=0,0,1000000*SER_hh_emi!B31/SER_hh_num!B31)</f>
        <v>4185.0771509680262</v>
      </c>
      <c r="C31" s="132">
        <f>IF(SER_hh_emi!C31=0,0,1000000*SER_hh_emi!C31/SER_hh_num!C31)</f>
        <v>4459.2647541564475</v>
      </c>
      <c r="D31" s="132">
        <f>IF(SER_hh_emi!D31=0,0,1000000*SER_hh_emi!D31/SER_hh_num!D31)</f>
        <v>4295.2986468274357</v>
      </c>
      <c r="E31" s="132">
        <f>IF(SER_hh_emi!E31=0,0,1000000*SER_hh_emi!E31/SER_hh_num!E31)</f>
        <v>4120.0153866274914</v>
      </c>
      <c r="F31" s="132">
        <f>IF(SER_hh_emi!F31=0,0,1000000*SER_hh_emi!F31/SER_hh_num!F31)</f>
        <v>3990.9954812054293</v>
      </c>
      <c r="G31" s="132">
        <f>IF(SER_hh_emi!G31=0,0,1000000*SER_hh_emi!G31/SER_hh_num!G31)</f>
        <v>4086.9779683392785</v>
      </c>
      <c r="H31" s="132">
        <f>IF(SER_hh_emi!H31=0,0,1000000*SER_hh_emi!H31/SER_hh_num!H31)</f>
        <v>4137.6099614996538</v>
      </c>
      <c r="I31" s="132">
        <f>IF(SER_hh_emi!I31=0,0,1000000*SER_hh_emi!I31/SER_hh_num!I31)</f>
        <v>4050.1380964092714</v>
      </c>
      <c r="J31" s="132">
        <f>IF(SER_hh_emi!J31=0,0,1000000*SER_hh_emi!J31/SER_hh_num!J31)</f>
        <v>4054.1678720479267</v>
      </c>
      <c r="K31" s="132">
        <f>IF(SER_hh_emi!K31=0,0,1000000*SER_hh_emi!K31/SER_hh_num!K31)</f>
        <v>4051.2898463979641</v>
      </c>
      <c r="L31" s="132">
        <f>IF(SER_hh_emi!L31=0,0,1000000*SER_hh_emi!L31/SER_hh_num!L31)</f>
        <v>4158.0286343005046</v>
      </c>
      <c r="M31" s="132">
        <f>IF(SER_hh_emi!M31=0,0,1000000*SER_hh_emi!M31/SER_hh_num!M31)</f>
        <v>4021.7583225913781</v>
      </c>
      <c r="N31" s="132">
        <f>IF(SER_hh_emi!N31=0,0,1000000*SER_hh_emi!N31/SER_hh_num!N31)</f>
        <v>3427.1120315218764</v>
      </c>
      <c r="O31" s="132">
        <f>IF(SER_hh_emi!O31=0,0,1000000*SER_hh_emi!O31/SER_hh_num!O31)</f>
        <v>4119.4856134910442</v>
      </c>
      <c r="P31" s="132">
        <f>IF(SER_hh_emi!P31=0,0,1000000*SER_hh_emi!P31/SER_hh_num!P31)</f>
        <v>3871.9180175734141</v>
      </c>
      <c r="Q31" s="132">
        <f>IF(SER_hh_emi!Q31=0,0,1000000*SER_hh_emi!Q31/SER_hh_num!Q31)</f>
        <v>4121.6858299083415</v>
      </c>
      <c r="R31" s="132">
        <f>IF(SER_hh_emi!R31=0,0,1000000*SER_hh_emi!R31/SER_hh_num!R31)</f>
        <v>4221.4404165026517</v>
      </c>
      <c r="S31" s="132">
        <f>IF(SER_hh_emi!S31=0,0,1000000*SER_hh_emi!S31/SER_hh_num!S31)</f>
        <v>4003.4167841507615</v>
      </c>
      <c r="T31" s="132">
        <f>IF(SER_hh_emi!T31=0,0,1000000*SER_hh_emi!T31/SER_hh_num!T31)</f>
        <v>3593.1028604653779</v>
      </c>
      <c r="U31" s="132">
        <f>IF(SER_hh_emi!U31=0,0,1000000*SER_hh_emi!U31/SER_hh_num!U31)</f>
        <v>3835.7877722781645</v>
      </c>
      <c r="V31" s="132">
        <f>IF(SER_hh_emi!V31=0,0,1000000*SER_hh_emi!V31/SER_hh_num!V31)</f>
        <v>3612.4476024372311</v>
      </c>
      <c r="W31" s="132">
        <f>IF(SER_hh_emi!W31=0,0,1000000*SER_hh_emi!W31/SER_hh_num!W31)</f>
        <v>5097.7551956268835</v>
      </c>
      <c r="X31" s="132">
        <f>IF(SER_hh_emi!X31=0,0,1000000*SER_hh_emi!X31/SER_hh_num!X31)</f>
        <v>4348.7640594414634</v>
      </c>
      <c r="Y31" s="132">
        <f>IF(SER_hh_emi!Y31=0,0,1000000*SER_hh_emi!Y31/SER_hh_num!Y31)</f>
        <v>2624.7791573155332</v>
      </c>
      <c r="DA31" s="156" t="s">
        <v>473</v>
      </c>
    </row>
    <row r="32" spans="1:105" ht="12" customHeight="1" x14ac:dyDescent="0.25">
      <c r="A32" s="131" t="s">
        <v>128</v>
      </c>
      <c r="B32" s="132">
        <f>IF(SER_hh_emi!B32=0,0,1000000*SER_hh_emi!B32/SER_hh_num!B32)</f>
        <v>0</v>
      </c>
      <c r="C32" s="132">
        <f>IF(SER_hh_emi!C32=0,0,1000000*SER_hh_emi!C32/SER_hh_num!C32)</f>
        <v>0</v>
      </c>
      <c r="D32" s="132">
        <f>IF(SER_hh_emi!D32=0,0,1000000*SER_hh_emi!D32/SER_hh_num!D32)</f>
        <v>0</v>
      </c>
      <c r="E32" s="132">
        <f>IF(SER_hh_emi!E32=0,0,1000000*SER_hh_emi!E32/SER_hh_num!E32)</f>
        <v>0</v>
      </c>
      <c r="F32" s="132">
        <f>IF(SER_hh_emi!F32=0,0,1000000*SER_hh_emi!F32/SER_hh_num!F32)</f>
        <v>0</v>
      </c>
      <c r="G32" s="132">
        <f>IF(SER_hh_emi!G32=0,0,1000000*SER_hh_emi!G32/SER_hh_num!G32)</f>
        <v>0</v>
      </c>
      <c r="H32" s="132">
        <f>IF(SER_hh_emi!H32=0,0,1000000*SER_hh_emi!H32/SER_hh_num!H32)</f>
        <v>0</v>
      </c>
      <c r="I32" s="132">
        <f>IF(SER_hh_emi!I32=0,0,1000000*SER_hh_emi!I32/SER_hh_num!I32)</f>
        <v>0</v>
      </c>
      <c r="J32" s="132">
        <f>IF(SER_hh_emi!J32=0,0,1000000*SER_hh_emi!J32/SER_hh_num!J32)</f>
        <v>0</v>
      </c>
      <c r="K32" s="132">
        <f>IF(SER_hh_emi!K32=0,0,1000000*SER_hh_emi!K32/SER_hh_num!K32)</f>
        <v>0</v>
      </c>
      <c r="L32" s="132">
        <f>IF(SER_hh_emi!L32=0,0,1000000*SER_hh_emi!L32/SER_hh_num!L32)</f>
        <v>0</v>
      </c>
      <c r="M32" s="132">
        <f>IF(SER_hh_emi!M32=0,0,1000000*SER_hh_emi!M32/SER_hh_num!M32)</f>
        <v>0</v>
      </c>
      <c r="N32" s="132">
        <f>IF(SER_hh_emi!N32=0,0,1000000*SER_hh_emi!N32/SER_hh_num!N32)</f>
        <v>0</v>
      </c>
      <c r="O32" s="132">
        <f>IF(SER_hh_emi!O32=0,0,1000000*SER_hh_emi!O32/SER_hh_num!O32)</f>
        <v>0</v>
      </c>
      <c r="P32" s="132">
        <f>IF(SER_hh_emi!P32=0,0,1000000*SER_hh_emi!P32/SER_hh_num!P32)</f>
        <v>0</v>
      </c>
      <c r="Q32" s="132">
        <f>IF(SER_hh_emi!Q32=0,0,1000000*SER_hh_emi!Q32/SER_hh_num!Q32)</f>
        <v>0</v>
      </c>
      <c r="R32" s="132">
        <f>IF(SER_hh_emi!R32=0,0,1000000*SER_hh_emi!R32/SER_hh_num!R32)</f>
        <v>0</v>
      </c>
      <c r="S32" s="132">
        <f>IF(SER_hh_emi!S32=0,0,1000000*SER_hh_emi!S32/SER_hh_num!S32)</f>
        <v>0</v>
      </c>
      <c r="T32" s="132">
        <f>IF(SER_hh_emi!T32=0,0,1000000*SER_hh_emi!T32/SER_hh_num!T32)</f>
        <v>0</v>
      </c>
      <c r="U32" s="132">
        <f>IF(SER_hh_emi!U32=0,0,1000000*SER_hh_emi!U32/SER_hh_num!U32)</f>
        <v>0</v>
      </c>
      <c r="V32" s="132">
        <f>IF(SER_hh_emi!V32=0,0,1000000*SER_hh_emi!V32/SER_hh_num!V32)</f>
        <v>0</v>
      </c>
      <c r="W32" s="132">
        <f>IF(SER_hh_emi!W32=0,0,1000000*SER_hh_emi!W32/SER_hh_num!W32)</f>
        <v>0</v>
      </c>
      <c r="X32" s="132">
        <f>IF(SER_hh_emi!X32=0,0,1000000*SER_hh_emi!X32/SER_hh_num!X32)</f>
        <v>0</v>
      </c>
      <c r="Y32" s="132">
        <f>IF(SER_hh_emi!Y32=0,0,1000000*SER_hh_emi!Y32/SER_hh_num!Y32)</f>
        <v>0</v>
      </c>
      <c r="DA32" s="156" t="s">
        <v>474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X33" s="68">
        <f>IF(SER_hh_emi!X33=0,0,1000000*SER_hh_emi!X33/SER_hh_num!X33)</f>
        <v>0</v>
      </c>
      <c r="Y33" s="68">
        <f>IF(SER_hh_emi!Y33=0,0,1000000*SER_hh_emi!Y33/SER_hh_num!Y33)</f>
        <v>0</v>
      </c>
      <c r="DA33" s="111" t="s">
        <v>475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90</v>
      </c>
      <c r="B3" s="125">
        <f>IF(SER_hh_fech!B3=0,0,SER_hh_fech!B3/SER_summary!B$26)</f>
        <v>240.20083212457877</v>
      </c>
      <c r="C3" s="125">
        <f>IF(SER_hh_fech!C3=0,0,SER_hh_fech!C3/SER_summary!C$26)</f>
        <v>260.25590156330094</v>
      </c>
      <c r="D3" s="125">
        <f>IF(SER_hh_fech!D3=0,0,SER_hh_fech!D3/SER_summary!D$26)</f>
        <v>264.76851889017968</v>
      </c>
      <c r="E3" s="125">
        <f>IF(SER_hh_fech!E3=0,0,SER_hh_fech!E3/SER_summary!E$26)</f>
        <v>262.61167120884517</v>
      </c>
      <c r="F3" s="125">
        <f>IF(SER_hh_fech!F3=0,0,SER_hh_fech!F3/SER_summary!F$26)</f>
        <v>258.18584502083672</v>
      </c>
      <c r="G3" s="125">
        <f>IF(SER_hh_fech!G3=0,0,SER_hh_fech!G3/SER_summary!G$26)</f>
        <v>252.59415741861565</v>
      </c>
      <c r="H3" s="125">
        <f>IF(SER_hh_fech!H3=0,0,SER_hh_fech!H3/SER_summary!H$26)</f>
        <v>253.39208500760788</v>
      </c>
      <c r="I3" s="125">
        <f>IF(SER_hh_fech!I3=0,0,SER_hh_fech!I3/SER_summary!I$26)</f>
        <v>261.95363828562273</v>
      </c>
      <c r="J3" s="125">
        <f>IF(SER_hh_fech!J3=0,0,SER_hh_fech!J3/SER_summary!J$26)</f>
        <v>255.04042631741837</v>
      </c>
      <c r="K3" s="125">
        <f>IF(SER_hh_fech!K3=0,0,SER_hh_fech!K3/SER_summary!K$26)</f>
        <v>279.83143846899736</v>
      </c>
      <c r="L3" s="125">
        <f>IF(SER_hh_fech!L3=0,0,SER_hh_fech!L3/SER_summary!L$26)</f>
        <v>297.42889106660374</v>
      </c>
      <c r="M3" s="125">
        <f>IF(SER_hh_fech!M3=0,0,SER_hh_fech!M3/SER_summary!M$26)</f>
        <v>261.52777418106467</v>
      </c>
      <c r="N3" s="125">
        <f>IF(SER_hh_fech!N3=0,0,SER_hh_fech!N3/SER_summary!N$26)</f>
        <v>280.3974050130513</v>
      </c>
      <c r="O3" s="125">
        <f>IF(SER_hh_fech!O3=0,0,SER_hh_fech!O3/SER_summary!O$26)</f>
        <v>263.77959363747516</v>
      </c>
      <c r="P3" s="125">
        <f>IF(SER_hh_fech!P3=0,0,SER_hh_fech!P3/SER_summary!P$26)</f>
        <v>270.34922759086834</v>
      </c>
      <c r="Q3" s="125">
        <f>IF(SER_hh_fech!Q3=0,0,SER_hh_fech!Q3/SER_summary!Q$26)</f>
        <v>250.91115594519118</v>
      </c>
      <c r="R3" s="125">
        <f>IF(SER_hh_fech!R3=0,0,SER_hh_fech!R3/SER_summary!R$26)</f>
        <v>265.30894156574004</v>
      </c>
      <c r="S3" s="125">
        <f>IF(SER_hh_fech!S3=0,0,SER_hh_fech!S3/SER_summary!S$26)</f>
        <v>261.18616901742251</v>
      </c>
      <c r="T3" s="125">
        <f>IF(SER_hh_fech!T3=0,0,SER_hh_fech!T3/SER_summary!T$26)</f>
        <v>267.54133173756316</v>
      </c>
      <c r="U3" s="125">
        <f>IF(SER_hh_fech!U3=0,0,SER_hh_fech!U3/SER_summary!U$26)</f>
        <v>258.19765232596245</v>
      </c>
      <c r="V3" s="125">
        <f>IF(SER_hh_fech!V3=0,0,SER_hh_fech!V3/SER_summary!V$26)</f>
        <v>232.79877477280309</v>
      </c>
      <c r="W3" s="125">
        <f>IF(SER_hh_fech!W3=0,0,SER_hh_fech!W3/SER_summary!W$26)</f>
        <v>262.05010011570886</v>
      </c>
      <c r="X3" s="125">
        <f>IF(SER_hh_fech!X3=0,0,SER_hh_fech!X3/SER_summary!X$26)</f>
        <v>249.05770509196628</v>
      </c>
      <c r="Y3" s="125">
        <f>IF(SER_hh_fech!Y3=0,0,SER_hh_fech!Y3/SER_summary!Y$26)</f>
        <v>240.28182918078949</v>
      </c>
      <c r="DA3" s="154" t="s">
        <v>477</v>
      </c>
    </row>
    <row r="4" spans="1:105" ht="12.95" customHeight="1" x14ac:dyDescent="0.25">
      <c r="A4" s="129" t="s">
        <v>32</v>
      </c>
      <c r="B4" s="130">
        <f>IF(SER_hh_fech!B4=0,0,SER_hh_fech!B4/SER_summary!B$26)</f>
        <v>188.80996616105938</v>
      </c>
      <c r="C4" s="130">
        <f>IF(SER_hh_fech!C4=0,0,SER_hh_fech!C4/SER_summary!C$26)</f>
        <v>209.39202181552542</v>
      </c>
      <c r="D4" s="130">
        <f>IF(SER_hh_fech!D4=0,0,SER_hh_fech!D4/SER_summary!D$26)</f>
        <v>214.21519405282982</v>
      </c>
      <c r="E4" s="130">
        <f>IF(SER_hh_fech!E4=0,0,SER_hh_fech!E4/SER_summary!E$26)</f>
        <v>211.75116132323814</v>
      </c>
      <c r="F4" s="130">
        <f>IF(SER_hh_fech!F4=0,0,SER_hh_fech!F4/SER_summary!F$26)</f>
        <v>207.38888834554598</v>
      </c>
      <c r="G4" s="130">
        <f>IF(SER_hh_fech!G4=0,0,SER_hh_fech!G4/SER_summary!G$26)</f>
        <v>201.39684440740342</v>
      </c>
      <c r="H4" s="130">
        <f>IF(SER_hh_fech!H4=0,0,SER_hh_fech!H4/SER_summary!H$26)</f>
        <v>202.31452875642933</v>
      </c>
      <c r="I4" s="130">
        <f>IF(SER_hh_fech!I4=0,0,SER_hh_fech!I4/SER_summary!I$26)</f>
        <v>211.51084710317448</v>
      </c>
      <c r="J4" s="130">
        <f>IF(SER_hh_fech!J4=0,0,SER_hh_fech!J4/SER_summary!J$26)</f>
        <v>204.71117972109826</v>
      </c>
      <c r="K4" s="130">
        <f>IF(SER_hh_fech!K4=0,0,SER_hh_fech!K4/SER_summary!K$26)</f>
        <v>229.12575094353136</v>
      </c>
      <c r="L4" s="130">
        <f>IF(SER_hh_fech!L4=0,0,SER_hh_fech!L4/SER_summary!L$26)</f>
        <v>246.58760945573204</v>
      </c>
      <c r="M4" s="130">
        <f>IF(SER_hh_fech!M4=0,0,SER_hh_fech!M4/SER_summary!M$26)</f>
        <v>210.08615529769696</v>
      </c>
      <c r="N4" s="130">
        <f>IF(SER_hh_fech!N4=0,0,SER_hh_fech!N4/SER_summary!N$26)</f>
        <v>229.03134221872318</v>
      </c>
      <c r="O4" s="130">
        <f>IF(SER_hh_fech!O4=0,0,SER_hh_fech!O4/SER_summary!O$26)</f>
        <v>212.10133010911775</v>
      </c>
      <c r="P4" s="130">
        <f>IF(SER_hh_fech!P4=0,0,SER_hh_fech!P4/SER_summary!P$26)</f>
        <v>218.20255044660703</v>
      </c>
      <c r="Q4" s="130">
        <f>IF(SER_hh_fech!Q4=0,0,SER_hh_fech!Q4/SER_summary!Q$26)</f>
        <v>198.34813497390363</v>
      </c>
      <c r="R4" s="130">
        <f>IF(SER_hh_fech!R4=0,0,SER_hh_fech!R4/SER_summary!R$26)</f>
        <v>212.58487805371823</v>
      </c>
      <c r="S4" s="130">
        <f>IF(SER_hh_fech!S4=0,0,SER_hh_fech!S4/SER_summary!S$26)</f>
        <v>207.71330478646527</v>
      </c>
      <c r="T4" s="130">
        <f>IF(SER_hh_fech!T4=0,0,SER_hh_fech!T4/SER_summary!T$26)</f>
        <v>214.60686389883006</v>
      </c>
      <c r="U4" s="130">
        <f>IF(SER_hh_fech!U4=0,0,SER_hh_fech!U4/SER_summary!U$26)</f>
        <v>203.81427527298288</v>
      </c>
      <c r="V4" s="130">
        <f>IF(SER_hh_fech!V4=0,0,SER_hh_fech!V4/SER_summary!V$26)</f>
        <v>183.03156947121738</v>
      </c>
      <c r="W4" s="130">
        <f>IF(SER_hh_fech!W4=0,0,SER_hh_fech!W4/SER_summary!W$26)</f>
        <v>207.77422261429246</v>
      </c>
      <c r="X4" s="130">
        <f>IF(SER_hh_fech!X4=0,0,SER_hh_fech!X4/SER_summary!X$26)</f>
        <v>195.30840639469275</v>
      </c>
      <c r="Y4" s="130">
        <f>IF(SER_hh_fech!Y4=0,0,SER_hh_fech!Y4/SER_summary!Y$26)</f>
        <v>186.52563726133997</v>
      </c>
      <c r="DA4" s="155" t="s">
        <v>478</v>
      </c>
    </row>
    <row r="5" spans="1:105" ht="12" customHeight="1" x14ac:dyDescent="0.25">
      <c r="A5" s="131" t="s">
        <v>29</v>
      </c>
      <c r="B5" s="132">
        <f>IF(SER_hh_fech!B5=0,0,SER_hh_fech!B5/SER_summary!B$26)</f>
        <v>243.32269738568257</v>
      </c>
      <c r="C5" s="132">
        <f>IF(SER_hh_fech!C5=0,0,SER_hh_fech!C5/SER_summary!C$26)</f>
        <v>260.23752166873169</v>
      </c>
      <c r="D5" s="132">
        <f>IF(SER_hh_fech!D5=0,0,SER_hh_fech!D5/SER_summary!D$26)</f>
        <v>264.65983791040998</v>
      </c>
      <c r="E5" s="132">
        <f>IF(SER_hh_fech!E5=0,0,SER_hh_fech!E5/SER_summary!E$26)</f>
        <v>268.55824748248614</v>
      </c>
      <c r="F5" s="132">
        <f>IF(SER_hh_fech!F5=0,0,SER_hh_fech!F5/SER_summary!F$26)</f>
        <v>256.069119481489</v>
      </c>
      <c r="G5" s="132">
        <f>IF(SER_hh_fech!G5=0,0,SER_hh_fech!G5/SER_summary!G$26)</f>
        <v>250.95137498512159</v>
      </c>
      <c r="H5" s="132">
        <f>IF(SER_hh_fech!H5=0,0,SER_hh_fech!H5/SER_summary!H$26)</f>
        <v>262.45061979017953</v>
      </c>
      <c r="I5" s="132">
        <f>IF(SER_hh_fech!I5=0,0,SER_hh_fech!I5/SER_summary!I$26)</f>
        <v>218.13050055835726</v>
      </c>
      <c r="J5" s="132">
        <f>IF(SER_hh_fech!J5=0,0,SER_hh_fech!J5/SER_summary!J$26)</f>
        <v>260.74928555882508</v>
      </c>
      <c r="K5" s="132">
        <f>IF(SER_hh_fech!K5=0,0,SER_hh_fech!K5/SER_summary!K$26)</f>
        <v>281.94896490716911</v>
      </c>
      <c r="L5" s="132">
        <f>IF(SER_hh_fech!L5=0,0,SER_hh_fech!L5/SER_summary!L$26)</f>
        <v>301.51709749557244</v>
      </c>
      <c r="M5" s="132">
        <f>IF(SER_hh_fech!M5=0,0,SER_hh_fech!M5/SER_summary!M$26)</f>
        <v>241.25508241864571</v>
      </c>
      <c r="N5" s="132">
        <f>IF(SER_hh_fech!N5=0,0,SER_hh_fech!N5/SER_summary!N$26)</f>
        <v>274.52857922367781</v>
      </c>
      <c r="O5" s="132">
        <f>IF(SER_hh_fech!O5=0,0,SER_hh_fech!O5/SER_summary!O$26)</f>
        <v>249.10301808436498</v>
      </c>
      <c r="P5" s="132">
        <f>IF(SER_hh_fech!P5=0,0,SER_hh_fech!P5/SER_summary!P$26)</f>
        <v>256.3947888752715</v>
      </c>
      <c r="Q5" s="132">
        <f>IF(SER_hh_fech!Q5=0,0,SER_hh_fech!Q5/SER_summary!Q$26)</f>
        <v>231.68365116524581</v>
      </c>
      <c r="R5" s="132">
        <f>IF(SER_hh_fech!R5=0,0,SER_hh_fech!R5/SER_summary!R$26)</f>
        <v>252.07812718351835</v>
      </c>
      <c r="S5" s="132">
        <f>IF(SER_hh_fech!S5=0,0,SER_hh_fech!S5/SER_summary!S$26)</f>
        <v>247.12327436190247</v>
      </c>
      <c r="T5" s="132">
        <f>IF(SER_hh_fech!T5=0,0,SER_hh_fech!T5/SER_summary!T$26)</f>
        <v>249.2158816671992</v>
      </c>
      <c r="U5" s="132">
        <f>IF(SER_hh_fech!U5=0,0,SER_hh_fech!U5/SER_summary!U$26)</f>
        <v>255.07800092381902</v>
      </c>
      <c r="V5" s="132">
        <f>IF(SER_hh_fech!V5=0,0,SER_hh_fech!V5/SER_summary!V$26)</f>
        <v>229.59987632328179</v>
      </c>
      <c r="W5" s="132">
        <f>IF(SER_hh_fech!W5=0,0,SER_hh_fech!W5/SER_summary!W$26)</f>
        <v>243.33747084338771</v>
      </c>
      <c r="X5" s="132">
        <f>IF(SER_hh_fech!X5=0,0,SER_hh_fech!X5/SER_summary!X$26)</f>
        <v>235.84214355706609</v>
      </c>
      <c r="Y5" s="132">
        <f>IF(SER_hh_fech!Y5=0,0,SER_hh_fech!Y5/SER_summary!Y$26)</f>
        <v>228.85633039361284</v>
      </c>
      <c r="DA5" s="156" t="s">
        <v>479</v>
      </c>
    </row>
    <row r="6" spans="1:105" ht="12" customHeight="1" x14ac:dyDescent="0.25">
      <c r="A6" s="131" t="s">
        <v>52</v>
      </c>
      <c r="B6" s="132">
        <f>IF(SER_hh_fech!B6=0,0,SER_hh_fech!B6/SER_summary!B$26)</f>
        <v>0</v>
      </c>
      <c r="C6" s="132">
        <f>IF(SER_hh_fech!C6=0,0,SER_hh_fech!C6/SER_summary!C$26)</f>
        <v>0</v>
      </c>
      <c r="D6" s="132">
        <f>IF(SER_hh_fech!D6=0,0,SER_hh_fech!D6/SER_summary!D$26)</f>
        <v>0</v>
      </c>
      <c r="E6" s="132">
        <f>IF(SER_hh_fech!E6=0,0,SER_hh_fech!E6/SER_summary!E$26)</f>
        <v>0</v>
      </c>
      <c r="F6" s="132">
        <f>IF(SER_hh_fech!F6=0,0,SER_hh_fech!F6/SER_summary!F$26)</f>
        <v>0</v>
      </c>
      <c r="G6" s="132">
        <f>IF(SER_hh_fech!G6=0,0,SER_hh_fech!G6/SER_summary!G$26)</f>
        <v>0</v>
      </c>
      <c r="H6" s="132">
        <f>IF(SER_hh_fech!H6=0,0,SER_hh_fech!H6/SER_summary!H$26)</f>
        <v>0</v>
      </c>
      <c r="I6" s="132">
        <f>IF(SER_hh_fech!I6=0,0,SER_hh_fech!I6/SER_summary!I$26)</f>
        <v>0</v>
      </c>
      <c r="J6" s="132">
        <f>IF(SER_hh_fech!J6=0,0,SER_hh_fech!J6/SER_summary!J$26)</f>
        <v>0</v>
      </c>
      <c r="K6" s="132">
        <f>IF(SER_hh_fech!K6=0,0,SER_hh_fech!K6/SER_summary!K$26)</f>
        <v>0</v>
      </c>
      <c r="L6" s="132">
        <f>IF(SER_hh_fech!L6=0,0,SER_hh_fech!L6/SER_summary!L$26)</f>
        <v>0</v>
      </c>
      <c r="M6" s="132">
        <f>IF(SER_hh_fech!M6=0,0,SER_hh_fech!M6/SER_summary!M$26)</f>
        <v>0</v>
      </c>
      <c r="N6" s="132">
        <f>IF(SER_hh_fech!N6=0,0,SER_hh_fech!N6/SER_summary!N$26)</f>
        <v>0</v>
      </c>
      <c r="O6" s="132">
        <f>IF(SER_hh_fech!O6=0,0,SER_hh_fech!O6/SER_summary!O$26)</f>
        <v>0</v>
      </c>
      <c r="P6" s="132">
        <f>IF(SER_hh_fech!P6=0,0,SER_hh_fech!P6/SER_summary!P$26)</f>
        <v>0</v>
      </c>
      <c r="Q6" s="132">
        <f>IF(SER_hh_fech!Q6=0,0,SER_hh_fech!Q6/SER_summary!Q$26)</f>
        <v>0</v>
      </c>
      <c r="R6" s="132">
        <f>IF(SER_hh_fech!R6=0,0,SER_hh_fech!R6/SER_summary!R$26)</f>
        <v>0</v>
      </c>
      <c r="S6" s="132">
        <f>IF(SER_hh_fech!S6=0,0,SER_hh_fech!S6/SER_summary!S$26)</f>
        <v>0</v>
      </c>
      <c r="T6" s="132">
        <f>IF(SER_hh_fech!T6=0,0,SER_hh_fech!T6/SER_summary!T$26)</f>
        <v>0</v>
      </c>
      <c r="U6" s="132">
        <f>IF(SER_hh_fech!U6=0,0,SER_hh_fech!U6/SER_summary!U$26)</f>
        <v>0</v>
      </c>
      <c r="V6" s="132">
        <f>IF(SER_hh_fech!V6=0,0,SER_hh_fech!V6/SER_summary!V$26)</f>
        <v>0</v>
      </c>
      <c r="W6" s="132">
        <f>IF(SER_hh_fech!W6=0,0,SER_hh_fech!W6/SER_summary!W$26)</f>
        <v>0</v>
      </c>
      <c r="X6" s="132">
        <f>IF(SER_hh_fech!X6=0,0,SER_hh_fech!X6/SER_summary!X$26)</f>
        <v>0</v>
      </c>
      <c r="Y6" s="132">
        <f>IF(SER_hh_fech!Y6=0,0,SER_hh_fech!Y6/SER_summary!Y$26)</f>
        <v>0</v>
      </c>
      <c r="DA6" s="156" t="s">
        <v>480</v>
      </c>
    </row>
    <row r="7" spans="1:105" ht="12" customHeight="1" x14ac:dyDescent="0.25">
      <c r="A7" s="131" t="s">
        <v>161</v>
      </c>
      <c r="B7" s="132">
        <f>IF(SER_hh_fech!B7=0,0,SER_hh_fech!B7/SER_summary!B$26)</f>
        <v>279.3300660144962</v>
      </c>
      <c r="C7" s="132">
        <f>IF(SER_hh_fech!C7=0,0,SER_hh_fech!C7/SER_summary!C$26)</f>
        <v>303.15676499912405</v>
      </c>
      <c r="D7" s="132">
        <f>IF(SER_hh_fech!D7=0,0,SER_hh_fech!D7/SER_summary!D$26)</f>
        <v>307.21782590182914</v>
      </c>
      <c r="E7" s="132">
        <f>IF(SER_hh_fech!E7=0,0,SER_hh_fech!E7/SER_summary!E$26)</f>
        <v>309.23764308680069</v>
      </c>
      <c r="F7" s="132">
        <f>IF(SER_hh_fech!F7=0,0,SER_hh_fech!F7/SER_summary!F$26)</f>
        <v>303.78062622126481</v>
      </c>
      <c r="G7" s="132">
        <f>IF(SER_hh_fech!G7=0,0,SER_hh_fech!G7/SER_summary!G$26)</f>
        <v>294.8758928081902</v>
      </c>
      <c r="H7" s="132">
        <f>IF(SER_hh_fech!H7=0,0,SER_hh_fech!H7/SER_summary!H$26)</f>
        <v>306.16244583603566</v>
      </c>
      <c r="I7" s="132">
        <f>IF(SER_hh_fech!I7=0,0,SER_hh_fech!I7/SER_summary!I$26)</f>
        <v>316.28703987677125</v>
      </c>
      <c r="J7" s="132">
        <f>IF(SER_hh_fech!J7=0,0,SER_hh_fech!J7/SER_summary!J$26)</f>
        <v>276.97587500723432</v>
      </c>
      <c r="K7" s="132">
        <f>IF(SER_hh_fech!K7=0,0,SER_hh_fech!K7/SER_summary!K$26)</f>
        <v>315.13314453186138</v>
      </c>
      <c r="L7" s="132">
        <f>IF(SER_hh_fech!L7=0,0,SER_hh_fech!L7/SER_summary!L$26)</f>
        <v>362.77080702225646</v>
      </c>
      <c r="M7" s="132">
        <f>IF(SER_hh_fech!M7=0,0,SER_hh_fech!M7/SER_summary!M$26)</f>
        <v>294.06259482373963</v>
      </c>
      <c r="N7" s="132">
        <f>IF(SER_hh_fech!N7=0,0,SER_hh_fech!N7/SER_summary!N$26)</f>
        <v>316.92237081718292</v>
      </c>
      <c r="O7" s="132">
        <f>IF(SER_hh_fech!O7=0,0,SER_hh_fech!O7/SER_summary!O$26)</f>
        <v>283.23189187694544</v>
      </c>
      <c r="P7" s="132">
        <f>IF(SER_hh_fech!P7=0,0,SER_hh_fech!P7/SER_summary!P$26)</f>
        <v>284.77230104398046</v>
      </c>
      <c r="Q7" s="132">
        <f>IF(SER_hh_fech!Q7=0,0,SER_hh_fech!Q7/SER_summary!Q$26)</f>
        <v>257.81948779531194</v>
      </c>
      <c r="R7" s="132">
        <f>IF(SER_hh_fech!R7=0,0,SER_hh_fech!R7/SER_summary!R$26)</f>
        <v>279.38009238478077</v>
      </c>
      <c r="S7" s="132">
        <f>IF(SER_hh_fech!S7=0,0,SER_hh_fech!S7/SER_summary!S$26)</f>
        <v>271.88090950609552</v>
      </c>
      <c r="T7" s="132">
        <f>IF(SER_hh_fech!T7=0,0,SER_hh_fech!T7/SER_summary!T$26)</f>
        <v>267.8355163908513</v>
      </c>
      <c r="U7" s="132">
        <f>IF(SER_hh_fech!U7=0,0,SER_hh_fech!U7/SER_summary!U$26)</f>
        <v>258.49970271653626</v>
      </c>
      <c r="V7" s="132">
        <f>IF(SER_hh_fech!V7=0,0,SER_hh_fech!V7/SER_summary!V$26)</f>
        <v>229.05480855344149</v>
      </c>
      <c r="W7" s="132">
        <f>IF(SER_hh_fech!W7=0,0,SER_hh_fech!W7/SER_summary!W$26)</f>
        <v>260.62154647929322</v>
      </c>
      <c r="X7" s="132">
        <f>IF(SER_hh_fech!X7=0,0,SER_hh_fech!X7/SER_summary!X$26)</f>
        <v>239.91065451661183</v>
      </c>
      <c r="Y7" s="132">
        <f>IF(SER_hh_fech!Y7=0,0,SER_hh_fech!Y7/SER_summary!Y$26)</f>
        <v>236.5658343318176</v>
      </c>
      <c r="DA7" s="156" t="s">
        <v>481</v>
      </c>
    </row>
    <row r="8" spans="1:105" ht="12" customHeight="1" x14ac:dyDescent="0.25">
      <c r="A8" s="131" t="s">
        <v>73</v>
      </c>
      <c r="B8" s="132">
        <f>IF(SER_hh_fech!B8=0,0,SER_hh_fech!B8/SER_summary!B$26)</f>
        <v>0</v>
      </c>
      <c r="C8" s="132">
        <f>IF(SER_hh_fech!C8=0,0,SER_hh_fech!C8/SER_summary!C$26)</f>
        <v>0</v>
      </c>
      <c r="D8" s="132">
        <f>IF(SER_hh_fech!D8=0,0,SER_hh_fech!D8/SER_summary!D$26)</f>
        <v>0</v>
      </c>
      <c r="E8" s="132">
        <f>IF(SER_hh_fech!E8=0,0,SER_hh_fech!E8/SER_summary!E$26)</f>
        <v>0</v>
      </c>
      <c r="F8" s="132">
        <f>IF(SER_hh_fech!F8=0,0,SER_hh_fech!F8/SER_summary!F$26)</f>
        <v>0</v>
      </c>
      <c r="G8" s="132">
        <f>IF(SER_hh_fech!G8=0,0,SER_hh_fech!G8/SER_summary!G$26)</f>
        <v>0</v>
      </c>
      <c r="H8" s="132">
        <f>IF(SER_hh_fech!H8=0,0,SER_hh_fech!H8/SER_summary!H$26)</f>
        <v>0</v>
      </c>
      <c r="I8" s="132">
        <f>IF(SER_hh_fech!I8=0,0,SER_hh_fech!I8/SER_summary!I$26)</f>
        <v>0</v>
      </c>
      <c r="J8" s="132">
        <f>IF(SER_hh_fech!J8=0,0,SER_hh_fech!J8/SER_summary!J$26)</f>
        <v>0</v>
      </c>
      <c r="K8" s="132">
        <f>IF(SER_hh_fech!K8=0,0,SER_hh_fech!K8/SER_summary!K$26)</f>
        <v>0</v>
      </c>
      <c r="L8" s="132">
        <f>IF(SER_hh_fech!L8=0,0,SER_hh_fech!L8/SER_summary!L$26)</f>
        <v>0</v>
      </c>
      <c r="M8" s="132">
        <f>IF(SER_hh_fech!M8=0,0,SER_hh_fech!M8/SER_summary!M$26)</f>
        <v>0</v>
      </c>
      <c r="N8" s="132">
        <f>IF(SER_hh_fech!N8=0,0,SER_hh_fech!N8/SER_summary!N$26)</f>
        <v>0</v>
      </c>
      <c r="O8" s="132">
        <f>IF(SER_hh_fech!O8=0,0,SER_hh_fech!O8/SER_summary!O$26)</f>
        <v>0</v>
      </c>
      <c r="P8" s="132">
        <f>IF(SER_hh_fech!P8=0,0,SER_hh_fech!P8/SER_summary!P$26)</f>
        <v>0</v>
      </c>
      <c r="Q8" s="132">
        <f>IF(SER_hh_fech!Q8=0,0,SER_hh_fech!Q8/SER_summary!Q$26)</f>
        <v>0</v>
      </c>
      <c r="R8" s="132">
        <f>IF(SER_hh_fech!R8=0,0,SER_hh_fech!R8/SER_summary!R$26)</f>
        <v>0</v>
      </c>
      <c r="S8" s="132">
        <f>IF(SER_hh_fech!S8=0,0,SER_hh_fech!S8/SER_summary!S$26)</f>
        <v>0</v>
      </c>
      <c r="T8" s="132">
        <f>IF(SER_hh_fech!T8=0,0,SER_hh_fech!T8/SER_summary!T$26)</f>
        <v>0</v>
      </c>
      <c r="U8" s="132">
        <f>IF(SER_hh_fech!U8=0,0,SER_hh_fech!U8/SER_summary!U$26)</f>
        <v>0</v>
      </c>
      <c r="V8" s="132">
        <f>IF(SER_hh_fech!V8=0,0,SER_hh_fech!V8/SER_summary!V$26)</f>
        <v>0</v>
      </c>
      <c r="W8" s="132">
        <f>IF(SER_hh_fech!W8=0,0,SER_hh_fech!W8/SER_summary!W$26)</f>
        <v>0</v>
      </c>
      <c r="X8" s="132">
        <f>IF(SER_hh_fech!X8=0,0,SER_hh_fech!X8/SER_summary!X$26)</f>
        <v>0</v>
      </c>
      <c r="Y8" s="132">
        <f>IF(SER_hh_fech!Y8=0,0,SER_hh_fech!Y8/SER_summary!Y$26)</f>
        <v>0</v>
      </c>
      <c r="DA8" s="156" t="s">
        <v>482</v>
      </c>
    </row>
    <row r="9" spans="1:105" ht="12" customHeight="1" x14ac:dyDescent="0.25">
      <c r="A9" s="131" t="s">
        <v>78</v>
      </c>
      <c r="B9" s="132">
        <f>IF(SER_hh_fech!B9=0,0,SER_hh_fech!B9/SER_summary!B$26)</f>
        <v>285.72478024669738</v>
      </c>
      <c r="C9" s="132">
        <f>IF(SER_hh_fech!C9=0,0,SER_hh_fech!C9/SER_summary!C$26)</f>
        <v>259.86142019053841</v>
      </c>
      <c r="D9" s="132">
        <f>IF(SER_hh_fech!D9=0,0,SER_hh_fech!D9/SER_summary!D$26)</f>
        <v>285.82240341012471</v>
      </c>
      <c r="E9" s="132">
        <f>IF(SER_hh_fech!E9=0,0,SER_hh_fech!E9/SER_summary!E$26)</f>
        <v>276.11437976414817</v>
      </c>
      <c r="F9" s="132">
        <f>IF(SER_hh_fech!F9=0,0,SER_hh_fech!F9/SER_summary!F$26)</f>
        <v>285.42971330521726</v>
      </c>
      <c r="G9" s="132">
        <f>IF(SER_hh_fech!G9=0,0,SER_hh_fech!G9/SER_summary!G$26)</f>
        <v>277.7601929144526</v>
      </c>
      <c r="H9" s="132">
        <f>IF(SER_hh_fech!H9=0,0,SER_hh_fech!H9/SER_summary!H$26)</f>
        <v>269.61258051388376</v>
      </c>
      <c r="I9" s="132">
        <f>IF(SER_hh_fech!I9=0,0,SER_hh_fech!I9/SER_summary!I$26)</f>
        <v>276.81209812051412</v>
      </c>
      <c r="J9" s="132">
        <f>IF(SER_hh_fech!J9=0,0,SER_hh_fech!J9/SER_summary!J$26)</f>
        <v>281.78901802177342</v>
      </c>
      <c r="K9" s="132">
        <f>IF(SER_hh_fech!K9=0,0,SER_hh_fech!K9/SER_summary!K$26)</f>
        <v>278.87502140991285</v>
      </c>
      <c r="L9" s="132">
        <f>IF(SER_hh_fech!L9=0,0,SER_hh_fech!L9/SER_summary!L$26)</f>
        <v>300.41025661322743</v>
      </c>
      <c r="M9" s="132">
        <f>IF(SER_hh_fech!M9=0,0,SER_hh_fech!M9/SER_summary!M$26)</f>
        <v>396.72040834453333</v>
      </c>
      <c r="N9" s="132">
        <f>IF(SER_hh_fech!N9=0,0,SER_hh_fech!N9/SER_summary!N$26)</f>
        <v>427.67097563483486</v>
      </c>
      <c r="O9" s="132">
        <f>IF(SER_hh_fech!O9=0,0,SER_hh_fech!O9/SER_summary!O$26)</f>
        <v>338.42351224238342</v>
      </c>
      <c r="P9" s="132">
        <f>IF(SER_hh_fech!P9=0,0,SER_hh_fech!P9/SER_summary!P$26)</f>
        <v>281.13917799413269</v>
      </c>
      <c r="Q9" s="132">
        <f>IF(SER_hh_fech!Q9=0,0,SER_hh_fech!Q9/SER_summary!Q$26)</f>
        <v>240.23723348625083</v>
      </c>
      <c r="R9" s="132">
        <f>IF(SER_hh_fech!R9=0,0,SER_hh_fech!R9/SER_summary!R$26)</f>
        <v>228.45796566977933</v>
      </c>
      <c r="S9" s="132">
        <f>IF(SER_hh_fech!S9=0,0,SER_hh_fech!S9/SER_summary!S$26)</f>
        <v>273.27602388110938</v>
      </c>
      <c r="T9" s="132">
        <f>IF(SER_hh_fech!T9=0,0,SER_hh_fech!T9/SER_summary!T$26)</f>
        <v>250.58432361010608</v>
      </c>
      <c r="U9" s="132">
        <f>IF(SER_hh_fech!U9=0,0,SER_hh_fech!U9/SER_summary!U$26)</f>
        <v>237.76181888339039</v>
      </c>
      <c r="V9" s="132">
        <f>IF(SER_hh_fech!V9=0,0,SER_hh_fech!V9/SER_summary!V$26)</f>
        <v>212.29588981268466</v>
      </c>
      <c r="W9" s="132">
        <f>IF(SER_hh_fech!W9=0,0,SER_hh_fech!W9/SER_summary!W$26)</f>
        <v>265.03777537361998</v>
      </c>
      <c r="X9" s="132">
        <f>IF(SER_hh_fech!X9=0,0,SER_hh_fech!X9/SER_summary!X$26)</f>
        <v>237.69320334350468</v>
      </c>
      <c r="Y9" s="132">
        <f>IF(SER_hh_fech!Y9=0,0,SER_hh_fech!Y9/SER_summary!Y$26)</f>
        <v>205.81325219709231</v>
      </c>
      <c r="DA9" s="156" t="s">
        <v>483</v>
      </c>
    </row>
    <row r="10" spans="1:105" ht="12" customHeight="1" x14ac:dyDescent="0.25">
      <c r="A10" s="131" t="s">
        <v>128</v>
      </c>
      <c r="B10" s="132">
        <f>IF(SER_hh_fech!B10=0,0,SER_hh_fech!B10/SER_summary!B$26)</f>
        <v>277.47269246374793</v>
      </c>
      <c r="C10" s="132">
        <f>IF(SER_hh_fech!C10=0,0,SER_hh_fech!C10/SER_summary!C$26)</f>
        <v>308.92813480174812</v>
      </c>
      <c r="D10" s="132">
        <f>IF(SER_hh_fech!D10=0,0,SER_hh_fech!D10/SER_summary!D$26)</f>
        <v>310.73430422700648</v>
      </c>
      <c r="E10" s="132">
        <f>IF(SER_hh_fech!E10=0,0,SER_hh_fech!E10/SER_summary!E$26)</f>
        <v>306.29123193984327</v>
      </c>
      <c r="F10" s="132">
        <f>IF(SER_hh_fech!F10=0,0,SER_hh_fech!F10/SER_summary!F$26)</f>
        <v>294.77697904944802</v>
      </c>
      <c r="G10" s="132">
        <f>IF(SER_hh_fech!G10=0,0,SER_hh_fech!G10/SER_summary!G$26)</f>
        <v>287.11267369081213</v>
      </c>
      <c r="H10" s="132">
        <f>IF(SER_hh_fech!H10=0,0,SER_hh_fech!H10/SER_summary!H$26)</f>
        <v>289.42492658838847</v>
      </c>
      <c r="I10" s="132">
        <f>IF(SER_hh_fech!I10=0,0,SER_hh_fech!I10/SER_summary!I$26)</f>
        <v>284.61529417035399</v>
      </c>
      <c r="J10" s="132">
        <f>IF(SER_hh_fech!J10=0,0,SER_hh_fech!J10/SER_summary!J$26)</f>
        <v>297.86137958954396</v>
      </c>
      <c r="K10" s="132">
        <f>IF(SER_hh_fech!K10=0,0,SER_hh_fech!K10/SER_summary!K$26)</f>
        <v>315.72881122695162</v>
      </c>
      <c r="L10" s="132">
        <f>IF(SER_hh_fech!L10=0,0,SER_hh_fech!L10/SER_summary!L$26)</f>
        <v>343.26869584718673</v>
      </c>
      <c r="M10" s="132">
        <f>IF(SER_hh_fech!M10=0,0,SER_hh_fech!M10/SER_summary!M$26)</f>
        <v>290.57854893039905</v>
      </c>
      <c r="N10" s="132">
        <f>IF(SER_hh_fech!N10=0,0,SER_hh_fech!N10/SER_summary!N$26)</f>
        <v>318.52384219027465</v>
      </c>
      <c r="O10" s="132">
        <f>IF(SER_hh_fech!O10=0,0,SER_hh_fech!O10/SER_summary!O$26)</f>
        <v>292.10694338490089</v>
      </c>
      <c r="P10" s="132">
        <f>IF(SER_hh_fech!P10=0,0,SER_hh_fech!P10/SER_summary!P$26)</f>
        <v>301.19653939580843</v>
      </c>
      <c r="Q10" s="132">
        <f>IF(SER_hh_fech!Q10=0,0,SER_hh_fech!Q10/SER_summary!Q$26)</f>
        <v>273.25874514418501</v>
      </c>
      <c r="R10" s="132">
        <f>IF(SER_hh_fech!R10=0,0,SER_hh_fech!R10/SER_summary!R$26)</f>
        <v>301.05722576836433</v>
      </c>
      <c r="S10" s="132">
        <f>IF(SER_hh_fech!S10=0,0,SER_hh_fech!S10/SER_summary!S$26)</f>
        <v>299.7944942175925</v>
      </c>
      <c r="T10" s="132">
        <f>IF(SER_hh_fech!T10=0,0,SER_hh_fech!T10/SER_summary!T$26)</f>
        <v>306.17367056635993</v>
      </c>
      <c r="U10" s="132">
        <f>IF(SER_hh_fech!U10=0,0,SER_hh_fech!U10/SER_summary!U$26)</f>
        <v>297.09967449273751</v>
      </c>
      <c r="V10" s="132">
        <f>IF(SER_hh_fech!V10=0,0,SER_hh_fech!V10/SER_summary!V$26)</f>
        <v>265.26624892782161</v>
      </c>
      <c r="W10" s="132">
        <f>IF(SER_hh_fech!W10=0,0,SER_hh_fech!W10/SER_summary!W$26)</f>
        <v>308.4990455749363</v>
      </c>
      <c r="X10" s="132">
        <f>IF(SER_hh_fech!X10=0,0,SER_hh_fech!X10/SER_summary!X$26)</f>
        <v>317.71794645691443</v>
      </c>
      <c r="Y10" s="132">
        <f>IF(SER_hh_fech!Y10=0,0,SER_hh_fech!Y10/SER_summary!Y$26)</f>
        <v>282.28797798123941</v>
      </c>
      <c r="DA10" s="156" t="s">
        <v>484</v>
      </c>
    </row>
    <row r="11" spans="1:105" ht="12" customHeight="1" x14ac:dyDescent="0.25">
      <c r="A11" s="131" t="s">
        <v>25</v>
      </c>
      <c r="B11" s="132">
        <f>IF(SER_hh_fech!B11=0,0,SER_hh_fech!B11/SER_summary!B$26)</f>
        <v>0</v>
      </c>
      <c r="C11" s="132">
        <f>IF(SER_hh_fech!C11=0,0,SER_hh_fech!C11/SER_summary!C$26)</f>
        <v>0</v>
      </c>
      <c r="D11" s="132">
        <f>IF(SER_hh_fech!D11=0,0,SER_hh_fech!D11/SER_summary!D$26)</f>
        <v>0</v>
      </c>
      <c r="E11" s="132">
        <f>IF(SER_hh_fech!E11=0,0,SER_hh_fech!E11/SER_summary!E$26)</f>
        <v>0</v>
      </c>
      <c r="F11" s="132">
        <f>IF(SER_hh_fech!F11=0,0,SER_hh_fech!F11/SER_summary!F$26)</f>
        <v>0</v>
      </c>
      <c r="G11" s="132">
        <f>IF(SER_hh_fech!G11=0,0,SER_hh_fech!G11/SER_summary!G$26)</f>
        <v>0</v>
      </c>
      <c r="H11" s="132">
        <f>IF(SER_hh_fech!H11=0,0,SER_hh_fech!H11/SER_summary!H$26)</f>
        <v>0</v>
      </c>
      <c r="I11" s="132">
        <f>IF(SER_hh_fech!I11=0,0,SER_hh_fech!I11/SER_summary!I$26)</f>
        <v>0</v>
      </c>
      <c r="J11" s="132">
        <f>IF(SER_hh_fech!J11=0,0,SER_hh_fech!J11/SER_summary!J$26)</f>
        <v>0</v>
      </c>
      <c r="K11" s="132">
        <f>IF(SER_hh_fech!K11=0,0,SER_hh_fech!K11/SER_summary!K$26)</f>
        <v>0</v>
      </c>
      <c r="L11" s="132">
        <f>IF(SER_hh_fech!L11=0,0,SER_hh_fech!L11/SER_summary!L$26)</f>
        <v>0</v>
      </c>
      <c r="M11" s="132">
        <f>IF(SER_hh_fech!M11=0,0,SER_hh_fech!M11/SER_summary!M$26)</f>
        <v>0</v>
      </c>
      <c r="N11" s="132">
        <f>IF(SER_hh_fech!N11=0,0,SER_hh_fech!N11/SER_summary!N$26)</f>
        <v>0</v>
      </c>
      <c r="O11" s="132">
        <f>IF(SER_hh_fech!O11=0,0,SER_hh_fech!O11/SER_summary!O$26)</f>
        <v>0</v>
      </c>
      <c r="P11" s="132">
        <f>IF(SER_hh_fech!P11=0,0,SER_hh_fech!P11/SER_summary!P$26)</f>
        <v>0</v>
      </c>
      <c r="Q11" s="132">
        <f>IF(SER_hh_fech!Q11=0,0,SER_hh_fech!Q11/SER_summary!Q$26)</f>
        <v>0</v>
      </c>
      <c r="R11" s="132">
        <f>IF(SER_hh_fech!R11=0,0,SER_hh_fech!R11/SER_summary!R$26)</f>
        <v>0</v>
      </c>
      <c r="S11" s="132">
        <f>IF(SER_hh_fech!S11=0,0,SER_hh_fech!S11/SER_summary!S$26)</f>
        <v>0</v>
      </c>
      <c r="T11" s="132">
        <f>IF(SER_hh_fech!T11=0,0,SER_hh_fech!T11/SER_summary!T$26)</f>
        <v>0</v>
      </c>
      <c r="U11" s="132">
        <f>IF(SER_hh_fech!U11=0,0,SER_hh_fech!U11/SER_summary!U$26)</f>
        <v>0</v>
      </c>
      <c r="V11" s="132">
        <f>IF(SER_hh_fech!V11=0,0,SER_hh_fech!V11/SER_summary!V$26)</f>
        <v>0</v>
      </c>
      <c r="W11" s="132">
        <f>IF(SER_hh_fech!W11=0,0,SER_hh_fech!W11/SER_summary!W$26)</f>
        <v>0</v>
      </c>
      <c r="X11" s="132">
        <f>IF(SER_hh_fech!X11=0,0,SER_hh_fech!X11/SER_summary!X$26)</f>
        <v>0</v>
      </c>
      <c r="Y11" s="132">
        <f>IF(SER_hh_fech!Y11=0,0,SER_hh_fech!Y11/SER_summary!Y$26)</f>
        <v>0</v>
      </c>
      <c r="DA11" s="156" t="s">
        <v>485</v>
      </c>
    </row>
    <row r="12" spans="1:105" ht="12" customHeight="1" x14ac:dyDescent="0.25">
      <c r="A12" s="131" t="s">
        <v>162</v>
      </c>
      <c r="B12" s="132">
        <f>IF(SER_hh_fech!B12=0,0,SER_hh_fech!B12/SER_summary!B$26)</f>
        <v>160.86923060454518</v>
      </c>
      <c r="C12" s="132">
        <f>IF(SER_hh_fech!C12=0,0,SER_hh_fech!C12/SER_summary!C$26)</f>
        <v>181.94883343158193</v>
      </c>
      <c r="D12" s="132">
        <f>IF(SER_hh_fech!D12=0,0,SER_hh_fech!D12/SER_summary!D$26)</f>
        <v>185.89733274954105</v>
      </c>
      <c r="E12" s="132">
        <f>IF(SER_hh_fech!E12=0,0,SER_hh_fech!E12/SER_summary!E$26)</f>
        <v>187.91048983838613</v>
      </c>
      <c r="F12" s="132">
        <f>IF(SER_hh_fech!F12=0,0,SER_hh_fech!F12/SER_summary!F$26)</f>
        <v>181.09557273713321</v>
      </c>
      <c r="G12" s="132">
        <f>IF(SER_hh_fech!G12=0,0,SER_hh_fech!G12/SER_summary!G$26)</f>
        <v>175.2346594013124</v>
      </c>
      <c r="H12" s="132">
        <f>IF(SER_hh_fech!H12=0,0,SER_hh_fech!H12/SER_summary!H$26)</f>
        <v>175.39641483690696</v>
      </c>
      <c r="I12" s="132">
        <f>IF(SER_hh_fech!I12=0,0,SER_hh_fech!I12/SER_summary!I$26)</f>
        <v>191.90653502425391</v>
      </c>
      <c r="J12" s="132">
        <f>IF(SER_hh_fech!J12=0,0,SER_hh_fech!J12/SER_summary!J$26)</f>
        <v>185.1012271416437</v>
      </c>
      <c r="K12" s="132">
        <f>IF(SER_hh_fech!K12=0,0,SER_hh_fech!K12/SER_summary!K$26)</f>
        <v>213.01634617991971</v>
      </c>
      <c r="L12" s="132">
        <f>IF(SER_hh_fech!L12=0,0,SER_hh_fech!L12/SER_summary!L$26)</f>
        <v>227.36410097166612</v>
      </c>
      <c r="M12" s="132">
        <f>IF(SER_hh_fech!M12=0,0,SER_hh_fech!M12/SER_summary!M$26)</f>
        <v>187.49163229307715</v>
      </c>
      <c r="N12" s="132">
        <f>IF(SER_hh_fech!N12=0,0,SER_hh_fech!N12/SER_summary!N$26)</f>
        <v>207.34942597299829</v>
      </c>
      <c r="O12" s="132">
        <f>IF(SER_hh_fech!O12=0,0,SER_hh_fech!O12/SER_summary!O$26)</f>
        <v>194.62340004089248</v>
      </c>
      <c r="P12" s="132">
        <f>IF(SER_hh_fech!P12=0,0,SER_hh_fech!P12/SER_summary!P$26)</f>
        <v>209.20384682466394</v>
      </c>
      <c r="Q12" s="132">
        <f>IF(SER_hh_fech!Q12=0,0,SER_hh_fech!Q12/SER_summary!Q$26)</f>
        <v>184.28752302165813</v>
      </c>
      <c r="R12" s="132">
        <f>IF(SER_hh_fech!R12=0,0,SER_hh_fech!R12/SER_summary!R$26)</f>
        <v>202.60504850712204</v>
      </c>
      <c r="S12" s="132">
        <f>IF(SER_hh_fech!S12=0,0,SER_hh_fech!S12/SER_summary!S$26)</f>
        <v>199.90220530622952</v>
      </c>
      <c r="T12" s="132">
        <f>IF(SER_hh_fech!T12=0,0,SER_hh_fech!T12/SER_summary!T$26)</f>
        <v>203.74970381845594</v>
      </c>
      <c r="U12" s="132">
        <f>IF(SER_hh_fech!U12=0,0,SER_hh_fech!U12/SER_summary!U$26)</f>
        <v>196.06574346776131</v>
      </c>
      <c r="V12" s="132">
        <f>IF(SER_hh_fech!V12=0,0,SER_hh_fech!V12/SER_summary!V$26)</f>
        <v>177.32776493529053</v>
      </c>
      <c r="W12" s="132">
        <f>IF(SER_hh_fech!W12=0,0,SER_hh_fech!W12/SER_summary!W$26)</f>
        <v>207.25497426583667</v>
      </c>
      <c r="X12" s="132">
        <f>IF(SER_hh_fech!X12=0,0,SER_hh_fech!X12/SER_summary!X$26)</f>
        <v>189.7910472051785</v>
      </c>
      <c r="Y12" s="132">
        <f>IF(SER_hh_fech!Y12=0,0,SER_hh_fech!Y12/SER_summary!Y$26)</f>
        <v>189.9965916342102</v>
      </c>
      <c r="DA12" s="156" t="s">
        <v>486</v>
      </c>
    </row>
    <row r="13" spans="1:105" ht="12" customHeight="1" x14ac:dyDescent="0.25">
      <c r="A13" s="131" t="s">
        <v>77</v>
      </c>
      <c r="B13" s="132">
        <f>IF(SER_hh_fech!B13=0,0,SER_hh_fech!B13/SER_summary!B$26)</f>
        <v>83.306168331609371</v>
      </c>
      <c r="C13" s="132">
        <f>IF(SER_hh_fech!C13=0,0,SER_hh_fech!C13/SER_summary!C$26)</f>
        <v>90.135237135743481</v>
      </c>
      <c r="D13" s="132">
        <f>IF(SER_hh_fech!D13=0,0,SER_hh_fech!D13/SER_summary!D$26)</f>
        <v>89.993280830664219</v>
      </c>
      <c r="E13" s="132">
        <f>IF(SER_hh_fech!E13=0,0,SER_hh_fech!E13/SER_summary!E$26)</f>
        <v>88.075444518185208</v>
      </c>
      <c r="F13" s="132">
        <f>IF(SER_hh_fech!F13=0,0,SER_hh_fech!F13/SER_summary!F$26)</f>
        <v>85.288034694431829</v>
      </c>
      <c r="G13" s="132">
        <f>IF(SER_hh_fech!G13=0,0,SER_hh_fech!G13/SER_summary!G$26)</f>
        <v>82.490240299937611</v>
      </c>
      <c r="H13" s="132">
        <f>IF(SER_hh_fech!H13=0,0,SER_hh_fech!H13/SER_summary!H$26)</f>
        <v>80.965458004181883</v>
      </c>
      <c r="I13" s="132">
        <f>IF(SER_hh_fech!I13=0,0,SER_hh_fech!I13/SER_summary!I$26)</f>
        <v>81.240820475876319</v>
      </c>
      <c r="J13" s="132">
        <f>IF(SER_hh_fech!J13=0,0,SER_hh_fech!J13/SER_summary!J$26)</f>
        <v>81.857143595369067</v>
      </c>
      <c r="K13" s="132">
        <f>IF(SER_hh_fech!K13=0,0,SER_hh_fech!K13/SER_summary!K$26)</f>
        <v>82.702972310951822</v>
      </c>
      <c r="L13" s="132">
        <f>IF(SER_hh_fech!L13=0,0,SER_hh_fech!L13/SER_summary!L$26)</f>
        <v>81.258488705084332</v>
      </c>
      <c r="M13" s="132">
        <f>IF(SER_hh_fech!M13=0,0,SER_hh_fech!M13/SER_summary!M$26)</f>
        <v>75.867282283260465</v>
      </c>
      <c r="N13" s="132">
        <f>IF(SER_hh_fech!N13=0,0,SER_hh_fech!N13/SER_summary!N$26)</f>
        <v>73.10363347549287</v>
      </c>
      <c r="O13" s="132">
        <f>IF(SER_hh_fech!O13=0,0,SER_hh_fech!O13/SER_summary!O$26)</f>
        <v>67.68466304077738</v>
      </c>
      <c r="P13" s="132">
        <f>IF(SER_hh_fech!P13=0,0,SER_hh_fech!P13/SER_summary!P$26)</f>
        <v>64.860342302345856</v>
      </c>
      <c r="Q13" s="132">
        <f>IF(SER_hh_fech!Q13=0,0,SER_hh_fech!Q13/SER_summary!Q$26)</f>
        <v>64.199659565410627</v>
      </c>
      <c r="R13" s="132">
        <f>IF(SER_hh_fech!R13=0,0,SER_hh_fech!R13/SER_summary!R$26)</f>
        <v>60.863995200626995</v>
      </c>
      <c r="S13" s="132">
        <f>IF(SER_hh_fech!S13=0,0,SER_hh_fech!S13/SER_summary!S$26)</f>
        <v>58.716633713738382</v>
      </c>
      <c r="T13" s="132">
        <f>IF(SER_hh_fech!T13=0,0,SER_hh_fech!T13/SER_summary!T$26)</f>
        <v>58.376171408909507</v>
      </c>
      <c r="U13" s="132">
        <f>IF(SER_hh_fech!U13=0,0,SER_hh_fech!U13/SER_summary!U$26)</f>
        <v>54.434235995948626</v>
      </c>
      <c r="V13" s="132">
        <f>IF(SER_hh_fech!V13=0,0,SER_hh_fech!V13/SER_summary!V$26)</f>
        <v>47.868291142796345</v>
      </c>
      <c r="W13" s="132">
        <f>IF(SER_hh_fech!W13=0,0,SER_hh_fech!W13/SER_summary!W$26)</f>
        <v>53.551765544329626</v>
      </c>
      <c r="X13" s="132">
        <f>IF(SER_hh_fech!X13=0,0,SER_hh_fech!X13/SER_summary!X$26)</f>
        <v>49.374626361463136</v>
      </c>
      <c r="Y13" s="132">
        <f>IF(SER_hh_fech!Y13=0,0,SER_hh_fech!Y13/SER_summary!Y$26)</f>
        <v>51.494161810323916</v>
      </c>
      <c r="DA13" s="156" t="s">
        <v>487</v>
      </c>
    </row>
    <row r="14" spans="1:105" ht="12" customHeight="1" x14ac:dyDescent="0.25">
      <c r="A14" s="60" t="s">
        <v>76</v>
      </c>
      <c r="B14" s="65">
        <f>IF(SER_hh_fech!B14=0,0,SER_hh_fech!B14/SER_summary!B$26)</f>
        <v>182.4150498649955</v>
      </c>
      <c r="C14" s="65">
        <f>IF(SER_hh_fech!C14=0,0,SER_hh_fech!C14/SER_summary!C$26)</f>
        <v>204.63716863302542</v>
      </c>
      <c r="D14" s="65">
        <f>IF(SER_hh_fech!D14=0,0,SER_hh_fech!D14/SER_summary!D$26)</f>
        <v>213.00349320078536</v>
      </c>
      <c r="E14" s="65">
        <f>IF(SER_hh_fech!E14=0,0,SER_hh_fech!E14/SER_summary!E$26)</f>
        <v>202.69700049854197</v>
      </c>
      <c r="F14" s="65">
        <f>IF(SER_hh_fech!F14=0,0,SER_hh_fech!F14/SER_summary!F$26)</f>
        <v>204.2907367898498</v>
      </c>
      <c r="G14" s="65">
        <f>IF(SER_hh_fech!G14=0,0,SER_hh_fech!G14/SER_summary!G$26)</f>
        <v>201.17427217546074</v>
      </c>
      <c r="H14" s="65">
        <f>IF(SER_hh_fech!H14=0,0,SER_hh_fech!H14/SER_summary!H$26)</f>
        <v>203.40427943139912</v>
      </c>
      <c r="I14" s="65">
        <f>IF(SER_hh_fech!I14=0,0,SER_hh_fech!I14/SER_summary!I$26)</f>
        <v>206.42665395678344</v>
      </c>
      <c r="J14" s="65">
        <f>IF(SER_hh_fech!J14=0,0,SER_hh_fech!J14/SER_summary!J$26)</f>
        <v>211.0098659485416</v>
      </c>
      <c r="K14" s="65">
        <f>IF(SER_hh_fech!K14=0,0,SER_hh_fech!K14/SER_summary!K$26)</f>
        <v>228.52760448684191</v>
      </c>
      <c r="L14" s="65">
        <f>IF(SER_hh_fech!L14=0,0,SER_hh_fech!L14/SER_summary!L$26)</f>
        <v>241.59666522773813</v>
      </c>
      <c r="M14" s="65">
        <f>IF(SER_hh_fech!M14=0,0,SER_hh_fech!M14/SER_summary!M$26)</f>
        <v>215.62332639622318</v>
      </c>
      <c r="N14" s="65">
        <f>IF(SER_hh_fech!N14=0,0,SER_hh_fech!N14/SER_summary!N$26)</f>
        <v>231.80275835347408</v>
      </c>
      <c r="O14" s="65">
        <f>IF(SER_hh_fech!O14=0,0,SER_hh_fech!O14/SER_summary!O$26)</f>
        <v>217.45669896203202</v>
      </c>
      <c r="P14" s="65">
        <f>IF(SER_hh_fech!P14=0,0,SER_hh_fech!P14/SER_summary!P$26)</f>
        <v>215.02483602880147</v>
      </c>
      <c r="Q14" s="65">
        <f>IF(SER_hh_fech!Q14=0,0,SER_hh_fech!Q14/SER_summary!Q$26)</f>
        <v>209.21165444447652</v>
      </c>
      <c r="R14" s="65">
        <f>IF(SER_hh_fech!R14=0,0,SER_hh_fech!R14/SER_summary!R$26)</f>
        <v>216.65505171514928</v>
      </c>
      <c r="S14" s="65">
        <f>IF(SER_hh_fech!S14=0,0,SER_hh_fech!S14/SER_summary!S$26)</f>
        <v>206.43489871787503</v>
      </c>
      <c r="T14" s="65">
        <f>IF(SER_hh_fech!T14=0,0,SER_hh_fech!T14/SER_summary!T$26)</f>
        <v>227.6043269560609</v>
      </c>
      <c r="U14" s="65">
        <f>IF(SER_hh_fech!U14=0,0,SER_hh_fech!U14/SER_summary!U$26)</f>
        <v>211.6772087865173</v>
      </c>
      <c r="V14" s="65">
        <f>IF(SER_hh_fech!V14=0,0,SER_hh_fech!V14/SER_summary!V$26)</f>
        <v>192.04940996868584</v>
      </c>
      <c r="W14" s="65">
        <f>IF(SER_hh_fech!W14=0,0,SER_hh_fech!W14/SER_summary!W$26)</f>
        <v>208.00475128791453</v>
      </c>
      <c r="X14" s="65">
        <f>IF(SER_hh_fech!X14=0,0,SER_hh_fech!X14/SER_summary!X$26)</f>
        <v>211.83095893829048</v>
      </c>
      <c r="Y14" s="65">
        <f>IF(SER_hh_fech!Y14=0,0,SER_hh_fech!Y14/SER_summary!Y$26)</f>
        <v>186.53420389555052</v>
      </c>
      <c r="DA14" s="109" t="s">
        <v>488</v>
      </c>
    </row>
    <row r="15" spans="1:105" ht="12" customHeight="1" x14ac:dyDescent="0.25">
      <c r="A15" s="133" t="s">
        <v>80</v>
      </c>
      <c r="B15" s="134">
        <f>IF(SER_hh_fech!B15=0,0,SER_hh_fech!B15/SER_summary!B$26)</f>
        <v>1.0690219333639714</v>
      </c>
      <c r="C15" s="134">
        <f>IF(SER_hh_fech!C15=0,0,SER_hh_fech!C15/SER_summary!C$26)</f>
        <v>1.1353145340724631</v>
      </c>
      <c r="D15" s="134">
        <f>IF(SER_hh_fech!D15=0,0,SER_hh_fech!D15/SER_summary!D$26)</f>
        <v>1.1274096348150389</v>
      </c>
      <c r="E15" s="134">
        <f>IF(SER_hh_fech!E15=0,0,SER_hh_fech!E15/SER_summary!E$26)</f>
        <v>1.1108734864545551</v>
      </c>
      <c r="F15" s="134">
        <f>IF(SER_hh_fech!F15=0,0,SER_hh_fech!F15/SER_summary!F$26)</f>
        <v>1.0662650889036533</v>
      </c>
      <c r="G15" s="134">
        <f>IF(SER_hh_fech!G15=0,0,SER_hh_fech!G15/SER_summary!G$26)</f>
        <v>1.013788287568764</v>
      </c>
      <c r="H15" s="134">
        <f>IF(SER_hh_fech!H15=0,0,SER_hh_fech!H15/SER_summary!H$26)</f>
        <v>0.99727587193346567</v>
      </c>
      <c r="I15" s="134">
        <f>IF(SER_hh_fech!I15=0,0,SER_hh_fech!I15/SER_summary!I$26)</f>
        <v>1.0112786198409307</v>
      </c>
      <c r="J15" s="134">
        <f>IF(SER_hh_fech!J15=0,0,SER_hh_fech!J15/SER_summary!J$26)</f>
        <v>0.91702088711996388</v>
      </c>
      <c r="K15" s="134">
        <f>IF(SER_hh_fech!K15=0,0,SER_hh_fech!K15/SER_summary!K$26)</f>
        <v>1.0295324751384682</v>
      </c>
      <c r="L15" s="134">
        <f>IF(SER_hh_fech!L15=0,0,SER_hh_fech!L15/SER_summary!L$26)</f>
        <v>1.1434346319735316</v>
      </c>
      <c r="M15" s="134">
        <f>IF(SER_hh_fech!M15=0,0,SER_hh_fech!M15/SER_summary!M$26)</f>
        <v>0.97815002256899686</v>
      </c>
      <c r="N15" s="134">
        <f>IF(SER_hh_fech!N15=0,0,SER_hh_fech!N15/SER_summary!N$26)</f>
        <v>1.0861918012942462</v>
      </c>
      <c r="O15" s="134">
        <f>IF(SER_hh_fech!O15=0,0,SER_hh_fech!O15/SER_summary!O$26)</f>
        <v>1.0017003613256641</v>
      </c>
      <c r="P15" s="134">
        <f>IF(SER_hh_fech!P15=0,0,SER_hh_fech!P15/SER_summary!P$26)</f>
        <v>1.0288069087186114</v>
      </c>
      <c r="Q15" s="134">
        <f>IF(SER_hh_fech!Q15=0,0,SER_hh_fech!Q15/SER_summary!Q$26)</f>
        <v>0.91933140292539417</v>
      </c>
      <c r="R15" s="134">
        <f>IF(SER_hh_fech!R15=0,0,SER_hh_fech!R15/SER_summary!R$26)</f>
        <v>1.0076141097988225</v>
      </c>
      <c r="S15" s="134">
        <f>IF(SER_hh_fech!S15=0,0,SER_hh_fech!S15/SER_summary!S$26)</f>
        <v>1.0137737342324884</v>
      </c>
      <c r="T15" s="134">
        <f>IF(SER_hh_fech!T15=0,0,SER_hh_fech!T15/SER_summary!T$26)</f>
        <v>1.0261433414209271</v>
      </c>
      <c r="U15" s="134">
        <f>IF(SER_hh_fech!U15=0,0,SER_hh_fech!U15/SER_summary!U$26)</f>
        <v>1.0050474203702362</v>
      </c>
      <c r="V15" s="134">
        <f>IF(SER_hh_fech!V15=0,0,SER_hh_fech!V15/SER_summary!V$26)</f>
        <v>0.91484283549267409</v>
      </c>
      <c r="W15" s="134">
        <f>IF(SER_hh_fech!W15=0,0,SER_hh_fech!W15/SER_summary!W$26)</f>
        <v>1.0759143311334189</v>
      </c>
      <c r="X15" s="134">
        <f>IF(SER_hh_fech!X15=0,0,SER_hh_fech!X15/SER_summary!X$26)</f>
        <v>1.0049454266487694</v>
      </c>
      <c r="Y15" s="134">
        <f>IF(SER_hh_fech!Y15=0,0,SER_hh_fech!Y15/SER_summary!Y$26)</f>
        <v>0.99599424127977854</v>
      </c>
      <c r="DA15" s="157" t="s">
        <v>489</v>
      </c>
    </row>
    <row r="16" spans="1:105" ht="12.95" customHeight="1" x14ac:dyDescent="0.25">
      <c r="A16" s="129" t="s">
        <v>74</v>
      </c>
      <c r="B16" s="130">
        <f>IF(SER_hh_fech!B16=0,0,SER_hh_fech!B16/SER_summary!B$26)</f>
        <v>13.944447998660991</v>
      </c>
      <c r="C16" s="130">
        <f>IF(SER_hh_fech!C16=0,0,SER_hh_fech!C16/SER_summary!C$26)</f>
        <v>13.372083793299348</v>
      </c>
      <c r="D16" s="130">
        <f>IF(SER_hh_fech!D16=0,0,SER_hh_fech!D16/SER_summary!D$26)</f>
        <v>12.722617389903251</v>
      </c>
      <c r="E16" s="130">
        <f>IF(SER_hh_fech!E16=0,0,SER_hh_fech!E16/SER_summary!E$26)</f>
        <v>12.627736854631875</v>
      </c>
      <c r="F16" s="130">
        <f>IF(SER_hh_fech!F16=0,0,SER_hh_fech!F16/SER_summary!F$26)</f>
        <v>11.468726814525267</v>
      </c>
      <c r="G16" s="130">
        <f>IF(SER_hh_fech!G16=0,0,SER_hh_fech!G16/SER_summary!G$26)</f>
        <v>10.824284871350532</v>
      </c>
      <c r="H16" s="130">
        <f>IF(SER_hh_fech!H16=0,0,SER_hh_fech!H16/SER_summary!H$26)</f>
        <v>10.247444365794864</v>
      </c>
      <c r="I16" s="130">
        <f>IF(SER_hh_fech!I16=0,0,SER_hh_fech!I16/SER_summary!I$26)</f>
        <v>9.6267522926175655</v>
      </c>
      <c r="J16" s="130">
        <f>IF(SER_hh_fech!J16=0,0,SER_hh_fech!J16/SER_summary!J$26)</f>
        <v>9.0962315399803302</v>
      </c>
      <c r="K16" s="130">
        <f>IF(SER_hh_fech!K16=0,0,SER_hh_fech!K16/SER_summary!K$26)</f>
        <v>8.9307071324921292</v>
      </c>
      <c r="L16" s="130">
        <f>IF(SER_hh_fech!L16=0,0,SER_hh_fech!L16/SER_summary!L$26)</f>
        <v>9.3381194581244849</v>
      </c>
      <c r="M16" s="130">
        <f>IF(SER_hh_fech!M16=0,0,SER_hh_fech!M16/SER_summary!M$26)</f>
        <v>8.5297685887233534</v>
      </c>
      <c r="N16" s="130">
        <f>IF(SER_hh_fech!N16=0,0,SER_hh_fech!N16/SER_summary!N$26)</f>
        <v>8.1760332608336004</v>
      </c>
      <c r="O16" s="130">
        <f>IF(SER_hh_fech!O16=0,0,SER_hh_fech!O16/SER_summary!O$26)</f>
        <v>7.9026667439982567</v>
      </c>
      <c r="P16" s="130">
        <f>IF(SER_hh_fech!P16=0,0,SER_hh_fech!P16/SER_summary!P$26)</f>
        <v>7.6466442521446991</v>
      </c>
      <c r="Q16" s="130">
        <f>IF(SER_hh_fech!Q16=0,0,SER_hh_fech!Q16/SER_summary!Q$26)</f>
        <v>7.2618272588333097</v>
      </c>
      <c r="R16" s="130">
        <f>IF(SER_hh_fech!R16=0,0,SER_hh_fech!R16/SER_summary!R$26)</f>
        <v>7.1380016913986397</v>
      </c>
      <c r="S16" s="130">
        <f>IF(SER_hh_fech!S16=0,0,SER_hh_fech!S16/SER_summary!S$26)</f>
        <v>6.8866956032411029</v>
      </c>
      <c r="T16" s="130">
        <f>IF(SER_hh_fech!T16=0,0,SER_hh_fech!T16/SER_summary!T$26)</f>
        <v>6.6647871555549285</v>
      </c>
      <c r="U16" s="130">
        <f>IF(SER_hh_fech!U16=0,0,SER_hh_fech!U16/SER_summary!U$26)</f>
        <v>6.5429060365873415</v>
      </c>
      <c r="V16" s="130">
        <f>IF(SER_hh_fech!V16=0,0,SER_hh_fech!V16/SER_summary!V$26)</f>
        <v>6.4019190102858126</v>
      </c>
      <c r="W16" s="130">
        <f>IF(SER_hh_fech!W16=0,0,SER_hh_fech!W16/SER_summary!W$26)</f>
        <v>6.135955783970898</v>
      </c>
      <c r="X16" s="130">
        <f>IF(SER_hh_fech!X16=0,0,SER_hh_fech!X16/SER_summary!X$26)</f>
        <v>6.0810773976901897</v>
      </c>
      <c r="Y16" s="130">
        <f>IF(SER_hh_fech!Y16=0,0,SER_hh_fech!Y16/SER_summary!Y$26)</f>
        <v>5.9982046071157322</v>
      </c>
      <c r="DA16" s="155" t="s">
        <v>490</v>
      </c>
    </row>
    <row r="17" spans="1:105" ht="12.95" customHeight="1" x14ac:dyDescent="0.25">
      <c r="A17" s="131" t="s">
        <v>73</v>
      </c>
      <c r="B17" s="132">
        <f>IF(SER_hh_fech!B17=0,0,SER_hh_fech!B17/SER_summary!B$26)</f>
        <v>0</v>
      </c>
      <c r="C17" s="132">
        <f>IF(SER_hh_fech!C17=0,0,SER_hh_fech!C17/SER_summary!C$26)</f>
        <v>0</v>
      </c>
      <c r="D17" s="132">
        <f>IF(SER_hh_fech!D17=0,0,SER_hh_fech!D17/SER_summary!D$26)</f>
        <v>0</v>
      </c>
      <c r="E17" s="132">
        <f>IF(SER_hh_fech!E17=0,0,SER_hh_fech!E17/SER_summary!E$26)</f>
        <v>0</v>
      </c>
      <c r="F17" s="132">
        <f>IF(SER_hh_fech!F17=0,0,SER_hh_fech!F17/SER_summary!F$26)</f>
        <v>0</v>
      </c>
      <c r="G17" s="132">
        <f>IF(SER_hh_fech!G17=0,0,SER_hh_fech!G17/SER_summary!G$26)</f>
        <v>0</v>
      </c>
      <c r="H17" s="132">
        <f>IF(SER_hh_fech!H17=0,0,SER_hh_fech!H17/SER_summary!H$26)</f>
        <v>0</v>
      </c>
      <c r="I17" s="132">
        <f>IF(SER_hh_fech!I17=0,0,SER_hh_fech!I17/SER_summary!I$26)</f>
        <v>0</v>
      </c>
      <c r="J17" s="132">
        <f>IF(SER_hh_fech!J17=0,0,SER_hh_fech!J17/SER_summary!J$26)</f>
        <v>0</v>
      </c>
      <c r="K17" s="132">
        <f>IF(SER_hh_fech!K17=0,0,SER_hh_fech!K17/SER_summary!K$26)</f>
        <v>0</v>
      </c>
      <c r="L17" s="132">
        <f>IF(SER_hh_fech!L17=0,0,SER_hh_fech!L17/SER_summary!L$26)</f>
        <v>0</v>
      </c>
      <c r="M17" s="132">
        <f>IF(SER_hh_fech!M17=0,0,SER_hh_fech!M17/SER_summary!M$26)</f>
        <v>0</v>
      </c>
      <c r="N17" s="132">
        <f>IF(SER_hh_fech!N17=0,0,SER_hh_fech!N17/SER_summary!N$26)</f>
        <v>0</v>
      </c>
      <c r="O17" s="132">
        <f>IF(SER_hh_fech!O17=0,0,SER_hh_fech!O17/SER_summary!O$26)</f>
        <v>0</v>
      </c>
      <c r="P17" s="132">
        <f>IF(SER_hh_fech!P17=0,0,SER_hh_fech!P17/SER_summary!P$26)</f>
        <v>0</v>
      </c>
      <c r="Q17" s="132">
        <f>IF(SER_hh_fech!Q17=0,0,SER_hh_fech!Q17/SER_summary!Q$26)</f>
        <v>0</v>
      </c>
      <c r="R17" s="132">
        <f>IF(SER_hh_fech!R17=0,0,SER_hh_fech!R17/SER_summary!R$26)</f>
        <v>0</v>
      </c>
      <c r="S17" s="132">
        <f>IF(SER_hh_fech!S17=0,0,SER_hh_fech!S17/SER_summary!S$26)</f>
        <v>0</v>
      </c>
      <c r="T17" s="132">
        <f>IF(SER_hh_fech!T17=0,0,SER_hh_fech!T17/SER_summary!T$26)</f>
        <v>0</v>
      </c>
      <c r="U17" s="132">
        <f>IF(SER_hh_fech!U17=0,0,SER_hh_fech!U17/SER_summary!U$26)</f>
        <v>0</v>
      </c>
      <c r="V17" s="132">
        <f>IF(SER_hh_fech!V17=0,0,SER_hh_fech!V17/SER_summary!V$26)</f>
        <v>0</v>
      </c>
      <c r="W17" s="132">
        <f>IF(SER_hh_fech!W17=0,0,SER_hh_fech!W17/SER_summary!W$26)</f>
        <v>0</v>
      </c>
      <c r="X17" s="132">
        <f>IF(SER_hh_fech!X17=0,0,SER_hh_fech!X17/SER_summary!X$26)</f>
        <v>0</v>
      </c>
      <c r="Y17" s="132">
        <f>IF(SER_hh_fech!Y17=0,0,SER_hh_fech!Y17/SER_summary!Y$26)</f>
        <v>0</v>
      </c>
      <c r="DA17" s="156" t="s">
        <v>491</v>
      </c>
    </row>
    <row r="18" spans="1:105" ht="12" customHeight="1" x14ac:dyDescent="0.25">
      <c r="A18" s="131" t="s">
        <v>72</v>
      </c>
      <c r="B18" s="132">
        <f>IF(SER_hh_fech!B18=0,0,SER_hh_fech!B18/SER_summary!B$26)</f>
        <v>13.944447998660991</v>
      </c>
      <c r="C18" s="132">
        <f>IF(SER_hh_fech!C18=0,0,SER_hh_fech!C18/SER_summary!C$26)</f>
        <v>13.372083793299348</v>
      </c>
      <c r="D18" s="132">
        <f>IF(SER_hh_fech!D18=0,0,SER_hh_fech!D18/SER_summary!D$26)</f>
        <v>12.722617389903251</v>
      </c>
      <c r="E18" s="132">
        <f>IF(SER_hh_fech!E18=0,0,SER_hh_fech!E18/SER_summary!E$26)</f>
        <v>12.627736854631875</v>
      </c>
      <c r="F18" s="132">
        <f>IF(SER_hh_fech!F18=0,0,SER_hh_fech!F18/SER_summary!F$26)</f>
        <v>11.468726814525267</v>
      </c>
      <c r="G18" s="132">
        <f>IF(SER_hh_fech!G18=0,0,SER_hh_fech!G18/SER_summary!G$26)</f>
        <v>10.824284871350532</v>
      </c>
      <c r="H18" s="132">
        <f>IF(SER_hh_fech!H18=0,0,SER_hh_fech!H18/SER_summary!H$26)</f>
        <v>10.247444365794864</v>
      </c>
      <c r="I18" s="132">
        <f>IF(SER_hh_fech!I18=0,0,SER_hh_fech!I18/SER_summary!I$26)</f>
        <v>9.6267522926175655</v>
      </c>
      <c r="J18" s="132">
        <f>IF(SER_hh_fech!J18=0,0,SER_hh_fech!J18/SER_summary!J$26)</f>
        <v>9.0962315399803302</v>
      </c>
      <c r="K18" s="132">
        <f>IF(SER_hh_fech!K18=0,0,SER_hh_fech!K18/SER_summary!K$26)</f>
        <v>8.9307071324921292</v>
      </c>
      <c r="L18" s="132">
        <f>IF(SER_hh_fech!L18=0,0,SER_hh_fech!L18/SER_summary!L$26)</f>
        <v>9.3381194581244849</v>
      </c>
      <c r="M18" s="132">
        <f>IF(SER_hh_fech!M18=0,0,SER_hh_fech!M18/SER_summary!M$26)</f>
        <v>8.5297685887233534</v>
      </c>
      <c r="N18" s="132">
        <f>IF(SER_hh_fech!N18=0,0,SER_hh_fech!N18/SER_summary!N$26)</f>
        <v>8.1760332608336004</v>
      </c>
      <c r="O18" s="132">
        <f>IF(SER_hh_fech!O18=0,0,SER_hh_fech!O18/SER_summary!O$26)</f>
        <v>7.9026667439982567</v>
      </c>
      <c r="P18" s="132">
        <f>IF(SER_hh_fech!P18=0,0,SER_hh_fech!P18/SER_summary!P$26)</f>
        <v>7.6466442521446991</v>
      </c>
      <c r="Q18" s="132">
        <f>IF(SER_hh_fech!Q18=0,0,SER_hh_fech!Q18/SER_summary!Q$26)</f>
        <v>7.2618272588333097</v>
      </c>
      <c r="R18" s="132">
        <f>IF(SER_hh_fech!R18=0,0,SER_hh_fech!R18/SER_summary!R$26)</f>
        <v>7.1380016913986397</v>
      </c>
      <c r="S18" s="132">
        <f>IF(SER_hh_fech!S18=0,0,SER_hh_fech!S18/SER_summary!S$26)</f>
        <v>6.8866956032411029</v>
      </c>
      <c r="T18" s="132">
        <f>IF(SER_hh_fech!T18=0,0,SER_hh_fech!T18/SER_summary!T$26)</f>
        <v>6.6647871555549285</v>
      </c>
      <c r="U18" s="132">
        <f>IF(SER_hh_fech!U18=0,0,SER_hh_fech!U18/SER_summary!U$26)</f>
        <v>6.5429060365873415</v>
      </c>
      <c r="V18" s="132">
        <f>IF(SER_hh_fech!V18=0,0,SER_hh_fech!V18/SER_summary!V$26)</f>
        <v>6.4019190102858126</v>
      </c>
      <c r="W18" s="132">
        <f>IF(SER_hh_fech!W18=0,0,SER_hh_fech!W18/SER_summary!W$26)</f>
        <v>6.135955783970898</v>
      </c>
      <c r="X18" s="132">
        <f>IF(SER_hh_fech!X18=0,0,SER_hh_fech!X18/SER_summary!X$26)</f>
        <v>6.0810773976901897</v>
      </c>
      <c r="Y18" s="132">
        <f>IF(SER_hh_fech!Y18=0,0,SER_hh_fech!Y18/SER_summary!Y$26)</f>
        <v>5.9982046071157322</v>
      </c>
      <c r="DA18" s="156" t="s">
        <v>492</v>
      </c>
    </row>
    <row r="19" spans="1:105" ht="12.95" customHeight="1" x14ac:dyDescent="0.25">
      <c r="A19" s="129" t="s">
        <v>35</v>
      </c>
      <c r="B19" s="130">
        <f>IF(SER_hh_fech!B19=0,0,SER_hh_fech!B19/SER_summary!B$26)</f>
        <v>25.861979536820865</v>
      </c>
      <c r="C19" s="130">
        <f>IF(SER_hh_fech!C19=0,0,SER_hh_fech!C19/SER_summary!C$26)</f>
        <v>25.809247127510012</v>
      </c>
      <c r="D19" s="130">
        <f>IF(SER_hh_fech!D19=0,0,SER_hh_fech!D19/SER_summary!D$26)</f>
        <v>25.693148603632931</v>
      </c>
      <c r="E19" s="130">
        <f>IF(SER_hh_fech!E19=0,0,SER_hh_fech!E19/SER_summary!E$26)</f>
        <v>25.842325629373637</v>
      </c>
      <c r="F19" s="130">
        <f>IF(SER_hh_fech!F19=0,0,SER_hh_fech!F19/SER_summary!F$26)</f>
        <v>25.651566896961214</v>
      </c>
      <c r="G19" s="130">
        <f>IF(SER_hh_fech!G19=0,0,SER_hh_fech!G19/SER_summary!G$26)</f>
        <v>25.858423491688495</v>
      </c>
      <c r="H19" s="130">
        <f>IF(SER_hh_fech!H19=0,0,SER_hh_fech!H19/SER_summary!H$26)</f>
        <v>25.584451369429452</v>
      </c>
      <c r="I19" s="130">
        <f>IF(SER_hh_fech!I19=0,0,SER_hh_fech!I19/SER_summary!I$26)</f>
        <v>25.281140359881878</v>
      </c>
      <c r="J19" s="130">
        <f>IF(SER_hh_fech!J19=0,0,SER_hh_fech!J19/SER_summary!J$26)</f>
        <v>25.246176093372437</v>
      </c>
      <c r="K19" s="130">
        <f>IF(SER_hh_fech!K19=0,0,SER_hh_fech!K19/SER_summary!K$26)</f>
        <v>25.286390059383514</v>
      </c>
      <c r="L19" s="130">
        <f>IF(SER_hh_fech!L19=0,0,SER_hh_fech!L19/SER_summary!L$26)</f>
        <v>25.534649322136598</v>
      </c>
      <c r="M19" s="130">
        <f>IF(SER_hh_fech!M19=0,0,SER_hh_fech!M19/SER_summary!M$26)</f>
        <v>25.70510768744062</v>
      </c>
      <c r="N19" s="130">
        <f>IF(SER_hh_fech!N19=0,0,SER_hh_fech!N19/SER_summary!N$26)</f>
        <v>25.830805786939273</v>
      </c>
      <c r="O19" s="130">
        <f>IF(SER_hh_fech!O19=0,0,SER_hh_fech!O19/SER_summary!O$26)</f>
        <v>25.964166021145793</v>
      </c>
      <c r="P19" s="130">
        <f>IF(SER_hh_fech!P19=0,0,SER_hh_fech!P19/SER_summary!P$26)</f>
        <v>26.218490978493069</v>
      </c>
      <c r="Q19" s="130">
        <f>IF(SER_hh_fech!Q19=0,0,SER_hh_fech!Q19/SER_summary!Q$26)</f>
        <v>26.340840431916266</v>
      </c>
      <c r="R19" s="130">
        <f>IF(SER_hh_fech!R19=0,0,SER_hh_fech!R19/SER_summary!R$26)</f>
        <v>26.075786303746739</v>
      </c>
      <c r="S19" s="130">
        <f>IF(SER_hh_fech!S19=0,0,SER_hh_fech!S19/SER_summary!S$26)</f>
        <v>26.205540341187959</v>
      </c>
      <c r="T19" s="130">
        <f>IF(SER_hh_fech!T19=0,0,SER_hh_fech!T19/SER_summary!T$26)</f>
        <v>26.011647561131554</v>
      </c>
      <c r="U19" s="130">
        <f>IF(SER_hh_fech!U19=0,0,SER_hh_fech!U19/SER_summary!U$26)</f>
        <v>26.176639994675902</v>
      </c>
      <c r="V19" s="130">
        <f>IF(SER_hh_fech!V19=0,0,SER_hh_fech!V19/SER_summary!V$26)</f>
        <v>23.682487331689789</v>
      </c>
      <c r="W19" s="130">
        <f>IF(SER_hh_fech!W19=0,0,SER_hh_fech!W19/SER_summary!W$26)</f>
        <v>25.947878768366486</v>
      </c>
      <c r="X19" s="130">
        <f>IF(SER_hh_fech!X19=0,0,SER_hh_fech!X19/SER_summary!X$26)</f>
        <v>25.733779771583947</v>
      </c>
      <c r="Y19" s="130">
        <f>IF(SER_hh_fech!Y19=0,0,SER_hh_fech!Y19/SER_summary!Y$26)</f>
        <v>25.648533453270058</v>
      </c>
      <c r="DA19" s="155" t="s">
        <v>493</v>
      </c>
    </row>
    <row r="20" spans="1:105" ht="12" customHeight="1" x14ac:dyDescent="0.25">
      <c r="A20" s="131" t="s">
        <v>29</v>
      </c>
      <c r="B20" s="132">
        <f>IF(SER_hh_fech!B20=0,0,SER_hh_fech!B20/SER_summary!B$26)</f>
        <v>0</v>
      </c>
      <c r="C20" s="132">
        <f>IF(SER_hh_fech!C20=0,0,SER_hh_fech!C20/SER_summary!C$26)</f>
        <v>0</v>
      </c>
      <c r="D20" s="132">
        <f>IF(SER_hh_fech!D20=0,0,SER_hh_fech!D20/SER_summary!D$26)</f>
        <v>0</v>
      </c>
      <c r="E20" s="132">
        <f>IF(SER_hh_fech!E20=0,0,SER_hh_fech!E20/SER_summary!E$26)</f>
        <v>0</v>
      </c>
      <c r="F20" s="132">
        <f>IF(SER_hh_fech!F20=0,0,SER_hh_fech!F20/SER_summary!F$26)</f>
        <v>0</v>
      </c>
      <c r="G20" s="132">
        <f>IF(SER_hh_fech!G20=0,0,SER_hh_fech!G20/SER_summary!G$26)</f>
        <v>0</v>
      </c>
      <c r="H20" s="132">
        <f>IF(SER_hh_fech!H20=0,0,SER_hh_fech!H20/SER_summary!H$26)</f>
        <v>0</v>
      </c>
      <c r="I20" s="132">
        <f>IF(SER_hh_fech!I20=0,0,SER_hh_fech!I20/SER_summary!I$26)</f>
        <v>0</v>
      </c>
      <c r="J20" s="132">
        <f>IF(SER_hh_fech!J20=0,0,SER_hh_fech!J20/SER_summary!J$26)</f>
        <v>0</v>
      </c>
      <c r="K20" s="132">
        <f>IF(SER_hh_fech!K20=0,0,SER_hh_fech!K20/SER_summary!K$26)</f>
        <v>0</v>
      </c>
      <c r="L20" s="132">
        <f>IF(SER_hh_fech!L20=0,0,SER_hh_fech!L20/SER_summary!L$26)</f>
        <v>0</v>
      </c>
      <c r="M20" s="132">
        <f>IF(SER_hh_fech!M20=0,0,SER_hh_fech!M20/SER_summary!M$26)</f>
        <v>0</v>
      </c>
      <c r="N20" s="132">
        <f>IF(SER_hh_fech!N20=0,0,SER_hh_fech!N20/SER_summary!N$26)</f>
        <v>0</v>
      </c>
      <c r="O20" s="132">
        <f>IF(SER_hh_fech!O20=0,0,SER_hh_fech!O20/SER_summary!O$26)</f>
        <v>0</v>
      </c>
      <c r="P20" s="132">
        <f>IF(SER_hh_fech!P20=0,0,SER_hh_fech!P20/SER_summary!P$26)</f>
        <v>0</v>
      </c>
      <c r="Q20" s="132">
        <f>IF(SER_hh_fech!Q20=0,0,SER_hh_fech!Q20/SER_summary!Q$26)</f>
        <v>0</v>
      </c>
      <c r="R20" s="132">
        <f>IF(SER_hh_fech!R20=0,0,SER_hh_fech!R20/SER_summary!R$26)</f>
        <v>0</v>
      </c>
      <c r="S20" s="132">
        <f>IF(SER_hh_fech!S20=0,0,SER_hh_fech!S20/SER_summary!S$26)</f>
        <v>0</v>
      </c>
      <c r="T20" s="132">
        <f>IF(SER_hh_fech!T20=0,0,SER_hh_fech!T20/SER_summary!T$26)</f>
        <v>0</v>
      </c>
      <c r="U20" s="132">
        <f>IF(SER_hh_fech!U20=0,0,SER_hh_fech!U20/SER_summary!U$26)</f>
        <v>0</v>
      </c>
      <c r="V20" s="132">
        <f>IF(SER_hh_fech!V20=0,0,SER_hh_fech!V20/SER_summary!V$26)</f>
        <v>0</v>
      </c>
      <c r="W20" s="132">
        <f>IF(SER_hh_fech!W20=0,0,SER_hh_fech!W20/SER_summary!W$26)</f>
        <v>0</v>
      </c>
      <c r="X20" s="132">
        <f>IF(SER_hh_fech!X20=0,0,SER_hh_fech!X20/SER_summary!X$26)</f>
        <v>0</v>
      </c>
      <c r="Y20" s="132">
        <f>IF(SER_hh_fech!Y20=0,0,SER_hh_fech!Y20/SER_summary!Y$26)</f>
        <v>0</v>
      </c>
      <c r="DA20" s="156" t="s">
        <v>494</v>
      </c>
    </row>
    <row r="21" spans="1:105" s="2" customFormat="1" ht="12" customHeight="1" x14ac:dyDescent="0.25">
      <c r="A21" s="131" t="s">
        <v>52</v>
      </c>
      <c r="B21" s="132">
        <f>IF(SER_hh_fech!B21=0,0,SER_hh_fech!B21/SER_summary!B$26)</f>
        <v>0</v>
      </c>
      <c r="C21" s="132">
        <f>IF(SER_hh_fech!C21=0,0,SER_hh_fech!C21/SER_summary!C$26)</f>
        <v>0</v>
      </c>
      <c r="D21" s="132">
        <f>IF(SER_hh_fech!D21=0,0,SER_hh_fech!D21/SER_summary!D$26)</f>
        <v>0</v>
      </c>
      <c r="E21" s="132">
        <f>IF(SER_hh_fech!E21=0,0,SER_hh_fech!E21/SER_summary!E$26)</f>
        <v>0</v>
      </c>
      <c r="F21" s="132">
        <f>IF(SER_hh_fech!F21=0,0,SER_hh_fech!F21/SER_summary!F$26)</f>
        <v>0</v>
      </c>
      <c r="G21" s="132">
        <f>IF(SER_hh_fech!G21=0,0,SER_hh_fech!G21/SER_summary!G$26)</f>
        <v>0</v>
      </c>
      <c r="H21" s="132">
        <f>IF(SER_hh_fech!H21=0,0,SER_hh_fech!H21/SER_summary!H$26)</f>
        <v>0</v>
      </c>
      <c r="I21" s="132">
        <f>IF(SER_hh_fech!I21=0,0,SER_hh_fech!I21/SER_summary!I$26)</f>
        <v>0</v>
      </c>
      <c r="J21" s="132">
        <f>IF(SER_hh_fech!J21=0,0,SER_hh_fech!J21/SER_summary!J$26)</f>
        <v>0</v>
      </c>
      <c r="K21" s="132">
        <f>IF(SER_hh_fech!K21=0,0,SER_hh_fech!K21/SER_summary!K$26)</f>
        <v>0</v>
      </c>
      <c r="L21" s="132">
        <f>IF(SER_hh_fech!L21=0,0,SER_hh_fech!L21/SER_summary!L$26)</f>
        <v>0</v>
      </c>
      <c r="M21" s="132">
        <f>IF(SER_hh_fech!M21=0,0,SER_hh_fech!M21/SER_summary!M$26)</f>
        <v>0</v>
      </c>
      <c r="N21" s="132">
        <f>IF(SER_hh_fech!N21=0,0,SER_hh_fech!N21/SER_summary!N$26)</f>
        <v>0</v>
      </c>
      <c r="O21" s="132">
        <f>IF(SER_hh_fech!O21=0,0,SER_hh_fech!O21/SER_summary!O$26)</f>
        <v>0</v>
      </c>
      <c r="P21" s="132">
        <f>IF(SER_hh_fech!P21=0,0,SER_hh_fech!P21/SER_summary!P$26)</f>
        <v>0</v>
      </c>
      <c r="Q21" s="132">
        <f>IF(SER_hh_fech!Q21=0,0,SER_hh_fech!Q21/SER_summary!Q$26)</f>
        <v>0</v>
      </c>
      <c r="R21" s="132">
        <f>IF(SER_hh_fech!R21=0,0,SER_hh_fech!R21/SER_summary!R$26)</f>
        <v>0</v>
      </c>
      <c r="S21" s="132">
        <f>IF(SER_hh_fech!S21=0,0,SER_hh_fech!S21/SER_summary!S$26)</f>
        <v>0</v>
      </c>
      <c r="T21" s="132">
        <f>IF(SER_hh_fech!T21=0,0,SER_hh_fech!T21/SER_summary!T$26)</f>
        <v>0</v>
      </c>
      <c r="U21" s="132">
        <f>IF(SER_hh_fech!U21=0,0,SER_hh_fech!U21/SER_summary!U$26)</f>
        <v>0</v>
      </c>
      <c r="V21" s="132">
        <f>IF(SER_hh_fech!V21=0,0,SER_hh_fech!V21/SER_summary!V$26)</f>
        <v>0</v>
      </c>
      <c r="W21" s="132">
        <f>IF(SER_hh_fech!W21=0,0,SER_hh_fech!W21/SER_summary!W$26)</f>
        <v>0</v>
      </c>
      <c r="X21" s="132">
        <f>IF(SER_hh_fech!X21=0,0,SER_hh_fech!X21/SER_summary!X$26)</f>
        <v>0</v>
      </c>
      <c r="Y21" s="132">
        <f>IF(SER_hh_fech!Y21=0,0,SER_hh_fech!Y21/SER_summary!Y$26)</f>
        <v>0</v>
      </c>
      <c r="DA21" s="156" t="s">
        <v>495</v>
      </c>
    </row>
    <row r="22" spans="1:105" ht="12" customHeight="1" x14ac:dyDescent="0.25">
      <c r="A22" s="131" t="s">
        <v>161</v>
      </c>
      <c r="B22" s="132">
        <f>IF(SER_hh_fech!B22=0,0,SER_hh_fech!B22/SER_summary!B$26)</f>
        <v>34.269968067161685</v>
      </c>
      <c r="C22" s="132">
        <f>IF(SER_hh_fech!C22=0,0,SER_hh_fech!C22/SER_summary!C$26)</f>
        <v>34.105907693281793</v>
      </c>
      <c r="D22" s="132">
        <f>IF(SER_hh_fech!D22=0,0,SER_hh_fech!D22/SER_summary!D$26)</f>
        <v>34.530610241028839</v>
      </c>
      <c r="E22" s="132">
        <f>IF(SER_hh_fech!E22=0,0,SER_hh_fech!E22/SER_summary!E$26)</f>
        <v>34.576431331399533</v>
      </c>
      <c r="F22" s="132">
        <f>IF(SER_hh_fech!F22=0,0,SER_hh_fech!F22/SER_summary!F$26)</f>
        <v>34.339684495233918</v>
      </c>
      <c r="G22" s="132">
        <f>IF(SER_hh_fech!G22=0,0,SER_hh_fech!G22/SER_summary!G$26)</f>
        <v>34.041293607956433</v>
      </c>
      <c r="H22" s="132">
        <f>IF(SER_hh_fech!H22=0,0,SER_hh_fech!H22/SER_summary!H$26)</f>
        <v>34.292355687083059</v>
      </c>
      <c r="I22" s="132">
        <f>IF(SER_hh_fech!I22=0,0,SER_hh_fech!I22/SER_summary!I$26)</f>
        <v>33.977139531729243</v>
      </c>
      <c r="J22" s="132">
        <f>IF(SER_hh_fech!J22=0,0,SER_hh_fech!J22/SER_summary!J$26)</f>
        <v>33.438361733224191</v>
      </c>
      <c r="K22" s="132">
        <f>IF(SER_hh_fech!K22=0,0,SER_hh_fech!K22/SER_summary!K$26)</f>
        <v>32.850985063661589</v>
      </c>
      <c r="L22" s="132">
        <f>IF(SER_hh_fech!L22=0,0,SER_hh_fech!L22/SER_summary!L$26)</f>
        <v>34.650125279505204</v>
      </c>
      <c r="M22" s="132">
        <f>IF(SER_hh_fech!M22=0,0,SER_hh_fech!M22/SER_summary!M$26)</f>
        <v>34.56497007322487</v>
      </c>
      <c r="N22" s="132">
        <f>IF(SER_hh_fech!N22=0,0,SER_hh_fech!N22/SER_summary!N$26)</f>
        <v>34.007033145339399</v>
      </c>
      <c r="O22" s="132">
        <f>IF(SER_hh_fech!O22=0,0,SER_hh_fech!O22/SER_summary!O$26)</f>
        <v>34.352972855462212</v>
      </c>
      <c r="P22" s="132">
        <f>IF(SER_hh_fech!P22=0,0,SER_hh_fech!P22/SER_summary!P$26)</f>
        <v>33.921111377042031</v>
      </c>
      <c r="Q22" s="132">
        <f>IF(SER_hh_fech!Q22=0,0,SER_hh_fech!Q22/SER_summary!Q$26)</f>
        <v>34.377271436885621</v>
      </c>
      <c r="R22" s="132">
        <f>IF(SER_hh_fech!R22=0,0,SER_hh_fech!R22/SER_summary!R$26)</f>
        <v>36.00414744936468</v>
      </c>
      <c r="S22" s="132">
        <f>IF(SER_hh_fech!S22=0,0,SER_hh_fech!S22/SER_summary!S$26)</f>
        <v>34.500047385003086</v>
      </c>
      <c r="T22" s="132">
        <f>IF(SER_hh_fech!T22=0,0,SER_hh_fech!T22/SER_summary!T$26)</f>
        <v>32.895736002298122</v>
      </c>
      <c r="U22" s="132">
        <f>IF(SER_hh_fech!U22=0,0,SER_hh_fech!U22/SER_summary!U$26)</f>
        <v>33.467454722069441</v>
      </c>
      <c r="V22" s="132">
        <f>IF(SER_hh_fech!V22=0,0,SER_hh_fech!V22/SER_summary!V$26)</f>
        <v>30.370211304264686</v>
      </c>
      <c r="W22" s="132">
        <f>IF(SER_hh_fech!W22=0,0,SER_hh_fech!W22/SER_summary!W$26)</f>
        <v>35.021874031540676</v>
      </c>
      <c r="X22" s="132">
        <f>IF(SER_hh_fech!X22=0,0,SER_hh_fech!X22/SER_summary!X$26)</f>
        <v>32.454246225825358</v>
      </c>
      <c r="Y22" s="132">
        <f>IF(SER_hh_fech!Y22=0,0,SER_hh_fech!Y22/SER_summary!Y$26)</f>
        <v>30.53377615804672</v>
      </c>
      <c r="DA22" s="156" t="s">
        <v>496</v>
      </c>
    </row>
    <row r="23" spans="1:105" ht="12" customHeight="1" x14ac:dyDescent="0.25">
      <c r="A23" s="131" t="s">
        <v>149</v>
      </c>
      <c r="B23" s="132">
        <f>IF(SER_hh_fech!B23=0,0,SER_hh_fech!B23/SER_summary!B$26)</f>
        <v>33.626563081900734</v>
      </c>
      <c r="C23" s="132">
        <f>IF(SER_hh_fech!C23=0,0,SER_hh_fech!C23/SER_summary!C$26)</f>
        <v>33.366919391412083</v>
      </c>
      <c r="D23" s="132">
        <f>IF(SER_hh_fech!D23=0,0,SER_hh_fech!D23/SER_summary!D$26)</f>
        <v>33.141126868453135</v>
      </c>
      <c r="E23" s="132">
        <f>IF(SER_hh_fech!E23=0,0,SER_hh_fech!E23/SER_summary!E$26)</f>
        <v>32.834222991786078</v>
      </c>
      <c r="F23" s="132">
        <f>IF(SER_hh_fech!F23=0,0,SER_hh_fech!F23/SER_summary!F$26)</f>
        <v>33.118118146787474</v>
      </c>
      <c r="G23" s="132">
        <f>IF(SER_hh_fech!G23=0,0,SER_hh_fech!G23/SER_summary!G$26)</f>
        <v>33.333616529004999</v>
      </c>
      <c r="H23" s="132">
        <f>IF(SER_hh_fech!H23=0,0,SER_hh_fech!H23/SER_summary!H$26)</f>
        <v>31.986141557551605</v>
      </c>
      <c r="I23" s="132">
        <f>IF(SER_hh_fech!I23=0,0,SER_hh_fech!I23/SER_summary!I$26)</f>
        <v>31.895620494309867</v>
      </c>
      <c r="J23" s="132">
        <f>IF(SER_hh_fech!J23=0,0,SER_hh_fech!J23/SER_summary!J$26)</f>
        <v>32.065228459862382</v>
      </c>
      <c r="K23" s="132">
        <f>IF(SER_hh_fech!K23=0,0,SER_hh_fech!K23/SER_summary!K$26)</f>
        <v>31.504918057822884</v>
      </c>
      <c r="L23" s="132">
        <f>IF(SER_hh_fech!L23=0,0,SER_hh_fech!L23/SER_summary!L$26)</f>
        <v>30.868957609137656</v>
      </c>
      <c r="M23" s="132">
        <f>IF(SER_hh_fech!M23=0,0,SER_hh_fech!M23/SER_summary!M$26)</f>
        <v>31.054861743290708</v>
      </c>
      <c r="N23" s="132">
        <f>IF(SER_hh_fech!N23=0,0,SER_hh_fech!N23/SER_summary!N$26)</f>
        <v>30.923661703190522</v>
      </c>
      <c r="O23" s="132">
        <f>IF(SER_hh_fech!O23=0,0,SER_hh_fech!O23/SER_summary!O$26)</f>
        <v>30.695104365038237</v>
      </c>
      <c r="P23" s="132">
        <f>IF(SER_hh_fech!P23=0,0,SER_hh_fech!P23/SER_summary!P$26)</f>
        <v>30.598065546496439</v>
      </c>
      <c r="Q23" s="132">
        <f>IF(SER_hh_fech!Q23=0,0,SER_hh_fech!Q23/SER_summary!Q$26)</f>
        <v>30.271965410204317</v>
      </c>
      <c r="R23" s="132">
        <f>IF(SER_hh_fech!R23=0,0,SER_hh_fech!R23/SER_summary!R$26)</f>
        <v>29.193579936032876</v>
      </c>
      <c r="S23" s="132">
        <f>IF(SER_hh_fech!S23=0,0,SER_hh_fech!S23/SER_summary!S$26)</f>
        <v>33.264015551648782</v>
      </c>
      <c r="T23" s="132">
        <f>IF(SER_hh_fech!T23=0,0,SER_hh_fech!T23/SER_summary!T$26)</f>
        <v>28.907131886020601</v>
      </c>
      <c r="U23" s="132">
        <f>IF(SER_hh_fech!U23=0,0,SER_hh_fech!U23/SER_summary!U$26)</f>
        <v>27.251958764425432</v>
      </c>
      <c r="V23" s="132">
        <f>IF(SER_hh_fech!V23=0,0,SER_hh_fech!V23/SER_summary!V$26)</f>
        <v>25.997475597210684</v>
      </c>
      <c r="W23" s="132">
        <f>IF(SER_hh_fech!W23=0,0,SER_hh_fech!W23/SER_summary!W$26)</f>
        <v>33.435194476047116</v>
      </c>
      <c r="X23" s="132">
        <f>IF(SER_hh_fech!X23=0,0,SER_hh_fech!X23/SER_summary!X$26)</f>
        <v>29.20169810057126</v>
      </c>
      <c r="Y23" s="132">
        <f>IF(SER_hh_fech!Y23=0,0,SER_hh_fech!Y23/SER_summary!Y$26)</f>
        <v>25.136828702535688</v>
      </c>
      <c r="DA23" s="156" t="s">
        <v>497</v>
      </c>
    </row>
    <row r="24" spans="1:105" ht="12" customHeight="1" x14ac:dyDescent="0.25">
      <c r="A24" s="131" t="s">
        <v>128</v>
      </c>
      <c r="B24" s="132">
        <f>IF(SER_hh_fech!B24=0,0,SER_hh_fech!B24/SER_summary!B$26)</f>
        <v>36.084942483650046</v>
      </c>
      <c r="C24" s="132">
        <f>IF(SER_hh_fech!C24=0,0,SER_hh_fech!C24/SER_summary!C$26)</f>
        <v>39.709326467907111</v>
      </c>
      <c r="D24" s="132">
        <f>IF(SER_hh_fech!D24=0,0,SER_hh_fech!D24/SER_summary!D$26)</f>
        <v>37.922228486568343</v>
      </c>
      <c r="E24" s="132">
        <f>IF(SER_hh_fech!E24=0,0,SER_hh_fech!E24/SER_summary!E$26)</f>
        <v>36.16308948619055</v>
      </c>
      <c r="F24" s="132">
        <f>IF(SER_hh_fech!F24=0,0,SER_hh_fech!F24/SER_summary!F$26)</f>
        <v>35.580890727187544</v>
      </c>
      <c r="G24" s="132">
        <f>IF(SER_hh_fech!G24=0,0,SER_hh_fech!G24/SER_summary!G$26)</f>
        <v>34.524166368167094</v>
      </c>
      <c r="H24" s="132">
        <f>IF(SER_hh_fech!H24=0,0,SER_hh_fech!H24/SER_summary!H$26)</f>
        <v>33.689567665254586</v>
      </c>
      <c r="I24" s="132">
        <f>IF(SER_hh_fech!I24=0,0,SER_hh_fech!I24/SER_summary!I$26)</f>
        <v>32.413361229198244</v>
      </c>
      <c r="J24" s="132">
        <f>IF(SER_hh_fech!J24=0,0,SER_hh_fech!J24/SER_summary!J$26)</f>
        <v>33.233074229192738</v>
      </c>
      <c r="K24" s="132">
        <f>IF(SER_hh_fech!K24=0,0,SER_hh_fech!K24/SER_summary!K$26)</f>
        <v>31.005574299517377</v>
      </c>
      <c r="L24" s="132">
        <f>IF(SER_hh_fech!L24=0,0,SER_hh_fech!L24/SER_summary!L$26)</f>
        <v>30.881380630211332</v>
      </c>
      <c r="M24" s="132">
        <f>IF(SER_hh_fech!M24=0,0,SER_hh_fech!M24/SER_summary!M$26)</f>
        <v>30.906149238363223</v>
      </c>
      <c r="N24" s="132">
        <f>IF(SER_hh_fech!N24=0,0,SER_hh_fech!N24/SER_summary!N$26)</f>
        <v>30.311139878309458</v>
      </c>
      <c r="O24" s="132">
        <f>IF(SER_hh_fech!O24=0,0,SER_hh_fech!O24/SER_summary!O$26)</f>
        <v>29.566979625645676</v>
      </c>
      <c r="P24" s="132">
        <f>IF(SER_hh_fech!P24=0,0,SER_hh_fech!P24/SER_summary!P$26)</f>
        <v>29.240028033345354</v>
      </c>
      <c r="Q24" s="132">
        <f>IF(SER_hh_fech!Q24=0,0,SER_hh_fech!Q24/SER_summary!Q$26)</f>
        <v>28.247311247281988</v>
      </c>
      <c r="R24" s="132">
        <f>IF(SER_hh_fech!R24=0,0,SER_hh_fech!R24/SER_summary!R$26)</f>
        <v>30.532011729420486</v>
      </c>
      <c r="S24" s="132">
        <f>IF(SER_hh_fech!S24=0,0,SER_hh_fech!S24/SER_summary!S$26)</f>
        <v>29.274846660793163</v>
      </c>
      <c r="T24" s="132">
        <f>IF(SER_hh_fech!T24=0,0,SER_hh_fech!T24/SER_summary!T$26)</f>
        <v>29.049653312824521</v>
      </c>
      <c r="U24" s="132">
        <f>IF(SER_hh_fech!U24=0,0,SER_hh_fech!U24/SER_summary!U$26)</f>
        <v>28.664485716612969</v>
      </c>
      <c r="V24" s="132">
        <f>IF(SER_hh_fech!V24=0,0,SER_hh_fech!V24/SER_summary!V$26)</f>
        <v>25.182997821243987</v>
      </c>
      <c r="W24" s="132">
        <f>IF(SER_hh_fech!W24=0,0,SER_hh_fech!W24/SER_summary!W$26)</f>
        <v>29.843873199677656</v>
      </c>
      <c r="X24" s="132">
        <f>IF(SER_hh_fech!X24=0,0,SER_hh_fech!X24/SER_summary!X$26)</f>
        <v>30.173312068116346</v>
      </c>
      <c r="Y24" s="132">
        <f>IF(SER_hh_fech!Y24=0,0,SER_hh_fech!Y24/SER_summary!Y$26)</f>
        <v>27.260178970914087</v>
      </c>
      <c r="DA24" s="156" t="s">
        <v>498</v>
      </c>
    </row>
    <row r="25" spans="1:105" ht="12" customHeight="1" x14ac:dyDescent="0.25">
      <c r="A25" s="131" t="s">
        <v>162</v>
      </c>
      <c r="B25" s="132">
        <f>IF(SER_hh_fech!B25=0,0,SER_hh_fech!B25/SER_summary!B$26)</f>
        <v>22.499798025085433</v>
      </c>
      <c r="C25" s="132">
        <f>IF(SER_hh_fech!C25=0,0,SER_hh_fech!C25/SER_summary!C$26)</f>
        <v>22.650650811753824</v>
      </c>
      <c r="D25" s="132">
        <f>IF(SER_hh_fech!D25=0,0,SER_hh_fech!D25/SER_summary!D$26)</f>
        <v>22.43592823535656</v>
      </c>
      <c r="E25" s="132">
        <f>IF(SER_hh_fech!E25=0,0,SER_hh_fech!E25/SER_summary!E$26)</f>
        <v>22.623082630169222</v>
      </c>
      <c r="F25" s="132">
        <f>IF(SER_hh_fech!F25=0,0,SER_hh_fech!F25/SER_summary!F$26)</f>
        <v>22.419216880409351</v>
      </c>
      <c r="G25" s="132">
        <f>IF(SER_hh_fech!G25=0,0,SER_hh_fech!G25/SER_summary!G$26)</f>
        <v>22.589447662299676</v>
      </c>
      <c r="H25" s="132">
        <f>IF(SER_hh_fech!H25=0,0,SER_hh_fech!H25/SER_summary!H$26)</f>
        <v>22.511939411511836</v>
      </c>
      <c r="I25" s="132">
        <f>IF(SER_hh_fech!I25=0,0,SER_hh_fech!I25/SER_summary!I$26)</f>
        <v>22.540124063209188</v>
      </c>
      <c r="J25" s="132">
        <f>IF(SER_hh_fech!J25=0,0,SER_hh_fech!J25/SER_summary!J$26)</f>
        <v>22.342944706563376</v>
      </c>
      <c r="K25" s="132">
        <f>IF(SER_hh_fech!K25=0,0,SER_hh_fech!K25/SER_summary!K$26)</f>
        <v>22.519556232572459</v>
      </c>
      <c r="L25" s="132">
        <f>IF(SER_hh_fech!L25=0,0,SER_hh_fech!L25/SER_summary!L$26)</f>
        <v>22.550451586205966</v>
      </c>
      <c r="M25" s="132">
        <f>IF(SER_hh_fech!M25=0,0,SER_hh_fech!M25/SER_summary!M$26)</f>
        <v>22.688385171655369</v>
      </c>
      <c r="N25" s="132">
        <f>IF(SER_hh_fech!N25=0,0,SER_hh_fech!N25/SER_summary!N$26)</f>
        <v>22.952219172968515</v>
      </c>
      <c r="O25" s="132">
        <f>IF(SER_hh_fech!O25=0,0,SER_hh_fech!O25/SER_summary!O$26)</f>
        <v>23.238146016056426</v>
      </c>
      <c r="P25" s="132">
        <f>IF(SER_hh_fech!P25=0,0,SER_hh_fech!P25/SER_summary!P$26)</f>
        <v>23.461108761930664</v>
      </c>
      <c r="Q25" s="132">
        <f>IF(SER_hh_fech!Q25=0,0,SER_hh_fech!Q25/SER_summary!Q$26)</f>
        <v>23.565257503551152</v>
      </c>
      <c r="R25" s="132">
        <f>IF(SER_hh_fech!R25=0,0,SER_hh_fech!R25/SER_summary!R$26)</f>
        <v>23.851284700469613</v>
      </c>
      <c r="S25" s="132">
        <f>IF(SER_hh_fech!S25=0,0,SER_hh_fech!S25/SER_summary!S$26)</f>
        <v>23.823109435343994</v>
      </c>
      <c r="T25" s="132">
        <f>IF(SER_hh_fech!T25=0,0,SER_hh_fech!T25/SER_summary!T$26)</f>
        <v>24.434832175721102</v>
      </c>
      <c r="U25" s="132">
        <f>IF(SER_hh_fech!U25=0,0,SER_hh_fech!U25/SER_summary!U$26)</f>
        <v>23.809865329736503</v>
      </c>
      <c r="V25" s="132">
        <f>IF(SER_hh_fech!V25=0,0,SER_hh_fech!V25/SER_summary!V$26)</f>
        <v>21.496290673175658</v>
      </c>
      <c r="W25" s="132">
        <f>IF(SER_hh_fech!W25=0,0,SER_hh_fech!W25/SER_summary!W$26)</f>
        <v>24.771443975956391</v>
      </c>
      <c r="X25" s="132">
        <f>IF(SER_hh_fech!X25=0,0,SER_hh_fech!X25/SER_summary!X$26)</f>
        <v>24.597541408028025</v>
      </c>
      <c r="Y25" s="132">
        <f>IF(SER_hh_fech!Y25=0,0,SER_hh_fech!Y25/SER_summary!Y$26)</f>
        <v>24.617121349761511</v>
      </c>
      <c r="DA25" s="156" t="s">
        <v>499</v>
      </c>
    </row>
    <row r="26" spans="1:105" ht="12" customHeight="1" x14ac:dyDescent="0.25">
      <c r="A26" s="131" t="s">
        <v>24</v>
      </c>
      <c r="B26" s="65">
        <f>IF(SER_hh_fech!B26=0,0,SER_hh_fech!B26/SER_summary!B$26)</f>
        <v>27.389549045719399</v>
      </c>
      <c r="C26" s="65">
        <f>IF(SER_hh_fech!C26=0,0,SER_hh_fech!C26/SER_summary!C$26)</f>
        <v>26.972480570276126</v>
      </c>
      <c r="D26" s="65">
        <f>IF(SER_hh_fech!D26=0,0,SER_hh_fech!D26/SER_summary!D$26)</f>
        <v>26.930600924183278</v>
      </c>
      <c r="E26" s="65">
        <f>IF(SER_hh_fech!E26=0,0,SER_hh_fech!E26/SER_summary!E$26)</f>
        <v>27.167589327529253</v>
      </c>
      <c r="F26" s="65">
        <f>IF(SER_hh_fech!F26=0,0,SER_hh_fech!F26/SER_summary!F$26)</f>
        <v>27.065447165735552</v>
      </c>
      <c r="G26" s="65">
        <f>IF(SER_hh_fech!G26=0,0,SER_hh_fech!G26/SER_summary!G$26)</f>
        <v>27.570754209688012</v>
      </c>
      <c r="H26" s="65">
        <f>IF(SER_hh_fech!H26=0,0,SER_hh_fech!H26/SER_summary!H$26)</f>
        <v>27.106508556980589</v>
      </c>
      <c r="I26" s="65">
        <f>IF(SER_hh_fech!I26=0,0,SER_hh_fech!I26/SER_summary!I$26)</f>
        <v>26.499608963559488</v>
      </c>
      <c r="J26" s="65">
        <f>IF(SER_hh_fech!J26=0,0,SER_hh_fech!J26/SER_summary!J$26)</f>
        <v>26.710731470644049</v>
      </c>
      <c r="K26" s="65">
        <f>IF(SER_hh_fech!K26=0,0,SER_hh_fech!K26/SER_summary!K$26)</f>
        <v>26.799359626916154</v>
      </c>
      <c r="L26" s="65">
        <f>IF(SER_hh_fech!L26=0,0,SER_hh_fech!L26/SER_summary!L$26)</f>
        <v>26.928244005687283</v>
      </c>
      <c r="M26" s="65">
        <f>IF(SER_hh_fech!M26=0,0,SER_hh_fech!M26/SER_summary!M$26)</f>
        <v>27.106161567194452</v>
      </c>
      <c r="N26" s="65">
        <f>IF(SER_hh_fech!N26=0,0,SER_hh_fech!N26/SER_summary!N$26)</f>
        <v>27.198859093581405</v>
      </c>
      <c r="O26" s="65">
        <f>IF(SER_hh_fech!O26=0,0,SER_hh_fech!O26/SER_summary!O$26)</f>
        <v>27.143460867004151</v>
      </c>
      <c r="P26" s="65">
        <f>IF(SER_hh_fech!P26=0,0,SER_hh_fech!P26/SER_summary!P$26)</f>
        <v>27.604315374302562</v>
      </c>
      <c r="Q26" s="65">
        <f>IF(SER_hh_fech!Q26=0,0,SER_hh_fech!Q26/SER_summary!Q$26)</f>
        <v>27.75294252542685</v>
      </c>
      <c r="R26" s="65">
        <f>IF(SER_hh_fech!R26=0,0,SER_hh_fech!R26/SER_summary!R$26)</f>
        <v>26.429712107148355</v>
      </c>
      <c r="S26" s="65">
        <f>IF(SER_hh_fech!S26=0,0,SER_hh_fech!S26/SER_summary!S$26)</f>
        <v>27.089342550511461</v>
      </c>
      <c r="T26" s="65">
        <f>IF(SER_hh_fech!T26=0,0,SER_hh_fech!T26/SER_summary!T$26)</f>
        <v>26.423636947312826</v>
      </c>
      <c r="U26" s="65">
        <f>IF(SER_hh_fech!U26=0,0,SER_hh_fech!U26/SER_summary!U$26)</f>
        <v>27.380721853876832</v>
      </c>
      <c r="V26" s="65">
        <f>IF(SER_hh_fech!V26=0,0,SER_hh_fech!V26/SER_summary!V$26)</f>
        <v>24.84895055890436</v>
      </c>
      <c r="W26" s="65">
        <f>IF(SER_hh_fech!W26=0,0,SER_hh_fech!W26/SER_summary!W$26)</f>
        <v>25.684916768860944</v>
      </c>
      <c r="X26" s="65">
        <f>IF(SER_hh_fech!X26=0,0,SER_hh_fech!X26/SER_summary!X$26)</f>
        <v>25.808465518240716</v>
      </c>
      <c r="Y26" s="65">
        <f>IF(SER_hh_fech!Y26=0,0,SER_hh_fech!Y26/SER_summary!Y$26)</f>
        <v>26.129189581727001</v>
      </c>
      <c r="DA26" s="109" t="s">
        <v>500</v>
      </c>
    </row>
    <row r="27" spans="1:105" ht="12" customHeight="1" x14ac:dyDescent="0.25">
      <c r="A27" s="144" t="s">
        <v>86</v>
      </c>
      <c r="B27" s="145">
        <f>IF(SER_hh_fech!B27=0,0,SER_hh_fech!B27/SER_summary!B$26)</f>
        <v>0</v>
      </c>
      <c r="C27" s="145">
        <f>IF(SER_hh_fech!C27=0,0,SER_hh_fech!C27/SER_summary!C$26)</f>
        <v>0</v>
      </c>
      <c r="D27" s="145">
        <f>IF(SER_hh_fech!D27=0,0,SER_hh_fech!D27/SER_summary!D$26)</f>
        <v>0</v>
      </c>
      <c r="E27" s="145">
        <f>IF(SER_hh_fech!E27=0,0,SER_hh_fech!E27/SER_summary!E$26)</f>
        <v>0</v>
      </c>
      <c r="F27" s="145">
        <f>IF(SER_hh_fech!F27=0,0,SER_hh_fech!F27/SER_summary!F$26)</f>
        <v>0</v>
      </c>
      <c r="G27" s="145">
        <f>IF(SER_hh_fech!G27=0,0,SER_hh_fech!G27/SER_summary!G$26)</f>
        <v>0</v>
      </c>
      <c r="H27" s="145">
        <f>IF(SER_hh_fech!H27=0,0,SER_hh_fech!H27/SER_summary!H$26)</f>
        <v>0</v>
      </c>
      <c r="I27" s="145">
        <f>IF(SER_hh_fech!I27=0,0,SER_hh_fech!I27/SER_summary!I$26)</f>
        <v>0</v>
      </c>
      <c r="J27" s="145">
        <f>IF(SER_hh_fech!J27=0,0,SER_hh_fech!J27/SER_summary!J$26)</f>
        <v>0</v>
      </c>
      <c r="K27" s="145">
        <f>IF(SER_hh_fech!K27=0,0,SER_hh_fech!K27/SER_summary!K$26)</f>
        <v>0</v>
      </c>
      <c r="L27" s="145">
        <f>IF(SER_hh_fech!L27=0,0,SER_hh_fech!L27/SER_summary!L$26)</f>
        <v>0</v>
      </c>
      <c r="M27" s="145">
        <f>IF(SER_hh_fech!M27=0,0,SER_hh_fech!M27/SER_summary!M$26)</f>
        <v>0</v>
      </c>
      <c r="N27" s="145">
        <f>IF(SER_hh_fech!N27=0,0,SER_hh_fech!N27/SER_summary!N$26)</f>
        <v>0</v>
      </c>
      <c r="O27" s="145">
        <f>IF(SER_hh_fech!O27=0,0,SER_hh_fech!O27/SER_summary!O$26)</f>
        <v>0</v>
      </c>
      <c r="P27" s="145">
        <f>IF(SER_hh_fech!P27=0,0,SER_hh_fech!P27/SER_summary!P$26)</f>
        <v>0</v>
      </c>
      <c r="Q27" s="145">
        <f>IF(SER_hh_fech!Q27=0,0,SER_hh_fech!Q27/SER_summary!Q$26)</f>
        <v>0</v>
      </c>
      <c r="R27" s="145">
        <f>IF(SER_hh_fech!R27=0,0,SER_hh_fech!R27/SER_summary!R$26)</f>
        <v>0</v>
      </c>
      <c r="S27" s="145">
        <f>IF(SER_hh_fech!S27=0,0,SER_hh_fech!S27/SER_summary!S$26)</f>
        <v>0</v>
      </c>
      <c r="T27" s="145">
        <f>IF(SER_hh_fech!T27=0,0,SER_hh_fech!T27/SER_summary!T$26)</f>
        <v>0</v>
      </c>
      <c r="U27" s="145">
        <f>IF(SER_hh_fech!U27=0,0,SER_hh_fech!U27/SER_summary!U$26)</f>
        <v>0</v>
      </c>
      <c r="V27" s="145">
        <f>IF(SER_hh_fech!V27=0,0,SER_hh_fech!V27/SER_summary!V$26)</f>
        <v>0</v>
      </c>
      <c r="W27" s="145">
        <f>IF(SER_hh_fech!W27=0,0,SER_hh_fech!W27/SER_summary!W$26)</f>
        <v>0</v>
      </c>
      <c r="X27" s="145">
        <f>IF(SER_hh_fech!X27=0,0,SER_hh_fech!X27/SER_summary!X$26)</f>
        <v>0</v>
      </c>
      <c r="Y27" s="145">
        <f>IF(SER_hh_fech!Y27=0,0,SER_hh_fech!Y27/SER_summary!Y$26)</f>
        <v>0</v>
      </c>
      <c r="DA27" s="158" t="s">
        <v>501</v>
      </c>
    </row>
    <row r="28" spans="1:105" ht="12" customHeight="1" x14ac:dyDescent="0.25">
      <c r="A28" s="78" t="s">
        <v>85</v>
      </c>
      <c r="B28" s="146">
        <f>IF(SER_hh_fech!B28=0,0,SER_hh_fech!B28/SER_summary!B$26)</f>
        <v>0</v>
      </c>
      <c r="C28" s="146">
        <f>IF(SER_hh_fech!C28=0,0,SER_hh_fech!C28/SER_summary!C$26)</f>
        <v>0</v>
      </c>
      <c r="D28" s="146">
        <f>IF(SER_hh_fech!D28=0,0,SER_hh_fech!D28/SER_summary!D$26)</f>
        <v>0</v>
      </c>
      <c r="E28" s="146">
        <f>IF(SER_hh_fech!E28=0,0,SER_hh_fech!E28/SER_summary!E$26)</f>
        <v>0</v>
      </c>
      <c r="F28" s="146">
        <f>IF(SER_hh_fech!F28=0,0,SER_hh_fech!F28/SER_summary!F$26)</f>
        <v>0</v>
      </c>
      <c r="G28" s="146">
        <f>IF(SER_hh_fech!G28=0,0,SER_hh_fech!G28/SER_summary!G$26)</f>
        <v>0</v>
      </c>
      <c r="H28" s="146">
        <f>IF(SER_hh_fech!H28=0,0,SER_hh_fech!H28/SER_summary!H$26)</f>
        <v>0</v>
      </c>
      <c r="I28" s="146">
        <f>IF(SER_hh_fech!I28=0,0,SER_hh_fech!I28/SER_summary!I$26)</f>
        <v>0</v>
      </c>
      <c r="J28" s="146">
        <f>IF(SER_hh_fech!J28=0,0,SER_hh_fech!J28/SER_summary!J$26)</f>
        <v>0</v>
      </c>
      <c r="K28" s="146">
        <f>IF(SER_hh_fech!K28=0,0,SER_hh_fech!K28/SER_summary!K$26)</f>
        <v>0</v>
      </c>
      <c r="L28" s="146">
        <f>IF(SER_hh_fech!L28=0,0,SER_hh_fech!L28/SER_summary!L$26)</f>
        <v>0</v>
      </c>
      <c r="M28" s="146">
        <f>IF(SER_hh_fech!M28=0,0,SER_hh_fech!M28/SER_summary!M$26)</f>
        <v>0</v>
      </c>
      <c r="N28" s="146">
        <f>IF(SER_hh_fech!N28=0,0,SER_hh_fech!N28/SER_summary!N$26)</f>
        <v>0</v>
      </c>
      <c r="O28" s="146">
        <f>IF(SER_hh_fech!O28=0,0,SER_hh_fech!O28/SER_summary!O$26)</f>
        <v>0</v>
      </c>
      <c r="P28" s="146">
        <f>IF(SER_hh_fech!P28=0,0,SER_hh_fech!P28/SER_summary!P$26)</f>
        <v>0</v>
      </c>
      <c r="Q28" s="146">
        <f>IF(SER_hh_fech!Q28=0,0,SER_hh_fech!Q28/SER_summary!Q$26)</f>
        <v>0</v>
      </c>
      <c r="R28" s="146">
        <f>IF(SER_hh_fech!R28=0,0,SER_hh_fech!R28/SER_summary!R$26)</f>
        <v>0</v>
      </c>
      <c r="S28" s="146">
        <f>IF(SER_hh_fech!S28=0,0,SER_hh_fech!S28/SER_summary!S$26)</f>
        <v>0</v>
      </c>
      <c r="T28" s="146">
        <f>IF(SER_hh_fech!T28=0,0,SER_hh_fech!T28/SER_summary!T$26)</f>
        <v>0</v>
      </c>
      <c r="U28" s="146">
        <f>IF(SER_hh_fech!U28=0,0,SER_hh_fech!U28/SER_summary!U$26)</f>
        <v>0</v>
      </c>
      <c r="V28" s="146">
        <f>IF(SER_hh_fech!V28=0,0,SER_hh_fech!V28/SER_summary!V$26)</f>
        <v>0</v>
      </c>
      <c r="W28" s="146">
        <f>IF(SER_hh_fech!W28=0,0,SER_hh_fech!W28/SER_summary!W$26)</f>
        <v>0</v>
      </c>
      <c r="X28" s="146">
        <f>IF(SER_hh_fech!X28=0,0,SER_hh_fech!X28/SER_summary!X$26)</f>
        <v>0</v>
      </c>
      <c r="Y28" s="146">
        <f>IF(SER_hh_fech!Y28=0,0,SER_hh_fech!Y28/SER_summary!Y$26)</f>
        <v>0</v>
      </c>
      <c r="DA28" s="159"/>
    </row>
    <row r="29" spans="1:105" ht="12.95" customHeight="1" x14ac:dyDescent="0.25">
      <c r="A29" s="129" t="s">
        <v>34</v>
      </c>
      <c r="B29" s="130">
        <f>IF(SER_hh_fech!B29=0,0,SER_hh_fech!B29/SER_summary!B$26)</f>
        <v>24.081551067432791</v>
      </c>
      <c r="C29" s="130">
        <f>IF(SER_hh_fech!C29=0,0,SER_hh_fech!C29/SER_summary!C$26)</f>
        <v>23.602289278575519</v>
      </c>
      <c r="D29" s="130">
        <f>IF(SER_hh_fech!D29=0,0,SER_hh_fech!D29/SER_summary!D$26)</f>
        <v>23.37534154888117</v>
      </c>
      <c r="E29" s="130">
        <f>IF(SER_hh_fech!E29=0,0,SER_hh_fech!E29/SER_summary!E$26)</f>
        <v>23.438284727481363</v>
      </c>
      <c r="F29" s="130">
        <f>IF(SER_hh_fech!F29=0,0,SER_hh_fech!F29/SER_summary!F$26)</f>
        <v>23.60259482115918</v>
      </c>
      <c r="G29" s="130">
        <f>IF(SER_hh_fech!G29=0,0,SER_hh_fech!G29/SER_summary!G$26)</f>
        <v>23.73627294371537</v>
      </c>
      <c r="H29" s="130">
        <f>IF(SER_hh_fech!H29=0,0,SER_hh_fech!H29/SER_summary!H$26)</f>
        <v>23.85177904348576</v>
      </c>
      <c r="I29" s="130">
        <f>IF(SER_hh_fech!I29=0,0,SER_hh_fech!I29/SER_summary!I$26)</f>
        <v>23.457652422938725</v>
      </c>
      <c r="J29" s="130">
        <f>IF(SER_hh_fech!J29=0,0,SER_hh_fech!J29/SER_summary!J$26)</f>
        <v>23.303360756286668</v>
      </c>
      <c r="K29" s="130">
        <f>IF(SER_hh_fech!K29=0,0,SER_hh_fech!K29/SER_summary!K$26)</f>
        <v>23.574663127464099</v>
      </c>
      <c r="L29" s="130">
        <f>IF(SER_hh_fech!L29=0,0,SER_hh_fech!L29/SER_summary!L$26)</f>
        <v>23.304165346813267</v>
      </c>
      <c r="M29" s="130">
        <f>IF(SER_hh_fech!M29=0,0,SER_hh_fech!M29/SER_summary!M$26)</f>
        <v>23.85462117031242</v>
      </c>
      <c r="N29" s="130">
        <f>IF(SER_hh_fech!N29=0,0,SER_hh_fech!N29/SER_summary!N$26)</f>
        <v>23.704928297800709</v>
      </c>
      <c r="O29" s="130">
        <f>IF(SER_hh_fech!O29=0,0,SER_hh_fech!O29/SER_summary!O$26)</f>
        <v>23.901485790314428</v>
      </c>
      <c r="P29" s="130">
        <f>IF(SER_hh_fech!P29=0,0,SER_hh_fech!P29/SER_summary!P$26)</f>
        <v>24.109583849660655</v>
      </c>
      <c r="Q29" s="130">
        <f>IF(SER_hh_fech!Q29=0,0,SER_hh_fech!Q29/SER_summary!Q$26)</f>
        <v>24.441600261437245</v>
      </c>
      <c r="R29" s="130">
        <f>IF(SER_hh_fech!R29=0,0,SER_hh_fech!R29/SER_summary!R$26)</f>
        <v>24.873082565065364</v>
      </c>
      <c r="S29" s="130">
        <f>IF(SER_hh_fech!S29=0,0,SER_hh_fech!S29/SER_summary!S$26)</f>
        <v>25.552700093042123</v>
      </c>
      <c r="T29" s="130">
        <f>IF(SER_hh_fech!T29=0,0,SER_hh_fech!T29/SER_summary!T$26)</f>
        <v>25.261978050820037</v>
      </c>
      <c r="U29" s="130">
        <f>IF(SER_hh_fech!U29=0,0,SER_hh_fech!U29/SER_summary!U$26)</f>
        <v>26.564067945102416</v>
      </c>
      <c r="V29" s="130">
        <f>IF(SER_hh_fech!V29=0,0,SER_hh_fech!V29/SER_summary!V$26)</f>
        <v>24.470503548806992</v>
      </c>
      <c r="W29" s="130">
        <f>IF(SER_hh_fech!W29=0,0,SER_hh_fech!W29/SER_summary!W$26)</f>
        <v>26.768555517428489</v>
      </c>
      <c r="X29" s="130">
        <f>IF(SER_hh_fech!X29=0,0,SER_hh_fech!X29/SER_summary!X$26)</f>
        <v>26.466446458091593</v>
      </c>
      <c r="Y29" s="130">
        <f>IF(SER_hh_fech!Y29=0,0,SER_hh_fech!Y29/SER_summary!Y$26)</f>
        <v>26.545963447725725</v>
      </c>
      <c r="DA29" s="155" t="s">
        <v>502</v>
      </c>
    </row>
    <row r="30" spans="1:105" ht="12" customHeight="1" x14ac:dyDescent="0.25">
      <c r="A30" s="131" t="s">
        <v>52</v>
      </c>
      <c r="B30" s="132">
        <f>IF(SER_hh_fech!B30=0,0,SER_hh_fech!B30/SER_summary!B$26)</f>
        <v>0</v>
      </c>
      <c r="C30" s="132">
        <f>IF(SER_hh_fech!C30=0,0,SER_hh_fech!C30/SER_summary!C$26)</f>
        <v>0</v>
      </c>
      <c r="D30" s="132">
        <f>IF(SER_hh_fech!D30=0,0,SER_hh_fech!D30/SER_summary!D$26)</f>
        <v>0</v>
      </c>
      <c r="E30" s="132">
        <f>IF(SER_hh_fech!E30=0,0,SER_hh_fech!E30/SER_summary!E$26)</f>
        <v>0</v>
      </c>
      <c r="F30" s="132">
        <f>IF(SER_hh_fech!F30=0,0,SER_hh_fech!F30/SER_summary!F$26)</f>
        <v>0</v>
      </c>
      <c r="G30" s="132">
        <f>IF(SER_hh_fech!G30=0,0,SER_hh_fech!G30/SER_summary!G$26)</f>
        <v>0</v>
      </c>
      <c r="H30" s="132">
        <f>IF(SER_hh_fech!H30=0,0,SER_hh_fech!H30/SER_summary!H$26)</f>
        <v>0</v>
      </c>
      <c r="I30" s="132">
        <f>IF(SER_hh_fech!I30=0,0,SER_hh_fech!I30/SER_summary!I$26)</f>
        <v>0</v>
      </c>
      <c r="J30" s="132">
        <f>IF(SER_hh_fech!J30=0,0,SER_hh_fech!J30/SER_summary!J$26)</f>
        <v>0</v>
      </c>
      <c r="K30" s="132">
        <f>IF(SER_hh_fech!K30=0,0,SER_hh_fech!K30/SER_summary!K$26)</f>
        <v>0</v>
      </c>
      <c r="L30" s="132">
        <f>IF(SER_hh_fech!L30=0,0,SER_hh_fech!L30/SER_summary!L$26)</f>
        <v>0</v>
      </c>
      <c r="M30" s="132">
        <f>IF(SER_hh_fech!M30=0,0,SER_hh_fech!M30/SER_summary!M$26)</f>
        <v>0</v>
      </c>
      <c r="N30" s="132">
        <f>IF(SER_hh_fech!N30=0,0,SER_hh_fech!N30/SER_summary!N$26)</f>
        <v>0</v>
      </c>
      <c r="O30" s="132">
        <f>IF(SER_hh_fech!O30=0,0,SER_hh_fech!O30/SER_summary!O$26)</f>
        <v>0</v>
      </c>
      <c r="P30" s="132">
        <f>IF(SER_hh_fech!P30=0,0,SER_hh_fech!P30/SER_summary!P$26)</f>
        <v>0</v>
      </c>
      <c r="Q30" s="132">
        <f>IF(SER_hh_fech!Q30=0,0,SER_hh_fech!Q30/SER_summary!Q$26)</f>
        <v>0</v>
      </c>
      <c r="R30" s="132">
        <f>IF(SER_hh_fech!R30=0,0,SER_hh_fech!R30/SER_summary!R$26)</f>
        <v>0</v>
      </c>
      <c r="S30" s="132">
        <f>IF(SER_hh_fech!S30=0,0,SER_hh_fech!S30/SER_summary!S$26)</f>
        <v>0</v>
      </c>
      <c r="T30" s="132">
        <f>IF(SER_hh_fech!T30=0,0,SER_hh_fech!T30/SER_summary!T$26)</f>
        <v>0</v>
      </c>
      <c r="U30" s="132">
        <f>IF(SER_hh_fech!U30=0,0,SER_hh_fech!U30/SER_summary!U$26)</f>
        <v>0</v>
      </c>
      <c r="V30" s="132">
        <f>IF(SER_hh_fech!V30=0,0,SER_hh_fech!V30/SER_summary!V$26)</f>
        <v>0</v>
      </c>
      <c r="W30" s="132">
        <f>IF(SER_hh_fech!W30=0,0,SER_hh_fech!W30/SER_summary!W$26)</f>
        <v>0</v>
      </c>
      <c r="X30" s="132">
        <f>IF(SER_hh_fech!X30=0,0,SER_hh_fech!X30/SER_summary!X$26)</f>
        <v>0</v>
      </c>
      <c r="Y30" s="132">
        <f>IF(SER_hh_fech!Y30=0,0,SER_hh_fech!Y30/SER_summary!Y$26)</f>
        <v>0</v>
      </c>
      <c r="DA30" s="156" t="s">
        <v>503</v>
      </c>
    </row>
    <row r="31" spans="1:105" ht="12" customHeight="1" x14ac:dyDescent="0.25">
      <c r="A31" s="131" t="s">
        <v>149</v>
      </c>
      <c r="B31" s="132">
        <f>IF(SER_hh_fech!B31=0,0,SER_hh_fech!B31/SER_summary!B$26)</f>
        <v>31.056418060541223</v>
      </c>
      <c r="C31" s="132">
        <f>IF(SER_hh_fech!C31=0,0,SER_hh_fech!C31/SER_summary!C$26)</f>
        <v>30.583908026746879</v>
      </c>
      <c r="D31" s="132">
        <f>IF(SER_hh_fech!D31=0,0,SER_hh_fech!D31/SER_summary!D$26)</f>
        <v>30.593957370678051</v>
      </c>
      <c r="E31" s="132">
        <f>IF(SER_hh_fech!E31=0,0,SER_hh_fech!E31/SER_summary!E$26)</f>
        <v>30.564225221818624</v>
      </c>
      <c r="F31" s="132">
        <f>IF(SER_hh_fech!F31=0,0,SER_hh_fech!F31/SER_summary!F$26)</f>
        <v>30.927614770376621</v>
      </c>
      <c r="G31" s="132">
        <f>IF(SER_hh_fech!G31=0,0,SER_hh_fech!G31/SER_summary!G$26)</f>
        <v>31.051296860272192</v>
      </c>
      <c r="H31" s="132">
        <f>IF(SER_hh_fech!H31=0,0,SER_hh_fech!H31/SER_summary!H$26)</f>
        <v>31.027339196884814</v>
      </c>
      <c r="I31" s="132">
        <f>IF(SER_hh_fech!I31=0,0,SER_hh_fech!I31/SER_summary!I$26)</f>
        <v>30.977347557197579</v>
      </c>
      <c r="J31" s="132">
        <f>IF(SER_hh_fech!J31=0,0,SER_hh_fech!J31/SER_summary!J$26)</f>
        <v>31.394888368641578</v>
      </c>
      <c r="K31" s="132">
        <f>IF(SER_hh_fech!K31=0,0,SER_hh_fech!K31/SER_summary!K$26)</f>
        <v>30.85690009766169</v>
      </c>
      <c r="L31" s="132">
        <f>IF(SER_hh_fech!L31=0,0,SER_hh_fech!L31/SER_summary!L$26)</f>
        <v>30.812341446999678</v>
      </c>
      <c r="M31" s="132">
        <f>IF(SER_hh_fech!M31=0,0,SER_hh_fech!M31/SER_summary!M$26)</f>
        <v>30.440388364838906</v>
      </c>
      <c r="N31" s="132">
        <f>IF(SER_hh_fech!N31=0,0,SER_hh_fech!N31/SER_summary!N$26)</f>
        <v>31.026198975394319</v>
      </c>
      <c r="O31" s="132">
        <f>IF(SER_hh_fech!O31=0,0,SER_hh_fech!O31/SER_summary!O$26)</f>
        <v>32.009759615199592</v>
      </c>
      <c r="P31" s="132">
        <f>IF(SER_hh_fech!P31=0,0,SER_hh_fech!P31/SER_summary!P$26)</f>
        <v>31.856590476935732</v>
      </c>
      <c r="Q31" s="132">
        <f>IF(SER_hh_fech!Q31=0,0,SER_hh_fech!Q31/SER_summary!Q$26)</f>
        <v>32.283124697981535</v>
      </c>
      <c r="R31" s="132">
        <f>IF(SER_hh_fech!R31=0,0,SER_hh_fech!R31/SER_summary!R$26)</f>
        <v>32.132058924211044</v>
      </c>
      <c r="S31" s="132">
        <f>IF(SER_hh_fech!S31=0,0,SER_hh_fech!S31/SER_summary!S$26)</f>
        <v>36.909302001038135</v>
      </c>
      <c r="T31" s="132">
        <f>IF(SER_hh_fech!T31=0,0,SER_hh_fech!T31/SER_summary!T$26)</f>
        <v>33.756325851921382</v>
      </c>
      <c r="U31" s="132">
        <f>IF(SER_hh_fech!U31=0,0,SER_hh_fech!U31/SER_summary!U$26)</f>
        <v>33.193922434030185</v>
      </c>
      <c r="V31" s="132">
        <f>IF(SER_hh_fech!V31=0,0,SER_hh_fech!V31/SER_summary!V$26)</f>
        <v>32.434123617723884</v>
      </c>
      <c r="W31" s="132">
        <f>IF(SER_hh_fech!W31=0,0,SER_hh_fech!W31/SER_summary!W$26)</f>
        <v>46.200472492129769</v>
      </c>
      <c r="X31" s="132">
        <f>IF(SER_hh_fech!X31=0,0,SER_hh_fech!X31/SER_summary!X$26)</f>
        <v>41.063745113353846</v>
      </c>
      <c r="Y31" s="132">
        <f>IF(SER_hh_fech!Y31=0,0,SER_hh_fech!Y31/SER_summary!Y$26)</f>
        <v>33.529188380876505</v>
      </c>
      <c r="DA31" s="156" t="s">
        <v>504</v>
      </c>
    </row>
    <row r="32" spans="1:105" ht="12" customHeight="1" x14ac:dyDescent="0.25">
      <c r="A32" s="131" t="s">
        <v>128</v>
      </c>
      <c r="B32" s="132">
        <f>IF(SER_hh_fech!B32=0,0,SER_hh_fech!B32/SER_summary!B$26)</f>
        <v>0</v>
      </c>
      <c r="C32" s="132">
        <f>IF(SER_hh_fech!C32=0,0,SER_hh_fech!C32/SER_summary!C$26)</f>
        <v>0</v>
      </c>
      <c r="D32" s="132">
        <f>IF(SER_hh_fech!D32=0,0,SER_hh_fech!D32/SER_summary!D$26)</f>
        <v>0</v>
      </c>
      <c r="E32" s="132">
        <f>IF(SER_hh_fech!E32=0,0,SER_hh_fech!E32/SER_summary!E$26)</f>
        <v>0</v>
      </c>
      <c r="F32" s="132">
        <f>IF(SER_hh_fech!F32=0,0,SER_hh_fech!F32/SER_summary!F$26)</f>
        <v>0</v>
      </c>
      <c r="G32" s="132">
        <f>IF(SER_hh_fech!G32=0,0,SER_hh_fech!G32/SER_summary!G$26)</f>
        <v>0</v>
      </c>
      <c r="H32" s="132">
        <f>IF(SER_hh_fech!H32=0,0,SER_hh_fech!H32/SER_summary!H$26)</f>
        <v>0</v>
      </c>
      <c r="I32" s="132">
        <f>IF(SER_hh_fech!I32=0,0,SER_hh_fech!I32/SER_summary!I$26)</f>
        <v>0</v>
      </c>
      <c r="J32" s="132">
        <f>IF(SER_hh_fech!J32=0,0,SER_hh_fech!J32/SER_summary!J$26)</f>
        <v>0</v>
      </c>
      <c r="K32" s="132">
        <f>IF(SER_hh_fech!K32=0,0,SER_hh_fech!K32/SER_summary!K$26)</f>
        <v>0</v>
      </c>
      <c r="L32" s="132">
        <f>IF(SER_hh_fech!L32=0,0,SER_hh_fech!L32/SER_summary!L$26)</f>
        <v>0</v>
      </c>
      <c r="M32" s="132">
        <f>IF(SER_hh_fech!M32=0,0,SER_hh_fech!M32/SER_summary!M$26)</f>
        <v>0</v>
      </c>
      <c r="N32" s="132">
        <f>IF(SER_hh_fech!N32=0,0,SER_hh_fech!N32/SER_summary!N$26)</f>
        <v>0</v>
      </c>
      <c r="O32" s="132">
        <f>IF(SER_hh_fech!O32=0,0,SER_hh_fech!O32/SER_summary!O$26)</f>
        <v>0</v>
      </c>
      <c r="P32" s="132">
        <f>IF(SER_hh_fech!P32=0,0,SER_hh_fech!P32/SER_summary!P$26)</f>
        <v>0</v>
      </c>
      <c r="Q32" s="132">
        <f>IF(SER_hh_fech!Q32=0,0,SER_hh_fech!Q32/SER_summary!Q$26)</f>
        <v>0</v>
      </c>
      <c r="R32" s="132">
        <f>IF(SER_hh_fech!R32=0,0,SER_hh_fech!R32/SER_summary!R$26)</f>
        <v>0</v>
      </c>
      <c r="S32" s="132">
        <f>IF(SER_hh_fech!S32=0,0,SER_hh_fech!S32/SER_summary!S$26)</f>
        <v>0</v>
      </c>
      <c r="T32" s="132">
        <f>IF(SER_hh_fech!T32=0,0,SER_hh_fech!T32/SER_summary!T$26)</f>
        <v>0</v>
      </c>
      <c r="U32" s="132">
        <f>IF(SER_hh_fech!U32=0,0,SER_hh_fech!U32/SER_summary!U$26)</f>
        <v>0</v>
      </c>
      <c r="V32" s="132">
        <f>IF(SER_hh_fech!V32=0,0,SER_hh_fech!V32/SER_summary!V$26)</f>
        <v>0</v>
      </c>
      <c r="W32" s="132">
        <f>IF(SER_hh_fech!W32=0,0,SER_hh_fech!W32/SER_summary!W$26)</f>
        <v>0</v>
      </c>
      <c r="X32" s="132">
        <f>IF(SER_hh_fech!X32=0,0,SER_hh_fech!X32/SER_summary!X$26)</f>
        <v>0</v>
      </c>
      <c r="Y32" s="132">
        <f>IF(SER_hh_fech!Y32=0,0,SER_hh_fech!Y32/SER_summary!Y$26)</f>
        <v>0</v>
      </c>
      <c r="DA32" s="156" t="s">
        <v>505</v>
      </c>
    </row>
    <row r="33" spans="1:105" ht="12" customHeight="1" x14ac:dyDescent="0.25">
      <c r="A33" s="62" t="s">
        <v>24</v>
      </c>
      <c r="B33" s="68">
        <f>IF(SER_hh_fech!B33=0,0,SER_hh_fech!B33/SER_summary!B$26)</f>
        <v>23.941239086852484</v>
      </c>
      <c r="C33" s="68">
        <f>IF(SER_hh_fech!C33=0,0,SER_hh_fech!C33/SER_summary!C$26)</f>
        <v>23.460886587641031</v>
      </c>
      <c r="D33" s="68">
        <f>IF(SER_hh_fech!D33=0,0,SER_hh_fech!D33/SER_summary!D$26)</f>
        <v>23.227017097016493</v>
      </c>
      <c r="E33" s="68">
        <f>IF(SER_hh_fech!E33=0,0,SER_hh_fech!E33/SER_summary!E$26)</f>
        <v>23.290481817561464</v>
      </c>
      <c r="F33" s="68">
        <f>IF(SER_hh_fech!F33=0,0,SER_hh_fech!F33/SER_summary!F$26)</f>
        <v>23.451113215712514</v>
      </c>
      <c r="G33" s="68">
        <f>IF(SER_hh_fech!G33=0,0,SER_hh_fech!G33/SER_summary!G$26)</f>
        <v>23.58618971308216</v>
      </c>
      <c r="H33" s="68">
        <f>IF(SER_hh_fech!H33=0,0,SER_hh_fech!H33/SER_summary!H$26)</f>
        <v>23.707073078775963</v>
      </c>
      <c r="I33" s="68">
        <f>IF(SER_hh_fech!I33=0,0,SER_hh_fech!I33/SER_summary!I$26)</f>
        <v>23.309648226453881</v>
      </c>
      <c r="J33" s="68">
        <f>IF(SER_hh_fech!J33=0,0,SER_hh_fech!J33/SER_summary!J$26)</f>
        <v>23.149261329753969</v>
      </c>
      <c r="K33" s="68">
        <f>IF(SER_hh_fech!K33=0,0,SER_hh_fech!K33/SER_summary!K$26)</f>
        <v>23.444052561280191</v>
      </c>
      <c r="L33" s="68">
        <f>IF(SER_hh_fech!L33=0,0,SER_hh_fech!L33/SER_summary!L$26)</f>
        <v>23.178489068033393</v>
      </c>
      <c r="M33" s="68">
        <f>IF(SER_hh_fech!M33=0,0,SER_hh_fech!M33/SER_summary!M$26)</f>
        <v>23.752214483735074</v>
      </c>
      <c r="N33" s="68">
        <f>IF(SER_hh_fech!N33=0,0,SER_hh_fech!N33/SER_summary!N$26)</f>
        <v>23.596463181872977</v>
      </c>
      <c r="O33" s="68">
        <f>IF(SER_hh_fech!O33=0,0,SER_hh_fech!O33/SER_summary!O$26)</f>
        <v>23.786213751902771</v>
      </c>
      <c r="P33" s="68">
        <f>IF(SER_hh_fech!P33=0,0,SER_hh_fech!P33/SER_summary!P$26)</f>
        <v>24.004606150817239</v>
      </c>
      <c r="Q33" s="68">
        <f>IF(SER_hh_fech!Q33=0,0,SER_hh_fech!Q33/SER_summary!Q$26)</f>
        <v>24.33953346636596</v>
      </c>
      <c r="R33" s="68">
        <f>IF(SER_hh_fech!R33=0,0,SER_hh_fech!R33/SER_summary!R$26)</f>
        <v>24.783063460988494</v>
      </c>
      <c r="S33" s="68">
        <f>IF(SER_hh_fech!S33=0,0,SER_hh_fech!S33/SER_summary!S$26)</f>
        <v>25.416955955228016</v>
      </c>
      <c r="T33" s="68">
        <f>IF(SER_hh_fech!T33=0,0,SER_hh_fech!T33/SER_summary!T$26)</f>
        <v>25.168558741421272</v>
      </c>
      <c r="U33" s="68">
        <f>IF(SER_hh_fech!U33=0,0,SER_hh_fech!U33/SER_summary!U$26)</f>
        <v>26.4948765065323</v>
      </c>
      <c r="V33" s="68">
        <f>IF(SER_hh_fech!V33=0,0,SER_hh_fech!V33/SER_summary!V$26)</f>
        <v>24.388428948345222</v>
      </c>
      <c r="W33" s="68">
        <f>IF(SER_hh_fech!W33=0,0,SER_hh_fech!W33/SER_summary!W$26)</f>
        <v>26.584038667991074</v>
      </c>
      <c r="X33" s="68">
        <f>IF(SER_hh_fech!X33=0,0,SER_hh_fech!X33/SER_summary!X$26)</f>
        <v>26.338563387430419</v>
      </c>
      <c r="Y33" s="68">
        <f>IF(SER_hh_fech!Y33=0,0,SER_hh_fech!Y33/SER_summary!Y$26)</f>
        <v>26.490397950702931</v>
      </c>
      <c r="DA33" s="111" t="s">
        <v>506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91</v>
      </c>
      <c r="B3" s="125">
        <f>IF(SER_hh_tesh!B3=0,0,SER_hh_tesh!B3/SER_summary!B$26)</f>
        <v>162.71955592339407</v>
      </c>
      <c r="C3" s="125">
        <f>IF(SER_hh_tesh!C3=0,0,SER_hh_tesh!C3/SER_summary!C$26)</f>
        <v>177.91225730013761</v>
      </c>
      <c r="D3" s="125">
        <f>IF(SER_hh_tesh!D3=0,0,SER_hh_tesh!D3/SER_summary!D$26)</f>
        <v>182.4076274945582</v>
      </c>
      <c r="E3" s="125">
        <f>IF(SER_hh_tesh!E3=0,0,SER_hh_tesh!E3/SER_summary!E$26)</f>
        <v>182.45798800002908</v>
      </c>
      <c r="F3" s="125">
        <f>IF(SER_hh_tesh!F3=0,0,SER_hh_tesh!F3/SER_summary!F$26)</f>
        <v>180.60704051228385</v>
      </c>
      <c r="G3" s="125">
        <f>IF(SER_hh_tesh!G3=0,0,SER_hh_tesh!G3/SER_summary!G$26)</f>
        <v>178.41959272901551</v>
      </c>
      <c r="H3" s="125">
        <f>IF(SER_hh_tesh!H3=0,0,SER_hh_tesh!H3/SER_summary!H$26)</f>
        <v>180.74302635564359</v>
      </c>
      <c r="I3" s="125">
        <f>IF(SER_hh_tesh!I3=0,0,SER_hh_tesh!I3/SER_summary!I$26)</f>
        <v>189.84799878060841</v>
      </c>
      <c r="J3" s="125">
        <f>IF(SER_hh_tesh!J3=0,0,SER_hh_tesh!J3/SER_summary!J$26)</f>
        <v>187.79802023155275</v>
      </c>
      <c r="K3" s="125">
        <f>IF(SER_hh_tesh!K3=0,0,SER_hh_tesh!K3/SER_summary!K$26)</f>
        <v>207.77897266004462</v>
      </c>
      <c r="L3" s="125">
        <f>IF(SER_hh_tesh!L3=0,0,SER_hh_tesh!L3/SER_summary!L$26)</f>
        <v>221.79480269366945</v>
      </c>
      <c r="M3" s="125">
        <f>IF(SER_hh_tesh!M3=0,0,SER_hh_tesh!M3/SER_summary!M$26)</f>
        <v>196.88622643155963</v>
      </c>
      <c r="N3" s="125">
        <f>IF(SER_hh_tesh!N3=0,0,SER_hh_tesh!N3/SER_summary!N$26)</f>
        <v>212.89698665699481</v>
      </c>
      <c r="O3" s="125">
        <f>IF(SER_hh_tesh!O3=0,0,SER_hh_tesh!O3/SER_summary!O$26)</f>
        <v>203.38616601628115</v>
      </c>
      <c r="P3" s="125">
        <f>IF(SER_hh_tesh!P3=0,0,SER_hh_tesh!P3/SER_summary!P$26)</f>
        <v>210.26885328132897</v>
      </c>
      <c r="Q3" s="125">
        <f>IF(SER_hh_tesh!Q3=0,0,SER_hh_tesh!Q3/SER_summary!Q$26)</f>
        <v>197.18858958534386</v>
      </c>
      <c r="R3" s="125">
        <f>IF(SER_hh_tesh!R3=0,0,SER_hh_tesh!R3/SER_summary!R$26)</f>
        <v>209.86018918437014</v>
      </c>
      <c r="S3" s="125">
        <f>IF(SER_hh_tesh!S3=0,0,SER_hh_tesh!S3/SER_summary!S$26)</f>
        <v>208.80145741348878</v>
      </c>
      <c r="T3" s="125">
        <f>IF(SER_hh_tesh!T3=0,0,SER_hh_tesh!T3/SER_summary!T$26)</f>
        <v>216.41324716649888</v>
      </c>
      <c r="U3" s="125">
        <f>IF(SER_hh_tesh!U3=0,0,SER_hh_tesh!U3/SER_summary!U$26)</f>
        <v>211.65792598103587</v>
      </c>
      <c r="V3" s="125">
        <f>IF(SER_hh_tesh!V3=0,0,SER_hh_tesh!V3/SER_summary!V$26)</f>
        <v>194.10707529571457</v>
      </c>
      <c r="W3" s="125">
        <f>IF(SER_hh_tesh!W3=0,0,SER_hh_tesh!W3/SER_summary!W$26)</f>
        <v>220.86609898294154</v>
      </c>
      <c r="X3" s="125">
        <f>IF(SER_hh_tesh!X3=0,0,SER_hh_tesh!X3/SER_summary!X$26)</f>
        <v>213.21298364248096</v>
      </c>
      <c r="Y3" s="125">
        <f>IF(SER_hh_tesh!Y3=0,0,SER_hh_tesh!Y3/SER_summary!Y$26)</f>
        <v>210.23898944787982</v>
      </c>
      <c r="DA3" s="154" t="s">
        <v>508</v>
      </c>
    </row>
    <row r="4" spans="1:105" ht="12.95" customHeight="1" x14ac:dyDescent="0.25">
      <c r="A4" s="129" t="s">
        <v>32</v>
      </c>
      <c r="B4" s="130">
        <f>IF(SER_hh_tesh!B4=0,0,SER_hh_tesh!B4/SER_summary!B$26)</f>
        <v>125.25211134033205</v>
      </c>
      <c r="C4" s="130">
        <f>IF(SER_hh_tesh!C4=0,0,SER_hh_tesh!C4/SER_summary!C$26)</f>
        <v>140.59399287707996</v>
      </c>
      <c r="D4" s="130">
        <f>IF(SER_hh_tesh!D4=0,0,SER_hh_tesh!D4/SER_summary!D$26)</f>
        <v>145.02724899228343</v>
      </c>
      <c r="E4" s="130">
        <f>IF(SER_hh_tesh!E4=0,0,SER_hh_tesh!E4/SER_summary!E$26)</f>
        <v>144.43803431109725</v>
      </c>
      <c r="F4" s="130">
        <f>IF(SER_hh_tesh!F4=0,0,SER_hh_tesh!F4/SER_summary!F$26)</f>
        <v>142.35993028840238</v>
      </c>
      <c r="G4" s="130">
        <f>IF(SER_hh_tesh!G4=0,0,SER_hh_tesh!G4/SER_summary!G$26)</f>
        <v>139.40723329952181</v>
      </c>
      <c r="H4" s="130">
        <f>IF(SER_hh_tesh!H4=0,0,SER_hh_tesh!H4/SER_summary!H$26)</f>
        <v>141.32457904079649</v>
      </c>
      <c r="I4" s="130">
        <f>IF(SER_hh_tesh!I4=0,0,SER_hh_tesh!I4/SER_summary!I$26)</f>
        <v>150.27592594786327</v>
      </c>
      <c r="J4" s="130">
        <f>IF(SER_hh_tesh!J4=0,0,SER_hh_tesh!J4/SER_summary!J$26)</f>
        <v>147.67742685659107</v>
      </c>
      <c r="K4" s="130">
        <f>IF(SER_hh_tesh!K4=0,0,SER_hh_tesh!K4/SER_summary!K$26)</f>
        <v>166.94901222612313</v>
      </c>
      <c r="L4" s="130">
        <f>IF(SER_hh_tesh!L4=0,0,SER_hh_tesh!L4/SER_summary!L$26)</f>
        <v>180.23355996802724</v>
      </c>
      <c r="M4" s="130">
        <f>IF(SER_hh_tesh!M4=0,0,SER_hh_tesh!M4/SER_summary!M$26)</f>
        <v>154.82699247029805</v>
      </c>
      <c r="N4" s="130">
        <f>IF(SER_hh_tesh!N4=0,0,SER_hh_tesh!N4/SER_summary!N$26)</f>
        <v>170.60517059546677</v>
      </c>
      <c r="O4" s="130">
        <f>IF(SER_hh_tesh!O4=0,0,SER_hh_tesh!O4/SER_summary!O$26)</f>
        <v>160.42391526846154</v>
      </c>
      <c r="P4" s="130">
        <f>IF(SER_hh_tesh!P4=0,0,SER_hh_tesh!P4/SER_summary!P$26)</f>
        <v>166.48514227356915</v>
      </c>
      <c r="Q4" s="130">
        <f>IF(SER_hh_tesh!Q4=0,0,SER_hh_tesh!Q4/SER_summary!Q$26)</f>
        <v>152.68267511964675</v>
      </c>
      <c r="R4" s="130">
        <f>IF(SER_hh_tesh!R4=0,0,SER_hh_tesh!R4/SER_summary!R$26)</f>
        <v>164.64101974587436</v>
      </c>
      <c r="S4" s="130">
        <f>IF(SER_hh_tesh!S4=0,0,SER_hh_tesh!S4/SER_summary!S$26)</f>
        <v>162.50763542517632</v>
      </c>
      <c r="T4" s="130">
        <f>IF(SER_hh_tesh!T4=0,0,SER_hh_tesh!T4/SER_summary!T$26)</f>
        <v>169.91231968904353</v>
      </c>
      <c r="U4" s="130">
        <f>IF(SER_hh_tesh!U4=0,0,SER_hh_tesh!U4/SER_summary!U$26)</f>
        <v>163.39137850491747</v>
      </c>
      <c r="V4" s="130">
        <f>IF(SER_hh_tesh!V4=0,0,SER_hh_tesh!V4/SER_summary!V$26)</f>
        <v>148.83929130764736</v>
      </c>
      <c r="W4" s="130">
        <f>IF(SER_hh_tesh!W4=0,0,SER_hh_tesh!W4/SER_summary!W$26)</f>
        <v>171.48820040801297</v>
      </c>
      <c r="X4" s="130">
        <f>IF(SER_hh_tesh!X4=0,0,SER_hh_tesh!X4/SER_summary!X$26)</f>
        <v>163.54511590292049</v>
      </c>
      <c r="Y4" s="130">
        <f>IF(SER_hh_tesh!Y4=0,0,SER_hh_tesh!Y4/SER_summary!Y$26)</f>
        <v>159.7557691604911</v>
      </c>
      <c r="DA4" s="155" t="s">
        <v>509</v>
      </c>
    </row>
    <row r="5" spans="1:105" ht="12" customHeight="1" x14ac:dyDescent="0.25">
      <c r="A5" s="131" t="s">
        <v>29</v>
      </c>
      <c r="B5" s="132">
        <f>IF(SER_hh_tesh!B5=0,0,SER_hh_tesh!B5/SER_summary!B$26)</f>
        <v>127.5958946303581</v>
      </c>
      <c r="C5" s="132">
        <f>IF(SER_hh_tesh!C5=0,0,SER_hh_tesh!C5/SER_summary!C$26)</f>
        <v>137.08378747941509</v>
      </c>
      <c r="D5" s="132">
        <f>IF(SER_hh_tesh!D5=0,0,SER_hh_tesh!D5/SER_summary!D$26)</f>
        <v>140.54076554493628</v>
      </c>
      <c r="E5" s="132">
        <f>IF(SER_hh_tesh!E5=0,0,SER_hh_tesh!E5/SER_summary!E$26)</f>
        <v>144.13651267929342</v>
      </c>
      <c r="F5" s="132">
        <f>IF(SER_hh_tesh!F5=0,0,SER_hh_tesh!F5/SER_summary!F$26)</f>
        <v>139.23435691852475</v>
      </c>
      <c r="G5" s="132">
        <f>IF(SER_hh_tesh!G5=0,0,SER_hh_tesh!G5/SER_summary!G$26)</f>
        <v>138.28742019982579</v>
      </c>
      <c r="H5" s="132">
        <f>IF(SER_hh_tesh!H5=0,0,SER_hh_tesh!H5/SER_summary!H$26)</f>
        <v>146.96299102890308</v>
      </c>
      <c r="I5" s="132">
        <f>IF(SER_hh_tesh!I5=0,0,SER_hh_tesh!I5/SER_summary!I$26)</f>
        <v>124.58064540546573</v>
      </c>
      <c r="J5" s="132">
        <f>IF(SER_hh_tesh!J5=0,0,SER_hh_tesh!J5/SER_summary!J$26)</f>
        <v>151.66495274925069</v>
      </c>
      <c r="K5" s="132">
        <f>IF(SER_hh_tesh!K5=0,0,SER_hh_tesh!K5/SER_summary!K$26)</f>
        <v>167.42167457016339</v>
      </c>
      <c r="L5" s="132">
        <f>IF(SER_hh_tesh!L5=0,0,SER_hh_tesh!L5/SER_summary!L$26)</f>
        <v>182.88028427226519</v>
      </c>
      <c r="M5" s="132">
        <f>IF(SER_hh_tesh!M5=0,0,SER_hh_tesh!M5/SER_summary!M$26)</f>
        <v>149.13310002710588</v>
      </c>
      <c r="N5" s="132">
        <f>IF(SER_hh_tesh!N5=0,0,SER_hh_tesh!N5/SER_summary!N$26)</f>
        <v>173.24293750500132</v>
      </c>
      <c r="O5" s="132">
        <f>IF(SER_hh_tesh!O5=0,0,SER_hh_tesh!O5/SER_summary!O$26)</f>
        <v>159.85062393210075</v>
      </c>
      <c r="P5" s="132">
        <f>IF(SER_hh_tesh!P5=0,0,SER_hh_tesh!P5/SER_summary!P$26)</f>
        <v>165.00406255729365</v>
      </c>
      <c r="Q5" s="132">
        <f>IF(SER_hh_tesh!Q5=0,0,SER_hh_tesh!Q5/SER_summary!Q$26)</f>
        <v>149.64667680500403</v>
      </c>
      <c r="R5" s="132">
        <f>IF(SER_hh_tesh!R5=0,0,SER_hh_tesh!R5/SER_summary!R$26)</f>
        <v>163.71265248248858</v>
      </c>
      <c r="S5" s="132">
        <f>IF(SER_hh_tesh!S5=0,0,SER_hh_tesh!S5/SER_summary!S$26)</f>
        <v>161.73812977857492</v>
      </c>
      <c r="T5" s="132">
        <f>IF(SER_hh_tesh!T5=0,0,SER_hh_tesh!T5/SER_summary!T$26)</f>
        <v>164.59902743001956</v>
      </c>
      <c r="U5" s="132">
        <f>IF(SER_hh_tesh!U5=0,0,SER_hh_tesh!U5/SER_summary!U$26)</f>
        <v>170.0435897556014</v>
      </c>
      <c r="V5" s="132">
        <f>IF(SER_hh_tesh!V5=0,0,SER_hh_tesh!V5/SER_summary!V$26)</f>
        <v>154.55911964751573</v>
      </c>
      <c r="W5" s="132">
        <f>IF(SER_hh_tesh!W5=0,0,SER_hh_tesh!W5/SER_summary!W$26)</f>
        <v>166.08159053395269</v>
      </c>
      <c r="X5" s="132">
        <f>IF(SER_hh_tesh!X5=0,0,SER_hh_tesh!X5/SER_summary!X$26)</f>
        <v>162.91426176227205</v>
      </c>
      <c r="Y5" s="132">
        <f>IF(SER_hh_tesh!Y5=0,0,SER_hh_tesh!Y5/SER_summary!Y$26)</f>
        <v>160.07160165356115</v>
      </c>
      <c r="DA5" s="156" t="s">
        <v>510</v>
      </c>
    </row>
    <row r="6" spans="1:105" ht="12" customHeight="1" x14ac:dyDescent="0.25">
      <c r="A6" s="131" t="s">
        <v>52</v>
      </c>
      <c r="B6" s="132">
        <f>IF(SER_hh_tesh!B6=0,0,SER_hh_tesh!B6/SER_summary!B$26)</f>
        <v>0</v>
      </c>
      <c r="C6" s="132">
        <f>IF(SER_hh_tesh!C6=0,0,SER_hh_tesh!C6/SER_summary!C$26)</f>
        <v>0</v>
      </c>
      <c r="D6" s="132">
        <f>IF(SER_hh_tesh!D6=0,0,SER_hh_tesh!D6/SER_summary!D$26)</f>
        <v>0</v>
      </c>
      <c r="E6" s="132">
        <f>IF(SER_hh_tesh!E6=0,0,SER_hh_tesh!E6/SER_summary!E$26)</f>
        <v>0</v>
      </c>
      <c r="F6" s="132">
        <f>IF(SER_hh_tesh!F6=0,0,SER_hh_tesh!F6/SER_summary!F$26)</f>
        <v>0</v>
      </c>
      <c r="G6" s="132">
        <f>IF(SER_hh_tesh!G6=0,0,SER_hh_tesh!G6/SER_summary!G$26)</f>
        <v>0</v>
      </c>
      <c r="H6" s="132">
        <f>IF(SER_hh_tesh!H6=0,0,SER_hh_tesh!H6/SER_summary!H$26)</f>
        <v>0</v>
      </c>
      <c r="I6" s="132">
        <f>IF(SER_hh_tesh!I6=0,0,SER_hh_tesh!I6/SER_summary!I$26)</f>
        <v>0</v>
      </c>
      <c r="J6" s="132">
        <f>IF(SER_hh_tesh!J6=0,0,SER_hh_tesh!J6/SER_summary!J$26)</f>
        <v>0</v>
      </c>
      <c r="K6" s="132">
        <f>IF(SER_hh_tesh!K6=0,0,SER_hh_tesh!K6/SER_summary!K$26)</f>
        <v>0</v>
      </c>
      <c r="L6" s="132">
        <f>IF(SER_hh_tesh!L6=0,0,SER_hh_tesh!L6/SER_summary!L$26)</f>
        <v>0</v>
      </c>
      <c r="M6" s="132">
        <f>IF(SER_hh_tesh!M6=0,0,SER_hh_tesh!M6/SER_summary!M$26)</f>
        <v>0</v>
      </c>
      <c r="N6" s="132">
        <f>IF(SER_hh_tesh!N6=0,0,SER_hh_tesh!N6/SER_summary!N$26)</f>
        <v>0</v>
      </c>
      <c r="O6" s="132">
        <f>IF(SER_hh_tesh!O6=0,0,SER_hh_tesh!O6/SER_summary!O$26)</f>
        <v>0</v>
      </c>
      <c r="P6" s="132">
        <f>IF(SER_hh_tesh!P6=0,0,SER_hh_tesh!P6/SER_summary!P$26)</f>
        <v>0</v>
      </c>
      <c r="Q6" s="132">
        <f>IF(SER_hh_tesh!Q6=0,0,SER_hh_tesh!Q6/SER_summary!Q$26)</f>
        <v>0</v>
      </c>
      <c r="R6" s="132">
        <f>IF(SER_hh_tesh!R6=0,0,SER_hh_tesh!R6/SER_summary!R$26)</f>
        <v>0</v>
      </c>
      <c r="S6" s="132">
        <f>IF(SER_hh_tesh!S6=0,0,SER_hh_tesh!S6/SER_summary!S$26)</f>
        <v>0</v>
      </c>
      <c r="T6" s="132">
        <f>IF(SER_hh_tesh!T6=0,0,SER_hh_tesh!T6/SER_summary!T$26)</f>
        <v>0</v>
      </c>
      <c r="U6" s="132">
        <f>IF(SER_hh_tesh!U6=0,0,SER_hh_tesh!U6/SER_summary!U$26)</f>
        <v>0</v>
      </c>
      <c r="V6" s="132">
        <f>IF(SER_hh_tesh!V6=0,0,SER_hh_tesh!V6/SER_summary!V$26)</f>
        <v>0</v>
      </c>
      <c r="W6" s="132">
        <f>IF(SER_hh_tesh!W6=0,0,SER_hh_tesh!W6/SER_summary!W$26)</f>
        <v>0</v>
      </c>
      <c r="X6" s="132">
        <f>IF(SER_hh_tesh!X6=0,0,SER_hh_tesh!X6/SER_summary!X$26)</f>
        <v>0</v>
      </c>
      <c r="Y6" s="132">
        <f>IF(SER_hh_tesh!Y6=0,0,SER_hh_tesh!Y6/SER_summary!Y$26)</f>
        <v>0</v>
      </c>
      <c r="DA6" s="156" t="s">
        <v>511</v>
      </c>
    </row>
    <row r="7" spans="1:105" ht="12" customHeight="1" x14ac:dyDescent="0.25">
      <c r="A7" s="131" t="s">
        <v>161</v>
      </c>
      <c r="B7" s="132">
        <f>IF(SER_hh_tesh!B7=0,0,SER_hh_tesh!B7/SER_summary!B$26)</f>
        <v>125.73499459437598</v>
      </c>
      <c r="C7" s="132">
        <f>IF(SER_hh_tesh!C7=0,0,SER_hh_tesh!C7/SER_summary!C$26)</f>
        <v>136.99994569916868</v>
      </c>
      <c r="D7" s="132">
        <f>IF(SER_hh_tesh!D7=0,0,SER_hh_tesh!D7/SER_summary!D$26)</f>
        <v>139.5862835807194</v>
      </c>
      <c r="E7" s="132">
        <f>IF(SER_hh_tesh!E7=0,0,SER_hh_tesh!E7/SER_summary!E$26)</f>
        <v>141.58496957543687</v>
      </c>
      <c r="F7" s="132">
        <f>IF(SER_hh_tesh!F7=0,0,SER_hh_tesh!F7/SER_summary!F$26)</f>
        <v>140.43285653611761</v>
      </c>
      <c r="G7" s="132">
        <f>IF(SER_hh_tesh!G7=0,0,SER_hh_tesh!G7/SER_summary!G$26)</f>
        <v>137.68499984842029</v>
      </c>
      <c r="H7" s="132">
        <f>IF(SER_hh_tesh!H7=0,0,SER_hh_tesh!H7/SER_summary!H$26)</f>
        <v>144.23920978959811</v>
      </c>
      <c r="I7" s="132">
        <f>IF(SER_hh_tesh!I7=0,0,SER_hh_tesh!I7/SER_summary!I$26)</f>
        <v>150.07625832202669</v>
      </c>
      <c r="J7" s="132">
        <f>IF(SER_hh_tesh!J7=0,0,SER_hh_tesh!J7/SER_summary!J$26)</f>
        <v>132.70367932420174</v>
      </c>
      <c r="K7" s="132">
        <f>IF(SER_hh_tesh!K7=0,0,SER_hh_tesh!K7/SER_summary!K$26)</f>
        <v>154.18160275706154</v>
      </c>
      <c r="L7" s="132">
        <f>IF(SER_hh_tesh!L7=0,0,SER_hh_tesh!L7/SER_summary!L$26)</f>
        <v>183.00007713384971</v>
      </c>
      <c r="M7" s="132">
        <f>IF(SER_hh_tesh!M7=0,0,SER_hh_tesh!M7/SER_summary!M$26)</f>
        <v>153.33876049640062</v>
      </c>
      <c r="N7" s="132">
        <f>IF(SER_hh_tesh!N7=0,0,SER_hh_tesh!N7/SER_summary!N$26)</f>
        <v>171.52644676850025</v>
      </c>
      <c r="O7" s="132">
        <f>IF(SER_hh_tesh!O7=0,0,SER_hh_tesh!O7/SER_summary!O$26)</f>
        <v>158.6942287237602</v>
      </c>
      <c r="P7" s="132">
        <f>IF(SER_hh_tesh!P7=0,0,SER_hh_tesh!P7/SER_summary!P$26)</f>
        <v>160.72111263251279</v>
      </c>
      <c r="Q7" s="132">
        <f>IF(SER_hh_tesh!Q7=0,0,SER_hh_tesh!Q7/SER_summary!Q$26)</f>
        <v>147.50289716768418</v>
      </c>
      <c r="R7" s="132">
        <f>IF(SER_hh_tesh!R7=0,0,SER_hh_tesh!R7/SER_summary!R$26)</f>
        <v>162.99712544329594</v>
      </c>
      <c r="S7" s="132">
        <f>IF(SER_hh_tesh!S7=0,0,SER_hh_tesh!S7/SER_summary!S$26)</f>
        <v>162.39389189290679</v>
      </c>
      <c r="T7" s="132">
        <f>IF(SER_hh_tesh!T7=0,0,SER_hh_tesh!T7/SER_summary!T$26)</f>
        <v>163.5549996684766</v>
      </c>
      <c r="U7" s="132">
        <f>IF(SER_hh_tesh!U7=0,0,SER_hh_tesh!U7/SER_summary!U$26)</f>
        <v>161.64004563223577</v>
      </c>
      <c r="V7" s="132">
        <f>IF(SER_hh_tesh!V7=0,0,SER_hh_tesh!V7/SER_summary!V$26)</f>
        <v>146.36204744167588</v>
      </c>
      <c r="W7" s="132">
        <f>IF(SER_hh_tesh!W7=0,0,SER_hh_tesh!W7/SER_summary!W$26)</f>
        <v>169.93606121506369</v>
      </c>
      <c r="X7" s="132">
        <f>IF(SER_hh_tesh!X7=0,0,SER_hh_tesh!X7/SER_summary!X$26)</f>
        <v>159.23669112086688</v>
      </c>
      <c r="Y7" s="132">
        <f>IF(SER_hh_tesh!Y7=0,0,SER_hh_tesh!Y7/SER_summary!Y$26)</f>
        <v>159.77204865428706</v>
      </c>
      <c r="DA7" s="156" t="s">
        <v>512</v>
      </c>
    </row>
    <row r="8" spans="1:105" ht="12" customHeight="1" x14ac:dyDescent="0.25">
      <c r="A8" s="131" t="s">
        <v>73</v>
      </c>
      <c r="B8" s="132">
        <f>IF(SER_hh_tesh!B8=0,0,SER_hh_tesh!B8/SER_summary!B$26)</f>
        <v>0</v>
      </c>
      <c r="C8" s="132">
        <f>IF(SER_hh_tesh!C8=0,0,SER_hh_tesh!C8/SER_summary!C$26)</f>
        <v>0</v>
      </c>
      <c r="D8" s="132">
        <f>IF(SER_hh_tesh!D8=0,0,SER_hh_tesh!D8/SER_summary!D$26)</f>
        <v>0</v>
      </c>
      <c r="E8" s="132">
        <f>IF(SER_hh_tesh!E8=0,0,SER_hh_tesh!E8/SER_summary!E$26)</f>
        <v>0</v>
      </c>
      <c r="F8" s="132">
        <f>IF(SER_hh_tesh!F8=0,0,SER_hh_tesh!F8/SER_summary!F$26)</f>
        <v>0</v>
      </c>
      <c r="G8" s="132">
        <f>IF(SER_hh_tesh!G8=0,0,SER_hh_tesh!G8/SER_summary!G$26)</f>
        <v>0</v>
      </c>
      <c r="H8" s="132">
        <f>IF(SER_hh_tesh!H8=0,0,SER_hh_tesh!H8/SER_summary!H$26)</f>
        <v>0</v>
      </c>
      <c r="I8" s="132">
        <f>IF(SER_hh_tesh!I8=0,0,SER_hh_tesh!I8/SER_summary!I$26)</f>
        <v>0</v>
      </c>
      <c r="J8" s="132">
        <f>IF(SER_hh_tesh!J8=0,0,SER_hh_tesh!J8/SER_summary!J$26)</f>
        <v>0</v>
      </c>
      <c r="K8" s="132">
        <f>IF(SER_hh_tesh!K8=0,0,SER_hh_tesh!K8/SER_summary!K$26)</f>
        <v>0</v>
      </c>
      <c r="L8" s="132">
        <f>IF(SER_hh_tesh!L8=0,0,SER_hh_tesh!L8/SER_summary!L$26)</f>
        <v>0</v>
      </c>
      <c r="M8" s="132">
        <f>IF(SER_hh_tesh!M8=0,0,SER_hh_tesh!M8/SER_summary!M$26)</f>
        <v>0</v>
      </c>
      <c r="N8" s="132">
        <f>IF(SER_hh_tesh!N8=0,0,SER_hh_tesh!N8/SER_summary!N$26)</f>
        <v>0</v>
      </c>
      <c r="O8" s="132">
        <f>IF(SER_hh_tesh!O8=0,0,SER_hh_tesh!O8/SER_summary!O$26)</f>
        <v>0</v>
      </c>
      <c r="P8" s="132">
        <f>IF(SER_hh_tesh!P8=0,0,SER_hh_tesh!P8/SER_summary!P$26)</f>
        <v>0</v>
      </c>
      <c r="Q8" s="132">
        <f>IF(SER_hh_tesh!Q8=0,0,SER_hh_tesh!Q8/SER_summary!Q$26)</f>
        <v>0</v>
      </c>
      <c r="R8" s="132">
        <f>IF(SER_hh_tesh!R8=0,0,SER_hh_tesh!R8/SER_summary!R$26)</f>
        <v>0</v>
      </c>
      <c r="S8" s="132">
        <f>IF(SER_hh_tesh!S8=0,0,SER_hh_tesh!S8/SER_summary!S$26)</f>
        <v>0</v>
      </c>
      <c r="T8" s="132">
        <f>IF(SER_hh_tesh!T8=0,0,SER_hh_tesh!T8/SER_summary!T$26)</f>
        <v>0</v>
      </c>
      <c r="U8" s="132">
        <f>IF(SER_hh_tesh!U8=0,0,SER_hh_tesh!U8/SER_summary!U$26)</f>
        <v>0</v>
      </c>
      <c r="V8" s="132">
        <f>IF(SER_hh_tesh!V8=0,0,SER_hh_tesh!V8/SER_summary!V$26)</f>
        <v>0</v>
      </c>
      <c r="W8" s="132">
        <f>IF(SER_hh_tesh!W8=0,0,SER_hh_tesh!W8/SER_summary!W$26)</f>
        <v>0</v>
      </c>
      <c r="X8" s="132">
        <f>IF(SER_hh_tesh!X8=0,0,SER_hh_tesh!X8/SER_summary!X$26)</f>
        <v>0</v>
      </c>
      <c r="Y8" s="132">
        <f>IF(SER_hh_tesh!Y8=0,0,SER_hh_tesh!Y8/SER_summary!Y$26)</f>
        <v>0</v>
      </c>
      <c r="DA8" s="156" t="s">
        <v>513</v>
      </c>
    </row>
    <row r="9" spans="1:105" ht="12" customHeight="1" x14ac:dyDescent="0.25">
      <c r="A9" s="131" t="s">
        <v>78</v>
      </c>
      <c r="B9" s="132">
        <f>IF(SER_hh_tesh!B9=0,0,SER_hh_tesh!B9/SER_summary!B$26)</f>
        <v>139.01755925998643</v>
      </c>
      <c r="C9" s="132">
        <f>IF(SER_hh_tesh!C9=0,0,SER_hh_tesh!C9/SER_summary!C$26)</f>
        <v>127.86626637615852</v>
      </c>
      <c r="D9" s="132">
        <f>IF(SER_hh_tesh!D9=0,0,SER_hh_tesh!D9/SER_summary!D$26)</f>
        <v>142.42461068522806</v>
      </c>
      <c r="E9" s="132">
        <f>IF(SER_hh_tesh!E9=0,0,SER_hh_tesh!E9/SER_summary!E$26)</f>
        <v>139.21643595786651</v>
      </c>
      <c r="F9" s="132">
        <f>IF(SER_hh_tesh!F9=0,0,SER_hh_tesh!F9/SER_summary!F$26)</f>
        <v>145.73321096104553</v>
      </c>
      <c r="G9" s="132">
        <f>IF(SER_hh_tesh!G9=0,0,SER_hh_tesh!G9/SER_summary!G$26)</f>
        <v>143.06672200101818</v>
      </c>
      <c r="H9" s="132">
        <f>IF(SER_hh_tesh!H9=0,0,SER_hh_tesh!H9/SER_summary!H$26)</f>
        <v>139.76349259000571</v>
      </c>
      <c r="I9" s="132">
        <f>IF(SER_hh_tesh!I9=0,0,SER_hh_tesh!I9/SER_summary!I$26)</f>
        <v>144.2302207625026</v>
      </c>
      <c r="J9" s="132">
        <f>IF(SER_hh_tesh!J9=0,0,SER_hh_tesh!J9/SER_summary!J$26)</f>
        <v>147.93080422165838</v>
      </c>
      <c r="K9" s="132">
        <f>IF(SER_hh_tesh!K9=0,0,SER_hh_tesh!K9/SER_summary!K$26)</f>
        <v>148.34414328651314</v>
      </c>
      <c r="L9" s="132">
        <f>IF(SER_hh_tesh!L9=0,0,SER_hh_tesh!L9/SER_summary!L$26)</f>
        <v>162.4473761267505</v>
      </c>
      <c r="M9" s="132">
        <f>IF(SER_hh_tesh!M9=0,0,SER_hh_tesh!M9/SER_summary!M$26)</f>
        <v>217.97706402858773</v>
      </c>
      <c r="N9" s="132">
        <f>IF(SER_hh_tesh!N9=0,0,SER_hh_tesh!N9/SER_summary!N$26)</f>
        <v>240.58504803271779</v>
      </c>
      <c r="O9" s="132">
        <f>IF(SER_hh_tesh!O9=0,0,SER_hh_tesh!O9/SER_summary!O$26)</f>
        <v>197.14533838749404</v>
      </c>
      <c r="P9" s="132">
        <f>IF(SER_hh_tesh!P9=0,0,SER_hh_tesh!P9/SER_summary!P$26)</f>
        <v>167.42261123789123</v>
      </c>
      <c r="Q9" s="132">
        <f>IF(SER_hh_tesh!Q9=0,0,SER_hh_tesh!Q9/SER_summary!Q$26)</f>
        <v>146.01164206208</v>
      </c>
      <c r="R9" s="132">
        <f>IF(SER_hh_tesh!R9=0,0,SER_hh_tesh!R9/SER_summary!R$26)</f>
        <v>142.65972720627366</v>
      </c>
      <c r="S9" s="132">
        <f>IF(SER_hh_tesh!S9=0,0,SER_hh_tesh!S9/SER_summary!S$26)</f>
        <v>174.70458868879288</v>
      </c>
      <c r="T9" s="132">
        <f>IF(SER_hh_tesh!T9=0,0,SER_hh_tesh!T9/SER_summary!T$26)</f>
        <v>163.74955821900215</v>
      </c>
      <c r="U9" s="132">
        <f>IF(SER_hh_tesh!U9=0,0,SER_hh_tesh!U9/SER_summary!U$26)</f>
        <v>158.92148132896943</v>
      </c>
      <c r="V9" s="132">
        <f>IF(SER_hh_tesh!V9=0,0,SER_hh_tesh!V9/SER_summary!V$26)</f>
        <v>144.47940530198352</v>
      </c>
      <c r="W9" s="132">
        <f>IF(SER_hh_tesh!W9=0,0,SER_hh_tesh!W9/SER_summary!W$26)</f>
        <v>182.89161163466378</v>
      </c>
      <c r="X9" s="132">
        <f>IF(SER_hh_tesh!X9=0,0,SER_hh_tesh!X9/SER_summary!X$26)</f>
        <v>165.20358077210344</v>
      </c>
      <c r="Y9" s="132">
        <f>IF(SER_hh_tesh!Y9=0,0,SER_hh_tesh!Y9/SER_summary!Y$26)</f>
        <v>144.10980689685894</v>
      </c>
      <c r="DA9" s="156" t="s">
        <v>514</v>
      </c>
    </row>
    <row r="10" spans="1:105" ht="12" customHeight="1" x14ac:dyDescent="0.25">
      <c r="A10" s="131" t="s">
        <v>128</v>
      </c>
      <c r="B10" s="132">
        <f>IF(SER_hh_tesh!B10=0,0,SER_hh_tesh!B10/SER_summary!B$26)</f>
        <v>123.08704329797143</v>
      </c>
      <c r="C10" s="132">
        <f>IF(SER_hh_tesh!C10=0,0,SER_hh_tesh!C10/SER_summary!C$26)</f>
        <v>139.35204621785334</v>
      </c>
      <c r="D10" s="132">
        <f>IF(SER_hh_tesh!D10=0,0,SER_hh_tesh!D10/SER_summary!D$26)</f>
        <v>142.76469271972039</v>
      </c>
      <c r="E10" s="132">
        <f>IF(SER_hh_tesh!E10=0,0,SER_hh_tesh!E10/SER_summary!E$26)</f>
        <v>143.34018334953237</v>
      </c>
      <c r="F10" s="132">
        <f>IF(SER_hh_tesh!F10=0,0,SER_hh_tesh!F10/SER_summary!F$26)</f>
        <v>140.44040455911735</v>
      </c>
      <c r="G10" s="132">
        <f>IF(SER_hh_tesh!G10=0,0,SER_hh_tesh!G10/SER_summary!G$26)</f>
        <v>139.10428119521305</v>
      </c>
      <c r="H10" s="132">
        <f>IF(SER_hh_tesh!H10=0,0,SER_hh_tesh!H10/SER_summary!H$26)</f>
        <v>142.55107389777632</v>
      </c>
      <c r="I10" s="132">
        <f>IF(SER_hh_tesh!I10=0,0,SER_hh_tesh!I10/SER_summary!I$26)</f>
        <v>142.27416906319829</v>
      </c>
      <c r="J10" s="132">
        <f>IF(SER_hh_tesh!J10=0,0,SER_hh_tesh!J10/SER_summary!J$26)</f>
        <v>151.41183876794534</v>
      </c>
      <c r="K10" s="132">
        <f>IF(SER_hh_tesh!K10=0,0,SER_hh_tesh!K10/SER_summary!K$26)</f>
        <v>162.88523233315263</v>
      </c>
      <c r="L10" s="132">
        <f>IF(SER_hh_tesh!L10=0,0,SER_hh_tesh!L10/SER_summary!L$26)</f>
        <v>179.78716161411117</v>
      </c>
      <c r="M10" s="132">
        <f>IF(SER_hh_tesh!M10=0,0,SER_hh_tesh!M10/SER_summary!M$26)</f>
        <v>154.35538302638358</v>
      </c>
      <c r="N10" s="132">
        <f>IF(SER_hh_tesh!N10=0,0,SER_hh_tesh!N10/SER_summary!N$26)</f>
        <v>171.57374301642088</v>
      </c>
      <c r="O10" s="132">
        <f>IF(SER_hh_tesh!O10=0,0,SER_hh_tesh!O10/SER_summary!O$26)</f>
        <v>159.10307439302022</v>
      </c>
      <c r="P10" s="132">
        <f>IF(SER_hh_tesh!P10=0,0,SER_hh_tesh!P10/SER_summary!P$26)</f>
        <v>164.08543708440098</v>
      </c>
      <c r="Q10" s="132">
        <f>IF(SER_hh_tesh!Q10=0,0,SER_hh_tesh!Q10/SER_summary!Q$26)</f>
        <v>148.90599236982109</v>
      </c>
      <c r="R10" s="132">
        <f>IF(SER_hh_tesh!R10=0,0,SER_hh_tesh!R10/SER_summary!R$26)</f>
        <v>164.11788469564686</v>
      </c>
      <c r="S10" s="132">
        <f>IF(SER_hh_tesh!S10=0,0,SER_hh_tesh!S10/SER_summary!S$26)</f>
        <v>163.51000960467093</v>
      </c>
      <c r="T10" s="132">
        <f>IF(SER_hh_tesh!T10=0,0,SER_hh_tesh!T10/SER_summary!T$26)</f>
        <v>167.07003076691029</v>
      </c>
      <c r="U10" s="132">
        <f>IF(SER_hh_tesh!U10=0,0,SER_hh_tesh!U10/SER_summary!U$26)</f>
        <v>162.20085286164468</v>
      </c>
      <c r="V10" s="132">
        <f>IF(SER_hh_tesh!V10=0,0,SER_hh_tesh!V10/SER_summary!V$26)</f>
        <v>144.89756011138087</v>
      </c>
      <c r="W10" s="132">
        <f>IF(SER_hh_tesh!W10=0,0,SER_hh_tesh!W10/SER_summary!W$26)</f>
        <v>168.6018582243606</v>
      </c>
      <c r="X10" s="132">
        <f>IF(SER_hh_tesh!X10=0,0,SER_hh_tesh!X10/SER_summary!X$26)</f>
        <v>173.85355001196902</v>
      </c>
      <c r="Y10" s="132">
        <f>IF(SER_hh_tesh!Y10=0,0,SER_hh_tesh!Y10/SER_summary!Y$26)</f>
        <v>154.80102452142367</v>
      </c>
      <c r="DA10" s="156" t="s">
        <v>515</v>
      </c>
    </row>
    <row r="11" spans="1:105" ht="12" customHeight="1" x14ac:dyDescent="0.25">
      <c r="A11" s="131" t="s">
        <v>25</v>
      </c>
      <c r="B11" s="132">
        <f>IF(SER_hh_tesh!B11=0,0,SER_hh_tesh!B11/SER_summary!B$26)</f>
        <v>0</v>
      </c>
      <c r="C11" s="132">
        <f>IF(SER_hh_tesh!C11=0,0,SER_hh_tesh!C11/SER_summary!C$26)</f>
        <v>0</v>
      </c>
      <c r="D11" s="132">
        <f>IF(SER_hh_tesh!D11=0,0,SER_hh_tesh!D11/SER_summary!D$26)</f>
        <v>0</v>
      </c>
      <c r="E11" s="132">
        <f>IF(SER_hh_tesh!E11=0,0,SER_hh_tesh!E11/SER_summary!E$26)</f>
        <v>0</v>
      </c>
      <c r="F11" s="132">
        <f>IF(SER_hh_tesh!F11=0,0,SER_hh_tesh!F11/SER_summary!F$26)</f>
        <v>0</v>
      </c>
      <c r="G11" s="132">
        <f>IF(SER_hh_tesh!G11=0,0,SER_hh_tesh!G11/SER_summary!G$26)</f>
        <v>0</v>
      </c>
      <c r="H11" s="132">
        <f>IF(SER_hh_tesh!H11=0,0,SER_hh_tesh!H11/SER_summary!H$26)</f>
        <v>0</v>
      </c>
      <c r="I11" s="132">
        <f>IF(SER_hh_tesh!I11=0,0,SER_hh_tesh!I11/SER_summary!I$26)</f>
        <v>0</v>
      </c>
      <c r="J11" s="132">
        <f>IF(SER_hh_tesh!J11=0,0,SER_hh_tesh!J11/SER_summary!J$26)</f>
        <v>0</v>
      </c>
      <c r="K11" s="132">
        <f>IF(SER_hh_tesh!K11=0,0,SER_hh_tesh!K11/SER_summary!K$26)</f>
        <v>0</v>
      </c>
      <c r="L11" s="132">
        <f>IF(SER_hh_tesh!L11=0,0,SER_hh_tesh!L11/SER_summary!L$26)</f>
        <v>0</v>
      </c>
      <c r="M11" s="132">
        <f>IF(SER_hh_tesh!M11=0,0,SER_hh_tesh!M11/SER_summary!M$26)</f>
        <v>0</v>
      </c>
      <c r="N11" s="132">
        <f>IF(SER_hh_tesh!N11=0,0,SER_hh_tesh!N11/SER_summary!N$26)</f>
        <v>0</v>
      </c>
      <c r="O11" s="132">
        <f>IF(SER_hh_tesh!O11=0,0,SER_hh_tesh!O11/SER_summary!O$26)</f>
        <v>0</v>
      </c>
      <c r="P11" s="132">
        <f>IF(SER_hh_tesh!P11=0,0,SER_hh_tesh!P11/SER_summary!P$26)</f>
        <v>0</v>
      </c>
      <c r="Q11" s="132">
        <f>IF(SER_hh_tesh!Q11=0,0,SER_hh_tesh!Q11/SER_summary!Q$26)</f>
        <v>0</v>
      </c>
      <c r="R11" s="132">
        <f>IF(SER_hh_tesh!R11=0,0,SER_hh_tesh!R11/SER_summary!R$26)</f>
        <v>0</v>
      </c>
      <c r="S11" s="132">
        <f>IF(SER_hh_tesh!S11=0,0,SER_hh_tesh!S11/SER_summary!S$26)</f>
        <v>0</v>
      </c>
      <c r="T11" s="132">
        <f>IF(SER_hh_tesh!T11=0,0,SER_hh_tesh!T11/SER_summary!T$26)</f>
        <v>0</v>
      </c>
      <c r="U11" s="132">
        <f>IF(SER_hh_tesh!U11=0,0,SER_hh_tesh!U11/SER_summary!U$26)</f>
        <v>0</v>
      </c>
      <c r="V11" s="132">
        <f>IF(SER_hh_tesh!V11=0,0,SER_hh_tesh!V11/SER_summary!V$26)</f>
        <v>0</v>
      </c>
      <c r="W11" s="132">
        <f>IF(SER_hh_tesh!W11=0,0,SER_hh_tesh!W11/SER_summary!W$26)</f>
        <v>0</v>
      </c>
      <c r="X11" s="132">
        <f>IF(SER_hh_tesh!X11=0,0,SER_hh_tesh!X11/SER_summary!X$26)</f>
        <v>0</v>
      </c>
      <c r="Y11" s="132">
        <f>IF(SER_hh_tesh!Y11=0,0,SER_hh_tesh!Y11/SER_summary!Y$26)</f>
        <v>0</v>
      </c>
      <c r="DA11" s="156" t="s">
        <v>516</v>
      </c>
    </row>
    <row r="12" spans="1:105" ht="12" customHeight="1" x14ac:dyDescent="0.25">
      <c r="A12" s="131" t="s">
        <v>162</v>
      </c>
      <c r="B12" s="132">
        <f>IF(SER_hh_tesh!B12=0,0,SER_hh_tesh!B12/SER_summary!B$26)</f>
        <v>123.97881144946774</v>
      </c>
      <c r="C12" s="132">
        <f>IF(SER_hh_tesh!C12=0,0,SER_hh_tesh!C12/SER_summary!C$26)</f>
        <v>140.65828686918798</v>
      </c>
      <c r="D12" s="132">
        <f>IF(SER_hh_tesh!D12=0,0,SER_hh_tesh!D12/SER_summary!D$26)</f>
        <v>144.14352436499195</v>
      </c>
      <c r="E12" s="132">
        <f>IF(SER_hh_tesh!E12=0,0,SER_hh_tesh!E12/SER_summary!E$26)</f>
        <v>146.1356976153649</v>
      </c>
      <c r="F12" s="132">
        <f>IF(SER_hh_tesh!F12=0,0,SER_hh_tesh!F12/SER_summary!F$26)</f>
        <v>141.2685097867184</v>
      </c>
      <c r="G12" s="132">
        <f>IF(SER_hh_tesh!G12=0,0,SER_hh_tesh!G12/SER_summary!G$26)</f>
        <v>137.14813114775257</v>
      </c>
      <c r="H12" s="132">
        <f>IF(SER_hh_tesh!H12=0,0,SER_hh_tesh!H12/SER_summary!H$26)</f>
        <v>137.80933793877477</v>
      </c>
      <c r="I12" s="132">
        <f>IF(SER_hh_tesh!I12=0,0,SER_hh_tesh!I12/SER_summary!I$26)</f>
        <v>151.44173114111661</v>
      </c>
      <c r="J12" s="132">
        <f>IF(SER_hh_tesh!J12=0,0,SER_hh_tesh!J12/SER_summary!J$26)</f>
        <v>146.65473219832617</v>
      </c>
      <c r="K12" s="132">
        <f>IF(SER_hh_tesh!K12=0,0,SER_hh_tesh!K12/SER_summary!K$26)</f>
        <v>169.42275105299601</v>
      </c>
      <c r="L12" s="132">
        <f>IF(SER_hh_tesh!L12=0,0,SER_hh_tesh!L12/SER_summary!L$26)</f>
        <v>181.52306284050954</v>
      </c>
      <c r="M12" s="132">
        <f>IF(SER_hh_tesh!M12=0,0,SER_hh_tesh!M12/SER_summary!M$26)</f>
        <v>150.2953922238689</v>
      </c>
      <c r="N12" s="132">
        <f>IF(SER_hh_tesh!N12=0,0,SER_hh_tesh!N12/SER_summary!N$26)</f>
        <v>167.01851675545447</v>
      </c>
      <c r="O12" s="132">
        <f>IF(SER_hh_tesh!O12=0,0,SER_hh_tesh!O12/SER_summary!O$26)</f>
        <v>157.52367197147848</v>
      </c>
      <c r="P12" s="132">
        <f>IF(SER_hh_tesh!P12=0,0,SER_hh_tesh!P12/SER_summary!P$26)</f>
        <v>169.64505772279958</v>
      </c>
      <c r="Q12" s="132">
        <f>IF(SER_hh_tesh!Q12=0,0,SER_hh_tesh!Q12/SER_summary!Q$26)</f>
        <v>149.7821873728671</v>
      </c>
      <c r="R12" s="132">
        <f>IF(SER_hh_tesh!R12=0,0,SER_hh_tesh!R12/SER_summary!R$26)</f>
        <v>165.24128093176927</v>
      </c>
      <c r="S12" s="132">
        <f>IF(SER_hh_tesh!S12=0,0,SER_hh_tesh!S12/SER_summary!S$26)</f>
        <v>163.77607203738455</v>
      </c>
      <c r="T12" s="132">
        <f>IF(SER_hh_tesh!T12=0,0,SER_hh_tesh!T12/SER_summary!T$26)</f>
        <v>167.68136306674904</v>
      </c>
      <c r="U12" s="132">
        <f>IF(SER_hh_tesh!U12=0,0,SER_hh_tesh!U12/SER_summary!U$26)</f>
        <v>162.15336870942059</v>
      </c>
      <c r="V12" s="132">
        <f>IF(SER_hh_tesh!V12=0,0,SER_hh_tesh!V12/SER_summary!V$26)</f>
        <v>147.41940830893319</v>
      </c>
      <c r="W12" s="132">
        <f>IF(SER_hh_tesh!W12=0,0,SER_hh_tesh!W12/SER_summary!W$26)</f>
        <v>173.28401849991178</v>
      </c>
      <c r="X12" s="132">
        <f>IF(SER_hh_tesh!X12=0,0,SER_hh_tesh!X12/SER_summary!X$26)</f>
        <v>159.59541977390649</v>
      </c>
      <c r="Y12" s="132">
        <f>IF(SER_hh_tesh!Y12=0,0,SER_hh_tesh!Y12/SER_summary!Y$26)</f>
        <v>160.74297564456683</v>
      </c>
      <c r="DA12" s="156" t="s">
        <v>517</v>
      </c>
    </row>
    <row r="13" spans="1:105" ht="12" customHeight="1" x14ac:dyDescent="0.25">
      <c r="A13" s="131" t="s">
        <v>77</v>
      </c>
      <c r="B13" s="132">
        <f>IF(SER_hh_tesh!B13=0,0,SER_hh_tesh!B13/SER_summary!B$26)</f>
        <v>125.51605411012774</v>
      </c>
      <c r="C13" s="132">
        <f>IF(SER_hh_tesh!C13=0,0,SER_hh_tesh!C13/SER_summary!C$26)</f>
        <v>137.05314634456875</v>
      </c>
      <c r="D13" s="132">
        <f>IF(SER_hh_tesh!D13=0,0,SER_hh_tesh!D13/SER_summary!D$26)</f>
        <v>139.8511952709986</v>
      </c>
      <c r="E13" s="132">
        <f>IF(SER_hh_tesh!E13=0,0,SER_hh_tesh!E13/SER_summary!E$26)</f>
        <v>140.74019263607056</v>
      </c>
      <c r="F13" s="132">
        <f>IF(SER_hh_tesh!F13=0,0,SER_hh_tesh!F13/SER_summary!F$26)</f>
        <v>140.84512830392114</v>
      </c>
      <c r="G13" s="132">
        <f>IF(SER_hh_tesh!G13=0,0,SER_hh_tesh!G13/SER_summary!G$26)</f>
        <v>140.82485293546401</v>
      </c>
      <c r="H13" s="132">
        <f>IF(SER_hh_tesh!H13=0,0,SER_hh_tesh!H13/SER_summary!H$26)</f>
        <v>142.74179942754037</v>
      </c>
      <c r="I13" s="132">
        <f>IF(SER_hh_tesh!I13=0,0,SER_hh_tesh!I13/SER_summary!I$26)</f>
        <v>147.50015437454348</v>
      </c>
      <c r="J13" s="132">
        <f>IF(SER_hh_tesh!J13=0,0,SER_hh_tesh!J13/SER_summary!J$26)</f>
        <v>153.22998961157342</v>
      </c>
      <c r="K13" s="132">
        <f>IF(SER_hh_tesh!K13=0,0,SER_hh_tesh!K13/SER_summary!K$26)</f>
        <v>159.88980180175017</v>
      </c>
      <c r="L13" s="132">
        <f>IF(SER_hh_tesh!L13=0,0,SER_hh_tesh!L13/SER_summary!L$26)</f>
        <v>163.31700726722707</v>
      </c>
      <c r="M13" s="132">
        <f>IF(SER_hh_tesh!M13=0,0,SER_hh_tesh!M13/SER_summary!M$26)</f>
        <v>160.47111979599066</v>
      </c>
      <c r="N13" s="132">
        <f>IF(SER_hh_tesh!N13=0,0,SER_hh_tesh!N13/SER_summary!N$26)</f>
        <v>162.20655802923008</v>
      </c>
      <c r="O13" s="132">
        <f>IF(SER_hh_tesh!O13=0,0,SER_hh_tesh!O13/SER_summary!O$26)</f>
        <v>158.67942258912532</v>
      </c>
      <c r="P13" s="132">
        <f>IF(SER_hh_tesh!P13=0,0,SER_hh_tesh!P13/SER_summary!P$26)</f>
        <v>158.50903071914462</v>
      </c>
      <c r="Q13" s="132">
        <f>IF(SER_hh_tesh!Q13=0,0,SER_hh_tesh!Q13/SER_summary!Q$26)</f>
        <v>164.22733805903468</v>
      </c>
      <c r="R13" s="132">
        <f>IF(SER_hh_tesh!R13=0,0,SER_hh_tesh!R13/SER_summary!R$26)</f>
        <v>161.14994424273141</v>
      </c>
      <c r="S13" s="132">
        <f>IF(SER_hh_tesh!S13=0,0,SER_hh_tesh!S13/SER_summary!S$26)</f>
        <v>161.43630756664209</v>
      </c>
      <c r="T13" s="132">
        <f>IF(SER_hh_tesh!T13=0,0,SER_hh_tesh!T13/SER_summary!T$26)</f>
        <v>166.30065308667832</v>
      </c>
      <c r="U13" s="132">
        <f>IF(SER_hh_tesh!U13=0,0,SER_hh_tesh!U13/SER_summary!U$26)</f>
        <v>160.79402571924251</v>
      </c>
      <c r="V13" s="132">
        <f>IF(SER_hh_tesh!V13=0,0,SER_hh_tesh!V13/SER_summary!V$26)</f>
        <v>146.21654685132668</v>
      </c>
      <c r="W13" s="132">
        <f>IF(SER_hh_tesh!W13=0,0,SER_hh_tesh!W13/SER_summary!W$26)</f>
        <v>168.76799682412346</v>
      </c>
      <c r="X13" s="132">
        <f>IF(SER_hh_tesh!X13=0,0,SER_hh_tesh!X13/SER_summary!X$26)</f>
        <v>159.78410640920026</v>
      </c>
      <c r="Y13" s="132">
        <f>IF(SER_hh_tesh!Y13=0,0,SER_hh_tesh!Y13/SER_summary!Y$26)</f>
        <v>170.18227222858241</v>
      </c>
      <c r="DA13" s="156" t="s">
        <v>518</v>
      </c>
    </row>
    <row r="14" spans="1:105" ht="12" customHeight="1" x14ac:dyDescent="0.25">
      <c r="A14" s="60" t="s">
        <v>76</v>
      </c>
      <c r="B14" s="65">
        <f>IF(SER_hh_tesh!B14=0,0,SER_hh_tesh!B14/SER_summary!B$26)</f>
        <v>124.28645966784939</v>
      </c>
      <c r="C14" s="65">
        <f>IF(SER_hh_tesh!C14=0,0,SER_hh_tesh!C14/SER_summary!C$26)</f>
        <v>140.18015484327839</v>
      </c>
      <c r="D14" s="65">
        <f>IF(SER_hh_tesh!D14=0,0,SER_hh_tesh!D14/SER_summary!D$26)</f>
        <v>146.75596173082309</v>
      </c>
      <c r="E14" s="65">
        <f>IF(SER_hh_tesh!E14=0,0,SER_hh_tesh!E14/SER_summary!E$26)</f>
        <v>140.50214314554071</v>
      </c>
      <c r="F14" s="65">
        <f>IF(SER_hh_tesh!F14=0,0,SER_hh_tesh!F14/SER_summary!F$26)</f>
        <v>142.63658356781465</v>
      </c>
      <c r="G14" s="65">
        <f>IF(SER_hh_tesh!G14=0,0,SER_hh_tesh!G14/SER_summary!G$26)</f>
        <v>141.4488823989264</v>
      </c>
      <c r="H14" s="65">
        <f>IF(SER_hh_tesh!H14=0,0,SER_hh_tesh!H14/SER_summary!H$26)</f>
        <v>144.00889129579181</v>
      </c>
      <c r="I14" s="65">
        <f>IF(SER_hh_tesh!I14=0,0,SER_hh_tesh!I14/SER_summary!I$26)</f>
        <v>147.05497837549925</v>
      </c>
      <c r="J14" s="65">
        <f>IF(SER_hh_tesh!J14=0,0,SER_hh_tesh!J14/SER_summary!J$26)</f>
        <v>151.37592017335118</v>
      </c>
      <c r="K14" s="65">
        <f>IF(SER_hh_tesh!K14=0,0,SER_hh_tesh!K14/SER_summary!K$26)</f>
        <v>165.09591620330241</v>
      </c>
      <c r="L14" s="65">
        <f>IF(SER_hh_tesh!L14=0,0,SER_hh_tesh!L14/SER_summary!L$26)</f>
        <v>175.94924158619423</v>
      </c>
      <c r="M14" s="65">
        <f>IF(SER_hh_tesh!M14=0,0,SER_hh_tesh!M14/SER_summary!M$26)</f>
        <v>158.45898025746274</v>
      </c>
      <c r="N14" s="65">
        <f>IF(SER_hh_tesh!N14=0,0,SER_hh_tesh!N14/SER_summary!N$26)</f>
        <v>171.87443646794441</v>
      </c>
      <c r="O14" s="65">
        <f>IF(SER_hh_tesh!O14=0,0,SER_hh_tesh!O14/SER_summary!O$26)</f>
        <v>162.5127722343926</v>
      </c>
      <c r="P14" s="65">
        <f>IF(SER_hh_tesh!P14=0,0,SER_hh_tesh!P14/SER_summary!P$26)</f>
        <v>160.93998352831559</v>
      </c>
      <c r="Q14" s="65">
        <f>IF(SER_hh_tesh!Q14=0,0,SER_hh_tesh!Q14/SER_summary!Q$26)</f>
        <v>157.05660850058942</v>
      </c>
      <c r="R14" s="65">
        <f>IF(SER_hh_tesh!R14=0,0,SER_hh_tesh!R14/SER_summary!R$26)</f>
        <v>163.38639540585226</v>
      </c>
      <c r="S14" s="65">
        <f>IF(SER_hh_tesh!S14=0,0,SER_hh_tesh!S14/SER_summary!S$26)</f>
        <v>156.98040427030551</v>
      </c>
      <c r="T14" s="65">
        <f>IF(SER_hh_tesh!T14=0,0,SER_hh_tesh!T14/SER_summary!T$26)</f>
        <v>175.12627287420369</v>
      </c>
      <c r="U14" s="65">
        <f>IF(SER_hh_tesh!U14=0,0,SER_hh_tesh!U14/SER_summary!U$26)</f>
        <v>164.77257881786761</v>
      </c>
      <c r="V14" s="65">
        <f>IF(SER_hh_tesh!V14=0,0,SER_hh_tesh!V14/SER_summary!V$26)</f>
        <v>151.44939865108287</v>
      </c>
      <c r="W14" s="65">
        <f>IF(SER_hh_tesh!W14=0,0,SER_hh_tesh!W14/SER_summary!W$26)</f>
        <v>165.73707149677193</v>
      </c>
      <c r="X14" s="65">
        <f>IF(SER_hh_tesh!X14=0,0,SER_hh_tesh!X14/SER_summary!X$26)</f>
        <v>171.06860442546699</v>
      </c>
      <c r="Y14" s="65">
        <f>IF(SER_hh_tesh!Y14=0,0,SER_hh_tesh!Y14/SER_summary!Y$26)</f>
        <v>152.50712370058292</v>
      </c>
      <c r="DA14" s="109" t="s">
        <v>519</v>
      </c>
    </row>
    <row r="15" spans="1:105" ht="12" customHeight="1" x14ac:dyDescent="0.25">
      <c r="A15" s="133" t="s">
        <v>80</v>
      </c>
      <c r="B15" s="134">
        <f>IF(SER_hh_tesh!B15=0,0,SER_hh_tesh!B15/SER_summary!B$26)</f>
        <v>1.0690219333639714</v>
      </c>
      <c r="C15" s="134">
        <f>IF(SER_hh_tesh!C15=0,0,SER_hh_tesh!C15/SER_summary!C$26)</f>
        <v>1.1353145340724631</v>
      </c>
      <c r="D15" s="134">
        <f>IF(SER_hh_tesh!D15=0,0,SER_hh_tesh!D15/SER_summary!D$26)</f>
        <v>1.1274096348150389</v>
      </c>
      <c r="E15" s="134">
        <f>IF(SER_hh_tesh!E15=0,0,SER_hh_tesh!E15/SER_summary!E$26)</f>
        <v>1.1108734864545551</v>
      </c>
      <c r="F15" s="134">
        <f>IF(SER_hh_tesh!F15=0,0,SER_hh_tesh!F15/SER_summary!F$26)</f>
        <v>1.0662650889036533</v>
      </c>
      <c r="G15" s="134">
        <f>IF(SER_hh_tesh!G15=0,0,SER_hh_tesh!G15/SER_summary!G$26)</f>
        <v>1.013788287568764</v>
      </c>
      <c r="H15" s="134">
        <f>IF(SER_hh_tesh!H15=0,0,SER_hh_tesh!H15/SER_summary!H$26)</f>
        <v>0.99727587193346567</v>
      </c>
      <c r="I15" s="134">
        <f>IF(SER_hh_tesh!I15=0,0,SER_hh_tesh!I15/SER_summary!I$26)</f>
        <v>1.0112786198409307</v>
      </c>
      <c r="J15" s="134">
        <f>IF(SER_hh_tesh!J15=0,0,SER_hh_tesh!J15/SER_summary!J$26)</f>
        <v>0.91702088711996388</v>
      </c>
      <c r="K15" s="134">
        <f>IF(SER_hh_tesh!K15=0,0,SER_hh_tesh!K15/SER_summary!K$26)</f>
        <v>1.0295324751384682</v>
      </c>
      <c r="L15" s="134">
        <f>IF(SER_hh_tesh!L15=0,0,SER_hh_tesh!L15/SER_summary!L$26)</f>
        <v>1.1434346319735316</v>
      </c>
      <c r="M15" s="134">
        <f>IF(SER_hh_tesh!M15=0,0,SER_hh_tesh!M15/SER_summary!M$26)</f>
        <v>0.97815002256899686</v>
      </c>
      <c r="N15" s="134">
        <f>IF(SER_hh_tesh!N15=0,0,SER_hh_tesh!N15/SER_summary!N$26)</f>
        <v>1.0861918012942462</v>
      </c>
      <c r="O15" s="134">
        <f>IF(SER_hh_tesh!O15=0,0,SER_hh_tesh!O15/SER_summary!O$26)</f>
        <v>1.0017003613256641</v>
      </c>
      <c r="P15" s="134">
        <f>IF(SER_hh_tesh!P15=0,0,SER_hh_tesh!P15/SER_summary!P$26)</f>
        <v>1.0288069087186114</v>
      </c>
      <c r="Q15" s="134">
        <f>IF(SER_hh_tesh!Q15=0,0,SER_hh_tesh!Q15/SER_summary!Q$26)</f>
        <v>0.91933140292539417</v>
      </c>
      <c r="R15" s="134">
        <f>IF(SER_hh_tesh!R15=0,0,SER_hh_tesh!R15/SER_summary!R$26)</f>
        <v>1.0076141097988225</v>
      </c>
      <c r="S15" s="134">
        <f>IF(SER_hh_tesh!S15=0,0,SER_hh_tesh!S15/SER_summary!S$26)</f>
        <v>1.0137737342324884</v>
      </c>
      <c r="T15" s="134">
        <f>IF(SER_hh_tesh!T15=0,0,SER_hh_tesh!T15/SER_summary!T$26)</f>
        <v>1.0261433414209271</v>
      </c>
      <c r="U15" s="134">
        <f>IF(SER_hh_tesh!U15=0,0,SER_hh_tesh!U15/SER_summary!U$26)</f>
        <v>1.0050474203702362</v>
      </c>
      <c r="V15" s="134">
        <f>IF(SER_hh_tesh!V15=0,0,SER_hh_tesh!V15/SER_summary!V$26)</f>
        <v>0.91484283549267409</v>
      </c>
      <c r="W15" s="134">
        <f>IF(SER_hh_tesh!W15=0,0,SER_hh_tesh!W15/SER_summary!W$26)</f>
        <v>1.0759143311334189</v>
      </c>
      <c r="X15" s="134">
        <f>IF(SER_hh_tesh!X15=0,0,SER_hh_tesh!X15/SER_summary!X$26)</f>
        <v>1.0049454266487694</v>
      </c>
      <c r="Y15" s="134">
        <f>IF(SER_hh_tesh!Y15=0,0,SER_hh_tesh!Y15/SER_summary!Y$26)</f>
        <v>0.99599424127977854</v>
      </c>
      <c r="DA15" s="157" t="s">
        <v>520</v>
      </c>
    </row>
    <row r="16" spans="1:105" ht="12.95" customHeight="1" x14ac:dyDescent="0.25">
      <c r="A16" s="129" t="s">
        <v>74</v>
      </c>
      <c r="B16" s="130">
        <f>IF(SER_hh_tesh!B16=0,0,SER_hh_tesh!B16/SER_summary!B$26)</f>
        <v>26.507894679066311</v>
      </c>
      <c r="C16" s="130">
        <f>IF(SER_hh_tesh!C16=0,0,SER_hh_tesh!C16/SER_summary!C$26)</f>
        <v>26.51465110436186</v>
      </c>
      <c r="D16" s="130">
        <f>IF(SER_hh_tesh!D16=0,0,SER_hh_tesh!D16/SER_summary!D$26)</f>
        <v>26.544630806650886</v>
      </c>
      <c r="E16" s="130">
        <f>IF(SER_hh_tesh!E16=0,0,SER_hh_tesh!E16/SER_summary!E$26)</f>
        <v>27.759754861327377</v>
      </c>
      <c r="F16" s="130">
        <f>IF(SER_hh_tesh!F16=0,0,SER_hh_tesh!F16/SER_summary!F$26)</f>
        <v>26.654884750937285</v>
      </c>
      <c r="G16" s="130">
        <f>IF(SER_hh_tesh!G16=0,0,SER_hh_tesh!G16/SER_summary!G$26)</f>
        <v>26.736199789667772</v>
      </c>
      <c r="H16" s="130">
        <f>IF(SER_hh_tesh!H16=0,0,SER_hh_tesh!H16/SER_summary!H$26)</f>
        <v>26.853617590166973</v>
      </c>
      <c r="I16" s="130">
        <f>IF(SER_hh_tesh!I16=0,0,SER_hh_tesh!I16/SER_summary!I$26)</f>
        <v>26.890513404671182</v>
      </c>
      <c r="J16" s="130">
        <f>IF(SER_hh_tesh!J16=0,0,SER_hh_tesh!J16/SER_summary!J$26)</f>
        <v>27.10807145940371</v>
      </c>
      <c r="K16" s="130">
        <f>IF(SER_hh_tesh!K16=0,0,SER_hh_tesh!K16/SER_summary!K$26)</f>
        <v>27.161999446320081</v>
      </c>
      <c r="L16" s="130">
        <f>IF(SER_hh_tesh!L16=0,0,SER_hh_tesh!L16/SER_summary!L$26)</f>
        <v>29.13683359934717</v>
      </c>
      <c r="M16" s="130">
        <f>IF(SER_hh_tesh!M16=0,0,SER_hh_tesh!M16/SER_summary!M$26)</f>
        <v>27.548879506650344</v>
      </c>
      <c r="N16" s="130">
        <f>IF(SER_hh_tesh!N16=0,0,SER_hh_tesh!N16/SER_summary!N$26)</f>
        <v>27.342008635936953</v>
      </c>
      <c r="O16" s="130">
        <f>IF(SER_hh_tesh!O16=0,0,SER_hh_tesh!O16/SER_summary!O$26)</f>
        <v>27.478698478245281</v>
      </c>
      <c r="P16" s="130">
        <f>IF(SER_hh_tesh!P16=0,0,SER_hh_tesh!P16/SER_summary!P$26)</f>
        <v>27.791794878281383</v>
      </c>
      <c r="Q16" s="130">
        <f>IF(SER_hh_tesh!Q16=0,0,SER_hh_tesh!Q16/SER_summary!Q$26)</f>
        <v>27.599116848438705</v>
      </c>
      <c r="R16" s="130">
        <f>IF(SER_hh_tesh!R16=0,0,SER_hh_tesh!R16/SER_summary!R$26)</f>
        <v>28.269063891649658</v>
      </c>
      <c r="S16" s="130">
        <f>IF(SER_hh_tesh!S16=0,0,SER_hh_tesh!S16/SER_summary!S$26)</f>
        <v>28.324849132823964</v>
      </c>
      <c r="T16" s="130">
        <f>IF(SER_hh_tesh!T16=0,0,SER_hh_tesh!T16/SER_summary!T$26)</f>
        <v>28.320800543774784</v>
      </c>
      <c r="U16" s="130">
        <f>IF(SER_hh_tesh!U16=0,0,SER_hh_tesh!U16/SER_summary!U$26)</f>
        <v>28.499229829019033</v>
      </c>
      <c r="V16" s="130">
        <f>IF(SER_hh_tesh!V16=0,0,SER_hh_tesh!V16/SER_summary!V$26)</f>
        <v>28.526533508767212</v>
      </c>
      <c r="W16" s="130">
        <f>IF(SER_hh_tesh!W16=0,0,SER_hh_tesh!W16/SER_summary!W$26)</f>
        <v>27.913635116342547</v>
      </c>
      <c r="X16" s="130">
        <f>IF(SER_hh_tesh!X16=0,0,SER_hh_tesh!X16/SER_summary!X$26)</f>
        <v>28.1299523912413</v>
      </c>
      <c r="Y16" s="130">
        <f>IF(SER_hh_tesh!Y16=0,0,SER_hh_tesh!Y16/SER_summary!Y$26)</f>
        <v>28.157186090426411</v>
      </c>
      <c r="DA16" s="155" t="s">
        <v>521</v>
      </c>
    </row>
    <row r="17" spans="1:105" ht="12.95" customHeight="1" x14ac:dyDescent="0.25">
      <c r="A17" s="131" t="s">
        <v>73</v>
      </c>
      <c r="B17" s="132">
        <f>IF(SER_hh_tesh!B17=0,0,SER_hh_tesh!B17/SER_summary!B$26)</f>
        <v>0</v>
      </c>
      <c r="C17" s="132">
        <f>IF(SER_hh_tesh!C17=0,0,SER_hh_tesh!C17/SER_summary!C$26)</f>
        <v>0</v>
      </c>
      <c r="D17" s="132">
        <f>IF(SER_hh_tesh!D17=0,0,SER_hh_tesh!D17/SER_summary!D$26)</f>
        <v>0</v>
      </c>
      <c r="E17" s="132">
        <f>IF(SER_hh_tesh!E17=0,0,SER_hh_tesh!E17/SER_summary!E$26)</f>
        <v>0</v>
      </c>
      <c r="F17" s="132">
        <f>IF(SER_hh_tesh!F17=0,0,SER_hh_tesh!F17/SER_summary!F$26)</f>
        <v>0</v>
      </c>
      <c r="G17" s="132">
        <f>IF(SER_hh_tesh!G17=0,0,SER_hh_tesh!G17/SER_summary!G$26)</f>
        <v>0</v>
      </c>
      <c r="H17" s="132">
        <f>IF(SER_hh_tesh!H17=0,0,SER_hh_tesh!H17/SER_summary!H$26)</f>
        <v>0</v>
      </c>
      <c r="I17" s="132">
        <f>IF(SER_hh_tesh!I17=0,0,SER_hh_tesh!I17/SER_summary!I$26)</f>
        <v>0</v>
      </c>
      <c r="J17" s="132">
        <f>IF(SER_hh_tesh!J17=0,0,SER_hh_tesh!J17/SER_summary!J$26)</f>
        <v>0</v>
      </c>
      <c r="K17" s="132">
        <f>IF(SER_hh_tesh!K17=0,0,SER_hh_tesh!K17/SER_summary!K$26)</f>
        <v>0</v>
      </c>
      <c r="L17" s="132">
        <f>IF(SER_hh_tesh!L17=0,0,SER_hh_tesh!L17/SER_summary!L$26)</f>
        <v>0</v>
      </c>
      <c r="M17" s="132">
        <f>IF(SER_hh_tesh!M17=0,0,SER_hh_tesh!M17/SER_summary!M$26)</f>
        <v>0</v>
      </c>
      <c r="N17" s="132">
        <f>IF(SER_hh_tesh!N17=0,0,SER_hh_tesh!N17/SER_summary!N$26)</f>
        <v>0</v>
      </c>
      <c r="O17" s="132">
        <f>IF(SER_hh_tesh!O17=0,0,SER_hh_tesh!O17/SER_summary!O$26)</f>
        <v>0</v>
      </c>
      <c r="P17" s="132">
        <f>IF(SER_hh_tesh!P17=0,0,SER_hh_tesh!P17/SER_summary!P$26)</f>
        <v>0</v>
      </c>
      <c r="Q17" s="132">
        <f>IF(SER_hh_tesh!Q17=0,0,SER_hh_tesh!Q17/SER_summary!Q$26)</f>
        <v>0</v>
      </c>
      <c r="R17" s="132">
        <f>IF(SER_hh_tesh!R17=0,0,SER_hh_tesh!R17/SER_summary!R$26)</f>
        <v>0</v>
      </c>
      <c r="S17" s="132">
        <f>IF(SER_hh_tesh!S17=0,0,SER_hh_tesh!S17/SER_summary!S$26)</f>
        <v>0</v>
      </c>
      <c r="T17" s="132">
        <f>IF(SER_hh_tesh!T17=0,0,SER_hh_tesh!T17/SER_summary!T$26)</f>
        <v>0</v>
      </c>
      <c r="U17" s="132">
        <f>IF(SER_hh_tesh!U17=0,0,SER_hh_tesh!U17/SER_summary!U$26)</f>
        <v>0</v>
      </c>
      <c r="V17" s="132">
        <f>IF(SER_hh_tesh!V17=0,0,SER_hh_tesh!V17/SER_summary!V$26)</f>
        <v>0</v>
      </c>
      <c r="W17" s="132">
        <f>IF(SER_hh_tesh!W17=0,0,SER_hh_tesh!W17/SER_summary!W$26)</f>
        <v>0</v>
      </c>
      <c r="X17" s="132">
        <f>IF(SER_hh_tesh!X17=0,0,SER_hh_tesh!X17/SER_summary!X$26)</f>
        <v>0</v>
      </c>
      <c r="Y17" s="132">
        <f>IF(SER_hh_tesh!Y17=0,0,SER_hh_tesh!Y17/SER_summary!Y$26)</f>
        <v>0</v>
      </c>
      <c r="DA17" s="156" t="s">
        <v>522</v>
      </c>
    </row>
    <row r="18" spans="1:105" ht="12" customHeight="1" x14ac:dyDescent="0.25">
      <c r="A18" s="131" t="s">
        <v>72</v>
      </c>
      <c r="B18" s="132">
        <f>IF(SER_hh_tesh!B18=0,0,SER_hh_tesh!B18/SER_summary!B$26)</f>
        <v>26.507894679066311</v>
      </c>
      <c r="C18" s="132">
        <f>IF(SER_hh_tesh!C18=0,0,SER_hh_tesh!C18/SER_summary!C$26)</f>
        <v>26.51465110436186</v>
      </c>
      <c r="D18" s="132">
        <f>IF(SER_hh_tesh!D18=0,0,SER_hh_tesh!D18/SER_summary!D$26)</f>
        <v>26.544630806650886</v>
      </c>
      <c r="E18" s="132">
        <f>IF(SER_hh_tesh!E18=0,0,SER_hh_tesh!E18/SER_summary!E$26)</f>
        <v>27.759754861327377</v>
      </c>
      <c r="F18" s="132">
        <f>IF(SER_hh_tesh!F18=0,0,SER_hh_tesh!F18/SER_summary!F$26)</f>
        <v>26.654884750937285</v>
      </c>
      <c r="G18" s="132">
        <f>IF(SER_hh_tesh!G18=0,0,SER_hh_tesh!G18/SER_summary!G$26)</f>
        <v>26.736199789667772</v>
      </c>
      <c r="H18" s="132">
        <f>IF(SER_hh_tesh!H18=0,0,SER_hh_tesh!H18/SER_summary!H$26)</f>
        <v>26.853617590166973</v>
      </c>
      <c r="I18" s="132">
        <f>IF(SER_hh_tesh!I18=0,0,SER_hh_tesh!I18/SER_summary!I$26)</f>
        <v>26.890513404671182</v>
      </c>
      <c r="J18" s="132">
        <f>IF(SER_hh_tesh!J18=0,0,SER_hh_tesh!J18/SER_summary!J$26)</f>
        <v>27.10807145940371</v>
      </c>
      <c r="K18" s="132">
        <f>IF(SER_hh_tesh!K18=0,0,SER_hh_tesh!K18/SER_summary!K$26)</f>
        <v>27.161999446320081</v>
      </c>
      <c r="L18" s="132">
        <f>IF(SER_hh_tesh!L18=0,0,SER_hh_tesh!L18/SER_summary!L$26)</f>
        <v>29.13683359934717</v>
      </c>
      <c r="M18" s="132">
        <f>IF(SER_hh_tesh!M18=0,0,SER_hh_tesh!M18/SER_summary!M$26)</f>
        <v>27.548879506650344</v>
      </c>
      <c r="N18" s="132">
        <f>IF(SER_hh_tesh!N18=0,0,SER_hh_tesh!N18/SER_summary!N$26)</f>
        <v>27.342008635936953</v>
      </c>
      <c r="O18" s="132">
        <f>IF(SER_hh_tesh!O18=0,0,SER_hh_tesh!O18/SER_summary!O$26)</f>
        <v>27.478698478245281</v>
      </c>
      <c r="P18" s="132">
        <f>IF(SER_hh_tesh!P18=0,0,SER_hh_tesh!P18/SER_summary!P$26)</f>
        <v>27.791794878281383</v>
      </c>
      <c r="Q18" s="132">
        <f>IF(SER_hh_tesh!Q18=0,0,SER_hh_tesh!Q18/SER_summary!Q$26)</f>
        <v>27.599116848438705</v>
      </c>
      <c r="R18" s="132">
        <f>IF(SER_hh_tesh!R18=0,0,SER_hh_tesh!R18/SER_summary!R$26)</f>
        <v>28.269063891649658</v>
      </c>
      <c r="S18" s="132">
        <f>IF(SER_hh_tesh!S18=0,0,SER_hh_tesh!S18/SER_summary!S$26)</f>
        <v>28.324849132823964</v>
      </c>
      <c r="T18" s="132">
        <f>IF(SER_hh_tesh!T18=0,0,SER_hh_tesh!T18/SER_summary!T$26)</f>
        <v>28.320800543774784</v>
      </c>
      <c r="U18" s="132">
        <f>IF(SER_hh_tesh!U18=0,0,SER_hh_tesh!U18/SER_summary!U$26)</f>
        <v>28.499229829019033</v>
      </c>
      <c r="V18" s="132">
        <f>IF(SER_hh_tesh!V18=0,0,SER_hh_tesh!V18/SER_summary!V$26)</f>
        <v>28.526533508767212</v>
      </c>
      <c r="W18" s="132">
        <f>IF(SER_hh_tesh!W18=0,0,SER_hh_tesh!W18/SER_summary!W$26)</f>
        <v>27.913635116342547</v>
      </c>
      <c r="X18" s="132">
        <f>IF(SER_hh_tesh!X18=0,0,SER_hh_tesh!X18/SER_summary!X$26)</f>
        <v>28.1299523912413</v>
      </c>
      <c r="Y18" s="132">
        <f>IF(SER_hh_tesh!Y18=0,0,SER_hh_tesh!Y18/SER_summary!Y$26)</f>
        <v>28.157186090426411</v>
      </c>
      <c r="DA18" s="156" t="s">
        <v>523</v>
      </c>
    </row>
    <row r="19" spans="1:105" ht="12.95" customHeight="1" x14ac:dyDescent="0.25">
      <c r="A19" s="129" t="s">
        <v>35</v>
      </c>
      <c r="B19" s="130">
        <f>IF(SER_hh_tesh!B19=0,0,SER_hh_tesh!B19/SER_summary!B$26)</f>
        <v>17.691375144972437</v>
      </c>
      <c r="C19" s="130">
        <f>IF(SER_hh_tesh!C19=0,0,SER_hh_tesh!C19/SER_summary!C$26)</f>
        <v>17.721296516750634</v>
      </c>
      <c r="D19" s="130">
        <f>IF(SER_hh_tesh!D19=0,0,SER_hh_tesh!D19/SER_summary!D$26)</f>
        <v>17.69355255867168</v>
      </c>
      <c r="E19" s="130">
        <f>IF(SER_hh_tesh!E19=0,0,SER_hh_tesh!E19/SER_summary!E$26)</f>
        <v>17.876220847135063</v>
      </c>
      <c r="F19" s="130">
        <f>IF(SER_hh_tesh!F19=0,0,SER_hh_tesh!F19/SER_summary!F$26)</f>
        <v>17.831300293810916</v>
      </c>
      <c r="G19" s="130">
        <f>IF(SER_hh_tesh!G19=0,0,SER_hh_tesh!G19/SER_summary!G$26)</f>
        <v>18.081593051973741</v>
      </c>
      <c r="H19" s="130">
        <f>IF(SER_hh_tesh!H19=0,0,SER_hh_tesh!H19/SER_summary!H$26)</f>
        <v>18.009129269413908</v>
      </c>
      <c r="I19" s="130">
        <f>IF(SER_hh_tesh!I19=0,0,SER_hh_tesh!I19/SER_summary!I$26)</f>
        <v>17.931841560233512</v>
      </c>
      <c r="J19" s="130">
        <f>IF(SER_hh_tesh!J19=0,0,SER_hh_tesh!J19/SER_summary!J$26)</f>
        <v>17.988548554249</v>
      </c>
      <c r="K19" s="130">
        <f>IF(SER_hh_tesh!K19=0,0,SER_hh_tesh!K19/SER_summary!K$26)</f>
        <v>18.122189614463434</v>
      </c>
      <c r="L19" s="130">
        <f>IF(SER_hh_tesh!L19=0,0,SER_hh_tesh!L19/SER_summary!L$26)</f>
        <v>18.356844265510365</v>
      </c>
      <c r="M19" s="130">
        <f>IF(SER_hh_tesh!M19=0,0,SER_hh_tesh!M19/SER_summary!M$26)</f>
        <v>18.5924263691806</v>
      </c>
      <c r="N19" s="130">
        <f>IF(SER_hh_tesh!N19=0,0,SER_hh_tesh!N19/SER_summary!N$26)</f>
        <v>18.853415709818027</v>
      </c>
      <c r="O19" s="130">
        <f>IF(SER_hh_tesh!O19=0,0,SER_hh_tesh!O19/SER_summary!O$26)</f>
        <v>19.137180893864212</v>
      </c>
      <c r="P19" s="130">
        <f>IF(SER_hh_tesh!P19=0,0,SER_hh_tesh!P19/SER_summary!P$26)</f>
        <v>19.417954089744395</v>
      </c>
      <c r="Q19" s="130">
        <f>IF(SER_hh_tesh!Q19=0,0,SER_hh_tesh!Q19/SER_summary!Q$26)</f>
        <v>19.635285002018108</v>
      </c>
      <c r="R19" s="130">
        <f>IF(SER_hh_tesh!R19=0,0,SER_hh_tesh!R19/SER_summary!R$26)</f>
        <v>19.623771122913514</v>
      </c>
      <c r="S19" s="130">
        <f>IF(SER_hh_tesh!S19=0,0,SER_hh_tesh!S19/SER_summary!S$26)</f>
        <v>19.991841308585254</v>
      </c>
      <c r="T19" s="130">
        <f>IF(SER_hh_tesh!T19=0,0,SER_hh_tesh!T19/SER_summary!T$26)</f>
        <v>20.175047472261248</v>
      </c>
      <c r="U19" s="130">
        <f>IF(SER_hh_tesh!U19=0,0,SER_hh_tesh!U19/SER_summary!U$26)</f>
        <v>20.569163936224577</v>
      </c>
      <c r="V19" s="130">
        <f>IF(SER_hh_tesh!V19=0,0,SER_hh_tesh!V19/SER_summary!V$26)</f>
        <v>18.886207038614184</v>
      </c>
      <c r="W19" s="130">
        <f>IF(SER_hh_tesh!W19=0,0,SER_hh_tesh!W19/SER_summary!W$26)</f>
        <v>21.012263773671091</v>
      </c>
      <c r="X19" s="130">
        <f>IF(SER_hh_tesh!X19=0,0,SER_hh_tesh!X19/SER_summary!X$26)</f>
        <v>21.178201228737233</v>
      </c>
      <c r="Y19" s="130">
        <f>IF(SER_hh_tesh!Y19=0,0,SER_hh_tesh!Y19/SER_summary!Y$26)</f>
        <v>21.474258608265778</v>
      </c>
      <c r="DA19" s="155" t="s">
        <v>524</v>
      </c>
    </row>
    <row r="20" spans="1:105" ht="12" customHeight="1" x14ac:dyDescent="0.25">
      <c r="A20" s="131" t="s">
        <v>29</v>
      </c>
      <c r="B20" s="132">
        <f>IF(SER_hh_tesh!B20=0,0,SER_hh_tesh!B20/SER_summary!B$26)</f>
        <v>0</v>
      </c>
      <c r="C20" s="132">
        <f>IF(SER_hh_tesh!C20=0,0,SER_hh_tesh!C20/SER_summary!C$26)</f>
        <v>0</v>
      </c>
      <c r="D20" s="132">
        <f>IF(SER_hh_tesh!D20=0,0,SER_hh_tesh!D20/SER_summary!D$26)</f>
        <v>0</v>
      </c>
      <c r="E20" s="132">
        <f>IF(SER_hh_tesh!E20=0,0,SER_hh_tesh!E20/SER_summary!E$26)</f>
        <v>0</v>
      </c>
      <c r="F20" s="132">
        <f>IF(SER_hh_tesh!F20=0,0,SER_hh_tesh!F20/SER_summary!F$26)</f>
        <v>0</v>
      </c>
      <c r="G20" s="132">
        <f>IF(SER_hh_tesh!G20=0,0,SER_hh_tesh!G20/SER_summary!G$26)</f>
        <v>0</v>
      </c>
      <c r="H20" s="132">
        <f>IF(SER_hh_tesh!H20=0,0,SER_hh_tesh!H20/SER_summary!H$26)</f>
        <v>0</v>
      </c>
      <c r="I20" s="132">
        <f>IF(SER_hh_tesh!I20=0,0,SER_hh_tesh!I20/SER_summary!I$26)</f>
        <v>0</v>
      </c>
      <c r="J20" s="132">
        <f>IF(SER_hh_tesh!J20=0,0,SER_hh_tesh!J20/SER_summary!J$26)</f>
        <v>0</v>
      </c>
      <c r="K20" s="132">
        <f>IF(SER_hh_tesh!K20=0,0,SER_hh_tesh!K20/SER_summary!K$26)</f>
        <v>0</v>
      </c>
      <c r="L20" s="132">
        <f>IF(SER_hh_tesh!L20=0,0,SER_hh_tesh!L20/SER_summary!L$26)</f>
        <v>0</v>
      </c>
      <c r="M20" s="132">
        <f>IF(SER_hh_tesh!M20=0,0,SER_hh_tesh!M20/SER_summary!M$26)</f>
        <v>0</v>
      </c>
      <c r="N20" s="132">
        <f>IF(SER_hh_tesh!N20=0,0,SER_hh_tesh!N20/SER_summary!N$26)</f>
        <v>0</v>
      </c>
      <c r="O20" s="132">
        <f>IF(SER_hh_tesh!O20=0,0,SER_hh_tesh!O20/SER_summary!O$26)</f>
        <v>0</v>
      </c>
      <c r="P20" s="132">
        <f>IF(SER_hh_tesh!P20=0,0,SER_hh_tesh!P20/SER_summary!P$26)</f>
        <v>0</v>
      </c>
      <c r="Q20" s="132">
        <f>IF(SER_hh_tesh!Q20=0,0,SER_hh_tesh!Q20/SER_summary!Q$26)</f>
        <v>0</v>
      </c>
      <c r="R20" s="132">
        <f>IF(SER_hh_tesh!R20=0,0,SER_hh_tesh!R20/SER_summary!R$26)</f>
        <v>0</v>
      </c>
      <c r="S20" s="132">
        <f>IF(SER_hh_tesh!S20=0,0,SER_hh_tesh!S20/SER_summary!S$26)</f>
        <v>0</v>
      </c>
      <c r="T20" s="132">
        <f>IF(SER_hh_tesh!T20=0,0,SER_hh_tesh!T20/SER_summary!T$26)</f>
        <v>0</v>
      </c>
      <c r="U20" s="132">
        <f>IF(SER_hh_tesh!U20=0,0,SER_hh_tesh!U20/SER_summary!U$26)</f>
        <v>0</v>
      </c>
      <c r="V20" s="132">
        <f>IF(SER_hh_tesh!V20=0,0,SER_hh_tesh!V20/SER_summary!V$26)</f>
        <v>0</v>
      </c>
      <c r="W20" s="132">
        <f>IF(SER_hh_tesh!W20=0,0,SER_hh_tesh!W20/SER_summary!W$26)</f>
        <v>0</v>
      </c>
      <c r="X20" s="132">
        <f>IF(SER_hh_tesh!X20=0,0,SER_hh_tesh!X20/SER_summary!X$26)</f>
        <v>0</v>
      </c>
      <c r="Y20" s="132">
        <f>IF(SER_hh_tesh!Y20=0,0,SER_hh_tesh!Y20/SER_summary!Y$26)</f>
        <v>0</v>
      </c>
      <c r="DA20" s="156" t="s">
        <v>525</v>
      </c>
    </row>
    <row r="21" spans="1:105" s="2" customFormat="1" ht="12" customHeight="1" x14ac:dyDescent="0.25">
      <c r="A21" s="131" t="s">
        <v>52</v>
      </c>
      <c r="B21" s="132">
        <f>IF(SER_hh_tesh!B21=0,0,SER_hh_tesh!B21/SER_summary!B$26)</f>
        <v>0</v>
      </c>
      <c r="C21" s="132">
        <f>IF(SER_hh_tesh!C21=0,0,SER_hh_tesh!C21/SER_summary!C$26)</f>
        <v>0</v>
      </c>
      <c r="D21" s="132">
        <f>IF(SER_hh_tesh!D21=0,0,SER_hh_tesh!D21/SER_summary!D$26)</f>
        <v>0</v>
      </c>
      <c r="E21" s="132">
        <f>IF(SER_hh_tesh!E21=0,0,SER_hh_tesh!E21/SER_summary!E$26)</f>
        <v>0</v>
      </c>
      <c r="F21" s="132">
        <f>IF(SER_hh_tesh!F21=0,0,SER_hh_tesh!F21/SER_summary!F$26)</f>
        <v>0</v>
      </c>
      <c r="G21" s="132">
        <f>IF(SER_hh_tesh!G21=0,0,SER_hh_tesh!G21/SER_summary!G$26)</f>
        <v>0</v>
      </c>
      <c r="H21" s="132">
        <f>IF(SER_hh_tesh!H21=0,0,SER_hh_tesh!H21/SER_summary!H$26)</f>
        <v>0</v>
      </c>
      <c r="I21" s="132">
        <f>IF(SER_hh_tesh!I21=0,0,SER_hh_tesh!I21/SER_summary!I$26)</f>
        <v>0</v>
      </c>
      <c r="J21" s="132">
        <f>IF(SER_hh_tesh!J21=0,0,SER_hh_tesh!J21/SER_summary!J$26)</f>
        <v>0</v>
      </c>
      <c r="K21" s="132">
        <f>IF(SER_hh_tesh!K21=0,0,SER_hh_tesh!K21/SER_summary!K$26)</f>
        <v>0</v>
      </c>
      <c r="L21" s="132">
        <f>IF(SER_hh_tesh!L21=0,0,SER_hh_tesh!L21/SER_summary!L$26)</f>
        <v>0</v>
      </c>
      <c r="M21" s="132">
        <f>IF(SER_hh_tesh!M21=0,0,SER_hh_tesh!M21/SER_summary!M$26)</f>
        <v>0</v>
      </c>
      <c r="N21" s="132">
        <f>IF(SER_hh_tesh!N21=0,0,SER_hh_tesh!N21/SER_summary!N$26)</f>
        <v>0</v>
      </c>
      <c r="O21" s="132">
        <f>IF(SER_hh_tesh!O21=0,0,SER_hh_tesh!O21/SER_summary!O$26)</f>
        <v>0</v>
      </c>
      <c r="P21" s="132">
        <f>IF(SER_hh_tesh!P21=0,0,SER_hh_tesh!P21/SER_summary!P$26)</f>
        <v>0</v>
      </c>
      <c r="Q21" s="132">
        <f>IF(SER_hh_tesh!Q21=0,0,SER_hh_tesh!Q21/SER_summary!Q$26)</f>
        <v>0</v>
      </c>
      <c r="R21" s="132">
        <f>IF(SER_hh_tesh!R21=0,0,SER_hh_tesh!R21/SER_summary!R$26)</f>
        <v>0</v>
      </c>
      <c r="S21" s="132">
        <f>IF(SER_hh_tesh!S21=0,0,SER_hh_tesh!S21/SER_summary!S$26)</f>
        <v>0</v>
      </c>
      <c r="T21" s="132">
        <f>IF(SER_hh_tesh!T21=0,0,SER_hh_tesh!T21/SER_summary!T$26)</f>
        <v>0</v>
      </c>
      <c r="U21" s="132">
        <f>IF(SER_hh_tesh!U21=0,0,SER_hh_tesh!U21/SER_summary!U$26)</f>
        <v>0</v>
      </c>
      <c r="V21" s="132">
        <f>IF(SER_hh_tesh!V21=0,0,SER_hh_tesh!V21/SER_summary!V$26)</f>
        <v>0</v>
      </c>
      <c r="W21" s="132">
        <f>IF(SER_hh_tesh!W21=0,0,SER_hh_tesh!W21/SER_summary!W$26)</f>
        <v>0</v>
      </c>
      <c r="X21" s="132">
        <f>IF(SER_hh_tesh!X21=0,0,SER_hh_tesh!X21/SER_summary!X$26)</f>
        <v>0</v>
      </c>
      <c r="Y21" s="132">
        <f>IF(SER_hh_tesh!Y21=0,0,SER_hh_tesh!Y21/SER_summary!Y$26)</f>
        <v>0</v>
      </c>
      <c r="DA21" s="156" t="s">
        <v>526</v>
      </c>
    </row>
    <row r="22" spans="1:105" ht="12" customHeight="1" x14ac:dyDescent="0.25">
      <c r="A22" s="131" t="s">
        <v>161</v>
      </c>
      <c r="B22" s="132">
        <f>IF(SER_hh_tesh!B22=0,0,SER_hh_tesh!B22/SER_summary!B$26)</f>
        <v>17.598664796445981</v>
      </c>
      <c r="C22" s="132">
        <f>IF(SER_hh_tesh!C22=0,0,SER_hh_tesh!C22/SER_summary!C$26)</f>
        <v>17.578766608062246</v>
      </c>
      <c r="D22" s="132">
        <f>IF(SER_hh_tesh!D22=0,0,SER_hh_tesh!D22/SER_summary!D$26)</f>
        <v>17.874934064051317</v>
      </c>
      <c r="E22" s="132">
        <f>IF(SER_hh_tesh!E22=0,0,SER_hh_tesh!E22/SER_summary!E$26)</f>
        <v>17.974563043611738</v>
      </c>
      <c r="F22" s="132">
        <f>IF(SER_hh_tesh!F22=0,0,SER_hh_tesh!F22/SER_summary!F$26)</f>
        <v>17.93056361995702</v>
      </c>
      <c r="G22" s="132">
        <f>IF(SER_hh_tesh!G22=0,0,SER_hh_tesh!G22/SER_summary!G$26)</f>
        <v>17.856230450431735</v>
      </c>
      <c r="H22" s="132">
        <f>IF(SER_hh_tesh!H22=0,0,SER_hh_tesh!H22/SER_summary!H$26)</f>
        <v>18.084044057441098</v>
      </c>
      <c r="I22" s="132">
        <f>IF(SER_hh_tesh!I22=0,0,SER_hh_tesh!I22/SER_summary!I$26)</f>
        <v>18.020429965718076</v>
      </c>
      <c r="J22" s="132">
        <f>IF(SER_hh_tesh!J22=0,0,SER_hh_tesh!J22/SER_summary!J$26)</f>
        <v>17.85208800052887</v>
      </c>
      <c r="K22" s="132">
        <f>IF(SER_hh_tesh!K22=0,0,SER_hh_tesh!K22/SER_summary!K$26)</f>
        <v>17.672978338500844</v>
      </c>
      <c r="L22" s="132">
        <f>IF(SER_hh_tesh!L22=0,0,SER_hh_tesh!L22/SER_summary!L$26)</f>
        <v>18.812776499519625</v>
      </c>
      <c r="M22" s="132">
        <f>IF(SER_hh_tesh!M22=0,0,SER_hh_tesh!M22/SER_summary!M$26)</f>
        <v>18.960489452426675</v>
      </c>
      <c r="N22" s="132">
        <f>IF(SER_hh_tesh!N22=0,0,SER_hh_tesh!N22/SER_summary!N$26)</f>
        <v>18.885263943973701</v>
      </c>
      <c r="O22" s="132">
        <f>IF(SER_hh_tesh!O22=0,0,SER_hh_tesh!O22/SER_summary!O$26)</f>
        <v>19.335518315075642</v>
      </c>
      <c r="P22" s="132">
        <f>IF(SER_hh_tesh!P22=0,0,SER_hh_tesh!P22/SER_summary!P$26)</f>
        <v>19.178392758427272</v>
      </c>
      <c r="Q22" s="132">
        <f>IF(SER_hh_tesh!Q22=0,0,SER_hh_tesh!Q22/SER_summary!Q$26)</f>
        <v>19.592874644599785</v>
      </c>
      <c r="R22" s="132">
        <f>IF(SER_hh_tesh!R22=0,0,SER_hh_tesh!R22/SER_summary!R$26)</f>
        <v>20.734397760496545</v>
      </c>
      <c r="S22" s="132">
        <f>IF(SER_hh_tesh!S22=0,0,SER_hh_tesh!S22/SER_summary!S$26)</f>
        <v>20.02316632799754</v>
      </c>
      <c r="T22" s="132">
        <f>IF(SER_hh_tesh!T22=0,0,SER_hh_tesh!T22/SER_summary!T$26)</f>
        <v>19.249527576981698</v>
      </c>
      <c r="U22" s="132">
        <f>IF(SER_hh_tesh!U22=0,0,SER_hh_tesh!U22/SER_summary!U$26)</f>
        <v>19.940442041333235</v>
      </c>
      <c r="V22" s="132">
        <f>IF(SER_hh_tesh!V22=0,0,SER_hh_tesh!V22/SER_summary!V$26)</f>
        <v>18.61866550405691</v>
      </c>
      <c r="W22" s="132">
        <f>IF(SER_hh_tesh!W22=0,0,SER_hh_tesh!W22/SER_summary!W$26)</f>
        <v>22.204446244242334</v>
      </c>
      <c r="X22" s="132">
        <f>IF(SER_hh_tesh!X22=0,0,SER_hh_tesh!X22/SER_summary!X$26)</f>
        <v>21.203478087133846</v>
      </c>
      <c r="Y22" s="132">
        <f>IF(SER_hh_tesh!Y22=0,0,SER_hh_tesh!Y22/SER_summary!Y$26)</f>
        <v>20.525368839679999</v>
      </c>
      <c r="DA22" s="156" t="s">
        <v>527</v>
      </c>
    </row>
    <row r="23" spans="1:105" ht="12" customHeight="1" x14ac:dyDescent="0.25">
      <c r="A23" s="131" t="s">
        <v>149</v>
      </c>
      <c r="B23" s="132">
        <f>IF(SER_hh_tesh!B23=0,0,SER_hh_tesh!B23/SER_summary!B$26)</f>
        <v>17.656229088858911</v>
      </c>
      <c r="C23" s="132">
        <f>IF(SER_hh_tesh!C23=0,0,SER_hh_tesh!C23/SER_summary!C$26)</f>
        <v>17.660185834361059</v>
      </c>
      <c r="D23" s="132">
        <f>IF(SER_hh_tesh!D23=0,0,SER_hh_tesh!D23/SER_summary!D$26)</f>
        <v>17.707133425963733</v>
      </c>
      <c r="E23" s="132">
        <f>IF(SER_hh_tesh!E23=0,0,SER_hh_tesh!E23/SER_summary!E$26)</f>
        <v>17.722390531495844</v>
      </c>
      <c r="F23" s="132">
        <f>IF(SER_hh_tesh!F23=0,0,SER_hh_tesh!F23/SER_summary!F$26)</f>
        <v>18.07246933683248</v>
      </c>
      <c r="G23" s="132">
        <f>IF(SER_hh_tesh!G23=0,0,SER_hh_tesh!G23/SER_summary!G$26)</f>
        <v>18.384051625396879</v>
      </c>
      <c r="H23" s="132">
        <f>IF(SER_hh_tesh!H23=0,0,SER_hh_tesh!H23/SER_summary!H$26)</f>
        <v>17.823802553354099</v>
      </c>
      <c r="I23" s="132">
        <f>IF(SER_hh_tesh!I23=0,0,SER_hh_tesh!I23/SER_summary!I$26)</f>
        <v>17.975762963159493</v>
      </c>
      <c r="J23" s="132">
        <f>IF(SER_hh_tesh!J23=0,0,SER_hh_tesh!J23/SER_summary!J$26)</f>
        <v>18.288983966830322</v>
      </c>
      <c r="K23" s="132">
        <f>IF(SER_hh_tesh!K23=0,0,SER_hh_tesh!K23/SER_summary!K$26)</f>
        <v>18.198481010664786</v>
      </c>
      <c r="L23" s="132">
        <f>IF(SER_hh_tesh!L23=0,0,SER_hh_tesh!L23/SER_summary!L$26)</f>
        <v>18.088944705185195</v>
      </c>
      <c r="M23" s="132">
        <f>IF(SER_hh_tesh!M23=0,0,SER_hh_tesh!M23/SER_summary!M$26)</f>
        <v>18.537251867368866</v>
      </c>
      <c r="N23" s="132">
        <f>IF(SER_hh_tesh!N23=0,0,SER_hh_tesh!N23/SER_summary!N$26)</f>
        <v>18.899948717918832</v>
      </c>
      <c r="O23" s="132">
        <f>IF(SER_hh_tesh!O23=0,0,SER_hh_tesh!O23/SER_summary!O$26)</f>
        <v>19.236885992476768</v>
      </c>
      <c r="P23" s="132">
        <f>IF(SER_hh_tesh!P23=0,0,SER_hh_tesh!P23/SER_summary!P$26)</f>
        <v>19.299235238116253</v>
      </c>
      <c r="Q23" s="132">
        <f>IF(SER_hh_tesh!Q23=0,0,SER_hh_tesh!Q23/SER_summary!Q$26)</f>
        <v>19.354158191672159</v>
      </c>
      <c r="R23" s="132">
        <f>IF(SER_hh_tesh!R23=0,0,SER_hh_tesh!R23/SER_summary!R$26)</f>
        <v>19.026079170334516</v>
      </c>
      <c r="S23" s="132">
        <f>IF(SER_hh_tesh!S23=0,0,SER_hh_tesh!S23/SER_summary!S$26)</f>
        <v>22.196052061341117</v>
      </c>
      <c r="T23" s="132">
        <f>IF(SER_hh_tesh!T23=0,0,SER_hh_tesh!T23/SER_summary!T$26)</f>
        <v>19.776921525554378</v>
      </c>
      <c r="U23" s="132">
        <f>IF(SER_hh_tesh!U23=0,0,SER_hh_tesh!U23/SER_summary!U$26)</f>
        <v>19.129856322013318</v>
      </c>
      <c r="V23" s="132">
        <f>IF(SER_hh_tesh!V23=0,0,SER_hh_tesh!V23/SER_summary!V$26)</f>
        <v>18.713842930347408</v>
      </c>
      <c r="W23" s="132">
        <f>IF(SER_hh_tesh!W23=0,0,SER_hh_tesh!W23/SER_summary!W$26)</f>
        <v>24.49231784753994</v>
      </c>
      <c r="X23" s="132">
        <f>IF(SER_hh_tesh!X23=0,0,SER_hh_tesh!X23/SER_summary!X$26)</f>
        <v>21.830429970138347</v>
      </c>
      <c r="Y23" s="132">
        <f>IF(SER_hh_tesh!Y23=0,0,SER_hh_tesh!Y23/SER_summary!Y$26)</f>
        <v>19.036927225196127</v>
      </c>
      <c r="DA23" s="156" t="s">
        <v>528</v>
      </c>
    </row>
    <row r="24" spans="1:105" ht="12" customHeight="1" x14ac:dyDescent="0.25">
      <c r="A24" s="131" t="s">
        <v>128</v>
      </c>
      <c r="B24" s="132">
        <f>IF(SER_hh_tesh!B24=0,0,SER_hh_tesh!B24/SER_summary!B$26)</f>
        <v>16.174375555560989</v>
      </c>
      <c r="C24" s="132">
        <f>IF(SER_hh_tesh!C24=0,0,SER_hh_tesh!C24/SER_summary!C$26)</f>
        <v>18.498374386293772</v>
      </c>
      <c r="D24" s="132">
        <f>IF(SER_hh_tesh!D24=0,0,SER_hh_tesh!D24/SER_summary!D$26)</f>
        <v>18.17751097412566</v>
      </c>
      <c r="E24" s="132">
        <f>IF(SER_hh_tesh!E24=0,0,SER_hh_tesh!E24/SER_summary!E$26)</f>
        <v>17.780249657311458</v>
      </c>
      <c r="F24" s="132">
        <f>IF(SER_hh_tesh!F24=0,0,SER_hh_tesh!F24/SER_summary!F$26)</f>
        <v>17.913360015212561</v>
      </c>
      <c r="G24" s="132">
        <f>IF(SER_hh_tesh!G24=0,0,SER_hh_tesh!G24/SER_summary!G$26)</f>
        <v>17.806280509059476</v>
      </c>
      <c r="H24" s="132">
        <f>IF(SER_hh_tesh!H24=0,0,SER_hh_tesh!H24/SER_summary!H$26)</f>
        <v>17.873016239653236</v>
      </c>
      <c r="I24" s="132">
        <f>IF(SER_hh_tesh!I24=0,0,SER_hh_tesh!I24/SER_summary!I$26)</f>
        <v>17.693596481228319</v>
      </c>
      <c r="J24" s="132">
        <f>IF(SER_hh_tesh!J24=0,0,SER_hh_tesh!J24/SER_summary!J$26)</f>
        <v>18.692606678937171</v>
      </c>
      <c r="K24" s="132">
        <f>IF(SER_hh_tesh!K24=0,0,SER_hh_tesh!K24/SER_summary!K$26)</f>
        <v>17.903924219560455</v>
      </c>
      <c r="L24" s="132">
        <f>IF(SER_hh_tesh!L24=0,0,SER_hh_tesh!L24/SER_summary!L$26)</f>
        <v>18.335123685460289</v>
      </c>
      <c r="M24" s="132">
        <f>IF(SER_hh_tesh!M24=0,0,SER_hh_tesh!M24/SER_summary!M$26)</f>
        <v>18.87025698502023</v>
      </c>
      <c r="N24" s="132">
        <f>IF(SER_hh_tesh!N24=0,0,SER_hh_tesh!N24/SER_summary!N$26)</f>
        <v>19.04912759914648</v>
      </c>
      <c r="O24" s="132">
        <f>IF(SER_hh_tesh!O24=0,0,SER_hh_tesh!O24/SER_summary!O$26)</f>
        <v>19.061525618138081</v>
      </c>
      <c r="P24" s="132">
        <f>IF(SER_hh_tesh!P24=0,0,SER_hh_tesh!P24/SER_summary!P$26)</f>
        <v>19.03843302691406</v>
      </c>
      <c r="Q24" s="132">
        <f>IF(SER_hh_tesh!Q24=0,0,SER_hh_tesh!Q24/SER_summary!Q$26)</f>
        <v>18.650699887161753</v>
      </c>
      <c r="R24" s="132">
        <f>IF(SER_hh_tesh!R24=0,0,SER_hh_tesh!R24/SER_summary!R$26)</f>
        <v>20.56992306195491</v>
      </c>
      <c r="S24" s="132">
        <f>IF(SER_hh_tesh!S24=0,0,SER_hh_tesh!S24/SER_summary!S$26)</f>
        <v>20.126872546334532</v>
      </c>
      <c r="T24" s="132">
        <f>IF(SER_hh_tesh!T24=0,0,SER_hh_tesh!T24/SER_summary!T$26)</f>
        <v>20.31886027215474</v>
      </c>
      <c r="U24" s="132">
        <f>IF(SER_hh_tesh!U24=0,0,SER_hh_tesh!U24/SER_summary!U$26)</f>
        <v>20.36589128518705</v>
      </c>
      <c r="V24" s="132">
        <f>IF(SER_hh_tesh!V24=0,0,SER_hh_tesh!V24/SER_summary!V$26)</f>
        <v>18.186405012713092</v>
      </c>
      <c r="W24" s="132">
        <f>IF(SER_hh_tesh!W24=0,0,SER_hh_tesh!W24/SER_summary!W$26)</f>
        <v>21.916811438544173</v>
      </c>
      <c r="X24" s="132">
        <f>IF(SER_hh_tesh!X24=0,0,SER_hh_tesh!X24/SER_summary!X$26)</f>
        <v>22.452012890140168</v>
      </c>
      <c r="Y24" s="132">
        <f>IF(SER_hh_tesh!Y24=0,0,SER_hh_tesh!Y24/SER_summary!Y$26)</f>
        <v>20.514028557996976</v>
      </c>
      <c r="DA24" s="156" t="s">
        <v>529</v>
      </c>
    </row>
    <row r="25" spans="1:105" ht="12" customHeight="1" x14ac:dyDescent="0.25">
      <c r="A25" s="131" t="s">
        <v>162</v>
      </c>
      <c r="B25" s="132">
        <f>IF(SER_hh_tesh!B25=0,0,SER_hh_tesh!B25/SER_summary!B$26)</f>
        <v>17.629302222436518</v>
      </c>
      <c r="C25" s="132">
        <f>IF(SER_hh_tesh!C25=0,0,SER_hh_tesh!C25/SER_summary!C$26)</f>
        <v>17.805611025694731</v>
      </c>
      <c r="D25" s="132">
        <f>IF(SER_hh_tesh!D25=0,0,SER_hh_tesh!D25/SER_summary!D$26)</f>
        <v>17.692300748858077</v>
      </c>
      <c r="E25" s="132">
        <f>IF(SER_hh_tesh!E25=0,0,SER_hh_tesh!E25/SER_summary!E$26)</f>
        <v>17.896807197049821</v>
      </c>
      <c r="F25" s="132">
        <f>IF(SER_hh_tesh!F25=0,0,SER_hh_tesh!F25/SER_summary!F$26)</f>
        <v>17.800805858110948</v>
      </c>
      <c r="G25" s="132">
        <f>IF(SER_hh_tesh!G25=0,0,SER_hh_tesh!G25/SER_summary!G$26)</f>
        <v>18.002751675679864</v>
      </c>
      <c r="H25" s="132">
        <f>IF(SER_hh_tesh!H25=0,0,SER_hh_tesh!H25/SER_summary!H$26)</f>
        <v>18.014761551348709</v>
      </c>
      <c r="I25" s="132">
        <f>IF(SER_hh_tesh!I25=0,0,SER_hh_tesh!I25/SER_summary!I$26)</f>
        <v>18.111505045765544</v>
      </c>
      <c r="J25" s="132">
        <f>IF(SER_hh_tesh!J25=0,0,SER_hh_tesh!J25/SER_summary!J$26)</f>
        <v>18.020151537766868</v>
      </c>
      <c r="K25" s="132">
        <f>IF(SER_hh_tesh!K25=0,0,SER_hh_tesh!K25/SER_summary!K$26)</f>
        <v>18.229366927126346</v>
      </c>
      <c r="L25" s="132">
        <f>IF(SER_hh_tesh!L25=0,0,SER_hh_tesh!L25/SER_summary!L$26)</f>
        <v>18.326761686545414</v>
      </c>
      <c r="M25" s="132">
        <f>IF(SER_hh_tesh!M25=0,0,SER_hh_tesh!M25/SER_summary!M$26)</f>
        <v>18.520378769463527</v>
      </c>
      <c r="N25" s="132">
        <f>IF(SER_hh_tesh!N25=0,0,SER_hh_tesh!N25/SER_summary!N$26)</f>
        <v>18.832004071754149</v>
      </c>
      <c r="O25" s="132">
        <f>IF(SER_hh_tesh!O25=0,0,SER_hh_tesh!O25/SER_summary!O$26)</f>
        <v>19.165983962731865</v>
      </c>
      <c r="P25" s="132">
        <f>IF(SER_hh_tesh!P25=0,0,SER_hh_tesh!P25/SER_summary!P$26)</f>
        <v>19.385232296181929</v>
      </c>
      <c r="Q25" s="132">
        <f>IF(SER_hh_tesh!Q25=0,0,SER_hh_tesh!Q25/SER_summary!Q$26)</f>
        <v>19.525523525002189</v>
      </c>
      <c r="R25" s="132">
        <f>IF(SER_hh_tesh!R25=0,0,SER_hh_tesh!R25/SER_summary!R$26)</f>
        <v>19.84772182124934</v>
      </c>
      <c r="S25" s="132">
        <f>IF(SER_hh_tesh!S25=0,0,SER_hh_tesh!S25/SER_summary!S$26)</f>
        <v>19.932235237801482</v>
      </c>
      <c r="T25" s="132">
        <f>IF(SER_hh_tesh!T25=0,0,SER_hh_tesh!T25/SER_summary!T$26)</f>
        <v>20.560537298291205</v>
      </c>
      <c r="U25" s="132">
        <f>IF(SER_hh_tesh!U25=0,0,SER_hh_tesh!U25/SER_summary!U$26)</f>
        <v>20.147668533967064</v>
      </c>
      <c r="V25" s="132">
        <f>IF(SER_hh_tesh!V25=0,0,SER_hh_tesh!V25/SER_summary!V$26)</f>
        <v>18.314642715278747</v>
      </c>
      <c r="W25" s="132">
        <f>IF(SER_hh_tesh!W25=0,0,SER_hh_tesh!W25/SER_summary!W$26)</f>
        <v>21.265838755516516</v>
      </c>
      <c r="X25" s="132">
        <f>IF(SER_hh_tesh!X25=0,0,SER_hh_tesh!X25/SER_summary!X$26)</f>
        <v>21.277209379669745</v>
      </c>
      <c r="Y25" s="132">
        <f>IF(SER_hh_tesh!Y25=0,0,SER_hh_tesh!Y25/SER_summary!Y$26)</f>
        <v>21.430315178515034</v>
      </c>
      <c r="DA25" s="156" t="s">
        <v>530</v>
      </c>
    </row>
    <row r="26" spans="1:105" ht="12" customHeight="1" x14ac:dyDescent="0.25">
      <c r="A26" s="131" t="s">
        <v>24</v>
      </c>
      <c r="B26" s="65">
        <f>IF(SER_hh_tesh!B26=0,0,SER_hh_tesh!B26/SER_summary!B$26)</f>
        <v>17.847181475342381</v>
      </c>
      <c r="C26" s="65">
        <f>IF(SER_hh_tesh!C26=0,0,SER_hh_tesh!C26/SER_summary!C$26)</f>
        <v>17.613005506525777</v>
      </c>
      <c r="D26" s="65">
        <f>IF(SER_hh_tesh!D26=0,0,SER_hh_tesh!D26/SER_summary!D$26)</f>
        <v>17.632076426096841</v>
      </c>
      <c r="E26" s="65">
        <f>IF(SER_hh_tesh!E26=0,0,SER_hh_tesh!E26/SER_summary!E$26)</f>
        <v>17.84141159874191</v>
      </c>
      <c r="F26" s="65">
        <f>IF(SER_hh_tesh!F26=0,0,SER_hh_tesh!F26/SER_summary!F$26)</f>
        <v>17.835740932350046</v>
      </c>
      <c r="G26" s="65">
        <f>IF(SER_hh_tesh!G26=0,0,SER_hh_tesh!G26/SER_summary!G$26)</f>
        <v>18.236527686215158</v>
      </c>
      <c r="H26" s="65">
        <f>IF(SER_hh_tesh!H26=0,0,SER_hh_tesh!H26/SER_summary!H$26)</f>
        <v>18.000624669432025</v>
      </c>
      <c r="I26" s="65">
        <f>IF(SER_hh_tesh!I26=0,0,SER_hh_tesh!I26/SER_summary!I$26)</f>
        <v>17.676807052061765</v>
      </c>
      <c r="J26" s="65">
        <f>IF(SER_hh_tesh!J26=0,0,SER_hh_tesh!J26/SER_summary!J$26)</f>
        <v>17.914597092181705</v>
      </c>
      <c r="K26" s="65">
        <f>IF(SER_hh_tesh!K26=0,0,SER_hh_tesh!K26/SER_summary!K$26)</f>
        <v>18.087513528151632</v>
      </c>
      <c r="L26" s="65">
        <f>IF(SER_hh_tesh!L26=0,0,SER_hh_tesh!L26/SER_summary!L$26)</f>
        <v>18.305086289017392</v>
      </c>
      <c r="M26" s="65">
        <f>IF(SER_hh_tesh!M26=0,0,SER_hh_tesh!M26/SER_summary!M$26)</f>
        <v>18.585775627248307</v>
      </c>
      <c r="N26" s="65">
        <f>IF(SER_hh_tesh!N26=0,0,SER_hh_tesh!N26/SER_summary!N$26)</f>
        <v>18.858143915125101</v>
      </c>
      <c r="O26" s="65">
        <f>IF(SER_hh_tesh!O26=0,0,SER_hh_tesh!O26/SER_summary!O$26)</f>
        <v>19.065258780482321</v>
      </c>
      <c r="P26" s="65">
        <f>IF(SER_hh_tesh!P26=0,0,SER_hh_tesh!P26/SER_summary!P$26)</f>
        <v>19.530097149387046</v>
      </c>
      <c r="Q26" s="65">
        <f>IF(SER_hh_tesh!Q26=0,0,SER_hh_tesh!Q26/SER_summary!Q$26)</f>
        <v>19.838834221646046</v>
      </c>
      <c r="R26" s="65">
        <f>IF(SER_hh_tesh!R26=0,0,SER_hh_tesh!R26/SER_summary!R$26)</f>
        <v>19.133546003705646</v>
      </c>
      <c r="S26" s="65">
        <f>IF(SER_hh_tesh!S26=0,0,SER_hh_tesh!S26/SER_summary!S$26)</f>
        <v>19.992362653933707</v>
      </c>
      <c r="T26" s="65">
        <f>IF(SER_hh_tesh!T26=0,0,SER_hh_tesh!T26/SER_summary!T$26)</f>
        <v>19.90712546866266</v>
      </c>
      <c r="U26" s="65">
        <f>IF(SER_hh_tesh!U26=0,0,SER_hh_tesh!U26/SER_summary!U$26)</f>
        <v>21.086048873983739</v>
      </c>
      <c r="V26" s="65">
        <f>IF(SER_hh_tesh!V26=0,0,SER_hh_tesh!V26/SER_summary!V$26)</f>
        <v>19.505796592361406</v>
      </c>
      <c r="W26" s="65">
        <f>IF(SER_hh_tesh!W26=0,0,SER_hh_tesh!W26/SER_summary!W$26)</f>
        <v>20.505312872259463</v>
      </c>
      <c r="X26" s="65">
        <f>IF(SER_hh_tesh!X26=0,0,SER_hh_tesh!X26/SER_summary!X$26)</f>
        <v>20.972628850142165</v>
      </c>
      <c r="Y26" s="65">
        <f>IF(SER_hh_tesh!Y26=0,0,SER_hh_tesh!Y26/SER_summary!Y$26)</f>
        <v>21.711794277364227</v>
      </c>
      <c r="DA26" s="109" t="s">
        <v>531</v>
      </c>
    </row>
    <row r="27" spans="1:105" ht="12" customHeight="1" x14ac:dyDescent="0.25">
      <c r="A27" s="144" t="s">
        <v>86</v>
      </c>
      <c r="B27" s="145">
        <f>IF(SER_hh_tesh!B27=0,0,SER_hh_tesh!B27/SER_summary!B$26)</f>
        <v>0</v>
      </c>
      <c r="C27" s="145">
        <f>IF(SER_hh_tesh!C27=0,0,SER_hh_tesh!C27/SER_summary!C$26)</f>
        <v>0</v>
      </c>
      <c r="D27" s="145">
        <f>IF(SER_hh_tesh!D27=0,0,SER_hh_tesh!D27/SER_summary!D$26)</f>
        <v>0</v>
      </c>
      <c r="E27" s="145">
        <f>IF(SER_hh_tesh!E27=0,0,SER_hh_tesh!E27/SER_summary!E$26)</f>
        <v>0</v>
      </c>
      <c r="F27" s="145">
        <f>IF(SER_hh_tesh!F27=0,0,SER_hh_tesh!F27/SER_summary!F$26)</f>
        <v>0</v>
      </c>
      <c r="G27" s="145">
        <f>IF(SER_hh_tesh!G27=0,0,SER_hh_tesh!G27/SER_summary!G$26)</f>
        <v>0</v>
      </c>
      <c r="H27" s="145">
        <f>IF(SER_hh_tesh!H27=0,0,SER_hh_tesh!H27/SER_summary!H$26)</f>
        <v>0</v>
      </c>
      <c r="I27" s="145">
        <f>IF(SER_hh_tesh!I27=0,0,SER_hh_tesh!I27/SER_summary!I$26)</f>
        <v>0</v>
      </c>
      <c r="J27" s="145">
        <f>IF(SER_hh_tesh!J27=0,0,SER_hh_tesh!J27/SER_summary!J$26)</f>
        <v>0</v>
      </c>
      <c r="K27" s="145">
        <f>IF(SER_hh_tesh!K27=0,0,SER_hh_tesh!K27/SER_summary!K$26)</f>
        <v>0</v>
      </c>
      <c r="L27" s="145">
        <f>IF(SER_hh_tesh!L27=0,0,SER_hh_tesh!L27/SER_summary!L$26)</f>
        <v>0</v>
      </c>
      <c r="M27" s="145">
        <f>IF(SER_hh_tesh!M27=0,0,SER_hh_tesh!M27/SER_summary!M$26)</f>
        <v>0</v>
      </c>
      <c r="N27" s="145">
        <f>IF(SER_hh_tesh!N27=0,0,SER_hh_tesh!N27/SER_summary!N$26)</f>
        <v>0</v>
      </c>
      <c r="O27" s="145">
        <f>IF(SER_hh_tesh!O27=0,0,SER_hh_tesh!O27/SER_summary!O$26)</f>
        <v>0</v>
      </c>
      <c r="P27" s="145">
        <f>IF(SER_hh_tesh!P27=0,0,SER_hh_tesh!P27/SER_summary!P$26)</f>
        <v>0</v>
      </c>
      <c r="Q27" s="145">
        <f>IF(SER_hh_tesh!Q27=0,0,SER_hh_tesh!Q27/SER_summary!Q$26)</f>
        <v>0</v>
      </c>
      <c r="R27" s="145">
        <f>IF(SER_hh_tesh!R27=0,0,SER_hh_tesh!R27/SER_summary!R$26)</f>
        <v>0</v>
      </c>
      <c r="S27" s="145">
        <f>IF(SER_hh_tesh!S27=0,0,SER_hh_tesh!S27/SER_summary!S$26)</f>
        <v>0</v>
      </c>
      <c r="T27" s="145">
        <f>IF(SER_hh_tesh!T27=0,0,SER_hh_tesh!T27/SER_summary!T$26)</f>
        <v>0</v>
      </c>
      <c r="U27" s="145">
        <f>IF(SER_hh_tesh!U27=0,0,SER_hh_tesh!U27/SER_summary!U$26)</f>
        <v>0</v>
      </c>
      <c r="V27" s="145">
        <f>IF(SER_hh_tesh!V27=0,0,SER_hh_tesh!V27/SER_summary!V$26)</f>
        <v>0</v>
      </c>
      <c r="W27" s="145">
        <f>IF(SER_hh_tesh!W27=0,0,SER_hh_tesh!W27/SER_summary!W$26)</f>
        <v>0</v>
      </c>
      <c r="X27" s="145">
        <f>IF(SER_hh_tesh!X27=0,0,SER_hh_tesh!X27/SER_summary!X$26)</f>
        <v>0</v>
      </c>
      <c r="Y27" s="145">
        <f>IF(SER_hh_tesh!Y27=0,0,SER_hh_tesh!Y27/SER_summary!Y$26)</f>
        <v>0</v>
      </c>
      <c r="DA27" s="158" t="s">
        <v>532</v>
      </c>
    </row>
    <row r="28" spans="1:105" ht="12" customHeight="1" x14ac:dyDescent="0.25">
      <c r="A28" s="78" t="s">
        <v>85</v>
      </c>
      <c r="B28" s="146">
        <f>IF(SER_hh_tesh!B28=0,0,SER_hh_tesh!B28/SER_summary!B$26)</f>
        <v>0</v>
      </c>
      <c r="C28" s="146">
        <f>IF(SER_hh_tesh!C28=0,0,SER_hh_tesh!C28/SER_summary!C$26)</f>
        <v>0</v>
      </c>
      <c r="D28" s="146">
        <f>IF(SER_hh_tesh!D28=0,0,SER_hh_tesh!D28/SER_summary!D$26)</f>
        <v>0</v>
      </c>
      <c r="E28" s="146">
        <f>IF(SER_hh_tesh!E28=0,0,SER_hh_tesh!E28/SER_summary!E$26)</f>
        <v>0</v>
      </c>
      <c r="F28" s="146">
        <f>IF(SER_hh_tesh!F28=0,0,SER_hh_tesh!F28/SER_summary!F$26)</f>
        <v>0</v>
      </c>
      <c r="G28" s="146">
        <f>IF(SER_hh_tesh!G28=0,0,SER_hh_tesh!G28/SER_summary!G$26)</f>
        <v>0</v>
      </c>
      <c r="H28" s="146">
        <f>IF(SER_hh_tesh!H28=0,0,SER_hh_tesh!H28/SER_summary!H$26)</f>
        <v>0</v>
      </c>
      <c r="I28" s="146">
        <f>IF(SER_hh_tesh!I28=0,0,SER_hh_tesh!I28/SER_summary!I$26)</f>
        <v>0</v>
      </c>
      <c r="J28" s="146">
        <f>IF(SER_hh_tesh!J28=0,0,SER_hh_tesh!J28/SER_summary!J$26)</f>
        <v>0</v>
      </c>
      <c r="K28" s="146">
        <f>IF(SER_hh_tesh!K28=0,0,SER_hh_tesh!K28/SER_summary!K$26)</f>
        <v>0</v>
      </c>
      <c r="L28" s="146">
        <f>IF(SER_hh_tesh!L28=0,0,SER_hh_tesh!L28/SER_summary!L$26)</f>
        <v>0</v>
      </c>
      <c r="M28" s="146">
        <f>IF(SER_hh_tesh!M28=0,0,SER_hh_tesh!M28/SER_summary!M$26)</f>
        <v>0</v>
      </c>
      <c r="N28" s="146">
        <f>IF(SER_hh_tesh!N28=0,0,SER_hh_tesh!N28/SER_summary!N$26)</f>
        <v>0</v>
      </c>
      <c r="O28" s="146">
        <f>IF(SER_hh_tesh!O28=0,0,SER_hh_tesh!O28/SER_summary!O$26)</f>
        <v>0</v>
      </c>
      <c r="P28" s="146">
        <f>IF(SER_hh_tesh!P28=0,0,SER_hh_tesh!P28/SER_summary!P$26)</f>
        <v>0</v>
      </c>
      <c r="Q28" s="146">
        <f>IF(SER_hh_tesh!Q28=0,0,SER_hh_tesh!Q28/SER_summary!Q$26)</f>
        <v>0</v>
      </c>
      <c r="R28" s="146">
        <f>IF(SER_hh_tesh!R28=0,0,SER_hh_tesh!R28/SER_summary!R$26)</f>
        <v>0</v>
      </c>
      <c r="S28" s="146">
        <f>IF(SER_hh_tesh!S28=0,0,SER_hh_tesh!S28/SER_summary!S$26)</f>
        <v>0</v>
      </c>
      <c r="T28" s="146">
        <f>IF(SER_hh_tesh!T28=0,0,SER_hh_tesh!T28/SER_summary!T$26)</f>
        <v>0</v>
      </c>
      <c r="U28" s="146">
        <f>IF(SER_hh_tesh!U28=0,0,SER_hh_tesh!U28/SER_summary!U$26)</f>
        <v>0</v>
      </c>
      <c r="V28" s="146">
        <f>IF(SER_hh_tesh!V28=0,0,SER_hh_tesh!V28/SER_summary!V$26)</f>
        <v>0</v>
      </c>
      <c r="W28" s="146">
        <f>IF(SER_hh_tesh!W28=0,0,SER_hh_tesh!W28/SER_summary!W$26)</f>
        <v>0</v>
      </c>
      <c r="X28" s="146">
        <f>IF(SER_hh_tesh!X28=0,0,SER_hh_tesh!X28/SER_summary!X$26)</f>
        <v>0</v>
      </c>
      <c r="Y28" s="146">
        <f>IF(SER_hh_tesh!Y28=0,0,SER_hh_tesh!Y28/SER_summary!Y$26)</f>
        <v>0</v>
      </c>
      <c r="DA28" s="159"/>
    </row>
    <row r="29" spans="1:105" ht="12.95" customHeight="1" x14ac:dyDescent="0.25">
      <c r="A29" s="129" t="s">
        <v>34</v>
      </c>
      <c r="B29" s="130">
        <f>IF(SER_hh_tesh!B29=0,0,SER_hh_tesh!B29/SER_summary!B$26)</f>
        <v>17.024736916903393</v>
      </c>
      <c r="C29" s="130">
        <f>IF(SER_hh_tesh!C29=0,0,SER_hh_tesh!C29/SER_summary!C$26)</f>
        <v>16.717209030734619</v>
      </c>
      <c r="D29" s="130">
        <f>IF(SER_hh_tesh!D29=0,0,SER_hh_tesh!D29/SER_summary!D$26)</f>
        <v>16.588847963918163</v>
      </c>
      <c r="E29" s="130">
        <f>IF(SER_hh_tesh!E29=0,0,SER_hh_tesh!E29/SER_summary!E$26)</f>
        <v>16.670614568224561</v>
      </c>
      <c r="F29" s="130">
        <f>IF(SER_hh_tesh!F29=0,0,SER_hh_tesh!F29/SER_summary!F$26)</f>
        <v>16.830144106587703</v>
      </c>
      <c r="G29" s="130">
        <f>IF(SER_hh_tesh!G29=0,0,SER_hh_tesh!G29/SER_summary!G$26)</f>
        <v>16.972271431543774</v>
      </c>
      <c r="H29" s="130">
        <f>IF(SER_hh_tesh!H29=0,0,SER_hh_tesh!H29/SER_summary!H$26)</f>
        <v>17.108193313426355</v>
      </c>
      <c r="I29" s="130">
        <f>IF(SER_hh_tesh!I29=0,0,SER_hh_tesh!I29/SER_summary!I$26)</f>
        <v>16.880433740184682</v>
      </c>
      <c r="J29" s="130">
        <f>IF(SER_hh_tesh!J29=0,0,SER_hh_tesh!J29/SER_summary!J$26)</f>
        <v>16.828255138421056</v>
      </c>
      <c r="K29" s="130">
        <f>IF(SER_hh_tesh!K29=0,0,SER_hh_tesh!K29/SER_summary!K$26)</f>
        <v>17.097469625958411</v>
      </c>
      <c r="L29" s="130">
        <f>IF(SER_hh_tesh!L29=0,0,SER_hh_tesh!L29/SER_summary!L$26)</f>
        <v>16.956293974360943</v>
      </c>
      <c r="M29" s="130">
        <f>IF(SER_hh_tesh!M29=0,0,SER_hh_tesh!M29/SER_summary!M$26)</f>
        <v>17.388804300295995</v>
      </c>
      <c r="N29" s="130">
        <f>IF(SER_hh_tesh!N29=0,0,SER_hh_tesh!N29/SER_summary!N$26)</f>
        <v>17.317478165165504</v>
      </c>
      <c r="O29" s="130">
        <f>IF(SER_hh_tesh!O29=0,0,SER_hh_tesh!O29/SER_summary!O$26)</f>
        <v>17.522360598933442</v>
      </c>
      <c r="P29" s="130">
        <f>IF(SER_hh_tesh!P29=0,0,SER_hh_tesh!P29/SER_summary!P$26)</f>
        <v>17.756031021553987</v>
      </c>
      <c r="Q29" s="130">
        <f>IF(SER_hh_tesh!Q29=0,0,SER_hh_tesh!Q29/SER_summary!Q$26)</f>
        <v>18.10340113434205</v>
      </c>
      <c r="R29" s="130">
        <f>IF(SER_hh_tesh!R29=0,0,SER_hh_tesh!R29/SER_summary!R$26)</f>
        <v>18.564986589919148</v>
      </c>
      <c r="S29" s="130">
        <f>IF(SER_hh_tesh!S29=0,0,SER_hh_tesh!S29/SER_summary!S$26)</f>
        <v>19.249765341649606</v>
      </c>
      <c r="T29" s="130">
        <f>IF(SER_hh_tesh!T29=0,0,SER_hh_tesh!T29/SER_summary!T$26)</f>
        <v>19.268433106810431</v>
      </c>
      <c r="U29" s="130">
        <f>IF(SER_hh_tesh!U29=0,0,SER_hh_tesh!U29/SER_summary!U$26)</f>
        <v>20.542335870193718</v>
      </c>
      <c r="V29" s="130">
        <f>IF(SER_hh_tesh!V29=0,0,SER_hh_tesh!V29/SER_summary!V$26)</f>
        <v>19.188742785268175</v>
      </c>
      <c r="W29" s="130">
        <f>IF(SER_hh_tesh!W29=0,0,SER_hh_tesh!W29/SER_summary!W$26)</f>
        <v>21.271429686672636</v>
      </c>
      <c r="X29" s="130">
        <f>IF(SER_hh_tesh!X29=0,0,SER_hh_tesh!X29/SER_summary!X$26)</f>
        <v>21.323940453683303</v>
      </c>
      <c r="Y29" s="130">
        <f>IF(SER_hh_tesh!Y29=0,0,SER_hh_tesh!Y29/SER_summary!Y$26)</f>
        <v>21.677945128115514</v>
      </c>
      <c r="DA29" s="155" t="s">
        <v>533</v>
      </c>
    </row>
    <row r="30" spans="1:105" ht="12" customHeight="1" x14ac:dyDescent="0.25">
      <c r="A30" s="131" t="s">
        <v>52</v>
      </c>
      <c r="B30" s="132">
        <f>IF(SER_hh_tesh!B30=0,0,SER_hh_tesh!B30/SER_summary!B$26)</f>
        <v>0</v>
      </c>
      <c r="C30" s="132">
        <f>IF(SER_hh_tesh!C30=0,0,SER_hh_tesh!C30/SER_summary!C$26)</f>
        <v>0</v>
      </c>
      <c r="D30" s="132">
        <f>IF(SER_hh_tesh!D30=0,0,SER_hh_tesh!D30/SER_summary!D$26)</f>
        <v>0</v>
      </c>
      <c r="E30" s="132">
        <f>IF(SER_hh_tesh!E30=0,0,SER_hh_tesh!E30/SER_summary!E$26)</f>
        <v>0</v>
      </c>
      <c r="F30" s="132">
        <f>IF(SER_hh_tesh!F30=0,0,SER_hh_tesh!F30/SER_summary!F$26)</f>
        <v>0</v>
      </c>
      <c r="G30" s="132">
        <f>IF(SER_hh_tesh!G30=0,0,SER_hh_tesh!G30/SER_summary!G$26)</f>
        <v>0</v>
      </c>
      <c r="H30" s="132">
        <f>IF(SER_hh_tesh!H30=0,0,SER_hh_tesh!H30/SER_summary!H$26)</f>
        <v>0</v>
      </c>
      <c r="I30" s="132">
        <f>IF(SER_hh_tesh!I30=0,0,SER_hh_tesh!I30/SER_summary!I$26)</f>
        <v>0</v>
      </c>
      <c r="J30" s="132">
        <f>IF(SER_hh_tesh!J30=0,0,SER_hh_tesh!J30/SER_summary!J$26)</f>
        <v>0</v>
      </c>
      <c r="K30" s="132">
        <f>IF(SER_hh_tesh!K30=0,0,SER_hh_tesh!K30/SER_summary!K$26)</f>
        <v>0</v>
      </c>
      <c r="L30" s="132">
        <f>IF(SER_hh_tesh!L30=0,0,SER_hh_tesh!L30/SER_summary!L$26)</f>
        <v>0</v>
      </c>
      <c r="M30" s="132">
        <f>IF(SER_hh_tesh!M30=0,0,SER_hh_tesh!M30/SER_summary!M$26)</f>
        <v>0</v>
      </c>
      <c r="N30" s="132">
        <f>IF(SER_hh_tesh!N30=0,0,SER_hh_tesh!N30/SER_summary!N$26)</f>
        <v>0</v>
      </c>
      <c r="O30" s="132">
        <f>IF(SER_hh_tesh!O30=0,0,SER_hh_tesh!O30/SER_summary!O$26)</f>
        <v>0</v>
      </c>
      <c r="P30" s="132">
        <f>IF(SER_hh_tesh!P30=0,0,SER_hh_tesh!P30/SER_summary!P$26)</f>
        <v>0</v>
      </c>
      <c r="Q30" s="132">
        <f>IF(SER_hh_tesh!Q30=0,0,SER_hh_tesh!Q30/SER_summary!Q$26)</f>
        <v>0</v>
      </c>
      <c r="R30" s="132">
        <f>IF(SER_hh_tesh!R30=0,0,SER_hh_tesh!R30/SER_summary!R$26)</f>
        <v>0</v>
      </c>
      <c r="S30" s="132">
        <f>IF(SER_hh_tesh!S30=0,0,SER_hh_tesh!S30/SER_summary!S$26)</f>
        <v>0</v>
      </c>
      <c r="T30" s="132">
        <f>IF(SER_hh_tesh!T30=0,0,SER_hh_tesh!T30/SER_summary!T$26)</f>
        <v>0</v>
      </c>
      <c r="U30" s="132">
        <f>IF(SER_hh_tesh!U30=0,0,SER_hh_tesh!U30/SER_summary!U$26)</f>
        <v>0</v>
      </c>
      <c r="V30" s="132">
        <f>IF(SER_hh_tesh!V30=0,0,SER_hh_tesh!V30/SER_summary!V$26)</f>
        <v>0</v>
      </c>
      <c r="W30" s="132">
        <f>IF(SER_hh_tesh!W30=0,0,SER_hh_tesh!W30/SER_summary!W$26)</f>
        <v>0</v>
      </c>
      <c r="X30" s="132">
        <f>IF(SER_hh_tesh!X30=0,0,SER_hh_tesh!X30/SER_summary!X$26)</f>
        <v>0</v>
      </c>
      <c r="Y30" s="132">
        <f>IF(SER_hh_tesh!Y30=0,0,SER_hh_tesh!Y30/SER_summary!Y$26)</f>
        <v>0</v>
      </c>
      <c r="DA30" s="156" t="s">
        <v>534</v>
      </c>
    </row>
    <row r="31" spans="1:105" ht="12" customHeight="1" x14ac:dyDescent="0.25">
      <c r="A31" s="131" t="s">
        <v>149</v>
      </c>
      <c r="B31" s="132">
        <f>IF(SER_hh_tesh!B31=0,0,SER_hh_tesh!B31/SER_summary!B$26)</f>
        <v>16.899102723939585</v>
      </c>
      <c r="C31" s="132">
        <f>IF(SER_hh_tesh!C31=0,0,SER_hh_tesh!C31/SER_summary!C$26)</f>
        <v>16.664787943714646</v>
      </c>
      <c r="D31" s="132">
        <f>IF(SER_hh_tesh!D31=0,0,SER_hh_tesh!D31/SER_summary!D$26)</f>
        <v>16.696221833252952</v>
      </c>
      <c r="E31" s="132">
        <f>IF(SER_hh_tesh!E31=0,0,SER_hh_tesh!E31/SER_summary!E$26)</f>
        <v>16.706659354767844</v>
      </c>
      <c r="F31" s="132">
        <f>IF(SER_hh_tesh!F31=0,0,SER_hh_tesh!F31/SER_summary!F$26)</f>
        <v>16.933392901661513</v>
      </c>
      <c r="G31" s="132">
        <f>IF(SER_hh_tesh!G31=0,0,SER_hh_tesh!G31/SER_summary!G$26)</f>
        <v>17.030416984174359</v>
      </c>
      <c r="H31" s="132">
        <f>IF(SER_hh_tesh!H31=0,0,SER_hh_tesh!H31/SER_summary!H$26)</f>
        <v>17.048650270103796</v>
      </c>
      <c r="I31" s="132">
        <f>IF(SER_hh_tesh!I31=0,0,SER_hh_tesh!I31/SER_summary!I$26)</f>
        <v>17.054719416234512</v>
      </c>
      <c r="J31" s="132">
        <f>IF(SER_hh_tesh!J31=0,0,SER_hh_tesh!J31/SER_summary!J$26)</f>
        <v>17.320985501121182</v>
      </c>
      <c r="K31" s="132">
        <f>IF(SER_hh_tesh!K31=0,0,SER_hh_tesh!K31/SER_summary!K$26)</f>
        <v>17.062362464062375</v>
      </c>
      <c r="L31" s="132">
        <f>IF(SER_hh_tesh!L31=0,0,SER_hh_tesh!L31/SER_summary!L$26)</f>
        <v>17.066381254415237</v>
      </c>
      <c r="M31" s="132">
        <f>IF(SER_hh_tesh!M31=0,0,SER_hh_tesh!M31/SER_summary!M$26)</f>
        <v>16.866493423876502</v>
      </c>
      <c r="N31" s="132">
        <f>IF(SER_hh_tesh!N31=0,0,SER_hh_tesh!N31/SER_summary!N$26)</f>
        <v>17.206493381039007</v>
      </c>
      <c r="O31" s="132">
        <f>IF(SER_hh_tesh!O31=0,0,SER_hh_tesh!O31/SER_summary!O$26)</f>
        <v>17.776790801639855</v>
      </c>
      <c r="P31" s="132">
        <f>IF(SER_hh_tesh!P31=0,0,SER_hh_tesh!P31/SER_summary!P$26)</f>
        <v>17.715824000592558</v>
      </c>
      <c r="Q31" s="132">
        <f>IF(SER_hh_tesh!Q31=0,0,SER_hh_tesh!Q31/SER_summary!Q$26)</f>
        <v>17.983339395756371</v>
      </c>
      <c r="R31" s="132">
        <f>IF(SER_hh_tesh!R31=0,0,SER_hh_tesh!R31/SER_summary!R$26)</f>
        <v>17.944930135276984</v>
      </c>
      <c r="S31" s="132">
        <f>IF(SER_hh_tesh!S31=0,0,SER_hh_tesh!S31/SER_summary!S$26)</f>
        <v>20.699373045192722</v>
      </c>
      <c r="T31" s="132">
        <f>IF(SER_hh_tesh!T31=0,0,SER_hh_tesh!T31/SER_summary!T$26)</f>
        <v>19.004497411776129</v>
      </c>
      <c r="U31" s="132">
        <f>IF(SER_hh_tesh!U31=0,0,SER_hh_tesh!U31/SER_summary!U$26)</f>
        <v>18.800251483066603</v>
      </c>
      <c r="V31" s="132">
        <f>IF(SER_hh_tesh!V31=0,0,SER_hh_tesh!V31/SER_summary!V$26)</f>
        <v>18.517709972209435</v>
      </c>
      <c r="W31" s="132">
        <f>IF(SER_hh_tesh!W31=0,0,SER_hh_tesh!W31/SER_summary!W$26)</f>
        <v>26.482923906858854</v>
      </c>
      <c r="X31" s="132">
        <f>IF(SER_hh_tesh!X31=0,0,SER_hh_tesh!X31/SER_summary!X$26)</f>
        <v>23.626951344091417</v>
      </c>
      <c r="Y31" s="132">
        <f>IF(SER_hh_tesh!Y31=0,0,SER_hh_tesh!Y31/SER_summary!Y$26)</f>
        <v>19.363165706858094</v>
      </c>
      <c r="DA31" s="156" t="s">
        <v>535</v>
      </c>
    </row>
    <row r="32" spans="1:105" ht="12" customHeight="1" x14ac:dyDescent="0.25">
      <c r="A32" s="131" t="s">
        <v>128</v>
      </c>
      <c r="B32" s="132">
        <f>IF(SER_hh_tesh!B32=0,0,SER_hh_tesh!B32/SER_summary!B$26)</f>
        <v>0</v>
      </c>
      <c r="C32" s="132">
        <f>IF(SER_hh_tesh!C32=0,0,SER_hh_tesh!C32/SER_summary!C$26)</f>
        <v>0</v>
      </c>
      <c r="D32" s="132">
        <f>IF(SER_hh_tesh!D32=0,0,SER_hh_tesh!D32/SER_summary!D$26)</f>
        <v>0</v>
      </c>
      <c r="E32" s="132">
        <f>IF(SER_hh_tesh!E32=0,0,SER_hh_tesh!E32/SER_summary!E$26)</f>
        <v>0</v>
      </c>
      <c r="F32" s="132">
        <f>IF(SER_hh_tesh!F32=0,0,SER_hh_tesh!F32/SER_summary!F$26)</f>
        <v>0</v>
      </c>
      <c r="G32" s="132">
        <f>IF(SER_hh_tesh!G32=0,0,SER_hh_tesh!G32/SER_summary!G$26)</f>
        <v>0</v>
      </c>
      <c r="H32" s="132">
        <f>IF(SER_hh_tesh!H32=0,0,SER_hh_tesh!H32/SER_summary!H$26)</f>
        <v>0</v>
      </c>
      <c r="I32" s="132">
        <f>IF(SER_hh_tesh!I32=0,0,SER_hh_tesh!I32/SER_summary!I$26)</f>
        <v>0</v>
      </c>
      <c r="J32" s="132">
        <f>IF(SER_hh_tesh!J32=0,0,SER_hh_tesh!J32/SER_summary!J$26)</f>
        <v>0</v>
      </c>
      <c r="K32" s="132">
        <f>IF(SER_hh_tesh!K32=0,0,SER_hh_tesh!K32/SER_summary!K$26)</f>
        <v>0</v>
      </c>
      <c r="L32" s="132">
        <f>IF(SER_hh_tesh!L32=0,0,SER_hh_tesh!L32/SER_summary!L$26)</f>
        <v>0</v>
      </c>
      <c r="M32" s="132">
        <f>IF(SER_hh_tesh!M32=0,0,SER_hh_tesh!M32/SER_summary!M$26)</f>
        <v>0</v>
      </c>
      <c r="N32" s="132">
        <f>IF(SER_hh_tesh!N32=0,0,SER_hh_tesh!N32/SER_summary!N$26)</f>
        <v>0</v>
      </c>
      <c r="O32" s="132">
        <f>IF(SER_hh_tesh!O32=0,0,SER_hh_tesh!O32/SER_summary!O$26)</f>
        <v>0</v>
      </c>
      <c r="P32" s="132">
        <f>IF(SER_hh_tesh!P32=0,0,SER_hh_tesh!P32/SER_summary!P$26)</f>
        <v>0</v>
      </c>
      <c r="Q32" s="132">
        <f>IF(SER_hh_tesh!Q32=0,0,SER_hh_tesh!Q32/SER_summary!Q$26)</f>
        <v>0</v>
      </c>
      <c r="R32" s="132">
        <f>IF(SER_hh_tesh!R32=0,0,SER_hh_tesh!R32/SER_summary!R$26)</f>
        <v>0</v>
      </c>
      <c r="S32" s="132">
        <f>IF(SER_hh_tesh!S32=0,0,SER_hh_tesh!S32/SER_summary!S$26)</f>
        <v>0</v>
      </c>
      <c r="T32" s="132">
        <f>IF(SER_hh_tesh!T32=0,0,SER_hh_tesh!T32/SER_summary!T$26)</f>
        <v>0</v>
      </c>
      <c r="U32" s="132">
        <f>IF(SER_hh_tesh!U32=0,0,SER_hh_tesh!U32/SER_summary!U$26)</f>
        <v>0</v>
      </c>
      <c r="V32" s="132">
        <f>IF(SER_hh_tesh!V32=0,0,SER_hh_tesh!V32/SER_summary!V$26)</f>
        <v>0</v>
      </c>
      <c r="W32" s="132">
        <f>IF(SER_hh_tesh!W32=0,0,SER_hh_tesh!W32/SER_summary!W$26)</f>
        <v>0</v>
      </c>
      <c r="X32" s="132">
        <f>IF(SER_hh_tesh!X32=0,0,SER_hh_tesh!X32/SER_summary!X$26)</f>
        <v>0</v>
      </c>
      <c r="Y32" s="132">
        <f>IF(SER_hh_tesh!Y32=0,0,SER_hh_tesh!Y32/SER_summary!Y$26)</f>
        <v>0</v>
      </c>
      <c r="DA32" s="156" t="s">
        <v>536</v>
      </c>
    </row>
    <row r="33" spans="1:105" ht="12" customHeight="1" x14ac:dyDescent="0.25">
      <c r="A33" s="62" t="s">
        <v>24</v>
      </c>
      <c r="B33" s="68">
        <f>IF(SER_hh_tesh!B33=0,0,SER_hh_tesh!B33/SER_summary!B$26)</f>
        <v>17.027264274408676</v>
      </c>
      <c r="C33" s="68">
        <f>IF(SER_hh_tesh!C33=0,0,SER_hh_tesh!C33/SER_summary!C$26)</f>
        <v>16.718270744791731</v>
      </c>
      <c r="D33" s="68">
        <f>IF(SER_hh_tesh!D33=0,0,SER_hh_tesh!D33/SER_summary!D$26)</f>
        <v>16.586641700181897</v>
      </c>
      <c r="E33" s="68">
        <f>IF(SER_hh_tesh!E33=0,0,SER_hh_tesh!E33/SER_summary!E$26)</f>
        <v>16.669866944196155</v>
      </c>
      <c r="F33" s="68">
        <f>IF(SER_hh_tesh!F33=0,0,SER_hh_tesh!F33/SER_summary!F$26)</f>
        <v>16.828008918786626</v>
      </c>
      <c r="G33" s="68">
        <f>IF(SER_hh_tesh!G33=0,0,SER_hh_tesh!G33/SER_summary!G$26)</f>
        <v>16.971078452206278</v>
      </c>
      <c r="H33" s="68">
        <f>IF(SER_hh_tesh!H33=0,0,SER_hh_tesh!H33/SER_summary!H$26)</f>
        <v>17.109394088465731</v>
      </c>
      <c r="I33" s="68">
        <f>IF(SER_hh_tesh!I33=0,0,SER_hh_tesh!I33/SER_summary!I$26)</f>
        <v>16.877003413425147</v>
      </c>
      <c r="J33" s="68">
        <f>IF(SER_hh_tesh!J33=0,0,SER_hh_tesh!J33/SER_summary!J$26)</f>
        <v>16.81887131499921</v>
      </c>
      <c r="K33" s="68">
        <f>IF(SER_hh_tesh!K33=0,0,SER_hh_tesh!K33/SER_summary!K$26)</f>
        <v>17.098099290484722</v>
      </c>
      <c r="L33" s="68">
        <f>IF(SER_hh_tesh!L33=0,0,SER_hh_tesh!L33/SER_summary!L$26)</f>
        <v>16.954451268554152</v>
      </c>
      <c r="M33" s="68">
        <f>IF(SER_hh_tesh!M33=0,0,SER_hh_tesh!M33/SER_summary!M$26)</f>
        <v>17.396926076337802</v>
      </c>
      <c r="N33" s="68">
        <f>IF(SER_hh_tesh!N33=0,0,SER_hh_tesh!N33/SER_summary!N$26)</f>
        <v>17.319122412183077</v>
      </c>
      <c r="O33" s="68">
        <f>IF(SER_hh_tesh!O33=0,0,SER_hh_tesh!O33/SER_summary!O$26)</f>
        <v>17.51874346799622</v>
      </c>
      <c r="P33" s="68">
        <f>IF(SER_hh_tesh!P33=0,0,SER_hh_tesh!P33/SER_summary!P$26)</f>
        <v>17.756575856577495</v>
      </c>
      <c r="Q33" s="68">
        <f>IF(SER_hh_tesh!Q33=0,0,SER_hh_tesh!Q33/SER_summary!Q$26)</f>
        <v>18.104963881097138</v>
      </c>
      <c r="R33" s="68">
        <f>IF(SER_hh_tesh!R33=0,0,SER_hh_tesh!R33/SER_summary!R$26)</f>
        <v>18.572675955989844</v>
      </c>
      <c r="S33" s="68">
        <f>IF(SER_hh_tesh!S33=0,0,SER_hh_tesh!S33/SER_summary!S$26)</f>
        <v>19.232438349871583</v>
      </c>
      <c r="T33" s="68">
        <f>IF(SER_hh_tesh!T33=0,0,SER_hh_tesh!T33/SER_summary!T$26)</f>
        <v>19.27133582411529</v>
      </c>
      <c r="U33" s="68">
        <f>IF(SER_hh_tesh!U33=0,0,SER_hh_tesh!U33/SER_summary!U$26)</f>
        <v>20.560516861202977</v>
      </c>
      <c r="V33" s="68">
        <f>IF(SER_hh_tesh!V33=0,0,SER_hh_tesh!V33/SER_summary!V$26)</f>
        <v>19.195658578532033</v>
      </c>
      <c r="W33" s="68">
        <f>IF(SER_hh_tesh!W33=0,0,SER_hh_tesh!W33/SER_summary!W$26)</f>
        <v>21.221943653173113</v>
      </c>
      <c r="X33" s="68">
        <f>IF(SER_hh_tesh!X33=0,0,SER_hh_tesh!X33/SER_summary!X$26)</f>
        <v>21.303764384714174</v>
      </c>
      <c r="Y33" s="68">
        <f>IF(SER_hh_tesh!Y33=0,0,SER_hh_tesh!Y33/SER_summary!Y$26)</f>
        <v>21.696363820091154</v>
      </c>
      <c r="DA33" s="111" t="s">
        <v>537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92</v>
      </c>
      <c r="B3" s="125">
        <f>IF(SER_hh_emih!B3=0,0,SER_hh_emih!B3/SER_summary!B$26)</f>
        <v>12.357776864509674</v>
      </c>
      <c r="C3" s="125">
        <f>IF(SER_hh_emih!C3=0,0,SER_hh_emih!C3/SER_summary!C$26)</f>
        <v>12.697376317464675</v>
      </c>
      <c r="D3" s="125">
        <f>IF(SER_hh_emih!D3=0,0,SER_hh_emih!D3/SER_summary!D$26)</f>
        <v>12.397613547227913</v>
      </c>
      <c r="E3" s="125">
        <f>IF(SER_hh_emih!E3=0,0,SER_hh_emih!E3/SER_summary!E$26)</f>
        <v>12.075814821815039</v>
      </c>
      <c r="F3" s="125">
        <f>IF(SER_hh_emih!F3=0,0,SER_hh_emih!F3/SER_summary!F$26)</f>
        <v>11.545243797569933</v>
      </c>
      <c r="G3" s="125">
        <f>IF(SER_hh_emih!G3=0,0,SER_hh_emih!G3/SER_summary!G$26)</f>
        <v>10.853220249679353</v>
      </c>
      <c r="H3" s="125">
        <f>IF(SER_hh_emih!H3=0,0,SER_hh_emih!H3/SER_summary!H$26)</f>
        <v>10.540222872658038</v>
      </c>
      <c r="I3" s="125">
        <f>IF(SER_hh_emih!I3=0,0,SER_hh_emih!I3/SER_summary!I$26)</f>
        <v>9.8790944933452511</v>
      </c>
      <c r="J3" s="125">
        <f>IF(SER_hh_emih!J3=0,0,SER_hh_emih!J3/SER_summary!J$26)</f>
        <v>8.3449595358169777</v>
      </c>
      <c r="K3" s="125">
        <f>IF(SER_hh_emih!K3=0,0,SER_hh_emih!K3/SER_summary!K$26)</f>
        <v>8.8551334042514647</v>
      </c>
      <c r="L3" s="125">
        <f>IF(SER_hh_emih!L3=0,0,SER_hh_emih!L3/SER_summary!L$26)</f>
        <v>10.309745248868229</v>
      </c>
      <c r="M3" s="125">
        <f>IF(SER_hh_emih!M3=0,0,SER_hh_emih!M3/SER_summary!M$26)</f>
        <v>9.0200674248186719</v>
      </c>
      <c r="N3" s="125">
        <f>IF(SER_hh_emih!N3=0,0,SER_hh_emih!N3/SER_summary!N$26)</f>
        <v>9.7211716520677243</v>
      </c>
      <c r="O3" s="125">
        <f>IF(SER_hh_emih!O3=0,0,SER_hh_emih!O3/SER_summary!O$26)</f>
        <v>8.7963786843075749</v>
      </c>
      <c r="P3" s="125">
        <f>IF(SER_hh_emih!P3=0,0,SER_hh_emih!P3/SER_summary!P$26)</f>
        <v>8.6625411119943223</v>
      </c>
      <c r="Q3" s="125">
        <f>IF(SER_hh_emih!Q3=0,0,SER_hh_emih!Q3/SER_summary!Q$26)</f>
        <v>7.9791524978118273</v>
      </c>
      <c r="R3" s="125">
        <f>IF(SER_hh_emih!R3=0,0,SER_hh_emih!R3/SER_summary!R$26)</f>
        <v>8.6812586181905331</v>
      </c>
      <c r="S3" s="125">
        <f>IF(SER_hh_emih!S3=0,0,SER_hh_emih!S3/SER_summary!S$26)</f>
        <v>8.4871330542217525</v>
      </c>
      <c r="T3" s="125">
        <f>IF(SER_hh_emih!T3=0,0,SER_hh_emih!T3/SER_summary!T$26)</f>
        <v>8.2999270091241453</v>
      </c>
      <c r="U3" s="125">
        <f>IF(SER_hh_emih!U3=0,0,SER_hh_emih!U3/SER_summary!U$26)</f>
        <v>8.1894144608847093</v>
      </c>
      <c r="V3" s="125">
        <f>IF(SER_hh_emih!V3=0,0,SER_hh_emih!V3/SER_summary!V$26)</f>
        <v>7.3646948875301259</v>
      </c>
      <c r="W3" s="125">
        <f>IF(SER_hh_emih!W3=0,0,SER_hh_emih!W3/SER_summary!W$26)</f>
        <v>8.4149437450377249</v>
      </c>
      <c r="X3" s="125">
        <f>IF(SER_hh_emih!X3=0,0,SER_hh_emih!X3/SER_summary!X$26)</f>
        <v>8.193481610065696</v>
      </c>
      <c r="Y3" s="125">
        <f>IF(SER_hh_emih!Y3=0,0,SER_hh_emih!Y3/SER_summary!Y$26)</f>
        <v>7.4484812800095872</v>
      </c>
      <c r="DA3" s="154" t="s">
        <v>539</v>
      </c>
    </row>
    <row r="4" spans="1:105" ht="12.95" customHeight="1" x14ac:dyDescent="0.25">
      <c r="A4" s="129" t="s">
        <v>32</v>
      </c>
      <c r="B4" s="130">
        <f>IF(SER_hh_emih!B4=0,0,SER_hh_emih!B4/SER_summary!B$26)</f>
        <v>11.473460834603015</v>
      </c>
      <c r="C4" s="130">
        <f>IF(SER_hh_emih!C4=0,0,SER_hh_emih!C4/SER_summary!C$26)</f>
        <v>11.799564700291155</v>
      </c>
      <c r="D4" s="130">
        <f>IF(SER_hh_emih!D4=0,0,SER_hh_emih!D4/SER_summary!D$26)</f>
        <v>11.482032526842577</v>
      </c>
      <c r="E4" s="130">
        <f>IF(SER_hh_emih!E4=0,0,SER_hh_emih!E4/SER_summary!E$26)</f>
        <v>11.158497039629102</v>
      </c>
      <c r="F4" s="130">
        <f>IF(SER_hh_emih!F4=0,0,SER_hh_emih!F4/SER_summary!F$26)</f>
        <v>10.640088203035527</v>
      </c>
      <c r="G4" s="130">
        <f>IF(SER_hh_emih!G4=0,0,SER_hh_emih!G4/SER_summary!G$26)</f>
        <v>9.9565389437001635</v>
      </c>
      <c r="H4" s="130">
        <f>IF(SER_hh_emih!H4=0,0,SER_hh_emih!H4/SER_summary!H$26)</f>
        <v>9.6447646546515795</v>
      </c>
      <c r="I4" s="130">
        <f>IF(SER_hh_emih!I4=0,0,SER_hh_emih!I4/SER_summary!I$26)</f>
        <v>9.0023690527592173</v>
      </c>
      <c r="J4" s="130">
        <f>IF(SER_hh_emih!J4=0,0,SER_hh_emih!J4/SER_summary!J$26)</f>
        <v>7.4585722386661057</v>
      </c>
      <c r="K4" s="130">
        <f>IF(SER_hh_emih!K4=0,0,SER_hh_emih!K4/SER_summary!K$26)</f>
        <v>8.0009413535242366</v>
      </c>
      <c r="L4" s="130">
        <f>IF(SER_hh_emih!L4=0,0,SER_hh_emih!L4/SER_summary!L$26)</f>
        <v>9.4102471833918404</v>
      </c>
      <c r="M4" s="130">
        <f>IF(SER_hh_emih!M4=0,0,SER_hh_emih!M4/SER_summary!M$26)</f>
        <v>8.125981238764048</v>
      </c>
      <c r="N4" s="130">
        <f>IF(SER_hh_emih!N4=0,0,SER_hh_emih!N4/SER_summary!N$26)</f>
        <v>8.8661679867036405</v>
      </c>
      <c r="O4" s="130">
        <f>IF(SER_hh_emih!O4=0,0,SER_hh_emih!O4/SER_summary!O$26)</f>
        <v>7.9405197937895826</v>
      </c>
      <c r="P4" s="130">
        <f>IF(SER_hh_emih!P4=0,0,SER_hh_emih!P4/SER_summary!P$26)</f>
        <v>7.8467866362991447</v>
      </c>
      <c r="Q4" s="130">
        <f>IF(SER_hh_emih!Q4=0,0,SER_hh_emih!Q4/SER_summary!Q$26)</f>
        <v>7.1735948556790161</v>
      </c>
      <c r="R4" s="130">
        <f>IF(SER_hh_emih!R4=0,0,SER_hh_emih!R4/SER_summary!R$26)</f>
        <v>7.8790331978924311</v>
      </c>
      <c r="S4" s="130">
        <f>IF(SER_hh_emih!S4=0,0,SER_hh_emih!S4/SER_summary!S$26)</f>
        <v>7.7862376421530364</v>
      </c>
      <c r="T4" s="130">
        <f>IF(SER_hh_emih!T4=0,0,SER_hh_emih!T4/SER_summary!T$26)</f>
        <v>7.7005116739425086</v>
      </c>
      <c r="U4" s="130">
        <f>IF(SER_hh_emih!U4=0,0,SER_hh_emih!U4/SER_summary!U$26)</f>
        <v>7.6210328995062948</v>
      </c>
      <c r="V4" s="130">
        <f>IF(SER_hh_emih!V4=0,0,SER_hh_emih!V4/SER_summary!V$26)</f>
        <v>6.8659514059012698</v>
      </c>
      <c r="W4" s="130">
        <f>IF(SER_hh_emih!W4=0,0,SER_hh_emih!W4/SER_summary!W$26)</f>
        <v>7.8581081585788866</v>
      </c>
      <c r="X4" s="130">
        <f>IF(SER_hh_emih!X4=0,0,SER_hh_emih!X4/SER_summary!X$26)</f>
        <v>7.6699392010390914</v>
      </c>
      <c r="Y4" s="130">
        <f>IF(SER_hh_emih!Y4=0,0,SER_hh_emih!Y4/SER_summary!Y$26)</f>
        <v>7.0619141558008982</v>
      </c>
      <c r="DA4" s="155" t="s">
        <v>540</v>
      </c>
    </row>
    <row r="5" spans="1:105" ht="12" customHeight="1" x14ac:dyDescent="0.25">
      <c r="A5" s="131" t="s">
        <v>29</v>
      </c>
      <c r="B5" s="132">
        <f>IF(SER_hh_emih!B5=0,0,SER_hh_emih!B5/SER_summary!B$26)</f>
        <v>91.576541071759664</v>
      </c>
      <c r="C5" s="132">
        <f>IF(SER_hh_emih!C5=0,0,SER_hh_emih!C5/SER_summary!C$26)</f>
        <v>97.942577275209203</v>
      </c>
      <c r="D5" s="132">
        <f>IF(SER_hh_emih!D5=0,0,SER_hh_emih!D5/SER_summary!D$26)</f>
        <v>99.60695314022125</v>
      </c>
      <c r="E5" s="132">
        <f>IF(SER_hh_emih!E5=0,0,SER_hh_emih!E5/SER_summary!E$26)</f>
        <v>101.07415232931251</v>
      </c>
      <c r="F5" s="132">
        <f>IF(SER_hh_emih!F5=0,0,SER_hh_emih!F5/SER_summary!F$26)</f>
        <v>96.373764097462043</v>
      </c>
      <c r="G5" s="132">
        <f>IF(SER_hh_emih!G5=0,0,SER_hh_emih!G5/SER_summary!G$26)</f>
        <v>94.447657967200385</v>
      </c>
      <c r="H5" s="132">
        <f>IF(SER_hh_emih!H5=0,0,SER_hh_emih!H5/SER_summary!H$26)</f>
        <v>98.775495343240308</v>
      </c>
      <c r="I5" s="132">
        <f>IF(SER_hh_emih!I5=0,0,SER_hh_emih!I5/SER_summary!I$26)</f>
        <v>82.095246181342432</v>
      </c>
      <c r="J5" s="132">
        <f>IF(SER_hh_emih!J5=0,0,SER_hh_emih!J5/SER_summary!J$26)</f>
        <v>98.135183914062551</v>
      </c>
      <c r="K5" s="132">
        <f>IF(SER_hh_emih!K5=0,0,SER_hh_emih!K5/SER_summary!K$26)</f>
        <v>106.11386131411832</v>
      </c>
      <c r="L5" s="132">
        <f>IF(SER_hh_emih!L5=0,0,SER_hh_emih!L5/SER_summary!L$26)</f>
        <v>113.47849238607766</v>
      </c>
      <c r="M5" s="132">
        <f>IF(SER_hh_emih!M5=0,0,SER_hh_emih!M5/SER_summary!M$26)</f>
        <v>91.74419323606368</v>
      </c>
      <c r="N5" s="132">
        <f>IF(SER_hh_emih!N5=0,0,SER_hh_emih!N5/SER_summary!N$26)</f>
        <v>105.11490656754414</v>
      </c>
      <c r="O5" s="132">
        <f>IF(SER_hh_emih!O5=0,0,SER_hh_emih!O5/SER_summary!O$26)</f>
        <v>95.054124617533262</v>
      </c>
      <c r="P5" s="132">
        <f>IF(SER_hh_emih!P5=0,0,SER_hh_emih!P5/SER_summary!P$26)</f>
        <v>97.501502639741588</v>
      </c>
      <c r="Q5" s="132">
        <f>IF(SER_hh_emih!Q5=0,0,SER_hh_emih!Q5/SER_summary!Q$26)</f>
        <v>88.104380844738273</v>
      </c>
      <c r="R5" s="132">
        <f>IF(SER_hh_emih!R5=0,0,SER_hh_emih!R5/SER_summary!R$26)</f>
        <v>96.189383408199134</v>
      </c>
      <c r="S5" s="132">
        <f>IF(SER_hh_emih!S5=0,0,SER_hh_emih!S5/SER_summary!S$26)</f>
        <v>94.298682921351173</v>
      </c>
      <c r="T5" s="132">
        <f>IF(SER_hh_emih!T5=0,0,SER_hh_emih!T5/SER_summary!T$26)</f>
        <v>94.771516421344515</v>
      </c>
      <c r="U5" s="132">
        <f>IF(SER_hh_emih!U5=0,0,SER_hh_emih!U5/SER_summary!U$26)</f>
        <v>96.334084234494284</v>
      </c>
      <c r="V5" s="132">
        <f>IF(SER_hh_emih!V5=0,0,SER_hh_emih!V5/SER_summary!V$26)</f>
        <v>86.711883211607486</v>
      </c>
      <c r="W5" s="132">
        <f>IF(SER_hh_emih!W5=0,0,SER_hh_emih!W5/SER_summary!W$26)</f>
        <v>92.218088000460341</v>
      </c>
      <c r="X5" s="132">
        <f>IF(SER_hh_emih!X5=0,0,SER_hh_emih!X5/SER_summary!X$26)</f>
        <v>89.06937031490807</v>
      </c>
      <c r="Y5" s="132">
        <f>IF(SER_hh_emih!Y5=0,0,SER_hh_emih!Y5/SER_summary!Y$26)</f>
        <v>86.13200233681151</v>
      </c>
      <c r="DA5" s="156" t="s">
        <v>541</v>
      </c>
    </row>
    <row r="6" spans="1:105" ht="12" customHeight="1" x14ac:dyDescent="0.25">
      <c r="A6" s="131" t="s">
        <v>52</v>
      </c>
      <c r="B6" s="132">
        <f>IF(SER_hh_emih!B6=0,0,SER_hh_emih!B6/SER_summary!B$26)</f>
        <v>0</v>
      </c>
      <c r="C6" s="132">
        <f>IF(SER_hh_emih!C6=0,0,SER_hh_emih!C6/SER_summary!C$26)</f>
        <v>0</v>
      </c>
      <c r="D6" s="132">
        <f>IF(SER_hh_emih!D6=0,0,SER_hh_emih!D6/SER_summary!D$26)</f>
        <v>0</v>
      </c>
      <c r="E6" s="132">
        <f>IF(SER_hh_emih!E6=0,0,SER_hh_emih!E6/SER_summary!E$26)</f>
        <v>0</v>
      </c>
      <c r="F6" s="132">
        <f>IF(SER_hh_emih!F6=0,0,SER_hh_emih!F6/SER_summary!F$26)</f>
        <v>0</v>
      </c>
      <c r="G6" s="132">
        <f>IF(SER_hh_emih!G6=0,0,SER_hh_emih!G6/SER_summary!G$26)</f>
        <v>0</v>
      </c>
      <c r="H6" s="132">
        <f>IF(SER_hh_emih!H6=0,0,SER_hh_emih!H6/SER_summary!H$26)</f>
        <v>0</v>
      </c>
      <c r="I6" s="132">
        <f>IF(SER_hh_emih!I6=0,0,SER_hh_emih!I6/SER_summary!I$26)</f>
        <v>0</v>
      </c>
      <c r="J6" s="132">
        <f>IF(SER_hh_emih!J6=0,0,SER_hh_emih!J6/SER_summary!J$26)</f>
        <v>0</v>
      </c>
      <c r="K6" s="132">
        <f>IF(SER_hh_emih!K6=0,0,SER_hh_emih!K6/SER_summary!K$26)</f>
        <v>0</v>
      </c>
      <c r="L6" s="132">
        <f>IF(SER_hh_emih!L6=0,0,SER_hh_emih!L6/SER_summary!L$26)</f>
        <v>0</v>
      </c>
      <c r="M6" s="132">
        <f>IF(SER_hh_emih!M6=0,0,SER_hh_emih!M6/SER_summary!M$26)</f>
        <v>0</v>
      </c>
      <c r="N6" s="132">
        <f>IF(SER_hh_emih!N6=0,0,SER_hh_emih!N6/SER_summary!N$26)</f>
        <v>0</v>
      </c>
      <c r="O6" s="132">
        <f>IF(SER_hh_emih!O6=0,0,SER_hh_emih!O6/SER_summary!O$26)</f>
        <v>0</v>
      </c>
      <c r="P6" s="132">
        <f>IF(SER_hh_emih!P6=0,0,SER_hh_emih!P6/SER_summary!P$26)</f>
        <v>0</v>
      </c>
      <c r="Q6" s="132">
        <f>IF(SER_hh_emih!Q6=0,0,SER_hh_emih!Q6/SER_summary!Q$26)</f>
        <v>0</v>
      </c>
      <c r="R6" s="132">
        <f>IF(SER_hh_emih!R6=0,0,SER_hh_emih!R6/SER_summary!R$26)</f>
        <v>0</v>
      </c>
      <c r="S6" s="132">
        <f>IF(SER_hh_emih!S6=0,0,SER_hh_emih!S6/SER_summary!S$26)</f>
        <v>0</v>
      </c>
      <c r="T6" s="132">
        <f>IF(SER_hh_emih!T6=0,0,SER_hh_emih!T6/SER_summary!T$26)</f>
        <v>0</v>
      </c>
      <c r="U6" s="132">
        <f>IF(SER_hh_emih!U6=0,0,SER_hh_emih!U6/SER_summary!U$26)</f>
        <v>0</v>
      </c>
      <c r="V6" s="132">
        <f>IF(SER_hh_emih!V6=0,0,SER_hh_emih!V6/SER_summary!V$26)</f>
        <v>0</v>
      </c>
      <c r="W6" s="132">
        <f>IF(SER_hh_emih!W6=0,0,SER_hh_emih!W6/SER_summary!W$26)</f>
        <v>0</v>
      </c>
      <c r="X6" s="132">
        <f>IF(SER_hh_emih!X6=0,0,SER_hh_emih!X6/SER_summary!X$26)</f>
        <v>0</v>
      </c>
      <c r="Y6" s="132">
        <f>IF(SER_hh_emih!Y6=0,0,SER_hh_emih!Y6/SER_summary!Y$26)</f>
        <v>0</v>
      </c>
      <c r="DA6" s="156" t="s">
        <v>542</v>
      </c>
    </row>
    <row r="7" spans="1:105" ht="12" customHeight="1" x14ac:dyDescent="0.25">
      <c r="A7" s="131" t="s">
        <v>161</v>
      </c>
      <c r="B7" s="132">
        <f>IF(SER_hh_emih!B7=0,0,SER_hh_emih!B7/SER_summary!B$26)</f>
        <v>74.82790153827365</v>
      </c>
      <c r="C7" s="132">
        <f>IF(SER_hh_emih!C7=0,0,SER_hh_emih!C7/SER_summary!C$26)</f>
        <v>81.237825175008211</v>
      </c>
      <c r="D7" s="132">
        <f>IF(SER_hh_emih!D7=0,0,SER_hh_emih!D7/SER_summary!D$26)</f>
        <v>82.333766414822989</v>
      </c>
      <c r="E7" s="132">
        <f>IF(SER_hh_emih!E7=0,0,SER_hh_emih!E7/SER_summary!E$26)</f>
        <v>82.892549602621699</v>
      </c>
      <c r="F7" s="132">
        <f>IF(SER_hh_emih!F7=0,0,SER_hh_emih!F7/SER_summary!F$26)</f>
        <v>81.43285403850885</v>
      </c>
      <c r="G7" s="132">
        <f>IF(SER_hh_emih!G7=0,0,SER_hh_emih!G7/SER_summary!G$26)</f>
        <v>79.045096852296069</v>
      </c>
      <c r="H7" s="132">
        <f>IF(SER_hh_emih!H7=0,0,SER_hh_emih!H7/SER_summary!H$26)</f>
        <v>82.086325516282415</v>
      </c>
      <c r="I7" s="132">
        <f>IF(SER_hh_emih!I7=0,0,SER_hh_emih!I7/SER_summary!I$26)</f>
        <v>84.809011102497365</v>
      </c>
      <c r="J7" s="132">
        <f>IF(SER_hh_emih!J7=0,0,SER_hh_emih!J7/SER_summary!J$26)</f>
        <v>74.350129468275483</v>
      </c>
      <c r="K7" s="132">
        <f>IF(SER_hh_emih!K7=0,0,SER_hh_emih!K7/SER_summary!K$26)</f>
        <v>83.614837618585227</v>
      </c>
      <c r="L7" s="132">
        <f>IF(SER_hh_emih!L7=0,0,SER_hh_emih!L7/SER_summary!L$26)</f>
        <v>95.187355309143626</v>
      </c>
      <c r="M7" s="132">
        <f>IF(SER_hh_emih!M7=0,0,SER_hh_emih!M7/SER_summary!M$26)</f>
        <v>77.003738004810174</v>
      </c>
      <c r="N7" s="132">
        <f>IF(SER_hh_emih!N7=0,0,SER_hh_emih!N7/SER_summary!N$26)</f>
        <v>83.873761459294727</v>
      </c>
      <c r="O7" s="132">
        <f>IF(SER_hh_emih!O7=0,0,SER_hh_emih!O7/SER_summary!O$26)</f>
        <v>75.273519429893966</v>
      </c>
      <c r="P7" s="132">
        <f>IF(SER_hh_emih!P7=0,0,SER_hh_emih!P7/SER_summary!P$26)</f>
        <v>75.679648494703954</v>
      </c>
      <c r="Q7" s="132">
        <f>IF(SER_hh_emih!Q7=0,0,SER_hh_emih!Q7/SER_summary!Q$26)</f>
        <v>68.638180574554028</v>
      </c>
      <c r="R7" s="132">
        <f>IF(SER_hh_emih!R7=0,0,SER_hh_emih!R7/SER_summary!R$26)</f>
        <v>74.448102392877445</v>
      </c>
      <c r="S7" s="132">
        <f>IF(SER_hh_emih!S7=0,0,SER_hh_emih!S7/SER_summary!S$26)</f>
        <v>72.286481212473774</v>
      </c>
      <c r="T7" s="132">
        <f>IF(SER_hh_emih!T7=0,0,SER_hh_emih!T7/SER_summary!T$26)</f>
        <v>71.231322256835028</v>
      </c>
      <c r="U7" s="132">
        <f>IF(SER_hh_emih!U7=0,0,SER_hh_emih!U7/SER_summary!U$26)</f>
        <v>68.761298185025908</v>
      </c>
      <c r="V7" s="132">
        <f>IF(SER_hh_emih!V7=0,0,SER_hh_emih!V7/SER_summary!V$26)</f>
        <v>60.866890263696625</v>
      </c>
      <c r="W7" s="132">
        <f>IF(SER_hh_emih!W7=0,0,SER_hh_emih!W7/SER_summary!W$26)</f>
        <v>67.580438315860988</v>
      </c>
      <c r="X7" s="132">
        <f>IF(SER_hh_emih!X7=0,0,SER_hh_emih!X7/SER_summary!X$26)</f>
        <v>61.831712547554972</v>
      </c>
      <c r="Y7" s="132">
        <f>IF(SER_hh_emih!Y7=0,0,SER_hh_emih!Y7/SER_summary!Y$26)</f>
        <v>60.788509887029214</v>
      </c>
      <c r="DA7" s="156" t="s">
        <v>543</v>
      </c>
    </row>
    <row r="8" spans="1:105" ht="12" customHeight="1" x14ac:dyDescent="0.25">
      <c r="A8" s="131" t="s">
        <v>73</v>
      </c>
      <c r="B8" s="132">
        <f>IF(SER_hh_emih!B8=0,0,SER_hh_emih!B8/SER_summary!B$26)</f>
        <v>0</v>
      </c>
      <c r="C8" s="132">
        <f>IF(SER_hh_emih!C8=0,0,SER_hh_emih!C8/SER_summary!C$26)</f>
        <v>0</v>
      </c>
      <c r="D8" s="132">
        <f>IF(SER_hh_emih!D8=0,0,SER_hh_emih!D8/SER_summary!D$26)</f>
        <v>0</v>
      </c>
      <c r="E8" s="132">
        <f>IF(SER_hh_emih!E8=0,0,SER_hh_emih!E8/SER_summary!E$26)</f>
        <v>0</v>
      </c>
      <c r="F8" s="132">
        <f>IF(SER_hh_emih!F8=0,0,SER_hh_emih!F8/SER_summary!F$26)</f>
        <v>0</v>
      </c>
      <c r="G8" s="132">
        <f>IF(SER_hh_emih!G8=0,0,SER_hh_emih!G8/SER_summary!G$26)</f>
        <v>0</v>
      </c>
      <c r="H8" s="132">
        <f>IF(SER_hh_emih!H8=0,0,SER_hh_emih!H8/SER_summary!H$26)</f>
        <v>0</v>
      </c>
      <c r="I8" s="132">
        <f>IF(SER_hh_emih!I8=0,0,SER_hh_emih!I8/SER_summary!I$26)</f>
        <v>0</v>
      </c>
      <c r="J8" s="132">
        <f>IF(SER_hh_emih!J8=0,0,SER_hh_emih!J8/SER_summary!J$26)</f>
        <v>0</v>
      </c>
      <c r="K8" s="132">
        <f>IF(SER_hh_emih!K8=0,0,SER_hh_emih!K8/SER_summary!K$26)</f>
        <v>0</v>
      </c>
      <c r="L8" s="132">
        <f>IF(SER_hh_emih!L8=0,0,SER_hh_emih!L8/SER_summary!L$26)</f>
        <v>0</v>
      </c>
      <c r="M8" s="132">
        <f>IF(SER_hh_emih!M8=0,0,SER_hh_emih!M8/SER_summary!M$26)</f>
        <v>0</v>
      </c>
      <c r="N8" s="132">
        <f>IF(SER_hh_emih!N8=0,0,SER_hh_emih!N8/SER_summary!N$26)</f>
        <v>0</v>
      </c>
      <c r="O8" s="132">
        <f>IF(SER_hh_emih!O8=0,0,SER_hh_emih!O8/SER_summary!O$26)</f>
        <v>0</v>
      </c>
      <c r="P8" s="132">
        <f>IF(SER_hh_emih!P8=0,0,SER_hh_emih!P8/SER_summary!P$26)</f>
        <v>0</v>
      </c>
      <c r="Q8" s="132">
        <f>IF(SER_hh_emih!Q8=0,0,SER_hh_emih!Q8/SER_summary!Q$26)</f>
        <v>0</v>
      </c>
      <c r="R8" s="132">
        <f>IF(SER_hh_emih!R8=0,0,SER_hh_emih!R8/SER_summary!R$26)</f>
        <v>0</v>
      </c>
      <c r="S8" s="132">
        <f>IF(SER_hh_emih!S8=0,0,SER_hh_emih!S8/SER_summary!S$26)</f>
        <v>0</v>
      </c>
      <c r="T8" s="132">
        <f>IF(SER_hh_emih!T8=0,0,SER_hh_emih!T8/SER_summary!T$26)</f>
        <v>0</v>
      </c>
      <c r="U8" s="132">
        <f>IF(SER_hh_emih!U8=0,0,SER_hh_emih!U8/SER_summary!U$26)</f>
        <v>0</v>
      </c>
      <c r="V8" s="132">
        <f>IF(SER_hh_emih!V8=0,0,SER_hh_emih!V8/SER_summary!V$26)</f>
        <v>0</v>
      </c>
      <c r="W8" s="132">
        <f>IF(SER_hh_emih!W8=0,0,SER_hh_emih!W8/SER_summary!W$26)</f>
        <v>0</v>
      </c>
      <c r="X8" s="132">
        <f>IF(SER_hh_emih!X8=0,0,SER_hh_emih!X8/SER_summary!X$26)</f>
        <v>0</v>
      </c>
      <c r="Y8" s="132">
        <f>IF(SER_hh_emih!Y8=0,0,SER_hh_emih!Y8/SER_summary!Y$26)</f>
        <v>0</v>
      </c>
      <c r="DA8" s="156" t="s">
        <v>544</v>
      </c>
    </row>
    <row r="9" spans="1:105" ht="12" customHeight="1" x14ac:dyDescent="0.25">
      <c r="A9" s="131" t="s">
        <v>78</v>
      </c>
      <c r="B9" s="132">
        <f>IF(SER_hh_emih!B9=0,0,SER_hh_emih!B9/SER_summary!B$26)</f>
        <v>42.78164722111601</v>
      </c>
      <c r="C9" s="132">
        <f>IF(SER_hh_emih!C9=0,0,SER_hh_emih!C9/SER_summary!C$26)</f>
        <v>42.098786467390951</v>
      </c>
      <c r="D9" s="132">
        <f>IF(SER_hh_emih!D9=0,0,SER_hh_emih!D9/SER_summary!D$26)</f>
        <v>44.587329877875497</v>
      </c>
      <c r="E9" s="132">
        <f>IF(SER_hh_emih!E9=0,0,SER_hh_emih!E9/SER_summary!E$26)</f>
        <v>41.355374891954511</v>
      </c>
      <c r="F9" s="132">
        <f>IF(SER_hh_emih!F9=0,0,SER_hh_emih!F9/SER_summary!F$26)</f>
        <v>40.925263158311246</v>
      </c>
      <c r="G9" s="132">
        <f>IF(SER_hh_emih!G9=0,0,SER_hh_emih!G9/SER_summary!G$26)</f>
        <v>40.620947475374336</v>
      </c>
      <c r="H9" s="132">
        <f>IF(SER_hh_emih!H9=0,0,SER_hh_emih!H9/SER_summary!H$26)</f>
        <v>39.948700717744778</v>
      </c>
      <c r="I9" s="132">
        <f>IF(SER_hh_emih!I9=0,0,SER_hh_emih!I9/SER_summary!I$26)</f>
        <v>40.213156191518102</v>
      </c>
      <c r="J9" s="132">
        <f>IF(SER_hh_emih!J9=0,0,SER_hh_emih!J9/SER_summary!J$26)</f>
        <v>40.431917526948645</v>
      </c>
      <c r="K9" s="132">
        <f>IF(SER_hh_emih!K9=0,0,SER_hh_emih!K9/SER_summary!K$26)</f>
        <v>40.682546388010515</v>
      </c>
      <c r="L9" s="132">
        <f>IF(SER_hh_emih!L9=0,0,SER_hh_emih!L9/SER_summary!L$26)</f>
        <v>45.043799925427948</v>
      </c>
      <c r="M9" s="132">
        <f>IF(SER_hh_emih!M9=0,0,SER_hh_emih!M9/SER_summary!M$26)</f>
        <v>58.238182512240634</v>
      </c>
      <c r="N9" s="132">
        <f>IF(SER_hh_emih!N9=0,0,SER_hh_emih!N9/SER_summary!N$26)</f>
        <v>52.48884256721994</v>
      </c>
      <c r="O9" s="132">
        <f>IF(SER_hh_emih!O9=0,0,SER_hh_emih!O9/SER_summary!O$26)</f>
        <v>48.392559946609971</v>
      </c>
      <c r="P9" s="132">
        <f>IF(SER_hh_emih!P9=0,0,SER_hh_emih!P9/SER_summary!P$26)</f>
        <v>37.966951000797479</v>
      </c>
      <c r="Q9" s="132">
        <f>IF(SER_hh_emih!Q9=0,0,SER_hh_emih!Q9/SER_summary!Q$26)</f>
        <v>34.079807272551484</v>
      </c>
      <c r="R9" s="132">
        <f>IF(SER_hh_emih!R9=0,0,SER_hh_emih!R9/SER_summary!R$26)</f>
        <v>33.349237215259244</v>
      </c>
      <c r="S9" s="132">
        <f>IF(SER_hh_emih!S9=0,0,SER_hh_emih!S9/SER_summary!S$26)</f>
        <v>32.934721402595834</v>
      </c>
      <c r="T9" s="132">
        <f>IF(SER_hh_emih!T9=0,0,SER_hh_emih!T9/SER_summary!T$26)</f>
        <v>29.636428703135635</v>
      </c>
      <c r="U9" s="132">
        <f>IF(SER_hh_emih!U9=0,0,SER_hh_emih!U9/SER_summary!U$26)</f>
        <v>30.527806521745955</v>
      </c>
      <c r="V9" s="132">
        <f>IF(SER_hh_emih!V9=0,0,SER_hh_emih!V9/SER_summary!V$26)</f>
        <v>26.272322432868151</v>
      </c>
      <c r="W9" s="132">
        <f>IF(SER_hh_emih!W9=0,0,SER_hh_emih!W9/SER_summary!W$26)</f>
        <v>32.493599778141302</v>
      </c>
      <c r="X9" s="132">
        <f>IF(SER_hh_emih!X9=0,0,SER_hh_emih!X9/SER_summary!X$26)</f>
        <v>27.969296598640867</v>
      </c>
      <c r="Y9" s="132">
        <f>IF(SER_hh_emih!Y9=0,0,SER_hh_emih!Y9/SER_summary!Y$26)</f>
        <v>17.901958819006737</v>
      </c>
      <c r="DA9" s="156" t="s">
        <v>545</v>
      </c>
    </row>
    <row r="10" spans="1:105" ht="12" customHeight="1" x14ac:dyDescent="0.25">
      <c r="A10" s="131" t="s">
        <v>128</v>
      </c>
      <c r="B10" s="132">
        <f>IF(SER_hh_emih!B10=0,0,SER_hh_emih!B10/SER_summary!B$26)</f>
        <v>0</v>
      </c>
      <c r="C10" s="132">
        <f>IF(SER_hh_emih!C10=0,0,SER_hh_emih!C10/SER_summary!C$26)</f>
        <v>0</v>
      </c>
      <c r="D10" s="132">
        <f>IF(SER_hh_emih!D10=0,0,SER_hh_emih!D10/SER_summary!D$26)</f>
        <v>0</v>
      </c>
      <c r="E10" s="132">
        <f>IF(SER_hh_emih!E10=0,0,SER_hh_emih!E10/SER_summary!E$26)</f>
        <v>0</v>
      </c>
      <c r="F10" s="132">
        <f>IF(SER_hh_emih!F10=0,0,SER_hh_emih!F10/SER_summary!F$26)</f>
        <v>0</v>
      </c>
      <c r="G10" s="132">
        <f>IF(SER_hh_emih!G10=0,0,SER_hh_emih!G10/SER_summary!G$26)</f>
        <v>0</v>
      </c>
      <c r="H10" s="132">
        <f>IF(SER_hh_emih!H10=0,0,SER_hh_emih!H10/SER_summary!H$26)</f>
        <v>0</v>
      </c>
      <c r="I10" s="132">
        <f>IF(SER_hh_emih!I10=0,0,SER_hh_emih!I10/SER_summary!I$26)</f>
        <v>0</v>
      </c>
      <c r="J10" s="132">
        <f>IF(SER_hh_emih!J10=0,0,SER_hh_emih!J10/SER_summary!J$26)</f>
        <v>7.5453767661264752</v>
      </c>
      <c r="K10" s="132">
        <f>IF(SER_hh_emih!K10=0,0,SER_hh_emih!K10/SER_summary!K$26)</f>
        <v>2.7871706565171395</v>
      </c>
      <c r="L10" s="132">
        <f>IF(SER_hh_emih!L10=0,0,SER_hh_emih!L10/SER_summary!L$26)</f>
        <v>3.4532987027918898</v>
      </c>
      <c r="M10" s="132">
        <f>IF(SER_hh_emih!M10=0,0,SER_hh_emih!M10/SER_summary!M$26)</f>
        <v>3.7328655288912862</v>
      </c>
      <c r="N10" s="132">
        <f>IF(SER_hh_emih!N10=0,0,SER_hh_emih!N10/SER_summary!N$26)</f>
        <v>2.8455434951068996</v>
      </c>
      <c r="O10" s="132">
        <f>IF(SER_hh_emih!O10=0,0,SER_hh_emih!O10/SER_summary!O$26)</f>
        <v>0.84107129332878472</v>
      </c>
      <c r="P10" s="132">
        <f>IF(SER_hh_emih!P10=0,0,SER_hh_emih!P10/SER_summary!P$26)</f>
        <v>1.921843472345159</v>
      </c>
      <c r="Q10" s="132">
        <f>IF(SER_hh_emih!Q10=0,0,SER_hh_emih!Q10/SER_summary!Q$26)</f>
        <v>1.9910056004380552</v>
      </c>
      <c r="R10" s="132">
        <f>IF(SER_hh_emih!R10=0,0,SER_hh_emih!R10/SER_summary!R$26)</f>
        <v>2.2109353777740641</v>
      </c>
      <c r="S10" s="132">
        <f>IF(SER_hh_emih!S10=0,0,SER_hh_emih!S10/SER_summary!S$26)</f>
        <v>2.024057591467094</v>
      </c>
      <c r="T10" s="132">
        <f>IF(SER_hh_emih!T10=0,0,SER_hh_emih!T10/SER_summary!T$26)</f>
        <v>2.4510557577361611</v>
      </c>
      <c r="U10" s="132">
        <f>IF(SER_hh_emih!U10=0,0,SER_hh_emih!U10/SER_summary!U$26)</f>
        <v>1.77749435798337</v>
      </c>
      <c r="V10" s="132">
        <f>IF(SER_hh_emih!V10=0,0,SER_hh_emih!V10/SER_summary!V$26)</f>
        <v>2.1617113310433402</v>
      </c>
      <c r="W10" s="132">
        <f>IF(SER_hh_emih!W10=0,0,SER_hh_emih!W10/SER_summary!W$26)</f>
        <v>2.5714164111844711</v>
      </c>
      <c r="X10" s="132">
        <f>IF(SER_hh_emih!X10=0,0,SER_hh_emih!X10/SER_summary!X$26)</f>
        <v>18.019306831646482</v>
      </c>
      <c r="Y10" s="132">
        <f>IF(SER_hh_emih!Y10=0,0,SER_hh_emih!Y10/SER_summary!Y$26)</f>
        <v>1.9629183214531112</v>
      </c>
      <c r="DA10" s="156" t="s">
        <v>546</v>
      </c>
    </row>
    <row r="11" spans="1:105" ht="12" customHeight="1" x14ac:dyDescent="0.25">
      <c r="A11" s="131" t="s">
        <v>25</v>
      </c>
      <c r="B11" s="132">
        <f>IF(SER_hh_emih!B11=0,0,SER_hh_emih!B11/SER_summary!B$26)</f>
        <v>0</v>
      </c>
      <c r="C11" s="132">
        <f>IF(SER_hh_emih!C11=0,0,SER_hh_emih!C11/SER_summary!C$26)</f>
        <v>0</v>
      </c>
      <c r="D11" s="132">
        <f>IF(SER_hh_emih!D11=0,0,SER_hh_emih!D11/SER_summary!D$26)</f>
        <v>0</v>
      </c>
      <c r="E11" s="132">
        <f>IF(SER_hh_emih!E11=0,0,SER_hh_emih!E11/SER_summary!E$26)</f>
        <v>0</v>
      </c>
      <c r="F11" s="132">
        <f>IF(SER_hh_emih!F11=0,0,SER_hh_emih!F11/SER_summary!F$26)</f>
        <v>0</v>
      </c>
      <c r="G11" s="132">
        <f>IF(SER_hh_emih!G11=0,0,SER_hh_emih!G11/SER_summary!G$26)</f>
        <v>0</v>
      </c>
      <c r="H11" s="132">
        <f>IF(SER_hh_emih!H11=0,0,SER_hh_emih!H11/SER_summary!H$26)</f>
        <v>0</v>
      </c>
      <c r="I11" s="132">
        <f>IF(SER_hh_emih!I11=0,0,SER_hh_emih!I11/SER_summary!I$26)</f>
        <v>0</v>
      </c>
      <c r="J11" s="132">
        <f>IF(SER_hh_emih!J11=0,0,SER_hh_emih!J11/SER_summary!J$26)</f>
        <v>0</v>
      </c>
      <c r="K11" s="132">
        <f>IF(SER_hh_emih!K11=0,0,SER_hh_emih!K11/SER_summary!K$26)</f>
        <v>0</v>
      </c>
      <c r="L11" s="132">
        <f>IF(SER_hh_emih!L11=0,0,SER_hh_emih!L11/SER_summary!L$26)</f>
        <v>0</v>
      </c>
      <c r="M11" s="132">
        <f>IF(SER_hh_emih!M11=0,0,SER_hh_emih!M11/SER_summary!M$26)</f>
        <v>0</v>
      </c>
      <c r="N11" s="132">
        <f>IF(SER_hh_emih!N11=0,0,SER_hh_emih!N11/SER_summary!N$26)</f>
        <v>0</v>
      </c>
      <c r="O11" s="132">
        <f>IF(SER_hh_emih!O11=0,0,SER_hh_emih!O11/SER_summary!O$26)</f>
        <v>0</v>
      </c>
      <c r="P11" s="132">
        <f>IF(SER_hh_emih!P11=0,0,SER_hh_emih!P11/SER_summary!P$26)</f>
        <v>0</v>
      </c>
      <c r="Q11" s="132">
        <f>IF(SER_hh_emih!Q11=0,0,SER_hh_emih!Q11/SER_summary!Q$26)</f>
        <v>0</v>
      </c>
      <c r="R11" s="132">
        <f>IF(SER_hh_emih!R11=0,0,SER_hh_emih!R11/SER_summary!R$26)</f>
        <v>0</v>
      </c>
      <c r="S11" s="132">
        <f>IF(SER_hh_emih!S11=0,0,SER_hh_emih!S11/SER_summary!S$26)</f>
        <v>0</v>
      </c>
      <c r="T11" s="132">
        <f>IF(SER_hh_emih!T11=0,0,SER_hh_emih!T11/SER_summary!T$26)</f>
        <v>0</v>
      </c>
      <c r="U11" s="132">
        <f>IF(SER_hh_emih!U11=0,0,SER_hh_emih!U11/SER_summary!U$26)</f>
        <v>0</v>
      </c>
      <c r="V11" s="132">
        <f>IF(SER_hh_emih!V11=0,0,SER_hh_emih!V11/SER_summary!V$26)</f>
        <v>0</v>
      </c>
      <c r="W11" s="132">
        <f>IF(SER_hh_emih!W11=0,0,SER_hh_emih!W11/SER_summary!W$26)</f>
        <v>0</v>
      </c>
      <c r="X11" s="132">
        <f>IF(SER_hh_emih!X11=0,0,SER_hh_emih!X11/SER_summary!X$26)</f>
        <v>0</v>
      </c>
      <c r="Y11" s="132">
        <f>IF(SER_hh_emih!Y11=0,0,SER_hh_emih!Y11/SER_summary!Y$26)</f>
        <v>0</v>
      </c>
      <c r="DA11" s="156" t="s">
        <v>547</v>
      </c>
    </row>
    <row r="12" spans="1:105" ht="12" customHeight="1" x14ac:dyDescent="0.25">
      <c r="A12" s="131" t="s">
        <v>162</v>
      </c>
      <c r="B12" s="132">
        <f>IF(SER_hh_emih!B12=0,0,SER_hh_emih!B12/SER_summary!B$26)</f>
        <v>0</v>
      </c>
      <c r="C12" s="132">
        <f>IF(SER_hh_emih!C12=0,0,SER_hh_emih!C12/SER_summary!C$26)</f>
        <v>0</v>
      </c>
      <c r="D12" s="132">
        <f>IF(SER_hh_emih!D12=0,0,SER_hh_emih!D12/SER_summary!D$26)</f>
        <v>0</v>
      </c>
      <c r="E12" s="132">
        <f>IF(SER_hh_emih!E12=0,0,SER_hh_emih!E12/SER_summary!E$26)</f>
        <v>0</v>
      </c>
      <c r="F12" s="132">
        <f>IF(SER_hh_emih!F12=0,0,SER_hh_emih!F12/SER_summary!F$26)</f>
        <v>0</v>
      </c>
      <c r="G12" s="132">
        <f>IF(SER_hh_emih!G12=0,0,SER_hh_emih!G12/SER_summary!G$26)</f>
        <v>0</v>
      </c>
      <c r="H12" s="132">
        <f>IF(SER_hh_emih!H12=0,0,SER_hh_emih!H12/SER_summary!H$26)</f>
        <v>0</v>
      </c>
      <c r="I12" s="132">
        <f>IF(SER_hh_emih!I12=0,0,SER_hh_emih!I12/SER_summary!I$26)</f>
        <v>0</v>
      </c>
      <c r="J12" s="132">
        <f>IF(SER_hh_emih!J12=0,0,SER_hh_emih!J12/SER_summary!J$26)</f>
        <v>0</v>
      </c>
      <c r="K12" s="132">
        <f>IF(SER_hh_emih!K12=0,0,SER_hh_emih!K12/SER_summary!K$26)</f>
        <v>0</v>
      </c>
      <c r="L12" s="132">
        <f>IF(SER_hh_emih!L12=0,0,SER_hh_emih!L12/SER_summary!L$26)</f>
        <v>0</v>
      </c>
      <c r="M12" s="132">
        <f>IF(SER_hh_emih!M12=0,0,SER_hh_emih!M12/SER_summary!M$26)</f>
        <v>0</v>
      </c>
      <c r="N12" s="132">
        <f>IF(SER_hh_emih!N12=0,0,SER_hh_emih!N12/SER_summary!N$26)</f>
        <v>0</v>
      </c>
      <c r="O12" s="132">
        <f>IF(SER_hh_emih!O12=0,0,SER_hh_emih!O12/SER_summary!O$26)</f>
        <v>0</v>
      </c>
      <c r="P12" s="132">
        <f>IF(SER_hh_emih!P12=0,0,SER_hh_emih!P12/SER_summary!P$26)</f>
        <v>0</v>
      </c>
      <c r="Q12" s="132">
        <f>IF(SER_hh_emih!Q12=0,0,SER_hh_emih!Q12/SER_summary!Q$26)</f>
        <v>0</v>
      </c>
      <c r="R12" s="132">
        <f>IF(SER_hh_emih!R12=0,0,SER_hh_emih!R12/SER_summary!R$26)</f>
        <v>0</v>
      </c>
      <c r="S12" s="132">
        <f>IF(SER_hh_emih!S12=0,0,SER_hh_emih!S12/SER_summary!S$26)</f>
        <v>0</v>
      </c>
      <c r="T12" s="132">
        <f>IF(SER_hh_emih!T12=0,0,SER_hh_emih!T12/SER_summary!T$26)</f>
        <v>0</v>
      </c>
      <c r="U12" s="132">
        <f>IF(SER_hh_emih!U12=0,0,SER_hh_emih!U12/SER_summary!U$26)</f>
        <v>0</v>
      </c>
      <c r="V12" s="132">
        <f>IF(SER_hh_emih!V12=0,0,SER_hh_emih!V12/SER_summary!V$26)</f>
        <v>0</v>
      </c>
      <c r="W12" s="132">
        <f>IF(SER_hh_emih!W12=0,0,SER_hh_emih!W12/SER_summary!W$26)</f>
        <v>0</v>
      </c>
      <c r="X12" s="132">
        <f>IF(SER_hh_emih!X12=0,0,SER_hh_emih!X12/SER_summary!X$26)</f>
        <v>0</v>
      </c>
      <c r="Y12" s="132">
        <f>IF(SER_hh_emih!Y12=0,0,SER_hh_emih!Y12/SER_summary!Y$26)</f>
        <v>0</v>
      </c>
      <c r="DA12" s="156" t="s">
        <v>548</v>
      </c>
    </row>
    <row r="13" spans="1:105" ht="12" customHeight="1" x14ac:dyDescent="0.25">
      <c r="A13" s="131" t="s">
        <v>77</v>
      </c>
      <c r="B13" s="132">
        <f>IF(SER_hh_emih!B13=0,0,SER_hh_emih!B13/SER_summary!B$26)</f>
        <v>0</v>
      </c>
      <c r="C13" s="132">
        <f>IF(SER_hh_emih!C13=0,0,SER_hh_emih!C13/SER_summary!C$26)</f>
        <v>0</v>
      </c>
      <c r="D13" s="132">
        <f>IF(SER_hh_emih!D13=0,0,SER_hh_emih!D13/SER_summary!D$26)</f>
        <v>0</v>
      </c>
      <c r="E13" s="132">
        <f>IF(SER_hh_emih!E13=0,0,SER_hh_emih!E13/SER_summary!E$26)</f>
        <v>0</v>
      </c>
      <c r="F13" s="132">
        <f>IF(SER_hh_emih!F13=0,0,SER_hh_emih!F13/SER_summary!F$26)</f>
        <v>0</v>
      </c>
      <c r="G13" s="132">
        <f>IF(SER_hh_emih!G13=0,0,SER_hh_emih!G13/SER_summary!G$26)</f>
        <v>0</v>
      </c>
      <c r="H13" s="132">
        <f>IF(SER_hh_emih!H13=0,0,SER_hh_emih!H13/SER_summary!H$26)</f>
        <v>0</v>
      </c>
      <c r="I13" s="132">
        <f>IF(SER_hh_emih!I13=0,0,SER_hh_emih!I13/SER_summary!I$26)</f>
        <v>0</v>
      </c>
      <c r="J13" s="132">
        <f>IF(SER_hh_emih!J13=0,0,SER_hh_emih!J13/SER_summary!J$26)</f>
        <v>0</v>
      </c>
      <c r="K13" s="132">
        <f>IF(SER_hh_emih!K13=0,0,SER_hh_emih!K13/SER_summary!K$26)</f>
        <v>0</v>
      </c>
      <c r="L13" s="132">
        <f>IF(SER_hh_emih!L13=0,0,SER_hh_emih!L13/SER_summary!L$26)</f>
        <v>0</v>
      </c>
      <c r="M13" s="132">
        <f>IF(SER_hh_emih!M13=0,0,SER_hh_emih!M13/SER_summary!M$26)</f>
        <v>0</v>
      </c>
      <c r="N13" s="132">
        <f>IF(SER_hh_emih!N13=0,0,SER_hh_emih!N13/SER_summary!N$26)</f>
        <v>0</v>
      </c>
      <c r="O13" s="132">
        <f>IF(SER_hh_emih!O13=0,0,SER_hh_emih!O13/SER_summary!O$26)</f>
        <v>0</v>
      </c>
      <c r="P13" s="132">
        <f>IF(SER_hh_emih!P13=0,0,SER_hh_emih!P13/SER_summary!P$26)</f>
        <v>0</v>
      </c>
      <c r="Q13" s="132">
        <f>IF(SER_hh_emih!Q13=0,0,SER_hh_emih!Q13/SER_summary!Q$26)</f>
        <v>0</v>
      </c>
      <c r="R13" s="132">
        <f>IF(SER_hh_emih!R13=0,0,SER_hh_emih!R13/SER_summary!R$26)</f>
        <v>0</v>
      </c>
      <c r="S13" s="132">
        <f>IF(SER_hh_emih!S13=0,0,SER_hh_emih!S13/SER_summary!S$26)</f>
        <v>0</v>
      </c>
      <c r="T13" s="132">
        <f>IF(SER_hh_emih!T13=0,0,SER_hh_emih!T13/SER_summary!T$26)</f>
        <v>0</v>
      </c>
      <c r="U13" s="132">
        <f>IF(SER_hh_emih!U13=0,0,SER_hh_emih!U13/SER_summary!U$26)</f>
        <v>0</v>
      </c>
      <c r="V13" s="132">
        <f>IF(SER_hh_emih!V13=0,0,SER_hh_emih!V13/SER_summary!V$26)</f>
        <v>0</v>
      </c>
      <c r="W13" s="132">
        <f>IF(SER_hh_emih!W13=0,0,SER_hh_emih!W13/SER_summary!W$26)</f>
        <v>0</v>
      </c>
      <c r="X13" s="132">
        <f>IF(SER_hh_emih!X13=0,0,SER_hh_emih!X13/SER_summary!X$26)</f>
        <v>0</v>
      </c>
      <c r="Y13" s="132">
        <f>IF(SER_hh_emih!Y13=0,0,SER_hh_emih!Y13/SER_summary!Y$26)</f>
        <v>0</v>
      </c>
      <c r="DA13" s="156" t="s">
        <v>549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X14" s="65">
        <f>IF(SER_hh_emih!X14=0,0,SER_hh_emih!X14/SER_summary!X$26)</f>
        <v>0</v>
      </c>
      <c r="Y14" s="65">
        <f>IF(SER_hh_emih!Y14=0,0,SER_hh_emih!Y14/SER_summary!Y$26)</f>
        <v>0</v>
      </c>
      <c r="DA14" s="109" t="s">
        <v>550</v>
      </c>
    </row>
    <row r="15" spans="1:105" ht="12" customHeight="1" x14ac:dyDescent="0.25">
      <c r="A15" s="133" t="s">
        <v>80</v>
      </c>
      <c r="B15" s="134">
        <f>IF(SER_hh_emih!B15=0,0,SER_hh_emih!B15/SER_summary!B$26)</f>
        <v>0</v>
      </c>
      <c r="C15" s="134">
        <f>IF(SER_hh_emih!C15=0,0,SER_hh_emih!C15/SER_summary!C$26)</f>
        <v>0</v>
      </c>
      <c r="D15" s="134">
        <f>IF(SER_hh_emih!D15=0,0,SER_hh_emih!D15/SER_summary!D$26)</f>
        <v>0</v>
      </c>
      <c r="E15" s="134">
        <f>IF(SER_hh_emih!E15=0,0,SER_hh_emih!E15/SER_summary!E$26)</f>
        <v>0</v>
      </c>
      <c r="F15" s="134">
        <f>IF(SER_hh_emih!F15=0,0,SER_hh_emih!F15/SER_summary!F$26)</f>
        <v>0</v>
      </c>
      <c r="G15" s="134">
        <f>IF(SER_hh_emih!G15=0,0,SER_hh_emih!G15/SER_summary!G$26)</f>
        <v>0</v>
      </c>
      <c r="H15" s="134">
        <f>IF(SER_hh_emih!H15=0,0,SER_hh_emih!H15/SER_summary!H$26)</f>
        <v>0</v>
      </c>
      <c r="I15" s="134">
        <f>IF(SER_hh_emih!I15=0,0,SER_hh_emih!I15/SER_summary!I$26)</f>
        <v>0</v>
      </c>
      <c r="J15" s="134">
        <f>IF(SER_hh_emih!J15=0,0,SER_hh_emih!J15/SER_summary!J$26)</f>
        <v>0</v>
      </c>
      <c r="K15" s="134">
        <f>IF(SER_hh_emih!K15=0,0,SER_hh_emih!K15/SER_summary!K$26)</f>
        <v>0</v>
      </c>
      <c r="L15" s="134">
        <f>IF(SER_hh_emih!L15=0,0,SER_hh_emih!L15/SER_summary!L$26)</f>
        <v>0</v>
      </c>
      <c r="M15" s="134">
        <f>IF(SER_hh_emih!M15=0,0,SER_hh_emih!M15/SER_summary!M$26)</f>
        <v>0</v>
      </c>
      <c r="N15" s="134">
        <f>IF(SER_hh_emih!N15=0,0,SER_hh_emih!N15/SER_summary!N$26)</f>
        <v>0</v>
      </c>
      <c r="O15" s="134">
        <f>IF(SER_hh_emih!O15=0,0,SER_hh_emih!O15/SER_summary!O$26)</f>
        <v>0</v>
      </c>
      <c r="P15" s="134">
        <f>IF(SER_hh_emih!P15=0,0,SER_hh_emih!P15/SER_summary!P$26)</f>
        <v>0</v>
      </c>
      <c r="Q15" s="134">
        <f>IF(SER_hh_emih!Q15=0,0,SER_hh_emih!Q15/SER_summary!Q$26)</f>
        <v>0</v>
      </c>
      <c r="R15" s="134">
        <f>IF(SER_hh_emih!R15=0,0,SER_hh_emih!R15/SER_summary!R$26)</f>
        <v>0</v>
      </c>
      <c r="S15" s="134">
        <f>IF(SER_hh_emih!S15=0,0,SER_hh_emih!S15/SER_summary!S$26)</f>
        <v>0</v>
      </c>
      <c r="T15" s="134">
        <f>IF(SER_hh_emih!T15=0,0,SER_hh_emih!T15/SER_summary!T$26)</f>
        <v>0</v>
      </c>
      <c r="U15" s="134">
        <f>IF(SER_hh_emih!U15=0,0,SER_hh_emih!U15/SER_summary!U$26)</f>
        <v>0</v>
      </c>
      <c r="V15" s="134">
        <f>IF(SER_hh_emih!V15=0,0,SER_hh_emih!V15/SER_summary!V$26)</f>
        <v>0</v>
      </c>
      <c r="W15" s="134">
        <f>IF(SER_hh_emih!W15=0,0,SER_hh_emih!W15/SER_summary!W$26)</f>
        <v>0</v>
      </c>
      <c r="X15" s="134">
        <f>IF(SER_hh_emih!X15=0,0,SER_hh_emih!X15/SER_summary!X$26)</f>
        <v>0</v>
      </c>
      <c r="Y15" s="134">
        <f>IF(SER_hh_emih!Y15=0,0,SER_hh_emih!Y15/SER_summary!Y$26)</f>
        <v>0</v>
      </c>
      <c r="DA15" s="157" t="s">
        <v>551</v>
      </c>
    </row>
    <row r="16" spans="1:105" ht="12.95" customHeight="1" x14ac:dyDescent="0.25">
      <c r="A16" s="129" t="s">
        <v>74</v>
      </c>
      <c r="B16" s="130">
        <f>IF(SER_hh_emih!B16=0,0,SER_hh_emih!B16/SER_summary!B$26)</f>
        <v>0</v>
      </c>
      <c r="C16" s="130">
        <f>IF(SER_hh_emih!C16=0,0,SER_hh_emih!C16/SER_summary!C$26)</f>
        <v>0</v>
      </c>
      <c r="D16" s="130">
        <f>IF(SER_hh_emih!D16=0,0,SER_hh_emih!D16/SER_summary!D$26)</f>
        <v>0</v>
      </c>
      <c r="E16" s="130">
        <f>IF(SER_hh_emih!E16=0,0,SER_hh_emih!E16/SER_summary!E$26)</f>
        <v>0</v>
      </c>
      <c r="F16" s="130">
        <f>IF(SER_hh_emih!F16=0,0,SER_hh_emih!F16/SER_summary!F$26)</f>
        <v>0</v>
      </c>
      <c r="G16" s="130">
        <f>IF(SER_hh_emih!G16=0,0,SER_hh_emih!G16/SER_summary!G$26)</f>
        <v>0</v>
      </c>
      <c r="H16" s="130">
        <f>IF(SER_hh_emih!H16=0,0,SER_hh_emih!H16/SER_summary!H$26)</f>
        <v>0</v>
      </c>
      <c r="I16" s="130">
        <f>IF(SER_hh_emih!I16=0,0,SER_hh_emih!I16/SER_summary!I$26)</f>
        <v>0</v>
      </c>
      <c r="J16" s="130">
        <f>IF(SER_hh_emih!J16=0,0,SER_hh_emih!J16/SER_summary!J$26)</f>
        <v>0</v>
      </c>
      <c r="K16" s="130">
        <f>IF(SER_hh_emih!K16=0,0,SER_hh_emih!K16/SER_summary!K$26)</f>
        <v>0</v>
      </c>
      <c r="L16" s="130">
        <f>IF(SER_hh_emih!L16=0,0,SER_hh_emih!L16/SER_summary!L$26)</f>
        <v>0</v>
      </c>
      <c r="M16" s="130">
        <f>IF(SER_hh_emih!M16=0,0,SER_hh_emih!M16/SER_summary!M$26)</f>
        <v>0</v>
      </c>
      <c r="N16" s="130">
        <f>IF(SER_hh_emih!N16=0,0,SER_hh_emih!N16/SER_summary!N$26)</f>
        <v>0</v>
      </c>
      <c r="O16" s="130">
        <f>IF(SER_hh_emih!O16=0,0,SER_hh_emih!O16/SER_summary!O$26)</f>
        <v>0</v>
      </c>
      <c r="P16" s="130">
        <f>IF(SER_hh_emih!P16=0,0,SER_hh_emih!P16/SER_summary!P$26)</f>
        <v>0</v>
      </c>
      <c r="Q16" s="130">
        <f>IF(SER_hh_emih!Q16=0,0,SER_hh_emih!Q16/SER_summary!Q$26)</f>
        <v>0</v>
      </c>
      <c r="R16" s="130">
        <f>IF(SER_hh_emih!R16=0,0,SER_hh_emih!R16/SER_summary!R$26)</f>
        <v>0</v>
      </c>
      <c r="S16" s="130">
        <f>IF(SER_hh_emih!S16=0,0,SER_hh_emih!S16/SER_summary!S$26)</f>
        <v>0</v>
      </c>
      <c r="T16" s="130">
        <f>IF(SER_hh_emih!T16=0,0,SER_hh_emih!T16/SER_summary!T$26)</f>
        <v>0</v>
      </c>
      <c r="U16" s="130">
        <f>IF(SER_hh_emih!U16=0,0,SER_hh_emih!U16/SER_summary!U$26)</f>
        <v>0</v>
      </c>
      <c r="V16" s="130">
        <f>IF(SER_hh_emih!V16=0,0,SER_hh_emih!V16/SER_summary!V$26)</f>
        <v>0</v>
      </c>
      <c r="W16" s="130">
        <f>IF(SER_hh_emih!W16=0,0,SER_hh_emih!W16/SER_summary!W$26)</f>
        <v>0</v>
      </c>
      <c r="X16" s="130">
        <f>IF(SER_hh_emih!X16=0,0,SER_hh_emih!X16/SER_summary!X$26)</f>
        <v>0</v>
      </c>
      <c r="Y16" s="130">
        <f>IF(SER_hh_emih!Y16=0,0,SER_hh_emih!Y16/SER_summary!Y$26)</f>
        <v>0</v>
      </c>
      <c r="DA16" s="155" t="s">
        <v>552</v>
      </c>
    </row>
    <row r="17" spans="1:105" ht="12.95" customHeight="1" x14ac:dyDescent="0.25">
      <c r="A17" s="131" t="s">
        <v>73</v>
      </c>
      <c r="B17" s="132">
        <f>IF(SER_hh_emih!B17=0,0,SER_hh_emih!B17/SER_summary!B$26)</f>
        <v>0</v>
      </c>
      <c r="C17" s="132">
        <f>IF(SER_hh_emih!C17=0,0,SER_hh_emih!C17/SER_summary!C$26)</f>
        <v>0</v>
      </c>
      <c r="D17" s="132">
        <f>IF(SER_hh_emih!D17=0,0,SER_hh_emih!D17/SER_summary!D$26)</f>
        <v>0</v>
      </c>
      <c r="E17" s="132">
        <f>IF(SER_hh_emih!E17=0,0,SER_hh_emih!E17/SER_summary!E$26)</f>
        <v>0</v>
      </c>
      <c r="F17" s="132">
        <f>IF(SER_hh_emih!F17=0,0,SER_hh_emih!F17/SER_summary!F$26)</f>
        <v>0</v>
      </c>
      <c r="G17" s="132">
        <f>IF(SER_hh_emih!G17=0,0,SER_hh_emih!G17/SER_summary!G$26)</f>
        <v>0</v>
      </c>
      <c r="H17" s="132">
        <f>IF(SER_hh_emih!H17=0,0,SER_hh_emih!H17/SER_summary!H$26)</f>
        <v>0</v>
      </c>
      <c r="I17" s="132">
        <f>IF(SER_hh_emih!I17=0,0,SER_hh_emih!I17/SER_summary!I$26)</f>
        <v>0</v>
      </c>
      <c r="J17" s="132">
        <f>IF(SER_hh_emih!J17=0,0,SER_hh_emih!J17/SER_summary!J$26)</f>
        <v>0</v>
      </c>
      <c r="K17" s="132">
        <f>IF(SER_hh_emih!K17=0,0,SER_hh_emih!K17/SER_summary!K$26)</f>
        <v>0</v>
      </c>
      <c r="L17" s="132">
        <f>IF(SER_hh_emih!L17=0,0,SER_hh_emih!L17/SER_summary!L$26)</f>
        <v>0</v>
      </c>
      <c r="M17" s="132">
        <f>IF(SER_hh_emih!M17=0,0,SER_hh_emih!M17/SER_summary!M$26)</f>
        <v>0</v>
      </c>
      <c r="N17" s="132">
        <f>IF(SER_hh_emih!N17=0,0,SER_hh_emih!N17/SER_summary!N$26)</f>
        <v>0</v>
      </c>
      <c r="O17" s="132">
        <f>IF(SER_hh_emih!O17=0,0,SER_hh_emih!O17/SER_summary!O$26)</f>
        <v>0</v>
      </c>
      <c r="P17" s="132">
        <f>IF(SER_hh_emih!P17=0,0,SER_hh_emih!P17/SER_summary!P$26)</f>
        <v>0</v>
      </c>
      <c r="Q17" s="132">
        <f>IF(SER_hh_emih!Q17=0,0,SER_hh_emih!Q17/SER_summary!Q$26)</f>
        <v>0</v>
      </c>
      <c r="R17" s="132">
        <f>IF(SER_hh_emih!R17=0,0,SER_hh_emih!R17/SER_summary!R$26)</f>
        <v>0</v>
      </c>
      <c r="S17" s="132">
        <f>IF(SER_hh_emih!S17=0,0,SER_hh_emih!S17/SER_summary!S$26)</f>
        <v>0</v>
      </c>
      <c r="T17" s="132">
        <f>IF(SER_hh_emih!T17=0,0,SER_hh_emih!T17/SER_summary!T$26)</f>
        <v>0</v>
      </c>
      <c r="U17" s="132">
        <f>IF(SER_hh_emih!U17=0,0,SER_hh_emih!U17/SER_summary!U$26)</f>
        <v>0</v>
      </c>
      <c r="V17" s="132">
        <f>IF(SER_hh_emih!V17=0,0,SER_hh_emih!V17/SER_summary!V$26)</f>
        <v>0</v>
      </c>
      <c r="W17" s="132">
        <f>IF(SER_hh_emih!W17=0,0,SER_hh_emih!W17/SER_summary!W$26)</f>
        <v>0</v>
      </c>
      <c r="X17" s="132">
        <f>IF(SER_hh_emih!X17=0,0,SER_hh_emih!X17/SER_summary!X$26)</f>
        <v>0</v>
      </c>
      <c r="Y17" s="132">
        <f>IF(SER_hh_emih!Y17=0,0,SER_hh_emih!Y17/SER_summary!Y$26)</f>
        <v>0</v>
      </c>
      <c r="DA17" s="156" t="s">
        <v>553</v>
      </c>
    </row>
    <row r="18" spans="1:105" ht="12" customHeight="1" x14ac:dyDescent="0.25">
      <c r="A18" s="131" t="s">
        <v>72</v>
      </c>
      <c r="B18" s="132">
        <f>IF(SER_hh_emih!B18=0,0,SER_hh_emih!B18/SER_summary!B$26)</f>
        <v>0</v>
      </c>
      <c r="C18" s="132">
        <f>IF(SER_hh_emih!C18=0,0,SER_hh_emih!C18/SER_summary!C$26)</f>
        <v>0</v>
      </c>
      <c r="D18" s="132">
        <f>IF(SER_hh_emih!D18=0,0,SER_hh_emih!D18/SER_summary!D$26)</f>
        <v>0</v>
      </c>
      <c r="E18" s="132">
        <f>IF(SER_hh_emih!E18=0,0,SER_hh_emih!E18/SER_summary!E$26)</f>
        <v>0</v>
      </c>
      <c r="F18" s="132">
        <f>IF(SER_hh_emih!F18=0,0,SER_hh_emih!F18/SER_summary!F$26)</f>
        <v>0</v>
      </c>
      <c r="G18" s="132">
        <f>IF(SER_hh_emih!G18=0,0,SER_hh_emih!G18/SER_summary!G$26)</f>
        <v>0</v>
      </c>
      <c r="H18" s="132">
        <f>IF(SER_hh_emih!H18=0,0,SER_hh_emih!H18/SER_summary!H$26)</f>
        <v>0</v>
      </c>
      <c r="I18" s="132">
        <f>IF(SER_hh_emih!I18=0,0,SER_hh_emih!I18/SER_summary!I$26)</f>
        <v>0</v>
      </c>
      <c r="J18" s="132">
        <f>IF(SER_hh_emih!J18=0,0,SER_hh_emih!J18/SER_summary!J$26)</f>
        <v>0</v>
      </c>
      <c r="K18" s="132">
        <f>IF(SER_hh_emih!K18=0,0,SER_hh_emih!K18/SER_summary!K$26)</f>
        <v>0</v>
      </c>
      <c r="L18" s="132">
        <f>IF(SER_hh_emih!L18=0,0,SER_hh_emih!L18/SER_summary!L$26)</f>
        <v>0</v>
      </c>
      <c r="M18" s="132">
        <f>IF(SER_hh_emih!M18=0,0,SER_hh_emih!M18/SER_summary!M$26)</f>
        <v>0</v>
      </c>
      <c r="N18" s="132">
        <f>IF(SER_hh_emih!N18=0,0,SER_hh_emih!N18/SER_summary!N$26)</f>
        <v>0</v>
      </c>
      <c r="O18" s="132">
        <f>IF(SER_hh_emih!O18=0,0,SER_hh_emih!O18/SER_summary!O$26)</f>
        <v>0</v>
      </c>
      <c r="P18" s="132">
        <f>IF(SER_hh_emih!P18=0,0,SER_hh_emih!P18/SER_summary!P$26)</f>
        <v>0</v>
      </c>
      <c r="Q18" s="132">
        <f>IF(SER_hh_emih!Q18=0,0,SER_hh_emih!Q18/SER_summary!Q$26)</f>
        <v>0</v>
      </c>
      <c r="R18" s="132">
        <f>IF(SER_hh_emih!R18=0,0,SER_hh_emih!R18/SER_summary!R$26)</f>
        <v>0</v>
      </c>
      <c r="S18" s="132">
        <f>IF(SER_hh_emih!S18=0,0,SER_hh_emih!S18/SER_summary!S$26)</f>
        <v>0</v>
      </c>
      <c r="T18" s="132">
        <f>IF(SER_hh_emih!T18=0,0,SER_hh_emih!T18/SER_summary!T$26)</f>
        <v>0</v>
      </c>
      <c r="U18" s="132">
        <f>IF(SER_hh_emih!U18=0,0,SER_hh_emih!U18/SER_summary!U$26)</f>
        <v>0</v>
      </c>
      <c r="V18" s="132">
        <f>IF(SER_hh_emih!V18=0,0,SER_hh_emih!V18/SER_summary!V$26)</f>
        <v>0</v>
      </c>
      <c r="W18" s="132">
        <f>IF(SER_hh_emih!W18=0,0,SER_hh_emih!W18/SER_summary!W$26)</f>
        <v>0</v>
      </c>
      <c r="X18" s="132">
        <f>IF(SER_hh_emih!X18=0,0,SER_hh_emih!X18/SER_summary!X$26)</f>
        <v>0</v>
      </c>
      <c r="Y18" s="132">
        <f>IF(SER_hh_emih!Y18=0,0,SER_hh_emih!Y18/SER_summary!Y$26)</f>
        <v>0</v>
      </c>
      <c r="DA18" s="156" t="s">
        <v>554</v>
      </c>
    </row>
    <row r="19" spans="1:105" ht="12.95" customHeight="1" x14ac:dyDescent="0.25">
      <c r="A19" s="129" t="s">
        <v>35</v>
      </c>
      <c r="B19" s="130">
        <f>IF(SER_hh_emih!B19=0,0,SER_hh_emih!B19/SER_summary!B$26)</f>
        <v>0.79261591384255747</v>
      </c>
      <c r="C19" s="130">
        <f>IF(SER_hh_emih!C19=0,0,SER_hh_emih!C19/SER_summary!C$26)</f>
        <v>0.79945260209394431</v>
      </c>
      <c r="D19" s="130">
        <f>IF(SER_hh_emih!D19=0,0,SER_hh_emih!D19/SER_summary!D$26)</f>
        <v>0.81949140414494981</v>
      </c>
      <c r="E19" s="130">
        <f>IF(SER_hh_emih!E19=0,0,SER_hh_emih!E19/SER_summary!E$26)</f>
        <v>0.82429671094466939</v>
      </c>
      <c r="F19" s="130">
        <f>IF(SER_hh_emih!F19=0,0,SER_hh_emih!F19/SER_summary!F$26)</f>
        <v>0.81530929433293942</v>
      </c>
      <c r="G19" s="130">
        <f>IF(SER_hh_emih!G19=0,0,SER_hh_emih!G19/SER_summary!G$26)</f>
        <v>0.80538443122561532</v>
      </c>
      <c r="H19" s="130">
        <f>IF(SER_hh_emih!H19=0,0,SER_hh_emih!H19/SER_summary!H$26)</f>
        <v>0.80457857701901325</v>
      </c>
      <c r="I19" s="130">
        <f>IF(SER_hh_emih!I19=0,0,SER_hh_emih!I19/SER_summary!I$26)</f>
        <v>0.78986215014081529</v>
      </c>
      <c r="J19" s="130">
        <f>IF(SER_hh_emih!J19=0,0,SER_hh_emih!J19/SER_summary!J$26)</f>
        <v>0.80220194098794428</v>
      </c>
      <c r="K19" s="130">
        <f>IF(SER_hh_emih!K19=0,0,SER_hh_emih!K19/SER_summary!K$26)</f>
        <v>0.77487911043955993</v>
      </c>
      <c r="L19" s="130">
        <f>IF(SER_hh_emih!L19=0,0,SER_hh_emih!L19/SER_summary!L$26)</f>
        <v>0.82343838058316132</v>
      </c>
      <c r="M19" s="130">
        <f>IF(SER_hh_emih!M19=0,0,SER_hh_emih!M19/SER_summary!M$26)</f>
        <v>0.82566442959097985</v>
      </c>
      <c r="N19" s="130">
        <f>IF(SER_hh_emih!N19=0,0,SER_hh_emih!N19/SER_summary!N$26)</f>
        <v>0.79941291876796905</v>
      </c>
      <c r="O19" s="130">
        <f>IF(SER_hh_emih!O19=0,0,SER_hh_emih!O19/SER_summary!O$26)</f>
        <v>0.79169874573800114</v>
      </c>
      <c r="P19" s="130">
        <f>IF(SER_hh_emih!P19=0,0,SER_hh_emih!P19/SER_summary!P$26)</f>
        <v>0.75823680787270864</v>
      </c>
      <c r="Q19" s="130">
        <f>IF(SER_hh_emih!Q19=0,0,SER_hh_emih!Q19/SER_summary!Q$26)</f>
        <v>0.74671394303790983</v>
      </c>
      <c r="R19" s="130">
        <f>IF(SER_hh_emih!R19=0,0,SER_hh_emih!R19/SER_summary!R$26)</f>
        <v>0.74477081289870595</v>
      </c>
      <c r="S19" s="130">
        <f>IF(SER_hh_emih!S19=0,0,SER_hh_emih!S19/SER_summary!S$26)</f>
        <v>0.64835412768219969</v>
      </c>
      <c r="T19" s="130">
        <f>IF(SER_hh_emih!T19=0,0,SER_hh_emih!T19/SER_summary!T$26)</f>
        <v>0.55598596465902983</v>
      </c>
      <c r="U19" s="130">
        <f>IF(SER_hh_emih!U19=0,0,SER_hh_emih!U19/SER_summary!U$26)</f>
        <v>0.52436141667157377</v>
      </c>
      <c r="V19" s="130">
        <f>IF(SER_hh_emih!V19=0,0,SER_hh_emih!V19/SER_summary!V$26)</f>
        <v>0.45779816092659981</v>
      </c>
      <c r="W19" s="130">
        <f>IF(SER_hh_emih!W19=0,0,SER_hh_emih!W19/SER_summary!W$26)</f>
        <v>0.50355703121315876</v>
      </c>
      <c r="X19" s="130">
        <f>IF(SER_hh_emih!X19=0,0,SER_hh_emih!X19/SER_summary!X$26)</f>
        <v>0.48157852008727298</v>
      </c>
      <c r="Y19" s="130">
        <f>IF(SER_hh_emih!Y19=0,0,SER_hh_emih!Y19/SER_summary!Y$26)</f>
        <v>0.36354436200446821</v>
      </c>
      <c r="DA19" s="155" t="s">
        <v>555</v>
      </c>
    </row>
    <row r="20" spans="1:105" ht="12" customHeight="1" x14ac:dyDescent="0.25">
      <c r="A20" s="131" t="s">
        <v>29</v>
      </c>
      <c r="B20" s="132">
        <f>IF(SER_hh_emih!B20=0,0,SER_hh_emih!B20/SER_summary!B$26)</f>
        <v>0</v>
      </c>
      <c r="C20" s="132">
        <f>IF(SER_hh_emih!C20=0,0,SER_hh_emih!C20/SER_summary!C$26)</f>
        <v>0</v>
      </c>
      <c r="D20" s="132">
        <f>IF(SER_hh_emih!D20=0,0,SER_hh_emih!D20/SER_summary!D$26)</f>
        <v>0</v>
      </c>
      <c r="E20" s="132">
        <f>IF(SER_hh_emih!E20=0,0,SER_hh_emih!E20/SER_summary!E$26)</f>
        <v>0</v>
      </c>
      <c r="F20" s="132">
        <f>IF(SER_hh_emih!F20=0,0,SER_hh_emih!F20/SER_summary!F$26)</f>
        <v>0</v>
      </c>
      <c r="G20" s="132">
        <f>IF(SER_hh_emih!G20=0,0,SER_hh_emih!G20/SER_summary!G$26)</f>
        <v>0</v>
      </c>
      <c r="H20" s="132">
        <f>IF(SER_hh_emih!H20=0,0,SER_hh_emih!H20/SER_summary!H$26)</f>
        <v>0</v>
      </c>
      <c r="I20" s="132">
        <f>IF(SER_hh_emih!I20=0,0,SER_hh_emih!I20/SER_summary!I$26)</f>
        <v>0</v>
      </c>
      <c r="J20" s="132">
        <f>IF(SER_hh_emih!J20=0,0,SER_hh_emih!J20/SER_summary!J$26)</f>
        <v>0</v>
      </c>
      <c r="K20" s="132">
        <f>IF(SER_hh_emih!K20=0,0,SER_hh_emih!K20/SER_summary!K$26)</f>
        <v>0</v>
      </c>
      <c r="L20" s="132">
        <f>IF(SER_hh_emih!L20=0,0,SER_hh_emih!L20/SER_summary!L$26)</f>
        <v>0</v>
      </c>
      <c r="M20" s="132">
        <f>IF(SER_hh_emih!M20=0,0,SER_hh_emih!M20/SER_summary!M$26)</f>
        <v>0</v>
      </c>
      <c r="N20" s="132">
        <f>IF(SER_hh_emih!N20=0,0,SER_hh_emih!N20/SER_summary!N$26)</f>
        <v>0</v>
      </c>
      <c r="O20" s="132">
        <f>IF(SER_hh_emih!O20=0,0,SER_hh_emih!O20/SER_summary!O$26)</f>
        <v>0</v>
      </c>
      <c r="P20" s="132">
        <f>IF(SER_hh_emih!P20=0,0,SER_hh_emih!P20/SER_summary!P$26)</f>
        <v>0</v>
      </c>
      <c r="Q20" s="132">
        <f>IF(SER_hh_emih!Q20=0,0,SER_hh_emih!Q20/SER_summary!Q$26)</f>
        <v>0</v>
      </c>
      <c r="R20" s="132">
        <f>IF(SER_hh_emih!R20=0,0,SER_hh_emih!R20/SER_summary!R$26)</f>
        <v>0</v>
      </c>
      <c r="S20" s="132">
        <f>IF(SER_hh_emih!S20=0,0,SER_hh_emih!S20/SER_summary!S$26)</f>
        <v>0</v>
      </c>
      <c r="T20" s="132">
        <f>IF(SER_hh_emih!T20=0,0,SER_hh_emih!T20/SER_summary!T$26)</f>
        <v>0</v>
      </c>
      <c r="U20" s="132">
        <f>IF(SER_hh_emih!U20=0,0,SER_hh_emih!U20/SER_summary!U$26)</f>
        <v>0</v>
      </c>
      <c r="V20" s="132">
        <f>IF(SER_hh_emih!V20=0,0,SER_hh_emih!V20/SER_summary!V$26)</f>
        <v>0</v>
      </c>
      <c r="W20" s="132">
        <f>IF(SER_hh_emih!W20=0,0,SER_hh_emih!W20/SER_summary!W$26)</f>
        <v>0</v>
      </c>
      <c r="X20" s="132">
        <f>IF(SER_hh_emih!X20=0,0,SER_hh_emih!X20/SER_summary!X$26)</f>
        <v>0</v>
      </c>
      <c r="Y20" s="132">
        <f>IF(SER_hh_emih!Y20=0,0,SER_hh_emih!Y20/SER_summary!Y$26)</f>
        <v>0</v>
      </c>
      <c r="DA20" s="156" t="s">
        <v>556</v>
      </c>
    </row>
    <row r="21" spans="1:105" s="2" customFormat="1" ht="12" customHeight="1" x14ac:dyDescent="0.25">
      <c r="A21" s="131" t="s">
        <v>52</v>
      </c>
      <c r="B21" s="132">
        <f>IF(SER_hh_emih!B21=0,0,SER_hh_emih!B21/SER_summary!B$26)</f>
        <v>0</v>
      </c>
      <c r="C21" s="132">
        <f>IF(SER_hh_emih!C21=0,0,SER_hh_emih!C21/SER_summary!C$26)</f>
        <v>0</v>
      </c>
      <c r="D21" s="132">
        <f>IF(SER_hh_emih!D21=0,0,SER_hh_emih!D21/SER_summary!D$26)</f>
        <v>0</v>
      </c>
      <c r="E21" s="132">
        <f>IF(SER_hh_emih!E21=0,0,SER_hh_emih!E21/SER_summary!E$26)</f>
        <v>0</v>
      </c>
      <c r="F21" s="132">
        <f>IF(SER_hh_emih!F21=0,0,SER_hh_emih!F21/SER_summary!F$26)</f>
        <v>0</v>
      </c>
      <c r="G21" s="132">
        <f>IF(SER_hh_emih!G21=0,0,SER_hh_emih!G21/SER_summary!G$26)</f>
        <v>0</v>
      </c>
      <c r="H21" s="132">
        <f>IF(SER_hh_emih!H21=0,0,SER_hh_emih!H21/SER_summary!H$26)</f>
        <v>0</v>
      </c>
      <c r="I21" s="132">
        <f>IF(SER_hh_emih!I21=0,0,SER_hh_emih!I21/SER_summary!I$26)</f>
        <v>0</v>
      </c>
      <c r="J21" s="132">
        <f>IF(SER_hh_emih!J21=0,0,SER_hh_emih!J21/SER_summary!J$26)</f>
        <v>0</v>
      </c>
      <c r="K21" s="132">
        <f>IF(SER_hh_emih!K21=0,0,SER_hh_emih!K21/SER_summary!K$26)</f>
        <v>0</v>
      </c>
      <c r="L21" s="132">
        <f>IF(SER_hh_emih!L21=0,0,SER_hh_emih!L21/SER_summary!L$26)</f>
        <v>0</v>
      </c>
      <c r="M21" s="132">
        <f>IF(SER_hh_emih!M21=0,0,SER_hh_emih!M21/SER_summary!M$26)</f>
        <v>0</v>
      </c>
      <c r="N21" s="132">
        <f>IF(SER_hh_emih!N21=0,0,SER_hh_emih!N21/SER_summary!N$26)</f>
        <v>0</v>
      </c>
      <c r="O21" s="132">
        <f>IF(SER_hh_emih!O21=0,0,SER_hh_emih!O21/SER_summary!O$26)</f>
        <v>0</v>
      </c>
      <c r="P21" s="132">
        <f>IF(SER_hh_emih!P21=0,0,SER_hh_emih!P21/SER_summary!P$26)</f>
        <v>0</v>
      </c>
      <c r="Q21" s="132">
        <f>IF(SER_hh_emih!Q21=0,0,SER_hh_emih!Q21/SER_summary!Q$26)</f>
        <v>0</v>
      </c>
      <c r="R21" s="132">
        <f>IF(SER_hh_emih!R21=0,0,SER_hh_emih!R21/SER_summary!R$26)</f>
        <v>0</v>
      </c>
      <c r="S21" s="132">
        <f>IF(SER_hh_emih!S21=0,0,SER_hh_emih!S21/SER_summary!S$26)</f>
        <v>0</v>
      </c>
      <c r="T21" s="132">
        <f>IF(SER_hh_emih!T21=0,0,SER_hh_emih!T21/SER_summary!T$26)</f>
        <v>0</v>
      </c>
      <c r="U21" s="132">
        <f>IF(SER_hh_emih!U21=0,0,SER_hh_emih!U21/SER_summary!U$26)</f>
        <v>0</v>
      </c>
      <c r="V21" s="132">
        <f>IF(SER_hh_emih!V21=0,0,SER_hh_emih!V21/SER_summary!V$26)</f>
        <v>0</v>
      </c>
      <c r="W21" s="132">
        <f>IF(SER_hh_emih!W21=0,0,SER_hh_emih!W21/SER_summary!W$26)</f>
        <v>0</v>
      </c>
      <c r="X21" s="132">
        <f>IF(SER_hh_emih!X21=0,0,SER_hh_emih!X21/SER_summary!X$26)</f>
        <v>0</v>
      </c>
      <c r="Y21" s="132">
        <f>IF(SER_hh_emih!Y21=0,0,SER_hh_emih!Y21/SER_summary!Y$26)</f>
        <v>0</v>
      </c>
      <c r="DA21" s="156" t="s">
        <v>557</v>
      </c>
    </row>
    <row r="22" spans="1:105" ht="12" customHeight="1" x14ac:dyDescent="0.25">
      <c r="A22" s="131" t="s">
        <v>161</v>
      </c>
      <c r="B22" s="132">
        <f>IF(SER_hh_emih!B22=0,0,SER_hh_emih!B22/SER_summary!B$26)</f>
        <v>9.1803572484613127</v>
      </c>
      <c r="C22" s="132">
        <f>IF(SER_hh_emih!C22=0,0,SER_hh_emih!C22/SER_summary!C$26)</f>
        <v>9.1394621084236736</v>
      </c>
      <c r="D22" s="132">
        <f>IF(SER_hh_emih!D22=0,0,SER_hh_emih!D22/SER_summary!D$26)</f>
        <v>9.254134877754943</v>
      </c>
      <c r="E22" s="132">
        <f>IF(SER_hh_emih!E22=0,0,SER_hh_emih!E22/SER_summary!E$26)</f>
        <v>9.2683688848811272</v>
      </c>
      <c r="F22" s="132">
        <f>IF(SER_hh_emih!F22=0,0,SER_hh_emih!F22/SER_summary!F$26)</f>
        <v>9.2052562732951539</v>
      </c>
      <c r="G22" s="132">
        <f>IF(SER_hh_emih!G22=0,0,SER_hh_emih!G22/SER_summary!G$26)</f>
        <v>9.125185937016095</v>
      </c>
      <c r="H22" s="132">
        <f>IF(SER_hh_emih!H22=0,0,SER_hh_emih!H22/SER_summary!H$26)</f>
        <v>9.1942480533930926</v>
      </c>
      <c r="I22" s="132">
        <f>IF(SER_hh_emih!I22=0,0,SER_hh_emih!I22/SER_summary!I$26)</f>
        <v>9.1106091634365338</v>
      </c>
      <c r="J22" s="132">
        <f>IF(SER_hh_emih!J22=0,0,SER_hh_emih!J22/SER_summary!J$26)</f>
        <v>8.9760399674062281</v>
      </c>
      <c r="K22" s="132">
        <f>IF(SER_hh_emih!K22=0,0,SER_hh_emih!K22/SER_summary!K$26)</f>
        <v>8.7164102836251036</v>
      </c>
      <c r="L22" s="132">
        <f>IF(SER_hh_emih!L22=0,0,SER_hh_emih!L22/SER_summary!L$26)</f>
        <v>9.0918390417348256</v>
      </c>
      <c r="M22" s="132">
        <f>IF(SER_hh_emih!M22=0,0,SER_hh_emih!M22/SER_summary!M$26)</f>
        <v>9.0512426487227575</v>
      </c>
      <c r="N22" s="132">
        <f>IF(SER_hh_emih!N22=0,0,SER_hh_emih!N22/SER_summary!N$26)</f>
        <v>8.9999887941513528</v>
      </c>
      <c r="O22" s="132">
        <f>IF(SER_hh_emih!O22=0,0,SER_hh_emih!O22/SER_summary!O$26)</f>
        <v>9.1298658232799834</v>
      </c>
      <c r="P22" s="132">
        <f>IF(SER_hh_emih!P22=0,0,SER_hh_emih!P22/SER_summary!P$26)</f>
        <v>9.0147032423907465</v>
      </c>
      <c r="Q22" s="132">
        <f>IF(SER_hh_emih!Q22=0,0,SER_hh_emih!Q22/SER_summary!Q$26)</f>
        <v>9.1521140807584818</v>
      </c>
      <c r="R22" s="132">
        <f>IF(SER_hh_emih!R22=0,0,SER_hh_emih!R22/SER_summary!R$26)</f>
        <v>9.594242857457715</v>
      </c>
      <c r="S22" s="132">
        <f>IF(SER_hh_emih!S22=0,0,SER_hh_emih!S22/SER_summary!S$26)</f>
        <v>9.1727184216645696</v>
      </c>
      <c r="T22" s="132">
        <f>IF(SER_hh_emih!T22=0,0,SER_hh_emih!T22/SER_summary!T$26)</f>
        <v>8.7486783068606755</v>
      </c>
      <c r="U22" s="132">
        <f>IF(SER_hh_emih!U22=0,0,SER_hh_emih!U22/SER_summary!U$26)</f>
        <v>8.9023917995046045</v>
      </c>
      <c r="V22" s="132">
        <f>IF(SER_hh_emih!V22=0,0,SER_hh_emih!V22/SER_summary!V$26)</f>
        <v>8.0702969320579392</v>
      </c>
      <c r="W22" s="132">
        <f>IF(SER_hh_emih!W22=0,0,SER_hh_emih!W22/SER_summary!W$26)</f>
        <v>9.0813427733321852</v>
      </c>
      <c r="X22" s="132">
        <f>IF(SER_hh_emih!X22=0,0,SER_hh_emih!X22/SER_summary!X$26)</f>
        <v>8.3643705929861341</v>
      </c>
      <c r="Y22" s="132">
        <f>IF(SER_hh_emih!Y22=0,0,SER_hh_emih!Y22/SER_summary!Y$26)</f>
        <v>7.8460305103411869</v>
      </c>
      <c r="DA22" s="156" t="s">
        <v>558</v>
      </c>
    </row>
    <row r="23" spans="1:105" ht="12" customHeight="1" x14ac:dyDescent="0.25">
      <c r="A23" s="131" t="s">
        <v>149</v>
      </c>
      <c r="B23" s="132">
        <f>IF(SER_hh_emih!B23=0,0,SER_hh_emih!B23/SER_summary!B$26)</f>
        <v>5.0349142198530359</v>
      </c>
      <c r="C23" s="132">
        <f>IF(SER_hh_emih!C23=0,0,SER_hh_emih!C23/SER_summary!C$26)</f>
        <v>5.4055996981149761</v>
      </c>
      <c r="D23" s="132">
        <f>IF(SER_hh_emih!D23=0,0,SER_hh_emih!D23/SER_summary!D$26)</f>
        <v>5.1699038933905319</v>
      </c>
      <c r="E23" s="132">
        <f>IF(SER_hh_emih!E23=0,0,SER_hh_emih!E23/SER_summary!E$26)</f>
        <v>4.9177866153556167</v>
      </c>
      <c r="F23" s="132">
        <f>IF(SER_hh_emih!F23=0,0,SER_hh_emih!F23/SER_summary!F$26)</f>
        <v>4.7485164903486821</v>
      </c>
      <c r="G23" s="132">
        <f>IF(SER_hh_emih!G23=0,0,SER_hh_emih!G23/SER_summary!G$26)</f>
        <v>4.8748637160041648</v>
      </c>
      <c r="H23" s="132">
        <f>IF(SER_hh_emih!H23=0,0,SER_hh_emih!H23/SER_summary!H$26)</f>
        <v>4.7394108752734825</v>
      </c>
      <c r="I23" s="132">
        <f>IF(SER_hh_emih!I23=0,0,SER_hh_emih!I23/SER_summary!I$26)</f>
        <v>4.6335531484056025</v>
      </c>
      <c r="J23" s="132">
        <f>IF(SER_hh_emih!J23=0,0,SER_hh_emih!J23/SER_summary!J$26)</f>
        <v>4.6008133378418128</v>
      </c>
      <c r="K23" s="132">
        <f>IF(SER_hh_emih!K23=0,0,SER_hh_emih!K23/SER_summary!K$26)</f>
        <v>4.5959666228188425</v>
      </c>
      <c r="L23" s="132">
        <f>IF(SER_hh_emih!L23=0,0,SER_hh_emih!L23/SER_summary!L$26)</f>
        <v>4.6285208971499854</v>
      </c>
      <c r="M23" s="132">
        <f>IF(SER_hh_emih!M23=0,0,SER_hh_emih!M23/SER_summary!M$26)</f>
        <v>4.5588244719880819</v>
      </c>
      <c r="N23" s="132">
        <f>IF(SER_hh_emih!N23=0,0,SER_hh_emih!N23/SER_summary!N$26)</f>
        <v>3.795317669924493</v>
      </c>
      <c r="O23" s="132">
        <f>IF(SER_hh_emih!O23=0,0,SER_hh_emih!O23/SER_summary!O$26)</f>
        <v>4.3892183146798862</v>
      </c>
      <c r="P23" s="132">
        <f>IF(SER_hh_emih!P23=0,0,SER_hh_emih!P23/SER_summary!P$26)</f>
        <v>4.1321713452091844</v>
      </c>
      <c r="Q23" s="132">
        <f>IF(SER_hh_emih!Q23=0,0,SER_hh_emih!Q23/SER_summary!Q$26)</f>
        <v>4.2943499305662449</v>
      </c>
      <c r="R23" s="132">
        <f>IF(SER_hh_emih!R23=0,0,SER_hh_emih!R23/SER_summary!R$26)</f>
        <v>4.2615437793779671</v>
      </c>
      <c r="S23" s="132">
        <f>IF(SER_hh_emih!S23=0,0,SER_hh_emih!S23/SER_summary!S$26)</f>
        <v>4.0089176846403118</v>
      </c>
      <c r="T23" s="132">
        <f>IF(SER_hh_emih!T23=0,0,SER_hh_emih!T23/SER_summary!T$26)</f>
        <v>3.4188258100501434</v>
      </c>
      <c r="U23" s="132">
        <f>IF(SER_hh_emih!U23=0,0,SER_hh_emih!U23/SER_summary!U$26)</f>
        <v>3.4990585469360096</v>
      </c>
      <c r="V23" s="132">
        <f>IF(SER_hh_emih!V23=0,0,SER_hh_emih!V23/SER_summary!V$26)</f>
        <v>3.2172740693811144</v>
      </c>
      <c r="W23" s="132">
        <f>IF(SER_hh_emih!W23=0,0,SER_hh_emih!W23/SER_summary!W$26)</f>
        <v>4.0991508711445794</v>
      </c>
      <c r="X23" s="132">
        <f>IF(SER_hh_emih!X23=0,0,SER_hh_emih!X23/SER_summary!X$26)</f>
        <v>3.4361561200322148</v>
      </c>
      <c r="Y23" s="132">
        <f>IF(SER_hh_emih!Y23=0,0,SER_hh_emih!Y23/SER_summary!Y$26)</f>
        <v>2.1864407051995354</v>
      </c>
      <c r="DA23" s="156" t="s">
        <v>559</v>
      </c>
    </row>
    <row r="24" spans="1:105" ht="12" customHeight="1" x14ac:dyDescent="0.25">
      <c r="A24" s="131" t="s">
        <v>128</v>
      </c>
      <c r="B24" s="132">
        <f>IF(SER_hh_emih!B24=0,0,SER_hh_emih!B24/SER_summary!B$26)</f>
        <v>0</v>
      </c>
      <c r="C24" s="132">
        <f>IF(SER_hh_emih!C24=0,0,SER_hh_emih!C24/SER_summary!C$26)</f>
        <v>0</v>
      </c>
      <c r="D24" s="132">
        <f>IF(SER_hh_emih!D24=0,0,SER_hh_emih!D24/SER_summary!D$26)</f>
        <v>0</v>
      </c>
      <c r="E24" s="132">
        <f>IF(SER_hh_emih!E24=0,0,SER_hh_emih!E24/SER_summary!E$26)</f>
        <v>0</v>
      </c>
      <c r="F24" s="132">
        <f>IF(SER_hh_emih!F24=0,0,SER_hh_emih!F24/SER_summary!F$26)</f>
        <v>0</v>
      </c>
      <c r="G24" s="132">
        <f>IF(SER_hh_emih!G24=0,0,SER_hh_emih!G24/SER_summary!G$26)</f>
        <v>0</v>
      </c>
      <c r="H24" s="132">
        <f>IF(SER_hh_emih!H24=0,0,SER_hh_emih!H24/SER_summary!H$26)</f>
        <v>0</v>
      </c>
      <c r="I24" s="132">
        <f>IF(SER_hh_emih!I24=0,0,SER_hh_emih!I24/SER_summary!I$26)</f>
        <v>0</v>
      </c>
      <c r="J24" s="132">
        <f>IF(SER_hh_emih!J24=0,0,SER_hh_emih!J24/SER_summary!J$26)</f>
        <v>0.84185491419348113</v>
      </c>
      <c r="K24" s="132">
        <f>IF(SER_hh_emih!K24=0,0,SER_hh_emih!K24/SER_summary!K$26)</f>
        <v>0.27370903067176239</v>
      </c>
      <c r="L24" s="132">
        <f>IF(SER_hh_emih!L24=0,0,SER_hh_emih!L24/SER_summary!L$26)</f>
        <v>0.31066809458851902</v>
      </c>
      <c r="M24" s="132">
        <f>IF(SER_hh_emih!M24=0,0,SER_hh_emih!M24/SER_summary!M$26)</f>
        <v>0.39703033671039994</v>
      </c>
      <c r="N24" s="132">
        <f>IF(SER_hh_emih!N24=0,0,SER_hh_emih!N24/SER_summary!N$26)</f>
        <v>0.27078559117240325</v>
      </c>
      <c r="O24" s="132">
        <f>IF(SER_hh_emih!O24=0,0,SER_hh_emih!O24/SER_summary!O$26)</f>
        <v>8.51329910388329E-2</v>
      </c>
      <c r="P24" s="132">
        <f>IF(SER_hh_emih!P24=0,0,SER_hh_emih!P24/SER_summary!P$26)</f>
        <v>0.18657172197196983</v>
      </c>
      <c r="Q24" s="132">
        <f>IF(SER_hh_emih!Q24=0,0,SER_hh_emih!Q24/SER_summary!Q$26)</f>
        <v>0.20581429099727433</v>
      </c>
      <c r="R24" s="132">
        <f>IF(SER_hh_emih!R24=0,0,SER_hh_emih!R24/SER_summary!R$26)</f>
        <v>0.22422416440895113</v>
      </c>
      <c r="S24" s="132">
        <f>IF(SER_hh_emih!S24=0,0,SER_hh_emih!S24/SER_summary!S$26)</f>
        <v>0.19764864520762893</v>
      </c>
      <c r="T24" s="132">
        <f>IF(SER_hh_emih!T24=0,0,SER_hh_emih!T24/SER_summary!T$26)</f>
        <v>0.23255533332088241</v>
      </c>
      <c r="U24" s="132">
        <f>IF(SER_hh_emih!U24=0,0,SER_hh_emih!U24/SER_summary!U$26)</f>
        <v>0.17149450507735209</v>
      </c>
      <c r="V24" s="132">
        <f>IF(SER_hh_emih!V24=0,0,SER_hh_emih!V24/SER_summary!V$26)</f>
        <v>0.2052216290608288</v>
      </c>
      <c r="W24" s="132">
        <f>IF(SER_hh_emih!W24=0,0,SER_hh_emih!W24/SER_summary!W$26)</f>
        <v>0.24875611908601081</v>
      </c>
      <c r="X24" s="132">
        <f>IF(SER_hh_emih!X24=0,0,SER_hh_emih!X24/SER_summary!X$26)</f>
        <v>1.711273078356438</v>
      </c>
      <c r="Y24" s="132">
        <f>IF(SER_hh_emih!Y24=0,0,SER_hh_emih!Y24/SER_summary!Y$26)</f>
        <v>0.18955644208006012</v>
      </c>
      <c r="DA24" s="156" t="s">
        <v>560</v>
      </c>
    </row>
    <row r="25" spans="1:105" ht="12" customHeight="1" x14ac:dyDescent="0.25">
      <c r="A25" s="131" t="s">
        <v>162</v>
      </c>
      <c r="B25" s="132">
        <f>IF(SER_hh_emih!B25=0,0,SER_hh_emih!B25/SER_summary!B$26)</f>
        <v>0</v>
      </c>
      <c r="C25" s="132">
        <f>IF(SER_hh_emih!C25=0,0,SER_hh_emih!C25/SER_summary!C$26)</f>
        <v>0</v>
      </c>
      <c r="D25" s="132">
        <f>IF(SER_hh_emih!D25=0,0,SER_hh_emih!D25/SER_summary!D$26)</f>
        <v>0</v>
      </c>
      <c r="E25" s="132">
        <f>IF(SER_hh_emih!E25=0,0,SER_hh_emih!E25/SER_summary!E$26)</f>
        <v>0</v>
      </c>
      <c r="F25" s="132">
        <f>IF(SER_hh_emih!F25=0,0,SER_hh_emih!F25/SER_summary!F$26)</f>
        <v>0</v>
      </c>
      <c r="G25" s="132">
        <f>IF(SER_hh_emih!G25=0,0,SER_hh_emih!G25/SER_summary!G$26)</f>
        <v>0</v>
      </c>
      <c r="H25" s="132">
        <f>IF(SER_hh_emih!H25=0,0,SER_hh_emih!H25/SER_summary!H$26)</f>
        <v>0</v>
      </c>
      <c r="I25" s="132">
        <f>IF(SER_hh_emih!I25=0,0,SER_hh_emih!I25/SER_summary!I$26)</f>
        <v>0</v>
      </c>
      <c r="J25" s="132">
        <f>IF(SER_hh_emih!J25=0,0,SER_hh_emih!J25/SER_summary!J$26)</f>
        <v>0</v>
      </c>
      <c r="K25" s="132">
        <f>IF(SER_hh_emih!K25=0,0,SER_hh_emih!K25/SER_summary!K$26)</f>
        <v>0</v>
      </c>
      <c r="L25" s="132">
        <f>IF(SER_hh_emih!L25=0,0,SER_hh_emih!L25/SER_summary!L$26)</f>
        <v>0</v>
      </c>
      <c r="M25" s="132">
        <f>IF(SER_hh_emih!M25=0,0,SER_hh_emih!M25/SER_summary!M$26)</f>
        <v>0</v>
      </c>
      <c r="N25" s="132">
        <f>IF(SER_hh_emih!N25=0,0,SER_hh_emih!N25/SER_summary!N$26)</f>
        <v>0</v>
      </c>
      <c r="O25" s="132">
        <f>IF(SER_hh_emih!O25=0,0,SER_hh_emih!O25/SER_summary!O$26)</f>
        <v>0</v>
      </c>
      <c r="P25" s="132">
        <f>IF(SER_hh_emih!P25=0,0,SER_hh_emih!P25/SER_summary!P$26)</f>
        <v>0</v>
      </c>
      <c r="Q25" s="132">
        <f>IF(SER_hh_emih!Q25=0,0,SER_hh_emih!Q25/SER_summary!Q$26)</f>
        <v>0</v>
      </c>
      <c r="R25" s="132">
        <f>IF(SER_hh_emih!R25=0,0,SER_hh_emih!R25/SER_summary!R$26)</f>
        <v>0</v>
      </c>
      <c r="S25" s="132">
        <f>IF(SER_hh_emih!S25=0,0,SER_hh_emih!S25/SER_summary!S$26)</f>
        <v>0</v>
      </c>
      <c r="T25" s="132">
        <f>IF(SER_hh_emih!T25=0,0,SER_hh_emih!T25/SER_summary!T$26)</f>
        <v>0</v>
      </c>
      <c r="U25" s="132">
        <f>IF(SER_hh_emih!U25=0,0,SER_hh_emih!U25/SER_summary!U$26)</f>
        <v>0</v>
      </c>
      <c r="V25" s="132">
        <f>IF(SER_hh_emih!V25=0,0,SER_hh_emih!V25/SER_summary!V$26)</f>
        <v>0</v>
      </c>
      <c r="W25" s="132">
        <f>IF(SER_hh_emih!W25=0,0,SER_hh_emih!W25/SER_summary!W$26)</f>
        <v>0</v>
      </c>
      <c r="X25" s="132">
        <f>IF(SER_hh_emih!X25=0,0,SER_hh_emih!X25/SER_summary!X$26)</f>
        <v>0</v>
      </c>
      <c r="Y25" s="132">
        <f>IF(SER_hh_emih!Y25=0,0,SER_hh_emih!Y25/SER_summary!Y$26)</f>
        <v>0</v>
      </c>
      <c r="DA25" s="156" t="s">
        <v>561</v>
      </c>
    </row>
    <row r="26" spans="1:105" ht="12" customHeight="1" x14ac:dyDescent="0.25">
      <c r="A26" s="131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X26" s="65">
        <f>IF(SER_hh_emih!X26=0,0,SER_hh_emih!X26/SER_summary!X$26)</f>
        <v>0</v>
      </c>
      <c r="Y26" s="65">
        <f>IF(SER_hh_emih!Y26=0,0,SER_hh_emih!Y26/SER_summary!Y$26)</f>
        <v>0</v>
      </c>
      <c r="DA26" s="109" t="s">
        <v>562</v>
      </c>
    </row>
    <row r="27" spans="1:105" ht="12" customHeight="1" x14ac:dyDescent="0.25">
      <c r="A27" s="144" t="s">
        <v>86</v>
      </c>
      <c r="B27" s="145">
        <f>IF(SER_hh_emih!B27=0,0,SER_hh_emih!B27/SER_summary!B$26)</f>
        <v>0</v>
      </c>
      <c r="C27" s="145">
        <f>IF(SER_hh_emih!C27=0,0,SER_hh_emih!C27/SER_summary!C$26)</f>
        <v>0</v>
      </c>
      <c r="D27" s="145">
        <f>IF(SER_hh_emih!D27=0,0,SER_hh_emih!D27/SER_summary!D$26)</f>
        <v>0</v>
      </c>
      <c r="E27" s="145">
        <f>IF(SER_hh_emih!E27=0,0,SER_hh_emih!E27/SER_summary!E$26)</f>
        <v>0</v>
      </c>
      <c r="F27" s="145">
        <f>IF(SER_hh_emih!F27=0,0,SER_hh_emih!F27/SER_summary!F$26)</f>
        <v>0</v>
      </c>
      <c r="G27" s="145">
        <f>IF(SER_hh_emih!G27=0,0,SER_hh_emih!G27/SER_summary!G$26)</f>
        <v>0</v>
      </c>
      <c r="H27" s="145">
        <f>IF(SER_hh_emih!H27=0,0,SER_hh_emih!H27/SER_summary!H$26)</f>
        <v>0</v>
      </c>
      <c r="I27" s="145">
        <f>IF(SER_hh_emih!I27=0,0,SER_hh_emih!I27/SER_summary!I$26)</f>
        <v>0</v>
      </c>
      <c r="J27" s="145">
        <f>IF(SER_hh_emih!J27=0,0,SER_hh_emih!J27/SER_summary!J$26)</f>
        <v>0</v>
      </c>
      <c r="K27" s="145">
        <f>IF(SER_hh_emih!K27=0,0,SER_hh_emih!K27/SER_summary!K$26)</f>
        <v>0</v>
      </c>
      <c r="L27" s="145">
        <f>IF(SER_hh_emih!L27=0,0,SER_hh_emih!L27/SER_summary!L$26)</f>
        <v>0</v>
      </c>
      <c r="M27" s="145">
        <f>IF(SER_hh_emih!M27=0,0,SER_hh_emih!M27/SER_summary!M$26)</f>
        <v>0</v>
      </c>
      <c r="N27" s="145">
        <f>IF(SER_hh_emih!N27=0,0,SER_hh_emih!N27/SER_summary!N$26)</f>
        <v>0</v>
      </c>
      <c r="O27" s="145">
        <f>IF(SER_hh_emih!O27=0,0,SER_hh_emih!O27/SER_summary!O$26)</f>
        <v>0</v>
      </c>
      <c r="P27" s="145">
        <f>IF(SER_hh_emih!P27=0,0,SER_hh_emih!P27/SER_summary!P$26)</f>
        <v>0</v>
      </c>
      <c r="Q27" s="145">
        <f>IF(SER_hh_emih!Q27=0,0,SER_hh_emih!Q27/SER_summary!Q$26)</f>
        <v>0</v>
      </c>
      <c r="R27" s="145">
        <f>IF(SER_hh_emih!R27=0,0,SER_hh_emih!R27/SER_summary!R$26)</f>
        <v>0</v>
      </c>
      <c r="S27" s="145">
        <f>IF(SER_hh_emih!S27=0,0,SER_hh_emih!S27/SER_summary!S$26)</f>
        <v>0</v>
      </c>
      <c r="T27" s="145">
        <f>IF(SER_hh_emih!T27=0,0,SER_hh_emih!T27/SER_summary!T$26)</f>
        <v>0</v>
      </c>
      <c r="U27" s="145">
        <f>IF(SER_hh_emih!U27=0,0,SER_hh_emih!U27/SER_summary!U$26)</f>
        <v>0</v>
      </c>
      <c r="V27" s="145">
        <f>IF(SER_hh_emih!V27=0,0,SER_hh_emih!V27/SER_summary!V$26)</f>
        <v>0</v>
      </c>
      <c r="W27" s="145">
        <f>IF(SER_hh_emih!W27=0,0,SER_hh_emih!W27/SER_summary!W$26)</f>
        <v>0</v>
      </c>
      <c r="X27" s="145">
        <f>IF(SER_hh_emih!X27=0,0,SER_hh_emih!X27/SER_summary!X$26)</f>
        <v>0</v>
      </c>
      <c r="Y27" s="145">
        <f>IF(SER_hh_emih!Y27=0,0,SER_hh_emih!Y27/SER_summary!Y$26)</f>
        <v>0</v>
      </c>
      <c r="DA27" s="158" t="s">
        <v>563</v>
      </c>
    </row>
    <row r="28" spans="1:105" ht="12" customHeight="1" x14ac:dyDescent="0.25">
      <c r="A28" s="78" t="s">
        <v>85</v>
      </c>
      <c r="B28" s="146">
        <f>IF(SER_hh_emih!B28=0,0,SER_hh_emih!B28/SER_summary!B$26)</f>
        <v>0</v>
      </c>
      <c r="C28" s="146">
        <f>IF(SER_hh_emih!C28=0,0,SER_hh_emih!C28/SER_summary!C$26)</f>
        <v>0</v>
      </c>
      <c r="D28" s="146">
        <f>IF(SER_hh_emih!D28=0,0,SER_hh_emih!D28/SER_summary!D$26)</f>
        <v>0</v>
      </c>
      <c r="E28" s="146">
        <f>IF(SER_hh_emih!E28=0,0,SER_hh_emih!E28/SER_summary!E$26)</f>
        <v>0</v>
      </c>
      <c r="F28" s="146">
        <f>IF(SER_hh_emih!F28=0,0,SER_hh_emih!F28/SER_summary!F$26)</f>
        <v>0</v>
      </c>
      <c r="G28" s="146">
        <f>IF(SER_hh_emih!G28=0,0,SER_hh_emih!G28/SER_summary!G$26)</f>
        <v>0</v>
      </c>
      <c r="H28" s="146">
        <f>IF(SER_hh_emih!H28=0,0,SER_hh_emih!H28/SER_summary!H$26)</f>
        <v>0</v>
      </c>
      <c r="I28" s="146">
        <f>IF(SER_hh_emih!I28=0,0,SER_hh_emih!I28/SER_summary!I$26)</f>
        <v>0</v>
      </c>
      <c r="J28" s="146">
        <f>IF(SER_hh_emih!J28=0,0,SER_hh_emih!J28/SER_summary!J$26)</f>
        <v>0</v>
      </c>
      <c r="K28" s="146">
        <f>IF(SER_hh_emih!K28=0,0,SER_hh_emih!K28/SER_summary!K$26)</f>
        <v>0</v>
      </c>
      <c r="L28" s="146">
        <f>IF(SER_hh_emih!L28=0,0,SER_hh_emih!L28/SER_summary!L$26)</f>
        <v>0</v>
      </c>
      <c r="M28" s="146">
        <f>IF(SER_hh_emih!M28=0,0,SER_hh_emih!M28/SER_summary!M$26)</f>
        <v>0</v>
      </c>
      <c r="N28" s="146">
        <f>IF(SER_hh_emih!N28=0,0,SER_hh_emih!N28/SER_summary!N$26)</f>
        <v>0</v>
      </c>
      <c r="O28" s="146">
        <f>IF(SER_hh_emih!O28=0,0,SER_hh_emih!O28/SER_summary!O$26)</f>
        <v>0</v>
      </c>
      <c r="P28" s="146">
        <f>IF(SER_hh_emih!P28=0,0,SER_hh_emih!P28/SER_summary!P$26)</f>
        <v>0</v>
      </c>
      <c r="Q28" s="146">
        <f>IF(SER_hh_emih!Q28=0,0,SER_hh_emih!Q28/SER_summary!Q$26)</f>
        <v>0</v>
      </c>
      <c r="R28" s="146">
        <f>IF(SER_hh_emih!R28=0,0,SER_hh_emih!R28/SER_summary!R$26)</f>
        <v>0</v>
      </c>
      <c r="S28" s="146">
        <f>IF(SER_hh_emih!S28=0,0,SER_hh_emih!S28/SER_summary!S$26)</f>
        <v>0</v>
      </c>
      <c r="T28" s="146">
        <f>IF(SER_hh_emih!T28=0,0,SER_hh_emih!T28/SER_summary!T$26)</f>
        <v>0</v>
      </c>
      <c r="U28" s="146">
        <f>IF(SER_hh_emih!U28=0,0,SER_hh_emih!U28/SER_summary!U$26)</f>
        <v>0</v>
      </c>
      <c r="V28" s="146">
        <f>IF(SER_hh_emih!V28=0,0,SER_hh_emih!V28/SER_summary!V$26)</f>
        <v>0</v>
      </c>
      <c r="W28" s="146">
        <f>IF(SER_hh_emih!W28=0,0,SER_hh_emih!W28/SER_summary!W$26)</f>
        <v>0</v>
      </c>
      <c r="X28" s="146">
        <f>IF(SER_hh_emih!X28=0,0,SER_hh_emih!X28/SER_summary!X$26)</f>
        <v>0</v>
      </c>
      <c r="Y28" s="146">
        <f>IF(SER_hh_emih!Y28=0,0,SER_hh_emih!Y28/SER_summary!Y$26)</f>
        <v>0</v>
      </c>
      <c r="DA28" s="159"/>
    </row>
    <row r="29" spans="1:105" ht="12.95" customHeight="1" x14ac:dyDescent="0.25">
      <c r="A29" s="129" t="s">
        <v>34</v>
      </c>
      <c r="B29" s="130">
        <f>IF(SER_hh_emih!B29=0,0,SER_hh_emih!B29/SER_summary!B$26)</f>
        <v>9.1700116064101528E-2</v>
      </c>
      <c r="C29" s="130">
        <f>IF(SER_hh_emih!C29=0,0,SER_hh_emih!C29/SER_summary!C$26)</f>
        <v>9.8359015079577256E-2</v>
      </c>
      <c r="D29" s="130">
        <f>IF(SER_hh_emih!D29=0,0,SER_hh_emih!D29/SER_summary!D$26)</f>
        <v>9.6089616240385686E-2</v>
      </c>
      <c r="E29" s="130">
        <f>IF(SER_hh_emih!E29=0,0,SER_hh_emih!E29/SER_summary!E$26)</f>
        <v>9.302107124126624E-2</v>
      </c>
      <c r="F29" s="130">
        <f>IF(SER_hh_emih!F29=0,0,SER_hh_emih!F29/SER_summary!F$26)</f>
        <v>8.9846300201467333E-2</v>
      </c>
      <c r="G29" s="130">
        <f>IF(SER_hh_emih!G29=0,0,SER_hh_emih!G29/SER_summary!G$26)</f>
        <v>9.1296874753575397E-2</v>
      </c>
      <c r="H29" s="130">
        <f>IF(SER_hh_emih!H29=0,0,SER_hh_emih!H29/SER_summary!H$26)</f>
        <v>9.0879640987444735E-2</v>
      </c>
      <c r="I29" s="130">
        <f>IF(SER_hh_emih!I29=0,0,SER_hh_emih!I29/SER_summary!I$26)</f>
        <v>8.686329044521969E-2</v>
      </c>
      <c r="J29" s="130">
        <f>IF(SER_hh_emih!J29=0,0,SER_hh_emih!J29/SER_summary!J$26)</f>
        <v>8.4185356162928354E-2</v>
      </c>
      <c r="K29" s="130">
        <f>IF(SER_hh_emih!K29=0,0,SER_hh_emih!K29/SER_summary!K$26)</f>
        <v>7.9312940287668415E-2</v>
      </c>
      <c r="L29" s="130">
        <f>IF(SER_hh_emih!L29=0,0,SER_hh_emih!L29/SER_summary!L$26)</f>
        <v>7.6059684893228841E-2</v>
      </c>
      <c r="M29" s="130">
        <f>IF(SER_hh_emih!M29=0,0,SER_hh_emih!M29/SER_summary!M$26)</f>
        <v>6.8421756463643818E-2</v>
      </c>
      <c r="N29" s="130">
        <f>IF(SER_hh_emih!N29=0,0,SER_hh_emih!N29/SER_summary!N$26)</f>
        <v>5.5590746596114009E-2</v>
      </c>
      <c r="O29" s="130">
        <f>IF(SER_hh_emih!O29=0,0,SER_hh_emih!O29/SER_summary!O$26)</f>
        <v>6.4160144779990866E-2</v>
      </c>
      <c r="P29" s="130">
        <f>IF(SER_hh_emih!P29=0,0,SER_hh_emih!P29/SER_summary!P$26)</f>
        <v>5.7517667822470031E-2</v>
      </c>
      <c r="Q29" s="130">
        <f>IF(SER_hh_emih!Q29=0,0,SER_hh_emih!Q29/SER_summary!Q$26)</f>
        <v>5.8843699094902002E-2</v>
      </c>
      <c r="R29" s="130">
        <f>IF(SER_hh_emih!R29=0,0,SER_hh_emih!R29/SER_summary!R$26)</f>
        <v>5.7454607399396583E-2</v>
      </c>
      <c r="S29" s="130">
        <f>IF(SER_hh_emih!S29=0,0,SER_hh_emih!S29/SER_summary!S$26)</f>
        <v>5.2541284386516299E-2</v>
      </c>
      <c r="T29" s="130">
        <f>IF(SER_hh_emih!T29=0,0,SER_hh_emih!T29/SER_summary!T$26)</f>
        <v>4.3429370522608368E-2</v>
      </c>
      <c r="U29" s="130">
        <f>IF(SER_hh_emih!U29=0,0,SER_hh_emih!U29/SER_summary!U$26)</f>
        <v>4.4020144706838467E-2</v>
      </c>
      <c r="V29" s="130">
        <f>IF(SER_hh_emih!V29=0,0,SER_hh_emih!V29/SER_summary!V$26)</f>
        <v>4.0945320702256045E-2</v>
      </c>
      <c r="W29" s="130">
        <f>IF(SER_hh_emih!W29=0,0,SER_hh_emih!W29/SER_summary!W$26)</f>
        <v>5.3278555245677227E-2</v>
      </c>
      <c r="X29" s="130">
        <f>IF(SER_hh_emih!X29=0,0,SER_hh_emih!X29/SER_summary!X$26)</f>
        <v>4.1963888939332047E-2</v>
      </c>
      <c r="Y29" s="130">
        <f>IF(SER_hh_emih!Y29=0,0,SER_hh_emih!Y29/SER_summary!Y$26)</f>
        <v>2.3022762204220306E-2</v>
      </c>
      <c r="DA29" s="155" t="s">
        <v>564</v>
      </c>
    </row>
    <row r="30" spans="1:105" ht="12" customHeight="1" x14ac:dyDescent="0.25">
      <c r="A30" s="131" t="s">
        <v>52</v>
      </c>
      <c r="B30" s="132">
        <f>IF(SER_hh_emih!B30=0,0,SER_hh_emih!B30/SER_summary!B$26)</f>
        <v>0</v>
      </c>
      <c r="C30" s="132">
        <f>IF(SER_hh_emih!C30=0,0,SER_hh_emih!C30/SER_summary!C$26)</f>
        <v>0</v>
      </c>
      <c r="D30" s="132">
        <f>IF(SER_hh_emih!D30=0,0,SER_hh_emih!D30/SER_summary!D$26)</f>
        <v>0</v>
      </c>
      <c r="E30" s="132">
        <f>IF(SER_hh_emih!E30=0,0,SER_hh_emih!E30/SER_summary!E$26)</f>
        <v>0</v>
      </c>
      <c r="F30" s="132">
        <f>IF(SER_hh_emih!F30=0,0,SER_hh_emih!F30/SER_summary!F$26)</f>
        <v>0</v>
      </c>
      <c r="G30" s="132">
        <f>IF(SER_hh_emih!G30=0,0,SER_hh_emih!G30/SER_summary!G$26)</f>
        <v>0</v>
      </c>
      <c r="H30" s="132">
        <f>IF(SER_hh_emih!H30=0,0,SER_hh_emih!H30/SER_summary!H$26)</f>
        <v>0</v>
      </c>
      <c r="I30" s="132">
        <f>IF(SER_hh_emih!I30=0,0,SER_hh_emih!I30/SER_summary!I$26)</f>
        <v>0</v>
      </c>
      <c r="J30" s="132">
        <f>IF(SER_hh_emih!J30=0,0,SER_hh_emih!J30/SER_summary!J$26)</f>
        <v>0</v>
      </c>
      <c r="K30" s="132">
        <f>IF(SER_hh_emih!K30=0,0,SER_hh_emih!K30/SER_summary!K$26)</f>
        <v>0</v>
      </c>
      <c r="L30" s="132">
        <f>IF(SER_hh_emih!L30=0,0,SER_hh_emih!L30/SER_summary!L$26)</f>
        <v>0</v>
      </c>
      <c r="M30" s="132">
        <f>IF(SER_hh_emih!M30=0,0,SER_hh_emih!M30/SER_summary!M$26)</f>
        <v>0</v>
      </c>
      <c r="N30" s="132">
        <f>IF(SER_hh_emih!N30=0,0,SER_hh_emih!N30/SER_summary!N$26)</f>
        <v>0</v>
      </c>
      <c r="O30" s="132">
        <f>IF(SER_hh_emih!O30=0,0,SER_hh_emih!O30/SER_summary!O$26)</f>
        <v>0</v>
      </c>
      <c r="P30" s="132">
        <f>IF(SER_hh_emih!P30=0,0,SER_hh_emih!P30/SER_summary!P$26)</f>
        <v>0</v>
      </c>
      <c r="Q30" s="132">
        <f>IF(SER_hh_emih!Q30=0,0,SER_hh_emih!Q30/SER_summary!Q$26)</f>
        <v>0</v>
      </c>
      <c r="R30" s="132">
        <f>IF(SER_hh_emih!R30=0,0,SER_hh_emih!R30/SER_summary!R$26)</f>
        <v>0</v>
      </c>
      <c r="S30" s="132">
        <f>IF(SER_hh_emih!S30=0,0,SER_hh_emih!S30/SER_summary!S$26)</f>
        <v>0</v>
      </c>
      <c r="T30" s="132">
        <f>IF(SER_hh_emih!T30=0,0,SER_hh_emih!T30/SER_summary!T$26)</f>
        <v>0</v>
      </c>
      <c r="U30" s="132">
        <f>IF(SER_hh_emih!U30=0,0,SER_hh_emih!U30/SER_summary!U$26)</f>
        <v>0</v>
      </c>
      <c r="V30" s="132">
        <f>IF(SER_hh_emih!V30=0,0,SER_hh_emih!V30/SER_summary!V$26)</f>
        <v>0</v>
      </c>
      <c r="W30" s="132">
        <f>IF(SER_hh_emih!W30=0,0,SER_hh_emih!W30/SER_summary!W$26)</f>
        <v>0</v>
      </c>
      <c r="X30" s="132">
        <f>IF(SER_hh_emih!X30=0,0,SER_hh_emih!X30/SER_summary!X$26)</f>
        <v>0</v>
      </c>
      <c r="Y30" s="132">
        <f>IF(SER_hh_emih!Y30=0,0,SER_hh_emih!Y30/SER_summary!Y$26)</f>
        <v>0</v>
      </c>
      <c r="DA30" s="156" t="s">
        <v>565</v>
      </c>
    </row>
    <row r="31" spans="1:105" ht="12" customHeight="1" x14ac:dyDescent="0.25">
      <c r="A31" s="131" t="s">
        <v>149</v>
      </c>
      <c r="B31" s="132">
        <f>IF(SER_hh_emih!B31=0,0,SER_hh_emih!B31/SER_summary!B$26)</f>
        <v>4.6500857232978072</v>
      </c>
      <c r="C31" s="132">
        <f>IF(SER_hh_emih!C31=0,0,SER_hh_emih!C31/SER_summary!C$26)</f>
        <v>4.9547386157293865</v>
      </c>
      <c r="D31" s="132">
        <f>IF(SER_hh_emih!D31=0,0,SER_hh_emih!D31/SER_summary!D$26)</f>
        <v>4.7725540520304843</v>
      </c>
      <c r="E31" s="132">
        <f>IF(SER_hh_emih!E31=0,0,SER_hh_emih!E31/SER_summary!E$26)</f>
        <v>4.5777948740305456</v>
      </c>
      <c r="F31" s="132">
        <f>IF(SER_hh_emih!F31=0,0,SER_hh_emih!F31/SER_summary!F$26)</f>
        <v>4.4344394235615878</v>
      </c>
      <c r="G31" s="132">
        <f>IF(SER_hh_emih!G31=0,0,SER_hh_emih!G31/SER_summary!G$26)</f>
        <v>4.5410866314880876</v>
      </c>
      <c r="H31" s="132">
        <f>IF(SER_hh_emih!H31=0,0,SER_hh_emih!H31/SER_summary!H$26)</f>
        <v>4.5973444016662821</v>
      </c>
      <c r="I31" s="132">
        <f>IF(SER_hh_emih!I31=0,0,SER_hh_emih!I31/SER_summary!I$26)</f>
        <v>4.5001534404547456</v>
      </c>
      <c r="J31" s="132">
        <f>IF(SER_hh_emih!J31=0,0,SER_hh_emih!J31/SER_summary!J$26)</f>
        <v>4.5046309689421404</v>
      </c>
      <c r="K31" s="132">
        <f>IF(SER_hh_emih!K31=0,0,SER_hh_emih!K31/SER_summary!K$26)</f>
        <v>4.5014331626644051</v>
      </c>
      <c r="L31" s="132">
        <f>IF(SER_hh_emih!L31=0,0,SER_hh_emih!L31/SER_summary!L$26)</f>
        <v>4.6200318158894493</v>
      </c>
      <c r="M31" s="132">
        <f>IF(SER_hh_emih!M31=0,0,SER_hh_emih!M31/SER_summary!M$26)</f>
        <v>4.4686203584348645</v>
      </c>
      <c r="N31" s="132">
        <f>IF(SER_hh_emih!N31=0,0,SER_hh_emih!N31/SER_summary!N$26)</f>
        <v>3.8079022572465298</v>
      </c>
      <c r="O31" s="132">
        <f>IF(SER_hh_emih!O31=0,0,SER_hh_emih!O31/SER_summary!O$26)</f>
        <v>4.5772062372122715</v>
      </c>
      <c r="P31" s="132">
        <f>IF(SER_hh_emih!P31=0,0,SER_hh_emih!P31/SER_summary!P$26)</f>
        <v>4.3021311306371262</v>
      </c>
      <c r="Q31" s="132">
        <f>IF(SER_hh_emih!Q31=0,0,SER_hh_emih!Q31/SER_summary!Q$26)</f>
        <v>4.5796509221203792</v>
      </c>
      <c r="R31" s="132">
        <f>IF(SER_hh_emih!R31=0,0,SER_hh_emih!R31/SER_summary!R$26)</f>
        <v>4.6904893516696129</v>
      </c>
      <c r="S31" s="132">
        <f>IF(SER_hh_emih!S31=0,0,SER_hh_emih!S31/SER_summary!S$26)</f>
        <v>4.4482408712786237</v>
      </c>
      <c r="T31" s="132">
        <f>IF(SER_hh_emih!T31=0,0,SER_hh_emih!T31/SER_summary!T$26)</f>
        <v>3.9923365116281984</v>
      </c>
      <c r="U31" s="132">
        <f>IF(SER_hh_emih!U31=0,0,SER_hh_emih!U31/SER_summary!U$26)</f>
        <v>4.261986413642405</v>
      </c>
      <c r="V31" s="132">
        <f>IF(SER_hh_emih!V31=0,0,SER_hh_emih!V31/SER_summary!V$26)</f>
        <v>4.013830669374701</v>
      </c>
      <c r="W31" s="132">
        <f>IF(SER_hh_emih!W31=0,0,SER_hh_emih!W31/SER_summary!W$26)</f>
        <v>5.6641724395854265</v>
      </c>
      <c r="X31" s="132">
        <f>IF(SER_hh_emih!X31=0,0,SER_hh_emih!X31/SER_summary!X$26)</f>
        <v>4.8319600660460713</v>
      </c>
      <c r="Y31" s="132">
        <f>IF(SER_hh_emih!Y31=0,0,SER_hh_emih!Y31/SER_summary!Y$26)</f>
        <v>2.9164212859061478</v>
      </c>
      <c r="DA31" s="156" t="s">
        <v>566</v>
      </c>
    </row>
    <row r="32" spans="1:105" ht="12" customHeight="1" x14ac:dyDescent="0.25">
      <c r="A32" s="131" t="s">
        <v>128</v>
      </c>
      <c r="B32" s="132">
        <f>IF(SER_hh_emih!B32=0,0,SER_hh_emih!B32/SER_summary!B$26)</f>
        <v>0</v>
      </c>
      <c r="C32" s="132">
        <f>IF(SER_hh_emih!C32=0,0,SER_hh_emih!C32/SER_summary!C$26)</f>
        <v>0</v>
      </c>
      <c r="D32" s="132">
        <f>IF(SER_hh_emih!D32=0,0,SER_hh_emih!D32/SER_summary!D$26)</f>
        <v>0</v>
      </c>
      <c r="E32" s="132">
        <f>IF(SER_hh_emih!E32=0,0,SER_hh_emih!E32/SER_summary!E$26)</f>
        <v>0</v>
      </c>
      <c r="F32" s="132">
        <f>IF(SER_hh_emih!F32=0,0,SER_hh_emih!F32/SER_summary!F$26)</f>
        <v>0</v>
      </c>
      <c r="G32" s="132">
        <f>IF(SER_hh_emih!G32=0,0,SER_hh_emih!G32/SER_summary!G$26)</f>
        <v>0</v>
      </c>
      <c r="H32" s="132">
        <f>IF(SER_hh_emih!H32=0,0,SER_hh_emih!H32/SER_summary!H$26)</f>
        <v>0</v>
      </c>
      <c r="I32" s="132">
        <f>IF(SER_hh_emih!I32=0,0,SER_hh_emih!I32/SER_summary!I$26)</f>
        <v>0</v>
      </c>
      <c r="J32" s="132">
        <f>IF(SER_hh_emih!J32=0,0,SER_hh_emih!J32/SER_summary!J$26)</f>
        <v>0</v>
      </c>
      <c r="K32" s="132">
        <f>IF(SER_hh_emih!K32=0,0,SER_hh_emih!K32/SER_summary!K$26)</f>
        <v>0</v>
      </c>
      <c r="L32" s="132">
        <f>IF(SER_hh_emih!L32=0,0,SER_hh_emih!L32/SER_summary!L$26)</f>
        <v>0</v>
      </c>
      <c r="M32" s="132">
        <f>IF(SER_hh_emih!M32=0,0,SER_hh_emih!M32/SER_summary!M$26)</f>
        <v>0</v>
      </c>
      <c r="N32" s="132">
        <f>IF(SER_hh_emih!N32=0,0,SER_hh_emih!N32/SER_summary!N$26)</f>
        <v>0</v>
      </c>
      <c r="O32" s="132">
        <f>IF(SER_hh_emih!O32=0,0,SER_hh_emih!O32/SER_summary!O$26)</f>
        <v>0</v>
      </c>
      <c r="P32" s="132">
        <f>IF(SER_hh_emih!P32=0,0,SER_hh_emih!P32/SER_summary!P$26)</f>
        <v>0</v>
      </c>
      <c r="Q32" s="132">
        <f>IF(SER_hh_emih!Q32=0,0,SER_hh_emih!Q32/SER_summary!Q$26)</f>
        <v>0</v>
      </c>
      <c r="R32" s="132">
        <f>IF(SER_hh_emih!R32=0,0,SER_hh_emih!R32/SER_summary!R$26)</f>
        <v>0</v>
      </c>
      <c r="S32" s="132">
        <f>IF(SER_hh_emih!S32=0,0,SER_hh_emih!S32/SER_summary!S$26)</f>
        <v>0</v>
      </c>
      <c r="T32" s="132">
        <f>IF(SER_hh_emih!T32=0,0,SER_hh_emih!T32/SER_summary!T$26)</f>
        <v>0</v>
      </c>
      <c r="U32" s="132">
        <f>IF(SER_hh_emih!U32=0,0,SER_hh_emih!U32/SER_summary!U$26)</f>
        <v>0</v>
      </c>
      <c r="V32" s="132">
        <f>IF(SER_hh_emih!V32=0,0,SER_hh_emih!V32/SER_summary!V$26)</f>
        <v>0</v>
      </c>
      <c r="W32" s="132">
        <f>IF(SER_hh_emih!W32=0,0,SER_hh_emih!W32/SER_summary!W$26)</f>
        <v>0</v>
      </c>
      <c r="X32" s="132">
        <f>IF(SER_hh_emih!X32=0,0,SER_hh_emih!X32/SER_summary!X$26)</f>
        <v>0</v>
      </c>
      <c r="Y32" s="132">
        <f>IF(SER_hh_emih!Y32=0,0,SER_hh_emih!Y32/SER_summary!Y$26)</f>
        <v>0</v>
      </c>
      <c r="DA32" s="156" t="s">
        <v>567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X33" s="68">
        <f>IF(SER_hh_emih!X33=0,0,SER_hh_emih!X33/SER_summary!X$26)</f>
        <v>0</v>
      </c>
      <c r="Y33" s="68">
        <f>IF(SER_hh_emih!Y33=0,0,SER_hh_emih!Y33/SER_summary!Y$26)</f>
        <v>0</v>
      </c>
      <c r="DA33" s="111" t="s">
        <v>568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79</v>
      </c>
      <c r="B3" s="124"/>
      <c r="C3" s="124">
        <f t="shared" ref="C3:Y3" si="0">C4</f>
        <v>1558.1589690393596</v>
      </c>
      <c r="D3" s="124">
        <f t="shared" si="0"/>
        <v>1466.7444077772259</v>
      </c>
      <c r="E3" s="124">
        <f t="shared" si="0"/>
        <v>1297.0850109787361</v>
      </c>
      <c r="F3" s="124">
        <f t="shared" si="0"/>
        <v>2022.6287178743187</v>
      </c>
      <c r="G3" s="124">
        <f t="shared" si="0"/>
        <v>1777.5355844073779</v>
      </c>
      <c r="H3" s="124">
        <f t="shared" si="0"/>
        <v>2347.8721346777315</v>
      </c>
      <c r="I3" s="124">
        <f t="shared" si="0"/>
        <v>2330.5650164476619</v>
      </c>
      <c r="J3" s="124">
        <f t="shared" si="0"/>
        <v>1692.0208049281264</v>
      </c>
      <c r="K3" s="124">
        <f t="shared" si="0"/>
        <v>1193.1951888225808</v>
      </c>
      <c r="L3" s="124">
        <f t="shared" si="0"/>
        <v>1401.0377194621335</v>
      </c>
      <c r="M3" s="124">
        <f t="shared" si="0"/>
        <v>1133.8626431368129</v>
      </c>
      <c r="N3" s="124">
        <f t="shared" si="0"/>
        <v>864.9706895609919</v>
      </c>
      <c r="O3" s="124">
        <f t="shared" si="0"/>
        <v>816.16993190463552</v>
      </c>
      <c r="P3" s="124">
        <f t="shared" si="0"/>
        <v>833.95167260198821</v>
      </c>
      <c r="Q3" s="124">
        <f t="shared" si="0"/>
        <v>871.49135942790986</v>
      </c>
      <c r="R3" s="124">
        <f t="shared" si="0"/>
        <v>1335.7618878075195</v>
      </c>
      <c r="S3" s="124">
        <f t="shared" si="0"/>
        <v>1660.6616799743017</v>
      </c>
      <c r="T3" s="124">
        <f t="shared" si="0"/>
        <v>1689.3147127290786</v>
      </c>
      <c r="U3" s="124">
        <f t="shared" si="0"/>
        <v>1606.6261106869929</v>
      </c>
      <c r="V3" s="124">
        <f t="shared" si="0"/>
        <v>1522.3335210939986</v>
      </c>
      <c r="W3" s="124">
        <f t="shared" si="0"/>
        <v>1398.1474878422689</v>
      </c>
      <c r="X3" s="124">
        <f t="shared" si="0"/>
        <v>1286.0793435856763</v>
      </c>
      <c r="Y3" s="124">
        <f t="shared" si="0"/>
        <v>1187.6373098070853</v>
      </c>
      <c r="DA3" s="168" t="s">
        <v>570</v>
      </c>
    </row>
    <row r="4" spans="1:105" ht="12.95" customHeight="1" x14ac:dyDescent="0.25">
      <c r="A4" s="129" t="s">
        <v>32</v>
      </c>
      <c r="B4" s="139"/>
      <c r="C4" s="139">
        <f t="shared" ref="C4:Q4" si="1">SUM(C5:C14)</f>
        <v>1558.1589690393596</v>
      </c>
      <c r="D4" s="139">
        <f t="shared" si="1"/>
        <v>1466.7444077772259</v>
      </c>
      <c r="E4" s="139">
        <f t="shared" si="1"/>
        <v>1297.0850109787361</v>
      </c>
      <c r="F4" s="139">
        <f t="shared" si="1"/>
        <v>2022.6287178743187</v>
      </c>
      <c r="G4" s="139">
        <f t="shared" si="1"/>
        <v>1777.5355844073779</v>
      </c>
      <c r="H4" s="139">
        <f t="shared" si="1"/>
        <v>2347.8721346777315</v>
      </c>
      <c r="I4" s="139">
        <f t="shared" si="1"/>
        <v>2330.5650164476619</v>
      </c>
      <c r="J4" s="139">
        <f t="shared" si="1"/>
        <v>1692.0208049281264</v>
      </c>
      <c r="K4" s="139">
        <f t="shared" si="1"/>
        <v>1193.1951888225808</v>
      </c>
      <c r="L4" s="139">
        <f t="shared" si="1"/>
        <v>1401.0377194621335</v>
      </c>
      <c r="M4" s="139">
        <f t="shared" si="1"/>
        <v>1133.8626431368129</v>
      </c>
      <c r="N4" s="139">
        <f t="shared" si="1"/>
        <v>864.9706895609919</v>
      </c>
      <c r="O4" s="139">
        <f t="shared" si="1"/>
        <v>816.16993190463552</v>
      </c>
      <c r="P4" s="139">
        <f t="shared" si="1"/>
        <v>833.95167260198821</v>
      </c>
      <c r="Q4" s="139">
        <f t="shared" si="1"/>
        <v>871.49135942790986</v>
      </c>
      <c r="R4" s="139">
        <f t="shared" ref="R4:W4" si="2">SUM(R5:R14)</f>
        <v>1335.7618878075195</v>
      </c>
      <c r="S4" s="139">
        <f t="shared" si="2"/>
        <v>1660.6616799743017</v>
      </c>
      <c r="T4" s="139">
        <f t="shared" si="2"/>
        <v>1689.3147127290786</v>
      </c>
      <c r="U4" s="139">
        <f t="shared" si="2"/>
        <v>1606.6261106869929</v>
      </c>
      <c r="V4" s="139">
        <f t="shared" si="2"/>
        <v>1522.3335210939986</v>
      </c>
      <c r="W4" s="139">
        <f t="shared" si="2"/>
        <v>1398.1474878422689</v>
      </c>
      <c r="X4" s="139">
        <f t="shared" ref="X4:Y4" si="3">SUM(X5:X14)</f>
        <v>1286.0793435856763</v>
      </c>
      <c r="Y4" s="139">
        <f t="shared" si="3"/>
        <v>1187.6373098070853</v>
      </c>
      <c r="DA4" s="169" t="s">
        <v>571</v>
      </c>
    </row>
    <row r="5" spans="1:105" ht="12" customHeight="1" x14ac:dyDescent="0.25">
      <c r="A5" s="131" t="s">
        <v>29</v>
      </c>
      <c r="B5" s="140"/>
      <c r="C5" s="140">
        <v>0.62500444472159966</v>
      </c>
      <c r="D5" s="140">
        <v>0.94761079740385501</v>
      </c>
      <c r="E5" s="140">
        <v>1.037548083460065</v>
      </c>
      <c r="F5" s="140">
        <v>1.7337010499720147</v>
      </c>
      <c r="G5" s="140">
        <v>1.4689215412472389</v>
      </c>
      <c r="H5" s="140">
        <v>2.1713643034553107</v>
      </c>
      <c r="I5" s="140">
        <v>2.8023121182979867</v>
      </c>
      <c r="J5" s="140">
        <v>1.838764446786487</v>
      </c>
      <c r="K5" s="140">
        <v>1.6232265134775714</v>
      </c>
      <c r="L5" s="140">
        <v>1.955556235408636</v>
      </c>
      <c r="M5" s="140">
        <v>1.1750556408620527</v>
      </c>
      <c r="N5" s="140">
        <v>1.0358456224530579</v>
      </c>
      <c r="O5" s="140">
        <v>0.78519531643708784</v>
      </c>
      <c r="P5" s="140">
        <v>0.72893974902114866</v>
      </c>
      <c r="Q5" s="140">
        <v>0.69329266382200838</v>
      </c>
      <c r="R5" s="140">
        <v>1.2088001437276372</v>
      </c>
      <c r="S5" s="140">
        <v>1.5728968730038126</v>
      </c>
      <c r="T5" s="140">
        <v>1.7409438541006708</v>
      </c>
      <c r="U5" s="140">
        <v>1.5075245368571377</v>
      </c>
      <c r="V5" s="140">
        <v>1.3921735326723845</v>
      </c>
      <c r="W5" s="140">
        <v>2.2345556672454325</v>
      </c>
      <c r="X5" s="140">
        <v>1.6673572908915697</v>
      </c>
      <c r="Y5" s="140">
        <v>1.6546019062229915</v>
      </c>
      <c r="DA5" s="170" t="s">
        <v>572</v>
      </c>
    </row>
    <row r="6" spans="1:105" ht="12" customHeight="1" x14ac:dyDescent="0.25">
      <c r="A6" s="131" t="s">
        <v>52</v>
      </c>
      <c r="B6" s="140"/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DA6" s="170" t="s">
        <v>573</v>
      </c>
    </row>
    <row r="7" spans="1:105" ht="12" customHeight="1" x14ac:dyDescent="0.25">
      <c r="A7" s="131" t="s">
        <v>161</v>
      </c>
      <c r="B7" s="140"/>
      <c r="C7" s="140">
        <v>92.252005734489913</v>
      </c>
      <c r="D7" s="140">
        <v>102.33441988712859</v>
      </c>
      <c r="E7" s="140">
        <v>115.89781868827457</v>
      </c>
      <c r="F7" s="140">
        <v>189.34396588427549</v>
      </c>
      <c r="G7" s="140">
        <v>151.54069308750113</v>
      </c>
      <c r="H7" s="140">
        <v>127.04086275283336</v>
      </c>
      <c r="I7" s="140">
        <v>50.504684292938684</v>
      </c>
      <c r="J7" s="140">
        <v>52.395299460495664</v>
      </c>
      <c r="K7" s="140">
        <v>126.3265494159388</v>
      </c>
      <c r="L7" s="140">
        <v>228.2831555023439</v>
      </c>
      <c r="M7" s="140">
        <v>178.9278156767779</v>
      </c>
      <c r="N7" s="140">
        <v>123.75336596819076</v>
      </c>
      <c r="O7" s="140">
        <v>88.711636499603969</v>
      </c>
      <c r="P7" s="140">
        <v>47.405442185186814</v>
      </c>
      <c r="Q7" s="140">
        <v>73.975926884301089</v>
      </c>
      <c r="R7" s="140">
        <v>133.09763228496348</v>
      </c>
      <c r="S7" s="140">
        <v>162.94783645975514</v>
      </c>
      <c r="T7" s="140">
        <v>156.23809776536052</v>
      </c>
      <c r="U7" s="140">
        <v>179.07874239876</v>
      </c>
      <c r="V7" s="140">
        <v>163.39363072570481</v>
      </c>
      <c r="W7" s="140">
        <v>160.91036387642217</v>
      </c>
      <c r="X7" s="140">
        <v>139.42681032784435</v>
      </c>
      <c r="Y7" s="140">
        <v>135.69501661395432</v>
      </c>
      <c r="DA7" s="170" t="s">
        <v>574</v>
      </c>
    </row>
    <row r="8" spans="1:105" ht="12" customHeight="1" x14ac:dyDescent="0.25">
      <c r="A8" s="131" t="s">
        <v>73</v>
      </c>
      <c r="B8" s="140"/>
      <c r="C8" s="140">
        <v>0</v>
      </c>
      <c r="D8" s="140">
        <v>0</v>
      </c>
      <c r="E8" s="140">
        <v>0</v>
      </c>
      <c r="F8" s="140">
        <v>0</v>
      </c>
      <c r="G8" s="140">
        <v>0</v>
      </c>
      <c r="H8" s="140">
        <v>0</v>
      </c>
      <c r="I8" s="140">
        <v>0</v>
      </c>
      <c r="J8" s="140">
        <v>0</v>
      </c>
      <c r="K8" s="140">
        <v>0</v>
      </c>
      <c r="L8" s="140">
        <v>0</v>
      </c>
      <c r="M8" s="140">
        <v>0</v>
      </c>
      <c r="N8" s="140">
        <v>0</v>
      </c>
      <c r="O8" s="140">
        <v>0</v>
      </c>
      <c r="P8" s="140">
        <v>0</v>
      </c>
      <c r="Q8" s="140">
        <v>0</v>
      </c>
      <c r="R8" s="140">
        <v>0</v>
      </c>
      <c r="S8" s="140">
        <v>0</v>
      </c>
      <c r="T8" s="140">
        <v>0</v>
      </c>
      <c r="U8" s="140">
        <v>0</v>
      </c>
      <c r="V8" s="140">
        <v>0</v>
      </c>
      <c r="W8" s="140">
        <v>0</v>
      </c>
      <c r="X8" s="140">
        <v>0</v>
      </c>
      <c r="Y8" s="140">
        <v>0</v>
      </c>
      <c r="DA8" s="170" t="s">
        <v>575</v>
      </c>
    </row>
    <row r="9" spans="1:105" ht="12" customHeight="1" x14ac:dyDescent="0.25">
      <c r="A9" s="131" t="s">
        <v>78</v>
      </c>
      <c r="B9" s="140"/>
      <c r="C9" s="140">
        <v>27.47891406810718</v>
      </c>
      <c r="D9" s="140">
        <v>30.138473016405865</v>
      </c>
      <c r="E9" s="140">
        <v>25.730806467809607</v>
      </c>
      <c r="F9" s="140">
        <v>41.609365702694113</v>
      </c>
      <c r="G9" s="140">
        <v>22.053405574776189</v>
      </c>
      <c r="H9" s="140">
        <v>12.851842519441536</v>
      </c>
      <c r="I9" s="140">
        <v>3.7551247863911756</v>
      </c>
      <c r="J9" s="140">
        <v>7.7933211212092006</v>
      </c>
      <c r="K9" s="140">
        <v>14.925301884697458</v>
      </c>
      <c r="L9" s="140">
        <v>21.674199512848354</v>
      </c>
      <c r="M9" s="140">
        <v>12.420951314935477</v>
      </c>
      <c r="N9" s="140">
        <v>13.406290626893616</v>
      </c>
      <c r="O9" s="140">
        <v>22.49677417626911</v>
      </c>
      <c r="P9" s="140">
        <v>33.403048166259481</v>
      </c>
      <c r="Q9" s="140">
        <v>21.378160302548672</v>
      </c>
      <c r="R9" s="140">
        <v>35.738338075902782</v>
      </c>
      <c r="S9" s="140">
        <v>25.600806796773565</v>
      </c>
      <c r="T9" s="140">
        <v>23.116136586891368</v>
      </c>
      <c r="U9" s="140">
        <v>26.451381871264022</v>
      </c>
      <c r="V9" s="140">
        <v>18.716341801256146</v>
      </c>
      <c r="W9" s="140">
        <v>14.084957580495232</v>
      </c>
      <c r="X9" s="140">
        <v>0.79696593193004373</v>
      </c>
      <c r="Y9" s="140">
        <v>0</v>
      </c>
      <c r="DA9" s="170" t="s">
        <v>576</v>
      </c>
    </row>
    <row r="10" spans="1:105" ht="12" customHeight="1" x14ac:dyDescent="0.25">
      <c r="A10" s="131" t="s">
        <v>128</v>
      </c>
      <c r="B10" s="140"/>
      <c r="C10" s="140">
        <v>34.324983031048326</v>
      </c>
      <c r="D10" s="140">
        <v>36.936883687659169</v>
      </c>
      <c r="E10" s="140">
        <v>34.790762890716039</v>
      </c>
      <c r="F10" s="140">
        <v>50.864162334206135</v>
      </c>
      <c r="G10" s="140">
        <v>44.005583032604733</v>
      </c>
      <c r="H10" s="140">
        <v>56.077979508365935</v>
      </c>
      <c r="I10" s="140">
        <v>47.594368808638137</v>
      </c>
      <c r="J10" s="140">
        <v>49.996326292688764</v>
      </c>
      <c r="K10" s="140">
        <v>29.987436126395114</v>
      </c>
      <c r="L10" s="140">
        <v>39.672950803528941</v>
      </c>
      <c r="M10" s="140">
        <v>28.220983049431148</v>
      </c>
      <c r="N10" s="140">
        <v>21.210020235507354</v>
      </c>
      <c r="O10" s="140">
        <v>16.995231395840968</v>
      </c>
      <c r="P10" s="140">
        <v>18.097423795639472</v>
      </c>
      <c r="Q10" s="140">
        <v>21.772064763789455</v>
      </c>
      <c r="R10" s="140">
        <v>37.631720215597589</v>
      </c>
      <c r="S10" s="140">
        <v>44.154502985542422</v>
      </c>
      <c r="T10" s="140">
        <v>41.129502472791074</v>
      </c>
      <c r="U10" s="140">
        <v>41.807094577026646</v>
      </c>
      <c r="V10" s="140">
        <v>43.126887211356298</v>
      </c>
      <c r="W10" s="140">
        <v>43.690578665787427</v>
      </c>
      <c r="X10" s="140">
        <v>33.745932628251865</v>
      </c>
      <c r="Y10" s="140">
        <v>36.413822028601608</v>
      </c>
      <c r="DA10" s="170" t="s">
        <v>577</v>
      </c>
    </row>
    <row r="11" spans="1:105" ht="12" customHeight="1" x14ac:dyDescent="0.25">
      <c r="A11" s="131" t="s">
        <v>25</v>
      </c>
      <c r="B11" s="140"/>
      <c r="C11" s="140">
        <v>0</v>
      </c>
      <c r="D11" s="140">
        <v>0</v>
      </c>
      <c r="E11" s="140">
        <v>0</v>
      </c>
      <c r="F11" s="140">
        <v>0</v>
      </c>
      <c r="G11" s="140">
        <v>0</v>
      </c>
      <c r="H11" s="140">
        <v>0</v>
      </c>
      <c r="I11" s="140">
        <v>0</v>
      </c>
      <c r="J11" s="140">
        <v>0</v>
      </c>
      <c r="K11" s="140">
        <v>0</v>
      </c>
      <c r="L11" s="140">
        <v>0</v>
      </c>
      <c r="M11" s="140">
        <v>0</v>
      </c>
      <c r="N11" s="140">
        <v>0</v>
      </c>
      <c r="O11" s="140">
        <v>0</v>
      </c>
      <c r="P11" s="140">
        <v>0</v>
      </c>
      <c r="Q11" s="140">
        <v>0</v>
      </c>
      <c r="R11" s="140">
        <v>0</v>
      </c>
      <c r="S11" s="140">
        <v>0</v>
      </c>
      <c r="T11" s="140">
        <v>0</v>
      </c>
      <c r="U11" s="140">
        <v>0</v>
      </c>
      <c r="V11" s="140">
        <v>0</v>
      </c>
      <c r="W11" s="140">
        <v>0</v>
      </c>
      <c r="X11" s="140">
        <v>0</v>
      </c>
      <c r="Y11" s="140">
        <v>0</v>
      </c>
      <c r="DA11" s="170" t="s">
        <v>578</v>
      </c>
    </row>
    <row r="12" spans="1:105" ht="12" customHeight="1" x14ac:dyDescent="0.25">
      <c r="A12" s="131" t="s">
        <v>162</v>
      </c>
      <c r="B12" s="140"/>
      <c r="C12" s="140">
        <v>900.94840748198692</v>
      </c>
      <c r="D12" s="140">
        <v>803.88215037427744</v>
      </c>
      <c r="E12" s="140">
        <v>674.63760540080807</v>
      </c>
      <c r="F12" s="140">
        <v>964.0694921729538</v>
      </c>
      <c r="G12" s="140">
        <v>903.23235255018994</v>
      </c>
      <c r="H12" s="140">
        <v>1379.0147734372961</v>
      </c>
      <c r="I12" s="140">
        <v>1637.3834278754809</v>
      </c>
      <c r="J12" s="140">
        <v>1077.9464064659189</v>
      </c>
      <c r="K12" s="140">
        <v>695.04339640684293</v>
      </c>
      <c r="L12" s="140">
        <v>677.3392839807874</v>
      </c>
      <c r="M12" s="140">
        <v>497.7748916639211</v>
      </c>
      <c r="N12" s="140">
        <v>430.916606382</v>
      </c>
      <c r="O12" s="140">
        <v>418.92554740779212</v>
      </c>
      <c r="P12" s="140">
        <v>524.38237491215978</v>
      </c>
      <c r="Q12" s="140">
        <v>421.62963702282013</v>
      </c>
      <c r="R12" s="140">
        <v>736.43564835641132</v>
      </c>
      <c r="S12" s="140">
        <v>885.18037158495224</v>
      </c>
      <c r="T12" s="140">
        <v>826.5480822926886</v>
      </c>
      <c r="U12" s="140">
        <v>838.9568847985712</v>
      </c>
      <c r="V12" s="140">
        <v>799.58427532407075</v>
      </c>
      <c r="W12" s="140">
        <v>821.63352418135582</v>
      </c>
      <c r="X12" s="140">
        <v>697.44538143333864</v>
      </c>
      <c r="Y12" s="140">
        <v>695.85549185484069</v>
      </c>
      <c r="DA12" s="170" t="s">
        <v>579</v>
      </c>
    </row>
    <row r="13" spans="1:105" ht="12" customHeight="1" x14ac:dyDescent="0.25">
      <c r="A13" s="131" t="s">
        <v>77</v>
      </c>
      <c r="B13" s="140"/>
      <c r="C13" s="140">
        <v>9.3004087314240973</v>
      </c>
      <c r="D13" s="140">
        <v>16.817875371292597</v>
      </c>
      <c r="E13" s="140">
        <v>18.213386223531014</v>
      </c>
      <c r="F13" s="140">
        <v>31.905283571581283</v>
      </c>
      <c r="G13" s="140">
        <v>30.314762350788012</v>
      </c>
      <c r="H13" s="140">
        <v>37.906763077020123</v>
      </c>
      <c r="I13" s="140">
        <v>33.868659594691934</v>
      </c>
      <c r="J13" s="140">
        <v>27.060228288497942</v>
      </c>
      <c r="K13" s="140">
        <v>21.120857127210119</v>
      </c>
      <c r="L13" s="140">
        <v>31.697600192015617</v>
      </c>
      <c r="M13" s="140">
        <v>40.227670366257996</v>
      </c>
      <c r="N13" s="140">
        <v>30.529028846596152</v>
      </c>
      <c r="O13" s="140">
        <v>43.438086051143742</v>
      </c>
      <c r="P13" s="140">
        <v>84.746444661445551</v>
      </c>
      <c r="Q13" s="140">
        <v>89.67156385609978</v>
      </c>
      <c r="R13" s="140">
        <v>81.37835340736936</v>
      </c>
      <c r="S13" s="140">
        <v>98.130464171761972</v>
      </c>
      <c r="T13" s="140">
        <v>105.87349042236897</v>
      </c>
      <c r="U13" s="140">
        <v>131.44424103007637</v>
      </c>
      <c r="V13" s="140">
        <v>146.81556324531036</v>
      </c>
      <c r="W13" s="140">
        <v>171.19838022343225</v>
      </c>
      <c r="X13" s="140">
        <v>175.93635470311023</v>
      </c>
      <c r="Y13" s="140">
        <v>156.69727641283112</v>
      </c>
      <c r="DA13" s="170" t="s">
        <v>580</v>
      </c>
    </row>
    <row r="14" spans="1:105" ht="12" customHeight="1" x14ac:dyDescent="0.25">
      <c r="A14" s="60" t="s">
        <v>76</v>
      </c>
      <c r="B14" s="141"/>
      <c r="C14" s="141">
        <v>493.22924554758157</v>
      </c>
      <c r="D14" s="141">
        <v>475.68699464305843</v>
      </c>
      <c r="E14" s="141">
        <v>426.77708322413696</v>
      </c>
      <c r="F14" s="141">
        <v>743.10274715863568</v>
      </c>
      <c r="G14" s="141">
        <v>624.91986627027052</v>
      </c>
      <c r="H14" s="141">
        <v>732.80854907931928</v>
      </c>
      <c r="I14" s="141">
        <v>554.65643897122277</v>
      </c>
      <c r="J14" s="141">
        <v>474.9904588525294</v>
      </c>
      <c r="K14" s="141">
        <v>304.16842134801891</v>
      </c>
      <c r="L14" s="141">
        <v>400.41497323520065</v>
      </c>
      <c r="M14" s="141">
        <v>375.11527542462716</v>
      </c>
      <c r="N14" s="141">
        <v>244.11953187935092</v>
      </c>
      <c r="O14" s="141">
        <v>224.81746105754846</v>
      </c>
      <c r="P14" s="141">
        <v>125.18799913227585</v>
      </c>
      <c r="Q14" s="141">
        <v>242.37071393452885</v>
      </c>
      <c r="R14" s="141">
        <v>310.27139532354727</v>
      </c>
      <c r="S14" s="141">
        <v>443.07480110251248</v>
      </c>
      <c r="T14" s="141">
        <v>534.66845933487741</v>
      </c>
      <c r="U14" s="141">
        <v>387.38024147443753</v>
      </c>
      <c r="V14" s="141">
        <v>349.3046492536277</v>
      </c>
      <c r="W14" s="141">
        <v>184.3951276475307</v>
      </c>
      <c r="X14" s="141">
        <v>237.06054127030956</v>
      </c>
      <c r="Y14" s="141">
        <v>161.32110099063439</v>
      </c>
      <c r="DA14" s="171" t="s">
        <v>581</v>
      </c>
    </row>
    <row r="15" spans="1:105" ht="12" customHeight="1" x14ac:dyDescent="0.25">
      <c r="A15" s="142" t="s">
        <v>75</v>
      </c>
      <c r="B15" s="143"/>
      <c r="C15" s="143">
        <f t="shared" ref="C15:Q15" si="4">SUM(C5:C12)</f>
        <v>1055.629314760354</v>
      </c>
      <c r="D15" s="143">
        <f t="shared" si="4"/>
        <v>974.23953776287487</v>
      </c>
      <c r="E15" s="143">
        <f t="shared" si="4"/>
        <v>852.09454153106833</v>
      </c>
      <c r="F15" s="143">
        <f t="shared" si="4"/>
        <v>1247.6206871441016</v>
      </c>
      <c r="G15" s="143">
        <f t="shared" si="4"/>
        <v>1122.3009557863193</v>
      </c>
      <c r="H15" s="143">
        <f t="shared" si="4"/>
        <v>1577.1568225213923</v>
      </c>
      <c r="I15" s="143">
        <f t="shared" si="4"/>
        <v>1742.039917881747</v>
      </c>
      <c r="J15" s="143">
        <f t="shared" si="4"/>
        <v>1189.9701177870991</v>
      </c>
      <c r="K15" s="143">
        <f t="shared" si="4"/>
        <v>867.90591034735189</v>
      </c>
      <c r="L15" s="143">
        <f t="shared" si="4"/>
        <v>968.92514603491725</v>
      </c>
      <c r="M15" s="143">
        <f t="shared" si="4"/>
        <v>718.51969734592763</v>
      </c>
      <c r="N15" s="143">
        <f t="shared" si="4"/>
        <v>590.32212883504485</v>
      </c>
      <c r="O15" s="143">
        <f t="shared" si="4"/>
        <v>547.91438479594331</v>
      </c>
      <c r="P15" s="143">
        <f t="shared" si="4"/>
        <v>624.01722880826674</v>
      </c>
      <c r="Q15" s="143">
        <f t="shared" si="4"/>
        <v>539.44908163728132</v>
      </c>
      <c r="R15" s="143">
        <f t="shared" ref="R15:W15" si="5">SUM(R5:R12)</f>
        <v>944.11213907660283</v>
      </c>
      <c r="S15" s="143">
        <f t="shared" si="5"/>
        <v>1119.4564147000272</v>
      </c>
      <c r="T15" s="143">
        <f t="shared" si="5"/>
        <v>1048.7727629718322</v>
      </c>
      <c r="U15" s="143">
        <f t="shared" si="5"/>
        <v>1087.8016281824789</v>
      </c>
      <c r="V15" s="143">
        <f t="shared" si="5"/>
        <v>1026.2133085950604</v>
      </c>
      <c r="W15" s="143">
        <f t="shared" si="5"/>
        <v>1042.553979971306</v>
      </c>
      <c r="X15" s="143">
        <f t="shared" ref="X15:Y15" si="6">SUM(X5:X12)</f>
        <v>873.08244761225649</v>
      </c>
      <c r="Y15" s="143">
        <f t="shared" si="6"/>
        <v>869.61893240361962</v>
      </c>
      <c r="DA15" s="172"/>
    </row>
    <row r="16" spans="1:105" ht="12.95" customHeight="1" x14ac:dyDescent="0.25">
      <c r="A16" s="129" t="s">
        <v>74</v>
      </c>
      <c r="B16" s="139"/>
      <c r="C16" s="139">
        <f t="shared" ref="C16:Q16" si="7">SUM(C17:C18)</f>
        <v>1558.1589690393594</v>
      </c>
      <c r="D16" s="139">
        <f t="shared" si="7"/>
        <v>1466.7444077772261</v>
      </c>
      <c r="E16" s="139">
        <f t="shared" si="7"/>
        <v>1297.0850109787361</v>
      </c>
      <c r="F16" s="139">
        <f t="shared" si="7"/>
        <v>2022.6287178743182</v>
      </c>
      <c r="G16" s="139">
        <f t="shared" si="7"/>
        <v>1777.5355844073777</v>
      </c>
      <c r="H16" s="139">
        <f t="shared" si="7"/>
        <v>2347.8721346777315</v>
      </c>
      <c r="I16" s="139">
        <f t="shared" si="7"/>
        <v>2330.5650164476615</v>
      </c>
      <c r="J16" s="139">
        <f t="shared" si="7"/>
        <v>1692.0208049281266</v>
      </c>
      <c r="K16" s="139">
        <f t="shared" si="7"/>
        <v>1193.1951888225808</v>
      </c>
      <c r="L16" s="139">
        <f t="shared" si="7"/>
        <v>1401.0377194621335</v>
      </c>
      <c r="M16" s="139">
        <f t="shared" si="7"/>
        <v>1133.8626431368129</v>
      </c>
      <c r="N16" s="139">
        <f t="shared" si="7"/>
        <v>864.9706895609919</v>
      </c>
      <c r="O16" s="139">
        <f t="shared" si="7"/>
        <v>816.16993190463552</v>
      </c>
      <c r="P16" s="139">
        <f t="shared" si="7"/>
        <v>833.95167260198821</v>
      </c>
      <c r="Q16" s="139">
        <f t="shared" si="7"/>
        <v>871.49135942790997</v>
      </c>
      <c r="R16" s="139">
        <f t="shared" ref="R16:W16" si="8">SUM(R17:R18)</f>
        <v>1335.7618878075195</v>
      </c>
      <c r="S16" s="139">
        <f t="shared" si="8"/>
        <v>1660.6616799743017</v>
      </c>
      <c r="T16" s="139">
        <f t="shared" si="8"/>
        <v>1689.3147127290786</v>
      </c>
      <c r="U16" s="139">
        <f t="shared" si="8"/>
        <v>1606.6261106869929</v>
      </c>
      <c r="V16" s="139">
        <f t="shared" si="8"/>
        <v>1522.3335210939986</v>
      </c>
      <c r="W16" s="139">
        <f t="shared" si="8"/>
        <v>1398.1474878422691</v>
      </c>
      <c r="X16" s="139">
        <f t="shared" ref="X16:Y16" si="9">SUM(X17:X18)</f>
        <v>1286.0793435856763</v>
      </c>
      <c r="Y16" s="139">
        <f t="shared" si="9"/>
        <v>1187.6373098070851</v>
      </c>
      <c r="DA16" s="169" t="s">
        <v>582</v>
      </c>
    </row>
    <row r="17" spans="1:105" ht="12.95" customHeight="1" x14ac:dyDescent="0.25">
      <c r="A17" s="131" t="s">
        <v>73</v>
      </c>
      <c r="B17" s="140"/>
      <c r="C17" s="140">
        <v>0</v>
      </c>
      <c r="D17" s="140">
        <v>0</v>
      </c>
      <c r="E17" s="140">
        <v>0</v>
      </c>
      <c r="F17" s="140">
        <v>0</v>
      </c>
      <c r="G17" s="140">
        <v>0</v>
      </c>
      <c r="H17" s="140">
        <v>0</v>
      </c>
      <c r="I17" s="140">
        <v>0</v>
      </c>
      <c r="J17" s="140">
        <v>0</v>
      </c>
      <c r="K17" s="140">
        <v>0</v>
      </c>
      <c r="L17" s="140">
        <v>0</v>
      </c>
      <c r="M17" s="140">
        <v>0</v>
      </c>
      <c r="N17" s="140">
        <v>0</v>
      </c>
      <c r="O17" s="140">
        <v>0</v>
      </c>
      <c r="P17" s="140">
        <v>0</v>
      </c>
      <c r="Q17" s="140">
        <v>0</v>
      </c>
      <c r="R17" s="140">
        <v>0</v>
      </c>
      <c r="S17" s="140">
        <v>0</v>
      </c>
      <c r="T17" s="140">
        <v>0</v>
      </c>
      <c r="U17" s="140">
        <v>0</v>
      </c>
      <c r="V17" s="140">
        <v>0</v>
      </c>
      <c r="W17" s="140">
        <v>0</v>
      </c>
      <c r="X17" s="140">
        <v>0</v>
      </c>
      <c r="Y17" s="140">
        <v>0</v>
      </c>
      <c r="DA17" s="170" t="s">
        <v>583</v>
      </c>
    </row>
    <row r="18" spans="1:105" ht="12" customHeight="1" x14ac:dyDescent="0.25">
      <c r="A18" s="131" t="s">
        <v>72</v>
      </c>
      <c r="B18" s="140"/>
      <c r="C18" s="140">
        <v>1558.1589690393594</v>
      </c>
      <c r="D18" s="140">
        <v>1466.7444077772261</v>
      </c>
      <c r="E18" s="140">
        <v>1297.0850109787361</v>
      </c>
      <c r="F18" s="140">
        <v>2022.6287178743182</v>
      </c>
      <c r="G18" s="140">
        <v>1777.5355844073777</v>
      </c>
      <c r="H18" s="140">
        <v>2347.8721346777315</v>
      </c>
      <c r="I18" s="140">
        <v>2330.5650164476615</v>
      </c>
      <c r="J18" s="140">
        <v>1692.0208049281266</v>
      </c>
      <c r="K18" s="140">
        <v>1193.1951888225808</v>
      </c>
      <c r="L18" s="140">
        <v>1401.0377194621335</v>
      </c>
      <c r="M18" s="140">
        <v>1133.8626431368129</v>
      </c>
      <c r="N18" s="140">
        <v>864.9706895609919</v>
      </c>
      <c r="O18" s="140">
        <v>816.16993190463552</v>
      </c>
      <c r="P18" s="140">
        <v>833.95167260198821</v>
      </c>
      <c r="Q18" s="140">
        <v>871.49135942790997</v>
      </c>
      <c r="R18" s="140">
        <v>1335.7618878075195</v>
      </c>
      <c r="S18" s="140">
        <v>1660.6616799743017</v>
      </c>
      <c r="T18" s="140">
        <v>1689.3147127290786</v>
      </c>
      <c r="U18" s="140">
        <v>1606.6261106869929</v>
      </c>
      <c r="V18" s="140">
        <v>1522.3335210939986</v>
      </c>
      <c r="W18" s="140">
        <v>1398.1474878422691</v>
      </c>
      <c r="X18" s="140">
        <v>1286.0793435856763</v>
      </c>
      <c r="Y18" s="140">
        <v>1187.6373098070851</v>
      </c>
      <c r="DA18" s="170" t="s">
        <v>584</v>
      </c>
    </row>
    <row r="19" spans="1:105" ht="12.95" customHeight="1" x14ac:dyDescent="0.25">
      <c r="A19" s="129" t="s">
        <v>35</v>
      </c>
      <c r="B19" s="139"/>
      <c r="C19" s="139">
        <f t="shared" ref="C19:Q19" si="10">SUM(C20:C26)</f>
        <v>1558.1589690393591</v>
      </c>
      <c r="D19" s="139">
        <f t="shared" si="10"/>
        <v>1466.7444077772261</v>
      </c>
      <c r="E19" s="139">
        <f t="shared" si="10"/>
        <v>1297.0850109787361</v>
      </c>
      <c r="F19" s="139">
        <f t="shared" si="10"/>
        <v>2022.6287178743187</v>
      </c>
      <c r="G19" s="139">
        <f t="shared" si="10"/>
        <v>1777.5355844073779</v>
      </c>
      <c r="H19" s="139">
        <f t="shared" si="10"/>
        <v>2347.8721346777315</v>
      </c>
      <c r="I19" s="139">
        <f t="shared" si="10"/>
        <v>2330.565016447661</v>
      </c>
      <c r="J19" s="139">
        <f t="shared" si="10"/>
        <v>1692.0208049281268</v>
      </c>
      <c r="K19" s="139">
        <f t="shared" si="10"/>
        <v>1193.195188822581</v>
      </c>
      <c r="L19" s="139">
        <f t="shared" si="10"/>
        <v>1401.0377194621333</v>
      </c>
      <c r="M19" s="139">
        <f t="shared" si="10"/>
        <v>1133.8626431368129</v>
      </c>
      <c r="N19" s="139">
        <f t="shared" si="10"/>
        <v>864.97068956099179</v>
      </c>
      <c r="O19" s="139">
        <f t="shared" si="10"/>
        <v>816.16993190463552</v>
      </c>
      <c r="P19" s="139">
        <f t="shared" si="10"/>
        <v>833.95167260198832</v>
      </c>
      <c r="Q19" s="139">
        <f t="shared" si="10"/>
        <v>871.49135942790997</v>
      </c>
      <c r="R19" s="139">
        <f t="shared" ref="R19:W19" si="11">SUM(R20:R26)</f>
        <v>1335.7618878075195</v>
      </c>
      <c r="S19" s="139">
        <f t="shared" si="11"/>
        <v>1660.6616799743019</v>
      </c>
      <c r="T19" s="139">
        <f t="shared" si="11"/>
        <v>1689.3147127290786</v>
      </c>
      <c r="U19" s="139">
        <f t="shared" si="11"/>
        <v>1606.6261106869929</v>
      </c>
      <c r="V19" s="139">
        <f t="shared" si="11"/>
        <v>1522.3335210939986</v>
      </c>
      <c r="W19" s="139">
        <f t="shared" si="11"/>
        <v>1398.1474878422691</v>
      </c>
      <c r="X19" s="139">
        <f t="shared" ref="X19:Y19" si="12">SUM(X20:X26)</f>
        <v>1286.0793435856765</v>
      </c>
      <c r="Y19" s="139">
        <f t="shared" si="12"/>
        <v>1187.6373098070851</v>
      </c>
      <c r="DA19" s="169" t="s">
        <v>585</v>
      </c>
    </row>
    <row r="20" spans="1:105" ht="12" customHeight="1" x14ac:dyDescent="0.25">
      <c r="A20" s="131" t="s">
        <v>29</v>
      </c>
      <c r="B20" s="140"/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  <c r="O20" s="140">
        <v>0</v>
      </c>
      <c r="P20" s="140">
        <v>0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0</v>
      </c>
      <c r="DA20" s="170" t="s">
        <v>586</v>
      </c>
    </row>
    <row r="21" spans="1:105" s="2" customFormat="1" ht="12" customHeight="1" x14ac:dyDescent="0.25">
      <c r="A21" s="131" t="s">
        <v>52</v>
      </c>
      <c r="B21" s="140"/>
      <c r="C21" s="140">
        <v>0</v>
      </c>
      <c r="D21" s="140">
        <v>0</v>
      </c>
      <c r="E21" s="140">
        <v>0</v>
      </c>
      <c r="F21" s="140">
        <v>0</v>
      </c>
      <c r="G21" s="140">
        <v>0</v>
      </c>
      <c r="H21" s="140">
        <v>0</v>
      </c>
      <c r="I21" s="140">
        <v>0</v>
      </c>
      <c r="J21" s="140">
        <v>0</v>
      </c>
      <c r="K21" s="140">
        <v>0</v>
      </c>
      <c r="L21" s="140">
        <v>0</v>
      </c>
      <c r="M21" s="140">
        <v>0</v>
      </c>
      <c r="N21" s="140">
        <v>0</v>
      </c>
      <c r="O21" s="140">
        <v>0</v>
      </c>
      <c r="P21" s="140">
        <v>0</v>
      </c>
      <c r="Q21" s="140">
        <v>0</v>
      </c>
      <c r="R21" s="140">
        <v>0</v>
      </c>
      <c r="S21" s="140">
        <v>0</v>
      </c>
      <c r="T21" s="140">
        <v>0</v>
      </c>
      <c r="U21" s="140">
        <v>0</v>
      </c>
      <c r="V21" s="140">
        <v>0</v>
      </c>
      <c r="W21" s="140">
        <v>0</v>
      </c>
      <c r="X21" s="140">
        <v>0</v>
      </c>
      <c r="Y21" s="140">
        <v>0</v>
      </c>
      <c r="DA21" s="170" t="s">
        <v>587</v>
      </c>
    </row>
    <row r="22" spans="1:105" ht="12" customHeight="1" x14ac:dyDescent="0.25">
      <c r="A22" s="131" t="s">
        <v>161</v>
      </c>
      <c r="B22" s="140"/>
      <c r="C22" s="140">
        <v>133.23951912506666</v>
      </c>
      <c r="D22" s="140">
        <v>140.99917076734732</v>
      </c>
      <c r="E22" s="140">
        <v>113.62254508617025</v>
      </c>
      <c r="F22" s="140">
        <v>156.82604208761413</v>
      </c>
      <c r="G22" s="140">
        <v>131.11578224334241</v>
      </c>
      <c r="H22" s="140">
        <v>178.9837154794817</v>
      </c>
      <c r="I22" s="140">
        <v>172.18798795057145</v>
      </c>
      <c r="J22" s="140">
        <v>142.31631059435546</v>
      </c>
      <c r="K22" s="140">
        <v>111.6040240303104</v>
      </c>
      <c r="L22" s="140">
        <v>143.78340387765496</v>
      </c>
      <c r="M22" s="140">
        <v>98.853044774254215</v>
      </c>
      <c r="N22" s="140">
        <v>61.088499939037831</v>
      </c>
      <c r="O22" s="140">
        <v>48.219992430780195</v>
      </c>
      <c r="P22" s="140">
        <v>24.755523299315485</v>
      </c>
      <c r="Q22" s="140">
        <v>33.475196711871135</v>
      </c>
      <c r="R22" s="140">
        <v>43.168264932390144</v>
      </c>
      <c r="S22" s="140">
        <v>12.051330408201554</v>
      </c>
      <c r="T22" s="140">
        <v>9.3012343768628281</v>
      </c>
      <c r="U22" s="140">
        <v>46.188272029346933</v>
      </c>
      <c r="V22" s="140">
        <v>74.910897907012028</v>
      </c>
      <c r="W22" s="140">
        <v>79.722687200289471</v>
      </c>
      <c r="X22" s="140">
        <v>50.7191449110246</v>
      </c>
      <c r="Y22" s="140">
        <v>30.914944076273962</v>
      </c>
      <c r="DA22" s="170" t="s">
        <v>588</v>
      </c>
    </row>
    <row r="23" spans="1:105" ht="12" customHeight="1" x14ac:dyDescent="0.25">
      <c r="A23" s="131" t="s">
        <v>149</v>
      </c>
      <c r="B23" s="140"/>
      <c r="C23" s="140">
        <v>20.188751436318267</v>
      </c>
      <c r="D23" s="140">
        <v>21.034811509729341</v>
      </c>
      <c r="E23" s="140">
        <v>18.972484994698249</v>
      </c>
      <c r="F23" s="140">
        <v>27.668600935518374</v>
      </c>
      <c r="G23" s="140">
        <v>21.622506305310917</v>
      </c>
      <c r="H23" s="140">
        <v>22.482396334999972</v>
      </c>
      <c r="I23" s="140">
        <v>22.060495212588393</v>
      </c>
      <c r="J23" s="140">
        <v>15.372208145174136</v>
      </c>
      <c r="K23" s="140">
        <v>9.7594002161677267</v>
      </c>
      <c r="L23" s="140">
        <v>10.608190659483421</v>
      </c>
      <c r="M23" s="140">
        <v>10.364823874507623</v>
      </c>
      <c r="N23" s="140">
        <v>8.6763190604105738</v>
      </c>
      <c r="O23" s="140">
        <v>8.1047000106847573</v>
      </c>
      <c r="P23" s="140">
        <v>4.2946378388266577</v>
      </c>
      <c r="Q23" s="140">
        <v>8.2306191778175997</v>
      </c>
      <c r="R23" s="140">
        <v>13.124835844860591</v>
      </c>
      <c r="S23" s="140">
        <v>14.1541450643336</v>
      </c>
      <c r="T23" s="140">
        <v>14.517089926480088</v>
      </c>
      <c r="U23" s="140">
        <v>14.122926382293898</v>
      </c>
      <c r="V23" s="140">
        <v>13.075895361286555</v>
      </c>
      <c r="W23" s="140">
        <v>4.877429293325477</v>
      </c>
      <c r="X23" s="140">
        <v>7.9693900854772277</v>
      </c>
      <c r="Y23" s="140">
        <v>0</v>
      </c>
      <c r="DA23" s="170" t="s">
        <v>589</v>
      </c>
    </row>
    <row r="24" spans="1:105" ht="12" customHeight="1" x14ac:dyDescent="0.25">
      <c r="A24" s="131" t="s">
        <v>128</v>
      </c>
      <c r="B24" s="140"/>
      <c r="C24" s="140">
        <v>63.774456704707923</v>
      </c>
      <c r="D24" s="140">
        <v>46.907003839976767</v>
      </c>
      <c r="E24" s="140">
        <v>37.121431705849432</v>
      </c>
      <c r="F24" s="140">
        <v>47.886443387927969</v>
      </c>
      <c r="G24" s="140">
        <v>42.854365959721164</v>
      </c>
      <c r="H24" s="140">
        <v>66.261574589673586</v>
      </c>
      <c r="I24" s="140">
        <v>67.401771882631607</v>
      </c>
      <c r="J24" s="140">
        <v>56.745514089414002</v>
      </c>
      <c r="K24" s="140">
        <v>32.194128253234304</v>
      </c>
      <c r="L24" s="140">
        <v>38.171376485357492</v>
      </c>
      <c r="M24" s="140">
        <v>28.508964601501976</v>
      </c>
      <c r="N24" s="140">
        <v>20.146617902532494</v>
      </c>
      <c r="O24" s="140">
        <v>17.217346867599133</v>
      </c>
      <c r="P24" s="140">
        <v>29.882797208908329</v>
      </c>
      <c r="Q24" s="140">
        <v>37.431833674454765</v>
      </c>
      <c r="R24" s="140">
        <v>71.243515874916611</v>
      </c>
      <c r="S24" s="140">
        <v>61.909287783243641</v>
      </c>
      <c r="T24" s="140">
        <v>53.568201444447233</v>
      </c>
      <c r="U24" s="140">
        <v>45.935082762113936</v>
      </c>
      <c r="V24" s="140">
        <v>49.893664059969559</v>
      </c>
      <c r="W24" s="140">
        <v>52.442567934340055</v>
      </c>
      <c r="X24" s="140">
        <v>30.907217440588507</v>
      </c>
      <c r="Y24" s="140">
        <v>20.812913446866009</v>
      </c>
      <c r="DA24" s="170" t="s">
        <v>590</v>
      </c>
    </row>
    <row r="25" spans="1:105" ht="12" customHeight="1" x14ac:dyDescent="0.25">
      <c r="A25" s="131" t="s">
        <v>162</v>
      </c>
      <c r="B25" s="140"/>
      <c r="C25" s="140">
        <v>857.90545583406572</v>
      </c>
      <c r="D25" s="140">
        <v>752.07613724271687</v>
      </c>
      <c r="E25" s="140">
        <v>654.23847787997386</v>
      </c>
      <c r="F25" s="140">
        <v>1083.5201188824692</v>
      </c>
      <c r="G25" s="140">
        <v>961.49788295634755</v>
      </c>
      <c r="H25" s="140">
        <v>1349.6576647314992</v>
      </c>
      <c r="I25" s="140">
        <v>1319.2178401162098</v>
      </c>
      <c r="J25" s="140">
        <v>812.35462770070171</v>
      </c>
      <c r="K25" s="140">
        <v>506.89637755684936</v>
      </c>
      <c r="L25" s="140">
        <v>567.57965037618908</v>
      </c>
      <c r="M25" s="140">
        <v>459.40761918585304</v>
      </c>
      <c r="N25" s="140">
        <v>356.13434297123655</v>
      </c>
      <c r="O25" s="140">
        <v>343.08275221949759</v>
      </c>
      <c r="P25" s="140">
        <v>332.11699508684632</v>
      </c>
      <c r="Q25" s="140">
        <v>366.20984565768703</v>
      </c>
      <c r="R25" s="140">
        <v>647.3449311992797</v>
      </c>
      <c r="S25" s="140">
        <v>729.8228215251512</v>
      </c>
      <c r="T25" s="140">
        <v>725.33535821561463</v>
      </c>
      <c r="U25" s="140">
        <v>610.88635476237778</v>
      </c>
      <c r="V25" s="140">
        <v>737.81332876655824</v>
      </c>
      <c r="W25" s="140">
        <v>823.01097119524513</v>
      </c>
      <c r="X25" s="140">
        <v>787.65672257837991</v>
      </c>
      <c r="Y25" s="140">
        <v>572.82291742954396</v>
      </c>
      <c r="DA25" s="170" t="s">
        <v>591</v>
      </c>
    </row>
    <row r="26" spans="1:105" ht="12" customHeight="1" x14ac:dyDescent="0.25">
      <c r="A26" s="131" t="s">
        <v>24</v>
      </c>
      <c r="B26" s="141"/>
      <c r="C26" s="141">
        <v>483.05078593920058</v>
      </c>
      <c r="D26" s="141">
        <v>505.72728441745585</v>
      </c>
      <c r="E26" s="141">
        <v>473.13007131204432</v>
      </c>
      <c r="F26" s="141">
        <v>706.72751258078881</v>
      </c>
      <c r="G26" s="141">
        <v>620.44504694265595</v>
      </c>
      <c r="H26" s="141">
        <v>730.48678354207698</v>
      </c>
      <c r="I26" s="141">
        <v>749.69692128565987</v>
      </c>
      <c r="J26" s="141">
        <v>665.23214439848141</v>
      </c>
      <c r="K26" s="141">
        <v>532.7412587660192</v>
      </c>
      <c r="L26" s="141">
        <v>640.89509806344847</v>
      </c>
      <c r="M26" s="141">
        <v>536.72819070069613</v>
      </c>
      <c r="N26" s="141">
        <v>418.9249096877744</v>
      </c>
      <c r="O26" s="141">
        <v>399.54514037607385</v>
      </c>
      <c r="P26" s="141">
        <v>442.90171916809146</v>
      </c>
      <c r="Q26" s="141">
        <v>426.14386420607946</v>
      </c>
      <c r="R26" s="141">
        <v>560.88033995607236</v>
      </c>
      <c r="S26" s="141">
        <v>842.72409519337191</v>
      </c>
      <c r="T26" s="141">
        <v>886.59282876567386</v>
      </c>
      <c r="U26" s="141">
        <v>889.4934747508604</v>
      </c>
      <c r="V26" s="141">
        <v>646.63973499917222</v>
      </c>
      <c r="W26" s="141">
        <v>438.09383221906899</v>
      </c>
      <c r="X26" s="141">
        <v>408.82686857020616</v>
      </c>
      <c r="Y26" s="141">
        <v>563.08653485440118</v>
      </c>
      <c r="DA26" s="171" t="s">
        <v>592</v>
      </c>
    </row>
    <row r="27" spans="1:105" ht="12" customHeight="1" x14ac:dyDescent="0.25">
      <c r="A27" s="144" t="s">
        <v>26</v>
      </c>
      <c r="B27" s="150"/>
      <c r="C27" s="150">
        <v>0</v>
      </c>
      <c r="D27" s="150">
        <v>0</v>
      </c>
      <c r="E27" s="150">
        <v>0</v>
      </c>
      <c r="F27" s="150">
        <v>0</v>
      </c>
      <c r="G27" s="150">
        <v>0</v>
      </c>
      <c r="H27" s="150">
        <v>0</v>
      </c>
      <c r="I27" s="150">
        <v>0</v>
      </c>
      <c r="J27" s="150">
        <v>0</v>
      </c>
      <c r="K27" s="150">
        <v>0</v>
      </c>
      <c r="L27" s="150">
        <v>0</v>
      </c>
      <c r="M27" s="150">
        <v>0</v>
      </c>
      <c r="N27" s="150">
        <v>0</v>
      </c>
      <c r="O27" s="150">
        <v>0</v>
      </c>
      <c r="P27" s="150">
        <v>0</v>
      </c>
      <c r="Q27" s="150">
        <v>0</v>
      </c>
      <c r="R27" s="150">
        <v>0</v>
      </c>
      <c r="S27" s="150">
        <v>0</v>
      </c>
      <c r="T27" s="150">
        <v>0</v>
      </c>
      <c r="U27" s="150">
        <v>0</v>
      </c>
      <c r="V27" s="150">
        <v>0</v>
      </c>
      <c r="W27" s="150">
        <v>0</v>
      </c>
      <c r="X27" s="150">
        <v>0</v>
      </c>
      <c r="Y27" s="150">
        <v>0</v>
      </c>
      <c r="DA27" s="173" t="s">
        <v>593</v>
      </c>
    </row>
    <row r="28" spans="1:105" ht="12" hidden="1" customHeight="1" x14ac:dyDescent="0.25">
      <c r="A28" s="78" t="s">
        <v>26</v>
      </c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DA28" s="174"/>
    </row>
    <row r="29" spans="1:105" ht="12.95" customHeight="1" x14ac:dyDescent="0.25">
      <c r="A29" s="129" t="s">
        <v>34</v>
      </c>
      <c r="B29" s="139"/>
      <c r="C29" s="139">
        <f t="shared" ref="C29:Q29" si="13">SUM(C30:C33)</f>
        <v>1558.1589690393596</v>
      </c>
      <c r="D29" s="139">
        <f t="shared" si="13"/>
        <v>1466.7444077772261</v>
      </c>
      <c r="E29" s="139">
        <f t="shared" si="13"/>
        <v>1297.0850109787361</v>
      </c>
      <c r="F29" s="139">
        <f t="shared" si="13"/>
        <v>2022.6287178743182</v>
      </c>
      <c r="G29" s="139">
        <f t="shared" si="13"/>
        <v>1777.5355844073779</v>
      </c>
      <c r="H29" s="139">
        <f t="shared" si="13"/>
        <v>2347.8721346777311</v>
      </c>
      <c r="I29" s="139">
        <f t="shared" si="13"/>
        <v>2330.5650164476615</v>
      </c>
      <c r="J29" s="139">
        <f t="shared" si="13"/>
        <v>1692.0208049281268</v>
      </c>
      <c r="K29" s="139">
        <f t="shared" si="13"/>
        <v>1193.195188822581</v>
      </c>
      <c r="L29" s="139">
        <f t="shared" si="13"/>
        <v>1401.0377194621335</v>
      </c>
      <c r="M29" s="139">
        <f t="shared" si="13"/>
        <v>1133.8626431368127</v>
      </c>
      <c r="N29" s="139">
        <f t="shared" si="13"/>
        <v>864.97068956099201</v>
      </c>
      <c r="O29" s="139">
        <f t="shared" si="13"/>
        <v>816.16993190463563</v>
      </c>
      <c r="P29" s="139">
        <f t="shared" si="13"/>
        <v>833.95167260198821</v>
      </c>
      <c r="Q29" s="139">
        <f t="shared" si="13"/>
        <v>871.49135942790997</v>
      </c>
      <c r="R29" s="139">
        <f t="shared" ref="R29:W29" si="14">SUM(R30:R33)</f>
        <v>1335.7618878075193</v>
      </c>
      <c r="S29" s="139">
        <f t="shared" si="14"/>
        <v>1660.6616799743015</v>
      </c>
      <c r="T29" s="139">
        <f t="shared" si="14"/>
        <v>1689.3147127290786</v>
      </c>
      <c r="U29" s="139">
        <f t="shared" si="14"/>
        <v>1606.6261106869927</v>
      </c>
      <c r="V29" s="139">
        <f t="shared" si="14"/>
        <v>1522.3335210939983</v>
      </c>
      <c r="W29" s="139">
        <f t="shared" si="14"/>
        <v>1398.1474878422689</v>
      </c>
      <c r="X29" s="139">
        <f t="shared" ref="X29:Y29" si="15">SUM(X30:X33)</f>
        <v>1286.0793435856763</v>
      </c>
      <c r="Y29" s="139">
        <f t="shared" si="15"/>
        <v>1187.6373098070851</v>
      </c>
      <c r="DA29" s="169" t="s">
        <v>594</v>
      </c>
    </row>
    <row r="30" spans="1:105" s="2" customFormat="1" ht="12" customHeight="1" x14ac:dyDescent="0.25">
      <c r="A30" s="131" t="s">
        <v>52</v>
      </c>
      <c r="B30" s="140"/>
      <c r="C30" s="140">
        <v>0</v>
      </c>
      <c r="D30" s="140">
        <v>0</v>
      </c>
      <c r="E30" s="140">
        <v>0</v>
      </c>
      <c r="F30" s="140">
        <v>0</v>
      </c>
      <c r="G30" s="140">
        <v>0</v>
      </c>
      <c r="H30" s="140">
        <v>0</v>
      </c>
      <c r="I30" s="140">
        <v>0</v>
      </c>
      <c r="J30" s="140">
        <v>0</v>
      </c>
      <c r="K30" s="140">
        <v>0</v>
      </c>
      <c r="L30" s="140">
        <v>0</v>
      </c>
      <c r="M30" s="140">
        <v>0</v>
      </c>
      <c r="N30" s="140">
        <v>0</v>
      </c>
      <c r="O30" s="140">
        <v>0</v>
      </c>
      <c r="P30" s="140">
        <v>0</v>
      </c>
      <c r="Q30" s="140">
        <v>0</v>
      </c>
      <c r="R30" s="140">
        <v>0</v>
      </c>
      <c r="S30" s="140">
        <v>0</v>
      </c>
      <c r="T30" s="140">
        <v>0</v>
      </c>
      <c r="U30" s="140">
        <v>0</v>
      </c>
      <c r="V30" s="140">
        <v>0</v>
      </c>
      <c r="W30" s="140">
        <v>0</v>
      </c>
      <c r="X30" s="140">
        <v>0</v>
      </c>
      <c r="Y30" s="140">
        <v>0</v>
      </c>
      <c r="DA30" s="170" t="s">
        <v>595</v>
      </c>
    </row>
    <row r="31" spans="1:105" ht="12" customHeight="1" x14ac:dyDescent="0.25">
      <c r="A31" s="131" t="s">
        <v>149</v>
      </c>
      <c r="B31" s="140"/>
      <c r="C31" s="140">
        <v>32.52162513426692</v>
      </c>
      <c r="D31" s="140">
        <v>32.636205123326668</v>
      </c>
      <c r="E31" s="140">
        <v>27.824358034110368</v>
      </c>
      <c r="F31" s="140">
        <v>39.061227412548114</v>
      </c>
      <c r="G31" s="140">
        <v>32.835909759632543</v>
      </c>
      <c r="H31" s="140">
        <v>40.162453020807298</v>
      </c>
      <c r="I31" s="140">
        <v>37.638768621411806</v>
      </c>
      <c r="J31" s="140">
        <v>25.383328278313414</v>
      </c>
      <c r="K31" s="140">
        <v>13.998896381022808</v>
      </c>
      <c r="L31" s="140">
        <v>12.804100156651138</v>
      </c>
      <c r="M31" s="140">
        <v>2.8507683747123367</v>
      </c>
      <c r="N31" s="140">
        <v>9.706455066882512</v>
      </c>
      <c r="O31" s="140">
        <v>11.4464308234584</v>
      </c>
      <c r="P31" s="140">
        <v>10.626979905264983</v>
      </c>
      <c r="Q31" s="140">
        <v>11.069592097814294</v>
      </c>
      <c r="R31" s="140">
        <v>14.44907512164173</v>
      </c>
      <c r="S31" s="140">
        <v>18.497201467284007</v>
      </c>
      <c r="T31" s="140">
        <v>9.8667260431698054</v>
      </c>
      <c r="U31" s="140">
        <v>12.671200254655094</v>
      </c>
      <c r="V31" s="140">
        <v>15.825809901164559</v>
      </c>
      <c r="W31" s="140">
        <v>4.0349798335883547</v>
      </c>
      <c r="X31" s="140">
        <v>3.3514684093357228</v>
      </c>
      <c r="Y31" s="140">
        <v>2.3037733438795911</v>
      </c>
      <c r="DA31" s="170" t="s">
        <v>596</v>
      </c>
    </row>
    <row r="32" spans="1:105" ht="12" customHeight="1" x14ac:dyDescent="0.25">
      <c r="A32" s="131" t="s">
        <v>128</v>
      </c>
      <c r="B32" s="140"/>
      <c r="C32" s="140">
        <v>0</v>
      </c>
      <c r="D32" s="140">
        <v>0</v>
      </c>
      <c r="E32" s="140">
        <v>0</v>
      </c>
      <c r="F32" s="140">
        <v>0</v>
      </c>
      <c r="G32" s="140">
        <v>0</v>
      </c>
      <c r="H32" s="140">
        <v>0</v>
      </c>
      <c r="I32" s="140">
        <v>0</v>
      </c>
      <c r="J32" s="140">
        <v>0</v>
      </c>
      <c r="K32" s="140">
        <v>0</v>
      </c>
      <c r="L32" s="140">
        <v>0</v>
      </c>
      <c r="M32" s="140">
        <v>0</v>
      </c>
      <c r="N32" s="140">
        <v>0</v>
      </c>
      <c r="O32" s="140">
        <v>0</v>
      </c>
      <c r="P32" s="140">
        <v>0</v>
      </c>
      <c r="Q32" s="140">
        <v>0</v>
      </c>
      <c r="R32" s="140">
        <v>0</v>
      </c>
      <c r="S32" s="140">
        <v>0</v>
      </c>
      <c r="T32" s="140">
        <v>0</v>
      </c>
      <c r="U32" s="140">
        <v>0</v>
      </c>
      <c r="V32" s="140">
        <v>0</v>
      </c>
      <c r="W32" s="140">
        <v>0</v>
      </c>
      <c r="X32" s="140">
        <v>0</v>
      </c>
      <c r="Y32" s="140">
        <v>0</v>
      </c>
      <c r="DA32" s="170" t="s">
        <v>597</v>
      </c>
    </row>
    <row r="33" spans="1:105" ht="12" customHeight="1" x14ac:dyDescent="0.25">
      <c r="A33" s="62" t="s">
        <v>24</v>
      </c>
      <c r="B33" s="152"/>
      <c r="C33" s="152">
        <v>1525.6373439050926</v>
      </c>
      <c r="D33" s="152">
        <v>1434.1082026538995</v>
      </c>
      <c r="E33" s="152">
        <v>1269.2606529446257</v>
      </c>
      <c r="F33" s="152">
        <v>1983.5674904617701</v>
      </c>
      <c r="G33" s="152">
        <v>1744.6996746477453</v>
      </c>
      <c r="H33" s="152">
        <v>2307.7096816569237</v>
      </c>
      <c r="I33" s="152">
        <v>2292.9262478262499</v>
      </c>
      <c r="J33" s="152">
        <v>1666.6374766498134</v>
      </c>
      <c r="K33" s="152">
        <v>1179.1962924415582</v>
      </c>
      <c r="L33" s="152">
        <v>1388.2336193054823</v>
      </c>
      <c r="M33" s="152">
        <v>1131.0118747621004</v>
      </c>
      <c r="N33" s="152">
        <v>855.26423449410947</v>
      </c>
      <c r="O33" s="152">
        <v>804.72350108117723</v>
      </c>
      <c r="P33" s="152">
        <v>823.32469269672322</v>
      </c>
      <c r="Q33" s="152">
        <v>860.42176733009569</v>
      </c>
      <c r="R33" s="152">
        <v>1321.3128126858776</v>
      </c>
      <c r="S33" s="152">
        <v>1642.1644785070175</v>
      </c>
      <c r="T33" s="152">
        <v>1679.4479866859087</v>
      </c>
      <c r="U33" s="152">
        <v>1593.9549104323376</v>
      </c>
      <c r="V33" s="152">
        <v>1506.5077111928338</v>
      </c>
      <c r="W33" s="152">
        <v>1394.1125080086806</v>
      </c>
      <c r="X33" s="152">
        <v>1282.7278751763406</v>
      </c>
      <c r="Y33" s="152">
        <v>1185.3335364632055</v>
      </c>
      <c r="DA33" s="175" t="s">
        <v>598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Y15 C19:Y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81</v>
      </c>
      <c r="B3" s="125"/>
      <c r="C3" s="125">
        <f t="shared" ref="C3:Q3" si="0">SUM(C4,C16,C19,C29)</f>
        <v>29.837286869419849</v>
      </c>
      <c r="D3" s="125">
        <f t="shared" si="0"/>
        <v>28.505717581512169</v>
      </c>
      <c r="E3" s="125">
        <f t="shared" si="0"/>
        <v>24.927468302609839</v>
      </c>
      <c r="F3" s="125">
        <f t="shared" si="0"/>
        <v>37.918539500391894</v>
      </c>
      <c r="G3" s="125">
        <f t="shared" si="0"/>
        <v>32.044156473608268</v>
      </c>
      <c r="H3" s="125">
        <f t="shared" si="0"/>
        <v>41.220383757871076</v>
      </c>
      <c r="I3" s="125">
        <f t="shared" si="0"/>
        <v>41.320019775556133</v>
      </c>
      <c r="J3" s="125">
        <f t="shared" si="0"/>
        <v>29.330830273922288</v>
      </c>
      <c r="K3" s="125">
        <f t="shared" si="0"/>
        <v>22.63504957994671</v>
      </c>
      <c r="L3" s="125">
        <f t="shared" si="0"/>
        <v>28.216134441205529</v>
      </c>
      <c r="M3" s="125">
        <f t="shared" si="0"/>
        <v>19.532847799117413</v>
      </c>
      <c r="N3" s="125">
        <f t="shared" si="0"/>
        <v>15.351815707355446</v>
      </c>
      <c r="O3" s="125">
        <f t="shared" si="0"/>
        <v>13.020204691334113</v>
      </c>
      <c r="P3" s="125">
        <f t="shared" si="0"/>
        <v>12.55299813516417</v>
      </c>
      <c r="Q3" s="125">
        <f t="shared" si="0"/>
        <v>11.808070691126886</v>
      </c>
      <c r="R3" s="125">
        <f t="shared" ref="R3:W3" si="1">SUM(R4,R16,R19,R29)</f>
        <v>18.576054128963349</v>
      </c>
      <c r="S3" s="125">
        <f t="shared" si="1"/>
        <v>21.7728496559542</v>
      </c>
      <c r="T3" s="125">
        <f t="shared" si="1"/>
        <v>21.40794929546389</v>
      </c>
      <c r="U3" s="125">
        <f t="shared" si="1"/>
        <v>18.576939853842937</v>
      </c>
      <c r="V3" s="125">
        <f t="shared" si="1"/>
        <v>14.863390688866799</v>
      </c>
      <c r="W3" s="125">
        <f t="shared" si="1"/>
        <v>13.334840198742812</v>
      </c>
      <c r="X3" s="125">
        <f t="shared" ref="X3:Y3" si="2">SUM(X4,X16,X19,X29)</f>
        <v>10.796607972090527</v>
      </c>
      <c r="Y3" s="125">
        <f t="shared" si="2"/>
        <v>9.9604937851849833</v>
      </c>
      <c r="DA3" s="154" t="s">
        <v>600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22.783546140040865</v>
      </c>
      <c r="D4" s="130">
        <f t="shared" si="3"/>
        <v>21.948883390422331</v>
      </c>
      <c r="E4" s="130">
        <f t="shared" si="3"/>
        <v>19.126360205887377</v>
      </c>
      <c r="F4" s="130">
        <f t="shared" si="3"/>
        <v>29.050356078650115</v>
      </c>
      <c r="G4" s="130">
        <f t="shared" si="3"/>
        <v>24.273629108277436</v>
      </c>
      <c r="H4" s="130">
        <f t="shared" si="3"/>
        <v>31.071007275093418</v>
      </c>
      <c r="I4" s="130">
        <f t="shared" si="3"/>
        <v>31.428266219987627</v>
      </c>
      <c r="J4" s="130">
        <f t="shared" si="3"/>
        <v>22.175356328065632</v>
      </c>
      <c r="K4" s="130">
        <f t="shared" si="3"/>
        <v>17.583493451710595</v>
      </c>
      <c r="L4" s="130">
        <f t="shared" si="3"/>
        <v>22.273694091340452</v>
      </c>
      <c r="M4" s="130">
        <f t="shared" si="3"/>
        <v>14.770461878759074</v>
      </c>
      <c r="N4" s="130">
        <f t="shared" si="3"/>
        <v>11.784407779742622</v>
      </c>
      <c r="O4" s="130">
        <f t="shared" si="3"/>
        <v>9.7006763562479019</v>
      </c>
      <c r="P4" s="130">
        <f t="shared" si="3"/>
        <v>9.2108309253455296</v>
      </c>
      <c r="Q4" s="130">
        <f t="shared" si="3"/>
        <v>8.3630502567282718</v>
      </c>
      <c r="R4" s="130">
        <f t="shared" ref="R4:W4" si="4">SUM(R5:R15)</f>
        <v>13.35917057972395</v>
      </c>
      <c r="S4" s="130">
        <f t="shared" si="4"/>
        <v>15.2868847379298</v>
      </c>
      <c r="T4" s="130">
        <f t="shared" si="4"/>
        <v>14.947961248678162</v>
      </c>
      <c r="U4" s="130">
        <f t="shared" si="4"/>
        <v>12.319354267680634</v>
      </c>
      <c r="V4" s="130">
        <f t="shared" si="4"/>
        <v>9.4582570532664523</v>
      </c>
      <c r="W4" s="130">
        <f t="shared" si="4"/>
        <v>8.0080935827507211</v>
      </c>
      <c r="X4" s="130">
        <f t="shared" ref="X4:Y4" si="5">SUM(X5:X15)</f>
        <v>5.962097883154768</v>
      </c>
      <c r="Y4" s="130">
        <f t="shared" si="5"/>
        <v>5.4739201486044182</v>
      </c>
      <c r="DA4" s="155" t="s">
        <v>601</v>
      </c>
    </row>
    <row r="5" spans="1:105" ht="12" customHeight="1" x14ac:dyDescent="0.25">
      <c r="A5" s="131" t="s">
        <v>29</v>
      </c>
      <c r="B5" s="132"/>
      <c r="C5" s="132">
        <v>1.097635993667009E-2</v>
      </c>
      <c r="D5" s="132">
        <v>1.6697261478758899E-2</v>
      </c>
      <c r="E5" s="132">
        <v>1.8325759286953652E-2</v>
      </c>
      <c r="F5" s="132">
        <v>2.8879906541192952E-2</v>
      </c>
      <c r="G5" s="132">
        <v>2.3690190789753086E-2</v>
      </c>
      <c r="H5" s="132">
        <v>3.6239839837974741E-2</v>
      </c>
      <c r="I5" s="132">
        <v>3.856119204445408E-2</v>
      </c>
      <c r="J5" s="132">
        <v>2.9875024533119372E-2</v>
      </c>
      <c r="K5" s="132">
        <v>2.8161154752880009E-2</v>
      </c>
      <c r="L5" s="132">
        <v>3.577104924734939E-2</v>
      </c>
      <c r="M5" s="132">
        <v>1.686620417024063E-2</v>
      </c>
      <c r="N5" s="132">
        <v>1.6570378616341259E-2</v>
      </c>
      <c r="O5" s="132">
        <v>1.1082370532077598E-2</v>
      </c>
      <c r="P5" s="132">
        <v>1.0108212467662131E-2</v>
      </c>
      <c r="Q5" s="132">
        <v>8.2382491596923214E-3</v>
      </c>
      <c r="R5" s="132">
        <v>1.4709972194909497E-2</v>
      </c>
      <c r="S5" s="132">
        <v>1.7545926931017756E-2</v>
      </c>
      <c r="T5" s="132">
        <v>1.8168730562031245E-2</v>
      </c>
      <c r="U5" s="132">
        <v>1.4773292680937593E-2</v>
      </c>
      <c r="V5" s="132">
        <v>1.1126685799176564E-2</v>
      </c>
      <c r="W5" s="132">
        <v>1.5471648824551505E-2</v>
      </c>
      <c r="X5" s="132">
        <v>9.8784230730900938E-3</v>
      </c>
      <c r="Y5" s="132">
        <v>9.6350584662211938E-3</v>
      </c>
      <c r="DA5" s="156" t="s">
        <v>602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603</v>
      </c>
    </row>
    <row r="7" spans="1:105" ht="12" customHeight="1" x14ac:dyDescent="0.25">
      <c r="A7" s="131" t="s">
        <v>161</v>
      </c>
      <c r="B7" s="132"/>
      <c r="C7" s="132">
        <v>1.9281073638650474</v>
      </c>
      <c r="D7" s="132">
        <v>2.1314155207132139</v>
      </c>
      <c r="E7" s="132">
        <v>2.3902614642349018</v>
      </c>
      <c r="F7" s="132">
        <v>3.7770036896560089</v>
      </c>
      <c r="G7" s="132">
        <v>2.8840817517056507</v>
      </c>
      <c r="H7" s="132">
        <v>2.4596645363235421</v>
      </c>
      <c r="I7" s="132">
        <v>0.98522842960835622</v>
      </c>
      <c r="J7" s="132">
        <v>0.87256214724115266</v>
      </c>
      <c r="K7" s="132">
        <v>2.3529562127231629</v>
      </c>
      <c r="L7" s="132">
        <v>4.8452710244316899</v>
      </c>
      <c r="M7" s="132">
        <v>3.0072184395058721</v>
      </c>
      <c r="N7" s="132">
        <v>2.1584934494660821</v>
      </c>
      <c r="O7" s="132">
        <v>1.3041064876384865</v>
      </c>
      <c r="P7" s="132">
        <v>0.63611433321788258</v>
      </c>
      <c r="Q7" s="132">
        <v>0.8291601854123638</v>
      </c>
      <c r="R7" s="132">
        <v>1.5370135902231379</v>
      </c>
      <c r="S7" s="132">
        <v>1.7519199129059075</v>
      </c>
      <c r="T7" s="132">
        <v>1.5743872745217262</v>
      </c>
      <c r="U7" s="132">
        <v>1.6443706135973404</v>
      </c>
      <c r="V7" s="132">
        <v>1.2314027571634734</v>
      </c>
      <c r="W7" s="132">
        <v>1.1392497099760375</v>
      </c>
      <c r="X7" s="132">
        <v>0.81104120607974084</v>
      </c>
      <c r="Y7" s="132">
        <v>0.79619424416896778</v>
      </c>
      <c r="DA7" s="156" t="s">
        <v>604</v>
      </c>
    </row>
    <row r="8" spans="1:105" ht="12" customHeight="1" x14ac:dyDescent="0.25">
      <c r="A8" s="131" t="s">
        <v>73</v>
      </c>
      <c r="B8" s="132"/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605</v>
      </c>
    </row>
    <row r="9" spans="1:105" ht="12" customHeight="1" x14ac:dyDescent="0.25">
      <c r="A9" s="131" t="s">
        <v>78</v>
      </c>
      <c r="B9" s="132"/>
      <c r="C9" s="132">
        <v>0.50237566517541332</v>
      </c>
      <c r="D9" s="132">
        <v>0.60200654297529355</v>
      </c>
      <c r="E9" s="132">
        <v>0.49184978634054527</v>
      </c>
      <c r="F9" s="132">
        <v>0.81436832654640101</v>
      </c>
      <c r="G9" s="132">
        <v>0.41339888361243338</v>
      </c>
      <c r="H9" s="132">
        <v>0.22907131972567912</v>
      </c>
      <c r="I9" s="132">
        <v>6.7037171786991978E-2</v>
      </c>
      <c r="J9" s="132">
        <v>0.13810241600346734</v>
      </c>
      <c r="K9" s="132">
        <v>0.25586563417434122</v>
      </c>
      <c r="L9" s="132">
        <v>0.39123181980556382</v>
      </c>
      <c r="M9" s="132">
        <v>0.28512223900506423</v>
      </c>
      <c r="N9" s="132">
        <v>0.31671631257271782</v>
      </c>
      <c r="O9" s="132">
        <v>0.39943047731315623</v>
      </c>
      <c r="P9" s="132">
        <v>0.45812023984447831</v>
      </c>
      <c r="Q9" s="132">
        <v>0.23344318099796282</v>
      </c>
      <c r="R9" s="132">
        <v>0.35455091205591799</v>
      </c>
      <c r="S9" s="132">
        <v>0.28823717790433689</v>
      </c>
      <c r="T9" s="132">
        <v>0.22461933669791764</v>
      </c>
      <c r="U9" s="132">
        <v>0.22748735079834054</v>
      </c>
      <c r="V9" s="132">
        <v>0.13139671623913032</v>
      </c>
      <c r="W9" s="132">
        <v>0.10055495820638818</v>
      </c>
      <c r="X9" s="132">
        <v>4.4706425347920686E-3</v>
      </c>
      <c r="Y9" s="132">
        <v>0</v>
      </c>
      <c r="DA9" s="156" t="s">
        <v>606</v>
      </c>
    </row>
    <row r="10" spans="1:105" ht="12" customHeight="1" x14ac:dyDescent="0.25">
      <c r="A10" s="131" t="s">
        <v>128</v>
      </c>
      <c r="B10" s="132"/>
      <c r="C10" s="132">
        <v>0.67519928178993427</v>
      </c>
      <c r="D10" s="132">
        <v>0.73571583137736829</v>
      </c>
      <c r="E10" s="132">
        <v>0.68668869618521844</v>
      </c>
      <c r="F10" s="132">
        <v>0.96964429049024137</v>
      </c>
      <c r="G10" s="132">
        <v>0.8176933736982831</v>
      </c>
      <c r="H10" s="132">
        <v>1.0494318874129112</v>
      </c>
      <c r="I10" s="132">
        <v>0.87181607063463562</v>
      </c>
      <c r="J10" s="132">
        <v>0.95379967809621935</v>
      </c>
      <c r="K10" s="132">
        <v>0.60035595703201505</v>
      </c>
      <c r="L10" s="132">
        <v>0.85327157566047274</v>
      </c>
      <c r="M10" s="132">
        <v>0.505388455611395</v>
      </c>
      <c r="N10" s="132">
        <v>0.40787531591373843</v>
      </c>
      <c r="O10" s="132">
        <v>0.2915828920592779</v>
      </c>
      <c r="P10" s="132">
        <v>0.30668602281255247</v>
      </c>
      <c r="Q10" s="132">
        <v>0.31902557060363212</v>
      </c>
      <c r="R10" s="132">
        <v>0.5762795577679144</v>
      </c>
      <c r="S10" s="132">
        <v>0.63444379145282759</v>
      </c>
      <c r="T10" s="132">
        <v>0.56332790114019626</v>
      </c>
      <c r="U10" s="132">
        <v>0.51266537748788166</v>
      </c>
      <c r="V10" s="132">
        <v>0.42924097017228252</v>
      </c>
      <c r="W10" s="132">
        <v>0.41086698132394245</v>
      </c>
      <c r="X10" s="132">
        <v>0.28476695930143042</v>
      </c>
      <c r="Y10" s="132">
        <v>0.27306222940222014</v>
      </c>
      <c r="DA10" s="156" t="s">
        <v>607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608</v>
      </c>
    </row>
    <row r="12" spans="1:105" ht="12" customHeight="1" x14ac:dyDescent="0.25">
      <c r="A12" s="131" t="s">
        <v>162</v>
      </c>
      <c r="B12" s="132"/>
      <c r="C12" s="132">
        <v>12.198213423813517</v>
      </c>
      <c r="D12" s="132">
        <v>11.005160881690362</v>
      </c>
      <c r="E12" s="132">
        <v>9.2246360829231797</v>
      </c>
      <c r="F12" s="132">
        <v>12.538203513033418</v>
      </c>
      <c r="G12" s="132">
        <v>11.202054722165654</v>
      </c>
      <c r="H12" s="132">
        <v>16.860679185582836</v>
      </c>
      <c r="I12" s="132">
        <v>21.550690555681616</v>
      </c>
      <c r="J12" s="132">
        <v>13.41737162186776</v>
      </c>
      <c r="K12" s="132">
        <v>9.7292150970170432</v>
      </c>
      <c r="L12" s="132">
        <v>9.8620681567430459</v>
      </c>
      <c r="M12" s="132">
        <v>5.7996950470696538</v>
      </c>
      <c r="N12" s="132">
        <v>5.3648972108420789</v>
      </c>
      <c r="O12" s="132">
        <v>4.7034128667185211</v>
      </c>
      <c r="P12" s="132">
        <v>6.030150271542178</v>
      </c>
      <c r="Q12" s="132">
        <v>4.0498467378702943</v>
      </c>
      <c r="R12" s="132">
        <v>7.3599583900176144</v>
      </c>
      <c r="S12" s="132">
        <v>8.2159984120081333</v>
      </c>
      <c r="T12" s="132">
        <v>7.2921979764609732</v>
      </c>
      <c r="U12" s="132">
        <v>6.5702102563803741</v>
      </c>
      <c r="V12" s="132">
        <v>5.1483532956500024</v>
      </c>
      <c r="W12" s="132">
        <v>5.0287821561541017</v>
      </c>
      <c r="X12" s="132">
        <v>3.4374621101357836</v>
      </c>
      <c r="Y12" s="132">
        <v>3.4616207937374366</v>
      </c>
      <c r="DA12" s="156" t="s">
        <v>609</v>
      </c>
    </row>
    <row r="13" spans="1:105" ht="12" customHeight="1" x14ac:dyDescent="0.25">
      <c r="A13" s="131" t="s">
        <v>77</v>
      </c>
      <c r="B13" s="132"/>
      <c r="C13" s="132">
        <v>5.8764084284487872E-2</v>
      </c>
      <c r="D13" s="132">
        <v>0.10252799447030939</v>
      </c>
      <c r="E13" s="132">
        <v>0.10564543366071803</v>
      </c>
      <c r="F13" s="132">
        <v>0.17523238590547432</v>
      </c>
      <c r="G13" s="132">
        <v>0.15739545112819447</v>
      </c>
      <c r="H13" s="132">
        <v>0.1885788151808423</v>
      </c>
      <c r="I13" s="132">
        <v>0.164367558884319</v>
      </c>
      <c r="J13" s="132">
        <v>0.12849767325092548</v>
      </c>
      <c r="K13" s="132">
        <v>9.8289659482797914E-2</v>
      </c>
      <c r="L13" s="132">
        <v>0.14125056258597241</v>
      </c>
      <c r="M13" s="132">
        <v>0.16347714195838464</v>
      </c>
      <c r="N13" s="132">
        <v>0.1149327817886758</v>
      </c>
      <c r="O13" s="132">
        <v>0.14500712333403026</v>
      </c>
      <c r="P13" s="132">
        <v>0.25599454094154278</v>
      </c>
      <c r="Q13" s="132">
        <v>0.2565612857544759</v>
      </c>
      <c r="R13" s="132">
        <v>0.20713261300507096</v>
      </c>
      <c r="S13" s="132">
        <v>0.22915695953923115</v>
      </c>
      <c r="T13" s="132">
        <v>0.23371525078114008</v>
      </c>
      <c r="U13" s="132">
        <v>0.25609173830938248</v>
      </c>
      <c r="V13" s="132">
        <v>0.23405037884004171</v>
      </c>
      <c r="W13" s="132">
        <v>0.25336243539178538</v>
      </c>
      <c r="X13" s="132">
        <v>0.21482586194512163</v>
      </c>
      <c r="Y13" s="132">
        <v>0.20336462824065241</v>
      </c>
      <c r="DA13" s="156" t="s">
        <v>610</v>
      </c>
    </row>
    <row r="14" spans="1:105" ht="12" customHeight="1" x14ac:dyDescent="0.25">
      <c r="A14" s="60" t="s">
        <v>76</v>
      </c>
      <c r="B14" s="65"/>
      <c r="C14" s="65">
        <v>7.334477670427777</v>
      </c>
      <c r="D14" s="65">
        <v>7.2822771569896378</v>
      </c>
      <c r="E14" s="65">
        <v>6.1424404893455176</v>
      </c>
      <c r="F14" s="65">
        <v>10.650964137561798</v>
      </c>
      <c r="G14" s="65">
        <v>8.6985154652560492</v>
      </c>
      <c r="H14" s="65">
        <v>10.155607040923293</v>
      </c>
      <c r="I14" s="65">
        <v>7.6594986731431636</v>
      </c>
      <c r="J14" s="65">
        <v>6.5736489704492564</v>
      </c>
      <c r="K14" s="65">
        <v>4.456975555290291</v>
      </c>
      <c r="L14" s="65">
        <v>6.0566810343481263</v>
      </c>
      <c r="M14" s="65">
        <v>4.9384659374685445</v>
      </c>
      <c r="N14" s="65">
        <v>3.3598746730186115</v>
      </c>
      <c r="O14" s="65">
        <v>2.8107555816370402</v>
      </c>
      <c r="P14" s="65">
        <v>1.4795677226846342</v>
      </c>
      <c r="Q14" s="65">
        <v>2.6393146197287849</v>
      </c>
      <c r="R14" s="65">
        <v>3.2598728870991636</v>
      </c>
      <c r="S14" s="65">
        <v>4.0949507050425247</v>
      </c>
      <c r="T14" s="65">
        <v>4.993169459388505</v>
      </c>
      <c r="U14" s="65">
        <v>3.0472123389718968</v>
      </c>
      <c r="V14" s="65">
        <v>2.237273028948191</v>
      </c>
      <c r="W14" s="65">
        <v>1.0262939802815443</v>
      </c>
      <c r="X14" s="65">
        <v>1.1770782877451782</v>
      </c>
      <c r="Y14" s="65">
        <v>0.70758477195917113</v>
      </c>
      <c r="DA14" s="109" t="s">
        <v>611</v>
      </c>
    </row>
    <row r="15" spans="1:105" ht="12" customHeight="1" x14ac:dyDescent="0.25">
      <c r="A15" s="133" t="s">
        <v>80</v>
      </c>
      <c r="B15" s="134"/>
      <c r="C15" s="134">
        <v>7.5432290748019742E-2</v>
      </c>
      <c r="D15" s="134">
        <v>7.3082200727387248E-2</v>
      </c>
      <c r="E15" s="134">
        <v>6.6512493910340226E-2</v>
      </c>
      <c r="F15" s="134">
        <v>9.6059828915582512E-2</v>
      </c>
      <c r="G15" s="134">
        <v>7.6799269921418709E-2</v>
      </c>
      <c r="H15" s="134">
        <v>9.1734650106339785E-2</v>
      </c>
      <c r="I15" s="134">
        <v>9.1066568204092799E-2</v>
      </c>
      <c r="J15" s="134">
        <v>6.1498796623731651E-2</v>
      </c>
      <c r="K15" s="134">
        <v>6.1674181238064625E-2</v>
      </c>
      <c r="L15" s="134">
        <v>8.8148868518228354E-2</v>
      </c>
      <c r="M15" s="134">
        <v>5.4228413969920321E-2</v>
      </c>
      <c r="N15" s="134">
        <v>4.5047657524376228E-2</v>
      </c>
      <c r="O15" s="134">
        <v>3.5298557015310567E-2</v>
      </c>
      <c r="P15" s="134">
        <v>3.4089581834600383E-2</v>
      </c>
      <c r="Q15" s="134">
        <v>2.7460427201066166E-2</v>
      </c>
      <c r="R15" s="134">
        <v>4.9652657360222105E-2</v>
      </c>
      <c r="S15" s="134">
        <v>5.4631852145822002E-2</v>
      </c>
      <c r="T15" s="134">
        <v>4.8375319125672417E-2</v>
      </c>
      <c r="U15" s="134">
        <v>4.6543299454480602E-2</v>
      </c>
      <c r="V15" s="134">
        <v>3.5413220454154751E-2</v>
      </c>
      <c r="W15" s="134">
        <v>3.35117125923695E-2</v>
      </c>
      <c r="X15" s="134">
        <v>2.2574392339630975E-2</v>
      </c>
      <c r="Y15" s="134">
        <v>2.2458422629748998E-2</v>
      </c>
      <c r="DA15" s="157" t="s">
        <v>612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1.2696638848368236</v>
      </c>
      <c r="D16" s="130">
        <f t="shared" si="6"/>
        <v>1.1364092075813315</v>
      </c>
      <c r="E16" s="130">
        <f t="shared" si="6"/>
        <v>0.99867859498393019</v>
      </c>
      <c r="F16" s="130">
        <f t="shared" si="6"/>
        <v>1.4247483936904692</v>
      </c>
      <c r="G16" s="130">
        <f t="shared" si="6"/>
        <v>1.1958982503176974</v>
      </c>
      <c r="H16" s="130">
        <f t="shared" si="6"/>
        <v>1.5142397698621284</v>
      </c>
      <c r="I16" s="130">
        <f t="shared" si="6"/>
        <v>1.435226955254447</v>
      </c>
      <c r="J16" s="130">
        <f t="shared" si="6"/>
        <v>0.99790899492746576</v>
      </c>
      <c r="K16" s="130">
        <f t="shared" si="6"/>
        <v>0.66863867278454325</v>
      </c>
      <c r="L16" s="130">
        <f t="shared" si="6"/>
        <v>0.79912482136096608</v>
      </c>
      <c r="M16" s="130">
        <f t="shared" si="6"/>
        <v>0.5763963826417029</v>
      </c>
      <c r="N16" s="130">
        <f t="shared" si="6"/>
        <v>0.40829933901472198</v>
      </c>
      <c r="O16" s="130">
        <f t="shared" si="6"/>
        <v>0.35972657579708273</v>
      </c>
      <c r="P16" s="130">
        <f t="shared" si="6"/>
        <v>0.34462925211581402</v>
      </c>
      <c r="Q16" s="130">
        <f t="shared" si="6"/>
        <v>0.33483819984367247</v>
      </c>
      <c r="R16" s="130">
        <f t="shared" ref="R16:W16" si="7">SUM(R17:R18)</f>
        <v>0.49548729848482265</v>
      </c>
      <c r="S16" s="130">
        <f t="shared" si="7"/>
        <v>0.59123832304780088</v>
      </c>
      <c r="T16" s="130">
        <f t="shared" si="7"/>
        <v>0.57723912598206573</v>
      </c>
      <c r="U16" s="130">
        <f t="shared" si="7"/>
        <v>0.52816837976351361</v>
      </c>
      <c r="V16" s="130">
        <f t="shared" si="7"/>
        <v>0.47566329767900611</v>
      </c>
      <c r="W16" s="130">
        <f t="shared" si="7"/>
        <v>0.38014267090076986</v>
      </c>
      <c r="X16" s="130">
        <f t="shared" ref="X16:Y16" si="8">SUM(X17:X18)</f>
        <v>0.33215674260333095</v>
      </c>
      <c r="Y16" s="130">
        <f t="shared" si="8"/>
        <v>0.311553144270036</v>
      </c>
      <c r="DA16" s="155" t="s">
        <v>613</v>
      </c>
    </row>
    <row r="17" spans="1:105" ht="12.95" customHeight="1" x14ac:dyDescent="0.25">
      <c r="A17" s="131" t="s">
        <v>73</v>
      </c>
      <c r="B17" s="132"/>
      <c r="C17" s="132">
        <v>0</v>
      </c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32">
        <v>0</v>
      </c>
      <c r="J17" s="132">
        <v>0</v>
      </c>
      <c r="K17" s="132">
        <v>0</v>
      </c>
      <c r="L17" s="132">
        <v>0</v>
      </c>
      <c r="M17" s="132">
        <v>0</v>
      </c>
      <c r="N17" s="132">
        <v>0</v>
      </c>
      <c r="O17" s="132">
        <v>0</v>
      </c>
      <c r="P17" s="132">
        <v>0</v>
      </c>
      <c r="Q17" s="132">
        <v>0</v>
      </c>
      <c r="R17" s="132">
        <v>0</v>
      </c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32">
        <v>0</v>
      </c>
      <c r="Y17" s="132">
        <v>0</v>
      </c>
      <c r="DA17" s="156" t="s">
        <v>614</v>
      </c>
    </row>
    <row r="18" spans="1:105" ht="12" customHeight="1" x14ac:dyDescent="0.25">
      <c r="A18" s="131" t="s">
        <v>72</v>
      </c>
      <c r="B18" s="132"/>
      <c r="C18" s="132">
        <v>1.2696638848368236</v>
      </c>
      <c r="D18" s="132">
        <v>1.1364092075813315</v>
      </c>
      <c r="E18" s="132">
        <v>0.99867859498393019</v>
      </c>
      <c r="F18" s="132">
        <v>1.4247483936904692</v>
      </c>
      <c r="G18" s="132">
        <v>1.1958982503176974</v>
      </c>
      <c r="H18" s="132">
        <v>1.5142397698621284</v>
      </c>
      <c r="I18" s="132">
        <v>1.435226955254447</v>
      </c>
      <c r="J18" s="132">
        <v>0.99790899492746576</v>
      </c>
      <c r="K18" s="132">
        <v>0.66863867278454325</v>
      </c>
      <c r="L18" s="132">
        <v>0.79912482136096608</v>
      </c>
      <c r="M18" s="132">
        <v>0.5763963826417029</v>
      </c>
      <c r="N18" s="132">
        <v>0.40829933901472198</v>
      </c>
      <c r="O18" s="132">
        <v>0.35972657579708273</v>
      </c>
      <c r="P18" s="132">
        <v>0.34462925211581402</v>
      </c>
      <c r="Q18" s="132">
        <v>0.33483819984367247</v>
      </c>
      <c r="R18" s="132">
        <v>0.49548729848482265</v>
      </c>
      <c r="S18" s="132">
        <v>0.59123832304780088</v>
      </c>
      <c r="T18" s="132">
        <v>0.57723912598206573</v>
      </c>
      <c r="U18" s="132">
        <v>0.52816837976351361</v>
      </c>
      <c r="V18" s="132">
        <v>0.47566329767900611</v>
      </c>
      <c r="W18" s="132">
        <v>0.38014267090076986</v>
      </c>
      <c r="X18" s="132">
        <v>0.33215674260333095</v>
      </c>
      <c r="Y18" s="132">
        <v>0.311553144270036</v>
      </c>
      <c r="DA18" s="156" t="s">
        <v>615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2.9801313325522791</v>
      </c>
      <c r="D19" s="130">
        <f t="shared" si="9"/>
        <v>2.8049165250498964</v>
      </c>
      <c r="E19" s="130">
        <f t="shared" si="9"/>
        <v>2.4833800349967117</v>
      </c>
      <c r="F19" s="130">
        <f t="shared" si="9"/>
        <v>3.8023099105309224</v>
      </c>
      <c r="G19" s="130">
        <f t="shared" si="9"/>
        <v>3.3553322287482059</v>
      </c>
      <c r="H19" s="130">
        <f t="shared" si="9"/>
        <v>4.3600333742882134</v>
      </c>
      <c r="I19" s="130">
        <f t="shared" si="9"/>
        <v>4.2799551599019861</v>
      </c>
      <c r="J19" s="130">
        <f t="shared" si="9"/>
        <v>3.1430029982961702</v>
      </c>
      <c r="K19" s="130">
        <f t="shared" si="9"/>
        <v>2.2310231148496924</v>
      </c>
      <c r="L19" s="130">
        <f t="shared" si="9"/>
        <v>2.6467413720222215</v>
      </c>
      <c r="M19" s="130">
        <f t="shared" si="9"/>
        <v>2.126008371415645</v>
      </c>
      <c r="N19" s="130">
        <f t="shared" si="9"/>
        <v>1.5987816261540333</v>
      </c>
      <c r="O19" s="130">
        <f t="shared" si="9"/>
        <v>1.4797928637289917</v>
      </c>
      <c r="P19" s="130">
        <f t="shared" si="9"/>
        <v>1.4810214619676625</v>
      </c>
      <c r="Q19" s="130">
        <f t="shared" si="9"/>
        <v>1.5148886546783953</v>
      </c>
      <c r="R19" s="130">
        <f t="shared" ref="R19:W19" si="10">SUM(R20:R27)</f>
        <v>2.2584200803651258</v>
      </c>
      <c r="S19" s="130">
        <f t="shared" si="10"/>
        <v>2.7844931332718854</v>
      </c>
      <c r="T19" s="130">
        <f t="shared" si="10"/>
        <v>2.7926008251199619</v>
      </c>
      <c r="U19" s="130">
        <f t="shared" si="10"/>
        <v>2.6585542039711205</v>
      </c>
      <c r="V19" s="130">
        <f t="shared" si="10"/>
        <v>2.2546883373629876</v>
      </c>
      <c r="W19" s="130">
        <f t="shared" si="10"/>
        <v>2.2688309207480351</v>
      </c>
      <c r="X19" s="130">
        <f t="shared" ref="X19:Y19" si="11">SUM(X20:X27)</f>
        <v>2.0529428564737624</v>
      </c>
      <c r="Y19" s="130">
        <f t="shared" si="11"/>
        <v>1.8912895211949137</v>
      </c>
      <c r="DA19" s="155" t="s">
        <v>616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617</v>
      </c>
    </row>
    <row r="21" spans="1:105" s="2" customFormat="1" ht="12" customHeight="1" x14ac:dyDescent="0.25">
      <c r="A21" s="131" t="s">
        <v>52</v>
      </c>
      <c r="B21" s="132"/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618</v>
      </c>
    </row>
    <row r="22" spans="1:105" ht="12" customHeight="1" x14ac:dyDescent="0.25">
      <c r="A22" s="131" t="s">
        <v>161</v>
      </c>
      <c r="B22" s="132"/>
      <c r="C22" s="132">
        <v>0.33868478847547834</v>
      </c>
      <c r="D22" s="132">
        <v>0.36197362653088749</v>
      </c>
      <c r="E22" s="132">
        <v>0.29106992146154365</v>
      </c>
      <c r="F22" s="132">
        <v>0.39758153474274249</v>
      </c>
      <c r="G22" s="132">
        <v>0.32811925241149537</v>
      </c>
      <c r="H22" s="132">
        <v>0.44933981213470336</v>
      </c>
      <c r="I22" s="132">
        <v>0.42631499952120605</v>
      </c>
      <c r="J22" s="132">
        <v>0.34496514319329119</v>
      </c>
      <c r="K22" s="132">
        <v>0.26416392764364155</v>
      </c>
      <c r="L22" s="132">
        <v>0.35671284173871265</v>
      </c>
      <c r="M22" s="132">
        <v>0.24058695401230493</v>
      </c>
      <c r="N22" s="132">
        <v>0.14217625448822591</v>
      </c>
      <c r="O22" s="132">
        <v>0.10871818500659461</v>
      </c>
      <c r="P22" s="132">
        <v>5.1962609803081226E-2</v>
      </c>
      <c r="Q22" s="132">
        <v>6.7903179358846877E-2</v>
      </c>
      <c r="R22" s="132">
        <v>8.9225587020960839E-2</v>
      </c>
      <c r="S22" s="132">
        <v>2.3209875453241983E-2</v>
      </c>
      <c r="T22" s="132">
        <v>1.6661769766431984E-2</v>
      </c>
      <c r="U22" s="132">
        <v>8.3229533807263431E-2</v>
      </c>
      <c r="V22" s="132">
        <v>0.12290534383685124</v>
      </c>
      <c r="W22" s="132">
        <v>0.15168911080493719</v>
      </c>
      <c r="X22" s="132">
        <v>9.0888792202569443E-2</v>
      </c>
      <c r="Y22" s="132">
        <v>5.3579698012105763E-2</v>
      </c>
      <c r="DA22" s="156" t="s">
        <v>619</v>
      </c>
    </row>
    <row r="23" spans="1:105" ht="12" customHeight="1" x14ac:dyDescent="0.25">
      <c r="A23" s="131" t="s">
        <v>149</v>
      </c>
      <c r="B23" s="132"/>
      <c r="C23" s="132">
        <v>4.7537751815028971E-2</v>
      </c>
      <c r="D23" s="132">
        <v>4.9025738192621016E-2</v>
      </c>
      <c r="E23" s="132">
        <v>4.3663289889957102E-2</v>
      </c>
      <c r="F23" s="132">
        <v>6.4052152254009564E-2</v>
      </c>
      <c r="G23" s="132">
        <v>5.0196203212462029E-2</v>
      </c>
      <c r="H23" s="132">
        <v>4.9858765548857216E-2</v>
      </c>
      <c r="I23" s="132">
        <v>4.8586438270953776E-2</v>
      </c>
      <c r="J23" s="132">
        <v>3.3884933543707946E-2</v>
      </c>
      <c r="K23" s="132">
        <v>2.10302045135521E-2</v>
      </c>
      <c r="L23" s="132">
        <v>2.2295161317965297E-2</v>
      </c>
      <c r="M23" s="132">
        <v>2.1735402597590697E-2</v>
      </c>
      <c r="N23" s="132">
        <v>1.7894718292971751E-2</v>
      </c>
      <c r="O23" s="132">
        <v>1.6251756556158681E-2</v>
      </c>
      <c r="P23" s="132">
        <v>8.209505429349704E-3</v>
      </c>
      <c r="Q23" s="132">
        <v>1.5094051041943612E-2</v>
      </c>
      <c r="R23" s="132">
        <v>2.2975870569679365E-2</v>
      </c>
      <c r="S23" s="132">
        <v>2.8159073311286933E-2</v>
      </c>
      <c r="T23" s="132">
        <v>2.5134494988757378E-2</v>
      </c>
      <c r="U23" s="132">
        <v>2.314982283060367E-2</v>
      </c>
      <c r="V23" s="132">
        <v>2.0555452209708825E-2</v>
      </c>
      <c r="W23" s="132">
        <v>9.7771931702337507E-3</v>
      </c>
      <c r="X23" s="132">
        <v>1.4055588764309818E-2</v>
      </c>
      <c r="Y23" s="132">
        <v>0</v>
      </c>
      <c r="DA23" s="156" t="s">
        <v>620</v>
      </c>
    </row>
    <row r="24" spans="1:105" ht="12" customHeight="1" x14ac:dyDescent="0.25">
      <c r="A24" s="131" t="s">
        <v>128</v>
      </c>
      <c r="B24" s="132"/>
      <c r="C24" s="132">
        <v>0.16022693777961108</v>
      </c>
      <c r="D24" s="132">
        <v>0.11311089515121807</v>
      </c>
      <c r="E24" s="132">
        <v>8.5519054490482971E-2</v>
      </c>
      <c r="F24" s="132">
        <v>0.10856207678142546</v>
      </c>
      <c r="G24" s="132">
        <v>9.4327815406857585E-2</v>
      </c>
      <c r="H24" s="132">
        <v>0.14301218799230414</v>
      </c>
      <c r="I24" s="132">
        <v>0.14068741967920811</v>
      </c>
      <c r="J24" s="132">
        <v>0.1222371017414373</v>
      </c>
      <c r="K24" s="132">
        <v>6.488198927808228E-2</v>
      </c>
      <c r="L24" s="132">
        <v>7.6965283646145258E-2</v>
      </c>
      <c r="M24" s="132">
        <v>5.7874717330903006E-2</v>
      </c>
      <c r="N24" s="132">
        <v>4.0468129627387765E-2</v>
      </c>
      <c r="O24" s="132">
        <v>3.3999284989502165E-2</v>
      </c>
      <c r="P24" s="132">
        <v>5.7985875056824267E-2</v>
      </c>
      <c r="Q24" s="132">
        <v>6.9851458509022565E-2</v>
      </c>
      <c r="R24" s="132">
        <v>0.14314327310033439</v>
      </c>
      <c r="S24" s="132">
        <v>0.11851737047575997</v>
      </c>
      <c r="T24" s="132">
        <v>0.10075221325514568</v>
      </c>
      <c r="U24" s="132">
        <v>8.4350320723228692E-2</v>
      </c>
      <c r="V24" s="132">
        <v>7.987288778731047E-2</v>
      </c>
      <c r="W24" s="132">
        <v>9.817428712515322E-2</v>
      </c>
      <c r="X24" s="132">
        <v>5.8133387697763717E-2</v>
      </c>
      <c r="Y24" s="132">
        <v>3.5482053977063464E-2</v>
      </c>
      <c r="DA24" s="156" t="s">
        <v>621</v>
      </c>
    </row>
    <row r="25" spans="1:105" ht="12" customHeight="1" x14ac:dyDescent="0.25">
      <c r="A25" s="131" t="s">
        <v>162</v>
      </c>
      <c r="B25" s="132"/>
      <c r="C25" s="132">
        <v>1.4572274431636494</v>
      </c>
      <c r="D25" s="132">
        <v>1.2633176717123491</v>
      </c>
      <c r="E25" s="132">
        <v>1.1060439539544364</v>
      </c>
      <c r="F25" s="132">
        <v>1.8123764951436114</v>
      </c>
      <c r="G25" s="132">
        <v>1.6174160143447942</v>
      </c>
      <c r="H25" s="132">
        <v>2.2586717023157843</v>
      </c>
      <c r="I25" s="132">
        <v>2.2059057357543064</v>
      </c>
      <c r="J25" s="132">
        <v>1.3424000305626158</v>
      </c>
      <c r="K25" s="132">
        <v>0.84113541041429396</v>
      </c>
      <c r="L25" s="132">
        <v>0.93944544511142658</v>
      </c>
      <c r="M25" s="132">
        <v>0.76114844973866236</v>
      </c>
      <c r="N25" s="132">
        <v>0.59308551426847478</v>
      </c>
      <c r="O25" s="132">
        <v>0.57351098389553046</v>
      </c>
      <c r="P25" s="132">
        <v>0.552881967041152</v>
      </c>
      <c r="Q25" s="132">
        <v>0.60464899482774848</v>
      </c>
      <c r="R25" s="132">
        <v>1.0717484208731451</v>
      </c>
      <c r="S25" s="132">
        <v>1.196742586245932</v>
      </c>
      <c r="T25" s="132">
        <v>1.2095570283442834</v>
      </c>
      <c r="U25" s="132">
        <v>0.98364627296081908</v>
      </c>
      <c r="V25" s="132">
        <v>1.0638652698922828</v>
      </c>
      <c r="W25" s="132">
        <v>1.3459846594094957</v>
      </c>
      <c r="X25" s="132">
        <v>1.2702094514549125</v>
      </c>
      <c r="Y25" s="132">
        <v>0.92686989003800335</v>
      </c>
      <c r="DA25" s="156" t="s">
        <v>622</v>
      </c>
    </row>
    <row r="26" spans="1:105" ht="12" customHeight="1" x14ac:dyDescent="0.25">
      <c r="A26" s="131" t="s">
        <v>24</v>
      </c>
      <c r="B26" s="65"/>
      <c r="C26" s="65">
        <v>0.97645441131851118</v>
      </c>
      <c r="D26" s="65">
        <v>1.0174885934628211</v>
      </c>
      <c r="E26" s="65">
        <v>0.95708381520029151</v>
      </c>
      <c r="F26" s="65">
        <v>1.4197376516091333</v>
      </c>
      <c r="G26" s="65">
        <v>1.2652729433725971</v>
      </c>
      <c r="H26" s="65">
        <v>1.459150906296564</v>
      </c>
      <c r="I26" s="65">
        <v>1.4584605666763113</v>
      </c>
      <c r="J26" s="65">
        <v>1.2995157892551183</v>
      </c>
      <c r="K26" s="65">
        <v>1.0398115830001227</v>
      </c>
      <c r="L26" s="65">
        <v>1.2513226402079718</v>
      </c>
      <c r="M26" s="65">
        <v>1.0446628477361841</v>
      </c>
      <c r="N26" s="65">
        <v>0.805157009476973</v>
      </c>
      <c r="O26" s="65">
        <v>0.74731265328120566</v>
      </c>
      <c r="P26" s="65">
        <v>0.80998150463725516</v>
      </c>
      <c r="Q26" s="65">
        <v>0.75739097094083374</v>
      </c>
      <c r="R26" s="65">
        <v>0.93132692880100609</v>
      </c>
      <c r="S26" s="65">
        <v>1.4178642277856648</v>
      </c>
      <c r="T26" s="65">
        <v>1.4404953187653438</v>
      </c>
      <c r="U26" s="65">
        <v>1.4841782536492056</v>
      </c>
      <c r="V26" s="65">
        <v>0.96748938363683445</v>
      </c>
      <c r="W26" s="65">
        <v>0.66320567023821531</v>
      </c>
      <c r="X26" s="65">
        <v>0.61965563635420706</v>
      </c>
      <c r="Y26" s="65">
        <v>0.87535787916774099</v>
      </c>
      <c r="DA26" s="109" t="s">
        <v>623</v>
      </c>
    </row>
    <row r="27" spans="1:105" ht="12" customHeight="1" x14ac:dyDescent="0.25">
      <c r="A27" s="144" t="s">
        <v>26</v>
      </c>
      <c r="B27" s="147"/>
      <c r="C27" s="147">
        <v>0</v>
      </c>
      <c r="D27" s="147">
        <v>0</v>
      </c>
      <c r="E27" s="147">
        <v>0</v>
      </c>
      <c r="F27" s="147">
        <v>0</v>
      </c>
      <c r="G27" s="147">
        <v>0</v>
      </c>
      <c r="H27" s="147">
        <v>0</v>
      </c>
      <c r="I27" s="147">
        <v>0</v>
      </c>
      <c r="J27" s="147">
        <v>0</v>
      </c>
      <c r="K27" s="147">
        <v>0</v>
      </c>
      <c r="L27" s="147">
        <v>0</v>
      </c>
      <c r="M27" s="147">
        <v>0</v>
      </c>
      <c r="N27" s="147">
        <v>0</v>
      </c>
      <c r="O27" s="147">
        <v>0</v>
      </c>
      <c r="P27" s="147">
        <v>0</v>
      </c>
      <c r="Q27" s="147">
        <v>0</v>
      </c>
      <c r="R27" s="147">
        <v>0</v>
      </c>
      <c r="S27" s="147">
        <v>0</v>
      </c>
      <c r="T27" s="147">
        <v>0</v>
      </c>
      <c r="U27" s="147">
        <v>0</v>
      </c>
      <c r="V27" s="147">
        <v>0</v>
      </c>
      <c r="W27" s="147">
        <v>0</v>
      </c>
      <c r="X27" s="147">
        <v>0</v>
      </c>
      <c r="Y27" s="147">
        <v>0</v>
      </c>
      <c r="DA27" s="160" t="s">
        <v>624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2.8039455119898817</v>
      </c>
      <c r="D29" s="130">
        <f t="shared" si="12"/>
        <v>2.615508458458609</v>
      </c>
      <c r="E29" s="130">
        <f t="shared" si="12"/>
        <v>2.3190494667418222</v>
      </c>
      <c r="F29" s="130">
        <f t="shared" si="12"/>
        <v>3.6411251175203918</v>
      </c>
      <c r="G29" s="130">
        <f t="shared" si="12"/>
        <v>3.2192968862649267</v>
      </c>
      <c r="H29" s="130">
        <f t="shared" si="12"/>
        <v>4.2751033386273152</v>
      </c>
      <c r="I29" s="130">
        <f t="shared" si="12"/>
        <v>4.1765714404120695</v>
      </c>
      <c r="J29" s="130">
        <f t="shared" si="12"/>
        <v>3.0145619526330178</v>
      </c>
      <c r="K29" s="130">
        <f t="shared" si="12"/>
        <v>2.1518943406018813</v>
      </c>
      <c r="L29" s="130">
        <f t="shared" si="12"/>
        <v>2.4965741564818882</v>
      </c>
      <c r="M29" s="130">
        <f t="shared" si="12"/>
        <v>2.0599811663009948</v>
      </c>
      <c r="N29" s="130">
        <f t="shared" si="12"/>
        <v>1.560326962444069</v>
      </c>
      <c r="O29" s="130">
        <f t="shared" si="12"/>
        <v>1.4800088955601356</v>
      </c>
      <c r="P29" s="130">
        <f t="shared" si="12"/>
        <v>1.5165164957351644</v>
      </c>
      <c r="Q29" s="130">
        <f t="shared" si="12"/>
        <v>1.5952935798765475</v>
      </c>
      <c r="R29" s="130">
        <f t="shared" ref="R29:W29" si="13">SUM(R30:R33)</f>
        <v>2.4629761703894508</v>
      </c>
      <c r="S29" s="130">
        <f t="shared" si="13"/>
        <v>3.1102334617047118</v>
      </c>
      <c r="T29" s="130">
        <f t="shared" si="13"/>
        <v>3.0901480956836975</v>
      </c>
      <c r="U29" s="130">
        <f t="shared" si="13"/>
        <v>3.0708630024276666</v>
      </c>
      <c r="V29" s="130">
        <f t="shared" si="13"/>
        <v>2.6747820005583542</v>
      </c>
      <c r="W29" s="130">
        <f t="shared" si="13"/>
        <v>2.6777730243432845</v>
      </c>
      <c r="X29" s="130">
        <f t="shared" ref="X29:Y29" si="14">SUM(X30:X33)</f>
        <v>2.4494104898586668</v>
      </c>
      <c r="Y29" s="130">
        <f t="shared" si="14"/>
        <v>2.2837309711156157</v>
      </c>
      <c r="DA29" s="155" t="s">
        <v>625</v>
      </c>
    </row>
    <row r="30" spans="1:105" s="2" customFormat="1" ht="12" customHeight="1" x14ac:dyDescent="0.25">
      <c r="A30" s="131" t="s">
        <v>52</v>
      </c>
      <c r="B30" s="132"/>
      <c r="C30" s="132">
        <v>0</v>
      </c>
      <c r="D30" s="132">
        <v>0</v>
      </c>
      <c r="E30" s="132">
        <v>0</v>
      </c>
      <c r="F30" s="132">
        <v>0</v>
      </c>
      <c r="G30" s="132">
        <v>0</v>
      </c>
      <c r="H30" s="132">
        <v>0</v>
      </c>
      <c r="I30" s="132">
        <v>0</v>
      </c>
      <c r="J30" s="132">
        <v>0</v>
      </c>
      <c r="K30" s="132">
        <v>0</v>
      </c>
      <c r="L30" s="132">
        <v>0</v>
      </c>
      <c r="M30" s="132">
        <v>0</v>
      </c>
      <c r="N30" s="132">
        <v>0</v>
      </c>
      <c r="O30" s="132">
        <v>0</v>
      </c>
      <c r="P30" s="132">
        <v>0</v>
      </c>
      <c r="Q30" s="132">
        <v>0</v>
      </c>
      <c r="R30" s="132">
        <v>0</v>
      </c>
      <c r="S30" s="132">
        <v>0</v>
      </c>
      <c r="T30" s="132">
        <v>0</v>
      </c>
      <c r="U30" s="132">
        <v>0</v>
      </c>
      <c r="V30" s="132">
        <v>0</v>
      </c>
      <c r="W30" s="132">
        <v>0</v>
      </c>
      <c r="X30" s="132">
        <v>0</v>
      </c>
      <c r="Y30" s="132">
        <v>0</v>
      </c>
      <c r="DA30" s="156" t="s">
        <v>626</v>
      </c>
    </row>
    <row r="31" spans="1:105" ht="12" customHeight="1" x14ac:dyDescent="0.25">
      <c r="A31" s="131" t="s">
        <v>149</v>
      </c>
      <c r="B31" s="132"/>
      <c r="C31" s="132">
        <v>7.6197650037478304E-2</v>
      </c>
      <c r="D31" s="132">
        <v>7.6501881896205007E-2</v>
      </c>
      <c r="E31" s="132">
        <v>6.5171025629077506E-2</v>
      </c>
      <c r="F31" s="132">
        <v>9.260107832509866E-2</v>
      </c>
      <c r="G31" s="132">
        <v>7.8178567861138734E-2</v>
      </c>
      <c r="H31" s="132">
        <v>9.5589816585959914E-2</v>
      </c>
      <c r="I31" s="132">
        <v>8.9489113750740479E-2</v>
      </c>
      <c r="J31" s="132">
        <v>6.1206982784240055E-2</v>
      </c>
      <c r="K31" s="132">
        <v>3.3204968687215161E-2</v>
      </c>
      <c r="L31" s="132">
        <v>3.0335533211767046E-2</v>
      </c>
      <c r="M31" s="132">
        <v>6.6678518335709994E-3</v>
      </c>
      <c r="N31" s="132">
        <v>2.3146975387798339E-2</v>
      </c>
      <c r="O31" s="132">
        <v>2.8191005479091438E-2</v>
      </c>
      <c r="P31" s="132">
        <v>2.6057250868474532E-2</v>
      </c>
      <c r="Q31" s="132">
        <v>2.744192507510234E-2</v>
      </c>
      <c r="R31" s="132">
        <v>3.5370768204607481E-2</v>
      </c>
      <c r="S31" s="132">
        <v>5.147396866870995E-2</v>
      </c>
      <c r="T31" s="132">
        <v>2.4814435844676529E-2</v>
      </c>
      <c r="U31" s="132">
        <v>3.1081596151682642E-2</v>
      </c>
      <c r="V31" s="132">
        <v>3.7858331697762926E-2</v>
      </c>
      <c r="W31" s="132">
        <v>1.3739075919679464E-2</v>
      </c>
      <c r="X31" s="132">
        <v>1.017433409140793E-2</v>
      </c>
      <c r="Y31" s="132">
        <v>5.7312663795712334E-3</v>
      </c>
      <c r="DA31" s="156" t="s">
        <v>627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628</v>
      </c>
    </row>
    <row r="33" spans="1:105" ht="12" customHeight="1" x14ac:dyDescent="0.25">
      <c r="A33" s="62" t="s">
        <v>24</v>
      </c>
      <c r="B33" s="68"/>
      <c r="C33" s="68">
        <v>2.7277478619524036</v>
      </c>
      <c r="D33" s="68">
        <v>2.5390065765624041</v>
      </c>
      <c r="E33" s="68">
        <v>2.2538784411127448</v>
      </c>
      <c r="F33" s="68">
        <v>3.5485240391952932</v>
      </c>
      <c r="G33" s="68">
        <v>3.1411183184037879</v>
      </c>
      <c r="H33" s="68">
        <v>4.1795135220413551</v>
      </c>
      <c r="I33" s="68">
        <v>4.0870823266613288</v>
      </c>
      <c r="J33" s="68">
        <v>2.9533549698487778</v>
      </c>
      <c r="K33" s="68">
        <v>2.118689371914666</v>
      </c>
      <c r="L33" s="68">
        <v>2.466238623270121</v>
      </c>
      <c r="M33" s="68">
        <v>2.0533133144674238</v>
      </c>
      <c r="N33" s="68">
        <v>1.5371799870562706</v>
      </c>
      <c r="O33" s="68">
        <v>1.4518178900810441</v>
      </c>
      <c r="P33" s="68">
        <v>1.49045924486669</v>
      </c>
      <c r="Q33" s="68">
        <v>1.5678516548014452</v>
      </c>
      <c r="R33" s="68">
        <v>2.4276054021848434</v>
      </c>
      <c r="S33" s="68">
        <v>3.058759493036002</v>
      </c>
      <c r="T33" s="68">
        <v>3.0653336598390211</v>
      </c>
      <c r="U33" s="68">
        <v>3.039781406275984</v>
      </c>
      <c r="V33" s="68">
        <v>2.6369236688605913</v>
      </c>
      <c r="W33" s="68">
        <v>2.6640339484236049</v>
      </c>
      <c r="X33" s="68">
        <v>2.4392361557672588</v>
      </c>
      <c r="Y33" s="68">
        <v>2.2779997047360445</v>
      </c>
      <c r="DA33" s="111" t="s">
        <v>629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82</v>
      </c>
      <c r="B3" s="125"/>
      <c r="C3" s="125">
        <f t="shared" ref="C3:Q3" si="0">SUM(C4,C16,C19,C29)</f>
        <v>24.119256842865454</v>
      </c>
      <c r="D3" s="125">
        <f t="shared" si="0"/>
        <v>22.992393612172243</v>
      </c>
      <c r="E3" s="125">
        <f t="shared" si="0"/>
        <v>20.181366223994374</v>
      </c>
      <c r="F3" s="125">
        <f t="shared" si="0"/>
        <v>30.703518445743658</v>
      </c>
      <c r="G3" s="125">
        <f t="shared" si="0"/>
        <v>26.344394499236724</v>
      </c>
      <c r="H3" s="125">
        <f t="shared" si="0"/>
        <v>34.618343541973196</v>
      </c>
      <c r="I3" s="125">
        <f t="shared" si="0"/>
        <v>35.43449643880259</v>
      </c>
      <c r="J3" s="125">
        <f t="shared" si="0"/>
        <v>25.050862005156642</v>
      </c>
      <c r="K3" s="125">
        <f t="shared" si="0"/>
        <v>18.848658230174642</v>
      </c>
      <c r="L3" s="125">
        <f t="shared" si="0"/>
        <v>23.105567795032904</v>
      </c>
      <c r="M3" s="125">
        <f t="shared" si="0"/>
        <v>16.399740937988891</v>
      </c>
      <c r="N3" s="125">
        <f t="shared" si="0"/>
        <v>13.006241844672553</v>
      </c>
      <c r="O3" s="125">
        <f t="shared" si="0"/>
        <v>11.464523648128669</v>
      </c>
      <c r="P3" s="125">
        <f t="shared" si="0"/>
        <v>11.685178016899146</v>
      </c>
      <c r="Q3" s="125">
        <f t="shared" si="0"/>
        <v>11.1557723284898</v>
      </c>
      <c r="R3" s="125">
        <f t="shared" ref="R3:W3" si="1">SUM(R4,R16,R19,R29)</f>
        <v>17.283950439736017</v>
      </c>
      <c r="S3" s="125">
        <f t="shared" si="1"/>
        <v>20.571945983945565</v>
      </c>
      <c r="T3" s="125">
        <f t="shared" si="1"/>
        <v>20.546274967603807</v>
      </c>
      <c r="U3" s="125">
        <f t="shared" si="1"/>
        <v>18.246310681336166</v>
      </c>
      <c r="V3" s="125">
        <f t="shared" si="1"/>
        <v>15.033445668672089</v>
      </c>
      <c r="W3" s="125">
        <f t="shared" si="1"/>
        <v>13.488638066618154</v>
      </c>
      <c r="X3" s="125">
        <f t="shared" ref="X3:Y3" si="2">SUM(X4,X16,X19,X29)</f>
        <v>11.186529918614358</v>
      </c>
      <c r="Y3" s="125">
        <f t="shared" si="2"/>
        <v>10.411934743471575</v>
      </c>
      <c r="DA3" s="154" t="s">
        <v>631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16.791996658953735</v>
      </c>
      <c r="D4" s="130">
        <f t="shared" si="3"/>
        <v>16.137618662922176</v>
      </c>
      <c r="E4" s="130">
        <f t="shared" si="3"/>
        <v>14.000011920848808</v>
      </c>
      <c r="F4" s="130">
        <f t="shared" si="3"/>
        <v>21.251034937449056</v>
      </c>
      <c r="G4" s="130">
        <f t="shared" si="3"/>
        <v>18.011148907482653</v>
      </c>
      <c r="H4" s="130">
        <f t="shared" si="3"/>
        <v>23.621582892587192</v>
      </c>
      <c r="I4" s="130">
        <f t="shared" si="3"/>
        <v>24.617197675046036</v>
      </c>
      <c r="J4" s="130">
        <f t="shared" si="3"/>
        <v>17.226924944825612</v>
      </c>
      <c r="K4" s="130">
        <f t="shared" si="3"/>
        <v>13.335439912578364</v>
      </c>
      <c r="L4" s="130">
        <f t="shared" si="3"/>
        <v>16.477769342232005</v>
      </c>
      <c r="M4" s="130">
        <f t="shared" si="3"/>
        <v>11.152225727099477</v>
      </c>
      <c r="N4" s="130">
        <f t="shared" si="3"/>
        <v>9.0459457910711372</v>
      </c>
      <c r="O4" s="130">
        <f t="shared" si="3"/>
        <v>7.7350688485036043</v>
      </c>
      <c r="P4" s="130">
        <f t="shared" si="3"/>
        <v>7.8730772721785325</v>
      </c>
      <c r="Q4" s="130">
        <f t="shared" si="3"/>
        <v>7.2023200971797516</v>
      </c>
      <c r="R4" s="130">
        <f t="shared" ref="R4:W4" si="4">SUM(R5:R15)</f>
        <v>11.204956060364081</v>
      </c>
      <c r="S4" s="130">
        <f t="shared" si="4"/>
        <v>12.970890522141151</v>
      </c>
      <c r="T4" s="130">
        <f t="shared" si="4"/>
        <v>12.892980669420325</v>
      </c>
      <c r="U4" s="130">
        <f t="shared" si="4"/>
        <v>10.858115036214448</v>
      </c>
      <c r="V4" s="130">
        <f t="shared" si="4"/>
        <v>8.5105609133930873</v>
      </c>
      <c r="W4" s="130">
        <f t="shared" si="4"/>
        <v>7.3496309659409613</v>
      </c>
      <c r="X4" s="130">
        <f t="shared" ref="X4:Y4" si="5">SUM(X5:X15)</f>
        <v>5.6177507670049875</v>
      </c>
      <c r="Y4" s="130">
        <f t="shared" si="5"/>
        <v>5.1773008003084016</v>
      </c>
      <c r="DA4" s="155" t="s">
        <v>632</v>
      </c>
    </row>
    <row r="5" spans="1:105" ht="12" customHeight="1" x14ac:dyDescent="0.25">
      <c r="A5" s="131" t="s">
        <v>29</v>
      </c>
      <c r="B5" s="132"/>
      <c r="C5" s="132">
        <v>6.5643888680140487E-3</v>
      </c>
      <c r="D5" s="132">
        <v>1.0088789656257723E-2</v>
      </c>
      <c r="E5" s="132">
        <v>1.1185504555736013E-2</v>
      </c>
      <c r="F5" s="132">
        <v>1.780505478165249E-2</v>
      </c>
      <c r="G5" s="132">
        <v>1.4750789375496669E-2</v>
      </c>
      <c r="H5" s="132">
        <v>2.2786612548627051E-2</v>
      </c>
      <c r="I5" s="132">
        <v>2.4481448152151926E-2</v>
      </c>
      <c r="J5" s="132">
        <v>1.9148111355639437E-2</v>
      </c>
      <c r="K5" s="132">
        <v>1.8219240881468278E-2</v>
      </c>
      <c r="L5" s="132">
        <v>2.3356306699426899E-2</v>
      </c>
      <c r="M5" s="132">
        <v>1.1105744655747854E-2</v>
      </c>
      <c r="N5" s="132">
        <v>1.0992692772653176E-2</v>
      </c>
      <c r="O5" s="132">
        <v>7.4001526263025221E-3</v>
      </c>
      <c r="P5" s="132">
        <v>6.7923685027722665E-3</v>
      </c>
      <c r="Q5" s="132">
        <v>5.5807628603853337E-3</v>
      </c>
      <c r="R5" s="132">
        <v>1.0087926765038542E-2</v>
      </c>
      <c r="S5" s="132">
        <v>1.2208075098017043E-2</v>
      </c>
      <c r="T5" s="132">
        <v>1.2833357310891347E-2</v>
      </c>
      <c r="U5" s="132">
        <v>1.058410103361019E-2</v>
      </c>
      <c r="V5" s="132">
        <v>8.0669088751233291E-3</v>
      </c>
      <c r="W5" s="132">
        <v>1.1319940570935567E-2</v>
      </c>
      <c r="X5" s="132">
        <v>7.2874863077549718E-3</v>
      </c>
      <c r="Y5" s="132">
        <v>7.1605943826268609E-3</v>
      </c>
      <c r="DA5" s="156" t="s">
        <v>633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634</v>
      </c>
    </row>
    <row r="7" spans="1:105" ht="12" customHeight="1" x14ac:dyDescent="0.25">
      <c r="A7" s="131" t="s">
        <v>161</v>
      </c>
      <c r="B7" s="132"/>
      <c r="C7" s="132">
        <v>0.96832767483751436</v>
      </c>
      <c r="D7" s="132">
        <v>1.0820618217346147</v>
      </c>
      <c r="E7" s="132">
        <v>1.2272068748226792</v>
      </c>
      <c r="F7" s="132">
        <v>1.9607739167829938</v>
      </c>
      <c r="G7" s="132">
        <v>1.5144475524273449</v>
      </c>
      <c r="H7" s="132">
        <v>1.3068029910138783</v>
      </c>
      <c r="I7" s="132">
        <v>0.5298205998222737</v>
      </c>
      <c r="J7" s="132">
        <v>0.47537290198476151</v>
      </c>
      <c r="K7" s="132">
        <v>1.3003351563199974</v>
      </c>
      <c r="L7" s="132">
        <v>2.7197987845063332</v>
      </c>
      <c r="M7" s="132">
        <v>1.735336843909929</v>
      </c>
      <c r="N7" s="132">
        <v>1.2986972223659832</v>
      </c>
      <c r="O7" s="132">
        <v>0.82954969945002976</v>
      </c>
      <c r="P7" s="132">
        <v>0.42988184495234444</v>
      </c>
      <c r="Q7" s="132">
        <v>0.58661785862429772</v>
      </c>
      <c r="R7" s="132">
        <v>1.1059702291031679</v>
      </c>
      <c r="S7" s="132">
        <v>1.2705637605289217</v>
      </c>
      <c r="T7" s="132">
        <v>1.1447798189094345</v>
      </c>
      <c r="U7" s="132">
        <v>1.1965757693940557</v>
      </c>
      <c r="V7" s="132">
        <v>0.89802248134823492</v>
      </c>
      <c r="W7" s="132">
        <v>0.83332120334025839</v>
      </c>
      <c r="X7" s="132">
        <v>0.59420279521402908</v>
      </c>
      <c r="Y7" s="132">
        <v>0.58392585761710725</v>
      </c>
      <c r="DA7" s="156" t="s">
        <v>635</v>
      </c>
    </row>
    <row r="8" spans="1:105" ht="12" customHeight="1" x14ac:dyDescent="0.25">
      <c r="A8" s="131" t="s">
        <v>73</v>
      </c>
      <c r="B8" s="132"/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636</v>
      </c>
    </row>
    <row r="9" spans="1:105" ht="12" customHeight="1" x14ac:dyDescent="0.25">
      <c r="A9" s="131" t="s">
        <v>78</v>
      </c>
      <c r="B9" s="132"/>
      <c r="C9" s="132">
        <v>0.26924246837126969</v>
      </c>
      <c r="D9" s="132">
        <v>0.3252952560011193</v>
      </c>
      <c r="E9" s="132">
        <v>0.26807904554916001</v>
      </c>
      <c r="F9" s="132">
        <v>0.44767140800685773</v>
      </c>
      <c r="G9" s="132">
        <v>0.22928689097682436</v>
      </c>
      <c r="H9" s="132">
        <v>0.12822846874404492</v>
      </c>
      <c r="I9" s="132">
        <v>3.7888798445354858E-2</v>
      </c>
      <c r="J9" s="132">
        <v>7.8877279574883469E-2</v>
      </c>
      <c r="K9" s="132">
        <v>0.14785913245998497</v>
      </c>
      <c r="L9" s="132">
        <v>0.2290384502067056</v>
      </c>
      <c r="M9" s="132">
        <v>0.17090107959875114</v>
      </c>
      <c r="N9" s="132">
        <v>0.19684478352591064</v>
      </c>
      <c r="O9" s="132">
        <v>0.26080861699374358</v>
      </c>
      <c r="P9" s="132">
        <v>0.3160883058073588</v>
      </c>
      <c r="Q9" s="132">
        <v>0.16835177267569351</v>
      </c>
      <c r="R9" s="132">
        <v>0.26129842874612835</v>
      </c>
      <c r="S9" s="132">
        <v>0.2159091414515503</v>
      </c>
      <c r="T9" s="132">
        <v>0.17045579829410373</v>
      </c>
      <c r="U9" s="132">
        <v>0.17456831194751596</v>
      </c>
      <c r="V9" s="132">
        <v>0.10184468770485434</v>
      </c>
      <c r="W9" s="132">
        <v>7.8516634481809733E-2</v>
      </c>
      <c r="X9" s="132">
        <v>3.5071418017518425E-3</v>
      </c>
      <c r="Y9" s="132">
        <v>0</v>
      </c>
      <c r="DA9" s="156" t="s">
        <v>637</v>
      </c>
    </row>
    <row r="10" spans="1:105" ht="12" customHeight="1" x14ac:dyDescent="0.25">
      <c r="A10" s="131" t="s">
        <v>128</v>
      </c>
      <c r="B10" s="132"/>
      <c r="C10" s="132">
        <v>0.36651257757890526</v>
      </c>
      <c r="D10" s="132">
        <v>0.39956396727920063</v>
      </c>
      <c r="E10" s="132">
        <v>0.37312761569184222</v>
      </c>
      <c r="F10" s="132">
        <v>0.52714849956670085</v>
      </c>
      <c r="G10" s="132">
        <v>0.44477009367183595</v>
      </c>
      <c r="H10" s="132">
        <v>0.57111714350771692</v>
      </c>
      <c r="I10" s="132">
        <v>0.47470366103635026</v>
      </c>
      <c r="J10" s="132">
        <v>0.51961519590929917</v>
      </c>
      <c r="K10" s="132">
        <v>0.32723494394552993</v>
      </c>
      <c r="L10" s="132">
        <v>0.46533172235392029</v>
      </c>
      <c r="M10" s="132">
        <v>0.27574449287494129</v>
      </c>
      <c r="N10" s="132">
        <v>0.2226320007317393</v>
      </c>
      <c r="O10" s="132">
        <v>0.15920916900487553</v>
      </c>
      <c r="P10" s="132">
        <v>0.16750423389217886</v>
      </c>
      <c r="Q10" s="132">
        <v>0.17430398563693358</v>
      </c>
      <c r="R10" s="132">
        <v>0.31502110391638155</v>
      </c>
      <c r="S10" s="132">
        <v>0.34701819374097287</v>
      </c>
      <c r="T10" s="132">
        <v>0.30830108827031594</v>
      </c>
      <c r="U10" s="132">
        <v>0.28072619100665658</v>
      </c>
      <c r="V10" s="132">
        <v>0.23515123392849571</v>
      </c>
      <c r="W10" s="132">
        <v>0.22516746906262164</v>
      </c>
      <c r="X10" s="132">
        <v>0.15756160572405922</v>
      </c>
      <c r="Y10" s="132">
        <v>0.15244155038005047</v>
      </c>
      <c r="DA10" s="156" t="s">
        <v>638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639</v>
      </c>
    </row>
    <row r="12" spans="1:105" ht="12" customHeight="1" x14ac:dyDescent="0.25">
      <c r="A12" s="131" t="s">
        <v>162</v>
      </c>
      <c r="B12" s="132"/>
      <c r="C12" s="132">
        <v>9.7103509865666844</v>
      </c>
      <c r="D12" s="132">
        <v>8.7797471864986001</v>
      </c>
      <c r="E12" s="132">
        <v>7.3757330712955769</v>
      </c>
      <c r="F12" s="132">
        <v>10.04761306248586</v>
      </c>
      <c r="G12" s="132">
        <v>8.9974223163254123</v>
      </c>
      <c r="H12" s="132">
        <v>13.57397110404448</v>
      </c>
      <c r="I12" s="132">
        <v>17.391131628552071</v>
      </c>
      <c r="J12" s="132">
        <v>10.854555007865269</v>
      </c>
      <c r="K12" s="132">
        <v>7.8915083308106162</v>
      </c>
      <c r="L12" s="132">
        <v>8.0214264406063354</v>
      </c>
      <c r="M12" s="132">
        <v>4.7352920875896762</v>
      </c>
      <c r="N12" s="132">
        <v>4.4028727277151072</v>
      </c>
      <c r="O12" s="132">
        <v>3.8859294098577899</v>
      </c>
      <c r="P12" s="132">
        <v>5.0208145062530178</v>
      </c>
      <c r="Q12" s="132">
        <v>3.3965264000231041</v>
      </c>
      <c r="R12" s="132">
        <v>6.2068380536745789</v>
      </c>
      <c r="S12" s="132">
        <v>6.9658840535721716</v>
      </c>
      <c r="T12" s="132">
        <v>6.2144566389813507</v>
      </c>
      <c r="U12" s="132">
        <v>5.6266099419220366</v>
      </c>
      <c r="V12" s="132">
        <v>4.4293395995315681</v>
      </c>
      <c r="W12" s="132">
        <v>4.3448076795364479</v>
      </c>
      <c r="X12" s="132">
        <v>2.9857343659460605</v>
      </c>
      <c r="Y12" s="132">
        <v>3.0220158483004584</v>
      </c>
      <c r="DA12" s="156" t="s">
        <v>640</v>
      </c>
    </row>
    <row r="13" spans="1:105" ht="12" customHeight="1" x14ac:dyDescent="0.25">
      <c r="A13" s="131" t="s">
        <v>77</v>
      </c>
      <c r="B13" s="132"/>
      <c r="C13" s="132">
        <v>9.7669996017272609E-2</v>
      </c>
      <c r="D13" s="132">
        <v>0.17825542532888763</v>
      </c>
      <c r="E13" s="132">
        <v>0.1918968932429205</v>
      </c>
      <c r="F13" s="132">
        <v>0.33202745920213322</v>
      </c>
      <c r="G13" s="132">
        <v>0.31075610520222985</v>
      </c>
      <c r="H13" s="132">
        <v>0.38754576296982396</v>
      </c>
      <c r="I13" s="132">
        <v>0.35127273311027019</v>
      </c>
      <c r="J13" s="132">
        <v>0.28541264591244403</v>
      </c>
      <c r="K13" s="132">
        <v>0.22683061903846666</v>
      </c>
      <c r="L13" s="132">
        <v>0.33860012116353966</v>
      </c>
      <c r="M13" s="132">
        <v>0.40974820548514967</v>
      </c>
      <c r="N13" s="132">
        <v>0.30360441419100975</v>
      </c>
      <c r="O13" s="132">
        <v>0.40668298519051921</v>
      </c>
      <c r="P13" s="132">
        <v>0.7626055054555605</v>
      </c>
      <c r="Q13" s="132">
        <v>0.79909378985870494</v>
      </c>
      <c r="R13" s="132">
        <v>0.67551799988649042</v>
      </c>
      <c r="S13" s="132">
        <v>0.7691101792439814</v>
      </c>
      <c r="T13" s="132">
        <v>0.79824640785479362</v>
      </c>
      <c r="U13" s="132">
        <v>0.88487241923675042</v>
      </c>
      <c r="V13" s="132">
        <v>0.81728851798777791</v>
      </c>
      <c r="W13" s="132">
        <v>0.89401339941132896</v>
      </c>
      <c r="X13" s="132">
        <v>0.7646335939301695</v>
      </c>
      <c r="Y13" s="132">
        <v>0.7291984156401965</v>
      </c>
      <c r="DA13" s="156" t="s">
        <v>641</v>
      </c>
    </row>
    <row r="14" spans="1:105" ht="12" customHeight="1" x14ac:dyDescent="0.25">
      <c r="A14" s="60" t="s">
        <v>76</v>
      </c>
      <c r="B14" s="65"/>
      <c r="C14" s="65">
        <v>5.2978962759660559</v>
      </c>
      <c r="D14" s="65">
        <v>5.2895240156961059</v>
      </c>
      <c r="E14" s="65">
        <v>4.4862704217805529</v>
      </c>
      <c r="F14" s="65">
        <v>7.8219357077072784</v>
      </c>
      <c r="G14" s="65">
        <v>6.4229158895820913</v>
      </c>
      <c r="H14" s="65">
        <v>7.5393961596522816</v>
      </c>
      <c r="I14" s="65">
        <v>5.7168322377234713</v>
      </c>
      <c r="J14" s="65">
        <v>4.9324450055995861</v>
      </c>
      <c r="K14" s="65">
        <v>3.3617783078842365</v>
      </c>
      <c r="L14" s="65">
        <v>4.5920686481775173</v>
      </c>
      <c r="M14" s="65">
        <v>3.7598688590153633</v>
      </c>
      <c r="N14" s="65">
        <v>2.5652542922443584</v>
      </c>
      <c r="O14" s="65">
        <v>2.1501902583650327</v>
      </c>
      <c r="P14" s="65">
        <v>1.1353009254806989</v>
      </c>
      <c r="Q14" s="65">
        <v>2.0443851002995665</v>
      </c>
      <c r="R14" s="65">
        <v>2.5805696609120745</v>
      </c>
      <c r="S14" s="65">
        <v>3.3355652663597151</v>
      </c>
      <c r="T14" s="65">
        <v>4.1955322406737636</v>
      </c>
      <c r="U14" s="65">
        <v>2.6376350022193429</v>
      </c>
      <c r="V14" s="65">
        <v>1.9854342635628788</v>
      </c>
      <c r="W14" s="65">
        <v>0.92897292694518896</v>
      </c>
      <c r="X14" s="65">
        <v>1.0822493857415323</v>
      </c>
      <c r="Y14" s="65">
        <v>0.660100111358213</v>
      </c>
      <c r="DA14" s="109" t="s">
        <v>642</v>
      </c>
    </row>
    <row r="15" spans="1:105" ht="12" customHeight="1" x14ac:dyDescent="0.25">
      <c r="A15" s="133" t="s">
        <v>80</v>
      </c>
      <c r="B15" s="134"/>
      <c r="C15" s="134">
        <v>7.5432290748019742E-2</v>
      </c>
      <c r="D15" s="134">
        <v>7.3082200727387248E-2</v>
      </c>
      <c r="E15" s="134">
        <v>6.6512493910340226E-2</v>
      </c>
      <c r="F15" s="134">
        <v>9.6059828915582512E-2</v>
      </c>
      <c r="G15" s="134">
        <v>7.6799269921418709E-2</v>
      </c>
      <c r="H15" s="134">
        <v>9.1734650106339785E-2</v>
      </c>
      <c r="I15" s="134">
        <v>9.1066568204092799E-2</v>
      </c>
      <c r="J15" s="134">
        <v>6.1498796623731651E-2</v>
      </c>
      <c r="K15" s="134">
        <v>6.1674181238064625E-2</v>
      </c>
      <c r="L15" s="134">
        <v>8.8148868518228354E-2</v>
      </c>
      <c r="M15" s="134">
        <v>5.4228413969920321E-2</v>
      </c>
      <c r="N15" s="134">
        <v>4.5047657524376228E-2</v>
      </c>
      <c r="O15" s="134">
        <v>3.5298557015310567E-2</v>
      </c>
      <c r="P15" s="134">
        <v>3.4089581834600383E-2</v>
      </c>
      <c r="Q15" s="134">
        <v>2.7460427201066166E-2</v>
      </c>
      <c r="R15" s="134">
        <v>4.9652657360222105E-2</v>
      </c>
      <c r="S15" s="134">
        <v>5.4631852145822002E-2</v>
      </c>
      <c r="T15" s="134">
        <v>4.8375319125672417E-2</v>
      </c>
      <c r="U15" s="134">
        <v>4.6543299454480602E-2</v>
      </c>
      <c r="V15" s="134">
        <v>3.5413220454154751E-2</v>
      </c>
      <c r="W15" s="134">
        <v>3.35117125923695E-2</v>
      </c>
      <c r="X15" s="134">
        <v>2.2574392339630975E-2</v>
      </c>
      <c r="Y15" s="134">
        <v>2.2458422629748998E-2</v>
      </c>
      <c r="DA15" s="157" t="s">
        <v>643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3.1750724256217966</v>
      </c>
      <c r="D16" s="130">
        <f t="shared" si="6"/>
        <v>2.9706241210953079</v>
      </c>
      <c r="E16" s="130">
        <f t="shared" si="6"/>
        <v>2.7254626928152099</v>
      </c>
      <c r="F16" s="130">
        <f t="shared" si="6"/>
        <v>4.0534337226982888</v>
      </c>
      <c r="G16" s="130">
        <f t="shared" si="6"/>
        <v>3.5429216432735591</v>
      </c>
      <c r="H16" s="130">
        <f t="shared" si="6"/>
        <v>4.6662736567734049</v>
      </c>
      <c r="I16" s="130">
        <f t="shared" si="6"/>
        <v>4.5959693263444423</v>
      </c>
      <c r="J16" s="130">
        <f t="shared" si="6"/>
        <v>3.3182331665873397</v>
      </c>
      <c r="K16" s="130">
        <f t="shared" si="6"/>
        <v>2.3073880918580949</v>
      </c>
      <c r="L16" s="130">
        <f t="shared" si="6"/>
        <v>2.8603799740475959</v>
      </c>
      <c r="M16" s="130">
        <f t="shared" si="6"/>
        <v>2.1480338845888234</v>
      </c>
      <c r="N16" s="130">
        <f t="shared" si="6"/>
        <v>1.5913110379027571</v>
      </c>
      <c r="O16" s="130">
        <f t="shared" si="6"/>
        <v>1.4717642564963613</v>
      </c>
      <c r="P16" s="130">
        <f t="shared" si="6"/>
        <v>1.4783126904572939</v>
      </c>
      <c r="Q16" s="130">
        <f t="shared" si="6"/>
        <v>1.4872556825516259</v>
      </c>
      <c r="R16" s="130">
        <f t="shared" ref="R16:W16" si="7">SUM(R17:R18)</f>
        <v>2.268473332602384</v>
      </c>
      <c r="S16" s="130">
        <f t="shared" si="7"/>
        <v>2.7481907194830284</v>
      </c>
      <c r="T16" s="130">
        <f t="shared" si="7"/>
        <v>2.7091020844915086</v>
      </c>
      <c r="U16" s="130">
        <f t="shared" si="7"/>
        <v>2.4956886745291738</v>
      </c>
      <c r="V16" s="130">
        <f t="shared" si="7"/>
        <v>2.2626606197106951</v>
      </c>
      <c r="W16" s="130">
        <f t="shared" si="7"/>
        <v>1.8207206440234267</v>
      </c>
      <c r="X16" s="130">
        <f t="shared" ref="X16:Y16" si="8">SUM(X17:X18)</f>
        <v>1.5987855837723228</v>
      </c>
      <c r="Y16" s="130">
        <f t="shared" si="8"/>
        <v>1.5060574560071973</v>
      </c>
      <c r="DA16" s="155" t="s">
        <v>644</v>
      </c>
    </row>
    <row r="17" spans="1:105" ht="12.95" customHeight="1" x14ac:dyDescent="0.25">
      <c r="A17" s="131" t="s">
        <v>73</v>
      </c>
      <c r="B17" s="132"/>
      <c r="C17" s="132">
        <v>0</v>
      </c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32">
        <v>0</v>
      </c>
      <c r="J17" s="132">
        <v>0</v>
      </c>
      <c r="K17" s="132">
        <v>0</v>
      </c>
      <c r="L17" s="132">
        <v>0</v>
      </c>
      <c r="M17" s="132">
        <v>0</v>
      </c>
      <c r="N17" s="132">
        <v>0</v>
      </c>
      <c r="O17" s="132">
        <v>0</v>
      </c>
      <c r="P17" s="132">
        <v>0</v>
      </c>
      <c r="Q17" s="132">
        <v>0</v>
      </c>
      <c r="R17" s="132">
        <v>0</v>
      </c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32">
        <v>0</v>
      </c>
      <c r="Y17" s="132">
        <v>0</v>
      </c>
      <c r="DA17" s="156" t="s">
        <v>645</v>
      </c>
    </row>
    <row r="18" spans="1:105" ht="12" customHeight="1" x14ac:dyDescent="0.25">
      <c r="A18" s="131" t="s">
        <v>72</v>
      </c>
      <c r="B18" s="132"/>
      <c r="C18" s="132">
        <v>3.1750724256217966</v>
      </c>
      <c r="D18" s="132">
        <v>2.9706241210953079</v>
      </c>
      <c r="E18" s="132">
        <v>2.7254626928152099</v>
      </c>
      <c r="F18" s="132">
        <v>4.0534337226982888</v>
      </c>
      <c r="G18" s="132">
        <v>3.5429216432735591</v>
      </c>
      <c r="H18" s="132">
        <v>4.6662736567734049</v>
      </c>
      <c r="I18" s="132">
        <v>4.5959693263444423</v>
      </c>
      <c r="J18" s="132">
        <v>3.3182331665873397</v>
      </c>
      <c r="K18" s="132">
        <v>2.3073880918580949</v>
      </c>
      <c r="L18" s="132">
        <v>2.8603799740475959</v>
      </c>
      <c r="M18" s="132">
        <v>2.1480338845888234</v>
      </c>
      <c r="N18" s="132">
        <v>1.5913110379027571</v>
      </c>
      <c r="O18" s="132">
        <v>1.4717642564963613</v>
      </c>
      <c r="P18" s="132">
        <v>1.4783126904572939</v>
      </c>
      <c r="Q18" s="132">
        <v>1.4872556825516259</v>
      </c>
      <c r="R18" s="132">
        <v>2.268473332602384</v>
      </c>
      <c r="S18" s="132">
        <v>2.7481907194830284</v>
      </c>
      <c r="T18" s="132">
        <v>2.7091020844915086</v>
      </c>
      <c r="U18" s="132">
        <v>2.4956886745291738</v>
      </c>
      <c r="V18" s="132">
        <v>2.2626606197106951</v>
      </c>
      <c r="W18" s="132">
        <v>1.8207206440234267</v>
      </c>
      <c r="X18" s="132">
        <v>1.5987855837723228</v>
      </c>
      <c r="Y18" s="132">
        <v>1.5060574560071973</v>
      </c>
      <c r="DA18" s="156" t="s">
        <v>646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2.1364366194940434</v>
      </c>
      <c r="D19" s="130">
        <f t="shared" si="9"/>
        <v>2.0011975853755644</v>
      </c>
      <c r="E19" s="130">
        <f t="shared" si="9"/>
        <v>1.7825526209771052</v>
      </c>
      <c r="F19" s="130">
        <f t="shared" si="9"/>
        <v>2.7647559353509723</v>
      </c>
      <c r="G19" s="130">
        <f t="shared" si="9"/>
        <v>2.4556911144029332</v>
      </c>
      <c r="H19" s="130">
        <f t="shared" si="9"/>
        <v>3.222025513618652</v>
      </c>
      <c r="I19" s="130">
        <f t="shared" si="9"/>
        <v>3.1769890698819419</v>
      </c>
      <c r="J19" s="130">
        <f t="shared" si="9"/>
        <v>2.3024740606700553</v>
      </c>
      <c r="K19" s="130">
        <f t="shared" si="9"/>
        <v>1.6270870974700504</v>
      </c>
      <c r="L19" s="130">
        <f t="shared" si="9"/>
        <v>1.9290923383836689</v>
      </c>
      <c r="M19" s="130">
        <f t="shared" si="9"/>
        <v>1.5731020315054574</v>
      </c>
      <c r="N19" s="130">
        <f t="shared" si="9"/>
        <v>1.2097850136226067</v>
      </c>
      <c r="O19" s="130">
        <f t="shared" si="9"/>
        <v>1.1509749071996682</v>
      </c>
      <c r="P19" s="130">
        <f t="shared" si="9"/>
        <v>1.1878788745977977</v>
      </c>
      <c r="Q19" s="130">
        <f t="shared" si="9"/>
        <v>1.2452785843113143</v>
      </c>
      <c r="R19" s="130">
        <f t="shared" ref="R19:W19" si="10">SUM(R20:R27)</f>
        <v>1.8913772707523062</v>
      </c>
      <c r="S19" s="130">
        <f t="shared" si="10"/>
        <v>2.3791642427488355</v>
      </c>
      <c r="T19" s="130">
        <f t="shared" si="10"/>
        <v>2.4250652585674963</v>
      </c>
      <c r="U19" s="130">
        <f t="shared" si="10"/>
        <v>2.3379340809116287</v>
      </c>
      <c r="V19" s="130">
        <f t="shared" si="10"/>
        <v>1.9996636123501075</v>
      </c>
      <c r="W19" s="130">
        <f t="shared" si="10"/>
        <v>2.0204900989978407</v>
      </c>
      <c r="X19" s="130">
        <f t="shared" ref="X19:Y19" si="11">SUM(X20:X27)</f>
        <v>1.8491418341181824</v>
      </c>
      <c r="Y19" s="130">
        <f t="shared" si="11"/>
        <v>1.734953752827288</v>
      </c>
      <c r="DA19" s="155" t="s">
        <v>647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648</v>
      </c>
    </row>
    <row r="21" spans="1:105" s="2" customFormat="1" ht="12" customHeight="1" x14ac:dyDescent="0.25">
      <c r="A21" s="131" t="s">
        <v>52</v>
      </c>
      <c r="B21" s="132"/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649</v>
      </c>
    </row>
    <row r="22" spans="1:105" ht="12" customHeight="1" x14ac:dyDescent="0.25">
      <c r="A22" s="131" t="s">
        <v>161</v>
      </c>
      <c r="B22" s="132"/>
      <c r="C22" s="132">
        <v>0.18089595132199174</v>
      </c>
      <c r="D22" s="132">
        <v>0.19422704633169252</v>
      </c>
      <c r="E22" s="132">
        <v>0.1569988689768041</v>
      </c>
      <c r="F22" s="132">
        <v>0.21558447156236205</v>
      </c>
      <c r="G22" s="132">
        <v>0.17895933393750338</v>
      </c>
      <c r="H22" s="132">
        <v>0.24662548088212244</v>
      </c>
      <c r="I22" s="132">
        <v>0.23560859142372509</v>
      </c>
      <c r="J22" s="132">
        <v>0.1921747975070115</v>
      </c>
      <c r="K22" s="132">
        <v>0.14855447698276036</v>
      </c>
      <c r="L22" s="132">
        <v>0.20280634631462938</v>
      </c>
      <c r="M22" s="132">
        <v>0.13981738539819341</v>
      </c>
      <c r="N22" s="132">
        <v>8.5580920004204378E-2</v>
      </c>
      <c r="O22" s="132">
        <v>6.8744762469910001E-2</v>
      </c>
      <c r="P22" s="132">
        <v>3.4771623864095366E-2</v>
      </c>
      <c r="Q22" s="132">
        <v>4.7691153319127953E-2</v>
      </c>
      <c r="R22" s="132">
        <v>6.458712264170316E-2</v>
      </c>
      <c r="S22" s="132">
        <v>1.7265895046514188E-2</v>
      </c>
      <c r="T22" s="132">
        <v>1.2694082105944905E-2</v>
      </c>
      <c r="U22" s="132">
        <v>6.4683479953612885E-2</v>
      </c>
      <c r="V22" s="132">
        <v>9.6998758660036391E-2</v>
      </c>
      <c r="W22" s="132">
        <v>0.12083840539099175</v>
      </c>
      <c r="X22" s="132">
        <v>7.2718696278664396E-2</v>
      </c>
      <c r="Y22" s="132">
        <v>4.2962298310101246E-2</v>
      </c>
      <c r="DA22" s="156" t="s">
        <v>650</v>
      </c>
    </row>
    <row r="23" spans="1:105" ht="12" customHeight="1" x14ac:dyDescent="0.25">
      <c r="A23" s="131" t="s">
        <v>149</v>
      </c>
      <c r="B23" s="132"/>
      <c r="C23" s="132">
        <v>2.7536619842904425E-2</v>
      </c>
      <c r="D23" s="132">
        <v>2.8703242288600415E-2</v>
      </c>
      <c r="E23" s="132">
        <v>2.5847332290905713E-2</v>
      </c>
      <c r="F23" s="132">
        <v>3.8336235505117604E-2</v>
      </c>
      <c r="G23" s="132">
        <v>3.0384752697754539E-2</v>
      </c>
      <c r="H23" s="132">
        <v>3.0531176972965486E-2</v>
      </c>
      <c r="I23" s="132">
        <v>3.0107331313741423E-2</v>
      </c>
      <c r="J23" s="132">
        <v>2.1261477278629908E-2</v>
      </c>
      <c r="K23" s="132">
        <v>1.3373359849662467E-2</v>
      </c>
      <c r="L23" s="132">
        <v>1.4381691685106267E-2</v>
      </c>
      <c r="M23" s="132">
        <v>1.4327343842360373E-2</v>
      </c>
      <c r="N23" s="132">
        <v>1.2160644424652665E-2</v>
      </c>
      <c r="O23" s="132">
        <v>1.149300724758549E-2</v>
      </c>
      <c r="P23" s="132">
        <v>6.0692839079469077E-3</v>
      </c>
      <c r="Q23" s="132">
        <v>1.1583419438009453E-2</v>
      </c>
      <c r="R23" s="132">
        <v>1.8026940469646761E-2</v>
      </c>
      <c r="S23" s="132">
        <v>2.2505851462742227E-2</v>
      </c>
      <c r="T23" s="132">
        <v>2.0398045813198235E-2</v>
      </c>
      <c r="U23" s="132">
        <v>1.9023831612722919E-2</v>
      </c>
      <c r="V23" s="132">
        <v>1.7062554756253689E-2</v>
      </c>
      <c r="W23" s="132">
        <v>8.1695318317905781E-3</v>
      </c>
      <c r="X23" s="132">
        <v>1.1782658184802067E-2</v>
      </c>
      <c r="Y23" s="132">
        <v>0</v>
      </c>
      <c r="DA23" s="156" t="s">
        <v>651</v>
      </c>
    </row>
    <row r="24" spans="1:105" ht="12" customHeight="1" x14ac:dyDescent="0.25">
      <c r="A24" s="131" t="s">
        <v>128</v>
      </c>
      <c r="B24" s="132"/>
      <c r="C24" s="132">
        <v>9.1117140041549818E-2</v>
      </c>
      <c r="D24" s="132">
        <v>6.5711265256456375E-2</v>
      </c>
      <c r="E24" s="132">
        <v>5.074121435197608E-2</v>
      </c>
      <c r="F24" s="132">
        <v>6.5769482007256852E-2</v>
      </c>
      <c r="G24" s="132">
        <v>5.8333033989307136E-2</v>
      </c>
      <c r="H24" s="132">
        <v>9.025059330954037E-2</v>
      </c>
      <c r="I24" s="132">
        <v>9.0573103001674704E-2</v>
      </c>
      <c r="J24" s="132">
        <v>8.0252004630523538E-2</v>
      </c>
      <c r="K24" s="132">
        <v>4.3420830577381692E-2</v>
      </c>
      <c r="L24" s="132">
        <v>5.2478188459796293E-2</v>
      </c>
      <c r="M24" s="132">
        <v>4.0132054927602794E-2</v>
      </c>
      <c r="N24" s="132">
        <v>2.8468328513078761E-2</v>
      </c>
      <c r="O24" s="132">
        <v>2.4196653541703705E-2</v>
      </c>
      <c r="P24" s="132">
        <v>4.1677848136837732E-2</v>
      </c>
      <c r="Q24" s="132">
        <v>5.079620917065255E-2</v>
      </c>
      <c r="R24" s="132">
        <v>0.1059048730537664</v>
      </c>
      <c r="S24" s="132">
        <v>8.9372589614381631E-2</v>
      </c>
      <c r="T24" s="132">
        <v>7.7422875414967313E-2</v>
      </c>
      <c r="U24" s="132">
        <v>6.5937766209869825E-2</v>
      </c>
      <c r="V24" s="132">
        <v>6.3326434659247366E-2</v>
      </c>
      <c r="W24" s="132">
        <v>7.8714052784990704E-2</v>
      </c>
      <c r="X24" s="132">
        <v>4.705833363269224E-2</v>
      </c>
      <c r="Y24" s="132">
        <v>2.8980147386755105E-2</v>
      </c>
      <c r="DA24" s="156" t="s">
        <v>652</v>
      </c>
    </row>
    <row r="25" spans="1:105" ht="12" customHeight="1" x14ac:dyDescent="0.25">
      <c r="A25" s="131" t="s">
        <v>162</v>
      </c>
      <c r="B25" s="132"/>
      <c r="C25" s="132">
        <v>1.1797897967230428</v>
      </c>
      <c r="D25" s="132">
        <v>1.0253983550689996</v>
      </c>
      <c r="E25" s="132">
        <v>0.90008193726677521</v>
      </c>
      <c r="F25" s="132">
        <v>1.4787297135140587</v>
      </c>
      <c r="G25" s="132">
        <v>1.3231743351142471</v>
      </c>
      <c r="H25" s="132">
        <v>1.8527831780664035</v>
      </c>
      <c r="I25" s="132">
        <v>1.8145180617818375</v>
      </c>
      <c r="J25" s="132">
        <v>1.1074109027420311</v>
      </c>
      <c r="K25" s="132">
        <v>0.6960077809464309</v>
      </c>
      <c r="L25" s="132">
        <v>0.77985618537635559</v>
      </c>
      <c r="M25" s="132">
        <v>0.63465280151866621</v>
      </c>
      <c r="N25" s="132">
        <v>0.4974775624531465</v>
      </c>
      <c r="O25" s="132">
        <v>0.48480331183148356</v>
      </c>
      <c r="P25" s="132">
        <v>0.47157315328186716</v>
      </c>
      <c r="Q25" s="132">
        <v>0.52006908952615061</v>
      </c>
      <c r="R25" s="132">
        <v>0.92772672821407876</v>
      </c>
      <c r="S25" s="132">
        <v>1.0423303652990592</v>
      </c>
      <c r="T25" s="132">
        <v>1.0597421212234464</v>
      </c>
      <c r="U25" s="132">
        <v>0.86667837796935809</v>
      </c>
      <c r="V25" s="132">
        <v>0.94234782522083804</v>
      </c>
      <c r="W25" s="132">
        <v>1.1980579550228134</v>
      </c>
      <c r="X25" s="132">
        <v>1.1366285730952252</v>
      </c>
      <c r="Y25" s="132">
        <v>0.83361592567209708</v>
      </c>
      <c r="DA25" s="156" t="s">
        <v>653</v>
      </c>
    </row>
    <row r="26" spans="1:105" ht="12" customHeight="1" x14ac:dyDescent="0.25">
      <c r="A26" s="131" t="s">
        <v>24</v>
      </c>
      <c r="B26" s="65"/>
      <c r="C26" s="65">
        <v>0.6570971115645543</v>
      </c>
      <c r="D26" s="65">
        <v>0.68715767642981529</v>
      </c>
      <c r="E26" s="65">
        <v>0.64888326809064389</v>
      </c>
      <c r="F26" s="65">
        <v>0.96633603276217694</v>
      </c>
      <c r="G26" s="65">
        <v>0.86483965866412116</v>
      </c>
      <c r="H26" s="65">
        <v>1.0018350843876203</v>
      </c>
      <c r="I26" s="65">
        <v>1.0061819823609628</v>
      </c>
      <c r="J26" s="65">
        <v>0.90137487851185949</v>
      </c>
      <c r="K26" s="65">
        <v>0.72573064911381502</v>
      </c>
      <c r="L26" s="65">
        <v>0.87956992654778121</v>
      </c>
      <c r="M26" s="65">
        <v>0.74417244581863451</v>
      </c>
      <c r="N26" s="65">
        <v>0.58609755822752441</v>
      </c>
      <c r="O26" s="65">
        <v>0.56173717210898544</v>
      </c>
      <c r="P26" s="65">
        <v>0.6337869654070506</v>
      </c>
      <c r="Q26" s="65">
        <v>0.61513871285737376</v>
      </c>
      <c r="R26" s="65">
        <v>0.77513160637311096</v>
      </c>
      <c r="S26" s="65">
        <v>1.2076895413261384</v>
      </c>
      <c r="T26" s="65">
        <v>1.2548081340099393</v>
      </c>
      <c r="U26" s="65">
        <v>1.3216106251660649</v>
      </c>
      <c r="V26" s="65">
        <v>0.87992803905373218</v>
      </c>
      <c r="W26" s="65">
        <v>0.61471015396725415</v>
      </c>
      <c r="X26" s="65">
        <v>0.58095357292679839</v>
      </c>
      <c r="Y26" s="65">
        <v>0.82939538145833469</v>
      </c>
      <c r="DA26" s="109" t="s">
        <v>654</v>
      </c>
    </row>
    <row r="27" spans="1:105" ht="12" customHeight="1" x14ac:dyDescent="0.25">
      <c r="A27" s="144" t="s">
        <v>26</v>
      </c>
      <c r="B27" s="147"/>
      <c r="C27" s="147">
        <v>0</v>
      </c>
      <c r="D27" s="147">
        <v>0</v>
      </c>
      <c r="E27" s="147">
        <v>0</v>
      </c>
      <c r="F27" s="147">
        <v>0</v>
      </c>
      <c r="G27" s="147">
        <v>0</v>
      </c>
      <c r="H27" s="147">
        <v>0</v>
      </c>
      <c r="I27" s="147">
        <v>0</v>
      </c>
      <c r="J27" s="147">
        <v>0</v>
      </c>
      <c r="K27" s="147">
        <v>0</v>
      </c>
      <c r="L27" s="147">
        <v>0</v>
      </c>
      <c r="M27" s="147">
        <v>0</v>
      </c>
      <c r="N27" s="147">
        <v>0</v>
      </c>
      <c r="O27" s="147">
        <v>0</v>
      </c>
      <c r="P27" s="147">
        <v>0</v>
      </c>
      <c r="Q27" s="147">
        <v>0</v>
      </c>
      <c r="R27" s="147">
        <v>0</v>
      </c>
      <c r="S27" s="147">
        <v>0</v>
      </c>
      <c r="T27" s="147">
        <v>0</v>
      </c>
      <c r="U27" s="147">
        <v>0</v>
      </c>
      <c r="V27" s="147">
        <v>0</v>
      </c>
      <c r="W27" s="147">
        <v>0</v>
      </c>
      <c r="X27" s="147">
        <v>0</v>
      </c>
      <c r="Y27" s="147">
        <v>0</v>
      </c>
      <c r="DA27" s="160" t="s">
        <v>655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2.015751138795876</v>
      </c>
      <c r="D29" s="130">
        <f t="shared" si="12"/>
        <v>1.8829532427791937</v>
      </c>
      <c r="E29" s="130">
        <f t="shared" si="12"/>
        <v>1.6733389893532489</v>
      </c>
      <c r="F29" s="130">
        <f t="shared" si="12"/>
        <v>2.6342938502453417</v>
      </c>
      <c r="G29" s="130">
        <f t="shared" si="12"/>
        <v>2.3346328340775777</v>
      </c>
      <c r="H29" s="130">
        <f t="shared" si="12"/>
        <v>3.1084614789939469</v>
      </c>
      <c r="I29" s="130">
        <f t="shared" si="12"/>
        <v>3.0443403675301655</v>
      </c>
      <c r="J29" s="130">
        <f t="shared" si="12"/>
        <v>2.2032298330736362</v>
      </c>
      <c r="K29" s="130">
        <f t="shared" si="12"/>
        <v>1.5787431282681326</v>
      </c>
      <c r="L29" s="130">
        <f t="shared" si="12"/>
        <v>1.8383261403696332</v>
      </c>
      <c r="M29" s="130">
        <f t="shared" si="12"/>
        <v>1.5263792947951336</v>
      </c>
      <c r="N29" s="130">
        <f t="shared" si="12"/>
        <v>1.1592000020760509</v>
      </c>
      <c r="O29" s="130">
        <f t="shared" si="12"/>
        <v>1.1067156359290353</v>
      </c>
      <c r="P29" s="130">
        <f t="shared" si="12"/>
        <v>1.145909179665521</v>
      </c>
      <c r="Q29" s="130">
        <f t="shared" si="12"/>
        <v>1.2209179644471078</v>
      </c>
      <c r="R29" s="130">
        <f t="shared" ref="R29:W29" si="13">SUM(R30:R33)</f>
        <v>1.9191437760172461</v>
      </c>
      <c r="S29" s="130">
        <f t="shared" si="13"/>
        <v>2.4737004995725469</v>
      </c>
      <c r="T29" s="130">
        <f t="shared" si="13"/>
        <v>2.519126955124479</v>
      </c>
      <c r="U29" s="130">
        <f t="shared" si="13"/>
        <v>2.5545728896809172</v>
      </c>
      <c r="V29" s="130">
        <f t="shared" si="13"/>
        <v>2.2605605232181971</v>
      </c>
      <c r="W29" s="130">
        <f t="shared" si="13"/>
        <v>2.2977963576559266</v>
      </c>
      <c r="X29" s="130">
        <f t="shared" ref="X29:Y29" si="14">SUM(X30:X33)</f>
        <v>2.1208517337188657</v>
      </c>
      <c r="Y29" s="130">
        <f t="shared" si="14"/>
        <v>1.9936227343286863</v>
      </c>
      <c r="DA29" s="155" t="s">
        <v>656</v>
      </c>
    </row>
    <row r="30" spans="1:105" s="2" customFormat="1" ht="12" customHeight="1" x14ac:dyDescent="0.25">
      <c r="A30" s="131" t="s">
        <v>52</v>
      </c>
      <c r="B30" s="132"/>
      <c r="C30" s="132">
        <v>0</v>
      </c>
      <c r="D30" s="132">
        <v>0</v>
      </c>
      <c r="E30" s="132">
        <v>0</v>
      </c>
      <c r="F30" s="132">
        <v>0</v>
      </c>
      <c r="G30" s="132">
        <v>0</v>
      </c>
      <c r="H30" s="132">
        <v>0</v>
      </c>
      <c r="I30" s="132">
        <v>0</v>
      </c>
      <c r="J30" s="132">
        <v>0</v>
      </c>
      <c r="K30" s="132">
        <v>0</v>
      </c>
      <c r="L30" s="132">
        <v>0</v>
      </c>
      <c r="M30" s="132">
        <v>0</v>
      </c>
      <c r="N30" s="132">
        <v>0</v>
      </c>
      <c r="O30" s="132">
        <v>0</v>
      </c>
      <c r="P30" s="132">
        <v>0</v>
      </c>
      <c r="Q30" s="132">
        <v>0</v>
      </c>
      <c r="R30" s="132">
        <v>0</v>
      </c>
      <c r="S30" s="132">
        <v>0</v>
      </c>
      <c r="T30" s="132">
        <v>0</v>
      </c>
      <c r="U30" s="132">
        <v>0</v>
      </c>
      <c r="V30" s="132">
        <v>0</v>
      </c>
      <c r="W30" s="132">
        <v>0</v>
      </c>
      <c r="X30" s="132">
        <v>0</v>
      </c>
      <c r="Y30" s="132">
        <v>0</v>
      </c>
      <c r="DA30" s="156" t="s">
        <v>657</v>
      </c>
    </row>
    <row r="31" spans="1:105" ht="12" customHeight="1" x14ac:dyDescent="0.25">
      <c r="A31" s="131" t="s">
        <v>149</v>
      </c>
      <c r="B31" s="132"/>
      <c r="C31" s="132">
        <v>4.1940618039792321E-2</v>
      </c>
      <c r="D31" s="132">
        <v>4.2167772010416826E-2</v>
      </c>
      <c r="E31" s="132">
        <v>3.5973075176000152E-2</v>
      </c>
      <c r="F31" s="132">
        <v>5.1186173679969506E-2</v>
      </c>
      <c r="G31" s="132">
        <v>4.3275005308266244E-2</v>
      </c>
      <c r="H31" s="132">
        <v>5.2987450901727906E-2</v>
      </c>
      <c r="I31" s="132">
        <v>4.9675560981055474E-2</v>
      </c>
      <c r="J31" s="132">
        <v>3.4023889507392893E-2</v>
      </c>
      <c r="K31" s="132">
        <v>1.8483991378751154E-2</v>
      </c>
      <c r="L31" s="132">
        <v>1.6910377420792221E-2</v>
      </c>
      <c r="M31" s="132">
        <v>3.7209131075298953E-3</v>
      </c>
      <c r="N31" s="132">
        <v>1.2924561425236456E-2</v>
      </c>
      <c r="O31" s="132">
        <v>1.5746580013469989E-2</v>
      </c>
      <c r="P31" s="132">
        <v>1.4569143172274932E-2</v>
      </c>
      <c r="Q31" s="132">
        <v>1.5405108211592409E-2</v>
      </c>
      <c r="R31" s="132">
        <v>2.0065251867541399E-2</v>
      </c>
      <c r="S31" s="132">
        <v>2.9629615315310245E-2</v>
      </c>
      <c r="T31" s="132">
        <v>1.4510829973784363E-2</v>
      </c>
      <c r="U31" s="132">
        <v>1.8435045248652818E-2</v>
      </c>
      <c r="V31" s="132">
        <v>2.2678588309765876E-2</v>
      </c>
      <c r="W31" s="132">
        <v>8.2693256671339116E-3</v>
      </c>
      <c r="X31" s="132">
        <v>6.1278145257756744E-3</v>
      </c>
      <c r="Y31" s="132">
        <v>3.4520645320485583E-3</v>
      </c>
      <c r="DA31" s="156" t="s">
        <v>658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659</v>
      </c>
    </row>
    <row r="33" spans="1:105" ht="12" customHeight="1" x14ac:dyDescent="0.25">
      <c r="A33" s="62" t="s">
        <v>24</v>
      </c>
      <c r="B33" s="68"/>
      <c r="C33" s="68">
        <v>1.9738105207560834</v>
      </c>
      <c r="D33" s="68">
        <v>1.840785470768777</v>
      </c>
      <c r="E33" s="68">
        <v>1.6373659141772487</v>
      </c>
      <c r="F33" s="68">
        <v>2.5831076765653722</v>
      </c>
      <c r="G33" s="68">
        <v>2.2913578287693115</v>
      </c>
      <c r="H33" s="68">
        <v>3.055474028092219</v>
      </c>
      <c r="I33" s="68">
        <v>2.9946648065491099</v>
      </c>
      <c r="J33" s="68">
        <v>2.1692059435662432</v>
      </c>
      <c r="K33" s="68">
        <v>1.5602591368893814</v>
      </c>
      <c r="L33" s="68">
        <v>1.821415762948841</v>
      </c>
      <c r="M33" s="68">
        <v>1.5226583816876036</v>
      </c>
      <c r="N33" s="68">
        <v>1.1462754406508144</v>
      </c>
      <c r="O33" s="68">
        <v>1.0909690559155654</v>
      </c>
      <c r="P33" s="68">
        <v>1.131340036493246</v>
      </c>
      <c r="Q33" s="68">
        <v>1.2055128562355153</v>
      </c>
      <c r="R33" s="68">
        <v>1.8990785241497046</v>
      </c>
      <c r="S33" s="68">
        <v>2.4440708842572367</v>
      </c>
      <c r="T33" s="68">
        <v>2.5046161251506946</v>
      </c>
      <c r="U33" s="68">
        <v>2.5361378444322642</v>
      </c>
      <c r="V33" s="68">
        <v>2.2378819349084313</v>
      </c>
      <c r="W33" s="68">
        <v>2.2895270319887926</v>
      </c>
      <c r="X33" s="68">
        <v>2.1147239191930902</v>
      </c>
      <c r="Y33" s="68">
        <v>1.9901706697966377</v>
      </c>
      <c r="DA33" s="111" t="s">
        <v>660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83</v>
      </c>
      <c r="B3" s="126"/>
      <c r="C3" s="126">
        <f>IF(SER_hh_tes_in!C3=0,"",SER_hh_tes_in!C3/SER_hh_fec_in!C3)</f>
        <v>0.80835958538794661</v>
      </c>
      <c r="D3" s="126">
        <f>IF(SER_hh_tes_in!D3=0,"",SER_hh_tes_in!D3/SER_hh_fec_in!D3)</f>
        <v>0.80658883771037992</v>
      </c>
      <c r="E3" s="126">
        <f>IF(SER_hh_tes_in!E3=0,"",SER_hh_tes_in!E3/SER_hh_fec_in!E3)</f>
        <v>0.80960352567699145</v>
      </c>
      <c r="F3" s="126">
        <f>IF(SER_hh_tes_in!F3=0,"",SER_hh_tes_in!F3/SER_hh_fec_in!F3)</f>
        <v>0.80972312885168829</v>
      </c>
      <c r="G3" s="126">
        <f>IF(SER_hh_tes_in!G3=0,"",SER_hh_tes_in!G3/SER_hh_fec_in!G3)</f>
        <v>0.82212788222196154</v>
      </c>
      <c r="H3" s="126">
        <f>IF(SER_hh_tes_in!H3=0,"",SER_hh_tes_in!H3/SER_hh_fec_in!H3)</f>
        <v>0.83983554702745311</v>
      </c>
      <c r="I3" s="126">
        <f>IF(SER_hh_tes_in!I3=0,"",SER_hh_tes_in!I3/SER_hh_fec_in!I3)</f>
        <v>0.85756242691260109</v>
      </c>
      <c r="J3" s="126">
        <f>IF(SER_hh_tes_in!J3=0,"",SER_hh_tes_in!J3/SER_hh_fec_in!J3)</f>
        <v>0.85407953921539959</v>
      </c>
      <c r="K3" s="126">
        <f>IF(SER_hh_tes_in!K3=0,"",SER_hh_tes_in!K3/SER_hh_fec_in!K3)</f>
        <v>0.83271998868840202</v>
      </c>
      <c r="L3" s="126">
        <f>IF(SER_hh_tes_in!L3=0,"",SER_hh_tes_in!L3/SER_hh_fec_in!L3)</f>
        <v>0.81887786022491471</v>
      </c>
      <c r="M3" s="126">
        <f>IF(SER_hh_tes_in!M3=0,"",SER_hh_tes_in!M3/SER_hh_fec_in!M3)</f>
        <v>0.83959805076297733</v>
      </c>
      <c r="N3" s="126">
        <f>IF(SER_hh_tes_in!N3=0,"",SER_hh_tes_in!N3/SER_hh_fec_in!N3)</f>
        <v>0.84721195802532545</v>
      </c>
      <c r="O3" s="126">
        <f>IF(SER_hh_tes_in!O3=0,"",SER_hh_tes_in!O3/SER_hh_fec_in!O3)</f>
        <v>0.88051792732253564</v>
      </c>
      <c r="P3" s="126">
        <f>IF(SER_hh_tes_in!P3=0,"",SER_hh_tes_in!P3/SER_hh_fec_in!P3)</f>
        <v>0.93086750201658697</v>
      </c>
      <c r="Q3" s="126">
        <f>IF(SER_hh_tes_in!Q3=0,"",SER_hh_tes_in!Q3/SER_hh_fec_in!Q3)</f>
        <v>0.94475826071000291</v>
      </c>
      <c r="R3" s="126">
        <f>IF(SER_hh_tes_in!R3=0,"",SER_hh_tes_in!R3/SER_hh_fec_in!R3)</f>
        <v>0.9304425105430375</v>
      </c>
      <c r="S3" s="126">
        <f>IF(SER_hh_tes_in!S3=0,"",SER_hh_tes_in!S3/SER_hh_fec_in!S3)</f>
        <v>0.94484398271311143</v>
      </c>
      <c r="T3" s="126">
        <f>IF(SER_hh_tes_in!T3=0,"",SER_hh_tes_in!T3/SER_hh_fec_in!T3)</f>
        <v>0.95974979593011922</v>
      </c>
      <c r="U3" s="126">
        <f>IF(SER_hh_tes_in!U3=0,"",SER_hh_tes_in!U3/SER_hh_fec_in!U3)</f>
        <v>0.98220217241870567</v>
      </c>
      <c r="V3" s="126">
        <f>IF(SER_hh_tes_in!V3=0,"",SER_hh_tes_in!V3/SER_hh_fec_in!V3)</f>
        <v>1.0114411969223596</v>
      </c>
      <c r="W3" s="126">
        <f>IF(SER_hh_tes_in!W3=0,"",SER_hh_tes_in!W3/SER_hh_fec_in!W3)</f>
        <v>1.0115335366290961</v>
      </c>
      <c r="X3" s="126">
        <f>IF(SER_hh_tes_in!X3=0,"",SER_hh_tes_in!X3/SER_hh_fec_in!X3)</f>
        <v>1.0361152268871656</v>
      </c>
      <c r="Y3" s="126">
        <f>IF(SER_hh_tes_in!Y3=0,"",SER_hh_tes_in!Y3/SER_hh_fec_in!Y3)</f>
        <v>1.0453231504403984</v>
      </c>
      <c r="DA3" s="161" t="s">
        <v>662</v>
      </c>
    </row>
    <row r="4" spans="1:105" ht="12.95" customHeight="1" x14ac:dyDescent="0.25">
      <c r="A4" s="129" t="s">
        <v>32</v>
      </c>
      <c r="B4" s="135"/>
      <c r="C4" s="135">
        <f>IF(SER_hh_tes_in!C4=0,"",SER_hh_tes_in!C4/SER_hh_fec_in!C4)</f>
        <v>0.73702296191033656</v>
      </c>
      <c r="D4" s="135">
        <f>IF(SER_hh_tes_in!D4=0,"",SER_hh_tes_in!D4/SER_hh_fec_in!D4)</f>
        <v>0.73523642983879656</v>
      </c>
      <c r="E4" s="135">
        <f>IF(SER_hh_tes_in!E4=0,"",SER_hh_tes_in!E4/SER_hh_fec_in!E4)</f>
        <v>0.73197470768847051</v>
      </c>
      <c r="F4" s="135">
        <f>IF(SER_hh_tes_in!F4=0,"",SER_hh_tes_in!F4/SER_hh_fec_in!F4)</f>
        <v>0.73152407770543681</v>
      </c>
      <c r="G4" s="135">
        <f>IF(SER_hh_tes_in!G4=0,"",SER_hh_tes_in!G4/SER_hh_fec_in!G4)</f>
        <v>0.74200478334493281</v>
      </c>
      <c r="H4" s="135">
        <f>IF(SER_hh_tes_in!H4=0,"",SER_hh_tes_in!H4/SER_hh_fec_in!H4)</f>
        <v>0.76024515985107122</v>
      </c>
      <c r="I4" s="135">
        <f>IF(SER_hh_tes_in!I4=0,"",SER_hh_tes_in!I4/SER_hh_fec_in!I4)</f>
        <v>0.78328207807372097</v>
      </c>
      <c r="J4" s="135">
        <f>IF(SER_hh_tes_in!J4=0,"",SER_hh_tes_in!J4/SER_hh_fec_in!J4)</f>
        <v>0.77684997210271778</v>
      </c>
      <c r="K4" s="135">
        <f>IF(SER_hh_tes_in!K4=0,"",SER_hh_tes_in!K4/SER_hh_fec_in!K4)</f>
        <v>0.75840673806950676</v>
      </c>
      <c r="L4" s="135">
        <f>IF(SER_hh_tes_in!L4=0,"",SER_hh_tes_in!L4/SER_hh_fec_in!L4)</f>
        <v>0.73978610259526811</v>
      </c>
      <c r="M4" s="135">
        <f>IF(SER_hh_tes_in!M4=0,"",SER_hh_tes_in!M4/SER_hh_fec_in!M4)</f>
        <v>0.75503567990227405</v>
      </c>
      <c r="N4" s="135">
        <f>IF(SER_hh_tes_in!N4=0,"",SER_hh_tes_in!N4/SER_hh_fec_in!N4)</f>
        <v>0.76761988893672728</v>
      </c>
      <c r="O4" s="135">
        <f>IF(SER_hh_tes_in!O4=0,"",SER_hh_tes_in!O4/SER_hh_fec_in!O4)</f>
        <v>0.79737417932943289</v>
      </c>
      <c r="P4" s="135">
        <f>IF(SER_hh_tes_in!P4=0,"",SER_hh_tes_in!P4/SER_hh_fec_in!P4)</f>
        <v>0.85476297806250168</v>
      </c>
      <c r="Q4" s="135">
        <f>IF(SER_hh_tes_in!Q4=0,"",SER_hh_tes_in!Q4/SER_hh_fec_in!Q4)</f>
        <v>0.86120731982751331</v>
      </c>
      <c r="R4" s="135">
        <f>IF(SER_hh_tes_in!R4=0,"",SER_hh_tes_in!R4/SER_hh_fec_in!R4)</f>
        <v>0.83874638724731498</v>
      </c>
      <c r="S4" s="135">
        <f>IF(SER_hh_tes_in!S4=0,"",SER_hh_tes_in!S4/SER_hh_fec_in!S4)</f>
        <v>0.8484979604744316</v>
      </c>
      <c r="T4" s="135">
        <f>IF(SER_hh_tes_in!T4=0,"",SER_hh_tes_in!T4/SER_hh_fec_in!T4)</f>
        <v>0.86252435733069899</v>
      </c>
      <c r="U4" s="135">
        <f>IF(SER_hh_tes_in!U4=0,"",SER_hh_tes_in!U4/SER_hh_fec_in!U4)</f>
        <v>0.88138670260504703</v>
      </c>
      <c r="V4" s="135">
        <f>IF(SER_hh_tes_in!V4=0,"",SER_hh_tes_in!V4/SER_hh_fec_in!V4)</f>
        <v>0.89980224321075375</v>
      </c>
      <c r="W4" s="135">
        <f>IF(SER_hh_tes_in!W4=0,"",SER_hh_tes_in!W4/SER_hh_fec_in!W4)</f>
        <v>0.91777535939039534</v>
      </c>
      <c r="X4" s="135">
        <f>IF(SER_hh_tes_in!X4=0,"",SER_hh_tes_in!X4/SER_hh_fec_in!X4)</f>
        <v>0.94224396799611521</v>
      </c>
      <c r="Y4" s="135">
        <f>IF(SER_hh_tes_in!Y4=0,"",SER_hh_tes_in!Y4/SER_hh_fec_in!Y4)</f>
        <v>0.94581226246575045</v>
      </c>
      <c r="DA4" s="162" t="s">
        <v>663</v>
      </c>
    </row>
    <row r="5" spans="1:105" ht="12" customHeight="1" x14ac:dyDescent="0.25">
      <c r="A5" s="131" t="s">
        <v>29</v>
      </c>
      <c r="B5" s="136"/>
      <c r="C5" s="136">
        <f>IF(SER_hh_tes_in!C5=0,"",SER_hh_tes_in!C5/SER_hh_fec_in!C5)</f>
        <v>0.5980478870853696</v>
      </c>
      <c r="D5" s="136">
        <f>IF(SER_hh_tes_in!D5=0,"",SER_hh_tes_in!D5/SER_hh_fec_in!D5)</f>
        <v>0.60421822279611437</v>
      </c>
      <c r="E5" s="136">
        <f>IF(SER_hh_tes_in!E5=0,"",SER_hh_tes_in!E5/SER_hh_fec_in!E5)</f>
        <v>0.61037059259526127</v>
      </c>
      <c r="F5" s="136">
        <f>IF(SER_hh_tes_in!F5=0,"",SER_hh_tes_in!F5/SER_hh_fec_in!F5)</f>
        <v>0.61652051249737216</v>
      </c>
      <c r="G5" s="136">
        <f>IF(SER_hh_tes_in!G5=0,"",SER_hh_tes_in!G5/SER_hh_fec_in!G5)</f>
        <v>0.62265388685163947</v>
      </c>
      <c r="H5" s="136">
        <f>IF(SER_hh_tes_in!H5=0,"",SER_hh_tes_in!H5/SER_hh_fec_in!H5)</f>
        <v>0.6287724407862747</v>
      </c>
      <c r="I5" s="136">
        <f>IF(SER_hh_tes_in!I5=0,"",SER_hh_tes_in!I5/SER_hh_fec_in!I5)</f>
        <v>0.6348727011325076</v>
      </c>
      <c r="J5" s="136">
        <f>IF(SER_hh_tes_in!J5=0,"",SER_hh_tes_in!J5/SER_hh_fec_in!J5)</f>
        <v>0.64094043954380331</v>
      </c>
      <c r="K5" s="136">
        <f>IF(SER_hh_tes_in!K5=0,"",SER_hh_tes_in!K5/SER_hh_fec_in!K5)</f>
        <v>0.64696355818310392</v>
      </c>
      <c r="L5" s="136">
        <f>IF(SER_hh_tes_in!L5=0,"",SER_hh_tes_in!L5/SER_hh_fec_in!L5)</f>
        <v>0.65293882038301088</v>
      </c>
      <c r="M5" s="136">
        <f>IF(SER_hh_tes_in!M5=0,"",SER_hh_tes_in!M5/SER_hh_fec_in!M5)</f>
        <v>0.65846141453352325</v>
      </c>
      <c r="N5" s="136">
        <f>IF(SER_hh_tes_in!N5=0,"",SER_hh_tes_in!N5/SER_hh_fec_in!N5)</f>
        <v>0.66339418230386593</v>
      </c>
      <c r="O5" s="136">
        <f>IF(SER_hh_tes_in!O5=0,"",SER_hh_tes_in!O5/SER_hh_fec_in!O5)</f>
        <v>0.66774094990624944</v>
      </c>
      <c r="P5" s="136">
        <f>IF(SER_hh_tes_in!P5=0,"",SER_hh_tes_in!P5/SER_hh_fec_in!P5)</f>
        <v>0.67196534743429603</v>
      </c>
      <c r="Q5" s="136">
        <f>IF(SER_hh_tes_in!Q5=0,"",SER_hh_tes_in!Q5/SER_hh_fec_in!Q5)</f>
        <v>0.677420984994069</v>
      </c>
      <c r="R5" s="136">
        <f>IF(SER_hh_tes_in!R5=0,"",SER_hh_tes_in!R5/SER_hh_fec_in!R5)</f>
        <v>0.68578829595133761</v>
      </c>
      <c r="S5" s="136">
        <f>IF(SER_hh_tes_in!S5=0,"",SER_hh_tes_in!S5/SER_hh_fec_in!S5)</f>
        <v>0.69577829350443499</v>
      </c>
      <c r="T5" s="136">
        <f>IF(SER_hh_tes_in!T5=0,"",SER_hh_tes_in!T5/SER_hh_fec_in!T5)</f>
        <v>0.70634309133904571</v>
      </c>
      <c r="U5" s="136">
        <f>IF(SER_hh_tes_in!U5=0,"",SER_hh_tes_in!U5/SER_hh_fec_in!U5)</f>
        <v>0.71643480314088415</v>
      </c>
      <c r="V5" s="136">
        <f>IF(SER_hh_tes_in!V5=0,"",SER_hh_tes_in!V5/SER_hh_fec_in!V5)</f>
        <v>0.72500554259565098</v>
      </c>
      <c r="W5" s="136">
        <f>IF(SER_hh_tes_in!W5=0,"",SER_hh_tes_in!W5/SER_hh_fec_in!W5)</f>
        <v>0.73165702630040863</v>
      </c>
      <c r="X5" s="136">
        <f>IF(SER_hh_tes_in!X5=0,"",SER_hh_tes_in!X5/SER_hh_fec_in!X5)</f>
        <v>0.73771757433702978</v>
      </c>
      <c r="Y5" s="136">
        <f>IF(SER_hh_tes_in!Y5=0,"",SER_hh_tes_in!Y5/SER_hh_fec_in!Y5)</f>
        <v>0.74318120722677861</v>
      </c>
      <c r="DA5" s="163" t="s">
        <v>664</v>
      </c>
    </row>
    <row r="6" spans="1:105" ht="12" customHeight="1" x14ac:dyDescent="0.25">
      <c r="A6" s="131" t="s">
        <v>52</v>
      </c>
      <c r="B6" s="136"/>
      <c r="C6" s="136" t="str">
        <f>IF(SER_hh_tes_in!C6=0,"",SER_hh_tes_in!C6/SER_hh_fec_in!C6)</f>
        <v/>
      </c>
      <c r="D6" s="136" t="str">
        <f>IF(SER_hh_tes_in!D6=0,"",SER_hh_tes_in!D6/SER_hh_fec_in!D6)</f>
        <v/>
      </c>
      <c r="E6" s="136" t="str">
        <f>IF(SER_hh_tes_in!E6=0,"",SER_hh_tes_in!E6/SER_hh_fec_in!E6)</f>
        <v/>
      </c>
      <c r="F6" s="136" t="str">
        <f>IF(SER_hh_tes_in!F6=0,"",SER_hh_tes_in!F6/SER_hh_fec_in!F6)</f>
        <v/>
      </c>
      <c r="G6" s="136" t="str">
        <f>IF(SER_hh_tes_in!G6=0,"",SER_hh_tes_in!G6/SER_hh_fec_in!G6)</f>
        <v/>
      </c>
      <c r="H6" s="136" t="str">
        <f>IF(SER_hh_tes_in!H6=0,"",SER_hh_tes_in!H6/SER_hh_fec_in!H6)</f>
        <v/>
      </c>
      <c r="I6" s="136" t="str">
        <f>IF(SER_hh_tes_in!I6=0,"",SER_hh_tes_in!I6/SER_hh_fec_in!I6)</f>
        <v/>
      </c>
      <c r="J6" s="136" t="str">
        <f>IF(SER_hh_tes_in!J6=0,"",SER_hh_tes_in!J6/SER_hh_fec_in!J6)</f>
        <v/>
      </c>
      <c r="K6" s="136" t="str">
        <f>IF(SER_hh_tes_in!K6=0,"",SER_hh_tes_in!K6/SER_hh_fec_in!K6)</f>
        <v/>
      </c>
      <c r="L6" s="136" t="str">
        <f>IF(SER_hh_tes_in!L6=0,"",SER_hh_tes_in!L6/SER_hh_fec_in!L6)</f>
        <v/>
      </c>
      <c r="M6" s="136" t="str">
        <f>IF(SER_hh_tes_in!M6=0,"",SER_hh_tes_in!M6/SER_hh_fec_in!M6)</f>
        <v/>
      </c>
      <c r="N6" s="136" t="str">
        <f>IF(SER_hh_tes_in!N6=0,"",SER_hh_tes_in!N6/SER_hh_fec_in!N6)</f>
        <v/>
      </c>
      <c r="O6" s="136" t="str">
        <f>IF(SER_hh_tes_in!O6=0,"",SER_hh_tes_in!O6/SER_hh_fec_in!O6)</f>
        <v/>
      </c>
      <c r="P6" s="136" t="str">
        <f>IF(SER_hh_tes_in!P6=0,"",SER_hh_tes_in!P6/SER_hh_fec_in!P6)</f>
        <v/>
      </c>
      <c r="Q6" s="136" t="str">
        <f>IF(SER_hh_tes_in!Q6=0,"",SER_hh_tes_in!Q6/SER_hh_fec_in!Q6)</f>
        <v/>
      </c>
      <c r="R6" s="136" t="str">
        <f>IF(SER_hh_tes_in!R6=0,"",SER_hh_tes_in!R6/SER_hh_fec_in!R6)</f>
        <v/>
      </c>
      <c r="S6" s="136" t="str">
        <f>IF(SER_hh_tes_in!S6=0,"",SER_hh_tes_in!S6/SER_hh_fec_in!S6)</f>
        <v/>
      </c>
      <c r="T6" s="136" t="str">
        <f>IF(SER_hh_tes_in!T6=0,"",SER_hh_tes_in!T6/SER_hh_fec_in!T6)</f>
        <v/>
      </c>
      <c r="U6" s="136" t="str">
        <f>IF(SER_hh_tes_in!U6=0,"",SER_hh_tes_in!U6/SER_hh_fec_in!U6)</f>
        <v/>
      </c>
      <c r="V6" s="136" t="str">
        <f>IF(SER_hh_tes_in!V6=0,"",SER_hh_tes_in!V6/SER_hh_fec_in!V6)</f>
        <v/>
      </c>
      <c r="W6" s="136" t="str">
        <f>IF(SER_hh_tes_in!W6=0,"",SER_hh_tes_in!W6/SER_hh_fec_in!W6)</f>
        <v/>
      </c>
      <c r="X6" s="136" t="str">
        <f>IF(SER_hh_tes_in!X6=0,"",SER_hh_tes_in!X6/SER_hh_fec_in!X6)</f>
        <v/>
      </c>
      <c r="Y6" s="136" t="str">
        <f>IF(SER_hh_tes_in!Y6=0,"",SER_hh_tes_in!Y6/SER_hh_fec_in!Y6)</f>
        <v/>
      </c>
      <c r="DA6" s="163" t="s">
        <v>665</v>
      </c>
    </row>
    <row r="7" spans="1:105" ht="12" customHeight="1" x14ac:dyDescent="0.25">
      <c r="A7" s="131" t="s">
        <v>161</v>
      </c>
      <c r="B7" s="136"/>
      <c r="C7" s="136">
        <f>IF(SER_hh_tes_in!C7=0,"",SER_hh_tes_in!C7/SER_hh_fec_in!C7)</f>
        <v>0.50221667785990043</v>
      </c>
      <c r="D7" s="136">
        <f>IF(SER_hh_tes_in!D7=0,"",SER_hh_tes_in!D7/SER_hh_fec_in!D7)</f>
        <v>0.50767286398127354</v>
      </c>
      <c r="E7" s="136">
        <f>IF(SER_hh_tes_in!E7=0,"",SER_hh_tes_in!E7/SER_hh_fec_in!E7)</f>
        <v>0.51341951212667669</v>
      </c>
      <c r="F7" s="136">
        <f>IF(SER_hh_tes_in!F7=0,"",SER_hh_tes_in!F7/SER_hh_fec_in!F7)</f>
        <v>0.5191347633980129</v>
      </c>
      <c r="G7" s="136">
        <f>IF(SER_hh_tes_in!G7=0,"",SER_hh_tes_in!G7/SER_hh_fec_in!G7)</f>
        <v>0.52510562557101514</v>
      </c>
      <c r="H7" s="136">
        <f>IF(SER_hh_tes_in!H7=0,"",SER_hh_tes_in!H7/SER_hh_fec_in!H7)</f>
        <v>0.53129317909634755</v>
      </c>
      <c r="I7" s="136">
        <f>IF(SER_hh_tes_in!I7=0,"",SER_hh_tes_in!I7/SER_hh_fec_in!I7)</f>
        <v>0.53776422187987993</v>
      </c>
      <c r="J7" s="136">
        <f>IF(SER_hh_tes_in!J7=0,"",SER_hh_tes_in!J7/SER_hh_fec_in!J7)</f>
        <v>0.54480119666866689</v>
      </c>
      <c r="K7" s="136">
        <f>IF(SER_hh_tes_in!K7=0,"",SER_hh_tes_in!K7/SER_hh_fec_in!K7)</f>
        <v>0.5526389098482507</v>
      </c>
      <c r="L7" s="136">
        <f>IF(SER_hh_tes_in!L7=0,"",SER_hh_tes_in!L7/SER_hh_fec_in!L7)</f>
        <v>0.56133057795778163</v>
      </c>
      <c r="M7" s="136">
        <f>IF(SER_hh_tes_in!M7=0,"",SER_hh_tes_in!M7/SER_hh_fec_in!M7)</f>
        <v>0.57705713064032327</v>
      </c>
      <c r="N7" s="136">
        <f>IF(SER_hh_tes_in!N7=0,"",SER_hh_tes_in!N7/SER_hh_fec_in!N7)</f>
        <v>0.60166836396340451</v>
      </c>
      <c r="O7" s="136">
        <f>IF(SER_hh_tes_in!O7=0,"",SER_hh_tes_in!O7/SER_hh_fec_in!O7)</f>
        <v>0.63610579911476572</v>
      </c>
      <c r="P7" s="136">
        <f>IF(SER_hh_tes_in!P7=0,"",SER_hh_tes_in!P7/SER_hh_fec_in!P7)</f>
        <v>0.67579336371453969</v>
      </c>
      <c r="Q7" s="136">
        <f>IF(SER_hh_tes_in!Q7=0,"",SER_hh_tes_in!Q7/SER_hh_fec_in!Q7)</f>
        <v>0.70748435458530468</v>
      </c>
      <c r="R7" s="136">
        <f>IF(SER_hh_tes_in!R7=0,"",SER_hh_tes_in!R7/SER_hh_fec_in!R7)</f>
        <v>0.71955787257717563</v>
      </c>
      <c r="S7" s="136">
        <f>IF(SER_hh_tes_in!S7=0,"",SER_hh_tes_in!S7/SER_hh_fec_in!S7)</f>
        <v>0.72524077794254826</v>
      </c>
      <c r="T7" s="136">
        <f>IF(SER_hh_tes_in!T7=0,"",SER_hh_tes_in!T7/SER_hh_fec_in!T7)</f>
        <v>0.72712720525335828</v>
      </c>
      <c r="U7" s="136">
        <f>IF(SER_hh_tes_in!U7=0,"",SER_hh_tes_in!U7/SER_hh_fec_in!U7)</f>
        <v>0.72768009808709899</v>
      </c>
      <c r="V7" s="136">
        <f>IF(SER_hh_tes_in!V7=0,"",SER_hh_tes_in!V7/SER_hh_fec_in!V7)</f>
        <v>0.7292678826031076</v>
      </c>
      <c r="W7" s="136">
        <f>IF(SER_hh_tes_in!W7=0,"",SER_hh_tes_in!W7/SER_hh_fec_in!W7)</f>
        <v>0.73146492471592217</v>
      </c>
      <c r="X7" s="136">
        <f>IF(SER_hh_tes_in!X7=0,"",SER_hh_tes_in!X7/SER_hh_fec_in!X7)</f>
        <v>0.73264193084119034</v>
      </c>
      <c r="Y7" s="136">
        <f>IF(SER_hh_tes_in!Y7=0,"",SER_hh_tes_in!Y7/SER_hh_fec_in!Y7)</f>
        <v>0.73339623074841886</v>
      </c>
      <c r="DA7" s="163" t="s">
        <v>666</v>
      </c>
    </row>
    <row r="8" spans="1:105" ht="12" customHeight="1" x14ac:dyDescent="0.25">
      <c r="A8" s="131" t="s">
        <v>73</v>
      </c>
      <c r="B8" s="136"/>
      <c r="C8" s="136" t="str">
        <f>IF(SER_hh_tes_in!C8=0,"",SER_hh_tes_in!C8/SER_hh_fec_in!C8)</f>
        <v/>
      </c>
      <c r="D8" s="136" t="str">
        <f>IF(SER_hh_tes_in!D8=0,"",SER_hh_tes_in!D8/SER_hh_fec_in!D8)</f>
        <v/>
      </c>
      <c r="E8" s="136" t="str">
        <f>IF(SER_hh_tes_in!E8=0,"",SER_hh_tes_in!E8/SER_hh_fec_in!E8)</f>
        <v/>
      </c>
      <c r="F8" s="136" t="str">
        <f>IF(SER_hh_tes_in!F8=0,"",SER_hh_tes_in!F8/SER_hh_fec_in!F8)</f>
        <v/>
      </c>
      <c r="G8" s="136" t="str">
        <f>IF(SER_hh_tes_in!G8=0,"",SER_hh_tes_in!G8/SER_hh_fec_in!G8)</f>
        <v/>
      </c>
      <c r="H8" s="136" t="str">
        <f>IF(SER_hh_tes_in!H8=0,"",SER_hh_tes_in!H8/SER_hh_fec_in!H8)</f>
        <v/>
      </c>
      <c r="I8" s="136" t="str">
        <f>IF(SER_hh_tes_in!I8=0,"",SER_hh_tes_in!I8/SER_hh_fec_in!I8)</f>
        <v/>
      </c>
      <c r="J8" s="136" t="str">
        <f>IF(SER_hh_tes_in!J8=0,"",SER_hh_tes_in!J8/SER_hh_fec_in!J8)</f>
        <v/>
      </c>
      <c r="K8" s="136" t="str">
        <f>IF(SER_hh_tes_in!K8=0,"",SER_hh_tes_in!K8/SER_hh_fec_in!K8)</f>
        <v/>
      </c>
      <c r="L8" s="136" t="str">
        <f>IF(SER_hh_tes_in!L8=0,"",SER_hh_tes_in!L8/SER_hh_fec_in!L8)</f>
        <v/>
      </c>
      <c r="M8" s="136" t="str">
        <f>IF(SER_hh_tes_in!M8=0,"",SER_hh_tes_in!M8/SER_hh_fec_in!M8)</f>
        <v/>
      </c>
      <c r="N8" s="136" t="str">
        <f>IF(SER_hh_tes_in!N8=0,"",SER_hh_tes_in!N8/SER_hh_fec_in!N8)</f>
        <v/>
      </c>
      <c r="O8" s="136" t="str">
        <f>IF(SER_hh_tes_in!O8=0,"",SER_hh_tes_in!O8/SER_hh_fec_in!O8)</f>
        <v/>
      </c>
      <c r="P8" s="136" t="str">
        <f>IF(SER_hh_tes_in!P8=0,"",SER_hh_tes_in!P8/SER_hh_fec_in!P8)</f>
        <v/>
      </c>
      <c r="Q8" s="136" t="str">
        <f>IF(SER_hh_tes_in!Q8=0,"",SER_hh_tes_in!Q8/SER_hh_fec_in!Q8)</f>
        <v/>
      </c>
      <c r="R8" s="136" t="str">
        <f>IF(SER_hh_tes_in!R8=0,"",SER_hh_tes_in!R8/SER_hh_fec_in!R8)</f>
        <v/>
      </c>
      <c r="S8" s="136" t="str">
        <f>IF(SER_hh_tes_in!S8=0,"",SER_hh_tes_in!S8/SER_hh_fec_in!S8)</f>
        <v/>
      </c>
      <c r="T8" s="136" t="str">
        <f>IF(SER_hh_tes_in!T8=0,"",SER_hh_tes_in!T8/SER_hh_fec_in!T8)</f>
        <v/>
      </c>
      <c r="U8" s="136" t="str">
        <f>IF(SER_hh_tes_in!U8=0,"",SER_hh_tes_in!U8/SER_hh_fec_in!U8)</f>
        <v/>
      </c>
      <c r="V8" s="136" t="str">
        <f>IF(SER_hh_tes_in!V8=0,"",SER_hh_tes_in!V8/SER_hh_fec_in!V8)</f>
        <v/>
      </c>
      <c r="W8" s="136" t="str">
        <f>IF(SER_hh_tes_in!W8=0,"",SER_hh_tes_in!W8/SER_hh_fec_in!W8)</f>
        <v/>
      </c>
      <c r="X8" s="136" t="str">
        <f>IF(SER_hh_tes_in!X8=0,"",SER_hh_tes_in!X8/SER_hh_fec_in!X8)</f>
        <v/>
      </c>
      <c r="Y8" s="136" t="str">
        <f>IF(SER_hh_tes_in!Y8=0,"",SER_hh_tes_in!Y8/SER_hh_fec_in!Y8)</f>
        <v/>
      </c>
      <c r="DA8" s="163" t="s">
        <v>667</v>
      </c>
    </row>
    <row r="9" spans="1:105" ht="12" customHeight="1" x14ac:dyDescent="0.25">
      <c r="A9" s="131" t="s">
        <v>78</v>
      </c>
      <c r="B9" s="136"/>
      <c r="C9" s="136">
        <f>IF(SER_hh_tes_in!C9=0,"",SER_hh_tes_in!C9/SER_hh_fec_in!C9)</f>
        <v>0.53593851580621232</v>
      </c>
      <c r="D9" s="136">
        <f>IF(SER_hh_tes_in!D9=0,"",SER_hh_tes_in!D9/SER_hh_fec_in!D9)</f>
        <v>0.54035169517164117</v>
      </c>
      <c r="E9" s="136">
        <f>IF(SER_hh_tes_in!E9=0,"",SER_hh_tes_in!E9/SER_hh_fec_in!E9)</f>
        <v>0.54504251703293083</v>
      </c>
      <c r="F9" s="136">
        <f>IF(SER_hh_tes_in!F9=0,"",SER_hh_tes_in!F9/SER_hh_fec_in!F9)</f>
        <v>0.54971613385967111</v>
      </c>
      <c r="G9" s="136">
        <f>IF(SER_hh_tes_in!G9=0,"",SER_hh_tes_in!G9/SER_hh_fec_in!G9)</f>
        <v>0.55463838937645438</v>
      </c>
      <c r="H9" s="136">
        <f>IF(SER_hh_tes_in!H9=0,"",SER_hh_tes_in!H9/SER_hh_fec_in!H9)</f>
        <v>0.55977530883221427</v>
      </c>
      <c r="I9" s="136">
        <f>IF(SER_hh_tes_in!I9=0,"",SER_hh_tes_in!I9/SER_hh_fec_in!I9)</f>
        <v>0.56519088492791802</v>
      </c>
      <c r="J9" s="136">
        <f>IF(SER_hh_tes_in!J9=0,"",SER_hh_tes_in!J9/SER_hh_fec_in!J9)</f>
        <v>0.57115061312832571</v>
      </c>
      <c r="K9" s="136">
        <f>IF(SER_hh_tes_in!K9=0,"",SER_hh_tes_in!K9/SER_hh_fec_in!K9)</f>
        <v>0.57787804500246798</v>
      </c>
      <c r="L9" s="136">
        <f>IF(SER_hh_tes_in!L9=0,"",SER_hh_tes_in!L9/SER_hh_fec_in!L9)</f>
        <v>0.58542899276580873</v>
      </c>
      <c r="M9" s="136">
        <f>IF(SER_hh_tes_in!M9=0,"",SER_hh_tes_in!M9/SER_hh_fec_in!M9)</f>
        <v>0.59939582473507325</v>
      </c>
      <c r="N9" s="136">
        <f>IF(SER_hh_tes_in!N9=0,"",SER_hh_tes_in!N9/SER_hh_fec_in!N9)</f>
        <v>0.62151766647862583</v>
      </c>
      <c r="O9" s="136">
        <f>IF(SER_hh_tes_in!O9=0,"",SER_hh_tes_in!O9/SER_hh_fec_in!O9)</f>
        <v>0.65295121881565343</v>
      </c>
      <c r="P9" s="136">
        <f>IF(SER_hh_tes_in!P9=0,"",SER_hh_tes_in!P9/SER_hh_fec_in!P9)</f>
        <v>0.68996800035436945</v>
      </c>
      <c r="Q9" s="136">
        <f>IF(SER_hh_tes_in!Q9=0,"",SER_hh_tes_in!Q9/SER_hh_fec_in!Q9)</f>
        <v>0.72116808876573124</v>
      </c>
      <c r="R9" s="136">
        <f>IF(SER_hh_tes_in!R9=0,"",SER_hh_tes_in!R9/SER_hh_fec_in!R9)</f>
        <v>0.73698422387619655</v>
      </c>
      <c r="S9" s="136">
        <f>IF(SER_hh_tes_in!S9=0,"",SER_hh_tes_in!S9/SER_hh_fec_in!S9)</f>
        <v>0.74906763597029258</v>
      </c>
      <c r="T9" s="136">
        <f>IF(SER_hh_tes_in!T9=0,"",SER_hh_tes_in!T9/SER_hh_fec_in!T9)</f>
        <v>0.75886520190086537</v>
      </c>
      <c r="U9" s="136">
        <f>IF(SER_hh_tes_in!U9=0,"",SER_hh_tes_in!U9/SER_hh_fec_in!U9)</f>
        <v>0.76737590611033391</v>
      </c>
      <c r="V9" s="136">
        <f>IF(SER_hh_tes_in!V9=0,"",SER_hh_tes_in!V9/SER_hh_fec_in!V9)</f>
        <v>0.77509309684350169</v>
      </c>
      <c r="W9" s="136">
        <f>IF(SER_hh_tes_in!W9=0,"",SER_hh_tes_in!W9/SER_hh_fec_in!W9)</f>
        <v>0.78083304774146511</v>
      </c>
      <c r="X9" s="136">
        <f>IF(SER_hh_tes_in!X9=0,"",SER_hh_tes_in!X9/SER_hh_fec_in!X9)</f>
        <v>0.78448271684843196</v>
      </c>
      <c r="Y9" s="136" t="str">
        <f>IF(SER_hh_tes_in!Y9=0,"",SER_hh_tes_in!Y9/SER_hh_fec_in!Y9)</f>
        <v/>
      </c>
      <c r="DA9" s="163" t="s">
        <v>668</v>
      </c>
    </row>
    <row r="10" spans="1:105" ht="12" customHeight="1" x14ac:dyDescent="0.25">
      <c r="A10" s="131" t="s">
        <v>128</v>
      </c>
      <c r="B10" s="136"/>
      <c r="C10" s="136">
        <f>IF(SER_hh_tes_in!C10=0,"",SER_hh_tes_in!C10/SER_hh_fec_in!C10)</f>
        <v>0.54282133803118204</v>
      </c>
      <c r="D10" s="136">
        <f>IF(SER_hh_tes_in!D10=0,"",SER_hh_tes_in!D10/SER_hh_fec_in!D10)</f>
        <v>0.54309551356419516</v>
      </c>
      <c r="E10" s="136">
        <f>IF(SER_hh_tes_in!E10=0,"",SER_hh_tes_in!E10/SER_hh_fec_in!E10)</f>
        <v>0.54337229921606234</v>
      </c>
      <c r="F10" s="136">
        <f>IF(SER_hh_tes_in!F10=0,"",SER_hh_tes_in!F10/SER_hh_fec_in!F10)</f>
        <v>0.54365142427660806</v>
      </c>
      <c r="G10" s="136">
        <f>IF(SER_hh_tes_in!G10=0,"",SER_hh_tes_in!G10/SER_hh_fec_in!G10)</f>
        <v>0.54393261334651544</v>
      </c>
      <c r="H10" s="136">
        <f>IF(SER_hh_tes_in!H10=0,"",SER_hh_tes_in!H10/SER_hh_fec_in!H10)</f>
        <v>0.54421554210216627</v>
      </c>
      <c r="I10" s="136">
        <f>IF(SER_hh_tes_in!I10=0,"",SER_hh_tes_in!I10/SER_hh_fec_in!I10)</f>
        <v>0.54449978272457322</v>
      </c>
      <c r="J10" s="136">
        <f>IF(SER_hh_tes_in!J10=0,"",SER_hh_tes_in!J10/SER_hh_fec_in!J10)</f>
        <v>0.54478441106884123</v>
      </c>
      <c r="K10" s="136">
        <f>IF(SER_hh_tes_in!K10=0,"",SER_hh_tes_in!K10/SER_hh_fec_in!K10)</f>
        <v>0.54506820514163656</v>
      </c>
      <c r="L10" s="136">
        <f>IF(SER_hh_tes_in!L10=0,"",SER_hh_tes_in!L10/SER_hh_fec_in!L10)</f>
        <v>0.5453500803583331</v>
      </c>
      <c r="M10" s="136">
        <f>IF(SER_hh_tes_in!M10=0,"",SER_hh_tes_in!M10/SER_hh_fec_in!M10)</f>
        <v>0.54560900593061368</v>
      </c>
      <c r="N10" s="136">
        <f>IF(SER_hh_tes_in!N10=0,"",SER_hh_tes_in!N10/SER_hh_fec_in!N10)</f>
        <v>0.54583347421500683</v>
      </c>
      <c r="O10" s="136">
        <f>IF(SER_hh_tes_in!O10=0,"",SER_hh_tes_in!O10/SER_hh_fec_in!O10)</f>
        <v>0.54601683891834363</v>
      </c>
      <c r="P10" s="136">
        <f>IF(SER_hh_tes_in!P10=0,"",SER_hh_tes_in!P10/SER_hh_fec_in!P10)</f>
        <v>0.54617498494399275</v>
      </c>
      <c r="Q10" s="136">
        <f>IF(SER_hh_tes_in!Q10=0,"",SER_hh_tes_in!Q10/SER_hh_fec_in!Q10)</f>
        <v>0.54636368272026259</v>
      </c>
      <c r="R10" s="136">
        <f>IF(SER_hh_tes_in!R10=0,"",SER_hh_tes_in!R10/SER_hh_fec_in!R10)</f>
        <v>0.5466463275854222</v>
      </c>
      <c r="S10" s="136">
        <f>IF(SER_hh_tes_in!S10=0,"",SER_hh_tes_in!S10/SER_hh_fec_in!S10)</f>
        <v>0.54696444100481756</v>
      </c>
      <c r="T10" s="136">
        <f>IF(SER_hh_tes_in!T10=0,"",SER_hh_tes_in!T10/SER_hh_fec_in!T10)</f>
        <v>0.54728531579263739</v>
      </c>
      <c r="U10" s="136">
        <f>IF(SER_hh_tes_in!U10=0,"",SER_hh_tes_in!U10/SER_hh_fec_in!U10)</f>
        <v>0.54758172354498891</v>
      </c>
      <c r="V10" s="136">
        <f>IF(SER_hh_tes_in!V10=0,"",SER_hh_tes_in!V10/SER_hh_fec_in!V10)</f>
        <v>0.54783035699997162</v>
      </c>
      <c r="W10" s="136">
        <f>IF(SER_hh_tes_in!W10=0,"",SER_hh_tes_in!W10/SER_hh_fec_in!W10)</f>
        <v>0.5480300907536092</v>
      </c>
      <c r="X10" s="136">
        <f>IF(SER_hh_tes_in!X10=0,"",SER_hh_tes_in!X10/SER_hh_fec_in!X10)</f>
        <v>0.55330016554791994</v>
      </c>
      <c r="Y10" s="136">
        <f>IF(SER_hh_tes_in!Y10=0,"",SER_hh_tes_in!Y10/SER_hh_fec_in!Y10)</f>
        <v>0.55826670247939847</v>
      </c>
      <c r="DA10" s="163" t="s">
        <v>669</v>
      </c>
    </row>
    <row r="11" spans="1:105" ht="12" customHeight="1" x14ac:dyDescent="0.25">
      <c r="A11" s="131" t="s">
        <v>25</v>
      </c>
      <c r="B11" s="136"/>
      <c r="C11" s="136" t="str">
        <f>IF(SER_hh_tes_in!C11=0,"",SER_hh_tes_in!C11/SER_hh_fec_in!C11)</f>
        <v/>
      </c>
      <c r="D11" s="136" t="str">
        <f>IF(SER_hh_tes_in!D11=0,"",SER_hh_tes_in!D11/SER_hh_fec_in!D11)</f>
        <v/>
      </c>
      <c r="E11" s="136" t="str">
        <f>IF(SER_hh_tes_in!E11=0,"",SER_hh_tes_in!E11/SER_hh_fec_in!E11)</f>
        <v/>
      </c>
      <c r="F11" s="136" t="str">
        <f>IF(SER_hh_tes_in!F11=0,"",SER_hh_tes_in!F11/SER_hh_fec_in!F11)</f>
        <v/>
      </c>
      <c r="G11" s="136" t="str">
        <f>IF(SER_hh_tes_in!G11=0,"",SER_hh_tes_in!G11/SER_hh_fec_in!G11)</f>
        <v/>
      </c>
      <c r="H11" s="136" t="str">
        <f>IF(SER_hh_tes_in!H11=0,"",SER_hh_tes_in!H11/SER_hh_fec_in!H11)</f>
        <v/>
      </c>
      <c r="I11" s="136" t="str">
        <f>IF(SER_hh_tes_in!I11=0,"",SER_hh_tes_in!I11/SER_hh_fec_in!I11)</f>
        <v/>
      </c>
      <c r="J11" s="136" t="str">
        <f>IF(SER_hh_tes_in!J11=0,"",SER_hh_tes_in!J11/SER_hh_fec_in!J11)</f>
        <v/>
      </c>
      <c r="K11" s="136" t="str">
        <f>IF(SER_hh_tes_in!K11=0,"",SER_hh_tes_in!K11/SER_hh_fec_in!K11)</f>
        <v/>
      </c>
      <c r="L11" s="136" t="str">
        <f>IF(SER_hh_tes_in!L11=0,"",SER_hh_tes_in!L11/SER_hh_fec_in!L11)</f>
        <v/>
      </c>
      <c r="M11" s="136" t="str">
        <f>IF(SER_hh_tes_in!M11=0,"",SER_hh_tes_in!M11/SER_hh_fec_in!M11)</f>
        <v/>
      </c>
      <c r="N11" s="136" t="str">
        <f>IF(SER_hh_tes_in!N11=0,"",SER_hh_tes_in!N11/SER_hh_fec_in!N11)</f>
        <v/>
      </c>
      <c r="O11" s="136" t="str">
        <f>IF(SER_hh_tes_in!O11=0,"",SER_hh_tes_in!O11/SER_hh_fec_in!O11)</f>
        <v/>
      </c>
      <c r="P11" s="136" t="str">
        <f>IF(SER_hh_tes_in!P11=0,"",SER_hh_tes_in!P11/SER_hh_fec_in!P11)</f>
        <v/>
      </c>
      <c r="Q11" s="136" t="str">
        <f>IF(SER_hh_tes_in!Q11=0,"",SER_hh_tes_in!Q11/SER_hh_fec_in!Q11)</f>
        <v/>
      </c>
      <c r="R11" s="136" t="str">
        <f>IF(SER_hh_tes_in!R11=0,"",SER_hh_tes_in!R11/SER_hh_fec_in!R11)</f>
        <v/>
      </c>
      <c r="S11" s="136" t="str">
        <f>IF(SER_hh_tes_in!S11=0,"",SER_hh_tes_in!S11/SER_hh_fec_in!S11)</f>
        <v/>
      </c>
      <c r="T11" s="136" t="str">
        <f>IF(SER_hh_tes_in!T11=0,"",SER_hh_tes_in!T11/SER_hh_fec_in!T11)</f>
        <v/>
      </c>
      <c r="U11" s="136" t="str">
        <f>IF(SER_hh_tes_in!U11=0,"",SER_hh_tes_in!U11/SER_hh_fec_in!U11)</f>
        <v/>
      </c>
      <c r="V11" s="136" t="str">
        <f>IF(SER_hh_tes_in!V11=0,"",SER_hh_tes_in!V11/SER_hh_fec_in!V11)</f>
        <v/>
      </c>
      <c r="W11" s="136" t="str">
        <f>IF(SER_hh_tes_in!W11=0,"",SER_hh_tes_in!W11/SER_hh_fec_in!W11)</f>
        <v/>
      </c>
      <c r="X11" s="136" t="str">
        <f>IF(SER_hh_tes_in!X11=0,"",SER_hh_tes_in!X11/SER_hh_fec_in!X11)</f>
        <v/>
      </c>
      <c r="Y11" s="136" t="str">
        <f>IF(SER_hh_tes_in!Y11=0,"",SER_hh_tes_in!Y11/SER_hh_fec_in!Y11)</f>
        <v/>
      </c>
      <c r="DA11" s="163" t="s">
        <v>670</v>
      </c>
    </row>
    <row r="12" spans="1:105" ht="12" customHeight="1" x14ac:dyDescent="0.25">
      <c r="A12" s="131" t="s">
        <v>162</v>
      </c>
      <c r="B12" s="136"/>
      <c r="C12" s="136">
        <f>IF(SER_hh_tes_in!C12=0,"",SER_hh_tes_in!C12/SER_hh_fec_in!C12)</f>
        <v>0.79604698238924121</v>
      </c>
      <c r="D12" s="136">
        <f>IF(SER_hh_tes_in!D12=0,"",SER_hh_tes_in!D12/SER_hh_fec_in!D12)</f>
        <v>0.79778453771682212</v>
      </c>
      <c r="E12" s="136">
        <f>IF(SER_hh_tes_in!E12=0,"",SER_hh_tes_in!E12/SER_hh_fec_in!E12)</f>
        <v>0.79956900250511487</v>
      </c>
      <c r="F12" s="136">
        <f>IF(SER_hh_tes_in!F12=0,"",SER_hh_tes_in!F12/SER_hh_fec_in!F12)</f>
        <v>0.80135986403804993</v>
      </c>
      <c r="G12" s="136">
        <f>IF(SER_hh_tes_in!G12=0,"",SER_hh_tes_in!G12/SER_hh_fec_in!G12)</f>
        <v>0.8031939264251311</v>
      </c>
      <c r="H12" s="136">
        <f>IF(SER_hh_tes_in!H12=0,"",SER_hh_tes_in!H12/SER_hh_fec_in!H12)</f>
        <v>0.80506668531189773</v>
      </c>
      <c r="I12" s="136">
        <f>IF(SER_hh_tes_in!I12=0,"",SER_hh_tes_in!I12/SER_hh_fec_in!I12)</f>
        <v>0.80698720923200673</v>
      </c>
      <c r="J12" s="136">
        <f>IF(SER_hh_tes_in!J12=0,"",SER_hh_tes_in!J12/SER_hh_fec_in!J12)</f>
        <v>0.8089926487669471</v>
      </c>
      <c r="K12" s="136">
        <f>IF(SER_hh_tes_in!K12=0,"",SER_hh_tes_in!K12/SER_hh_fec_in!K12)</f>
        <v>0.81111459168274902</v>
      </c>
      <c r="L12" s="136">
        <f>IF(SER_hh_tes_in!L12=0,"",SER_hh_tes_in!L12/SER_hh_fec_in!L12)</f>
        <v>0.81336148900185823</v>
      </c>
      <c r="M12" s="136">
        <f>IF(SER_hh_tes_in!M12=0,"",SER_hh_tes_in!M12/SER_hh_fec_in!M12)</f>
        <v>0.81647259884504164</v>
      </c>
      <c r="N12" s="136">
        <f>IF(SER_hh_tes_in!N12=0,"",SER_hh_tes_in!N12/SER_hh_fec_in!N12)</f>
        <v>0.82068165608414867</v>
      </c>
      <c r="O12" s="136">
        <f>IF(SER_hh_tes_in!O12=0,"",SER_hh_tes_in!O12/SER_hh_fec_in!O12)</f>
        <v>0.82619355773649672</v>
      </c>
      <c r="P12" s="136">
        <f>IF(SER_hh_tes_in!P12=0,"",SER_hh_tes_in!P12/SER_hh_fec_in!P12)</f>
        <v>0.8326184722041714</v>
      </c>
      <c r="Q12" s="136">
        <f>IF(SER_hh_tes_in!Q12=0,"",SER_hh_tes_in!Q12/SER_hh_fec_in!Q12)</f>
        <v>0.83868023159050364</v>
      </c>
      <c r="R12" s="136">
        <f>IF(SER_hh_tes_in!R12=0,"",SER_hh_tes_in!R12/SER_hh_fec_in!R12)</f>
        <v>0.84332515549177234</v>
      </c>
      <c r="S12" s="136">
        <f>IF(SER_hh_tes_in!S12=0,"",SER_hh_tes_in!S12/SER_hh_fec_in!S12)</f>
        <v>0.84784388996365301</v>
      </c>
      <c r="T12" s="136">
        <f>IF(SER_hh_tes_in!T12=0,"",SER_hh_tes_in!T12/SER_hh_fec_in!T12)</f>
        <v>0.85220624275992729</v>
      </c>
      <c r="U12" s="136">
        <f>IF(SER_hh_tes_in!U12=0,"",SER_hh_tes_in!U12/SER_hh_fec_in!U12)</f>
        <v>0.85638202163439126</v>
      </c>
      <c r="V12" s="136">
        <f>IF(SER_hh_tes_in!V12=0,"",SER_hh_tes_in!V12/SER_hh_fec_in!V12)</f>
        <v>0.86034103434083464</v>
      </c>
      <c r="W12" s="136">
        <f>IF(SER_hh_tes_in!W12=0,"",SER_hh_tes_in!W12/SER_hh_fec_in!W12)</f>
        <v>0.86398804812401298</v>
      </c>
      <c r="X12" s="136">
        <f>IF(SER_hh_tes_in!X12=0,"",SER_hh_tes_in!X12/SER_hh_fec_in!X12)</f>
        <v>0.86858684409705988</v>
      </c>
      <c r="Y12" s="136">
        <f>IF(SER_hh_tes_in!Y12=0,"",SER_hh_tes_in!Y12/SER_hh_fec_in!Y12)</f>
        <v>0.8730060362959785</v>
      </c>
      <c r="DA12" s="163" t="s">
        <v>671</v>
      </c>
    </row>
    <row r="13" spans="1:105" ht="12" customHeight="1" x14ac:dyDescent="0.25">
      <c r="A13" s="131" t="s">
        <v>77</v>
      </c>
      <c r="B13" s="136"/>
      <c r="C13" s="136">
        <f>IF(SER_hh_tes_in!C13=0,"",SER_hh_tes_in!C13/SER_hh_fec_in!C13)</f>
        <v>1.6620695652200412</v>
      </c>
      <c r="D13" s="136">
        <f>IF(SER_hh_tes_in!D13=0,"",SER_hh_tes_in!D13/SER_hh_fec_in!D13)</f>
        <v>1.7386024787650343</v>
      </c>
      <c r="E13" s="136">
        <f>IF(SER_hh_tes_in!E13=0,"",SER_hh_tes_in!E13/SER_hh_fec_in!E13)</f>
        <v>1.8164239247594969</v>
      </c>
      <c r="F13" s="136">
        <f>IF(SER_hh_tes_in!F13=0,"",SER_hh_tes_in!F13/SER_hh_fec_in!F13)</f>
        <v>1.8947836467925452</v>
      </c>
      <c r="G13" s="136">
        <f>IF(SER_hh_tes_in!G13=0,"",SER_hh_tes_in!G13/SER_hh_fec_in!G13)</f>
        <v>1.9743652245014829</v>
      </c>
      <c r="H13" s="136">
        <f>IF(SER_hh_tes_in!H13=0,"",SER_hh_tes_in!H13/SER_hh_fec_in!H13)</f>
        <v>2.0550864241997564</v>
      </c>
      <c r="I13" s="136">
        <f>IF(SER_hh_tes_in!I13=0,"",SER_hh_tes_in!I13/SER_hh_fec_in!I13)</f>
        <v>2.1371171750350935</v>
      </c>
      <c r="J13" s="136">
        <f>IF(SER_hh_tes_in!J13=0,"",SER_hh_tes_in!J13/SER_hh_fec_in!J13)</f>
        <v>2.2211503032829305</v>
      </c>
      <c r="K13" s="136">
        <f>IF(SER_hh_tes_in!K13=0,"",SER_hh_tes_in!K13/SER_hh_fec_in!K13)</f>
        <v>2.3077770360794183</v>
      </c>
      <c r="L13" s="136">
        <f>IF(SER_hh_tes_in!L13=0,"",SER_hh_tes_in!L13/SER_hh_fec_in!L13)</f>
        <v>2.3971594517186441</v>
      </c>
      <c r="M13" s="136">
        <f>IF(SER_hh_tes_in!M13=0,"",SER_hh_tes_in!M13/SER_hh_fec_in!M13)</f>
        <v>2.5064556461933787</v>
      </c>
      <c r="N13" s="136">
        <f>IF(SER_hh_tes_in!N13=0,"",SER_hh_tes_in!N13/SER_hh_fec_in!N13)</f>
        <v>2.6415824055249968</v>
      </c>
      <c r="O13" s="136">
        <f>IF(SER_hh_tes_in!O13=0,"",SER_hh_tes_in!O13/SER_hh_fec_in!O13)</f>
        <v>2.8045724640279026</v>
      </c>
      <c r="P13" s="136">
        <f>IF(SER_hh_tes_in!P13=0,"",SER_hh_tes_in!P13/SER_hh_fec_in!P13)</f>
        <v>2.9789912810277626</v>
      </c>
      <c r="Q13" s="136">
        <f>IF(SER_hh_tes_in!Q13=0,"",SER_hh_tes_in!Q13/SER_hh_fec_in!Q13)</f>
        <v>3.114631217678812</v>
      </c>
      <c r="R13" s="136">
        <f>IF(SER_hh_tes_in!R13=0,"",SER_hh_tes_in!R13/SER_hh_fec_in!R13)</f>
        <v>3.2612826637297943</v>
      </c>
      <c r="S13" s="136">
        <f>IF(SER_hh_tes_in!S13=0,"",SER_hh_tes_in!S13/SER_hh_fec_in!S13)</f>
        <v>3.3562593114799619</v>
      </c>
      <c r="T13" s="136">
        <f>IF(SER_hh_tes_in!T13=0,"",SER_hh_tes_in!T13/SER_hh_fec_in!T13)</f>
        <v>3.4154656368672414</v>
      </c>
      <c r="U13" s="136">
        <f>IF(SER_hh_tes_in!U13=0,"",SER_hh_tes_in!U13/SER_hh_fec_in!U13)</f>
        <v>3.4552946732226979</v>
      </c>
      <c r="V13" s="136">
        <f>IF(SER_hh_tes_in!V13=0,"",SER_hh_tes_in!V13/SER_hh_fec_in!V13)</f>
        <v>3.4919341811719167</v>
      </c>
      <c r="W13" s="136">
        <f>IF(SER_hh_tes_in!W13=0,"",SER_hh_tes_in!W13/SER_hh_fec_in!W13)</f>
        <v>3.5285949080370855</v>
      </c>
      <c r="X13" s="136">
        <f>IF(SER_hh_tes_in!X13=0,"",SER_hh_tes_in!X13/SER_hh_fec_in!X13)</f>
        <v>3.5593181705724941</v>
      </c>
      <c r="Y13" s="136">
        <f>IF(SER_hh_tes_in!Y13=0,"",SER_hh_tes_in!Y13/SER_hh_fec_in!Y13)</f>
        <v>3.5856698480391409</v>
      </c>
      <c r="DA13" s="163" t="s">
        <v>672</v>
      </c>
    </row>
    <row r="14" spans="1:105" ht="12" customHeight="1" x14ac:dyDescent="0.25">
      <c r="A14" s="60" t="s">
        <v>76</v>
      </c>
      <c r="B14" s="137"/>
      <c r="C14" s="137">
        <f>IF(SER_hh_tes_in!C14=0,"",SER_hh_tes_in!C14/SER_hh_fec_in!C14)</f>
        <v>0.72232768494570398</v>
      </c>
      <c r="D14" s="137">
        <f>IF(SER_hh_tes_in!D14=0,"",SER_hh_tes_in!D14/SER_hh_fec_in!D14)</f>
        <v>0.72635576779979349</v>
      </c>
      <c r="E14" s="137">
        <f>IF(SER_hh_tes_in!E14=0,"",SER_hh_tes_in!E14/SER_hh_fec_in!E14)</f>
        <v>0.73037263113290152</v>
      </c>
      <c r="F14" s="137">
        <f>IF(SER_hh_tes_in!F14=0,"",SER_hh_tes_in!F14/SER_hh_fec_in!F14)</f>
        <v>0.73438757343312799</v>
      </c>
      <c r="G14" s="137">
        <f>IF(SER_hh_tes_in!G14=0,"",SER_hh_tes_in!G14/SER_hh_fec_in!G14)</f>
        <v>0.73839219062571693</v>
      </c>
      <c r="H14" s="137">
        <f>IF(SER_hh_tes_in!H14=0,"",SER_hh_tes_in!H14/SER_hh_fec_in!H14)</f>
        <v>0.74238754308544419</v>
      </c>
      <c r="I14" s="137">
        <f>IF(SER_hh_tes_in!I14=0,"",SER_hh_tes_in!I14/SER_hh_fec_in!I14)</f>
        <v>0.74637159449725488</v>
      </c>
      <c r="J14" s="137">
        <f>IF(SER_hh_tes_in!J14=0,"",SER_hh_tes_in!J14/SER_hh_fec_in!J14)</f>
        <v>0.75033592876233135</v>
      </c>
      <c r="K14" s="137">
        <f>IF(SER_hh_tes_in!K14=0,"",SER_hh_tes_in!K14/SER_hh_fec_in!K14)</f>
        <v>0.75427344533983598</v>
      </c>
      <c r="L14" s="137">
        <f>IF(SER_hh_tes_in!L14=0,"",SER_hh_tes_in!L14/SER_hh_fec_in!L14)</f>
        <v>0.75818234807733376</v>
      </c>
      <c r="M14" s="137">
        <f>IF(SER_hh_tes_in!M14=0,"",SER_hh_tes_in!M14/SER_hh_fec_in!M14)</f>
        <v>0.7613434833049938</v>
      </c>
      <c r="N14" s="137">
        <f>IF(SER_hh_tes_in!N14=0,"",SER_hh_tes_in!N14/SER_hh_fec_in!N14)</f>
        <v>0.76349701756573485</v>
      </c>
      <c r="O14" s="137">
        <f>IF(SER_hh_tes_in!O14=0,"",SER_hh_tes_in!O14/SER_hh_fec_in!O14)</f>
        <v>0.76498656532515685</v>
      </c>
      <c r="P14" s="137">
        <f>IF(SER_hh_tes_in!P14=0,"",SER_hh_tes_in!P14/SER_hh_fec_in!P14)</f>
        <v>0.76731933798929275</v>
      </c>
      <c r="Q14" s="137">
        <f>IF(SER_hh_tes_in!Q14=0,"",SER_hh_tes_in!Q14/SER_hh_fec_in!Q14)</f>
        <v>0.77458938961572033</v>
      </c>
      <c r="R14" s="137">
        <f>IF(SER_hh_tes_in!R14=0,"",SER_hh_tes_in!R14/SER_hh_fec_in!R14)</f>
        <v>0.7916166520248662</v>
      </c>
      <c r="S14" s="137">
        <f>IF(SER_hh_tes_in!S14=0,"",SER_hh_tes_in!S14/SER_hh_fec_in!S14)</f>
        <v>0.81455565808211028</v>
      </c>
      <c r="T14" s="137">
        <f>IF(SER_hh_tes_in!T14=0,"",SER_hh_tes_in!T14/SER_hh_fec_in!T14)</f>
        <v>0.84025432639483755</v>
      </c>
      <c r="U14" s="137">
        <f>IF(SER_hh_tes_in!U14=0,"",SER_hh_tes_in!U14/SER_hh_fec_in!U14)</f>
        <v>0.86558949912537375</v>
      </c>
      <c r="V14" s="137">
        <f>IF(SER_hh_tes_in!V14=0,"",SER_hh_tes_in!V14/SER_hh_fec_in!V14)</f>
        <v>0.88743494328731565</v>
      </c>
      <c r="W14" s="137">
        <f>IF(SER_hh_tes_in!W14=0,"",SER_hh_tes_in!W14/SER_hh_fec_in!W14)</f>
        <v>0.90517234320164563</v>
      </c>
      <c r="X14" s="137">
        <f>IF(SER_hh_tes_in!X14=0,"",SER_hh_tes_in!X14/SER_hh_fec_in!X14)</f>
        <v>0.91943704765355838</v>
      </c>
      <c r="Y14" s="137">
        <f>IF(SER_hh_tes_in!Y14=0,"",SER_hh_tes_in!Y14/SER_hh_fec_in!Y14)</f>
        <v>0.93289191276759409</v>
      </c>
      <c r="DA14" s="164" t="s">
        <v>673</v>
      </c>
    </row>
    <row r="15" spans="1:105" ht="12" customHeight="1" x14ac:dyDescent="0.25">
      <c r="A15" s="133" t="s">
        <v>80</v>
      </c>
      <c r="B15" s="138"/>
      <c r="C15" s="138">
        <f>IF(SER_hh_tes_in!C15=0,"",SER_hh_tes_in!C15/SER_hh_fec_in!C15)</f>
        <v>1</v>
      </c>
      <c r="D15" s="138">
        <f>IF(SER_hh_tes_in!D15=0,"",SER_hh_tes_in!D15/SER_hh_fec_in!D15)</f>
        <v>1</v>
      </c>
      <c r="E15" s="138">
        <f>IF(SER_hh_tes_in!E15=0,"",SER_hh_tes_in!E15/SER_hh_fec_in!E15)</f>
        <v>1</v>
      </c>
      <c r="F15" s="138">
        <f>IF(SER_hh_tes_in!F15=0,"",SER_hh_tes_in!F15/SER_hh_fec_in!F15)</f>
        <v>1</v>
      </c>
      <c r="G15" s="138">
        <f>IF(SER_hh_tes_in!G15=0,"",SER_hh_tes_in!G15/SER_hh_fec_in!G15)</f>
        <v>1</v>
      </c>
      <c r="H15" s="138">
        <f>IF(SER_hh_tes_in!H15=0,"",SER_hh_tes_in!H15/SER_hh_fec_in!H15)</f>
        <v>1</v>
      </c>
      <c r="I15" s="138">
        <f>IF(SER_hh_tes_in!I15=0,"",SER_hh_tes_in!I15/SER_hh_fec_in!I15)</f>
        <v>1</v>
      </c>
      <c r="J15" s="138">
        <f>IF(SER_hh_tes_in!J15=0,"",SER_hh_tes_in!J15/SER_hh_fec_in!J15)</f>
        <v>1</v>
      </c>
      <c r="K15" s="138">
        <f>IF(SER_hh_tes_in!K15=0,"",SER_hh_tes_in!K15/SER_hh_fec_in!K15)</f>
        <v>1</v>
      </c>
      <c r="L15" s="138">
        <f>IF(SER_hh_tes_in!L15=0,"",SER_hh_tes_in!L15/SER_hh_fec_in!L15)</f>
        <v>1</v>
      </c>
      <c r="M15" s="138">
        <f>IF(SER_hh_tes_in!M15=0,"",SER_hh_tes_in!M15/SER_hh_fec_in!M15)</f>
        <v>1</v>
      </c>
      <c r="N15" s="138">
        <f>IF(SER_hh_tes_in!N15=0,"",SER_hh_tes_in!N15/SER_hh_fec_in!N15)</f>
        <v>1</v>
      </c>
      <c r="O15" s="138">
        <f>IF(SER_hh_tes_in!O15=0,"",SER_hh_tes_in!O15/SER_hh_fec_in!O15)</f>
        <v>1</v>
      </c>
      <c r="P15" s="138">
        <f>IF(SER_hh_tes_in!P15=0,"",SER_hh_tes_in!P15/SER_hh_fec_in!P15)</f>
        <v>1</v>
      </c>
      <c r="Q15" s="138">
        <f>IF(SER_hh_tes_in!Q15=0,"",SER_hh_tes_in!Q15/SER_hh_fec_in!Q15)</f>
        <v>1</v>
      </c>
      <c r="R15" s="138">
        <f>IF(SER_hh_tes_in!R15=0,"",SER_hh_tes_in!R15/SER_hh_fec_in!R15)</f>
        <v>1</v>
      </c>
      <c r="S15" s="138">
        <f>IF(SER_hh_tes_in!S15=0,"",SER_hh_tes_in!S15/SER_hh_fec_in!S15)</f>
        <v>1</v>
      </c>
      <c r="T15" s="138">
        <f>IF(SER_hh_tes_in!T15=0,"",SER_hh_tes_in!T15/SER_hh_fec_in!T15)</f>
        <v>1</v>
      </c>
      <c r="U15" s="138">
        <f>IF(SER_hh_tes_in!U15=0,"",SER_hh_tes_in!U15/SER_hh_fec_in!U15)</f>
        <v>1</v>
      </c>
      <c r="V15" s="138">
        <f>IF(SER_hh_tes_in!V15=0,"",SER_hh_tes_in!V15/SER_hh_fec_in!V15)</f>
        <v>1</v>
      </c>
      <c r="W15" s="138">
        <f>IF(SER_hh_tes_in!W15=0,"",SER_hh_tes_in!W15/SER_hh_fec_in!W15)</f>
        <v>1</v>
      </c>
      <c r="X15" s="138">
        <f>IF(SER_hh_tes_in!X15=0,"",SER_hh_tes_in!X15/SER_hh_fec_in!X15)</f>
        <v>1</v>
      </c>
      <c r="Y15" s="138">
        <f>IF(SER_hh_tes_in!Y15=0,"",SER_hh_tes_in!Y15/SER_hh_fec_in!Y15)</f>
        <v>1</v>
      </c>
      <c r="DA15" s="165" t="s">
        <v>674</v>
      </c>
    </row>
    <row r="16" spans="1:105" ht="12.95" customHeight="1" x14ac:dyDescent="0.25">
      <c r="A16" s="129" t="s">
        <v>74</v>
      </c>
      <c r="B16" s="135"/>
      <c r="C16" s="135">
        <f>IF(SER_hh_tes_in!C16=0,"",SER_hh_tes_in!C16/SER_hh_fec_in!C16)</f>
        <v>2.5007188623230432</v>
      </c>
      <c r="D16" s="135">
        <f>IF(SER_hh_tes_in!D16=0,"",SER_hh_tes_in!D16/SER_hh_fec_in!D16)</f>
        <v>2.6140443963999682</v>
      </c>
      <c r="E16" s="135">
        <f>IF(SER_hh_tes_in!E16=0,"",SER_hh_tes_in!E16/SER_hh_fec_in!E16)</f>
        <v>2.7290688981464206</v>
      </c>
      <c r="F16" s="135">
        <f>IF(SER_hh_tes_in!F16=0,"",SER_hh_tes_in!F16/SER_hh_fec_in!F16)</f>
        <v>2.845017225953026</v>
      </c>
      <c r="G16" s="135">
        <f>IF(SER_hh_tes_in!G16=0,"",SER_hh_tes_in!G16/SER_hh_fec_in!G16)</f>
        <v>2.9625611061245061</v>
      </c>
      <c r="H16" s="135">
        <f>IF(SER_hh_tes_in!H16=0,"",SER_hh_tes_in!H16/SER_hh_fec_in!H16)</f>
        <v>3.081594969070367</v>
      </c>
      <c r="I16" s="135">
        <f>IF(SER_hh_tes_in!I16=0,"",SER_hh_tes_in!I16/SER_hh_fec_in!I16)</f>
        <v>3.2022596213918217</v>
      </c>
      <c r="J16" s="135">
        <f>IF(SER_hh_tes_in!J16=0,"",SER_hh_tes_in!J16/SER_hh_fec_in!J16)</f>
        <v>3.3251861476892786</v>
      </c>
      <c r="K16" s="135">
        <f>IF(SER_hh_tes_in!K16=0,"",SER_hh_tes_in!K16/SER_hh_fec_in!K16)</f>
        <v>3.4508744195859715</v>
      </c>
      <c r="L16" s="135">
        <f>IF(SER_hh_tes_in!L16=0,"",SER_hh_tes_in!L16/SER_hh_fec_in!L16)</f>
        <v>3.5793907254390702</v>
      </c>
      <c r="M16" s="135">
        <f>IF(SER_hh_tes_in!M16=0,"",SER_hh_tes_in!M16/SER_hh_fec_in!M16)</f>
        <v>3.7266609390296526</v>
      </c>
      <c r="N16" s="135">
        <f>IF(SER_hh_tes_in!N16=0,"",SER_hh_tes_in!N16/SER_hh_fec_in!N16)</f>
        <v>3.8974127211246339</v>
      </c>
      <c r="O16" s="135">
        <f>IF(SER_hh_tes_in!O16=0,"",SER_hh_tes_in!O16/SER_hh_fec_in!O16)</f>
        <v>4.0913414674332129</v>
      </c>
      <c r="P16" s="135">
        <f>IF(SER_hh_tes_in!P16=0,"",SER_hh_tes_in!P16/SER_hh_fec_in!P16)</f>
        <v>4.2895740317496349</v>
      </c>
      <c r="Q16" s="135">
        <f>IF(SER_hh_tes_in!Q16=0,"",SER_hh_tes_in!Q16/SER_hh_fec_in!Q16)</f>
        <v>4.4417144855216284</v>
      </c>
      <c r="R16" s="135">
        <f>IF(SER_hh_tes_in!R16=0,"",SER_hh_tes_in!R16/SER_hh_fec_in!R16)</f>
        <v>4.5782673734307036</v>
      </c>
      <c r="S16" s="135">
        <f>IF(SER_hh_tes_in!S16=0,"",SER_hh_tes_in!S16/SER_hh_fec_in!S16)</f>
        <v>4.6481944967915085</v>
      </c>
      <c r="T16" s="135">
        <f>IF(SER_hh_tes_in!T16=0,"",SER_hh_tes_in!T16/SER_hh_fec_in!T16)</f>
        <v>4.6932059220387599</v>
      </c>
      <c r="U16" s="135">
        <f>IF(SER_hh_tes_in!U16=0,"",SER_hh_tes_in!U16/SER_hh_fec_in!U16)</f>
        <v>4.7251762319558273</v>
      </c>
      <c r="V16" s="135">
        <f>IF(SER_hh_tes_in!V16=0,"",SER_hh_tes_in!V16/SER_hh_fec_in!V16)</f>
        <v>4.7568534943757967</v>
      </c>
      <c r="W16" s="135">
        <f>IF(SER_hh_tes_in!W16=0,"",SER_hh_tes_in!W16/SER_hh_fec_in!W16)</f>
        <v>4.7895718723423624</v>
      </c>
      <c r="X16" s="135">
        <f>IF(SER_hh_tes_in!X16=0,"",SER_hh_tes_in!X16/SER_hh_fec_in!X16)</f>
        <v>4.8133467688826315</v>
      </c>
      <c r="Y16" s="135">
        <f>IF(SER_hh_tes_in!Y16=0,"",SER_hh_tes_in!Y16/SER_hh_fec_in!Y16)</f>
        <v>4.8340306740792673</v>
      </c>
      <c r="DA16" s="162" t="s">
        <v>675</v>
      </c>
    </row>
    <row r="17" spans="1:105" ht="12.95" customHeight="1" x14ac:dyDescent="0.25">
      <c r="A17" s="131" t="s">
        <v>73</v>
      </c>
      <c r="B17" s="136"/>
      <c r="C17" s="136" t="str">
        <f>IF(SER_hh_tes_in!C17=0,"",SER_hh_tes_in!C17/SER_hh_fec_in!C17)</f>
        <v/>
      </c>
      <c r="D17" s="136" t="str">
        <f>IF(SER_hh_tes_in!D17=0,"",SER_hh_tes_in!D17/SER_hh_fec_in!D17)</f>
        <v/>
      </c>
      <c r="E17" s="136" t="str">
        <f>IF(SER_hh_tes_in!E17=0,"",SER_hh_tes_in!E17/SER_hh_fec_in!E17)</f>
        <v/>
      </c>
      <c r="F17" s="136" t="str">
        <f>IF(SER_hh_tes_in!F17=0,"",SER_hh_tes_in!F17/SER_hh_fec_in!F17)</f>
        <v/>
      </c>
      <c r="G17" s="136" t="str">
        <f>IF(SER_hh_tes_in!G17=0,"",SER_hh_tes_in!G17/SER_hh_fec_in!G17)</f>
        <v/>
      </c>
      <c r="H17" s="136" t="str">
        <f>IF(SER_hh_tes_in!H17=0,"",SER_hh_tes_in!H17/SER_hh_fec_in!H17)</f>
        <v/>
      </c>
      <c r="I17" s="136" t="str">
        <f>IF(SER_hh_tes_in!I17=0,"",SER_hh_tes_in!I17/SER_hh_fec_in!I17)</f>
        <v/>
      </c>
      <c r="J17" s="136" t="str">
        <f>IF(SER_hh_tes_in!J17=0,"",SER_hh_tes_in!J17/SER_hh_fec_in!J17)</f>
        <v/>
      </c>
      <c r="K17" s="136" t="str">
        <f>IF(SER_hh_tes_in!K17=0,"",SER_hh_tes_in!K17/SER_hh_fec_in!K17)</f>
        <v/>
      </c>
      <c r="L17" s="136" t="str">
        <f>IF(SER_hh_tes_in!L17=0,"",SER_hh_tes_in!L17/SER_hh_fec_in!L17)</f>
        <v/>
      </c>
      <c r="M17" s="136" t="str">
        <f>IF(SER_hh_tes_in!M17=0,"",SER_hh_tes_in!M17/SER_hh_fec_in!M17)</f>
        <v/>
      </c>
      <c r="N17" s="136" t="str">
        <f>IF(SER_hh_tes_in!N17=0,"",SER_hh_tes_in!N17/SER_hh_fec_in!N17)</f>
        <v/>
      </c>
      <c r="O17" s="136" t="str">
        <f>IF(SER_hh_tes_in!O17=0,"",SER_hh_tes_in!O17/SER_hh_fec_in!O17)</f>
        <v/>
      </c>
      <c r="P17" s="136" t="str">
        <f>IF(SER_hh_tes_in!P17=0,"",SER_hh_tes_in!P17/SER_hh_fec_in!P17)</f>
        <v/>
      </c>
      <c r="Q17" s="136" t="str">
        <f>IF(SER_hh_tes_in!Q17=0,"",SER_hh_tes_in!Q17/SER_hh_fec_in!Q17)</f>
        <v/>
      </c>
      <c r="R17" s="136" t="str">
        <f>IF(SER_hh_tes_in!R17=0,"",SER_hh_tes_in!R17/SER_hh_fec_in!R17)</f>
        <v/>
      </c>
      <c r="S17" s="136" t="str">
        <f>IF(SER_hh_tes_in!S17=0,"",SER_hh_tes_in!S17/SER_hh_fec_in!S17)</f>
        <v/>
      </c>
      <c r="T17" s="136" t="str">
        <f>IF(SER_hh_tes_in!T17=0,"",SER_hh_tes_in!T17/SER_hh_fec_in!T17)</f>
        <v/>
      </c>
      <c r="U17" s="136" t="str">
        <f>IF(SER_hh_tes_in!U17=0,"",SER_hh_tes_in!U17/SER_hh_fec_in!U17)</f>
        <v/>
      </c>
      <c r="V17" s="136" t="str">
        <f>IF(SER_hh_tes_in!V17=0,"",SER_hh_tes_in!V17/SER_hh_fec_in!V17)</f>
        <v/>
      </c>
      <c r="W17" s="136" t="str">
        <f>IF(SER_hh_tes_in!W17=0,"",SER_hh_tes_in!W17/SER_hh_fec_in!W17)</f>
        <v/>
      </c>
      <c r="X17" s="136" t="str">
        <f>IF(SER_hh_tes_in!X17=0,"",SER_hh_tes_in!X17/SER_hh_fec_in!X17)</f>
        <v/>
      </c>
      <c r="Y17" s="136" t="str">
        <f>IF(SER_hh_tes_in!Y17=0,"",SER_hh_tes_in!Y17/SER_hh_fec_in!Y17)</f>
        <v/>
      </c>
      <c r="DA17" s="163" t="s">
        <v>676</v>
      </c>
    </row>
    <row r="18" spans="1:105" ht="12" customHeight="1" x14ac:dyDescent="0.25">
      <c r="A18" s="131" t="s">
        <v>72</v>
      </c>
      <c r="B18" s="136"/>
      <c r="C18" s="136">
        <f>IF(SER_hh_tes_in!C18=0,"",SER_hh_tes_in!C18/SER_hh_fec_in!C18)</f>
        <v>2.5007188623230432</v>
      </c>
      <c r="D18" s="136">
        <f>IF(SER_hh_tes_in!D18=0,"",SER_hh_tes_in!D18/SER_hh_fec_in!D18)</f>
        <v>2.6140443963999682</v>
      </c>
      <c r="E18" s="136">
        <f>IF(SER_hh_tes_in!E18=0,"",SER_hh_tes_in!E18/SER_hh_fec_in!E18)</f>
        <v>2.7290688981464206</v>
      </c>
      <c r="F18" s="136">
        <f>IF(SER_hh_tes_in!F18=0,"",SER_hh_tes_in!F18/SER_hh_fec_in!F18)</f>
        <v>2.845017225953026</v>
      </c>
      <c r="G18" s="136">
        <f>IF(SER_hh_tes_in!G18=0,"",SER_hh_tes_in!G18/SER_hh_fec_in!G18)</f>
        <v>2.9625611061245061</v>
      </c>
      <c r="H18" s="136">
        <f>IF(SER_hh_tes_in!H18=0,"",SER_hh_tes_in!H18/SER_hh_fec_in!H18)</f>
        <v>3.081594969070367</v>
      </c>
      <c r="I18" s="136">
        <f>IF(SER_hh_tes_in!I18=0,"",SER_hh_tes_in!I18/SER_hh_fec_in!I18)</f>
        <v>3.2022596213918217</v>
      </c>
      <c r="J18" s="136">
        <f>IF(SER_hh_tes_in!J18=0,"",SER_hh_tes_in!J18/SER_hh_fec_in!J18)</f>
        <v>3.3251861476892786</v>
      </c>
      <c r="K18" s="136">
        <f>IF(SER_hh_tes_in!K18=0,"",SER_hh_tes_in!K18/SER_hh_fec_in!K18)</f>
        <v>3.4508744195859715</v>
      </c>
      <c r="L18" s="136">
        <f>IF(SER_hh_tes_in!L18=0,"",SER_hh_tes_in!L18/SER_hh_fec_in!L18)</f>
        <v>3.5793907254390702</v>
      </c>
      <c r="M18" s="136">
        <f>IF(SER_hh_tes_in!M18=0,"",SER_hh_tes_in!M18/SER_hh_fec_in!M18)</f>
        <v>3.7266609390296526</v>
      </c>
      <c r="N18" s="136">
        <f>IF(SER_hh_tes_in!N18=0,"",SER_hh_tes_in!N18/SER_hh_fec_in!N18)</f>
        <v>3.8974127211246339</v>
      </c>
      <c r="O18" s="136">
        <f>IF(SER_hh_tes_in!O18=0,"",SER_hh_tes_in!O18/SER_hh_fec_in!O18)</f>
        <v>4.0913414674332129</v>
      </c>
      <c r="P18" s="136">
        <f>IF(SER_hh_tes_in!P18=0,"",SER_hh_tes_in!P18/SER_hh_fec_in!P18)</f>
        <v>4.2895740317496349</v>
      </c>
      <c r="Q18" s="136">
        <f>IF(SER_hh_tes_in!Q18=0,"",SER_hh_tes_in!Q18/SER_hh_fec_in!Q18)</f>
        <v>4.4417144855216284</v>
      </c>
      <c r="R18" s="136">
        <f>IF(SER_hh_tes_in!R18=0,"",SER_hh_tes_in!R18/SER_hh_fec_in!R18)</f>
        <v>4.5782673734307036</v>
      </c>
      <c r="S18" s="136">
        <f>IF(SER_hh_tes_in!S18=0,"",SER_hh_tes_in!S18/SER_hh_fec_in!S18)</f>
        <v>4.6481944967915085</v>
      </c>
      <c r="T18" s="136">
        <f>IF(SER_hh_tes_in!T18=0,"",SER_hh_tes_in!T18/SER_hh_fec_in!T18)</f>
        <v>4.6932059220387599</v>
      </c>
      <c r="U18" s="136">
        <f>IF(SER_hh_tes_in!U18=0,"",SER_hh_tes_in!U18/SER_hh_fec_in!U18)</f>
        <v>4.7251762319558273</v>
      </c>
      <c r="V18" s="136">
        <f>IF(SER_hh_tes_in!V18=0,"",SER_hh_tes_in!V18/SER_hh_fec_in!V18)</f>
        <v>4.7568534943757967</v>
      </c>
      <c r="W18" s="136">
        <f>IF(SER_hh_tes_in!W18=0,"",SER_hh_tes_in!W18/SER_hh_fec_in!W18)</f>
        <v>4.7895718723423624</v>
      </c>
      <c r="X18" s="136">
        <f>IF(SER_hh_tes_in!X18=0,"",SER_hh_tes_in!X18/SER_hh_fec_in!X18)</f>
        <v>4.8133467688826315</v>
      </c>
      <c r="Y18" s="136">
        <f>IF(SER_hh_tes_in!Y18=0,"",SER_hh_tes_in!Y18/SER_hh_fec_in!Y18)</f>
        <v>4.8340306740792673</v>
      </c>
      <c r="DA18" s="163" t="s">
        <v>677</v>
      </c>
    </row>
    <row r="19" spans="1:105" ht="12.95" customHeight="1" x14ac:dyDescent="0.25">
      <c r="A19" s="129" t="s">
        <v>35</v>
      </c>
      <c r="B19" s="135"/>
      <c r="C19" s="135">
        <f>IF(SER_hh_tes_in!C19=0,"",SER_hh_tes_in!C19/SER_hh_fec_in!C19)</f>
        <v>0.71689344565372937</v>
      </c>
      <c r="D19" s="135">
        <f>IF(SER_hh_tes_in!D19=0,"",SER_hh_tes_in!D19/SER_hh_fec_in!D19)</f>
        <v>0.71346065649492552</v>
      </c>
      <c r="E19" s="135">
        <f>IF(SER_hh_tes_in!E19=0,"",SER_hh_tes_in!E19/SER_hh_fec_in!E19)</f>
        <v>0.71779292571282416</v>
      </c>
      <c r="F19" s="135">
        <f>IF(SER_hh_tes_in!F19=0,"",SER_hh_tes_in!F19/SER_hh_fec_in!F19)</f>
        <v>0.72712535285292546</v>
      </c>
      <c r="G19" s="135">
        <f>IF(SER_hh_tes_in!G19=0,"",SER_hh_tes_in!G19/SER_hh_fec_in!G19)</f>
        <v>0.73187718741016972</v>
      </c>
      <c r="H19" s="135">
        <f>IF(SER_hh_tes_in!H19=0,"",SER_hh_tes_in!H19/SER_hh_fec_in!H19)</f>
        <v>0.73899102071544487</v>
      </c>
      <c r="I19" s="135">
        <f>IF(SER_hh_tes_in!I19=0,"",SER_hh_tes_in!I19/SER_hh_fec_in!I19)</f>
        <v>0.74229494263082352</v>
      </c>
      <c r="J19" s="135">
        <f>IF(SER_hh_tes_in!J19=0,"",SER_hh_tes_in!J19/SER_hh_fec_in!J19)</f>
        <v>0.73257138536559852</v>
      </c>
      <c r="K19" s="135">
        <f>IF(SER_hh_tes_in!K19=0,"",SER_hh_tes_in!K19/SER_hh_fec_in!K19)</f>
        <v>0.72930086947112149</v>
      </c>
      <c r="L19" s="135">
        <f>IF(SER_hh_tes_in!L19=0,"",SER_hh_tes_in!L19/SER_hh_fec_in!L19)</f>
        <v>0.72885562555353167</v>
      </c>
      <c r="M19" s="135">
        <f>IF(SER_hh_tes_in!M19=0,"",SER_hh_tes_in!M19/SER_hh_fec_in!M19)</f>
        <v>0.73993219060467574</v>
      </c>
      <c r="N19" s="135">
        <f>IF(SER_hh_tes_in!N19=0,"",SER_hh_tes_in!N19/SER_hh_fec_in!N19)</f>
        <v>0.75669184198270922</v>
      </c>
      <c r="O19" s="135">
        <f>IF(SER_hh_tes_in!O19=0,"",SER_hh_tes_in!O19/SER_hh_fec_in!O19)</f>
        <v>0.77779460586076798</v>
      </c>
      <c r="P19" s="135">
        <f>IF(SER_hh_tes_in!P19=0,"",SER_hh_tes_in!P19/SER_hh_fec_in!P19)</f>
        <v>0.80206729281262412</v>
      </c>
      <c r="Q19" s="135">
        <f>IF(SER_hh_tes_in!Q19=0,"",SER_hh_tes_in!Q19/SER_hh_fec_in!Q19)</f>
        <v>0.8220264773028364</v>
      </c>
      <c r="R19" s="135">
        <f>IF(SER_hh_tes_in!R19=0,"",SER_hh_tes_in!R19/SER_hh_fec_in!R19)</f>
        <v>0.83747806140942627</v>
      </c>
      <c r="S19" s="135">
        <f>IF(SER_hh_tes_in!S19=0,"",SER_hh_tes_in!S19/SER_hh_fec_in!S19)</f>
        <v>0.85443351047277571</v>
      </c>
      <c r="T19" s="135">
        <f>IF(SER_hh_tes_in!T19=0,"",SER_hh_tes_in!T19/SER_hh_fec_in!T19)</f>
        <v>0.86838950871660026</v>
      </c>
      <c r="U19" s="135">
        <f>IF(SER_hh_tes_in!U19=0,"",SER_hh_tes_in!U19/SER_hh_fec_in!U19)</f>
        <v>0.87940056945967959</v>
      </c>
      <c r="V19" s="135">
        <f>IF(SER_hh_tes_in!V19=0,"",SER_hh_tes_in!V19/SER_hh_fec_in!V19)</f>
        <v>0.88689136286075398</v>
      </c>
      <c r="W19" s="135">
        <f>IF(SER_hh_tes_in!W19=0,"",SER_hh_tes_in!W19/SER_hh_fec_in!W19)</f>
        <v>0.8905423848559344</v>
      </c>
      <c r="X19" s="135">
        <f>IF(SER_hh_tes_in!X19=0,"",SER_hh_tes_in!X19/SER_hh_fec_in!X19)</f>
        <v>0.90072737693944449</v>
      </c>
      <c r="Y19" s="135">
        <f>IF(SER_hh_tes_in!Y19=0,"",SER_hh_tes_in!Y19/SER_hh_fec_in!Y19)</f>
        <v>0.91733906066964677</v>
      </c>
      <c r="DA19" s="162" t="s">
        <v>678</v>
      </c>
    </row>
    <row r="20" spans="1:105" ht="12" customHeight="1" x14ac:dyDescent="0.25">
      <c r="A20" s="131" t="s">
        <v>29</v>
      </c>
      <c r="B20" s="136"/>
      <c r="C20" s="136" t="str">
        <f>IF(SER_hh_tes_in!C20=0,"",SER_hh_tes_in!C20/SER_hh_fec_in!C20)</f>
        <v/>
      </c>
      <c r="D20" s="136" t="str">
        <f>IF(SER_hh_tes_in!D20=0,"",SER_hh_tes_in!D20/SER_hh_fec_in!D20)</f>
        <v/>
      </c>
      <c r="E20" s="136" t="str">
        <f>IF(SER_hh_tes_in!E20=0,"",SER_hh_tes_in!E20/SER_hh_fec_in!E20)</f>
        <v/>
      </c>
      <c r="F20" s="136" t="str">
        <f>IF(SER_hh_tes_in!F20=0,"",SER_hh_tes_in!F20/SER_hh_fec_in!F20)</f>
        <v/>
      </c>
      <c r="G20" s="136" t="str">
        <f>IF(SER_hh_tes_in!G20=0,"",SER_hh_tes_in!G20/SER_hh_fec_in!G20)</f>
        <v/>
      </c>
      <c r="H20" s="136" t="str">
        <f>IF(SER_hh_tes_in!H20=0,"",SER_hh_tes_in!H20/SER_hh_fec_in!H20)</f>
        <v/>
      </c>
      <c r="I20" s="136" t="str">
        <f>IF(SER_hh_tes_in!I20=0,"",SER_hh_tes_in!I20/SER_hh_fec_in!I20)</f>
        <v/>
      </c>
      <c r="J20" s="136" t="str">
        <f>IF(SER_hh_tes_in!J20=0,"",SER_hh_tes_in!J20/SER_hh_fec_in!J20)</f>
        <v/>
      </c>
      <c r="K20" s="136" t="str">
        <f>IF(SER_hh_tes_in!K20=0,"",SER_hh_tes_in!K20/SER_hh_fec_in!K20)</f>
        <v/>
      </c>
      <c r="L20" s="136" t="str">
        <f>IF(SER_hh_tes_in!L20=0,"",SER_hh_tes_in!L20/SER_hh_fec_in!L20)</f>
        <v/>
      </c>
      <c r="M20" s="136" t="str">
        <f>IF(SER_hh_tes_in!M20=0,"",SER_hh_tes_in!M20/SER_hh_fec_in!M20)</f>
        <v/>
      </c>
      <c r="N20" s="136" t="str">
        <f>IF(SER_hh_tes_in!N20=0,"",SER_hh_tes_in!N20/SER_hh_fec_in!N20)</f>
        <v/>
      </c>
      <c r="O20" s="136" t="str">
        <f>IF(SER_hh_tes_in!O20=0,"",SER_hh_tes_in!O20/SER_hh_fec_in!O20)</f>
        <v/>
      </c>
      <c r="P20" s="136" t="str">
        <f>IF(SER_hh_tes_in!P20=0,"",SER_hh_tes_in!P20/SER_hh_fec_in!P20)</f>
        <v/>
      </c>
      <c r="Q20" s="136" t="str">
        <f>IF(SER_hh_tes_in!Q20=0,"",SER_hh_tes_in!Q20/SER_hh_fec_in!Q20)</f>
        <v/>
      </c>
      <c r="R20" s="136" t="str">
        <f>IF(SER_hh_tes_in!R20=0,"",SER_hh_tes_in!R20/SER_hh_fec_in!R20)</f>
        <v/>
      </c>
      <c r="S20" s="136" t="str">
        <f>IF(SER_hh_tes_in!S20=0,"",SER_hh_tes_in!S20/SER_hh_fec_in!S20)</f>
        <v/>
      </c>
      <c r="T20" s="136" t="str">
        <f>IF(SER_hh_tes_in!T20=0,"",SER_hh_tes_in!T20/SER_hh_fec_in!T20)</f>
        <v/>
      </c>
      <c r="U20" s="136" t="str">
        <f>IF(SER_hh_tes_in!U20=0,"",SER_hh_tes_in!U20/SER_hh_fec_in!U20)</f>
        <v/>
      </c>
      <c r="V20" s="136" t="str">
        <f>IF(SER_hh_tes_in!V20=0,"",SER_hh_tes_in!V20/SER_hh_fec_in!V20)</f>
        <v/>
      </c>
      <c r="W20" s="136" t="str">
        <f>IF(SER_hh_tes_in!W20=0,"",SER_hh_tes_in!W20/SER_hh_fec_in!W20)</f>
        <v/>
      </c>
      <c r="X20" s="136" t="str">
        <f>IF(SER_hh_tes_in!X20=0,"",SER_hh_tes_in!X20/SER_hh_fec_in!X20)</f>
        <v/>
      </c>
      <c r="Y20" s="136" t="str">
        <f>IF(SER_hh_tes_in!Y20=0,"",SER_hh_tes_in!Y20/SER_hh_fec_in!Y20)</f>
        <v/>
      </c>
      <c r="DA20" s="163" t="s">
        <v>679</v>
      </c>
    </row>
    <row r="21" spans="1:105" s="2" customFormat="1" ht="12" customHeight="1" x14ac:dyDescent="0.25">
      <c r="A21" s="131" t="s">
        <v>52</v>
      </c>
      <c r="B21" s="136"/>
      <c r="C21" s="136" t="str">
        <f>IF(SER_hh_tes_in!C21=0,"",SER_hh_tes_in!C21/SER_hh_fec_in!C21)</f>
        <v/>
      </c>
      <c r="D21" s="136" t="str">
        <f>IF(SER_hh_tes_in!D21=0,"",SER_hh_tes_in!D21/SER_hh_fec_in!D21)</f>
        <v/>
      </c>
      <c r="E21" s="136" t="str">
        <f>IF(SER_hh_tes_in!E21=0,"",SER_hh_tes_in!E21/SER_hh_fec_in!E21)</f>
        <v/>
      </c>
      <c r="F21" s="136" t="str">
        <f>IF(SER_hh_tes_in!F21=0,"",SER_hh_tes_in!F21/SER_hh_fec_in!F21)</f>
        <v/>
      </c>
      <c r="G21" s="136" t="str">
        <f>IF(SER_hh_tes_in!G21=0,"",SER_hh_tes_in!G21/SER_hh_fec_in!G21)</f>
        <v/>
      </c>
      <c r="H21" s="136" t="str">
        <f>IF(SER_hh_tes_in!H21=0,"",SER_hh_tes_in!H21/SER_hh_fec_in!H21)</f>
        <v/>
      </c>
      <c r="I21" s="136" t="str">
        <f>IF(SER_hh_tes_in!I21=0,"",SER_hh_tes_in!I21/SER_hh_fec_in!I21)</f>
        <v/>
      </c>
      <c r="J21" s="136" t="str">
        <f>IF(SER_hh_tes_in!J21=0,"",SER_hh_tes_in!J21/SER_hh_fec_in!J21)</f>
        <v/>
      </c>
      <c r="K21" s="136" t="str">
        <f>IF(SER_hh_tes_in!K21=0,"",SER_hh_tes_in!K21/SER_hh_fec_in!K21)</f>
        <v/>
      </c>
      <c r="L21" s="136" t="str">
        <f>IF(SER_hh_tes_in!L21=0,"",SER_hh_tes_in!L21/SER_hh_fec_in!L21)</f>
        <v/>
      </c>
      <c r="M21" s="136" t="str">
        <f>IF(SER_hh_tes_in!M21=0,"",SER_hh_tes_in!M21/SER_hh_fec_in!M21)</f>
        <v/>
      </c>
      <c r="N21" s="136" t="str">
        <f>IF(SER_hh_tes_in!N21=0,"",SER_hh_tes_in!N21/SER_hh_fec_in!N21)</f>
        <v/>
      </c>
      <c r="O21" s="136" t="str">
        <f>IF(SER_hh_tes_in!O21=0,"",SER_hh_tes_in!O21/SER_hh_fec_in!O21)</f>
        <v/>
      </c>
      <c r="P21" s="136" t="str">
        <f>IF(SER_hh_tes_in!P21=0,"",SER_hh_tes_in!P21/SER_hh_fec_in!P21)</f>
        <v/>
      </c>
      <c r="Q21" s="136" t="str">
        <f>IF(SER_hh_tes_in!Q21=0,"",SER_hh_tes_in!Q21/SER_hh_fec_in!Q21)</f>
        <v/>
      </c>
      <c r="R21" s="136" t="str">
        <f>IF(SER_hh_tes_in!R21=0,"",SER_hh_tes_in!R21/SER_hh_fec_in!R21)</f>
        <v/>
      </c>
      <c r="S21" s="136" t="str">
        <f>IF(SER_hh_tes_in!S21=0,"",SER_hh_tes_in!S21/SER_hh_fec_in!S21)</f>
        <v/>
      </c>
      <c r="T21" s="136" t="str">
        <f>IF(SER_hh_tes_in!T21=0,"",SER_hh_tes_in!T21/SER_hh_fec_in!T21)</f>
        <v/>
      </c>
      <c r="U21" s="136" t="str">
        <f>IF(SER_hh_tes_in!U21=0,"",SER_hh_tes_in!U21/SER_hh_fec_in!U21)</f>
        <v/>
      </c>
      <c r="V21" s="136" t="str">
        <f>IF(SER_hh_tes_in!V21=0,"",SER_hh_tes_in!V21/SER_hh_fec_in!V21)</f>
        <v/>
      </c>
      <c r="W21" s="136" t="str">
        <f>IF(SER_hh_tes_in!W21=0,"",SER_hh_tes_in!W21/SER_hh_fec_in!W21)</f>
        <v/>
      </c>
      <c r="X21" s="136" t="str">
        <f>IF(SER_hh_tes_in!X21=0,"",SER_hh_tes_in!X21/SER_hh_fec_in!X21)</f>
        <v/>
      </c>
      <c r="Y21" s="136" t="str">
        <f>IF(SER_hh_tes_in!Y21=0,"",SER_hh_tes_in!Y21/SER_hh_fec_in!Y21)</f>
        <v/>
      </c>
      <c r="DA21" s="163" t="s">
        <v>680</v>
      </c>
    </row>
    <row r="22" spans="1:105" ht="12" customHeight="1" x14ac:dyDescent="0.25">
      <c r="A22" s="131" t="s">
        <v>161</v>
      </c>
      <c r="B22" s="136"/>
      <c r="C22" s="136">
        <f>IF(SER_hh_tes_in!C22=0,"",SER_hh_tes_in!C22/SER_hh_fec_in!C22)</f>
        <v>0.53411300854773724</v>
      </c>
      <c r="D22" s="136">
        <f>IF(SER_hh_tes_in!D22=0,"",SER_hh_tes_in!D22/SER_hh_fec_in!D22)</f>
        <v>0.53657789434313652</v>
      </c>
      <c r="E22" s="136">
        <f>IF(SER_hh_tes_in!E22=0,"",SER_hh_tes_in!E22/SER_hh_fec_in!E22)</f>
        <v>0.53938541017384678</v>
      </c>
      <c r="F22" s="136">
        <f>IF(SER_hh_tes_in!F22=0,"",SER_hh_tes_in!F22/SER_hh_fec_in!F22)</f>
        <v>0.54223964828209958</v>
      </c>
      <c r="G22" s="136">
        <f>IF(SER_hh_tes_in!G22=0,"",SER_hh_tes_in!G22/SER_hh_fec_in!G22)</f>
        <v>0.54540942849970264</v>
      </c>
      <c r="H22" s="136">
        <f>IF(SER_hh_tes_in!H22=0,"",SER_hh_tes_in!H22/SER_hh_fec_in!H22)</f>
        <v>0.54886185070151072</v>
      </c>
      <c r="I22" s="136">
        <f>IF(SER_hh_tes_in!I22=0,"",SER_hh_tes_in!I22/SER_hh_fec_in!I22)</f>
        <v>0.55266315210193606</v>
      </c>
      <c r="J22" s="136">
        <f>IF(SER_hh_tes_in!J22=0,"",SER_hh_tes_in!J22/SER_hh_fec_in!J22)</f>
        <v>0.55708468318879378</v>
      </c>
      <c r="K22" s="136">
        <f>IF(SER_hh_tes_in!K22=0,"",SER_hh_tes_in!K22/SER_hh_fec_in!K22)</f>
        <v>0.56235716325039309</v>
      </c>
      <c r="L22" s="136">
        <f>IF(SER_hh_tes_in!L22=0,"",SER_hh_tes_in!L22/SER_hh_fec_in!L22)</f>
        <v>0.56854231915536779</v>
      </c>
      <c r="M22" s="136">
        <f>IF(SER_hh_tes_in!M22=0,"",SER_hh_tes_in!M22/SER_hh_fec_in!M22)</f>
        <v>0.58115115165821662</v>
      </c>
      <c r="N22" s="136">
        <f>IF(SER_hh_tes_in!N22=0,"",SER_hh_tes_in!N22/SER_hh_fec_in!N22)</f>
        <v>0.60193539569782117</v>
      </c>
      <c r="O22" s="136">
        <f>IF(SER_hh_tes_in!O22=0,"",SER_hh_tes_in!O22/SER_hh_fec_in!O22)</f>
        <v>0.63232073333214767</v>
      </c>
      <c r="P22" s="136">
        <f>IF(SER_hh_tes_in!P22=0,"",SER_hh_tes_in!P22/SER_hh_fec_in!P22)</f>
        <v>0.6691662331023549</v>
      </c>
      <c r="Q22" s="136">
        <f>IF(SER_hh_tes_in!Q22=0,"",SER_hh_tes_in!Q22/SER_hh_fec_in!Q22)</f>
        <v>0.70234050554680594</v>
      </c>
      <c r="R22" s="136">
        <f>IF(SER_hh_tes_in!R22=0,"",SER_hh_tes_in!R22/SER_hh_fec_in!R22)</f>
        <v>0.72386324145483494</v>
      </c>
      <c r="S22" s="136">
        <f>IF(SER_hh_tes_in!S22=0,"",SER_hh_tes_in!S22/SER_hh_fec_in!S22)</f>
        <v>0.74390295981112076</v>
      </c>
      <c r="T22" s="136">
        <f>IF(SER_hh_tes_in!T22=0,"",SER_hh_tes_in!T22/SER_hh_fec_in!T22)</f>
        <v>0.76186877407940945</v>
      </c>
      <c r="U22" s="136">
        <f>IF(SER_hh_tes_in!U22=0,"",SER_hh_tes_in!U22/SER_hh_fec_in!U22)</f>
        <v>0.77716979772350914</v>
      </c>
      <c r="V22" s="136">
        <f>IF(SER_hh_tes_in!V22=0,"",SER_hh_tes_in!V22/SER_hh_fec_in!V22)</f>
        <v>0.78921514420720273</v>
      </c>
      <c r="W22" s="136">
        <f>IF(SER_hh_tes_in!W22=0,"",SER_hh_tes_in!W22/SER_hh_fec_in!W22)</f>
        <v>0.7966188525317579</v>
      </c>
      <c r="X22" s="136">
        <f>IF(SER_hh_tes_in!X22=0,"",SER_hh_tes_in!X22/SER_hh_fec_in!X22)</f>
        <v>0.8000843065071408</v>
      </c>
      <c r="Y22" s="136">
        <f>IF(SER_hh_tes_in!Y22=0,"",SER_hh_tes_in!Y22/SER_hh_fec_in!Y22)</f>
        <v>0.80183912758139042</v>
      </c>
      <c r="DA22" s="163" t="s">
        <v>681</v>
      </c>
    </row>
    <row r="23" spans="1:105" ht="12" customHeight="1" x14ac:dyDescent="0.25">
      <c r="A23" s="131" t="s">
        <v>149</v>
      </c>
      <c r="B23" s="136"/>
      <c r="C23" s="136">
        <f>IF(SER_hh_tes_in!C23=0,"",SER_hh_tes_in!C23/SER_hh_fec_in!C23)</f>
        <v>0.57925793272787407</v>
      </c>
      <c r="D23" s="136">
        <f>IF(SER_hh_tes_in!D23=0,"",SER_hh_tes_in!D23/SER_hh_fec_in!D23)</f>
        <v>0.58547292395325135</v>
      </c>
      <c r="E23" s="136">
        <f>IF(SER_hh_tes_in!E23=0,"",SER_hh_tes_in!E23/SER_hh_fec_in!E23)</f>
        <v>0.59196941769728628</v>
      </c>
      <c r="F23" s="136">
        <f>IF(SER_hh_tes_in!F23=0,"",SER_hh_tes_in!F23/SER_hh_fec_in!F23)</f>
        <v>0.59851596169772447</v>
      </c>
      <c r="G23" s="136">
        <f>IF(SER_hh_tes_in!G23=0,"",SER_hh_tes_in!G23/SER_hh_fec_in!G23)</f>
        <v>0.60531974040241809</v>
      </c>
      <c r="H23" s="136">
        <f>IF(SER_hh_tes_in!H23=0,"",SER_hh_tes_in!H23/SER_hh_fec_in!H23)</f>
        <v>0.61235324695409099</v>
      </c>
      <c r="I23" s="136">
        <f>IF(SER_hh_tes_in!I23=0,"",SER_hh_tes_in!I23/SER_hh_fec_in!I23)</f>
        <v>0.61966533018618819</v>
      </c>
      <c r="J23" s="136">
        <f>IF(SER_hh_tes_in!J23=0,"",SER_hh_tes_in!J23/SER_hh_fec_in!J23)</f>
        <v>0.62746108830949521</v>
      </c>
      <c r="K23" s="136">
        <f>IF(SER_hh_tes_in!K23=0,"",SER_hh_tes_in!K23/SER_hh_fec_in!K23)</f>
        <v>0.63591202078156317</v>
      </c>
      <c r="L23" s="136">
        <f>IF(SER_hh_tes_in!L23=0,"",SER_hh_tes_in!L23/SER_hh_fec_in!L23)</f>
        <v>0.64505887533173367</v>
      </c>
      <c r="M23" s="136">
        <f>IF(SER_hh_tes_in!M23=0,"",SER_hh_tes_in!M23/SER_hh_fec_in!M23)</f>
        <v>0.65917085170295009</v>
      </c>
      <c r="N23" s="136">
        <f>IF(SER_hh_tes_in!N23=0,"",SER_hh_tes_in!N23/SER_hh_fec_in!N23)</f>
        <v>0.67956612814792539</v>
      </c>
      <c r="O23" s="136">
        <f>IF(SER_hh_tes_in!O23=0,"",SER_hh_tes_in!O23/SER_hh_fec_in!O23)</f>
        <v>0.70718554070576201</v>
      </c>
      <c r="P23" s="136">
        <f>IF(SER_hh_tes_in!P23=0,"",SER_hh_tes_in!P23/SER_hh_fec_in!P23)</f>
        <v>0.73929957902807197</v>
      </c>
      <c r="Q23" s="136">
        <f>IF(SER_hh_tes_in!Q23=0,"",SER_hh_tes_in!Q23/SER_hh_fec_in!Q23)</f>
        <v>0.76741620959285517</v>
      </c>
      <c r="R23" s="136">
        <f>IF(SER_hh_tes_in!R23=0,"",SER_hh_tes_in!R23/SER_hh_fec_in!R23)</f>
        <v>0.78460315203187236</v>
      </c>
      <c r="S23" s="136">
        <f>IF(SER_hh_tes_in!S23=0,"",SER_hh_tes_in!S23/SER_hh_fec_in!S23)</f>
        <v>0.79923977660590351</v>
      </c>
      <c r="T23" s="136">
        <f>IF(SER_hh_tes_in!T23=0,"",SER_hh_tes_in!T23/SER_hh_fec_in!T23)</f>
        <v>0.81155582486627442</v>
      </c>
      <c r="U23" s="136">
        <f>IF(SER_hh_tes_in!U23=0,"",SER_hh_tes_in!U23/SER_hh_fec_in!U23)</f>
        <v>0.82177007366007737</v>
      </c>
      <c r="V23" s="136">
        <f>IF(SER_hh_tes_in!V23=0,"",SER_hh_tes_in!V23/SER_hh_fec_in!V23)</f>
        <v>0.83007440469709748</v>
      </c>
      <c r="W23" s="136">
        <f>IF(SER_hh_tes_in!W23=0,"",SER_hh_tes_in!W23/SER_hh_fec_in!W23)</f>
        <v>0.83557025922965</v>
      </c>
      <c r="X23" s="136">
        <f>IF(SER_hh_tes_in!X23=0,"",SER_hh_tes_in!X23/SER_hh_fec_in!X23)</f>
        <v>0.83828990605649956</v>
      </c>
      <c r="Y23" s="136" t="str">
        <f>IF(SER_hh_tes_in!Y23=0,"",SER_hh_tes_in!Y23/SER_hh_fec_in!Y23)</f>
        <v/>
      </c>
      <c r="DA23" s="163" t="s">
        <v>682</v>
      </c>
    </row>
    <row r="24" spans="1:105" ht="12" customHeight="1" x14ac:dyDescent="0.25">
      <c r="A24" s="131" t="s">
        <v>128</v>
      </c>
      <c r="B24" s="136"/>
      <c r="C24" s="136">
        <f>IF(SER_hh_tes_in!C24=0,"",SER_hh_tes_in!C24/SER_hh_fec_in!C24)</f>
        <v>0.56867553798525194</v>
      </c>
      <c r="D24" s="136">
        <f>IF(SER_hh_tes_in!D24=0,"",SER_hh_tes_in!D24/SER_hh_fec_in!D24)</f>
        <v>0.58094549750142921</v>
      </c>
      <c r="E24" s="136">
        <f>IF(SER_hh_tes_in!E24=0,"",SER_hh_tes_in!E24/SER_hh_fec_in!E24)</f>
        <v>0.59333226559027075</v>
      </c>
      <c r="F24" s="136">
        <f>IF(SER_hh_tes_in!F24=0,"",SER_hh_tes_in!F24/SER_hh_fec_in!F24)</f>
        <v>0.60582372737465673</v>
      </c>
      <c r="G24" s="136">
        <f>IF(SER_hh_tes_in!G24=0,"",SER_hh_tes_in!G24/SER_hh_fec_in!G24)</f>
        <v>0.61840755812803816</v>
      </c>
      <c r="H24" s="136">
        <f>IF(SER_hh_tes_in!H24=0,"",SER_hh_tes_in!H24/SER_hh_fec_in!H24)</f>
        <v>0.6310692436535339</v>
      </c>
      <c r="I24" s="136">
        <f>IF(SER_hh_tes_in!I24=0,"",SER_hh_tes_in!I24/SER_hh_fec_in!I24)</f>
        <v>0.64378963810834822</v>
      </c>
      <c r="J24" s="136">
        <f>IF(SER_hh_tes_in!J24=0,"",SER_hh_tes_in!J24/SER_hh_fec_in!J24)</f>
        <v>0.65652738397116961</v>
      </c>
      <c r="K24" s="136">
        <f>IF(SER_hh_tes_in!K24=0,"",SER_hh_tes_in!K24/SER_hh_fec_in!K24)</f>
        <v>0.66922779434646029</v>
      </c>
      <c r="L24" s="136">
        <f>IF(SER_hh_tes_in!L24=0,"",SER_hh_tes_in!L24/SER_hh_fec_in!L24)</f>
        <v>0.68184233168124786</v>
      </c>
      <c r="M24" s="136">
        <f>IF(SER_hh_tes_in!M24=0,"",SER_hh_tes_in!M24/SER_hh_fec_in!M24)</f>
        <v>0.69342982183644686</v>
      </c>
      <c r="N24" s="136">
        <f>IF(SER_hh_tes_in!N24=0,"",SER_hh_tes_in!N24/SER_hh_fec_in!N24)</f>
        <v>0.70347527239836027</v>
      </c>
      <c r="O24" s="136">
        <f>IF(SER_hh_tes_in!O24=0,"",SER_hh_tes_in!O24/SER_hh_fec_in!O24)</f>
        <v>0.71168124709607328</v>
      </c>
      <c r="P24" s="136">
        <f>IF(SER_hh_tes_in!P24=0,"",SER_hh_tes_in!P24/SER_hh_fec_in!P24)</f>
        <v>0.7187586303732556</v>
      </c>
      <c r="Q24" s="136">
        <f>IF(SER_hh_tes_in!Q24=0,"",SER_hh_tes_in!Q24/SER_hh_fec_in!Q24)</f>
        <v>0.7272032718413648</v>
      </c>
      <c r="R24" s="136">
        <f>IF(SER_hh_tes_in!R24=0,"",SER_hh_tes_in!R24/SER_hh_fec_in!R24)</f>
        <v>0.73985225264154586</v>
      </c>
      <c r="S24" s="136">
        <f>IF(SER_hh_tes_in!S24=0,"",SER_hh_tes_in!S24/SER_hh_fec_in!S24)</f>
        <v>0.75408852943341975</v>
      </c>
      <c r="T24" s="136">
        <f>IF(SER_hh_tes_in!T24=0,"",SER_hh_tes_in!T24/SER_hh_fec_in!T24)</f>
        <v>0.76844838354965994</v>
      </c>
      <c r="U24" s="136">
        <f>IF(SER_hh_tes_in!U24=0,"",SER_hh_tes_in!U24/SER_hh_fec_in!U24)</f>
        <v>0.78171328389165984</v>
      </c>
      <c r="V24" s="136">
        <f>IF(SER_hh_tes_in!V24=0,"",SER_hh_tes_in!V24/SER_hh_fec_in!V24)</f>
        <v>0.79284017910903848</v>
      </c>
      <c r="W24" s="136">
        <f>IF(SER_hh_tes_in!W24=0,"",SER_hh_tes_in!W24/SER_hh_fec_in!W24)</f>
        <v>0.8017787048929168</v>
      </c>
      <c r="X24" s="136">
        <f>IF(SER_hh_tes_in!X24=0,"",SER_hh_tes_in!X24/SER_hh_fec_in!X24)</f>
        <v>0.80948892704050146</v>
      </c>
      <c r="Y24" s="136">
        <f>IF(SER_hh_tes_in!Y24=0,"",SER_hh_tes_in!Y24/SER_hh_fec_in!Y24)</f>
        <v>0.8167550673782481</v>
      </c>
      <c r="DA24" s="163" t="s">
        <v>683</v>
      </c>
    </row>
    <row r="25" spans="1:105" ht="12" customHeight="1" x14ac:dyDescent="0.25">
      <c r="A25" s="131" t="s">
        <v>162</v>
      </c>
      <c r="B25" s="136"/>
      <c r="C25" s="136">
        <f>IF(SER_hh_tes_in!C25=0,"",SER_hh_tes_in!C25/SER_hh_fec_in!C25)</f>
        <v>0.80961266702589152</v>
      </c>
      <c r="D25" s="136">
        <f>IF(SER_hh_tes_in!D25=0,"",SER_hh_tes_in!D25/SER_hh_fec_in!D25)</f>
        <v>0.81167102940872771</v>
      </c>
      <c r="E25" s="136">
        <f>IF(SER_hh_tes_in!E25=0,"",SER_hh_tes_in!E25/SER_hh_fec_in!E25)</f>
        <v>0.81378496220580954</v>
      </c>
      <c r="F25" s="136">
        <f>IF(SER_hh_tes_in!F25=0,"",SER_hh_tes_in!F25/SER_hh_fec_in!F25)</f>
        <v>0.81590647278665196</v>
      </c>
      <c r="G25" s="136">
        <f>IF(SER_hh_tes_in!G25=0,"",SER_hh_tes_in!G25/SER_hh_fec_in!G25)</f>
        <v>0.81807916045041595</v>
      </c>
      <c r="H25" s="136">
        <f>IF(SER_hh_tes_in!H25=0,"",SER_hh_tes_in!H25/SER_hh_fec_in!H25)</f>
        <v>0.82029768919793478</v>
      </c>
      <c r="I25" s="136">
        <f>IF(SER_hh_tes_in!I25=0,"",SER_hh_tes_in!I25/SER_hh_fec_in!I25)</f>
        <v>0.82257280189779536</v>
      </c>
      <c r="J25" s="136">
        <f>IF(SER_hh_tes_in!J25=0,"",SER_hh_tes_in!J25/SER_hh_fec_in!J25)</f>
        <v>0.82494850829070832</v>
      </c>
      <c r="K25" s="136">
        <f>IF(SER_hh_tes_in!K25=0,"",SER_hh_tes_in!K25/SER_hh_fec_in!K25)</f>
        <v>0.82746222823221571</v>
      </c>
      <c r="L25" s="136">
        <f>IF(SER_hh_tes_in!L25=0,"",SER_hh_tes_in!L25/SER_hh_fec_in!L25)</f>
        <v>0.83012397306781105</v>
      </c>
      <c r="M25" s="136">
        <f>IF(SER_hh_tes_in!M25=0,"",SER_hh_tes_in!M25/SER_hh_fec_in!M25)</f>
        <v>0.83380949108754276</v>
      </c>
      <c r="N25" s="136">
        <f>IF(SER_hh_tes_in!N25=0,"",SER_hh_tes_in!N25/SER_hh_fec_in!N25)</f>
        <v>0.83879567193062654</v>
      </c>
      <c r="O25" s="136">
        <f>IF(SER_hh_tes_in!O25=0,"",SER_hh_tes_in!O25/SER_hh_fec_in!O25)</f>
        <v>0.84532524301190071</v>
      </c>
      <c r="P25" s="136">
        <f>IF(SER_hh_tes_in!P25=0,"",SER_hh_tes_in!P25/SER_hh_fec_in!P25)</f>
        <v>0.85293639762855045</v>
      </c>
      <c r="Q25" s="136">
        <f>IF(SER_hh_tes_in!Q25=0,"",SER_hh_tes_in!Q25/SER_hh_fec_in!Q25)</f>
        <v>0.86011734737822088</v>
      </c>
      <c r="R25" s="136">
        <f>IF(SER_hh_tes_in!R25=0,"",SER_hh_tes_in!R25/SER_hh_fec_in!R25)</f>
        <v>0.86561986950096648</v>
      </c>
      <c r="S25" s="136">
        <f>IF(SER_hh_tes_in!S25=0,"",SER_hh_tes_in!S25/SER_hh_fec_in!S25)</f>
        <v>0.87097290367910341</v>
      </c>
      <c r="T25" s="136">
        <f>IF(SER_hh_tes_in!T25=0,"",SER_hh_tes_in!T25/SER_hh_fec_in!T25)</f>
        <v>0.87614068323350336</v>
      </c>
      <c r="U25" s="136">
        <f>IF(SER_hh_tes_in!U25=0,"",SER_hh_tes_in!U25/SER_hh_fec_in!U25)</f>
        <v>0.88108744148505502</v>
      </c>
      <c r="V25" s="136">
        <f>IF(SER_hh_tes_in!V25=0,"",SER_hh_tes_in!V25/SER_hh_fec_in!V25)</f>
        <v>0.8857774117546402</v>
      </c>
      <c r="W25" s="136">
        <f>IF(SER_hh_tes_in!W25=0,"",SER_hh_tes_in!W25/SER_hh_fec_in!W25)</f>
        <v>0.89009777834200576</v>
      </c>
      <c r="X25" s="136">
        <f>IF(SER_hh_tes_in!X25=0,"",SER_hh_tes_in!X25/SER_hh_fec_in!X25)</f>
        <v>0.89483554999005699</v>
      </c>
      <c r="Y25" s="136">
        <f>IF(SER_hh_tes_in!Y25=0,"",SER_hh_tes_in!Y25/SER_hh_fec_in!Y25)</f>
        <v>0.89938829023555544</v>
      </c>
      <c r="DA25" s="163" t="s">
        <v>684</v>
      </c>
    </row>
    <row r="26" spans="1:105" ht="12" customHeight="1" x14ac:dyDescent="0.25">
      <c r="A26" s="131" t="s">
        <v>24</v>
      </c>
      <c r="B26" s="137"/>
      <c r="C26" s="137">
        <f>IF(SER_hh_tes_in!C26=0,"",SER_hh_tes_in!C26/SER_hh_fec_in!C26)</f>
        <v>0.67294192534526298</v>
      </c>
      <c r="D26" s="137">
        <f>IF(SER_hh_tes_in!D26=0,"",SER_hh_tes_in!D26/SER_hh_fec_in!D26)</f>
        <v>0.67534681061259871</v>
      </c>
      <c r="E26" s="137">
        <f>IF(SER_hh_tes_in!E26=0,"",SER_hh_tes_in!E26/SER_hh_fec_in!E26)</f>
        <v>0.6779795643653741</v>
      </c>
      <c r="F26" s="137">
        <f>IF(SER_hh_tes_in!F26=0,"",SER_hh_tes_in!F26/SER_hh_fec_in!F26)</f>
        <v>0.68064408355087991</v>
      </c>
      <c r="G26" s="137">
        <f>IF(SER_hh_tes_in!G26=0,"",SER_hh_tes_in!G26/SER_hh_fec_in!G26)</f>
        <v>0.68352023426572517</v>
      </c>
      <c r="H26" s="137">
        <f>IF(SER_hh_tes_in!H26=0,"",SER_hh_tes_in!H26/SER_hh_fec_in!H26)</f>
        <v>0.68658771348767067</v>
      </c>
      <c r="I26" s="137">
        <f>IF(SER_hh_tes_in!I26=0,"",SER_hh_tes_in!I26/SER_hh_fec_in!I26)</f>
        <v>0.68989316910634957</v>
      </c>
      <c r="J26" s="137">
        <f>IF(SER_hh_tes_in!J26=0,"",SER_hh_tes_in!J26/SER_hh_fec_in!J26)</f>
        <v>0.69362364502591156</v>
      </c>
      <c r="K26" s="137">
        <f>IF(SER_hh_tes_in!K26=0,"",SER_hh_tes_in!K26/SER_hh_fec_in!K26)</f>
        <v>0.69794437855740776</v>
      </c>
      <c r="L26" s="137">
        <f>IF(SER_hh_tes_in!L26=0,"",SER_hh_tes_in!L26/SER_hh_fec_in!L26)</f>
        <v>0.70291218130728883</v>
      </c>
      <c r="M26" s="137">
        <f>IF(SER_hh_tes_in!M26=0,"",SER_hh_tes_in!M26/SER_hh_fec_in!M26)</f>
        <v>0.71235657267919372</v>
      </c>
      <c r="N26" s="137">
        <f>IF(SER_hh_tes_in!N26=0,"",SER_hh_tes_in!N26/SER_hh_fec_in!N26)</f>
        <v>0.72792952347052309</v>
      </c>
      <c r="O26" s="137">
        <f>IF(SER_hh_tes_in!O26=0,"",SER_hh_tes_in!O26/SER_hh_fec_in!O26)</f>
        <v>0.75167624908073094</v>
      </c>
      <c r="P26" s="137">
        <f>IF(SER_hh_tes_in!P26=0,"",SER_hh_tes_in!P26/SER_hh_fec_in!P26)</f>
        <v>0.78247091048194717</v>
      </c>
      <c r="Q26" s="137">
        <f>IF(SER_hh_tes_in!Q26=0,"",SER_hh_tes_in!Q26/SER_hh_fec_in!Q26)</f>
        <v>0.81218120687819428</v>
      </c>
      <c r="R26" s="137">
        <f>IF(SER_hh_tes_in!R26=0,"",SER_hh_tes_in!R26/SER_hh_fec_in!R26)</f>
        <v>0.83228733369818741</v>
      </c>
      <c r="S26" s="137">
        <f>IF(SER_hh_tes_in!S26=0,"",SER_hh_tes_in!S26/SER_hh_fec_in!S26)</f>
        <v>0.85176670492084805</v>
      </c>
      <c r="T26" s="137">
        <f>IF(SER_hh_tes_in!T26=0,"",SER_hh_tes_in!T26/SER_hh_fec_in!T26)</f>
        <v>0.87109490580326365</v>
      </c>
      <c r="U26" s="137">
        <f>IF(SER_hh_tes_in!U26=0,"",SER_hh_tes_in!U26/SER_hh_fec_in!U26)</f>
        <v>0.89046623740549391</v>
      </c>
      <c r="V26" s="137">
        <f>IF(SER_hh_tes_in!V26=0,"",SER_hh_tes_in!V26/SER_hh_fec_in!V26)</f>
        <v>0.90949632516487633</v>
      </c>
      <c r="W26" s="137">
        <f>IF(SER_hh_tes_in!W26=0,"",SER_hh_tes_in!W26/SER_hh_fec_in!W26)</f>
        <v>0.92687710849404803</v>
      </c>
      <c r="X26" s="137">
        <f>IF(SER_hh_tes_in!X26=0,"",SER_hh_tes_in!X26/SER_hh_fec_in!X26)</f>
        <v>0.93754262665128762</v>
      </c>
      <c r="Y26" s="137">
        <f>IF(SER_hh_tes_in!Y26=0,"",SER_hh_tes_in!Y26/SER_hh_fec_in!Y26)</f>
        <v>0.9474929068404504</v>
      </c>
      <c r="DA26" s="164" t="s">
        <v>685</v>
      </c>
    </row>
    <row r="27" spans="1:105" ht="12" customHeight="1" x14ac:dyDescent="0.25">
      <c r="A27" s="144" t="s">
        <v>26</v>
      </c>
      <c r="B27" s="148"/>
      <c r="C27" s="148" t="str">
        <f>IF(SER_hh_tes_in!C27=0,"",SER_hh_tes_in!C27/SER_hh_fec_in!C27)</f>
        <v/>
      </c>
      <c r="D27" s="148" t="str">
        <f>IF(SER_hh_tes_in!D27=0,"",SER_hh_tes_in!D27/SER_hh_fec_in!D27)</f>
        <v/>
      </c>
      <c r="E27" s="148" t="str">
        <f>IF(SER_hh_tes_in!E27=0,"",SER_hh_tes_in!E27/SER_hh_fec_in!E27)</f>
        <v/>
      </c>
      <c r="F27" s="148" t="str">
        <f>IF(SER_hh_tes_in!F27=0,"",SER_hh_tes_in!F27/SER_hh_fec_in!F27)</f>
        <v/>
      </c>
      <c r="G27" s="148" t="str">
        <f>IF(SER_hh_tes_in!G27=0,"",SER_hh_tes_in!G27/SER_hh_fec_in!G27)</f>
        <v/>
      </c>
      <c r="H27" s="148" t="str">
        <f>IF(SER_hh_tes_in!H27=0,"",SER_hh_tes_in!H27/SER_hh_fec_in!H27)</f>
        <v/>
      </c>
      <c r="I27" s="148" t="str">
        <f>IF(SER_hh_tes_in!I27=0,"",SER_hh_tes_in!I27/SER_hh_fec_in!I27)</f>
        <v/>
      </c>
      <c r="J27" s="148" t="str">
        <f>IF(SER_hh_tes_in!J27=0,"",SER_hh_tes_in!J27/SER_hh_fec_in!J27)</f>
        <v/>
      </c>
      <c r="K27" s="148" t="str">
        <f>IF(SER_hh_tes_in!K27=0,"",SER_hh_tes_in!K27/SER_hh_fec_in!K27)</f>
        <v/>
      </c>
      <c r="L27" s="148" t="str">
        <f>IF(SER_hh_tes_in!L27=0,"",SER_hh_tes_in!L27/SER_hh_fec_in!L27)</f>
        <v/>
      </c>
      <c r="M27" s="148" t="str">
        <f>IF(SER_hh_tes_in!M27=0,"",SER_hh_tes_in!M27/SER_hh_fec_in!M27)</f>
        <v/>
      </c>
      <c r="N27" s="148" t="str">
        <f>IF(SER_hh_tes_in!N27=0,"",SER_hh_tes_in!N27/SER_hh_fec_in!N27)</f>
        <v/>
      </c>
      <c r="O27" s="148" t="str">
        <f>IF(SER_hh_tes_in!O27=0,"",SER_hh_tes_in!O27/SER_hh_fec_in!O27)</f>
        <v/>
      </c>
      <c r="P27" s="148" t="str">
        <f>IF(SER_hh_tes_in!P27=0,"",SER_hh_tes_in!P27/SER_hh_fec_in!P27)</f>
        <v/>
      </c>
      <c r="Q27" s="148" t="str">
        <f>IF(SER_hh_tes_in!Q27=0,"",SER_hh_tes_in!Q27/SER_hh_fec_in!Q27)</f>
        <v/>
      </c>
      <c r="R27" s="148" t="str">
        <f>IF(SER_hh_tes_in!R27=0,"",SER_hh_tes_in!R27/SER_hh_fec_in!R27)</f>
        <v/>
      </c>
      <c r="S27" s="148" t="str">
        <f>IF(SER_hh_tes_in!S27=0,"",SER_hh_tes_in!S27/SER_hh_fec_in!S27)</f>
        <v/>
      </c>
      <c r="T27" s="148" t="str">
        <f>IF(SER_hh_tes_in!T27=0,"",SER_hh_tes_in!T27/SER_hh_fec_in!T27)</f>
        <v/>
      </c>
      <c r="U27" s="148" t="str">
        <f>IF(SER_hh_tes_in!U27=0,"",SER_hh_tes_in!U27/SER_hh_fec_in!U27)</f>
        <v/>
      </c>
      <c r="V27" s="148" t="str">
        <f>IF(SER_hh_tes_in!V27=0,"",SER_hh_tes_in!V27/SER_hh_fec_in!V27)</f>
        <v/>
      </c>
      <c r="W27" s="148" t="str">
        <f>IF(SER_hh_tes_in!W27=0,"",SER_hh_tes_in!W27/SER_hh_fec_in!W27)</f>
        <v/>
      </c>
      <c r="X27" s="148" t="str">
        <f>IF(SER_hh_tes_in!X27=0,"",SER_hh_tes_in!X27/SER_hh_fec_in!X27)</f>
        <v/>
      </c>
      <c r="Y27" s="148" t="str">
        <f>IF(SER_hh_tes_in!Y27=0,"",SER_hh_tes_in!Y27/SER_hh_fec_in!Y27)</f>
        <v/>
      </c>
      <c r="DA27" s="166" t="s">
        <v>686</v>
      </c>
    </row>
    <row r="28" spans="1:105" ht="12" hidden="1" customHeight="1" x14ac:dyDescent="0.25">
      <c r="A28" s="78" t="s">
        <v>26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DA28" s="167"/>
    </row>
    <row r="29" spans="1:105" ht="12.95" customHeight="1" x14ac:dyDescent="0.25">
      <c r="A29" s="129" t="s">
        <v>34</v>
      </c>
      <c r="B29" s="135"/>
      <c r="C29" s="135">
        <f>IF(SER_hh_tes_in!C29=0,"",SER_hh_tes_in!C29/SER_hh_fec_in!C29)</f>
        <v>0.7188981134534792</v>
      </c>
      <c r="D29" s="135">
        <f>IF(SER_hh_tes_in!D29=0,"",SER_hh_tes_in!D29/SER_hh_fec_in!D29)</f>
        <v>0.71991862105805227</v>
      </c>
      <c r="E29" s="135">
        <f>IF(SER_hh_tes_in!E29=0,"",SER_hh_tes_in!E29/SER_hh_fec_in!E29)</f>
        <v>0.72156243898679207</v>
      </c>
      <c r="F29" s="135">
        <f>IF(SER_hh_tes_in!F29=0,"",SER_hh_tes_in!F29/SER_hh_fec_in!F29)</f>
        <v>0.72348347426174064</v>
      </c>
      <c r="G29" s="135">
        <f>IF(SER_hh_tes_in!G29=0,"",SER_hh_tes_in!G29/SER_hh_fec_in!G29)</f>
        <v>0.72519960617433188</v>
      </c>
      <c r="H29" s="135">
        <f>IF(SER_hh_tes_in!H29=0,"",SER_hh_tes_in!H29/SER_hh_fec_in!H29)</f>
        <v>0.72710791594386037</v>
      </c>
      <c r="I29" s="135">
        <f>IF(SER_hh_tes_in!I29=0,"",SER_hh_tes_in!I29/SER_hh_fec_in!I29)</f>
        <v>0.72890896539526318</v>
      </c>
      <c r="J29" s="135">
        <f>IF(SER_hh_tes_in!J29=0,"",SER_hh_tes_in!J29/SER_hh_fec_in!J29)</f>
        <v>0.73086235005031575</v>
      </c>
      <c r="K29" s="135">
        <f>IF(SER_hh_tes_in!K29=0,"",SER_hh_tes_in!K29/SER_hh_fec_in!K29)</f>
        <v>0.73365271634413087</v>
      </c>
      <c r="L29" s="135">
        <f>IF(SER_hh_tes_in!L29=0,"",SER_hh_tes_in!L29/SER_hh_fec_in!L29)</f>
        <v>0.73633948969501384</v>
      </c>
      <c r="M29" s="135">
        <f>IF(SER_hh_tes_in!M29=0,"",SER_hh_tes_in!M29/SER_hh_fec_in!M29)</f>
        <v>0.74096759706593651</v>
      </c>
      <c r="N29" s="135">
        <f>IF(SER_hh_tes_in!N29=0,"",SER_hh_tes_in!N29/SER_hh_fec_in!N29)</f>
        <v>0.74292121457691163</v>
      </c>
      <c r="O29" s="135">
        <f>IF(SER_hh_tes_in!O29=0,"",SER_hh_tes_in!O29/SER_hh_fec_in!O29)</f>
        <v>0.74777634056731745</v>
      </c>
      <c r="P29" s="135">
        <f>IF(SER_hh_tes_in!P29=0,"",SER_hh_tes_in!P29/SER_hh_fec_in!P29)</f>
        <v>0.75561933080722377</v>
      </c>
      <c r="Q29" s="135">
        <f>IF(SER_hh_tes_in!Q29=0,"",SER_hh_tes_in!Q29/SER_hh_fec_in!Q29)</f>
        <v>0.76532494071817747</v>
      </c>
      <c r="R29" s="135">
        <f>IF(SER_hh_tes_in!R29=0,"",SER_hh_tes_in!R29/SER_hh_fec_in!R29)</f>
        <v>0.77919705399089878</v>
      </c>
      <c r="S29" s="135">
        <f>IF(SER_hh_tes_in!S29=0,"",SER_hh_tes_in!S29/SER_hh_fec_in!S29)</f>
        <v>0.79534238507507959</v>
      </c>
      <c r="T29" s="135">
        <f>IF(SER_hh_tes_in!T29=0,"",SER_hh_tes_in!T29/SER_hh_fec_in!T29)</f>
        <v>0.81521237077380926</v>
      </c>
      <c r="U29" s="135">
        <f>IF(SER_hh_tes_in!U29=0,"",SER_hh_tes_in!U29/SER_hh_fec_in!U29)</f>
        <v>0.83187458628450794</v>
      </c>
      <c r="V29" s="135">
        <f>IF(SER_hh_tes_in!V29=0,"",SER_hh_tes_in!V29/SER_hh_fec_in!V29)</f>
        <v>0.84513822911411496</v>
      </c>
      <c r="W29" s="135">
        <f>IF(SER_hh_tes_in!W29=0,"",SER_hh_tes_in!W29/SER_hh_fec_in!W29)</f>
        <v>0.85809974809924527</v>
      </c>
      <c r="X29" s="135">
        <f>IF(SER_hh_tes_in!X29=0,"",SER_hh_tes_in!X29/SER_hh_fec_in!X29)</f>
        <v>0.86586210947485598</v>
      </c>
      <c r="Y29" s="135">
        <f>IF(SER_hh_tes_in!Y29=0,"",SER_hh_tes_in!Y29/SER_hh_fec_in!Y29)</f>
        <v>0.87296742021884921</v>
      </c>
      <c r="DA29" s="162" t="s">
        <v>687</v>
      </c>
    </row>
    <row r="30" spans="1:105" s="2" customFormat="1" ht="12" customHeight="1" x14ac:dyDescent="0.25">
      <c r="A30" s="131" t="s">
        <v>52</v>
      </c>
      <c r="B30" s="136"/>
      <c r="C30" s="136" t="str">
        <f>IF(SER_hh_tes_in!C30=0,"",SER_hh_tes_in!C30/SER_hh_fec_in!C30)</f>
        <v/>
      </c>
      <c r="D30" s="136" t="str">
        <f>IF(SER_hh_tes_in!D30=0,"",SER_hh_tes_in!D30/SER_hh_fec_in!D30)</f>
        <v/>
      </c>
      <c r="E30" s="136" t="str">
        <f>IF(SER_hh_tes_in!E30=0,"",SER_hh_tes_in!E30/SER_hh_fec_in!E30)</f>
        <v/>
      </c>
      <c r="F30" s="136" t="str">
        <f>IF(SER_hh_tes_in!F30=0,"",SER_hh_tes_in!F30/SER_hh_fec_in!F30)</f>
        <v/>
      </c>
      <c r="G30" s="136" t="str">
        <f>IF(SER_hh_tes_in!G30=0,"",SER_hh_tes_in!G30/SER_hh_fec_in!G30)</f>
        <v/>
      </c>
      <c r="H30" s="136" t="str">
        <f>IF(SER_hh_tes_in!H30=0,"",SER_hh_tes_in!H30/SER_hh_fec_in!H30)</f>
        <v/>
      </c>
      <c r="I30" s="136" t="str">
        <f>IF(SER_hh_tes_in!I30=0,"",SER_hh_tes_in!I30/SER_hh_fec_in!I30)</f>
        <v/>
      </c>
      <c r="J30" s="136" t="str">
        <f>IF(SER_hh_tes_in!J30=0,"",SER_hh_tes_in!J30/SER_hh_fec_in!J30)</f>
        <v/>
      </c>
      <c r="K30" s="136" t="str">
        <f>IF(SER_hh_tes_in!K30=0,"",SER_hh_tes_in!K30/SER_hh_fec_in!K30)</f>
        <v/>
      </c>
      <c r="L30" s="136" t="str">
        <f>IF(SER_hh_tes_in!L30=0,"",SER_hh_tes_in!L30/SER_hh_fec_in!L30)</f>
        <v/>
      </c>
      <c r="M30" s="136" t="str">
        <f>IF(SER_hh_tes_in!M30=0,"",SER_hh_tes_in!M30/SER_hh_fec_in!M30)</f>
        <v/>
      </c>
      <c r="N30" s="136" t="str">
        <f>IF(SER_hh_tes_in!N30=0,"",SER_hh_tes_in!N30/SER_hh_fec_in!N30)</f>
        <v/>
      </c>
      <c r="O30" s="136" t="str">
        <f>IF(SER_hh_tes_in!O30=0,"",SER_hh_tes_in!O30/SER_hh_fec_in!O30)</f>
        <v/>
      </c>
      <c r="P30" s="136" t="str">
        <f>IF(SER_hh_tes_in!P30=0,"",SER_hh_tes_in!P30/SER_hh_fec_in!P30)</f>
        <v/>
      </c>
      <c r="Q30" s="136" t="str">
        <f>IF(SER_hh_tes_in!Q30=0,"",SER_hh_tes_in!Q30/SER_hh_fec_in!Q30)</f>
        <v/>
      </c>
      <c r="R30" s="136" t="str">
        <f>IF(SER_hh_tes_in!R30=0,"",SER_hh_tes_in!R30/SER_hh_fec_in!R30)</f>
        <v/>
      </c>
      <c r="S30" s="136" t="str">
        <f>IF(SER_hh_tes_in!S30=0,"",SER_hh_tes_in!S30/SER_hh_fec_in!S30)</f>
        <v/>
      </c>
      <c r="T30" s="136" t="str">
        <f>IF(SER_hh_tes_in!T30=0,"",SER_hh_tes_in!T30/SER_hh_fec_in!T30)</f>
        <v/>
      </c>
      <c r="U30" s="136" t="str">
        <f>IF(SER_hh_tes_in!U30=0,"",SER_hh_tes_in!U30/SER_hh_fec_in!U30)</f>
        <v/>
      </c>
      <c r="V30" s="136" t="str">
        <f>IF(SER_hh_tes_in!V30=0,"",SER_hh_tes_in!V30/SER_hh_fec_in!V30)</f>
        <v/>
      </c>
      <c r="W30" s="136" t="str">
        <f>IF(SER_hh_tes_in!W30=0,"",SER_hh_tes_in!W30/SER_hh_fec_in!W30)</f>
        <v/>
      </c>
      <c r="X30" s="136" t="str">
        <f>IF(SER_hh_tes_in!X30=0,"",SER_hh_tes_in!X30/SER_hh_fec_in!X30)</f>
        <v/>
      </c>
      <c r="Y30" s="136" t="str">
        <f>IF(SER_hh_tes_in!Y30=0,"",SER_hh_tes_in!Y30/SER_hh_fec_in!Y30)</f>
        <v/>
      </c>
      <c r="DA30" s="163" t="s">
        <v>688</v>
      </c>
    </row>
    <row r="31" spans="1:105" ht="12" customHeight="1" x14ac:dyDescent="0.25">
      <c r="A31" s="131" t="s">
        <v>149</v>
      </c>
      <c r="B31" s="136"/>
      <c r="C31" s="136">
        <f>IF(SER_hh_tes_in!C31=0,"",SER_hh_tes_in!C31/SER_hh_fec_in!C31)</f>
        <v>0.55041878613268991</v>
      </c>
      <c r="D31" s="136">
        <f>IF(SER_hh_tes_in!D31=0,"",SER_hh_tes_in!D31/SER_hh_fec_in!D31)</f>
        <v>0.55119914654685931</v>
      </c>
      <c r="E31" s="136">
        <f>IF(SER_hh_tes_in!E31=0,"",SER_hh_tes_in!E31/SER_hh_fec_in!E31)</f>
        <v>0.55197957725480329</v>
      </c>
      <c r="F31" s="136">
        <f>IF(SER_hh_tes_in!F31=0,"",SER_hh_tes_in!F31/SER_hh_fec_in!F31)</f>
        <v>0.55276001754826187</v>
      </c>
      <c r="G31" s="136">
        <f>IF(SER_hh_tes_in!G31=0,"",SER_hh_tes_in!G31/SER_hh_fec_in!G31)</f>
        <v>0.55354052257815189</v>
      </c>
      <c r="H31" s="136">
        <f>IF(SER_hh_tes_in!H31=0,"",SER_hh_tes_in!H31/SER_hh_fec_in!H31)</f>
        <v>0.55432108559470361</v>
      </c>
      <c r="I31" s="136">
        <f>IF(SER_hh_tes_in!I31=0,"",SER_hh_tes_in!I31/SER_hh_fec_in!I31)</f>
        <v>0.55510172018710413</v>
      </c>
      <c r="J31" s="136">
        <f>IF(SER_hh_tes_in!J31=0,"",SER_hh_tes_in!J31/SER_hh_fec_in!J31)</f>
        <v>0.55588248202545887</v>
      </c>
      <c r="K31" s="136">
        <f>IF(SER_hh_tes_in!K31=0,"",SER_hh_tes_in!K31/SER_hh_fec_in!K31)</f>
        <v>0.55666341844399947</v>
      </c>
      <c r="L31" s="136">
        <f>IF(SER_hh_tes_in!L31=0,"",SER_hh_tes_in!L31/SER_hh_fec_in!L31)</f>
        <v>0.55744454210657313</v>
      </c>
      <c r="M31" s="136">
        <f>IF(SER_hh_tes_in!M31=0,"",SER_hh_tes_in!M31/SER_hh_fec_in!M31)</f>
        <v>0.55803776094663804</v>
      </c>
      <c r="N31" s="136">
        <f>IF(SER_hh_tes_in!N31=0,"",SER_hh_tes_in!N31/SER_hh_fec_in!N31)</f>
        <v>0.55836934237418723</v>
      </c>
      <c r="O31" s="136">
        <f>IF(SER_hh_tes_in!O31=0,"",SER_hh_tes_in!O31/SER_hh_fec_in!O31)</f>
        <v>0.55856751988320641</v>
      </c>
      <c r="P31" s="136">
        <f>IF(SER_hh_tes_in!P31=0,"",SER_hh_tes_in!P31/SER_hh_fec_in!P31)</f>
        <v>0.55912050146093761</v>
      </c>
      <c r="Q31" s="136">
        <f>IF(SER_hh_tes_in!Q31=0,"",SER_hh_tes_in!Q31/SER_hh_fec_in!Q31)</f>
        <v>0.56137126566128703</v>
      </c>
      <c r="R31" s="136">
        <f>IF(SER_hh_tes_in!R31=0,"",SER_hh_tes_in!R31/SER_hh_fec_in!R31)</f>
        <v>0.56728346275859654</v>
      </c>
      <c r="S31" s="136">
        <f>IF(SER_hh_tes_in!S31=0,"",SER_hh_tes_in!S31/SER_hh_fec_in!S31)</f>
        <v>0.57562329234818699</v>
      </c>
      <c r="T31" s="136">
        <f>IF(SER_hh_tes_in!T31=0,"",SER_hh_tes_in!T31/SER_hh_fec_in!T31)</f>
        <v>0.58477372061220523</v>
      </c>
      <c r="U31" s="136">
        <f>IF(SER_hh_tes_in!U31=0,"",SER_hh_tes_in!U31/SER_hh_fec_in!U31)</f>
        <v>0.59311771373281974</v>
      </c>
      <c r="V31" s="136">
        <f>IF(SER_hh_tes_in!V31=0,"",SER_hh_tes_in!V31/SER_hh_fec_in!V31)</f>
        <v>0.59903823789218813</v>
      </c>
      <c r="W31" s="136">
        <f>IF(SER_hh_tes_in!W31=0,"",SER_hh_tes_in!W31/SER_hh_fec_in!W31)</f>
        <v>0.60188368675430082</v>
      </c>
      <c r="X31" s="136">
        <f>IF(SER_hh_tes_in!X31=0,"",SER_hh_tes_in!X31/SER_hh_fec_in!X31)</f>
        <v>0.60228163049516137</v>
      </c>
      <c r="Y31" s="136">
        <f>IF(SER_hh_tes_in!Y31=0,"",SER_hh_tes_in!Y31/SER_hh_fec_in!Y31)</f>
        <v>0.60232142486924745</v>
      </c>
      <c r="DA31" s="163" t="s">
        <v>689</v>
      </c>
    </row>
    <row r="32" spans="1:105" ht="12" customHeight="1" x14ac:dyDescent="0.25">
      <c r="A32" s="131" t="s">
        <v>128</v>
      </c>
      <c r="B32" s="136"/>
      <c r="C32" s="136" t="str">
        <f>IF(SER_hh_tes_in!C32=0,"",SER_hh_tes_in!C32/SER_hh_fec_in!C32)</f>
        <v/>
      </c>
      <c r="D32" s="136" t="str">
        <f>IF(SER_hh_tes_in!D32=0,"",SER_hh_tes_in!D32/SER_hh_fec_in!D32)</f>
        <v/>
      </c>
      <c r="E32" s="136" t="str">
        <f>IF(SER_hh_tes_in!E32=0,"",SER_hh_tes_in!E32/SER_hh_fec_in!E32)</f>
        <v/>
      </c>
      <c r="F32" s="136" t="str">
        <f>IF(SER_hh_tes_in!F32=0,"",SER_hh_tes_in!F32/SER_hh_fec_in!F32)</f>
        <v/>
      </c>
      <c r="G32" s="136" t="str">
        <f>IF(SER_hh_tes_in!G32=0,"",SER_hh_tes_in!G32/SER_hh_fec_in!G32)</f>
        <v/>
      </c>
      <c r="H32" s="136" t="str">
        <f>IF(SER_hh_tes_in!H32=0,"",SER_hh_tes_in!H32/SER_hh_fec_in!H32)</f>
        <v/>
      </c>
      <c r="I32" s="136" t="str">
        <f>IF(SER_hh_tes_in!I32=0,"",SER_hh_tes_in!I32/SER_hh_fec_in!I32)</f>
        <v/>
      </c>
      <c r="J32" s="136" t="str">
        <f>IF(SER_hh_tes_in!J32=0,"",SER_hh_tes_in!J32/SER_hh_fec_in!J32)</f>
        <v/>
      </c>
      <c r="K32" s="136" t="str">
        <f>IF(SER_hh_tes_in!K32=0,"",SER_hh_tes_in!K32/SER_hh_fec_in!K32)</f>
        <v/>
      </c>
      <c r="L32" s="136" t="str">
        <f>IF(SER_hh_tes_in!L32=0,"",SER_hh_tes_in!L32/SER_hh_fec_in!L32)</f>
        <v/>
      </c>
      <c r="M32" s="136" t="str">
        <f>IF(SER_hh_tes_in!M32=0,"",SER_hh_tes_in!M32/SER_hh_fec_in!M32)</f>
        <v/>
      </c>
      <c r="N32" s="136" t="str">
        <f>IF(SER_hh_tes_in!N32=0,"",SER_hh_tes_in!N32/SER_hh_fec_in!N32)</f>
        <v/>
      </c>
      <c r="O32" s="136" t="str">
        <f>IF(SER_hh_tes_in!O32=0,"",SER_hh_tes_in!O32/SER_hh_fec_in!O32)</f>
        <v/>
      </c>
      <c r="P32" s="136" t="str">
        <f>IF(SER_hh_tes_in!P32=0,"",SER_hh_tes_in!P32/SER_hh_fec_in!P32)</f>
        <v/>
      </c>
      <c r="Q32" s="136" t="str">
        <f>IF(SER_hh_tes_in!Q32=0,"",SER_hh_tes_in!Q32/SER_hh_fec_in!Q32)</f>
        <v/>
      </c>
      <c r="R32" s="136" t="str">
        <f>IF(SER_hh_tes_in!R32=0,"",SER_hh_tes_in!R32/SER_hh_fec_in!R32)</f>
        <v/>
      </c>
      <c r="S32" s="136" t="str">
        <f>IF(SER_hh_tes_in!S32=0,"",SER_hh_tes_in!S32/SER_hh_fec_in!S32)</f>
        <v/>
      </c>
      <c r="T32" s="136" t="str">
        <f>IF(SER_hh_tes_in!T32=0,"",SER_hh_tes_in!T32/SER_hh_fec_in!T32)</f>
        <v/>
      </c>
      <c r="U32" s="136" t="str">
        <f>IF(SER_hh_tes_in!U32=0,"",SER_hh_tes_in!U32/SER_hh_fec_in!U32)</f>
        <v/>
      </c>
      <c r="V32" s="136" t="str">
        <f>IF(SER_hh_tes_in!V32=0,"",SER_hh_tes_in!V32/SER_hh_fec_in!V32)</f>
        <v/>
      </c>
      <c r="W32" s="136" t="str">
        <f>IF(SER_hh_tes_in!W32=0,"",SER_hh_tes_in!W32/SER_hh_fec_in!W32)</f>
        <v/>
      </c>
      <c r="X32" s="136" t="str">
        <f>IF(SER_hh_tes_in!X32=0,"",SER_hh_tes_in!X32/SER_hh_fec_in!X32)</f>
        <v/>
      </c>
      <c r="Y32" s="136" t="str">
        <f>IF(SER_hh_tes_in!Y32=0,"",SER_hh_tes_in!Y32/SER_hh_fec_in!Y32)</f>
        <v/>
      </c>
      <c r="DA32" s="163" t="s">
        <v>690</v>
      </c>
    </row>
    <row r="33" spans="1:105" ht="12" customHeight="1" x14ac:dyDescent="0.25">
      <c r="A33" s="62" t="s">
        <v>24</v>
      </c>
      <c r="B33" s="149"/>
      <c r="C33" s="149">
        <f>IF(SER_hh_tes_in!C33=0,"",SER_hh_tes_in!C33/SER_hh_fec_in!C33)</f>
        <v>0.72360446076688167</v>
      </c>
      <c r="D33" s="149">
        <f>IF(SER_hh_tes_in!D33=0,"",SER_hh_tes_in!D33/SER_hh_fec_in!D33)</f>
        <v>0.72500224605996955</v>
      </c>
      <c r="E33" s="149">
        <f>IF(SER_hh_tes_in!E33=0,"",SER_hh_tes_in!E33/SER_hh_fec_in!E33)</f>
        <v>0.72646593725297692</v>
      </c>
      <c r="F33" s="149">
        <f>IF(SER_hh_tes_in!F33=0,"",SER_hh_tes_in!F33/SER_hh_fec_in!F33)</f>
        <v>0.72793861561415529</v>
      </c>
      <c r="G33" s="149">
        <f>IF(SER_hh_tes_in!G33=0,"",SER_hh_tes_in!G33/SER_hh_fec_in!G33)</f>
        <v>0.72947198943263736</v>
      </c>
      <c r="H33" s="149">
        <f>IF(SER_hh_tes_in!H33=0,"",SER_hh_tes_in!H33/SER_hh_fec_in!H33)</f>
        <v>0.73105973027211701</v>
      </c>
      <c r="I33" s="149">
        <f>IF(SER_hh_tes_in!I33=0,"",SER_hh_tes_in!I33/SER_hh_fec_in!I33)</f>
        <v>0.73271457905654747</v>
      </c>
      <c r="J33" s="149">
        <f>IF(SER_hh_tes_in!J33=0,"",SER_hh_tes_in!J33/SER_hh_fec_in!J33)</f>
        <v>0.73448873085422384</v>
      </c>
      <c r="K33" s="149">
        <f>IF(SER_hh_tes_in!K33=0,"",SER_hh_tes_in!K33/SER_hh_fec_in!K33)</f>
        <v>0.73642656520213279</v>
      </c>
      <c r="L33" s="149">
        <f>IF(SER_hh_tes_in!L33=0,"",SER_hh_tes_in!L33/SER_hh_fec_in!L33)</f>
        <v>0.73853995544588702</v>
      </c>
      <c r="M33" s="149">
        <f>IF(SER_hh_tes_in!M33=0,"",SER_hh_tes_in!M33/SER_hh_fec_in!M33)</f>
        <v>0.74156163648241946</v>
      </c>
      <c r="N33" s="149">
        <f>IF(SER_hh_tes_in!N33=0,"",SER_hh_tes_in!N33/SER_hh_fec_in!N33)</f>
        <v>0.74570021097266181</v>
      </c>
      <c r="O33" s="149">
        <f>IF(SER_hh_tes_in!O33=0,"",SER_hh_tes_in!O33/SER_hh_fec_in!O33)</f>
        <v>0.75145034605866767</v>
      </c>
      <c r="P33" s="149">
        <f>IF(SER_hh_tes_in!P33=0,"",SER_hh_tes_in!P33/SER_hh_fec_in!P33)</f>
        <v>0.75905466076292183</v>
      </c>
      <c r="Q33" s="149">
        <f>IF(SER_hh_tes_in!Q33=0,"",SER_hh_tes_in!Q33/SER_hh_fec_in!Q33)</f>
        <v>0.7688947181601713</v>
      </c>
      <c r="R33" s="149">
        <f>IF(SER_hh_tes_in!R33=0,"",SER_hh_tes_in!R33/SER_hh_fec_in!R33)</f>
        <v>0.78228468368069004</v>
      </c>
      <c r="S33" s="149">
        <f>IF(SER_hh_tes_in!S33=0,"",SER_hh_tes_in!S33/SER_hh_fec_in!S33)</f>
        <v>0.79903990157504989</v>
      </c>
      <c r="T33" s="149">
        <f>IF(SER_hh_tes_in!T33=0,"",SER_hh_tes_in!T33/SER_hh_fec_in!T33)</f>
        <v>0.8170778137353657</v>
      </c>
      <c r="U33" s="149">
        <f>IF(SER_hh_tes_in!U33=0,"",SER_hh_tes_in!U33/SER_hh_fec_in!U33)</f>
        <v>0.83431586205380137</v>
      </c>
      <c r="V33" s="149">
        <f>IF(SER_hh_tes_in!V33=0,"",SER_hh_tes_in!V33/SER_hh_fec_in!V33)</f>
        <v>0.84867148842249762</v>
      </c>
      <c r="W33" s="149">
        <f>IF(SER_hh_tes_in!W33=0,"",SER_hh_tes_in!W33/SER_hh_fec_in!W33)</f>
        <v>0.859421117115861</v>
      </c>
      <c r="X33" s="149">
        <f>IF(SER_hh_tes_in!X33=0,"",SER_hh_tes_in!X33/SER_hh_fec_in!X33)</f>
        <v>0.8669615339183534</v>
      </c>
      <c r="Y33" s="149">
        <f>IF(SER_hh_tes_in!Y33=0,"",SER_hh_tes_in!Y33/SER_hh_fec_in!Y33)</f>
        <v>0.8736483440533378</v>
      </c>
      <c r="DA33" s="167" t="s">
        <v>691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84</v>
      </c>
      <c r="B3" s="125"/>
      <c r="C3" s="125">
        <f t="shared" ref="C3:Q3" si="0">SUM(C4,C16,C19,C29)</f>
        <v>8.2922259484249441</v>
      </c>
      <c r="D3" s="125">
        <f t="shared" si="0"/>
        <v>9.1644441956179072</v>
      </c>
      <c r="E3" s="125">
        <f t="shared" si="0"/>
        <v>9.4855242269376028</v>
      </c>
      <c r="F3" s="125">
        <f t="shared" si="0"/>
        <v>14.760264280366451</v>
      </c>
      <c r="G3" s="125">
        <f t="shared" si="0"/>
        <v>11.039397858018638</v>
      </c>
      <c r="H3" s="125">
        <f t="shared" si="0"/>
        <v>9.8747514305469188</v>
      </c>
      <c r="I3" s="125">
        <f t="shared" si="0"/>
        <v>4.9171689586565206</v>
      </c>
      <c r="J3" s="125">
        <f t="shared" si="0"/>
        <v>4.6379107272940709</v>
      </c>
      <c r="K3" s="125">
        <f t="shared" si="0"/>
        <v>8.7936077494122369</v>
      </c>
      <c r="L3" s="125">
        <f t="shared" si="0"/>
        <v>16.913759907843556</v>
      </c>
      <c r="M3" s="125">
        <f t="shared" si="0"/>
        <v>10.585054807249151</v>
      </c>
      <c r="N3" s="125">
        <f t="shared" si="0"/>
        <v>7.712229286103871</v>
      </c>
      <c r="O3" s="125">
        <f t="shared" si="0"/>
        <v>5.1651028110554007</v>
      </c>
      <c r="P3" s="125">
        <f t="shared" si="0"/>
        <v>2.9717667862907122</v>
      </c>
      <c r="Q3" s="125">
        <f t="shared" si="0"/>
        <v>3.302195639065959</v>
      </c>
      <c r="R3" s="125">
        <f t="shared" ref="R3:W3" si="1">SUM(R4,R16,R19,R29)</f>
        <v>5.8676041959314738</v>
      </c>
      <c r="S3" s="125">
        <f t="shared" si="1"/>
        <v>6.1415412355130883</v>
      </c>
      <c r="T3" s="125">
        <f t="shared" si="1"/>
        <v>5.4409872998697066</v>
      </c>
      <c r="U3" s="125">
        <f t="shared" si="1"/>
        <v>5.8716042167521572</v>
      </c>
      <c r="V3" s="125">
        <f t="shared" si="1"/>
        <v>4.5557260953415843</v>
      </c>
      <c r="W3" s="125">
        <f t="shared" si="1"/>
        <v>4.1875461653408772</v>
      </c>
      <c r="X3" s="125">
        <f t="shared" ref="X3:Y3" si="2">SUM(X4,X16,X19,X29)</f>
        <v>3.0122645920879547</v>
      </c>
      <c r="Y3" s="125">
        <f t="shared" si="2"/>
        <v>2.6124485620577271</v>
      </c>
      <c r="DA3" s="154" t="s">
        <v>693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7.0035742686164246</v>
      </c>
      <c r="D4" s="130">
        <f t="shared" si="3"/>
        <v>7.8085013675298036</v>
      </c>
      <c r="E4" s="130">
        <f t="shared" si="3"/>
        <v>8.3885430305781874</v>
      </c>
      <c r="F4" s="130">
        <f t="shared" si="3"/>
        <v>13.259544238731136</v>
      </c>
      <c r="G4" s="130">
        <f t="shared" si="3"/>
        <v>9.7981219952636724</v>
      </c>
      <c r="H4" s="130">
        <f t="shared" si="3"/>
        <v>8.2229965388186788</v>
      </c>
      <c r="I4" s="130">
        <f t="shared" si="3"/>
        <v>3.3544411357363555</v>
      </c>
      <c r="J4" s="130">
        <f t="shared" si="3"/>
        <v>3.36627007717173</v>
      </c>
      <c r="K4" s="130">
        <f t="shared" si="3"/>
        <v>7.8797720903930495</v>
      </c>
      <c r="L4" s="130">
        <f t="shared" si="3"/>
        <v>15.724434498161445</v>
      </c>
      <c r="M4" s="130">
        <f t="shared" si="3"/>
        <v>9.795220072224506</v>
      </c>
      <c r="N4" s="130">
        <f t="shared" si="3"/>
        <v>7.211840322018805</v>
      </c>
      <c r="O4" s="130">
        <f t="shared" si="3"/>
        <v>4.7540219997102913</v>
      </c>
      <c r="P4" s="130">
        <f t="shared" si="3"/>
        <v>2.753042221516222</v>
      </c>
      <c r="Q4" s="130">
        <f t="shared" si="3"/>
        <v>3.0158576918280851</v>
      </c>
      <c r="R4" s="130">
        <f t="shared" ref="R4:W4" si="4">SUM(R5:R15)</f>
        <v>5.4798031882239417</v>
      </c>
      <c r="S4" s="130">
        <f t="shared" si="4"/>
        <v>5.9488515215446309</v>
      </c>
      <c r="T4" s="130">
        <f t="shared" si="4"/>
        <v>5.3113684251773048</v>
      </c>
      <c r="U4" s="130">
        <f t="shared" si="4"/>
        <v>5.5272752766789957</v>
      </c>
      <c r="V4" s="130">
        <f t="shared" si="4"/>
        <v>4.0842514547433106</v>
      </c>
      <c r="W4" s="130">
        <f t="shared" si="4"/>
        <v>3.6870476579409237</v>
      </c>
      <c r="X4" s="130">
        <f t="shared" ref="X4:Y4" si="5">SUM(X5:X15)</f>
        <v>2.6683335615574242</v>
      </c>
      <c r="Y4" s="130">
        <f t="shared" si="5"/>
        <v>2.443659963682288</v>
      </c>
      <c r="DA4" s="155" t="s">
        <v>694</v>
      </c>
    </row>
    <row r="5" spans="1:105" ht="12" customHeight="1" x14ac:dyDescent="0.25">
      <c r="A5" s="131" t="s">
        <v>29</v>
      </c>
      <c r="B5" s="132"/>
      <c r="C5" s="132">
        <v>4.8044056415543053E-2</v>
      </c>
      <c r="D5" s="132">
        <v>7.3084718166952889E-2</v>
      </c>
      <c r="E5" s="132">
        <v>8.0212731553987698E-2</v>
      </c>
      <c r="F5" s="132">
        <v>0.1264087427112576</v>
      </c>
      <c r="G5" s="132">
        <v>0.1036931067644238</v>
      </c>
      <c r="H5" s="132">
        <v>0.15862352544117692</v>
      </c>
      <c r="I5" s="132">
        <v>0.16878419591954252</v>
      </c>
      <c r="J5" s="132">
        <v>0.13076442211864581</v>
      </c>
      <c r="K5" s="132">
        <v>0.12326273149572566</v>
      </c>
      <c r="L5" s="132">
        <v>0.15657160643405363</v>
      </c>
      <c r="M5" s="132">
        <v>7.4593190432476017E-2</v>
      </c>
      <c r="N5" s="132">
        <v>7.3788535794026763E-2</v>
      </c>
      <c r="O5" s="132">
        <v>4.9181793093566885E-2</v>
      </c>
      <c r="P5" s="132">
        <v>4.470500949245252E-2</v>
      </c>
      <c r="Q5" s="132">
        <v>3.6434830397902594E-2</v>
      </c>
      <c r="R5" s="132">
        <v>6.528051077232247E-2</v>
      </c>
      <c r="S5" s="132">
        <v>7.7866025635797254E-2</v>
      </c>
      <c r="T5" s="132">
        <v>8.035379893723936E-2</v>
      </c>
      <c r="U5" s="132">
        <v>6.4887939762106203E-2</v>
      </c>
      <c r="V5" s="132">
        <v>4.8871144265655343E-2</v>
      </c>
      <c r="W5" s="132">
        <v>6.8190431351670161E-2</v>
      </c>
      <c r="X5" s="132">
        <v>4.3388466955532438E-2</v>
      </c>
      <c r="Y5" s="132">
        <v>4.2173115239387771E-2</v>
      </c>
      <c r="DA5" s="156" t="s">
        <v>695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696</v>
      </c>
    </row>
    <row r="7" spans="1:105" ht="12" customHeight="1" x14ac:dyDescent="0.25">
      <c r="A7" s="131" t="s">
        <v>161</v>
      </c>
      <c r="B7" s="132"/>
      <c r="C7" s="132">
        <v>6.0089965177839373</v>
      </c>
      <c r="D7" s="132">
        <v>6.6432318579666667</v>
      </c>
      <c r="E7" s="132">
        <v>7.4515782750802062</v>
      </c>
      <c r="F7" s="132">
        <v>11.775157014082888</v>
      </c>
      <c r="G7" s="132">
        <v>8.991309525364203</v>
      </c>
      <c r="H7" s="132">
        <v>7.6696313757878354</v>
      </c>
      <c r="I7" s="132">
        <v>3.0723964352605639</v>
      </c>
      <c r="J7" s="132">
        <v>2.7240549856197536</v>
      </c>
      <c r="K7" s="132">
        <v>7.2607724715666775</v>
      </c>
      <c r="L7" s="132">
        <v>14.785796302345604</v>
      </c>
      <c r="M7" s="132">
        <v>9.1583389555926829</v>
      </c>
      <c r="N7" s="132">
        <v>6.6436030184254697</v>
      </c>
      <c r="O7" s="132">
        <v>4.0308147483038441</v>
      </c>
      <c r="P7" s="132">
        <v>1.9660576932868978</v>
      </c>
      <c r="Q7" s="132">
        <v>2.5672500819161539</v>
      </c>
      <c r="R7" s="132">
        <v>4.763384050263368</v>
      </c>
      <c r="S7" s="132">
        <v>5.4171683717846566</v>
      </c>
      <c r="T7" s="132">
        <v>4.8696093818071642</v>
      </c>
      <c r="U7" s="132">
        <v>5.0870199530111577</v>
      </c>
      <c r="V7" s="132">
        <v>3.8055859664839238</v>
      </c>
      <c r="W7" s="132">
        <v>3.4356532721668174</v>
      </c>
      <c r="X7" s="132">
        <v>2.430996727143242</v>
      </c>
      <c r="Y7" s="132">
        <v>2.3794041982894698</v>
      </c>
      <c r="DA7" s="156" t="s">
        <v>697</v>
      </c>
    </row>
    <row r="8" spans="1:105" ht="12" customHeight="1" x14ac:dyDescent="0.25">
      <c r="A8" s="131" t="s">
        <v>73</v>
      </c>
      <c r="B8" s="132"/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698</v>
      </c>
    </row>
    <row r="9" spans="1:105" ht="12" customHeight="1" x14ac:dyDescent="0.25">
      <c r="A9" s="131" t="s">
        <v>78</v>
      </c>
      <c r="B9" s="132"/>
      <c r="C9" s="132">
        <v>0.94653369441694435</v>
      </c>
      <c r="D9" s="132">
        <v>1.092184791396184</v>
      </c>
      <c r="E9" s="132">
        <v>0.85675202394399419</v>
      </c>
      <c r="F9" s="132">
        <v>1.3579784819369902</v>
      </c>
      <c r="G9" s="132">
        <v>0.7031193631350442</v>
      </c>
      <c r="H9" s="132">
        <v>0.39474163758966546</v>
      </c>
      <c r="I9" s="132">
        <v>0.113260504556249</v>
      </c>
      <c r="J9" s="132">
        <v>0.23045241632394173</v>
      </c>
      <c r="K9" s="132">
        <v>0.43410039923290494</v>
      </c>
      <c r="L9" s="132">
        <v>0.68223524059441465</v>
      </c>
      <c r="M9" s="132">
        <v>0.48678151537495157</v>
      </c>
      <c r="N9" s="132">
        <v>0.45207174710568071</v>
      </c>
      <c r="O9" s="132">
        <v>0.6642613478520305</v>
      </c>
      <c r="P9" s="132">
        <v>0.71952111836048793</v>
      </c>
      <c r="Q9" s="132">
        <v>0.38513919586425283</v>
      </c>
      <c r="R9" s="132">
        <v>0.60191881834820071</v>
      </c>
      <c r="S9" s="132">
        <v>0.40400075400516627</v>
      </c>
      <c r="T9" s="132">
        <v>0.30895755903288885</v>
      </c>
      <c r="U9" s="132">
        <v>0.33969601644837799</v>
      </c>
      <c r="V9" s="132">
        <v>0.18911287887808734</v>
      </c>
      <c r="W9" s="132">
        <v>0.14337494158479497</v>
      </c>
      <c r="X9" s="132">
        <v>6.1180699954555525E-3</v>
      </c>
      <c r="Y9" s="132">
        <v>0</v>
      </c>
      <c r="DA9" s="156" t="s">
        <v>699</v>
      </c>
    </row>
    <row r="10" spans="1:105" ht="12" customHeight="1" x14ac:dyDescent="0.25">
      <c r="A10" s="131" t="s">
        <v>128</v>
      </c>
      <c r="B10" s="132"/>
      <c r="C10" s="132">
        <v>0</v>
      </c>
      <c r="D10" s="132">
        <v>0</v>
      </c>
      <c r="E10" s="132">
        <v>0</v>
      </c>
      <c r="F10" s="132">
        <v>0</v>
      </c>
      <c r="G10" s="132">
        <v>0</v>
      </c>
      <c r="H10" s="132">
        <v>0</v>
      </c>
      <c r="I10" s="132">
        <v>0</v>
      </c>
      <c r="J10" s="132">
        <v>0.28099825310938886</v>
      </c>
      <c r="K10" s="132">
        <v>6.1636488097741096E-2</v>
      </c>
      <c r="L10" s="132">
        <v>9.9831348787374735E-2</v>
      </c>
      <c r="M10" s="132">
        <v>7.550641082439595E-2</v>
      </c>
      <c r="N10" s="132">
        <v>4.2377020693628427E-2</v>
      </c>
      <c r="O10" s="132">
        <v>9.7641104608502411E-3</v>
      </c>
      <c r="P10" s="132">
        <v>2.2758400376383461E-2</v>
      </c>
      <c r="Q10" s="132">
        <v>2.7033583649775705E-2</v>
      </c>
      <c r="R10" s="132">
        <v>4.9219808840050359E-2</v>
      </c>
      <c r="S10" s="132">
        <v>4.9816370119009731E-2</v>
      </c>
      <c r="T10" s="132">
        <v>5.2447685400012482E-2</v>
      </c>
      <c r="U10" s="132">
        <v>3.5671367457354261E-2</v>
      </c>
      <c r="V10" s="132">
        <v>4.0681465115643634E-2</v>
      </c>
      <c r="W10" s="132">
        <v>3.9829012837640995E-2</v>
      </c>
      <c r="X10" s="132">
        <v>0.18783029746319455</v>
      </c>
      <c r="Y10" s="132">
        <v>2.2082650153430274E-2</v>
      </c>
      <c r="DA10" s="156" t="s">
        <v>700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701</v>
      </c>
    </row>
    <row r="12" spans="1:105" ht="12" customHeight="1" x14ac:dyDescent="0.25">
      <c r="A12" s="131" t="s">
        <v>162</v>
      </c>
      <c r="B12" s="132"/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702</v>
      </c>
    </row>
    <row r="13" spans="1:105" ht="12" customHeight="1" x14ac:dyDescent="0.25">
      <c r="A13" s="131" t="s">
        <v>77</v>
      </c>
      <c r="B13" s="132"/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703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DA14" s="109" t="s">
        <v>704</v>
      </c>
    </row>
    <row r="15" spans="1:105" ht="12" customHeight="1" x14ac:dyDescent="0.25">
      <c r="A15" s="133" t="s">
        <v>80</v>
      </c>
      <c r="B15" s="134"/>
      <c r="C15" s="134">
        <v>0</v>
      </c>
      <c r="D15" s="134">
        <v>0</v>
      </c>
      <c r="E15" s="134">
        <v>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4">
        <v>0</v>
      </c>
      <c r="L15" s="134">
        <v>0</v>
      </c>
      <c r="M15" s="134">
        <v>0</v>
      </c>
      <c r="N15" s="134">
        <v>0</v>
      </c>
      <c r="O15" s="134">
        <v>0</v>
      </c>
      <c r="P15" s="134">
        <v>0</v>
      </c>
      <c r="Q15" s="134">
        <v>0</v>
      </c>
      <c r="R15" s="134">
        <v>0</v>
      </c>
      <c r="S15" s="134">
        <v>0</v>
      </c>
      <c r="T15" s="134">
        <v>0</v>
      </c>
      <c r="U15" s="134">
        <v>0</v>
      </c>
      <c r="V15" s="134">
        <v>0</v>
      </c>
      <c r="W15" s="134">
        <v>0</v>
      </c>
      <c r="X15" s="134">
        <v>0</v>
      </c>
      <c r="Y15" s="134">
        <v>0</v>
      </c>
      <c r="DA15" s="157" t="s">
        <v>705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0</v>
      </c>
      <c r="D16" s="130">
        <f t="shared" si="6"/>
        <v>0</v>
      </c>
      <c r="E16" s="130">
        <f t="shared" si="6"/>
        <v>0</v>
      </c>
      <c r="F16" s="130">
        <f t="shared" si="6"/>
        <v>0</v>
      </c>
      <c r="G16" s="130">
        <f t="shared" si="6"/>
        <v>0</v>
      </c>
      <c r="H16" s="130">
        <f t="shared" si="6"/>
        <v>0</v>
      </c>
      <c r="I16" s="130">
        <f t="shared" si="6"/>
        <v>0</v>
      </c>
      <c r="J16" s="130">
        <f t="shared" si="6"/>
        <v>0</v>
      </c>
      <c r="K16" s="130">
        <f t="shared" si="6"/>
        <v>0</v>
      </c>
      <c r="L16" s="130">
        <f t="shared" si="6"/>
        <v>0</v>
      </c>
      <c r="M16" s="130">
        <f t="shared" si="6"/>
        <v>0</v>
      </c>
      <c r="N16" s="130">
        <f t="shared" si="6"/>
        <v>0</v>
      </c>
      <c r="O16" s="130">
        <f t="shared" si="6"/>
        <v>0</v>
      </c>
      <c r="P16" s="130">
        <f t="shared" si="6"/>
        <v>0</v>
      </c>
      <c r="Q16" s="130">
        <f t="shared" si="6"/>
        <v>0</v>
      </c>
      <c r="R16" s="130">
        <f t="shared" ref="R16:W16" si="7">SUM(R17:R18)</f>
        <v>0</v>
      </c>
      <c r="S16" s="130">
        <f t="shared" si="7"/>
        <v>0</v>
      </c>
      <c r="T16" s="130">
        <f t="shared" si="7"/>
        <v>0</v>
      </c>
      <c r="U16" s="130">
        <f t="shared" si="7"/>
        <v>0</v>
      </c>
      <c r="V16" s="130">
        <f t="shared" si="7"/>
        <v>0</v>
      </c>
      <c r="W16" s="130">
        <f t="shared" si="7"/>
        <v>0</v>
      </c>
      <c r="X16" s="130">
        <f t="shared" ref="X16:Y16" si="8">SUM(X17:X18)</f>
        <v>0</v>
      </c>
      <c r="Y16" s="130">
        <f t="shared" si="8"/>
        <v>0</v>
      </c>
      <c r="DA16" s="155" t="s">
        <v>706</v>
      </c>
    </row>
    <row r="17" spans="1:105" ht="12.95" customHeight="1" x14ac:dyDescent="0.25">
      <c r="A17" s="131" t="s">
        <v>73</v>
      </c>
      <c r="B17" s="132"/>
      <c r="C17" s="132">
        <v>0</v>
      </c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32">
        <v>0</v>
      </c>
      <c r="J17" s="132">
        <v>0</v>
      </c>
      <c r="K17" s="132">
        <v>0</v>
      </c>
      <c r="L17" s="132">
        <v>0</v>
      </c>
      <c r="M17" s="132">
        <v>0</v>
      </c>
      <c r="N17" s="132">
        <v>0</v>
      </c>
      <c r="O17" s="132">
        <v>0</v>
      </c>
      <c r="P17" s="132">
        <v>0</v>
      </c>
      <c r="Q17" s="132">
        <v>0</v>
      </c>
      <c r="R17" s="132">
        <v>0</v>
      </c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32">
        <v>0</v>
      </c>
      <c r="Y17" s="132">
        <v>0</v>
      </c>
      <c r="DA17" s="156" t="s">
        <v>707</v>
      </c>
    </row>
    <row r="18" spans="1:105" ht="12" customHeight="1" x14ac:dyDescent="0.25">
      <c r="A18" s="131" t="s">
        <v>72</v>
      </c>
      <c r="B18" s="132"/>
      <c r="C18" s="132">
        <v>0</v>
      </c>
      <c r="D18" s="132">
        <v>0</v>
      </c>
      <c r="E18" s="132">
        <v>0</v>
      </c>
      <c r="F18" s="132">
        <v>0</v>
      </c>
      <c r="G18" s="132">
        <v>0</v>
      </c>
      <c r="H18" s="132">
        <v>0</v>
      </c>
      <c r="I18" s="132">
        <v>0</v>
      </c>
      <c r="J18" s="132">
        <v>0</v>
      </c>
      <c r="K18" s="132">
        <v>0</v>
      </c>
      <c r="L18" s="132">
        <v>0</v>
      </c>
      <c r="M18" s="132">
        <v>0</v>
      </c>
      <c r="N18" s="132">
        <v>0</v>
      </c>
      <c r="O18" s="132">
        <v>0</v>
      </c>
      <c r="P18" s="132">
        <v>0</v>
      </c>
      <c r="Q18" s="132">
        <v>0</v>
      </c>
      <c r="R18" s="132">
        <v>0</v>
      </c>
      <c r="S18" s="132">
        <v>0</v>
      </c>
      <c r="T18" s="132">
        <v>0</v>
      </c>
      <c r="U18" s="132">
        <v>0</v>
      </c>
      <c r="V18" s="132">
        <v>0</v>
      </c>
      <c r="W18" s="132">
        <v>0</v>
      </c>
      <c r="X18" s="132">
        <v>0</v>
      </c>
      <c r="Y18" s="132">
        <v>0</v>
      </c>
      <c r="DA18" s="156" t="s">
        <v>708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1.1450865189230284</v>
      </c>
      <c r="D19" s="130">
        <f t="shared" si="9"/>
        <v>1.2171499978519529</v>
      </c>
      <c r="E19" s="130">
        <f t="shared" si="9"/>
        <v>0.98345993507018226</v>
      </c>
      <c r="F19" s="130">
        <f t="shared" si="9"/>
        <v>1.346305549236118</v>
      </c>
      <c r="G19" s="130">
        <f t="shared" si="9"/>
        <v>1.10830776094251</v>
      </c>
      <c r="H19" s="130">
        <f t="shared" si="9"/>
        <v>1.4870320413023346</v>
      </c>
      <c r="I19" s="130">
        <f t="shared" si="9"/>
        <v>1.4115343595696244</v>
      </c>
      <c r="J19" s="130">
        <f t="shared" si="9"/>
        <v>1.1695041525380272</v>
      </c>
      <c r="K19" s="130">
        <f t="shared" si="9"/>
        <v>0.85750026950840053</v>
      </c>
      <c r="L19" s="130">
        <f t="shared" si="9"/>
        <v>1.1364259041930762</v>
      </c>
      <c r="M19" s="130">
        <f t="shared" si="9"/>
        <v>0.77845089126988365</v>
      </c>
      <c r="N19" s="130">
        <f t="shared" si="9"/>
        <v>0.46734963775932947</v>
      </c>
      <c r="O19" s="130">
        <f t="shared" si="9"/>
        <v>0.3641985718554982</v>
      </c>
      <c r="P19" s="130">
        <f t="shared" si="9"/>
        <v>0.17779919048268969</v>
      </c>
      <c r="Q19" s="130">
        <f t="shared" si="9"/>
        <v>0.24106371429086729</v>
      </c>
      <c r="R19" s="130">
        <f t="shared" ref="R19:W19" si="10">SUM(R20:R27)</f>
        <v>0.32775228049278532</v>
      </c>
      <c r="S19" s="130">
        <f t="shared" si="10"/>
        <v>0.12054245557176603</v>
      </c>
      <c r="T19" s="130">
        <f t="shared" si="10"/>
        <v>9.5487318433467513E-2</v>
      </c>
      <c r="U19" s="130">
        <f t="shared" si="10"/>
        <v>0.29791627422369421</v>
      </c>
      <c r="V19" s="130">
        <f t="shared" si="10"/>
        <v>0.41698699203439438</v>
      </c>
      <c r="W19" s="130">
        <f t="shared" si="10"/>
        <v>0.48090882984899619</v>
      </c>
      <c r="X19" s="130">
        <f t="shared" ref="X19:Y19" si="11">SUM(X20:X27)</f>
        <v>0.33000746414293547</v>
      </c>
      <c r="Y19" s="130">
        <f t="shared" si="11"/>
        <v>0.1629908745033653</v>
      </c>
      <c r="DA19" s="155" t="s">
        <v>709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710</v>
      </c>
    </row>
    <row r="21" spans="1:105" s="2" customFormat="1" ht="12" customHeight="1" x14ac:dyDescent="0.25">
      <c r="A21" s="131" t="s">
        <v>52</v>
      </c>
      <c r="B21" s="132"/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711</v>
      </c>
    </row>
    <row r="22" spans="1:105" ht="12" customHeight="1" x14ac:dyDescent="0.25">
      <c r="A22" s="131" t="s">
        <v>161</v>
      </c>
      <c r="B22" s="132"/>
      <c r="C22" s="132">
        <v>1.0555199117625402</v>
      </c>
      <c r="D22" s="132">
        <v>1.1282055066902525</v>
      </c>
      <c r="E22" s="132">
        <v>0.90740294973813362</v>
      </c>
      <c r="F22" s="132">
        <v>1.2394970675610379</v>
      </c>
      <c r="G22" s="132">
        <v>1.0229327784894078</v>
      </c>
      <c r="H22" s="132">
        <v>1.4011141237536682</v>
      </c>
      <c r="I22" s="132">
        <v>1.3294467003431194</v>
      </c>
      <c r="J22" s="132">
        <v>1.0769479528213</v>
      </c>
      <c r="K22" s="132">
        <v>0.81515931467167957</v>
      </c>
      <c r="L22" s="132">
        <v>1.0885424963401464</v>
      </c>
      <c r="M22" s="132">
        <v>0.73269598383425816</v>
      </c>
      <c r="N22" s="132">
        <v>0.43760271484726965</v>
      </c>
      <c r="O22" s="132">
        <v>0.33603303693930237</v>
      </c>
      <c r="P22" s="132">
        <v>0.16060240027891426</v>
      </c>
      <c r="Q22" s="132">
        <v>0.21024217737212103</v>
      </c>
      <c r="R22" s="132">
        <v>0.27652048153284636</v>
      </c>
      <c r="S22" s="132">
        <v>7.1768008510053605E-2</v>
      </c>
      <c r="T22" s="132">
        <v>5.1535166528055218E-2</v>
      </c>
      <c r="U22" s="132">
        <v>0.25747863386534714</v>
      </c>
      <c r="V22" s="132">
        <v>0.37983255193354254</v>
      </c>
      <c r="W22" s="132">
        <v>0.45745123770978979</v>
      </c>
      <c r="X22" s="132">
        <v>0.27242802797460441</v>
      </c>
      <c r="Y22" s="132">
        <v>0.16012142680854527</v>
      </c>
      <c r="DA22" s="156" t="s">
        <v>712</v>
      </c>
    </row>
    <row r="23" spans="1:105" ht="12" customHeight="1" x14ac:dyDescent="0.25">
      <c r="A23" s="131" t="s">
        <v>149</v>
      </c>
      <c r="B23" s="132"/>
      <c r="C23" s="132">
        <v>8.9566607160488157E-2</v>
      </c>
      <c r="D23" s="132">
        <v>8.8944491161700251E-2</v>
      </c>
      <c r="E23" s="132">
        <v>7.6056985332048591E-2</v>
      </c>
      <c r="F23" s="132">
        <v>0.10680848167508004</v>
      </c>
      <c r="G23" s="132">
        <v>8.5374982453102252E-2</v>
      </c>
      <c r="H23" s="132">
        <v>8.5917917548666373E-2</v>
      </c>
      <c r="I23" s="132">
        <v>8.2087659226504975E-2</v>
      </c>
      <c r="J23" s="132">
        <v>5.6544013045561954E-2</v>
      </c>
      <c r="K23" s="132">
        <v>3.5679743411974413E-2</v>
      </c>
      <c r="L23" s="132">
        <v>3.8878598252598033E-2</v>
      </c>
      <c r="M23" s="132">
        <v>3.7108267144156139E-2</v>
      </c>
      <c r="N23" s="132">
        <v>2.5542405747763106E-2</v>
      </c>
      <c r="O23" s="132">
        <v>2.7027015533652835E-2</v>
      </c>
      <c r="P23" s="132">
        <v>1.2893803883708484E-2</v>
      </c>
      <c r="Q23" s="132">
        <v>2.4902465155659789E-2</v>
      </c>
      <c r="R23" s="132">
        <v>3.900598868475473E-2</v>
      </c>
      <c r="S23" s="132">
        <v>3.9468492345641662E-2</v>
      </c>
      <c r="T23" s="132">
        <v>3.4571788579780126E-2</v>
      </c>
      <c r="U23" s="132">
        <v>3.4568526862897318E-2</v>
      </c>
      <c r="V23" s="132">
        <v>2.9584458845565337E-2</v>
      </c>
      <c r="W23" s="132">
        <v>1.3940680048499734E-2</v>
      </c>
      <c r="X23" s="132">
        <v>1.9235059662712588E-2</v>
      </c>
      <c r="Y23" s="132">
        <v>0</v>
      </c>
      <c r="DA23" s="156" t="s">
        <v>713</v>
      </c>
    </row>
    <row r="24" spans="1:105" ht="12" customHeight="1" x14ac:dyDescent="0.25">
      <c r="A24" s="131" t="s">
        <v>128</v>
      </c>
      <c r="B24" s="132"/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3.6012186671165396E-2</v>
      </c>
      <c r="K24" s="132">
        <v>6.6612114247465107E-3</v>
      </c>
      <c r="L24" s="132">
        <v>9.0048096003316706E-3</v>
      </c>
      <c r="M24" s="132">
        <v>8.6466402914693371E-3</v>
      </c>
      <c r="N24" s="132">
        <v>4.2045171642966922E-3</v>
      </c>
      <c r="O24" s="132">
        <v>1.138519382542984E-3</v>
      </c>
      <c r="P24" s="132">
        <v>4.3029863200669495E-3</v>
      </c>
      <c r="Q24" s="132">
        <v>5.9190717630864401E-3</v>
      </c>
      <c r="R24" s="132">
        <v>1.2225810275184212E-2</v>
      </c>
      <c r="S24" s="132">
        <v>9.3059547160707617E-3</v>
      </c>
      <c r="T24" s="132">
        <v>9.3803633256321819E-3</v>
      </c>
      <c r="U24" s="132">
        <v>5.8691134954497659E-3</v>
      </c>
      <c r="V24" s="132">
        <v>7.5699812552865444E-3</v>
      </c>
      <c r="W24" s="132">
        <v>9.5169120907066737E-3</v>
      </c>
      <c r="X24" s="132">
        <v>3.8344376505618449E-2</v>
      </c>
      <c r="Y24" s="132">
        <v>2.8694476948200407E-3</v>
      </c>
      <c r="DA24" s="156" t="s">
        <v>714</v>
      </c>
    </row>
    <row r="25" spans="1:105" ht="12" customHeight="1" x14ac:dyDescent="0.25">
      <c r="A25" s="131" t="s">
        <v>162</v>
      </c>
      <c r="B25" s="132"/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715</v>
      </c>
    </row>
    <row r="26" spans="1:105" ht="12" customHeight="1" x14ac:dyDescent="0.25">
      <c r="A26" s="131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DA26" s="109" t="s">
        <v>716</v>
      </c>
    </row>
    <row r="27" spans="1:105" ht="12" customHeight="1" x14ac:dyDescent="0.25">
      <c r="A27" s="144" t="s">
        <v>26</v>
      </c>
      <c r="B27" s="147"/>
      <c r="C27" s="147">
        <v>0</v>
      </c>
      <c r="D27" s="147">
        <v>0</v>
      </c>
      <c r="E27" s="147">
        <v>0</v>
      </c>
      <c r="F27" s="147">
        <v>0</v>
      </c>
      <c r="G27" s="147">
        <v>0</v>
      </c>
      <c r="H27" s="147">
        <v>0</v>
      </c>
      <c r="I27" s="147">
        <v>0</v>
      </c>
      <c r="J27" s="147">
        <v>0</v>
      </c>
      <c r="K27" s="147">
        <v>0</v>
      </c>
      <c r="L27" s="147">
        <v>0</v>
      </c>
      <c r="M27" s="147">
        <v>0</v>
      </c>
      <c r="N27" s="147">
        <v>0</v>
      </c>
      <c r="O27" s="147">
        <v>0</v>
      </c>
      <c r="P27" s="147">
        <v>0</v>
      </c>
      <c r="Q27" s="147">
        <v>0</v>
      </c>
      <c r="R27" s="147">
        <v>0</v>
      </c>
      <c r="S27" s="147">
        <v>0</v>
      </c>
      <c r="T27" s="147">
        <v>0</v>
      </c>
      <c r="U27" s="147">
        <v>0</v>
      </c>
      <c r="V27" s="147">
        <v>0</v>
      </c>
      <c r="W27" s="147">
        <v>0</v>
      </c>
      <c r="X27" s="147">
        <v>0</v>
      </c>
      <c r="Y27" s="147">
        <v>0</v>
      </c>
      <c r="DA27" s="160" t="s">
        <v>717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0.14356516088549098</v>
      </c>
      <c r="D29" s="130">
        <f t="shared" si="12"/>
        <v>0.13879283023615119</v>
      </c>
      <c r="E29" s="130">
        <f t="shared" si="12"/>
        <v>0.11352126128923219</v>
      </c>
      <c r="F29" s="130">
        <f t="shared" si="12"/>
        <v>0.15441449239919675</v>
      </c>
      <c r="G29" s="130">
        <f t="shared" si="12"/>
        <v>0.13296810181245602</v>
      </c>
      <c r="H29" s="130">
        <f t="shared" si="12"/>
        <v>0.16472285042590445</v>
      </c>
      <c r="I29" s="130">
        <f t="shared" si="12"/>
        <v>0.15119346335054004</v>
      </c>
      <c r="J29" s="130">
        <f t="shared" si="12"/>
        <v>0.10213649758431367</v>
      </c>
      <c r="K29" s="130">
        <f t="shared" si="12"/>
        <v>5.6335389510787641E-2</v>
      </c>
      <c r="L29" s="130">
        <f t="shared" si="12"/>
        <v>5.2899505489035437E-2</v>
      </c>
      <c r="M29" s="130">
        <f t="shared" si="12"/>
        <v>1.1383843754761234E-2</v>
      </c>
      <c r="N29" s="130">
        <f t="shared" si="12"/>
        <v>3.3039326325737133E-2</v>
      </c>
      <c r="O29" s="130">
        <f t="shared" si="12"/>
        <v>4.6882239489611587E-2</v>
      </c>
      <c r="P29" s="130">
        <f t="shared" si="12"/>
        <v>4.0925374291800279E-2</v>
      </c>
      <c r="Q29" s="130">
        <f t="shared" si="12"/>
        <v>4.5274232947006589E-2</v>
      </c>
      <c r="R29" s="130">
        <f t="shared" ref="R29:W29" si="13">SUM(R30:R33)</f>
        <v>6.004872721474664E-2</v>
      </c>
      <c r="S29" s="130">
        <f t="shared" si="13"/>
        <v>7.2147258396690783E-2</v>
      </c>
      <c r="T29" s="130">
        <f t="shared" si="13"/>
        <v>3.4131556258934298E-2</v>
      </c>
      <c r="U29" s="130">
        <f t="shared" si="13"/>
        <v>4.6412665849466871E-2</v>
      </c>
      <c r="V29" s="130">
        <f t="shared" si="13"/>
        <v>5.4487648563879221E-2</v>
      </c>
      <c r="W29" s="130">
        <f t="shared" si="13"/>
        <v>1.9589677550957044E-2</v>
      </c>
      <c r="X29" s="130">
        <f t="shared" ref="X29:Y29" si="14">SUM(X30:X33)</f>
        <v>1.3923566387595007E-2</v>
      </c>
      <c r="Y29" s="130">
        <f t="shared" si="14"/>
        <v>5.79772387207368E-3</v>
      </c>
      <c r="DA29" s="155" t="s">
        <v>718</v>
      </c>
    </row>
    <row r="30" spans="1:105" s="2" customFormat="1" ht="12" customHeight="1" x14ac:dyDescent="0.25">
      <c r="A30" s="131" t="s">
        <v>52</v>
      </c>
      <c r="B30" s="132"/>
      <c r="C30" s="132">
        <v>0</v>
      </c>
      <c r="D30" s="132">
        <v>0</v>
      </c>
      <c r="E30" s="132">
        <v>0</v>
      </c>
      <c r="F30" s="132">
        <v>0</v>
      </c>
      <c r="G30" s="132">
        <v>0</v>
      </c>
      <c r="H30" s="132">
        <v>0</v>
      </c>
      <c r="I30" s="132">
        <v>0</v>
      </c>
      <c r="J30" s="132">
        <v>0</v>
      </c>
      <c r="K30" s="132">
        <v>0</v>
      </c>
      <c r="L30" s="132">
        <v>0</v>
      </c>
      <c r="M30" s="132">
        <v>0</v>
      </c>
      <c r="N30" s="132">
        <v>0</v>
      </c>
      <c r="O30" s="132">
        <v>0</v>
      </c>
      <c r="P30" s="132">
        <v>0</v>
      </c>
      <c r="Q30" s="132">
        <v>0</v>
      </c>
      <c r="R30" s="132">
        <v>0</v>
      </c>
      <c r="S30" s="132">
        <v>0</v>
      </c>
      <c r="T30" s="132">
        <v>0</v>
      </c>
      <c r="U30" s="132">
        <v>0</v>
      </c>
      <c r="V30" s="132">
        <v>0</v>
      </c>
      <c r="W30" s="132">
        <v>0</v>
      </c>
      <c r="X30" s="132">
        <v>0</v>
      </c>
      <c r="Y30" s="132">
        <v>0</v>
      </c>
      <c r="DA30" s="156" t="s">
        <v>719</v>
      </c>
    </row>
    <row r="31" spans="1:105" ht="12" customHeight="1" x14ac:dyDescent="0.25">
      <c r="A31" s="131" t="s">
        <v>149</v>
      </c>
      <c r="B31" s="132"/>
      <c r="C31" s="132">
        <v>0.14356516088549098</v>
      </c>
      <c r="D31" s="132">
        <v>0.13879283023615119</v>
      </c>
      <c r="E31" s="132">
        <v>0.11352126128923219</v>
      </c>
      <c r="F31" s="132">
        <v>0.15441449239919675</v>
      </c>
      <c r="G31" s="132">
        <v>0.13296810181245602</v>
      </c>
      <c r="H31" s="132">
        <v>0.16472285042590445</v>
      </c>
      <c r="I31" s="132">
        <v>0.15119346335054004</v>
      </c>
      <c r="J31" s="132">
        <v>0.10213649758431367</v>
      </c>
      <c r="K31" s="132">
        <v>5.6335389510787641E-2</v>
      </c>
      <c r="L31" s="132">
        <v>5.2899505489035437E-2</v>
      </c>
      <c r="M31" s="132">
        <v>1.1383843754761234E-2</v>
      </c>
      <c r="N31" s="132">
        <v>3.3039326325737133E-2</v>
      </c>
      <c r="O31" s="132">
        <v>4.6882239489611587E-2</v>
      </c>
      <c r="P31" s="132">
        <v>4.0925374291800279E-2</v>
      </c>
      <c r="Q31" s="132">
        <v>4.5274232947006589E-2</v>
      </c>
      <c r="R31" s="132">
        <v>6.004872721474664E-2</v>
      </c>
      <c r="S31" s="132">
        <v>7.2147258396690783E-2</v>
      </c>
      <c r="T31" s="132">
        <v>3.4131556258934298E-2</v>
      </c>
      <c r="U31" s="132">
        <v>4.6412665849466871E-2</v>
      </c>
      <c r="V31" s="132">
        <v>5.4487648563879221E-2</v>
      </c>
      <c r="W31" s="132">
        <v>1.9589677550957044E-2</v>
      </c>
      <c r="X31" s="132">
        <v>1.3923566387595007E-2</v>
      </c>
      <c r="Y31" s="132">
        <v>5.79772387207368E-3</v>
      </c>
      <c r="DA31" s="156" t="s">
        <v>720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721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DA33" s="111" t="s">
        <v>722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87</v>
      </c>
      <c r="B3" s="125"/>
      <c r="C3" s="125">
        <f>IF(SER_hh_fec_in!C3=0,0,11630*1000*SER_hh_fec_in!C3/SER_hh_num_in!C3)</f>
        <v>222703.62215049917</v>
      </c>
      <c r="D3" s="125">
        <f>IF(SER_hh_fec_in!D3=0,0,11630*1000*SER_hh_fec_in!D3/SER_hh_num_in!D3)</f>
        <v>226025.40273215694</v>
      </c>
      <c r="E3" s="125">
        <f>IF(SER_hh_fec_in!E3=0,0,11630*1000*SER_hh_fec_in!E3/SER_hh_num_in!E3)</f>
        <v>223506.13406641627</v>
      </c>
      <c r="F3" s="125">
        <f>IF(SER_hh_fec_in!F3=0,0,11630*1000*SER_hh_fec_in!F3/SER_hh_num_in!F3)</f>
        <v>218029.44380865849</v>
      </c>
      <c r="G3" s="125">
        <f>IF(SER_hh_fec_in!G3=0,0,11630*1000*SER_hh_fec_in!G3/SER_hh_num_in!G3)</f>
        <v>209657.42855286456</v>
      </c>
      <c r="H3" s="125">
        <f>IF(SER_hh_fec_in!H3=0,0,11630*1000*SER_hh_fec_in!H3/SER_hh_num_in!H3)</f>
        <v>204181.92968155057</v>
      </c>
      <c r="I3" s="125">
        <f>IF(SER_hh_fec_in!I3=0,0,11630*1000*SER_hh_fec_in!I3/SER_hh_num_in!I3)</f>
        <v>206195.41896419335</v>
      </c>
      <c r="J3" s="125">
        <f>IF(SER_hh_fec_in!J3=0,0,11630*1000*SER_hh_fec_in!J3/SER_hh_num_in!J3)</f>
        <v>201603.64168820382</v>
      </c>
      <c r="K3" s="125">
        <f>IF(SER_hh_fec_in!K3=0,0,11630*1000*SER_hh_fec_in!K3/SER_hh_num_in!K3)</f>
        <v>220622.43384885363</v>
      </c>
      <c r="L3" s="125">
        <f>IF(SER_hh_fec_in!L3=0,0,11630*1000*SER_hh_fec_in!L3/SER_hh_num_in!L3)</f>
        <v>234221.84784375425</v>
      </c>
      <c r="M3" s="125">
        <f>IF(SER_hh_fec_in!M3=0,0,11630*1000*SER_hh_fec_in!M3/SER_hh_num_in!M3)</f>
        <v>200347.91804700575</v>
      </c>
      <c r="N3" s="125">
        <f>IF(SER_hh_fec_in!N3=0,0,11630*1000*SER_hh_fec_in!N3/SER_hh_num_in!N3)</f>
        <v>206413.48756818689</v>
      </c>
      <c r="O3" s="125">
        <f>IF(SER_hh_fec_in!O3=0,0,11630*1000*SER_hh_fec_in!O3/SER_hh_num_in!O3)</f>
        <v>185531.19226880418</v>
      </c>
      <c r="P3" s="125">
        <f>IF(SER_hh_fec_in!P3=0,0,11630*1000*SER_hh_fec_in!P3/SER_hh_num_in!P3)</f>
        <v>175059.74639568251</v>
      </c>
      <c r="Q3" s="125">
        <f>IF(SER_hh_fec_in!Q3=0,0,11630*1000*SER_hh_fec_in!Q3/SER_hh_num_in!Q3)</f>
        <v>157577.99621553853</v>
      </c>
      <c r="R3" s="125">
        <f>IF(SER_hh_fec_in!R3=0,0,11630*1000*SER_hh_fec_in!R3/SER_hh_num_in!R3)</f>
        <v>161735.04536384452</v>
      </c>
      <c r="S3" s="125">
        <f>IF(SER_hh_fec_in!S3=0,0,11630*1000*SER_hh_fec_in!S3/SER_hh_num_in!S3)</f>
        <v>152480.33031187052</v>
      </c>
      <c r="T3" s="125">
        <f>IF(SER_hh_fec_in!T3=0,0,11630*1000*SER_hh_fec_in!T3/SER_hh_num_in!T3)</f>
        <v>147381.92264011494</v>
      </c>
      <c r="U3" s="125">
        <f>IF(SER_hh_fec_in!U3=0,0,11630*1000*SER_hh_fec_in!U3/SER_hh_num_in!U3)</f>
        <v>134474.2308512654</v>
      </c>
      <c r="V3" s="125">
        <f>IF(SER_hh_fec_in!V3=0,0,11630*1000*SER_hh_fec_in!V3/SER_hh_num_in!V3)</f>
        <v>113550.1723612426</v>
      </c>
      <c r="W3" s="125">
        <f>IF(SER_hh_fec_in!W3=0,0,11630*1000*SER_hh_fec_in!W3/SER_hh_num_in!W3)</f>
        <v>110921.19598249039</v>
      </c>
      <c r="X3" s="125">
        <f>IF(SER_hh_fec_in!X3=0,0,11630*1000*SER_hh_fec_in!X3/SER_hh_num_in!X3)</f>
        <v>97633.595735493553</v>
      </c>
      <c r="Y3" s="125">
        <f>IF(SER_hh_fec_in!Y3=0,0,11630*1000*SER_hh_fec_in!Y3/SER_hh_num_in!Y3)</f>
        <v>97538.652385818015</v>
      </c>
      <c r="DA3" s="154" t="s">
        <v>724</v>
      </c>
    </row>
    <row r="4" spans="1:105" ht="12.95" customHeight="1" x14ac:dyDescent="0.25">
      <c r="A4" s="129" t="s">
        <v>32</v>
      </c>
      <c r="B4" s="130"/>
      <c r="C4" s="130">
        <f>IF(SER_hh_fec_in!C4=0,0,11630*1000*SER_hh_fec_in!C4/SER_hh_num_in!C4)</f>
        <v>170054.94745637983</v>
      </c>
      <c r="D4" s="130">
        <f>IF(SER_hh_fec_in!D4=0,0,11630*1000*SER_hh_fec_in!D4/SER_hh_num_in!D4)</f>
        <v>174035.44371950475</v>
      </c>
      <c r="E4" s="130">
        <f>IF(SER_hh_fec_in!E4=0,0,11630*1000*SER_hh_fec_in!E4/SER_hh_num_in!E4)</f>
        <v>171491.89707051267</v>
      </c>
      <c r="F4" s="130">
        <f>IF(SER_hh_fec_in!F4=0,0,11630*1000*SER_hh_fec_in!F4/SER_hh_num_in!F4)</f>
        <v>167037.89390955062</v>
      </c>
      <c r="G4" s="130">
        <f>IF(SER_hh_fec_in!G4=0,0,11630*1000*SER_hh_fec_in!G4/SER_hh_num_in!G4)</f>
        <v>158816.68361839568</v>
      </c>
      <c r="H4" s="130">
        <f>IF(SER_hh_fec_in!H4=0,0,11630*1000*SER_hh_fec_in!H4/SER_hh_num_in!H4)</f>
        <v>153907.79134526252</v>
      </c>
      <c r="I4" s="130">
        <f>IF(SER_hh_fec_in!I4=0,0,11630*1000*SER_hh_fec_in!I4/SER_hh_num_in!I4)</f>
        <v>156833.52901931989</v>
      </c>
      <c r="J4" s="130">
        <f>IF(SER_hh_fec_in!J4=0,0,11630*1000*SER_hh_fec_in!J4/SER_hh_num_in!J4)</f>
        <v>152420.93557257316</v>
      </c>
      <c r="K4" s="130">
        <f>IF(SER_hh_fec_in!K4=0,0,11630*1000*SER_hh_fec_in!K4/SER_hh_num_in!K4)</f>
        <v>171385.22746239571</v>
      </c>
      <c r="L4" s="130">
        <f>IF(SER_hh_fec_in!L4=0,0,11630*1000*SER_hh_fec_in!L4/SER_hh_num_in!L4)</f>
        <v>184893.71034331439</v>
      </c>
      <c r="M4" s="130">
        <f>IF(SER_hh_fec_in!M4=0,0,11630*1000*SER_hh_fec_in!M4/SER_hh_num_in!M4)</f>
        <v>151500.24801482135</v>
      </c>
      <c r="N4" s="130">
        <f>IF(SER_hh_fec_in!N4=0,0,11630*1000*SER_hh_fec_in!N4/SER_hh_num_in!N4)</f>
        <v>158447.75335447094</v>
      </c>
      <c r="O4" s="130">
        <f>IF(SER_hh_fec_in!O4=0,0,11630*1000*SER_hh_fec_in!O4/SER_hh_num_in!O4)</f>
        <v>138229.62794020853</v>
      </c>
      <c r="P4" s="130">
        <f>IF(SER_hh_fec_in!P4=0,0,11630*1000*SER_hh_fec_in!P4/SER_hh_num_in!P4)</f>
        <v>128451.04480399974</v>
      </c>
      <c r="Q4" s="130">
        <f>IF(SER_hh_fec_in!Q4=0,0,11630*1000*SER_hh_fec_in!Q4/SER_hh_num_in!Q4)</f>
        <v>111604.40483265098</v>
      </c>
      <c r="R4" s="130">
        <f>IF(SER_hh_fec_in!R4=0,0,11630*1000*SER_hh_fec_in!R4/SER_hh_num_in!R4)</f>
        <v>116313.51011010249</v>
      </c>
      <c r="S4" s="130">
        <f>IF(SER_hh_fec_in!S4=0,0,11630*1000*SER_hh_fec_in!S4/SER_hh_num_in!S4)</f>
        <v>107057.60941317967</v>
      </c>
      <c r="T4" s="130">
        <f>IF(SER_hh_fec_in!T4=0,0,11630*1000*SER_hh_fec_in!T4/SER_hh_num_in!T4)</f>
        <v>102908.46815705625</v>
      </c>
      <c r="U4" s="130">
        <f>IF(SER_hh_fec_in!U4=0,0,11630*1000*SER_hh_fec_in!U4/SER_hh_num_in!U4)</f>
        <v>89176.995929601704</v>
      </c>
      <c r="V4" s="130">
        <f>IF(SER_hh_fec_in!V4=0,0,11630*1000*SER_hh_fec_in!V4/SER_hh_num_in!V4)</f>
        <v>72257.181494919452</v>
      </c>
      <c r="W4" s="130">
        <f>IF(SER_hh_fec_in!W4=0,0,11630*1000*SER_hh_fec_in!W4/SER_hh_num_in!W4)</f>
        <v>66612.52062264389</v>
      </c>
      <c r="X4" s="130">
        <f>IF(SER_hh_fec_in!X4=0,0,11630*1000*SER_hh_fec_in!X4/SER_hh_num_in!X4)</f>
        <v>53915.179282615311</v>
      </c>
      <c r="Y4" s="130">
        <f>IF(SER_hh_fec_in!Y4=0,0,11630*1000*SER_hh_fec_in!Y4/SER_hh_num_in!Y4)</f>
        <v>53603.647176266561</v>
      </c>
      <c r="DA4" s="155" t="s">
        <v>725</v>
      </c>
    </row>
    <row r="5" spans="1:105" ht="12" customHeight="1" x14ac:dyDescent="0.25">
      <c r="A5" s="131" t="s">
        <v>29</v>
      </c>
      <c r="B5" s="132"/>
      <c r="C5" s="132">
        <f>IF(SER_hh_fec_in!C5=0,0,11630*1000*SER_hh_fec_in!C5/SER_hh_num_in!C5)</f>
        <v>204246.65319033928</v>
      </c>
      <c r="D5" s="132">
        <f>IF(SER_hh_fec_in!D5=0,0,11630*1000*SER_hh_fec_in!D5/SER_hh_num_in!D5)</f>
        <v>204925.0088010616</v>
      </c>
      <c r="E5" s="132">
        <f>IF(SER_hh_fec_in!E5=0,0,11630*1000*SER_hh_fec_in!E5/SER_hh_num_in!E5)</f>
        <v>205415.61774806579</v>
      </c>
      <c r="F5" s="132">
        <f>IF(SER_hh_fec_in!F5=0,0,11630*1000*SER_hh_fec_in!F5/SER_hh_num_in!F5)</f>
        <v>193731.9661192428</v>
      </c>
      <c r="G5" s="132">
        <f>IF(SER_hh_fec_in!G5=0,0,11630*1000*SER_hh_fec_in!G5/SER_hh_num_in!G5)</f>
        <v>187564.08095894023</v>
      </c>
      <c r="H5" s="132">
        <f>IF(SER_hh_fec_in!H5=0,0,11630*1000*SER_hh_fec_in!H5/SER_hh_num_in!H5)</f>
        <v>194103.46603053133</v>
      </c>
      <c r="I5" s="132">
        <f>IF(SER_hh_fec_in!I5=0,0,11630*1000*SER_hh_fec_in!I5/SER_hh_num_in!I5)</f>
        <v>160034.51598010497</v>
      </c>
      <c r="J5" s="132">
        <f>IF(SER_hh_fec_in!J5=0,0,11630*1000*SER_hh_fec_in!J5/SER_hh_num_in!J5)</f>
        <v>188956.52236880726</v>
      </c>
      <c r="K5" s="132">
        <f>IF(SER_hh_fec_in!K5=0,0,11630*1000*SER_hh_fec_in!K5/SER_hh_num_in!K5)</f>
        <v>201767.42251106648</v>
      </c>
      <c r="L5" s="132">
        <f>IF(SER_hh_fec_in!L5=0,0,11630*1000*SER_hh_fec_in!L5/SER_hh_num_in!L5)</f>
        <v>212736.04676458807</v>
      </c>
      <c r="M5" s="132">
        <f>IF(SER_hh_fec_in!M5=0,0,11630*1000*SER_hh_fec_in!M5/SER_hh_num_in!M5)</f>
        <v>166931.63087664059</v>
      </c>
      <c r="N5" s="132">
        <f>IF(SER_hh_fec_in!N5=0,0,11630*1000*SER_hh_fec_in!N5/SER_hh_num_in!N5)</f>
        <v>186044.61816585239</v>
      </c>
      <c r="O5" s="132">
        <f>IF(SER_hh_fec_in!O5=0,0,11630*1000*SER_hh_fec_in!O5/SER_hh_num_in!O5)</f>
        <v>164147.65420775322</v>
      </c>
      <c r="P5" s="132">
        <f>IF(SER_hh_fec_in!P5=0,0,11630*1000*SER_hh_fec_in!P5/SER_hh_num_in!P5)</f>
        <v>161273.28926262172</v>
      </c>
      <c r="Q5" s="132">
        <f>IF(SER_hh_fec_in!Q5=0,0,11630*1000*SER_hh_fec_in!Q5/SER_hh_num_in!Q5)</f>
        <v>138196.81460212247</v>
      </c>
      <c r="R5" s="132">
        <f>IF(SER_hh_fec_in!R5=0,0,11630*1000*SER_hh_fec_in!R5/SER_hh_num_in!R5)</f>
        <v>141526.27091790282</v>
      </c>
      <c r="S5" s="132">
        <f>IF(SER_hh_fec_in!S5=0,0,11630*1000*SER_hh_fec_in!S5/SER_hh_num_in!S5)</f>
        <v>129734.58953989661</v>
      </c>
      <c r="T5" s="132">
        <f>IF(SER_hh_fec_in!T5=0,0,11630*1000*SER_hh_fec_in!T5/SER_hh_num_in!T5)</f>
        <v>121372.28661264153</v>
      </c>
      <c r="U5" s="132">
        <f>IF(SER_hh_fec_in!U5=0,0,11630*1000*SER_hh_fec_in!U5/SER_hh_num_in!U5)</f>
        <v>113970.54553917771</v>
      </c>
      <c r="V5" s="132">
        <f>IF(SER_hh_fec_in!V5=0,0,11630*1000*SER_hh_fec_in!V5/SER_hh_num_in!V5)</f>
        <v>92950.593304287075</v>
      </c>
      <c r="W5" s="132">
        <f>IF(SER_hh_fec_in!W5=0,0,11630*1000*SER_hh_fec_in!W5/SER_hh_num_in!W5)</f>
        <v>80523.962086539861</v>
      </c>
      <c r="X5" s="132">
        <f>IF(SER_hh_fec_in!X5=0,0,11630*1000*SER_hh_fec_in!X5/SER_hh_num_in!X5)</f>
        <v>68903.084520418473</v>
      </c>
      <c r="Y5" s="132">
        <f>IF(SER_hh_fec_in!Y5=0,0,11630*1000*SER_hh_fec_in!Y5/SER_hh_num_in!Y5)</f>
        <v>67723.679962357477</v>
      </c>
      <c r="DA5" s="156" t="s">
        <v>726</v>
      </c>
    </row>
    <row r="6" spans="1:105" ht="12" customHeight="1" x14ac:dyDescent="0.25">
      <c r="A6" s="131" t="s">
        <v>52</v>
      </c>
      <c r="B6" s="132"/>
      <c r="C6" s="132">
        <f>IF(SER_hh_fec_in!C6=0,0,11630*1000*SER_hh_fec_in!C6/SER_hh_num_in!C6)</f>
        <v>0</v>
      </c>
      <c r="D6" s="132">
        <f>IF(SER_hh_fec_in!D6=0,0,11630*1000*SER_hh_fec_in!D6/SER_hh_num_in!D6)</f>
        <v>0</v>
      </c>
      <c r="E6" s="132">
        <f>IF(SER_hh_fec_in!E6=0,0,11630*1000*SER_hh_fec_in!E6/SER_hh_num_in!E6)</f>
        <v>0</v>
      </c>
      <c r="F6" s="132">
        <f>IF(SER_hh_fec_in!F6=0,0,11630*1000*SER_hh_fec_in!F6/SER_hh_num_in!F6)</f>
        <v>0</v>
      </c>
      <c r="G6" s="132">
        <f>IF(SER_hh_fec_in!G6=0,0,11630*1000*SER_hh_fec_in!G6/SER_hh_num_in!G6)</f>
        <v>0</v>
      </c>
      <c r="H6" s="132">
        <f>IF(SER_hh_fec_in!H6=0,0,11630*1000*SER_hh_fec_in!H6/SER_hh_num_in!H6)</f>
        <v>0</v>
      </c>
      <c r="I6" s="132">
        <f>IF(SER_hh_fec_in!I6=0,0,11630*1000*SER_hh_fec_in!I6/SER_hh_num_in!I6)</f>
        <v>0</v>
      </c>
      <c r="J6" s="132">
        <f>IF(SER_hh_fec_in!J6=0,0,11630*1000*SER_hh_fec_in!J6/SER_hh_num_in!J6)</f>
        <v>0</v>
      </c>
      <c r="K6" s="132">
        <f>IF(SER_hh_fec_in!K6=0,0,11630*1000*SER_hh_fec_in!K6/SER_hh_num_in!K6)</f>
        <v>0</v>
      </c>
      <c r="L6" s="132">
        <f>IF(SER_hh_fec_in!L6=0,0,11630*1000*SER_hh_fec_in!L6/SER_hh_num_in!L6)</f>
        <v>0</v>
      </c>
      <c r="M6" s="132">
        <f>IF(SER_hh_fec_in!M6=0,0,11630*1000*SER_hh_fec_in!M6/SER_hh_num_in!M6)</f>
        <v>0</v>
      </c>
      <c r="N6" s="132">
        <f>IF(SER_hh_fec_in!N6=0,0,11630*1000*SER_hh_fec_in!N6/SER_hh_num_in!N6)</f>
        <v>0</v>
      </c>
      <c r="O6" s="132">
        <f>IF(SER_hh_fec_in!O6=0,0,11630*1000*SER_hh_fec_in!O6/SER_hh_num_in!O6)</f>
        <v>0</v>
      </c>
      <c r="P6" s="132">
        <f>IF(SER_hh_fec_in!P6=0,0,11630*1000*SER_hh_fec_in!P6/SER_hh_num_in!P6)</f>
        <v>0</v>
      </c>
      <c r="Q6" s="132">
        <f>IF(SER_hh_fec_in!Q6=0,0,11630*1000*SER_hh_fec_in!Q6/SER_hh_num_in!Q6)</f>
        <v>0</v>
      </c>
      <c r="R6" s="132">
        <f>IF(SER_hh_fec_in!R6=0,0,11630*1000*SER_hh_fec_in!R6/SER_hh_num_in!R6)</f>
        <v>0</v>
      </c>
      <c r="S6" s="132">
        <f>IF(SER_hh_fec_in!S6=0,0,11630*1000*SER_hh_fec_in!S6/SER_hh_num_in!S6)</f>
        <v>0</v>
      </c>
      <c r="T6" s="132">
        <f>IF(SER_hh_fec_in!T6=0,0,11630*1000*SER_hh_fec_in!T6/SER_hh_num_in!T6)</f>
        <v>0</v>
      </c>
      <c r="U6" s="132">
        <f>IF(SER_hh_fec_in!U6=0,0,11630*1000*SER_hh_fec_in!U6/SER_hh_num_in!U6)</f>
        <v>0</v>
      </c>
      <c r="V6" s="132">
        <f>IF(SER_hh_fec_in!V6=0,0,11630*1000*SER_hh_fec_in!V6/SER_hh_num_in!V6)</f>
        <v>0</v>
      </c>
      <c r="W6" s="132">
        <f>IF(SER_hh_fec_in!W6=0,0,11630*1000*SER_hh_fec_in!W6/SER_hh_num_in!W6)</f>
        <v>0</v>
      </c>
      <c r="X6" s="132">
        <f>IF(SER_hh_fec_in!X6=0,0,11630*1000*SER_hh_fec_in!X6/SER_hh_num_in!X6)</f>
        <v>0</v>
      </c>
      <c r="Y6" s="132">
        <f>IF(SER_hh_fec_in!Y6=0,0,11630*1000*SER_hh_fec_in!Y6/SER_hh_num_in!Y6)</f>
        <v>0</v>
      </c>
      <c r="DA6" s="156" t="s">
        <v>727</v>
      </c>
    </row>
    <row r="7" spans="1:105" ht="12" customHeight="1" x14ac:dyDescent="0.25">
      <c r="A7" s="131" t="s">
        <v>161</v>
      </c>
      <c r="B7" s="132"/>
      <c r="C7" s="132">
        <f>IF(SER_hh_fec_in!C7=0,0,11630*1000*SER_hh_fec_in!C7/SER_hh_num_in!C7)</f>
        <v>243072.09868464645</v>
      </c>
      <c r="D7" s="132">
        <f>IF(SER_hh_fec_in!D7=0,0,11630*1000*SER_hh_fec_in!D7/SER_hh_num_in!D7)</f>
        <v>242228.9834958307</v>
      </c>
      <c r="E7" s="132">
        <f>IF(SER_hh_fec_in!E7=0,0,11630*1000*SER_hh_fec_in!E7/SER_hh_num_in!E7)</f>
        <v>239855.59990409308</v>
      </c>
      <c r="F7" s="132">
        <f>IF(SER_hh_fec_in!F7=0,0,11630*1000*SER_hh_fec_in!F7/SER_hh_num_in!F7)</f>
        <v>231993.41318089169</v>
      </c>
      <c r="G7" s="132">
        <f>IF(SER_hh_fec_in!G7=0,0,11630*1000*SER_hh_fec_in!G7/SER_hh_num_in!G7)</f>
        <v>221339.03500737788</v>
      </c>
      <c r="H7" s="132">
        <f>IF(SER_hh_fec_in!H7=0,0,11630*1000*SER_hh_fec_in!H7/SER_hh_num_in!H7)</f>
        <v>225170.84611663505</v>
      </c>
      <c r="I7" s="132">
        <f>IF(SER_hh_fec_in!I7=0,0,11630*1000*SER_hh_fec_in!I7/SER_hh_num_in!I7)</f>
        <v>226874.13646395595</v>
      </c>
      <c r="J7" s="132">
        <f>IF(SER_hh_fec_in!J7=0,0,11630*1000*SER_hh_fec_in!J7/SER_hh_num_in!J7)</f>
        <v>193679.54524366805</v>
      </c>
      <c r="K7" s="132">
        <f>IF(SER_hh_fec_in!K7=0,0,11630*1000*SER_hh_fec_in!K7/SER_hh_num_in!K7)</f>
        <v>216620.18697170017</v>
      </c>
      <c r="L7" s="132">
        <f>IF(SER_hh_fec_in!L7=0,0,11630*1000*SER_hh_fec_in!L7/SER_hh_num_in!L7)</f>
        <v>246844.76561636617</v>
      </c>
      <c r="M7" s="132">
        <f>IF(SER_hh_fec_in!M7=0,0,11630*1000*SER_hh_fec_in!M7/SER_hh_num_in!M7)</f>
        <v>195464.02172947544</v>
      </c>
      <c r="N7" s="132">
        <f>IF(SER_hh_fec_in!N7=0,0,11630*1000*SER_hh_fec_in!N7/SER_hh_num_in!N7)</f>
        <v>202849.26087378516</v>
      </c>
      <c r="O7" s="132">
        <f>IF(SER_hh_fec_in!O7=0,0,11630*1000*SER_hh_fec_in!O7/SER_hh_num_in!O7)</f>
        <v>170966.95596753314</v>
      </c>
      <c r="P7" s="132">
        <f>IF(SER_hh_fec_in!P7=0,0,11630*1000*SER_hh_fec_in!P7/SER_hh_num_in!P7)</f>
        <v>156058.23623422912</v>
      </c>
      <c r="Q7" s="132">
        <f>IF(SER_hh_fec_in!Q7=0,0,11630*1000*SER_hh_fec_in!Q7/SER_hh_num_in!Q7)</f>
        <v>130355.01361716933</v>
      </c>
      <c r="R7" s="132">
        <f>IF(SER_hh_fec_in!R7=0,0,11630*1000*SER_hh_fec_in!R7/SER_hh_num_in!R7)</f>
        <v>134303.42634513229</v>
      </c>
      <c r="S7" s="132">
        <f>IF(SER_hh_fec_in!S7=0,0,11630*1000*SER_hh_fec_in!S7/SER_hh_num_in!S7)</f>
        <v>125038.96357119095</v>
      </c>
      <c r="T7" s="132">
        <f>IF(SER_hh_fec_in!T7=0,0,11630*1000*SER_hh_fec_in!T7/SER_hh_num_in!T7)</f>
        <v>117193.72076704333</v>
      </c>
      <c r="U7" s="132">
        <f>IF(SER_hh_fec_in!U7=0,0,11630*1000*SER_hh_fec_in!U7/SER_hh_num_in!U7)</f>
        <v>106791.1801254055</v>
      </c>
      <c r="V7" s="132">
        <f>IF(SER_hh_fec_in!V7=0,0,11630*1000*SER_hh_fec_in!V7/SER_hh_num_in!V7)</f>
        <v>87648.5454310809</v>
      </c>
      <c r="W7" s="132">
        <f>IF(SER_hh_fec_in!W7=0,0,11630*1000*SER_hh_fec_in!W7/SER_hh_num_in!W7)</f>
        <v>82340.713225885207</v>
      </c>
      <c r="X7" s="132">
        <f>IF(SER_hh_fec_in!X7=0,0,11630*1000*SER_hh_fec_in!X7/SER_hh_num_in!X7)</f>
        <v>67651.330504716272</v>
      </c>
      <c r="Y7" s="132">
        <f>IF(SER_hh_fec_in!Y7=0,0,11630*1000*SER_hh_fec_in!Y7/SER_hh_num_in!Y7)</f>
        <v>68239.3450455782</v>
      </c>
      <c r="DA7" s="156" t="s">
        <v>728</v>
      </c>
    </row>
    <row r="8" spans="1:105" ht="12" customHeight="1" x14ac:dyDescent="0.25">
      <c r="A8" s="131" t="s">
        <v>73</v>
      </c>
      <c r="B8" s="132"/>
      <c r="C8" s="132">
        <f>IF(SER_hh_fec_in!C8=0,0,11630*1000*SER_hh_fec_in!C8/SER_hh_num_in!C8)</f>
        <v>0</v>
      </c>
      <c r="D8" s="132">
        <f>IF(SER_hh_fec_in!D8=0,0,11630*1000*SER_hh_fec_in!D8/SER_hh_num_in!D8)</f>
        <v>0</v>
      </c>
      <c r="E8" s="132">
        <f>IF(SER_hh_fec_in!E8=0,0,11630*1000*SER_hh_fec_in!E8/SER_hh_num_in!E8)</f>
        <v>0</v>
      </c>
      <c r="F8" s="132">
        <f>IF(SER_hh_fec_in!F8=0,0,11630*1000*SER_hh_fec_in!F8/SER_hh_num_in!F8)</f>
        <v>0</v>
      </c>
      <c r="G8" s="132">
        <f>IF(SER_hh_fec_in!G8=0,0,11630*1000*SER_hh_fec_in!G8/SER_hh_num_in!G8)</f>
        <v>0</v>
      </c>
      <c r="H8" s="132">
        <f>IF(SER_hh_fec_in!H8=0,0,11630*1000*SER_hh_fec_in!H8/SER_hh_num_in!H8)</f>
        <v>0</v>
      </c>
      <c r="I8" s="132">
        <f>IF(SER_hh_fec_in!I8=0,0,11630*1000*SER_hh_fec_in!I8/SER_hh_num_in!I8)</f>
        <v>0</v>
      </c>
      <c r="J8" s="132">
        <f>IF(SER_hh_fec_in!J8=0,0,11630*1000*SER_hh_fec_in!J8/SER_hh_num_in!J8)</f>
        <v>0</v>
      </c>
      <c r="K8" s="132">
        <f>IF(SER_hh_fec_in!K8=0,0,11630*1000*SER_hh_fec_in!K8/SER_hh_num_in!K8)</f>
        <v>0</v>
      </c>
      <c r="L8" s="132">
        <f>IF(SER_hh_fec_in!L8=0,0,11630*1000*SER_hh_fec_in!L8/SER_hh_num_in!L8)</f>
        <v>0</v>
      </c>
      <c r="M8" s="132">
        <f>IF(SER_hh_fec_in!M8=0,0,11630*1000*SER_hh_fec_in!M8/SER_hh_num_in!M8)</f>
        <v>0</v>
      </c>
      <c r="N8" s="132">
        <f>IF(SER_hh_fec_in!N8=0,0,11630*1000*SER_hh_fec_in!N8/SER_hh_num_in!N8)</f>
        <v>0</v>
      </c>
      <c r="O8" s="132">
        <f>IF(SER_hh_fec_in!O8=0,0,11630*1000*SER_hh_fec_in!O8/SER_hh_num_in!O8)</f>
        <v>0</v>
      </c>
      <c r="P8" s="132">
        <f>IF(SER_hh_fec_in!P8=0,0,11630*1000*SER_hh_fec_in!P8/SER_hh_num_in!P8)</f>
        <v>0</v>
      </c>
      <c r="Q8" s="132">
        <f>IF(SER_hh_fec_in!Q8=0,0,11630*1000*SER_hh_fec_in!Q8/SER_hh_num_in!Q8)</f>
        <v>0</v>
      </c>
      <c r="R8" s="132">
        <f>IF(SER_hh_fec_in!R8=0,0,11630*1000*SER_hh_fec_in!R8/SER_hh_num_in!R8)</f>
        <v>0</v>
      </c>
      <c r="S8" s="132">
        <f>IF(SER_hh_fec_in!S8=0,0,11630*1000*SER_hh_fec_in!S8/SER_hh_num_in!S8)</f>
        <v>0</v>
      </c>
      <c r="T8" s="132">
        <f>IF(SER_hh_fec_in!T8=0,0,11630*1000*SER_hh_fec_in!T8/SER_hh_num_in!T8)</f>
        <v>0</v>
      </c>
      <c r="U8" s="132">
        <f>IF(SER_hh_fec_in!U8=0,0,11630*1000*SER_hh_fec_in!U8/SER_hh_num_in!U8)</f>
        <v>0</v>
      </c>
      <c r="V8" s="132">
        <f>IF(SER_hh_fec_in!V8=0,0,11630*1000*SER_hh_fec_in!V8/SER_hh_num_in!V8)</f>
        <v>0</v>
      </c>
      <c r="W8" s="132">
        <f>IF(SER_hh_fec_in!W8=0,0,11630*1000*SER_hh_fec_in!W8/SER_hh_num_in!W8)</f>
        <v>0</v>
      </c>
      <c r="X8" s="132">
        <f>IF(SER_hh_fec_in!X8=0,0,11630*1000*SER_hh_fec_in!X8/SER_hh_num_in!X8)</f>
        <v>0</v>
      </c>
      <c r="Y8" s="132">
        <f>IF(SER_hh_fec_in!Y8=0,0,11630*1000*SER_hh_fec_in!Y8/SER_hh_num_in!Y8)</f>
        <v>0</v>
      </c>
      <c r="DA8" s="156" t="s">
        <v>729</v>
      </c>
    </row>
    <row r="9" spans="1:105" ht="12" customHeight="1" x14ac:dyDescent="0.25">
      <c r="A9" s="131" t="s">
        <v>78</v>
      </c>
      <c r="B9" s="132"/>
      <c r="C9" s="132">
        <f>IF(SER_hh_fec_in!C9=0,0,11630*1000*SER_hh_fec_in!C9/SER_hh_num_in!C9)</f>
        <v>212622.26634971652</v>
      </c>
      <c r="D9" s="132">
        <f>IF(SER_hh_fec_in!D9=0,0,11630*1000*SER_hh_fec_in!D9/SER_hh_num_in!D9)</f>
        <v>232305.60124899127</v>
      </c>
      <c r="E9" s="132">
        <f>IF(SER_hh_fec_in!E9=0,0,11630*1000*SER_hh_fec_in!E9/SER_hh_num_in!E9)</f>
        <v>222309.90009181347</v>
      </c>
      <c r="F9" s="132">
        <f>IF(SER_hh_fec_in!F9=0,0,11630*1000*SER_hh_fec_in!F9/SER_hh_num_in!F9)</f>
        <v>227619.51492861647</v>
      </c>
      <c r="G9" s="132">
        <f>IF(SER_hh_fec_in!G9=0,0,11630*1000*SER_hh_fec_in!G9/SER_hh_num_in!G9)</f>
        <v>218008.46132860333</v>
      </c>
      <c r="H9" s="132">
        <f>IF(SER_hh_fec_in!H9=0,0,11630*1000*SER_hh_fec_in!H9/SER_hh_num_in!H9)</f>
        <v>207293.19118091822</v>
      </c>
      <c r="I9" s="132">
        <f>IF(SER_hh_fec_in!I9=0,0,11630*1000*SER_hh_fec_in!I9/SER_hh_num_in!I9)</f>
        <v>207620.87872770376</v>
      </c>
      <c r="J9" s="132">
        <f>IF(SER_hh_fec_in!J9=0,0,11630*1000*SER_hh_fec_in!J9/SER_hh_num_in!J9)</f>
        <v>206090.71192374019</v>
      </c>
      <c r="K9" s="132">
        <f>IF(SER_hh_fec_in!K9=0,0,11630*1000*SER_hh_fec_in!K9/SER_hh_num_in!K9)</f>
        <v>199374.01256175042</v>
      </c>
      <c r="L9" s="132">
        <f>IF(SER_hh_fec_in!L9=0,0,11630*1000*SER_hh_fec_in!L9/SER_hh_num_in!L9)</f>
        <v>209928.21726317852</v>
      </c>
      <c r="M9" s="132">
        <f>IF(SER_hh_fec_in!M9=0,0,11630*1000*SER_hh_fec_in!M9/SER_hh_num_in!M9)</f>
        <v>266965.99604586104</v>
      </c>
      <c r="N9" s="132">
        <f>IF(SER_hh_fec_in!N9=0,0,11630*1000*SER_hh_fec_in!N9/SER_hh_num_in!N9)</f>
        <v>274752.4142011081</v>
      </c>
      <c r="O9" s="132">
        <f>IF(SER_hh_fec_in!O9=0,0,11630*1000*SER_hh_fec_in!O9/SER_hh_num_in!O9)</f>
        <v>206490.78017826294</v>
      </c>
      <c r="P9" s="132">
        <f>IF(SER_hh_fec_in!P9=0,0,11630*1000*SER_hh_fec_in!P9/SER_hh_num_in!P9)</f>
        <v>159504.55667614937</v>
      </c>
      <c r="Q9" s="132">
        <f>IF(SER_hh_fec_in!Q9=0,0,11630*1000*SER_hh_fec_in!Q9/SER_hh_num_in!Q9)</f>
        <v>126996.15666567137</v>
      </c>
      <c r="R9" s="132">
        <f>IF(SER_hh_fec_in!R9=0,0,11630*1000*SER_hh_fec_in!R9/SER_hh_num_in!R9)</f>
        <v>115378.25565511176</v>
      </c>
      <c r="S9" s="132">
        <f>IF(SER_hh_fec_in!S9=0,0,11630*1000*SER_hh_fec_in!S9/SER_hh_num_in!S9)</f>
        <v>130941.12250594817</v>
      </c>
      <c r="T9" s="132">
        <f>IF(SER_hh_fec_in!T9=0,0,11630*1000*SER_hh_fec_in!T9/SER_hh_num_in!T9)</f>
        <v>113008.62823583464</v>
      </c>
      <c r="U9" s="132">
        <f>IF(SER_hh_fec_in!U9=0,0,11630*1000*SER_hh_fec_in!U9/SER_hh_num_in!U9)</f>
        <v>100020.40357138711</v>
      </c>
      <c r="V9" s="132">
        <f>IF(SER_hh_fec_in!V9=0,0,11630*1000*SER_hh_fec_in!V9/SER_hh_num_in!V9)</f>
        <v>81647.569064940049</v>
      </c>
      <c r="W9" s="132">
        <f>IF(SER_hh_fec_in!W9=0,0,11630*1000*SER_hh_fec_in!W9/SER_hh_num_in!W9)</f>
        <v>83028.58970336894</v>
      </c>
      <c r="X9" s="132">
        <f>IF(SER_hh_fec_in!X9=0,0,11630*1000*SER_hh_fec_in!X9/SER_hh_num_in!X9)</f>
        <v>65239.391793971525</v>
      </c>
      <c r="Y9" s="132">
        <f>IF(SER_hh_fec_in!Y9=0,0,11630*1000*SER_hh_fec_in!Y9/SER_hh_num_in!Y9)</f>
        <v>0</v>
      </c>
      <c r="DA9" s="156" t="s">
        <v>730</v>
      </c>
    </row>
    <row r="10" spans="1:105" ht="12" customHeight="1" x14ac:dyDescent="0.25">
      <c r="A10" s="131" t="s">
        <v>128</v>
      </c>
      <c r="B10" s="132"/>
      <c r="C10" s="132">
        <f>IF(SER_hh_fec_in!C10=0,0,11630*1000*SER_hh_fec_in!C10/SER_hh_num_in!C10)</f>
        <v>228771.20259940033</v>
      </c>
      <c r="D10" s="132">
        <f>IF(SER_hh_fec_in!D10=0,0,11630*1000*SER_hh_fec_in!D10/SER_hh_num_in!D10)</f>
        <v>231648.53838975943</v>
      </c>
      <c r="E10" s="132">
        <f>IF(SER_hh_fec_in!E10=0,0,11630*1000*SER_hh_fec_in!E10/SER_hh_num_in!E10)</f>
        <v>229549.13526099239</v>
      </c>
      <c r="F10" s="132">
        <f>IF(SER_hh_fec_in!F10=0,0,11630*1000*SER_hh_fec_in!F10/SER_hh_num_in!F10)</f>
        <v>221707.4376317361</v>
      </c>
      <c r="G10" s="132">
        <f>IF(SER_hh_fec_in!G10=0,0,11630*1000*SER_hh_fec_in!G10/SER_hh_num_in!G10)</f>
        <v>216103.80503457994</v>
      </c>
      <c r="H10" s="132">
        <f>IF(SER_hh_fec_in!H10=0,0,11630*1000*SER_hh_fec_in!H10/SER_hh_num_in!H10)</f>
        <v>217641.4513791707</v>
      </c>
      <c r="I10" s="132">
        <f>IF(SER_hh_fec_in!I10=0,0,11630*1000*SER_hh_fec_in!I10/SER_hh_num_in!I10)</f>
        <v>213034.04489399586</v>
      </c>
      <c r="J10" s="132">
        <f>IF(SER_hh_fec_in!J10=0,0,11630*1000*SER_hh_fec_in!J10/SER_hh_num_in!J10)</f>
        <v>221870.10684185362</v>
      </c>
      <c r="K10" s="132">
        <f>IF(SER_hh_fec_in!K10=0,0,11630*1000*SER_hh_fec_in!K10/SER_hh_num_in!K10)</f>
        <v>232835.50320384395</v>
      </c>
      <c r="L10" s="132">
        <f>IF(SER_hh_fec_in!L10=0,0,11630*1000*SER_hh_fec_in!L10/SER_hh_num_in!L10)</f>
        <v>250133.86259255989</v>
      </c>
      <c r="M10" s="132">
        <f>IF(SER_hh_fec_in!M10=0,0,11630*1000*SER_hh_fec_in!M10/SER_hh_num_in!M10)</f>
        <v>208272.96230132564</v>
      </c>
      <c r="N10" s="132">
        <f>IF(SER_hh_fec_in!N10=0,0,11630*1000*SER_hh_fec_in!N10/SER_hh_num_in!N10)</f>
        <v>223648.53363673884</v>
      </c>
      <c r="O10" s="132">
        <f>IF(SER_hh_fec_in!O10=0,0,11630*1000*SER_hh_fec_in!O10/SER_hh_num_in!O10)</f>
        <v>199532.97225945781</v>
      </c>
      <c r="P10" s="132">
        <f>IF(SER_hh_fec_in!P10=0,0,11630*1000*SER_hh_fec_in!P10/SER_hh_num_in!P10)</f>
        <v>197086.52930862937</v>
      </c>
      <c r="Q10" s="132">
        <f>IF(SER_hh_fec_in!Q10=0,0,11630*1000*SER_hh_fec_in!Q10/SER_hh_num_in!Q10)</f>
        <v>170414.12591657499</v>
      </c>
      <c r="R10" s="132">
        <f>IF(SER_hh_fec_in!R10=0,0,11630*1000*SER_hh_fec_in!R10/SER_hh_num_in!R10)</f>
        <v>178097.92426291868</v>
      </c>
      <c r="S10" s="132">
        <f>IF(SER_hh_fec_in!S10=0,0,11630*1000*SER_hh_fec_in!S10/SER_hh_num_in!S10)</f>
        <v>167108.24028553476</v>
      </c>
      <c r="T10" s="132">
        <f>IF(SER_hh_fec_in!T10=0,0,11630*1000*SER_hh_fec_in!T10/SER_hh_num_in!T10)</f>
        <v>159289.63630412458</v>
      </c>
      <c r="U10" s="132">
        <f>IF(SER_hh_fec_in!U10=0,0,11630*1000*SER_hh_fec_in!U10/SER_hh_num_in!U10)</f>
        <v>142614.51077876138</v>
      </c>
      <c r="V10" s="132">
        <f>IF(SER_hh_fec_in!V10=0,0,11630*1000*SER_hh_fec_in!V10/SER_hh_num_in!V10)</f>
        <v>115753.13698478843</v>
      </c>
      <c r="W10" s="132">
        <f>IF(SER_hh_fec_in!W10=0,0,11630*1000*SER_hh_fec_in!W10/SER_hh_num_in!W10)</f>
        <v>109368.72750873488</v>
      </c>
      <c r="X10" s="132">
        <f>IF(SER_hh_fec_in!X10=0,0,11630*1000*SER_hh_fec_in!X10/SER_hh_num_in!X10)</f>
        <v>98140.412154529884</v>
      </c>
      <c r="Y10" s="132">
        <f>IF(SER_hh_fec_in!Y10=0,0,11630*1000*SER_hh_fec_in!Y10/SER_hh_num_in!Y10)</f>
        <v>87211.766055577013</v>
      </c>
      <c r="DA10" s="156" t="s">
        <v>731</v>
      </c>
    </row>
    <row r="11" spans="1:105" ht="12" customHeight="1" x14ac:dyDescent="0.25">
      <c r="A11" s="131" t="s">
        <v>25</v>
      </c>
      <c r="B11" s="132"/>
      <c r="C11" s="132">
        <f>IF(SER_hh_fec_in!C11=0,0,11630*1000*SER_hh_fec_in!C11/SER_hh_num_in!C11)</f>
        <v>0</v>
      </c>
      <c r="D11" s="132">
        <f>IF(SER_hh_fec_in!D11=0,0,11630*1000*SER_hh_fec_in!D11/SER_hh_num_in!D11)</f>
        <v>0</v>
      </c>
      <c r="E11" s="132">
        <f>IF(SER_hh_fec_in!E11=0,0,11630*1000*SER_hh_fec_in!E11/SER_hh_num_in!E11)</f>
        <v>0</v>
      </c>
      <c r="F11" s="132">
        <f>IF(SER_hh_fec_in!F11=0,0,11630*1000*SER_hh_fec_in!F11/SER_hh_num_in!F11)</f>
        <v>0</v>
      </c>
      <c r="G11" s="132">
        <f>IF(SER_hh_fec_in!G11=0,0,11630*1000*SER_hh_fec_in!G11/SER_hh_num_in!G11)</f>
        <v>0</v>
      </c>
      <c r="H11" s="132">
        <f>IF(SER_hh_fec_in!H11=0,0,11630*1000*SER_hh_fec_in!H11/SER_hh_num_in!H11)</f>
        <v>0</v>
      </c>
      <c r="I11" s="132">
        <f>IF(SER_hh_fec_in!I11=0,0,11630*1000*SER_hh_fec_in!I11/SER_hh_num_in!I11)</f>
        <v>0</v>
      </c>
      <c r="J11" s="132">
        <f>IF(SER_hh_fec_in!J11=0,0,11630*1000*SER_hh_fec_in!J11/SER_hh_num_in!J11)</f>
        <v>0</v>
      </c>
      <c r="K11" s="132">
        <f>IF(SER_hh_fec_in!K11=0,0,11630*1000*SER_hh_fec_in!K11/SER_hh_num_in!K11)</f>
        <v>0</v>
      </c>
      <c r="L11" s="132">
        <f>IF(SER_hh_fec_in!L11=0,0,11630*1000*SER_hh_fec_in!L11/SER_hh_num_in!L11)</f>
        <v>0</v>
      </c>
      <c r="M11" s="132">
        <f>IF(SER_hh_fec_in!M11=0,0,11630*1000*SER_hh_fec_in!M11/SER_hh_num_in!M11)</f>
        <v>0</v>
      </c>
      <c r="N11" s="132">
        <f>IF(SER_hh_fec_in!N11=0,0,11630*1000*SER_hh_fec_in!N11/SER_hh_num_in!N11)</f>
        <v>0</v>
      </c>
      <c r="O11" s="132">
        <f>IF(SER_hh_fec_in!O11=0,0,11630*1000*SER_hh_fec_in!O11/SER_hh_num_in!O11)</f>
        <v>0</v>
      </c>
      <c r="P11" s="132">
        <f>IF(SER_hh_fec_in!P11=0,0,11630*1000*SER_hh_fec_in!P11/SER_hh_num_in!P11)</f>
        <v>0</v>
      </c>
      <c r="Q11" s="132">
        <f>IF(SER_hh_fec_in!Q11=0,0,11630*1000*SER_hh_fec_in!Q11/SER_hh_num_in!Q11)</f>
        <v>0</v>
      </c>
      <c r="R11" s="132">
        <f>IF(SER_hh_fec_in!R11=0,0,11630*1000*SER_hh_fec_in!R11/SER_hh_num_in!R11)</f>
        <v>0</v>
      </c>
      <c r="S11" s="132">
        <f>IF(SER_hh_fec_in!S11=0,0,11630*1000*SER_hh_fec_in!S11/SER_hh_num_in!S11)</f>
        <v>0</v>
      </c>
      <c r="T11" s="132">
        <f>IF(SER_hh_fec_in!T11=0,0,11630*1000*SER_hh_fec_in!T11/SER_hh_num_in!T11)</f>
        <v>0</v>
      </c>
      <c r="U11" s="132">
        <f>IF(SER_hh_fec_in!U11=0,0,11630*1000*SER_hh_fec_in!U11/SER_hh_num_in!U11)</f>
        <v>0</v>
      </c>
      <c r="V11" s="132">
        <f>IF(SER_hh_fec_in!V11=0,0,11630*1000*SER_hh_fec_in!V11/SER_hh_num_in!V11)</f>
        <v>0</v>
      </c>
      <c r="W11" s="132">
        <f>IF(SER_hh_fec_in!W11=0,0,11630*1000*SER_hh_fec_in!W11/SER_hh_num_in!W11)</f>
        <v>0</v>
      </c>
      <c r="X11" s="132">
        <f>IF(SER_hh_fec_in!X11=0,0,11630*1000*SER_hh_fec_in!X11/SER_hh_num_in!X11)</f>
        <v>0</v>
      </c>
      <c r="Y11" s="132">
        <f>IF(SER_hh_fec_in!Y11=0,0,11630*1000*SER_hh_fec_in!Y11/SER_hh_num_in!Y11)</f>
        <v>0</v>
      </c>
      <c r="DA11" s="156" t="s">
        <v>732</v>
      </c>
    </row>
    <row r="12" spans="1:105" ht="12" customHeight="1" x14ac:dyDescent="0.25">
      <c r="A12" s="131" t="s">
        <v>162</v>
      </c>
      <c r="B12" s="132"/>
      <c r="C12" s="132">
        <f>IF(SER_hh_fec_in!C12=0,0,11630*1000*SER_hh_fec_in!C12/SER_hh_num_in!C12)</f>
        <v>157462.09321290973</v>
      </c>
      <c r="D12" s="132">
        <f>IF(SER_hh_fec_in!D12=0,0,11630*1000*SER_hh_fec_in!D12/SER_hh_num_in!D12)</f>
        <v>159214.90605864101</v>
      </c>
      <c r="E12" s="132">
        <f>IF(SER_hh_fec_in!E12=0,0,11630*1000*SER_hh_fec_in!E12/SER_hh_num_in!E12)</f>
        <v>159022.43928525018</v>
      </c>
      <c r="F12" s="132">
        <f>IF(SER_hh_fec_in!F12=0,0,11630*1000*SER_hh_fec_in!F12/SER_hh_num_in!F12)</f>
        <v>151253.93764707856</v>
      </c>
      <c r="G12" s="132">
        <f>IF(SER_hh_fec_in!G12=0,0,11630*1000*SER_hh_fec_in!G12/SER_hh_num_in!G12)</f>
        <v>144237.41139359519</v>
      </c>
      <c r="H12" s="132">
        <f>IF(SER_hh_fec_in!H12=0,0,11630*1000*SER_hh_fec_in!H12/SER_hh_num_in!H12)</f>
        <v>142195.50269179518</v>
      </c>
      <c r="I12" s="132">
        <f>IF(SER_hh_fec_in!I12=0,0,11630*1000*SER_hh_fec_in!I12/SER_hh_num_in!I12)</f>
        <v>153070.15259570425</v>
      </c>
      <c r="J12" s="132">
        <f>IF(SER_hh_fec_in!J12=0,0,11630*1000*SER_hh_fec_in!J12/SER_hh_num_in!J12)</f>
        <v>144760.47327243039</v>
      </c>
      <c r="K12" s="132">
        <f>IF(SER_hh_fec_in!K12=0,0,11630*1000*SER_hh_fec_in!K12/SER_hh_num_in!K12)</f>
        <v>162796.70041217905</v>
      </c>
      <c r="L12" s="132">
        <f>IF(SER_hh_fec_in!L12=0,0,11630*1000*SER_hh_fec_in!L12/SER_hh_num_in!L12)</f>
        <v>169332.94048566502</v>
      </c>
      <c r="M12" s="132">
        <f>IF(SER_hh_fec_in!M12=0,0,11630*1000*SER_hh_fec_in!M12/SER_hh_num_in!M12)</f>
        <v>135503.92863720431</v>
      </c>
      <c r="N12" s="132">
        <f>IF(SER_hh_fec_in!N12=0,0,11630*1000*SER_hh_fec_in!N12/SER_hh_num_in!N12)</f>
        <v>144793.10761763126</v>
      </c>
      <c r="O12" s="132">
        <f>IF(SER_hh_fec_in!O12=0,0,11630*1000*SER_hh_fec_in!O12/SER_hh_num_in!O12)</f>
        <v>130573.77851126717</v>
      </c>
      <c r="P12" s="132">
        <f>IF(SER_hh_fec_in!P12=0,0,11630*1000*SER_hh_fec_in!P12/SER_hh_num_in!P12)</f>
        <v>133739.52103135281</v>
      </c>
      <c r="Q12" s="132">
        <f>IF(SER_hh_fec_in!Q12=0,0,11630*1000*SER_hh_fec_in!Q12/SER_hh_num_in!Q12)</f>
        <v>111708.74489281292</v>
      </c>
      <c r="R12" s="132">
        <f>IF(SER_hh_fec_in!R12=0,0,11630*1000*SER_hh_fec_in!R12/SER_hh_num_in!R12)</f>
        <v>116230.54406306928</v>
      </c>
      <c r="S12" s="132">
        <f>IF(SER_hh_fec_in!S12=0,0,11630*1000*SER_hh_fec_in!S12/SER_hh_num_in!S12)</f>
        <v>107946.43057952658</v>
      </c>
      <c r="T12" s="132">
        <f>IF(SER_hh_fec_in!T12=0,0,11630*1000*SER_hh_fec_in!T12/SER_hh_num_in!T12)</f>
        <v>102605.35869976129</v>
      </c>
      <c r="U12" s="132">
        <f>IF(SER_hh_fec_in!U12=0,0,11630*1000*SER_hh_fec_in!U12/SER_hh_num_in!U12)</f>
        <v>91079.227867651076</v>
      </c>
      <c r="V12" s="132">
        <f>IF(SER_hh_fec_in!V12=0,0,11630*1000*SER_hh_fec_in!V12/SER_hh_num_in!V12)</f>
        <v>74883.099475839626</v>
      </c>
      <c r="W12" s="132">
        <f>IF(SER_hh_fec_in!W12=0,0,11630*1000*SER_hh_fec_in!W12/SER_hh_num_in!W12)</f>
        <v>71181.049403192446</v>
      </c>
      <c r="X12" s="132">
        <f>IF(SER_hh_fec_in!X12=0,0,11630*1000*SER_hh_fec_in!X12/SER_hh_num_in!X12)</f>
        <v>57320.164998038927</v>
      </c>
      <c r="Y12" s="132">
        <f>IF(SER_hh_fec_in!Y12=0,0,11630*1000*SER_hh_fec_in!Y12/SER_hh_num_in!Y12)</f>
        <v>57854.899907241896</v>
      </c>
      <c r="DA12" s="156" t="s">
        <v>733</v>
      </c>
    </row>
    <row r="13" spans="1:105" ht="12" customHeight="1" x14ac:dyDescent="0.25">
      <c r="A13" s="131" t="s">
        <v>77</v>
      </c>
      <c r="B13" s="132"/>
      <c r="C13" s="132">
        <f>IF(SER_hh_fec_in!C13=0,0,11630*1000*SER_hh_fec_in!C13/SER_hh_num_in!C13)</f>
        <v>73483.469379086775</v>
      </c>
      <c r="D13" s="132">
        <f>IF(SER_hh_fec_in!D13=0,0,11630*1000*SER_hh_fec_in!D13/SER_hh_num_in!D13)</f>
        <v>70900.785584668774</v>
      </c>
      <c r="E13" s="132">
        <f>IF(SER_hh_fec_in!E13=0,0,11630*1000*SER_hh_fec_in!E13/SER_hh_num_in!E13)</f>
        <v>67458.976512932699</v>
      </c>
      <c r="F13" s="132">
        <f>IF(SER_hh_fec_in!F13=0,0,11630*1000*SER_hh_fec_in!F13/SER_hh_num_in!F13)</f>
        <v>63875.083370075867</v>
      </c>
      <c r="G13" s="132">
        <f>IF(SER_hh_fec_in!G13=0,0,11630*1000*SER_hh_fec_in!G13/SER_hh_num_in!G13)</f>
        <v>60383.422289085465</v>
      </c>
      <c r="H13" s="132">
        <f>IF(SER_hh_fec_in!H13=0,0,11630*1000*SER_hh_fec_in!H13/SER_hh_num_in!H13)</f>
        <v>57857.000770470499</v>
      </c>
      <c r="I13" s="132">
        <f>IF(SER_hh_fec_in!I13=0,0,11630*1000*SER_hh_fec_in!I13/SER_hh_num_in!I13)</f>
        <v>56441.404315989661</v>
      </c>
      <c r="J13" s="132">
        <f>IF(SER_hh_fec_in!J13=0,0,11630*1000*SER_hh_fec_in!J13/SER_hh_num_in!J13)</f>
        <v>55225.991590894148</v>
      </c>
      <c r="K13" s="132">
        <f>IF(SER_hh_fec_in!K13=0,0,11630*1000*SER_hh_fec_in!K13/SER_hh_num_in!K13)</f>
        <v>54122.270365262128</v>
      </c>
      <c r="L13" s="132">
        <f>IF(SER_hh_fec_in!L13=0,0,11630*1000*SER_hh_fec_in!L13/SER_hh_num_in!L13)</f>
        <v>51825.502022978188</v>
      </c>
      <c r="M13" s="132">
        <f>IF(SER_hh_fec_in!M13=0,0,11630*1000*SER_hh_fec_in!M13/SER_hh_num_in!M13)</f>
        <v>47261.975244053086</v>
      </c>
      <c r="N13" s="132">
        <f>IF(SER_hh_fec_in!N13=0,0,11630*1000*SER_hh_fec_in!N13/SER_hh_num_in!N13)</f>
        <v>43783.516957544234</v>
      </c>
      <c r="O13" s="132">
        <f>IF(SER_hh_fec_in!O13=0,0,11630*1000*SER_hh_fec_in!O13/SER_hh_num_in!O13)</f>
        <v>38823.829447484772</v>
      </c>
      <c r="P13" s="132">
        <f>IF(SER_hh_fec_in!P13=0,0,11630*1000*SER_hh_fec_in!P13/SER_hh_num_in!P13)</f>
        <v>35130.872133265955</v>
      </c>
      <c r="Q13" s="132">
        <f>IF(SER_hh_fec_in!Q13=0,0,11630*1000*SER_hh_fec_in!Q13/SER_hh_num_in!Q13)</f>
        <v>33274.849071583194</v>
      </c>
      <c r="R13" s="132">
        <f>IF(SER_hh_fec_in!R13=0,0,11630*1000*SER_hh_fec_in!R13/SER_hh_num_in!R13)</f>
        <v>29601.880455728518</v>
      </c>
      <c r="S13" s="132">
        <f>IF(SER_hh_fec_in!S13=0,0,11630*1000*SER_hh_fec_in!S13/SER_hh_num_in!S13)</f>
        <v>27158.695945597759</v>
      </c>
      <c r="T13" s="132">
        <f>IF(SER_hh_fec_in!T13=0,0,11630*1000*SER_hh_fec_in!T13/SER_hh_num_in!T13)</f>
        <v>25673.1723469313</v>
      </c>
      <c r="U13" s="132">
        <f>IF(SER_hh_fec_in!U13=0,0,11630*1000*SER_hh_fec_in!U13/SER_hh_num_in!U13)</f>
        <v>22658.633753734626</v>
      </c>
      <c r="V13" s="132">
        <f>IF(SER_hh_fec_in!V13=0,0,11630*1000*SER_hh_fec_in!V13/SER_hh_num_in!V13)</f>
        <v>18540.308981831546</v>
      </c>
      <c r="W13" s="132">
        <f>IF(SER_hh_fec_in!W13=0,0,11630*1000*SER_hh_fec_in!W13/SER_hh_num_in!W13)</f>
        <v>17211.641370443038</v>
      </c>
      <c r="X13" s="132">
        <f>IF(SER_hh_fec_in!X13=0,0,11630*1000*SER_hh_fec_in!X13/SER_hh_num_in!X13)</f>
        <v>14200.730591683659</v>
      </c>
      <c r="Y13" s="132">
        <f>IF(SER_hh_fec_in!Y13=0,0,11630*1000*SER_hh_fec_in!Y13/SER_hh_num_in!Y13)</f>
        <v>15093.629452803429</v>
      </c>
      <c r="DA13" s="156" t="s">
        <v>734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172941.84413654404</v>
      </c>
      <c r="D14" s="65">
        <f>IF(SER_hh_fec_in!D14=0,0,11630*1000*SER_hh_fec_in!D14/SER_hh_num_in!D14)</f>
        <v>178043.30219147686</v>
      </c>
      <c r="E14" s="65">
        <f>IF(SER_hh_fec_in!E14=0,0,11630*1000*SER_hh_fec_in!E14/SER_hh_num_in!E14)</f>
        <v>167386.17348291623</v>
      </c>
      <c r="F14" s="65">
        <f>IF(SER_hh_fec_in!F14=0,0,11630*1000*SER_hh_fec_in!F14/SER_hh_num_in!F14)</f>
        <v>166693.92408180685</v>
      </c>
      <c r="G14" s="65">
        <f>IF(SER_hh_fec_in!G14=0,0,11630*1000*SER_hh_fec_in!G14/SER_hh_num_in!G14)</f>
        <v>161882.73140475858</v>
      </c>
      <c r="H14" s="65">
        <f>IF(SER_hh_fec_in!H14=0,0,11630*1000*SER_hh_fec_in!H14/SER_hh_num_in!H14)</f>
        <v>161174.03383779805</v>
      </c>
      <c r="I14" s="65">
        <f>IF(SER_hh_fec_in!I14=0,0,11630*1000*SER_hh_fec_in!I14/SER_hh_num_in!I14)</f>
        <v>160603.86810595871</v>
      </c>
      <c r="J14" s="65">
        <f>IF(SER_hh_fec_in!J14=0,0,11630*1000*SER_hh_fec_in!J14/SER_hh_num_in!J14)</f>
        <v>160953.83833817346</v>
      </c>
      <c r="K14" s="65">
        <f>IF(SER_hh_fec_in!K14=0,0,11630*1000*SER_hh_fec_in!K14/SER_hh_num_in!K14)</f>
        <v>170414.2247190043</v>
      </c>
      <c r="L14" s="65">
        <f>IF(SER_hh_fec_in!L14=0,0,11630*1000*SER_hh_fec_in!L14/SER_hh_num_in!L14)</f>
        <v>175915.50051274747</v>
      </c>
      <c r="M14" s="65">
        <f>IF(SER_hh_fec_in!M14=0,0,11630*1000*SER_hh_fec_in!M14/SER_hh_num_in!M14)</f>
        <v>153111.22371048204</v>
      </c>
      <c r="N14" s="65">
        <f>IF(SER_hh_fec_in!N14=0,0,11630*1000*SER_hh_fec_in!N14/SER_hh_num_in!N14)</f>
        <v>160066.43199085898</v>
      </c>
      <c r="O14" s="65">
        <f>IF(SER_hh_fec_in!O14=0,0,11630*1000*SER_hh_fec_in!O14/SER_hh_num_in!O14)</f>
        <v>145402.79594239822</v>
      </c>
      <c r="P14" s="65">
        <f>IF(SER_hh_fec_in!P14=0,0,11630*1000*SER_hh_fec_in!P14/SER_hh_num_in!P14)</f>
        <v>137452.25368320395</v>
      </c>
      <c r="Q14" s="65">
        <f>IF(SER_hh_fec_in!Q14=0,0,11630*1000*SER_hh_fec_in!Q14/SER_hh_num_in!Q14)</f>
        <v>126645.78376303917</v>
      </c>
      <c r="R14" s="65">
        <f>IF(SER_hh_fec_in!R14=0,0,11630*1000*SER_hh_fec_in!R14/SER_hh_num_in!R14)</f>
        <v>122190.83759696494</v>
      </c>
      <c r="S14" s="65">
        <f>IF(SER_hh_fec_in!S14=0,0,11630*1000*SER_hh_fec_in!S14/SER_hh_num_in!S14)</f>
        <v>107485.86148690934</v>
      </c>
      <c r="T14" s="65">
        <f>IF(SER_hh_fec_in!T14=0,0,11630*1000*SER_hh_fec_in!T14/SER_hh_num_in!T14)</f>
        <v>108610.41043065744</v>
      </c>
      <c r="U14" s="65">
        <f>IF(SER_hh_fec_in!U14=0,0,11630*1000*SER_hh_fec_in!U14/SER_hh_num_in!U14)</f>
        <v>91483.962546349227</v>
      </c>
      <c r="V14" s="65">
        <f>IF(SER_hh_fec_in!V14=0,0,11630*1000*SER_hh_fec_in!V14/SER_hh_num_in!V14)</f>
        <v>74489.375913731084</v>
      </c>
      <c r="W14" s="65">
        <f>IF(SER_hh_fec_in!W14=0,0,11630*1000*SER_hh_fec_in!W14/SER_hh_num_in!W14)</f>
        <v>64729.470582810143</v>
      </c>
      <c r="X14" s="65">
        <f>IF(SER_hh_fec_in!X14=0,0,11630*1000*SER_hh_fec_in!X14/SER_hh_num_in!X14)</f>
        <v>57746.516620271221</v>
      </c>
      <c r="Y14" s="65">
        <f>IF(SER_hh_fec_in!Y14=0,0,11630*1000*SER_hh_fec_in!Y14/SER_hh_num_in!Y14)</f>
        <v>51011.373263333437</v>
      </c>
      <c r="DA14" s="109" t="s">
        <v>735</v>
      </c>
    </row>
    <row r="15" spans="1:105" ht="12" customHeight="1" x14ac:dyDescent="0.25">
      <c r="A15" s="133" t="s">
        <v>80</v>
      </c>
      <c r="B15" s="134"/>
      <c r="C15" s="134">
        <f>IF(SER_hh_fec_in!C15=0,0,11630*1000*SER_hh_fec_in!C15/SER_hh_num_in!C15)</f>
        <v>831.04696803406478</v>
      </c>
      <c r="D15" s="134">
        <f>IF(SER_hh_fec_in!D15=0,0,11630*1000*SER_hh_fec_in!D15/SER_hh_num_in!D15)</f>
        <v>872.41993525660666</v>
      </c>
      <c r="E15" s="134">
        <f>IF(SER_hh_fec_in!E15=0,0,11630*1000*SER_hh_fec_in!E15/SER_hh_num_in!E15)</f>
        <v>907.81042064573853</v>
      </c>
      <c r="F15" s="134">
        <f>IF(SER_hh_fec_in!F15=0,0,11630*1000*SER_hh_fec_in!F15/SER_hh_num_in!F15)</f>
        <v>895.44508342958375</v>
      </c>
      <c r="G15" s="134">
        <f>IF(SER_hh_fec_in!G15=0,0,11630*1000*SER_hh_fec_in!G15/SER_hh_num_in!G15)</f>
        <v>795.84313332453041</v>
      </c>
      <c r="H15" s="134">
        <f>IF(SER_hh_fec_in!H15=0,0,11630*1000*SER_hh_fec_in!H15/SER_hh_num_in!H15)</f>
        <v>676.45396164924546</v>
      </c>
      <c r="I15" s="134">
        <f>IF(SER_hh_fec_in!I15=0,0,11630*1000*SER_hh_fec_in!I15/SER_hh_num_in!I15)</f>
        <v>607.96780678908249</v>
      </c>
      <c r="J15" s="134">
        <f>IF(SER_hh_fec_in!J15=0,0,11630*1000*SER_hh_fec_in!J15/SER_hh_num_in!J15)</f>
        <v>601.04955077700799</v>
      </c>
      <c r="K15" s="134">
        <f>IF(SER_hh_fec_in!K15=0,0,11630*1000*SER_hh_fec_in!K15/SER_hh_num_in!K15)</f>
        <v>826.43834918882703</v>
      </c>
      <c r="L15" s="134">
        <f>IF(SER_hh_fec_in!L15=0,0,11630*1000*SER_hh_fec_in!L15/SER_hh_num_in!L15)</f>
        <v>1058.0500929945433</v>
      </c>
      <c r="M15" s="134">
        <f>IF(SER_hh_fec_in!M15=0,0,11630*1000*SER_hh_fec_in!M15/SER_hh_num_in!M15)</f>
        <v>877.74414090493246</v>
      </c>
      <c r="N15" s="134">
        <f>IF(SER_hh_fec_in!N15=0,0,11630*1000*SER_hh_fec_in!N15/SER_hh_num_in!N15)</f>
        <v>887.48876489244969</v>
      </c>
      <c r="O15" s="134">
        <f>IF(SER_hh_fec_in!O15=0,0,11630*1000*SER_hh_fec_in!O15/SER_hh_num_in!O15)</f>
        <v>749.24519136498009</v>
      </c>
      <c r="P15" s="134">
        <f>IF(SER_hh_fec_in!P15=0,0,11630*1000*SER_hh_fec_in!P15/SER_hh_num_in!P15)</f>
        <v>635.33796573783047</v>
      </c>
      <c r="Q15" s="134">
        <f>IF(SER_hh_fec_in!Q15=0,0,11630*1000*SER_hh_fec_in!Q15/SER_hh_num_in!Q15)</f>
        <v>592.0202280799067</v>
      </c>
      <c r="R15" s="134">
        <f>IF(SER_hh_fec_in!R15=0,0,11630*1000*SER_hh_fec_in!R15/SER_hh_num_in!R15)</f>
        <v>611.64387279690447</v>
      </c>
      <c r="S15" s="134">
        <f>IF(SER_hh_fec_in!S15=0,0,11630*1000*SER_hh_fec_in!S15/SER_hh_num_in!S15)</f>
        <v>567.56871648831918</v>
      </c>
      <c r="T15" s="134">
        <f>IF(SER_hh_fec_in!T15=0,0,11630*1000*SER_hh_fec_in!T15/SER_hh_num_in!T15)</f>
        <v>536.44123998544444</v>
      </c>
      <c r="U15" s="134">
        <f>IF(SER_hh_fec_in!U15=0,0,11630*1000*SER_hh_fec_in!U15/SER_hh_num_in!U15)</f>
        <v>497.60779781146505</v>
      </c>
      <c r="V15" s="134">
        <f>IF(SER_hh_fec_in!V15=0,0,11630*1000*SER_hh_fec_in!V15/SER_hh_num_in!V15)</f>
        <v>401.33542454801312</v>
      </c>
      <c r="W15" s="134">
        <f>IF(SER_hh_fec_in!W15=0,0,11630*1000*SER_hh_fec_in!W15/SER_hh_num_in!W15)</f>
        <v>373.83312992578476</v>
      </c>
      <c r="X15" s="134">
        <f>IF(SER_hh_fec_in!X15=0,0,11630*1000*SER_hh_fec_in!X15/SER_hh_num_in!X15)</f>
        <v>300.70491467090471</v>
      </c>
      <c r="Y15" s="134">
        <f>IF(SER_hh_fec_in!Y15=0,0,11630*1000*SER_hh_fec_in!Y15/SER_hh_num_in!Y15)</f>
        <v>300.35162006196185</v>
      </c>
      <c r="DA15" s="157" t="s">
        <v>736</v>
      </c>
    </row>
    <row r="16" spans="1:105" ht="12.95" customHeight="1" x14ac:dyDescent="0.25">
      <c r="A16" s="129" t="s">
        <v>74</v>
      </c>
      <c r="B16" s="130"/>
      <c r="C16" s="130">
        <f>IF(SER_hh_fec_in!C16=0,0,11630*1000*SER_hh_fec_in!C16/SER_hh_num_in!C16)</f>
        <v>9476.6909372257142</v>
      </c>
      <c r="D16" s="130">
        <f>IF(SER_hh_fec_in!D16=0,0,11630*1000*SER_hh_fec_in!D16/SER_hh_num_in!D16)</f>
        <v>9010.7308499643113</v>
      </c>
      <c r="E16" s="130">
        <f>IF(SER_hh_fec_in!E16=0,0,11630*1000*SER_hh_fec_in!E16/SER_hh_num_in!E16)</f>
        <v>8954.4108222321538</v>
      </c>
      <c r="F16" s="130">
        <f>IF(SER_hh_fec_in!F16=0,0,11630*1000*SER_hh_fec_in!F16/SER_hh_num_in!F16)</f>
        <v>8192.2221672172309</v>
      </c>
      <c r="G16" s="130">
        <f>IF(SER_hh_fec_in!G16=0,0,11630*1000*SER_hh_fec_in!G16/SER_hh_num_in!G16)</f>
        <v>7824.4828250973005</v>
      </c>
      <c r="H16" s="130">
        <f>IF(SER_hh_fec_in!H16=0,0,11630*1000*SER_hh_fec_in!H16/SER_hh_num_in!H16)</f>
        <v>7500.6676315078721</v>
      </c>
      <c r="I16" s="130">
        <f>IF(SER_hh_fec_in!I16=0,0,11630*1000*SER_hh_fec_in!I16/SER_hh_num_in!I16)</f>
        <v>7162.0784538555145</v>
      </c>
      <c r="J16" s="130">
        <f>IF(SER_hh_fec_in!J16=0,0,11630*1000*SER_hh_fec_in!J16/SER_hh_num_in!J16)</f>
        <v>6859.0655488420025</v>
      </c>
      <c r="K16" s="130">
        <f>IF(SER_hh_fec_in!K16=0,0,11630*1000*SER_hh_fec_in!K16/SER_hh_num_in!K16)</f>
        <v>6517.1799528941201</v>
      </c>
      <c r="L16" s="130">
        <f>IF(SER_hh_fec_in!L16=0,0,11630*1000*SER_hh_fec_in!L16/SER_hh_num_in!L16)</f>
        <v>6633.527094471081</v>
      </c>
      <c r="M16" s="130">
        <f>IF(SER_hh_fec_in!M16=0,0,11630*1000*SER_hh_fec_in!M16/SER_hh_num_in!M16)</f>
        <v>5912.0828882569995</v>
      </c>
      <c r="N16" s="130">
        <f>IF(SER_hh_fec_in!N16=0,0,11630*1000*SER_hh_fec_in!N16/SER_hh_num_in!N16)</f>
        <v>5489.8060362615124</v>
      </c>
      <c r="O16" s="130">
        <f>IF(SER_hh_fec_in!O16=0,0,11630*1000*SER_hh_fec_in!O16/SER_hh_num_in!O16)</f>
        <v>5125.9179160852773</v>
      </c>
      <c r="P16" s="130">
        <f>IF(SER_hh_fec_in!P16=0,0,11630*1000*SER_hh_fec_in!P16/SER_hh_num_in!P16)</f>
        <v>4806.0796971622522</v>
      </c>
      <c r="Q16" s="130">
        <f>IF(SER_hh_fec_in!Q16=0,0,11630*1000*SER_hh_fec_in!Q16/SER_hh_num_in!Q16)</f>
        <v>4468.3957242424476</v>
      </c>
      <c r="R16" s="130">
        <f>IF(SER_hh_fec_in!R16=0,0,11630*1000*SER_hh_fec_in!R16/SER_hh_num_in!R16)</f>
        <v>4314.0303178112936</v>
      </c>
      <c r="S16" s="130">
        <f>IF(SER_hh_fec_in!S16=0,0,11630*1000*SER_hh_fec_in!S16/SER_hh_num_in!S16)</f>
        <v>4140.5794930803304</v>
      </c>
      <c r="T16" s="130">
        <f>IF(SER_hh_fec_in!T16=0,0,11630*1000*SER_hh_fec_in!T16/SER_hh_num_in!T16)</f>
        <v>3973.9729871446743</v>
      </c>
      <c r="U16" s="130">
        <f>IF(SER_hh_fec_in!U16=0,0,11630*1000*SER_hh_fec_in!U16/SER_hh_num_in!U16)</f>
        <v>3823.2904443605053</v>
      </c>
      <c r="V16" s="130">
        <f>IF(SER_hh_fec_in!V16=0,0,11630*1000*SER_hh_fec_in!V16/SER_hh_num_in!V16)</f>
        <v>3633.8713398568475</v>
      </c>
      <c r="W16" s="130">
        <f>IF(SER_hh_fec_in!W16=0,0,11630*1000*SER_hh_fec_in!W16/SER_hh_num_in!W16)</f>
        <v>3162.0836149402799</v>
      </c>
      <c r="X16" s="130">
        <f>IF(SER_hh_fec_in!X16=0,0,11630*1000*SER_hh_fec_in!X16/SER_hh_num_in!X16)</f>
        <v>3003.6894191197266</v>
      </c>
      <c r="Y16" s="130">
        <f>IF(SER_hh_fec_in!Y16=0,0,11630*1000*SER_hh_fec_in!Y16/SER_hh_num_in!Y16)</f>
        <v>3050.9003362727653</v>
      </c>
      <c r="DA16" s="155" t="s">
        <v>737</v>
      </c>
    </row>
    <row r="17" spans="1:105" ht="12.95" customHeight="1" x14ac:dyDescent="0.25">
      <c r="A17" s="131" t="s">
        <v>73</v>
      </c>
      <c r="B17" s="132"/>
      <c r="C17" s="132">
        <f>IF(SER_hh_fec_in!C17=0,0,11630*1000*SER_hh_fec_in!C17/SER_hh_num_in!C17)</f>
        <v>0</v>
      </c>
      <c r="D17" s="132">
        <f>IF(SER_hh_fec_in!D17=0,0,11630*1000*SER_hh_fec_in!D17/SER_hh_num_in!D17)</f>
        <v>0</v>
      </c>
      <c r="E17" s="132">
        <f>IF(SER_hh_fec_in!E17=0,0,11630*1000*SER_hh_fec_in!E17/SER_hh_num_in!E17)</f>
        <v>0</v>
      </c>
      <c r="F17" s="132">
        <f>IF(SER_hh_fec_in!F17=0,0,11630*1000*SER_hh_fec_in!F17/SER_hh_num_in!F17)</f>
        <v>0</v>
      </c>
      <c r="G17" s="132">
        <f>IF(SER_hh_fec_in!G17=0,0,11630*1000*SER_hh_fec_in!G17/SER_hh_num_in!G17)</f>
        <v>0</v>
      </c>
      <c r="H17" s="132">
        <f>IF(SER_hh_fec_in!H17=0,0,11630*1000*SER_hh_fec_in!H17/SER_hh_num_in!H17)</f>
        <v>0</v>
      </c>
      <c r="I17" s="132">
        <f>IF(SER_hh_fec_in!I17=0,0,11630*1000*SER_hh_fec_in!I17/SER_hh_num_in!I17)</f>
        <v>0</v>
      </c>
      <c r="J17" s="132">
        <f>IF(SER_hh_fec_in!J17=0,0,11630*1000*SER_hh_fec_in!J17/SER_hh_num_in!J17)</f>
        <v>0</v>
      </c>
      <c r="K17" s="132">
        <f>IF(SER_hh_fec_in!K17=0,0,11630*1000*SER_hh_fec_in!K17/SER_hh_num_in!K17)</f>
        <v>0</v>
      </c>
      <c r="L17" s="132">
        <f>IF(SER_hh_fec_in!L17=0,0,11630*1000*SER_hh_fec_in!L17/SER_hh_num_in!L17)</f>
        <v>0</v>
      </c>
      <c r="M17" s="132">
        <f>IF(SER_hh_fec_in!M17=0,0,11630*1000*SER_hh_fec_in!M17/SER_hh_num_in!M17)</f>
        <v>0</v>
      </c>
      <c r="N17" s="132">
        <f>IF(SER_hh_fec_in!N17=0,0,11630*1000*SER_hh_fec_in!N17/SER_hh_num_in!N17)</f>
        <v>0</v>
      </c>
      <c r="O17" s="132">
        <f>IF(SER_hh_fec_in!O17=0,0,11630*1000*SER_hh_fec_in!O17/SER_hh_num_in!O17)</f>
        <v>0</v>
      </c>
      <c r="P17" s="132">
        <f>IF(SER_hh_fec_in!P17=0,0,11630*1000*SER_hh_fec_in!P17/SER_hh_num_in!P17)</f>
        <v>0</v>
      </c>
      <c r="Q17" s="132">
        <f>IF(SER_hh_fec_in!Q17=0,0,11630*1000*SER_hh_fec_in!Q17/SER_hh_num_in!Q17)</f>
        <v>0</v>
      </c>
      <c r="R17" s="132">
        <f>IF(SER_hh_fec_in!R17=0,0,11630*1000*SER_hh_fec_in!R17/SER_hh_num_in!R17)</f>
        <v>0</v>
      </c>
      <c r="S17" s="132">
        <f>IF(SER_hh_fec_in!S17=0,0,11630*1000*SER_hh_fec_in!S17/SER_hh_num_in!S17)</f>
        <v>0</v>
      </c>
      <c r="T17" s="132">
        <f>IF(SER_hh_fec_in!T17=0,0,11630*1000*SER_hh_fec_in!T17/SER_hh_num_in!T17)</f>
        <v>0</v>
      </c>
      <c r="U17" s="132">
        <f>IF(SER_hh_fec_in!U17=0,0,11630*1000*SER_hh_fec_in!U17/SER_hh_num_in!U17)</f>
        <v>0</v>
      </c>
      <c r="V17" s="132">
        <f>IF(SER_hh_fec_in!V17=0,0,11630*1000*SER_hh_fec_in!V17/SER_hh_num_in!V17)</f>
        <v>0</v>
      </c>
      <c r="W17" s="132">
        <f>IF(SER_hh_fec_in!W17=0,0,11630*1000*SER_hh_fec_in!W17/SER_hh_num_in!W17)</f>
        <v>0</v>
      </c>
      <c r="X17" s="132">
        <f>IF(SER_hh_fec_in!X17=0,0,11630*1000*SER_hh_fec_in!X17/SER_hh_num_in!X17)</f>
        <v>0</v>
      </c>
      <c r="Y17" s="132">
        <f>IF(SER_hh_fec_in!Y17=0,0,11630*1000*SER_hh_fec_in!Y17/SER_hh_num_in!Y17)</f>
        <v>0</v>
      </c>
      <c r="DA17" s="156" t="s">
        <v>738</v>
      </c>
    </row>
    <row r="18" spans="1:105" ht="12" customHeight="1" x14ac:dyDescent="0.25">
      <c r="A18" s="131" t="s">
        <v>72</v>
      </c>
      <c r="B18" s="132"/>
      <c r="C18" s="132">
        <f>IF(SER_hh_fec_in!C18=0,0,11630*1000*SER_hh_fec_in!C18/SER_hh_num_in!C18)</f>
        <v>9476.6909372257142</v>
      </c>
      <c r="D18" s="132">
        <f>IF(SER_hh_fec_in!D18=0,0,11630*1000*SER_hh_fec_in!D18/SER_hh_num_in!D18)</f>
        <v>9010.7308499643113</v>
      </c>
      <c r="E18" s="132">
        <f>IF(SER_hh_fec_in!E18=0,0,11630*1000*SER_hh_fec_in!E18/SER_hh_num_in!E18)</f>
        <v>8954.4108222321538</v>
      </c>
      <c r="F18" s="132">
        <f>IF(SER_hh_fec_in!F18=0,0,11630*1000*SER_hh_fec_in!F18/SER_hh_num_in!F18)</f>
        <v>8192.2221672172309</v>
      </c>
      <c r="G18" s="132">
        <f>IF(SER_hh_fec_in!G18=0,0,11630*1000*SER_hh_fec_in!G18/SER_hh_num_in!G18)</f>
        <v>7824.4828250973005</v>
      </c>
      <c r="H18" s="132">
        <f>IF(SER_hh_fec_in!H18=0,0,11630*1000*SER_hh_fec_in!H18/SER_hh_num_in!H18)</f>
        <v>7500.6676315078721</v>
      </c>
      <c r="I18" s="132">
        <f>IF(SER_hh_fec_in!I18=0,0,11630*1000*SER_hh_fec_in!I18/SER_hh_num_in!I18)</f>
        <v>7162.0784538555145</v>
      </c>
      <c r="J18" s="132">
        <f>IF(SER_hh_fec_in!J18=0,0,11630*1000*SER_hh_fec_in!J18/SER_hh_num_in!J18)</f>
        <v>6859.0655488420025</v>
      </c>
      <c r="K18" s="132">
        <f>IF(SER_hh_fec_in!K18=0,0,11630*1000*SER_hh_fec_in!K18/SER_hh_num_in!K18)</f>
        <v>6517.1799528941201</v>
      </c>
      <c r="L18" s="132">
        <f>IF(SER_hh_fec_in!L18=0,0,11630*1000*SER_hh_fec_in!L18/SER_hh_num_in!L18)</f>
        <v>6633.527094471081</v>
      </c>
      <c r="M18" s="132">
        <f>IF(SER_hh_fec_in!M18=0,0,11630*1000*SER_hh_fec_in!M18/SER_hh_num_in!M18)</f>
        <v>5912.0828882569995</v>
      </c>
      <c r="N18" s="132">
        <f>IF(SER_hh_fec_in!N18=0,0,11630*1000*SER_hh_fec_in!N18/SER_hh_num_in!N18)</f>
        <v>5489.8060362615124</v>
      </c>
      <c r="O18" s="132">
        <f>IF(SER_hh_fec_in!O18=0,0,11630*1000*SER_hh_fec_in!O18/SER_hh_num_in!O18)</f>
        <v>5125.9179160852773</v>
      </c>
      <c r="P18" s="132">
        <f>IF(SER_hh_fec_in!P18=0,0,11630*1000*SER_hh_fec_in!P18/SER_hh_num_in!P18)</f>
        <v>4806.0796971622522</v>
      </c>
      <c r="Q18" s="132">
        <f>IF(SER_hh_fec_in!Q18=0,0,11630*1000*SER_hh_fec_in!Q18/SER_hh_num_in!Q18)</f>
        <v>4468.3957242424476</v>
      </c>
      <c r="R18" s="132">
        <f>IF(SER_hh_fec_in!R18=0,0,11630*1000*SER_hh_fec_in!R18/SER_hh_num_in!R18)</f>
        <v>4314.0303178112936</v>
      </c>
      <c r="S18" s="132">
        <f>IF(SER_hh_fec_in!S18=0,0,11630*1000*SER_hh_fec_in!S18/SER_hh_num_in!S18)</f>
        <v>4140.5794930803304</v>
      </c>
      <c r="T18" s="132">
        <f>IF(SER_hh_fec_in!T18=0,0,11630*1000*SER_hh_fec_in!T18/SER_hh_num_in!T18)</f>
        <v>3973.9729871446743</v>
      </c>
      <c r="U18" s="132">
        <f>IF(SER_hh_fec_in!U18=0,0,11630*1000*SER_hh_fec_in!U18/SER_hh_num_in!U18)</f>
        <v>3823.2904443605053</v>
      </c>
      <c r="V18" s="132">
        <f>IF(SER_hh_fec_in!V18=0,0,11630*1000*SER_hh_fec_in!V18/SER_hh_num_in!V18)</f>
        <v>3633.8713398568475</v>
      </c>
      <c r="W18" s="132">
        <f>IF(SER_hh_fec_in!W18=0,0,11630*1000*SER_hh_fec_in!W18/SER_hh_num_in!W18)</f>
        <v>3162.0836149402799</v>
      </c>
      <c r="X18" s="132">
        <f>IF(SER_hh_fec_in!X18=0,0,11630*1000*SER_hh_fec_in!X18/SER_hh_num_in!X18)</f>
        <v>3003.6894191197266</v>
      </c>
      <c r="Y18" s="132">
        <f>IF(SER_hh_fec_in!Y18=0,0,11630*1000*SER_hh_fec_in!Y18/SER_hh_num_in!Y18)</f>
        <v>3050.9003362727653</v>
      </c>
      <c r="DA18" s="156" t="s">
        <v>739</v>
      </c>
    </row>
    <row r="19" spans="1:105" ht="12.95" customHeight="1" x14ac:dyDescent="0.25">
      <c r="A19" s="129" t="s">
        <v>35</v>
      </c>
      <c r="B19" s="130"/>
      <c r="C19" s="130">
        <f>IF(SER_hh_fec_in!C19=0,0,11630*1000*SER_hh_fec_in!C19/SER_hh_num_in!C19)</f>
        <v>22243.511789397864</v>
      </c>
      <c r="D19" s="130">
        <f>IF(SER_hh_fec_in!D19=0,0,11630*1000*SER_hh_fec_in!D19/SER_hh_num_in!D19)</f>
        <v>22240.534215341562</v>
      </c>
      <c r="E19" s="130">
        <f>IF(SER_hh_fec_in!E19=0,0,11630*1000*SER_hh_fec_in!E19/SER_hh_num_in!E19)</f>
        <v>22266.628295410341</v>
      </c>
      <c r="F19" s="130">
        <f>IF(SER_hh_fec_in!F19=0,0,11630*1000*SER_hh_fec_in!F19/SER_hh_num_in!F19)</f>
        <v>21863.06555854133</v>
      </c>
      <c r="G19" s="130">
        <f>IF(SER_hh_fec_in!G19=0,0,11630*1000*SER_hh_fec_in!G19/SER_hh_num_in!G19)</f>
        <v>21953.154785000581</v>
      </c>
      <c r="H19" s="130">
        <f>IF(SER_hh_fec_in!H19=0,0,11630*1000*SER_hh_fec_in!H19/SER_hh_num_in!H19)</f>
        <v>21597.082479081415</v>
      </c>
      <c r="I19" s="130">
        <f>IF(SER_hh_fec_in!I19=0,0,11630*1000*SER_hh_fec_in!I19/SER_hh_num_in!I19)</f>
        <v>21357.858784618009</v>
      </c>
      <c r="J19" s="130">
        <f>IF(SER_hh_fec_in!J19=0,0,11630*1000*SER_hh_fec_in!J19/SER_hh_num_in!J19)</f>
        <v>21603.236061708561</v>
      </c>
      <c r="K19" s="130">
        <f>IF(SER_hh_fec_in!K19=0,0,11630*1000*SER_hh_fec_in!K19/SER_hh_num_in!K19)</f>
        <v>21745.644860758832</v>
      </c>
      <c r="L19" s="130">
        <f>IF(SER_hh_fec_in!L19=0,0,11630*1000*SER_hh_fec_in!L19/SER_hh_num_in!L19)</f>
        <v>21970.573474949466</v>
      </c>
      <c r="M19" s="130">
        <f>IF(SER_hh_fec_in!M19=0,0,11630*1000*SER_hh_fec_in!M19/SER_hh_num_in!M19)</f>
        <v>21806.413245224579</v>
      </c>
      <c r="N19" s="130">
        <f>IF(SER_hh_fec_in!N19=0,0,11630*1000*SER_hh_fec_in!N19/SER_hh_num_in!N19)</f>
        <v>21496.485992616166</v>
      </c>
      <c r="O19" s="130">
        <f>IF(SER_hh_fec_in!O19=0,0,11630*1000*SER_hh_fec_in!O19/SER_hh_num_in!O19)</f>
        <v>21086.284035245561</v>
      </c>
      <c r="P19" s="130">
        <f>IF(SER_hh_fec_in!P19=0,0,11630*1000*SER_hh_fec_in!P19/SER_hh_num_in!P19)</f>
        <v>20653.810248911595</v>
      </c>
      <c r="Q19" s="130">
        <f>IF(SER_hh_fec_in!Q19=0,0,11630*1000*SER_hh_fec_in!Q19/SER_hh_num_in!Q19)</f>
        <v>20216.09837356869</v>
      </c>
      <c r="R19" s="130">
        <f>IF(SER_hh_fec_in!R19=0,0,11630*1000*SER_hh_fec_in!R19/SER_hh_num_in!R19)</f>
        <v>19663.254188033254</v>
      </c>
      <c r="S19" s="130">
        <f>IF(SER_hh_fec_in!S19=0,0,11630*1000*SER_hh_fec_in!S19/SER_hh_num_in!S19)</f>
        <v>19500.453060645774</v>
      </c>
      <c r="T19" s="130">
        <f>IF(SER_hh_fec_in!T19=0,0,11630*1000*SER_hh_fec_in!T19/SER_hh_num_in!T19)</f>
        <v>19225.516330037291</v>
      </c>
      <c r="U19" s="130">
        <f>IF(SER_hh_fec_in!U19=0,0,11630*1000*SER_hh_fec_in!U19/SER_hh_num_in!U19)</f>
        <v>19244.667559251346</v>
      </c>
      <c r="V19" s="130">
        <f>IF(SER_hh_fec_in!V19=0,0,11630*1000*SER_hh_fec_in!V19/SER_hh_num_in!V19)</f>
        <v>17224.888633265818</v>
      </c>
      <c r="W19" s="130">
        <f>IF(SER_hh_fec_in!W19=0,0,11630*1000*SER_hh_fec_in!W19/SER_hh_num_in!W19)</f>
        <v>18872.475069866461</v>
      </c>
      <c r="X19" s="130">
        <f>IF(SER_hh_fec_in!X19=0,0,11630*1000*SER_hh_fec_in!X19/SER_hh_num_in!X19)</f>
        <v>18564.737502293377</v>
      </c>
      <c r="Y19" s="130">
        <f>IF(SER_hh_fec_in!Y19=0,0,11630*1000*SER_hh_fec_in!Y19/SER_hh_num_in!Y19)</f>
        <v>18520.55080272759</v>
      </c>
      <c r="DA19" s="155" t="s">
        <v>740</v>
      </c>
    </row>
    <row r="20" spans="1:105" ht="12" customHeight="1" x14ac:dyDescent="0.25">
      <c r="A20" s="131" t="s">
        <v>29</v>
      </c>
      <c r="B20" s="132"/>
      <c r="C20" s="132">
        <f>IF(SER_hh_fec_in!C20=0,0,11630*1000*SER_hh_fec_in!C20/SER_hh_num_in!C20)</f>
        <v>0</v>
      </c>
      <c r="D20" s="132">
        <f>IF(SER_hh_fec_in!D20=0,0,11630*1000*SER_hh_fec_in!D20/SER_hh_num_in!D20)</f>
        <v>0</v>
      </c>
      <c r="E20" s="132">
        <f>IF(SER_hh_fec_in!E20=0,0,11630*1000*SER_hh_fec_in!E20/SER_hh_num_in!E20)</f>
        <v>0</v>
      </c>
      <c r="F20" s="132">
        <f>IF(SER_hh_fec_in!F20=0,0,11630*1000*SER_hh_fec_in!F20/SER_hh_num_in!F20)</f>
        <v>0</v>
      </c>
      <c r="G20" s="132">
        <f>IF(SER_hh_fec_in!G20=0,0,11630*1000*SER_hh_fec_in!G20/SER_hh_num_in!G20)</f>
        <v>0</v>
      </c>
      <c r="H20" s="132">
        <f>IF(SER_hh_fec_in!H20=0,0,11630*1000*SER_hh_fec_in!H20/SER_hh_num_in!H20)</f>
        <v>0</v>
      </c>
      <c r="I20" s="132">
        <f>IF(SER_hh_fec_in!I20=0,0,11630*1000*SER_hh_fec_in!I20/SER_hh_num_in!I20)</f>
        <v>0</v>
      </c>
      <c r="J20" s="132">
        <f>IF(SER_hh_fec_in!J20=0,0,11630*1000*SER_hh_fec_in!J20/SER_hh_num_in!J20)</f>
        <v>0</v>
      </c>
      <c r="K20" s="132">
        <f>IF(SER_hh_fec_in!K20=0,0,11630*1000*SER_hh_fec_in!K20/SER_hh_num_in!K20)</f>
        <v>0</v>
      </c>
      <c r="L20" s="132">
        <f>IF(SER_hh_fec_in!L20=0,0,11630*1000*SER_hh_fec_in!L20/SER_hh_num_in!L20)</f>
        <v>0</v>
      </c>
      <c r="M20" s="132">
        <f>IF(SER_hh_fec_in!M20=0,0,11630*1000*SER_hh_fec_in!M20/SER_hh_num_in!M20)</f>
        <v>0</v>
      </c>
      <c r="N20" s="132">
        <f>IF(SER_hh_fec_in!N20=0,0,11630*1000*SER_hh_fec_in!N20/SER_hh_num_in!N20)</f>
        <v>0</v>
      </c>
      <c r="O20" s="132">
        <f>IF(SER_hh_fec_in!O20=0,0,11630*1000*SER_hh_fec_in!O20/SER_hh_num_in!O20)</f>
        <v>0</v>
      </c>
      <c r="P20" s="132">
        <f>IF(SER_hh_fec_in!P20=0,0,11630*1000*SER_hh_fec_in!P20/SER_hh_num_in!P20)</f>
        <v>0</v>
      </c>
      <c r="Q20" s="132">
        <f>IF(SER_hh_fec_in!Q20=0,0,11630*1000*SER_hh_fec_in!Q20/SER_hh_num_in!Q20)</f>
        <v>0</v>
      </c>
      <c r="R20" s="132">
        <f>IF(SER_hh_fec_in!R20=0,0,11630*1000*SER_hh_fec_in!R20/SER_hh_num_in!R20)</f>
        <v>0</v>
      </c>
      <c r="S20" s="132">
        <f>IF(SER_hh_fec_in!S20=0,0,11630*1000*SER_hh_fec_in!S20/SER_hh_num_in!S20)</f>
        <v>0</v>
      </c>
      <c r="T20" s="132">
        <f>IF(SER_hh_fec_in!T20=0,0,11630*1000*SER_hh_fec_in!T20/SER_hh_num_in!T20)</f>
        <v>0</v>
      </c>
      <c r="U20" s="132">
        <f>IF(SER_hh_fec_in!U20=0,0,11630*1000*SER_hh_fec_in!U20/SER_hh_num_in!U20)</f>
        <v>0</v>
      </c>
      <c r="V20" s="132">
        <f>IF(SER_hh_fec_in!V20=0,0,11630*1000*SER_hh_fec_in!V20/SER_hh_num_in!V20)</f>
        <v>0</v>
      </c>
      <c r="W20" s="132">
        <f>IF(SER_hh_fec_in!W20=0,0,11630*1000*SER_hh_fec_in!W20/SER_hh_num_in!W20)</f>
        <v>0</v>
      </c>
      <c r="X20" s="132">
        <f>IF(SER_hh_fec_in!X20=0,0,11630*1000*SER_hh_fec_in!X20/SER_hh_num_in!X20)</f>
        <v>0</v>
      </c>
      <c r="Y20" s="132">
        <f>IF(SER_hh_fec_in!Y20=0,0,11630*1000*SER_hh_fec_in!Y20/SER_hh_num_in!Y20)</f>
        <v>0</v>
      </c>
      <c r="DA20" s="156" t="s">
        <v>741</v>
      </c>
    </row>
    <row r="21" spans="1:105" s="2" customFormat="1" ht="12" customHeight="1" x14ac:dyDescent="0.25">
      <c r="A21" s="131" t="s">
        <v>52</v>
      </c>
      <c r="B21" s="132"/>
      <c r="C21" s="132">
        <f>IF(SER_hh_fec_in!C21=0,0,11630*1000*SER_hh_fec_in!C21/SER_hh_num_in!C21)</f>
        <v>0</v>
      </c>
      <c r="D21" s="132">
        <f>IF(SER_hh_fec_in!D21=0,0,11630*1000*SER_hh_fec_in!D21/SER_hh_num_in!D21)</f>
        <v>0</v>
      </c>
      <c r="E21" s="132">
        <f>IF(SER_hh_fec_in!E21=0,0,11630*1000*SER_hh_fec_in!E21/SER_hh_num_in!E21)</f>
        <v>0</v>
      </c>
      <c r="F21" s="132">
        <f>IF(SER_hh_fec_in!F21=0,0,11630*1000*SER_hh_fec_in!F21/SER_hh_num_in!F21)</f>
        <v>0</v>
      </c>
      <c r="G21" s="132">
        <f>IF(SER_hh_fec_in!G21=0,0,11630*1000*SER_hh_fec_in!G21/SER_hh_num_in!G21)</f>
        <v>0</v>
      </c>
      <c r="H21" s="132">
        <f>IF(SER_hh_fec_in!H21=0,0,11630*1000*SER_hh_fec_in!H21/SER_hh_num_in!H21)</f>
        <v>0</v>
      </c>
      <c r="I21" s="132">
        <f>IF(SER_hh_fec_in!I21=0,0,11630*1000*SER_hh_fec_in!I21/SER_hh_num_in!I21)</f>
        <v>0</v>
      </c>
      <c r="J21" s="132">
        <f>IF(SER_hh_fec_in!J21=0,0,11630*1000*SER_hh_fec_in!J21/SER_hh_num_in!J21)</f>
        <v>0</v>
      </c>
      <c r="K21" s="132">
        <f>IF(SER_hh_fec_in!K21=0,0,11630*1000*SER_hh_fec_in!K21/SER_hh_num_in!K21)</f>
        <v>0</v>
      </c>
      <c r="L21" s="132">
        <f>IF(SER_hh_fec_in!L21=0,0,11630*1000*SER_hh_fec_in!L21/SER_hh_num_in!L21)</f>
        <v>0</v>
      </c>
      <c r="M21" s="132">
        <f>IF(SER_hh_fec_in!M21=0,0,11630*1000*SER_hh_fec_in!M21/SER_hh_num_in!M21)</f>
        <v>0</v>
      </c>
      <c r="N21" s="132">
        <f>IF(SER_hh_fec_in!N21=0,0,11630*1000*SER_hh_fec_in!N21/SER_hh_num_in!N21)</f>
        <v>0</v>
      </c>
      <c r="O21" s="132">
        <f>IF(SER_hh_fec_in!O21=0,0,11630*1000*SER_hh_fec_in!O21/SER_hh_num_in!O21)</f>
        <v>0</v>
      </c>
      <c r="P21" s="132">
        <f>IF(SER_hh_fec_in!P21=0,0,11630*1000*SER_hh_fec_in!P21/SER_hh_num_in!P21)</f>
        <v>0</v>
      </c>
      <c r="Q21" s="132">
        <f>IF(SER_hh_fec_in!Q21=0,0,11630*1000*SER_hh_fec_in!Q21/SER_hh_num_in!Q21)</f>
        <v>0</v>
      </c>
      <c r="R21" s="132">
        <f>IF(SER_hh_fec_in!R21=0,0,11630*1000*SER_hh_fec_in!R21/SER_hh_num_in!R21)</f>
        <v>0</v>
      </c>
      <c r="S21" s="132">
        <f>IF(SER_hh_fec_in!S21=0,0,11630*1000*SER_hh_fec_in!S21/SER_hh_num_in!S21)</f>
        <v>0</v>
      </c>
      <c r="T21" s="132">
        <f>IF(SER_hh_fec_in!T21=0,0,11630*1000*SER_hh_fec_in!T21/SER_hh_num_in!T21)</f>
        <v>0</v>
      </c>
      <c r="U21" s="132">
        <f>IF(SER_hh_fec_in!U21=0,0,11630*1000*SER_hh_fec_in!U21/SER_hh_num_in!U21)</f>
        <v>0</v>
      </c>
      <c r="V21" s="132">
        <f>IF(SER_hh_fec_in!V21=0,0,11630*1000*SER_hh_fec_in!V21/SER_hh_num_in!V21)</f>
        <v>0</v>
      </c>
      <c r="W21" s="132">
        <f>IF(SER_hh_fec_in!W21=0,0,11630*1000*SER_hh_fec_in!W21/SER_hh_num_in!W21)</f>
        <v>0</v>
      </c>
      <c r="X21" s="132">
        <f>IF(SER_hh_fec_in!X21=0,0,11630*1000*SER_hh_fec_in!X21/SER_hh_num_in!X21)</f>
        <v>0</v>
      </c>
      <c r="Y21" s="132">
        <f>IF(SER_hh_fec_in!Y21=0,0,11630*1000*SER_hh_fec_in!Y21/SER_hh_num_in!Y21)</f>
        <v>0</v>
      </c>
      <c r="DA21" s="156" t="s">
        <v>742</v>
      </c>
    </row>
    <row r="22" spans="1:105" ht="12" customHeight="1" x14ac:dyDescent="0.25">
      <c r="A22" s="131" t="s">
        <v>161</v>
      </c>
      <c r="B22" s="132"/>
      <c r="C22" s="132">
        <f>IF(SER_hh_fec_in!C22=0,0,11630*1000*SER_hh_fec_in!C22/SER_hh_num_in!C22)</f>
        <v>29562.581100825795</v>
      </c>
      <c r="D22" s="132">
        <f>IF(SER_hh_fec_in!D22=0,0,11630*1000*SER_hh_fec_in!D22/SER_hh_num_in!D22)</f>
        <v>29856.581805721646</v>
      </c>
      <c r="E22" s="132">
        <f>IF(SER_hh_fec_in!E22=0,0,11630*1000*SER_hh_fec_in!E22/SER_hh_num_in!E22)</f>
        <v>29792.882953206972</v>
      </c>
      <c r="F22" s="132">
        <f>IF(SER_hh_fec_in!F22=0,0,11630*1000*SER_hh_fec_in!F22/SER_hh_num_in!F22)</f>
        <v>29484.090700158536</v>
      </c>
      <c r="G22" s="132">
        <f>IF(SER_hh_fec_in!G22=0,0,11630*1000*SER_hh_fec_in!G22/SER_hh_num_in!G22)</f>
        <v>29104.25305218705</v>
      </c>
      <c r="H22" s="132">
        <f>IF(SER_hh_fec_in!H22=0,0,11630*1000*SER_hh_fec_in!H22/SER_hh_num_in!H22)</f>
        <v>29197.19261122209</v>
      </c>
      <c r="I22" s="132">
        <f>IF(SER_hh_fec_in!I22=0,0,11630*1000*SER_hh_fec_in!I22/SER_hh_num_in!I22)</f>
        <v>28794.363087946007</v>
      </c>
      <c r="J22" s="132">
        <f>IF(SER_hh_fec_in!J22=0,0,11630*1000*SER_hh_fec_in!J22/SER_hh_num_in!J22)</f>
        <v>28190.33600985647</v>
      </c>
      <c r="K22" s="132">
        <f>IF(SER_hh_fec_in!K22=0,0,11630*1000*SER_hh_fec_in!K22/SER_hh_num_in!K22)</f>
        <v>27527.91850642562</v>
      </c>
      <c r="L22" s="132">
        <f>IF(SER_hh_fec_in!L22=0,0,11630*1000*SER_hh_fec_in!L22/SER_hh_num_in!L22)</f>
        <v>28852.915131646481</v>
      </c>
      <c r="M22" s="132">
        <f>IF(SER_hh_fec_in!M22=0,0,11630*1000*SER_hh_fec_in!M22/SER_hh_num_in!M22)</f>
        <v>28304.907365805673</v>
      </c>
      <c r="N22" s="132">
        <f>IF(SER_hh_fec_in!N22=0,0,11630*1000*SER_hh_fec_in!N22/SER_hh_num_in!N22)</f>
        <v>27067.448723543021</v>
      </c>
      <c r="O22" s="132">
        <f>IF(SER_hh_fec_in!O22=0,0,11630*1000*SER_hh_fec_in!O22/SER_hh_num_in!O22)</f>
        <v>26221.333266315436</v>
      </c>
      <c r="P22" s="132">
        <f>IF(SER_hh_fec_in!P22=0,0,11630*1000*SER_hh_fec_in!P22/SER_hh_num_in!P22)</f>
        <v>24411.73004921067</v>
      </c>
      <c r="Q22" s="132">
        <f>IF(SER_hh_fec_in!Q22=0,0,11630*1000*SER_hh_fec_in!Q22/SER_hh_num_in!Q22)</f>
        <v>23591.018231816306</v>
      </c>
      <c r="R22" s="132">
        <f>IF(SER_hh_fec_in!R22=0,0,11630*1000*SER_hh_fec_in!R22/SER_hh_num_in!R22)</f>
        <v>24038.343414519986</v>
      </c>
      <c r="S22" s="132">
        <f>IF(SER_hh_fec_in!S22=0,0,11630*1000*SER_hh_fec_in!S22/SER_hh_num_in!S22)</f>
        <v>22398.427590824525</v>
      </c>
      <c r="T22" s="132">
        <f>IF(SER_hh_fec_in!T22=0,0,11630*1000*SER_hh_fec_in!T22/SER_hh_num_in!T22)</f>
        <v>20833.404958123629</v>
      </c>
      <c r="U22" s="132">
        <f>IF(SER_hh_fec_in!U22=0,0,11630*1000*SER_hh_fec_in!U22/SER_hh_num_in!U22)</f>
        <v>20956.82379205386</v>
      </c>
      <c r="V22" s="132">
        <f>IF(SER_hh_fec_in!V22=0,0,11630*1000*SER_hh_fec_in!V22/SER_hh_num_in!V22)</f>
        <v>19081.190971664779</v>
      </c>
      <c r="W22" s="132">
        <f>IF(SER_hh_fec_in!W22=0,0,11630*1000*SER_hh_fec_in!W22/SER_hh_num_in!W22)</f>
        <v>22128.510974916233</v>
      </c>
      <c r="X22" s="132">
        <f>IF(SER_hh_fec_in!X22=0,0,11630*1000*SER_hh_fec_in!X22/SER_hh_num_in!X22)</f>
        <v>20840.97938106443</v>
      </c>
      <c r="Y22" s="132">
        <f>IF(SER_hh_fec_in!Y22=0,0,11630*1000*SER_hh_fec_in!Y22/SER_hh_num_in!Y22)</f>
        <v>20156.332366100574</v>
      </c>
      <c r="DA22" s="156" t="s">
        <v>743</v>
      </c>
    </row>
    <row r="23" spans="1:105" ht="12" customHeight="1" x14ac:dyDescent="0.25">
      <c r="A23" s="131" t="s">
        <v>149</v>
      </c>
      <c r="B23" s="132"/>
      <c r="C23" s="132">
        <f>IF(SER_hh_fec_in!C23=0,0,11630*1000*SER_hh_fec_in!C23/SER_hh_num_in!C23)</f>
        <v>27384.757068939885</v>
      </c>
      <c r="D23" s="132">
        <f>IF(SER_hh_fec_in!D23=0,0,11630*1000*SER_hh_fec_in!D23/SER_hh_num_in!D23)</f>
        <v>27105.987373191292</v>
      </c>
      <c r="E23" s="132">
        <f>IF(SER_hh_fec_in!E23=0,0,11630*1000*SER_hh_fec_in!E23/SER_hh_num_in!E23)</f>
        <v>26765.289921805394</v>
      </c>
      <c r="F23" s="132">
        <f>IF(SER_hh_fec_in!F23=0,0,11630*1000*SER_hh_fec_in!F23/SER_hh_num_in!F23)</f>
        <v>26923.173038281955</v>
      </c>
      <c r="G23" s="132">
        <f>IF(SER_hh_fec_in!G23=0,0,11630*1000*SER_hh_fec_in!G23/SER_hh_num_in!G23)</f>
        <v>26998.805555558789</v>
      </c>
      <c r="H23" s="132">
        <f>IF(SER_hh_fec_in!H23=0,0,11630*1000*SER_hh_fec_in!H23/SER_hh_num_in!H23)</f>
        <v>25791.620906108808</v>
      </c>
      <c r="I23" s="132">
        <f>IF(SER_hh_fec_in!I23=0,0,11630*1000*SER_hh_fec_in!I23/SER_hh_num_in!I23)</f>
        <v>25614.124780333659</v>
      </c>
      <c r="J23" s="132">
        <f>IF(SER_hh_fec_in!J23=0,0,11630*1000*SER_hh_fec_in!J23/SER_hh_num_in!J23)</f>
        <v>25635.990183820089</v>
      </c>
      <c r="K23" s="132">
        <f>IF(SER_hh_fec_in!K23=0,0,11630*1000*SER_hh_fec_in!K23/SER_hh_num_in!K23)</f>
        <v>25061.097308770059</v>
      </c>
      <c r="L23" s="132">
        <f>IF(SER_hh_fec_in!L23=0,0,11630*1000*SER_hh_fec_in!L23/SER_hh_num_in!L23)</f>
        <v>24442.69097823351</v>
      </c>
      <c r="M23" s="132">
        <f>IF(SER_hh_fec_in!M23=0,0,11630*1000*SER_hh_fec_in!M23/SER_hh_num_in!M23)</f>
        <v>24388.521722178142</v>
      </c>
      <c r="N23" s="132">
        <f>IF(SER_hh_fec_in!N23=0,0,11630*1000*SER_hh_fec_in!N23/SER_hh_num_in!N23)</f>
        <v>23986.620627735789</v>
      </c>
      <c r="O23" s="132">
        <f>IF(SER_hh_fec_in!O23=0,0,11630*1000*SER_hh_fec_in!O23/SER_hh_num_in!O23)</f>
        <v>23320.780349543915</v>
      </c>
      <c r="P23" s="132">
        <f>IF(SER_hh_fec_in!P23=0,0,11630*1000*SER_hh_fec_in!P23/SER_hh_num_in!P23)</f>
        <v>22231.571491351249</v>
      </c>
      <c r="Q23" s="132">
        <f>IF(SER_hh_fec_in!Q23=0,0,11630*1000*SER_hh_fec_in!Q23/SER_hh_num_in!Q23)</f>
        <v>21328.141884016888</v>
      </c>
      <c r="R23" s="132">
        <f>IF(SER_hh_fec_in!R23=0,0,11630*1000*SER_hh_fec_in!R23/SER_hh_num_in!R23)</f>
        <v>20359.06413488627</v>
      </c>
      <c r="S23" s="132">
        <f>IF(SER_hh_fec_in!S23=0,0,11630*1000*SER_hh_fec_in!S23/SER_hh_num_in!S23)</f>
        <v>23137.393401138343</v>
      </c>
      <c r="T23" s="132">
        <f>IF(SER_hh_fec_in!T23=0,0,11630*1000*SER_hh_fec_in!T23/SER_hh_num_in!T23)</f>
        <v>20135.865948315772</v>
      </c>
      <c r="U23" s="132">
        <f>IF(SER_hh_fec_in!U23=0,0,11630*1000*SER_hh_fec_in!U23/SER_hh_num_in!U23)</f>
        <v>19063.50229634143</v>
      </c>
      <c r="V23" s="132">
        <f>IF(SER_hh_fec_in!V23=0,0,11630*1000*SER_hh_fec_in!V23/SER_hh_num_in!V23)</f>
        <v>18282.488701056125</v>
      </c>
      <c r="W23" s="132">
        <f>IF(SER_hh_fec_in!W23=0,0,11630*1000*SER_hh_fec_in!W23/SER_hh_num_in!W23)</f>
        <v>23313.255760657234</v>
      </c>
      <c r="X23" s="132">
        <f>IF(SER_hh_fec_in!X23=0,0,11630*1000*SER_hh_fec_in!X23/SER_hh_num_in!X23)</f>
        <v>20511.795203350794</v>
      </c>
      <c r="Y23" s="132">
        <f>IF(SER_hh_fec_in!Y23=0,0,11630*1000*SER_hh_fec_in!Y23/SER_hh_num_in!Y23)</f>
        <v>0</v>
      </c>
      <c r="DA23" s="156" t="s">
        <v>744</v>
      </c>
    </row>
    <row r="24" spans="1:105" ht="12" customHeight="1" x14ac:dyDescent="0.25">
      <c r="A24" s="131" t="s">
        <v>128</v>
      </c>
      <c r="B24" s="132"/>
      <c r="C24" s="132">
        <f>IF(SER_hh_fec_in!C24=0,0,11630*1000*SER_hh_fec_in!C24/SER_hh_num_in!C24)</f>
        <v>29219.210678737389</v>
      </c>
      <c r="D24" s="132">
        <f>IF(SER_hh_fec_in!D24=0,0,11630*1000*SER_hh_fec_in!D24/SER_hh_num_in!D24)</f>
        <v>28044.419871634196</v>
      </c>
      <c r="E24" s="132">
        <f>IF(SER_hh_fec_in!E24=0,0,11630*1000*SER_hh_fec_in!E24/SER_hh_num_in!E24)</f>
        <v>26792.786754708988</v>
      </c>
      <c r="F24" s="132">
        <f>IF(SER_hh_fec_in!F24=0,0,11630*1000*SER_hh_fec_in!F24/SER_hh_num_in!F24)</f>
        <v>26366.062368421164</v>
      </c>
      <c r="G24" s="132">
        <f>IF(SER_hh_fec_in!G24=0,0,11630*1000*SER_hh_fec_in!G24/SER_hh_num_in!G24)</f>
        <v>25599.083514917824</v>
      </c>
      <c r="H24" s="132">
        <f>IF(SER_hh_fec_in!H24=0,0,11630*1000*SER_hh_fec_in!H24/SER_hh_num_in!H24)</f>
        <v>25100.999435194535</v>
      </c>
      <c r="I24" s="132">
        <f>IF(SER_hh_fec_in!I24=0,0,11630*1000*SER_hh_fec_in!I24/SER_hh_num_in!I24)</f>
        <v>24275.247447772399</v>
      </c>
      <c r="J24" s="132">
        <f>IF(SER_hh_fec_in!J24=0,0,11630*1000*SER_hh_fec_in!J24/SER_hh_num_in!J24)</f>
        <v>25052.508838194164</v>
      </c>
      <c r="K24" s="132">
        <f>IF(SER_hh_fec_in!K24=0,0,11630*1000*SER_hh_fec_in!K24/SER_hh_num_in!K24)</f>
        <v>23438.358987971358</v>
      </c>
      <c r="L24" s="132">
        <f>IF(SER_hh_fec_in!L24=0,0,11630*1000*SER_hh_fec_in!L24/SER_hh_num_in!L24)</f>
        <v>23449.671749407084</v>
      </c>
      <c r="M24" s="132">
        <f>IF(SER_hh_fec_in!M24=0,0,11630*1000*SER_hh_fec_in!M24/SER_hh_num_in!M24)</f>
        <v>23609.51974113227</v>
      </c>
      <c r="N24" s="132">
        <f>IF(SER_hh_fec_in!N24=0,0,11630*1000*SER_hh_fec_in!N24/SER_hh_num_in!N24)</f>
        <v>23360.960625920154</v>
      </c>
      <c r="O24" s="132">
        <f>IF(SER_hh_fec_in!O24=0,0,11630*1000*SER_hh_fec_in!O24/SER_hh_num_in!O24)</f>
        <v>22965.889429342038</v>
      </c>
      <c r="P24" s="132">
        <f>IF(SER_hh_fec_in!P24=0,0,11630*1000*SER_hh_fec_in!P24/SER_hh_num_in!P24)</f>
        <v>22567.356134579957</v>
      </c>
      <c r="Q24" s="132">
        <f>IF(SER_hh_fec_in!Q24=0,0,11630*1000*SER_hh_fec_in!Q24/SER_hh_num_in!Q24)</f>
        <v>21702.716183373443</v>
      </c>
      <c r="R24" s="132">
        <f>IF(SER_hh_fec_in!R24=0,0,11630*1000*SER_hh_fec_in!R24/SER_hh_num_in!R24)</f>
        <v>23367.126758310587</v>
      </c>
      <c r="S24" s="132">
        <f>IF(SER_hh_fec_in!S24=0,0,11630*1000*SER_hh_fec_in!S24/SER_hh_num_in!S24)</f>
        <v>22264.139485160649</v>
      </c>
      <c r="T24" s="132">
        <f>IF(SER_hh_fec_in!T24=0,0,11630*1000*SER_hh_fec_in!T24/SER_hh_num_in!T24)</f>
        <v>21873.951496626272</v>
      </c>
      <c r="U24" s="132">
        <f>IF(SER_hh_fec_in!U24=0,0,11630*1000*SER_hh_fec_in!U24/SER_hh_num_in!U24)</f>
        <v>21356.100196694286</v>
      </c>
      <c r="V24" s="132">
        <f>IF(SER_hh_fec_in!V24=0,0,11630*1000*SER_hh_fec_in!V24/SER_hh_num_in!V24)</f>
        <v>18618.029011657789</v>
      </c>
      <c r="W24" s="132">
        <f>IF(SER_hh_fec_in!W24=0,0,11630*1000*SER_hh_fec_in!W24/SER_hh_num_in!W24)</f>
        <v>21771.75916890768</v>
      </c>
      <c r="X24" s="132">
        <f>IF(SER_hh_fec_in!X24=0,0,11630*1000*SER_hh_fec_in!X24/SER_hh_num_in!X24)</f>
        <v>21874.867908268046</v>
      </c>
      <c r="Y24" s="132">
        <f>IF(SER_hh_fec_in!Y24=0,0,11630*1000*SER_hh_fec_in!Y24/SER_hh_num_in!Y24)</f>
        <v>19826.935272984836</v>
      </c>
      <c r="DA24" s="156" t="s">
        <v>745</v>
      </c>
    </row>
    <row r="25" spans="1:105" ht="12" customHeight="1" x14ac:dyDescent="0.25">
      <c r="A25" s="131" t="s">
        <v>162</v>
      </c>
      <c r="B25" s="132"/>
      <c r="C25" s="132">
        <f>IF(SER_hh_fec_in!C25=0,0,11630*1000*SER_hh_fec_in!C25/SER_hh_num_in!C25)</f>
        <v>19754.572078710738</v>
      </c>
      <c r="D25" s="132">
        <f>IF(SER_hh_fec_in!D25=0,0,11630*1000*SER_hh_fec_in!D25/SER_hh_num_in!D25)</f>
        <v>19535.767450194951</v>
      </c>
      <c r="E25" s="132">
        <f>IF(SER_hh_fec_in!E25=0,0,11630*1000*SER_hh_fec_in!E25/SER_hh_num_in!E25)</f>
        <v>19661.471496101742</v>
      </c>
      <c r="F25" s="132">
        <f>IF(SER_hh_fec_in!F25=0,0,11630*1000*SER_hh_fec_in!F25/SER_hh_num_in!F25)</f>
        <v>19453.20467169521</v>
      </c>
      <c r="G25" s="132">
        <f>IF(SER_hh_fec_in!G25=0,0,11630*1000*SER_hh_fec_in!G25/SER_hh_num_in!G25)</f>
        <v>19563.795802641373</v>
      </c>
      <c r="H25" s="132">
        <f>IF(SER_hh_fec_in!H25=0,0,11630*1000*SER_hh_fec_in!H25/SER_hh_num_in!H25)</f>
        <v>19462.973896538715</v>
      </c>
      <c r="I25" s="132">
        <f>IF(SER_hh_fec_in!I25=0,0,11630*1000*SER_hh_fec_in!I25/SER_hh_num_in!I25)</f>
        <v>19446.8896088933</v>
      </c>
      <c r="J25" s="132">
        <f>IF(SER_hh_fec_in!J25=0,0,11630*1000*SER_hh_fec_in!J25/SER_hh_num_in!J25)</f>
        <v>19218.34605612075</v>
      </c>
      <c r="K25" s="132">
        <f>IF(SER_hh_fec_in!K25=0,0,11630*1000*SER_hh_fec_in!K25/SER_hh_num_in!K25)</f>
        <v>19298.62839081174</v>
      </c>
      <c r="L25" s="132">
        <f>IF(SER_hh_fec_in!L25=0,0,11630*1000*SER_hh_fec_in!L25/SER_hh_num_in!L25)</f>
        <v>19249.722077605067</v>
      </c>
      <c r="M25" s="132">
        <f>IF(SER_hh_fec_in!M25=0,0,11630*1000*SER_hh_fec_in!M25/SER_hh_num_in!M25)</f>
        <v>19268.632257662906</v>
      </c>
      <c r="N25" s="132">
        <f>IF(SER_hh_fec_in!N25=0,0,11630*1000*SER_hh_fec_in!N25/SER_hh_num_in!N25)</f>
        <v>19367.928611982952</v>
      </c>
      <c r="O25" s="132">
        <f>IF(SER_hh_fec_in!O25=0,0,11630*1000*SER_hh_fec_in!O25/SER_hh_num_in!O25)</f>
        <v>19441.177673769293</v>
      </c>
      <c r="P25" s="132">
        <f>IF(SER_hh_fec_in!P25=0,0,11630*1000*SER_hh_fec_in!P25/SER_hh_num_in!P25)</f>
        <v>19360.699307204057</v>
      </c>
      <c r="Q25" s="132">
        <f>IF(SER_hh_fec_in!Q25=0,0,11630*1000*SER_hh_fec_in!Q25/SER_hh_num_in!Q25)</f>
        <v>19202.290416899137</v>
      </c>
      <c r="R25" s="132">
        <f>IF(SER_hh_fec_in!R25=0,0,11630*1000*SER_hh_fec_in!R25/SER_hh_num_in!R25)</f>
        <v>19254.702607561791</v>
      </c>
      <c r="S25" s="132">
        <f>IF(SER_hh_fec_in!S25=0,0,11630*1000*SER_hh_fec_in!S25/SER_hh_num_in!S25)</f>
        <v>19070.541325296912</v>
      </c>
      <c r="T25" s="132">
        <f>IF(SER_hh_fec_in!T25=0,0,11630*1000*SER_hh_fec_in!T25/SER_hh_num_in!T25)</f>
        <v>19393.992144889187</v>
      </c>
      <c r="U25" s="132">
        <f>IF(SER_hh_fec_in!U25=0,0,11630*1000*SER_hh_fec_in!U25/SER_hh_num_in!U25)</f>
        <v>18726.570114639693</v>
      </c>
      <c r="V25" s="132">
        <f>IF(SER_hh_fec_in!V25=0,0,11630*1000*SER_hh_fec_in!V25/SER_hh_num_in!V25)</f>
        <v>16769.489797007922</v>
      </c>
      <c r="W25" s="132">
        <f>IF(SER_hh_fec_in!W25=0,0,11630*1000*SER_hh_fec_in!W25/SER_hh_num_in!W25)</f>
        <v>19020.161500640363</v>
      </c>
      <c r="X25" s="132">
        <f>IF(SER_hh_fec_in!X25=0,0,11630*1000*SER_hh_fec_in!X25/SER_hh_num_in!X25)</f>
        <v>18755.043278324349</v>
      </c>
      <c r="Y25" s="132">
        <f>IF(SER_hh_fec_in!Y25=0,0,11630*1000*SER_hh_fec_in!Y25/SER_hh_num_in!Y25)</f>
        <v>18818.201041105927</v>
      </c>
      <c r="DA25" s="156" t="s">
        <v>746</v>
      </c>
    </row>
    <row r="26" spans="1:105" ht="12" customHeight="1" x14ac:dyDescent="0.25">
      <c r="A26" s="131" t="s">
        <v>24</v>
      </c>
      <c r="B26" s="65"/>
      <c r="C26" s="65">
        <f>IF(SER_hh_fec_in!C26=0,0,11630*1000*SER_hh_fec_in!C26/SER_hh_num_in!C26)</f>
        <v>23509.256447133976</v>
      </c>
      <c r="D26" s="65">
        <f>IF(SER_hh_fec_in!D26=0,0,11630*1000*SER_hh_fec_in!D26/SER_hh_num_in!D26)</f>
        <v>23398.761954485846</v>
      </c>
      <c r="E26" s="65">
        <f>IF(SER_hh_fec_in!E26=0,0,11630*1000*SER_hh_fec_in!E26/SER_hh_num_in!E26)</f>
        <v>23526.056460355947</v>
      </c>
      <c r="F26" s="65">
        <f>IF(SER_hh_fec_in!F26=0,0,11630*1000*SER_hh_fec_in!F26/SER_hh_num_in!F26)</f>
        <v>23363.387719148293</v>
      </c>
      <c r="G26" s="65">
        <f>IF(SER_hh_fec_in!G26=0,0,11630*1000*SER_hh_fec_in!G26/SER_hh_num_in!G26)</f>
        <v>23717.046987375397</v>
      </c>
      <c r="H26" s="65">
        <f>IF(SER_hh_fec_in!H26=0,0,11630*1000*SER_hh_fec_in!H26/SER_hh_num_in!H26)</f>
        <v>23230.981617412861</v>
      </c>
      <c r="I26" s="65">
        <f>IF(SER_hh_fec_in!I26=0,0,11630*1000*SER_hh_fec_in!I26/SER_hh_num_in!I26)</f>
        <v>22625.004730388169</v>
      </c>
      <c r="J26" s="65">
        <f>IF(SER_hh_fec_in!J26=0,0,11630*1000*SER_hh_fec_in!J26/SER_hh_num_in!J26)</f>
        <v>22718.939179799992</v>
      </c>
      <c r="K26" s="65">
        <f>IF(SER_hh_fec_in!K26=0,0,11630*1000*SER_hh_fec_in!K26/SER_hh_num_in!K26)</f>
        <v>22699.591051577809</v>
      </c>
      <c r="L26" s="65">
        <f>IF(SER_hh_fec_in!L26=0,0,11630*1000*SER_hh_fec_in!L26/SER_hh_num_in!L26)</f>
        <v>22707.120634238305</v>
      </c>
      <c r="M26" s="65">
        <f>IF(SER_hh_fec_in!M26=0,0,11630*1000*SER_hh_fec_in!M26/SER_hh_num_in!M26)</f>
        <v>22636.09240146451</v>
      </c>
      <c r="N26" s="65">
        <f>IF(SER_hh_fec_in!N26=0,0,11630*1000*SER_hh_fec_in!N26/SER_hh_num_in!N26)</f>
        <v>22352.397300022541</v>
      </c>
      <c r="O26" s="65">
        <f>IF(SER_hh_fec_in!O26=0,0,11630*1000*SER_hh_fec_in!O26/SER_hh_num_in!O26)</f>
        <v>21752.851628929191</v>
      </c>
      <c r="P26" s="65">
        <f>IF(SER_hh_fec_in!P26=0,0,11630*1000*SER_hh_fec_in!P26/SER_hh_num_in!P26)</f>
        <v>21269.018590908061</v>
      </c>
      <c r="Q26" s="65">
        <f>IF(SER_hh_fec_in!Q26=0,0,11630*1000*SER_hh_fec_in!Q26/SER_hh_num_in!Q26)</f>
        <v>20670.148585741936</v>
      </c>
      <c r="R26" s="65">
        <f>IF(SER_hh_fec_in!R26=0,0,11630*1000*SER_hh_fec_in!R26/SER_hh_num_in!R26)</f>
        <v>19311.306548566135</v>
      </c>
      <c r="S26" s="65">
        <f>IF(SER_hh_fec_in!S26=0,0,11630*1000*SER_hh_fec_in!S26/SER_hh_num_in!S26)</f>
        <v>19567.211929977548</v>
      </c>
      <c r="T26" s="65">
        <f>IF(SER_hh_fec_in!T26=0,0,11630*1000*SER_hh_fec_in!T26/SER_hh_num_in!T26)</f>
        <v>18895.889988829076</v>
      </c>
      <c r="U26" s="65">
        <f>IF(SER_hh_fec_in!U26=0,0,11630*1000*SER_hh_fec_in!U26/SER_hh_num_in!U26)</f>
        <v>19405.418454334271</v>
      </c>
      <c r="V26" s="65">
        <f>IF(SER_hh_fec_in!V26=0,0,11630*1000*SER_hh_fec_in!V26/SER_hh_num_in!V26)</f>
        <v>17400.572409474324</v>
      </c>
      <c r="W26" s="65">
        <f>IF(SER_hh_fec_in!W26=0,0,11630*1000*SER_hh_fec_in!W26/SER_hh_num_in!W26)</f>
        <v>17606.004416454587</v>
      </c>
      <c r="X26" s="65">
        <f>IF(SER_hh_fec_in!X26=0,0,11630*1000*SER_hh_fec_in!X26/SER_hh_num_in!X26)</f>
        <v>17627.498593727749</v>
      </c>
      <c r="Y26" s="65">
        <f>IF(SER_hh_fec_in!Y26=0,0,11630*1000*SER_hh_fec_in!Y26/SER_hh_num_in!Y26)</f>
        <v>18079.658284411304</v>
      </c>
      <c r="DA26" s="109" t="s">
        <v>747</v>
      </c>
    </row>
    <row r="27" spans="1:105" ht="12" customHeight="1" x14ac:dyDescent="0.25">
      <c r="A27" s="144" t="s">
        <v>86</v>
      </c>
      <c r="B27" s="147"/>
      <c r="C27" s="145">
        <f>IF(SER_hh_fec_in!C27=0,0,11630*1000*SER_hh_fec_in!C27/SER_hh_num_in!C19)</f>
        <v>0</v>
      </c>
      <c r="D27" s="145">
        <f>IF(SER_hh_fec_in!D27=0,0,11630*1000*SER_hh_fec_in!D27/SER_hh_num_in!D19)</f>
        <v>0</v>
      </c>
      <c r="E27" s="145">
        <f>IF(SER_hh_fec_in!E27=0,0,11630*1000*SER_hh_fec_in!E27/SER_hh_num_in!E19)</f>
        <v>0</v>
      </c>
      <c r="F27" s="145">
        <f>IF(SER_hh_fec_in!F27=0,0,11630*1000*SER_hh_fec_in!F27/SER_hh_num_in!F19)</f>
        <v>0</v>
      </c>
      <c r="G27" s="145">
        <f>IF(SER_hh_fec_in!G27=0,0,11630*1000*SER_hh_fec_in!G27/SER_hh_num_in!G19)</f>
        <v>0</v>
      </c>
      <c r="H27" s="145">
        <f>IF(SER_hh_fec_in!H27=0,0,11630*1000*SER_hh_fec_in!H27/SER_hh_num_in!H19)</f>
        <v>0</v>
      </c>
      <c r="I27" s="145">
        <f>IF(SER_hh_fec_in!I27=0,0,11630*1000*SER_hh_fec_in!I27/SER_hh_num_in!I19)</f>
        <v>0</v>
      </c>
      <c r="J27" s="145">
        <f>IF(SER_hh_fec_in!J27=0,0,11630*1000*SER_hh_fec_in!J27/SER_hh_num_in!J19)</f>
        <v>0</v>
      </c>
      <c r="K27" s="145">
        <f>IF(SER_hh_fec_in!K27=0,0,11630*1000*SER_hh_fec_in!K27/SER_hh_num_in!K19)</f>
        <v>0</v>
      </c>
      <c r="L27" s="145">
        <f>IF(SER_hh_fec_in!L27=0,0,11630*1000*SER_hh_fec_in!L27/SER_hh_num_in!L19)</f>
        <v>0</v>
      </c>
      <c r="M27" s="145">
        <f>IF(SER_hh_fec_in!M27=0,0,11630*1000*SER_hh_fec_in!M27/SER_hh_num_in!M19)</f>
        <v>0</v>
      </c>
      <c r="N27" s="145">
        <f>IF(SER_hh_fec_in!N27=0,0,11630*1000*SER_hh_fec_in!N27/SER_hh_num_in!N19)</f>
        <v>0</v>
      </c>
      <c r="O27" s="145">
        <f>IF(SER_hh_fec_in!O27=0,0,11630*1000*SER_hh_fec_in!O27/SER_hh_num_in!O19)</f>
        <v>0</v>
      </c>
      <c r="P27" s="145">
        <f>IF(SER_hh_fec_in!P27=0,0,11630*1000*SER_hh_fec_in!P27/SER_hh_num_in!P19)</f>
        <v>0</v>
      </c>
      <c r="Q27" s="145">
        <f>IF(SER_hh_fec_in!Q27=0,0,11630*1000*SER_hh_fec_in!Q27/SER_hh_num_in!Q19)</f>
        <v>0</v>
      </c>
      <c r="R27" s="145">
        <f>IF(SER_hh_fec_in!R27=0,0,11630*1000*SER_hh_fec_in!R27/SER_hh_num_in!R19)</f>
        <v>0</v>
      </c>
      <c r="S27" s="145">
        <f>IF(SER_hh_fec_in!S27=0,0,11630*1000*SER_hh_fec_in!S27/SER_hh_num_in!S19)</f>
        <v>0</v>
      </c>
      <c r="T27" s="145">
        <f>IF(SER_hh_fec_in!T27=0,0,11630*1000*SER_hh_fec_in!T27/SER_hh_num_in!T19)</f>
        <v>0</v>
      </c>
      <c r="U27" s="145">
        <f>IF(SER_hh_fec_in!U27=0,0,11630*1000*SER_hh_fec_in!U27/SER_hh_num_in!U19)</f>
        <v>0</v>
      </c>
      <c r="V27" s="145">
        <f>IF(SER_hh_fec_in!V27=0,0,11630*1000*SER_hh_fec_in!V27/SER_hh_num_in!V19)</f>
        <v>0</v>
      </c>
      <c r="W27" s="145">
        <f>IF(SER_hh_fec_in!W27=0,0,11630*1000*SER_hh_fec_in!W27/SER_hh_num_in!W19)</f>
        <v>0</v>
      </c>
      <c r="X27" s="145">
        <f>IF(SER_hh_fec_in!X27=0,0,11630*1000*SER_hh_fec_in!X27/SER_hh_num_in!X19)</f>
        <v>0</v>
      </c>
      <c r="Y27" s="145">
        <f>IF(SER_hh_fec_in!Y27=0,0,11630*1000*SER_hh_fec_in!Y27/SER_hh_num_in!Y19)</f>
        <v>0</v>
      </c>
      <c r="DA27" s="158" t="s">
        <v>748</v>
      </c>
    </row>
    <row r="28" spans="1:105" ht="12" customHeight="1" x14ac:dyDescent="0.25">
      <c r="A28" s="78" t="s">
        <v>85</v>
      </c>
      <c r="B28" s="68"/>
      <c r="C28" s="146">
        <f>IF(SER_hh_fec_in!C27=0,0,11630*1000*SER_hh_fec_in!C27/SER_hh_num_in!C27)</f>
        <v>0</v>
      </c>
      <c r="D28" s="146">
        <f>IF(SER_hh_fec_in!D27=0,0,11630*1000*SER_hh_fec_in!D27/SER_hh_num_in!D27)</f>
        <v>0</v>
      </c>
      <c r="E28" s="146">
        <f>IF(SER_hh_fec_in!E27=0,0,11630*1000*SER_hh_fec_in!E27/SER_hh_num_in!E27)</f>
        <v>0</v>
      </c>
      <c r="F28" s="146">
        <f>IF(SER_hh_fec_in!F27=0,0,11630*1000*SER_hh_fec_in!F27/SER_hh_num_in!F27)</f>
        <v>0</v>
      </c>
      <c r="G28" s="146">
        <f>IF(SER_hh_fec_in!G27=0,0,11630*1000*SER_hh_fec_in!G27/SER_hh_num_in!G27)</f>
        <v>0</v>
      </c>
      <c r="H28" s="146">
        <f>IF(SER_hh_fec_in!H27=0,0,11630*1000*SER_hh_fec_in!H27/SER_hh_num_in!H27)</f>
        <v>0</v>
      </c>
      <c r="I28" s="146">
        <f>IF(SER_hh_fec_in!I27=0,0,11630*1000*SER_hh_fec_in!I27/SER_hh_num_in!I27)</f>
        <v>0</v>
      </c>
      <c r="J28" s="146">
        <f>IF(SER_hh_fec_in!J27=0,0,11630*1000*SER_hh_fec_in!J27/SER_hh_num_in!J27)</f>
        <v>0</v>
      </c>
      <c r="K28" s="146">
        <f>IF(SER_hh_fec_in!K27=0,0,11630*1000*SER_hh_fec_in!K27/SER_hh_num_in!K27)</f>
        <v>0</v>
      </c>
      <c r="L28" s="146">
        <f>IF(SER_hh_fec_in!L27=0,0,11630*1000*SER_hh_fec_in!L27/SER_hh_num_in!L27)</f>
        <v>0</v>
      </c>
      <c r="M28" s="146">
        <f>IF(SER_hh_fec_in!M27=0,0,11630*1000*SER_hh_fec_in!M27/SER_hh_num_in!M27)</f>
        <v>0</v>
      </c>
      <c r="N28" s="146">
        <f>IF(SER_hh_fec_in!N27=0,0,11630*1000*SER_hh_fec_in!N27/SER_hh_num_in!N27)</f>
        <v>0</v>
      </c>
      <c r="O28" s="146">
        <f>IF(SER_hh_fec_in!O27=0,0,11630*1000*SER_hh_fec_in!O27/SER_hh_num_in!O27)</f>
        <v>0</v>
      </c>
      <c r="P28" s="146">
        <f>IF(SER_hh_fec_in!P27=0,0,11630*1000*SER_hh_fec_in!P27/SER_hh_num_in!P27)</f>
        <v>0</v>
      </c>
      <c r="Q28" s="146">
        <f>IF(SER_hh_fec_in!Q27=0,0,11630*1000*SER_hh_fec_in!Q27/SER_hh_num_in!Q27)</f>
        <v>0</v>
      </c>
      <c r="R28" s="146">
        <f>IF(SER_hh_fec_in!R27=0,0,11630*1000*SER_hh_fec_in!R27/SER_hh_num_in!R27)</f>
        <v>0</v>
      </c>
      <c r="S28" s="146">
        <f>IF(SER_hh_fec_in!S27=0,0,11630*1000*SER_hh_fec_in!S27/SER_hh_num_in!S27)</f>
        <v>0</v>
      </c>
      <c r="T28" s="146">
        <f>IF(SER_hh_fec_in!T27=0,0,11630*1000*SER_hh_fec_in!T27/SER_hh_num_in!T27)</f>
        <v>0</v>
      </c>
      <c r="U28" s="146">
        <f>IF(SER_hh_fec_in!U27=0,0,11630*1000*SER_hh_fec_in!U27/SER_hh_num_in!U27)</f>
        <v>0</v>
      </c>
      <c r="V28" s="146">
        <f>IF(SER_hh_fec_in!V27=0,0,11630*1000*SER_hh_fec_in!V27/SER_hh_num_in!V27)</f>
        <v>0</v>
      </c>
      <c r="W28" s="146">
        <f>IF(SER_hh_fec_in!W27=0,0,11630*1000*SER_hh_fec_in!W27/SER_hh_num_in!W27)</f>
        <v>0</v>
      </c>
      <c r="X28" s="146">
        <f>IF(SER_hh_fec_in!X27=0,0,11630*1000*SER_hh_fec_in!X27/SER_hh_num_in!X27)</f>
        <v>0</v>
      </c>
      <c r="Y28" s="146">
        <f>IF(SER_hh_fec_in!Y27=0,0,11630*1000*SER_hh_fec_in!Y27/SER_hh_num_in!Y27)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IF(SER_hh_fec_in!C29=0,0,11630*1000*SER_hh_fec_in!C29/SER_hh_num_in!C29)</f>
        <v>20928.471967495756</v>
      </c>
      <c r="D29" s="130">
        <f>IF(SER_hh_fec_in!D29=0,0,11630*1000*SER_hh_fec_in!D29/SER_hh_num_in!D29)</f>
        <v>20738.693947346321</v>
      </c>
      <c r="E29" s="130">
        <f>IF(SER_hh_fec_in!E29=0,0,11630*1000*SER_hh_fec_in!E29/SER_hh_num_in!E29)</f>
        <v>20793.197878261144</v>
      </c>
      <c r="F29" s="130">
        <f>IF(SER_hh_fec_in!F29=0,0,11630*1000*SER_hh_fec_in!F29/SER_hh_num_in!F29)</f>
        <v>20936.262173349336</v>
      </c>
      <c r="G29" s="130">
        <f>IF(SER_hh_fec_in!G29=0,0,11630*1000*SER_hh_fec_in!G29/SER_hh_num_in!G29)</f>
        <v>21063.107324370983</v>
      </c>
      <c r="H29" s="130">
        <f>IF(SER_hh_fec_in!H29=0,0,11630*1000*SER_hh_fec_in!H29/SER_hh_num_in!H29)</f>
        <v>21176.388225698742</v>
      </c>
      <c r="I29" s="130">
        <f>IF(SER_hh_fec_in!I29=0,0,11630*1000*SER_hh_fec_in!I29/SER_hh_num_in!I29)</f>
        <v>20841.952706399945</v>
      </c>
      <c r="J29" s="130">
        <f>IF(SER_hh_fec_in!J29=0,0,11630*1000*SER_hh_fec_in!J29/SER_hh_num_in!J29)</f>
        <v>20720.404505080089</v>
      </c>
      <c r="K29" s="130">
        <f>IF(SER_hh_fec_in!K29=0,0,11630*1000*SER_hh_fec_in!K29/SER_hh_num_in!K29)</f>
        <v>20974.381572804959</v>
      </c>
      <c r="L29" s="130">
        <f>IF(SER_hh_fec_in!L29=0,0,11630*1000*SER_hh_fec_in!L29/SER_hh_num_in!L29)</f>
        <v>20724.036931019335</v>
      </c>
      <c r="M29" s="130">
        <f>IF(SER_hh_fec_in!M29=0,0,11630*1000*SER_hh_fec_in!M29/SER_hh_num_in!M29)</f>
        <v>21129.173898702851</v>
      </c>
      <c r="N29" s="130">
        <f>IF(SER_hh_fec_in!N29=0,0,11630*1000*SER_hh_fec_in!N29/SER_hh_num_in!N29)</f>
        <v>20979.44218483827</v>
      </c>
      <c r="O29" s="130">
        <f>IF(SER_hh_fec_in!O29=0,0,11630*1000*SER_hh_fec_in!O29/SER_hh_num_in!O29)</f>
        <v>21089.362377264777</v>
      </c>
      <c r="P29" s="130">
        <f>IF(SER_hh_fec_in!P29=0,0,11630*1000*SER_hh_fec_in!P29/SER_hh_num_in!P29)</f>
        <v>21148.811645608916</v>
      </c>
      <c r="Q29" s="130">
        <f>IF(SER_hh_fec_in!Q29=0,0,11630*1000*SER_hh_fec_in!Q29/SER_hh_num_in!Q29)</f>
        <v>21289.097285076386</v>
      </c>
      <c r="R29" s="130">
        <f>IF(SER_hh_fec_in!R29=0,0,11630*1000*SER_hh_fec_in!R29/SER_hh_num_in!R29)</f>
        <v>21444.250747897458</v>
      </c>
      <c r="S29" s="130">
        <f>IF(SER_hh_fec_in!S29=0,0,11630*1000*SER_hh_fec_in!S29/SER_hh_num_in!S29)</f>
        <v>21781.688344964736</v>
      </c>
      <c r="T29" s="130">
        <f>IF(SER_hh_fec_in!T29=0,0,11630*1000*SER_hh_fec_in!T29/SER_hh_num_in!T29)</f>
        <v>21273.965165876689</v>
      </c>
      <c r="U29" s="130">
        <f>IF(SER_hh_fec_in!U29=0,0,11630*1000*SER_hh_fec_in!U29/SER_hh_num_in!U29)</f>
        <v>22229.276918051837</v>
      </c>
      <c r="V29" s="130">
        <f>IF(SER_hh_fec_in!V29=0,0,11630*1000*SER_hh_fec_in!V29/SER_hh_num_in!V29)</f>
        <v>20434.230893200489</v>
      </c>
      <c r="W29" s="130">
        <f>IF(SER_hh_fec_in!W29=0,0,11630*1000*SER_hh_fec_in!W29/SER_hh_num_in!W29)</f>
        <v>22274.116675039735</v>
      </c>
      <c r="X29" s="130">
        <f>IF(SER_hh_fec_in!X29=0,0,11630*1000*SER_hh_fec_in!X29/SER_hh_num_in!X29)</f>
        <v>22149.989531465144</v>
      </c>
      <c r="Y29" s="130">
        <f>IF(SER_hh_fec_in!Y29=0,0,11630*1000*SER_hh_fec_in!Y29/SER_hh_num_in!Y29)</f>
        <v>22363.554070551112</v>
      </c>
      <c r="DA29" s="155" t="s">
        <v>749</v>
      </c>
    </row>
    <row r="30" spans="1:105" s="2" customFormat="1" ht="12" customHeight="1" x14ac:dyDescent="0.25">
      <c r="A30" s="131" t="s">
        <v>52</v>
      </c>
      <c r="B30" s="132"/>
      <c r="C30" s="132">
        <f>IF(SER_hh_fec_in!C30=0,0,11630*1000*SER_hh_fec_in!C30/SER_hh_num_in!C30)</f>
        <v>0</v>
      </c>
      <c r="D30" s="132">
        <f>IF(SER_hh_fec_in!D30=0,0,11630*1000*SER_hh_fec_in!D30/SER_hh_num_in!D30)</f>
        <v>0</v>
      </c>
      <c r="E30" s="132">
        <f>IF(SER_hh_fec_in!E30=0,0,11630*1000*SER_hh_fec_in!E30/SER_hh_num_in!E30)</f>
        <v>0</v>
      </c>
      <c r="F30" s="132">
        <f>IF(SER_hh_fec_in!F30=0,0,11630*1000*SER_hh_fec_in!F30/SER_hh_num_in!F30)</f>
        <v>0</v>
      </c>
      <c r="G30" s="132">
        <f>IF(SER_hh_fec_in!G30=0,0,11630*1000*SER_hh_fec_in!G30/SER_hh_num_in!G30)</f>
        <v>0</v>
      </c>
      <c r="H30" s="132">
        <f>IF(SER_hh_fec_in!H30=0,0,11630*1000*SER_hh_fec_in!H30/SER_hh_num_in!H30)</f>
        <v>0</v>
      </c>
      <c r="I30" s="132">
        <f>IF(SER_hh_fec_in!I30=0,0,11630*1000*SER_hh_fec_in!I30/SER_hh_num_in!I30)</f>
        <v>0</v>
      </c>
      <c r="J30" s="132">
        <f>IF(SER_hh_fec_in!J30=0,0,11630*1000*SER_hh_fec_in!J30/SER_hh_num_in!J30)</f>
        <v>0</v>
      </c>
      <c r="K30" s="132">
        <f>IF(SER_hh_fec_in!K30=0,0,11630*1000*SER_hh_fec_in!K30/SER_hh_num_in!K30)</f>
        <v>0</v>
      </c>
      <c r="L30" s="132">
        <f>IF(SER_hh_fec_in!L30=0,0,11630*1000*SER_hh_fec_in!L30/SER_hh_num_in!L30)</f>
        <v>0</v>
      </c>
      <c r="M30" s="132">
        <f>IF(SER_hh_fec_in!M30=0,0,11630*1000*SER_hh_fec_in!M30/SER_hh_num_in!M30)</f>
        <v>0</v>
      </c>
      <c r="N30" s="132">
        <f>IF(SER_hh_fec_in!N30=0,0,11630*1000*SER_hh_fec_in!N30/SER_hh_num_in!N30)</f>
        <v>0</v>
      </c>
      <c r="O30" s="132">
        <f>IF(SER_hh_fec_in!O30=0,0,11630*1000*SER_hh_fec_in!O30/SER_hh_num_in!O30)</f>
        <v>0</v>
      </c>
      <c r="P30" s="132">
        <f>IF(SER_hh_fec_in!P30=0,0,11630*1000*SER_hh_fec_in!P30/SER_hh_num_in!P30)</f>
        <v>0</v>
      </c>
      <c r="Q30" s="132">
        <f>IF(SER_hh_fec_in!Q30=0,0,11630*1000*SER_hh_fec_in!Q30/SER_hh_num_in!Q30)</f>
        <v>0</v>
      </c>
      <c r="R30" s="132">
        <f>IF(SER_hh_fec_in!R30=0,0,11630*1000*SER_hh_fec_in!R30/SER_hh_num_in!R30)</f>
        <v>0</v>
      </c>
      <c r="S30" s="132">
        <f>IF(SER_hh_fec_in!S30=0,0,11630*1000*SER_hh_fec_in!S30/SER_hh_num_in!S30)</f>
        <v>0</v>
      </c>
      <c r="T30" s="132">
        <f>IF(SER_hh_fec_in!T30=0,0,11630*1000*SER_hh_fec_in!T30/SER_hh_num_in!T30)</f>
        <v>0</v>
      </c>
      <c r="U30" s="132">
        <f>IF(SER_hh_fec_in!U30=0,0,11630*1000*SER_hh_fec_in!U30/SER_hh_num_in!U30)</f>
        <v>0</v>
      </c>
      <c r="V30" s="132">
        <f>IF(SER_hh_fec_in!V30=0,0,11630*1000*SER_hh_fec_in!V30/SER_hh_num_in!V30)</f>
        <v>0</v>
      </c>
      <c r="W30" s="132">
        <f>IF(SER_hh_fec_in!W30=0,0,11630*1000*SER_hh_fec_in!W30/SER_hh_num_in!W30)</f>
        <v>0</v>
      </c>
      <c r="X30" s="132">
        <f>IF(SER_hh_fec_in!X30=0,0,11630*1000*SER_hh_fec_in!X30/SER_hh_num_in!X30)</f>
        <v>0</v>
      </c>
      <c r="Y30" s="132">
        <f>IF(SER_hh_fec_in!Y30=0,0,11630*1000*SER_hh_fec_in!Y30/SER_hh_num_in!Y30)</f>
        <v>0</v>
      </c>
      <c r="DA30" s="156" t="s">
        <v>750</v>
      </c>
    </row>
    <row r="31" spans="1:105" ht="12" customHeight="1" x14ac:dyDescent="0.25">
      <c r="A31" s="131" t="s">
        <v>149</v>
      </c>
      <c r="B31" s="132"/>
      <c r="C31" s="132">
        <f>IF(SER_hh_fec_in!C31=0,0,11630*1000*SER_hh_fec_in!C31/SER_hh_num_in!C31)</f>
        <v>27248.904883358264</v>
      </c>
      <c r="D31" s="132">
        <f>IF(SER_hh_fec_in!D31=0,0,11630*1000*SER_hh_fec_in!D31/SER_hh_num_in!D31)</f>
        <v>27261.652606078907</v>
      </c>
      <c r="E31" s="132">
        <f>IF(SER_hh_fec_in!E31=0,0,11630*1000*SER_hh_fec_in!E31/SER_hh_num_in!E31)</f>
        <v>27240.126335960769</v>
      </c>
      <c r="F31" s="132">
        <f>IF(SER_hh_fec_in!F31=0,0,11630*1000*SER_hh_fec_in!F31/SER_hh_num_in!F31)</f>
        <v>27570.832056724757</v>
      </c>
      <c r="G31" s="132">
        <f>IF(SER_hh_fec_in!G31=0,0,11630*1000*SER_hh_fec_in!G31/SER_hh_num_in!G31)</f>
        <v>27689.707727934085</v>
      </c>
      <c r="H31" s="132">
        <f>IF(SER_hh_fec_in!H31=0,0,11630*1000*SER_hh_fec_in!H31/SER_hh_num_in!H31)</f>
        <v>27680.320380798483</v>
      </c>
      <c r="I31" s="132">
        <f>IF(SER_hh_fec_in!I31=0,0,11630*1000*SER_hh_fec_in!I31/SER_hh_num_in!I31)</f>
        <v>27651.233848523112</v>
      </c>
      <c r="J31" s="132">
        <f>IF(SER_hh_fec_in!J31=0,0,11630*1000*SER_hh_fec_in!J31/SER_hh_num_in!J31)</f>
        <v>28043.493823025543</v>
      </c>
      <c r="K31" s="132">
        <f>IF(SER_hh_fec_in!K31=0,0,11630*1000*SER_hh_fec_in!K31/SER_hh_num_in!K31)</f>
        <v>27586.016448826453</v>
      </c>
      <c r="L31" s="132">
        <f>IF(SER_hh_fec_in!L31=0,0,11630*1000*SER_hh_fec_in!L31/SER_hh_num_in!L31)</f>
        <v>27553.849699432903</v>
      </c>
      <c r="M31" s="132">
        <f>IF(SER_hh_fec_in!M31=0,0,11630*1000*SER_hh_fec_in!M31/SER_hh_num_in!M31)</f>
        <v>27202.180826864191</v>
      </c>
      <c r="N31" s="132">
        <f>IF(SER_hh_fec_in!N31=0,0,11630*1000*SER_hh_fec_in!N31/SER_hh_num_in!N31)</f>
        <v>27734.05140240919</v>
      </c>
      <c r="O31" s="132">
        <f>IF(SER_hh_fec_in!O31=0,0,11630*1000*SER_hh_fec_in!O31/SER_hh_num_in!O31)</f>
        <v>28643.111444828013</v>
      </c>
      <c r="P31" s="132">
        <f>IF(SER_hh_fec_in!P31=0,0,11630*1000*SER_hh_fec_in!P31/SER_hh_num_in!P31)</f>
        <v>28516.646338083236</v>
      </c>
      <c r="Q31" s="132">
        <f>IF(SER_hh_fec_in!Q31=0,0,11630*1000*SER_hh_fec_in!Q31/SER_hh_num_in!Q31)</f>
        <v>28831.196832126883</v>
      </c>
      <c r="R31" s="132">
        <f>IF(SER_hh_fec_in!R31=0,0,11630*1000*SER_hh_fec_in!R31/SER_hh_num_in!R31)</f>
        <v>28469.78306614585</v>
      </c>
      <c r="S31" s="132">
        <f>IF(SER_hh_fec_in!S31=0,0,11630*1000*SER_hh_fec_in!S31/SER_hh_num_in!S31)</f>
        <v>32363.93660283773</v>
      </c>
      <c r="T31" s="132">
        <f>IF(SER_hh_fec_in!T31=0,0,11630*1000*SER_hh_fec_in!T31/SER_hh_num_in!T31)</f>
        <v>29249.001909135244</v>
      </c>
      <c r="U31" s="132">
        <f>IF(SER_hh_fec_in!U31=0,0,11630*1000*SER_hh_fec_in!U31/SER_hh_num_in!U31)</f>
        <v>28527.602435394427</v>
      </c>
      <c r="V31" s="132">
        <f>IF(SER_hh_fec_in!V31=0,0,11630*1000*SER_hh_fec_in!V31/SER_hh_num_in!V31)</f>
        <v>27821.160521622558</v>
      </c>
      <c r="W31" s="132">
        <f>IF(SER_hh_fec_in!W31=0,0,11630*1000*SER_hh_fec_in!W31/SER_hh_num_in!W31)</f>
        <v>39600.062338793185</v>
      </c>
      <c r="X31" s="132">
        <f>IF(SER_hh_fec_in!X31=0,0,11630*1000*SER_hh_fec_in!X31/SER_hh_num_in!X31)</f>
        <v>35306.167634898673</v>
      </c>
      <c r="Y31" s="132">
        <f>IF(SER_hh_fec_in!Y31=0,0,11630*1000*SER_hh_fec_in!Y31/SER_hh_num_in!Y31)</f>
        <v>28932.80633335482</v>
      </c>
      <c r="DA31" s="156" t="s">
        <v>751</v>
      </c>
    </row>
    <row r="32" spans="1:105" ht="12" customHeight="1" x14ac:dyDescent="0.25">
      <c r="A32" s="131" t="s">
        <v>128</v>
      </c>
      <c r="B32" s="132"/>
      <c r="C32" s="132">
        <f>IF(SER_hh_fec_in!C32=0,0,11630*1000*SER_hh_fec_in!C32/SER_hh_num_in!C32)</f>
        <v>0</v>
      </c>
      <c r="D32" s="132">
        <f>IF(SER_hh_fec_in!D32=0,0,11630*1000*SER_hh_fec_in!D32/SER_hh_num_in!D32)</f>
        <v>0</v>
      </c>
      <c r="E32" s="132">
        <f>IF(SER_hh_fec_in!E32=0,0,11630*1000*SER_hh_fec_in!E32/SER_hh_num_in!E32)</f>
        <v>0</v>
      </c>
      <c r="F32" s="132">
        <f>IF(SER_hh_fec_in!F32=0,0,11630*1000*SER_hh_fec_in!F32/SER_hh_num_in!F32)</f>
        <v>0</v>
      </c>
      <c r="G32" s="132">
        <f>IF(SER_hh_fec_in!G32=0,0,11630*1000*SER_hh_fec_in!G32/SER_hh_num_in!G32)</f>
        <v>0</v>
      </c>
      <c r="H32" s="132">
        <f>IF(SER_hh_fec_in!H32=0,0,11630*1000*SER_hh_fec_in!H32/SER_hh_num_in!H32)</f>
        <v>0</v>
      </c>
      <c r="I32" s="132">
        <f>IF(SER_hh_fec_in!I32=0,0,11630*1000*SER_hh_fec_in!I32/SER_hh_num_in!I32)</f>
        <v>0</v>
      </c>
      <c r="J32" s="132">
        <f>IF(SER_hh_fec_in!J32=0,0,11630*1000*SER_hh_fec_in!J32/SER_hh_num_in!J32)</f>
        <v>0</v>
      </c>
      <c r="K32" s="132">
        <f>IF(SER_hh_fec_in!K32=0,0,11630*1000*SER_hh_fec_in!K32/SER_hh_num_in!K32)</f>
        <v>0</v>
      </c>
      <c r="L32" s="132">
        <f>IF(SER_hh_fec_in!L32=0,0,11630*1000*SER_hh_fec_in!L32/SER_hh_num_in!L32)</f>
        <v>0</v>
      </c>
      <c r="M32" s="132">
        <f>IF(SER_hh_fec_in!M32=0,0,11630*1000*SER_hh_fec_in!M32/SER_hh_num_in!M32)</f>
        <v>0</v>
      </c>
      <c r="N32" s="132">
        <f>IF(SER_hh_fec_in!N32=0,0,11630*1000*SER_hh_fec_in!N32/SER_hh_num_in!N32)</f>
        <v>0</v>
      </c>
      <c r="O32" s="132">
        <f>IF(SER_hh_fec_in!O32=0,0,11630*1000*SER_hh_fec_in!O32/SER_hh_num_in!O32)</f>
        <v>0</v>
      </c>
      <c r="P32" s="132">
        <f>IF(SER_hh_fec_in!P32=0,0,11630*1000*SER_hh_fec_in!P32/SER_hh_num_in!P32)</f>
        <v>0</v>
      </c>
      <c r="Q32" s="132">
        <f>IF(SER_hh_fec_in!Q32=0,0,11630*1000*SER_hh_fec_in!Q32/SER_hh_num_in!Q32)</f>
        <v>0</v>
      </c>
      <c r="R32" s="132">
        <f>IF(SER_hh_fec_in!R32=0,0,11630*1000*SER_hh_fec_in!R32/SER_hh_num_in!R32)</f>
        <v>0</v>
      </c>
      <c r="S32" s="132">
        <f>IF(SER_hh_fec_in!S32=0,0,11630*1000*SER_hh_fec_in!S32/SER_hh_num_in!S32)</f>
        <v>0</v>
      </c>
      <c r="T32" s="132">
        <f>IF(SER_hh_fec_in!T32=0,0,11630*1000*SER_hh_fec_in!T32/SER_hh_num_in!T32)</f>
        <v>0</v>
      </c>
      <c r="U32" s="132">
        <f>IF(SER_hh_fec_in!U32=0,0,11630*1000*SER_hh_fec_in!U32/SER_hh_num_in!U32)</f>
        <v>0</v>
      </c>
      <c r="V32" s="132">
        <f>IF(SER_hh_fec_in!V32=0,0,11630*1000*SER_hh_fec_in!V32/SER_hh_num_in!V32)</f>
        <v>0</v>
      </c>
      <c r="W32" s="132">
        <f>IF(SER_hh_fec_in!W32=0,0,11630*1000*SER_hh_fec_in!W32/SER_hh_num_in!W32)</f>
        <v>0</v>
      </c>
      <c r="X32" s="132">
        <f>IF(SER_hh_fec_in!X32=0,0,11630*1000*SER_hh_fec_in!X32/SER_hh_num_in!X32)</f>
        <v>0</v>
      </c>
      <c r="Y32" s="132">
        <f>IF(SER_hh_fec_in!Y32=0,0,11630*1000*SER_hh_fec_in!Y32/SER_hh_num_in!Y32)</f>
        <v>0</v>
      </c>
      <c r="DA32" s="156" t="s">
        <v>752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20793.740898675809</v>
      </c>
      <c r="D33" s="68">
        <f>IF(SER_hh_fec_in!D33=0,0,11630*1000*SER_hh_fec_in!D33/SER_hh_num_in!D33)</f>
        <v>20590.250045830784</v>
      </c>
      <c r="E33" s="68">
        <f>IF(SER_hh_fec_in!E33=0,0,11630*1000*SER_hh_fec_in!E33/SER_hh_num_in!E33)</f>
        <v>20651.870212260339</v>
      </c>
      <c r="F33" s="68">
        <f>IF(SER_hh_fec_in!F33=0,0,11630*1000*SER_hh_fec_in!F33/SER_hh_num_in!F33)</f>
        <v>20805.611492570817</v>
      </c>
      <c r="G33" s="68">
        <f>IF(SER_hh_fec_in!G33=0,0,11630*1000*SER_hh_fec_in!G33/SER_hh_num_in!G33)</f>
        <v>20938.392190857547</v>
      </c>
      <c r="H33" s="68">
        <f>IF(SER_hh_fec_in!H33=0,0,11630*1000*SER_hh_fec_in!H33/SER_hh_num_in!H33)</f>
        <v>21063.196401048528</v>
      </c>
      <c r="I33" s="68">
        <f>IF(SER_hh_fec_in!I33=0,0,11630*1000*SER_hh_fec_in!I33/SER_hh_num_in!I33)</f>
        <v>20730.177215308813</v>
      </c>
      <c r="J33" s="68">
        <f>IF(SER_hh_fec_in!J33=0,0,11630*1000*SER_hh_fec_in!J33/SER_hh_num_in!J33)</f>
        <v>20608.871923596038</v>
      </c>
      <c r="K33" s="68">
        <f>IF(SER_hh_fec_in!K33=0,0,11630*1000*SER_hh_fec_in!K33/SER_hh_num_in!K33)</f>
        <v>20895.891170374216</v>
      </c>
      <c r="L33" s="68">
        <f>IF(SER_hh_fec_in!L33=0,0,11630*1000*SER_hh_fec_in!L33/SER_hh_num_in!L33)</f>
        <v>20661.043494236201</v>
      </c>
      <c r="M33" s="68">
        <f>IF(SER_hh_fec_in!M33=0,0,11630*1000*SER_hh_fec_in!M33/SER_hh_num_in!M33)</f>
        <v>21113.866600453792</v>
      </c>
      <c r="N33" s="68">
        <f>IF(SER_hh_fec_in!N33=0,0,11630*1000*SER_hh_fec_in!N33/SER_hh_num_in!N33)</f>
        <v>20902.783640939862</v>
      </c>
      <c r="O33" s="68">
        <f>IF(SER_hh_fec_in!O33=0,0,11630*1000*SER_hh_fec_in!O33/SER_hh_num_in!O33)</f>
        <v>20981.917439912431</v>
      </c>
      <c r="P33" s="68">
        <f>IF(SER_hh_fec_in!P33=0,0,11630*1000*SER_hh_fec_in!P33/SER_hh_num_in!P33)</f>
        <v>21053.712067135471</v>
      </c>
      <c r="Q33" s="68">
        <f>IF(SER_hh_fec_in!Q33=0,0,11630*1000*SER_hh_fec_in!Q33/SER_hh_num_in!Q33)</f>
        <v>21192.065842222466</v>
      </c>
      <c r="R33" s="68">
        <f>IF(SER_hh_fec_in!R33=0,0,11630*1000*SER_hh_fec_in!R33/SER_hh_num_in!R33)</f>
        <v>21367.423789692501</v>
      </c>
      <c r="S33" s="68">
        <f>IF(SER_hh_fec_in!S33=0,0,11630*1000*SER_hh_fec_in!S33/SER_hh_num_in!S33)</f>
        <v>21662.490797724731</v>
      </c>
      <c r="T33" s="68">
        <f>IF(SER_hh_fec_in!T33=0,0,11630*1000*SER_hh_fec_in!T33/SER_hh_num_in!T33)</f>
        <v>21227.111971640395</v>
      </c>
      <c r="U33" s="68">
        <f>IF(SER_hh_fec_in!U33=0,0,11630*1000*SER_hh_fec_in!U33/SER_hh_num_in!U33)</f>
        <v>22179.208159282742</v>
      </c>
      <c r="V33" s="68">
        <f>IF(SER_hh_fec_in!V33=0,0,11630*1000*SER_hh_fec_in!V33/SER_hh_num_in!V33)</f>
        <v>20356.631460297405</v>
      </c>
      <c r="W33" s="68">
        <f>IF(SER_hh_fec_in!W33=0,0,11630*1000*SER_hh_fec_in!W33/SER_hh_num_in!W33)</f>
        <v>22223.970190484517</v>
      </c>
      <c r="X33" s="68">
        <f>IF(SER_hh_fec_in!X33=0,0,11630*1000*SER_hh_fec_in!X33/SER_hh_num_in!X33)</f>
        <v>22115.61551016683</v>
      </c>
      <c r="Y33" s="68">
        <f>IF(SER_hh_fec_in!Y33=0,0,11630*1000*SER_hh_fec_in!Y33/SER_hh_num_in!Y33)</f>
        <v>22350.786298623032</v>
      </c>
      <c r="DA33" s="111" t="s">
        <v>753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88</v>
      </c>
      <c r="B3" s="125"/>
      <c r="C3" s="125">
        <f>IF(SER_hh_tes_in!C3=0,0,11630*1000*SER_hh_tes_in!C3/SER_hh_num_in!C3)</f>
        <v>180024.60766597145</v>
      </c>
      <c r="D3" s="125">
        <f>IF(SER_hh_tes_in!D3=0,0,11630*1000*SER_hh_tes_in!D3/SER_hh_num_in!D3)</f>
        <v>182309.56688275101</v>
      </c>
      <c r="E3" s="125">
        <f>IF(SER_hh_tes_in!E3=0,0,11630*1000*SER_hh_tes_in!E3/SER_hh_num_in!E3)</f>
        <v>180951.35415060492</v>
      </c>
      <c r="F3" s="125">
        <f>IF(SER_hh_tes_in!F3=0,0,11630*1000*SER_hh_tes_in!F3/SER_hh_num_in!F3)</f>
        <v>176543.4834225403</v>
      </c>
      <c r="G3" s="125">
        <f>IF(SER_hh_tes_in!G3=0,0,11630*1000*SER_hh_tes_in!G3/SER_hh_num_in!G3)</f>
        <v>172365.21772826873</v>
      </c>
      <c r="H3" s="125">
        <f>IF(SER_hh_tes_in!H3=0,0,11630*1000*SER_hh_tes_in!H3/SER_hh_num_in!H3)</f>
        <v>171479.24260722598</v>
      </c>
      <c r="I3" s="125">
        <f>IF(SER_hh_tes_in!I3=0,0,11630*1000*SER_hh_tes_in!I3/SER_hh_num_in!I3)</f>
        <v>176825.44390519423</v>
      </c>
      <c r="J3" s="125">
        <f>IF(SER_hh_tes_in!J3=0,0,11630*1000*SER_hh_tes_in!J3/SER_hh_num_in!J3)</f>
        <v>172185.54539720766</v>
      </c>
      <c r="K3" s="125">
        <f>IF(SER_hh_tes_in!K3=0,0,11630*1000*SER_hh_tes_in!K3/SER_hh_num_in!K3)</f>
        <v>183716.71061902511</v>
      </c>
      <c r="L3" s="125">
        <f>IF(SER_hh_tes_in!L3=0,0,11630*1000*SER_hh_tes_in!L3/SER_hh_num_in!L3)</f>
        <v>191799.08558021905</v>
      </c>
      <c r="M3" s="125">
        <f>IF(SER_hh_tes_in!M3=0,0,11630*1000*SER_hh_tes_in!M3/SER_hh_num_in!M3)</f>
        <v>168211.72146668675</v>
      </c>
      <c r="N3" s="125">
        <f>IF(SER_hh_tes_in!N3=0,0,11630*1000*SER_hh_tes_in!N3/SER_hh_num_in!N3)</f>
        <v>174875.97496547978</v>
      </c>
      <c r="O3" s="125">
        <f>IF(SER_hh_tes_in!O3=0,0,11630*1000*SER_hh_tes_in!O3/SER_hh_num_in!O3)</f>
        <v>163363.54087020629</v>
      </c>
      <c r="P3" s="125">
        <f>IF(SER_hh_tes_in!P3=0,0,11630*1000*SER_hh_tes_in!P3/SER_hh_num_in!P3)</f>
        <v>162957.4288310062</v>
      </c>
      <c r="Q3" s="125">
        <f>IF(SER_hh_tes_in!Q3=0,0,11630*1000*SER_hh_tes_in!Q3/SER_hh_num_in!Q3)</f>
        <v>148873.11363075959</v>
      </c>
      <c r="R3" s="125">
        <f>IF(SER_hh_tes_in!R3=0,0,11630*1000*SER_hh_tes_in!R3/SER_hh_num_in!R3)</f>
        <v>150485.16165112754</v>
      </c>
      <c r="S3" s="125">
        <f>IF(SER_hh_tes_in!S3=0,0,11630*1000*SER_hh_tes_in!S3/SER_hh_num_in!S3)</f>
        <v>144070.12257727853</v>
      </c>
      <c r="T3" s="125">
        <f>IF(SER_hh_tes_in!T3=0,0,11630*1000*SER_hh_tes_in!T3/SER_hh_num_in!T3)</f>
        <v>141449.77017763891</v>
      </c>
      <c r="U3" s="125">
        <f>IF(SER_hh_tes_in!U3=0,0,11630*1000*SER_hh_tes_in!U3/SER_hh_num_in!U3)</f>
        <v>132080.8816764474</v>
      </c>
      <c r="V3" s="125">
        <f>IF(SER_hh_tes_in!V3=0,0,11630*1000*SER_hh_tes_in!V3/SER_hh_num_in!V3)</f>
        <v>114849.32224379542</v>
      </c>
      <c r="W3" s="125">
        <f>IF(SER_hh_tes_in!W3=0,0,11630*1000*SER_hh_tes_in!W3/SER_hh_num_in!W3)</f>
        <v>112200.50965929758</v>
      </c>
      <c r="X3" s="125">
        <f>IF(SER_hh_tes_in!X3=0,0,11630*1000*SER_hh_tes_in!X3/SER_hh_num_in!X3)</f>
        <v>101159.6551972907</v>
      </c>
      <c r="Y3" s="125">
        <f>IF(SER_hh_tes_in!Y3=0,0,11630*1000*SER_hh_tes_in!Y3/SER_hh_num_in!Y3)</f>
        <v>101959.41140165416</v>
      </c>
      <c r="DA3" s="154" t="s">
        <v>755</v>
      </c>
    </row>
    <row r="4" spans="1:105" ht="12.95" customHeight="1" x14ac:dyDescent="0.25">
      <c r="A4" s="129" t="s">
        <v>32</v>
      </c>
      <c r="B4" s="130"/>
      <c r="C4" s="130">
        <f>IF(SER_hh_tes_in!C4=0,0,11630*1000*SER_hh_tes_in!C4/SER_hh_num_in!C4)</f>
        <v>125334.40106180772</v>
      </c>
      <c r="D4" s="130">
        <f>IF(SER_hh_tes_in!D4=0,0,11630*1000*SER_hh_tes_in!D4/SER_hh_num_in!D4)</f>
        <v>127957.19830573948</v>
      </c>
      <c r="E4" s="130">
        <f>IF(SER_hh_tes_in!E4=0,0,11630*1000*SER_hh_tes_in!E4/SER_hh_num_in!E4)</f>
        <v>125527.73122912977</v>
      </c>
      <c r="F4" s="130">
        <f>IF(SER_hh_tes_in!F4=0,0,11630*1000*SER_hh_tes_in!F4/SER_hh_num_in!F4)</f>
        <v>122192.24128404263</v>
      </c>
      <c r="G4" s="130">
        <f>IF(SER_hh_tes_in!G4=0,0,11630*1000*SER_hh_tes_in!G4/SER_hh_num_in!G4)</f>
        <v>117842.73891982841</v>
      </c>
      <c r="H4" s="130">
        <f>IF(SER_hh_tes_in!H4=0,0,11630*1000*SER_hh_tes_in!H4/SER_hh_num_in!H4)</f>
        <v>117007.65343360444</v>
      </c>
      <c r="I4" s="130">
        <f>IF(SER_hh_tes_in!I4=0,0,11630*1000*SER_hh_tes_in!I4/SER_hh_num_in!I4)</f>
        <v>122844.89252188809</v>
      </c>
      <c r="J4" s="130">
        <f>IF(SER_hh_tes_in!J4=0,0,11630*1000*SER_hh_tes_in!J4/SER_hh_num_in!J4)</f>
        <v>118408.19954742359</v>
      </c>
      <c r="K4" s="130">
        <f>IF(SER_hh_tes_in!K4=0,0,11630*1000*SER_hh_tes_in!K4/SER_hh_num_in!K4)</f>
        <v>129979.71131305597</v>
      </c>
      <c r="L4" s="130">
        <f>IF(SER_hh_tes_in!L4=0,0,11630*1000*SER_hh_tes_in!L4/SER_hh_num_in!L4)</f>
        <v>136781.79736925894</v>
      </c>
      <c r="M4" s="130">
        <f>IF(SER_hh_tes_in!M4=0,0,11630*1000*SER_hh_tes_in!M4/SER_hh_num_in!M4)</f>
        <v>114388.09276523379</v>
      </c>
      <c r="N4" s="130">
        <f>IF(SER_hh_tes_in!N4=0,0,11630*1000*SER_hh_tes_in!N4/SER_hh_num_in!N4)</f>
        <v>121627.64683223295</v>
      </c>
      <c r="O4" s="130">
        <f>IF(SER_hh_tes_in!O4=0,0,11630*1000*SER_hh_tes_in!O4/SER_hh_num_in!O4)</f>
        <v>110220.73613783663</v>
      </c>
      <c r="P4" s="130">
        <f>IF(SER_hh_tes_in!P4=0,0,11630*1000*SER_hh_tes_in!P4/SER_hh_num_in!P4)</f>
        <v>109795.19759190665</v>
      </c>
      <c r="Q4" s="130">
        <f>IF(SER_hh_tes_in!Q4=0,0,11630*1000*SER_hh_tes_in!Q4/SER_hh_num_in!Q4)</f>
        <v>96114.530366872132</v>
      </c>
      <c r="R4" s="130">
        <f>IF(SER_hh_tes_in!R4=0,0,11630*1000*SER_hh_tes_in!R4/SER_hh_num_in!R4)</f>
        <v>97557.536392902519</v>
      </c>
      <c r="S4" s="130">
        <f>IF(SER_hh_tes_in!S4=0,0,11630*1000*SER_hh_tes_in!S4/SER_hh_num_in!S4)</f>
        <v>90838.163240351263</v>
      </c>
      <c r="T4" s="130">
        <f>IF(SER_hh_tes_in!T4=0,0,11630*1000*SER_hh_tes_in!T4/SER_hh_num_in!T4)</f>
        <v>88761.060361051655</v>
      </c>
      <c r="U4" s="130">
        <f>IF(SER_hh_tes_in!U4=0,0,11630*1000*SER_hh_tes_in!U4/SER_hh_num_in!U4)</f>
        <v>78599.418390615348</v>
      </c>
      <c r="V4" s="130">
        <f>IF(SER_hh_tes_in!V4=0,0,11630*1000*SER_hh_tes_in!V4/SER_hh_num_in!V4)</f>
        <v>65017.173997215083</v>
      </c>
      <c r="W4" s="130">
        <f>IF(SER_hh_tes_in!W4=0,0,11630*1000*SER_hh_tes_in!W4/SER_hh_num_in!W4)</f>
        <v>61135.33005434712</v>
      </c>
      <c r="X4" s="130">
        <f>IF(SER_hh_tes_in!X4=0,0,11630*1000*SER_hh_tes_in!X4/SER_hh_num_in!X4)</f>
        <v>50801.2524624734</v>
      </c>
      <c r="Y4" s="130">
        <f>IF(SER_hh_tes_in!Y4=0,0,11630*1000*SER_hh_tes_in!Y4/SER_hh_num_in!Y4)</f>
        <v>50698.986812200506</v>
      </c>
      <c r="DA4" s="155" t="s">
        <v>756</v>
      </c>
    </row>
    <row r="5" spans="1:105" ht="12" customHeight="1" x14ac:dyDescent="0.25">
      <c r="A5" s="131" t="s">
        <v>29</v>
      </c>
      <c r="B5" s="132"/>
      <c r="C5" s="132">
        <f>IF(SER_hh_tes_in!C5=0,0,11630*1000*SER_hh_tes_in!C5/SER_hh_num_in!C5)</f>
        <v>122149.27938474066</v>
      </c>
      <c r="D5" s="132">
        <f>IF(SER_hh_tes_in!D5=0,0,11630*1000*SER_hh_tes_in!D5/SER_hh_num_in!D5)</f>
        <v>123819.42462425554</v>
      </c>
      <c r="E5" s="132">
        <f>IF(SER_hh_tes_in!E5=0,0,11630*1000*SER_hh_tes_in!E5/SER_hh_num_in!E5)</f>
        <v>125379.65233320858</v>
      </c>
      <c r="F5" s="132">
        <f>IF(SER_hh_tes_in!F5=0,0,11630*1000*SER_hh_tes_in!F5/SER_hh_num_in!F5)</f>
        <v>119439.73103895911</v>
      </c>
      <c r="G5" s="132">
        <f>IF(SER_hh_tes_in!G5=0,0,11630*1000*SER_hh_tes_in!G5/SER_hh_num_in!G5)</f>
        <v>116787.5040428397</v>
      </c>
      <c r="H5" s="132">
        <f>IF(SER_hh_tes_in!H5=0,0,11630*1000*SER_hh_tes_in!H5/SER_hh_num_in!H5)</f>
        <v>122046.91010109294</v>
      </c>
      <c r="I5" s="132">
        <f>IF(SER_hh_tes_in!I5=0,0,11630*1000*SER_hh_tes_in!I5/SER_hh_num_in!I5)</f>
        <v>101601.54543472269</v>
      </c>
      <c r="J5" s="132">
        <f>IF(SER_hh_tes_in!J5=0,0,11630*1000*SER_hh_tes_in!J5/SER_hh_num_in!J5)</f>
        <v>121109.87650173181</v>
      </c>
      <c r="K5" s="132">
        <f>IF(SER_hh_tes_in!K5=0,0,11630*1000*SER_hh_tes_in!K5/SER_hh_num_in!K5)</f>
        <v>130536.16959319326</v>
      </c>
      <c r="L5" s="132">
        <f>IF(SER_hh_tes_in!L5=0,0,11630*1000*SER_hh_tes_in!L5/SER_hh_num_in!L5)</f>
        <v>138903.62342741515</v>
      </c>
      <c r="M5" s="132">
        <f>IF(SER_hh_tes_in!M5=0,0,11630*1000*SER_hh_tes_in!M5/SER_hh_num_in!M5)</f>
        <v>109918.03779742072</v>
      </c>
      <c r="N5" s="132">
        <f>IF(SER_hh_tes_in!N5=0,0,11630*1000*SER_hh_tes_in!N5/SER_hh_num_in!N5)</f>
        <v>123420.91734017061</v>
      </c>
      <c r="O5" s="132">
        <f>IF(SER_hh_tes_in!O5=0,0,11630*1000*SER_hh_tes_in!O5/SER_hh_num_in!O5)</f>
        <v>109608.1105455677</v>
      </c>
      <c r="P5" s="132">
        <f>IF(SER_hh_tes_in!P5=0,0,11630*1000*SER_hh_tes_in!P5/SER_hh_num_in!P5)</f>
        <v>108370.06185122933</v>
      </c>
      <c r="Q5" s="132">
        <f>IF(SER_hh_tes_in!Q5=0,0,11630*1000*SER_hh_tes_in!Q5/SER_hh_num_in!Q5)</f>
        <v>93617.422270812531</v>
      </c>
      <c r="R5" s="132">
        <f>IF(SER_hh_tes_in!R5=0,0,11630*1000*SER_hh_tes_in!R5/SER_hh_num_in!R5)</f>
        <v>97057.060165135932</v>
      </c>
      <c r="S5" s="132">
        <f>IF(SER_hh_tes_in!S5=0,0,11630*1000*SER_hh_tes_in!S5/SER_hh_num_in!S5)</f>
        <v>90266.511318567587</v>
      </c>
      <c r="T5" s="132">
        <f>IF(SER_hh_tes_in!T5=0,0,11630*1000*SER_hh_tes_in!T5/SER_hh_num_in!T5)</f>
        <v>85730.47612886189</v>
      </c>
      <c r="U5" s="132">
        <f>IF(SER_hh_tes_in!U5=0,0,11630*1000*SER_hh_tes_in!U5/SER_hh_num_in!U5)</f>
        <v>81652.46535721996</v>
      </c>
      <c r="V5" s="132">
        <f>IF(SER_hh_tes_in!V5=0,0,11630*1000*SER_hh_tes_in!V5/SER_hh_num_in!V5)</f>
        <v>67389.695333162337</v>
      </c>
      <c r="W5" s="132">
        <f>IF(SER_hh_tes_in!W5=0,0,11630*1000*SER_hh_tes_in!W5/SER_hh_num_in!W5)</f>
        <v>58915.922646164603</v>
      </c>
      <c r="X5" s="132">
        <f>IF(SER_hh_tes_in!X5=0,0,11630*1000*SER_hh_tes_in!X5/SER_hh_num_in!X5)</f>
        <v>50831.01637674246</v>
      </c>
      <c r="Y5" s="132">
        <f>IF(SER_hh_tes_in!Y5=0,0,11630*1000*SER_hh_tes_in!Y5/SER_hh_num_in!Y5)</f>
        <v>50330.966232264822</v>
      </c>
      <c r="DA5" s="156" t="s">
        <v>757</v>
      </c>
    </row>
    <row r="6" spans="1:105" ht="12" customHeight="1" x14ac:dyDescent="0.25">
      <c r="A6" s="131" t="s">
        <v>52</v>
      </c>
      <c r="B6" s="132"/>
      <c r="C6" s="132">
        <f>IF(SER_hh_tes_in!C6=0,0,11630*1000*SER_hh_tes_in!C6/SER_hh_num_in!C6)</f>
        <v>0</v>
      </c>
      <c r="D6" s="132">
        <f>IF(SER_hh_tes_in!D6=0,0,11630*1000*SER_hh_tes_in!D6/SER_hh_num_in!D6)</f>
        <v>0</v>
      </c>
      <c r="E6" s="132">
        <f>IF(SER_hh_tes_in!E6=0,0,11630*1000*SER_hh_tes_in!E6/SER_hh_num_in!E6)</f>
        <v>0</v>
      </c>
      <c r="F6" s="132">
        <f>IF(SER_hh_tes_in!F6=0,0,11630*1000*SER_hh_tes_in!F6/SER_hh_num_in!F6)</f>
        <v>0</v>
      </c>
      <c r="G6" s="132">
        <f>IF(SER_hh_tes_in!G6=0,0,11630*1000*SER_hh_tes_in!G6/SER_hh_num_in!G6)</f>
        <v>0</v>
      </c>
      <c r="H6" s="132">
        <f>IF(SER_hh_tes_in!H6=0,0,11630*1000*SER_hh_tes_in!H6/SER_hh_num_in!H6)</f>
        <v>0</v>
      </c>
      <c r="I6" s="132">
        <f>IF(SER_hh_tes_in!I6=0,0,11630*1000*SER_hh_tes_in!I6/SER_hh_num_in!I6)</f>
        <v>0</v>
      </c>
      <c r="J6" s="132">
        <f>IF(SER_hh_tes_in!J6=0,0,11630*1000*SER_hh_tes_in!J6/SER_hh_num_in!J6)</f>
        <v>0</v>
      </c>
      <c r="K6" s="132">
        <f>IF(SER_hh_tes_in!K6=0,0,11630*1000*SER_hh_tes_in!K6/SER_hh_num_in!K6)</f>
        <v>0</v>
      </c>
      <c r="L6" s="132">
        <f>IF(SER_hh_tes_in!L6=0,0,11630*1000*SER_hh_tes_in!L6/SER_hh_num_in!L6)</f>
        <v>0</v>
      </c>
      <c r="M6" s="132">
        <f>IF(SER_hh_tes_in!M6=0,0,11630*1000*SER_hh_tes_in!M6/SER_hh_num_in!M6)</f>
        <v>0</v>
      </c>
      <c r="N6" s="132">
        <f>IF(SER_hh_tes_in!N6=0,0,11630*1000*SER_hh_tes_in!N6/SER_hh_num_in!N6)</f>
        <v>0</v>
      </c>
      <c r="O6" s="132">
        <f>IF(SER_hh_tes_in!O6=0,0,11630*1000*SER_hh_tes_in!O6/SER_hh_num_in!O6)</f>
        <v>0</v>
      </c>
      <c r="P6" s="132">
        <f>IF(SER_hh_tes_in!P6=0,0,11630*1000*SER_hh_tes_in!P6/SER_hh_num_in!P6)</f>
        <v>0</v>
      </c>
      <c r="Q6" s="132">
        <f>IF(SER_hh_tes_in!Q6=0,0,11630*1000*SER_hh_tes_in!Q6/SER_hh_num_in!Q6)</f>
        <v>0</v>
      </c>
      <c r="R6" s="132">
        <f>IF(SER_hh_tes_in!R6=0,0,11630*1000*SER_hh_tes_in!R6/SER_hh_num_in!R6)</f>
        <v>0</v>
      </c>
      <c r="S6" s="132">
        <f>IF(SER_hh_tes_in!S6=0,0,11630*1000*SER_hh_tes_in!S6/SER_hh_num_in!S6)</f>
        <v>0</v>
      </c>
      <c r="T6" s="132">
        <f>IF(SER_hh_tes_in!T6=0,0,11630*1000*SER_hh_tes_in!T6/SER_hh_num_in!T6)</f>
        <v>0</v>
      </c>
      <c r="U6" s="132">
        <f>IF(SER_hh_tes_in!U6=0,0,11630*1000*SER_hh_tes_in!U6/SER_hh_num_in!U6)</f>
        <v>0</v>
      </c>
      <c r="V6" s="132">
        <f>IF(SER_hh_tes_in!V6=0,0,11630*1000*SER_hh_tes_in!V6/SER_hh_num_in!V6)</f>
        <v>0</v>
      </c>
      <c r="W6" s="132">
        <f>IF(SER_hh_tes_in!W6=0,0,11630*1000*SER_hh_tes_in!W6/SER_hh_num_in!W6)</f>
        <v>0</v>
      </c>
      <c r="X6" s="132">
        <f>IF(SER_hh_tes_in!X6=0,0,11630*1000*SER_hh_tes_in!X6/SER_hh_num_in!X6)</f>
        <v>0</v>
      </c>
      <c r="Y6" s="132">
        <f>IF(SER_hh_tes_in!Y6=0,0,11630*1000*SER_hh_tes_in!Y6/SER_hh_num_in!Y6)</f>
        <v>0</v>
      </c>
      <c r="DA6" s="156" t="s">
        <v>758</v>
      </c>
    </row>
    <row r="7" spans="1:105" ht="12" customHeight="1" x14ac:dyDescent="0.25">
      <c r="A7" s="131" t="s">
        <v>161</v>
      </c>
      <c r="B7" s="132"/>
      <c r="C7" s="132">
        <f>IF(SER_hh_tes_in!C7=0,0,11630*1000*SER_hh_tes_in!C7/SER_hh_num_in!C7)</f>
        <v>122074.86188183702</v>
      </c>
      <c r="D7" s="132">
        <f>IF(SER_hh_tes_in!D7=0,0,11630*1000*SER_hh_tes_in!D7/SER_hh_num_in!D7)</f>
        <v>122973.08179060099</v>
      </c>
      <c r="E7" s="132">
        <f>IF(SER_hh_tes_in!E7=0,0,11630*1000*SER_hh_tes_in!E7/SER_hh_num_in!E7)</f>
        <v>123146.54508361084</v>
      </c>
      <c r="F7" s="132">
        <f>IF(SER_hh_tes_in!F7=0,0,11630*1000*SER_hh_tes_in!F7/SER_hh_num_in!F7)</f>
        <v>120435.84566155965</v>
      </c>
      <c r="G7" s="132">
        <f>IF(SER_hh_tes_in!G7=0,0,11630*1000*SER_hh_tes_in!G7/SER_hh_num_in!G7)</f>
        <v>116226.37244083398</v>
      </c>
      <c r="H7" s="132">
        <f>IF(SER_hh_tes_in!H7=0,0,11630*1000*SER_hh_tes_in!H7/SER_hh_num_in!H7)</f>
        <v>119631.73467312151</v>
      </c>
      <c r="I7" s="132">
        <f>IF(SER_hh_tes_in!I7=0,0,11630*1000*SER_hh_tes_in!I7/SER_hh_num_in!I7)</f>
        <v>122004.79346020894</v>
      </c>
      <c r="J7" s="132">
        <f>IF(SER_hh_tes_in!J7=0,0,11630*1000*SER_hh_tes_in!J7/SER_hh_num_in!J7)</f>
        <v>105516.84801899357</v>
      </c>
      <c r="K7" s="132">
        <f>IF(SER_hh_tes_in!K7=0,0,11630*1000*SER_hh_tes_in!K7/SER_hh_num_in!K7)</f>
        <v>119712.74397916462</v>
      </c>
      <c r="L7" s="132">
        <f>IF(SER_hh_tes_in!L7=0,0,11630*1000*SER_hh_tes_in!L7/SER_hh_num_in!L7)</f>
        <v>138561.51494928796</v>
      </c>
      <c r="M7" s="132">
        <f>IF(SER_hh_tes_in!M7=0,0,11630*1000*SER_hh_tes_in!M7/SER_hh_num_in!M7)</f>
        <v>112793.90752262888</v>
      </c>
      <c r="N7" s="132">
        <f>IF(SER_hh_tes_in!N7=0,0,11630*1000*SER_hh_tes_in!N7/SER_hh_num_in!N7)</f>
        <v>122047.98292111616</v>
      </c>
      <c r="O7" s="132">
        <f>IF(SER_hh_tes_in!O7=0,0,11630*1000*SER_hh_tes_in!O7/SER_hh_num_in!O7)</f>
        <v>108753.07214794663</v>
      </c>
      <c r="P7" s="132">
        <f>IF(SER_hh_tes_in!P7=0,0,11630*1000*SER_hh_tes_in!P7/SER_hh_num_in!P7)</f>
        <v>105463.12040008795</v>
      </c>
      <c r="Q7" s="132">
        <f>IF(SER_hh_tes_in!Q7=0,0,11630*1000*SER_hh_tes_in!Q7/SER_hh_num_in!Q7)</f>
        <v>92224.132675901637</v>
      </c>
      <c r="R7" s="132">
        <f>IF(SER_hh_tes_in!R7=0,0,11630*1000*SER_hh_tes_in!R7/SER_hh_num_in!R7)</f>
        <v>96639.087740728792</v>
      </c>
      <c r="S7" s="132">
        <f>IF(SER_hh_tes_in!S7=0,0,11630*1000*SER_hh_tes_in!S7/SER_hh_num_in!S7)</f>
        <v>90683.355213500472</v>
      </c>
      <c r="T7" s="132">
        <f>IF(SER_hh_tes_in!T7=0,0,11630*1000*SER_hh_tes_in!T7/SER_hh_num_in!T7)</f>
        <v>85214.74265458266</v>
      </c>
      <c r="U7" s="132">
        <f>IF(SER_hh_tes_in!U7=0,0,11630*1000*SER_hh_tes_in!U7/SER_hh_num_in!U7)</f>
        <v>77709.816428492122</v>
      </c>
      <c r="V7" s="132">
        <f>IF(SER_hh_tes_in!V7=0,0,11630*1000*SER_hh_tes_in!V7/SER_hh_num_in!V7)</f>
        <v>63919.269139766649</v>
      </c>
      <c r="W7" s="132">
        <f>IF(SER_hh_tes_in!W7=0,0,11630*1000*SER_hh_tes_in!W7/SER_hh_num_in!W7)</f>
        <v>60229.343600827451</v>
      </c>
      <c r="X7" s="132">
        <f>IF(SER_hh_tes_in!X7=0,0,11630*1000*SER_hh_tes_in!X7/SER_hh_num_in!X7)</f>
        <v>49564.201404950851</v>
      </c>
      <c r="Y7" s="132">
        <f>IF(SER_hh_tes_in!Y7=0,0,11630*1000*SER_hh_tes_in!Y7/SER_hh_num_in!Y7)</f>
        <v>50046.478445167842</v>
      </c>
      <c r="DA7" s="156" t="s">
        <v>759</v>
      </c>
    </row>
    <row r="8" spans="1:105" ht="12" customHeight="1" x14ac:dyDescent="0.25">
      <c r="A8" s="131" t="s">
        <v>73</v>
      </c>
      <c r="B8" s="132"/>
      <c r="C8" s="132">
        <f>IF(SER_hh_tes_in!C8=0,0,11630*1000*SER_hh_tes_in!C8/SER_hh_num_in!C8)</f>
        <v>0</v>
      </c>
      <c r="D8" s="132">
        <f>IF(SER_hh_tes_in!D8=0,0,11630*1000*SER_hh_tes_in!D8/SER_hh_num_in!D8)</f>
        <v>0</v>
      </c>
      <c r="E8" s="132">
        <f>IF(SER_hh_tes_in!E8=0,0,11630*1000*SER_hh_tes_in!E8/SER_hh_num_in!E8)</f>
        <v>0</v>
      </c>
      <c r="F8" s="132">
        <f>IF(SER_hh_tes_in!F8=0,0,11630*1000*SER_hh_tes_in!F8/SER_hh_num_in!F8)</f>
        <v>0</v>
      </c>
      <c r="G8" s="132">
        <f>IF(SER_hh_tes_in!G8=0,0,11630*1000*SER_hh_tes_in!G8/SER_hh_num_in!G8)</f>
        <v>0</v>
      </c>
      <c r="H8" s="132">
        <f>IF(SER_hh_tes_in!H8=0,0,11630*1000*SER_hh_tes_in!H8/SER_hh_num_in!H8)</f>
        <v>0</v>
      </c>
      <c r="I8" s="132">
        <f>IF(SER_hh_tes_in!I8=0,0,11630*1000*SER_hh_tes_in!I8/SER_hh_num_in!I8)</f>
        <v>0</v>
      </c>
      <c r="J8" s="132">
        <f>IF(SER_hh_tes_in!J8=0,0,11630*1000*SER_hh_tes_in!J8/SER_hh_num_in!J8)</f>
        <v>0</v>
      </c>
      <c r="K8" s="132">
        <f>IF(SER_hh_tes_in!K8=0,0,11630*1000*SER_hh_tes_in!K8/SER_hh_num_in!K8)</f>
        <v>0</v>
      </c>
      <c r="L8" s="132">
        <f>IF(SER_hh_tes_in!L8=0,0,11630*1000*SER_hh_tes_in!L8/SER_hh_num_in!L8)</f>
        <v>0</v>
      </c>
      <c r="M8" s="132">
        <f>IF(SER_hh_tes_in!M8=0,0,11630*1000*SER_hh_tes_in!M8/SER_hh_num_in!M8)</f>
        <v>0</v>
      </c>
      <c r="N8" s="132">
        <f>IF(SER_hh_tes_in!N8=0,0,11630*1000*SER_hh_tes_in!N8/SER_hh_num_in!N8)</f>
        <v>0</v>
      </c>
      <c r="O8" s="132">
        <f>IF(SER_hh_tes_in!O8=0,0,11630*1000*SER_hh_tes_in!O8/SER_hh_num_in!O8)</f>
        <v>0</v>
      </c>
      <c r="P8" s="132">
        <f>IF(SER_hh_tes_in!P8=0,0,11630*1000*SER_hh_tes_in!P8/SER_hh_num_in!P8)</f>
        <v>0</v>
      </c>
      <c r="Q8" s="132">
        <f>IF(SER_hh_tes_in!Q8=0,0,11630*1000*SER_hh_tes_in!Q8/SER_hh_num_in!Q8)</f>
        <v>0</v>
      </c>
      <c r="R8" s="132">
        <f>IF(SER_hh_tes_in!R8=0,0,11630*1000*SER_hh_tes_in!R8/SER_hh_num_in!R8)</f>
        <v>0</v>
      </c>
      <c r="S8" s="132">
        <f>IF(SER_hh_tes_in!S8=0,0,11630*1000*SER_hh_tes_in!S8/SER_hh_num_in!S8)</f>
        <v>0</v>
      </c>
      <c r="T8" s="132">
        <f>IF(SER_hh_tes_in!T8=0,0,11630*1000*SER_hh_tes_in!T8/SER_hh_num_in!T8)</f>
        <v>0</v>
      </c>
      <c r="U8" s="132">
        <f>IF(SER_hh_tes_in!U8=0,0,11630*1000*SER_hh_tes_in!U8/SER_hh_num_in!U8)</f>
        <v>0</v>
      </c>
      <c r="V8" s="132">
        <f>IF(SER_hh_tes_in!V8=0,0,11630*1000*SER_hh_tes_in!V8/SER_hh_num_in!V8)</f>
        <v>0</v>
      </c>
      <c r="W8" s="132">
        <f>IF(SER_hh_tes_in!W8=0,0,11630*1000*SER_hh_tes_in!W8/SER_hh_num_in!W8)</f>
        <v>0</v>
      </c>
      <c r="X8" s="132">
        <f>IF(SER_hh_tes_in!X8=0,0,11630*1000*SER_hh_tes_in!X8/SER_hh_num_in!X8)</f>
        <v>0</v>
      </c>
      <c r="Y8" s="132">
        <f>IF(SER_hh_tes_in!Y8=0,0,11630*1000*SER_hh_tes_in!Y8/SER_hh_num_in!Y8)</f>
        <v>0</v>
      </c>
      <c r="DA8" s="156" t="s">
        <v>760</v>
      </c>
    </row>
    <row r="9" spans="1:105" ht="12" customHeight="1" x14ac:dyDescent="0.25">
      <c r="A9" s="131" t="s">
        <v>78</v>
      </c>
      <c r="B9" s="132"/>
      <c r="C9" s="132">
        <f>IF(SER_hh_tes_in!C9=0,0,11630*1000*SER_hh_tes_in!C9/SER_hh_num_in!C9)</f>
        <v>113952.46185482024</v>
      </c>
      <c r="D9" s="132">
        <f>IF(SER_hh_tes_in!D9=0,0,11630*1000*SER_hh_tes_in!D9/SER_hh_num_in!D9)</f>
        <v>125526.72543275975</v>
      </c>
      <c r="E9" s="132">
        <f>IF(SER_hh_tes_in!E9=0,0,11630*1000*SER_hh_tes_in!E9/SER_hh_num_in!E9)</f>
        <v>121168.34750738138</v>
      </c>
      <c r="F9" s="132">
        <f>IF(SER_hh_tes_in!F9=0,0,11630*1000*SER_hh_tes_in!F9/SER_hh_num_in!F9)</f>
        <v>125126.11973757274</v>
      </c>
      <c r="G9" s="132">
        <f>IF(SER_hh_tes_in!G9=0,0,11630*1000*SER_hh_tes_in!G9/SER_hh_num_in!G9)</f>
        <v>120915.8618617356</v>
      </c>
      <c r="H9" s="132">
        <f>IF(SER_hh_tes_in!H9=0,0,11630*1000*SER_hh_tes_in!H9/SER_hh_num_in!H9)</f>
        <v>116037.61011211373</v>
      </c>
      <c r="I9" s="132">
        <f>IF(SER_hh_tes_in!I9=0,0,11630*1000*SER_hh_tes_in!I9/SER_hh_num_in!I9)</f>
        <v>117345.42817762283</v>
      </c>
      <c r="J9" s="132">
        <f>IF(SER_hh_tes_in!J9=0,0,11630*1000*SER_hh_tes_in!J9/SER_hh_num_in!J9)</f>
        <v>117708.83647529736</v>
      </c>
      <c r="K9" s="132">
        <f>IF(SER_hh_tes_in!K9=0,0,11630*1000*SER_hh_tes_in!K9/SER_hh_num_in!K9)</f>
        <v>115213.86460348184</v>
      </c>
      <c r="L9" s="132">
        <f>IF(SER_hh_tes_in!L9=0,0,11630*1000*SER_hh_tes_in!L9/SER_hh_num_in!L9)</f>
        <v>122898.06478550447</v>
      </c>
      <c r="M9" s="132">
        <f>IF(SER_hh_tes_in!M9=0,0,11630*1000*SER_hh_tes_in!M9/SER_hh_num_in!M9)</f>
        <v>160018.30337612919</v>
      </c>
      <c r="N9" s="132">
        <f>IF(SER_hh_tes_in!N9=0,0,11630*1000*SER_hh_tes_in!N9/SER_hh_num_in!N9)</f>
        <v>170763.47933364156</v>
      </c>
      <c r="O9" s="132">
        <f>IF(SER_hh_tes_in!O9=0,0,11630*1000*SER_hh_tes_in!O9/SER_hh_num_in!O9)</f>
        <v>134828.40659159195</v>
      </c>
      <c r="P9" s="132">
        <f>IF(SER_hh_tes_in!P9=0,0,11630*1000*SER_hh_tes_in!P9/SER_hh_num_in!P9)</f>
        <v>110053.04001725296</v>
      </c>
      <c r="Q9" s="132">
        <f>IF(SER_hh_tes_in!Q9=0,0,11630*1000*SER_hh_tes_in!Q9/SER_hh_num_in!Q9)</f>
        <v>91585.575583175596</v>
      </c>
      <c r="R9" s="132">
        <f>IF(SER_hh_tes_in!R9=0,0,11630*1000*SER_hh_tes_in!R9/SER_hh_num_in!R9)</f>
        <v>85031.954196171937</v>
      </c>
      <c r="S9" s="132">
        <f>IF(SER_hh_tes_in!S9=0,0,11630*1000*SER_hh_tes_in!S9/SER_hh_num_in!S9)</f>
        <v>98083.75708682707</v>
      </c>
      <c r="T9" s="132">
        <f>IF(SER_hh_tes_in!T9=0,0,11630*1000*SER_hh_tes_in!T9/SER_hh_num_in!T9)</f>
        <v>85758.315482726495</v>
      </c>
      <c r="U9" s="132">
        <f>IF(SER_hh_tes_in!U9=0,0,11630*1000*SER_hh_tes_in!U9/SER_hh_num_in!U9)</f>
        <v>76753.24782011447</v>
      </c>
      <c r="V9" s="132">
        <f>IF(SER_hh_tes_in!V9=0,0,11630*1000*SER_hh_tes_in!V9/SER_hh_num_in!V9)</f>
        <v>63284.467156288069</v>
      </c>
      <c r="W9" s="132">
        <f>IF(SER_hh_tes_in!W9=0,0,11630*1000*SER_hh_tes_in!W9/SER_hh_num_in!W9)</f>
        <v>64831.466747757193</v>
      </c>
      <c r="X9" s="132">
        <f>IF(SER_hh_tes_in!X9=0,0,11630*1000*SER_hh_tes_in!X9/SER_hh_num_in!X9)</f>
        <v>51179.175320074071</v>
      </c>
      <c r="Y9" s="132">
        <f>IF(SER_hh_tes_in!Y9=0,0,11630*1000*SER_hh_tes_in!Y9/SER_hh_num_in!Y9)</f>
        <v>0</v>
      </c>
      <c r="DA9" s="156" t="s">
        <v>761</v>
      </c>
    </row>
    <row r="10" spans="1:105" ht="12" customHeight="1" x14ac:dyDescent="0.25">
      <c r="A10" s="131" t="s">
        <v>128</v>
      </c>
      <c r="B10" s="132"/>
      <c r="C10" s="132">
        <f>IF(SER_hh_tes_in!C10=0,0,11630*1000*SER_hh_tes_in!C10/SER_hh_num_in!C10)</f>
        <v>124181.89029800912</v>
      </c>
      <c r="D10" s="132">
        <f>IF(SER_hh_tes_in!D10=0,0,11630*1000*SER_hh_tes_in!D10/SER_hh_num_in!D10)</f>
        <v>125807.28192318157</v>
      </c>
      <c r="E10" s="132">
        <f>IF(SER_hh_tes_in!E10=0,0,11630*1000*SER_hh_tes_in!E10/SER_hh_num_in!E10)</f>
        <v>124730.64140982431</v>
      </c>
      <c r="F10" s="132">
        <f>IF(SER_hh_tes_in!F10=0,0,11630*1000*SER_hh_tes_in!F10/SER_hh_num_in!F10)</f>
        <v>120531.56424121058</v>
      </c>
      <c r="G10" s="132">
        <f>IF(SER_hh_tes_in!G10=0,0,11630*1000*SER_hh_tes_in!G10/SER_hh_num_in!G10)</f>
        <v>117545.90742658492</v>
      </c>
      <c r="H10" s="132">
        <f>IF(SER_hh_tes_in!H10=0,0,11630*1000*SER_hh_tes_in!H10/SER_hh_num_in!H10)</f>
        <v>118443.86044621766</v>
      </c>
      <c r="I10" s="132">
        <f>IF(SER_hh_tes_in!I10=0,0,11630*1000*SER_hh_tes_in!I10/SER_hh_num_in!I10)</f>
        <v>115996.99115771771</v>
      </c>
      <c r="J10" s="132">
        <f>IF(SER_hh_tes_in!J10=0,0,11630*1000*SER_hh_tes_in!J10/SER_hh_num_in!J10)</f>
        <v>120871.37548962008</v>
      </c>
      <c r="K10" s="132">
        <f>IF(SER_hh_tes_in!K10=0,0,11630*1000*SER_hh_tes_in!K10/SER_hh_num_in!K10)</f>
        <v>126911.22982456899</v>
      </c>
      <c r="L10" s="132">
        <f>IF(SER_hh_tes_in!L10=0,0,11630*1000*SER_hh_tes_in!L10/SER_hh_num_in!L10)</f>
        <v>136410.52206519278</v>
      </c>
      <c r="M10" s="132">
        <f>IF(SER_hh_tes_in!M10=0,0,11630*1000*SER_hh_tes_in!M10/SER_hh_num_in!M10)</f>
        <v>113635.60392345046</v>
      </c>
      <c r="N10" s="132">
        <f>IF(SER_hh_tes_in!N10=0,0,11630*1000*SER_hh_tes_in!N10/SER_hh_num_in!N10)</f>
        <v>122074.85611803299</v>
      </c>
      <c r="O10" s="132">
        <f>IF(SER_hh_tes_in!O10=0,0,11630*1000*SER_hh_tes_in!O10/SER_hh_num_in!O10)</f>
        <v>108948.3627730907</v>
      </c>
      <c r="P10" s="132">
        <f>IF(SER_hh_tes_in!P10=0,0,11630*1000*SER_hh_tes_in!P10/SER_hh_num_in!P10)</f>
        <v>107643.73217780443</v>
      </c>
      <c r="Q10" s="132">
        <f>IF(SER_hh_tes_in!Q10=0,0,11630*1000*SER_hh_tes_in!Q10/SER_hh_num_in!Q10)</f>
        <v>93108.089423334444</v>
      </c>
      <c r="R10" s="132">
        <f>IF(SER_hh_tes_in!R10=0,0,11630*1000*SER_hh_tes_in!R10/SER_hh_num_in!R10)</f>
        <v>97356.576248911151</v>
      </c>
      <c r="S10" s="132">
        <f>IF(SER_hh_tes_in!S10=0,0,11630*1000*SER_hh_tes_in!S10/SER_hh_num_in!S10)</f>
        <v>91402.265235076251</v>
      </c>
      <c r="T10" s="132">
        <f>IF(SER_hh_tes_in!T10=0,0,11630*1000*SER_hh_tes_in!T10/SER_hh_num_in!T10)</f>
        <v>87176.878907197184</v>
      </c>
      <c r="U10" s="132">
        <f>IF(SER_hh_tes_in!U10=0,0,11630*1000*SER_hh_tes_in!U10/SER_hh_num_in!U10)</f>
        <v>78093.099614759558</v>
      </c>
      <c r="V10" s="132">
        <f>IF(SER_hh_tes_in!V10=0,0,11630*1000*SER_hh_tes_in!V10/SER_hh_num_in!V10)</f>
        <v>63413.082358243264</v>
      </c>
      <c r="W10" s="132">
        <f>IF(SER_hh_tes_in!W10=0,0,11630*1000*SER_hh_tes_in!W10/SER_hh_num_in!W10)</f>
        <v>59937.353662218738</v>
      </c>
      <c r="X10" s="132">
        <f>IF(SER_hh_tes_in!X10=0,0,11630*1000*SER_hh_tes_in!X10/SER_hh_num_in!X10)</f>
        <v>54301.106292042474</v>
      </c>
      <c r="Y10" s="132">
        <f>IF(SER_hh_tes_in!Y10=0,0,11630*1000*SER_hh_tes_in!Y10/SER_hh_num_in!Y10)</f>
        <v>48687.425053251711</v>
      </c>
      <c r="DA10" s="156" t="s">
        <v>762</v>
      </c>
    </row>
    <row r="11" spans="1:105" ht="12" customHeight="1" x14ac:dyDescent="0.25">
      <c r="A11" s="131" t="s">
        <v>25</v>
      </c>
      <c r="B11" s="132"/>
      <c r="C11" s="132">
        <f>IF(SER_hh_tes_in!C11=0,0,11630*1000*SER_hh_tes_in!C11/SER_hh_num_in!C11)</f>
        <v>0</v>
      </c>
      <c r="D11" s="132">
        <f>IF(SER_hh_tes_in!D11=0,0,11630*1000*SER_hh_tes_in!D11/SER_hh_num_in!D11)</f>
        <v>0</v>
      </c>
      <c r="E11" s="132">
        <f>IF(SER_hh_tes_in!E11=0,0,11630*1000*SER_hh_tes_in!E11/SER_hh_num_in!E11)</f>
        <v>0</v>
      </c>
      <c r="F11" s="132">
        <f>IF(SER_hh_tes_in!F11=0,0,11630*1000*SER_hh_tes_in!F11/SER_hh_num_in!F11)</f>
        <v>0</v>
      </c>
      <c r="G11" s="132">
        <f>IF(SER_hh_tes_in!G11=0,0,11630*1000*SER_hh_tes_in!G11/SER_hh_num_in!G11)</f>
        <v>0</v>
      </c>
      <c r="H11" s="132">
        <f>IF(SER_hh_tes_in!H11=0,0,11630*1000*SER_hh_tes_in!H11/SER_hh_num_in!H11)</f>
        <v>0</v>
      </c>
      <c r="I11" s="132">
        <f>IF(SER_hh_tes_in!I11=0,0,11630*1000*SER_hh_tes_in!I11/SER_hh_num_in!I11)</f>
        <v>0</v>
      </c>
      <c r="J11" s="132">
        <f>IF(SER_hh_tes_in!J11=0,0,11630*1000*SER_hh_tes_in!J11/SER_hh_num_in!J11)</f>
        <v>0</v>
      </c>
      <c r="K11" s="132">
        <f>IF(SER_hh_tes_in!K11=0,0,11630*1000*SER_hh_tes_in!K11/SER_hh_num_in!K11)</f>
        <v>0</v>
      </c>
      <c r="L11" s="132">
        <f>IF(SER_hh_tes_in!L11=0,0,11630*1000*SER_hh_tes_in!L11/SER_hh_num_in!L11)</f>
        <v>0</v>
      </c>
      <c r="M11" s="132">
        <f>IF(SER_hh_tes_in!M11=0,0,11630*1000*SER_hh_tes_in!M11/SER_hh_num_in!M11)</f>
        <v>0</v>
      </c>
      <c r="N11" s="132">
        <f>IF(SER_hh_tes_in!N11=0,0,11630*1000*SER_hh_tes_in!N11/SER_hh_num_in!N11)</f>
        <v>0</v>
      </c>
      <c r="O11" s="132">
        <f>IF(SER_hh_tes_in!O11=0,0,11630*1000*SER_hh_tes_in!O11/SER_hh_num_in!O11)</f>
        <v>0</v>
      </c>
      <c r="P11" s="132">
        <f>IF(SER_hh_tes_in!P11=0,0,11630*1000*SER_hh_tes_in!P11/SER_hh_num_in!P11)</f>
        <v>0</v>
      </c>
      <c r="Q11" s="132">
        <f>IF(SER_hh_tes_in!Q11=0,0,11630*1000*SER_hh_tes_in!Q11/SER_hh_num_in!Q11)</f>
        <v>0</v>
      </c>
      <c r="R11" s="132">
        <f>IF(SER_hh_tes_in!R11=0,0,11630*1000*SER_hh_tes_in!R11/SER_hh_num_in!R11)</f>
        <v>0</v>
      </c>
      <c r="S11" s="132">
        <f>IF(SER_hh_tes_in!S11=0,0,11630*1000*SER_hh_tes_in!S11/SER_hh_num_in!S11)</f>
        <v>0</v>
      </c>
      <c r="T11" s="132">
        <f>IF(SER_hh_tes_in!T11=0,0,11630*1000*SER_hh_tes_in!T11/SER_hh_num_in!T11)</f>
        <v>0</v>
      </c>
      <c r="U11" s="132">
        <f>IF(SER_hh_tes_in!U11=0,0,11630*1000*SER_hh_tes_in!U11/SER_hh_num_in!U11)</f>
        <v>0</v>
      </c>
      <c r="V11" s="132">
        <f>IF(SER_hh_tes_in!V11=0,0,11630*1000*SER_hh_tes_in!V11/SER_hh_num_in!V11)</f>
        <v>0</v>
      </c>
      <c r="W11" s="132">
        <f>IF(SER_hh_tes_in!W11=0,0,11630*1000*SER_hh_tes_in!W11/SER_hh_num_in!W11)</f>
        <v>0</v>
      </c>
      <c r="X11" s="132">
        <f>IF(SER_hh_tes_in!X11=0,0,11630*1000*SER_hh_tes_in!X11/SER_hh_num_in!X11)</f>
        <v>0</v>
      </c>
      <c r="Y11" s="132">
        <f>IF(SER_hh_tes_in!Y11=0,0,11630*1000*SER_hh_tes_in!Y11/SER_hh_num_in!Y11)</f>
        <v>0</v>
      </c>
      <c r="DA11" s="156" t="s">
        <v>763</v>
      </c>
    </row>
    <row r="12" spans="1:105" ht="12" customHeight="1" x14ac:dyDescent="0.25">
      <c r="A12" s="131" t="s">
        <v>162</v>
      </c>
      <c r="B12" s="132"/>
      <c r="C12" s="132">
        <f>IF(SER_hh_tes_in!C12=0,0,11630*1000*SER_hh_tes_in!C12/SER_hh_num_in!C12)</f>
        <v>125347.22414283021</v>
      </c>
      <c r="D12" s="132">
        <f>IF(SER_hh_tes_in!D12=0,0,11630*1000*SER_hh_tes_in!D12/SER_hh_num_in!D12)</f>
        <v>127019.19022762019</v>
      </c>
      <c r="E12" s="132">
        <f>IF(SER_hh_tes_in!E12=0,0,11630*1000*SER_hh_tes_in!E12/SER_hh_num_in!E12)</f>
        <v>127149.41315523771</v>
      </c>
      <c r="F12" s="132">
        <f>IF(SER_hh_tes_in!F12=0,0,11630*1000*SER_hh_tes_in!F12/SER_hh_num_in!F12)</f>
        <v>121208.83490808257</v>
      </c>
      <c r="G12" s="132">
        <f>IF(SER_hh_tes_in!G12=0,0,11630*1000*SER_hh_tes_in!G12/SER_hh_num_in!G12)</f>
        <v>115850.61279461865</v>
      </c>
      <c r="H12" s="132">
        <f>IF(SER_hh_tes_in!H12=0,0,11630*1000*SER_hh_tes_in!H12/SER_hh_num_in!H12)</f>
        <v>114476.8620183426</v>
      </c>
      <c r="I12" s="132">
        <f>IF(SER_hh_tes_in!I12=0,0,11630*1000*SER_hh_tes_in!I12/SER_hh_num_in!I12)</f>
        <v>123525.6552599248</v>
      </c>
      <c r="J12" s="132">
        <f>IF(SER_hh_tes_in!J12=0,0,11630*1000*SER_hh_tes_in!J12/SER_hh_num_in!J12)</f>
        <v>117110.15870942033</v>
      </c>
      <c r="K12" s="132">
        <f>IF(SER_hh_tes_in!K12=0,0,11630*1000*SER_hh_tes_in!K12/SER_hh_num_in!K12)</f>
        <v>132046.77918212343</v>
      </c>
      <c r="L12" s="132">
        <f>IF(SER_hh_tes_in!L12=0,0,11630*1000*SER_hh_tes_in!L12/SER_hh_num_in!L12)</f>
        <v>137728.89261048354</v>
      </c>
      <c r="M12" s="132">
        <f>IF(SER_hh_tes_in!M12=0,0,11630*1000*SER_hh_tes_in!M12/SER_hh_num_in!M12)</f>
        <v>110635.24476813128</v>
      </c>
      <c r="N12" s="132">
        <f>IF(SER_hh_tes_in!N12=0,0,11630*1000*SER_hh_tes_in!N12/SER_hh_num_in!N12)</f>
        <v>118829.04734920799</v>
      </c>
      <c r="O12" s="132">
        <f>IF(SER_hh_tes_in!O12=0,0,11630*1000*SER_hh_tes_in!O12/SER_hh_num_in!O12)</f>
        <v>107879.21461532114</v>
      </c>
      <c r="P12" s="132">
        <f>IF(SER_hh_tes_in!P12=0,0,11630*1000*SER_hh_tes_in!P12/SER_hh_num_in!P12)</f>
        <v>111353.99567444263</v>
      </c>
      <c r="Q12" s="132">
        <f>IF(SER_hh_tes_in!Q12=0,0,11630*1000*SER_hh_tes_in!Q12/SER_hh_num_in!Q12)</f>
        <v>93687.91603738883</v>
      </c>
      <c r="R12" s="132">
        <f>IF(SER_hh_tes_in!R12=0,0,11630*1000*SER_hh_tes_in!R12/SER_hh_num_in!R12)</f>
        <v>98020.141644881194</v>
      </c>
      <c r="S12" s="132">
        <f>IF(SER_hh_tes_in!S12=0,0,11630*1000*SER_hh_tes_in!S12/SER_hh_num_in!S12)</f>
        <v>91521.721610237248</v>
      </c>
      <c r="T12" s="132">
        <f>IF(SER_hh_tes_in!T12=0,0,11630*1000*SER_hh_tes_in!T12/SER_hh_num_in!T12)</f>
        <v>87440.927224558181</v>
      </c>
      <c r="U12" s="132">
        <f>IF(SER_hh_tes_in!U12=0,0,11630*1000*SER_hh_tes_in!U12/SER_hh_num_in!U12)</f>
        <v>77998.613290198409</v>
      </c>
      <c r="V12" s="132">
        <f>IF(SER_hh_tes_in!V12=0,0,11630*1000*SER_hh_tes_in!V12/SER_hh_num_in!V12)</f>
        <v>64425.003257691475</v>
      </c>
      <c r="W12" s="132">
        <f>IF(SER_hh_tes_in!W12=0,0,11630*1000*SER_hh_tes_in!W12/SER_hh_num_in!W12)</f>
        <v>61499.575937283182</v>
      </c>
      <c r="X12" s="132">
        <f>IF(SER_hh_tes_in!X12=0,0,11630*1000*SER_hh_tes_in!X12/SER_hh_num_in!X12)</f>
        <v>49787.54121876938</v>
      </c>
      <c r="Y12" s="132">
        <f>IF(SER_hh_tes_in!Y12=0,0,11630*1000*SER_hh_tes_in!Y12/SER_hh_num_in!Y12)</f>
        <v>50507.676848321826</v>
      </c>
      <c r="DA12" s="156" t="s">
        <v>764</v>
      </c>
    </row>
    <row r="13" spans="1:105" ht="12" customHeight="1" x14ac:dyDescent="0.25">
      <c r="A13" s="131" t="s">
        <v>77</v>
      </c>
      <c r="B13" s="132"/>
      <c r="C13" s="132">
        <f>IF(SER_hh_tes_in!C13=0,0,11630*1000*SER_hh_tes_in!C13/SER_hh_num_in!C13)</f>
        <v>122134.63800175897</v>
      </c>
      <c r="D13" s="132">
        <f>IF(SER_hh_tes_in!D13=0,0,11630*1000*SER_hh_tes_in!D13/SER_hh_num_in!D13)</f>
        <v>123268.28156389335</v>
      </c>
      <c r="E13" s="132">
        <f>IF(SER_hh_tes_in!E13=0,0,11630*1000*SER_hh_tes_in!E13/SER_hh_num_in!E13)</f>
        <v>122534.09887787992</v>
      </c>
      <c r="F13" s="132">
        <f>IF(SER_hh_tes_in!F13=0,0,11630*1000*SER_hh_tes_in!F13/SER_hh_num_in!F13)</f>
        <v>121029.4634071302</v>
      </c>
      <c r="G13" s="132">
        <f>IF(SER_hh_tes_in!G13=0,0,11630*1000*SER_hh_tes_in!G13/SER_hh_num_in!G13)</f>
        <v>119218.92910395806</v>
      </c>
      <c r="H13" s="132">
        <f>IF(SER_hh_tes_in!H13=0,0,11630*1000*SER_hh_tes_in!H13/SER_hh_num_in!H13)</f>
        <v>118901.13682830878</v>
      </c>
      <c r="I13" s="132">
        <f>IF(SER_hh_tes_in!I13=0,0,11630*1000*SER_hh_tes_in!I13/SER_hh_num_in!I13)</f>
        <v>120621.89454680136</v>
      </c>
      <c r="J13" s="132">
        <f>IF(SER_hh_tes_in!J13=0,0,11630*1000*SER_hh_tes_in!J13/SER_hh_num_in!J13)</f>
        <v>122665.22797121511</v>
      </c>
      <c r="K13" s="132">
        <f>IF(SER_hh_tes_in!K13=0,0,11630*1000*SER_hh_tes_in!K13/SER_hh_num_in!K13)</f>
        <v>124902.13268943357</v>
      </c>
      <c r="L13" s="132">
        <f>IF(SER_hh_tes_in!L13=0,0,11630*1000*SER_hh_tes_in!L13/SER_hh_num_in!L13)</f>
        <v>124233.99201444587</v>
      </c>
      <c r="M13" s="132">
        <f>IF(SER_hh_tes_in!M13=0,0,11630*1000*SER_hh_tes_in!M13/SER_hh_num_in!M13)</f>
        <v>118460.04470070855</v>
      </c>
      <c r="N13" s="132">
        <f>IF(SER_hh_tes_in!N13=0,0,11630*1000*SER_hh_tes_in!N13/SER_hh_num_in!N13)</f>
        <v>115657.76804705417</v>
      </c>
      <c r="O13" s="132">
        <f>IF(SER_hh_tes_in!O13=0,0,11630*1000*SER_hh_tes_in!O13/SER_hh_num_in!O13)</f>
        <v>108884.24301653141</v>
      </c>
      <c r="P13" s="132">
        <f>IF(SER_hh_tes_in!P13=0,0,11630*1000*SER_hh_tes_in!P13/SER_hh_num_in!P13)</f>
        <v>104654.56177990045</v>
      </c>
      <c r="Q13" s="132">
        <f>IF(SER_hh_tes_in!Q13=0,0,11630*1000*SER_hh_tes_in!Q13/SER_hh_num_in!Q13)</f>
        <v>103638.88368190386</v>
      </c>
      <c r="R13" s="132">
        <f>IF(SER_hh_tes_in!R13=0,0,11630*1000*SER_hh_tes_in!R13/SER_hh_num_in!R13)</f>
        <v>96540.099544069235</v>
      </c>
      <c r="S13" s="132">
        <f>IF(SER_hh_tes_in!S13=0,0,11630*1000*SER_hh_tes_in!S13/SER_hh_num_in!S13)</f>
        <v>91151.626155065562</v>
      </c>
      <c r="T13" s="132">
        <f>IF(SER_hh_tes_in!T13=0,0,11630*1000*SER_hh_tes_in!T13/SER_hh_num_in!T13)</f>
        <v>87685.837940314159</v>
      </c>
      <c r="U13" s="132">
        <f>IF(SER_hh_tes_in!U13=0,0,11630*1000*SER_hh_tes_in!U13/SER_hh_num_in!U13)</f>
        <v>78292.256511783286</v>
      </c>
      <c r="V13" s="132">
        <f>IF(SER_hh_tes_in!V13=0,0,11630*1000*SER_hh_tes_in!V13/SER_hh_num_in!V13)</f>
        <v>64741.538663146275</v>
      </c>
      <c r="W13" s="132">
        <f>IF(SER_hh_tes_in!W13=0,0,11630*1000*SER_hh_tes_in!W13/SER_hh_num_in!W13)</f>
        <v>60732.910098705761</v>
      </c>
      <c r="X13" s="132">
        <f>IF(SER_hh_tes_in!X13=0,0,11630*1000*SER_hh_tes_in!X13/SER_hh_num_in!X13)</f>
        <v>50544.918430384336</v>
      </c>
      <c r="Y13" s="132">
        <f>IF(SER_hh_tes_in!Y13=0,0,11630*1000*SER_hh_tes_in!Y13/SER_hh_num_in!Y13)</f>
        <v>54120.772026392769</v>
      </c>
      <c r="DA13" s="156" t="s">
        <v>765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124920.68190539059</v>
      </c>
      <c r="D14" s="65">
        <f>IF(SER_hh_tes_in!D14=0,0,11630*1000*SER_hh_tes_in!D14/SER_hh_num_in!D14)</f>
        <v>129322.77946490084</v>
      </c>
      <c r="E14" s="65">
        <f>IF(SER_hh_tes_in!E14=0,0,11630*1000*SER_hh_tes_in!E14/SER_hh_num_in!E14)</f>
        <v>122254.27994198585</v>
      </c>
      <c r="F14" s="65">
        <f>IF(SER_hh_tes_in!F14=0,0,11630*1000*SER_hh_tes_in!F14/SER_hh_num_in!F14)</f>
        <v>122417.94641248419</v>
      </c>
      <c r="G14" s="65">
        <f>IF(SER_hh_tes_in!G14=0,0,11630*1000*SER_hh_tes_in!G14/SER_hh_num_in!G14)</f>
        <v>119532.94466643424</v>
      </c>
      <c r="H14" s="65">
        <f>IF(SER_hh_tes_in!H14=0,0,11630*1000*SER_hh_tes_in!H14/SER_hh_num_in!H14)</f>
        <v>119653.59499001314</v>
      </c>
      <c r="I14" s="65">
        <f>IF(SER_hh_tes_in!I14=0,0,11630*1000*SER_hh_tes_in!I14/SER_hh_num_in!I14)</f>
        <v>119870.16512067121</v>
      </c>
      <c r="J14" s="65">
        <f>IF(SER_hh_tes_in!J14=0,0,11630*1000*SER_hh_tes_in!J14/SER_hh_num_in!J14)</f>
        <v>120769.44777733552</v>
      </c>
      <c r="K14" s="65">
        <f>IF(SER_hh_tes_in!K14=0,0,11630*1000*SER_hh_tes_in!K14/SER_hh_num_in!K14)</f>
        <v>128538.92441372044</v>
      </c>
      <c r="L14" s="65">
        <f>IF(SER_hh_tes_in!L14=0,0,11630*1000*SER_hh_tes_in!L14/SER_hh_num_in!L14)</f>
        <v>133376.02724195432</v>
      </c>
      <c r="M14" s="65">
        <f>IF(SER_hh_tes_in!M14=0,0,11630*1000*SER_hh_tes_in!M14/SER_hh_num_in!M14)</f>
        <v>116570.23239282856</v>
      </c>
      <c r="N14" s="65">
        <f>IF(SER_hh_tes_in!N14=0,0,11630*1000*SER_hh_tes_in!N14/SER_hh_num_in!N14)</f>
        <v>122210.24343740936</v>
      </c>
      <c r="O14" s="65">
        <f>IF(SER_hh_tes_in!O14=0,0,11630*1000*SER_hh_tes_in!O14/SER_hh_num_in!O14)</f>
        <v>111231.18545664987</v>
      </c>
      <c r="P14" s="65">
        <f>IF(SER_hh_tes_in!P14=0,0,11630*1000*SER_hh_tes_in!P14/SER_hh_num_in!P14)</f>
        <v>105469.77230133238</v>
      </c>
      <c r="Q14" s="65">
        <f>IF(SER_hh_tes_in!Q14=0,0,11630*1000*SER_hh_tes_in!Q14/SER_hh_num_in!Q14)</f>
        <v>98098.480342417024</v>
      </c>
      <c r="R14" s="65">
        <f>IF(SER_hh_tes_in!R14=0,0,11630*1000*SER_hh_tes_in!R14/SER_hh_num_in!R14)</f>
        <v>96728.301766623539</v>
      </c>
      <c r="S14" s="65">
        <f>IF(SER_hh_tes_in!S14=0,0,11630*1000*SER_hh_tes_in!S14/SER_hh_num_in!S14)</f>
        <v>87553.216637991995</v>
      </c>
      <c r="T14" s="65">
        <f>IF(SER_hh_tes_in!T14=0,0,11630*1000*SER_hh_tes_in!T14/SER_hh_num_in!T14)</f>
        <v>91260.367255878911</v>
      </c>
      <c r="U14" s="65">
        <f>IF(SER_hh_tes_in!U14=0,0,11630*1000*SER_hh_tes_in!U14/SER_hh_num_in!U14)</f>
        <v>79187.557318498875</v>
      </c>
      <c r="V14" s="65">
        <f>IF(SER_hh_tes_in!V14=0,0,11630*1000*SER_hh_tes_in!V14/SER_hh_num_in!V14)</f>
        <v>66104.475089509477</v>
      </c>
      <c r="W14" s="65">
        <f>IF(SER_hh_tes_in!W14=0,0,11630*1000*SER_hh_tes_in!W14/SER_hh_num_in!W14)</f>
        <v>58591.326561644251</v>
      </c>
      <c r="X14" s="65">
        <f>IF(SER_hh_tes_in!X14=0,0,11630*1000*SER_hh_tes_in!X14/SER_hh_num_in!X14)</f>
        <v>53094.286753619308</v>
      </c>
      <c r="Y14" s="65">
        <f>IF(SER_hh_tes_in!Y14=0,0,11630*1000*SER_hh_tes_in!Y14/SER_hh_num_in!Y14)</f>
        <v>47588.097576532833</v>
      </c>
      <c r="DA14" s="109" t="s">
        <v>766</v>
      </c>
    </row>
    <row r="15" spans="1:105" ht="12" customHeight="1" x14ac:dyDescent="0.25">
      <c r="A15" s="133" t="s">
        <v>80</v>
      </c>
      <c r="B15" s="134"/>
      <c r="C15" s="134">
        <f>IF(SER_hh_tes_in!C15=0,0,11630*1000*SER_hh_tes_in!C15/SER_hh_num_in!C15)</f>
        <v>831.04696803406478</v>
      </c>
      <c r="D15" s="134">
        <f>IF(SER_hh_tes_in!D15=0,0,11630*1000*SER_hh_tes_in!D15/SER_hh_num_in!D15)</f>
        <v>872.41993525660666</v>
      </c>
      <c r="E15" s="134">
        <f>IF(SER_hh_tes_in!E15=0,0,11630*1000*SER_hh_tes_in!E15/SER_hh_num_in!E15)</f>
        <v>907.81042064573853</v>
      </c>
      <c r="F15" s="134">
        <f>IF(SER_hh_tes_in!F15=0,0,11630*1000*SER_hh_tes_in!F15/SER_hh_num_in!F15)</f>
        <v>895.44508342958375</v>
      </c>
      <c r="G15" s="134">
        <f>IF(SER_hh_tes_in!G15=0,0,11630*1000*SER_hh_tes_in!G15/SER_hh_num_in!G15)</f>
        <v>795.84313332453041</v>
      </c>
      <c r="H15" s="134">
        <f>IF(SER_hh_tes_in!H15=0,0,11630*1000*SER_hh_tes_in!H15/SER_hh_num_in!H15)</f>
        <v>676.45396164924546</v>
      </c>
      <c r="I15" s="134">
        <f>IF(SER_hh_tes_in!I15=0,0,11630*1000*SER_hh_tes_in!I15/SER_hh_num_in!I15)</f>
        <v>607.96780678908249</v>
      </c>
      <c r="J15" s="134">
        <f>IF(SER_hh_tes_in!J15=0,0,11630*1000*SER_hh_tes_in!J15/SER_hh_num_in!J15)</f>
        <v>601.04955077700799</v>
      </c>
      <c r="K15" s="134">
        <f>IF(SER_hh_tes_in!K15=0,0,11630*1000*SER_hh_tes_in!K15/SER_hh_num_in!K15)</f>
        <v>826.43834918882703</v>
      </c>
      <c r="L15" s="134">
        <f>IF(SER_hh_tes_in!L15=0,0,11630*1000*SER_hh_tes_in!L15/SER_hh_num_in!L15)</f>
        <v>1058.0500929945433</v>
      </c>
      <c r="M15" s="134">
        <f>IF(SER_hh_tes_in!M15=0,0,11630*1000*SER_hh_tes_in!M15/SER_hh_num_in!M15)</f>
        <v>877.74414090493246</v>
      </c>
      <c r="N15" s="134">
        <f>IF(SER_hh_tes_in!N15=0,0,11630*1000*SER_hh_tes_in!N15/SER_hh_num_in!N15)</f>
        <v>887.48876489244969</v>
      </c>
      <c r="O15" s="134">
        <f>IF(SER_hh_tes_in!O15=0,0,11630*1000*SER_hh_tes_in!O15/SER_hh_num_in!O15)</f>
        <v>749.24519136498009</v>
      </c>
      <c r="P15" s="134">
        <f>IF(SER_hh_tes_in!P15=0,0,11630*1000*SER_hh_tes_in!P15/SER_hh_num_in!P15)</f>
        <v>635.33796573783047</v>
      </c>
      <c r="Q15" s="134">
        <f>IF(SER_hh_tes_in!Q15=0,0,11630*1000*SER_hh_tes_in!Q15/SER_hh_num_in!Q15)</f>
        <v>592.0202280799067</v>
      </c>
      <c r="R15" s="134">
        <f>IF(SER_hh_tes_in!R15=0,0,11630*1000*SER_hh_tes_in!R15/SER_hh_num_in!R15)</f>
        <v>611.64387279690447</v>
      </c>
      <c r="S15" s="134">
        <f>IF(SER_hh_tes_in!S15=0,0,11630*1000*SER_hh_tes_in!S15/SER_hh_num_in!S15)</f>
        <v>567.56871648831918</v>
      </c>
      <c r="T15" s="134">
        <f>IF(SER_hh_tes_in!T15=0,0,11630*1000*SER_hh_tes_in!T15/SER_hh_num_in!T15)</f>
        <v>536.44123998544444</v>
      </c>
      <c r="U15" s="134">
        <f>IF(SER_hh_tes_in!U15=0,0,11630*1000*SER_hh_tes_in!U15/SER_hh_num_in!U15)</f>
        <v>497.60779781146505</v>
      </c>
      <c r="V15" s="134">
        <f>IF(SER_hh_tes_in!V15=0,0,11630*1000*SER_hh_tes_in!V15/SER_hh_num_in!V15)</f>
        <v>401.33542454801312</v>
      </c>
      <c r="W15" s="134">
        <f>IF(SER_hh_tes_in!W15=0,0,11630*1000*SER_hh_tes_in!W15/SER_hh_num_in!W15)</f>
        <v>373.83312992578476</v>
      </c>
      <c r="X15" s="134">
        <f>IF(SER_hh_tes_in!X15=0,0,11630*1000*SER_hh_tes_in!X15/SER_hh_num_in!X15)</f>
        <v>300.70491467090471</v>
      </c>
      <c r="Y15" s="134">
        <f>IF(SER_hh_tes_in!Y15=0,0,11630*1000*SER_hh_tes_in!Y15/SER_hh_num_in!Y15)</f>
        <v>300.35162006196185</v>
      </c>
      <c r="DA15" s="157" t="s">
        <v>767</v>
      </c>
    </row>
    <row r="16" spans="1:105" ht="12.95" customHeight="1" x14ac:dyDescent="0.25">
      <c r="A16" s="129" t="s">
        <v>74</v>
      </c>
      <c r="B16" s="130"/>
      <c r="C16" s="130">
        <f>IF(SER_hh_tes_in!C16=0,0,11630*1000*SER_hh_tes_in!C16/SER_hh_num_in!C16)</f>
        <v>23698.539779126178</v>
      </c>
      <c r="D16" s="130">
        <f>IF(SER_hh_tes_in!D16=0,0,11630*1000*SER_hh_tes_in!D16/SER_hh_num_in!D16)</f>
        <v>23554.450485817531</v>
      </c>
      <c r="E16" s="130">
        <f>IF(SER_hh_tes_in!E16=0,0,11630*1000*SER_hh_tes_in!E16/SER_hh_num_in!E16)</f>
        <v>24437.204076179492</v>
      </c>
      <c r="F16" s="130">
        <f>IF(SER_hh_tes_in!F16=0,0,11630*1000*SER_hh_tes_in!F16/SER_hh_num_in!F16)</f>
        <v>23307.013184567255</v>
      </c>
      <c r="G16" s="130">
        <f>IF(SER_hh_tes_in!G16=0,0,11630*1000*SER_hh_tes_in!G16/SER_hh_num_in!G16)</f>
        <v>23180.508493172463</v>
      </c>
      <c r="H16" s="130">
        <f>IF(SER_hh_tes_in!H16=0,0,11630*1000*SER_hh_tes_in!H16/SER_hh_num_in!H16)</f>
        <v>23114.019637923604</v>
      </c>
      <c r="I16" s="130">
        <f>IF(SER_hh_tes_in!I16=0,0,11630*1000*SER_hh_tes_in!I16/SER_hh_num_in!I16)</f>
        <v>22934.834638021883</v>
      </c>
      <c r="J16" s="130">
        <f>IF(SER_hh_tes_in!J16=0,0,11630*1000*SER_hh_tes_in!J16/SER_hh_num_in!J16)</f>
        <v>22807.669749102184</v>
      </c>
      <c r="K16" s="130">
        <f>IF(SER_hh_tes_in!K16=0,0,11630*1000*SER_hh_tes_in!K16/SER_hh_num_in!K16)</f>
        <v>22489.969587280826</v>
      </c>
      <c r="L16" s="130">
        <f>IF(SER_hh_tes_in!L16=0,0,11630*1000*SER_hh_tes_in!L16/SER_hh_num_in!L16)</f>
        <v>23743.985358898572</v>
      </c>
      <c r="M16" s="130">
        <f>IF(SER_hh_tes_in!M16=0,0,11630*1000*SER_hh_tes_in!M16/SER_hh_num_in!M16)</f>
        <v>22032.328367972972</v>
      </c>
      <c r="N16" s="130">
        <f>IF(SER_hh_tes_in!N16=0,0,11630*1000*SER_hh_tes_in!N16/SER_hh_num_in!N16)</f>
        <v>21396.039882232424</v>
      </c>
      <c r="O16" s="130">
        <f>IF(SER_hh_tes_in!O16=0,0,11630*1000*SER_hh_tes_in!O16/SER_hh_num_in!O16)</f>
        <v>20971.880528738537</v>
      </c>
      <c r="P16" s="130">
        <f>IF(SER_hh_tes_in!P16=0,0,11630*1000*SER_hh_tes_in!P16/SER_hh_num_in!P16)</f>
        <v>20616.034663466347</v>
      </c>
      <c r="Q16" s="130">
        <f>IF(SER_hh_tes_in!Q16=0,0,11630*1000*SER_hh_tes_in!Q16/SER_hh_num_in!Q16)</f>
        <v>19847.338015410587</v>
      </c>
      <c r="R16" s="130">
        <f>IF(SER_hh_tes_in!R16=0,0,11630*1000*SER_hh_tes_in!R16/SER_hh_num_in!R16)</f>
        <v>19750.784252026337</v>
      </c>
      <c r="S16" s="130">
        <f>IF(SER_hh_tes_in!S16=0,0,11630*1000*SER_hh_tes_in!S16/SER_hh_num_in!S16)</f>
        <v>19246.218813263768</v>
      </c>
      <c r="T16" s="130">
        <f>IF(SER_hh_tes_in!T16=0,0,11630*1000*SER_hh_tes_in!T16/SER_hh_num_in!T16)</f>
        <v>18650.673557289447</v>
      </c>
      <c r="U16" s="130">
        <f>IF(SER_hh_tes_in!U16=0,0,11630*1000*SER_hh_tes_in!U16/SER_hh_num_in!U16)</f>
        <v>18065.721135556094</v>
      </c>
      <c r="V16" s="130">
        <f>IF(SER_hh_tes_in!V16=0,0,11630*1000*SER_hh_tes_in!V16/SER_hh_num_in!V16)</f>
        <v>17285.793581110105</v>
      </c>
      <c r="W16" s="130">
        <f>IF(SER_hh_tes_in!W16=0,0,11630*1000*SER_hh_tes_in!W16/SER_hh_num_in!W16)</f>
        <v>15145.026740112622</v>
      </c>
      <c r="X16" s="130">
        <f>IF(SER_hh_tes_in!X16=0,0,11630*1000*SER_hh_tes_in!X16/SER_hh_num_in!X16)</f>
        <v>14457.798760246884</v>
      </c>
      <c r="Y16" s="130">
        <f>IF(SER_hh_tes_in!Y16=0,0,11630*1000*SER_hh_tes_in!Y16/SER_hh_num_in!Y16)</f>
        <v>14748.145809101299</v>
      </c>
      <c r="DA16" s="155" t="s">
        <v>768</v>
      </c>
    </row>
    <row r="17" spans="1:105" ht="12.95" customHeight="1" x14ac:dyDescent="0.25">
      <c r="A17" s="131" t="s">
        <v>73</v>
      </c>
      <c r="B17" s="132"/>
      <c r="C17" s="132">
        <f>IF(SER_hh_tes_in!C17=0,0,11630*1000*SER_hh_tes_in!C17/SER_hh_num_in!C17)</f>
        <v>0</v>
      </c>
      <c r="D17" s="132">
        <f>IF(SER_hh_tes_in!D17=0,0,11630*1000*SER_hh_tes_in!D17/SER_hh_num_in!D17)</f>
        <v>0</v>
      </c>
      <c r="E17" s="132">
        <f>IF(SER_hh_tes_in!E17=0,0,11630*1000*SER_hh_tes_in!E17/SER_hh_num_in!E17)</f>
        <v>0</v>
      </c>
      <c r="F17" s="132">
        <f>IF(SER_hh_tes_in!F17=0,0,11630*1000*SER_hh_tes_in!F17/SER_hh_num_in!F17)</f>
        <v>0</v>
      </c>
      <c r="G17" s="132">
        <f>IF(SER_hh_tes_in!G17=0,0,11630*1000*SER_hh_tes_in!G17/SER_hh_num_in!G17)</f>
        <v>0</v>
      </c>
      <c r="H17" s="132">
        <f>IF(SER_hh_tes_in!H17=0,0,11630*1000*SER_hh_tes_in!H17/SER_hh_num_in!H17)</f>
        <v>0</v>
      </c>
      <c r="I17" s="132">
        <f>IF(SER_hh_tes_in!I17=0,0,11630*1000*SER_hh_tes_in!I17/SER_hh_num_in!I17)</f>
        <v>0</v>
      </c>
      <c r="J17" s="132">
        <f>IF(SER_hh_tes_in!J17=0,0,11630*1000*SER_hh_tes_in!J17/SER_hh_num_in!J17)</f>
        <v>0</v>
      </c>
      <c r="K17" s="132">
        <f>IF(SER_hh_tes_in!K17=0,0,11630*1000*SER_hh_tes_in!K17/SER_hh_num_in!K17)</f>
        <v>0</v>
      </c>
      <c r="L17" s="132">
        <f>IF(SER_hh_tes_in!L17=0,0,11630*1000*SER_hh_tes_in!L17/SER_hh_num_in!L17)</f>
        <v>0</v>
      </c>
      <c r="M17" s="132">
        <f>IF(SER_hh_tes_in!M17=0,0,11630*1000*SER_hh_tes_in!M17/SER_hh_num_in!M17)</f>
        <v>0</v>
      </c>
      <c r="N17" s="132">
        <f>IF(SER_hh_tes_in!N17=0,0,11630*1000*SER_hh_tes_in!N17/SER_hh_num_in!N17)</f>
        <v>0</v>
      </c>
      <c r="O17" s="132">
        <f>IF(SER_hh_tes_in!O17=0,0,11630*1000*SER_hh_tes_in!O17/SER_hh_num_in!O17)</f>
        <v>0</v>
      </c>
      <c r="P17" s="132">
        <f>IF(SER_hh_tes_in!P17=0,0,11630*1000*SER_hh_tes_in!P17/SER_hh_num_in!P17)</f>
        <v>0</v>
      </c>
      <c r="Q17" s="132">
        <f>IF(SER_hh_tes_in!Q17=0,0,11630*1000*SER_hh_tes_in!Q17/SER_hh_num_in!Q17)</f>
        <v>0</v>
      </c>
      <c r="R17" s="132">
        <f>IF(SER_hh_tes_in!R17=0,0,11630*1000*SER_hh_tes_in!R17/SER_hh_num_in!R17)</f>
        <v>0</v>
      </c>
      <c r="S17" s="132">
        <f>IF(SER_hh_tes_in!S17=0,0,11630*1000*SER_hh_tes_in!S17/SER_hh_num_in!S17)</f>
        <v>0</v>
      </c>
      <c r="T17" s="132">
        <f>IF(SER_hh_tes_in!T17=0,0,11630*1000*SER_hh_tes_in!T17/SER_hh_num_in!T17)</f>
        <v>0</v>
      </c>
      <c r="U17" s="132">
        <f>IF(SER_hh_tes_in!U17=0,0,11630*1000*SER_hh_tes_in!U17/SER_hh_num_in!U17)</f>
        <v>0</v>
      </c>
      <c r="V17" s="132">
        <f>IF(SER_hh_tes_in!V17=0,0,11630*1000*SER_hh_tes_in!V17/SER_hh_num_in!V17)</f>
        <v>0</v>
      </c>
      <c r="W17" s="132">
        <f>IF(SER_hh_tes_in!W17=0,0,11630*1000*SER_hh_tes_in!W17/SER_hh_num_in!W17)</f>
        <v>0</v>
      </c>
      <c r="X17" s="132">
        <f>IF(SER_hh_tes_in!X17=0,0,11630*1000*SER_hh_tes_in!X17/SER_hh_num_in!X17)</f>
        <v>0</v>
      </c>
      <c r="Y17" s="132">
        <f>IF(SER_hh_tes_in!Y17=0,0,11630*1000*SER_hh_tes_in!Y17/SER_hh_num_in!Y17)</f>
        <v>0</v>
      </c>
      <c r="DA17" s="156" t="s">
        <v>769</v>
      </c>
    </row>
    <row r="18" spans="1:105" ht="12" customHeight="1" x14ac:dyDescent="0.25">
      <c r="A18" s="131" t="s">
        <v>72</v>
      </c>
      <c r="B18" s="132"/>
      <c r="C18" s="132">
        <f>IF(SER_hh_tes_in!C18=0,0,11630*1000*SER_hh_tes_in!C18/SER_hh_num_in!C18)</f>
        <v>23698.539779126178</v>
      </c>
      <c r="D18" s="132">
        <f>IF(SER_hh_tes_in!D18=0,0,11630*1000*SER_hh_tes_in!D18/SER_hh_num_in!D18)</f>
        <v>23554.450485817531</v>
      </c>
      <c r="E18" s="132">
        <f>IF(SER_hh_tes_in!E18=0,0,11630*1000*SER_hh_tes_in!E18/SER_hh_num_in!E18)</f>
        <v>24437.204076179492</v>
      </c>
      <c r="F18" s="132">
        <f>IF(SER_hh_tes_in!F18=0,0,11630*1000*SER_hh_tes_in!F18/SER_hh_num_in!F18)</f>
        <v>23307.013184567255</v>
      </c>
      <c r="G18" s="132">
        <f>IF(SER_hh_tes_in!G18=0,0,11630*1000*SER_hh_tes_in!G18/SER_hh_num_in!G18)</f>
        <v>23180.508493172463</v>
      </c>
      <c r="H18" s="132">
        <f>IF(SER_hh_tes_in!H18=0,0,11630*1000*SER_hh_tes_in!H18/SER_hh_num_in!H18)</f>
        <v>23114.019637923604</v>
      </c>
      <c r="I18" s="132">
        <f>IF(SER_hh_tes_in!I18=0,0,11630*1000*SER_hh_tes_in!I18/SER_hh_num_in!I18)</f>
        <v>22934.834638021883</v>
      </c>
      <c r="J18" s="132">
        <f>IF(SER_hh_tes_in!J18=0,0,11630*1000*SER_hh_tes_in!J18/SER_hh_num_in!J18)</f>
        <v>22807.669749102184</v>
      </c>
      <c r="K18" s="132">
        <f>IF(SER_hh_tes_in!K18=0,0,11630*1000*SER_hh_tes_in!K18/SER_hh_num_in!K18)</f>
        <v>22489.969587280826</v>
      </c>
      <c r="L18" s="132">
        <f>IF(SER_hh_tes_in!L18=0,0,11630*1000*SER_hh_tes_in!L18/SER_hh_num_in!L18)</f>
        <v>23743.985358898572</v>
      </c>
      <c r="M18" s="132">
        <f>IF(SER_hh_tes_in!M18=0,0,11630*1000*SER_hh_tes_in!M18/SER_hh_num_in!M18)</f>
        <v>22032.328367972972</v>
      </c>
      <c r="N18" s="132">
        <f>IF(SER_hh_tes_in!N18=0,0,11630*1000*SER_hh_tes_in!N18/SER_hh_num_in!N18)</f>
        <v>21396.039882232424</v>
      </c>
      <c r="O18" s="132">
        <f>IF(SER_hh_tes_in!O18=0,0,11630*1000*SER_hh_tes_in!O18/SER_hh_num_in!O18)</f>
        <v>20971.880528738537</v>
      </c>
      <c r="P18" s="132">
        <f>IF(SER_hh_tes_in!P18=0,0,11630*1000*SER_hh_tes_in!P18/SER_hh_num_in!P18)</f>
        <v>20616.034663466347</v>
      </c>
      <c r="Q18" s="132">
        <f>IF(SER_hh_tes_in!Q18=0,0,11630*1000*SER_hh_tes_in!Q18/SER_hh_num_in!Q18)</f>
        <v>19847.338015410587</v>
      </c>
      <c r="R18" s="132">
        <f>IF(SER_hh_tes_in!R18=0,0,11630*1000*SER_hh_tes_in!R18/SER_hh_num_in!R18)</f>
        <v>19750.784252026337</v>
      </c>
      <c r="S18" s="132">
        <f>IF(SER_hh_tes_in!S18=0,0,11630*1000*SER_hh_tes_in!S18/SER_hh_num_in!S18)</f>
        <v>19246.218813263768</v>
      </c>
      <c r="T18" s="132">
        <f>IF(SER_hh_tes_in!T18=0,0,11630*1000*SER_hh_tes_in!T18/SER_hh_num_in!T18)</f>
        <v>18650.673557289447</v>
      </c>
      <c r="U18" s="132">
        <f>IF(SER_hh_tes_in!U18=0,0,11630*1000*SER_hh_tes_in!U18/SER_hh_num_in!U18)</f>
        <v>18065.721135556094</v>
      </c>
      <c r="V18" s="132">
        <f>IF(SER_hh_tes_in!V18=0,0,11630*1000*SER_hh_tes_in!V18/SER_hh_num_in!V18)</f>
        <v>17285.793581110105</v>
      </c>
      <c r="W18" s="132">
        <f>IF(SER_hh_tes_in!W18=0,0,11630*1000*SER_hh_tes_in!W18/SER_hh_num_in!W18)</f>
        <v>15145.026740112622</v>
      </c>
      <c r="X18" s="132">
        <f>IF(SER_hh_tes_in!X18=0,0,11630*1000*SER_hh_tes_in!X18/SER_hh_num_in!X18)</f>
        <v>14457.798760246884</v>
      </c>
      <c r="Y18" s="132">
        <f>IF(SER_hh_tes_in!Y18=0,0,11630*1000*SER_hh_tes_in!Y18/SER_hh_num_in!Y18)</f>
        <v>14748.145809101299</v>
      </c>
      <c r="DA18" s="156" t="s">
        <v>770</v>
      </c>
    </row>
    <row r="19" spans="1:105" ht="12.95" customHeight="1" x14ac:dyDescent="0.25">
      <c r="A19" s="129" t="s">
        <v>35</v>
      </c>
      <c r="B19" s="130"/>
      <c r="C19" s="130">
        <f>IF(SER_hh_tes_in!C19=0,0,11630*1000*SER_hh_tes_in!C19/SER_hh_num_in!C19)</f>
        <v>15946.227810140786</v>
      </c>
      <c r="D19" s="130">
        <f>IF(SER_hh_tes_in!D19=0,0,11630*1000*SER_hh_tes_in!D19/SER_hh_num_in!D19)</f>
        <v>15867.746142075446</v>
      </c>
      <c r="E19" s="130">
        <f>IF(SER_hh_tes_in!E19=0,0,11630*1000*SER_hh_tes_in!E19/SER_hh_num_in!E19)</f>
        <v>15982.828269922542</v>
      </c>
      <c r="F19" s="130">
        <f>IF(SER_hh_tes_in!F19=0,0,11630*1000*SER_hh_tes_in!F19/SER_hh_num_in!F19)</f>
        <v>15897.189258701008</v>
      </c>
      <c r="G19" s="130">
        <f>IF(SER_hh_tes_in!G19=0,0,11630*1000*SER_hh_tes_in!G19/SER_hh_num_in!G19)</f>
        <v>16067.013178826337</v>
      </c>
      <c r="H19" s="130">
        <f>IF(SER_hh_tes_in!H19=0,0,11630*1000*SER_hh_tes_in!H19/SER_hh_num_in!H19)</f>
        <v>15960.050025692028</v>
      </c>
      <c r="I19" s="130">
        <f>IF(SER_hh_tes_in!I19=0,0,11630*1000*SER_hh_tes_in!I19/SER_hh_num_in!I19)</f>
        <v>15853.830561245257</v>
      </c>
      <c r="J19" s="130">
        <f>IF(SER_hh_tes_in!J19=0,0,11630*1000*SER_hh_tes_in!J19/SER_hh_num_in!J19)</f>
        <v>15825.9125701059</v>
      </c>
      <c r="K19" s="130">
        <f>IF(SER_hh_tes_in!K19=0,0,11630*1000*SER_hh_tes_in!K19/SER_hh_num_in!K19)</f>
        <v>15859.117704161641</v>
      </c>
      <c r="L19" s="130">
        <f>IF(SER_hh_tes_in!L19=0,0,11630*1000*SER_hh_tes_in!L19/SER_hh_num_in!L19)</f>
        <v>16013.376073854122</v>
      </c>
      <c r="M19" s="130">
        <f>IF(SER_hh_tes_in!M19=0,0,11630*1000*SER_hh_tes_in!M19/SER_hh_num_in!M19)</f>
        <v>16135.267121769841</v>
      </c>
      <c r="N19" s="130">
        <f>IF(SER_hh_tes_in!N19=0,0,11630*1000*SER_hh_tes_in!N19/SER_hh_num_in!N19)</f>
        <v>16266.215581908236</v>
      </c>
      <c r="O19" s="130">
        <f>IF(SER_hh_tes_in!O19=0,0,11630*1000*SER_hh_tes_in!O19/SER_hh_num_in!O19)</f>
        <v>16400.797980262025</v>
      </c>
      <c r="P19" s="130">
        <f>IF(SER_hh_tes_in!P19=0,0,11630*1000*SER_hh_tes_in!P19/SER_hh_num_in!P19)</f>
        <v>16565.745672610155</v>
      </c>
      <c r="Q19" s="130">
        <f>IF(SER_hh_tes_in!Q19=0,0,11630*1000*SER_hh_tes_in!Q19/SER_hh_num_in!Q19)</f>
        <v>16618.16813083227</v>
      </c>
      <c r="R19" s="130">
        <f>IF(SER_hh_tes_in!R19=0,0,11630*1000*SER_hh_tes_in!R19/SER_hh_num_in!R19)</f>
        <v>16467.543998394871</v>
      </c>
      <c r="S19" s="130">
        <f>IF(SER_hh_tes_in!S19=0,0,11630*1000*SER_hh_tes_in!S19/SER_hh_num_in!S19)</f>
        <v>16661.840564417151</v>
      </c>
      <c r="T19" s="130">
        <f>IF(SER_hh_tes_in!T19=0,0,11630*1000*SER_hh_tes_in!T19/SER_hh_num_in!T19)</f>
        <v>16695.23668066406</v>
      </c>
      <c r="U19" s="130">
        <f>IF(SER_hh_tes_in!U19=0,0,11630*1000*SER_hh_tes_in!U19/SER_hh_num_in!U19)</f>
        <v>16923.771610667856</v>
      </c>
      <c r="V19" s="130">
        <f>IF(SER_hh_tes_in!V19=0,0,11630*1000*SER_hh_tes_in!V19/SER_hh_num_in!V19)</f>
        <v>15276.604955081832</v>
      </c>
      <c r="W19" s="130">
        <f>IF(SER_hh_tes_in!W19=0,0,11630*1000*SER_hh_tes_in!W19/SER_hh_num_in!W19)</f>
        <v>16806.738956853049</v>
      </c>
      <c r="X19" s="130">
        <f>IF(SER_hh_tes_in!X19=0,0,11630*1000*SER_hh_tes_in!X19/SER_hh_num_in!X19)</f>
        <v>16721.767314010045</v>
      </c>
      <c r="Y19" s="130">
        <f>IF(SER_hh_tes_in!Y19=0,0,11630*1000*SER_hh_tes_in!Y19/SER_hh_num_in!Y19)</f>
        <v>16989.624676458599</v>
      </c>
      <c r="DA19" s="155" t="s">
        <v>771</v>
      </c>
    </row>
    <row r="20" spans="1:105" ht="12" customHeight="1" x14ac:dyDescent="0.25">
      <c r="A20" s="131" t="s">
        <v>29</v>
      </c>
      <c r="B20" s="132"/>
      <c r="C20" s="132">
        <f>IF(SER_hh_tes_in!C20=0,0,11630*1000*SER_hh_tes_in!C20/SER_hh_num_in!C20)</f>
        <v>0</v>
      </c>
      <c r="D20" s="132">
        <f>IF(SER_hh_tes_in!D20=0,0,11630*1000*SER_hh_tes_in!D20/SER_hh_num_in!D20)</f>
        <v>0</v>
      </c>
      <c r="E20" s="132">
        <f>IF(SER_hh_tes_in!E20=0,0,11630*1000*SER_hh_tes_in!E20/SER_hh_num_in!E20)</f>
        <v>0</v>
      </c>
      <c r="F20" s="132">
        <f>IF(SER_hh_tes_in!F20=0,0,11630*1000*SER_hh_tes_in!F20/SER_hh_num_in!F20)</f>
        <v>0</v>
      </c>
      <c r="G20" s="132">
        <f>IF(SER_hh_tes_in!G20=0,0,11630*1000*SER_hh_tes_in!G20/SER_hh_num_in!G20)</f>
        <v>0</v>
      </c>
      <c r="H20" s="132">
        <f>IF(SER_hh_tes_in!H20=0,0,11630*1000*SER_hh_tes_in!H20/SER_hh_num_in!H20)</f>
        <v>0</v>
      </c>
      <c r="I20" s="132">
        <f>IF(SER_hh_tes_in!I20=0,0,11630*1000*SER_hh_tes_in!I20/SER_hh_num_in!I20)</f>
        <v>0</v>
      </c>
      <c r="J20" s="132">
        <f>IF(SER_hh_tes_in!J20=0,0,11630*1000*SER_hh_tes_in!J20/SER_hh_num_in!J20)</f>
        <v>0</v>
      </c>
      <c r="K20" s="132">
        <f>IF(SER_hh_tes_in!K20=0,0,11630*1000*SER_hh_tes_in!K20/SER_hh_num_in!K20)</f>
        <v>0</v>
      </c>
      <c r="L20" s="132">
        <f>IF(SER_hh_tes_in!L20=0,0,11630*1000*SER_hh_tes_in!L20/SER_hh_num_in!L20)</f>
        <v>0</v>
      </c>
      <c r="M20" s="132">
        <f>IF(SER_hh_tes_in!M20=0,0,11630*1000*SER_hh_tes_in!M20/SER_hh_num_in!M20)</f>
        <v>0</v>
      </c>
      <c r="N20" s="132">
        <f>IF(SER_hh_tes_in!N20=0,0,11630*1000*SER_hh_tes_in!N20/SER_hh_num_in!N20)</f>
        <v>0</v>
      </c>
      <c r="O20" s="132">
        <f>IF(SER_hh_tes_in!O20=0,0,11630*1000*SER_hh_tes_in!O20/SER_hh_num_in!O20)</f>
        <v>0</v>
      </c>
      <c r="P20" s="132">
        <f>IF(SER_hh_tes_in!P20=0,0,11630*1000*SER_hh_tes_in!P20/SER_hh_num_in!P20)</f>
        <v>0</v>
      </c>
      <c r="Q20" s="132">
        <f>IF(SER_hh_tes_in!Q20=0,0,11630*1000*SER_hh_tes_in!Q20/SER_hh_num_in!Q20)</f>
        <v>0</v>
      </c>
      <c r="R20" s="132">
        <f>IF(SER_hh_tes_in!R20=0,0,11630*1000*SER_hh_tes_in!R20/SER_hh_num_in!R20)</f>
        <v>0</v>
      </c>
      <c r="S20" s="132">
        <f>IF(SER_hh_tes_in!S20=0,0,11630*1000*SER_hh_tes_in!S20/SER_hh_num_in!S20)</f>
        <v>0</v>
      </c>
      <c r="T20" s="132">
        <f>IF(SER_hh_tes_in!T20=0,0,11630*1000*SER_hh_tes_in!T20/SER_hh_num_in!T20)</f>
        <v>0</v>
      </c>
      <c r="U20" s="132">
        <f>IF(SER_hh_tes_in!U20=0,0,11630*1000*SER_hh_tes_in!U20/SER_hh_num_in!U20)</f>
        <v>0</v>
      </c>
      <c r="V20" s="132">
        <f>IF(SER_hh_tes_in!V20=0,0,11630*1000*SER_hh_tes_in!V20/SER_hh_num_in!V20)</f>
        <v>0</v>
      </c>
      <c r="W20" s="132">
        <f>IF(SER_hh_tes_in!W20=0,0,11630*1000*SER_hh_tes_in!W20/SER_hh_num_in!W20)</f>
        <v>0</v>
      </c>
      <c r="X20" s="132">
        <f>IF(SER_hh_tes_in!X20=0,0,11630*1000*SER_hh_tes_in!X20/SER_hh_num_in!X20)</f>
        <v>0</v>
      </c>
      <c r="Y20" s="132">
        <f>IF(SER_hh_tes_in!Y20=0,0,11630*1000*SER_hh_tes_in!Y20/SER_hh_num_in!Y20)</f>
        <v>0</v>
      </c>
      <c r="DA20" s="156" t="s">
        <v>772</v>
      </c>
    </row>
    <row r="21" spans="1:105" s="2" customFormat="1" ht="12" customHeight="1" x14ac:dyDescent="0.25">
      <c r="A21" s="131" t="s">
        <v>52</v>
      </c>
      <c r="B21" s="132"/>
      <c r="C21" s="132">
        <f>IF(SER_hh_tes_in!C21=0,0,11630*1000*SER_hh_tes_in!C21/SER_hh_num_in!C21)</f>
        <v>0</v>
      </c>
      <c r="D21" s="132">
        <f>IF(SER_hh_tes_in!D21=0,0,11630*1000*SER_hh_tes_in!D21/SER_hh_num_in!D21)</f>
        <v>0</v>
      </c>
      <c r="E21" s="132">
        <f>IF(SER_hh_tes_in!E21=0,0,11630*1000*SER_hh_tes_in!E21/SER_hh_num_in!E21)</f>
        <v>0</v>
      </c>
      <c r="F21" s="132">
        <f>IF(SER_hh_tes_in!F21=0,0,11630*1000*SER_hh_tes_in!F21/SER_hh_num_in!F21)</f>
        <v>0</v>
      </c>
      <c r="G21" s="132">
        <f>IF(SER_hh_tes_in!G21=0,0,11630*1000*SER_hh_tes_in!G21/SER_hh_num_in!G21)</f>
        <v>0</v>
      </c>
      <c r="H21" s="132">
        <f>IF(SER_hh_tes_in!H21=0,0,11630*1000*SER_hh_tes_in!H21/SER_hh_num_in!H21)</f>
        <v>0</v>
      </c>
      <c r="I21" s="132">
        <f>IF(SER_hh_tes_in!I21=0,0,11630*1000*SER_hh_tes_in!I21/SER_hh_num_in!I21)</f>
        <v>0</v>
      </c>
      <c r="J21" s="132">
        <f>IF(SER_hh_tes_in!J21=0,0,11630*1000*SER_hh_tes_in!J21/SER_hh_num_in!J21)</f>
        <v>0</v>
      </c>
      <c r="K21" s="132">
        <f>IF(SER_hh_tes_in!K21=0,0,11630*1000*SER_hh_tes_in!K21/SER_hh_num_in!K21)</f>
        <v>0</v>
      </c>
      <c r="L21" s="132">
        <f>IF(SER_hh_tes_in!L21=0,0,11630*1000*SER_hh_tes_in!L21/SER_hh_num_in!L21)</f>
        <v>0</v>
      </c>
      <c r="M21" s="132">
        <f>IF(SER_hh_tes_in!M21=0,0,11630*1000*SER_hh_tes_in!M21/SER_hh_num_in!M21)</f>
        <v>0</v>
      </c>
      <c r="N21" s="132">
        <f>IF(SER_hh_tes_in!N21=0,0,11630*1000*SER_hh_tes_in!N21/SER_hh_num_in!N21)</f>
        <v>0</v>
      </c>
      <c r="O21" s="132">
        <f>IF(SER_hh_tes_in!O21=0,0,11630*1000*SER_hh_tes_in!O21/SER_hh_num_in!O21)</f>
        <v>0</v>
      </c>
      <c r="P21" s="132">
        <f>IF(SER_hh_tes_in!P21=0,0,11630*1000*SER_hh_tes_in!P21/SER_hh_num_in!P21)</f>
        <v>0</v>
      </c>
      <c r="Q21" s="132">
        <f>IF(SER_hh_tes_in!Q21=0,0,11630*1000*SER_hh_tes_in!Q21/SER_hh_num_in!Q21)</f>
        <v>0</v>
      </c>
      <c r="R21" s="132">
        <f>IF(SER_hh_tes_in!R21=0,0,11630*1000*SER_hh_tes_in!R21/SER_hh_num_in!R21)</f>
        <v>0</v>
      </c>
      <c r="S21" s="132">
        <f>IF(SER_hh_tes_in!S21=0,0,11630*1000*SER_hh_tes_in!S21/SER_hh_num_in!S21)</f>
        <v>0</v>
      </c>
      <c r="T21" s="132">
        <f>IF(SER_hh_tes_in!T21=0,0,11630*1000*SER_hh_tes_in!T21/SER_hh_num_in!T21)</f>
        <v>0</v>
      </c>
      <c r="U21" s="132">
        <f>IF(SER_hh_tes_in!U21=0,0,11630*1000*SER_hh_tes_in!U21/SER_hh_num_in!U21)</f>
        <v>0</v>
      </c>
      <c r="V21" s="132">
        <f>IF(SER_hh_tes_in!V21=0,0,11630*1000*SER_hh_tes_in!V21/SER_hh_num_in!V21)</f>
        <v>0</v>
      </c>
      <c r="W21" s="132">
        <f>IF(SER_hh_tes_in!W21=0,0,11630*1000*SER_hh_tes_in!W21/SER_hh_num_in!W21)</f>
        <v>0</v>
      </c>
      <c r="X21" s="132">
        <f>IF(SER_hh_tes_in!X21=0,0,11630*1000*SER_hh_tes_in!X21/SER_hh_num_in!X21)</f>
        <v>0</v>
      </c>
      <c r="Y21" s="132">
        <f>IF(SER_hh_tes_in!Y21=0,0,11630*1000*SER_hh_tes_in!Y21/SER_hh_num_in!Y21)</f>
        <v>0</v>
      </c>
      <c r="DA21" s="156" t="s">
        <v>773</v>
      </c>
    </row>
    <row r="22" spans="1:105" ht="12" customHeight="1" x14ac:dyDescent="0.25">
      <c r="A22" s="131" t="s">
        <v>161</v>
      </c>
      <c r="B22" s="132"/>
      <c r="C22" s="132">
        <f>IF(SER_hh_tes_in!C22=0,0,11630*1000*SER_hh_tes_in!C22/SER_hh_num_in!C22)</f>
        <v>15789.759132198544</v>
      </c>
      <c r="D22" s="132">
        <f>IF(SER_hh_tes_in!D22=0,0,11630*1000*SER_hh_tes_in!D22/SER_hh_num_in!D22)</f>
        <v>16020.381797597724</v>
      </c>
      <c r="E22" s="132">
        <f>IF(SER_hh_tes_in!E22=0,0,11630*1000*SER_hh_tes_in!E22/SER_hh_num_in!E22)</f>
        <v>16069.846391976953</v>
      </c>
      <c r="F22" s="132">
        <f>IF(SER_hh_tes_in!F22=0,0,11630*1000*SER_hh_tes_in!F22/SER_hh_num_in!F22)</f>
        <v>15987.442971171487</v>
      </c>
      <c r="G22" s="132">
        <f>IF(SER_hh_tes_in!G22=0,0,11630*1000*SER_hh_tes_in!G22/SER_hh_num_in!G22)</f>
        <v>15873.734024104067</v>
      </c>
      <c r="H22" s="132">
        <f>IF(SER_hh_tes_in!H22=0,0,11630*1000*SER_hh_tes_in!H22/SER_hh_num_in!H22)</f>
        <v>16025.225171883832</v>
      </c>
      <c r="I22" s="132">
        <f>IF(SER_hh_tes_in!I22=0,0,11630*1000*SER_hh_tes_in!I22/SER_hh_num_in!I22)</f>
        <v>15913.583466951877</v>
      </c>
      <c r="J22" s="132">
        <f>IF(SER_hh_tes_in!J22=0,0,11630*1000*SER_hh_tes_in!J22/SER_hh_num_in!J22)</f>
        <v>15704.404405036536</v>
      </c>
      <c r="K22" s="132">
        <f>IF(SER_hh_tes_in!K22=0,0,11630*1000*SER_hh_tes_in!K22/SER_hh_num_in!K22)</f>
        <v>15480.522161461509</v>
      </c>
      <c r="L22" s="132">
        <f>IF(SER_hh_tes_in!L22=0,0,11630*1000*SER_hh_tes_in!L22/SER_hh_num_in!L22)</f>
        <v>16404.103283339296</v>
      </c>
      <c r="M22" s="132">
        <f>IF(SER_hh_tes_in!M22=0,0,11630*1000*SER_hh_tes_in!M22/SER_hh_num_in!M22)</f>
        <v>16449.429513217106</v>
      </c>
      <c r="N22" s="132">
        <f>IF(SER_hh_tes_in!N22=0,0,11630*1000*SER_hh_tes_in!N22/SER_hh_num_in!N22)</f>
        <v>16292.85545793635</v>
      </c>
      <c r="O22" s="132">
        <f>IF(SER_hh_tes_in!O22=0,0,11630*1000*SER_hh_tes_in!O22/SER_hh_num_in!O22)</f>
        <v>16580.292679903214</v>
      </c>
      <c r="P22" s="132">
        <f>IF(SER_hh_tes_in!P22=0,0,11630*1000*SER_hh_tes_in!P22/SER_hh_num_in!P22)</f>
        <v>16335.50544054187</v>
      </c>
      <c r="Q22" s="132">
        <f>IF(SER_hh_tes_in!Q22=0,0,11630*1000*SER_hh_tes_in!Q22/SER_hh_num_in!Q22)</f>
        <v>16568.927671297777</v>
      </c>
      <c r="R22" s="132">
        <f>IF(SER_hh_tes_in!R22=0,0,11630*1000*SER_hh_tes_in!R22/SER_hh_num_in!R22)</f>
        <v>17400.473183238919</v>
      </c>
      <c r="S22" s="132">
        <f>IF(SER_hh_tes_in!S22=0,0,11630*1000*SER_hh_tes_in!S22/SER_hh_num_in!S22)</f>
        <v>16662.256579929435</v>
      </c>
      <c r="T22" s="132">
        <f>IF(SER_hh_tes_in!T22=0,0,11630*1000*SER_hh_tes_in!T22/SER_hh_num_in!T22)</f>
        <v>15872.320695345539</v>
      </c>
      <c r="U22" s="132">
        <f>IF(SER_hh_tes_in!U22=0,0,11630*1000*SER_hh_tes_in!U22/SER_hh_num_in!U22)</f>
        <v>16287.010507397723</v>
      </c>
      <c r="V22" s="132">
        <f>IF(SER_hh_tes_in!V22=0,0,11630*1000*SER_hh_tes_in!V22/SER_hh_num_in!V22)</f>
        <v>15059.164884347592</v>
      </c>
      <c r="W22" s="132">
        <f>IF(SER_hh_tes_in!W22=0,0,11630*1000*SER_hh_tes_in!W22/SER_hh_num_in!W22)</f>
        <v>17627.989021074183</v>
      </c>
      <c r="X22" s="132">
        <f>IF(SER_hh_tes_in!X22=0,0,11630*1000*SER_hh_tes_in!X22/SER_hh_num_in!X22)</f>
        <v>16674.540535028555</v>
      </c>
      <c r="Y22" s="132">
        <f>IF(SER_hh_tes_in!Y22=0,0,11630*1000*SER_hh_tes_in!Y22/SER_hh_num_in!Y22)</f>
        <v>16162.135959674626</v>
      </c>
      <c r="DA22" s="156" t="s">
        <v>774</v>
      </c>
    </row>
    <row r="23" spans="1:105" ht="12" customHeight="1" x14ac:dyDescent="0.25">
      <c r="A23" s="131" t="s">
        <v>149</v>
      </c>
      <c r="B23" s="132"/>
      <c r="C23" s="132">
        <f>IF(SER_hh_tes_in!C23=0,0,11630*1000*SER_hh_tes_in!C23/SER_hh_num_in!C23)</f>
        <v>15862.837768009154</v>
      </c>
      <c r="D23" s="132">
        <f>IF(SER_hh_tes_in!D23=0,0,11630*1000*SER_hh_tes_in!D23/SER_hh_num_in!D23)</f>
        <v>15869.821684022218</v>
      </c>
      <c r="E23" s="132">
        <f>IF(SER_hh_tes_in!E23=0,0,11630*1000*SER_hh_tes_in!E23/SER_hh_num_in!E23)</f>
        <v>15844.233089510186</v>
      </c>
      <c r="F23" s="132">
        <f>IF(SER_hh_tes_in!F23=0,0,11630*1000*SER_hh_tes_in!F23/SER_hh_num_in!F23)</f>
        <v>16113.948802961573</v>
      </c>
      <c r="G23" s="132">
        <f>IF(SER_hh_tes_in!G23=0,0,11630*1000*SER_hh_tes_in!G23/SER_hh_num_in!G23)</f>
        <v>16342.909970066212</v>
      </c>
      <c r="H23" s="132">
        <f>IF(SER_hh_tes_in!H23=0,0,11630*1000*SER_hh_tes_in!H23/SER_hh_num_in!H23)</f>
        <v>15793.582806064745</v>
      </c>
      <c r="I23" s="132">
        <f>IF(SER_hh_tes_in!I23=0,0,11630*1000*SER_hh_tes_in!I23/SER_hh_num_in!I23)</f>
        <v>15872.185089435683</v>
      </c>
      <c r="J23" s="132">
        <f>IF(SER_hh_tes_in!J23=0,0,11630*1000*SER_hh_tes_in!J23/SER_hh_num_in!J23)</f>
        <v>16085.58630063129</v>
      </c>
      <c r="K23" s="132">
        <f>IF(SER_hh_tes_in!K23=0,0,11630*1000*SER_hh_tes_in!K23/SER_hh_num_in!K23)</f>
        <v>15936.653032623361</v>
      </c>
      <c r="L23" s="132">
        <f>IF(SER_hh_tes_in!L23=0,0,11630*1000*SER_hh_tes_in!L23/SER_hh_num_in!L23)</f>
        <v>15766.974752500419</v>
      </c>
      <c r="M23" s="132">
        <f>IF(SER_hh_tes_in!M23=0,0,11630*1000*SER_hh_tes_in!M23/SER_hh_num_in!M23)</f>
        <v>16076.202635384067</v>
      </c>
      <c r="N23" s="132">
        <f>IF(SER_hh_tes_in!N23=0,0,11630*1000*SER_hh_tes_in!N23/SER_hh_num_in!N23)</f>
        <v>16300.494907343571</v>
      </c>
      <c r="O23" s="132">
        <f>IF(SER_hh_tes_in!O23=0,0,11630*1000*SER_hh_tes_in!O23/SER_hh_num_in!O23)</f>
        <v>16492.118661172524</v>
      </c>
      <c r="P23" s="132">
        <f>IF(SER_hh_tes_in!P23=0,0,11630*1000*SER_hh_tes_in!P23/SER_hh_num_in!P23)</f>
        <v>16435.791444688464</v>
      </c>
      <c r="Q23" s="132">
        <f>IF(SER_hh_tes_in!Q23=0,0,11630*1000*SER_hh_tes_in!Q23/SER_hh_num_in!Q23)</f>
        <v>16367.561802290858</v>
      </c>
      <c r="R23" s="132">
        <f>IF(SER_hh_tes_in!R23=0,0,11630*1000*SER_hh_tes_in!R23/SER_hh_num_in!R23)</f>
        <v>15973.785892650814</v>
      </c>
      <c r="S23" s="132">
        <f>IF(SER_hh_tes_in!S23=0,0,11630*1000*SER_hh_tes_in!S23/SER_hh_num_in!S23)</f>
        <v>18492.325133168713</v>
      </c>
      <c r="T23" s="132">
        <f>IF(SER_hh_tes_in!T23=0,0,11630*1000*SER_hh_tes_in!T23/SER_hh_num_in!T23)</f>
        <v>16341.379299082133</v>
      </c>
      <c r="U23" s="132">
        <f>IF(SER_hh_tes_in!U23=0,0,11630*1000*SER_hh_tes_in!U23/SER_hh_num_in!U23)</f>
        <v>15665.815686283553</v>
      </c>
      <c r="V23" s="132">
        <f>IF(SER_hh_tes_in!V23=0,0,11630*1000*SER_hh_tes_in!V23/SER_hh_num_in!V23)</f>
        <v>15175.825924910572</v>
      </c>
      <c r="W23" s="132">
        <f>IF(SER_hh_tes_in!W23=0,0,11630*1000*SER_hh_tes_in!W23/SER_hh_num_in!W23)</f>
        <v>19479.863159419496</v>
      </c>
      <c r="X23" s="132">
        <f>IF(SER_hh_tes_in!X23=0,0,11630*1000*SER_hh_tes_in!X23/SER_hh_num_in!X23)</f>
        <v>17194.830874067095</v>
      </c>
      <c r="Y23" s="132">
        <f>IF(SER_hh_tes_in!Y23=0,0,11630*1000*SER_hh_tes_in!Y23/SER_hh_num_in!Y23)</f>
        <v>0</v>
      </c>
      <c r="DA23" s="156" t="s">
        <v>775</v>
      </c>
    </row>
    <row r="24" spans="1:105" ht="12" customHeight="1" x14ac:dyDescent="0.25">
      <c r="A24" s="131" t="s">
        <v>128</v>
      </c>
      <c r="B24" s="132"/>
      <c r="C24" s="132">
        <f>IF(SER_hh_tes_in!C24=0,0,11630*1000*SER_hh_tes_in!C24/SER_hh_num_in!C24)</f>
        <v>16616.250352235398</v>
      </c>
      <c r="D24" s="132">
        <f>IF(SER_hh_tes_in!D24=0,0,11630*1000*SER_hh_tes_in!D24/SER_hh_num_in!D24)</f>
        <v>16292.279454465497</v>
      </c>
      <c r="E24" s="132">
        <f>IF(SER_hh_tes_in!E24=0,0,11630*1000*SER_hh_tes_in!E24/SER_hh_num_in!E24)</f>
        <v>15897.024866648484</v>
      </c>
      <c r="F24" s="132">
        <f>IF(SER_hh_tes_in!F24=0,0,11630*1000*SER_hh_tes_in!F24/SER_hh_num_in!F24)</f>
        <v>15973.186180229581</v>
      </c>
      <c r="G24" s="132">
        <f>IF(SER_hh_tes_in!G24=0,0,11630*1000*SER_hh_tes_in!G24/SER_hh_num_in!G24)</f>
        <v>15830.666726776049</v>
      </c>
      <c r="H24" s="132">
        <f>IF(SER_hh_tes_in!H24=0,0,11630*1000*SER_hh_tes_in!H24/SER_hh_num_in!H24)</f>
        <v>15840.468728515996</v>
      </c>
      <c r="I24" s="132">
        <f>IF(SER_hh_tes_in!I24=0,0,11630*1000*SER_hh_tes_in!I24/SER_hh_num_in!I24)</f>
        <v>15628.152769392</v>
      </c>
      <c r="J24" s="132">
        <f>IF(SER_hh_tes_in!J24=0,0,11630*1000*SER_hh_tes_in!J24/SER_hh_num_in!J24)</f>
        <v>16447.658089454224</v>
      </c>
      <c r="K24" s="132">
        <f>IF(SER_hh_tes_in!K24=0,0,11630*1000*SER_hh_tes_in!K24/SER_hh_num_in!K24)</f>
        <v>15685.601288620606</v>
      </c>
      <c r="L24" s="132">
        <f>IF(SER_hh_tes_in!L24=0,0,11630*1000*SER_hh_tes_in!L24/SER_hh_num_in!L24)</f>
        <v>15988.978862775612</v>
      </c>
      <c r="M24" s="132">
        <f>IF(SER_hh_tes_in!M24=0,0,11630*1000*SER_hh_tes_in!M24/SER_hh_num_in!M24)</f>
        <v>16371.545067737423</v>
      </c>
      <c r="N24" s="132">
        <f>IF(SER_hh_tes_in!N24=0,0,11630*1000*SER_hh_tes_in!N24/SER_hh_num_in!N24)</f>
        <v>16433.858139806551</v>
      </c>
      <c r="O24" s="132">
        <f>IF(SER_hh_tes_in!O24=0,0,11630*1000*SER_hh_tes_in!O24/SER_hh_num_in!O24)</f>
        <v>16344.392829744666</v>
      </c>
      <c r="P24" s="132">
        <f>IF(SER_hh_tes_in!P24=0,0,11630*1000*SER_hh_tes_in!P24/SER_hh_num_in!P24)</f>
        <v>16220.481986436178</v>
      </c>
      <c r="Q24" s="132">
        <f>IF(SER_hh_tes_in!Q24=0,0,11630*1000*SER_hh_tes_in!Q24/SER_hh_num_in!Q24)</f>
        <v>15782.286216393704</v>
      </c>
      <c r="R24" s="132">
        <f>IF(SER_hh_tes_in!R24=0,0,11630*1000*SER_hh_tes_in!R24/SER_hh_num_in!R24)</f>
        <v>17288.221369896633</v>
      </c>
      <c r="S24" s="132">
        <f>IF(SER_hh_tes_in!S24=0,0,11630*1000*SER_hh_tes_in!S24/SER_hh_num_in!S24)</f>
        <v>16789.132203465328</v>
      </c>
      <c r="T24" s="132">
        <f>IF(SER_hh_tes_in!T24=0,0,11630*1000*SER_hh_tes_in!T24/SER_hh_num_in!T24)</f>
        <v>16809.002669426121</v>
      </c>
      <c r="U24" s="132">
        <f>IF(SER_hh_tes_in!U24=0,0,11630*1000*SER_hh_tes_in!U24/SER_hh_num_in!U24)</f>
        <v>16694.347215877213</v>
      </c>
      <c r="V24" s="132">
        <f>IF(SER_hh_tes_in!V24=0,0,11630*1000*SER_hh_tes_in!V24/SER_hh_num_in!V24)</f>
        <v>14761.121456260034</v>
      </c>
      <c r="W24" s="132">
        <f>IF(SER_hh_tes_in!W24=0,0,11630*1000*SER_hh_tes_in!W24/SER_hh_num_in!W24)</f>
        <v>17456.132869687284</v>
      </c>
      <c r="X24" s="132">
        <f>IF(SER_hh_tes_in!X24=0,0,11630*1000*SER_hh_tes_in!X24/SER_hh_num_in!X24)</f>
        <v>17707.4633522166</v>
      </c>
      <c r="Y24" s="132">
        <f>IF(SER_hh_tes_in!Y24=0,0,11630*1000*SER_hh_tes_in!Y24/SER_hh_num_in!Y24)</f>
        <v>16193.749854790894</v>
      </c>
      <c r="DA24" s="156" t="s">
        <v>776</v>
      </c>
    </row>
    <row r="25" spans="1:105" ht="12" customHeight="1" x14ac:dyDescent="0.25">
      <c r="A25" s="131" t="s">
        <v>162</v>
      </c>
      <c r="B25" s="132"/>
      <c r="C25" s="132">
        <f>IF(SER_hh_tes_in!C25=0,0,11630*1000*SER_hh_tes_in!C25/SER_hh_num_in!C25)</f>
        <v>15993.55178660021</v>
      </c>
      <c r="D25" s="132">
        <f>IF(SER_hh_tes_in!D25=0,0,11630*1000*SER_hh_tes_in!D25/SER_hh_num_in!D25)</f>
        <v>15856.616476589254</v>
      </c>
      <c r="E25" s="132">
        <f>IF(SER_hh_tes_in!E25=0,0,11630*1000*SER_hh_tes_in!E25/SER_hh_num_in!E25)</f>
        <v>16000.209838365758</v>
      </c>
      <c r="F25" s="132">
        <f>IF(SER_hh_tes_in!F25=0,0,11630*1000*SER_hh_tes_in!F25/SER_hh_num_in!F25)</f>
        <v>15871.99560807966</v>
      </c>
      <c r="G25" s="132">
        <f>IF(SER_hh_tes_in!G25=0,0,11630*1000*SER_hh_tes_in!G25/SER_hh_num_in!G25)</f>
        <v>16004.733645448223</v>
      </c>
      <c r="H25" s="132">
        <f>IF(SER_hh_tes_in!H25=0,0,11630*1000*SER_hh_tes_in!H25/SER_hh_num_in!H25)</f>
        <v>15965.432512250432</v>
      </c>
      <c r="I25" s="132">
        <f>IF(SER_hh_tes_in!I25=0,0,11630*1000*SER_hh_tes_in!I25/SER_hh_num_in!I25)</f>
        <v>15996.482473784481</v>
      </c>
      <c r="J25" s="132">
        <f>IF(SER_hh_tes_in!J25=0,0,11630*1000*SER_hh_tes_in!J25/SER_hh_num_in!J25)</f>
        <v>15854.14591081143</v>
      </c>
      <c r="K25" s="132">
        <f>IF(SER_hh_tes_in!K25=0,0,11630*1000*SER_hh_tes_in!K25/SER_hh_num_in!K25)</f>
        <v>15968.886050086579</v>
      </c>
      <c r="L25" s="132">
        <f>IF(SER_hh_tes_in!L25=0,0,11630*1000*SER_hh_tes_in!L25/SER_hh_num_in!L25)</f>
        <v>15979.655771512673</v>
      </c>
      <c r="M25" s="132">
        <f>IF(SER_hh_tes_in!M25=0,0,11630*1000*SER_hh_tes_in!M25/SER_hh_num_in!M25)</f>
        <v>16066.368456714916</v>
      </c>
      <c r="N25" s="132">
        <f>IF(SER_hh_tes_in!N25=0,0,11630*1000*SER_hh_tes_in!N25/SER_hh_num_in!N25)</f>
        <v>16245.734693992648</v>
      </c>
      <c r="O25" s="132">
        <f>IF(SER_hh_tes_in!O25=0,0,11630*1000*SER_hh_tes_in!O25/SER_hh_num_in!O25)</f>
        <v>16434.118241516564</v>
      </c>
      <c r="P25" s="132">
        <f>IF(SER_hh_tes_in!P25=0,0,11630*1000*SER_hh_tes_in!P25/SER_hh_num_in!P25)</f>
        <v>16513.445122656198</v>
      </c>
      <c r="Q25" s="132">
        <f>IF(SER_hh_tes_in!Q25=0,0,11630*1000*SER_hh_tes_in!Q25/SER_hh_num_in!Q25)</f>
        <v>16516.223096969516</v>
      </c>
      <c r="R25" s="132">
        <f>IF(SER_hh_tes_in!R25=0,0,11630*1000*SER_hh_tes_in!R25/SER_hh_num_in!R25)</f>
        <v>16667.253158437554</v>
      </c>
      <c r="S25" s="132">
        <f>IF(SER_hh_tes_in!S25=0,0,11630*1000*SER_hh_tes_in!S25/SER_hh_num_in!S25)</f>
        <v>16609.924752826188</v>
      </c>
      <c r="T25" s="132">
        <f>IF(SER_hh_tes_in!T25=0,0,11630*1000*SER_hh_tes_in!T25/SER_hh_num_in!T25)</f>
        <v>16991.865528448408</v>
      </c>
      <c r="U25" s="132">
        <f>IF(SER_hh_tes_in!U25=0,0,11630*1000*SER_hh_tes_in!U25/SER_hh_num_in!U25)</f>
        <v>16499.745750098384</v>
      </c>
      <c r="V25" s="132">
        <f>IF(SER_hh_tes_in!V25=0,0,11630*1000*SER_hh_tes_in!V25/SER_hh_num_in!V25)</f>
        <v>14854.035268839523</v>
      </c>
      <c r="W25" s="132">
        <f>IF(SER_hh_tes_in!W25=0,0,11630*1000*SER_hh_tes_in!W25/SER_hh_num_in!W25)</f>
        <v>16929.803495426135</v>
      </c>
      <c r="X25" s="132">
        <f>IF(SER_hh_tes_in!X25=0,0,11630*1000*SER_hh_tes_in!X25/SER_hh_num_in!X25)</f>
        <v>16782.679467046692</v>
      </c>
      <c r="Y25" s="132">
        <f>IF(SER_hh_tes_in!Y25=0,0,11630*1000*SER_hh_tes_in!Y25/SER_hh_num_in!Y25)</f>
        <v>16924.86965966921</v>
      </c>
      <c r="DA25" s="156" t="s">
        <v>777</v>
      </c>
    </row>
    <row r="26" spans="1:105" ht="12" customHeight="1" x14ac:dyDescent="0.25">
      <c r="A26" s="131" t="s">
        <v>24</v>
      </c>
      <c r="B26" s="65"/>
      <c r="C26" s="65">
        <f>IF(SER_hh_tes_in!C26=0,0,11630*1000*SER_hh_tes_in!C26/SER_hh_num_in!C26)</f>
        <v>15820.364296969876</v>
      </c>
      <c r="D26" s="65">
        <f>IF(SER_hh_tes_in!D26=0,0,11630*1000*SER_hh_tes_in!D26/SER_hh_num_in!D26)</f>
        <v>15802.279258245433</v>
      </c>
      <c r="E26" s="65">
        <f>IF(SER_hh_tes_in!E26=0,0,11630*1000*SER_hh_tes_in!E26/SER_hh_num_in!E26)</f>
        <v>15950.185510227322</v>
      </c>
      <c r="F26" s="65">
        <f>IF(SER_hh_tes_in!F26=0,0,11630*1000*SER_hh_tes_in!F26/SER_hh_num_in!F26)</f>
        <v>15902.151622743571</v>
      </c>
      <c r="G26" s="65">
        <f>IF(SER_hh_tes_in!G26=0,0,11630*1000*SER_hh_tes_in!G26/SER_hh_num_in!G26)</f>
        <v>16211.081512902041</v>
      </c>
      <c r="H26" s="65">
        <f>IF(SER_hh_tes_in!H26=0,0,11630*1000*SER_hh_tes_in!H26/SER_hh_num_in!H26)</f>
        <v>15950.106550773608</v>
      </c>
      <c r="I26" s="65">
        <f>IF(SER_hh_tes_in!I26=0,0,11630*1000*SER_hh_tes_in!I26/SER_hh_num_in!I26)</f>
        <v>15608.836214493642</v>
      </c>
      <c r="J26" s="65">
        <f>IF(SER_hh_tes_in!J26=0,0,11630*1000*SER_hh_tes_in!J26/SER_hh_num_in!J26)</f>
        <v>15758.393405014865</v>
      </c>
      <c r="K26" s="65">
        <f>IF(SER_hh_tes_in!K26=0,0,11630*1000*SER_hh_tes_in!K26/SER_hh_num_in!K26)</f>
        <v>15843.051970000768</v>
      </c>
      <c r="L26" s="65">
        <f>IF(SER_hh_tes_in!L26=0,0,11630*1000*SER_hh_tes_in!L26/SER_hh_num_in!L26)</f>
        <v>15961.111696220194</v>
      </c>
      <c r="M26" s="65">
        <f>IF(SER_hh_tes_in!M26=0,0,11630*1000*SER_hh_tes_in!M26/SER_hh_num_in!M26)</f>
        <v>16124.969201956796</v>
      </c>
      <c r="N26" s="65">
        <f>IF(SER_hh_tes_in!N26=0,0,11630*1000*SER_hh_tes_in!N26/SER_hh_num_in!N26)</f>
        <v>16270.969915029216</v>
      </c>
      <c r="O26" s="65">
        <f>IF(SER_hh_tes_in!O26=0,0,11630*1000*SER_hh_tes_in!O26/SER_hh_num_in!O26)</f>
        <v>16351.101919243165</v>
      </c>
      <c r="P26" s="65">
        <f>IF(SER_hh_tes_in!P26=0,0,11630*1000*SER_hh_tes_in!P26/SER_hh_num_in!P26)</f>
        <v>16642.388341885289</v>
      </c>
      <c r="Q26" s="65">
        <f>IF(SER_hh_tes_in!Q26=0,0,11630*1000*SER_hh_tes_in!Q26/SER_hh_num_in!Q26)</f>
        <v>16787.906224719485</v>
      </c>
      <c r="R26" s="65">
        <f>IF(SER_hh_tes_in!R26=0,0,11630*1000*SER_hh_tes_in!R26/SER_hh_num_in!R26)</f>
        <v>16072.555837534455</v>
      </c>
      <c r="S26" s="65">
        <f>IF(SER_hh_tes_in!S26=0,0,11630*1000*SER_hh_tes_in!S26/SER_hh_num_in!S26)</f>
        <v>16666.699630084884</v>
      </c>
      <c r="T26" s="65">
        <f>IF(SER_hh_tes_in!T26=0,0,11630*1000*SER_hh_tes_in!T26/SER_hh_num_in!T26)</f>
        <v>16460.113509887895</v>
      </c>
      <c r="U26" s="65">
        <f>IF(SER_hh_tes_in!U26=0,0,11630*1000*SER_hh_tes_in!U26/SER_hh_num_in!U26)</f>
        <v>17279.869956310173</v>
      </c>
      <c r="V26" s="65">
        <f>IF(SER_hh_tes_in!V26=0,0,11630*1000*SER_hh_tes_in!V26/SER_hh_num_in!V26)</f>
        <v>15825.756662182237</v>
      </c>
      <c r="W26" s="65">
        <f>IF(SER_hh_tes_in!W26=0,0,11630*1000*SER_hh_tes_in!W26/SER_hh_num_in!W26)</f>
        <v>16318.602465656868</v>
      </c>
      <c r="X26" s="65">
        <f>IF(SER_hh_tes_in!X26=0,0,11630*1000*SER_hh_tes_in!X26/SER_hh_num_in!X26)</f>
        <v>16526.531332855389</v>
      </c>
      <c r="Y26" s="65">
        <f>IF(SER_hh_tes_in!Y26=0,0,11630*1000*SER_hh_tes_in!Y26/SER_hh_num_in!Y26)</f>
        <v>17130.347982578896</v>
      </c>
      <c r="DA26" s="109" t="s">
        <v>778</v>
      </c>
    </row>
    <row r="27" spans="1:105" ht="12" customHeight="1" x14ac:dyDescent="0.25">
      <c r="A27" s="144" t="s">
        <v>86</v>
      </c>
      <c r="B27" s="147"/>
      <c r="C27" s="145">
        <f>IF(SER_hh_tes_in!C27=0,0,11630*1000*SER_hh_tes_in!C27/SER_hh_num_in!C19)</f>
        <v>0</v>
      </c>
      <c r="D27" s="145">
        <f>IF(SER_hh_tes_in!D27=0,0,11630*1000*SER_hh_tes_in!D27/SER_hh_num_in!D19)</f>
        <v>0</v>
      </c>
      <c r="E27" s="145">
        <f>IF(SER_hh_tes_in!E27=0,0,11630*1000*SER_hh_tes_in!E27/SER_hh_num_in!E19)</f>
        <v>0</v>
      </c>
      <c r="F27" s="145">
        <f>IF(SER_hh_tes_in!F27=0,0,11630*1000*SER_hh_tes_in!F27/SER_hh_num_in!F19)</f>
        <v>0</v>
      </c>
      <c r="G27" s="145">
        <f>IF(SER_hh_tes_in!G27=0,0,11630*1000*SER_hh_tes_in!G27/SER_hh_num_in!G19)</f>
        <v>0</v>
      </c>
      <c r="H27" s="145">
        <f>IF(SER_hh_tes_in!H27=0,0,11630*1000*SER_hh_tes_in!H27/SER_hh_num_in!H19)</f>
        <v>0</v>
      </c>
      <c r="I27" s="145">
        <f>IF(SER_hh_tes_in!I27=0,0,11630*1000*SER_hh_tes_in!I27/SER_hh_num_in!I19)</f>
        <v>0</v>
      </c>
      <c r="J27" s="145">
        <f>IF(SER_hh_tes_in!J27=0,0,11630*1000*SER_hh_tes_in!J27/SER_hh_num_in!J19)</f>
        <v>0</v>
      </c>
      <c r="K27" s="145">
        <f>IF(SER_hh_tes_in!K27=0,0,11630*1000*SER_hh_tes_in!K27/SER_hh_num_in!K19)</f>
        <v>0</v>
      </c>
      <c r="L27" s="145">
        <f>IF(SER_hh_tes_in!L27=0,0,11630*1000*SER_hh_tes_in!L27/SER_hh_num_in!L19)</f>
        <v>0</v>
      </c>
      <c r="M27" s="145">
        <f>IF(SER_hh_tes_in!M27=0,0,11630*1000*SER_hh_tes_in!M27/SER_hh_num_in!M19)</f>
        <v>0</v>
      </c>
      <c r="N27" s="145">
        <f>IF(SER_hh_tes_in!N27=0,0,11630*1000*SER_hh_tes_in!N27/SER_hh_num_in!N19)</f>
        <v>0</v>
      </c>
      <c r="O27" s="145">
        <f>IF(SER_hh_tes_in!O27=0,0,11630*1000*SER_hh_tes_in!O27/SER_hh_num_in!O19)</f>
        <v>0</v>
      </c>
      <c r="P27" s="145">
        <f>IF(SER_hh_tes_in!P27=0,0,11630*1000*SER_hh_tes_in!P27/SER_hh_num_in!P19)</f>
        <v>0</v>
      </c>
      <c r="Q27" s="145">
        <f>IF(SER_hh_tes_in!Q27=0,0,11630*1000*SER_hh_tes_in!Q27/SER_hh_num_in!Q19)</f>
        <v>0</v>
      </c>
      <c r="R27" s="145">
        <f>IF(SER_hh_tes_in!R27=0,0,11630*1000*SER_hh_tes_in!R27/SER_hh_num_in!R19)</f>
        <v>0</v>
      </c>
      <c r="S27" s="145">
        <f>IF(SER_hh_tes_in!S27=0,0,11630*1000*SER_hh_tes_in!S27/SER_hh_num_in!S19)</f>
        <v>0</v>
      </c>
      <c r="T27" s="145">
        <f>IF(SER_hh_tes_in!T27=0,0,11630*1000*SER_hh_tes_in!T27/SER_hh_num_in!T19)</f>
        <v>0</v>
      </c>
      <c r="U27" s="145">
        <f>IF(SER_hh_tes_in!U27=0,0,11630*1000*SER_hh_tes_in!U27/SER_hh_num_in!U19)</f>
        <v>0</v>
      </c>
      <c r="V27" s="145">
        <f>IF(SER_hh_tes_in!V27=0,0,11630*1000*SER_hh_tes_in!V27/SER_hh_num_in!V19)</f>
        <v>0</v>
      </c>
      <c r="W27" s="145">
        <f>IF(SER_hh_tes_in!W27=0,0,11630*1000*SER_hh_tes_in!W27/SER_hh_num_in!W19)</f>
        <v>0</v>
      </c>
      <c r="X27" s="145">
        <f>IF(SER_hh_tes_in!X27=0,0,11630*1000*SER_hh_tes_in!X27/SER_hh_num_in!X19)</f>
        <v>0</v>
      </c>
      <c r="Y27" s="145">
        <f>IF(SER_hh_tes_in!Y27=0,0,11630*1000*SER_hh_tes_in!Y27/SER_hh_num_in!Y19)</f>
        <v>0</v>
      </c>
      <c r="DA27" s="158" t="s">
        <v>779</v>
      </c>
    </row>
    <row r="28" spans="1:105" ht="12" customHeight="1" x14ac:dyDescent="0.25">
      <c r="A28" s="78" t="s">
        <v>85</v>
      </c>
      <c r="B28" s="68"/>
      <c r="C28" s="146">
        <f>IF(SER_hh_tes_in!C27=0,0,11630*1000*SER_hh_tes_in!C27/SER_hh_num_in!C27)</f>
        <v>0</v>
      </c>
      <c r="D28" s="146">
        <f>IF(SER_hh_tes_in!D27=0,0,11630*1000*SER_hh_tes_in!D27/SER_hh_num_in!D27)</f>
        <v>0</v>
      </c>
      <c r="E28" s="146">
        <f>IF(SER_hh_tes_in!E27=0,0,11630*1000*SER_hh_tes_in!E27/SER_hh_num_in!E27)</f>
        <v>0</v>
      </c>
      <c r="F28" s="146">
        <f>IF(SER_hh_tes_in!F27=0,0,11630*1000*SER_hh_tes_in!F27/SER_hh_num_in!F27)</f>
        <v>0</v>
      </c>
      <c r="G28" s="146">
        <f>IF(SER_hh_tes_in!G27=0,0,11630*1000*SER_hh_tes_in!G27/SER_hh_num_in!G27)</f>
        <v>0</v>
      </c>
      <c r="H28" s="146">
        <f>IF(SER_hh_tes_in!H27=0,0,11630*1000*SER_hh_tes_in!H27/SER_hh_num_in!H27)</f>
        <v>0</v>
      </c>
      <c r="I28" s="146">
        <f>IF(SER_hh_tes_in!I27=0,0,11630*1000*SER_hh_tes_in!I27/SER_hh_num_in!I27)</f>
        <v>0</v>
      </c>
      <c r="J28" s="146">
        <f>IF(SER_hh_tes_in!J27=0,0,11630*1000*SER_hh_tes_in!J27/SER_hh_num_in!J27)</f>
        <v>0</v>
      </c>
      <c r="K28" s="146">
        <f>IF(SER_hh_tes_in!K27=0,0,11630*1000*SER_hh_tes_in!K27/SER_hh_num_in!K27)</f>
        <v>0</v>
      </c>
      <c r="L28" s="146">
        <f>IF(SER_hh_tes_in!L27=0,0,11630*1000*SER_hh_tes_in!L27/SER_hh_num_in!L27)</f>
        <v>0</v>
      </c>
      <c r="M28" s="146">
        <f>IF(SER_hh_tes_in!M27=0,0,11630*1000*SER_hh_tes_in!M27/SER_hh_num_in!M27)</f>
        <v>0</v>
      </c>
      <c r="N28" s="146">
        <f>IF(SER_hh_tes_in!N27=0,0,11630*1000*SER_hh_tes_in!N27/SER_hh_num_in!N27)</f>
        <v>0</v>
      </c>
      <c r="O28" s="146">
        <f>IF(SER_hh_tes_in!O27=0,0,11630*1000*SER_hh_tes_in!O27/SER_hh_num_in!O27)</f>
        <v>0</v>
      </c>
      <c r="P28" s="146">
        <f>IF(SER_hh_tes_in!P27=0,0,11630*1000*SER_hh_tes_in!P27/SER_hh_num_in!P27)</f>
        <v>0</v>
      </c>
      <c r="Q28" s="146">
        <f>IF(SER_hh_tes_in!Q27=0,0,11630*1000*SER_hh_tes_in!Q27/SER_hh_num_in!Q27)</f>
        <v>0</v>
      </c>
      <c r="R28" s="146">
        <f>IF(SER_hh_tes_in!R27=0,0,11630*1000*SER_hh_tes_in!R27/SER_hh_num_in!R27)</f>
        <v>0</v>
      </c>
      <c r="S28" s="146">
        <f>IF(SER_hh_tes_in!S27=0,0,11630*1000*SER_hh_tes_in!S27/SER_hh_num_in!S27)</f>
        <v>0</v>
      </c>
      <c r="T28" s="146">
        <f>IF(SER_hh_tes_in!T27=0,0,11630*1000*SER_hh_tes_in!T27/SER_hh_num_in!T27)</f>
        <v>0</v>
      </c>
      <c r="U28" s="146">
        <f>IF(SER_hh_tes_in!U27=0,0,11630*1000*SER_hh_tes_in!U27/SER_hh_num_in!U27)</f>
        <v>0</v>
      </c>
      <c r="V28" s="146">
        <f>IF(SER_hh_tes_in!V27=0,0,11630*1000*SER_hh_tes_in!V27/SER_hh_num_in!V27)</f>
        <v>0</v>
      </c>
      <c r="W28" s="146">
        <f>IF(SER_hh_tes_in!W27=0,0,11630*1000*SER_hh_tes_in!W27/SER_hh_num_in!W27)</f>
        <v>0</v>
      </c>
      <c r="X28" s="146">
        <f>IF(SER_hh_tes_in!X27=0,0,11630*1000*SER_hh_tes_in!X27/SER_hh_num_in!X27)</f>
        <v>0</v>
      </c>
      <c r="Y28" s="146">
        <f>IF(SER_hh_tes_in!Y27=0,0,11630*1000*SER_hh_tes_in!Y27/SER_hh_num_in!Y27)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IF(SER_hh_tes_in!C29=0,0,11630*1000*SER_hh_tes_in!C29/SER_hh_num_in!C29)</f>
        <v>15045.439014896725</v>
      </c>
      <c r="D29" s="130">
        <f>IF(SER_hh_tes_in!D29=0,0,11630*1000*SER_hh_tes_in!D29/SER_hh_num_in!D29)</f>
        <v>14930.171949118538</v>
      </c>
      <c r="E29" s="130">
        <f>IF(SER_hh_tes_in!E29=0,0,11630*1000*SER_hh_tes_in!E29/SER_hh_num_in!E29)</f>
        <v>15003.590575373104</v>
      </c>
      <c r="F29" s="130">
        <f>IF(SER_hh_tes_in!F29=0,0,11630*1000*SER_hh_tes_in!F29/SER_hh_num_in!F29)</f>
        <v>15147.03969522944</v>
      </c>
      <c r="G29" s="130">
        <f>IF(SER_hh_tes_in!G29=0,0,11630*1000*SER_hh_tes_in!G29/SER_hh_num_in!G29)</f>
        <v>15274.957136441522</v>
      </c>
      <c r="H29" s="130">
        <f>IF(SER_hh_tes_in!H29=0,0,11630*1000*SER_hh_tes_in!H29/SER_hh_num_in!H29)</f>
        <v>15397.519510005915</v>
      </c>
      <c r="I29" s="130">
        <f>IF(SER_hh_tes_in!I29=0,0,11630*1000*SER_hh_tes_in!I29/SER_hh_num_in!I29)</f>
        <v>15191.886184038987</v>
      </c>
      <c r="J29" s="130">
        <f>IF(SER_hh_tes_in!J29=0,0,11630*1000*SER_hh_tes_in!J29/SER_hh_num_in!J29)</f>
        <v>15143.763530575985</v>
      </c>
      <c r="K29" s="130">
        <f>IF(SER_hh_tes_in!K29=0,0,11630*1000*SER_hh_tes_in!K29/SER_hh_num_in!K29)</f>
        <v>15387.912014526642</v>
      </c>
      <c r="L29" s="130">
        <f>IF(SER_hh_tes_in!L29=0,0,11630*1000*SER_hh_tes_in!L29/SER_hh_num_in!L29)</f>
        <v>15259.926778207397</v>
      </c>
      <c r="M29" s="130">
        <f>IF(SER_hh_tes_in!M29=0,0,11630*1000*SER_hh_tes_in!M29/SER_hh_num_in!M29)</f>
        <v>15656.033211710159</v>
      </c>
      <c r="N29" s="130">
        <f>IF(SER_hh_tes_in!N29=0,0,11630*1000*SER_hh_tes_in!N29/SER_hh_num_in!N29)</f>
        <v>15586.072669106145</v>
      </c>
      <c r="O29" s="130">
        <f>IF(SER_hh_tes_in!O29=0,0,11630*1000*SER_hh_tes_in!O29/SER_hh_num_in!O29)</f>
        <v>15770.126223369118</v>
      </c>
      <c r="P29" s="130">
        <f>IF(SER_hh_tes_in!P29=0,0,11630*1000*SER_hh_tes_in!P29/SER_hh_num_in!P29)</f>
        <v>15980.450903023029</v>
      </c>
      <c r="Q29" s="130">
        <f>IF(SER_hh_tes_in!Q29=0,0,11630*1000*SER_hh_tes_in!Q29/SER_hh_num_in!Q29)</f>
        <v>16293.077117644598</v>
      </c>
      <c r="R29" s="130">
        <f>IF(SER_hh_tes_in!R29=0,0,11630*1000*SER_hh_tes_in!R29/SER_hh_num_in!R29)</f>
        <v>16709.297007803827</v>
      </c>
      <c r="S29" s="130">
        <f>IF(SER_hh_tes_in!S29=0,0,11630*1000*SER_hh_tes_in!S29/SER_hh_num_in!S29)</f>
        <v>17323.899959246315</v>
      </c>
      <c r="T29" s="130">
        <f>IF(SER_hh_tes_in!T29=0,0,11630*1000*SER_hh_tes_in!T29/SER_hh_num_in!T29)</f>
        <v>17342.799578633771</v>
      </c>
      <c r="U29" s="130">
        <f>IF(SER_hh_tes_in!U29=0,0,11630*1000*SER_hh_tes_in!U29/SER_hh_num_in!U29)</f>
        <v>18491.970539608137</v>
      </c>
      <c r="V29" s="130">
        <f>IF(SER_hh_tes_in!V29=0,0,11630*1000*SER_hh_tes_in!V29/SER_hh_num_in!V29)</f>
        <v>17269.749710388402</v>
      </c>
      <c r="W29" s="130">
        <f>IF(SER_hh_tes_in!W29=0,0,11630*1000*SER_hh_tes_in!W29/SER_hh_num_in!W29)</f>
        <v>19113.413907984796</v>
      </c>
      <c r="X29" s="130">
        <f>IF(SER_hh_tes_in!X29=0,0,11630*1000*SER_hh_tes_in!X29/SER_hh_num_in!X29)</f>
        <v>19178.836660560388</v>
      </c>
      <c r="Y29" s="130">
        <f>IF(SER_hh_tes_in!Y29=0,0,11630*1000*SER_hh_tes_in!Y29/SER_hh_num_in!Y29)</f>
        <v>19522.65410389375</v>
      </c>
      <c r="DA29" s="155" t="s">
        <v>780</v>
      </c>
    </row>
    <row r="30" spans="1:105" s="2" customFormat="1" ht="12" customHeight="1" x14ac:dyDescent="0.25">
      <c r="A30" s="131" t="s">
        <v>52</v>
      </c>
      <c r="B30" s="132"/>
      <c r="C30" s="132">
        <f>IF(SER_hh_tes_in!C30=0,0,11630*1000*SER_hh_tes_in!C30/SER_hh_num_in!C30)</f>
        <v>0</v>
      </c>
      <c r="D30" s="132">
        <f>IF(SER_hh_tes_in!D30=0,0,11630*1000*SER_hh_tes_in!D30/SER_hh_num_in!D30)</f>
        <v>0</v>
      </c>
      <c r="E30" s="132">
        <f>IF(SER_hh_tes_in!E30=0,0,11630*1000*SER_hh_tes_in!E30/SER_hh_num_in!E30)</f>
        <v>0</v>
      </c>
      <c r="F30" s="132">
        <f>IF(SER_hh_tes_in!F30=0,0,11630*1000*SER_hh_tes_in!F30/SER_hh_num_in!F30)</f>
        <v>0</v>
      </c>
      <c r="G30" s="132">
        <f>IF(SER_hh_tes_in!G30=0,0,11630*1000*SER_hh_tes_in!G30/SER_hh_num_in!G30)</f>
        <v>0</v>
      </c>
      <c r="H30" s="132">
        <f>IF(SER_hh_tes_in!H30=0,0,11630*1000*SER_hh_tes_in!H30/SER_hh_num_in!H30)</f>
        <v>0</v>
      </c>
      <c r="I30" s="132">
        <f>IF(SER_hh_tes_in!I30=0,0,11630*1000*SER_hh_tes_in!I30/SER_hh_num_in!I30)</f>
        <v>0</v>
      </c>
      <c r="J30" s="132">
        <f>IF(SER_hh_tes_in!J30=0,0,11630*1000*SER_hh_tes_in!J30/SER_hh_num_in!J30)</f>
        <v>0</v>
      </c>
      <c r="K30" s="132">
        <f>IF(SER_hh_tes_in!K30=0,0,11630*1000*SER_hh_tes_in!K30/SER_hh_num_in!K30)</f>
        <v>0</v>
      </c>
      <c r="L30" s="132">
        <f>IF(SER_hh_tes_in!L30=0,0,11630*1000*SER_hh_tes_in!L30/SER_hh_num_in!L30)</f>
        <v>0</v>
      </c>
      <c r="M30" s="132">
        <f>IF(SER_hh_tes_in!M30=0,0,11630*1000*SER_hh_tes_in!M30/SER_hh_num_in!M30)</f>
        <v>0</v>
      </c>
      <c r="N30" s="132">
        <f>IF(SER_hh_tes_in!N30=0,0,11630*1000*SER_hh_tes_in!N30/SER_hh_num_in!N30)</f>
        <v>0</v>
      </c>
      <c r="O30" s="132">
        <f>IF(SER_hh_tes_in!O30=0,0,11630*1000*SER_hh_tes_in!O30/SER_hh_num_in!O30)</f>
        <v>0</v>
      </c>
      <c r="P30" s="132">
        <f>IF(SER_hh_tes_in!P30=0,0,11630*1000*SER_hh_tes_in!P30/SER_hh_num_in!P30)</f>
        <v>0</v>
      </c>
      <c r="Q30" s="132">
        <f>IF(SER_hh_tes_in!Q30=0,0,11630*1000*SER_hh_tes_in!Q30/SER_hh_num_in!Q30)</f>
        <v>0</v>
      </c>
      <c r="R30" s="132">
        <f>IF(SER_hh_tes_in!R30=0,0,11630*1000*SER_hh_tes_in!R30/SER_hh_num_in!R30)</f>
        <v>0</v>
      </c>
      <c r="S30" s="132">
        <f>IF(SER_hh_tes_in!S30=0,0,11630*1000*SER_hh_tes_in!S30/SER_hh_num_in!S30)</f>
        <v>0</v>
      </c>
      <c r="T30" s="132">
        <f>IF(SER_hh_tes_in!T30=0,0,11630*1000*SER_hh_tes_in!T30/SER_hh_num_in!T30)</f>
        <v>0</v>
      </c>
      <c r="U30" s="132">
        <f>IF(SER_hh_tes_in!U30=0,0,11630*1000*SER_hh_tes_in!U30/SER_hh_num_in!U30)</f>
        <v>0</v>
      </c>
      <c r="V30" s="132">
        <f>IF(SER_hh_tes_in!V30=0,0,11630*1000*SER_hh_tes_in!V30/SER_hh_num_in!V30)</f>
        <v>0</v>
      </c>
      <c r="W30" s="132">
        <f>IF(SER_hh_tes_in!W30=0,0,11630*1000*SER_hh_tes_in!W30/SER_hh_num_in!W30)</f>
        <v>0</v>
      </c>
      <c r="X30" s="132">
        <f>IF(SER_hh_tes_in!X30=0,0,11630*1000*SER_hh_tes_in!X30/SER_hh_num_in!X30)</f>
        <v>0</v>
      </c>
      <c r="Y30" s="132">
        <f>IF(SER_hh_tes_in!Y30=0,0,11630*1000*SER_hh_tes_in!Y30/SER_hh_num_in!Y30)</f>
        <v>0</v>
      </c>
      <c r="DA30" s="156" t="s">
        <v>781</v>
      </c>
    </row>
    <row r="31" spans="1:105" ht="12" customHeight="1" x14ac:dyDescent="0.25">
      <c r="A31" s="131" t="s">
        <v>149</v>
      </c>
      <c r="B31" s="132"/>
      <c r="C31" s="132">
        <f>IF(SER_hh_tes_in!C31=0,0,11630*1000*SER_hh_tes_in!C31/SER_hh_num_in!C31)</f>
        <v>14998.30914934318</v>
      </c>
      <c r="D31" s="132">
        <f>IF(SER_hh_tes_in!D31=0,0,11630*1000*SER_hh_tes_in!D31/SER_hh_num_in!D31)</f>
        <v>15026.599649927655</v>
      </c>
      <c r="E31" s="132">
        <f>IF(SER_hh_tes_in!E31=0,0,11630*1000*SER_hh_tes_in!E31/SER_hh_num_in!E31)</f>
        <v>15035.993419291059</v>
      </c>
      <c r="F31" s="132">
        <f>IF(SER_hh_tes_in!F31=0,0,11630*1000*SER_hh_tes_in!F31/SER_hh_num_in!F31)</f>
        <v>15240.053611495359</v>
      </c>
      <c r="G31" s="132">
        <f>IF(SER_hh_tes_in!G31=0,0,11630*1000*SER_hh_tes_in!G31/SER_hh_num_in!G31)</f>
        <v>15327.375285756925</v>
      </c>
      <c r="H31" s="132">
        <f>IF(SER_hh_tes_in!H31=0,0,11630*1000*SER_hh_tes_in!H31/SER_hh_num_in!H31)</f>
        <v>15343.785243093416</v>
      </c>
      <c r="I31" s="132">
        <f>IF(SER_hh_tes_in!I31=0,0,11630*1000*SER_hh_tes_in!I31/SER_hh_num_in!I31)</f>
        <v>15349.247474611058</v>
      </c>
      <c r="J31" s="132">
        <f>IF(SER_hh_tes_in!J31=0,0,11630*1000*SER_hh_tes_in!J31/SER_hh_num_in!J31)</f>
        <v>15588.886951009064</v>
      </c>
      <c r="K31" s="132">
        <f>IF(SER_hh_tes_in!K31=0,0,11630*1000*SER_hh_tes_in!K31/SER_hh_num_in!K31)</f>
        <v>15356.126217656134</v>
      </c>
      <c r="L31" s="132">
        <f>IF(SER_hh_tes_in!L31=0,0,11630*1000*SER_hh_tes_in!L31/SER_hh_num_in!L31)</f>
        <v>15359.743128973711</v>
      </c>
      <c r="M31" s="132">
        <f>IF(SER_hh_tes_in!M31=0,0,11630*1000*SER_hh_tes_in!M31/SER_hh_num_in!M31)</f>
        <v>15179.844081488862</v>
      </c>
      <c r="N31" s="132">
        <f>IF(SER_hh_tes_in!N31=0,0,11630*1000*SER_hh_tes_in!N31/SER_hh_num_in!N31)</f>
        <v>15485.844042935123</v>
      </c>
      <c r="O31" s="132">
        <f>IF(SER_hh_tes_in!O31=0,0,11630*1000*SER_hh_tes_in!O31/SER_hh_num_in!O31)</f>
        <v>15999.111721475869</v>
      </c>
      <c r="P31" s="132">
        <f>IF(SER_hh_tes_in!P31=0,0,11630*1000*SER_hh_tes_in!P31/SER_hh_num_in!P31)</f>
        <v>15944.241600533307</v>
      </c>
      <c r="Q31" s="132">
        <f>IF(SER_hh_tes_in!Q31=0,0,11630*1000*SER_hh_tes_in!Q31/SER_hh_num_in!Q31)</f>
        <v>16185.005456180756</v>
      </c>
      <c r="R31" s="132">
        <f>IF(SER_hh_tes_in!R31=0,0,11630*1000*SER_hh_tes_in!R31/SER_hh_num_in!R31)</f>
        <v>16150.437121749272</v>
      </c>
      <c r="S31" s="132">
        <f>IF(SER_hh_tes_in!S31=0,0,11630*1000*SER_hh_tes_in!S31/SER_hh_num_in!S31)</f>
        <v>18629.435740673453</v>
      </c>
      <c r="T31" s="132">
        <f>IF(SER_hh_tes_in!T31=0,0,11630*1000*SER_hh_tes_in!T31/SER_hh_num_in!T31)</f>
        <v>17104.047670598509</v>
      </c>
      <c r="U31" s="132">
        <f>IF(SER_hh_tes_in!U31=0,0,11630*1000*SER_hh_tes_in!U31/SER_hh_num_in!U31)</f>
        <v>16920.226334759962</v>
      </c>
      <c r="V31" s="132">
        <f>IF(SER_hh_tes_in!V31=0,0,11630*1000*SER_hh_tes_in!V31/SER_hh_num_in!V31)</f>
        <v>16665.938974988487</v>
      </c>
      <c r="W31" s="132">
        <f>IF(SER_hh_tes_in!W31=0,0,11630*1000*SER_hh_tes_in!W31/SER_hh_num_in!W31)</f>
        <v>23834.631516172976</v>
      </c>
      <c r="X31" s="132">
        <f>IF(SER_hh_tes_in!X31=0,0,11630*1000*SER_hh_tes_in!X31/SER_hh_num_in!X31)</f>
        <v>21264.256209682266</v>
      </c>
      <c r="Y31" s="132">
        <f>IF(SER_hh_tes_in!Y31=0,0,11630*1000*SER_hh_tes_in!Y31/SER_hh_num_in!Y31)</f>
        <v>17426.849136172263</v>
      </c>
      <c r="DA31" s="156" t="s">
        <v>782</v>
      </c>
    </row>
    <row r="32" spans="1:105" ht="12" customHeight="1" x14ac:dyDescent="0.25">
      <c r="A32" s="131" t="s">
        <v>128</v>
      </c>
      <c r="B32" s="132"/>
      <c r="C32" s="132">
        <f>IF(SER_hh_tes_in!C32=0,0,11630*1000*SER_hh_tes_in!C32/SER_hh_num_in!C32)</f>
        <v>0</v>
      </c>
      <c r="D32" s="132">
        <f>IF(SER_hh_tes_in!D32=0,0,11630*1000*SER_hh_tes_in!D32/SER_hh_num_in!D32)</f>
        <v>0</v>
      </c>
      <c r="E32" s="132">
        <f>IF(SER_hh_tes_in!E32=0,0,11630*1000*SER_hh_tes_in!E32/SER_hh_num_in!E32)</f>
        <v>0</v>
      </c>
      <c r="F32" s="132">
        <f>IF(SER_hh_tes_in!F32=0,0,11630*1000*SER_hh_tes_in!F32/SER_hh_num_in!F32)</f>
        <v>0</v>
      </c>
      <c r="G32" s="132">
        <f>IF(SER_hh_tes_in!G32=0,0,11630*1000*SER_hh_tes_in!G32/SER_hh_num_in!G32)</f>
        <v>0</v>
      </c>
      <c r="H32" s="132">
        <f>IF(SER_hh_tes_in!H32=0,0,11630*1000*SER_hh_tes_in!H32/SER_hh_num_in!H32)</f>
        <v>0</v>
      </c>
      <c r="I32" s="132">
        <f>IF(SER_hh_tes_in!I32=0,0,11630*1000*SER_hh_tes_in!I32/SER_hh_num_in!I32)</f>
        <v>0</v>
      </c>
      <c r="J32" s="132">
        <f>IF(SER_hh_tes_in!J32=0,0,11630*1000*SER_hh_tes_in!J32/SER_hh_num_in!J32)</f>
        <v>0</v>
      </c>
      <c r="K32" s="132">
        <f>IF(SER_hh_tes_in!K32=0,0,11630*1000*SER_hh_tes_in!K32/SER_hh_num_in!K32)</f>
        <v>0</v>
      </c>
      <c r="L32" s="132">
        <f>IF(SER_hh_tes_in!L32=0,0,11630*1000*SER_hh_tes_in!L32/SER_hh_num_in!L32)</f>
        <v>0</v>
      </c>
      <c r="M32" s="132">
        <f>IF(SER_hh_tes_in!M32=0,0,11630*1000*SER_hh_tes_in!M32/SER_hh_num_in!M32)</f>
        <v>0</v>
      </c>
      <c r="N32" s="132">
        <f>IF(SER_hh_tes_in!N32=0,0,11630*1000*SER_hh_tes_in!N32/SER_hh_num_in!N32)</f>
        <v>0</v>
      </c>
      <c r="O32" s="132">
        <f>IF(SER_hh_tes_in!O32=0,0,11630*1000*SER_hh_tes_in!O32/SER_hh_num_in!O32)</f>
        <v>0</v>
      </c>
      <c r="P32" s="132">
        <f>IF(SER_hh_tes_in!P32=0,0,11630*1000*SER_hh_tes_in!P32/SER_hh_num_in!P32)</f>
        <v>0</v>
      </c>
      <c r="Q32" s="132">
        <f>IF(SER_hh_tes_in!Q32=0,0,11630*1000*SER_hh_tes_in!Q32/SER_hh_num_in!Q32)</f>
        <v>0</v>
      </c>
      <c r="R32" s="132">
        <f>IF(SER_hh_tes_in!R32=0,0,11630*1000*SER_hh_tes_in!R32/SER_hh_num_in!R32)</f>
        <v>0</v>
      </c>
      <c r="S32" s="132">
        <f>IF(SER_hh_tes_in!S32=0,0,11630*1000*SER_hh_tes_in!S32/SER_hh_num_in!S32)</f>
        <v>0</v>
      </c>
      <c r="T32" s="132">
        <f>IF(SER_hh_tes_in!T32=0,0,11630*1000*SER_hh_tes_in!T32/SER_hh_num_in!T32)</f>
        <v>0</v>
      </c>
      <c r="U32" s="132">
        <f>IF(SER_hh_tes_in!U32=0,0,11630*1000*SER_hh_tes_in!U32/SER_hh_num_in!U32)</f>
        <v>0</v>
      </c>
      <c r="V32" s="132">
        <f>IF(SER_hh_tes_in!V32=0,0,11630*1000*SER_hh_tes_in!V32/SER_hh_num_in!V32)</f>
        <v>0</v>
      </c>
      <c r="W32" s="132">
        <f>IF(SER_hh_tes_in!W32=0,0,11630*1000*SER_hh_tes_in!W32/SER_hh_num_in!W32)</f>
        <v>0</v>
      </c>
      <c r="X32" s="132">
        <f>IF(SER_hh_tes_in!X32=0,0,11630*1000*SER_hh_tes_in!X32/SER_hh_num_in!X32)</f>
        <v>0</v>
      </c>
      <c r="Y32" s="132">
        <f>IF(SER_hh_tes_in!Y32=0,0,11630*1000*SER_hh_tes_in!Y32/SER_hh_num_in!Y32)</f>
        <v>0</v>
      </c>
      <c r="DA32" s="156" t="s">
        <v>783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15046.443670312563</v>
      </c>
      <c r="D33" s="68">
        <f>IF(SER_hh_tes_in!D33=0,0,11630*1000*SER_hh_tes_in!D33/SER_hh_num_in!D33)</f>
        <v>14927.977530163709</v>
      </c>
      <c r="E33" s="68">
        <f>IF(SER_hh_tes_in!E33=0,0,11630*1000*SER_hh_tes_in!E33/SER_hh_num_in!E33)</f>
        <v>15002.880249776543</v>
      </c>
      <c r="F33" s="68">
        <f>IF(SER_hh_tes_in!F33=0,0,11630*1000*SER_hh_tes_in!F33/SER_hh_num_in!F33)</f>
        <v>15145.20802690796</v>
      </c>
      <c r="G33" s="68">
        <f>IF(SER_hh_tes_in!G33=0,0,11630*1000*SER_hh_tes_in!G33/SER_hh_num_in!G33)</f>
        <v>15273.970606985651</v>
      </c>
      <c r="H33" s="68">
        <f>IF(SER_hh_tes_in!H33=0,0,11630*1000*SER_hh_tes_in!H33/SER_hh_num_in!H33)</f>
        <v>15398.454679619164</v>
      </c>
      <c r="I33" s="68">
        <f>IF(SER_hh_tes_in!I33=0,0,11630*1000*SER_hh_tes_in!I33/SER_hh_num_in!I33)</f>
        <v>15189.303072082628</v>
      </c>
      <c r="J33" s="68">
        <f>IF(SER_hh_tes_in!J33=0,0,11630*1000*SER_hh_tes_in!J33/SER_hh_num_in!J33)</f>
        <v>15136.9841834993</v>
      </c>
      <c r="K33" s="68">
        <f>IF(SER_hh_tes_in!K33=0,0,11630*1000*SER_hh_tes_in!K33/SER_hh_num_in!K33)</f>
        <v>15388.289361436255</v>
      </c>
      <c r="L33" s="68">
        <f>IF(SER_hh_tes_in!L33=0,0,11630*1000*SER_hh_tes_in!L33/SER_hh_num_in!L33)</f>
        <v>15259.006141698736</v>
      </c>
      <c r="M33" s="68">
        <f>IF(SER_hh_tes_in!M33=0,0,11630*1000*SER_hh_tes_in!M33/SER_hh_num_in!M33)</f>
        <v>15657.233468704011</v>
      </c>
      <c r="N33" s="68">
        <f>IF(SER_hh_tes_in!N33=0,0,11630*1000*SER_hh_tes_in!N33/SER_hh_num_in!N33)</f>
        <v>15587.21017096476</v>
      </c>
      <c r="O33" s="68">
        <f>IF(SER_hh_tes_in!O33=0,0,11630*1000*SER_hh_tes_in!O33/SER_hh_num_in!O33)</f>
        <v>15766.869121196592</v>
      </c>
      <c r="P33" s="68">
        <f>IF(SER_hh_tes_in!P33=0,0,11630*1000*SER_hh_tes_in!P33/SER_hh_num_in!P33)</f>
        <v>15980.918270919747</v>
      </c>
      <c r="Q33" s="68">
        <f>IF(SER_hh_tes_in!Q33=0,0,11630*1000*SER_hh_tes_in!Q33/SER_hh_num_in!Q33)</f>
        <v>16294.467492987436</v>
      </c>
      <c r="R33" s="68">
        <f>IF(SER_hh_tes_in!R33=0,0,11630*1000*SER_hh_tes_in!R33/SER_hh_num_in!R33)</f>
        <v>16715.408360390848</v>
      </c>
      <c r="S33" s="68">
        <f>IF(SER_hh_tes_in!S33=0,0,11630*1000*SER_hh_tes_in!S33/SER_hh_num_in!S33)</f>
        <v>17309.194514884395</v>
      </c>
      <c r="T33" s="68">
        <f>IF(SER_hh_tes_in!T33=0,0,11630*1000*SER_hh_tes_in!T33/SER_hh_num_in!T33)</f>
        <v>17344.202241703744</v>
      </c>
      <c r="U33" s="68">
        <f>IF(SER_hh_tes_in!U33=0,0,11630*1000*SER_hh_tes_in!U33/SER_hh_num_in!U33)</f>
        <v>18504.465175082685</v>
      </c>
      <c r="V33" s="68">
        <f>IF(SER_hh_tes_in!V33=0,0,11630*1000*SER_hh_tes_in!V33/SER_hh_num_in!V33)</f>
        <v>17276.09272067884</v>
      </c>
      <c r="W33" s="68">
        <f>IF(SER_hh_tes_in!W33=0,0,11630*1000*SER_hh_tes_in!W33/SER_hh_num_in!W33)</f>
        <v>19099.749287855797</v>
      </c>
      <c r="X33" s="68">
        <f>IF(SER_hh_tes_in!X33=0,0,11630*1000*SER_hh_tes_in!X33/SER_hh_num_in!X33)</f>
        <v>19173.387946242761</v>
      </c>
      <c r="Y33" s="68">
        <f>IF(SER_hh_tes_in!Y33=0,0,11630*1000*SER_hh_tes_in!Y33/SER_hh_num_in!Y33)</f>
        <v>19526.727438082045</v>
      </c>
      <c r="DA33" s="111" t="s">
        <v>784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89</v>
      </c>
      <c r="B3" s="125"/>
      <c r="C3" s="125">
        <f>IF(SER_hh_emi_in!C3=0,0,1000000*SER_hh_emi_in!C3/SER_hh_num_in!C3)</f>
        <v>5321.8099777953266</v>
      </c>
      <c r="D3" s="125">
        <f>IF(SER_hh_emi_in!D3=0,0,1000000*SER_hh_emi_in!D3/SER_hh_num_in!D3)</f>
        <v>6248.1534935634363</v>
      </c>
      <c r="E3" s="125">
        <f>IF(SER_hh_emi_in!E3=0,0,1000000*SER_hh_emi_in!E3/SER_hh_num_in!E3)</f>
        <v>7312.9549309803142</v>
      </c>
      <c r="F3" s="125">
        <f>IF(SER_hh_emi_in!F3=0,0,1000000*SER_hh_emi_in!F3/SER_hh_num_in!F3)</f>
        <v>7297.5648718558432</v>
      </c>
      <c r="G3" s="125">
        <f>IF(SER_hh_emi_in!G3=0,0,1000000*SER_hh_emi_in!G3/SER_hh_num_in!G3)</f>
        <v>6210.5073759742045</v>
      </c>
      <c r="H3" s="125">
        <f>IF(SER_hh_emi_in!H3=0,0,1000000*SER_hh_emi_in!H3/SER_hh_num_in!H3)</f>
        <v>4205.8301577408201</v>
      </c>
      <c r="I3" s="125">
        <f>IF(SER_hh_emi_in!I3=0,0,1000000*SER_hh_emi_in!I3/SER_hh_num_in!I3)</f>
        <v>2109.8613100060438</v>
      </c>
      <c r="J3" s="125">
        <f>IF(SER_hh_emi_in!J3=0,0,1000000*SER_hh_emi_in!J3/SER_hh_num_in!J3)</f>
        <v>2741.0482860410689</v>
      </c>
      <c r="K3" s="125">
        <f>IF(SER_hh_emi_in!K3=0,0,1000000*SER_hh_emi_in!K3/SER_hh_num_in!K3)</f>
        <v>7369.7981954566703</v>
      </c>
      <c r="L3" s="125">
        <f>IF(SER_hh_emi_in!L3=0,0,1000000*SER_hh_emi_in!L3/SER_hh_num_in!L3)</f>
        <v>12072.308741506864</v>
      </c>
      <c r="M3" s="125">
        <f>IF(SER_hh_emi_in!M3=0,0,1000000*SER_hh_emi_in!M3/SER_hh_num_in!M3)</f>
        <v>9335.3942572495071</v>
      </c>
      <c r="N3" s="125">
        <f>IF(SER_hh_emi_in!N3=0,0,1000000*SER_hh_emi_in!N3/SER_hh_num_in!N3)</f>
        <v>8916.1741307305383</v>
      </c>
      <c r="O3" s="125">
        <f>IF(SER_hh_emi_in!O3=0,0,1000000*SER_hh_emi_in!O3/SER_hh_num_in!O3)</f>
        <v>6328.4649545983411</v>
      </c>
      <c r="P3" s="125">
        <f>IF(SER_hh_emi_in!P3=0,0,1000000*SER_hh_emi_in!P3/SER_hh_num_in!P3)</f>
        <v>3563.4760189623335</v>
      </c>
      <c r="Q3" s="125">
        <f>IF(SER_hh_emi_in!Q3=0,0,1000000*SER_hh_emi_in!Q3/SER_hh_num_in!Q3)</f>
        <v>3789.1318179375685</v>
      </c>
      <c r="R3" s="125">
        <f>IF(SER_hh_emi_in!R3=0,0,1000000*SER_hh_emi_in!R3/SER_hh_num_in!R3)</f>
        <v>4392.7022094951271</v>
      </c>
      <c r="S3" s="125">
        <f>IF(SER_hh_emi_in!S3=0,0,1000000*SER_hh_emi_in!S3/SER_hh_num_in!S3)</f>
        <v>3698.2495047444745</v>
      </c>
      <c r="T3" s="125">
        <f>IF(SER_hh_emi_in!T3=0,0,1000000*SER_hh_emi_in!T3/SER_hh_num_in!T3)</f>
        <v>3220.8251422139228</v>
      </c>
      <c r="U3" s="125">
        <f>IF(SER_hh_emi_in!U3=0,0,1000000*SER_hh_emi_in!U3/SER_hh_num_in!U3)</f>
        <v>3654.6176971077989</v>
      </c>
      <c r="V3" s="125">
        <f>IF(SER_hh_emi_in!V3=0,0,1000000*SER_hh_emi_in!V3/SER_hh_num_in!V3)</f>
        <v>2992.5939567222372</v>
      </c>
      <c r="W3" s="125">
        <f>IF(SER_hh_emi_in!W3=0,0,1000000*SER_hh_emi_in!W3/SER_hh_num_in!W3)</f>
        <v>2995.0675459878898</v>
      </c>
      <c r="X3" s="125">
        <f>IF(SER_hh_emi_in!X3=0,0,1000000*SER_hh_emi_in!X3/SER_hh_num_in!X3)</f>
        <v>2342.2074284231617</v>
      </c>
      <c r="Y3" s="125">
        <f>IF(SER_hh_emi_in!Y3=0,0,1000000*SER_hh_emi_in!Y3/SER_hh_num_in!Y3)</f>
        <v>2199.7023337723213</v>
      </c>
      <c r="DA3" s="154" t="s">
        <v>786</v>
      </c>
    </row>
    <row r="4" spans="1:105" ht="12.95" customHeight="1" x14ac:dyDescent="0.25">
      <c r="A4" s="129" t="s">
        <v>32</v>
      </c>
      <c r="B4" s="130"/>
      <c r="C4" s="130">
        <f>IF(SER_hh_emi_in!C4=0,0,1000000*SER_hh_emi_in!C4/SER_hh_num_in!C4)</f>
        <v>4494.7751851881249</v>
      </c>
      <c r="D4" s="130">
        <f>IF(SER_hh_emi_in!D4=0,0,1000000*SER_hh_emi_in!D4/SER_hh_num_in!D4)</f>
        <v>5323.6960210151256</v>
      </c>
      <c r="E4" s="130">
        <f>IF(SER_hh_emi_in!E4=0,0,1000000*SER_hh_emi_in!E4/SER_hh_num_in!E4)</f>
        <v>6467.2268660698492</v>
      </c>
      <c r="F4" s="130">
        <f>IF(SER_hh_emi_in!F4=0,0,1000000*SER_hh_emi_in!F4/SER_hh_num_in!F4)</f>
        <v>6555.5997111848847</v>
      </c>
      <c r="G4" s="130">
        <f>IF(SER_hh_emi_in!G4=0,0,1000000*SER_hh_emi_in!G4/SER_hh_num_in!G4)</f>
        <v>5512.1945693876623</v>
      </c>
      <c r="H4" s="130">
        <f>IF(SER_hh_emi_in!H4=0,0,1000000*SER_hh_emi_in!H4/SER_hh_num_in!H4)</f>
        <v>3502.3187239910599</v>
      </c>
      <c r="I4" s="130">
        <f>IF(SER_hh_emi_in!I4=0,0,1000000*SER_hh_emi_in!I4/SER_hh_num_in!I4)</f>
        <v>1439.3252760866228</v>
      </c>
      <c r="J4" s="130">
        <f>IF(SER_hh_emi_in!J4=0,0,1000000*SER_hh_emi_in!J4/SER_hh_num_in!J4)</f>
        <v>1989.4968592391051</v>
      </c>
      <c r="K4" s="130">
        <f>IF(SER_hh_emi_in!K4=0,0,1000000*SER_hh_emi_in!K4/SER_hh_num_in!K4)</f>
        <v>6603.9254635016068</v>
      </c>
      <c r="L4" s="130">
        <f>IF(SER_hh_emi_in!L4=0,0,1000000*SER_hh_emi_in!L4/SER_hh_num_in!L4)</f>
        <v>11223.419812136211</v>
      </c>
      <c r="M4" s="130">
        <f>IF(SER_hh_emi_in!M4=0,0,1000000*SER_hh_emi_in!M4/SER_hh_num_in!M4)</f>
        <v>8638.8065887118264</v>
      </c>
      <c r="N4" s="130">
        <f>IF(SER_hh_emi_in!N4=0,0,1000000*SER_hh_emi_in!N4/SER_hh_num_in!N4)</f>
        <v>8337.6701766381357</v>
      </c>
      <c r="O4" s="130">
        <f>IF(SER_hh_emi_in!O4=0,0,1000000*SER_hh_emi_in!O4/SER_hh_num_in!O4)</f>
        <v>5824.7943398456027</v>
      </c>
      <c r="P4" s="130">
        <f>IF(SER_hh_emi_in!P4=0,0,1000000*SER_hh_emi_in!P4/SER_hh_num_in!P4)</f>
        <v>3301.2011510529569</v>
      </c>
      <c r="Q4" s="130">
        <f>IF(SER_hh_emi_in!Q4=0,0,1000000*SER_hh_emi_in!Q4/SER_hh_num_in!Q4)</f>
        <v>3460.5709617222637</v>
      </c>
      <c r="R4" s="130">
        <f>IF(SER_hh_emi_in!R4=0,0,1000000*SER_hh_emi_in!R4/SER_hh_num_in!R4)</f>
        <v>4102.3802507334076</v>
      </c>
      <c r="S4" s="130">
        <f>IF(SER_hh_emi_in!S4=0,0,1000000*SER_hh_emi_in!S4/SER_hh_num_in!S4)</f>
        <v>3582.2176143889151</v>
      </c>
      <c r="T4" s="130">
        <f>IF(SER_hh_emi_in!T4=0,0,1000000*SER_hh_emi_in!T4/SER_hh_num_in!T4)</f>
        <v>3144.0964700987056</v>
      </c>
      <c r="U4" s="130">
        <f>IF(SER_hh_emi_in!U4=0,0,1000000*SER_hh_emi_in!U4/SER_hh_num_in!U4)</f>
        <v>3440.2996689226802</v>
      </c>
      <c r="V4" s="130">
        <f>IF(SER_hh_emi_in!V4=0,0,1000000*SER_hh_emi_in!V4/SER_hh_num_in!V4)</f>
        <v>2682.8887350573705</v>
      </c>
      <c r="W4" s="130">
        <f>IF(SER_hh_emi_in!W4=0,0,1000000*SER_hh_emi_in!W4/SER_hh_num_in!W4)</f>
        <v>2637.0949345487616</v>
      </c>
      <c r="X4" s="130">
        <f>IF(SER_hh_emi_in!X4=0,0,1000000*SER_hh_emi_in!X4/SER_hh_num_in!X4)</f>
        <v>2074.781447090138</v>
      </c>
      <c r="Y4" s="130">
        <f>IF(SER_hh_emi_in!Y4=0,0,1000000*SER_hh_emi_in!Y4/SER_hh_num_in!Y4)</f>
        <v>2057.5810001112422</v>
      </c>
      <c r="DA4" s="155" t="s">
        <v>787</v>
      </c>
    </row>
    <row r="5" spans="1:105" ht="12" customHeight="1" x14ac:dyDescent="0.25">
      <c r="A5" s="131" t="s">
        <v>29</v>
      </c>
      <c r="B5" s="132"/>
      <c r="C5" s="132">
        <f>IF(SER_hh_emi_in!C5=0,0,1000000*SER_hh_emi_in!C5/SER_hh_num_in!C5)</f>
        <v>76869.943600070997</v>
      </c>
      <c r="D5" s="132">
        <f>IF(SER_hh_emi_in!D5=0,0,1000000*SER_hh_emi_in!D5/SER_hh_num_in!D5)</f>
        <v>77125.248432353474</v>
      </c>
      <c r="E5" s="132">
        <f>IF(SER_hh_emi_in!E5=0,0,1000000*SER_hh_emi_in!E5/SER_hh_num_in!E5)</f>
        <v>77309.893230673653</v>
      </c>
      <c r="F5" s="132">
        <f>IF(SER_hh_emi_in!F5=0,0,1000000*SER_hh_emi_in!F5/SER_hh_num_in!F5)</f>
        <v>72912.652797492439</v>
      </c>
      <c r="G5" s="132">
        <f>IF(SER_hh_emi_in!G5=0,0,1000000*SER_hh_emi_in!G5/SER_hh_num_in!G5)</f>
        <v>70591.317407177208</v>
      </c>
      <c r="H5" s="132">
        <f>IF(SER_hh_emi_in!H5=0,0,1000000*SER_hh_emi_in!H5/SER_hh_num_in!H5)</f>
        <v>73052.469909705134</v>
      </c>
      <c r="I5" s="132">
        <f>IF(SER_hh_emi_in!I5=0,0,1000000*SER_hh_emi_in!I5/SER_hh_num_in!I5)</f>
        <v>60230.334379046741</v>
      </c>
      <c r="J5" s="132">
        <f>IF(SER_hh_emi_in!J5=0,0,1000000*SER_hh_emi_in!J5/SER_hh_num_in!J5)</f>
        <v>71115.374428288502</v>
      </c>
      <c r="K5" s="132">
        <f>IF(SER_hh_emi_in!K5=0,0,1000000*SER_hh_emi_in!K5/SER_hh_num_in!K5)</f>
        <v>75936.864308388976</v>
      </c>
      <c r="L5" s="132">
        <f>IF(SER_hh_emi_in!L5=0,0,1000000*SER_hh_emi_in!L5/SER_hh_num_in!L5)</f>
        <v>80064.998182645562</v>
      </c>
      <c r="M5" s="132">
        <f>IF(SER_hh_emi_in!M5=0,0,1000000*SER_hh_emi_in!M5/SER_hh_num_in!M5)</f>
        <v>63480.560271811824</v>
      </c>
      <c r="N5" s="132">
        <f>IF(SER_hh_emi_in!N5=0,0,1000000*SER_hh_emi_in!N5/SER_hh_num_in!N5)</f>
        <v>71235.070356606811</v>
      </c>
      <c r="O5" s="132">
        <f>IF(SER_hh_emi_in!O5=0,0,1000000*SER_hh_emi_in!O5/SER_hh_num_in!O5)</f>
        <v>62636.381119458034</v>
      </c>
      <c r="P5" s="132">
        <f>IF(SER_hh_emi_in!P5=0,0,1000000*SER_hh_emi_in!P5/SER_hh_num_in!P5)</f>
        <v>61328.812912842674</v>
      </c>
      <c r="Q5" s="132">
        <f>IF(SER_hh_emi_in!Q5=0,0,1000000*SER_hh_emi_in!Q5/SER_hh_num_in!Q5)</f>
        <v>52553.318820717606</v>
      </c>
      <c r="R5" s="132">
        <f>IF(SER_hh_emi_in!R5=0,0,1000000*SER_hh_emi_in!R5/SER_hh_num_in!R5)</f>
        <v>54004.387003970493</v>
      </c>
      <c r="S5" s="132">
        <f>IF(SER_hh_emi_in!S5=0,0,1000000*SER_hh_emi_in!S5/SER_hh_num_in!S5)</f>
        <v>49504.851190335168</v>
      </c>
      <c r="T5" s="132">
        <f>IF(SER_hh_emi_in!T5=0,0,1000000*SER_hh_emi_in!T5/SER_hh_num_in!T5)</f>
        <v>46155.307506311387</v>
      </c>
      <c r="U5" s="132">
        <f>IF(SER_hh_emi_in!U5=0,0,1000000*SER_hh_emi_in!U5/SER_hh_num_in!U5)</f>
        <v>43042.708875162658</v>
      </c>
      <c r="V5" s="132">
        <f>IF(SER_hh_emi_in!V5=0,0,1000000*SER_hh_emi_in!V5/SER_hh_num_in!V5)</f>
        <v>35104.204410382241</v>
      </c>
      <c r="W5" s="132">
        <f>IF(SER_hh_emi_in!W5=0,0,1000000*SER_hh_emi_in!W5/SER_hh_num_in!W5)</f>
        <v>30516.326959860187</v>
      </c>
      <c r="X5" s="132">
        <f>IF(SER_hh_emi_in!X5=0,0,1000000*SER_hh_emi_in!X5/SER_hh_num_in!X5)</f>
        <v>26022.297196020743</v>
      </c>
      <c r="Y5" s="132">
        <f>IF(SER_hh_emi_in!Y5=0,0,1000000*SER_hh_emi_in!Y5/SER_hh_num_in!Y5)</f>
        <v>25488.375832744918</v>
      </c>
      <c r="DA5" s="156" t="s">
        <v>788</v>
      </c>
    </row>
    <row r="6" spans="1:105" ht="12" customHeight="1" x14ac:dyDescent="0.25">
      <c r="A6" s="131" t="s">
        <v>52</v>
      </c>
      <c r="B6" s="132"/>
      <c r="C6" s="132">
        <f>IF(SER_hh_emi_in!C6=0,0,1000000*SER_hh_emi_in!C6/SER_hh_num_in!C6)</f>
        <v>0</v>
      </c>
      <c r="D6" s="132">
        <f>IF(SER_hh_emi_in!D6=0,0,1000000*SER_hh_emi_in!D6/SER_hh_num_in!D6)</f>
        <v>0</v>
      </c>
      <c r="E6" s="132">
        <f>IF(SER_hh_emi_in!E6=0,0,1000000*SER_hh_emi_in!E6/SER_hh_num_in!E6)</f>
        <v>0</v>
      </c>
      <c r="F6" s="132">
        <f>IF(SER_hh_emi_in!F6=0,0,1000000*SER_hh_emi_in!F6/SER_hh_num_in!F6)</f>
        <v>0</v>
      </c>
      <c r="G6" s="132">
        <f>IF(SER_hh_emi_in!G6=0,0,1000000*SER_hh_emi_in!G6/SER_hh_num_in!G6)</f>
        <v>0</v>
      </c>
      <c r="H6" s="132">
        <f>IF(SER_hh_emi_in!H6=0,0,1000000*SER_hh_emi_in!H6/SER_hh_num_in!H6)</f>
        <v>0</v>
      </c>
      <c r="I6" s="132">
        <f>IF(SER_hh_emi_in!I6=0,0,1000000*SER_hh_emi_in!I6/SER_hh_num_in!I6)</f>
        <v>0</v>
      </c>
      <c r="J6" s="132">
        <f>IF(SER_hh_emi_in!J6=0,0,1000000*SER_hh_emi_in!J6/SER_hh_num_in!J6)</f>
        <v>0</v>
      </c>
      <c r="K6" s="132">
        <f>IF(SER_hh_emi_in!K6=0,0,1000000*SER_hh_emi_in!K6/SER_hh_num_in!K6)</f>
        <v>0</v>
      </c>
      <c r="L6" s="132">
        <f>IF(SER_hh_emi_in!L6=0,0,1000000*SER_hh_emi_in!L6/SER_hh_num_in!L6)</f>
        <v>0</v>
      </c>
      <c r="M6" s="132">
        <f>IF(SER_hh_emi_in!M6=0,0,1000000*SER_hh_emi_in!M6/SER_hh_num_in!M6)</f>
        <v>0</v>
      </c>
      <c r="N6" s="132">
        <f>IF(SER_hh_emi_in!N6=0,0,1000000*SER_hh_emi_in!N6/SER_hh_num_in!N6)</f>
        <v>0</v>
      </c>
      <c r="O6" s="132">
        <f>IF(SER_hh_emi_in!O6=0,0,1000000*SER_hh_emi_in!O6/SER_hh_num_in!O6)</f>
        <v>0</v>
      </c>
      <c r="P6" s="132">
        <f>IF(SER_hh_emi_in!P6=0,0,1000000*SER_hh_emi_in!P6/SER_hh_num_in!P6)</f>
        <v>0</v>
      </c>
      <c r="Q6" s="132">
        <f>IF(SER_hh_emi_in!Q6=0,0,1000000*SER_hh_emi_in!Q6/SER_hh_num_in!Q6)</f>
        <v>0</v>
      </c>
      <c r="R6" s="132">
        <f>IF(SER_hh_emi_in!R6=0,0,1000000*SER_hh_emi_in!R6/SER_hh_num_in!R6)</f>
        <v>0</v>
      </c>
      <c r="S6" s="132">
        <f>IF(SER_hh_emi_in!S6=0,0,1000000*SER_hh_emi_in!S6/SER_hh_num_in!S6)</f>
        <v>0</v>
      </c>
      <c r="T6" s="132">
        <f>IF(SER_hh_emi_in!T6=0,0,1000000*SER_hh_emi_in!T6/SER_hh_num_in!T6)</f>
        <v>0</v>
      </c>
      <c r="U6" s="132">
        <f>IF(SER_hh_emi_in!U6=0,0,1000000*SER_hh_emi_in!U6/SER_hh_num_in!U6)</f>
        <v>0</v>
      </c>
      <c r="V6" s="132">
        <f>IF(SER_hh_emi_in!V6=0,0,1000000*SER_hh_emi_in!V6/SER_hh_num_in!V6)</f>
        <v>0</v>
      </c>
      <c r="W6" s="132">
        <f>IF(SER_hh_emi_in!W6=0,0,1000000*SER_hh_emi_in!W6/SER_hh_num_in!W6)</f>
        <v>0</v>
      </c>
      <c r="X6" s="132">
        <f>IF(SER_hh_emi_in!X6=0,0,1000000*SER_hh_emi_in!X6/SER_hh_num_in!X6)</f>
        <v>0</v>
      </c>
      <c r="Y6" s="132">
        <f>IF(SER_hh_emi_in!Y6=0,0,1000000*SER_hh_emi_in!Y6/SER_hh_num_in!Y6)</f>
        <v>0</v>
      </c>
      <c r="DA6" s="156" t="s">
        <v>789</v>
      </c>
    </row>
    <row r="7" spans="1:105" ht="12" customHeight="1" x14ac:dyDescent="0.25">
      <c r="A7" s="131" t="s">
        <v>161</v>
      </c>
      <c r="B7" s="132"/>
      <c r="C7" s="132">
        <f>IF(SER_hh_emi_in!C7=0,0,1000000*SER_hh_emi_in!C7/SER_hh_num_in!C7)</f>
        <v>65136.757406428682</v>
      </c>
      <c r="D7" s="132">
        <f>IF(SER_hh_emi_in!D7=0,0,1000000*SER_hh_emi_in!D7/SER_hh_num_in!D7)</f>
        <v>64916.885885452102</v>
      </c>
      <c r="E7" s="132">
        <f>IF(SER_hh_emi_in!E7=0,0,1000000*SER_hh_emi_in!E7/SER_hh_num_in!E7)</f>
        <v>64294.378957402114</v>
      </c>
      <c r="F7" s="132">
        <f>IF(SER_hh_emi_in!F7=0,0,1000000*SER_hh_emi_in!F7/SER_hh_num_in!F7)</f>
        <v>62189.238294922521</v>
      </c>
      <c r="G7" s="132">
        <f>IF(SER_hh_emi_in!G7=0,0,1000000*SER_hh_emi_in!G7/SER_hh_num_in!G7)</f>
        <v>59332.640904397413</v>
      </c>
      <c r="H7" s="132">
        <f>IF(SER_hh_emi_in!H7=0,0,1000000*SER_hh_emi_in!H7/SER_hh_num_in!H7)</f>
        <v>60371.373506094846</v>
      </c>
      <c r="I7" s="132">
        <f>IF(SER_hh_emi_in!I7=0,0,1000000*SER_hh_emi_in!I7/SER_hh_num_in!I7)</f>
        <v>60833.890524688053</v>
      </c>
      <c r="J7" s="132">
        <f>IF(SER_hh_emi_in!J7=0,0,1000000*SER_hh_emi_in!J7/SER_hh_num_in!J7)</f>
        <v>51990.445968795379</v>
      </c>
      <c r="K7" s="132">
        <f>IF(SER_hh_emi_in!K7=0,0,1000000*SER_hh_emi_in!K7/SER_hh_num_in!K7)</f>
        <v>57476.21941022142</v>
      </c>
      <c r="L7" s="132">
        <f>IF(SER_hh_emi_in!L7=0,0,1000000*SER_hh_emi_in!L7/SER_hh_num_in!L7)</f>
        <v>64769.545829209419</v>
      </c>
      <c r="M7" s="132">
        <f>IF(SER_hh_emi_in!M7=0,0,1000000*SER_hh_emi_in!M7/SER_hh_num_in!M7)</f>
        <v>51184.545683699951</v>
      </c>
      <c r="N7" s="132">
        <f>IF(SER_hh_emi_in!N7=0,0,1000000*SER_hh_emi_in!N7/SER_hh_num_in!N7)</f>
        <v>53684.220759968041</v>
      </c>
      <c r="O7" s="132">
        <f>IF(SER_hh_emi_in!O7=0,0,1000000*SER_hh_emi_in!O7/SER_hh_num_in!O7)</f>
        <v>45437.271899744956</v>
      </c>
      <c r="P7" s="132">
        <f>IF(SER_hh_emi_in!P7=0,0,1000000*SER_hh_emi_in!P7/SER_hh_num_in!P7)</f>
        <v>41473.248695932401</v>
      </c>
      <c r="Q7" s="132">
        <f>IF(SER_hh_emi_in!Q7=0,0,1000000*SER_hh_emi_in!Q7/SER_hh_num_in!Q7)</f>
        <v>34703.85826907384</v>
      </c>
      <c r="R7" s="132">
        <f>IF(SER_hh_emi_in!R7=0,0,1000000*SER_hh_emi_in!R7/SER_hh_num_in!R7)</f>
        <v>35788.64603740591</v>
      </c>
      <c r="S7" s="132">
        <f>IF(SER_hh_emi_in!S7=0,0,1000000*SER_hh_emi_in!S7/SER_hh_num_in!S7)</f>
        <v>33244.800848414998</v>
      </c>
      <c r="T7" s="132">
        <f>IF(SER_hh_emi_in!T7=0,0,1000000*SER_hh_emi_in!T7/SER_hh_num_in!T7)</f>
        <v>31167.874234620918</v>
      </c>
      <c r="U7" s="132">
        <f>IF(SER_hh_emi_in!U7=0,0,1000000*SER_hh_emi_in!U7/SER_hh_num_in!U7)</f>
        <v>28406.60976769503</v>
      </c>
      <c r="V7" s="132">
        <f>IF(SER_hh_emi_in!V7=0,0,1000000*SER_hh_emi_in!V7/SER_hh_num_in!V7)</f>
        <v>23290.907666238883</v>
      </c>
      <c r="W7" s="132">
        <f>IF(SER_hh_emi_in!W7=0,0,1000000*SER_hh_emi_in!W7/SER_hh_num_in!W7)</f>
        <v>21351.348598064018</v>
      </c>
      <c r="X7" s="132">
        <f>IF(SER_hh_emi_in!X7=0,0,1000000*SER_hh_emi_in!X7/SER_hh_num_in!X7)</f>
        <v>17435.647573282811</v>
      </c>
      <c r="Y7" s="132">
        <f>IF(SER_hh_emi_in!Y7=0,0,1000000*SER_hh_emi_in!Y7/SER_hh_num_in!Y7)</f>
        <v>17534.941648290285</v>
      </c>
      <c r="DA7" s="156" t="s">
        <v>790</v>
      </c>
    </row>
    <row r="8" spans="1:105" ht="12" customHeight="1" x14ac:dyDescent="0.25">
      <c r="A8" s="131" t="s">
        <v>73</v>
      </c>
      <c r="B8" s="132"/>
      <c r="C8" s="132">
        <f>IF(SER_hh_emi_in!C8=0,0,1000000*SER_hh_emi_in!C8/SER_hh_num_in!C8)</f>
        <v>0</v>
      </c>
      <c r="D8" s="132">
        <f>IF(SER_hh_emi_in!D8=0,0,1000000*SER_hh_emi_in!D8/SER_hh_num_in!D8)</f>
        <v>0</v>
      </c>
      <c r="E8" s="132">
        <f>IF(SER_hh_emi_in!E8=0,0,1000000*SER_hh_emi_in!E8/SER_hh_num_in!E8)</f>
        <v>0</v>
      </c>
      <c r="F8" s="132">
        <f>IF(SER_hh_emi_in!F8=0,0,1000000*SER_hh_emi_in!F8/SER_hh_num_in!F8)</f>
        <v>0</v>
      </c>
      <c r="G8" s="132">
        <f>IF(SER_hh_emi_in!G8=0,0,1000000*SER_hh_emi_in!G8/SER_hh_num_in!G8)</f>
        <v>0</v>
      </c>
      <c r="H8" s="132">
        <f>IF(SER_hh_emi_in!H8=0,0,1000000*SER_hh_emi_in!H8/SER_hh_num_in!H8)</f>
        <v>0</v>
      </c>
      <c r="I8" s="132">
        <f>IF(SER_hh_emi_in!I8=0,0,1000000*SER_hh_emi_in!I8/SER_hh_num_in!I8)</f>
        <v>0</v>
      </c>
      <c r="J8" s="132">
        <f>IF(SER_hh_emi_in!J8=0,0,1000000*SER_hh_emi_in!J8/SER_hh_num_in!J8)</f>
        <v>0</v>
      </c>
      <c r="K8" s="132">
        <f>IF(SER_hh_emi_in!K8=0,0,1000000*SER_hh_emi_in!K8/SER_hh_num_in!K8)</f>
        <v>0</v>
      </c>
      <c r="L8" s="132">
        <f>IF(SER_hh_emi_in!L8=0,0,1000000*SER_hh_emi_in!L8/SER_hh_num_in!L8)</f>
        <v>0</v>
      </c>
      <c r="M8" s="132">
        <f>IF(SER_hh_emi_in!M8=0,0,1000000*SER_hh_emi_in!M8/SER_hh_num_in!M8)</f>
        <v>0</v>
      </c>
      <c r="N8" s="132">
        <f>IF(SER_hh_emi_in!N8=0,0,1000000*SER_hh_emi_in!N8/SER_hh_num_in!N8)</f>
        <v>0</v>
      </c>
      <c r="O8" s="132">
        <f>IF(SER_hh_emi_in!O8=0,0,1000000*SER_hh_emi_in!O8/SER_hh_num_in!O8)</f>
        <v>0</v>
      </c>
      <c r="P8" s="132">
        <f>IF(SER_hh_emi_in!P8=0,0,1000000*SER_hh_emi_in!P8/SER_hh_num_in!P8)</f>
        <v>0</v>
      </c>
      <c r="Q8" s="132">
        <f>IF(SER_hh_emi_in!Q8=0,0,1000000*SER_hh_emi_in!Q8/SER_hh_num_in!Q8)</f>
        <v>0</v>
      </c>
      <c r="R8" s="132">
        <f>IF(SER_hh_emi_in!R8=0,0,1000000*SER_hh_emi_in!R8/SER_hh_num_in!R8)</f>
        <v>0</v>
      </c>
      <c r="S8" s="132">
        <f>IF(SER_hh_emi_in!S8=0,0,1000000*SER_hh_emi_in!S8/SER_hh_num_in!S8)</f>
        <v>0</v>
      </c>
      <c r="T8" s="132">
        <f>IF(SER_hh_emi_in!T8=0,0,1000000*SER_hh_emi_in!T8/SER_hh_num_in!T8)</f>
        <v>0</v>
      </c>
      <c r="U8" s="132">
        <f>IF(SER_hh_emi_in!U8=0,0,1000000*SER_hh_emi_in!U8/SER_hh_num_in!U8)</f>
        <v>0</v>
      </c>
      <c r="V8" s="132">
        <f>IF(SER_hh_emi_in!V8=0,0,1000000*SER_hh_emi_in!V8/SER_hh_num_in!V8)</f>
        <v>0</v>
      </c>
      <c r="W8" s="132">
        <f>IF(SER_hh_emi_in!W8=0,0,1000000*SER_hh_emi_in!W8/SER_hh_num_in!W8)</f>
        <v>0</v>
      </c>
      <c r="X8" s="132">
        <f>IF(SER_hh_emi_in!X8=0,0,1000000*SER_hh_emi_in!X8/SER_hh_num_in!X8)</f>
        <v>0</v>
      </c>
      <c r="Y8" s="132">
        <f>IF(SER_hh_emi_in!Y8=0,0,1000000*SER_hh_emi_in!Y8/SER_hh_num_in!Y8)</f>
        <v>0</v>
      </c>
      <c r="DA8" s="156" t="s">
        <v>791</v>
      </c>
    </row>
    <row r="9" spans="1:105" ht="12" customHeight="1" x14ac:dyDescent="0.25">
      <c r="A9" s="131" t="s">
        <v>78</v>
      </c>
      <c r="B9" s="132"/>
      <c r="C9" s="132">
        <f>IF(SER_hh_emi_in!C9=0,0,1000000*SER_hh_emi_in!C9/SER_hh_num_in!C9)</f>
        <v>34445.818785667325</v>
      </c>
      <c r="D9" s="132">
        <f>IF(SER_hh_emi_in!D9=0,0,1000000*SER_hh_emi_in!D9/SER_hh_num_in!D9)</f>
        <v>36238.889435495075</v>
      </c>
      <c r="E9" s="132">
        <f>IF(SER_hh_emi_in!E9=0,0,1000000*SER_hh_emi_in!E9/SER_hh_num_in!E9)</f>
        <v>33296.74198186634</v>
      </c>
      <c r="F9" s="132">
        <f>IF(SER_hh_emi_in!F9=0,0,1000000*SER_hh_emi_in!F9/SER_hh_num_in!F9)</f>
        <v>32636.365851860708</v>
      </c>
      <c r="G9" s="132">
        <f>IF(SER_hh_emi_in!G9=0,0,1000000*SER_hh_emi_in!G9/SER_hh_num_in!G9)</f>
        <v>31882.575267161654</v>
      </c>
      <c r="H9" s="132">
        <f>IF(SER_hh_emi_in!H9=0,0,1000000*SER_hh_emi_in!H9/SER_hh_num_in!H9)</f>
        <v>30714.789493609402</v>
      </c>
      <c r="I9" s="132">
        <f>IF(SER_hh_emi_in!I9=0,0,1000000*SER_hh_emi_in!I9/SER_hh_num_in!I9)</f>
        <v>30161.582104198686</v>
      </c>
      <c r="J9" s="132">
        <f>IF(SER_hh_emi_in!J9=0,0,1000000*SER_hh_emi_in!J9/SER_hh_num_in!J9)</f>
        <v>29570.501810425212</v>
      </c>
      <c r="K9" s="132">
        <f>IF(SER_hh_emi_in!K9=0,0,1000000*SER_hh_emi_in!K9/SER_hh_num_in!K9)</f>
        <v>29084.865591762493</v>
      </c>
      <c r="L9" s="132">
        <f>IF(SER_hh_emi_in!L9=0,0,1000000*SER_hh_emi_in!L9/SER_hh_num_in!L9)</f>
        <v>31476.836788827615</v>
      </c>
      <c r="M9" s="132">
        <f>IF(SER_hh_emi_in!M9=0,0,1000000*SER_hh_emi_in!M9/SER_hh_num_in!M9)</f>
        <v>39190.356924563814</v>
      </c>
      <c r="N9" s="132">
        <f>IF(SER_hh_emi_in!N9=0,0,1000000*SER_hh_emi_in!N9/SER_hh_num_in!N9)</f>
        <v>33720.867291867049</v>
      </c>
      <c r="O9" s="132">
        <f>IF(SER_hh_emi_in!O9=0,0,1000000*SER_hh_emi_in!O9/SER_hh_num_in!O9)</f>
        <v>29526.959849769555</v>
      </c>
      <c r="P9" s="132">
        <f>IF(SER_hh_emi_in!P9=0,0,1000000*SER_hh_emi_in!P9/SER_hh_num_in!P9)</f>
        <v>21540.582607286673</v>
      </c>
      <c r="Q9" s="132">
        <f>IF(SER_hh_emi_in!Q9=0,0,1000000*SER_hh_emi_in!Q9/SER_hh_num_in!Q9)</f>
        <v>18015.544387995684</v>
      </c>
      <c r="R9" s="132">
        <f>IF(SER_hh_emi_in!R9=0,0,1000000*SER_hh_emi_in!R9/SER_hh_num_in!R9)</f>
        <v>16842.384138563382</v>
      </c>
      <c r="S9" s="132">
        <f>IF(SER_hh_emi_in!S9=0,0,1000000*SER_hh_emi_in!S9/SER_hh_num_in!S9)</f>
        <v>15780.782114104388</v>
      </c>
      <c r="T9" s="132">
        <f>IF(SER_hh_emi_in!T9=0,0,1000000*SER_hh_emi_in!T9/SER_hh_num_in!T9)</f>
        <v>13365.449623104045</v>
      </c>
      <c r="U9" s="132">
        <f>IF(SER_hh_emi_in!U9=0,0,1000000*SER_hh_emi_in!U9/SER_hh_num_in!U9)</f>
        <v>12842.27864168463</v>
      </c>
      <c r="V9" s="132">
        <f>IF(SER_hh_emi_in!V9=0,0,1000000*SER_hh_emi_in!V9/SER_hh_num_in!V9)</f>
        <v>10104.15822099354</v>
      </c>
      <c r="W9" s="132">
        <f>IF(SER_hh_emi_in!W9=0,0,1000000*SER_hh_emi_in!W9/SER_hh_num_in!W9)</f>
        <v>10179.295235034271</v>
      </c>
      <c r="X9" s="132">
        <f>IF(SER_hh_emi_in!X9=0,0,1000000*SER_hh_emi_in!X9/SER_hh_num_in!X9)</f>
        <v>7676.7020399970943</v>
      </c>
      <c r="Y9" s="132">
        <f>IF(SER_hh_emi_in!Y9=0,0,1000000*SER_hh_emi_in!Y9/SER_hh_num_in!Y9)</f>
        <v>0</v>
      </c>
      <c r="DA9" s="156" t="s">
        <v>792</v>
      </c>
    </row>
    <row r="10" spans="1:105" ht="12" customHeight="1" x14ac:dyDescent="0.25">
      <c r="A10" s="131" t="s">
        <v>128</v>
      </c>
      <c r="B10" s="132"/>
      <c r="C10" s="132">
        <f>IF(SER_hh_emi_in!C10=0,0,1000000*SER_hh_emi_in!C10/SER_hh_num_in!C10)</f>
        <v>0</v>
      </c>
      <c r="D10" s="132">
        <f>IF(SER_hh_emi_in!D10=0,0,1000000*SER_hh_emi_in!D10/SER_hh_num_in!D10)</f>
        <v>0</v>
      </c>
      <c r="E10" s="132">
        <f>IF(SER_hh_emi_in!E10=0,0,1000000*SER_hh_emi_in!E10/SER_hh_num_in!E10)</f>
        <v>0</v>
      </c>
      <c r="F10" s="132">
        <f>IF(SER_hh_emi_in!F10=0,0,1000000*SER_hh_emi_in!F10/SER_hh_num_in!F10)</f>
        <v>0</v>
      </c>
      <c r="G10" s="132">
        <f>IF(SER_hh_emi_in!G10=0,0,1000000*SER_hh_emi_in!G10/SER_hh_num_in!G10)</f>
        <v>0</v>
      </c>
      <c r="H10" s="132">
        <f>IF(SER_hh_emi_in!H10=0,0,1000000*SER_hh_emi_in!H10/SER_hh_num_in!H10)</f>
        <v>0</v>
      </c>
      <c r="I10" s="132">
        <f>IF(SER_hh_emi_in!I10=0,0,1000000*SER_hh_emi_in!I10/SER_hh_num_in!I10)</f>
        <v>0</v>
      </c>
      <c r="J10" s="132">
        <f>IF(SER_hh_emi_in!J10=0,0,1000000*SER_hh_emi_in!J10/SER_hh_num_in!J10)</f>
        <v>5620.3780146638646</v>
      </c>
      <c r="K10" s="132">
        <f>IF(SER_hh_emi_in!K10=0,0,1000000*SER_hh_emi_in!K10/SER_hh_num_in!K10)</f>
        <v>2055.4104004739606</v>
      </c>
      <c r="L10" s="132">
        <f>IF(SER_hh_emi_in!L10=0,0,1000000*SER_hh_emi_in!L10/SER_hh_num_in!L10)</f>
        <v>2516.3580415726137</v>
      </c>
      <c r="M10" s="132">
        <f>IF(SER_hh_emi_in!M10=0,0,1000000*SER_hh_emi_in!M10/SER_hh_num_in!M10)</f>
        <v>2675.5414824544155</v>
      </c>
      <c r="N10" s="132">
        <f>IF(SER_hh_emi_in!N10=0,0,1000000*SER_hh_emi_in!N10/SER_hh_num_in!N10)</f>
        <v>1997.9717238876435</v>
      </c>
      <c r="O10" s="132">
        <f>IF(SER_hh_emi_in!O10=0,0,1000000*SER_hh_emi_in!O10/SER_hh_num_in!O10)</f>
        <v>574.52059542064785</v>
      </c>
      <c r="P10" s="132">
        <f>IF(SER_hh_emi_in!P10=0,0,1000000*SER_hh_emi_in!P10/SER_hh_num_in!P10)</f>
        <v>1257.5491756935612</v>
      </c>
      <c r="Q10" s="132">
        <f>IF(SER_hh_emi_in!Q10=0,0,1000000*SER_hh_emi_in!Q10/SER_hh_num_in!Q10)</f>
        <v>1241.6637532117315</v>
      </c>
      <c r="R10" s="132">
        <f>IF(SER_hh_emi_in!R10=0,0,1000000*SER_hh_emi_in!R10/SER_hh_num_in!R10)</f>
        <v>1307.9340662096479</v>
      </c>
      <c r="S10" s="132">
        <f>IF(SER_hh_emi_in!S10=0,0,1000000*SER_hh_emi_in!S10/SER_hh_num_in!S10)</f>
        <v>1128.2285327800244</v>
      </c>
      <c r="T10" s="132">
        <f>IF(SER_hh_emi_in!T10=0,0,1000000*SER_hh_emi_in!T10/SER_hh_num_in!T10)</f>
        <v>1275.1840466514</v>
      </c>
      <c r="U10" s="132">
        <f>IF(SER_hh_emi_in!U10=0,0,1000000*SER_hh_emi_in!U10/SER_hh_num_in!U10)</f>
        <v>853.23717943690781</v>
      </c>
      <c r="V10" s="132">
        <f>IF(SER_hh_emi_in!V10=0,0,1000000*SER_hh_emi_in!V10/SER_hh_num_in!V10)</f>
        <v>943.29704150155465</v>
      </c>
      <c r="W10" s="132">
        <f>IF(SER_hh_emi_in!W10=0,0,1000000*SER_hh_emi_in!W10/SER_hh_num_in!W10)</f>
        <v>911.6155943439062</v>
      </c>
      <c r="X10" s="132">
        <f>IF(SER_hh_emi_in!X10=0,0,1000000*SER_hh_emi_in!X10/SER_hh_num_in!X10)</f>
        <v>5566.0129335392648</v>
      </c>
      <c r="Y10" s="132">
        <f>IF(SER_hh_emi_in!Y10=0,0,1000000*SER_hh_emi_in!Y10/SER_hh_num_in!Y10)</f>
        <v>606.43593347837066</v>
      </c>
      <c r="DA10" s="156" t="s">
        <v>793</v>
      </c>
    </row>
    <row r="11" spans="1:105" ht="12" customHeight="1" x14ac:dyDescent="0.25">
      <c r="A11" s="131" t="s">
        <v>25</v>
      </c>
      <c r="B11" s="132"/>
      <c r="C11" s="132">
        <f>IF(SER_hh_emi_in!C11=0,0,1000000*SER_hh_emi_in!C11/SER_hh_num_in!C11)</f>
        <v>0</v>
      </c>
      <c r="D11" s="132">
        <f>IF(SER_hh_emi_in!D11=0,0,1000000*SER_hh_emi_in!D11/SER_hh_num_in!D11)</f>
        <v>0</v>
      </c>
      <c r="E11" s="132">
        <f>IF(SER_hh_emi_in!E11=0,0,1000000*SER_hh_emi_in!E11/SER_hh_num_in!E11)</f>
        <v>0</v>
      </c>
      <c r="F11" s="132">
        <f>IF(SER_hh_emi_in!F11=0,0,1000000*SER_hh_emi_in!F11/SER_hh_num_in!F11)</f>
        <v>0</v>
      </c>
      <c r="G11" s="132">
        <f>IF(SER_hh_emi_in!G11=0,0,1000000*SER_hh_emi_in!G11/SER_hh_num_in!G11)</f>
        <v>0</v>
      </c>
      <c r="H11" s="132">
        <f>IF(SER_hh_emi_in!H11=0,0,1000000*SER_hh_emi_in!H11/SER_hh_num_in!H11)</f>
        <v>0</v>
      </c>
      <c r="I11" s="132">
        <f>IF(SER_hh_emi_in!I11=0,0,1000000*SER_hh_emi_in!I11/SER_hh_num_in!I11)</f>
        <v>0</v>
      </c>
      <c r="J11" s="132">
        <f>IF(SER_hh_emi_in!J11=0,0,1000000*SER_hh_emi_in!J11/SER_hh_num_in!J11)</f>
        <v>0</v>
      </c>
      <c r="K11" s="132">
        <f>IF(SER_hh_emi_in!K11=0,0,1000000*SER_hh_emi_in!K11/SER_hh_num_in!K11)</f>
        <v>0</v>
      </c>
      <c r="L11" s="132">
        <f>IF(SER_hh_emi_in!L11=0,0,1000000*SER_hh_emi_in!L11/SER_hh_num_in!L11)</f>
        <v>0</v>
      </c>
      <c r="M11" s="132">
        <f>IF(SER_hh_emi_in!M11=0,0,1000000*SER_hh_emi_in!M11/SER_hh_num_in!M11)</f>
        <v>0</v>
      </c>
      <c r="N11" s="132">
        <f>IF(SER_hh_emi_in!N11=0,0,1000000*SER_hh_emi_in!N11/SER_hh_num_in!N11)</f>
        <v>0</v>
      </c>
      <c r="O11" s="132">
        <f>IF(SER_hh_emi_in!O11=0,0,1000000*SER_hh_emi_in!O11/SER_hh_num_in!O11)</f>
        <v>0</v>
      </c>
      <c r="P11" s="132">
        <f>IF(SER_hh_emi_in!P11=0,0,1000000*SER_hh_emi_in!P11/SER_hh_num_in!P11)</f>
        <v>0</v>
      </c>
      <c r="Q11" s="132">
        <f>IF(SER_hh_emi_in!Q11=0,0,1000000*SER_hh_emi_in!Q11/SER_hh_num_in!Q11)</f>
        <v>0</v>
      </c>
      <c r="R11" s="132">
        <f>IF(SER_hh_emi_in!R11=0,0,1000000*SER_hh_emi_in!R11/SER_hh_num_in!R11)</f>
        <v>0</v>
      </c>
      <c r="S11" s="132">
        <f>IF(SER_hh_emi_in!S11=0,0,1000000*SER_hh_emi_in!S11/SER_hh_num_in!S11)</f>
        <v>0</v>
      </c>
      <c r="T11" s="132">
        <f>IF(SER_hh_emi_in!T11=0,0,1000000*SER_hh_emi_in!T11/SER_hh_num_in!T11)</f>
        <v>0</v>
      </c>
      <c r="U11" s="132">
        <f>IF(SER_hh_emi_in!U11=0,0,1000000*SER_hh_emi_in!U11/SER_hh_num_in!U11)</f>
        <v>0</v>
      </c>
      <c r="V11" s="132">
        <f>IF(SER_hh_emi_in!V11=0,0,1000000*SER_hh_emi_in!V11/SER_hh_num_in!V11)</f>
        <v>0</v>
      </c>
      <c r="W11" s="132">
        <f>IF(SER_hh_emi_in!W11=0,0,1000000*SER_hh_emi_in!W11/SER_hh_num_in!W11)</f>
        <v>0</v>
      </c>
      <c r="X11" s="132">
        <f>IF(SER_hh_emi_in!X11=0,0,1000000*SER_hh_emi_in!X11/SER_hh_num_in!X11)</f>
        <v>0</v>
      </c>
      <c r="Y11" s="132">
        <f>IF(SER_hh_emi_in!Y11=0,0,1000000*SER_hh_emi_in!Y11/SER_hh_num_in!Y11)</f>
        <v>0</v>
      </c>
      <c r="DA11" s="156" t="s">
        <v>794</v>
      </c>
    </row>
    <row r="12" spans="1:105" ht="12" customHeight="1" x14ac:dyDescent="0.25">
      <c r="A12" s="131" t="s">
        <v>162</v>
      </c>
      <c r="B12" s="132"/>
      <c r="C12" s="132">
        <f>IF(SER_hh_emi_in!C12=0,0,1000000*SER_hh_emi_in!C12/SER_hh_num_in!C12)</f>
        <v>0</v>
      </c>
      <c r="D12" s="132">
        <f>IF(SER_hh_emi_in!D12=0,0,1000000*SER_hh_emi_in!D12/SER_hh_num_in!D12)</f>
        <v>0</v>
      </c>
      <c r="E12" s="132">
        <f>IF(SER_hh_emi_in!E12=0,0,1000000*SER_hh_emi_in!E12/SER_hh_num_in!E12)</f>
        <v>0</v>
      </c>
      <c r="F12" s="132">
        <f>IF(SER_hh_emi_in!F12=0,0,1000000*SER_hh_emi_in!F12/SER_hh_num_in!F12)</f>
        <v>0</v>
      </c>
      <c r="G12" s="132">
        <f>IF(SER_hh_emi_in!G12=0,0,1000000*SER_hh_emi_in!G12/SER_hh_num_in!G12)</f>
        <v>0</v>
      </c>
      <c r="H12" s="132">
        <f>IF(SER_hh_emi_in!H12=0,0,1000000*SER_hh_emi_in!H12/SER_hh_num_in!H12)</f>
        <v>0</v>
      </c>
      <c r="I12" s="132">
        <f>IF(SER_hh_emi_in!I12=0,0,1000000*SER_hh_emi_in!I12/SER_hh_num_in!I12)</f>
        <v>0</v>
      </c>
      <c r="J12" s="132">
        <f>IF(SER_hh_emi_in!J12=0,0,1000000*SER_hh_emi_in!J12/SER_hh_num_in!J12)</f>
        <v>0</v>
      </c>
      <c r="K12" s="132">
        <f>IF(SER_hh_emi_in!K12=0,0,1000000*SER_hh_emi_in!K12/SER_hh_num_in!K12)</f>
        <v>0</v>
      </c>
      <c r="L12" s="132">
        <f>IF(SER_hh_emi_in!L12=0,0,1000000*SER_hh_emi_in!L12/SER_hh_num_in!L12)</f>
        <v>0</v>
      </c>
      <c r="M12" s="132">
        <f>IF(SER_hh_emi_in!M12=0,0,1000000*SER_hh_emi_in!M12/SER_hh_num_in!M12)</f>
        <v>0</v>
      </c>
      <c r="N12" s="132">
        <f>IF(SER_hh_emi_in!N12=0,0,1000000*SER_hh_emi_in!N12/SER_hh_num_in!N12)</f>
        <v>0</v>
      </c>
      <c r="O12" s="132">
        <f>IF(SER_hh_emi_in!O12=0,0,1000000*SER_hh_emi_in!O12/SER_hh_num_in!O12)</f>
        <v>0</v>
      </c>
      <c r="P12" s="132">
        <f>IF(SER_hh_emi_in!P12=0,0,1000000*SER_hh_emi_in!P12/SER_hh_num_in!P12)</f>
        <v>0</v>
      </c>
      <c r="Q12" s="132">
        <f>IF(SER_hh_emi_in!Q12=0,0,1000000*SER_hh_emi_in!Q12/SER_hh_num_in!Q12)</f>
        <v>0</v>
      </c>
      <c r="R12" s="132">
        <f>IF(SER_hh_emi_in!R12=0,0,1000000*SER_hh_emi_in!R12/SER_hh_num_in!R12)</f>
        <v>0</v>
      </c>
      <c r="S12" s="132">
        <f>IF(SER_hh_emi_in!S12=0,0,1000000*SER_hh_emi_in!S12/SER_hh_num_in!S12)</f>
        <v>0</v>
      </c>
      <c r="T12" s="132">
        <f>IF(SER_hh_emi_in!T12=0,0,1000000*SER_hh_emi_in!T12/SER_hh_num_in!T12)</f>
        <v>0</v>
      </c>
      <c r="U12" s="132">
        <f>IF(SER_hh_emi_in!U12=0,0,1000000*SER_hh_emi_in!U12/SER_hh_num_in!U12)</f>
        <v>0</v>
      </c>
      <c r="V12" s="132">
        <f>IF(SER_hh_emi_in!V12=0,0,1000000*SER_hh_emi_in!V12/SER_hh_num_in!V12)</f>
        <v>0</v>
      </c>
      <c r="W12" s="132">
        <f>IF(SER_hh_emi_in!W12=0,0,1000000*SER_hh_emi_in!W12/SER_hh_num_in!W12)</f>
        <v>0</v>
      </c>
      <c r="X12" s="132">
        <f>IF(SER_hh_emi_in!X12=0,0,1000000*SER_hh_emi_in!X12/SER_hh_num_in!X12)</f>
        <v>0</v>
      </c>
      <c r="Y12" s="132">
        <f>IF(SER_hh_emi_in!Y12=0,0,1000000*SER_hh_emi_in!Y12/SER_hh_num_in!Y12)</f>
        <v>0</v>
      </c>
      <c r="DA12" s="156" t="s">
        <v>795</v>
      </c>
    </row>
    <row r="13" spans="1:105" ht="12" customHeight="1" x14ac:dyDescent="0.25">
      <c r="A13" s="131" t="s">
        <v>77</v>
      </c>
      <c r="B13" s="132"/>
      <c r="C13" s="132">
        <f>IF(SER_hh_emi_in!C13=0,0,1000000*SER_hh_emi_in!C13/SER_hh_num_in!C13)</f>
        <v>0</v>
      </c>
      <c r="D13" s="132">
        <f>IF(SER_hh_emi_in!D13=0,0,1000000*SER_hh_emi_in!D13/SER_hh_num_in!D13)</f>
        <v>0</v>
      </c>
      <c r="E13" s="132">
        <f>IF(SER_hh_emi_in!E13=0,0,1000000*SER_hh_emi_in!E13/SER_hh_num_in!E13)</f>
        <v>0</v>
      </c>
      <c r="F13" s="132">
        <f>IF(SER_hh_emi_in!F13=0,0,1000000*SER_hh_emi_in!F13/SER_hh_num_in!F13)</f>
        <v>0</v>
      </c>
      <c r="G13" s="132">
        <f>IF(SER_hh_emi_in!G13=0,0,1000000*SER_hh_emi_in!G13/SER_hh_num_in!G13)</f>
        <v>0</v>
      </c>
      <c r="H13" s="132">
        <f>IF(SER_hh_emi_in!H13=0,0,1000000*SER_hh_emi_in!H13/SER_hh_num_in!H13)</f>
        <v>0</v>
      </c>
      <c r="I13" s="132">
        <f>IF(SER_hh_emi_in!I13=0,0,1000000*SER_hh_emi_in!I13/SER_hh_num_in!I13)</f>
        <v>0</v>
      </c>
      <c r="J13" s="132">
        <f>IF(SER_hh_emi_in!J13=0,0,1000000*SER_hh_emi_in!J13/SER_hh_num_in!J13)</f>
        <v>0</v>
      </c>
      <c r="K13" s="132">
        <f>IF(SER_hh_emi_in!K13=0,0,1000000*SER_hh_emi_in!K13/SER_hh_num_in!K13)</f>
        <v>0</v>
      </c>
      <c r="L13" s="132">
        <f>IF(SER_hh_emi_in!L13=0,0,1000000*SER_hh_emi_in!L13/SER_hh_num_in!L13)</f>
        <v>0</v>
      </c>
      <c r="M13" s="132">
        <f>IF(SER_hh_emi_in!M13=0,0,1000000*SER_hh_emi_in!M13/SER_hh_num_in!M13)</f>
        <v>0</v>
      </c>
      <c r="N13" s="132">
        <f>IF(SER_hh_emi_in!N13=0,0,1000000*SER_hh_emi_in!N13/SER_hh_num_in!N13)</f>
        <v>0</v>
      </c>
      <c r="O13" s="132">
        <f>IF(SER_hh_emi_in!O13=0,0,1000000*SER_hh_emi_in!O13/SER_hh_num_in!O13)</f>
        <v>0</v>
      </c>
      <c r="P13" s="132">
        <f>IF(SER_hh_emi_in!P13=0,0,1000000*SER_hh_emi_in!P13/SER_hh_num_in!P13)</f>
        <v>0</v>
      </c>
      <c r="Q13" s="132">
        <f>IF(SER_hh_emi_in!Q13=0,0,1000000*SER_hh_emi_in!Q13/SER_hh_num_in!Q13)</f>
        <v>0</v>
      </c>
      <c r="R13" s="132">
        <f>IF(SER_hh_emi_in!R13=0,0,1000000*SER_hh_emi_in!R13/SER_hh_num_in!R13)</f>
        <v>0</v>
      </c>
      <c r="S13" s="132">
        <f>IF(SER_hh_emi_in!S13=0,0,1000000*SER_hh_emi_in!S13/SER_hh_num_in!S13)</f>
        <v>0</v>
      </c>
      <c r="T13" s="132">
        <f>IF(SER_hh_emi_in!T13=0,0,1000000*SER_hh_emi_in!T13/SER_hh_num_in!T13)</f>
        <v>0</v>
      </c>
      <c r="U13" s="132">
        <f>IF(SER_hh_emi_in!U13=0,0,1000000*SER_hh_emi_in!U13/SER_hh_num_in!U13)</f>
        <v>0</v>
      </c>
      <c r="V13" s="132">
        <f>IF(SER_hh_emi_in!V13=0,0,1000000*SER_hh_emi_in!V13/SER_hh_num_in!V13)</f>
        <v>0</v>
      </c>
      <c r="W13" s="132">
        <f>IF(SER_hh_emi_in!W13=0,0,1000000*SER_hh_emi_in!W13/SER_hh_num_in!W13)</f>
        <v>0</v>
      </c>
      <c r="X13" s="132">
        <f>IF(SER_hh_emi_in!X13=0,0,1000000*SER_hh_emi_in!X13/SER_hh_num_in!X13)</f>
        <v>0</v>
      </c>
      <c r="Y13" s="132">
        <f>IF(SER_hh_emi_in!Y13=0,0,1000000*SER_hh_emi_in!Y13/SER_hh_num_in!Y13)</f>
        <v>0</v>
      </c>
      <c r="DA13" s="156" t="s">
        <v>796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X14" s="65">
        <f>IF(SER_hh_emi_in!X14=0,0,1000000*SER_hh_emi_in!X14/SER_hh_num_in!X14)</f>
        <v>0</v>
      </c>
      <c r="Y14" s="65">
        <f>IF(SER_hh_emi_in!Y14=0,0,1000000*SER_hh_emi_in!Y14/SER_hh_num_in!Y14)</f>
        <v>0</v>
      </c>
      <c r="DA14" s="109" t="s">
        <v>797</v>
      </c>
    </row>
    <row r="15" spans="1:105" ht="12" customHeight="1" x14ac:dyDescent="0.25">
      <c r="A15" s="133" t="s">
        <v>80</v>
      </c>
      <c r="B15" s="134"/>
      <c r="C15" s="134">
        <f>IF(SER_hh_emi_in!C15=0,0,1000000*SER_hh_emi_in!C15/SER_hh_num_in!C15)</f>
        <v>0</v>
      </c>
      <c r="D15" s="134">
        <f>IF(SER_hh_emi_in!D15=0,0,1000000*SER_hh_emi_in!D15/SER_hh_num_in!D15)</f>
        <v>0</v>
      </c>
      <c r="E15" s="134">
        <f>IF(SER_hh_emi_in!E15=0,0,1000000*SER_hh_emi_in!E15/SER_hh_num_in!E15)</f>
        <v>0</v>
      </c>
      <c r="F15" s="134">
        <f>IF(SER_hh_emi_in!F15=0,0,1000000*SER_hh_emi_in!F15/SER_hh_num_in!F15)</f>
        <v>0</v>
      </c>
      <c r="G15" s="134">
        <f>IF(SER_hh_emi_in!G15=0,0,1000000*SER_hh_emi_in!G15/SER_hh_num_in!G15)</f>
        <v>0</v>
      </c>
      <c r="H15" s="134">
        <f>IF(SER_hh_emi_in!H15=0,0,1000000*SER_hh_emi_in!H15/SER_hh_num_in!H15)</f>
        <v>0</v>
      </c>
      <c r="I15" s="134">
        <f>IF(SER_hh_emi_in!I15=0,0,1000000*SER_hh_emi_in!I15/SER_hh_num_in!I15)</f>
        <v>0</v>
      </c>
      <c r="J15" s="134">
        <f>IF(SER_hh_emi_in!J15=0,0,1000000*SER_hh_emi_in!J15/SER_hh_num_in!J15)</f>
        <v>0</v>
      </c>
      <c r="K15" s="134">
        <f>IF(SER_hh_emi_in!K15=0,0,1000000*SER_hh_emi_in!K15/SER_hh_num_in!K15)</f>
        <v>0</v>
      </c>
      <c r="L15" s="134">
        <f>IF(SER_hh_emi_in!L15=0,0,1000000*SER_hh_emi_in!L15/SER_hh_num_in!L15)</f>
        <v>0</v>
      </c>
      <c r="M15" s="134">
        <f>IF(SER_hh_emi_in!M15=0,0,1000000*SER_hh_emi_in!M15/SER_hh_num_in!M15)</f>
        <v>0</v>
      </c>
      <c r="N15" s="134">
        <f>IF(SER_hh_emi_in!N15=0,0,1000000*SER_hh_emi_in!N15/SER_hh_num_in!N15)</f>
        <v>0</v>
      </c>
      <c r="O15" s="134">
        <f>IF(SER_hh_emi_in!O15=0,0,1000000*SER_hh_emi_in!O15/SER_hh_num_in!O15)</f>
        <v>0</v>
      </c>
      <c r="P15" s="134">
        <f>IF(SER_hh_emi_in!P15=0,0,1000000*SER_hh_emi_in!P15/SER_hh_num_in!P15)</f>
        <v>0</v>
      </c>
      <c r="Q15" s="134">
        <f>IF(SER_hh_emi_in!Q15=0,0,1000000*SER_hh_emi_in!Q15/SER_hh_num_in!Q15)</f>
        <v>0</v>
      </c>
      <c r="R15" s="134">
        <f>IF(SER_hh_emi_in!R15=0,0,1000000*SER_hh_emi_in!R15/SER_hh_num_in!R15)</f>
        <v>0</v>
      </c>
      <c r="S15" s="134">
        <f>IF(SER_hh_emi_in!S15=0,0,1000000*SER_hh_emi_in!S15/SER_hh_num_in!S15)</f>
        <v>0</v>
      </c>
      <c r="T15" s="134">
        <f>IF(SER_hh_emi_in!T15=0,0,1000000*SER_hh_emi_in!T15/SER_hh_num_in!T15)</f>
        <v>0</v>
      </c>
      <c r="U15" s="134">
        <f>IF(SER_hh_emi_in!U15=0,0,1000000*SER_hh_emi_in!U15/SER_hh_num_in!U15)</f>
        <v>0</v>
      </c>
      <c r="V15" s="134">
        <f>IF(SER_hh_emi_in!V15=0,0,1000000*SER_hh_emi_in!V15/SER_hh_num_in!V15)</f>
        <v>0</v>
      </c>
      <c r="W15" s="134">
        <f>IF(SER_hh_emi_in!W15=0,0,1000000*SER_hh_emi_in!W15/SER_hh_num_in!W15)</f>
        <v>0</v>
      </c>
      <c r="X15" s="134">
        <f>IF(SER_hh_emi_in!X15=0,0,1000000*SER_hh_emi_in!X15/SER_hh_num_in!X15)</f>
        <v>0</v>
      </c>
      <c r="Y15" s="134">
        <f>IF(SER_hh_emi_in!Y15=0,0,1000000*SER_hh_emi_in!Y15/SER_hh_num_in!Y15)</f>
        <v>0</v>
      </c>
      <c r="DA15" s="157" t="s">
        <v>798</v>
      </c>
    </row>
    <row r="16" spans="1:105" ht="12.95" customHeight="1" x14ac:dyDescent="0.25">
      <c r="A16" s="129" t="s">
        <v>74</v>
      </c>
      <c r="B16" s="130"/>
      <c r="C16" s="130">
        <f>IF(SER_hh_emi_in!C16=0,0,1000000*SER_hh_emi_in!C16/SER_hh_num_in!C16)</f>
        <v>0</v>
      </c>
      <c r="D16" s="130">
        <f>IF(SER_hh_emi_in!D16=0,0,1000000*SER_hh_emi_in!D16/SER_hh_num_in!D16)</f>
        <v>0</v>
      </c>
      <c r="E16" s="130">
        <f>IF(SER_hh_emi_in!E16=0,0,1000000*SER_hh_emi_in!E16/SER_hh_num_in!E16)</f>
        <v>0</v>
      </c>
      <c r="F16" s="130">
        <f>IF(SER_hh_emi_in!F16=0,0,1000000*SER_hh_emi_in!F16/SER_hh_num_in!F16)</f>
        <v>0</v>
      </c>
      <c r="G16" s="130">
        <f>IF(SER_hh_emi_in!G16=0,0,1000000*SER_hh_emi_in!G16/SER_hh_num_in!G16)</f>
        <v>0</v>
      </c>
      <c r="H16" s="130">
        <f>IF(SER_hh_emi_in!H16=0,0,1000000*SER_hh_emi_in!H16/SER_hh_num_in!H16)</f>
        <v>0</v>
      </c>
      <c r="I16" s="130">
        <f>IF(SER_hh_emi_in!I16=0,0,1000000*SER_hh_emi_in!I16/SER_hh_num_in!I16)</f>
        <v>0</v>
      </c>
      <c r="J16" s="130">
        <f>IF(SER_hh_emi_in!J16=0,0,1000000*SER_hh_emi_in!J16/SER_hh_num_in!J16)</f>
        <v>0</v>
      </c>
      <c r="K16" s="130">
        <f>IF(SER_hh_emi_in!K16=0,0,1000000*SER_hh_emi_in!K16/SER_hh_num_in!K16)</f>
        <v>0</v>
      </c>
      <c r="L16" s="130">
        <f>IF(SER_hh_emi_in!L16=0,0,1000000*SER_hh_emi_in!L16/SER_hh_num_in!L16)</f>
        <v>0</v>
      </c>
      <c r="M16" s="130">
        <f>IF(SER_hh_emi_in!M16=0,0,1000000*SER_hh_emi_in!M16/SER_hh_num_in!M16)</f>
        <v>0</v>
      </c>
      <c r="N16" s="130">
        <f>IF(SER_hh_emi_in!N16=0,0,1000000*SER_hh_emi_in!N16/SER_hh_num_in!N16)</f>
        <v>0</v>
      </c>
      <c r="O16" s="130">
        <f>IF(SER_hh_emi_in!O16=0,0,1000000*SER_hh_emi_in!O16/SER_hh_num_in!O16)</f>
        <v>0</v>
      </c>
      <c r="P16" s="130">
        <f>IF(SER_hh_emi_in!P16=0,0,1000000*SER_hh_emi_in!P16/SER_hh_num_in!P16)</f>
        <v>0</v>
      </c>
      <c r="Q16" s="130">
        <f>IF(SER_hh_emi_in!Q16=0,0,1000000*SER_hh_emi_in!Q16/SER_hh_num_in!Q16)</f>
        <v>0</v>
      </c>
      <c r="R16" s="130">
        <f>IF(SER_hh_emi_in!R16=0,0,1000000*SER_hh_emi_in!R16/SER_hh_num_in!R16)</f>
        <v>0</v>
      </c>
      <c r="S16" s="130">
        <f>IF(SER_hh_emi_in!S16=0,0,1000000*SER_hh_emi_in!S16/SER_hh_num_in!S16)</f>
        <v>0</v>
      </c>
      <c r="T16" s="130">
        <f>IF(SER_hh_emi_in!T16=0,0,1000000*SER_hh_emi_in!T16/SER_hh_num_in!T16)</f>
        <v>0</v>
      </c>
      <c r="U16" s="130">
        <f>IF(SER_hh_emi_in!U16=0,0,1000000*SER_hh_emi_in!U16/SER_hh_num_in!U16)</f>
        <v>0</v>
      </c>
      <c r="V16" s="130">
        <f>IF(SER_hh_emi_in!V16=0,0,1000000*SER_hh_emi_in!V16/SER_hh_num_in!V16)</f>
        <v>0</v>
      </c>
      <c r="W16" s="130">
        <f>IF(SER_hh_emi_in!W16=0,0,1000000*SER_hh_emi_in!W16/SER_hh_num_in!W16)</f>
        <v>0</v>
      </c>
      <c r="X16" s="130">
        <f>IF(SER_hh_emi_in!X16=0,0,1000000*SER_hh_emi_in!X16/SER_hh_num_in!X16)</f>
        <v>0</v>
      </c>
      <c r="Y16" s="130">
        <f>IF(SER_hh_emi_in!Y16=0,0,1000000*SER_hh_emi_in!Y16/SER_hh_num_in!Y16)</f>
        <v>0</v>
      </c>
      <c r="DA16" s="155" t="s">
        <v>799</v>
      </c>
    </row>
    <row r="17" spans="1:105" ht="12.95" customHeight="1" x14ac:dyDescent="0.25">
      <c r="A17" s="131" t="s">
        <v>73</v>
      </c>
      <c r="B17" s="132"/>
      <c r="C17" s="132">
        <f>IF(SER_hh_emi_in!C17=0,0,1000000*SER_hh_emi_in!C17/SER_hh_num_in!C17)</f>
        <v>0</v>
      </c>
      <c r="D17" s="132">
        <f>IF(SER_hh_emi_in!D17=0,0,1000000*SER_hh_emi_in!D17/SER_hh_num_in!D17)</f>
        <v>0</v>
      </c>
      <c r="E17" s="132">
        <f>IF(SER_hh_emi_in!E17=0,0,1000000*SER_hh_emi_in!E17/SER_hh_num_in!E17)</f>
        <v>0</v>
      </c>
      <c r="F17" s="132">
        <f>IF(SER_hh_emi_in!F17=0,0,1000000*SER_hh_emi_in!F17/SER_hh_num_in!F17)</f>
        <v>0</v>
      </c>
      <c r="G17" s="132">
        <f>IF(SER_hh_emi_in!G17=0,0,1000000*SER_hh_emi_in!G17/SER_hh_num_in!G17)</f>
        <v>0</v>
      </c>
      <c r="H17" s="132">
        <f>IF(SER_hh_emi_in!H17=0,0,1000000*SER_hh_emi_in!H17/SER_hh_num_in!H17)</f>
        <v>0</v>
      </c>
      <c r="I17" s="132">
        <f>IF(SER_hh_emi_in!I17=0,0,1000000*SER_hh_emi_in!I17/SER_hh_num_in!I17)</f>
        <v>0</v>
      </c>
      <c r="J17" s="132">
        <f>IF(SER_hh_emi_in!J17=0,0,1000000*SER_hh_emi_in!J17/SER_hh_num_in!J17)</f>
        <v>0</v>
      </c>
      <c r="K17" s="132">
        <f>IF(SER_hh_emi_in!K17=0,0,1000000*SER_hh_emi_in!K17/SER_hh_num_in!K17)</f>
        <v>0</v>
      </c>
      <c r="L17" s="132">
        <f>IF(SER_hh_emi_in!L17=0,0,1000000*SER_hh_emi_in!L17/SER_hh_num_in!L17)</f>
        <v>0</v>
      </c>
      <c r="M17" s="132">
        <f>IF(SER_hh_emi_in!M17=0,0,1000000*SER_hh_emi_in!M17/SER_hh_num_in!M17)</f>
        <v>0</v>
      </c>
      <c r="N17" s="132">
        <f>IF(SER_hh_emi_in!N17=0,0,1000000*SER_hh_emi_in!N17/SER_hh_num_in!N17)</f>
        <v>0</v>
      </c>
      <c r="O17" s="132">
        <f>IF(SER_hh_emi_in!O17=0,0,1000000*SER_hh_emi_in!O17/SER_hh_num_in!O17)</f>
        <v>0</v>
      </c>
      <c r="P17" s="132">
        <f>IF(SER_hh_emi_in!P17=0,0,1000000*SER_hh_emi_in!P17/SER_hh_num_in!P17)</f>
        <v>0</v>
      </c>
      <c r="Q17" s="132">
        <f>IF(SER_hh_emi_in!Q17=0,0,1000000*SER_hh_emi_in!Q17/SER_hh_num_in!Q17)</f>
        <v>0</v>
      </c>
      <c r="R17" s="132">
        <f>IF(SER_hh_emi_in!R17=0,0,1000000*SER_hh_emi_in!R17/SER_hh_num_in!R17)</f>
        <v>0</v>
      </c>
      <c r="S17" s="132">
        <f>IF(SER_hh_emi_in!S17=0,0,1000000*SER_hh_emi_in!S17/SER_hh_num_in!S17)</f>
        <v>0</v>
      </c>
      <c r="T17" s="132">
        <f>IF(SER_hh_emi_in!T17=0,0,1000000*SER_hh_emi_in!T17/SER_hh_num_in!T17)</f>
        <v>0</v>
      </c>
      <c r="U17" s="132">
        <f>IF(SER_hh_emi_in!U17=0,0,1000000*SER_hh_emi_in!U17/SER_hh_num_in!U17)</f>
        <v>0</v>
      </c>
      <c r="V17" s="132">
        <f>IF(SER_hh_emi_in!V17=0,0,1000000*SER_hh_emi_in!V17/SER_hh_num_in!V17)</f>
        <v>0</v>
      </c>
      <c r="W17" s="132">
        <f>IF(SER_hh_emi_in!W17=0,0,1000000*SER_hh_emi_in!W17/SER_hh_num_in!W17)</f>
        <v>0</v>
      </c>
      <c r="X17" s="132">
        <f>IF(SER_hh_emi_in!X17=0,0,1000000*SER_hh_emi_in!X17/SER_hh_num_in!X17)</f>
        <v>0</v>
      </c>
      <c r="Y17" s="132">
        <f>IF(SER_hh_emi_in!Y17=0,0,1000000*SER_hh_emi_in!Y17/SER_hh_num_in!Y17)</f>
        <v>0</v>
      </c>
      <c r="DA17" s="156" t="s">
        <v>800</v>
      </c>
    </row>
    <row r="18" spans="1:105" ht="12" customHeight="1" x14ac:dyDescent="0.25">
      <c r="A18" s="131" t="s">
        <v>72</v>
      </c>
      <c r="B18" s="132"/>
      <c r="C18" s="132">
        <f>IF(SER_hh_emi_in!C18=0,0,1000000*SER_hh_emi_in!C18/SER_hh_num_in!C18)</f>
        <v>0</v>
      </c>
      <c r="D18" s="132">
        <f>IF(SER_hh_emi_in!D18=0,0,1000000*SER_hh_emi_in!D18/SER_hh_num_in!D18)</f>
        <v>0</v>
      </c>
      <c r="E18" s="132">
        <f>IF(SER_hh_emi_in!E18=0,0,1000000*SER_hh_emi_in!E18/SER_hh_num_in!E18)</f>
        <v>0</v>
      </c>
      <c r="F18" s="132">
        <f>IF(SER_hh_emi_in!F18=0,0,1000000*SER_hh_emi_in!F18/SER_hh_num_in!F18)</f>
        <v>0</v>
      </c>
      <c r="G18" s="132">
        <f>IF(SER_hh_emi_in!G18=0,0,1000000*SER_hh_emi_in!G18/SER_hh_num_in!G18)</f>
        <v>0</v>
      </c>
      <c r="H18" s="132">
        <f>IF(SER_hh_emi_in!H18=0,0,1000000*SER_hh_emi_in!H18/SER_hh_num_in!H18)</f>
        <v>0</v>
      </c>
      <c r="I18" s="132">
        <f>IF(SER_hh_emi_in!I18=0,0,1000000*SER_hh_emi_in!I18/SER_hh_num_in!I18)</f>
        <v>0</v>
      </c>
      <c r="J18" s="132">
        <f>IF(SER_hh_emi_in!J18=0,0,1000000*SER_hh_emi_in!J18/SER_hh_num_in!J18)</f>
        <v>0</v>
      </c>
      <c r="K18" s="132">
        <f>IF(SER_hh_emi_in!K18=0,0,1000000*SER_hh_emi_in!K18/SER_hh_num_in!K18)</f>
        <v>0</v>
      </c>
      <c r="L18" s="132">
        <f>IF(SER_hh_emi_in!L18=0,0,1000000*SER_hh_emi_in!L18/SER_hh_num_in!L18)</f>
        <v>0</v>
      </c>
      <c r="M18" s="132">
        <f>IF(SER_hh_emi_in!M18=0,0,1000000*SER_hh_emi_in!M18/SER_hh_num_in!M18)</f>
        <v>0</v>
      </c>
      <c r="N18" s="132">
        <f>IF(SER_hh_emi_in!N18=0,0,1000000*SER_hh_emi_in!N18/SER_hh_num_in!N18)</f>
        <v>0</v>
      </c>
      <c r="O18" s="132">
        <f>IF(SER_hh_emi_in!O18=0,0,1000000*SER_hh_emi_in!O18/SER_hh_num_in!O18)</f>
        <v>0</v>
      </c>
      <c r="P18" s="132">
        <f>IF(SER_hh_emi_in!P18=0,0,1000000*SER_hh_emi_in!P18/SER_hh_num_in!P18)</f>
        <v>0</v>
      </c>
      <c r="Q18" s="132">
        <f>IF(SER_hh_emi_in!Q18=0,0,1000000*SER_hh_emi_in!Q18/SER_hh_num_in!Q18)</f>
        <v>0</v>
      </c>
      <c r="R18" s="132">
        <f>IF(SER_hh_emi_in!R18=0,0,1000000*SER_hh_emi_in!R18/SER_hh_num_in!R18)</f>
        <v>0</v>
      </c>
      <c r="S18" s="132">
        <f>IF(SER_hh_emi_in!S18=0,0,1000000*SER_hh_emi_in!S18/SER_hh_num_in!S18)</f>
        <v>0</v>
      </c>
      <c r="T18" s="132">
        <f>IF(SER_hh_emi_in!T18=0,0,1000000*SER_hh_emi_in!T18/SER_hh_num_in!T18)</f>
        <v>0</v>
      </c>
      <c r="U18" s="132">
        <f>IF(SER_hh_emi_in!U18=0,0,1000000*SER_hh_emi_in!U18/SER_hh_num_in!U18)</f>
        <v>0</v>
      </c>
      <c r="V18" s="132">
        <f>IF(SER_hh_emi_in!V18=0,0,1000000*SER_hh_emi_in!V18/SER_hh_num_in!V18)</f>
        <v>0</v>
      </c>
      <c r="W18" s="132">
        <f>IF(SER_hh_emi_in!W18=0,0,1000000*SER_hh_emi_in!W18/SER_hh_num_in!W18)</f>
        <v>0</v>
      </c>
      <c r="X18" s="132">
        <f>IF(SER_hh_emi_in!X18=0,0,1000000*SER_hh_emi_in!X18/SER_hh_num_in!X18)</f>
        <v>0</v>
      </c>
      <c r="Y18" s="132">
        <f>IF(SER_hh_emi_in!Y18=0,0,1000000*SER_hh_emi_in!Y18/SER_hh_num_in!Y18)</f>
        <v>0</v>
      </c>
      <c r="DA18" s="156" t="s">
        <v>801</v>
      </c>
    </row>
    <row r="19" spans="1:105" ht="12.95" customHeight="1" x14ac:dyDescent="0.25">
      <c r="A19" s="129" t="s">
        <v>35</v>
      </c>
      <c r="B19" s="130"/>
      <c r="C19" s="130">
        <f>IF(SER_hh_emi_in!C19=0,0,1000000*SER_hh_emi_in!C19/SER_hh_num_in!C19)</f>
        <v>734.89710721172469</v>
      </c>
      <c r="D19" s="130">
        <f>IF(SER_hh_emi_in!D19=0,0,1000000*SER_hh_emi_in!D19/SER_hh_num_in!D19)</f>
        <v>829.83101309142171</v>
      </c>
      <c r="E19" s="130">
        <f>IF(SER_hh_emi_in!E19=0,0,1000000*SER_hh_emi_in!E19/SER_hh_num_in!E19)</f>
        <v>758.20777107592733</v>
      </c>
      <c r="F19" s="130">
        <f>IF(SER_hh_emi_in!F19=0,0,1000000*SER_hh_emi_in!F19/SER_hh_num_in!F19)</f>
        <v>665.62169187977202</v>
      </c>
      <c r="G19" s="130">
        <f>IF(SER_hh_emi_in!G19=0,0,1000000*SER_hh_emi_in!G19/SER_hh_num_in!G19)</f>
        <v>623.50805838411088</v>
      </c>
      <c r="H19" s="130">
        <f>IF(SER_hh_emi_in!H19=0,0,1000000*SER_hh_emi_in!H19/SER_hh_num_in!H19)</f>
        <v>633.35307717106332</v>
      </c>
      <c r="I19" s="130">
        <f>IF(SER_hh_emi_in!I19=0,0,1000000*SER_hh_emi_in!I19/SER_hh_num_in!I19)</f>
        <v>605.66186723301144</v>
      </c>
      <c r="J19" s="130">
        <f>IF(SER_hh_emi_in!J19=0,0,1000000*SER_hh_emi_in!J19/SER_hh_num_in!J19)</f>
        <v>691.18780876202345</v>
      </c>
      <c r="K19" s="130">
        <f>IF(SER_hh_emi_in!K19=0,0,1000000*SER_hh_emi_in!K19/SER_hh_num_in!K19)</f>
        <v>718.6588393425917</v>
      </c>
      <c r="L19" s="130">
        <f>IF(SER_hh_emi_in!L19=0,0,1000000*SER_hh_emi_in!L19/SER_hh_num_in!L19)</f>
        <v>811.13155513711433</v>
      </c>
      <c r="M19" s="130">
        <f>IF(SER_hh_emi_in!M19=0,0,1000000*SER_hh_emi_in!M19/SER_hh_num_in!M19)</f>
        <v>686.54778952440972</v>
      </c>
      <c r="N19" s="130">
        <f>IF(SER_hh_emi_in!N19=0,0,1000000*SER_hh_emi_in!N19/SER_hh_num_in!N19)</f>
        <v>540.30690681152282</v>
      </c>
      <c r="O19" s="130">
        <f>IF(SER_hh_emi_in!O19=0,0,1000000*SER_hh_emi_in!O19/SER_hh_num_in!O19)</f>
        <v>446.22885212837338</v>
      </c>
      <c r="P19" s="130">
        <f>IF(SER_hh_emi_in!P19=0,0,1000000*SER_hh_emi_in!P19/SER_hh_num_in!P19)</f>
        <v>213.20083204335282</v>
      </c>
      <c r="Q19" s="130">
        <f>IF(SER_hh_emi_in!Q19=0,0,1000000*SER_hh_emi_in!Q19/SER_hh_num_in!Q19)</f>
        <v>276.61056151963851</v>
      </c>
      <c r="R19" s="130">
        <f>IF(SER_hh_emi_in!R19=0,0,1000000*SER_hh_emi_in!R19/SER_hh_num_in!R19)</f>
        <v>245.36729448895142</v>
      </c>
      <c r="S19" s="130">
        <f>IF(SER_hh_emi_in!S19=0,0,1000000*SER_hh_emi_in!S19/SER_hh_num_in!S19)</f>
        <v>72.587003737950624</v>
      </c>
      <c r="T19" s="130">
        <f>IF(SER_hh_emi_in!T19=0,0,1000000*SER_hh_emi_in!T19/SER_hh_num_in!T19)</f>
        <v>56.524292196099019</v>
      </c>
      <c r="U19" s="130">
        <f>IF(SER_hh_emi_in!U19=0,0,1000000*SER_hh_emi_in!U19/SER_hh_num_in!U19)</f>
        <v>185.42974761956614</v>
      </c>
      <c r="V19" s="130">
        <f>IF(SER_hh_emi_in!V19=0,0,1000000*SER_hh_emi_in!V19/SER_hh_num_in!V19)</f>
        <v>273.91303302231296</v>
      </c>
      <c r="W19" s="130">
        <f>IF(SER_hh_emi_in!W19=0,0,1000000*SER_hh_emi_in!W19/SER_hh_num_in!W19)</f>
        <v>343.96144471937822</v>
      </c>
      <c r="X19" s="130">
        <f>IF(SER_hh_emi_in!X19=0,0,1000000*SER_hh_emi_in!X19/SER_hh_num_in!X19)</f>
        <v>256.59961478181606</v>
      </c>
      <c r="Y19" s="130">
        <f>IF(SER_hh_emi_in!Y19=0,0,1000000*SER_hh_emi_in!Y19/SER_hh_num_in!Y19)</f>
        <v>137.23960434506802</v>
      </c>
      <c r="DA19" s="155" t="s">
        <v>802</v>
      </c>
    </row>
    <row r="20" spans="1:105" ht="12" customHeight="1" x14ac:dyDescent="0.25">
      <c r="A20" s="131" t="s">
        <v>29</v>
      </c>
      <c r="B20" s="132"/>
      <c r="C20" s="132">
        <f>IF(SER_hh_emi_in!C20=0,0,1000000*SER_hh_emi_in!C20/SER_hh_num_in!C20)</f>
        <v>0</v>
      </c>
      <c r="D20" s="132">
        <f>IF(SER_hh_emi_in!D20=0,0,1000000*SER_hh_emi_in!D20/SER_hh_num_in!D20)</f>
        <v>0</v>
      </c>
      <c r="E20" s="132">
        <f>IF(SER_hh_emi_in!E20=0,0,1000000*SER_hh_emi_in!E20/SER_hh_num_in!E20)</f>
        <v>0</v>
      </c>
      <c r="F20" s="132">
        <f>IF(SER_hh_emi_in!F20=0,0,1000000*SER_hh_emi_in!F20/SER_hh_num_in!F20)</f>
        <v>0</v>
      </c>
      <c r="G20" s="132">
        <f>IF(SER_hh_emi_in!G20=0,0,1000000*SER_hh_emi_in!G20/SER_hh_num_in!G20)</f>
        <v>0</v>
      </c>
      <c r="H20" s="132">
        <f>IF(SER_hh_emi_in!H20=0,0,1000000*SER_hh_emi_in!H20/SER_hh_num_in!H20)</f>
        <v>0</v>
      </c>
      <c r="I20" s="132">
        <f>IF(SER_hh_emi_in!I20=0,0,1000000*SER_hh_emi_in!I20/SER_hh_num_in!I20)</f>
        <v>0</v>
      </c>
      <c r="J20" s="132">
        <f>IF(SER_hh_emi_in!J20=0,0,1000000*SER_hh_emi_in!J20/SER_hh_num_in!J20)</f>
        <v>0</v>
      </c>
      <c r="K20" s="132">
        <f>IF(SER_hh_emi_in!K20=0,0,1000000*SER_hh_emi_in!K20/SER_hh_num_in!K20)</f>
        <v>0</v>
      </c>
      <c r="L20" s="132">
        <f>IF(SER_hh_emi_in!L20=0,0,1000000*SER_hh_emi_in!L20/SER_hh_num_in!L20)</f>
        <v>0</v>
      </c>
      <c r="M20" s="132">
        <f>IF(SER_hh_emi_in!M20=0,0,1000000*SER_hh_emi_in!M20/SER_hh_num_in!M20)</f>
        <v>0</v>
      </c>
      <c r="N20" s="132">
        <f>IF(SER_hh_emi_in!N20=0,0,1000000*SER_hh_emi_in!N20/SER_hh_num_in!N20)</f>
        <v>0</v>
      </c>
      <c r="O20" s="132">
        <f>IF(SER_hh_emi_in!O20=0,0,1000000*SER_hh_emi_in!O20/SER_hh_num_in!O20)</f>
        <v>0</v>
      </c>
      <c r="P20" s="132">
        <f>IF(SER_hh_emi_in!P20=0,0,1000000*SER_hh_emi_in!P20/SER_hh_num_in!P20)</f>
        <v>0</v>
      </c>
      <c r="Q20" s="132">
        <f>IF(SER_hh_emi_in!Q20=0,0,1000000*SER_hh_emi_in!Q20/SER_hh_num_in!Q20)</f>
        <v>0</v>
      </c>
      <c r="R20" s="132">
        <f>IF(SER_hh_emi_in!R20=0,0,1000000*SER_hh_emi_in!R20/SER_hh_num_in!R20)</f>
        <v>0</v>
      </c>
      <c r="S20" s="132">
        <f>IF(SER_hh_emi_in!S20=0,0,1000000*SER_hh_emi_in!S20/SER_hh_num_in!S20)</f>
        <v>0</v>
      </c>
      <c r="T20" s="132">
        <f>IF(SER_hh_emi_in!T20=0,0,1000000*SER_hh_emi_in!T20/SER_hh_num_in!T20)</f>
        <v>0</v>
      </c>
      <c r="U20" s="132">
        <f>IF(SER_hh_emi_in!U20=0,0,1000000*SER_hh_emi_in!U20/SER_hh_num_in!U20)</f>
        <v>0</v>
      </c>
      <c r="V20" s="132">
        <f>IF(SER_hh_emi_in!V20=0,0,1000000*SER_hh_emi_in!V20/SER_hh_num_in!V20)</f>
        <v>0</v>
      </c>
      <c r="W20" s="132">
        <f>IF(SER_hh_emi_in!W20=0,0,1000000*SER_hh_emi_in!W20/SER_hh_num_in!W20)</f>
        <v>0</v>
      </c>
      <c r="X20" s="132">
        <f>IF(SER_hh_emi_in!X20=0,0,1000000*SER_hh_emi_in!X20/SER_hh_num_in!X20)</f>
        <v>0</v>
      </c>
      <c r="Y20" s="132">
        <f>IF(SER_hh_emi_in!Y20=0,0,1000000*SER_hh_emi_in!Y20/SER_hh_num_in!Y20)</f>
        <v>0</v>
      </c>
      <c r="DA20" s="156" t="s">
        <v>803</v>
      </c>
    </row>
    <row r="21" spans="1:105" s="2" customFormat="1" ht="12" customHeight="1" x14ac:dyDescent="0.25">
      <c r="A21" s="131" t="s">
        <v>52</v>
      </c>
      <c r="B21" s="132"/>
      <c r="C21" s="132">
        <f>IF(SER_hh_emi_in!C21=0,0,1000000*SER_hh_emi_in!C21/SER_hh_num_in!C21)</f>
        <v>0</v>
      </c>
      <c r="D21" s="132">
        <f>IF(SER_hh_emi_in!D21=0,0,1000000*SER_hh_emi_in!D21/SER_hh_num_in!D21)</f>
        <v>0</v>
      </c>
      <c r="E21" s="132">
        <f>IF(SER_hh_emi_in!E21=0,0,1000000*SER_hh_emi_in!E21/SER_hh_num_in!E21)</f>
        <v>0</v>
      </c>
      <c r="F21" s="132">
        <f>IF(SER_hh_emi_in!F21=0,0,1000000*SER_hh_emi_in!F21/SER_hh_num_in!F21)</f>
        <v>0</v>
      </c>
      <c r="G21" s="132">
        <f>IF(SER_hh_emi_in!G21=0,0,1000000*SER_hh_emi_in!G21/SER_hh_num_in!G21)</f>
        <v>0</v>
      </c>
      <c r="H21" s="132">
        <f>IF(SER_hh_emi_in!H21=0,0,1000000*SER_hh_emi_in!H21/SER_hh_num_in!H21)</f>
        <v>0</v>
      </c>
      <c r="I21" s="132">
        <f>IF(SER_hh_emi_in!I21=0,0,1000000*SER_hh_emi_in!I21/SER_hh_num_in!I21)</f>
        <v>0</v>
      </c>
      <c r="J21" s="132">
        <f>IF(SER_hh_emi_in!J21=0,0,1000000*SER_hh_emi_in!J21/SER_hh_num_in!J21)</f>
        <v>0</v>
      </c>
      <c r="K21" s="132">
        <f>IF(SER_hh_emi_in!K21=0,0,1000000*SER_hh_emi_in!K21/SER_hh_num_in!K21)</f>
        <v>0</v>
      </c>
      <c r="L21" s="132">
        <f>IF(SER_hh_emi_in!L21=0,0,1000000*SER_hh_emi_in!L21/SER_hh_num_in!L21)</f>
        <v>0</v>
      </c>
      <c r="M21" s="132">
        <f>IF(SER_hh_emi_in!M21=0,0,1000000*SER_hh_emi_in!M21/SER_hh_num_in!M21)</f>
        <v>0</v>
      </c>
      <c r="N21" s="132">
        <f>IF(SER_hh_emi_in!N21=0,0,1000000*SER_hh_emi_in!N21/SER_hh_num_in!N21)</f>
        <v>0</v>
      </c>
      <c r="O21" s="132">
        <f>IF(SER_hh_emi_in!O21=0,0,1000000*SER_hh_emi_in!O21/SER_hh_num_in!O21)</f>
        <v>0</v>
      </c>
      <c r="P21" s="132">
        <f>IF(SER_hh_emi_in!P21=0,0,1000000*SER_hh_emi_in!P21/SER_hh_num_in!P21)</f>
        <v>0</v>
      </c>
      <c r="Q21" s="132">
        <f>IF(SER_hh_emi_in!Q21=0,0,1000000*SER_hh_emi_in!Q21/SER_hh_num_in!Q21)</f>
        <v>0</v>
      </c>
      <c r="R21" s="132">
        <f>IF(SER_hh_emi_in!R21=0,0,1000000*SER_hh_emi_in!R21/SER_hh_num_in!R21)</f>
        <v>0</v>
      </c>
      <c r="S21" s="132">
        <f>IF(SER_hh_emi_in!S21=0,0,1000000*SER_hh_emi_in!S21/SER_hh_num_in!S21)</f>
        <v>0</v>
      </c>
      <c r="T21" s="132">
        <f>IF(SER_hh_emi_in!T21=0,0,1000000*SER_hh_emi_in!T21/SER_hh_num_in!T21)</f>
        <v>0</v>
      </c>
      <c r="U21" s="132">
        <f>IF(SER_hh_emi_in!U21=0,0,1000000*SER_hh_emi_in!U21/SER_hh_num_in!U21)</f>
        <v>0</v>
      </c>
      <c r="V21" s="132">
        <f>IF(SER_hh_emi_in!V21=0,0,1000000*SER_hh_emi_in!V21/SER_hh_num_in!V21)</f>
        <v>0</v>
      </c>
      <c r="W21" s="132">
        <f>IF(SER_hh_emi_in!W21=0,0,1000000*SER_hh_emi_in!W21/SER_hh_num_in!W21)</f>
        <v>0</v>
      </c>
      <c r="X21" s="132">
        <f>IF(SER_hh_emi_in!X21=0,0,1000000*SER_hh_emi_in!X21/SER_hh_num_in!X21)</f>
        <v>0</v>
      </c>
      <c r="Y21" s="132">
        <f>IF(SER_hh_emi_in!Y21=0,0,1000000*SER_hh_emi_in!Y21/SER_hh_num_in!Y21)</f>
        <v>0</v>
      </c>
      <c r="DA21" s="156" t="s">
        <v>804</v>
      </c>
    </row>
    <row r="22" spans="1:105" ht="12" customHeight="1" x14ac:dyDescent="0.25">
      <c r="A22" s="131" t="s">
        <v>161</v>
      </c>
      <c r="B22" s="132"/>
      <c r="C22" s="132">
        <f>IF(SER_hh_emi_in!C22=0,0,1000000*SER_hh_emi_in!C22/SER_hh_num_in!C22)</f>
        <v>7921.9732906103136</v>
      </c>
      <c r="D22" s="132">
        <f>IF(SER_hh_emi_in!D22=0,0,1000000*SER_hh_emi_in!D22/SER_hh_num_in!D22)</f>
        <v>8001.5045517666485</v>
      </c>
      <c r="E22" s="132">
        <f>IF(SER_hh_emi_in!E22=0,0,1000000*SER_hh_emi_in!E22/SER_hh_num_in!E22)</f>
        <v>7986.1170954229892</v>
      </c>
      <c r="F22" s="132">
        <f>IF(SER_hh_emi_in!F22=0,0,1000000*SER_hh_emi_in!F22/SER_hh_num_in!F22)</f>
        <v>7903.6431134860049</v>
      </c>
      <c r="G22" s="132">
        <f>IF(SER_hh_emi_in!G22=0,0,1000000*SER_hh_emi_in!G22/SER_hh_num_in!G22)</f>
        <v>7801.7517112540327</v>
      </c>
      <c r="H22" s="132">
        <f>IF(SER_hh_emi_in!H22=0,0,1000000*SER_hh_emi_in!H22/SER_hh_num_in!H22)</f>
        <v>7828.1653724765192</v>
      </c>
      <c r="I22" s="132">
        <f>IF(SER_hh_emi_in!I22=0,0,1000000*SER_hh_emi_in!I22/SER_hh_num_in!I22)</f>
        <v>7720.902695748744</v>
      </c>
      <c r="J22" s="132">
        <f>IF(SER_hh_emi_in!J22=0,0,1000000*SER_hh_emi_in!J22/SER_hh_num_in!J22)</f>
        <v>7567.2840893896373</v>
      </c>
      <c r="K22" s="132">
        <f>IF(SER_hh_emi_in!K22=0,0,1000000*SER_hh_emi_in!K22/SER_hh_num_in!K22)</f>
        <v>7304.031568344627</v>
      </c>
      <c r="L22" s="132">
        <f>IF(SER_hh_emi_in!L22=0,0,1000000*SER_hh_emi_in!L22/SER_hh_num_in!L22)</f>
        <v>7570.7102974581503</v>
      </c>
      <c r="M22" s="132">
        <f>IF(SER_hh_emi_in!M22=0,0,1000000*SER_hh_emi_in!M22/SER_hh_num_in!M22)</f>
        <v>7411.9718366538891</v>
      </c>
      <c r="N22" s="132">
        <f>IF(SER_hh_emi_in!N22=0,0,1000000*SER_hh_emi_in!N22/SER_hh_num_in!N22)</f>
        <v>7163.4221708499535</v>
      </c>
      <c r="O22" s="132">
        <f>IF(SER_hh_emi_in!O22=0,0,1000000*SER_hh_emi_in!O22/SER_hh_num_in!O22)</f>
        <v>6968.7492676751826</v>
      </c>
      <c r="P22" s="132">
        <f>IF(SER_hh_emi_in!P22=0,0,1000000*SER_hh_emi_in!P22/SER_hh_num_in!P22)</f>
        <v>6487.538087443907</v>
      </c>
      <c r="Q22" s="132">
        <f>IF(SER_hh_emi_in!Q22=0,0,1000000*SER_hh_emi_in!Q22/SER_hh_num_in!Q22)</f>
        <v>6280.5359795709264</v>
      </c>
      <c r="R22" s="132">
        <f>IF(SER_hh_emi_in!R22=0,0,1000000*SER_hh_emi_in!R22/SER_hh_num_in!R22)</f>
        <v>6405.6427091969281</v>
      </c>
      <c r="S22" s="132">
        <f>IF(SER_hh_emi_in!S22=0,0,1000000*SER_hh_emi_in!S22/SER_hh_num_in!S22)</f>
        <v>5955.1938316463184</v>
      </c>
      <c r="T22" s="132">
        <f>IF(SER_hh_emi_in!T22=0,0,1000000*SER_hh_emi_in!T22/SER_hh_num_in!T22)</f>
        <v>5540.6803484332031</v>
      </c>
      <c r="U22" s="132">
        <f>IF(SER_hh_emi_in!U22=0,0,1000000*SER_hh_emi_in!U22/SER_hh_num_in!U22)</f>
        <v>5574.5457137203857</v>
      </c>
      <c r="V22" s="132">
        <f>IF(SER_hh_emi_in!V22=0,0,1000000*SER_hh_emi_in!V22/SER_hh_num_in!V22)</f>
        <v>5070.4578712303528</v>
      </c>
      <c r="W22" s="132">
        <f>IF(SER_hh_emi_in!W22=0,0,1000000*SER_hh_emi_in!W22/SER_hh_num_in!W22)</f>
        <v>5738.0308388316444</v>
      </c>
      <c r="X22" s="132">
        <f>IF(SER_hh_emi_in!X22=0,0,1000000*SER_hh_emi_in!X22/SER_hh_num_in!X22)</f>
        <v>5371.3056174846497</v>
      </c>
      <c r="Y22" s="132">
        <f>IF(SER_hh_emi_in!Y22=0,0,1000000*SER_hh_emi_in!Y22/SER_hh_num_in!Y22)</f>
        <v>5179.4182908269386</v>
      </c>
      <c r="DA22" s="156" t="s">
        <v>805</v>
      </c>
    </row>
    <row r="23" spans="1:105" ht="12" customHeight="1" x14ac:dyDescent="0.25">
      <c r="A23" s="131" t="s">
        <v>149</v>
      </c>
      <c r="B23" s="132"/>
      <c r="C23" s="132">
        <f>IF(SER_hh_emi_in!C23=0,0,1000000*SER_hh_emi_in!C23/SER_hh_num_in!C23)</f>
        <v>4436.4609393012579</v>
      </c>
      <c r="D23" s="132">
        <f>IF(SER_hh_emi_in!D23=0,0,1000000*SER_hh_emi_in!D23/SER_hh_num_in!D23)</f>
        <v>4228.4425092452238</v>
      </c>
      <c r="E23" s="132">
        <f>IF(SER_hh_emi_in!E23=0,0,1000000*SER_hh_emi_in!E23/SER_hh_num_in!E23)</f>
        <v>4008.8046111672916</v>
      </c>
      <c r="F23" s="132">
        <f>IF(SER_hh_emi_in!F23=0,0,1000000*SER_hh_emi_in!F23/SER_hh_num_in!F23)</f>
        <v>3860.2776455519747</v>
      </c>
      <c r="G23" s="132">
        <f>IF(SER_hh_emi_in!G23=0,0,1000000*SER_hh_emi_in!G23/SER_hh_num_in!G23)</f>
        <v>3948.431381987039</v>
      </c>
      <c r="H23" s="132">
        <f>IF(SER_hh_emi_in!H23=0,0,1000000*SER_hh_emi_in!H23/SER_hh_num_in!H23)</f>
        <v>3821.5640480864463</v>
      </c>
      <c r="I23" s="132">
        <f>IF(SER_hh_emi_in!I23=0,0,1000000*SER_hh_emi_in!I23/SER_hh_num_in!I23)</f>
        <v>3721.025227922501</v>
      </c>
      <c r="J23" s="132">
        <f>IF(SER_hh_emi_in!J23=0,0,1000000*SER_hh_emi_in!J23/SER_hh_num_in!J23)</f>
        <v>3678.3273106611596</v>
      </c>
      <c r="K23" s="132">
        <f>IF(SER_hh_emi_in!K23=0,0,1000000*SER_hh_emi_in!K23/SER_hh_num_in!K23)</f>
        <v>3655.9360843575446</v>
      </c>
      <c r="L23" s="132">
        <f>IF(SER_hh_emi_in!L23=0,0,1000000*SER_hh_emi_in!L23/SER_hh_num_in!L23)</f>
        <v>3664.9603594597606</v>
      </c>
      <c r="M23" s="132">
        <f>IF(SER_hh_emi_in!M23=0,0,1000000*SER_hh_emi_in!M23/SER_hh_num_in!M23)</f>
        <v>3580.2120319115361</v>
      </c>
      <c r="N23" s="132">
        <f>IF(SER_hh_emi_in!N23=0,0,1000000*SER_hh_emi_in!N23/SER_hh_num_in!N23)</f>
        <v>2943.9219062737429</v>
      </c>
      <c r="O23" s="132">
        <f>IF(SER_hh_emi_in!O23=0,0,1000000*SER_hh_emi_in!O23/SER_hh_num_in!O23)</f>
        <v>3334.7336111172549</v>
      </c>
      <c r="P23" s="132">
        <f>IF(SER_hh_emi_in!P23=0,0,1000000*SER_hh_emi_in!P23/SER_hh_num_in!P23)</f>
        <v>3002.3029572223982</v>
      </c>
      <c r="Q23" s="132">
        <f>IF(SER_hh_emi_in!Q23=0,0,1000000*SER_hh_emi_in!Q23/SER_hh_num_in!Q23)</f>
        <v>3025.588308443987</v>
      </c>
      <c r="R23" s="132">
        <f>IF(SER_hh_emi_in!R23=0,0,1000000*SER_hh_emi_in!R23/SER_hh_num_in!R23)</f>
        <v>2971.9220221736073</v>
      </c>
      <c r="S23" s="132">
        <f>IF(SER_hh_emi_in!S23=0,0,1000000*SER_hh_emi_in!S23/SER_hh_num_in!S23)</f>
        <v>2788.4758963716263</v>
      </c>
      <c r="T23" s="132">
        <f>IF(SER_hh_emi_in!T23=0,0,1000000*SER_hh_emi_in!T23/SER_hh_num_in!T23)</f>
        <v>2381.4544619386152</v>
      </c>
      <c r="U23" s="132">
        <f>IF(SER_hh_emi_in!U23=0,0,1000000*SER_hh_emi_in!U23/SER_hh_num_in!U23)</f>
        <v>2447.6886678554347</v>
      </c>
      <c r="V23" s="132">
        <f>IF(SER_hh_emi_in!V23=0,0,1000000*SER_hh_emi_in!V23/SER_hh_num_in!V23)</f>
        <v>2262.518781937888</v>
      </c>
      <c r="W23" s="132">
        <f>IF(SER_hh_emi_in!W23=0,0,1000000*SER_hh_emi_in!W23/SER_hh_num_in!W23)</f>
        <v>2858.2023869780896</v>
      </c>
      <c r="X23" s="132">
        <f>IF(SER_hh_emi_in!X23=0,0,1000000*SER_hh_emi_in!X23/SER_hh_num_in!X23)</f>
        <v>2413.6175361480932</v>
      </c>
      <c r="Y23" s="132">
        <f>IF(SER_hh_emi_in!Y23=0,0,1000000*SER_hh_emi_in!Y23/SER_hh_num_in!Y23)</f>
        <v>0</v>
      </c>
      <c r="DA23" s="156" t="s">
        <v>806</v>
      </c>
    </row>
    <row r="24" spans="1:105" ht="12" customHeight="1" x14ac:dyDescent="0.25">
      <c r="A24" s="131" t="s">
        <v>128</v>
      </c>
      <c r="B24" s="132"/>
      <c r="C24" s="132">
        <f>IF(SER_hh_emi_in!C24=0,0,1000000*SER_hh_emi_in!C24/SER_hh_num_in!C24)</f>
        <v>0</v>
      </c>
      <c r="D24" s="132">
        <f>IF(SER_hh_emi_in!D24=0,0,1000000*SER_hh_emi_in!D24/SER_hh_num_in!D24)</f>
        <v>0</v>
      </c>
      <c r="E24" s="132">
        <f>IF(SER_hh_emi_in!E24=0,0,1000000*SER_hh_emi_in!E24/SER_hh_num_in!E24)</f>
        <v>0</v>
      </c>
      <c r="F24" s="132">
        <f>IF(SER_hh_emi_in!F24=0,0,1000000*SER_hh_emi_in!F24/SER_hh_num_in!F24)</f>
        <v>0</v>
      </c>
      <c r="G24" s="132">
        <f>IF(SER_hh_emi_in!G24=0,0,1000000*SER_hh_emi_in!G24/SER_hh_num_in!G24)</f>
        <v>0</v>
      </c>
      <c r="H24" s="132">
        <f>IF(SER_hh_emi_in!H24=0,0,1000000*SER_hh_emi_in!H24/SER_hh_num_in!H24)</f>
        <v>0</v>
      </c>
      <c r="I24" s="132">
        <f>IF(SER_hh_emi_in!I24=0,0,1000000*SER_hh_emi_in!I24/SER_hh_num_in!I24)</f>
        <v>0</v>
      </c>
      <c r="J24" s="132">
        <f>IF(SER_hh_emi_in!J24=0,0,1000000*SER_hh_emi_in!J24/SER_hh_num_in!J24)</f>
        <v>634.62614180252081</v>
      </c>
      <c r="K24" s="132">
        <f>IF(SER_hh_emi_in!K24=0,0,1000000*SER_hh_emi_in!K24/SER_hh_num_in!K24)</f>
        <v>206.90765012645772</v>
      </c>
      <c r="L24" s="132">
        <f>IF(SER_hh_emi_in!L24=0,0,1000000*SER_hh_emi_in!L24/SER_hh_num_in!L24)</f>
        <v>235.90476502166248</v>
      </c>
      <c r="M24" s="132">
        <f>IF(SER_hh_emi_in!M24=0,0,1000000*SER_hh_emi_in!M24/SER_hh_num_in!M24)</f>
        <v>303.29548660682661</v>
      </c>
      <c r="N24" s="132">
        <f>IF(SER_hh_emi_in!N24=0,0,1000000*SER_hh_emi_in!N24/SER_hh_num_in!N24)</f>
        <v>208.69593023691442</v>
      </c>
      <c r="O24" s="132">
        <f>IF(SER_hh_emi_in!O24=0,0,1000000*SER_hh_emi_in!O24/SER_hh_num_in!O24)</f>
        <v>66.126296420590407</v>
      </c>
      <c r="P24" s="132">
        <f>IF(SER_hh_emi_in!P24=0,0,1000000*SER_hh_emi_in!P24/SER_hh_num_in!P24)</f>
        <v>143.99543289020451</v>
      </c>
      <c r="Q24" s="132">
        <f>IF(SER_hh_emi_in!Q24=0,0,1000000*SER_hh_emi_in!Q24/SER_hh_num_in!Q24)</f>
        <v>158.12935627371874</v>
      </c>
      <c r="R24" s="132">
        <f>IF(SER_hh_emi_in!R24=0,0,1000000*SER_hh_emi_in!R24/SER_hh_num_in!R24)</f>
        <v>171.6059366953375</v>
      </c>
      <c r="S24" s="132">
        <f>IF(SER_hh_emi_in!S24=0,0,1000000*SER_hh_emi_in!S24/SER_hh_num_in!S24)</f>
        <v>150.31597114560105</v>
      </c>
      <c r="T24" s="132">
        <f>IF(SER_hh_emi_in!T24=0,0,1000000*SER_hh_emi_in!T24/SER_hh_num_in!T24)</f>
        <v>175.11066402630794</v>
      </c>
      <c r="U24" s="132">
        <f>IF(SER_hh_emi_in!U24=0,0,1000000*SER_hh_emi_in!U24/SER_hh_num_in!U24)</f>
        <v>127.76973812901146</v>
      </c>
      <c r="V24" s="132">
        <f>IF(SER_hh_emi_in!V24=0,0,1000000*SER_hh_emi_in!V24/SER_hh_num_in!V24)</f>
        <v>151.72229576460501</v>
      </c>
      <c r="W24" s="132">
        <f>IF(SER_hh_emi_in!W24=0,0,1000000*SER_hh_emi_in!W24/SER_hh_num_in!W24)</f>
        <v>181.47303737342122</v>
      </c>
      <c r="X24" s="132">
        <f>IF(SER_hh_emi_in!X24=0,0,1000000*SER_hh_emi_in!X24/SER_hh_num_in!X24)</f>
        <v>1240.628554780968</v>
      </c>
      <c r="Y24" s="132">
        <f>IF(SER_hh_emi_in!Y24=0,0,1000000*SER_hh_emi_in!Y24/SER_hh_num_in!Y24)</f>
        <v>137.86862190848728</v>
      </c>
      <c r="DA24" s="156" t="s">
        <v>807</v>
      </c>
    </row>
    <row r="25" spans="1:105" ht="12" customHeight="1" x14ac:dyDescent="0.25">
      <c r="A25" s="131" t="s">
        <v>162</v>
      </c>
      <c r="B25" s="132"/>
      <c r="C25" s="132">
        <f>IF(SER_hh_emi_in!C25=0,0,1000000*SER_hh_emi_in!C25/SER_hh_num_in!C25)</f>
        <v>0</v>
      </c>
      <c r="D25" s="132">
        <f>IF(SER_hh_emi_in!D25=0,0,1000000*SER_hh_emi_in!D25/SER_hh_num_in!D25)</f>
        <v>0</v>
      </c>
      <c r="E25" s="132">
        <f>IF(SER_hh_emi_in!E25=0,0,1000000*SER_hh_emi_in!E25/SER_hh_num_in!E25)</f>
        <v>0</v>
      </c>
      <c r="F25" s="132">
        <f>IF(SER_hh_emi_in!F25=0,0,1000000*SER_hh_emi_in!F25/SER_hh_num_in!F25)</f>
        <v>0</v>
      </c>
      <c r="G25" s="132">
        <f>IF(SER_hh_emi_in!G25=0,0,1000000*SER_hh_emi_in!G25/SER_hh_num_in!G25)</f>
        <v>0</v>
      </c>
      <c r="H25" s="132">
        <f>IF(SER_hh_emi_in!H25=0,0,1000000*SER_hh_emi_in!H25/SER_hh_num_in!H25)</f>
        <v>0</v>
      </c>
      <c r="I25" s="132">
        <f>IF(SER_hh_emi_in!I25=0,0,1000000*SER_hh_emi_in!I25/SER_hh_num_in!I25)</f>
        <v>0</v>
      </c>
      <c r="J25" s="132">
        <f>IF(SER_hh_emi_in!J25=0,0,1000000*SER_hh_emi_in!J25/SER_hh_num_in!J25)</f>
        <v>0</v>
      </c>
      <c r="K25" s="132">
        <f>IF(SER_hh_emi_in!K25=0,0,1000000*SER_hh_emi_in!K25/SER_hh_num_in!K25)</f>
        <v>0</v>
      </c>
      <c r="L25" s="132">
        <f>IF(SER_hh_emi_in!L25=0,0,1000000*SER_hh_emi_in!L25/SER_hh_num_in!L25)</f>
        <v>0</v>
      </c>
      <c r="M25" s="132">
        <f>IF(SER_hh_emi_in!M25=0,0,1000000*SER_hh_emi_in!M25/SER_hh_num_in!M25)</f>
        <v>0</v>
      </c>
      <c r="N25" s="132">
        <f>IF(SER_hh_emi_in!N25=0,0,1000000*SER_hh_emi_in!N25/SER_hh_num_in!N25)</f>
        <v>0</v>
      </c>
      <c r="O25" s="132">
        <f>IF(SER_hh_emi_in!O25=0,0,1000000*SER_hh_emi_in!O25/SER_hh_num_in!O25)</f>
        <v>0</v>
      </c>
      <c r="P25" s="132">
        <f>IF(SER_hh_emi_in!P25=0,0,1000000*SER_hh_emi_in!P25/SER_hh_num_in!P25)</f>
        <v>0</v>
      </c>
      <c r="Q25" s="132">
        <f>IF(SER_hh_emi_in!Q25=0,0,1000000*SER_hh_emi_in!Q25/SER_hh_num_in!Q25)</f>
        <v>0</v>
      </c>
      <c r="R25" s="132">
        <f>IF(SER_hh_emi_in!R25=0,0,1000000*SER_hh_emi_in!R25/SER_hh_num_in!R25)</f>
        <v>0</v>
      </c>
      <c r="S25" s="132">
        <f>IF(SER_hh_emi_in!S25=0,0,1000000*SER_hh_emi_in!S25/SER_hh_num_in!S25)</f>
        <v>0</v>
      </c>
      <c r="T25" s="132">
        <f>IF(SER_hh_emi_in!T25=0,0,1000000*SER_hh_emi_in!T25/SER_hh_num_in!T25)</f>
        <v>0</v>
      </c>
      <c r="U25" s="132">
        <f>IF(SER_hh_emi_in!U25=0,0,1000000*SER_hh_emi_in!U25/SER_hh_num_in!U25)</f>
        <v>0</v>
      </c>
      <c r="V25" s="132">
        <f>IF(SER_hh_emi_in!V25=0,0,1000000*SER_hh_emi_in!V25/SER_hh_num_in!V25)</f>
        <v>0</v>
      </c>
      <c r="W25" s="132">
        <f>IF(SER_hh_emi_in!W25=0,0,1000000*SER_hh_emi_in!W25/SER_hh_num_in!W25)</f>
        <v>0</v>
      </c>
      <c r="X25" s="132">
        <f>IF(SER_hh_emi_in!X25=0,0,1000000*SER_hh_emi_in!X25/SER_hh_num_in!X25)</f>
        <v>0</v>
      </c>
      <c r="Y25" s="132">
        <f>IF(SER_hh_emi_in!Y25=0,0,1000000*SER_hh_emi_in!Y25/SER_hh_num_in!Y25)</f>
        <v>0</v>
      </c>
      <c r="DA25" s="156" t="s">
        <v>808</v>
      </c>
    </row>
    <row r="26" spans="1:105" ht="12" customHeight="1" x14ac:dyDescent="0.25">
      <c r="A26" s="131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X26" s="65">
        <f>IF(SER_hh_emi_in!X26=0,0,1000000*SER_hh_emi_in!X26/SER_hh_num_in!X26)</f>
        <v>0</v>
      </c>
      <c r="Y26" s="65">
        <f>IF(SER_hh_emi_in!Y26=0,0,1000000*SER_hh_emi_in!Y26/SER_hh_num_in!Y26)</f>
        <v>0</v>
      </c>
      <c r="DA26" s="109" t="s">
        <v>809</v>
      </c>
    </row>
    <row r="27" spans="1:105" ht="12" customHeight="1" x14ac:dyDescent="0.25">
      <c r="A27" s="144" t="s">
        <v>86</v>
      </c>
      <c r="B27" s="147"/>
      <c r="C27" s="145">
        <f>IF(SER_hh_emi_in!C27=0,0,1000000*SER_hh_emi_in!C27/SER_hh_num_in!C19)</f>
        <v>0</v>
      </c>
      <c r="D27" s="145">
        <f>IF(SER_hh_emi_in!D27=0,0,1000000*SER_hh_emi_in!D27/SER_hh_num_in!D19)</f>
        <v>0</v>
      </c>
      <c r="E27" s="145">
        <f>IF(SER_hh_emi_in!E27=0,0,1000000*SER_hh_emi_in!E27/SER_hh_num_in!E19)</f>
        <v>0</v>
      </c>
      <c r="F27" s="145">
        <f>IF(SER_hh_emi_in!F27=0,0,1000000*SER_hh_emi_in!F27/SER_hh_num_in!F19)</f>
        <v>0</v>
      </c>
      <c r="G27" s="145">
        <f>IF(SER_hh_emi_in!G27=0,0,1000000*SER_hh_emi_in!G27/SER_hh_num_in!G19)</f>
        <v>0</v>
      </c>
      <c r="H27" s="145">
        <f>IF(SER_hh_emi_in!H27=0,0,1000000*SER_hh_emi_in!H27/SER_hh_num_in!H19)</f>
        <v>0</v>
      </c>
      <c r="I27" s="145">
        <f>IF(SER_hh_emi_in!I27=0,0,1000000*SER_hh_emi_in!I27/SER_hh_num_in!I19)</f>
        <v>0</v>
      </c>
      <c r="J27" s="145">
        <f>IF(SER_hh_emi_in!J27=0,0,1000000*SER_hh_emi_in!J27/SER_hh_num_in!J19)</f>
        <v>0</v>
      </c>
      <c r="K27" s="145">
        <f>IF(SER_hh_emi_in!K27=0,0,1000000*SER_hh_emi_in!K27/SER_hh_num_in!K19)</f>
        <v>0</v>
      </c>
      <c r="L27" s="145">
        <f>IF(SER_hh_emi_in!L27=0,0,1000000*SER_hh_emi_in!L27/SER_hh_num_in!L19)</f>
        <v>0</v>
      </c>
      <c r="M27" s="145">
        <f>IF(SER_hh_emi_in!M27=0,0,1000000*SER_hh_emi_in!M27/SER_hh_num_in!M19)</f>
        <v>0</v>
      </c>
      <c r="N27" s="145">
        <f>IF(SER_hh_emi_in!N27=0,0,1000000*SER_hh_emi_in!N27/SER_hh_num_in!N19)</f>
        <v>0</v>
      </c>
      <c r="O27" s="145">
        <f>IF(SER_hh_emi_in!O27=0,0,1000000*SER_hh_emi_in!O27/SER_hh_num_in!O19)</f>
        <v>0</v>
      </c>
      <c r="P27" s="145">
        <f>IF(SER_hh_emi_in!P27=0,0,1000000*SER_hh_emi_in!P27/SER_hh_num_in!P19)</f>
        <v>0</v>
      </c>
      <c r="Q27" s="145">
        <f>IF(SER_hh_emi_in!Q27=0,0,1000000*SER_hh_emi_in!Q27/SER_hh_num_in!Q19)</f>
        <v>0</v>
      </c>
      <c r="R27" s="145">
        <f>IF(SER_hh_emi_in!R27=0,0,1000000*SER_hh_emi_in!R27/SER_hh_num_in!R19)</f>
        <v>0</v>
      </c>
      <c r="S27" s="145">
        <f>IF(SER_hh_emi_in!S27=0,0,1000000*SER_hh_emi_in!S27/SER_hh_num_in!S19)</f>
        <v>0</v>
      </c>
      <c r="T27" s="145">
        <f>IF(SER_hh_emi_in!T27=0,0,1000000*SER_hh_emi_in!T27/SER_hh_num_in!T19)</f>
        <v>0</v>
      </c>
      <c r="U27" s="145">
        <f>IF(SER_hh_emi_in!U27=0,0,1000000*SER_hh_emi_in!U27/SER_hh_num_in!U19)</f>
        <v>0</v>
      </c>
      <c r="V27" s="145">
        <f>IF(SER_hh_emi_in!V27=0,0,1000000*SER_hh_emi_in!V27/SER_hh_num_in!V19)</f>
        <v>0</v>
      </c>
      <c r="W27" s="145">
        <f>IF(SER_hh_emi_in!W27=0,0,1000000*SER_hh_emi_in!W27/SER_hh_num_in!W19)</f>
        <v>0</v>
      </c>
      <c r="X27" s="145">
        <f>IF(SER_hh_emi_in!X27=0,0,1000000*SER_hh_emi_in!X27/SER_hh_num_in!X19)</f>
        <v>0</v>
      </c>
      <c r="Y27" s="145">
        <f>IF(SER_hh_emi_in!Y27=0,0,1000000*SER_hh_emi_in!Y27/SER_hh_num_in!Y19)</f>
        <v>0</v>
      </c>
      <c r="DA27" s="158" t="s">
        <v>810</v>
      </c>
    </row>
    <row r="28" spans="1:105" ht="12" customHeight="1" x14ac:dyDescent="0.25">
      <c r="A28" s="78" t="s">
        <v>85</v>
      </c>
      <c r="B28" s="68"/>
      <c r="C28" s="146">
        <f>IF(SER_hh_emi_in!C27=0,0,1000000*SER_hh_emi_in!C27/SER_hh_num_in!C27)</f>
        <v>0</v>
      </c>
      <c r="D28" s="146">
        <f>IF(SER_hh_emi_in!D27=0,0,1000000*SER_hh_emi_in!D27/SER_hh_num_in!D27)</f>
        <v>0</v>
      </c>
      <c r="E28" s="146">
        <f>IF(SER_hh_emi_in!E27=0,0,1000000*SER_hh_emi_in!E27/SER_hh_num_in!E27)</f>
        <v>0</v>
      </c>
      <c r="F28" s="146">
        <f>IF(SER_hh_emi_in!F27=0,0,1000000*SER_hh_emi_in!F27/SER_hh_num_in!F27)</f>
        <v>0</v>
      </c>
      <c r="G28" s="146">
        <f>IF(SER_hh_emi_in!G27=0,0,1000000*SER_hh_emi_in!G27/SER_hh_num_in!G27)</f>
        <v>0</v>
      </c>
      <c r="H28" s="146">
        <f>IF(SER_hh_emi_in!H27=0,0,1000000*SER_hh_emi_in!H27/SER_hh_num_in!H27)</f>
        <v>0</v>
      </c>
      <c r="I28" s="146">
        <f>IF(SER_hh_emi_in!I27=0,0,1000000*SER_hh_emi_in!I27/SER_hh_num_in!I27)</f>
        <v>0</v>
      </c>
      <c r="J28" s="146">
        <f>IF(SER_hh_emi_in!J27=0,0,1000000*SER_hh_emi_in!J27/SER_hh_num_in!J27)</f>
        <v>0</v>
      </c>
      <c r="K28" s="146">
        <f>IF(SER_hh_emi_in!K27=0,0,1000000*SER_hh_emi_in!K27/SER_hh_num_in!K27)</f>
        <v>0</v>
      </c>
      <c r="L28" s="146">
        <f>IF(SER_hh_emi_in!L27=0,0,1000000*SER_hh_emi_in!L27/SER_hh_num_in!L27)</f>
        <v>0</v>
      </c>
      <c r="M28" s="146">
        <f>IF(SER_hh_emi_in!M27=0,0,1000000*SER_hh_emi_in!M27/SER_hh_num_in!M27)</f>
        <v>0</v>
      </c>
      <c r="N28" s="146">
        <f>IF(SER_hh_emi_in!N27=0,0,1000000*SER_hh_emi_in!N27/SER_hh_num_in!N27)</f>
        <v>0</v>
      </c>
      <c r="O28" s="146">
        <f>IF(SER_hh_emi_in!O27=0,0,1000000*SER_hh_emi_in!O27/SER_hh_num_in!O27)</f>
        <v>0</v>
      </c>
      <c r="P28" s="146">
        <f>IF(SER_hh_emi_in!P27=0,0,1000000*SER_hh_emi_in!P27/SER_hh_num_in!P27)</f>
        <v>0</v>
      </c>
      <c r="Q28" s="146">
        <f>IF(SER_hh_emi_in!Q27=0,0,1000000*SER_hh_emi_in!Q27/SER_hh_num_in!Q27)</f>
        <v>0</v>
      </c>
      <c r="R28" s="146">
        <f>IF(SER_hh_emi_in!R27=0,0,1000000*SER_hh_emi_in!R27/SER_hh_num_in!R27)</f>
        <v>0</v>
      </c>
      <c r="S28" s="146">
        <f>IF(SER_hh_emi_in!S27=0,0,1000000*SER_hh_emi_in!S27/SER_hh_num_in!S27)</f>
        <v>0</v>
      </c>
      <c r="T28" s="146">
        <f>IF(SER_hh_emi_in!T27=0,0,1000000*SER_hh_emi_in!T27/SER_hh_num_in!T27)</f>
        <v>0</v>
      </c>
      <c r="U28" s="146">
        <f>IF(SER_hh_emi_in!U27=0,0,1000000*SER_hh_emi_in!U27/SER_hh_num_in!U27)</f>
        <v>0</v>
      </c>
      <c r="V28" s="146">
        <f>IF(SER_hh_emi_in!V27=0,0,1000000*SER_hh_emi_in!V27/SER_hh_num_in!V27)</f>
        <v>0</v>
      </c>
      <c r="W28" s="146">
        <f>IF(SER_hh_emi_in!W27=0,0,1000000*SER_hh_emi_in!W27/SER_hh_num_in!W27)</f>
        <v>0</v>
      </c>
      <c r="X28" s="146">
        <f>IF(SER_hh_emi_in!X27=0,0,1000000*SER_hh_emi_in!X27/SER_hh_num_in!X27)</f>
        <v>0</v>
      </c>
      <c r="Y28" s="146">
        <f>IF(SER_hh_emi_in!Y27=0,0,1000000*SER_hh_emi_in!Y27/SER_hh_num_in!Y27)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IF(SER_hh_emi_in!C29=0,0,1000000*SER_hh_emi_in!C29/SER_hh_num_in!C29)</f>
        <v>92.137685395478073</v>
      </c>
      <c r="D29" s="130">
        <f>IF(SER_hh_emi_in!D29=0,0,1000000*SER_hh_emi_in!D29/SER_hh_num_in!D29)</f>
        <v>94.626459456889563</v>
      </c>
      <c r="E29" s="130">
        <f>IF(SER_hh_emi_in!E29=0,0,1000000*SER_hh_emi_in!E29/SER_hh_num_in!E29)</f>
        <v>87.520293834536659</v>
      </c>
      <c r="F29" s="130">
        <f>IF(SER_hh_emi_in!F29=0,0,1000000*SER_hh_emi_in!F29/SER_hh_num_in!F29)</f>
        <v>76.343468791187078</v>
      </c>
      <c r="G29" s="130">
        <f>IF(SER_hh_emi_in!G29=0,0,1000000*SER_hh_emi_in!G29/SER_hh_num_in!G29)</f>
        <v>74.804748202431611</v>
      </c>
      <c r="H29" s="130">
        <f>IF(SER_hh_emi_in!H29=0,0,1000000*SER_hh_emi_in!H29/SER_hh_num_in!H29)</f>
        <v>70.158356578696015</v>
      </c>
      <c r="I29" s="130">
        <f>IF(SER_hh_emi_in!I29=0,0,1000000*SER_hh_emi_in!I29/SER_hh_num_in!I29)</f>
        <v>64.874166686409396</v>
      </c>
      <c r="J29" s="130">
        <f>IF(SER_hh_emi_in!J29=0,0,1000000*SER_hh_emi_in!J29/SER_hh_num_in!J29)</f>
        <v>60.363618039940235</v>
      </c>
      <c r="K29" s="130">
        <f>IF(SER_hh_emi_in!K29=0,0,1000000*SER_hh_emi_in!K29/SER_hh_num_in!K29)</f>
        <v>47.213892612472037</v>
      </c>
      <c r="L29" s="130">
        <f>IF(SER_hh_emi_in!L29=0,0,1000000*SER_hh_emi_in!L29/SER_hh_num_in!L29)</f>
        <v>37.757374233538741</v>
      </c>
      <c r="M29" s="130">
        <f>IF(SER_hh_emi_in!M29=0,0,1000000*SER_hh_emi_in!M29/SER_hh_num_in!M29)</f>
        <v>10.039879013270967</v>
      </c>
      <c r="N29" s="130">
        <f>IF(SER_hh_emi_in!N29=0,0,1000000*SER_hh_emi_in!N29/SER_hh_num_in!N29)</f>
        <v>38.197047280880625</v>
      </c>
      <c r="O29" s="130">
        <f>IF(SER_hh_emi_in!O29=0,0,1000000*SER_hh_emi_in!O29/SER_hh_num_in!O29)</f>
        <v>57.441762624366667</v>
      </c>
      <c r="P29" s="130">
        <f>IF(SER_hh_emi_in!P29=0,0,1000000*SER_hh_emi_in!P29/SER_hh_num_in!P29)</f>
        <v>49.074035866023522</v>
      </c>
      <c r="Q29" s="130">
        <f>IF(SER_hh_emi_in!Q29=0,0,1000000*SER_hh_emi_in!Q29/SER_hh_num_in!Q29)</f>
        <v>51.950294695666102</v>
      </c>
      <c r="R29" s="130">
        <f>IF(SER_hh_emi_in!R29=0,0,1000000*SER_hh_emi_in!R29/SER_hh_num_in!R29)</f>
        <v>44.954664272768611</v>
      </c>
      <c r="S29" s="130">
        <f>IF(SER_hh_emi_in!S29=0,0,1000000*SER_hh_emi_in!S29/SER_hh_num_in!S29)</f>
        <v>43.444886617608503</v>
      </c>
      <c r="T29" s="130">
        <f>IF(SER_hh_emi_in!T29=0,0,1000000*SER_hh_emi_in!T29/SER_hh_num_in!T29)</f>
        <v>20.204379919118182</v>
      </c>
      <c r="U29" s="130">
        <f>IF(SER_hh_emi_in!U29=0,0,1000000*SER_hh_emi_in!U29/SER_hh_num_in!U29)</f>
        <v>28.888280565551643</v>
      </c>
      <c r="V29" s="130">
        <f>IF(SER_hh_emi_in!V29=0,0,1000000*SER_hh_emi_in!V29/SER_hh_num_in!V29)</f>
        <v>35.79218864255359</v>
      </c>
      <c r="W29" s="130">
        <f>IF(SER_hh_emi_in!W29=0,0,1000000*SER_hh_emi_in!W29/SER_hh_num_in!W29)</f>
        <v>14.011166719749555</v>
      </c>
      <c r="X29" s="130">
        <f>IF(SER_hh_emi_in!X29=0,0,1000000*SER_hh_emi_in!X29/SER_hh_num_in!X29)</f>
        <v>10.826366551207611</v>
      </c>
      <c r="Y29" s="130">
        <f>IF(SER_hh_emi_in!Y29=0,0,1000000*SER_hh_emi_in!Y29/SER_hh_num_in!Y29)</f>
        <v>4.881729316010996</v>
      </c>
      <c r="DA29" s="155" t="s">
        <v>811</v>
      </c>
    </row>
    <row r="30" spans="1:105" s="2" customFormat="1" ht="12" customHeight="1" x14ac:dyDescent="0.25">
      <c r="A30" s="131" t="s">
        <v>52</v>
      </c>
      <c r="B30" s="132"/>
      <c r="C30" s="132">
        <f>IF(SER_hh_emi_in!C30=0,0,1000000*SER_hh_emi_in!C30/SER_hh_num_in!C30)</f>
        <v>0</v>
      </c>
      <c r="D30" s="132">
        <f>IF(SER_hh_emi_in!D30=0,0,1000000*SER_hh_emi_in!D30/SER_hh_num_in!D30)</f>
        <v>0</v>
      </c>
      <c r="E30" s="132">
        <f>IF(SER_hh_emi_in!E30=0,0,1000000*SER_hh_emi_in!E30/SER_hh_num_in!E30)</f>
        <v>0</v>
      </c>
      <c r="F30" s="132">
        <f>IF(SER_hh_emi_in!F30=0,0,1000000*SER_hh_emi_in!F30/SER_hh_num_in!F30)</f>
        <v>0</v>
      </c>
      <c r="G30" s="132">
        <f>IF(SER_hh_emi_in!G30=0,0,1000000*SER_hh_emi_in!G30/SER_hh_num_in!G30)</f>
        <v>0</v>
      </c>
      <c r="H30" s="132">
        <f>IF(SER_hh_emi_in!H30=0,0,1000000*SER_hh_emi_in!H30/SER_hh_num_in!H30)</f>
        <v>0</v>
      </c>
      <c r="I30" s="132">
        <f>IF(SER_hh_emi_in!I30=0,0,1000000*SER_hh_emi_in!I30/SER_hh_num_in!I30)</f>
        <v>0</v>
      </c>
      <c r="J30" s="132">
        <f>IF(SER_hh_emi_in!J30=0,0,1000000*SER_hh_emi_in!J30/SER_hh_num_in!J30)</f>
        <v>0</v>
      </c>
      <c r="K30" s="132">
        <f>IF(SER_hh_emi_in!K30=0,0,1000000*SER_hh_emi_in!K30/SER_hh_num_in!K30)</f>
        <v>0</v>
      </c>
      <c r="L30" s="132">
        <f>IF(SER_hh_emi_in!L30=0,0,1000000*SER_hh_emi_in!L30/SER_hh_num_in!L30)</f>
        <v>0</v>
      </c>
      <c r="M30" s="132">
        <f>IF(SER_hh_emi_in!M30=0,0,1000000*SER_hh_emi_in!M30/SER_hh_num_in!M30)</f>
        <v>0</v>
      </c>
      <c r="N30" s="132">
        <f>IF(SER_hh_emi_in!N30=0,0,1000000*SER_hh_emi_in!N30/SER_hh_num_in!N30)</f>
        <v>0</v>
      </c>
      <c r="O30" s="132">
        <f>IF(SER_hh_emi_in!O30=0,0,1000000*SER_hh_emi_in!O30/SER_hh_num_in!O30)</f>
        <v>0</v>
      </c>
      <c r="P30" s="132">
        <f>IF(SER_hh_emi_in!P30=0,0,1000000*SER_hh_emi_in!P30/SER_hh_num_in!P30)</f>
        <v>0</v>
      </c>
      <c r="Q30" s="132">
        <f>IF(SER_hh_emi_in!Q30=0,0,1000000*SER_hh_emi_in!Q30/SER_hh_num_in!Q30)</f>
        <v>0</v>
      </c>
      <c r="R30" s="132">
        <f>IF(SER_hh_emi_in!R30=0,0,1000000*SER_hh_emi_in!R30/SER_hh_num_in!R30)</f>
        <v>0</v>
      </c>
      <c r="S30" s="132">
        <f>IF(SER_hh_emi_in!S30=0,0,1000000*SER_hh_emi_in!S30/SER_hh_num_in!S30)</f>
        <v>0</v>
      </c>
      <c r="T30" s="132">
        <f>IF(SER_hh_emi_in!T30=0,0,1000000*SER_hh_emi_in!T30/SER_hh_num_in!T30)</f>
        <v>0</v>
      </c>
      <c r="U30" s="132">
        <f>IF(SER_hh_emi_in!U30=0,0,1000000*SER_hh_emi_in!U30/SER_hh_num_in!U30)</f>
        <v>0</v>
      </c>
      <c r="V30" s="132">
        <f>IF(SER_hh_emi_in!V30=0,0,1000000*SER_hh_emi_in!V30/SER_hh_num_in!V30)</f>
        <v>0</v>
      </c>
      <c r="W30" s="132">
        <f>IF(SER_hh_emi_in!W30=0,0,1000000*SER_hh_emi_in!W30/SER_hh_num_in!W30)</f>
        <v>0</v>
      </c>
      <c r="X30" s="132">
        <f>IF(SER_hh_emi_in!X30=0,0,1000000*SER_hh_emi_in!X30/SER_hh_num_in!X30)</f>
        <v>0</v>
      </c>
      <c r="Y30" s="132">
        <f>IF(SER_hh_emi_in!Y30=0,0,1000000*SER_hh_emi_in!Y30/SER_hh_num_in!Y30)</f>
        <v>0</v>
      </c>
      <c r="DA30" s="156" t="s">
        <v>812</v>
      </c>
    </row>
    <row r="31" spans="1:105" ht="12" customHeight="1" x14ac:dyDescent="0.25">
      <c r="A31" s="131" t="s">
        <v>149</v>
      </c>
      <c r="B31" s="132"/>
      <c r="C31" s="132">
        <f>IF(SER_hh_emi_in!C31=0,0,1000000*SER_hh_emi_in!C31/SER_hh_num_in!C31)</f>
        <v>4414.452238864942</v>
      </c>
      <c r="D31" s="132">
        <f>IF(SER_hh_emi_in!D31=0,0,1000000*SER_hh_emi_in!D31/SER_hh_num_in!D31)</f>
        <v>4252.7257599857785</v>
      </c>
      <c r="E31" s="132">
        <f>IF(SER_hh_emi_in!E31=0,0,1000000*SER_hh_emi_in!E31/SER_hh_num_in!E31)</f>
        <v>4079.9238260974248</v>
      </c>
      <c r="F31" s="132">
        <f>IF(SER_hh_emi_in!F31=0,0,1000000*SER_hh_emi_in!F31/SER_hh_num_in!F31)</f>
        <v>3953.1397917514569</v>
      </c>
      <c r="G31" s="132">
        <f>IF(SER_hh_emi_in!G31=0,0,1000000*SER_hh_emi_in!G31/SER_hh_num_in!G31)</f>
        <v>4049.4721415004901</v>
      </c>
      <c r="H31" s="132">
        <f>IF(SER_hh_emi_in!H31=0,0,1000000*SER_hh_emi_in!H31/SER_hh_num_in!H31)</f>
        <v>4101.4140829636353</v>
      </c>
      <c r="I31" s="132">
        <f>IF(SER_hh_emi_in!I31=0,0,1000000*SER_hh_emi_in!I31/SER_hh_num_in!I31)</f>
        <v>4016.9609391665822</v>
      </c>
      <c r="J31" s="132">
        <f>IF(SER_hh_emi_in!J31=0,0,1000000*SER_hh_emi_in!J31/SER_hh_num_in!J31)</f>
        <v>4023.7630173807966</v>
      </c>
      <c r="K31" s="132">
        <f>IF(SER_hh_emi_in!K31=0,0,1000000*SER_hh_emi_in!K31/SER_hh_num_in!K31)</f>
        <v>4024.2736268236868</v>
      </c>
      <c r="L31" s="132">
        <f>IF(SER_hh_emi_in!L31=0,0,1000000*SER_hh_emi_in!L31/SER_hh_num_in!L31)</f>
        <v>4131.4504605430311</v>
      </c>
      <c r="M31" s="132">
        <f>IF(SER_hh_emi_in!M31=0,0,1000000*SER_hh_emi_in!M31/SER_hh_num_in!M31)</f>
        <v>3993.2545399834339</v>
      </c>
      <c r="N31" s="132">
        <f>IF(SER_hh_emi_in!N31=0,0,1000000*SER_hh_emi_in!N31/SER_hh_num_in!N31)</f>
        <v>3403.8509525958784</v>
      </c>
      <c r="O31" s="132">
        <f>IF(SER_hh_emi_in!O31=0,0,1000000*SER_hh_emi_in!O31/SER_hh_num_in!O31)</f>
        <v>4095.7954678353344</v>
      </c>
      <c r="P31" s="132">
        <f>IF(SER_hh_emi_in!P31=0,0,1000000*SER_hh_emi_in!P31/SER_hh_num_in!P31)</f>
        <v>3851.0823071684167</v>
      </c>
      <c r="Q31" s="132">
        <f>IF(SER_hh_emi_in!Q31=0,0,1000000*SER_hh_emi_in!Q31/SER_hh_num_in!Q31)</f>
        <v>4089.9639794266718</v>
      </c>
      <c r="R31" s="132">
        <f>IF(SER_hh_emi_in!R31=0,0,1000000*SER_hh_emi_in!R31/SER_hh_num_in!R31)</f>
        <v>4155.8872598569342</v>
      </c>
      <c r="S31" s="132">
        <f>IF(SER_hh_emi_in!S31=0,0,1000000*SER_hh_emi_in!S31/SER_hh_num_in!S31)</f>
        <v>3900.4418330144485</v>
      </c>
      <c r="T31" s="132">
        <f>IF(SER_hh_emi_in!T31=0,0,1000000*SER_hh_emi_in!T31/SER_hh_num_in!T31)</f>
        <v>3459.258533134373</v>
      </c>
      <c r="U31" s="132">
        <f>IF(SER_hh_emi_in!U31=0,0,1000000*SER_hh_emi_in!U31/SER_hh_num_in!U31)</f>
        <v>3662.8468429749564</v>
      </c>
      <c r="V31" s="132">
        <f>IF(SER_hh_emi_in!V31=0,0,1000000*SER_hh_emi_in!V31/SER_hh_num_in!V31)</f>
        <v>3442.9611441162128</v>
      </c>
      <c r="W31" s="132">
        <f>IF(SER_hh_emi_in!W31=0,0,1000000*SER_hh_emi_in!W31/SER_hh_num_in!W31)</f>
        <v>4854.9629388198737</v>
      </c>
      <c r="X31" s="132">
        <f>IF(SER_hh_emi_in!X31=0,0,1000000*SER_hh_emi_in!X31/SER_hh_num_in!X31)</f>
        <v>4154.4674414385199</v>
      </c>
      <c r="Y31" s="132">
        <f>IF(SER_hh_emi_in!Y31=0,0,1000000*SER_hh_emi_in!Y31/SER_hh_num_in!Y31)</f>
        <v>2516.6207810661708</v>
      </c>
      <c r="DA31" s="156" t="s">
        <v>813</v>
      </c>
    </row>
    <row r="32" spans="1:105" ht="12" customHeight="1" x14ac:dyDescent="0.25">
      <c r="A32" s="131" t="s">
        <v>128</v>
      </c>
      <c r="B32" s="132"/>
      <c r="C32" s="132">
        <f>IF(SER_hh_emi_in!C32=0,0,1000000*SER_hh_emi_in!C32/SER_hh_num_in!C32)</f>
        <v>0</v>
      </c>
      <c r="D32" s="132">
        <f>IF(SER_hh_emi_in!D32=0,0,1000000*SER_hh_emi_in!D32/SER_hh_num_in!D32)</f>
        <v>0</v>
      </c>
      <c r="E32" s="132">
        <f>IF(SER_hh_emi_in!E32=0,0,1000000*SER_hh_emi_in!E32/SER_hh_num_in!E32)</f>
        <v>0</v>
      </c>
      <c r="F32" s="132">
        <f>IF(SER_hh_emi_in!F32=0,0,1000000*SER_hh_emi_in!F32/SER_hh_num_in!F32)</f>
        <v>0</v>
      </c>
      <c r="G32" s="132">
        <f>IF(SER_hh_emi_in!G32=0,0,1000000*SER_hh_emi_in!G32/SER_hh_num_in!G32)</f>
        <v>0</v>
      </c>
      <c r="H32" s="132">
        <f>IF(SER_hh_emi_in!H32=0,0,1000000*SER_hh_emi_in!H32/SER_hh_num_in!H32)</f>
        <v>0</v>
      </c>
      <c r="I32" s="132">
        <f>IF(SER_hh_emi_in!I32=0,0,1000000*SER_hh_emi_in!I32/SER_hh_num_in!I32)</f>
        <v>0</v>
      </c>
      <c r="J32" s="132">
        <f>IF(SER_hh_emi_in!J32=0,0,1000000*SER_hh_emi_in!J32/SER_hh_num_in!J32)</f>
        <v>0</v>
      </c>
      <c r="K32" s="132">
        <f>IF(SER_hh_emi_in!K32=0,0,1000000*SER_hh_emi_in!K32/SER_hh_num_in!K32)</f>
        <v>0</v>
      </c>
      <c r="L32" s="132">
        <f>IF(SER_hh_emi_in!L32=0,0,1000000*SER_hh_emi_in!L32/SER_hh_num_in!L32)</f>
        <v>0</v>
      </c>
      <c r="M32" s="132">
        <f>IF(SER_hh_emi_in!M32=0,0,1000000*SER_hh_emi_in!M32/SER_hh_num_in!M32)</f>
        <v>0</v>
      </c>
      <c r="N32" s="132">
        <f>IF(SER_hh_emi_in!N32=0,0,1000000*SER_hh_emi_in!N32/SER_hh_num_in!N32)</f>
        <v>0</v>
      </c>
      <c r="O32" s="132">
        <f>IF(SER_hh_emi_in!O32=0,0,1000000*SER_hh_emi_in!O32/SER_hh_num_in!O32)</f>
        <v>0</v>
      </c>
      <c r="P32" s="132">
        <f>IF(SER_hh_emi_in!P32=0,0,1000000*SER_hh_emi_in!P32/SER_hh_num_in!P32)</f>
        <v>0</v>
      </c>
      <c r="Q32" s="132">
        <f>IF(SER_hh_emi_in!Q32=0,0,1000000*SER_hh_emi_in!Q32/SER_hh_num_in!Q32)</f>
        <v>0</v>
      </c>
      <c r="R32" s="132">
        <f>IF(SER_hh_emi_in!R32=0,0,1000000*SER_hh_emi_in!R32/SER_hh_num_in!R32)</f>
        <v>0</v>
      </c>
      <c r="S32" s="132">
        <f>IF(SER_hh_emi_in!S32=0,0,1000000*SER_hh_emi_in!S32/SER_hh_num_in!S32)</f>
        <v>0</v>
      </c>
      <c r="T32" s="132">
        <f>IF(SER_hh_emi_in!T32=0,0,1000000*SER_hh_emi_in!T32/SER_hh_num_in!T32)</f>
        <v>0</v>
      </c>
      <c r="U32" s="132">
        <f>IF(SER_hh_emi_in!U32=0,0,1000000*SER_hh_emi_in!U32/SER_hh_num_in!U32)</f>
        <v>0</v>
      </c>
      <c r="V32" s="132">
        <f>IF(SER_hh_emi_in!V32=0,0,1000000*SER_hh_emi_in!V32/SER_hh_num_in!V32)</f>
        <v>0</v>
      </c>
      <c r="W32" s="132">
        <f>IF(SER_hh_emi_in!W32=0,0,1000000*SER_hh_emi_in!W32/SER_hh_num_in!W32)</f>
        <v>0</v>
      </c>
      <c r="X32" s="132">
        <f>IF(SER_hh_emi_in!X32=0,0,1000000*SER_hh_emi_in!X32/SER_hh_num_in!X32)</f>
        <v>0</v>
      </c>
      <c r="Y32" s="132">
        <f>IF(SER_hh_emi_in!Y32=0,0,1000000*SER_hh_emi_in!Y32/SER_hh_num_in!Y32)</f>
        <v>0</v>
      </c>
      <c r="DA32" s="156" t="s">
        <v>814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X33" s="68">
        <f>IF(SER_hh_emi_in!X33=0,0,1000000*SER_hh_emi_in!X33/SER_hh_num_in!X33)</f>
        <v>0</v>
      </c>
      <c r="Y33" s="68">
        <f>IF(SER_hh_emi_in!Y33=0,0,1000000*SER_hh_emi_in!Y33/SER_hh_num_in!Y33)</f>
        <v>0</v>
      </c>
      <c r="DA33" s="111" t="s">
        <v>815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90</v>
      </c>
      <c r="B3" s="125"/>
      <c r="C3" s="125">
        <f>IF(SER_hh_fech_in!C3=0,0,SER_hh_fech_in!C3/SER_summary!C$27)</f>
        <v>247.44846905611021</v>
      </c>
      <c r="D3" s="125">
        <f>IF(SER_hh_fech_in!D3=0,0,SER_hh_fech_in!D3/SER_summary!D$27)</f>
        <v>251.1393363690633</v>
      </c>
      <c r="E3" s="125">
        <f>IF(SER_hh_fech_in!E3=0,0,SER_hh_fech_in!E3/SER_summary!E$27)</f>
        <v>248.34014896268471</v>
      </c>
      <c r="F3" s="125">
        <f>IF(SER_hh_fech_in!F3=0,0,SER_hh_fech_in!F3/SER_summary!F$27)</f>
        <v>242.25493756517611</v>
      </c>
      <c r="G3" s="125">
        <f>IF(SER_hh_fech_in!G3=0,0,SER_hh_fech_in!G3/SER_summary!G$27)</f>
        <v>232.95269839207174</v>
      </c>
      <c r="H3" s="125">
        <f>IF(SER_hh_fech_in!H3=0,0,SER_hh_fech_in!H3/SER_summary!H$27)</f>
        <v>226.8688107572784</v>
      </c>
      <c r="I3" s="125">
        <f>IF(SER_hh_fech_in!I3=0,0,SER_hh_fech_in!I3/SER_summary!I$27)</f>
        <v>229.10602107132598</v>
      </c>
      <c r="J3" s="125">
        <f>IF(SER_hh_fech_in!J3=0,0,SER_hh_fech_in!J3/SER_summary!J$27)</f>
        <v>224.00404632022648</v>
      </c>
      <c r="K3" s="125">
        <f>IF(SER_hh_fech_in!K3=0,0,SER_hh_fech_in!K3/SER_summary!K$27)</f>
        <v>245.13603760983739</v>
      </c>
      <c r="L3" s="125">
        <f>IF(SER_hh_fech_in!L3=0,0,SER_hh_fech_in!L3/SER_summary!L$27)</f>
        <v>260.24649760417134</v>
      </c>
      <c r="M3" s="125">
        <f>IF(SER_hh_fech_in!M3=0,0,SER_hh_fech_in!M3/SER_summary!M$27)</f>
        <v>222.60879783000641</v>
      </c>
      <c r="N3" s="125">
        <f>IF(SER_hh_fech_in!N3=0,0,SER_hh_fech_in!N3/SER_summary!N$27)</f>
        <v>229.34831952020764</v>
      </c>
      <c r="O3" s="125">
        <f>IF(SER_hh_fech_in!O3=0,0,SER_hh_fech_in!O3/SER_summary!O$27)</f>
        <v>206.14576918756023</v>
      </c>
      <c r="P3" s="125">
        <f>IF(SER_hh_fech_in!P3=0,0,SER_hh_fech_in!P3/SER_summary!P$27)</f>
        <v>194.51082932853615</v>
      </c>
      <c r="Q3" s="125">
        <f>IF(SER_hh_fech_in!Q3=0,0,SER_hh_fech_in!Q3/SER_summary!Q$27)</f>
        <v>175.08666246170947</v>
      </c>
      <c r="R3" s="125">
        <f>IF(SER_hh_fech_in!R3=0,0,SER_hh_fech_in!R3/SER_summary!R$27)</f>
        <v>179.70560595982727</v>
      </c>
      <c r="S3" s="125">
        <f>IF(SER_hh_fech_in!S3=0,0,SER_hh_fech_in!S3/SER_summary!S$27)</f>
        <v>169.42258923541172</v>
      </c>
      <c r="T3" s="125">
        <f>IF(SER_hh_fech_in!T3=0,0,SER_hh_fech_in!T3/SER_summary!T$27)</f>
        <v>163.75769182234993</v>
      </c>
      <c r="U3" s="125">
        <f>IF(SER_hh_fech_in!U3=0,0,SER_hh_fech_in!U3/SER_summary!U$27)</f>
        <v>149.41581205696158</v>
      </c>
      <c r="V3" s="125">
        <f>IF(SER_hh_fech_in!V3=0,0,SER_hh_fech_in!V3/SER_summary!V$27)</f>
        <v>126.16685817915844</v>
      </c>
      <c r="W3" s="125">
        <f>IF(SER_hh_fech_in!W3=0,0,SER_hh_fech_in!W3/SER_summary!W$27)</f>
        <v>123.24577331387822</v>
      </c>
      <c r="X3" s="125">
        <f>IF(SER_hh_fech_in!X3=0,0,SER_hh_fech_in!X3/SER_summary!X$27)</f>
        <v>108.48177303943727</v>
      </c>
      <c r="Y3" s="125">
        <f>IF(SER_hh_fech_in!Y3=0,0,SER_hh_fech_in!Y3/SER_summary!Y$27)</f>
        <v>108.37628042868667</v>
      </c>
      <c r="DA3" s="154" t="s">
        <v>817</v>
      </c>
    </row>
    <row r="4" spans="1:105" ht="12.95" customHeight="1" x14ac:dyDescent="0.25">
      <c r="A4" s="129" t="s">
        <v>32</v>
      </c>
      <c r="B4" s="130"/>
      <c r="C4" s="130">
        <f>IF(SER_hh_fech_in!C4=0,0,SER_hh_fech_in!C4/SER_summary!C$27)</f>
        <v>188.94994161819983</v>
      </c>
      <c r="D4" s="130">
        <f>IF(SER_hh_fech_in!D4=0,0,SER_hh_fech_in!D4/SER_summary!D$27)</f>
        <v>193.37271524389419</v>
      </c>
      <c r="E4" s="130">
        <f>IF(SER_hh_fech_in!E4=0,0,SER_hh_fech_in!E4/SER_summary!E$27)</f>
        <v>190.5465523005696</v>
      </c>
      <c r="F4" s="130">
        <f>IF(SER_hh_fech_in!F4=0,0,SER_hh_fech_in!F4/SER_summary!F$27)</f>
        <v>185.59765989950068</v>
      </c>
      <c r="G4" s="130">
        <f>IF(SER_hh_fech_in!G4=0,0,SER_hh_fech_in!G4/SER_summary!G$27)</f>
        <v>176.46298179821741</v>
      </c>
      <c r="H4" s="130">
        <f>IF(SER_hh_fech_in!H4=0,0,SER_hh_fech_in!H4/SER_summary!H$27)</f>
        <v>171.0086570502917</v>
      </c>
      <c r="I4" s="130">
        <f>IF(SER_hh_fech_in!I4=0,0,SER_hh_fech_in!I4/SER_summary!I$27)</f>
        <v>174.25947668813322</v>
      </c>
      <c r="J4" s="130">
        <f>IF(SER_hh_fech_in!J4=0,0,SER_hh_fech_in!J4/SER_summary!J$27)</f>
        <v>169.35659508063685</v>
      </c>
      <c r="K4" s="130">
        <f>IF(SER_hh_fech_in!K4=0,0,SER_hh_fech_in!K4/SER_summary!K$27)</f>
        <v>190.42803051377302</v>
      </c>
      <c r="L4" s="130">
        <f>IF(SER_hh_fech_in!L4=0,0,SER_hh_fech_in!L4/SER_summary!L$27)</f>
        <v>205.43745593701595</v>
      </c>
      <c r="M4" s="130">
        <f>IF(SER_hh_fech_in!M4=0,0,SER_hh_fech_in!M4/SER_summary!M$27)</f>
        <v>168.33360890535707</v>
      </c>
      <c r="N4" s="130">
        <f>IF(SER_hh_fech_in!N4=0,0,SER_hh_fech_in!N4/SER_summary!N$27)</f>
        <v>176.05305928274549</v>
      </c>
      <c r="O4" s="130">
        <f>IF(SER_hh_fech_in!O4=0,0,SER_hh_fech_in!O4/SER_summary!O$27)</f>
        <v>153.58847548912061</v>
      </c>
      <c r="P4" s="130">
        <f>IF(SER_hh_fech_in!P4=0,0,SER_hh_fech_in!P4/SER_summary!P$27)</f>
        <v>142.72338311555529</v>
      </c>
      <c r="Q4" s="130">
        <f>IF(SER_hh_fech_in!Q4=0,0,SER_hh_fech_in!Q4/SER_summary!Q$27)</f>
        <v>124.00489425850107</v>
      </c>
      <c r="R4" s="130">
        <f>IF(SER_hh_fech_in!R4=0,0,SER_hh_fech_in!R4/SER_summary!R$27)</f>
        <v>129.23723345566944</v>
      </c>
      <c r="S4" s="130">
        <f>IF(SER_hh_fech_in!S4=0,0,SER_hh_fech_in!S4/SER_summary!S$27)</f>
        <v>118.95289934797742</v>
      </c>
      <c r="T4" s="130">
        <f>IF(SER_hh_fech_in!T4=0,0,SER_hh_fech_in!T4/SER_summary!T$27)</f>
        <v>114.34274239672916</v>
      </c>
      <c r="U4" s="130">
        <f>IF(SER_hh_fech_in!U4=0,0,SER_hh_fech_in!U4/SER_summary!U$27)</f>
        <v>99.085551032890791</v>
      </c>
      <c r="V4" s="130">
        <f>IF(SER_hh_fech_in!V4=0,0,SER_hh_fech_in!V4/SER_summary!V$27)</f>
        <v>80.285757216577167</v>
      </c>
      <c r="W4" s="130">
        <f>IF(SER_hh_fech_in!W4=0,0,SER_hh_fech_in!W4/SER_summary!W$27)</f>
        <v>74.013911802937656</v>
      </c>
      <c r="X4" s="130">
        <f>IF(SER_hh_fech_in!X4=0,0,SER_hh_fech_in!X4/SER_summary!X$27)</f>
        <v>59.905754758461448</v>
      </c>
      <c r="Y4" s="130">
        <f>IF(SER_hh_fech_in!Y4=0,0,SER_hh_fech_in!Y4/SER_summary!Y$27)</f>
        <v>59.559607973629504</v>
      </c>
      <c r="DA4" s="155" t="s">
        <v>818</v>
      </c>
    </row>
    <row r="5" spans="1:105" ht="12" customHeight="1" x14ac:dyDescent="0.25">
      <c r="A5" s="131" t="s">
        <v>29</v>
      </c>
      <c r="B5" s="132"/>
      <c r="C5" s="132">
        <f>IF(SER_hh_fech_in!C5=0,0,SER_hh_fech_in!C5/SER_summary!C$27)</f>
        <v>226.94072576704366</v>
      </c>
      <c r="D5" s="132">
        <f>IF(SER_hh_fech_in!D5=0,0,SER_hh_fech_in!D5/SER_summary!D$27)</f>
        <v>227.69445422340181</v>
      </c>
      <c r="E5" s="132">
        <f>IF(SER_hh_fech_in!E5=0,0,SER_hh_fech_in!E5/SER_summary!E$27)</f>
        <v>228.23957527562862</v>
      </c>
      <c r="F5" s="132">
        <f>IF(SER_hh_fech_in!F5=0,0,SER_hh_fech_in!F5/SER_summary!F$27)</f>
        <v>215.25774013249202</v>
      </c>
      <c r="G5" s="132">
        <f>IF(SER_hh_fech_in!G5=0,0,SER_hh_fech_in!G5/SER_summary!G$27)</f>
        <v>208.40453439882248</v>
      </c>
      <c r="H5" s="132">
        <f>IF(SER_hh_fech_in!H5=0,0,SER_hh_fech_in!H5/SER_summary!H$27)</f>
        <v>215.67051781170147</v>
      </c>
      <c r="I5" s="132">
        <f>IF(SER_hh_fech_in!I5=0,0,SER_hh_fech_in!I5/SER_summary!I$27)</f>
        <v>177.81612886678332</v>
      </c>
      <c r="J5" s="132">
        <f>IF(SER_hh_fech_in!J5=0,0,SER_hh_fech_in!J5/SER_summary!J$27)</f>
        <v>209.95169152089699</v>
      </c>
      <c r="K5" s="132">
        <f>IF(SER_hh_fech_in!K5=0,0,SER_hh_fech_in!K5/SER_summary!K$27)</f>
        <v>224.18602501229611</v>
      </c>
      <c r="L5" s="132">
        <f>IF(SER_hh_fech_in!L5=0,0,SER_hh_fech_in!L5/SER_summary!L$27)</f>
        <v>236.37338529398673</v>
      </c>
      <c r="M5" s="132">
        <f>IF(SER_hh_fech_in!M5=0,0,SER_hh_fech_in!M5/SER_summary!M$27)</f>
        <v>185.47958986293401</v>
      </c>
      <c r="N5" s="132">
        <f>IF(SER_hh_fech_in!N5=0,0,SER_hh_fech_in!N5/SER_summary!N$27)</f>
        <v>206.71624240650266</v>
      </c>
      <c r="O5" s="132">
        <f>IF(SER_hh_fech_in!O5=0,0,SER_hh_fech_in!O5/SER_summary!O$27)</f>
        <v>182.38628245305915</v>
      </c>
      <c r="P5" s="132">
        <f>IF(SER_hh_fech_in!P5=0,0,SER_hh_fech_in!P5/SER_summary!P$27)</f>
        <v>179.19254362513527</v>
      </c>
      <c r="Q5" s="132">
        <f>IF(SER_hh_fech_in!Q5=0,0,SER_hh_fech_in!Q5/SER_summary!Q$27)</f>
        <v>153.55201622458051</v>
      </c>
      <c r="R5" s="132">
        <f>IF(SER_hh_fech_in!R5=0,0,SER_hh_fech_in!R5/SER_summary!R$27)</f>
        <v>157.25141213100315</v>
      </c>
      <c r="S5" s="132">
        <f>IF(SER_hh_fech_in!S5=0,0,SER_hh_fech_in!S5/SER_summary!S$27)</f>
        <v>144.14954393321847</v>
      </c>
      <c r="T5" s="132">
        <f>IF(SER_hh_fech_in!T5=0,0,SER_hh_fech_in!T5/SER_summary!T$27)</f>
        <v>134.85809623626838</v>
      </c>
      <c r="U5" s="132">
        <f>IF(SER_hh_fech_in!U5=0,0,SER_hh_fech_in!U5/SER_summary!U$27)</f>
        <v>126.63393948797524</v>
      </c>
      <c r="V5" s="132">
        <f>IF(SER_hh_fech_in!V5=0,0,SER_hh_fech_in!V5/SER_summary!V$27)</f>
        <v>103.27843700476342</v>
      </c>
      <c r="W5" s="132">
        <f>IF(SER_hh_fech_in!W5=0,0,SER_hh_fech_in!W5/SER_summary!W$27)</f>
        <v>89.471068985044283</v>
      </c>
      <c r="X5" s="132">
        <f>IF(SER_hh_fech_in!X5=0,0,SER_hh_fech_in!X5/SER_summary!X$27)</f>
        <v>76.55898280046496</v>
      </c>
      <c r="Y5" s="132">
        <f>IF(SER_hh_fech_in!Y5=0,0,SER_hh_fech_in!Y5/SER_summary!Y$27)</f>
        <v>75.248533291508295</v>
      </c>
      <c r="DA5" s="156" t="s">
        <v>819</v>
      </c>
    </row>
    <row r="6" spans="1:105" ht="12" customHeight="1" x14ac:dyDescent="0.25">
      <c r="A6" s="131" t="s">
        <v>52</v>
      </c>
      <c r="B6" s="132"/>
      <c r="C6" s="132">
        <f>IF(SER_hh_fech_in!C6=0,0,SER_hh_fech_in!C6/SER_summary!C$27)</f>
        <v>0</v>
      </c>
      <c r="D6" s="132">
        <f>IF(SER_hh_fech_in!D6=0,0,SER_hh_fech_in!D6/SER_summary!D$27)</f>
        <v>0</v>
      </c>
      <c r="E6" s="132">
        <f>IF(SER_hh_fech_in!E6=0,0,SER_hh_fech_in!E6/SER_summary!E$27)</f>
        <v>0</v>
      </c>
      <c r="F6" s="132">
        <f>IF(SER_hh_fech_in!F6=0,0,SER_hh_fech_in!F6/SER_summary!F$27)</f>
        <v>0</v>
      </c>
      <c r="G6" s="132">
        <f>IF(SER_hh_fech_in!G6=0,0,SER_hh_fech_in!G6/SER_summary!G$27)</f>
        <v>0</v>
      </c>
      <c r="H6" s="132">
        <f>IF(SER_hh_fech_in!H6=0,0,SER_hh_fech_in!H6/SER_summary!H$27)</f>
        <v>0</v>
      </c>
      <c r="I6" s="132">
        <f>IF(SER_hh_fech_in!I6=0,0,SER_hh_fech_in!I6/SER_summary!I$27)</f>
        <v>0</v>
      </c>
      <c r="J6" s="132">
        <f>IF(SER_hh_fech_in!J6=0,0,SER_hh_fech_in!J6/SER_summary!J$27)</f>
        <v>0</v>
      </c>
      <c r="K6" s="132">
        <f>IF(SER_hh_fech_in!K6=0,0,SER_hh_fech_in!K6/SER_summary!K$27)</f>
        <v>0</v>
      </c>
      <c r="L6" s="132">
        <f>IF(SER_hh_fech_in!L6=0,0,SER_hh_fech_in!L6/SER_summary!L$27)</f>
        <v>0</v>
      </c>
      <c r="M6" s="132">
        <f>IF(SER_hh_fech_in!M6=0,0,SER_hh_fech_in!M6/SER_summary!M$27)</f>
        <v>0</v>
      </c>
      <c r="N6" s="132">
        <f>IF(SER_hh_fech_in!N6=0,0,SER_hh_fech_in!N6/SER_summary!N$27)</f>
        <v>0</v>
      </c>
      <c r="O6" s="132">
        <f>IF(SER_hh_fech_in!O6=0,0,SER_hh_fech_in!O6/SER_summary!O$27)</f>
        <v>0</v>
      </c>
      <c r="P6" s="132">
        <f>IF(SER_hh_fech_in!P6=0,0,SER_hh_fech_in!P6/SER_summary!P$27)</f>
        <v>0</v>
      </c>
      <c r="Q6" s="132">
        <f>IF(SER_hh_fech_in!Q6=0,0,SER_hh_fech_in!Q6/SER_summary!Q$27)</f>
        <v>0</v>
      </c>
      <c r="R6" s="132">
        <f>IF(SER_hh_fech_in!R6=0,0,SER_hh_fech_in!R6/SER_summary!R$27)</f>
        <v>0</v>
      </c>
      <c r="S6" s="132">
        <f>IF(SER_hh_fech_in!S6=0,0,SER_hh_fech_in!S6/SER_summary!S$27)</f>
        <v>0</v>
      </c>
      <c r="T6" s="132">
        <f>IF(SER_hh_fech_in!T6=0,0,SER_hh_fech_in!T6/SER_summary!T$27)</f>
        <v>0</v>
      </c>
      <c r="U6" s="132">
        <f>IF(SER_hh_fech_in!U6=0,0,SER_hh_fech_in!U6/SER_summary!U$27)</f>
        <v>0</v>
      </c>
      <c r="V6" s="132">
        <f>IF(SER_hh_fech_in!V6=0,0,SER_hh_fech_in!V6/SER_summary!V$27)</f>
        <v>0</v>
      </c>
      <c r="W6" s="132">
        <f>IF(SER_hh_fech_in!W6=0,0,SER_hh_fech_in!W6/SER_summary!W$27)</f>
        <v>0</v>
      </c>
      <c r="X6" s="132">
        <f>IF(SER_hh_fech_in!X6=0,0,SER_hh_fech_in!X6/SER_summary!X$27)</f>
        <v>0</v>
      </c>
      <c r="Y6" s="132">
        <f>IF(SER_hh_fech_in!Y6=0,0,SER_hh_fech_in!Y6/SER_summary!Y$27)</f>
        <v>0</v>
      </c>
      <c r="DA6" s="156" t="s">
        <v>820</v>
      </c>
    </row>
    <row r="7" spans="1:105" ht="12" customHeight="1" x14ac:dyDescent="0.25">
      <c r="A7" s="131" t="s">
        <v>161</v>
      </c>
      <c r="B7" s="132"/>
      <c r="C7" s="132">
        <f>IF(SER_hh_fech_in!C7=0,0,SER_hh_fech_in!C7/SER_summary!C$27)</f>
        <v>270.08010964960721</v>
      </c>
      <c r="D7" s="132">
        <f>IF(SER_hh_fech_in!D7=0,0,SER_hh_fech_in!D7/SER_summary!D$27)</f>
        <v>269.14331499536746</v>
      </c>
      <c r="E7" s="132">
        <f>IF(SER_hh_fech_in!E7=0,0,SER_hh_fech_in!E7/SER_summary!E$27)</f>
        <v>266.50622211565894</v>
      </c>
      <c r="F7" s="132">
        <f>IF(SER_hh_fech_in!F7=0,0,SER_hh_fech_in!F7/SER_summary!F$27)</f>
        <v>257.77045908987964</v>
      </c>
      <c r="G7" s="132">
        <f>IF(SER_hh_fech_in!G7=0,0,SER_hh_fech_in!G7/SER_summary!G$27)</f>
        <v>245.93226111930875</v>
      </c>
      <c r="H7" s="132">
        <f>IF(SER_hh_fech_in!H7=0,0,SER_hh_fech_in!H7/SER_summary!H$27)</f>
        <v>250.18982901848338</v>
      </c>
      <c r="I7" s="132">
        <f>IF(SER_hh_fech_in!I7=0,0,SER_hh_fech_in!I7/SER_summary!I$27)</f>
        <v>252.08237384883998</v>
      </c>
      <c r="J7" s="132">
        <f>IF(SER_hh_fech_in!J7=0,0,SER_hh_fech_in!J7/SER_summary!J$27)</f>
        <v>215.19949471518674</v>
      </c>
      <c r="K7" s="132">
        <f>IF(SER_hh_fech_in!K7=0,0,SER_hh_fech_in!K7/SER_summary!K$27)</f>
        <v>240.68909663522243</v>
      </c>
      <c r="L7" s="132">
        <f>IF(SER_hh_fech_in!L7=0,0,SER_hh_fech_in!L7/SER_summary!L$27)</f>
        <v>274.2719617959624</v>
      </c>
      <c r="M7" s="132">
        <f>IF(SER_hh_fech_in!M7=0,0,SER_hh_fech_in!M7/SER_summary!M$27)</f>
        <v>217.18224636608386</v>
      </c>
      <c r="N7" s="132">
        <f>IF(SER_hh_fech_in!N7=0,0,SER_hh_fech_in!N7/SER_summary!N$27)</f>
        <v>225.38806763753905</v>
      </c>
      <c r="O7" s="132">
        <f>IF(SER_hh_fech_in!O7=0,0,SER_hh_fech_in!O7/SER_summary!O$27)</f>
        <v>189.96328440837019</v>
      </c>
      <c r="P7" s="132">
        <f>IF(SER_hh_fech_in!P7=0,0,SER_hh_fech_in!P7/SER_summary!P$27)</f>
        <v>173.39804026025459</v>
      </c>
      <c r="Q7" s="132">
        <f>IF(SER_hh_fech_in!Q7=0,0,SER_hh_fech_in!Q7/SER_summary!Q$27)</f>
        <v>144.83890401907701</v>
      </c>
      <c r="R7" s="132">
        <f>IF(SER_hh_fech_in!R7=0,0,SER_hh_fech_in!R7/SER_summary!R$27)</f>
        <v>149.22602927236923</v>
      </c>
      <c r="S7" s="132">
        <f>IF(SER_hh_fech_in!S7=0,0,SER_hh_fech_in!S7/SER_summary!S$27)</f>
        <v>138.93218174576774</v>
      </c>
      <c r="T7" s="132">
        <f>IF(SER_hh_fech_in!T7=0,0,SER_hh_fech_in!T7/SER_summary!T$27)</f>
        <v>130.21524529671481</v>
      </c>
      <c r="U7" s="132">
        <f>IF(SER_hh_fech_in!U7=0,0,SER_hh_fech_in!U7/SER_summary!U$27)</f>
        <v>118.65686680600614</v>
      </c>
      <c r="V7" s="132">
        <f>IF(SER_hh_fech_in!V7=0,0,SER_hh_fech_in!V7/SER_summary!V$27)</f>
        <v>97.387272701200999</v>
      </c>
      <c r="W7" s="132">
        <f>IF(SER_hh_fech_in!W7=0,0,SER_hh_fech_in!W7/SER_summary!W$27)</f>
        <v>91.489681362094672</v>
      </c>
      <c r="X7" s="132">
        <f>IF(SER_hh_fech_in!X7=0,0,SER_hh_fech_in!X7/SER_summary!X$27)</f>
        <v>75.168145005240291</v>
      </c>
      <c r="Y7" s="132">
        <f>IF(SER_hh_fech_in!Y7=0,0,SER_hh_fech_in!Y7/SER_summary!Y$27)</f>
        <v>75.821494495086881</v>
      </c>
      <c r="DA7" s="156" t="s">
        <v>821</v>
      </c>
    </row>
    <row r="8" spans="1:105" ht="12" customHeight="1" x14ac:dyDescent="0.25">
      <c r="A8" s="131" t="s">
        <v>73</v>
      </c>
      <c r="B8" s="132"/>
      <c r="C8" s="132">
        <f>IF(SER_hh_fech_in!C8=0,0,SER_hh_fech_in!C8/SER_summary!C$27)</f>
        <v>0</v>
      </c>
      <c r="D8" s="132">
        <f>IF(SER_hh_fech_in!D8=0,0,SER_hh_fech_in!D8/SER_summary!D$27)</f>
        <v>0</v>
      </c>
      <c r="E8" s="132">
        <f>IF(SER_hh_fech_in!E8=0,0,SER_hh_fech_in!E8/SER_summary!E$27)</f>
        <v>0</v>
      </c>
      <c r="F8" s="132">
        <f>IF(SER_hh_fech_in!F8=0,0,SER_hh_fech_in!F8/SER_summary!F$27)</f>
        <v>0</v>
      </c>
      <c r="G8" s="132">
        <f>IF(SER_hh_fech_in!G8=0,0,SER_hh_fech_in!G8/SER_summary!G$27)</f>
        <v>0</v>
      </c>
      <c r="H8" s="132">
        <f>IF(SER_hh_fech_in!H8=0,0,SER_hh_fech_in!H8/SER_summary!H$27)</f>
        <v>0</v>
      </c>
      <c r="I8" s="132">
        <f>IF(SER_hh_fech_in!I8=0,0,SER_hh_fech_in!I8/SER_summary!I$27)</f>
        <v>0</v>
      </c>
      <c r="J8" s="132">
        <f>IF(SER_hh_fech_in!J8=0,0,SER_hh_fech_in!J8/SER_summary!J$27)</f>
        <v>0</v>
      </c>
      <c r="K8" s="132">
        <f>IF(SER_hh_fech_in!K8=0,0,SER_hh_fech_in!K8/SER_summary!K$27)</f>
        <v>0</v>
      </c>
      <c r="L8" s="132">
        <f>IF(SER_hh_fech_in!L8=0,0,SER_hh_fech_in!L8/SER_summary!L$27)</f>
        <v>0</v>
      </c>
      <c r="M8" s="132">
        <f>IF(SER_hh_fech_in!M8=0,0,SER_hh_fech_in!M8/SER_summary!M$27)</f>
        <v>0</v>
      </c>
      <c r="N8" s="132">
        <f>IF(SER_hh_fech_in!N8=0,0,SER_hh_fech_in!N8/SER_summary!N$27)</f>
        <v>0</v>
      </c>
      <c r="O8" s="132">
        <f>IF(SER_hh_fech_in!O8=0,0,SER_hh_fech_in!O8/SER_summary!O$27)</f>
        <v>0</v>
      </c>
      <c r="P8" s="132">
        <f>IF(SER_hh_fech_in!P8=0,0,SER_hh_fech_in!P8/SER_summary!P$27)</f>
        <v>0</v>
      </c>
      <c r="Q8" s="132">
        <f>IF(SER_hh_fech_in!Q8=0,0,SER_hh_fech_in!Q8/SER_summary!Q$27)</f>
        <v>0</v>
      </c>
      <c r="R8" s="132">
        <f>IF(SER_hh_fech_in!R8=0,0,SER_hh_fech_in!R8/SER_summary!R$27)</f>
        <v>0</v>
      </c>
      <c r="S8" s="132">
        <f>IF(SER_hh_fech_in!S8=0,0,SER_hh_fech_in!S8/SER_summary!S$27)</f>
        <v>0</v>
      </c>
      <c r="T8" s="132">
        <f>IF(SER_hh_fech_in!T8=0,0,SER_hh_fech_in!T8/SER_summary!T$27)</f>
        <v>0</v>
      </c>
      <c r="U8" s="132">
        <f>IF(SER_hh_fech_in!U8=0,0,SER_hh_fech_in!U8/SER_summary!U$27)</f>
        <v>0</v>
      </c>
      <c r="V8" s="132">
        <f>IF(SER_hh_fech_in!V8=0,0,SER_hh_fech_in!V8/SER_summary!V$27)</f>
        <v>0</v>
      </c>
      <c r="W8" s="132">
        <f>IF(SER_hh_fech_in!W8=0,0,SER_hh_fech_in!W8/SER_summary!W$27)</f>
        <v>0</v>
      </c>
      <c r="X8" s="132">
        <f>IF(SER_hh_fech_in!X8=0,0,SER_hh_fech_in!X8/SER_summary!X$27)</f>
        <v>0</v>
      </c>
      <c r="Y8" s="132">
        <f>IF(SER_hh_fech_in!Y8=0,0,SER_hh_fech_in!Y8/SER_summary!Y$27)</f>
        <v>0</v>
      </c>
      <c r="DA8" s="156" t="s">
        <v>822</v>
      </c>
    </row>
    <row r="9" spans="1:105" ht="12" customHeight="1" x14ac:dyDescent="0.25">
      <c r="A9" s="131" t="s">
        <v>78</v>
      </c>
      <c r="B9" s="132"/>
      <c r="C9" s="132">
        <f>IF(SER_hh_fech_in!C9=0,0,SER_hh_fech_in!C9/SER_summary!C$27)</f>
        <v>236.24696261079617</v>
      </c>
      <c r="D9" s="132">
        <f>IF(SER_hh_fech_in!D9=0,0,SER_hh_fech_in!D9/SER_summary!D$27)</f>
        <v>258.11733472110143</v>
      </c>
      <c r="E9" s="132">
        <f>IF(SER_hh_fech_in!E9=0,0,SER_hh_fech_in!E9/SER_summary!E$27)</f>
        <v>247.01100010201495</v>
      </c>
      <c r="F9" s="132">
        <f>IF(SER_hh_fech_in!F9=0,0,SER_hh_fech_in!F9/SER_summary!F$27)</f>
        <v>252.9105721429072</v>
      </c>
      <c r="G9" s="132">
        <f>IF(SER_hh_fech_in!G9=0,0,SER_hh_fech_in!G9/SER_summary!G$27)</f>
        <v>242.23162369844815</v>
      </c>
      <c r="H9" s="132">
        <f>IF(SER_hh_fech_in!H9=0,0,SER_hh_fech_in!H9/SER_summary!H$27)</f>
        <v>230.32576797879801</v>
      </c>
      <c r="I9" s="132">
        <f>IF(SER_hh_fech_in!I9=0,0,SER_hh_fech_in!I9/SER_summary!I$27)</f>
        <v>230.6898652530042</v>
      </c>
      <c r="J9" s="132">
        <f>IF(SER_hh_fech_in!J9=0,0,SER_hh_fech_in!J9/SER_summary!J$27)</f>
        <v>228.98967991526692</v>
      </c>
      <c r="K9" s="132">
        <f>IF(SER_hh_fech_in!K9=0,0,SER_hh_fech_in!K9/SER_summary!K$27)</f>
        <v>221.52668062416717</v>
      </c>
      <c r="L9" s="132">
        <f>IF(SER_hh_fech_in!L9=0,0,SER_hh_fech_in!L9/SER_summary!L$27)</f>
        <v>233.253574736865</v>
      </c>
      <c r="M9" s="132">
        <f>IF(SER_hh_fech_in!M9=0,0,SER_hh_fech_in!M9/SER_summary!M$27)</f>
        <v>296.62888449540122</v>
      </c>
      <c r="N9" s="132">
        <f>IF(SER_hh_fech_in!N9=0,0,SER_hh_fech_in!N9/SER_summary!N$27)</f>
        <v>305.28046022345342</v>
      </c>
      <c r="O9" s="132">
        <f>IF(SER_hh_fech_in!O9=0,0,SER_hh_fech_in!O9/SER_summary!O$27)</f>
        <v>229.43420019806996</v>
      </c>
      <c r="P9" s="132">
        <f>IF(SER_hh_fech_in!P9=0,0,SER_hh_fech_in!P9/SER_summary!P$27)</f>
        <v>177.22728519572155</v>
      </c>
      <c r="Q9" s="132">
        <f>IF(SER_hh_fech_in!Q9=0,0,SER_hh_fech_in!Q9/SER_summary!Q$27)</f>
        <v>141.10684073963483</v>
      </c>
      <c r="R9" s="132">
        <f>IF(SER_hh_fech_in!R9=0,0,SER_hh_fech_in!R9/SER_summary!R$27)</f>
        <v>128.19806183901309</v>
      </c>
      <c r="S9" s="132">
        <f>IF(SER_hh_fech_in!S9=0,0,SER_hh_fech_in!S9/SER_summary!S$27)</f>
        <v>145.4901361177202</v>
      </c>
      <c r="T9" s="132">
        <f>IF(SER_hh_fech_in!T9=0,0,SER_hh_fech_in!T9/SER_summary!T$27)</f>
        <v>125.5651424842607</v>
      </c>
      <c r="U9" s="132">
        <f>IF(SER_hh_fech_in!U9=0,0,SER_hh_fech_in!U9/SER_summary!U$27)</f>
        <v>111.1337817459857</v>
      </c>
      <c r="V9" s="132">
        <f>IF(SER_hh_fech_in!V9=0,0,SER_hh_fech_in!V9/SER_summary!V$27)</f>
        <v>90.719521183266721</v>
      </c>
      <c r="W9" s="132">
        <f>IF(SER_hh_fech_in!W9=0,0,SER_hh_fech_in!W9/SER_summary!W$27)</f>
        <v>92.253988559298818</v>
      </c>
      <c r="X9" s="132">
        <f>IF(SER_hh_fech_in!X9=0,0,SER_hh_fech_in!X9/SER_summary!X$27)</f>
        <v>72.488213104412793</v>
      </c>
      <c r="Y9" s="132">
        <f>IF(SER_hh_fech_in!Y9=0,0,SER_hh_fech_in!Y9/SER_summary!Y$27)</f>
        <v>0</v>
      </c>
      <c r="DA9" s="156" t="s">
        <v>823</v>
      </c>
    </row>
    <row r="10" spans="1:105" ht="12" customHeight="1" x14ac:dyDescent="0.25">
      <c r="A10" s="131" t="s">
        <v>128</v>
      </c>
      <c r="B10" s="132"/>
      <c r="C10" s="132">
        <f>IF(SER_hh_fech_in!C10=0,0,SER_hh_fech_in!C10/SER_summary!C$27)</f>
        <v>254.19022511044486</v>
      </c>
      <c r="D10" s="132">
        <f>IF(SER_hh_fech_in!D10=0,0,SER_hh_fech_in!D10/SER_summary!D$27)</f>
        <v>257.38726487751052</v>
      </c>
      <c r="E10" s="132">
        <f>IF(SER_hh_fech_in!E10=0,0,SER_hh_fech_in!E10/SER_summary!E$27)</f>
        <v>255.05459473443597</v>
      </c>
      <c r="F10" s="132">
        <f>IF(SER_hh_fech_in!F10=0,0,SER_hh_fech_in!F10/SER_summary!F$27)</f>
        <v>246.34159736859567</v>
      </c>
      <c r="G10" s="132">
        <f>IF(SER_hh_fech_in!G10=0,0,SER_hh_fech_in!G10/SER_summary!G$27)</f>
        <v>240.11533892731106</v>
      </c>
      <c r="H10" s="132">
        <f>IF(SER_hh_fech_in!H10=0,0,SER_hh_fech_in!H10/SER_summary!H$27)</f>
        <v>241.82383486574523</v>
      </c>
      <c r="I10" s="132">
        <f>IF(SER_hh_fech_in!I10=0,0,SER_hh_fech_in!I10/SER_summary!I$27)</f>
        <v>236.70449432666209</v>
      </c>
      <c r="J10" s="132">
        <f>IF(SER_hh_fech_in!J10=0,0,SER_hh_fech_in!J10/SER_summary!J$27)</f>
        <v>246.52234093539295</v>
      </c>
      <c r="K10" s="132">
        <f>IF(SER_hh_fech_in!K10=0,0,SER_hh_fech_in!K10/SER_summary!K$27)</f>
        <v>258.70611467093778</v>
      </c>
      <c r="L10" s="132">
        <f>IF(SER_hh_fech_in!L10=0,0,SER_hh_fech_in!L10/SER_summary!L$27)</f>
        <v>277.9265139917332</v>
      </c>
      <c r="M10" s="132">
        <f>IF(SER_hh_fech_in!M10=0,0,SER_hh_fech_in!M10/SER_summary!M$27)</f>
        <v>231.41440255702852</v>
      </c>
      <c r="N10" s="132">
        <f>IF(SER_hh_fech_in!N10=0,0,SER_hh_fech_in!N10/SER_summary!N$27)</f>
        <v>248.4983707074876</v>
      </c>
      <c r="O10" s="132">
        <f>IF(SER_hh_fech_in!O10=0,0,SER_hh_fech_in!O10/SER_summary!O$27)</f>
        <v>221.70330251050871</v>
      </c>
      <c r="P10" s="132">
        <f>IF(SER_hh_fech_in!P10=0,0,SER_hh_fech_in!P10/SER_summary!P$27)</f>
        <v>218.98503256514377</v>
      </c>
      <c r="Q10" s="132">
        <f>IF(SER_hh_fech_in!Q10=0,0,SER_hh_fech_in!Q10/SER_summary!Q$27)</f>
        <v>189.3490287961944</v>
      </c>
      <c r="R10" s="132">
        <f>IF(SER_hh_fech_in!R10=0,0,SER_hh_fech_in!R10/SER_summary!R$27)</f>
        <v>197.8865825143541</v>
      </c>
      <c r="S10" s="132">
        <f>IF(SER_hh_fech_in!S10=0,0,SER_hh_fech_in!S10/SER_summary!S$27)</f>
        <v>185.67582253948308</v>
      </c>
      <c r="T10" s="132">
        <f>IF(SER_hh_fech_in!T10=0,0,SER_hh_fech_in!T10/SER_summary!T$27)</f>
        <v>176.98848478236064</v>
      </c>
      <c r="U10" s="132">
        <f>IF(SER_hh_fech_in!U10=0,0,SER_hh_fech_in!U10/SER_summary!U$27)</f>
        <v>158.46056753195711</v>
      </c>
      <c r="V10" s="132">
        <f>IF(SER_hh_fech_in!V10=0,0,SER_hh_fech_in!V10/SER_summary!V$27)</f>
        <v>128.61459664976493</v>
      </c>
      <c r="W10" s="132">
        <f>IF(SER_hh_fech_in!W10=0,0,SER_hh_fech_in!W10/SER_summary!W$27)</f>
        <v>121.52080834303875</v>
      </c>
      <c r="X10" s="132">
        <f>IF(SER_hh_fech_in!X10=0,0,SER_hh_fech_in!X10/SER_summary!X$27)</f>
        <v>109.04490239392209</v>
      </c>
      <c r="Y10" s="132">
        <f>IF(SER_hh_fech_in!Y10=0,0,SER_hh_fech_in!Y10/SER_summary!Y$27)</f>
        <v>96.901962283974441</v>
      </c>
      <c r="DA10" s="156" t="s">
        <v>824</v>
      </c>
    </row>
    <row r="11" spans="1:105" ht="12" customHeight="1" x14ac:dyDescent="0.25">
      <c r="A11" s="131" t="s">
        <v>25</v>
      </c>
      <c r="B11" s="132"/>
      <c r="C11" s="132">
        <f>IF(SER_hh_fech_in!C11=0,0,SER_hh_fech_in!C11/SER_summary!C$27)</f>
        <v>0</v>
      </c>
      <c r="D11" s="132">
        <f>IF(SER_hh_fech_in!D11=0,0,SER_hh_fech_in!D11/SER_summary!D$27)</f>
        <v>0</v>
      </c>
      <c r="E11" s="132">
        <f>IF(SER_hh_fech_in!E11=0,0,SER_hh_fech_in!E11/SER_summary!E$27)</f>
        <v>0</v>
      </c>
      <c r="F11" s="132">
        <f>IF(SER_hh_fech_in!F11=0,0,SER_hh_fech_in!F11/SER_summary!F$27)</f>
        <v>0</v>
      </c>
      <c r="G11" s="132">
        <f>IF(SER_hh_fech_in!G11=0,0,SER_hh_fech_in!G11/SER_summary!G$27)</f>
        <v>0</v>
      </c>
      <c r="H11" s="132">
        <f>IF(SER_hh_fech_in!H11=0,0,SER_hh_fech_in!H11/SER_summary!H$27)</f>
        <v>0</v>
      </c>
      <c r="I11" s="132">
        <f>IF(SER_hh_fech_in!I11=0,0,SER_hh_fech_in!I11/SER_summary!I$27)</f>
        <v>0</v>
      </c>
      <c r="J11" s="132">
        <f>IF(SER_hh_fech_in!J11=0,0,SER_hh_fech_in!J11/SER_summary!J$27)</f>
        <v>0</v>
      </c>
      <c r="K11" s="132">
        <f>IF(SER_hh_fech_in!K11=0,0,SER_hh_fech_in!K11/SER_summary!K$27)</f>
        <v>0</v>
      </c>
      <c r="L11" s="132">
        <f>IF(SER_hh_fech_in!L11=0,0,SER_hh_fech_in!L11/SER_summary!L$27)</f>
        <v>0</v>
      </c>
      <c r="M11" s="132">
        <f>IF(SER_hh_fech_in!M11=0,0,SER_hh_fech_in!M11/SER_summary!M$27)</f>
        <v>0</v>
      </c>
      <c r="N11" s="132">
        <f>IF(SER_hh_fech_in!N11=0,0,SER_hh_fech_in!N11/SER_summary!N$27)</f>
        <v>0</v>
      </c>
      <c r="O11" s="132">
        <f>IF(SER_hh_fech_in!O11=0,0,SER_hh_fech_in!O11/SER_summary!O$27)</f>
        <v>0</v>
      </c>
      <c r="P11" s="132">
        <f>IF(SER_hh_fech_in!P11=0,0,SER_hh_fech_in!P11/SER_summary!P$27)</f>
        <v>0</v>
      </c>
      <c r="Q11" s="132">
        <f>IF(SER_hh_fech_in!Q11=0,0,SER_hh_fech_in!Q11/SER_summary!Q$27)</f>
        <v>0</v>
      </c>
      <c r="R11" s="132">
        <f>IF(SER_hh_fech_in!R11=0,0,SER_hh_fech_in!R11/SER_summary!R$27)</f>
        <v>0</v>
      </c>
      <c r="S11" s="132">
        <f>IF(SER_hh_fech_in!S11=0,0,SER_hh_fech_in!S11/SER_summary!S$27)</f>
        <v>0</v>
      </c>
      <c r="T11" s="132">
        <f>IF(SER_hh_fech_in!T11=0,0,SER_hh_fech_in!T11/SER_summary!T$27)</f>
        <v>0</v>
      </c>
      <c r="U11" s="132">
        <f>IF(SER_hh_fech_in!U11=0,0,SER_hh_fech_in!U11/SER_summary!U$27)</f>
        <v>0</v>
      </c>
      <c r="V11" s="132">
        <f>IF(SER_hh_fech_in!V11=0,0,SER_hh_fech_in!V11/SER_summary!V$27)</f>
        <v>0</v>
      </c>
      <c r="W11" s="132">
        <f>IF(SER_hh_fech_in!W11=0,0,SER_hh_fech_in!W11/SER_summary!W$27)</f>
        <v>0</v>
      </c>
      <c r="X11" s="132">
        <f>IF(SER_hh_fech_in!X11=0,0,SER_hh_fech_in!X11/SER_summary!X$27)</f>
        <v>0</v>
      </c>
      <c r="Y11" s="132">
        <f>IF(SER_hh_fech_in!Y11=0,0,SER_hh_fech_in!Y11/SER_summary!Y$27)</f>
        <v>0</v>
      </c>
      <c r="DA11" s="156" t="s">
        <v>825</v>
      </c>
    </row>
    <row r="12" spans="1:105" ht="12" customHeight="1" x14ac:dyDescent="0.25">
      <c r="A12" s="131" t="s">
        <v>162</v>
      </c>
      <c r="B12" s="132"/>
      <c r="C12" s="132">
        <f>IF(SER_hh_fech_in!C12=0,0,SER_hh_fech_in!C12/SER_summary!C$27)</f>
        <v>174.9578813476775</v>
      </c>
      <c r="D12" s="132">
        <f>IF(SER_hh_fech_in!D12=0,0,SER_hh_fech_in!D12/SER_summary!D$27)</f>
        <v>176.9054511762678</v>
      </c>
      <c r="E12" s="132">
        <f>IF(SER_hh_fech_in!E12=0,0,SER_hh_fech_in!E12/SER_summary!E$27)</f>
        <v>176.69159920583351</v>
      </c>
      <c r="F12" s="132">
        <f>IF(SER_hh_fech_in!F12=0,0,SER_hh_fech_in!F12/SER_summary!F$27)</f>
        <v>168.05993071897618</v>
      </c>
      <c r="G12" s="132">
        <f>IF(SER_hh_fech_in!G12=0,0,SER_hh_fech_in!G12/SER_summary!G$27)</f>
        <v>160.263790437328</v>
      </c>
      <c r="H12" s="132">
        <f>IF(SER_hh_fech_in!H12=0,0,SER_hh_fech_in!H12/SER_summary!H$27)</f>
        <v>157.99500299088353</v>
      </c>
      <c r="I12" s="132">
        <f>IF(SER_hh_fech_in!I12=0,0,SER_hh_fech_in!I12/SER_summary!I$27)</f>
        <v>170.0779473285603</v>
      </c>
      <c r="J12" s="132">
        <f>IF(SER_hh_fech_in!J12=0,0,SER_hh_fech_in!J12/SER_summary!J$27)</f>
        <v>160.84497030270046</v>
      </c>
      <c r="K12" s="132">
        <f>IF(SER_hh_fech_in!K12=0,0,SER_hh_fech_in!K12/SER_summary!K$27)</f>
        <v>180.88522268019898</v>
      </c>
      <c r="L12" s="132">
        <f>IF(SER_hh_fech_in!L12=0,0,SER_hh_fech_in!L12/SER_summary!L$27)</f>
        <v>188.1477116507389</v>
      </c>
      <c r="M12" s="132">
        <f>IF(SER_hh_fech_in!M12=0,0,SER_hh_fech_in!M12/SER_summary!M$27)</f>
        <v>150.55992070800482</v>
      </c>
      <c r="N12" s="132">
        <f>IF(SER_hh_fech_in!N12=0,0,SER_hh_fech_in!N12/SER_summary!N$27)</f>
        <v>160.88123068625697</v>
      </c>
      <c r="O12" s="132">
        <f>IF(SER_hh_fech_in!O12=0,0,SER_hh_fech_in!O12/SER_summary!O$27)</f>
        <v>145.0819761236302</v>
      </c>
      <c r="P12" s="132">
        <f>IF(SER_hh_fech_in!P12=0,0,SER_hh_fech_in!P12/SER_summary!P$27)</f>
        <v>148.59946781261425</v>
      </c>
      <c r="Q12" s="132">
        <f>IF(SER_hh_fech_in!Q12=0,0,SER_hh_fech_in!Q12/SER_summary!Q$27)</f>
        <v>124.12082765868101</v>
      </c>
      <c r="R12" s="132">
        <f>IF(SER_hh_fech_in!R12=0,0,SER_hh_fech_in!R12/SER_summary!R$27)</f>
        <v>129.14504895896587</v>
      </c>
      <c r="S12" s="132">
        <f>IF(SER_hh_fech_in!S12=0,0,SER_hh_fech_in!S12/SER_summary!S$27)</f>
        <v>119.94047842169621</v>
      </c>
      <c r="T12" s="132">
        <f>IF(SER_hh_fech_in!T12=0,0,SER_hh_fech_in!T12/SER_summary!T$27)</f>
        <v>114.00595411084588</v>
      </c>
      <c r="U12" s="132">
        <f>IF(SER_hh_fech_in!U12=0,0,SER_hh_fech_in!U12/SER_summary!U$27)</f>
        <v>101.19914207516787</v>
      </c>
      <c r="V12" s="132">
        <f>IF(SER_hh_fech_in!V12=0,0,SER_hh_fech_in!V12/SER_summary!V$27)</f>
        <v>83.203443862044026</v>
      </c>
      <c r="W12" s="132">
        <f>IF(SER_hh_fech_in!W12=0,0,SER_hh_fech_in!W12/SER_summary!W$27)</f>
        <v>79.090054892436058</v>
      </c>
      <c r="X12" s="132">
        <f>IF(SER_hh_fech_in!X12=0,0,SER_hh_fech_in!X12/SER_summary!X$27)</f>
        <v>63.689072220043244</v>
      </c>
      <c r="Y12" s="132">
        <f>IF(SER_hh_fech_in!Y12=0,0,SER_hh_fech_in!Y12/SER_summary!Y$27)</f>
        <v>64.283222119157656</v>
      </c>
      <c r="DA12" s="156" t="s">
        <v>826</v>
      </c>
    </row>
    <row r="13" spans="1:105" ht="12" customHeight="1" x14ac:dyDescent="0.25">
      <c r="A13" s="131" t="s">
        <v>77</v>
      </c>
      <c r="B13" s="132"/>
      <c r="C13" s="132">
        <f>IF(SER_hh_fech_in!C13=0,0,SER_hh_fech_in!C13/SER_summary!C$27)</f>
        <v>81.648299310096434</v>
      </c>
      <c r="D13" s="132">
        <f>IF(SER_hh_fech_in!D13=0,0,SER_hh_fech_in!D13/SER_summary!D$27)</f>
        <v>78.778650649631984</v>
      </c>
      <c r="E13" s="132">
        <f>IF(SER_hh_fech_in!E13=0,0,SER_hh_fech_in!E13/SER_summary!E$27)</f>
        <v>74.954418347702983</v>
      </c>
      <c r="F13" s="132">
        <f>IF(SER_hh_fech_in!F13=0,0,SER_hh_fech_in!F13/SER_summary!F$27)</f>
        <v>70.972314855639851</v>
      </c>
      <c r="G13" s="132">
        <f>IF(SER_hh_fech_in!G13=0,0,SER_hh_fech_in!G13/SER_summary!G$27)</f>
        <v>67.092691432317181</v>
      </c>
      <c r="H13" s="132">
        <f>IF(SER_hh_fech_in!H13=0,0,SER_hh_fech_in!H13/SER_summary!H$27)</f>
        <v>64.285556411633891</v>
      </c>
      <c r="I13" s="132">
        <f>IF(SER_hh_fech_in!I13=0,0,SER_hh_fech_in!I13/SER_summary!I$27)</f>
        <v>62.712671462210743</v>
      </c>
      <c r="J13" s="132">
        <f>IF(SER_hh_fech_in!J13=0,0,SER_hh_fech_in!J13/SER_summary!J$27)</f>
        <v>61.362212878771281</v>
      </c>
      <c r="K13" s="132">
        <f>IF(SER_hh_fech_in!K13=0,0,SER_hh_fech_in!K13/SER_summary!K$27)</f>
        <v>60.13585596140237</v>
      </c>
      <c r="L13" s="132">
        <f>IF(SER_hh_fech_in!L13=0,0,SER_hh_fech_in!L13/SER_summary!L$27)</f>
        <v>57.583891136642421</v>
      </c>
      <c r="M13" s="132">
        <f>IF(SER_hh_fech_in!M13=0,0,SER_hh_fech_in!M13/SER_summary!M$27)</f>
        <v>52.513305826725656</v>
      </c>
      <c r="N13" s="132">
        <f>IF(SER_hh_fech_in!N13=0,0,SER_hh_fech_in!N13/SER_summary!N$27)</f>
        <v>48.648352175049148</v>
      </c>
      <c r="O13" s="132">
        <f>IF(SER_hh_fech_in!O13=0,0,SER_hh_fech_in!O13/SER_summary!O$27)</f>
        <v>43.137588274983088</v>
      </c>
      <c r="P13" s="132">
        <f>IF(SER_hh_fech_in!P13=0,0,SER_hh_fech_in!P13/SER_summary!P$27)</f>
        <v>39.034302370295514</v>
      </c>
      <c r="Q13" s="132">
        <f>IF(SER_hh_fech_in!Q13=0,0,SER_hh_fech_in!Q13/SER_summary!Q$27)</f>
        <v>36.972054523981321</v>
      </c>
      <c r="R13" s="132">
        <f>IF(SER_hh_fech_in!R13=0,0,SER_hh_fech_in!R13/SER_summary!R$27)</f>
        <v>32.890978284142804</v>
      </c>
      <c r="S13" s="132">
        <f>IF(SER_hh_fech_in!S13=0,0,SER_hh_fech_in!S13/SER_summary!S$27)</f>
        <v>30.17632882844196</v>
      </c>
      <c r="T13" s="132">
        <f>IF(SER_hh_fech_in!T13=0,0,SER_hh_fech_in!T13/SER_summary!T$27)</f>
        <v>28.525747052145888</v>
      </c>
      <c r="U13" s="132">
        <f>IF(SER_hh_fech_in!U13=0,0,SER_hh_fech_in!U13/SER_summary!U$27)</f>
        <v>25.176259726371811</v>
      </c>
      <c r="V13" s="132">
        <f>IF(SER_hh_fech_in!V13=0,0,SER_hh_fech_in!V13/SER_summary!V$27)</f>
        <v>20.600343313146162</v>
      </c>
      <c r="W13" s="132">
        <f>IF(SER_hh_fech_in!W13=0,0,SER_hh_fech_in!W13/SER_summary!W$27)</f>
        <v>19.124045967158931</v>
      </c>
      <c r="X13" s="132">
        <f>IF(SER_hh_fech_in!X13=0,0,SER_hh_fech_in!X13/SER_summary!X$27)</f>
        <v>15.778589546315175</v>
      </c>
      <c r="Y13" s="132">
        <f>IF(SER_hh_fech_in!Y13=0,0,SER_hh_fech_in!Y13/SER_summary!Y$27)</f>
        <v>16.770699392003806</v>
      </c>
      <c r="DA13" s="156" t="s">
        <v>827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192.15760459616007</v>
      </c>
      <c r="D14" s="65">
        <f>IF(SER_hh_fech_in!D14=0,0,SER_hh_fech_in!D14/SER_summary!D$27)</f>
        <v>197.8258913238632</v>
      </c>
      <c r="E14" s="65">
        <f>IF(SER_hh_fech_in!E14=0,0,SER_hh_fech_in!E14/SER_summary!E$27)</f>
        <v>185.98463720324023</v>
      </c>
      <c r="F14" s="65">
        <f>IF(SER_hh_fech_in!F14=0,0,SER_hh_fech_in!F14/SER_summary!F$27)</f>
        <v>185.21547120200762</v>
      </c>
      <c r="G14" s="65">
        <f>IF(SER_hh_fech_in!G14=0,0,SER_hh_fech_in!G14/SER_summary!G$27)</f>
        <v>179.86970156084286</v>
      </c>
      <c r="H14" s="65">
        <f>IF(SER_hh_fech_in!H14=0,0,SER_hh_fech_in!H14/SER_summary!H$27)</f>
        <v>179.0822598197756</v>
      </c>
      <c r="I14" s="65">
        <f>IF(SER_hh_fech_in!I14=0,0,SER_hh_fech_in!I14/SER_summary!I$27)</f>
        <v>178.44874233995415</v>
      </c>
      <c r="J14" s="65">
        <f>IF(SER_hh_fech_in!J14=0,0,SER_hh_fech_in!J14/SER_summary!J$27)</f>
        <v>178.8375981535261</v>
      </c>
      <c r="K14" s="65">
        <f>IF(SER_hh_fech_in!K14=0,0,SER_hh_fech_in!K14/SER_summary!K$27)</f>
        <v>189.34913857667146</v>
      </c>
      <c r="L14" s="65">
        <f>IF(SER_hh_fech_in!L14=0,0,SER_hh_fech_in!L14/SER_summary!L$27)</f>
        <v>195.46166723638606</v>
      </c>
      <c r="M14" s="65">
        <f>IF(SER_hh_fech_in!M14=0,0,SER_hh_fech_in!M14/SER_summary!M$27)</f>
        <v>170.12358190053561</v>
      </c>
      <c r="N14" s="65">
        <f>IF(SER_hh_fech_in!N14=0,0,SER_hh_fech_in!N14/SER_summary!N$27)</f>
        <v>177.85159110095444</v>
      </c>
      <c r="O14" s="65">
        <f>IF(SER_hh_fech_in!O14=0,0,SER_hh_fech_in!O14/SER_summary!O$27)</f>
        <v>161.55866215822027</v>
      </c>
      <c r="P14" s="65">
        <f>IF(SER_hh_fech_in!P14=0,0,SER_hh_fech_in!P14/SER_summary!P$27)</f>
        <v>152.72472631467107</v>
      </c>
      <c r="Q14" s="65">
        <f>IF(SER_hh_fech_in!Q14=0,0,SER_hh_fech_in!Q14/SER_summary!Q$27)</f>
        <v>140.71753751448796</v>
      </c>
      <c r="R14" s="65">
        <f>IF(SER_hh_fech_in!R14=0,0,SER_hh_fech_in!R14/SER_summary!R$27)</f>
        <v>135.76759732996106</v>
      </c>
      <c r="S14" s="65">
        <f>IF(SER_hh_fech_in!S14=0,0,SER_hh_fech_in!S14/SER_summary!S$27)</f>
        <v>119.42873498545484</v>
      </c>
      <c r="T14" s="65">
        <f>IF(SER_hh_fech_in!T14=0,0,SER_hh_fech_in!T14/SER_summary!T$27)</f>
        <v>120.67823381184161</v>
      </c>
      <c r="U14" s="65">
        <f>IF(SER_hh_fech_in!U14=0,0,SER_hh_fech_in!U14/SER_summary!U$27)</f>
        <v>101.64884727372137</v>
      </c>
      <c r="V14" s="65">
        <f>IF(SER_hh_fech_in!V14=0,0,SER_hh_fech_in!V14/SER_summary!V$27)</f>
        <v>82.765973237478988</v>
      </c>
      <c r="W14" s="65">
        <f>IF(SER_hh_fech_in!W14=0,0,SER_hh_fech_in!W14/SER_summary!W$27)</f>
        <v>71.921633980900154</v>
      </c>
      <c r="X14" s="65">
        <f>IF(SER_hh_fech_in!X14=0,0,SER_hh_fech_in!X14/SER_summary!X$27)</f>
        <v>64.162796244745792</v>
      </c>
      <c r="Y14" s="65">
        <f>IF(SER_hh_fech_in!Y14=0,0,SER_hh_fech_in!Y14/SER_summary!Y$27)</f>
        <v>56.679303625926032</v>
      </c>
      <c r="DA14" s="109" t="s">
        <v>828</v>
      </c>
    </row>
    <row r="15" spans="1:105" ht="12" customHeight="1" x14ac:dyDescent="0.25">
      <c r="A15" s="133" t="s">
        <v>80</v>
      </c>
      <c r="B15" s="134"/>
      <c r="C15" s="134">
        <f>IF(SER_hh_fech_in!C15=0,0,SER_hh_fech_in!C15/SER_summary!C$27)</f>
        <v>0.92338552003784991</v>
      </c>
      <c r="D15" s="134">
        <f>IF(SER_hh_fech_in!D15=0,0,SER_hh_fech_in!D15/SER_summary!D$27)</f>
        <v>0.96935548361845192</v>
      </c>
      <c r="E15" s="134">
        <f>IF(SER_hh_fech_in!E15=0,0,SER_hh_fech_in!E15/SER_summary!E$27)</f>
        <v>1.0086782451619316</v>
      </c>
      <c r="F15" s="134">
        <f>IF(SER_hh_fech_in!F15=0,0,SER_hh_fech_in!F15/SER_summary!F$27)</f>
        <v>0.99493898158842642</v>
      </c>
      <c r="G15" s="134">
        <f>IF(SER_hh_fech_in!G15=0,0,SER_hh_fech_in!G15/SER_summary!G$27)</f>
        <v>0.88427014813836713</v>
      </c>
      <c r="H15" s="134">
        <f>IF(SER_hh_fech_in!H15=0,0,SER_hh_fech_in!H15/SER_summary!H$27)</f>
        <v>0.75161551294360607</v>
      </c>
      <c r="I15" s="134">
        <f>IF(SER_hh_fech_in!I15=0,0,SER_hh_fech_in!I15/SER_summary!I$27)</f>
        <v>0.67551978532120283</v>
      </c>
      <c r="J15" s="134">
        <f>IF(SER_hh_fech_in!J15=0,0,SER_hh_fech_in!J15/SER_summary!J$27)</f>
        <v>0.66783283419667561</v>
      </c>
      <c r="K15" s="134">
        <f>IF(SER_hh_fech_in!K15=0,0,SER_hh_fech_in!K15/SER_summary!K$27)</f>
        <v>0.91826483243203016</v>
      </c>
      <c r="L15" s="134">
        <f>IF(SER_hh_fech_in!L15=0,0,SER_hh_fech_in!L15/SER_summary!L$27)</f>
        <v>1.1756112144383812</v>
      </c>
      <c r="M15" s="134">
        <f>IF(SER_hh_fech_in!M15=0,0,SER_hh_fech_in!M15/SER_summary!M$27)</f>
        <v>0.97527126767214734</v>
      </c>
      <c r="N15" s="134">
        <f>IF(SER_hh_fech_in!N15=0,0,SER_hh_fech_in!N15/SER_summary!N$27)</f>
        <v>0.98609862765827749</v>
      </c>
      <c r="O15" s="134">
        <f>IF(SER_hh_fech_in!O15=0,0,SER_hh_fech_in!O15/SER_summary!O$27)</f>
        <v>0.83249465707220016</v>
      </c>
      <c r="P15" s="134">
        <f>IF(SER_hh_fech_in!P15=0,0,SER_hh_fech_in!P15/SER_summary!P$27)</f>
        <v>0.70593107304203395</v>
      </c>
      <c r="Q15" s="134">
        <f>IF(SER_hh_fech_in!Q15=0,0,SER_hh_fech_in!Q15/SER_summary!Q$27)</f>
        <v>0.65780025342211845</v>
      </c>
      <c r="R15" s="134">
        <f>IF(SER_hh_fech_in!R15=0,0,SER_hh_fech_in!R15/SER_summary!R$27)</f>
        <v>0.67960430310767173</v>
      </c>
      <c r="S15" s="134">
        <f>IF(SER_hh_fech_in!S15=0,0,SER_hh_fech_in!S15/SER_summary!S$27)</f>
        <v>0.63063190720924367</v>
      </c>
      <c r="T15" s="134">
        <f>IF(SER_hh_fech_in!T15=0,0,SER_hh_fech_in!T15/SER_summary!T$27)</f>
        <v>0.5960458222060494</v>
      </c>
      <c r="U15" s="134">
        <f>IF(SER_hh_fech_in!U15=0,0,SER_hh_fech_in!U15/SER_summary!U$27)</f>
        <v>0.55289755312385014</v>
      </c>
      <c r="V15" s="134">
        <f>IF(SER_hh_fech_in!V15=0,0,SER_hh_fech_in!V15/SER_summary!V$27)</f>
        <v>0.44592824949779236</v>
      </c>
      <c r="W15" s="134">
        <f>IF(SER_hh_fech_in!W15=0,0,SER_hh_fech_in!W15/SER_summary!W$27)</f>
        <v>0.41537014436198305</v>
      </c>
      <c r="X15" s="134">
        <f>IF(SER_hh_fech_in!X15=0,0,SER_hh_fech_in!X15/SER_summary!X$27)</f>
        <v>0.33411657185656074</v>
      </c>
      <c r="Y15" s="134">
        <f>IF(SER_hh_fech_in!Y15=0,0,SER_hh_fech_in!Y15/SER_summary!Y$27)</f>
        <v>0.33372402229106868</v>
      </c>
      <c r="DA15" s="157" t="s">
        <v>829</v>
      </c>
    </row>
    <row r="16" spans="1:105" ht="12.95" customHeight="1" x14ac:dyDescent="0.25">
      <c r="A16" s="129" t="s">
        <v>74</v>
      </c>
      <c r="B16" s="130"/>
      <c r="C16" s="130">
        <f>IF(SER_hh_fech_in!C16=0,0,SER_hh_fech_in!C16/SER_summary!C$27)</f>
        <v>10.529656596917462</v>
      </c>
      <c r="D16" s="130">
        <f>IF(SER_hh_fech_in!D16=0,0,SER_hh_fech_in!D16/SER_summary!D$27)</f>
        <v>10.011923166627014</v>
      </c>
      <c r="E16" s="130">
        <f>IF(SER_hh_fech_in!E16=0,0,SER_hh_fech_in!E16/SER_summary!E$27)</f>
        <v>9.9493453580357247</v>
      </c>
      <c r="F16" s="130">
        <f>IF(SER_hh_fech_in!F16=0,0,SER_hh_fech_in!F16/SER_summary!F$27)</f>
        <v>9.1024690746858123</v>
      </c>
      <c r="G16" s="130">
        <f>IF(SER_hh_fech_in!G16=0,0,SER_hh_fech_in!G16/SER_summary!G$27)</f>
        <v>8.6938698056636667</v>
      </c>
      <c r="H16" s="130">
        <f>IF(SER_hh_fech_in!H16=0,0,SER_hh_fech_in!H16/SER_summary!H$27)</f>
        <v>8.3340751461198579</v>
      </c>
      <c r="I16" s="130">
        <f>IF(SER_hh_fech_in!I16=0,0,SER_hh_fech_in!I16/SER_summary!I$27)</f>
        <v>7.9578649487283508</v>
      </c>
      <c r="J16" s="130">
        <f>IF(SER_hh_fech_in!J16=0,0,SER_hh_fech_in!J16/SER_summary!J$27)</f>
        <v>7.6211839431577815</v>
      </c>
      <c r="K16" s="130">
        <f>IF(SER_hh_fech_in!K16=0,0,SER_hh_fech_in!K16/SER_summary!K$27)</f>
        <v>7.2413110587712453</v>
      </c>
      <c r="L16" s="130">
        <f>IF(SER_hh_fech_in!L16=0,0,SER_hh_fech_in!L16/SER_summary!L$27)</f>
        <v>7.3705856605234228</v>
      </c>
      <c r="M16" s="130">
        <f>IF(SER_hh_fech_in!M16=0,0,SER_hh_fech_in!M16/SER_summary!M$27)</f>
        <v>6.5689809869522229</v>
      </c>
      <c r="N16" s="130">
        <f>IF(SER_hh_fech_in!N16=0,0,SER_hh_fech_in!N16/SER_summary!N$27)</f>
        <v>6.0997844847350136</v>
      </c>
      <c r="O16" s="130">
        <f>IF(SER_hh_fech_in!O16=0,0,SER_hh_fech_in!O16/SER_summary!O$27)</f>
        <v>5.6954643512058647</v>
      </c>
      <c r="P16" s="130">
        <f>IF(SER_hh_fech_in!P16=0,0,SER_hh_fech_in!P16/SER_summary!P$27)</f>
        <v>5.340088552402503</v>
      </c>
      <c r="Q16" s="130">
        <f>IF(SER_hh_fech_in!Q16=0,0,SER_hh_fech_in!Q16/SER_summary!Q$27)</f>
        <v>4.9648841380471636</v>
      </c>
      <c r="R16" s="130">
        <f>IF(SER_hh_fech_in!R16=0,0,SER_hh_fech_in!R16/SER_summary!R$27)</f>
        <v>4.7933670197903266</v>
      </c>
      <c r="S16" s="130">
        <f>IF(SER_hh_fech_in!S16=0,0,SER_hh_fech_in!S16/SER_summary!S$27)</f>
        <v>4.6006438812003676</v>
      </c>
      <c r="T16" s="130">
        <f>IF(SER_hh_fech_in!T16=0,0,SER_hh_fech_in!T16/SER_summary!T$27)</f>
        <v>4.4155255412718608</v>
      </c>
      <c r="U16" s="130">
        <f>IF(SER_hh_fech_in!U16=0,0,SER_hh_fech_in!U16/SER_summary!U$27)</f>
        <v>4.2481004937338955</v>
      </c>
      <c r="V16" s="130">
        <f>IF(SER_hh_fech_in!V16=0,0,SER_hh_fech_in!V16/SER_summary!V$27)</f>
        <v>4.0376348220631639</v>
      </c>
      <c r="W16" s="130">
        <f>IF(SER_hh_fech_in!W16=0,0,SER_hh_fech_in!W16/SER_summary!W$27)</f>
        <v>3.5134262388225332</v>
      </c>
      <c r="X16" s="130">
        <f>IF(SER_hh_fech_in!X16=0,0,SER_hh_fech_in!X16/SER_summary!X$27)</f>
        <v>3.3374326879108067</v>
      </c>
      <c r="Y16" s="130">
        <f>IF(SER_hh_fech_in!Y16=0,0,SER_hh_fech_in!Y16/SER_summary!Y$27)</f>
        <v>3.3898892625252945</v>
      </c>
      <c r="DA16" s="155" t="s">
        <v>830</v>
      </c>
    </row>
    <row r="17" spans="1:105" ht="12.95" customHeight="1" x14ac:dyDescent="0.25">
      <c r="A17" s="131" t="s">
        <v>73</v>
      </c>
      <c r="B17" s="132"/>
      <c r="C17" s="132">
        <f>IF(SER_hh_fech_in!C17=0,0,SER_hh_fech_in!C17/SER_summary!C$27)</f>
        <v>0</v>
      </c>
      <c r="D17" s="132">
        <f>IF(SER_hh_fech_in!D17=0,0,SER_hh_fech_in!D17/SER_summary!D$27)</f>
        <v>0</v>
      </c>
      <c r="E17" s="132">
        <f>IF(SER_hh_fech_in!E17=0,0,SER_hh_fech_in!E17/SER_summary!E$27)</f>
        <v>0</v>
      </c>
      <c r="F17" s="132">
        <f>IF(SER_hh_fech_in!F17=0,0,SER_hh_fech_in!F17/SER_summary!F$27)</f>
        <v>0</v>
      </c>
      <c r="G17" s="132">
        <f>IF(SER_hh_fech_in!G17=0,0,SER_hh_fech_in!G17/SER_summary!G$27)</f>
        <v>0</v>
      </c>
      <c r="H17" s="132">
        <f>IF(SER_hh_fech_in!H17=0,0,SER_hh_fech_in!H17/SER_summary!H$27)</f>
        <v>0</v>
      </c>
      <c r="I17" s="132">
        <f>IF(SER_hh_fech_in!I17=0,0,SER_hh_fech_in!I17/SER_summary!I$27)</f>
        <v>0</v>
      </c>
      <c r="J17" s="132">
        <f>IF(SER_hh_fech_in!J17=0,0,SER_hh_fech_in!J17/SER_summary!J$27)</f>
        <v>0</v>
      </c>
      <c r="K17" s="132">
        <f>IF(SER_hh_fech_in!K17=0,0,SER_hh_fech_in!K17/SER_summary!K$27)</f>
        <v>0</v>
      </c>
      <c r="L17" s="132">
        <f>IF(SER_hh_fech_in!L17=0,0,SER_hh_fech_in!L17/SER_summary!L$27)</f>
        <v>0</v>
      </c>
      <c r="M17" s="132">
        <f>IF(SER_hh_fech_in!M17=0,0,SER_hh_fech_in!M17/SER_summary!M$27)</f>
        <v>0</v>
      </c>
      <c r="N17" s="132">
        <f>IF(SER_hh_fech_in!N17=0,0,SER_hh_fech_in!N17/SER_summary!N$27)</f>
        <v>0</v>
      </c>
      <c r="O17" s="132">
        <f>IF(SER_hh_fech_in!O17=0,0,SER_hh_fech_in!O17/SER_summary!O$27)</f>
        <v>0</v>
      </c>
      <c r="P17" s="132">
        <f>IF(SER_hh_fech_in!P17=0,0,SER_hh_fech_in!P17/SER_summary!P$27)</f>
        <v>0</v>
      </c>
      <c r="Q17" s="132">
        <f>IF(SER_hh_fech_in!Q17=0,0,SER_hh_fech_in!Q17/SER_summary!Q$27)</f>
        <v>0</v>
      </c>
      <c r="R17" s="132">
        <f>IF(SER_hh_fech_in!R17=0,0,SER_hh_fech_in!R17/SER_summary!R$27)</f>
        <v>0</v>
      </c>
      <c r="S17" s="132">
        <f>IF(SER_hh_fech_in!S17=0,0,SER_hh_fech_in!S17/SER_summary!S$27)</f>
        <v>0</v>
      </c>
      <c r="T17" s="132">
        <f>IF(SER_hh_fech_in!T17=0,0,SER_hh_fech_in!T17/SER_summary!T$27)</f>
        <v>0</v>
      </c>
      <c r="U17" s="132">
        <f>IF(SER_hh_fech_in!U17=0,0,SER_hh_fech_in!U17/SER_summary!U$27)</f>
        <v>0</v>
      </c>
      <c r="V17" s="132">
        <f>IF(SER_hh_fech_in!V17=0,0,SER_hh_fech_in!V17/SER_summary!V$27)</f>
        <v>0</v>
      </c>
      <c r="W17" s="132">
        <f>IF(SER_hh_fech_in!W17=0,0,SER_hh_fech_in!W17/SER_summary!W$27)</f>
        <v>0</v>
      </c>
      <c r="X17" s="132">
        <f>IF(SER_hh_fech_in!X17=0,0,SER_hh_fech_in!X17/SER_summary!X$27)</f>
        <v>0</v>
      </c>
      <c r="Y17" s="132">
        <f>IF(SER_hh_fech_in!Y17=0,0,SER_hh_fech_in!Y17/SER_summary!Y$27)</f>
        <v>0</v>
      </c>
      <c r="DA17" s="156" t="s">
        <v>831</v>
      </c>
    </row>
    <row r="18" spans="1:105" ht="12" customHeight="1" x14ac:dyDescent="0.25">
      <c r="A18" s="131" t="s">
        <v>72</v>
      </c>
      <c r="B18" s="132"/>
      <c r="C18" s="132">
        <f>IF(SER_hh_fech_in!C18=0,0,SER_hh_fech_in!C18/SER_summary!C$27)</f>
        <v>10.529656596917462</v>
      </c>
      <c r="D18" s="132">
        <f>IF(SER_hh_fech_in!D18=0,0,SER_hh_fech_in!D18/SER_summary!D$27)</f>
        <v>10.011923166627014</v>
      </c>
      <c r="E18" s="132">
        <f>IF(SER_hh_fech_in!E18=0,0,SER_hh_fech_in!E18/SER_summary!E$27)</f>
        <v>9.9493453580357247</v>
      </c>
      <c r="F18" s="132">
        <f>IF(SER_hh_fech_in!F18=0,0,SER_hh_fech_in!F18/SER_summary!F$27)</f>
        <v>9.1024690746858123</v>
      </c>
      <c r="G18" s="132">
        <f>IF(SER_hh_fech_in!G18=0,0,SER_hh_fech_in!G18/SER_summary!G$27)</f>
        <v>8.6938698056636667</v>
      </c>
      <c r="H18" s="132">
        <f>IF(SER_hh_fech_in!H18=0,0,SER_hh_fech_in!H18/SER_summary!H$27)</f>
        <v>8.3340751461198579</v>
      </c>
      <c r="I18" s="132">
        <f>IF(SER_hh_fech_in!I18=0,0,SER_hh_fech_in!I18/SER_summary!I$27)</f>
        <v>7.9578649487283508</v>
      </c>
      <c r="J18" s="132">
        <f>IF(SER_hh_fech_in!J18=0,0,SER_hh_fech_in!J18/SER_summary!J$27)</f>
        <v>7.6211839431577815</v>
      </c>
      <c r="K18" s="132">
        <f>IF(SER_hh_fech_in!K18=0,0,SER_hh_fech_in!K18/SER_summary!K$27)</f>
        <v>7.2413110587712453</v>
      </c>
      <c r="L18" s="132">
        <f>IF(SER_hh_fech_in!L18=0,0,SER_hh_fech_in!L18/SER_summary!L$27)</f>
        <v>7.3705856605234228</v>
      </c>
      <c r="M18" s="132">
        <f>IF(SER_hh_fech_in!M18=0,0,SER_hh_fech_in!M18/SER_summary!M$27)</f>
        <v>6.5689809869522229</v>
      </c>
      <c r="N18" s="132">
        <f>IF(SER_hh_fech_in!N18=0,0,SER_hh_fech_in!N18/SER_summary!N$27)</f>
        <v>6.0997844847350136</v>
      </c>
      <c r="O18" s="132">
        <f>IF(SER_hh_fech_in!O18=0,0,SER_hh_fech_in!O18/SER_summary!O$27)</f>
        <v>5.6954643512058647</v>
      </c>
      <c r="P18" s="132">
        <f>IF(SER_hh_fech_in!P18=0,0,SER_hh_fech_in!P18/SER_summary!P$27)</f>
        <v>5.340088552402503</v>
      </c>
      <c r="Q18" s="132">
        <f>IF(SER_hh_fech_in!Q18=0,0,SER_hh_fech_in!Q18/SER_summary!Q$27)</f>
        <v>4.9648841380471636</v>
      </c>
      <c r="R18" s="132">
        <f>IF(SER_hh_fech_in!R18=0,0,SER_hh_fech_in!R18/SER_summary!R$27)</f>
        <v>4.7933670197903266</v>
      </c>
      <c r="S18" s="132">
        <f>IF(SER_hh_fech_in!S18=0,0,SER_hh_fech_in!S18/SER_summary!S$27)</f>
        <v>4.6006438812003676</v>
      </c>
      <c r="T18" s="132">
        <f>IF(SER_hh_fech_in!T18=0,0,SER_hh_fech_in!T18/SER_summary!T$27)</f>
        <v>4.4155255412718608</v>
      </c>
      <c r="U18" s="132">
        <f>IF(SER_hh_fech_in!U18=0,0,SER_hh_fech_in!U18/SER_summary!U$27)</f>
        <v>4.2481004937338955</v>
      </c>
      <c r="V18" s="132">
        <f>IF(SER_hh_fech_in!V18=0,0,SER_hh_fech_in!V18/SER_summary!V$27)</f>
        <v>4.0376348220631639</v>
      </c>
      <c r="W18" s="132">
        <f>IF(SER_hh_fech_in!W18=0,0,SER_hh_fech_in!W18/SER_summary!W$27)</f>
        <v>3.5134262388225332</v>
      </c>
      <c r="X18" s="132">
        <f>IF(SER_hh_fech_in!X18=0,0,SER_hh_fech_in!X18/SER_summary!X$27)</f>
        <v>3.3374326879108067</v>
      </c>
      <c r="Y18" s="132">
        <f>IF(SER_hh_fech_in!Y18=0,0,SER_hh_fech_in!Y18/SER_summary!Y$27)</f>
        <v>3.3898892625252945</v>
      </c>
      <c r="DA18" s="156" t="s">
        <v>832</v>
      </c>
    </row>
    <row r="19" spans="1:105" ht="12.95" customHeight="1" x14ac:dyDescent="0.25">
      <c r="A19" s="129" t="s">
        <v>35</v>
      </c>
      <c r="B19" s="130"/>
      <c r="C19" s="130">
        <f>IF(SER_hh_fech_in!C19=0,0,SER_hh_fech_in!C19/SER_summary!C$27)</f>
        <v>24.715013099330964</v>
      </c>
      <c r="D19" s="130">
        <f>IF(SER_hh_fech_in!D19=0,0,SER_hh_fech_in!D19/SER_summary!D$27)</f>
        <v>24.711704683712849</v>
      </c>
      <c r="E19" s="130">
        <f>IF(SER_hh_fech_in!E19=0,0,SER_hh_fech_in!E19/SER_summary!E$27)</f>
        <v>24.740698106011486</v>
      </c>
      <c r="F19" s="130">
        <f>IF(SER_hh_fech_in!F19=0,0,SER_hh_fech_in!F19/SER_summary!F$27)</f>
        <v>24.292295065045924</v>
      </c>
      <c r="G19" s="130">
        <f>IF(SER_hh_fech_in!G19=0,0,SER_hh_fech_in!G19/SER_summary!G$27)</f>
        <v>24.392394205556201</v>
      </c>
      <c r="H19" s="130">
        <f>IF(SER_hh_fech_in!H19=0,0,SER_hh_fech_in!H19/SER_summary!H$27)</f>
        <v>23.99675831009046</v>
      </c>
      <c r="I19" s="130">
        <f>IF(SER_hh_fech_in!I19=0,0,SER_hh_fech_in!I19/SER_summary!I$27)</f>
        <v>23.730954205131123</v>
      </c>
      <c r="J19" s="130">
        <f>IF(SER_hh_fech_in!J19=0,0,SER_hh_fech_in!J19/SER_summary!J$27)</f>
        <v>24.003595624120628</v>
      </c>
      <c r="K19" s="130">
        <f>IF(SER_hh_fech_in!K19=0,0,SER_hh_fech_in!K19/SER_summary!K$27)</f>
        <v>24.161827623065371</v>
      </c>
      <c r="L19" s="130">
        <f>IF(SER_hh_fech_in!L19=0,0,SER_hh_fech_in!L19/SER_summary!L$27)</f>
        <v>24.411748305499405</v>
      </c>
      <c r="M19" s="130">
        <f>IF(SER_hh_fech_in!M19=0,0,SER_hh_fech_in!M19/SER_summary!M$27)</f>
        <v>24.229348050249534</v>
      </c>
      <c r="N19" s="130">
        <f>IF(SER_hh_fech_in!N19=0,0,SER_hh_fech_in!N19/SER_summary!N$27)</f>
        <v>23.884984436240185</v>
      </c>
      <c r="O19" s="130">
        <f>IF(SER_hh_fech_in!O19=0,0,SER_hh_fech_in!O19/SER_summary!O$27)</f>
        <v>23.429204483606181</v>
      </c>
      <c r="P19" s="130">
        <f>IF(SER_hh_fech_in!P19=0,0,SER_hh_fech_in!P19/SER_summary!P$27)</f>
        <v>22.948678054346221</v>
      </c>
      <c r="Q19" s="130">
        <f>IF(SER_hh_fech_in!Q19=0,0,SER_hh_fech_in!Q19/SER_summary!Q$27)</f>
        <v>22.46233152618743</v>
      </c>
      <c r="R19" s="130">
        <f>IF(SER_hh_fech_in!R19=0,0,SER_hh_fech_in!R19/SER_summary!R$27)</f>
        <v>21.84806020892584</v>
      </c>
      <c r="S19" s="130">
        <f>IF(SER_hh_fech_in!S19=0,0,SER_hh_fech_in!S19/SER_summary!S$27)</f>
        <v>21.667170067384195</v>
      </c>
      <c r="T19" s="130">
        <f>IF(SER_hh_fech_in!T19=0,0,SER_hh_fech_in!T19/SER_summary!T$27)</f>
        <v>21.361684811152546</v>
      </c>
      <c r="U19" s="130">
        <f>IF(SER_hh_fech_in!U19=0,0,SER_hh_fech_in!U19/SER_summary!U$27)</f>
        <v>21.382963954723721</v>
      </c>
      <c r="V19" s="130">
        <f>IF(SER_hh_fech_in!V19=0,0,SER_hh_fech_in!V19/SER_summary!V$27)</f>
        <v>19.13876514807313</v>
      </c>
      <c r="W19" s="130">
        <f>IF(SER_hh_fech_in!W19=0,0,SER_hh_fech_in!W19/SER_summary!W$27)</f>
        <v>20.969416744296069</v>
      </c>
      <c r="X19" s="130">
        <f>IF(SER_hh_fech_in!X19=0,0,SER_hh_fech_in!X19/SER_summary!X$27)</f>
        <v>20.627486113659305</v>
      </c>
      <c r="Y19" s="130">
        <f>IF(SER_hh_fech_in!Y19=0,0,SER_hh_fech_in!Y19/SER_summary!Y$27)</f>
        <v>20.578389780808429</v>
      </c>
      <c r="DA19" s="155" t="s">
        <v>833</v>
      </c>
    </row>
    <row r="20" spans="1:105" ht="12" customHeight="1" x14ac:dyDescent="0.25">
      <c r="A20" s="131" t="s">
        <v>29</v>
      </c>
      <c r="B20" s="132"/>
      <c r="C20" s="132">
        <f>IF(SER_hh_fech_in!C20=0,0,SER_hh_fech_in!C20/SER_summary!C$27)</f>
        <v>0</v>
      </c>
      <c r="D20" s="132">
        <f>IF(SER_hh_fech_in!D20=0,0,SER_hh_fech_in!D20/SER_summary!D$27)</f>
        <v>0</v>
      </c>
      <c r="E20" s="132">
        <f>IF(SER_hh_fech_in!E20=0,0,SER_hh_fech_in!E20/SER_summary!E$27)</f>
        <v>0</v>
      </c>
      <c r="F20" s="132">
        <f>IF(SER_hh_fech_in!F20=0,0,SER_hh_fech_in!F20/SER_summary!F$27)</f>
        <v>0</v>
      </c>
      <c r="G20" s="132">
        <f>IF(SER_hh_fech_in!G20=0,0,SER_hh_fech_in!G20/SER_summary!G$27)</f>
        <v>0</v>
      </c>
      <c r="H20" s="132">
        <f>IF(SER_hh_fech_in!H20=0,0,SER_hh_fech_in!H20/SER_summary!H$27)</f>
        <v>0</v>
      </c>
      <c r="I20" s="132">
        <f>IF(SER_hh_fech_in!I20=0,0,SER_hh_fech_in!I20/SER_summary!I$27)</f>
        <v>0</v>
      </c>
      <c r="J20" s="132">
        <f>IF(SER_hh_fech_in!J20=0,0,SER_hh_fech_in!J20/SER_summary!J$27)</f>
        <v>0</v>
      </c>
      <c r="K20" s="132">
        <f>IF(SER_hh_fech_in!K20=0,0,SER_hh_fech_in!K20/SER_summary!K$27)</f>
        <v>0</v>
      </c>
      <c r="L20" s="132">
        <f>IF(SER_hh_fech_in!L20=0,0,SER_hh_fech_in!L20/SER_summary!L$27)</f>
        <v>0</v>
      </c>
      <c r="M20" s="132">
        <f>IF(SER_hh_fech_in!M20=0,0,SER_hh_fech_in!M20/SER_summary!M$27)</f>
        <v>0</v>
      </c>
      <c r="N20" s="132">
        <f>IF(SER_hh_fech_in!N20=0,0,SER_hh_fech_in!N20/SER_summary!N$27)</f>
        <v>0</v>
      </c>
      <c r="O20" s="132">
        <f>IF(SER_hh_fech_in!O20=0,0,SER_hh_fech_in!O20/SER_summary!O$27)</f>
        <v>0</v>
      </c>
      <c r="P20" s="132">
        <f>IF(SER_hh_fech_in!P20=0,0,SER_hh_fech_in!P20/SER_summary!P$27)</f>
        <v>0</v>
      </c>
      <c r="Q20" s="132">
        <f>IF(SER_hh_fech_in!Q20=0,0,SER_hh_fech_in!Q20/SER_summary!Q$27)</f>
        <v>0</v>
      </c>
      <c r="R20" s="132">
        <f>IF(SER_hh_fech_in!R20=0,0,SER_hh_fech_in!R20/SER_summary!R$27)</f>
        <v>0</v>
      </c>
      <c r="S20" s="132">
        <f>IF(SER_hh_fech_in!S20=0,0,SER_hh_fech_in!S20/SER_summary!S$27)</f>
        <v>0</v>
      </c>
      <c r="T20" s="132">
        <f>IF(SER_hh_fech_in!T20=0,0,SER_hh_fech_in!T20/SER_summary!T$27)</f>
        <v>0</v>
      </c>
      <c r="U20" s="132">
        <f>IF(SER_hh_fech_in!U20=0,0,SER_hh_fech_in!U20/SER_summary!U$27)</f>
        <v>0</v>
      </c>
      <c r="V20" s="132">
        <f>IF(SER_hh_fech_in!V20=0,0,SER_hh_fech_in!V20/SER_summary!V$27)</f>
        <v>0</v>
      </c>
      <c r="W20" s="132">
        <f>IF(SER_hh_fech_in!W20=0,0,SER_hh_fech_in!W20/SER_summary!W$27)</f>
        <v>0</v>
      </c>
      <c r="X20" s="132">
        <f>IF(SER_hh_fech_in!X20=0,0,SER_hh_fech_in!X20/SER_summary!X$27)</f>
        <v>0</v>
      </c>
      <c r="Y20" s="132">
        <f>IF(SER_hh_fech_in!Y20=0,0,SER_hh_fech_in!Y20/SER_summary!Y$27)</f>
        <v>0</v>
      </c>
      <c r="DA20" s="156" t="s">
        <v>834</v>
      </c>
    </row>
    <row r="21" spans="1:105" s="2" customFormat="1" ht="12" customHeight="1" x14ac:dyDescent="0.25">
      <c r="A21" s="131" t="s">
        <v>52</v>
      </c>
      <c r="B21" s="132"/>
      <c r="C21" s="132">
        <f>IF(SER_hh_fech_in!C21=0,0,SER_hh_fech_in!C21/SER_summary!C$27)</f>
        <v>0</v>
      </c>
      <c r="D21" s="132">
        <f>IF(SER_hh_fech_in!D21=0,0,SER_hh_fech_in!D21/SER_summary!D$27)</f>
        <v>0</v>
      </c>
      <c r="E21" s="132">
        <f>IF(SER_hh_fech_in!E21=0,0,SER_hh_fech_in!E21/SER_summary!E$27)</f>
        <v>0</v>
      </c>
      <c r="F21" s="132">
        <f>IF(SER_hh_fech_in!F21=0,0,SER_hh_fech_in!F21/SER_summary!F$27)</f>
        <v>0</v>
      </c>
      <c r="G21" s="132">
        <f>IF(SER_hh_fech_in!G21=0,0,SER_hh_fech_in!G21/SER_summary!G$27)</f>
        <v>0</v>
      </c>
      <c r="H21" s="132">
        <f>IF(SER_hh_fech_in!H21=0,0,SER_hh_fech_in!H21/SER_summary!H$27)</f>
        <v>0</v>
      </c>
      <c r="I21" s="132">
        <f>IF(SER_hh_fech_in!I21=0,0,SER_hh_fech_in!I21/SER_summary!I$27)</f>
        <v>0</v>
      </c>
      <c r="J21" s="132">
        <f>IF(SER_hh_fech_in!J21=0,0,SER_hh_fech_in!J21/SER_summary!J$27)</f>
        <v>0</v>
      </c>
      <c r="K21" s="132">
        <f>IF(SER_hh_fech_in!K21=0,0,SER_hh_fech_in!K21/SER_summary!K$27)</f>
        <v>0</v>
      </c>
      <c r="L21" s="132">
        <f>IF(SER_hh_fech_in!L21=0,0,SER_hh_fech_in!L21/SER_summary!L$27)</f>
        <v>0</v>
      </c>
      <c r="M21" s="132">
        <f>IF(SER_hh_fech_in!M21=0,0,SER_hh_fech_in!M21/SER_summary!M$27)</f>
        <v>0</v>
      </c>
      <c r="N21" s="132">
        <f>IF(SER_hh_fech_in!N21=0,0,SER_hh_fech_in!N21/SER_summary!N$27)</f>
        <v>0</v>
      </c>
      <c r="O21" s="132">
        <f>IF(SER_hh_fech_in!O21=0,0,SER_hh_fech_in!O21/SER_summary!O$27)</f>
        <v>0</v>
      </c>
      <c r="P21" s="132">
        <f>IF(SER_hh_fech_in!P21=0,0,SER_hh_fech_in!P21/SER_summary!P$27)</f>
        <v>0</v>
      </c>
      <c r="Q21" s="132">
        <f>IF(SER_hh_fech_in!Q21=0,0,SER_hh_fech_in!Q21/SER_summary!Q$27)</f>
        <v>0</v>
      </c>
      <c r="R21" s="132">
        <f>IF(SER_hh_fech_in!R21=0,0,SER_hh_fech_in!R21/SER_summary!R$27)</f>
        <v>0</v>
      </c>
      <c r="S21" s="132">
        <f>IF(SER_hh_fech_in!S21=0,0,SER_hh_fech_in!S21/SER_summary!S$27)</f>
        <v>0</v>
      </c>
      <c r="T21" s="132">
        <f>IF(SER_hh_fech_in!T21=0,0,SER_hh_fech_in!T21/SER_summary!T$27)</f>
        <v>0</v>
      </c>
      <c r="U21" s="132">
        <f>IF(SER_hh_fech_in!U21=0,0,SER_hh_fech_in!U21/SER_summary!U$27)</f>
        <v>0</v>
      </c>
      <c r="V21" s="132">
        <f>IF(SER_hh_fech_in!V21=0,0,SER_hh_fech_in!V21/SER_summary!V$27)</f>
        <v>0</v>
      </c>
      <c r="W21" s="132">
        <f>IF(SER_hh_fech_in!W21=0,0,SER_hh_fech_in!W21/SER_summary!W$27)</f>
        <v>0</v>
      </c>
      <c r="X21" s="132">
        <f>IF(SER_hh_fech_in!X21=0,0,SER_hh_fech_in!X21/SER_summary!X$27)</f>
        <v>0</v>
      </c>
      <c r="Y21" s="132">
        <f>IF(SER_hh_fech_in!Y21=0,0,SER_hh_fech_in!Y21/SER_summary!Y$27)</f>
        <v>0</v>
      </c>
      <c r="DA21" s="156" t="s">
        <v>835</v>
      </c>
    </row>
    <row r="22" spans="1:105" ht="12" customHeight="1" x14ac:dyDescent="0.25">
      <c r="A22" s="131" t="s">
        <v>161</v>
      </c>
      <c r="B22" s="132"/>
      <c r="C22" s="132">
        <f>IF(SER_hh_fech_in!C22=0,0,SER_hh_fech_in!C22/SER_summary!C$27)</f>
        <v>32.847312334250887</v>
      </c>
      <c r="D22" s="132">
        <f>IF(SER_hh_fech_in!D22=0,0,SER_hh_fech_in!D22/SER_summary!D$27)</f>
        <v>33.173979784135163</v>
      </c>
      <c r="E22" s="132">
        <f>IF(SER_hh_fech_in!E22=0,0,SER_hh_fech_in!E22/SER_summary!E$27)</f>
        <v>33.103203281341074</v>
      </c>
      <c r="F22" s="132">
        <f>IF(SER_hh_fech_in!F22=0,0,SER_hh_fech_in!F22/SER_summary!F$27)</f>
        <v>32.76010077795393</v>
      </c>
      <c r="G22" s="132">
        <f>IF(SER_hh_fech_in!G22=0,0,SER_hh_fech_in!G22/SER_summary!G$27)</f>
        <v>32.338058946874497</v>
      </c>
      <c r="H22" s="132">
        <f>IF(SER_hh_fech_in!H22=0,0,SER_hh_fech_in!H22/SER_summary!H$27)</f>
        <v>32.4413251235801</v>
      </c>
      <c r="I22" s="132">
        <f>IF(SER_hh_fech_in!I22=0,0,SER_hh_fech_in!I22/SER_summary!I$27)</f>
        <v>31.993736764384455</v>
      </c>
      <c r="J22" s="132">
        <f>IF(SER_hh_fech_in!J22=0,0,SER_hh_fech_in!J22/SER_summary!J$27)</f>
        <v>31.322595566507193</v>
      </c>
      <c r="K22" s="132">
        <f>IF(SER_hh_fech_in!K22=0,0,SER_hh_fech_in!K22/SER_summary!K$27)</f>
        <v>30.586576118250694</v>
      </c>
      <c r="L22" s="132">
        <f>IF(SER_hh_fech_in!L22=0,0,SER_hh_fech_in!L22/SER_summary!L$27)</f>
        <v>32.058794590718307</v>
      </c>
      <c r="M22" s="132">
        <f>IF(SER_hh_fech_in!M22=0,0,SER_hh_fech_in!M22/SER_summary!M$27)</f>
        <v>31.44989707311742</v>
      </c>
      <c r="N22" s="132">
        <f>IF(SER_hh_fech_in!N22=0,0,SER_hh_fech_in!N22/SER_summary!N$27)</f>
        <v>30.074943026158913</v>
      </c>
      <c r="O22" s="132">
        <f>IF(SER_hh_fech_in!O22=0,0,SER_hh_fech_in!O22/SER_summary!O$27)</f>
        <v>29.134814740350489</v>
      </c>
      <c r="P22" s="132">
        <f>IF(SER_hh_fech_in!P22=0,0,SER_hh_fech_in!P22/SER_summary!P$27)</f>
        <v>27.12414449912297</v>
      </c>
      <c r="Q22" s="132">
        <f>IF(SER_hh_fech_in!Q22=0,0,SER_hh_fech_in!Q22/SER_summary!Q$27)</f>
        <v>26.212242479795894</v>
      </c>
      <c r="R22" s="132">
        <f>IF(SER_hh_fech_in!R22=0,0,SER_hh_fech_in!R22/SER_summary!R$27)</f>
        <v>26.709270460577766</v>
      </c>
      <c r="S22" s="132">
        <f>IF(SER_hh_fech_in!S22=0,0,SER_hh_fech_in!S22/SER_summary!S$27)</f>
        <v>24.887141767582808</v>
      </c>
      <c r="T22" s="132">
        <f>IF(SER_hh_fech_in!T22=0,0,SER_hh_fech_in!T22/SER_summary!T$27)</f>
        <v>23.148227731248475</v>
      </c>
      <c r="U22" s="132">
        <f>IF(SER_hh_fech_in!U22=0,0,SER_hh_fech_in!U22/SER_summary!U$27)</f>
        <v>23.285359768948737</v>
      </c>
      <c r="V22" s="132">
        <f>IF(SER_hh_fech_in!V22=0,0,SER_hh_fech_in!V22/SER_summary!V$27)</f>
        <v>21.201323301849754</v>
      </c>
      <c r="W22" s="132">
        <f>IF(SER_hh_fech_in!W22=0,0,SER_hh_fech_in!W22/SER_summary!W$27)</f>
        <v>24.587234416573594</v>
      </c>
      <c r="X22" s="132">
        <f>IF(SER_hh_fech_in!X22=0,0,SER_hh_fech_in!X22/SER_summary!X$27)</f>
        <v>23.156643756738251</v>
      </c>
      <c r="Y22" s="132">
        <f>IF(SER_hh_fech_in!Y22=0,0,SER_hh_fech_in!Y22/SER_summary!Y$27)</f>
        <v>22.395924851222858</v>
      </c>
      <c r="DA22" s="156" t="s">
        <v>836</v>
      </c>
    </row>
    <row r="23" spans="1:105" ht="12" customHeight="1" x14ac:dyDescent="0.25">
      <c r="A23" s="131" t="s">
        <v>149</v>
      </c>
      <c r="B23" s="132"/>
      <c r="C23" s="132">
        <f>IF(SER_hh_fech_in!C23=0,0,SER_hh_fech_in!C23/SER_summary!C$27)</f>
        <v>30.427507854377655</v>
      </c>
      <c r="D23" s="132">
        <f>IF(SER_hh_fech_in!D23=0,0,SER_hh_fech_in!D23/SER_summary!D$27)</f>
        <v>30.117763747990328</v>
      </c>
      <c r="E23" s="132">
        <f>IF(SER_hh_fech_in!E23=0,0,SER_hh_fech_in!E23/SER_summary!E$27)</f>
        <v>29.739211024228211</v>
      </c>
      <c r="F23" s="132">
        <f>IF(SER_hh_fech_in!F23=0,0,SER_hh_fech_in!F23/SER_summary!F$27)</f>
        <v>29.914636709202171</v>
      </c>
      <c r="G23" s="132">
        <f>IF(SER_hh_fech_in!G23=0,0,SER_hh_fech_in!G23/SER_summary!G$27)</f>
        <v>29.998672839509766</v>
      </c>
      <c r="H23" s="132">
        <f>IF(SER_hh_fech_in!H23=0,0,SER_hh_fech_in!H23/SER_summary!H$27)</f>
        <v>28.657356562343121</v>
      </c>
      <c r="I23" s="132">
        <f>IF(SER_hh_fech_in!I23=0,0,SER_hh_fech_in!I23/SER_summary!I$27)</f>
        <v>28.460138644815181</v>
      </c>
      <c r="J23" s="132">
        <f>IF(SER_hh_fech_in!J23=0,0,SER_hh_fech_in!J23/SER_summary!J$27)</f>
        <v>28.484433537577882</v>
      </c>
      <c r="K23" s="132">
        <f>IF(SER_hh_fech_in!K23=0,0,SER_hh_fech_in!K23/SER_summary!K$27)</f>
        <v>27.845663676411181</v>
      </c>
      <c r="L23" s="132">
        <f>IF(SER_hh_fech_in!L23=0,0,SER_hh_fech_in!L23/SER_summary!L$27)</f>
        <v>27.158545531370564</v>
      </c>
      <c r="M23" s="132">
        <f>IF(SER_hh_fech_in!M23=0,0,SER_hh_fech_in!M23/SER_summary!M$27)</f>
        <v>27.098357469086828</v>
      </c>
      <c r="N23" s="132">
        <f>IF(SER_hh_fech_in!N23=0,0,SER_hh_fech_in!N23/SER_summary!N$27)</f>
        <v>26.651800697484209</v>
      </c>
      <c r="O23" s="132">
        <f>IF(SER_hh_fech_in!O23=0,0,SER_hh_fech_in!O23/SER_summary!O$27)</f>
        <v>25.911978166159908</v>
      </c>
      <c r="P23" s="132">
        <f>IF(SER_hh_fech_in!P23=0,0,SER_hh_fech_in!P23/SER_summary!P$27)</f>
        <v>24.701746101501392</v>
      </c>
      <c r="Q23" s="132">
        <f>IF(SER_hh_fech_in!Q23=0,0,SER_hh_fech_in!Q23/SER_summary!Q$27)</f>
        <v>23.697935426685429</v>
      </c>
      <c r="R23" s="132">
        <f>IF(SER_hh_fech_in!R23=0,0,SER_hh_fech_in!R23/SER_summary!R$27)</f>
        <v>22.621182372095859</v>
      </c>
      <c r="S23" s="132">
        <f>IF(SER_hh_fech_in!S23=0,0,SER_hh_fech_in!S23/SER_summary!S$27)</f>
        <v>25.708214890153716</v>
      </c>
      <c r="T23" s="132">
        <f>IF(SER_hh_fech_in!T23=0,0,SER_hh_fech_in!T23/SER_summary!T$27)</f>
        <v>22.373184387017524</v>
      </c>
      <c r="U23" s="132">
        <f>IF(SER_hh_fech_in!U23=0,0,SER_hh_fech_in!U23/SER_summary!U$27)</f>
        <v>21.181669218157147</v>
      </c>
      <c r="V23" s="132">
        <f>IF(SER_hh_fech_in!V23=0,0,SER_hh_fech_in!V23/SER_summary!V$27)</f>
        <v>20.313876334506805</v>
      </c>
      <c r="W23" s="132">
        <f>IF(SER_hh_fech_in!W23=0,0,SER_hh_fech_in!W23/SER_summary!W$27)</f>
        <v>25.903617511841372</v>
      </c>
      <c r="X23" s="132">
        <f>IF(SER_hh_fech_in!X23=0,0,SER_hh_fech_in!X23/SER_summary!X$27)</f>
        <v>22.790883559278658</v>
      </c>
      <c r="Y23" s="132">
        <f>IF(SER_hh_fech_in!Y23=0,0,SER_hh_fech_in!Y23/SER_summary!Y$27)</f>
        <v>0</v>
      </c>
      <c r="DA23" s="156" t="s">
        <v>837</v>
      </c>
    </row>
    <row r="24" spans="1:105" ht="12" customHeight="1" x14ac:dyDescent="0.25">
      <c r="A24" s="131" t="s">
        <v>128</v>
      </c>
      <c r="B24" s="132"/>
      <c r="C24" s="132">
        <f>IF(SER_hh_fech_in!C24=0,0,SER_hh_fech_in!C24/SER_summary!C$27)</f>
        <v>32.465789643041546</v>
      </c>
      <c r="D24" s="132">
        <f>IF(SER_hh_fech_in!D24=0,0,SER_hh_fech_in!D24/SER_summary!D$27)</f>
        <v>31.160466524038</v>
      </c>
      <c r="E24" s="132">
        <f>IF(SER_hh_fech_in!E24=0,0,SER_hh_fech_in!E24/SER_summary!E$27)</f>
        <v>29.76976306078776</v>
      </c>
      <c r="F24" s="132">
        <f>IF(SER_hh_fech_in!F24=0,0,SER_hh_fech_in!F24/SER_summary!F$27)</f>
        <v>29.295624853801293</v>
      </c>
      <c r="G24" s="132">
        <f>IF(SER_hh_fech_in!G24=0,0,SER_hh_fech_in!G24/SER_summary!G$27)</f>
        <v>28.443426127686472</v>
      </c>
      <c r="H24" s="132">
        <f>IF(SER_hh_fech_in!H24=0,0,SER_hh_fech_in!H24/SER_summary!H$27)</f>
        <v>27.889999372438371</v>
      </c>
      <c r="I24" s="132">
        <f>IF(SER_hh_fech_in!I24=0,0,SER_hh_fech_in!I24/SER_summary!I$27)</f>
        <v>26.972497164191559</v>
      </c>
      <c r="J24" s="132">
        <f>IF(SER_hh_fech_in!J24=0,0,SER_hh_fech_in!J24/SER_summary!J$27)</f>
        <v>27.836120931326853</v>
      </c>
      <c r="K24" s="132">
        <f>IF(SER_hh_fech_in!K24=0,0,SER_hh_fech_in!K24/SER_summary!K$27)</f>
        <v>26.042621097745958</v>
      </c>
      <c r="L24" s="132">
        <f>IF(SER_hh_fech_in!L24=0,0,SER_hh_fech_in!L24/SER_summary!L$27)</f>
        <v>26.055190832674533</v>
      </c>
      <c r="M24" s="132">
        <f>IF(SER_hh_fech_in!M24=0,0,SER_hh_fech_in!M24/SER_summary!M$27)</f>
        <v>26.232799712369193</v>
      </c>
      <c r="N24" s="132">
        <f>IF(SER_hh_fech_in!N24=0,0,SER_hh_fech_in!N24/SER_summary!N$27)</f>
        <v>25.95662291768906</v>
      </c>
      <c r="O24" s="132">
        <f>IF(SER_hh_fech_in!O24=0,0,SER_hh_fech_in!O24/SER_summary!O$27)</f>
        <v>25.517654921491157</v>
      </c>
      <c r="P24" s="132">
        <f>IF(SER_hh_fech_in!P24=0,0,SER_hh_fech_in!P24/SER_summary!P$27)</f>
        <v>25.074840149533291</v>
      </c>
      <c r="Q24" s="132">
        <f>IF(SER_hh_fech_in!Q24=0,0,SER_hh_fech_in!Q24/SER_summary!Q$27)</f>
        <v>24.114129092637157</v>
      </c>
      <c r="R24" s="132">
        <f>IF(SER_hh_fech_in!R24=0,0,SER_hh_fech_in!R24/SER_summary!R$27)</f>
        <v>25.963474175900657</v>
      </c>
      <c r="S24" s="132">
        <f>IF(SER_hh_fech_in!S24=0,0,SER_hh_fech_in!S24/SER_summary!S$27)</f>
        <v>24.737932761289613</v>
      </c>
      <c r="T24" s="132">
        <f>IF(SER_hh_fech_in!T24=0,0,SER_hh_fech_in!T24/SER_summary!T$27)</f>
        <v>24.304390551806968</v>
      </c>
      <c r="U24" s="132">
        <f>IF(SER_hh_fech_in!U24=0,0,SER_hh_fech_in!U24/SER_summary!U$27)</f>
        <v>23.72900021854921</v>
      </c>
      <c r="V24" s="132">
        <f>IF(SER_hh_fech_in!V24=0,0,SER_hh_fech_in!V24/SER_summary!V$27)</f>
        <v>20.686698901841989</v>
      </c>
      <c r="W24" s="132">
        <f>IF(SER_hh_fech_in!W24=0,0,SER_hh_fech_in!W24/SER_summary!W$27)</f>
        <v>24.190843521008532</v>
      </c>
      <c r="X24" s="132">
        <f>IF(SER_hh_fech_in!X24=0,0,SER_hh_fech_in!X24/SER_summary!X$27)</f>
        <v>24.305408786964492</v>
      </c>
      <c r="Y24" s="132">
        <f>IF(SER_hh_fech_in!Y24=0,0,SER_hh_fech_in!Y24/SER_summary!Y$27)</f>
        <v>22.029928081094258</v>
      </c>
      <c r="DA24" s="156" t="s">
        <v>838</v>
      </c>
    </row>
    <row r="25" spans="1:105" ht="12" customHeight="1" x14ac:dyDescent="0.25">
      <c r="A25" s="131" t="s">
        <v>162</v>
      </c>
      <c r="B25" s="132"/>
      <c r="C25" s="132">
        <f>IF(SER_hh_fech_in!C25=0,0,SER_hh_fech_in!C25/SER_summary!C$27)</f>
        <v>21.949524531900824</v>
      </c>
      <c r="D25" s="132">
        <f>IF(SER_hh_fech_in!D25=0,0,SER_hh_fech_in!D25/SER_summary!D$27)</f>
        <v>21.706408277994392</v>
      </c>
      <c r="E25" s="132">
        <f>IF(SER_hh_fech_in!E25=0,0,SER_hh_fech_in!E25/SER_summary!E$27)</f>
        <v>21.846079440113044</v>
      </c>
      <c r="F25" s="132">
        <f>IF(SER_hh_fech_in!F25=0,0,SER_hh_fech_in!F25/SER_summary!F$27)</f>
        <v>21.614671857439124</v>
      </c>
      <c r="G25" s="132">
        <f>IF(SER_hh_fech_in!G25=0,0,SER_hh_fech_in!G25/SER_summary!G$27)</f>
        <v>21.737550891823748</v>
      </c>
      <c r="H25" s="132">
        <f>IF(SER_hh_fech_in!H25=0,0,SER_hh_fech_in!H25/SER_summary!H$27)</f>
        <v>21.625526551709683</v>
      </c>
      <c r="I25" s="132">
        <f>IF(SER_hh_fech_in!I25=0,0,SER_hh_fech_in!I25/SER_summary!I$27)</f>
        <v>21.607655120992558</v>
      </c>
      <c r="J25" s="132">
        <f>IF(SER_hh_fech_in!J25=0,0,SER_hh_fech_in!J25/SER_summary!J$27)</f>
        <v>21.35371784013417</v>
      </c>
      <c r="K25" s="132">
        <f>IF(SER_hh_fech_in!K25=0,0,SER_hh_fech_in!K25/SER_summary!K$27)</f>
        <v>21.442920434235269</v>
      </c>
      <c r="L25" s="132">
        <f>IF(SER_hh_fech_in!L25=0,0,SER_hh_fech_in!L25/SER_summary!L$27)</f>
        <v>21.388580086227851</v>
      </c>
      <c r="M25" s="132">
        <f>IF(SER_hh_fech_in!M25=0,0,SER_hh_fech_in!M25/SER_summary!M$27)</f>
        <v>21.409591397403233</v>
      </c>
      <c r="N25" s="132">
        <f>IF(SER_hh_fech_in!N25=0,0,SER_hh_fech_in!N25/SER_summary!N$27)</f>
        <v>21.519920679981059</v>
      </c>
      <c r="O25" s="132">
        <f>IF(SER_hh_fech_in!O25=0,0,SER_hh_fech_in!O25/SER_summary!O$27)</f>
        <v>21.601308526410328</v>
      </c>
      <c r="P25" s="132">
        <f>IF(SER_hh_fech_in!P25=0,0,SER_hh_fech_in!P25/SER_summary!P$27)</f>
        <v>21.511888119115621</v>
      </c>
      <c r="Q25" s="132">
        <f>IF(SER_hh_fech_in!Q25=0,0,SER_hh_fech_in!Q25/SER_summary!Q$27)</f>
        <v>21.33587824099904</v>
      </c>
      <c r="R25" s="132">
        <f>IF(SER_hh_fech_in!R25=0,0,SER_hh_fech_in!R25/SER_summary!R$27)</f>
        <v>21.394114008401992</v>
      </c>
      <c r="S25" s="132">
        <f>IF(SER_hh_fech_in!S25=0,0,SER_hh_fech_in!S25/SER_summary!S$27)</f>
        <v>21.189490361441017</v>
      </c>
      <c r="T25" s="132">
        <f>IF(SER_hh_fech_in!T25=0,0,SER_hh_fech_in!T25/SER_summary!T$27)</f>
        <v>21.548880160987984</v>
      </c>
      <c r="U25" s="132">
        <f>IF(SER_hh_fech_in!U25=0,0,SER_hh_fech_in!U25/SER_summary!U$27)</f>
        <v>20.807300127377438</v>
      </c>
      <c r="V25" s="132">
        <f>IF(SER_hh_fech_in!V25=0,0,SER_hh_fech_in!V25/SER_summary!V$27)</f>
        <v>18.632766441119912</v>
      </c>
      <c r="W25" s="132">
        <f>IF(SER_hh_fech_in!W25=0,0,SER_hh_fech_in!W25/SER_summary!W$27)</f>
        <v>21.13351277848929</v>
      </c>
      <c r="X25" s="132">
        <f>IF(SER_hh_fech_in!X25=0,0,SER_hh_fech_in!X25/SER_summary!X$27)</f>
        <v>20.838936975915939</v>
      </c>
      <c r="Y25" s="132">
        <f>IF(SER_hh_fech_in!Y25=0,0,SER_hh_fech_in!Y25/SER_summary!Y$27)</f>
        <v>20.909112267895473</v>
      </c>
      <c r="DA25" s="156" t="s">
        <v>839</v>
      </c>
    </row>
    <row r="26" spans="1:105" ht="12" customHeight="1" x14ac:dyDescent="0.25">
      <c r="A26" s="131" t="s">
        <v>24</v>
      </c>
      <c r="B26" s="65"/>
      <c r="C26" s="65">
        <f>IF(SER_hh_fech_in!C26=0,0,SER_hh_fech_in!C26/SER_summary!C$27)</f>
        <v>26.121396052371086</v>
      </c>
      <c r="D26" s="65">
        <f>IF(SER_hh_fech_in!D26=0,0,SER_hh_fech_in!D26/SER_summary!D$27)</f>
        <v>25.998624393873165</v>
      </c>
      <c r="E26" s="65">
        <f>IF(SER_hh_fech_in!E26=0,0,SER_hh_fech_in!E26/SER_summary!E$27)</f>
        <v>26.140062733728826</v>
      </c>
      <c r="F26" s="65">
        <f>IF(SER_hh_fech_in!F26=0,0,SER_hh_fech_in!F26/SER_summary!F$27)</f>
        <v>25.95931968794255</v>
      </c>
      <c r="G26" s="65">
        <f>IF(SER_hh_fech_in!G26=0,0,SER_hh_fech_in!G26/SER_summary!G$27)</f>
        <v>26.352274430417108</v>
      </c>
      <c r="H26" s="65">
        <f>IF(SER_hh_fech_in!H26=0,0,SER_hh_fech_in!H26/SER_summary!H$27)</f>
        <v>25.8122017971254</v>
      </c>
      <c r="I26" s="65">
        <f>IF(SER_hh_fech_in!I26=0,0,SER_hh_fech_in!I26/SER_summary!I$27)</f>
        <v>25.138894144875746</v>
      </c>
      <c r="J26" s="65">
        <f>IF(SER_hh_fech_in!J26=0,0,SER_hh_fech_in!J26/SER_summary!J$27)</f>
        <v>25.243265755333329</v>
      </c>
      <c r="K26" s="65">
        <f>IF(SER_hh_fech_in!K26=0,0,SER_hh_fech_in!K26/SER_summary!K$27)</f>
        <v>25.221767835086457</v>
      </c>
      <c r="L26" s="65">
        <f>IF(SER_hh_fech_in!L26=0,0,SER_hh_fech_in!L26/SER_summary!L$27)</f>
        <v>25.230134038042557</v>
      </c>
      <c r="M26" s="65">
        <f>IF(SER_hh_fech_in!M26=0,0,SER_hh_fech_in!M26/SER_summary!M$27)</f>
        <v>25.151213779405015</v>
      </c>
      <c r="N26" s="65">
        <f>IF(SER_hh_fech_in!N26=0,0,SER_hh_fech_in!N26/SER_summary!N$27)</f>
        <v>24.835997000025046</v>
      </c>
      <c r="O26" s="65">
        <f>IF(SER_hh_fech_in!O26=0,0,SER_hh_fech_in!O26/SER_summary!O$27)</f>
        <v>24.169835143254659</v>
      </c>
      <c r="P26" s="65">
        <f>IF(SER_hh_fech_in!P26=0,0,SER_hh_fech_in!P26/SER_summary!P$27)</f>
        <v>23.632242878786737</v>
      </c>
      <c r="Q26" s="65">
        <f>IF(SER_hh_fech_in!Q26=0,0,SER_hh_fech_in!Q26/SER_summary!Q$27)</f>
        <v>22.966831761935481</v>
      </c>
      <c r="R26" s="65">
        <f>IF(SER_hh_fech_in!R26=0,0,SER_hh_fech_in!R26/SER_summary!R$27)</f>
        <v>21.457007276184598</v>
      </c>
      <c r="S26" s="65">
        <f>IF(SER_hh_fech_in!S26=0,0,SER_hh_fech_in!S26/SER_summary!S$27)</f>
        <v>21.741346588863944</v>
      </c>
      <c r="T26" s="65">
        <f>IF(SER_hh_fech_in!T26=0,0,SER_hh_fech_in!T26/SER_summary!T$27)</f>
        <v>20.995433320921197</v>
      </c>
      <c r="U26" s="65">
        <f>IF(SER_hh_fech_in!U26=0,0,SER_hh_fech_in!U26/SER_summary!U$27)</f>
        <v>21.561576060371415</v>
      </c>
      <c r="V26" s="65">
        <f>IF(SER_hh_fech_in!V26=0,0,SER_hh_fech_in!V26/SER_summary!V$27)</f>
        <v>19.33396934386036</v>
      </c>
      <c r="W26" s="65">
        <f>IF(SER_hh_fech_in!W26=0,0,SER_hh_fech_in!W26/SER_summary!W$27)</f>
        <v>19.562227129393985</v>
      </c>
      <c r="X26" s="65">
        <f>IF(SER_hh_fech_in!X26=0,0,SER_hh_fech_in!X26/SER_summary!X$27)</f>
        <v>19.586109548586386</v>
      </c>
      <c r="Y26" s="65">
        <f>IF(SER_hh_fech_in!Y26=0,0,SER_hh_fech_in!Y26/SER_summary!Y$27)</f>
        <v>20.088509204901445</v>
      </c>
      <c r="DA26" s="109" t="s">
        <v>840</v>
      </c>
    </row>
    <row r="27" spans="1:105" ht="12" customHeight="1" x14ac:dyDescent="0.25">
      <c r="A27" s="144" t="s">
        <v>86</v>
      </c>
      <c r="B27" s="147"/>
      <c r="C27" s="145">
        <f>IF(SER_hh_fech_in!C27=0,0,SER_hh_fech_in!C27/SER_summary!C$27)</f>
        <v>0</v>
      </c>
      <c r="D27" s="145">
        <f>IF(SER_hh_fech_in!D27=0,0,SER_hh_fech_in!D27/SER_summary!D$27)</f>
        <v>0</v>
      </c>
      <c r="E27" s="145">
        <f>IF(SER_hh_fech_in!E27=0,0,SER_hh_fech_in!E27/SER_summary!E$27)</f>
        <v>0</v>
      </c>
      <c r="F27" s="145">
        <f>IF(SER_hh_fech_in!F27=0,0,SER_hh_fech_in!F27/SER_summary!F$27)</f>
        <v>0</v>
      </c>
      <c r="G27" s="145">
        <f>IF(SER_hh_fech_in!G27=0,0,SER_hh_fech_in!G27/SER_summary!G$27)</f>
        <v>0</v>
      </c>
      <c r="H27" s="145">
        <f>IF(SER_hh_fech_in!H27=0,0,SER_hh_fech_in!H27/SER_summary!H$27)</f>
        <v>0</v>
      </c>
      <c r="I27" s="145">
        <f>IF(SER_hh_fech_in!I27=0,0,SER_hh_fech_in!I27/SER_summary!I$27)</f>
        <v>0</v>
      </c>
      <c r="J27" s="145">
        <f>IF(SER_hh_fech_in!J27=0,0,SER_hh_fech_in!J27/SER_summary!J$27)</f>
        <v>0</v>
      </c>
      <c r="K27" s="145">
        <f>IF(SER_hh_fech_in!K27=0,0,SER_hh_fech_in!K27/SER_summary!K$27)</f>
        <v>0</v>
      </c>
      <c r="L27" s="145">
        <f>IF(SER_hh_fech_in!L27=0,0,SER_hh_fech_in!L27/SER_summary!L$27)</f>
        <v>0</v>
      </c>
      <c r="M27" s="145">
        <f>IF(SER_hh_fech_in!M27=0,0,SER_hh_fech_in!M27/SER_summary!M$27)</f>
        <v>0</v>
      </c>
      <c r="N27" s="145">
        <f>IF(SER_hh_fech_in!N27=0,0,SER_hh_fech_in!N27/SER_summary!N$27)</f>
        <v>0</v>
      </c>
      <c r="O27" s="145">
        <f>IF(SER_hh_fech_in!O27=0,0,SER_hh_fech_in!O27/SER_summary!O$27)</f>
        <v>0</v>
      </c>
      <c r="P27" s="145">
        <f>IF(SER_hh_fech_in!P27=0,0,SER_hh_fech_in!P27/SER_summary!P$27)</f>
        <v>0</v>
      </c>
      <c r="Q27" s="145">
        <f>IF(SER_hh_fech_in!Q27=0,0,SER_hh_fech_in!Q27/SER_summary!Q$27)</f>
        <v>0</v>
      </c>
      <c r="R27" s="145">
        <f>IF(SER_hh_fech_in!R27=0,0,SER_hh_fech_in!R27/SER_summary!R$27)</f>
        <v>0</v>
      </c>
      <c r="S27" s="145">
        <f>IF(SER_hh_fech_in!S27=0,0,SER_hh_fech_in!S27/SER_summary!S$27)</f>
        <v>0</v>
      </c>
      <c r="T27" s="145">
        <f>IF(SER_hh_fech_in!T27=0,0,SER_hh_fech_in!T27/SER_summary!T$27)</f>
        <v>0</v>
      </c>
      <c r="U27" s="145">
        <f>IF(SER_hh_fech_in!U27=0,0,SER_hh_fech_in!U27/SER_summary!U$27)</f>
        <v>0</v>
      </c>
      <c r="V27" s="145">
        <f>IF(SER_hh_fech_in!V27=0,0,SER_hh_fech_in!V27/SER_summary!V$27)</f>
        <v>0</v>
      </c>
      <c r="W27" s="145">
        <f>IF(SER_hh_fech_in!W27=0,0,SER_hh_fech_in!W27/SER_summary!W$27)</f>
        <v>0</v>
      </c>
      <c r="X27" s="145">
        <f>IF(SER_hh_fech_in!X27=0,0,SER_hh_fech_in!X27/SER_summary!X$27)</f>
        <v>0</v>
      </c>
      <c r="Y27" s="145">
        <f>IF(SER_hh_fech_in!Y27=0,0,SER_hh_fech_in!Y27/SER_summary!Y$27)</f>
        <v>0</v>
      </c>
      <c r="DA27" s="158" t="s">
        <v>841</v>
      </c>
    </row>
    <row r="28" spans="1:105" ht="12" customHeight="1" x14ac:dyDescent="0.25">
      <c r="A28" s="78" t="s">
        <v>85</v>
      </c>
      <c r="B28" s="68"/>
      <c r="C28" s="146">
        <f>IF(SER_hh_fech_in!C28=0,0,SER_hh_fech_in!C28/SER_summary!C$27)</f>
        <v>0</v>
      </c>
      <c r="D28" s="146">
        <f>IF(SER_hh_fech_in!D28=0,0,SER_hh_fech_in!D28/SER_summary!D$27)</f>
        <v>0</v>
      </c>
      <c r="E28" s="146">
        <f>IF(SER_hh_fech_in!E28=0,0,SER_hh_fech_in!E28/SER_summary!E$27)</f>
        <v>0</v>
      </c>
      <c r="F28" s="146">
        <f>IF(SER_hh_fech_in!F28=0,0,SER_hh_fech_in!F28/SER_summary!F$27)</f>
        <v>0</v>
      </c>
      <c r="G28" s="146">
        <f>IF(SER_hh_fech_in!G28=0,0,SER_hh_fech_in!G28/SER_summary!G$27)</f>
        <v>0</v>
      </c>
      <c r="H28" s="146">
        <f>IF(SER_hh_fech_in!H28=0,0,SER_hh_fech_in!H28/SER_summary!H$27)</f>
        <v>0</v>
      </c>
      <c r="I28" s="146">
        <f>IF(SER_hh_fech_in!I28=0,0,SER_hh_fech_in!I28/SER_summary!I$27)</f>
        <v>0</v>
      </c>
      <c r="J28" s="146">
        <f>IF(SER_hh_fech_in!J28=0,0,SER_hh_fech_in!J28/SER_summary!J$27)</f>
        <v>0</v>
      </c>
      <c r="K28" s="146">
        <f>IF(SER_hh_fech_in!K28=0,0,SER_hh_fech_in!K28/SER_summary!K$27)</f>
        <v>0</v>
      </c>
      <c r="L28" s="146">
        <f>IF(SER_hh_fech_in!L28=0,0,SER_hh_fech_in!L28/SER_summary!L$27)</f>
        <v>0</v>
      </c>
      <c r="M28" s="146">
        <f>IF(SER_hh_fech_in!M28=0,0,SER_hh_fech_in!M28/SER_summary!M$27)</f>
        <v>0</v>
      </c>
      <c r="N28" s="146">
        <f>IF(SER_hh_fech_in!N28=0,0,SER_hh_fech_in!N28/SER_summary!N$27)</f>
        <v>0</v>
      </c>
      <c r="O28" s="146">
        <f>IF(SER_hh_fech_in!O28=0,0,SER_hh_fech_in!O28/SER_summary!O$27)</f>
        <v>0</v>
      </c>
      <c r="P28" s="146">
        <f>IF(SER_hh_fech_in!P28=0,0,SER_hh_fech_in!P28/SER_summary!P$27)</f>
        <v>0</v>
      </c>
      <c r="Q28" s="146">
        <f>IF(SER_hh_fech_in!Q28=0,0,SER_hh_fech_in!Q28/SER_summary!Q$27)</f>
        <v>0</v>
      </c>
      <c r="R28" s="146">
        <f>IF(SER_hh_fech_in!R28=0,0,SER_hh_fech_in!R28/SER_summary!R$27)</f>
        <v>0</v>
      </c>
      <c r="S28" s="146">
        <f>IF(SER_hh_fech_in!S28=0,0,SER_hh_fech_in!S28/SER_summary!S$27)</f>
        <v>0</v>
      </c>
      <c r="T28" s="146">
        <f>IF(SER_hh_fech_in!T28=0,0,SER_hh_fech_in!T28/SER_summary!T$27)</f>
        <v>0</v>
      </c>
      <c r="U28" s="146">
        <f>IF(SER_hh_fech_in!U28=0,0,SER_hh_fech_in!U28/SER_summary!U$27)</f>
        <v>0</v>
      </c>
      <c r="V28" s="146">
        <f>IF(SER_hh_fech_in!V28=0,0,SER_hh_fech_in!V28/SER_summary!V$27)</f>
        <v>0</v>
      </c>
      <c r="W28" s="146">
        <f>IF(SER_hh_fech_in!W28=0,0,SER_hh_fech_in!W28/SER_summary!W$27)</f>
        <v>0</v>
      </c>
      <c r="X28" s="146">
        <f>IF(SER_hh_fech_in!X28=0,0,SER_hh_fech_in!X28/SER_summary!X$27)</f>
        <v>0</v>
      </c>
      <c r="Y28" s="146">
        <f>IF(SER_hh_fech_in!Y28=0,0,SER_hh_fech_in!Y28/SER_summary!Y$27)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IF(SER_hh_fech_in!C29=0,0,SER_hh_fech_in!C29/SER_summary!C$27)</f>
        <v>23.253857741661953</v>
      </c>
      <c r="D29" s="130">
        <f>IF(SER_hh_fech_in!D29=0,0,SER_hh_fech_in!D29/SER_summary!D$27)</f>
        <v>23.042993274829247</v>
      </c>
      <c r="E29" s="130">
        <f>IF(SER_hh_fech_in!E29=0,0,SER_hh_fech_in!E29/SER_summary!E$27)</f>
        <v>23.103553198067935</v>
      </c>
      <c r="F29" s="130">
        <f>IF(SER_hh_fech_in!F29=0,0,SER_hh_fech_in!F29/SER_summary!F$27)</f>
        <v>23.262513525943707</v>
      </c>
      <c r="G29" s="130">
        <f>IF(SER_hh_fech_in!G29=0,0,SER_hh_fech_in!G29/SER_summary!G$27)</f>
        <v>23.403452582634426</v>
      </c>
      <c r="H29" s="130">
        <f>IF(SER_hh_fech_in!H29=0,0,SER_hh_fech_in!H29/SER_summary!H$27)</f>
        <v>23.529320250776379</v>
      </c>
      <c r="I29" s="130">
        <f>IF(SER_hh_fech_in!I29=0,0,SER_hh_fech_in!I29/SER_summary!I$27)</f>
        <v>23.157725229333273</v>
      </c>
      <c r="J29" s="130">
        <f>IF(SER_hh_fech_in!J29=0,0,SER_hh_fech_in!J29/SER_summary!J$27)</f>
        <v>23.022671672311212</v>
      </c>
      <c r="K29" s="130">
        <f>IF(SER_hh_fech_in!K29=0,0,SER_hh_fech_in!K29/SER_summary!K$27)</f>
        <v>23.304868414227737</v>
      </c>
      <c r="L29" s="130">
        <f>IF(SER_hh_fech_in!L29=0,0,SER_hh_fech_in!L29/SER_summary!L$27)</f>
        <v>23.02670770113259</v>
      </c>
      <c r="M29" s="130">
        <f>IF(SER_hh_fech_in!M29=0,0,SER_hh_fech_in!M29/SER_summary!M$27)</f>
        <v>23.476859887447617</v>
      </c>
      <c r="N29" s="130">
        <f>IF(SER_hh_fech_in!N29=0,0,SER_hh_fech_in!N29/SER_summary!N$27)</f>
        <v>23.310491316486967</v>
      </c>
      <c r="O29" s="130">
        <f>IF(SER_hh_fech_in!O29=0,0,SER_hh_fech_in!O29/SER_summary!O$27)</f>
        <v>23.432624863627534</v>
      </c>
      <c r="P29" s="130">
        <f>IF(SER_hh_fech_in!P29=0,0,SER_hh_fech_in!P29/SER_summary!P$27)</f>
        <v>23.49867960623213</v>
      </c>
      <c r="Q29" s="130">
        <f>IF(SER_hh_fech_in!Q29=0,0,SER_hh_fech_in!Q29/SER_summary!Q$27)</f>
        <v>23.654552538973761</v>
      </c>
      <c r="R29" s="130">
        <f>IF(SER_hh_fech_in!R29=0,0,SER_hh_fech_in!R29/SER_summary!R$27)</f>
        <v>23.826945275441624</v>
      </c>
      <c r="S29" s="130">
        <f>IF(SER_hh_fech_in!S29=0,0,SER_hh_fech_in!S29/SER_summary!S$27)</f>
        <v>24.20187593884971</v>
      </c>
      <c r="T29" s="130">
        <f>IF(SER_hh_fech_in!T29=0,0,SER_hh_fech_in!T29/SER_summary!T$27)</f>
        <v>23.637739073196322</v>
      </c>
      <c r="U29" s="130">
        <f>IF(SER_hh_fech_in!U29=0,0,SER_hh_fech_in!U29/SER_summary!U$27)</f>
        <v>24.699196575613154</v>
      </c>
      <c r="V29" s="130">
        <f>IF(SER_hh_fech_in!V29=0,0,SER_hh_fech_in!V29/SER_summary!V$27)</f>
        <v>22.704700992444987</v>
      </c>
      <c r="W29" s="130">
        <f>IF(SER_hh_fech_in!W29=0,0,SER_hh_fech_in!W29/SER_summary!W$27)</f>
        <v>24.749018527821928</v>
      </c>
      <c r="X29" s="130">
        <f>IF(SER_hh_fech_in!X29=0,0,SER_hh_fech_in!X29/SER_summary!X$27)</f>
        <v>24.611099479405713</v>
      </c>
      <c r="Y29" s="130">
        <f>IF(SER_hh_fech_in!Y29=0,0,SER_hh_fech_in!Y29/SER_summary!Y$27)</f>
        <v>24.848393411723453</v>
      </c>
      <c r="DA29" s="155" t="s">
        <v>842</v>
      </c>
    </row>
    <row r="30" spans="1:105" s="2" customFormat="1" ht="12" customHeight="1" x14ac:dyDescent="0.25">
      <c r="A30" s="131" t="s">
        <v>52</v>
      </c>
      <c r="B30" s="132"/>
      <c r="C30" s="132">
        <f>IF(SER_hh_fech_in!C30=0,0,SER_hh_fech_in!C30/SER_summary!C$27)</f>
        <v>0</v>
      </c>
      <c r="D30" s="132">
        <f>IF(SER_hh_fech_in!D30=0,0,SER_hh_fech_in!D30/SER_summary!D$27)</f>
        <v>0</v>
      </c>
      <c r="E30" s="132">
        <f>IF(SER_hh_fech_in!E30=0,0,SER_hh_fech_in!E30/SER_summary!E$27)</f>
        <v>0</v>
      </c>
      <c r="F30" s="132">
        <f>IF(SER_hh_fech_in!F30=0,0,SER_hh_fech_in!F30/SER_summary!F$27)</f>
        <v>0</v>
      </c>
      <c r="G30" s="132">
        <f>IF(SER_hh_fech_in!G30=0,0,SER_hh_fech_in!G30/SER_summary!G$27)</f>
        <v>0</v>
      </c>
      <c r="H30" s="132">
        <f>IF(SER_hh_fech_in!H30=0,0,SER_hh_fech_in!H30/SER_summary!H$27)</f>
        <v>0</v>
      </c>
      <c r="I30" s="132">
        <f>IF(SER_hh_fech_in!I30=0,0,SER_hh_fech_in!I30/SER_summary!I$27)</f>
        <v>0</v>
      </c>
      <c r="J30" s="132">
        <f>IF(SER_hh_fech_in!J30=0,0,SER_hh_fech_in!J30/SER_summary!J$27)</f>
        <v>0</v>
      </c>
      <c r="K30" s="132">
        <f>IF(SER_hh_fech_in!K30=0,0,SER_hh_fech_in!K30/SER_summary!K$27)</f>
        <v>0</v>
      </c>
      <c r="L30" s="132">
        <f>IF(SER_hh_fech_in!L30=0,0,SER_hh_fech_in!L30/SER_summary!L$27)</f>
        <v>0</v>
      </c>
      <c r="M30" s="132">
        <f>IF(SER_hh_fech_in!M30=0,0,SER_hh_fech_in!M30/SER_summary!M$27)</f>
        <v>0</v>
      </c>
      <c r="N30" s="132">
        <f>IF(SER_hh_fech_in!N30=0,0,SER_hh_fech_in!N30/SER_summary!N$27)</f>
        <v>0</v>
      </c>
      <c r="O30" s="132">
        <f>IF(SER_hh_fech_in!O30=0,0,SER_hh_fech_in!O30/SER_summary!O$27)</f>
        <v>0</v>
      </c>
      <c r="P30" s="132">
        <f>IF(SER_hh_fech_in!P30=0,0,SER_hh_fech_in!P30/SER_summary!P$27)</f>
        <v>0</v>
      </c>
      <c r="Q30" s="132">
        <f>IF(SER_hh_fech_in!Q30=0,0,SER_hh_fech_in!Q30/SER_summary!Q$27)</f>
        <v>0</v>
      </c>
      <c r="R30" s="132">
        <f>IF(SER_hh_fech_in!R30=0,0,SER_hh_fech_in!R30/SER_summary!R$27)</f>
        <v>0</v>
      </c>
      <c r="S30" s="132">
        <f>IF(SER_hh_fech_in!S30=0,0,SER_hh_fech_in!S30/SER_summary!S$27)</f>
        <v>0</v>
      </c>
      <c r="T30" s="132">
        <f>IF(SER_hh_fech_in!T30=0,0,SER_hh_fech_in!T30/SER_summary!T$27)</f>
        <v>0</v>
      </c>
      <c r="U30" s="132">
        <f>IF(SER_hh_fech_in!U30=0,0,SER_hh_fech_in!U30/SER_summary!U$27)</f>
        <v>0</v>
      </c>
      <c r="V30" s="132">
        <f>IF(SER_hh_fech_in!V30=0,0,SER_hh_fech_in!V30/SER_summary!V$27)</f>
        <v>0</v>
      </c>
      <c r="W30" s="132">
        <f>IF(SER_hh_fech_in!W30=0,0,SER_hh_fech_in!W30/SER_summary!W$27)</f>
        <v>0</v>
      </c>
      <c r="X30" s="132">
        <f>IF(SER_hh_fech_in!X30=0,0,SER_hh_fech_in!X30/SER_summary!X$27)</f>
        <v>0</v>
      </c>
      <c r="Y30" s="132">
        <f>IF(SER_hh_fech_in!Y30=0,0,SER_hh_fech_in!Y30/SER_summary!Y$27)</f>
        <v>0</v>
      </c>
      <c r="DA30" s="156" t="s">
        <v>843</v>
      </c>
    </row>
    <row r="31" spans="1:105" ht="12" customHeight="1" x14ac:dyDescent="0.25">
      <c r="A31" s="131" t="s">
        <v>149</v>
      </c>
      <c r="B31" s="132"/>
      <c r="C31" s="132">
        <f>IF(SER_hh_fech_in!C31=0,0,SER_hh_fech_in!C31/SER_summary!C$27)</f>
        <v>30.276560981509185</v>
      </c>
      <c r="D31" s="132">
        <f>IF(SER_hh_fech_in!D31=0,0,SER_hh_fech_in!D31/SER_summary!D$27)</f>
        <v>30.290725117865456</v>
      </c>
      <c r="E31" s="132">
        <f>IF(SER_hh_fech_in!E31=0,0,SER_hh_fech_in!E31/SER_summary!E$27)</f>
        <v>30.266807039956408</v>
      </c>
      <c r="F31" s="132">
        <f>IF(SER_hh_fech_in!F31=0,0,SER_hh_fech_in!F31/SER_summary!F$27)</f>
        <v>30.634257840805287</v>
      </c>
      <c r="G31" s="132">
        <f>IF(SER_hh_fech_in!G31=0,0,SER_hh_fech_in!G31/SER_summary!G$27)</f>
        <v>30.766341919926759</v>
      </c>
      <c r="H31" s="132">
        <f>IF(SER_hh_fech_in!H31=0,0,SER_hh_fech_in!H31/SER_summary!H$27)</f>
        <v>30.755911534220537</v>
      </c>
      <c r="I31" s="132">
        <f>IF(SER_hh_fech_in!I31=0,0,SER_hh_fech_in!I31/SER_summary!I$27)</f>
        <v>30.723593165025683</v>
      </c>
      <c r="J31" s="132">
        <f>IF(SER_hh_fech_in!J31=0,0,SER_hh_fech_in!J31/SER_summary!J$27)</f>
        <v>31.159437581139496</v>
      </c>
      <c r="K31" s="132">
        <f>IF(SER_hh_fech_in!K31=0,0,SER_hh_fech_in!K31/SER_summary!K$27)</f>
        <v>30.651129387584952</v>
      </c>
      <c r="L31" s="132">
        <f>IF(SER_hh_fech_in!L31=0,0,SER_hh_fech_in!L31/SER_summary!L$27)</f>
        <v>30.615388554925445</v>
      </c>
      <c r="M31" s="132">
        <f>IF(SER_hh_fech_in!M31=0,0,SER_hh_fech_in!M31/SER_summary!M$27)</f>
        <v>30.224645363182439</v>
      </c>
      <c r="N31" s="132">
        <f>IF(SER_hh_fech_in!N31=0,0,SER_hh_fech_in!N31/SER_summary!N$27)</f>
        <v>30.815612669343544</v>
      </c>
      <c r="O31" s="132">
        <f>IF(SER_hh_fech_in!O31=0,0,SER_hh_fech_in!O31/SER_summary!O$27)</f>
        <v>31.825679383142241</v>
      </c>
      <c r="P31" s="132">
        <f>IF(SER_hh_fech_in!P31=0,0,SER_hh_fech_in!P31/SER_summary!P$27)</f>
        <v>31.685162597870267</v>
      </c>
      <c r="Q31" s="132">
        <f>IF(SER_hh_fech_in!Q31=0,0,SER_hh_fech_in!Q31/SER_summary!Q$27)</f>
        <v>32.034663146807645</v>
      </c>
      <c r="R31" s="132">
        <f>IF(SER_hh_fech_in!R31=0,0,SER_hh_fech_in!R31/SER_summary!R$27)</f>
        <v>31.633092295717617</v>
      </c>
      <c r="S31" s="132">
        <f>IF(SER_hh_fech_in!S31=0,0,SER_hh_fech_in!S31/SER_summary!S$27)</f>
        <v>35.959929558708595</v>
      </c>
      <c r="T31" s="132">
        <f>IF(SER_hh_fech_in!T31=0,0,SER_hh_fech_in!T31/SER_summary!T$27)</f>
        <v>32.498891010150274</v>
      </c>
      <c r="U31" s="132">
        <f>IF(SER_hh_fech_in!U31=0,0,SER_hh_fech_in!U31/SER_summary!U$27)</f>
        <v>31.697336039327144</v>
      </c>
      <c r="V31" s="132">
        <f>IF(SER_hh_fech_in!V31=0,0,SER_hh_fech_in!V31/SER_summary!V$27)</f>
        <v>30.91240057958062</v>
      </c>
      <c r="W31" s="132">
        <f>IF(SER_hh_fech_in!W31=0,0,SER_hh_fech_in!W31/SER_summary!W$27)</f>
        <v>44.000069265325763</v>
      </c>
      <c r="X31" s="132">
        <f>IF(SER_hh_fech_in!X31=0,0,SER_hh_fech_in!X31/SER_summary!X$27)</f>
        <v>39.229075149887407</v>
      </c>
      <c r="Y31" s="132">
        <f>IF(SER_hh_fech_in!Y31=0,0,SER_hh_fech_in!Y31/SER_summary!Y$27)</f>
        <v>32.14756259261646</v>
      </c>
      <c r="DA31" s="156" t="s">
        <v>844</v>
      </c>
    </row>
    <row r="32" spans="1:105" ht="12" customHeight="1" x14ac:dyDescent="0.25">
      <c r="A32" s="131" t="s">
        <v>128</v>
      </c>
      <c r="B32" s="132"/>
      <c r="C32" s="132">
        <f>IF(SER_hh_fech_in!C32=0,0,SER_hh_fech_in!C32/SER_summary!C$27)</f>
        <v>0</v>
      </c>
      <c r="D32" s="132">
        <f>IF(SER_hh_fech_in!D32=0,0,SER_hh_fech_in!D32/SER_summary!D$27)</f>
        <v>0</v>
      </c>
      <c r="E32" s="132">
        <f>IF(SER_hh_fech_in!E32=0,0,SER_hh_fech_in!E32/SER_summary!E$27)</f>
        <v>0</v>
      </c>
      <c r="F32" s="132">
        <f>IF(SER_hh_fech_in!F32=0,0,SER_hh_fech_in!F32/SER_summary!F$27)</f>
        <v>0</v>
      </c>
      <c r="G32" s="132">
        <f>IF(SER_hh_fech_in!G32=0,0,SER_hh_fech_in!G32/SER_summary!G$27)</f>
        <v>0</v>
      </c>
      <c r="H32" s="132">
        <f>IF(SER_hh_fech_in!H32=0,0,SER_hh_fech_in!H32/SER_summary!H$27)</f>
        <v>0</v>
      </c>
      <c r="I32" s="132">
        <f>IF(SER_hh_fech_in!I32=0,0,SER_hh_fech_in!I32/SER_summary!I$27)</f>
        <v>0</v>
      </c>
      <c r="J32" s="132">
        <f>IF(SER_hh_fech_in!J32=0,0,SER_hh_fech_in!J32/SER_summary!J$27)</f>
        <v>0</v>
      </c>
      <c r="K32" s="132">
        <f>IF(SER_hh_fech_in!K32=0,0,SER_hh_fech_in!K32/SER_summary!K$27)</f>
        <v>0</v>
      </c>
      <c r="L32" s="132">
        <f>IF(SER_hh_fech_in!L32=0,0,SER_hh_fech_in!L32/SER_summary!L$27)</f>
        <v>0</v>
      </c>
      <c r="M32" s="132">
        <f>IF(SER_hh_fech_in!M32=0,0,SER_hh_fech_in!M32/SER_summary!M$27)</f>
        <v>0</v>
      </c>
      <c r="N32" s="132">
        <f>IF(SER_hh_fech_in!N32=0,0,SER_hh_fech_in!N32/SER_summary!N$27)</f>
        <v>0</v>
      </c>
      <c r="O32" s="132">
        <f>IF(SER_hh_fech_in!O32=0,0,SER_hh_fech_in!O32/SER_summary!O$27)</f>
        <v>0</v>
      </c>
      <c r="P32" s="132">
        <f>IF(SER_hh_fech_in!P32=0,0,SER_hh_fech_in!P32/SER_summary!P$27)</f>
        <v>0</v>
      </c>
      <c r="Q32" s="132">
        <f>IF(SER_hh_fech_in!Q32=0,0,SER_hh_fech_in!Q32/SER_summary!Q$27)</f>
        <v>0</v>
      </c>
      <c r="R32" s="132">
        <f>IF(SER_hh_fech_in!R32=0,0,SER_hh_fech_in!R32/SER_summary!R$27)</f>
        <v>0</v>
      </c>
      <c r="S32" s="132">
        <f>IF(SER_hh_fech_in!S32=0,0,SER_hh_fech_in!S32/SER_summary!S$27)</f>
        <v>0</v>
      </c>
      <c r="T32" s="132">
        <f>IF(SER_hh_fech_in!T32=0,0,SER_hh_fech_in!T32/SER_summary!T$27)</f>
        <v>0</v>
      </c>
      <c r="U32" s="132">
        <f>IF(SER_hh_fech_in!U32=0,0,SER_hh_fech_in!U32/SER_summary!U$27)</f>
        <v>0</v>
      </c>
      <c r="V32" s="132">
        <f>IF(SER_hh_fech_in!V32=0,0,SER_hh_fech_in!V32/SER_summary!V$27)</f>
        <v>0</v>
      </c>
      <c r="W32" s="132">
        <f>IF(SER_hh_fech_in!W32=0,0,SER_hh_fech_in!W32/SER_summary!W$27)</f>
        <v>0</v>
      </c>
      <c r="X32" s="132">
        <f>IF(SER_hh_fech_in!X32=0,0,SER_hh_fech_in!X32/SER_summary!X$27)</f>
        <v>0</v>
      </c>
      <c r="Y32" s="132">
        <f>IF(SER_hh_fech_in!Y32=0,0,SER_hh_fech_in!Y32/SER_summary!Y$27)</f>
        <v>0</v>
      </c>
      <c r="DA32" s="156" t="s">
        <v>845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23.104156554084234</v>
      </c>
      <c r="D33" s="68">
        <f>IF(SER_hh_fech_in!D33=0,0,SER_hh_fech_in!D33/SER_summary!D$27)</f>
        <v>22.87805560647865</v>
      </c>
      <c r="E33" s="68">
        <f>IF(SER_hh_fech_in!E33=0,0,SER_hh_fech_in!E33/SER_summary!E$27)</f>
        <v>22.94652245806704</v>
      </c>
      <c r="F33" s="68">
        <f>IF(SER_hh_fech_in!F33=0,0,SER_hh_fech_in!F33/SER_summary!F$27)</f>
        <v>23.117346102856462</v>
      </c>
      <c r="G33" s="68">
        <f>IF(SER_hh_fech_in!G33=0,0,SER_hh_fech_in!G33/SER_summary!G$27)</f>
        <v>23.26488021206394</v>
      </c>
      <c r="H33" s="68">
        <f>IF(SER_hh_fech_in!H33=0,0,SER_hh_fech_in!H33/SER_summary!H$27)</f>
        <v>23.403551556720586</v>
      </c>
      <c r="I33" s="68">
        <f>IF(SER_hh_fech_in!I33=0,0,SER_hh_fech_in!I33/SER_summary!I$27)</f>
        <v>23.033530239232018</v>
      </c>
      <c r="J33" s="68">
        <f>IF(SER_hh_fech_in!J33=0,0,SER_hh_fech_in!J33/SER_summary!J$27)</f>
        <v>22.898746581773377</v>
      </c>
      <c r="K33" s="68">
        <f>IF(SER_hh_fech_in!K33=0,0,SER_hh_fech_in!K33/SER_summary!K$27)</f>
        <v>23.217656855971352</v>
      </c>
      <c r="L33" s="68">
        <f>IF(SER_hh_fech_in!L33=0,0,SER_hh_fech_in!L33/SER_summary!L$27)</f>
        <v>22.956714993595774</v>
      </c>
      <c r="M33" s="68">
        <f>IF(SER_hh_fech_in!M33=0,0,SER_hh_fech_in!M33/SER_summary!M$27)</f>
        <v>23.459851778281994</v>
      </c>
      <c r="N33" s="68">
        <f>IF(SER_hh_fech_in!N33=0,0,SER_hh_fech_in!N33/SER_summary!N$27)</f>
        <v>23.225315156599848</v>
      </c>
      <c r="O33" s="68">
        <f>IF(SER_hh_fech_in!O33=0,0,SER_hh_fech_in!O33/SER_summary!O$27)</f>
        <v>23.313241599902703</v>
      </c>
      <c r="P33" s="68">
        <f>IF(SER_hh_fech_in!P33=0,0,SER_hh_fech_in!P33/SER_summary!P$27)</f>
        <v>23.393013407928304</v>
      </c>
      <c r="Q33" s="68">
        <f>IF(SER_hh_fech_in!Q33=0,0,SER_hh_fech_in!Q33/SER_summary!Q$27)</f>
        <v>23.546739824691628</v>
      </c>
      <c r="R33" s="68">
        <f>IF(SER_hh_fech_in!R33=0,0,SER_hh_fech_in!R33/SER_summary!R$27)</f>
        <v>23.741581988547225</v>
      </c>
      <c r="S33" s="68">
        <f>IF(SER_hh_fech_in!S33=0,0,SER_hh_fech_in!S33/SER_summary!S$27)</f>
        <v>24.069434219694148</v>
      </c>
      <c r="T33" s="68">
        <f>IF(SER_hh_fech_in!T33=0,0,SER_hh_fech_in!T33/SER_summary!T$27)</f>
        <v>23.585679968489327</v>
      </c>
      <c r="U33" s="68">
        <f>IF(SER_hh_fech_in!U33=0,0,SER_hh_fech_in!U33/SER_summary!U$27)</f>
        <v>24.64356462142527</v>
      </c>
      <c r="V33" s="68">
        <f>IF(SER_hh_fech_in!V33=0,0,SER_hh_fech_in!V33/SER_summary!V$27)</f>
        <v>22.61847940033045</v>
      </c>
      <c r="W33" s="68">
        <f>IF(SER_hh_fech_in!W33=0,0,SER_hh_fech_in!W33/SER_summary!W$27)</f>
        <v>24.693300211649465</v>
      </c>
      <c r="X33" s="68">
        <f>IF(SER_hh_fech_in!X33=0,0,SER_hh_fech_in!X33/SER_summary!X$27)</f>
        <v>24.572906122407584</v>
      </c>
      <c r="Y33" s="68">
        <f>IF(SER_hh_fech_in!Y33=0,0,SER_hh_fech_in!Y33/SER_summary!Y$27)</f>
        <v>24.834206998470034</v>
      </c>
      <c r="DA33" s="111" t="s">
        <v>846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91</v>
      </c>
      <c r="B3" s="125"/>
      <c r="C3" s="125">
        <f>IF(SER_hh_tesh_in!C3=0,0,SER_hh_tesh_in!C3/SER_summary!C$27)</f>
        <v>200.0273418510794</v>
      </c>
      <c r="D3" s="125">
        <f>IF(SER_hh_tesh_in!D3=0,0,SER_hh_tesh_in!D3/SER_summary!D$27)</f>
        <v>202.56618542527892</v>
      </c>
      <c r="E3" s="125">
        <f>IF(SER_hh_tesh_in!E3=0,0,SER_hh_tesh_in!E3/SER_summary!E$27)</f>
        <v>201.05706016733879</v>
      </c>
      <c r="F3" s="125">
        <f>IF(SER_hh_tesh_in!F3=0,0,SER_hh_tesh_in!F3/SER_summary!F$27)</f>
        <v>196.15942602504478</v>
      </c>
      <c r="G3" s="125">
        <f>IF(SER_hh_tesh_in!G3=0,0,SER_hh_tesh_in!G3/SER_summary!G$27)</f>
        <v>191.51690858696526</v>
      </c>
      <c r="H3" s="125">
        <f>IF(SER_hh_tesh_in!H3=0,0,SER_hh_tesh_in!H3/SER_summary!H$27)</f>
        <v>190.53249178580666</v>
      </c>
      <c r="I3" s="125">
        <f>IF(SER_hh_tesh_in!I3=0,0,SER_hh_tesh_in!I3/SER_summary!I$27)</f>
        <v>196.47271545021584</v>
      </c>
      <c r="J3" s="125">
        <f>IF(SER_hh_tesh_in!J3=0,0,SER_hh_tesh_in!J3/SER_summary!J$27)</f>
        <v>191.3172726635641</v>
      </c>
      <c r="K3" s="125">
        <f>IF(SER_hh_tesh_in!K3=0,0,SER_hh_tesh_in!K3/SER_summary!K$27)</f>
        <v>204.12967846558348</v>
      </c>
      <c r="L3" s="125">
        <f>IF(SER_hh_tesh_in!L3=0,0,SER_hh_tesh_in!L3/SER_summary!L$27)</f>
        <v>213.11009508913224</v>
      </c>
      <c r="M3" s="125">
        <f>IF(SER_hh_tesh_in!M3=0,0,SER_hh_tesh_in!M3/SER_summary!M$27)</f>
        <v>186.90191274076309</v>
      </c>
      <c r="N3" s="125">
        <f>IF(SER_hh_tesh_in!N3=0,0,SER_hh_tesh_in!N3/SER_summary!N$27)</f>
        <v>194.30663885053309</v>
      </c>
      <c r="O3" s="125">
        <f>IF(SER_hh_tesh_in!O3=0,0,SER_hh_tesh_in!O3/SER_summary!O$27)</f>
        <v>181.51504541134034</v>
      </c>
      <c r="P3" s="125">
        <f>IF(SER_hh_tesh_in!P3=0,0,SER_hh_tesh_in!P3/SER_summary!P$27)</f>
        <v>181.06380981222912</v>
      </c>
      <c r="Q3" s="125">
        <f>IF(SER_hh_tesh_in!Q3=0,0,SER_hh_tesh_in!Q3/SER_summary!Q$27)</f>
        <v>165.41457070084397</v>
      </c>
      <c r="R3" s="125">
        <f>IF(SER_hh_tesh_in!R3=0,0,SER_hh_tesh_in!R3/SER_summary!R$27)</f>
        <v>167.2057351679195</v>
      </c>
      <c r="S3" s="125">
        <f>IF(SER_hh_tesh_in!S3=0,0,SER_hh_tesh_in!S3/SER_summary!S$27)</f>
        <v>160.07791397475393</v>
      </c>
      <c r="T3" s="125">
        <f>IF(SER_hh_tesh_in!T3=0,0,SER_hh_tesh_in!T3/SER_summary!T$27)</f>
        <v>157.16641130848768</v>
      </c>
      <c r="U3" s="125">
        <f>IF(SER_hh_tesh_in!U3=0,0,SER_hh_tesh_in!U3/SER_summary!U$27)</f>
        <v>146.75653519605268</v>
      </c>
      <c r="V3" s="125">
        <f>IF(SER_hh_tesh_in!V3=0,0,SER_hh_tesh_in!V3/SER_summary!V$27)</f>
        <v>127.61035804866158</v>
      </c>
      <c r="W3" s="125">
        <f>IF(SER_hh_tesh_in!W3=0,0,SER_hh_tesh_in!W3/SER_summary!W$27)</f>
        <v>124.66723295477509</v>
      </c>
      <c r="X3" s="125">
        <f>IF(SER_hh_tesh_in!X3=0,0,SER_hh_tesh_in!X3/SER_summary!X$27)</f>
        <v>112.39961688587854</v>
      </c>
      <c r="Y3" s="125">
        <f>IF(SER_hh_tesh_in!Y3=0,0,SER_hh_tesh_in!Y3/SER_summary!Y$27)</f>
        <v>113.28823489072683</v>
      </c>
      <c r="DA3" s="154" t="s">
        <v>848</v>
      </c>
    </row>
    <row r="4" spans="1:105" ht="12.95" customHeight="1" x14ac:dyDescent="0.25">
      <c r="A4" s="129" t="s">
        <v>32</v>
      </c>
      <c r="B4" s="130"/>
      <c r="C4" s="130">
        <f>IF(SER_hh_tesh_in!C4=0,0,SER_hh_tesh_in!C4/SER_summary!C$27)</f>
        <v>139.26044562423081</v>
      </c>
      <c r="D4" s="130">
        <f>IF(SER_hh_tesh_in!D4=0,0,SER_hh_tesh_in!D4/SER_summary!D$27)</f>
        <v>142.174664784155</v>
      </c>
      <c r="E4" s="130">
        <f>IF(SER_hh_tesh_in!E4=0,0,SER_hh_tesh_in!E4/SER_summary!E$27)</f>
        <v>139.47525692125529</v>
      </c>
      <c r="F4" s="130">
        <f>IF(SER_hh_tesh_in!F4=0,0,SER_hh_tesh_in!F4/SER_summary!F$27)</f>
        <v>135.76915698226958</v>
      </c>
      <c r="G4" s="130">
        <f>IF(SER_hh_tesh_in!G4=0,0,SER_hh_tesh_in!G4/SER_summary!G$27)</f>
        <v>130.93637657758711</v>
      </c>
      <c r="H4" s="130">
        <f>IF(SER_hh_tesh_in!H4=0,0,SER_hh_tesh_in!H4/SER_summary!H$27)</f>
        <v>130.00850381511606</v>
      </c>
      <c r="I4" s="130">
        <f>IF(SER_hh_tesh_in!I4=0,0,SER_hh_tesh_in!I4/SER_summary!I$27)</f>
        <v>136.49432502432012</v>
      </c>
      <c r="J4" s="130">
        <f>IF(SER_hh_tesh_in!J4=0,0,SER_hh_tesh_in!J4/SER_summary!J$27)</f>
        <v>131.56466616380399</v>
      </c>
      <c r="K4" s="130">
        <f>IF(SER_hh_tesh_in!K4=0,0,SER_hh_tesh_in!K4/SER_summary!K$27)</f>
        <v>144.42190145895111</v>
      </c>
      <c r="L4" s="130">
        <f>IF(SER_hh_tesh_in!L4=0,0,SER_hh_tesh_in!L4/SER_summary!L$27)</f>
        <v>151.97977485473214</v>
      </c>
      <c r="M4" s="130">
        <f>IF(SER_hh_tesh_in!M4=0,0,SER_hh_tesh_in!M4/SER_summary!M$27)</f>
        <v>127.09788085025977</v>
      </c>
      <c r="N4" s="130">
        <f>IF(SER_hh_tesh_in!N4=0,0,SER_hh_tesh_in!N4/SER_summary!N$27)</f>
        <v>135.14182981359215</v>
      </c>
      <c r="O4" s="130">
        <f>IF(SER_hh_tesh_in!O4=0,0,SER_hh_tesh_in!O4/SER_summary!O$27)</f>
        <v>122.46748459759627</v>
      </c>
      <c r="P4" s="130">
        <f>IF(SER_hh_tesh_in!P4=0,0,SER_hh_tesh_in!P4/SER_summary!P$27)</f>
        <v>121.9946639910074</v>
      </c>
      <c r="Q4" s="130">
        <f>IF(SER_hh_tesh_in!Q4=0,0,SER_hh_tesh_in!Q4/SER_summary!Q$27)</f>
        <v>106.79392262985792</v>
      </c>
      <c r="R4" s="130">
        <f>IF(SER_hh_tesh_in!R4=0,0,SER_hh_tesh_in!R4/SER_summary!R$27)</f>
        <v>108.39726265878059</v>
      </c>
      <c r="S4" s="130">
        <f>IF(SER_hh_tesh_in!S4=0,0,SER_hh_tesh_in!S4/SER_summary!S$27)</f>
        <v>100.93129248927919</v>
      </c>
      <c r="T4" s="130">
        <f>IF(SER_hh_tesh_in!T4=0,0,SER_hh_tesh_in!T4/SER_summary!T$27)</f>
        <v>98.62340040116851</v>
      </c>
      <c r="U4" s="130">
        <f>IF(SER_hh_tesh_in!U4=0,0,SER_hh_tesh_in!U4/SER_summary!U$27)</f>
        <v>87.332687100683728</v>
      </c>
      <c r="V4" s="130">
        <f>IF(SER_hh_tesh_in!V4=0,0,SER_hh_tesh_in!V4/SER_summary!V$27)</f>
        <v>72.241304441350096</v>
      </c>
      <c r="W4" s="130">
        <f>IF(SER_hh_tesh_in!W4=0,0,SER_hh_tesh_in!W4/SER_summary!W$27)</f>
        <v>67.928144504830129</v>
      </c>
      <c r="X4" s="130">
        <f>IF(SER_hh_tesh_in!X4=0,0,SER_hh_tesh_in!X4/SER_summary!X$27)</f>
        <v>56.445836069414881</v>
      </c>
      <c r="Y4" s="130">
        <f>IF(SER_hh_tesh_in!Y4=0,0,SER_hh_tesh_in!Y4/SER_summary!Y$27)</f>
        <v>56.332207569111667</v>
      </c>
      <c r="DA4" s="155" t="s">
        <v>849</v>
      </c>
    </row>
    <row r="5" spans="1:105" ht="12" customHeight="1" x14ac:dyDescent="0.25">
      <c r="A5" s="131" t="s">
        <v>29</v>
      </c>
      <c r="B5" s="132"/>
      <c r="C5" s="132">
        <f>IF(SER_hh_tesh_in!C5=0,0,SER_hh_tesh_in!C5/SER_summary!C$27)</f>
        <v>135.72142153860074</v>
      </c>
      <c r="D5" s="132">
        <f>IF(SER_hh_tesh_in!D5=0,0,SER_hh_tesh_in!D5/SER_summary!D$27)</f>
        <v>137.57713847139507</v>
      </c>
      <c r="E5" s="132">
        <f>IF(SER_hh_tesh_in!E5=0,0,SER_hh_tesh_in!E5/SER_summary!E$27)</f>
        <v>139.31072481467618</v>
      </c>
      <c r="F5" s="132">
        <f>IF(SER_hh_tesh_in!F5=0,0,SER_hh_tesh_in!F5/SER_summary!F$27)</f>
        <v>132.71081226551013</v>
      </c>
      <c r="G5" s="132">
        <f>IF(SER_hh_tesh_in!G5=0,0,SER_hh_tesh_in!G5/SER_summary!G$27)</f>
        <v>129.76389338093301</v>
      </c>
      <c r="H5" s="132">
        <f>IF(SER_hh_tesh_in!H5=0,0,SER_hh_tesh_in!H5/SER_summary!H$27)</f>
        <v>135.60767789010328</v>
      </c>
      <c r="I5" s="132">
        <f>IF(SER_hh_tesh_in!I5=0,0,SER_hh_tesh_in!I5/SER_summary!I$27)</f>
        <v>112.89060603858078</v>
      </c>
      <c r="J5" s="132">
        <f>IF(SER_hh_tesh_in!J5=0,0,SER_hh_tesh_in!J5/SER_summary!J$27)</f>
        <v>134.56652944636869</v>
      </c>
      <c r="K5" s="132">
        <f>IF(SER_hh_tesh_in!K5=0,0,SER_hh_tesh_in!K5/SER_summary!K$27)</f>
        <v>145.04018843688141</v>
      </c>
      <c r="L5" s="132">
        <f>IF(SER_hh_tesh_in!L5=0,0,SER_hh_tesh_in!L5/SER_summary!L$27)</f>
        <v>154.3373593637946</v>
      </c>
      <c r="M5" s="132">
        <f>IF(SER_hh_tesh_in!M5=0,0,SER_hh_tesh_in!M5/SER_summary!M$27)</f>
        <v>122.13115310824526</v>
      </c>
      <c r="N5" s="132">
        <f>IF(SER_hh_tesh_in!N5=0,0,SER_hh_tesh_in!N5/SER_summary!N$27)</f>
        <v>137.13435260018957</v>
      </c>
      <c r="O5" s="132">
        <f>IF(SER_hh_tesh_in!O5=0,0,SER_hh_tesh_in!O5/SER_summary!O$27)</f>
        <v>121.78678949507524</v>
      </c>
      <c r="P5" s="132">
        <f>IF(SER_hh_tesh_in!P5=0,0,SER_hh_tesh_in!P5/SER_summary!P$27)</f>
        <v>120.41117983469927</v>
      </c>
      <c r="Q5" s="132">
        <f>IF(SER_hh_tesh_in!Q5=0,0,SER_hh_tesh_in!Q5/SER_summary!Q$27)</f>
        <v>104.01935807868058</v>
      </c>
      <c r="R5" s="132">
        <f>IF(SER_hh_tesh_in!R5=0,0,SER_hh_tesh_in!R5/SER_summary!R$27)</f>
        <v>107.84117796126216</v>
      </c>
      <c r="S5" s="132">
        <f>IF(SER_hh_tesh_in!S5=0,0,SER_hh_tesh_in!S5/SER_summary!S$27)</f>
        <v>100.29612368729734</v>
      </c>
      <c r="T5" s="132">
        <f>IF(SER_hh_tesh_in!T5=0,0,SER_hh_tesh_in!T5/SER_summary!T$27)</f>
        <v>95.256084587624329</v>
      </c>
      <c r="U5" s="132">
        <f>IF(SER_hh_tesh_in!U5=0,0,SER_hh_tesh_in!U5/SER_summary!U$27)</f>
        <v>90.72496150802219</v>
      </c>
      <c r="V5" s="132">
        <f>IF(SER_hh_tesh_in!V5=0,0,SER_hh_tesh_in!V5/SER_summary!V$27)</f>
        <v>74.877439259069263</v>
      </c>
      <c r="W5" s="132">
        <f>IF(SER_hh_tesh_in!W5=0,0,SER_hh_tesh_in!W5/SER_summary!W$27)</f>
        <v>65.462136273516222</v>
      </c>
      <c r="X5" s="132">
        <f>IF(SER_hh_tesh_in!X5=0,0,SER_hh_tesh_in!X5/SER_summary!X$27)</f>
        <v>56.478907085269391</v>
      </c>
      <c r="Y5" s="132">
        <f>IF(SER_hh_tesh_in!Y5=0,0,SER_hh_tesh_in!Y5/SER_summary!Y$27)</f>
        <v>55.923295813627576</v>
      </c>
      <c r="DA5" s="156" t="s">
        <v>850</v>
      </c>
    </row>
    <row r="6" spans="1:105" ht="12" customHeight="1" x14ac:dyDescent="0.25">
      <c r="A6" s="131" t="s">
        <v>52</v>
      </c>
      <c r="B6" s="132"/>
      <c r="C6" s="132">
        <f>IF(SER_hh_tesh_in!C6=0,0,SER_hh_tesh_in!C6/SER_summary!C$27)</f>
        <v>0</v>
      </c>
      <c r="D6" s="132">
        <f>IF(SER_hh_tesh_in!D6=0,0,SER_hh_tesh_in!D6/SER_summary!D$27)</f>
        <v>0</v>
      </c>
      <c r="E6" s="132">
        <f>IF(SER_hh_tesh_in!E6=0,0,SER_hh_tesh_in!E6/SER_summary!E$27)</f>
        <v>0</v>
      </c>
      <c r="F6" s="132">
        <f>IF(SER_hh_tesh_in!F6=0,0,SER_hh_tesh_in!F6/SER_summary!F$27)</f>
        <v>0</v>
      </c>
      <c r="G6" s="132">
        <f>IF(SER_hh_tesh_in!G6=0,0,SER_hh_tesh_in!G6/SER_summary!G$27)</f>
        <v>0</v>
      </c>
      <c r="H6" s="132">
        <f>IF(SER_hh_tesh_in!H6=0,0,SER_hh_tesh_in!H6/SER_summary!H$27)</f>
        <v>0</v>
      </c>
      <c r="I6" s="132">
        <f>IF(SER_hh_tesh_in!I6=0,0,SER_hh_tesh_in!I6/SER_summary!I$27)</f>
        <v>0</v>
      </c>
      <c r="J6" s="132">
        <f>IF(SER_hh_tesh_in!J6=0,0,SER_hh_tesh_in!J6/SER_summary!J$27)</f>
        <v>0</v>
      </c>
      <c r="K6" s="132">
        <f>IF(SER_hh_tesh_in!K6=0,0,SER_hh_tesh_in!K6/SER_summary!K$27)</f>
        <v>0</v>
      </c>
      <c r="L6" s="132">
        <f>IF(SER_hh_tesh_in!L6=0,0,SER_hh_tesh_in!L6/SER_summary!L$27)</f>
        <v>0</v>
      </c>
      <c r="M6" s="132">
        <f>IF(SER_hh_tesh_in!M6=0,0,SER_hh_tesh_in!M6/SER_summary!M$27)</f>
        <v>0</v>
      </c>
      <c r="N6" s="132">
        <f>IF(SER_hh_tesh_in!N6=0,0,SER_hh_tesh_in!N6/SER_summary!N$27)</f>
        <v>0</v>
      </c>
      <c r="O6" s="132">
        <f>IF(SER_hh_tesh_in!O6=0,0,SER_hh_tesh_in!O6/SER_summary!O$27)</f>
        <v>0</v>
      </c>
      <c r="P6" s="132">
        <f>IF(SER_hh_tesh_in!P6=0,0,SER_hh_tesh_in!P6/SER_summary!P$27)</f>
        <v>0</v>
      </c>
      <c r="Q6" s="132">
        <f>IF(SER_hh_tesh_in!Q6=0,0,SER_hh_tesh_in!Q6/SER_summary!Q$27)</f>
        <v>0</v>
      </c>
      <c r="R6" s="132">
        <f>IF(SER_hh_tesh_in!R6=0,0,SER_hh_tesh_in!R6/SER_summary!R$27)</f>
        <v>0</v>
      </c>
      <c r="S6" s="132">
        <f>IF(SER_hh_tesh_in!S6=0,0,SER_hh_tesh_in!S6/SER_summary!S$27)</f>
        <v>0</v>
      </c>
      <c r="T6" s="132">
        <f>IF(SER_hh_tesh_in!T6=0,0,SER_hh_tesh_in!T6/SER_summary!T$27)</f>
        <v>0</v>
      </c>
      <c r="U6" s="132">
        <f>IF(SER_hh_tesh_in!U6=0,0,SER_hh_tesh_in!U6/SER_summary!U$27)</f>
        <v>0</v>
      </c>
      <c r="V6" s="132">
        <f>IF(SER_hh_tesh_in!V6=0,0,SER_hh_tesh_in!V6/SER_summary!V$27)</f>
        <v>0</v>
      </c>
      <c r="W6" s="132">
        <f>IF(SER_hh_tesh_in!W6=0,0,SER_hh_tesh_in!W6/SER_summary!W$27)</f>
        <v>0</v>
      </c>
      <c r="X6" s="132">
        <f>IF(SER_hh_tesh_in!X6=0,0,SER_hh_tesh_in!X6/SER_summary!X$27)</f>
        <v>0</v>
      </c>
      <c r="Y6" s="132">
        <f>IF(SER_hh_tesh_in!Y6=0,0,SER_hh_tesh_in!Y6/SER_summary!Y$27)</f>
        <v>0</v>
      </c>
      <c r="DA6" s="156" t="s">
        <v>851</v>
      </c>
    </row>
    <row r="7" spans="1:105" ht="12" customHeight="1" x14ac:dyDescent="0.25">
      <c r="A7" s="131" t="s">
        <v>161</v>
      </c>
      <c r="B7" s="132"/>
      <c r="C7" s="132">
        <f>IF(SER_hh_tesh_in!C7=0,0,SER_hh_tesh_in!C7/SER_summary!C$27)</f>
        <v>135.63873542426336</v>
      </c>
      <c r="D7" s="132">
        <f>IF(SER_hh_tesh_in!D7=0,0,SER_hh_tesh_in!D7/SER_summary!D$27)</f>
        <v>136.63675754511223</v>
      </c>
      <c r="E7" s="132">
        <f>IF(SER_hh_tesh_in!E7=0,0,SER_hh_tesh_in!E7/SER_summary!E$27)</f>
        <v>136.82949453734537</v>
      </c>
      <c r="F7" s="132">
        <f>IF(SER_hh_tesh_in!F7=0,0,SER_hh_tesh_in!F7/SER_summary!F$27)</f>
        <v>133.81760629062182</v>
      </c>
      <c r="G7" s="132">
        <f>IF(SER_hh_tesh_in!G7=0,0,SER_hh_tesh_in!G7/SER_summary!G$27)</f>
        <v>129.14041382314886</v>
      </c>
      <c r="H7" s="132">
        <f>IF(SER_hh_tesh_in!H7=0,0,SER_hh_tesh_in!H7/SER_summary!H$27)</f>
        <v>132.92414963680167</v>
      </c>
      <c r="I7" s="132">
        <f>IF(SER_hh_tesh_in!I7=0,0,SER_hh_tesh_in!I7/SER_summary!I$27)</f>
        <v>135.56088162245439</v>
      </c>
      <c r="J7" s="132">
        <f>IF(SER_hh_tesh_in!J7=0,0,SER_hh_tesh_in!J7/SER_summary!J$27)</f>
        <v>117.2409422433262</v>
      </c>
      <c r="K7" s="132">
        <f>IF(SER_hh_tesh_in!K7=0,0,SER_hh_tesh_in!K7/SER_summary!K$27)</f>
        <v>133.01415997684958</v>
      </c>
      <c r="L7" s="132">
        <f>IF(SER_hh_tesh_in!L7=0,0,SER_hh_tesh_in!L7/SER_summary!L$27)</f>
        <v>153.95723883254215</v>
      </c>
      <c r="M7" s="132">
        <f>IF(SER_hh_tesh_in!M7=0,0,SER_hh_tesh_in!M7/SER_summary!M$27)</f>
        <v>125.32656391403211</v>
      </c>
      <c r="N7" s="132">
        <f>IF(SER_hh_tesh_in!N7=0,0,SER_hh_tesh_in!N7/SER_summary!N$27)</f>
        <v>135.60886991235128</v>
      </c>
      <c r="O7" s="132">
        <f>IF(SER_hh_tesh_in!O7=0,0,SER_hh_tesh_in!O7/SER_summary!O$27)</f>
        <v>120.83674683105183</v>
      </c>
      <c r="P7" s="132">
        <f>IF(SER_hh_tesh_in!P7=0,0,SER_hh_tesh_in!P7/SER_summary!P$27)</f>
        <v>117.18124488898663</v>
      </c>
      <c r="Q7" s="132">
        <f>IF(SER_hh_tesh_in!Q7=0,0,SER_hh_tesh_in!Q7/SER_summary!Q$27)</f>
        <v>102.47125852877959</v>
      </c>
      <c r="R7" s="132">
        <f>IF(SER_hh_tesh_in!R7=0,0,SER_hh_tesh_in!R7/SER_summary!R$27)</f>
        <v>107.37676415636534</v>
      </c>
      <c r="S7" s="132">
        <f>IF(SER_hh_tesh_in!S7=0,0,SER_hh_tesh_in!S7/SER_summary!S$27)</f>
        <v>100.75928357055609</v>
      </c>
      <c r="T7" s="132">
        <f>IF(SER_hh_tesh_in!T7=0,0,SER_hh_tesh_in!T7/SER_summary!T$27)</f>
        <v>94.683047393980729</v>
      </c>
      <c r="U7" s="132">
        <f>IF(SER_hh_tesh_in!U7=0,0,SER_hh_tesh_in!U7/SER_summary!U$27)</f>
        <v>86.344240476102371</v>
      </c>
      <c r="V7" s="132">
        <f>IF(SER_hh_tesh_in!V7=0,0,SER_hh_tesh_in!V7/SER_summary!V$27)</f>
        <v>71.02141015529628</v>
      </c>
      <c r="W7" s="132">
        <f>IF(SER_hh_tesh_in!W7=0,0,SER_hh_tesh_in!W7/SER_summary!W$27)</f>
        <v>66.921492889808277</v>
      </c>
      <c r="X7" s="132">
        <f>IF(SER_hh_tesh_in!X7=0,0,SER_hh_tesh_in!X7/SER_summary!X$27)</f>
        <v>55.071334894389828</v>
      </c>
      <c r="Y7" s="132">
        <f>IF(SER_hh_tesh_in!Y7=0,0,SER_hh_tesh_in!Y7/SER_summary!Y$27)</f>
        <v>55.607198272408709</v>
      </c>
      <c r="DA7" s="156" t="s">
        <v>852</v>
      </c>
    </row>
    <row r="8" spans="1:105" ht="12" customHeight="1" x14ac:dyDescent="0.25">
      <c r="A8" s="131" t="s">
        <v>73</v>
      </c>
      <c r="B8" s="132"/>
      <c r="C8" s="132">
        <f>IF(SER_hh_tesh_in!C8=0,0,SER_hh_tesh_in!C8/SER_summary!C$27)</f>
        <v>0</v>
      </c>
      <c r="D8" s="132">
        <f>IF(SER_hh_tesh_in!D8=0,0,SER_hh_tesh_in!D8/SER_summary!D$27)</f>
        <v>0</v>
      </c>
      <c r="E8" s="132">
        <f>IF(SER_hh_tesh_in!E8=0,0,SER_hh_tesh_in!E8/SER_summary!E$27)</f>
        <v>0</v>
      </c>
      <c r="F8" s="132">
        <f>IF(SER_hh_tesh_in!F8=0,0,SER_hh_tesh_in!F8/SER_summary!F$27)</f>
        <v>0</v>
      </c>
      <c r="G8" s="132">
        <f>IF(SER_hh_tesh_in!G8=0,0,SER_hh_tesh_in!G8/SER_summary!G$27)</f>
        <v>0</v>
      </c>
      <c r="H8" s="132">
        <f>IF(SER_hh_tesh_in!H8=0,0,SER_hh_tesh_in!H8/SER_summary!H$27)</f>
        <v>0</v>
      </c>
      <c r="I8" s="132">
        <f>IF(SER_hh_tesh_in!I8=0,0,SER_hh_tesh_in!I8/SER_summary!I$27)</f>
        <v>0</v>
      </c>
      <c r="J8" s="132">
        <f>IF(SER_hh_tesh_in!J8=0,0,SER_hh_tesh_in!J8/SER_summary!J$27)</f>
        <v>0</v>
      </c>
      <c r="K8" s="132">
        <f>IF(SER_hh_tesh_in!K8=0,0,SER_hh_tesh_in!K8/SER_summary!K$27)</f>
        <v>0</v>
      </c>
      <c r="L8" s="132">
        <f>IF(SER_hh_tesh_in!L8=0,0,SER_hh_tesh_in!L8/SER_summary!L$27)</f>
        <v>0</v>
      </c>
      <c r="M8" s="132">
        <f>IF(SER_hh_tesh_in!M8=0,0,SER_hh_tesh_in!M8/SER_summary!M$27)</f>
        <v>0</v>
      </c>
      <c r="N8" s="132">
        <f>IF(SER_hh_tesh_in!N8=0,0,SER_hh_tesh_in!N8/SER_summary!N$27)</f>
        <v>0</v>
      </c>
      <c r="O8" s="132">
        <f>IF(SER_hh_tesh_in!O8=0,0,SER_hh_tesh_in!O8/SER_summary!O$27)</f>
        <v>0</v>
      </c>
      <c r="P8" s="132">
        <f>IF(SER_hh_tesh_in!P8=0,0,SER_hh_tesh_in!P8/SER_summary!P$27)</f>
        <v>0</v>
      </c>
      <c r="Q8" s="132">
        <f>IF(SER_hh_tesh_in!Q8=0,0,SER_hh_tesh_in!Q8/SER_summary!Q$27)</f>
        <v>0</v>
      </c>
      <c r="R8" s="132">
        <f>IF(SER_hh_tesh_in!R8=0,0,SER_hh_tesh_in!R8/SER_summary!R$27)</f>
        <v>0</v>
      </c>
      <c r="S8" s="132">
        <f>IF(SER_hh_tesh_in!S8=0,0,SER_hh_tesh_in!S8/SER_summary!S$27)</f>
        <v>0</v>
      </c>
      <c r="T8" s="132">
        <f>IF(SER_hh_tesh_in!T8=0,0,SER_hh_tesh_in!T8/SER_summary!T$27)</f>
        <v>0</v>
      </c>
      <c r="U8" s="132">
        <f>IF(SER_hh_tesh_in!U8=0,0,SER_hh_tesh_in!U8/SER_summary!U$27)</f>
        <v>0</v>
      </c>
      <c r="V8" s="132">
        <f>IF(SER_hh_tesh_in!V8=0,0,SER_hh_tesh_in!V8/SER_summary!V$27)</f>
        <v>0</v>
      </c>
      <c r="W8" s="132">
        <f>IF(SER_hh_tesh_in!W8=0,0,SER_hh_tesh_in!W8/SER_summary!W$27)</f>
        <v>0</v>
      </c>
      <c r="X8" s="132">
        <f>IF(SER_hh_tesh_in!X8=0,0,SER_hh_tesh_in!X8/SER_summary!X$27)</f>
        <v>0</v>
      </c>
      <c r="Y8" s="132">
        <f>IF(SER_hh_tesh_in!Y8=0,0,SER_hh_tesh_in!Y8/SER_summary!Y$27)</f>
        <v>0</v>
      </c>
      <c r="DA8" s="156" t="s">
        <v>853</v>
      </c>
    </row>
    <row r="9" spans="1:105" ht="12" customHeight="1" x14ac:dyDescent="0.25">
      <c r="A9" s="131" t="s">
        <v>78</v>
      </c>
      <c r="B9" s="132"/>
      <c r="C9" s="132">
        <f>IF(SER_hh_tesh_in!C9=0,0,SER_hh_tesh_in!C9/SER_summary!C$27)</f>
        <v>126.61384650535584</v>
      </c>
      <c r="D9" s="132">
        <f>IF(SER_hh_tesh_in!D9=0,0,SER_hh_tesh_in!D9/SER_summary!D$27)</f>
        <v>139.47413936973308</v>
      </c>
      <c r="E9" s="132">
        <f>IF(SER_hh_tesh_in!E9=0,0,SER_hh_tesh_in!E9/SER_summary!E$27)</f>
        <v>134.63149723042375</v>
      </c>
      <c r="F9" s="132">
        <f>IF(SER_hh_tesh_in!F9=0,0,SER_hh_tesh_in!F9/SER_summary!F$27)</f>
        <v>139.02902193063636</v>
      </c>
      <c r="G9" s="132">
        <f>IF(SER_hh_tesh_in!G9=0,0,SER_hh_tesh_in!G9/SER_summary!G$27)</f>
        <v>134.35095762415065</v>
      </c>
      <c r="H9" s="132">
        <f>IF(SER_hh_tesh_in!H9=0,0,SER_hh_tesh_in!H9/SER_summary!H$27)</f>
        <v>128.93067790234861</v>
      </c>
      <c r="I9" s="132">
        <f>IF(SER_hh_tesh_in!I9=0,0,SER_hh_tesh_in!I9/SER_summary!I$27)</f>
        <v>130.3838090862476</v>
      </c>
      <c r="J9" s="132">
        <f>IF(SER_hh_tesh_in!J9=0,0,SER_hh_tesh_in!J9/SER_summary!J$27)</f>
        <v>130.78759608366374</v>
      </c>
      <c r="K9" s="132">
        <f>IF(SER_hh_tesh_in!K9=0,0,SER_hh_tesh_in!K9/SER_summary!K$27)</f>
        <v>128.01540511497984</v>
      </c>
      <c r="L9" s="132">
        <f>IF(SER_hh_tesh_in!L9=0,0,SER_hh_tesh_in!L9/SER_summary!L$27)</f>
        <v>136.55340531722717</v>
      </c>
      <c r="M9" s="132">
        <f>IF(SER_hh_tesh_in!M9=0,0,SER_hh_tesh_in!M9/SER_summary!M$27)</f>
        <v>177.79811486236579</v>
      </c>
      <c r="N9" s="132">
        <f>IF(SER_hh_tesh_in!N9=0,0,SER_hh_tesh_in!N9/SER_summary!N$27)</f>
        <v>189.73719925960174</v>
      </c>
      <c r="O9" s="132">
        <f>IF(SER_hh_tesh_in!O9=0,0,SER_hh_tesh_in!O9/SER_summary!O$27)</f>
        <v>149.80934065732441</v>
      </c>
      <c r="P9" s="132">
        <f>IF(SER_hh_tesh_in!P9=0,0,SER_hh_tesh_in!P9/SER_summary!P$27)</f>
        <v>122.28115557472553</v>
      </c>
      <c r="Q9" s="132">
        <f>IF(SER_hh_tesh_in!Q9=0,0,SER_hh_tesh_in!Q9/SER_summary!Q$27)</f>
        <v>101.76175064797287</v>
      </c>
      <c r="R9" s="132">
        <f>IF(SER_hh_tesh_in!R9=0,0,SER_hh_tesh_in!R9/SER_summary!R$27)</f>
        <v>94.479949106857717</v>
      </c>
      <c r="S9" s="132">
        <f>IF(SER_hh_tesh_in!S9=0,0,SER_hh_tesh_in!S9/SER_summary!S$27)</f>
        <v>108.98195231869676</v>
      </c>
      <c r="T9" s="132">
        <f>IF(SER_hh_tesh_in!T9=0,0,SER_hh_tesh_in!T9/SER_summary!T$27)</f>
        <v>95.287017203029436</v>
      </c>
      <c r="U9" s="132">
        <f>IF(SER_hh_tesh_in!U9=0,0,SER_hh_tesh_in!U9/SER_summary!U$27)</f>
        <v>85.281386466793862</v>
      </c>
      <c r="V9" s="132">
        <f>IF(SER_hh_tesh_in!V9=0,0,SER_hh_tesh_in!V9/SER_summary!V$27)</f>
        <v>70.316074618097858</v>
      </c>
      <c r="W9" s="132">
        <f>IF(SER_hh_tesh_in!W9=0,0,SER_hh_tesh_in!W9/SER_summary!W$27)</f>
        <v>72.034963053063549</v>
      </c>
      <c r="X9" s="132">
        <f>IF(SER_hh_tesh_in!X9=0,0,SER_hh_tesh_in!X9/SER_summary!X$27)</f>
        <v>56.86575035563785</v>
      </c>
      <c r="Y9" s="132">
        <f>IF(SER_hh_tesh_in!Y9=0,0,SER_hh_tesh_in!Y9/SER_summary!Y$27)</f>
        <v>0</v>
      </c>
      <c r="DA9" s="156" t="s">
        <v>854</v>
      </c>
    </row>
    <row r="10" spans="1:105" ht="12" customHeight="1" x14ac:dyDescent="0.25">
      <c r="A10" s="131" t="s">
        <v>128</v>
      </c>
      <c r="B10" s="132"/>
      <c r="C10" s="132">
        <f>IF(SER_hh_tesh_in!C10=0,0,SER_hh_tesh_in!C10/SER_summary!C$27)</f>
        <v>137.97987810889904</v>
      </c>
      <c r="D10" s="132">
        <f>IF(SER_hh_tesh_in!D10=0,0,SER_hh_tesh_in!D10/SER_summary!D$27)</f>
        <v>139.7858688035351</v>
      </c>
      <c r="E10" s="132">
        <f>IF(SER_hh_tesh_in!E10=0,0,SER_hh_tesh_in!E10/SER_summary!E$27)</f>
        <v>138.58960156647143</v>
      </c>
      <c r="F10" s="132">
        <f>IF(SER_hh_tesh_in!F10=0,0,SER_hh_tesh_in!F10/SER_summary!F$27)</f>
        <v>133.92396026801177</v>
      </c>
      <c r="G10" s="132">
        <f>IF(SER_hh_tesh_in!G10=0,0,SER_hh_tesh_in!G10/SER_summary!G$27)</f>
        <v>130.60656380731658</v>
      </c>
      <c r="H10" s="132">
        <f>IF(SER_hh_tesh_in!H10=0,0,SER_hh_tesh_in!H10/SER_summary!H$27)</f>
        <v>131.6042893846863</v>
      </c>
      <c r="I10" s="132">
        <f>IF(SER_hh_tesh_in!I10=0,0,SER_hh_tesh_in!I10/SER_summary!I$27)</f>
        <v>128.88554573079747</v>
      </c>
      <c r="J10" s="132">
        <f>IF(SER_hh_tesh_in!J10=0,0,SER_hh_tesh_in!J10/SER_summary!J$27)</f>
        <v>134.30152832180011</v>
      </c>
      <c r="K10" s="132">
        <f>IF(SER_hh_tesh_in!K10=0,0,SER_hh_tesh_in!K10/SER_summary!K$27)</f>
        <v>141.01247758285444</v>
      </c>
      <c r="L10" s="132">
        <f>IF(SER_hh_tesh_in!L10=0,0,SER_hh_tesh_in!L10/SER_summary!L$27)</f>
        <v>151.56724673910307</v>
      </c>
      <c r="M10" s="132">
        <f>IF(SER_hh_tesh_in!M10=0,0,SER_hh_tesh_in!M10/SER_summary!M$27)</f>
        <v>126.26178213716719</v>
      </c>
      <c r="N10" s="132">
        <f>IF(SER_hh_tesh_in!N10=0,0,SER_hh_tesh_in!N10/SER_summary!N$27)</f>
        <v>135.63872902003666</v>
      </c>
      <c r="O10" s="132">
        <f>IF(SER_hh_tesh_in!O10=0,0,SER_hh_tesh_in!O10/SER_summary!O$27)</f>
        <v>121.05373641454524</v>
      </c>
      <c r="P10" s="132">
        <f>IF(SER_hh_tesh_in!P10=0,0,SER_hh_tesh_in!P10/SER_summary!P$27)</f>
        <v>119.60414686422716</v>
      </c>
      <c r="Q10" s="132">
        <f>IF(SER_hh_tesh_in!Q10=0,0,SER_hh_tesh_in!Q10/SER_summary!Q$27)</f>
        <v>103.45343269259381</v>
      </c>
      <c r="R10" s="132">
        <f>IF(SER_hh_tesh_in!R10=0,0,SER_hh_tesh_in!R10/SER_summary!R$27)</f>
        <v>108.1739736099013</v>
      </c>
      <c r="S10" s="132">
        <f>IF(SER_hh_tesh_in!S10=0,0,SER_hh_tesh_in!S10/SER_summary!S$27)</f>
        <v>101.55807248341807</v>
      </c>
      <c r="T10" s="132">
        <f>IF(SER_hh_tesh_in!T10=0,0,SER_hh_tesh_in!T10/SER_summary!T$27)</f>
        <v>96.863198785774642</v>
      </c>
      <c r="U10" s="132">
        <f>IF(SER_hh_tesh_in!U10=0,0,SER_hh_tesh_in!U10/SER_summary!U$27)</f>
        <v>86.770110683066193</v>
      </c>
      <c r="V10" s="132">
        <f>IF(SER_hh_tesh_in!V10=0,0,SER_hh_tesh_in!V10/SER_summary!V$27)</f>
        <v>70.45898039804807</v>
      </c>
      <c r="W10" s="132">
        <f>IF(SER_hh_tesh_in!W10=0,0,SER_hh_tesh_in!W10/SER_summary!W$27)</f>
        <v>66.597059624687489</v>
      </c>
      <c r="X10" s="132">
        <f>IF(SER_hh_tesh_in!X10=0,0,SER_hh_tesh_in!X10/SER_summary!X$27)</f>
        <v>60.334562546713855</v>
      </c>
      <c r="Y10" s="132">
        <f>IF(SER_hh_tesh_in!Y10=0,0,SER_hh_tesh_in!Y10/SER_summary!Y$27)</f>
        <v>54.097138948057449</v>
      </c>
      <c r="DA10" s="156" t="s">
        <v>855</v>
      </c>
    </row>
    <row r="11" spans="1:105" ht="12" customHeight="1" x14ac:dyDescent="0.25">
      <c r="A11" s="131" t="s">
        <v>25</v>
      </c>
      <c r="B11" s="132"/>
      <c r="C11" s="132">
        <f>IF(SER_hh_tesh_in!C11=0,0,SER_hh_tesh_in!C11/SER_summary!C$27)</f>
        <v>0</v>
      </c>
      <c r="D11" s="132">
        <f>IF(SER_hh_tesh_in!D11=0,0,SER_hh_tesh_in!D11/SER_summary!D$27)</f>
        <v>0</v>
      </c>
      <c r="E11" s="132">
        <f>IF(SER_hh_tesh_in!E11=0,0,SER_hh_tesh_in!E11/SER_summary!E$27)</f>
        <v>0</v>
      </c>
      <c r="F11" s="132">
        <f>IF(SER_hh_tesh_in!F11=0,0,SER_hh_tesh_in!F11/SER_summary!F$27)</f>
        <v>0</v>
      </c>
      <c r="G11" s="132">
        <f>IF(SER_hh_tesh_in!G11=0,0,SER_hh_tesh_in!G11/SER_summary!G$27)</f>
        <v>0</v>
      </c>
      <c r="H11" s="132">
        <f>IF(SER_hh_tesh_in!H11=0,0,SER_hh_tesh_in!H11/SER_summary!H$27)</f>
        <v>0</v>
      </c>
      <c r="I11" s="132">
        <f>IF(SER_hh_tesh_in!I11=0,0,SER_hh_tesh_in!I11/SER_summary!I$27)</f>
        <v>0</v>
      </c>
      <c r="J11" s="132">
        <f>IF(SER_hh_tesh_in!J11=0,0,SER_hh_tesh_in!J11/SER_summary!J$27)</f>
        <v>0</v>
      </c>
      <c r="K11" s="132">
        <f>IF(SER_hh_tesh_in!K11=0,0,SER_hh_tesh_in!K11/SER_summary!K$27)</f>
        <v>0</v>
      </c>
      <c r="L11" s="132">
        <f>IF(SER_hh_tesh_in!L11=0,0,SER_hh_tesh_in!L11/SER_summary!L$27)</f>
        <v>0</v>
      </c>
      <c r="M11" s="132">
        <f>IF(SER_hh_tesh_in!M11=0,0,SER_hh_tesh_in!M11/SER_summary!M$27)</f>
        <v>0</v>
      </c>
      <c r="N11" s="132">
        <f>IF(SER_hh_tesh_in!N11=0,0,SER_hh_tesh_in!N11/SER_summary!N$27)</f>
        <v>0</v>
      </c>
      <c r="O11" s="132">
        <f>IF(SER_hh_tesh_in!O11=0,0,SER_hh_tesh_in!O11/SER_summary!O$27)</f>
        <v>0</v>
      </c>
      <c r="P11" s="132">
        <f>IF(SER_hh_tesh_in!P11=0,0,SER_hh_tesh_in!P11/SER_summary!P$27)</f>
        <v>0</v>
      </c>
      <c r="Q11" s="132">
        <f>IF(SER_hh_tesh_in!Q11=0,0,SER_hh_tesh_in!Q11/SER_summary!Q$27)</f>
        <v>0</v>
      </c>
      <c r="R11" s="132">
        <f>IF(SER_hh_tesh_in!R11=0,0,SER_hh_tesh_in!R11/SER_summary!R$27)</f>
        <v>0</v>
      </c>
      <c r="S11" s="132">
        <f>IF(SER_hh_tesh_in!S11=0,0,SER_hh_tesh_in!S11/SER_summary!S$27)</f>
        <v>0</v>
      </c>
      <c r="T11" s="132">
        <f>IF(SER_hh_tesh_in!T11=0,0,SER_hh_tesh_in!T11/SER_summary!T$27)</f>
        <v>0</v>
      </c>
      <c r="U11" s="132">
        <f>IF(SER_hh_tesh_in!U11=0,0,SER_hh_tesh_in!U11/SER_summary!U$27)</f>
        <v>0</v>
      </c>
      <c r="V11" s="132">
        <f>IF(SER_hh_tesh_in!V11=0,0,SER_hh_tesh_in!V11/SER_summary!V$27)</f>
        <v>0</v>
      </c>
      <c r="W11" s="132">
        <f>IF(SER_hh_tesh_in!W11=0,0,SER_hh_tesh_in!W11/SER_summary!W$27)</f>
        <v>0</v>
      </c>
      <c r="X11" s="132">
        <f>IF(SER_hh_tesh_in!X11=0,0,SER_hh_tesh_in!X11/SER_summary!X$27)</f>
        <v>0</v>
      </c>
      <c r="Y11" s="132">
        <f>IF(SER_hh_tesh_in!Y11=0,0,SER_hh_tesh_in!Y11/SER_summary!Y$27)</f>
        <v>0</v>
      </c>
      <c r="DA11" s="156" t="s">
        <v>856</v>
      </c>
    </row>
    <row r="12" spans="1:105" ht="12" customHeight="1" x14ac:dyDescent="0.25">
      <c r="A12" s="131" t="s">
        <v>162</v>
      </c>
      <c r="B12" s="132"/>
      <c r="C12" s="132">
        <f>IF(SER_hh_tesh_in!C12=0,0,SER_hh_tesh_in!C12/SER_summary!C$27)</f>
        <v>139.27469349203358</v>
      </c>
      <c r="D12" s="132">
        <f>IF(SER_hh_tesh_in!D12=0,0,SER_hh_tesh_in!D12/SER_summary!D$27)</f>
        <v>141.13243358624467</v>
      </c>
      <c r="E12" s="132">
        <f>IF(SER_hh_tesh_in!E12=0,0,SER_hh_tesh_in!E12/SER_summary!E$27)</f>
        <v>141.27712572804188</v>
      </c>
      <c r="F12" s="132">
        <f>IF(SER_hh_tesh_in!F12=0,0,SER_hh_tesh_in!F12/SER_summary!F$27)</f>
        <v>134.67648323120287</v>
      </c>
      <c r="G12" s="132">
        <f>IF(SER_hh_tesh_in!G12=0,0,SER_hh_tesh_in!G12/SER_summary!G$27)</f>
        <v>128.72290310513182</v>
      </c>
      <c r="H12" s="132">
        <f>IF(SER_hh_tesh_in!H12=0,0,SER_hh_tesh_in!H12/SER_summary!H$27)</f>
        <v>127.196513353714</v>
      </c>
      <c r="I12" s="132">
        <f>IF(SER_hh_tesh_in!I12=0,0,SER_hh_tesh_in!I12/SER_summary!I$27)</f>
        <v>137.25072806658312</v>
      </c>
      <c r="J12" s="132">
        <f>IF(SER_hh_tesh_in!J12=0,0,SER_hh_tesh_in!J12/SER_summary!J$27)</f>
        <v>130.12239856602261</v>
      </c>
      <c r="K12" s="132">
        <f>IF(SER_hh_tesh_in!K12=0,0,SER_hh_tesh_in!K12/SER_summary!K$27)</f>
        <v>146.71864353569271</v>
      </c>
      <c r="L12" s="132">
        <f>IF(SER_hh_tesh_in!L12=0,0,SER_hh_tesh_in!L12/SER_summary!L$27)</f>
        <v>153.03210290053724</v>
      </c>
      <c r="M12" s="132">
        <f>IF(SER_hh_tesh_in!M12=0,0,SER_hh_tesh_in!M12/SER_summary!M$27)</f>
        <v>122.9280497423681</v>
      </c>
      <c r="N12" s="132">
        <f>IF(SER_hh_tesh_in!N12=0,0,SER_hh_tesh_in!N12/SER_summary!N$27)</f>
        <v>132.03227483245331</v>
      </c>
      <c r="O12" s="132">
        <f>IF(SER_hh_tesh_in!O12=0,0,SER_hh_tesh_in!O12/SER_summary!O$27)</f>
        <v>119.8657940170235</v>
      </c>
      <c r="P12" s="132">
        <f>IF(SER_hh_tesh_in!P12=0,0,SER_hh_tesh_in!P12/SER_summary!P$27)</f>
        <v>123.72666186049183</v>
      </c>
      <c r="Q12" s="132">
        <f>IF(SER_hh_tesh_in!Q12=0,0,SER_hh_tesh_in!Q12/SER_summary!Q$27)</f>
        <v>104.09768448598757</v>
      </c>
      <c r="R12" s="132">
        <f>IF(SER_hh_tesh_in!R12=0,0,SER_hh_tesh_in!R12/SER_summary!R$27)</f>
        <v>108.91126849431245</v>
      </c>
      <c r="S12" s="132">
        <f>IF(SER_hh_tesh_in!S12=0,0,SER_hh_tesh_in!S12/SER_summary!S$27)</f>
        <v>101.69080178915252</v>
      </c>
      <c r="T12" s="132">
        <f>IF(SER_hh_tesh_in!T12=0,0,SER_hh_tesh_in!T12/SER_summary!T$27)</f>
        <v>97.156585805064651</v>
      </c>
      <c r="U12" s="132">
        <f>IF(SER_hh_tesh_in!U12=0,0,SER_hh_tesh_in!U12/SER_summary!U$27)</f>
        <v>86.66512587799825</v>
      </c>
      <c r="V12" s="132">
        <f>IF(SER_hh_tesh_in!V12=0,0,SER_hh_tesh_in!V12/SER_summary!V$27)</f>
        <v>71.583336952990521</v>
      </c>
      <c r="W12" s="132">
        <f>IF(SER_hh_tesh_in!W12=0,0,SER_hh_tesh_in!W12/SER_summary!W$27)</f>
        <v>68.332862152536862</v>
      </c>
      <c r="X12" s="132">
        <f>IF(SER_hh_tesh_in!X12=0,0,SER_hh_tesh_in!X12/SER_summary!X$27)</f>
        <v>55.319490243077084</v>
      </c>
      <c r="Y12" s="132">
        <f>IF(SER_hh_tesh_in!Y12=0,0,SER_hh_tesh_in!Y12/SER_summary!Y$27)</f>
        <v>56.1196409425798</v>
      </c>
      <c r="DA12" s="156" t="s">
        <v>857</v>
      </c>
    </row>
    <row r="13" spans="1:105" ht="12" customHeight="1" x14ac:dyDescent="0.25">
      <c r="A13" s="131" t="s">
        <v>77</v>
      </c>
      <c r="B13" s="132"/>
      <c r="C13" s="132">
        <f>IF(SER_hh_tesh_in!C13=0,0,SER_hh_tesh_in!C13/SER_summary!C$27)</f>
        <v>135.70515333528775</v>
      </c>
      <c r="D13" s="132">
        <f>IF(SER_hh_tesh_in!D13=0,0,SER_hh_tesh_in!D13/SER_summary!D$27)</f>
        <v>136.96475729321486</v>
      </c>
      <c r="E13" s="132">
        <f>IF(SER_hh_tesh_in!E13=0,0,SER_hh_tesh_in!E13/SER_summary!E$27)</f>
        <v>136.14899875319989</v>
      </c>
      <c r="F13" s="132">
        <f>IF(SER_hh_tesh_in!F13=0,0,SER_hh_tesh_in!F13/SER_summary!F$27)</f>
        <v>134.47718156347801</v>
      </c>
      <c r="G13" s="132">
        <f>IF(SER_hh_tesh_in!G13=0,0,SER_hh_tesh_in!G13/SER_summary!G$27)</f>
        <v>132.46547678217561</v>
      </c>
      <c r="H13" s="132">
        <f>IF(SER_hh_tesh_in!H13=0,0,SER_hh_tesh_in!H13/SER_summary!H$27)</f>
        <v>132.11237425367642</v>
      </c>
      <c r="I13" s="132">
        <f>IF(SER_hh_tesh_in!I13=0,0,SER_hh_tesh_in!I13/SER_summary!I$27)</f>
        <v>134.02432727422374</v>
      </c>
      <c r="J13" s="132">
        <f>IF(SER_hh_tesh_in!J13=0,0,SER_hh_tesh_in!J13/SER_summary!J$27)</f>
        <v>136.29469774579459</v>
      </c>
      <c r="K13" s="132">
        <f>IF(SER_hh_tesh_in!K13=0,0,SER_hh_tesh_in!K13/SER_summary!K$27)</f>
        <v>138.78014743270398</v>
      </c>
      <c r="L13" s="132">
        <f>IF(SER_hh_tesh_in!L13=0,0,SER_hh_tesh_in!L13/SER_summary!L$27)</f>
        <v>138.03776890493984</v>
      </c>
      <c r="M13" s="132">
        <f>IF(SER_hh_tesh_in!M13=0,0,SER_hh_tesh_in!M13/SER_summary!M$27)</f>
        <v>131.62227188967617</v>
      </c>
      <c r="N13" s="132">
        <f>IF(SER_hh_tesh_in!N13=0,0,SER_hh_tesh_in!N13/SER_summary!N$27)</f>
        <v>128.50863116339352</v>
      </c>
      <c r="O13" s="132">
        <f>IF(SER_hh_tesh_in!O13=0,0,SER_hh_tesh_in!O13/SER_summary!O$27)</f>
        <v>120.98249224059047</v>
      </c>
      <c r="P13" s="132">
        <f>IF(SER_hh_tesh_in!P13=0,0,SER_hh_tesh_in!P13/SER_summary!P$27)</f>
        <v>116.28284642211163</v>
      </c>
      <c r="Q13" s="132">
        <f>IF(SER_hh_tesh_in!Q13=0,0,SER_hh_tesh_in!Q13/SER_summary!Q$27)</f>
        <v>115.15431520211538</v>
      </c>
      <c r="R13" s="132">
        <f>IF(SER_hh_tesh_in!R13=0,0,SER_hh_tesh_in!R13/SER_summary!R$27)</f>
        <v>107.26677727118805</v>
      </c>
      <c r="S13" s="132">
        <f>IF(SER_hh_tesh_in!S13=0,0,SER_hh_tesh_in!S13/SER_summary!S$27)</f>
        <v>101.27958461673953</v>
      </c>
      <c r="T13" s="132">
        <f>IF(SER_hh_tesh_in!T13=0,0,SER_hh_tesh_in!T13/SER_summary!T$27)</f>
        <v>97.428708822571281</v>
      </c>
      <c r="U13" s="132">
        <f>IF(SER_hh_tesh_in!U13=0,0,SER_hh_tesh_in!U13/SER_summary!U$27)</f>
        <v>86.991396124203661</v>
      </c>
      <c r="V13" s="132">
        <f>IF(SER_hh_tesh_in!V13=0,0,SER_hh_tesh_in!V13/SER_summary!V$27)</f>
        <v>71.935042959051415</v>
      </c>
      <c r="W13" s="132">
        <f>IF(SER_hh_tesh_in!W13=0,0,SER_hh_tesh_in!W13/SER_summary!W$27)</f>
        <v>67.481011220784183</v>
      </c>
      <c r="X13" s="132">
        <f>IF(SER_hh_tesh_in!X13=0,0,SER_hh_tesh_in!X13/SER_summary!X$27)</f>
        <v>56.161020478204811</v>
      </c>
      <c r="Y13" s="132">
        <f>IF(SER_hh_tesh_in!Y13=0,0,SER_hh_tesh_in!Y13/SER_summary!Y$27)</f>
        <v>60.1341911404364</v>
      </c>
      <c r="DA13" s="156" t="s">
        <v>858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138.80075767265623</v>
      </c>
      <c r="D14" s="65">
        <f>IF(SER_hh_tesh_in!D14=0,0,SER_hh_tesh_in!D14/SER_summary!D$27)</f>
        <v>143.69197718322317</v>
      </c>
      <c r="E14" s="65">
        <f>IF(SER_hh_tesh_in!E14=0,0,SER_hh_tesh_in!E14/SER_summary!E$27)</f>
        <v>135.8380888244287</v>
      </c>
      <c r="F14" s="65">
        <f>IF(SER_hh_tesh_in!F14=0,0,SER_hh_tesh_in!F14/SER_summary!F$27)</f>
        <v>136.01994045831577</v>
      </c>
      <c r="G14" s="65">
        <f>IF(SER_hh_tesh_in!G14=0,0,SER_hh_tesh_in!G14/SER_summary!G$27)</f>
        <v>132.81438296270471</v>
      </c>
      <c r="H14" s="65">
        <f>IF(SER_hh_tesh_in!H14=0,0,SER_hh_tesh_in!H14/SER_summary!H$27)</f>
        <v>132.94843887779237</v>
      </c>
      <c r="I14" s="65">
        <f>IF(SER_hh_tesh_in!I14=0,0,SER_hh_tesh_in!I14/SER_summary!I$27)</f>
        <v>133.18907235630135</v>
      </c>
      <c r="J14" s="65">
        <f>IF(SER_hh_tesh_in!J14=0,0,SER_hh_tesh_in!J14/SER_summary!J$27)</f>
        <v>134.18827530815059</v>
      </c>
      <c r="K14" s="65">
        <f>IF(SER_hh_tesh_in!K14=0,0,SER_hh_tesh_in!K14/SER_summary!K$27)</f>
        <v>142.82102712635606</v>
      </c>
      <c r="L14" s="65">
        <f>IF(SER_hh_tesh_in!L14=0,0,SER_hh_tesh_in!L14/SER_summary!L$27)</f>
        <v>148.19558582439367</v>
      </c>
      <c r="M14" s="65">
        <f>IF(SER_hh_tesh_in!M14=0,0,SER_hh_tesh_in!M14/SER_summary!M$27)</f>
        <v>129.5224804364762</v>
      </c>
      <c r="N14" s="65">
        <f>IF(SER_hh_tesh_in!N14=0,0,SER_hh_tesh_in!N14/SER_summary!N$27)</f>
        <v>135.7891593748993</v>
      </c>
      <c r="O14" s="65">
        <f>IF(SER_hh_tesh_in!O14=0,0,SER_hh_tesh_in!O14/SER_summary!O$27)</f>
        <v>123.5902060629443</v>
      </c>
      <c r="P14" s="65">
        <f>IF(SER_hh_tesh_in!P14=0,0,SER_hh_tesh_in!P14/SER_summary!P$27)</f>
        <v>117.18863589036933</v>
      </c>
      <c r="Q14" s="65">
        <f>IF(SER_hh_tesh_in!Q14=0,0,SER_hh_tesh_in!Q14/SER_summary!Q$27)</f>
        <v>108.99831149157446</v>
      </c>
      <c r="R14" s="65">
        <f>IF(SER_hh_tesh_in!R14=0,0,SER_hh_tesh_in!R14/SER_summary!R$27)</f>
        <v>107.47589085180394</v>
      </c>
      <c r="S14" s="65">
        <f>IF(SER_hh_tesh_in!S14=0,0,SER_hh_tesh_in!S14/SER_summary!S$27)</f>
        <v>97.281351819991116</v>
      </c>
      <c r="T14" s="65">
        <f>IF(SER_hh_tesh_in!T14=0,0,SER_hh_tesh_in!T14/SER_summary!T$27)</f>
        <v>101.40040806208768</v>
      </c>
      <c r="U14" s="65">
        <f>IF(SER_hh_tesh_in!U14=0,0,SER_hh_tesh_in!U14/SER_summary!U$27)</f>
        <v>87.986174798332101</v>
      </c>
      <c r="V14" s="65">
        <f>IF(SER_hh_tesh_in!V14=0,0,SER_hh_tesh_in!V14/SER_summary!V$27)</f>
        <v>73.449416766121644</v>
      </c>
      <c r="W14" s="65">
        <f>IF(SER_hh_tesh_in!W14=0,0,SER_hh_tesh_in!W14/SER_summary!W$27)</f>
        <v>65.101473957382495</v>
      </c>
      <c r="X14" s="65">
        <f>IF(SER_hh_tesh_in!X14=0,0,SER_hh_tesh_in!X14/SER_summary!X$27)</f>
        <v>58.993651948465889</v>
      </c>
      <c r="Y14" s="65">
        <f>IF(SER_hh_tesh_in!Y14=0,0,SER_hh_tesh_in!Y14/SER_summary!Y$27)</f>
        <v>52.875663973925363</v>
      </c>
      <c r="DA14" s="109" t="s">
        <v>859</v>
      </c>
    </row>
    <row r="15" spans="1:105" ht="12" customHeight="1" x14ac:dyDescent="0.25">
      <c r="A15" s="133" t="s">
        <v>80</v>
      </c>
      <c r="B15" s="134"/>
      <c r="C15" s="134">
        <f>IF(SER_hh_tesh_in!C15=0,0,SER_hh_tesh_in!C15/SER_summary!C$27)</f>
        <v>0.92338552003784991</v>
      </c>
      <c r="D15" s="134">
        <f>IF(SER_hh_tesh_in!D15=0,0,SER_hh_tesh_in!D15/SER_summary!D$27)</f>
        <v>0.96935548361845192</v>
      </c>
      <c r="E15" s="134">
        <f>IF(SER_hh_tesh_in!E15=0,0,SER_hh_tesh_in!E15/SER_summary!E$27)</f>
        <v>1.0086782451619316</v>
      </c>
      <c r="F15" s="134">
        <f>IF(SER_hh_tesh_in!F15=0,0,SER_hh_tesh_in!F15/SER_summary!F$27)</f>
        <v>0.99493898158842642</v>
      </c>
      <c r="G15" s="134">
        <f>IF(SER_hh_tesh_in!G15=0,0,SER_hh_tesh_in!G15/SER_summary!G$27)</f>
        <v>0.88427014813836713</v>
      </c>
      <c r="H15" s="134">
        <f>IF(SER_hh_tesh_in!H15=0,0,SER_hh_tesh_in!H15/SER_summary!H$27)</f>
        <v>0.75161551294360607</v>
      </c>
      <c r="I15" s="134">
        <f>IF(SER_hh_tesh_in!I15=0,0,SER_hh_tesh_in!I15/SER_summary!I$27)</f>
        <v>0.67551978532120283</v>
      </c>
      <c r="J15" s="134">
        <f>IF(SER_hh_tesh_in!J15=0,0,SER_hh_tesh_in!J15/SER_summary!J$27)</f>
        <v>0.66783283419667561</v>
      </c>
      <c r="K15" s="134">
        <f>IF(SER_hh_tesh_in!K15=0,0,SER_hh_tesh_in!K15/SER_summary!K$27)</f>
        <v>0.91826483243203016</v>
      </c>
      <c r="L15" s="134">
        <f>IF(SER_hh_tesh_in!L15=0,0,SER_hh_tesh_in!L15/SER_summary!L$27)</f>
        <v>1.1756112144383812</v>
      </c>
      <c r="M15" s="134">
        <f>IF(SER_hh_tesh_in!M15=0,0,SER_hh_tesh_in!M15/SER_summary!M$27)</f>
        <v>0.97527126767214734</v>
      </c>
      <c r="N15" s="134">
        <f>IF(SER_hh_tesh_in!N15=0,0,SER_hh_tesh_in!N15/SER_summary!N$27)</f>
        <v>0.98609862765827749</v>
      </c>
      <c r="O15" s="134">
        <f>IF(SER_hh_tesh_in!O15=0,0,SER_hh_tesh_in!O15/SER_summary!O$27)</f>
        <v>0.83249465707220016</v>
      </c>
      <c r="P15" s="134">
        <f>IF(SER_hh_tesh_in!P15=0,0,SER_hh_tesh_in!P15/SER_summary!P$27)</f>
        <v>0.70593107304203395</v>
      </c>
      <c r="Q15" s="134">
        <f>IF(SER_hh_tesh_in!Q15=0,0,SER_hh_tesh_in!Q15/SER_summary!Q$27)</f>
        <v>0.65780025342211845</v>
      </c>
      <c r="R15" s="134">
        <f>IF(SER_hh_tesh_in!R15=0,0,SER_hh_tesh_in!R15/SER_summary!R$27)</f>
        <v>0.67960430310767173</v>
      </c>
      <c r="S15" s="134">
        <f>IF(SER_hh_tesh_in!S15=0,0,SER_hh_tesh_in!S15/SER_summary!S$27)</f>
        <v>0.63063190720924367</v>
      </c>
      <c r="T15" s="134">
        <f>IF(SER_hh_tesh_in!T15=0,0,SER_hh_tesh_in!T15/SER_summary!T$27)</f>
        <v>0.5960458222060494</v>
      </c>
      <c r="U15" s="134">
        <f>IF(SER_hh_tesh_in!U15=0,0,SER_hh_tesh_in!U15/SER_summary!U$27)</f>
        <v>0.55289755312385014</v>
      </c>
      <c r="V15" s="134">
        <f>IF(SER_hh_tesh_in!V15=0,0,SER_hh_tesh_in!V15/SER_summary!V$27)</f>
        <v>0.44592824949779236</v>
      </c>
      <c r="W15" s="134">
        <f>IF(SER_hh_tesh_in!W15=0,0,SER_hh_tesh_in!W15/SER_summary!W$27)</f>
        <v>0.41537014436198305</v>
      </c>
      <c r="X15" s="134">
        <f>IF(SER_hh_tesh_in!X15=0,0,SER_hh_tesh_in!X15/SER_summary!X$27)</f>
        <v>0.33411657185656074</v>
      </c>
      <c r="Y15" s="134">
        <f>IF(SER_hh_tesh_in!Y15=0,0,SER_hh_tesh_in!Y15/SER_summary!Y$27)</f>
        <v>0.33372402229106868</v>
      </c>
      <c r="DA15" s="157" t="s">
        <v>860</v>
      </c>
    </row>
    <row r="16" spans="1:105" ht="12.95" customHeight="1" x14ac:dyDescent="0.25">
      <c r="A16" s="129" t="s">
        <v>74</v>
      </c>
      <c r="B16" s="130"/>
      <c r="C16" s="130">
        <f>IF(SER_hh_tesh_in!C16=0,0,SER_hh_tesh_in!C16/SER_summary!C$27)</f>
        <v>26.331710865695758</v>
      </c>
      <c r="D16" s="130">
        <f>IF(SER_hh_tesh_in!D16=0,0,SER_hh_tesh_in!D16/SER_summary!D$27)</f>
        <v>26.171611650908371</v>
      </c>
      <c r="E16" s="130">
        <f>IF(SER_hh_tesh_in!E16=0,0,SER_hh_tesh_in!E16/SER_summary!E$27)</f>
        <v>27.152448973532767</v>
      </c>
      <c r="F16" s="130">
        <f>IF(SER_hh_tesh_in!F16=0,0,SER_hh_tesh_in!F16/SER_summary!F$27)</f>
        <v>25.896681316185838</v>
      </c>
      <c r="G16" s="130">
        <f>IF(SER_hh_tesh_in!G16=0,0,SER_hh_tesh_in!G16/SER_summary!G$27)</f>
        <v>25.756120547969402</v>
      </c>
      <c r="H16" s="130">
        <f>IF(SER_hh_tesh_in!H16=0,0,SER_hh_tesh_in!H16/SER_summary!H$27)</f>
        <v>25.682244042137338</v>
      </c>
      <c r="I16" s="130">
        <f>IF(SER_hh_tesh_in!I16=0,0,SER_hh_tesh_in!I16/SER_summary!I$27)</f>
        <v>25.483149597802097</v>
      </c>
      <c r="J16" s="130">
        <f>IF(SER_hh_tesh_in!J16=0,0,SER_hh_tesh_in!J16/SER_summary!J$27)</f>
        <v>25.341855276780208</v>
      </c>
      <c r="K16" s="130">
        <f>IF(SER_hh_tesh_in!K16=0,0,SER_hh_tesh_in!K16/SER_summary!K$27)</f>
        <v>24.9888550969787</v>
      </c>
      <c r="L16" s="130">
        <f>IF(SER_hh_tesh_in!L16=0,0,SER_hh_tesh_in!L16/SER_summary!L$27)</f>
        <v>26.382205954331742</v>
      </c>
      <c r="M16" s="130">
        <f>IF(SER_hh_tesh_in!M16=0,0,SER_hh_tesh_in!M16/SER_summary!M$27)</f>
        <v>24.480364853303307</v>
      </c>
      <c r="N16" s="130">
        <f>IF(SER_hh_tesh_in!N16=0,0,SER_hh_tesh_in!N16/SER_summary!N$27)</f>
        <v>23.773377646924917</v>
      </c>
      <c r="O16" s="130">
        <f>IF(SER_hh_tesh_in!O16=0,0,SER_hh_tesh_in!O16/SER_summary!O$27)</f>
        <v>23.302089476376153</v>
      </c>
      <c r="P16" s="130">
        <f>IF(SER_hh_tesh_in!P16=0,0,SER_hh_tesh_in!P16/SER_summary!P$27)</f>
        <v>22.906705181629277</v>
      </c>
      <c r="Q16" s="130">
        <f>IF(SER_hh_tesh_in!Q16=0,0,SER_hh_tesh_in!Q16/SER_summary!Q$27)</f>
        <v>22.052597794900649</v>
      </c>
      <c r="R16" s="130">
        <f>IF(SER_hh_tesh_in!R16=0,0,SER_hh_tesh_in!R16/SER_summary!R$27)</f>
        <v>21.945315835584822</v>
      </c>
      <c r="S16" s="130">
        <f>IF(SER_hh_tesh_in!S16=0,0,SER_hh_tesh_in!S16/SER_summary!S$27)</f>
        <v>21.384687570293078</v>
      </c>
      <c r="T16" s="130">
        <f>IF(SER_hh_tesh_in!T16=0,0,SER_hh_tesh_in!T16/SER_summary!T$27)</f>
        <v>20.722970619210496</v>
      </c>
      <c r="U16" s="130">
        <f>IF(SER_hh_tesh_in!U16=0,0,SER_hh_tesh_in!U16/SER_summary!U$27)</f>
        <v>20.073023483951218</v>
      </c>
      <c r="V16" s="130">
        <f>IF(SER_hh_tesh_in!V16=0,0,SER_hh_tesh_in!V16/SER_summary!V$27)</f>
        <v>19.206437312344562</v>
      </c>
      <c r="W16" s="130">
        <f>IF(SER_hh_tesh_in!W16=0,0,SER_hh_tesh_in!W16/SER_summary!W$27)</f>
        <v>16.827807489014024</v>
      </c>
      <c r="X16" s="130">
        <f>IF(SER_hh_tesh_in!X16=0,0,SER_hh_tesh_in!X16/SER_summary!X$27)</f>
        <v>16.064220844718758</v>
      </c>
      <c r="Y16" s="130">
        <f>IF(SER_hh_tesh_in!Y16=0,0,SER_hh_tesh_in!Y16/SER_summary!Y$27)</f>
        <v>16.386828676779221</v>
      </c>
      <c r="DA16" s="155" t="s">
        <v>861</v>
      </c>
    </row>
    <row r="17" spans="1:105" ht="12.95" customHeight="1" x14ac:dyDescent="0.25">
      <c r="A17" s="131" t="s">
        <v>73</v>
      </c>
      <c r="B17" s="132"/>
      <c r="C17" s="132">
        <f>IF(SER_hh_tesh_in!C17=0,0,SER_hh_tesh_in!C17/SER_summary!C$27)</f>
        <v>0</v>
      </c>
      <c r="D17" s="132">
        <f>IF(SER_hh_tesh_in!D17=0,0,SER_hh_tesh_in!D17/SER_summary!D$27)</f>
        <v>0</v>
      </c>
      <c r="E17" s="132">
        <f>IF(SER_hh_tesh_in!E17=0,0,SER_hh_tesh_in!E17/SER_summary!E$27)</f>
        <v>0</v>
      </c>
      <c r="F17" s="132">
        <f>IF(SER_hh_tesh_in!F17=0,0,SER_hh_tesh_in!F17/SER_summary!F$27)</f>
        <v>0</v>
      </c>
      <c r="G17" s="132">
        <f>IF(SER_hh_tesh_in!G17=0,0,SER_hh_tesh_in!G17/SER_summary!G$27)</f>
        <v>0</v>
      </c>
      <c r="H17" s="132">
        <f>IF(SER_hh_tesh_in!H17=0,0,SER_hh_tesh_in!H17/SER_summary!H$27)</f>
        <v>0</v>
      </c>
      <c r="I17" s="132">
        <f>IF(SER_hh_tesh_in!I17=0,0,SER_hh_tesh_in!I17/SER_summary!I$27)</f>
        <v>0</v>
      </c>
      <c r="J17" s="132">
        <f>IF(SER_hh_tesh_in!J17=0,0,SER_hh_tesh_in!J17/SER_summary!J$27)</f>
        <v>0</v>
      </c>
      <c r="K17" s="132">
        <f>IF(SER_hh_tesh_in!K17=0,0,SER_hh_tesh_in!K17/SER_summary!K$27)</f>
        <v>0</v>
      </c>
      <c r="L17" s="132">
        <f>IF(SER_hh_tesh_in!L17=0,0,SER_hh_tesh_in!L17/SER_summary!L$27)</f>
        <v>0</v>
      </c>
      <c r="M17" s="132">
        <f>IF(SER_hh_tesh_in!M17=0,0,SER_hh_tesh_in!M17/SER_summary!M$27)</f>
        <v>0</v>
      </c>
      <c r="N17" s="132">
        <f>IF(SER_hh_tesh_in!N17=0,0,SER_hh_tesh_in!N17/SER_summary!N$27)</f>
        <v>0</v>
      </c>
      <c r="O17" s="132">
        <f>IF(SER_hh_tesh_in!O17=0,0,SER_hh_tesh_in!O17/SER_summary!O$27)</f>
        <v>0</v>
      </c>
      <c r="P17" s="132">
        <f>IF(SER_hh_tesh_in!P17=0,0,SER_hh_tesh_in!P17/SER_summary!P$27)</f>
        <v>0</v>
      </c>
      <c r="Q17" s="132">
        <f>IF(SER_hh_tesh_in!Q17=0,0,SER_hh_tesh_in!Q17/SER_summary!Q$27)</f>
        <v>0</v>
      </c>
      <c r="R17" s="132">
        <f>IF(SER_hh_tesh_in!R17=0,0,SER_hh_tesh_in!R17/SER_summary!R$27)</f>
        <v>0</v>
      </c>
      <c r="S17" s="132">
        <f>IF(SER_hh_tesh_in!S17=0,0,SER_hh_tesh_in!S17/SER_summary!S$27)</f>
        <v>0</v>
      </c>
      <c r="T17" s="132">
        <f>IF(SER_hh_tesh_in!T17=0,0,SER_hh_tesh_in!T17/SER_summary!T$27)</f>
        <v>0</v>
      </c>
      <c r="U17" s="132">
        <f>IF(SER_hh_tesh_in!U17=0,0,SER_hh_tesh_in!U17/SER_summary!U$27)</f>
        <v>0</v>
      </c>
      <c r="V17" s="132">
        <f>IF(SER_hh_tesh_in!V17=0,0,SER_hh_tesh_in!V17/SER_summary!V$27)</f>
        <v>0</v>
      </c>
      <c r="W17" s="132">
        <f>IF(SER_hh_tesh_in!W17=0,0,SER_hh_tesh_in!W17/SER_summary!W$27)</f>
        <v>0</v>
      </c>
      <c r="X17" s="132">
        <f>IF(SER_hh_tesh_in!X17=0,0,SER_hh_tesh_in!X17/SER_summary!X$27)</f>
        <v>0</v>
      </c>
      <c r="Y17" s="132">
        <f>IF(SER_hh_tesh_in!Y17=0,0,SER_hh_tesh_in!Y17/SER_summary!Y$27)</f>
        <v>0</v>
      </c>
      <c r="DA17" s="156" t="s">
        <v>862</v>
      </c>
    </row>
    <row r="18" spans="1:105" ht="12" customHeight="1" x14ac:dyDescent="0.25">
      <c r="A18" s="131" t="s">
        <v>72</v>
      </c>
      <c r="B18" s="132"/>
      <c r="C18" s="132">
        <f>IF(SER_hh_tesh_in!C18=0,0,SER_hh_tesh_in!C18/SER_summary!C$27)</f>
        <v>26.331710865695758</v>
      </c>
      <c r="D18" s="132">
        <f>IF(SER_hh_tesh_in!D18=0,0,SER_hh_tesh_in!D18/SER_summary!D$27)</f>
        <v>26.171611650908371</v>
      </c>
      <c r="E18" s="132">
        <f>IF(SER_hh_tesh_in!E18=0,0,SER_hh_tesh_in!E18/SER_summary!E$27)</f>
        <v>27.152448973532767</v>
      </c>
      <c r="F18" s="132">
        <f>IF(SER_hh_tesh_in!F18=0,0,SER_hh_tesh_in!F18/SER_summary!F$27)</f>
        <v>25.896681316185838</v>
      </c>
      <c r="G18" s="132">
        <f>IF(SER_hh_tesh_in!G18=0,0,SER_hh_tesh_in!G18/SER_summary!G$27)</f>
        <v>25.756120547969402</v>
      </c>
      <c r="H18" s="132">
        <f>IF(SER_hh_tesh_in!H18=0,0,SER_hh_tesh_in!H18/SER_summary!H$27)</f>
        <v>25.682244042137338</v>
      </c>
      <c r="I18" s="132">
        <f>IF(SER_hh_tesh_in!I18=0,0,SER_hh_tesh_in!I18/SER_summary!I$27)</f>
        <v>25.483149597802097</v>
      </c>
      <c r="J18" s="132">
        <f>IF(SER_hh_tesh_in!J18=0,0,SER_hh_tesh_in!J18/SER_summary!J$27)</f>
        <v>25.341855276780208</v>
      </c>
      <c r="K18" s="132">
        <f>IF(SER_hh_tesh_in!K18=0,0,SER_hh_tesh_in!K18/SER_summary!K$27)</f>
        <v>24.9888550969787</v>
      </c>
      <c r="L18" s="132">
        <f>IF(SER_hh_tesh_in!L18=0,0,SER_hh_tesh_in!L18/SER_summary!L$27)</f>
        <v>26.382205954331742</v>
      </c>
      <c r="M18" s="132">
        <f>IF(SER_hh_tesh_in!M18=0,0,SER_hh_tesh_in!M18/SER_summary!M$27)</f>
        <v>24.480364853303307</v>
      </c>
      <c r="N18" s="132">
        <f>IF(SER_hh_tesh_in!N18=0,0,SER_hh_tesh_in!N18/SER_summary!N$27)</f>
        <v>23.773377646924917</v>
      </c>
      <c r="O18" s="132">
        <f>IF(SER_hh_tesh_in!O18=0,0,SER_hh_tesh_in!O18/SER_summary!O$27)</f>
        <v>23.302089476376153</v>
      </c>
      <c r="P18" s="132">
        <f>IF(SER_hh_tesh_in!P18=0,0,SER_hh_tesh_in!P18/SER_summary!P$27)</f>
        <v>22.906705181629277</v>
      </c>
      <c r="Q18" s="132">
        <f>IF(SER_hh_tesh_in!Q18=0,0,SER_hh_tesh_in!Q18/SER_summary!Q$27)</f>
        <v>22.052597794900649</v>
      </c>
      <c r="R18" s="132">
        <f>IF(SER_hh_tesh_in!R18=0,0,SER_hh_tesh_in!R18/SER_summary!R$27)</f>
        <v>21.945315835584822</v>
      </c>
      <c r="S18" s="132">
        <f>IF(SER_hh_tesh_in!S18=0,0,SER_hh_tesh_in!S18/SER_summary!S$27)</f>
        <v>21.384687570293078</v>
      </c>
      <c r="T18" s="132">
        <f>IF(SER_hh_tesh_in!T18=0,0,SER_hh_tesh_in!T18/SER_summary!T$27)</f>
        <v>20.722970619210496</v>
      </c>
      <c r="U18" s="132">
        <f>IF(SER_hh_tesh_in!U18=0,0,SER_hh_tesh_in!U18/SER_summary!U$27)</f>
        <v>20.073023483951218</v>
      </c>
      <c r="V18" s="132">
        <f>IF(SER_hh_tesh_in!V18=0,0,SER_hh_tesh_in!V18/SER_summary!V$27)</f>
        <v>19.206437312344562</v>
      </c>
      <c r="W18" s="132">
        <f>IF(SER_hh_tesh_in!W18=0,0,SER_hh_tesh_in!W18/SER_summary!W$27)</f>
        <v>16.827807489014024</v>
      </c>
      <c r="X18" s="132">
        <f>IF(SER_hh_tesh_in!X18=0,0,SER_hh_tesh_in!X18/SER_summary!X$27)</f>
        <v>16.064220844718758</v>
      </c>
      <c r="Y18" s="132">
        <f>IF(SER_hh_tesh_in!Y18=0,0,SER_hh_tesh_in!Y18/SER_summary!Y$27)</f>
        <v>16.386828676779221</v>
      </c>
      <c r="DA18" s="156" t="s">
        <v>863</v>
      </c>
    </row>
    <row r="19" spans="1:105" ht="12.95" customHeight="1" x14ac:dyDescent="0.25">
      <c r="A19" s="129" t="s">
        <v>35</v>
      </c>
      <c r="B19" s="130"/>
      <c r="C19" s="130">
        <f>IF(SER_hh_tesh_in!C19=0,0,SER_hh_tesh_in!C19/SER_summary!C$27)</f>
        <v>17.718030900156432</v>
      </c>
      <c r="D19" s="130">
        <f>IF(SER_hh_tesh_in!D19=0,0,SER_hh_tesh_in!D19/SER_summary!D$27)</f>
        <v>17.630829046750499</v>
      </c>
      <c r="E19" s="130">
        <f>IF(SER_hh_tesh_in!E19=0,0,SER_hh_tesh_in!E19/SER_summary!E$27)</f>
        <v>17.758698077691712</v>
      </c>
      <c r="F19" s="130">
        <f>IF(SER_hh_tesh_in!F19=0,0,SER_hh_tesh_in!F19/SER_summary!F$27)</f>
        <v>17.663543620778899</v>
      </c>
      <c r="G19" s="130">
        <f>IF(SER_hh_tesh_in!G19=0,0,SER_hh_tesh_in!G19/SER_summary!G$27)</f>
        <v>17.852236865362595</v>
      </c>
      <c r="H19" s="130">
        <f>IF(SER_hh_tesh_in!H19=0,0,SER_hh_tesh_in!H19/SER_summary!H$27)</f>
        <v>17.733388917435587</v>
      </c>
      <c r="I19" s="130">
        <f>IF(SER_hh_tesh_in!I19=0,0,SER_hh_tesh_in!I19/SER_summary!I$27)</f>
        <v>17.615367290272509</v>
      </c>
      <c r="J19" s="130">
        <f>IF(SER_hh_tesh_in!J19=0,0,SER_hh_tesh_in!J19/SER_summary!J$27)</f>
        <v>17.58434730011767</v>
      </c>
      <c r="K19" s="130">
        <f>IF(SER_hh_tesh_in!K19=0,0,SER_hh_tesh_in!K19/SER_summary!K$27)</f>
        <v>17.621241893512938</v>
      </c>
      <c r="L19" s="130">
        <f>IF(SER_hh_tesh_in!L19=0,0,SER_hh_tesh_in!L19/SER_summary!L$27)</f>
        <v>17.792640082060135</v>
      </c>
      <c r="M19" s="130">
        <f>IF(SER_hh_tesh_in!M19=0,0,SER_hh_tesh_in!M19/SER_summary!M$27)</f>
        <v>17.928074579744269</v>
      </c>
      <c r="N19" s="130">
        <f>IF(SER_hh_tesh_in!N19=0,0,SER_hh_tesh_in!N19/SER_summary!N$27)</f>
        <v>18.073572868786929</v>
      </c>
      <c r="O19" s="130">
        <f>IF(SER_hh_tesh_in!O19=0,0,SER_hh_tesh_in!O19/SER_summary!O$27)</f>
        <v>18.223108866957809</v>
      </c>
      <c r="P19" s="130">
        <f>IF(SER_hh_tesh_in!P19=0,0,SER_hh_tesh_in!P19/SER_summary!P$27)</f>
        <v>18.406384080677952</v>
      </c>
      <c r="Q19" s="130">
        <f>IF(SER_hh_tesh_in!Q19=0,0,SER_hh_tesh_in!Q19/SER_summary!Q$27)</f>
        <v>18.464631256480295</v>
      </c>
      <c r="R19" s="130">
        <f>IF(SER_hh_tesh_in!R19=0,0,SER_hh_tesh_in!R19/SER_summary!R$27)</f>
        <v>18.297271109327635</v>
      </c>
      <c r="S19" s="130">
        <f>IF(SER_hh_tesh_in!S19=0,0,SER_hh_tesh_in!S19/SER_summary!S$27)</f>
        <v>18.513156182685726</v>
      </c>
      <c r="T19" s="130">
        <f>IF(SER_hh_tesh_in!T19=0,0,SER_hh_tesh_in!T19/SER_summary!T$27)</f>
        <v>18.550262978515622</v>
      </c>
      <c r="U19" s="130">
        <f>IF(SER_hh_tesh_in!U19=0,0,SER_hh_tesh_in!U19/SER_summary!U$27)</f>
        <v>18.804190678519841</v>
      </c>
      <c r="V19" s="130">
        <f>IF(SER_hh_tesh_in!V19=0,0,SER_hh_tesh_in!V19/SER_summary!V$27)</f>
        <v>16.974005505646481</v>
      </c>
      <c r="W19" s="130">
        <f>IF(SER_hh_tesh_in!W19=0,0,SER_hh_tesh_in!W19/SER_summary!W$27)</f>
        <v>18.674154396503386</v>
      </c>
      <c r="X19" s="130">
        <f>IF(SER_hh_tesh_in!X19=0,0,SER_hh_tesh_in!X19/SER_summary!X$27)</f>
        <v>18.57974146001116</v>
      </c>
      <c r="Y19" s="130">
        <f>IF(SER_hh_tesh_in!Y19=0,0,SER_hh_tesh_in!Y19/SER_summary!Y$27)</f>
        <v>18.877360751620664</v>
      </c>
      <c r="DA19" s="155" t="s">
        <v>864</v>
      </c>
    </row>
    <row r="20" spans="1:105" ht="12" customHeight="1" x14ac:dyDescent="0.25">
      <c r="A20" s="131" t="s">
        <v>29</v>
      </c>
      <c r="B20" s="132"/>
      <c r="C20" s="132">
        <f>IF(SER_hh_tesh_in!C20=0,0,SER_hh_tesh_in!C20/SER_summary!C$27)</f>
        <v>0</v>
      </c>
      <c r="D20" s="132">
        <f>IF(SER_hh_tesh_in!D20=0,0,SER_hh_tesh_in!D20/SER_summary!D$27)</f>
        <v>0</v>
      </c>
      <c r="E20" s="132">
        <f>IF(SER_hh_tesh_in!E20=0,0,SER_hh_tesh_in!E20/SER_summary!E$27)</f>
        <v>0</v>
      </c>
      <c r="F20" s="132">
        <f>IF(SER_hh_tesh_in!F20=0,0,SER_hh_tesh_in!F20/SER_summary!F$27)</f>
        <v>0</v>
      </c>
      <c r="G20" s="132">
        <f>IF(SER_hh_tesh_in!G20=0,0,SER_hh_tesh_in!G20/SER_summary!G$27)</f>
        <v>0</v>
      </c>
      <c r="H20" s="132">
        <f>IF(SER_hh_tesh_in!H20=0,0,SER_hh_tesh_in!H20/SER_summary!H$27)</f>
        <v>0</v>
      </c>
      <c r="I20" s="132">
        <f>IF(SER_hh_tesh_in!I20=0,0,SER_hh_tesh_in!I20/SER_summary!I$27)</f>
        <v>0</v>
      </c>
      <c r="J20" s="132">
        <f>IF(SER_hh_tesh_in!J20=0,0,SER_hh_tesh_in!J20/SER_summary!J$27)</f>
        <v>0</v>
      </c>
      <c r="K20" s="132">
        <f>IF(SER_hh_tesh_in!K20=0,0,SER_hh_tesh_in!K20/SER_summary!K$27)</f>
        <v>0</v>
      </c>
      <c r="L20" s="132">
        <f>IF(SER_hh_tesh_in!L20=0,0,SER_hh_tesh_in!L20/SER_summary!L$27)</f>
        <v>0</v>
      </c>
      <c r="M20" s="132">
        <f>IF(SER_hh_tesh_in!M20=0,0,SER_hh_tesh_in!M20/SER_summary!M$27)</f>
        <v>0</v>
      </c>
      <c r="N20" s="132">
        <f>IF(SER_hh_tesh_in!N20=0,0,SER_hh_tesh_in!N20/SER_summary!N$27)</f>
        <v>0</v>
      </c>
      <c r="O20" s="132">
        <f>IF(SER_hh_tesh_in!O20=0,0,SER_hh_tesh_in!O20/SER_summary!O$27)</f>
        <v>0</v>
      </c>
      <c r="P20" s="132">
        <f>IF(SER_hh_tesh_in!P20=0,0,SER_hh_tesh_in!P20/SER_summary!P$27)</f>
        <v>0</v>
      </c>
      <c r="Q20" s="132">
        <f>IF(SER_hh_tesh_in!Q20=0,0,SER_hh_tesh_in!Q20/SER_summary!Q$27)</f>
        <v>0</v>
      </c>
      <c r="R20" s="132">
        <f>IF(SER_hh_tesh_in!R20=0,0,SER_hh_tesh_in!R20/SER_summary!R$27)</f>
        <v>0</v>
      </c>
      <c r="S20" s="132">
        <f>IF(SER_hh_tesh_in!S20=0,0,SER_hh_tesh_in!S20/SER_summary!S$27)</f>
        <v>0</v>
      </c>
      <c r="T20" s="132">
        <f>IF(SER_hh_tesh_in!T20=0,0,SER_hh_tesh_in!T20/SER_summary!T$27)</f>
        <v>0</v>
      </c>
      <c r="U20" s="132">
        <f>IF(SER_hh_tesh_in!U20=0,0,SER_hh_tesh_in!U20/SER_summary!U$27)</f>
        <v>0</v>
      </c>
      <c r="V20" s="132">
        <f>IF(SER_hh_tesh_in!V20=0,0,SER_hh_tesh_in!V20/SER_summary!V$27)</f>
        <v>0</v>
      </c>
      <c r="W20" s="132">
        <f>IF(SER_hh_tesh_in!W20=0,0,SER_hh_tesh_in!W20/SER_summary!W$27)</f>
        <v>0</v>
      </c>
      <c r="X20" s="132">
        <f>IF(SER_hh_tesh_in!X20=0,0,SER_hh_tesh_in!X20/SER_summary!X$27)</f>
        <v>0</v>
      </c>
      <c r="Y20" s="132">
        <f>IF(SER_hh_tesh_in!Y20=0,0,SER_hh_tesh_in!Y20/SER_summary!Y$27)</f>
        <v>0</v>
      </c>
      <c r="DA20" s="156" t="s">
        <v>865</v>
      </c>
    </row>
    <row r="21" spans="1:105" s="2" customFormat="1" ht="12" customHeight="1" x14ac:dyDescent="0.25">
      <c r="A21" s="131" t="s">
        <v>52</v>
      </c>
      <c r="B21" s="132"/>
      <c r="C21" s="132">
        <f>IF(SER_hh_tesh_in!C21=0,0,SER_hh_tesh_in!C21/SER_summary!C$27)</f>
        <v>0</v>
      </c>
      <c r="D21" s="132">
        <f>IF(SER_hh_tesh_in!D21=0,0,SER_hh_tesh_in!D21/SER_summary!D$27)</f>
        <v>0</v>
      </c>
      <c r="E21" s="132">
        <f>IF(SER_hh_tesh_in!E21=0,0,SER_hh_tesh_in!E21/SER_summary!E$27)</f>
        <v>0</v>
      </c>
      <c r="F21" s="132">
        <f>IF(SER_hh_tesh_in!F21=0,0,SER_hh_tesh_in!F21/SER_summary!F$27)</f>
        <v>0</v>
      </c>
      <c r="G21" s="132">
        <f>IF(SER_hh_tesh_in!G21=0,0,SER_hh_tesh_in!G21/SER_summary!G$27)</f>
        <v>0</v>
      </c>
      <c r="H21" s="132">
        <f>IF(SER_hh_tesh_in!H21=0,0,SER_hh_tesh_in!H21/SER_summary!H$27)</f>
        <v>0</v>
      </c>
      <c r="I21" s="132">
        <f>IF(SER_hh_tesh_in!I21=0,0,SER_hh_tesh_in!I21/SER_summary!I$27)</f>
        <v>0</v>
      </c>
      <c r="J21" s="132">
        <f>IF(SER_hh_tesh_in!J21=0,0,SER_hh_tesh_in!J21/SER_summary!J$27)</f>
        <v>0</v>
      </c>
      <c r="K21" s="132">
        <f>IF(SER_hh_tesh_in!K21=0,0,SER_hh_tesh_in!K21/SER_summary!K$27)</f>
        <v>0</v>
      </c>
      <c r="L21" s="132">
        <f>IF(SER_hh_tesh_in!L21=0,0,SER_hh_tesh_in!L21/SER_summary!L$27)</f>
        <v>0</v>
      </c>
      <c r="M21" s="132">
        <f>IF(SER_hh_tesh_in!M21=0,0,SER_hh_tesh_in!M21/SER_summary!M$27)</f>
        <v>0</v>
      </c>
      <c r="N21" s="132">
        <f>IF(SER_hh_tesh_in!N21=0,0,SER_hh_tesh_in!N21/SER_summary!N$27)</f>
        <v>0</v>
      </c>
      <c r="O21" s="132">
        <f>IF(SER_hh_tesh_in!O21=0,0,SER_hh_tesh_in!O21/SER_summary!O$27)</f>
        <v>0</v>
      </c>
      <c r="P21" s="132">
        <f>IF(SER_hh_tesh_in!P21=0,0,SER_hh_tesh_in!P21/SER_summary!P$27)</f>
        <v>0</v>
      </c>
      <c r="Q21" s="132">
        <f>IF(SER_hh_tesh_in!Q21=0,0,SER_hh_tesh_in!Q21/SER_summary!Q$27)</f>
        <v>0</v>
      </c>
      <c r="R21" s="132">
        <f>IF(SER_hh_tesh_in!R21=0,0,SER_hh_tesh_in!R21/SER_summary!R$27)</f>
        <v>0</v>
      </c>
      <c r="S21" s="132">
        <f>IF(SER_hh_tesh_in!S21=0,0,SER_hh_tesh_in!S21/SER_summary!S$27)</f>
        <v>0</v>
      </c>
      <c r="T21" s="132">
        <f>IF(SER_hh_tesh_in!T21=0,0,SER_hh_tesh_in!T21/SER_summary!T$27)</f>
        <v>0</v>
      </c>
      <c r="U21" s="132">
        <f>IF(SER_hh_tesh_in!U21=0,0,SER_hh_tesh_in!U21/SER_summary!U$27)</f>
        <v>0</v>
      </c>
      <c r="V21" s="132">
        <f>IF(SER_hh_tesh_in!V21=0,0,SER_hh_tesh_in!V21/SER_summary!V$27)</f>
        <v>0</v>
      </c>
      <c r="W21" s="132">
        <f>IF(SER_hh_tesh_in!W21=0,0,SER_hh_tesh_in!W21/SER_summary!W$27)</f>
        <v>0</v>
      </c>
      <c r="X21" s="132">
        <f>IF(SER_hh_tesh_in!X21=0,0,SER_hh_tesh_in!X21/SER_summary!X$27)</f>
        <v>0</v>
      </c>
      <c r="Y21" s="132">
        <f>IF(SER_hh_tesh_in!Y21=0,0,SER_hh_tesh_in!Y21/SER_summary!Y$27)</f>
        <v>0</v>
      </c>
      <c r="DA21" s="156" t="s">
        <v>866</v>
      </c>
    </row>
    <row r="22" spans="1:105" ht="12" customHeight="1" x14ac:dyDescent="0.25">
      <c r="A22" s="131" t="s">
        <v>161</v>
      </c>
      <c r="B22" s="132"/>
      <c r="C22" s="132">
        <f>IF(SER_hh_tesh_in!C22=0,0,SER_hh_tesh_in!C22/SER_summary!C$27)</f>
        <v>17.544176813553939</v>
      </c>
      <c r="D22" s="132">
        <f>IF(SER_hh_tesh_in!D22=0,0,SER_hh_tesh_in!D22/SER_summary!D$27)</f>
        <v>17.80042421955303</v>
      </c>
      <c r="E22" s="132">
        <f>IF(SER_hh_tesh_in!E22=0,0,SER_hh_tesh_in!E22/SER_summary!E$27)</f>
        <v>17.855384879974391</v>
      </c>
      <c r="F22" s="132">
        <f>IF(SER_hh_tesh_in!F22=0,0,SER_hh_tesh_in!F22/SER_summary!F$27)</f>
        <v>17.763825523523874</v>
      </c>
      <c r="G22" s="132">
        <f>IF(SER_hh_tesh_in!G22=0,0,SER_hh_tesh_in!G22/SER_summary!G$27)</f>
        <v>17.63748224900452</v>
      </c>
      <c r="H22" s="132">
        <f>IF(SER_hh_tesh_in!H22=0,0,SER_hh_tesh_in!H22/SER_summary!H$27)</f>
        <v>17.80580574653759</v>
      </c>
      <c r="I22" s="132">
        <f>IF(SER_hh_tesh_in!I22=0,0,SER_hh_tesh_in!I22/SER_summary!I$27)</f>
        <v>17.681759407724311</v>
      </c>
      <c r="J22" s="132">
        <f>IF(SER_hh_tesh_in!J22=0,0,SER_hh_tesh_in!J22/SER_summary!J$27)</f>
        <v>17.449338227818377</v>
      </c>
      <c r="K22" s="132">
        <f>IF(SER_hh_tesh_in!K22=0,0,SER_hh_tesh_in!K22/SER_summary!K$27)</f>
        <v>17.20058017940168</v>
      </c>
      <c r="L22" s="132">
        <f>IF(SER_hh_tesh_in!L22=0,0,SER_hh_tesh_in!L22/SER_summary!L$27)</f>
        <v>18.22678142593255</v>
      </c>
      <c r="M22" s="132">
        <f>IF(SER_hh_tesh_in!M22=0,0,SER_hh_tesh_in!M22/SER_summary!M$27)</f>
        <v>18.277143903574565</v>
      </c>
      <c r="N22" s="132">
        <f>IF(SER_hh_tesh_in!N22=0,0,SER_hh_tesh_in!N22/SER_summary!N$27)</f>
        <v>18.103172731040388</v>
      </c>
      <c r="O22" s="132">
        <f>IF(SER_hh_tesh_in!O22=0,0,SER_hh_tesh_in!O22/SER_summary!O$27)</f>
        <v>18.422547422114686</v>
      </c>
      <c r="P22" s="132">
        <f>IF(SER_hh_tesh_in!P22=0,0,SER_hh_tesh_in!P22/SER_summary!P$27)</f>
        <v>18.150561600602082</v>
      </c>
      <c r="Q22" s="132">
        <f>IF(SER_hh_tesh_in!Q22=0,0,SER_hh_tesh_in!Q22/SER_summary!Q$27)</f>
        <v>18.409919634775306</v>
      </c>
      <c r="R22" s="132">
        <f>IF(SER_hh_tesh_in!R22=0,0,SER_hh_tesh_in!R22/SER_summary!R$27)</f>
        <v>19.333859092487689</v>
      </c>
      <c r="S22" s="132">
        <f>IF(SER_hh_tesh_in!S22=0,0,SER_hh_tesh_in!S22/SER_summary!S$27)</f>
        <v>18.513618422143818</v>
      </c>
      <c r="T22" s="132">
        <f>IF(SER_hh_tesh_in!T22=0,0,SER_hh_tesh_in!T22/SER_summary!T$27)</f>
        <v>17.635911883717267</v>
      </c>
      <c r="U22" s="132">
        <f>IF(SER_hh_tesh_in!U22=0,0,SER_hh_tesh_in!U22/SER_summary!U$27)</f>
        <v>18.096678341553027</v>
      </c>
      <c r="V22" s="132">
        <f>IF(SER_hh_tesh_in!V22=0,0,SER_hh_tesh_in!V22/SER_summary!V$27)</f>
        <v>16.732405427052882</v>
      </c>
      <c r="W22" s="132">
        <f>IF(SER_hh_tesh_in!W22=0,0,SER_hh_tesh_in!W22/SER_summary!W$27)</f>
        <v>19.586654467860203</v>
      </c>
      <c r="X22" s="132">
        <f>IF(SER_hh_tesh_in!X22=0,0,SER_hh_tesh_in!X22/SER_summary!X$27)</f>
        <v>18.527267261142836</v>
      </c>
      <c r="Y22" s="132">
        <f>IF(SER_hh_tesh_in!Y22=0,0,SER_hh_tesh_in!Y22/SER_summary!Y$27)</f>
        <v>17.957928844082915</v>
      </c>
      <c r="DA22" s="156" t="s">
        <v>867</v>
      </c>
    </row>
    <row r="23" spans="1:105" ht="12" customHeight="1" x14ac:dyDescent="0.25">
      <c r="A23" s="131" t="s">
        <v>149</v>
      </c>
      <c r="B23" s="132"/>
      <c r="C23" s="132">
        <f>IF(SER_hh_tesh_in!C23=0,0,SER_hh_tesh_in!C23/SER_summary!C$27)</f>
        <v>17.625375297787951</v>
      </c>
      <c r="D23" s="132">
        <f>IF(SER_hh_tesh_in!D23=0,0,SER_hh_tesh_in!D23/SER_summary!D$27)</f>
        <v>17.633135204469134</v>
      </c>
      <c r="E23" s="132">
        <f>IF(SER_hh_tesh_in!E23=0,0,SER_hh_tesh_in!E23/SER_summary!E$27)</f>
        <v>17.604703432789094</v>
      </c>
      <c r="F23" s="132">
        <f>IF(SER_hh_tesh_in!F23=0,0,SER_hh_tesh_in!F23/SER_summary!F$27)</f>
        <v>17.904387558846192</v>
      </c>
      <c r="G23" s="132">
        <f>IF(SER_hh_tesh_in!G23=0,0,SER_hh_tesh_in!G23/SER_summary!G$27)</f>
        <v>18.158788855629123</v>
      </c>
      <c r="H23" s="132">
        <f>IF(SER_hh_tesh_in!H23=0,0,SER_hh_tesh_in!H23/SER_summary!H$27)</f>
        <v>17.54842534007194</v>
      </c>
      <c r="I23" s="132">
        <f>IF(SER_hh_tesh_in!I23=0,0,SER_hh_tesh_in!I23/SER_summary!I$27)</f>
        <v>17.635761210484095</v>
      </c>
      <c r="J23" s="132">
        <f>IF(SER_hh_tesh_in!J23=0,0,SER_hh_tesh_in!J23/SER_summary!J$27)</f>
        <v>17.872873667368104</v>
      </c>
      <c r="K23" s="132">
        <f>IF(SER_hh_tesh_in!K23=0,0,SER_hh_tesh_in!K23/SER_summary!K$27)</f>
        <v>17.707392258470403</v>
      </c>
      <c r="L23" s="132">
        <f>IF(SER_hh_tesh_in!L23=0,0,SER_hh_tesh_in!L23/SER_summary!L$27)</f>
        <v>17.518860836111575</v>
      </c>
      <c r="M23" s="132">
        <f>IF(SER_hh_tesh_in!M23=0,0,SER_hh_tesh_in!M23/SER_summary!M$27)</f>
        <v>17.862447372648965</v>
      </c>
      <c r="N23" s="132">
        <f>IF(SER_hh_tesh_in!N23=0,0,SER_hh_tesh_in!N23/SER_summary!N$27)</f>
        <v>18.111661008159523</v>
      </c>
      <c r="O23" s="132">
        <f>IF(SER_hh_tesh_in!O23=0,0,SER_hh_tesh_in!O23/SER_summary!O$27)</f>
        <v>18.324576290191697</v>
      </c>
      <c r="P23" s="132">
        <f>IF(SER_hh_tesh_in!P23=0,0,SER_hh_tesh_in!P23/SER_summary!P$27)</f>
        <v>18.261990494098296</v>
      </c>
      <c r="Q23" s="132">
        <f>IF(SER_hh_tesh_in!Q23=0,0,SER_hh_tesh_in!Q23/SER_summary!Q$27)</f>
        <v>18.186179780323172</v>
      </c>
      <c r="R23" s="132">
        <f>IF(SER_hh_tesh_in!R23=0,0,SER_hh_tesh_in!R23/SER_summary!R$27)</f>
        <v>17.748650991834239</v>
      </c>
      <c r="S23" s="132">
        <f>IF(SER_hh_tesh_in!S23=0,0,SER_hh_tesh_in!S23/SER_summary!S$27)</f>
        <v>20.547027925743016</v>
      </c>
      <c r="T23" s="132">
        <f>IF(SER_hh_tesh_in!T23=0,0,SER_hh_tesh_in!T23/SER_summary!T$27)</f>
        <v>18.157088110091259</v>
      </c>
      <c r="U23" s="132">
        <f>IF(SER_hh_tesh_in!U23=0,0,SER_hh_tesh_in!U23/SER_summary!U$27)</f>
        <v>17.406461873648393</v>
      </c>
      <c r="V23" s="132">
        <f>IF(SER_hh_tesh_in!V23=0,0,SER_hh_tesh_in!V23/SER_summary!V$27)</f>
        <v>16.862028805456191</v>
      </c>
      <c r="W23" s="132">
        <f>IF(SER_hh_tesh_in!W23=0,0,SER_hh_tesh_in!W23/SER_summary!W$27)</f>
        <v>21.644292399354995</v>
      </c>
      <c r="X23" s="132">
        <f>IF(SER_hh_tesh_in!X23=0,0,SER_hh_tesh_in!X23/SER_summary!X$27)</f>
        <v>19.105367637852325</v>
      </c>
      <c r="Y23" s="132">
        <f>IF(SER_hh_tesh_in!Y23=0,0,SER_hh_tesh_in!Y23/SER_summary!Y$27)</f>
        <v>0</v>
      </c>
      <c r="DA23" s="156" t="s">
        <v>868</v>
      </c>
    </row>
    <row r="24" spans="1:105" ht="12" customHeight="1" x14ac:dyDescent="0.25">
      <c r="A24" s="131" t="s">
        <v>128</v>
      </c>
      <c r="B24" s="132"/>
      <c r="C24" s="132">
        <f>IF(SER_hh_tesh_in!C24=0,0,SER_hh_tesh_in!C24/SER_summary!C$27)</f>
        <v>18.462500391372668</v>
      </c>
      <c r="D24" s="132">
        <f>IF(SER_hh_tesh_in!D24=0,0,SER_hh_tesh_in!D24/SER_summary!D$27)</f>
        <v>18.102532727183888</v>
      </c>
      <c r="E24" s="132">
        <f>IF(SER_hh_tesh_in!E24=0,0,SER_hh_tesh_in!E24/SER_summary!E$27)</f>
        <v>17.663360962942757</v>
      </c>
      <c r="F24" s="132">
        <f>IF(SER_hh_tesh_in!F24=0,0,SER_hh_tesh_in!F24/SER_summary!F$27)</f>
        <v>17.747984644699535</v>
      </c>
      <c r="G24" s="132">
        <f>IF(SER_hh_tesh_in!G24=0,0,SER_hh_tesh_in!G24/SER_summary!G$27)</f>
        <v>17.589629696417834</v>
      </c>
      <c r="H24" s="132">
        <f>IF(SER_hh_tesh_in!H24=0,0,SER_hh_tesh_in!H24/SER_summary!H$27)</f>
        <v>17.600520809462218</v>
      </c>
      <c r="I24" s="132">
        <f>IF(SER_hh_tesh_in!I24=0,0,SER_hh_tesh_in!I24/SER_summary!I$27)</f>
        <v>17.364614188213334</v>
      </c>
      <c r="J24" s="132">
        <f>IF(SER_hh_tesh_in!J24=0,0,SER_hh_tesh_in!J24/SER_summary!J$27)</f>
        <v>18.275175654949141</v>
      </c>
      <c r="K24" s="132">
        <f>IF(SER_hh_tesh_in!K24=0,0,SER_hh_tesh_in!K24/SER_summary!K$27)</f>
        <v>17.428445876245121</v>
      </c>
      <c r="L24" s="132">
        <f>IF(SER_hh_tesh_in!L24=0,0,SER_hh_tesh_in!L24/SER_summary!L$27)</f>
        <v>17.765532069750677</v>
      </c>
      <c r="M24" s="132">
        <f>IF(SER_hh_tesh_in!M24=0,0,SER_hh_tesh_in!M24/SER_summary!M$27)</f>
        <v>18.190605630819363</v>
      </c>
      <c r="N24" s="132">
        <f>IF(SER_hh_tesh_in!N24=0,0,SER_hh_tesh_in!N24/SER_summary!N$27)</f>
        <v>18.259842377562833</v>
      </c>
      <c r="O24" s="132">
        <f>IF(SER_hh_tesh_in!O24=0,0,SER_hh_tesh_in!O24/SER_summary!O$27)</f>
        <v>18.160436477494073</v>
      </c>
      <c r="P24" s="132">
        <f>IF(SER_hh_tesh_in!P24=0,0,SER_hh_tesh_in!P24/SER_summary!P$27)</f>
        <v>18.022757762706867</v>
      </c>
      <c r="Q24" s="132">
        <f>IF(SER_hh_tesh_in!Q24=0,0,SER_hh_tesh_in!Q24/SER_summary!Q$27)</f>
        <v>17.535873573770779</v>
      </c>
      <c r="R24" s="132">
        <f>IF(SER_hh_tesh_in!R24=0,0,SER_hh_tesh_in!R24/SER_summary!R$27)</f>
        <v>19.209134855440706</v>
      </c>
      <c r="S24" s="132">
        <f>IF(SER_hh_tesh_in!S24=0,0,SER_hh_tesh_in!S24/SER_summary!S$27)</f>
        <v>18.6545913371837</v>
      </c>
      <c r="T24" s="132">
        <f>IF(SER_hh_tesh_in!T24=0,0,SER_hh_tesh_in!T24/SER_summary!T$27)</f>
        <v>18.676669632695692</v>
      </c>
      <c r="U24" s="132">
        <f>IF(SER_hh_tesh_in!U24=0,0,SER_hh_tesh_in!U24/SER_summary!U$27)</f>
        <v>18.549274684308017</v>
      </c>
      <c r="V24" s="132">
        <f>IF(SER_hh_tesh_in!V24=0,0,SER_hh_tesh_in!V24/SER_summary!V$27)</f>
        <v>16.401246062511149</v>
      </c>
      <c r="W24" s="132">
        <f>IF(SER_hh_tesh_in!W24=0,0,SER_hh_tesh_in!W24/SER_summary!W$27)</f>
        <v>19.395703188541425</v>
      </c>
      <c r="X24" s="132">
        <f>IF(SER_hh_tesh_in!X24=0,0,SER_hh_tesh_in!X24/SER_summary!X$27)</f>
        <v>19.674959280240664</v>
      </c>
      <c r="Y24" s="132">
        <f>IF(SER_hh_tesh_in!Y24=0,0,SER_hh_tesh_in!Y24/SER_summary!Y$27)</f>
        <v>17.993055394212103</v>
      </c>
      <c r="DA24" s="156" t="s">
        <v>869</v>
      </c>
    </row>
    <row r="25" spans="1:105" ht="12" customHeight="1" x14ac:dyDescent="0.25">
      <c r="A25" s="131" t="s">
        <v>162</v>
      </c>
      <c r="B25" s="132"/>
      <c r="C25" s="132">
        <f>IF(SER_hh_tesh_in!C25=0,0,SER_hh_tesh_in!C25/SER_summary!C$27)</f>
        <v>17.770613096222458</v>
      </c>
      <c r="D25" s="132">
        <f>IF(SER_hh_tesh_in!D25=0,0,SER_hh_tesh_in!D25/SER_summary!D$27)</f>
        <v>17.61846275176584</v>
      </c>
      <c r="E25" s="132">
        <f>IF(SER_hh_tesh_in!E25=0,0,SER_hh_tesh_in!E25/SER_summary!E$27)</f>
        <v>17.778010931517507</v>
      </c>
      <c r="F25" s="132">
        <f>IF(SER_hh_tesh_in!F25=0,0,SER_hh_tesh_in!F25/SER_summary!F$27)</f>
        <v>17.635550675644065</v>
      </c>
      <c r="G25" s="132">
        <f>IF(SER_hh_tesh_in!G25=0,0,SER_hh_tesh_in!G25/SER_summary!G$27)</f>
        <v>17.78303738383136</v>
      </c>
      <c r="H25" s="132">
        <f>IF(SER_hh_tesh_in!H25=0,0,SER_hh_tesh_in!H25/SER_summary!H$27)</f>
        <v>17.739369458056036</v>
      </c>
      <c r="I25" s="132">
        <f>IF(SER_hh_tesh_in!I25=0,0,SER_hh_tesh_in!I25/SER_summary!I$27)</f>
        <v>17.773869415316092</v>
      </c>
      <c r="J25" s="132">
        <f>IF(SER_hh_tesh_in!J25=0,0,SER_hh_tesh_in!J25/SER_summary!J$27)</f>
        <v>17.615717678679371</v>
      </c>
      <c r="K25" s="132">
        <f>IF(SER_hh_tesh_in!K25=0,0,SER_hh_tesh_in!K25/SER_summary!K$27)</f>
        <v>17.743206722318423</v>
      </c>
      <c r="L25" s="132">
        <f>IF(SER_hh_tesh_in!L25=0,0,SER_hh_tesh_in!L25/SER_summary!L$27)</f>
        <v>17.755173079458523</v>
      </c>
      <c r="M25" s="132">
        <f>IF(SER_hh_tesh_in!M25=0,0,SER_hh_tesh_in!M25/SER_summary!M$27)</f>
        <v>17.851520507461021</v>
      </c>
      <c r="N25" s="132">
        <f>IF(SER_hh_tesh_in!N25=0,0,SER_hh_tesh_in!N25/SER_summary!N$27)</f>
        <v>18.050816326658499</v>
      </c>
      <c r="O25" s="132">
        <f>IF(SER_hh_tesh_in!O25=0,0,SER_hh_tesh_in!O25/SER_summary!O$27)</f>
        <v>18.260131379462852</v>
      </c>
      <c r="P25" s="132">
        <f>IF(SER_hh_tesh_in!P25=0,0,SER_hh_tesh_in!P25/SER_summary!P$27)</f>
        <v>18.34827235850689</v>
      </c>
      <c r="Q25" s="132">
        <f>IF(SER_hh_tesh_in!Q25=0,0,SER_hh_tesh_in!Q25/SER_summary!Q$27)</f>
        <v>18.351358996632793</v>
      </c>
      <c r="R25" s="132">
        <f>IF(SER_hh_tesh_in!R25=0,0,SER_hh_tesh_in!R25/SER_summary!R$27)</f>
        <v>18.51917017604173</v>
      </c>
      <c r="S25" s="132">
        <f>IF(SER_hh_tesh_in!S25=0,0,SER_hh_tesh_in!S25/SER_summary!S$27)</f>
        <v>18.455471947584655</v>
      </c>
      <c r="T25" s="132">
        <f>IF(SER_hh_tesh_in!T25=0,0,SER_hh_tesh_in!T25/SER_summary!T$27)</f>
        <v>18.879850587164899</v>
      </c>
      <c r="U25" s="132">
        <f>IF(SER_hh_tesh_in!U25=0,0,SER_hh_tesh_in!U25/SER_summary!U$27)</f>
        <v>18.333050833442652</v>
      </c>
      <c r="V25" s="132">
        <f>IF(SER_hh_tesh_in!V25=0,0,SER_hh_tesh_in!V25/SER_summary!V$27)</f>
        <v>16.504483632043915</v>
      </c>
      <c r="W25" s="132">
        <f>IF(SER_hh_tesh_in!W25=0,0,SER_hh_tesh_in!W25/SER_summary!W$27)</f>
        <v>18.810892772695706</v>
      </c>
      <c r="X25" s="132">
        <f>IF(SER_hh_tesh_in!X25=0,0,SER_hh_tesh_in!X25/SER_summary!X$27)</f>
        <v>18.647421630051877</v>
      </c>
      <c r="Y25" s="132">
        <f>IF(SER_hh_tesh_in!Y25=0,0,SER_hh_tesh_in!Y25/SER_summary!Y$27)</f>
        <v>18.805410732965786</v>
      </c>
      <c r="DA25" s="156" t="s">
        <v>870</v>
      </c>
    </row>
    <row r="26" spans="1:105" ht="12" customHeight="1" x14ac:dyDescent="0.25">
      <c r="A26" s="131" t="s">
        <v>24</v>
      </c>
      <c r="B26" s="65"/>
      <c r="C26" s="65">
        <f>IF(SER_hh_tesh_in!C26=0,0,SER_hh_tesh_in!C26/SER_summary!C$27)</f>
        <v>17.578182552188753</v>
      </c>
      <c r="D26" s="65">
        <f>IF(SER_hh_tesh_in!D26=0,0,SER_hh_tesh_in!D26/SER_summary!D$27)</f>
        <v>17.55808806471715</v>
      </c>
      <c r="E26" s="65">
        <f>IF(SER_hh_tesh_in!E26=0,0,SER_hh_tesh_in!E26/SER_summary!E$27)</f>
        <v>17.722428344697022</v>
      </c>
      <c r="F26" s="65">
        <f>IF(SER_hh_tesh_in!F26=0,0,SER_hh_tesh_in!F26/SER_summary!F$27)</f>
        <v>17.669057358603968</v>
      </c>
      <c r="G26" s="65">
        <f>IF(SER_hh_tesh_in!G26=0,0,SER_hh_tesh_in!G26/SER_summary!G$27)</f>
        <v>18.012312792113381</v>
      </c>
      <c r="H26" s="65">
        <f>IF(SER_hh_tesh_in!H26=0,0,SER_hh_tesh_in!H26/SER_summary!H$27)</f>
        <v>17.722340611970676</v>
      </c>
      <c r="I26" s="65">
        <f>IF(SER_hh_tesh_in!I26=0,0,SER_hh_tesh_in!I26/SER_summary!I$27)</f>
        <v>17.343151349437381</v>
      </c>
      <c r="J26" s="65">
        <f>IF(SER_hh_tesh_in!J26=0,0,SER_hh_tesh_in!J26/SER_summary!J$27)</f>
        <v>17.509326005572074</v>
      </c>
      <c r="K26" s="65">
        <f>IF(SER_hh_tesh_in!K26=0,0,SER_hh_tesh_in!K26/SER_summary!K$27)</f>
        <v>17.603391077778632</v>
      </c>
      <c r="L26" s="65">
        <f>IF(SER_hh_tesh_in!L26=0,0,SER_hh_tesh_in!L26/SER_summary!L$27)</f>
        <v>17.734568551355768</v>
      </c>
      <c r="M26" s="65">
        <f>IF(SER_hh_tesh_in!M26=0,0,SER_hh_tesh_in!M26/SER_summary!M$27)</f>
        <v>17.916632446618664</v>
      </c>
      <c r="N26" s="65">
        <f>IF(SER_hh_tesh_in!N26=0,0,SER_hh_tesh_in!N26/SER_summary!N$27)</f>
        <v>18.078855461143572</v>
      </c>
      <c r="O26" s="65">
        <f>IF(SER_hh_tesh_in!O26=0,0,SER_hh_tesh_in!O26/SER_summary!O$27)</f>
        <v>18.167891021381298</v>
      </c>
      <c r="P26" s="65">
        <f>IF(SER_hh_tesh_in!P26=0,0,SER_hh_tesh_in!P26/SER_summary!P$27)</f>
        <v>18.491542602094768</v>
      </c>
      <c r="Q26" s="65">
        <f>IF(SER_hh_tesh_in!Q26=0,0,SER_hh_tesh_in!Q26/SER_summary!Q$27)</f>
        <v>18.653229138577203</v>
      </c>
      <c r="R26" s="65">
        <f>IF(SER_hh_tesh_in!R26=0,0,SER_hh_tesh_in!R26/SER_summary!R$27)</f>
        <v>17.858395375038285</v>
      </c>
      <c r="S26" s="65">
        <f>IF(SER_hh_tesh_in!S26=0,0,SER_hh_tesh_in!S26/SER_summary!S$27)</f>
        <v>18.518555144538762</v>
      </c>
      <c r="T26" s="65">
        <f>IF(SER_hh_tesh_in!T26=0,0,SER_hh_tesh_in!T26/SER_summary!T$27)</f>
        <v>18.289015010986549</v>
      </c>
      <c r="U26" s="65">
        <f>IF(SER_hh_tesh_in!U26=0,0,SER_hh_tesh_in!U26/SER_summary!U$27)</f>
        <v>19.199855507011307</v>
      </c>
      <c r="V26" s="65">
        <f>IF(SER_hh_tesh_in!V26=0,0,SER_hh_tesh_in!V26/SER_summary!V$27)</f>
        <v>17.584174069091375</v>
      </c>
      <c r="W26" s="65">
        <f>IF(SER_hh_tesh_in!W26=0,0,SER_hh_tesh_in!W26/SER_summary!W$27)</f>
        <v>18.131780517396521</v>
      </c>
      <c r="X26" s="65">
        <f>IF(SER_hh_tesh_in!X26=0,0,SER_hh_tesh_in!X26/SER_summary!X$27)</f>
        <v>18.362812592061541</v>
      </c>
      <c r="Y26" s="65">
        <f>IF(SER_hh_tesh_in!Y26=0,0,SER_hh_tesh_in!Y26/SER_summary!Y$27)</f>
        <v>19.033719980643216</v>
      </c>
      <c r="DA26" s="109" t="s">
        <v>871</v>
      </c>
    </row>
    <row r="27" spans="1:105" ht="12" customHeight="1" x14ac:dyDescent="0.25">
      <c r="A27" s="144" t="s">
        <v>86</v>
      </c>
      <c r="B27" s="147"/>
      <c r="C27" s="145">
        <f>IF(SER_hh_tesh_in!C27=0,0,SER_hh_tesh_in!C27/SER_summary!C$27)</f>
        <v>0</v>
      </c>
      <c r="D27" s="145">
        <f>IF(SER_hh_tesh_in!D27=0,0,SER_hh_tesh_in!D27/SER_summary!D$27)</f>
        <v>0</v>
      </c>
      <c r="E27" s="145">
        <f>IF(SER_hh_tesh_in!E27=0,0,SER_hh_tesh_in!E27/SER_summary!E$27)</f>
        <v>0</v>
      </c>
      <c r="F27" s="145">
        <f>IF(SER_hh_tesh_in!F27=0,0,SER_hh_tesh_in!F27/SER_summary!F$27)</f>
        <v>0</v>
      </c>
      <c r="G27" s="145">
        <f>IF(SER_hh_tesh_in!G27=0,0,SER_hh_tesh_in!G27/SER_summary!G$27)</f>
        <v>0</v>
      </c>
      <c r="H27" s="145">
        <f>IF(SER_hh_tesh_in!H27=0,0,SER_hh_tesh_in!H27/SER_summary!H$27)</f>
        <v>0</v>
      </c>
      <c r="I27" s="145">
        <f>IF(SER_hh_tesh_in!I27=0,0,SER_hh_tesh_in!I27/SER_summary!I$27)</f>
        <v>0</v>
      </c>
      <c r="J27" s="145">
        <f>IF(SER_hh_tesh_in!J27=0,0,SER_hh_tesh_in!J27/SER_summary!J$27)</f>
        <v>0</v>
      </c>
      <c r="K27" s="145">
        <f>IF(SER_hh_tesh_in!K27=0,0,SER_hh_tesh_in!K27/SER_summary!K$27)</f>
        <v>0</v>
      </c>
      <c r="L27" s="145">
        <f>IF(SER_hh_tesh_in!L27=0,0,SER_hh_tesh_in!L27/SER_summary!L$27)</f>
        <v>0</v>
      </c>
      <c r="M27" s="145">
        <f>IF(SER_hh_tesh_in!M27=0,0,SER_hh_tesh_in!M27/SER_summary!M$27)</f>
        <v>0</v>
      </c>
      <c r="N27" s="145">
        <f>IF(SER_hh_tesh_in!N27=0,0,SER_hh_tesh_in!N27/SER_summary!N$27)</f>
        <v>0</v>
      </c>
      <c r="O27" s="145">
        <f>IF(SER_hh_tesh_in!O27=0,0,SER_hh_tesh_in!O27/SER_summary!O$27)</f>
        <v>0</v>
      </c>
      <c r="P27" s="145">
        <f>IF(SER_hh_tesh_in!P27=0,0,SER_hh_tesh_in!P27/SER_summary!P$27)</f>
        <v>0</v>
      </c>
      <c r="Q27" s="145">
        <f>IF(SER_hh_tesh_in!Q27=0,0,SER_hh_tesh_in!Q27/SER_summary!Q$27)</f>
        <v>0</v>
      </c>
      <c r="R27" s="145">
        <f>IF(SER_hh_tesh_in!R27=0,0,SER_hh_tesh_in!R27/SER_summary!R$27)</f>
        <v>0</v>
      </c>
      <c r="S27" s="145">
        <f>IF(SER_hh_tesh_in!S27=0,0,SER_hh_tesh_in!S27/SER_summary!S$27)</f>
        <v>0</v>
      </c>
      <c r="T27" s="145">
        <f>IF(SER_hh_tesh_in!T27=0,0,SER_hh_tesh_in!T27/SER_summary!T$27)</f>
        <v>0</v>
      </c>
      <c r="U27" s="145">
        <f>IF(SER_hh_tesh_in!U27=0,0,SER_hh_tesh_in!U27/SER_summary!U$27)</f>
        <v>0</v>
      </c>
      <c r="V27" s="145">
        <f>IF(SER_hh_tesh_in!V27=0,0,SER_hh_tesh_in!V27/SER_summary!V$27)</f>
        <v>0</v>
      </c>
      <c r="W27" s="145">
        <f>IF(SER_hh_tesh_in!W27=0,0,SER_hh_tesh_in!W27/SER_summary!W$27)</f>
        <v>0</v>
      </c>
      <c r="X27" s="145">
        <f>IF(SER_hh_tesh_in!X27=0,0,SER_hh_tesh_in!X27/SER_summary!X$27)</f>
        <v>0</v>
      </c>
      <c r="Y27" s="145">
        <f>IF(SER_hh_tesh_in!Y27=0,0,SER_hh_tesh_in!Y27/SER_summary!Y$27)</f>
        <v>0</v>
      </c>
      <c r="DA27" s="158" t="s">
        <v>872</v>
      </c>
    </row>
    <row r="28" spans="1:105" ht="12" customHeight="1" x14ac:dyDescent="0.25">
      <c r="A28" s="78" t="s">
        <v>85</v>
      </c>
      <c r="B28" s="68"/>
      <c r="C28" s="146">
        <f>IF(SER_hh_tesh_in!C28=0,0,SER_hh_tesh_in!C28/SER_summary!C$27)</f>
        <v>0</v>
      </c>
      <c r="D28" s="146">
        <f>IF(SER_hh_tesh_in!D28=0,0,SER_hh_tesh_in!D28/SER_summary!D$27)</f>
        <v>0</v>
      </c>
      <c r="E28" s="146">
        <f>IF(SER_hh_tesh_in!E28=0,0,SER_hh_tesh_in!E28/SER_summary!E$27)</f>
        <v>0</v>
      </c>
      <c r="F28" s="146">
        <f>IF(SER_hh_tesh_in!F28=0,0,SER_hh_tesh_in!F28/SER_summary!F$27)</f>
        <v>0</v>
      </c>
      <c r="G28" s="146">
        <f>IF(SER_hh_tesh_in!G28=0,0,SER_hh_tesh_in!G28/SER_summary!G$27)</f>
        <v>0</v>
      </c>
      <c r="H28" s="146">
        <f>IF(SER_hh_tesh_in!H28=0,0,SER_hh_tesh_in!H28/SER_summary!H$27)</f>
        <v>0</v>
      </c>
      <c r="I28" s="146">
        <f>IF(SER_hh_tesh_in!I28=0,0,SER_hh_tesh_in!I28/SER_summary!I$27)</f>
        <v>0</v>
      </c>
      <c r="J28" s="146">
        <f>IF(SER_hh_tesh_in!J28=0,0,SER_hh_tesh_in!J28/SER_summary!J$27)</f>
        <v>0</v>
      </c>
      <c r="K28" s="146">
        <f>IF(SER_hh_tesh_in!K28=0,0,SER_hh_tesh_in!K28/SER_summary!K$27)</f>
        <v>0</v>
      </c>
      <c r="L28" s="146">
        <f>IF(SER_hh_tesh_in!L28=0,0,SER_hh_tesh_in!L28/SER_summary!L$27)</f>
        <v>0</v>
      </c>
      <c r="M28" s="146">
        <f>IF(SER_hh_tesh_in!M28=0,0,SER_hh_tesh_in!M28/SER_summary!M$27)</f>
        <v>0</v>
      </c>
      <c r="N28" s="146">
        <f>IF(SER_hh_tesh_in!N28=0,0,SER_hh_tesh_in!N28/SER_summary!N$27)</f>
        <v>0</v>
      </c>
      <c r="O28" s="146">
        <f>IF(SER_hh_tesh_in!O28=0,0,SER_hh_tesh_in!O28/SER_summary!O$27)</f>
        <v>0</v>
      </c>
      <c r="P28" s="146">
        <f>IF(SER_hh_tesh_in!P28=0,0,SER_hh_tesh_in!P28/SER_summary!P$27)</f>
        <v>0</v>
      </c>
      <c r="Q28" s="146">
        <f>IF(SER_hh_tesh_in!Q28=0,0,SER_hh_tesh_in!Q28/SER_summary!Q$27)</f>
        <v>0</v>
      </c>
      <c r="R28" s="146">
        <f>IF(SER_hh_tesh_in!R28=0,0,SER_hh_tesh_in!R28/SER_summary!R$27)</f>
        <v>0</v>
      </c>
      <c r="S28" s="146">
        <f>IF(SER_hh_tesh_in!S28=0,0,SER_hh_tesh_in!S28/SER_summary!S$27)</f>
        <v>0</v>
      </c>
      <c r="T28" s="146">
        <f>IF(SER_hh_tesh_in!T28=0,0,SER_hh_tesh_in!T28/SER_summary!T$27)</f>
        <v>0</v>
      </c>
      <c r="U28" s="146">
        <f>IF(SER_hh_tesh_in!U28=0,0,SER_hh_tesh_in!U28/SER_summary!U$27)</f>
        <v>0</v>
      </c>
      <c r="V28" s="146">
        <f>IF(SER_hh_tesh_in!V28=0,0,SER_hh_tesh_in!V28/SER_summary!V$27)</f>
        <v>0</v>
      </c>
      <c r="W28" s="146">
        <f>IF(SER_hh_tesh_in!W28=0,0,SER_hh_tesh_in!W28/SER_summary!W$27)</f>
        <v>0</v>
      </c>
      <c r="X28" s="146">
        <f>IF(SER_hh_tesh_in!X28=0,0,SER_hh_tesh_in!X28/SER_summary!X$27)</f>
        <v>0</v>
      </c>
      <c r="Y28" s="146">
        <f>IF(SER_hh_tesh_in!Y28=0,0,SER_hh_tesh_in!Y28/SER_summary!Y$27)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IF(SER_hh_tesh_in!C29=0,0,SER_hh_tesh_in!C29/SER_summary!C$27)</f>
        <v>16.717154460996362</v>
      </c>
      <c r="D29" s="130">
        <f>IF(SER_hh_tesh_in!D29=0,0,SER_hh_tesh_in!D29/SER_summary!D$27)</f>
        <v>16.589079943465045</v>
      </c>
      <c r="E29" s="130">
        <f>IF(SER_hh_tesh_in!E29=0,0,SER_hh_tesh_in!E29/SER_summary!E$27)</f>
        <v>16.670656194859003</v>
      </c>
      <c r="F29" s="130">
        <f>IF(SER_hh_tesh_in!F29=0,0,SER_hh_tesh_in!F29/SER_summary!F$27)</f>
        <v>16.830044105810487</v>
      </c>
      <c r="G29" s="130">
        <f>IF(SER_hh_tesh_in!G29=0,0,SER_hh_tesh_in!G29/SER_summary!G$27)</f>
        <v>16.972174596046138</v>
      </c>
      <c r="H29" s="130">
        <f>IF(SER_hh_tesh_in!H29=0,0,SER_hh_tesh_in!H29/SER_summary!H$27)</f>
        <v>17.108355011117684</v>
      </c>
      <c r="I29" s="130">
        <f>IF(SER_hh_tesh_in!I29=0,0,SER_hh_tesh_in!I29/SER_summary!I$27)</f>
        <v>16.879873537821098</v>
      </c>
      <c r="J29" s="130">
        <f>IF(SER_hh_tesh_in!J29=0,0,SER_hh_tesh_in!J29/SER_summary!J$27)</f>
        <v>16.826403922862209</v>
      </c>
      <c r="K29" s="130">
        <f>IF(SER_hh_tesh_in!K29=0,0,SER_hh_tesh_in!K29/SER_summary!K$27)</f>
        <v>17.097680016140718</v>
      </c>
      <c r="L29" s="130">
        <f>IF(SER_hh_tesh_in!L29=0,0,SER_hh_tesh_in!L29/SER_summary!L$27)</f>
        <v>16.955474198008215</v>
      </c>
      <c r="M29" s="130">
        <f>IF(SER_hh_tesh_in!M29=0,0,SER_hh_tesh_in!M29/SER_summary!M$27)</f>
        <v>17.395592457455734</v>
      </c>
      <c r="N29" s="130">
        <f>IF(SER_hh_tesh_in!N29=0,0,SER_hh_tesh_in!N29/SER_summary!N$27)</f>
        <v>17.317858521229049</v>
      </c>
      <c r="O29" s="130">
        <f>IF(SER_hh_tesh_in!O29=0,0,SER_hh_tesh_in!O29/SER_summary!O$27)</f>
        <v>17.522362470410133</v>
      </c>
      <c r="P29" s="130">
        <f>IF(SER_hh_tesh_in!P29=0,0,SER_hh_tesh_in!P29/SER_summary!P$27)</f>
        <v>17.75605655891448</v>
      </c>
      <c r="Q29" s="130">
        <f>IF(SER_hh_tesh_in!Q29=0,0,SER_hh_tesh_in!Q29/SER_summary!Q$27)</f>
        <v>18.103419019605106</v>
      </c>
      <c r="R29" s="130">
        <f>IF(SER_hh_tesh_in!R29=0,0,SER_hh_tesh_in!R29/SER_summary!R$27)</f>
        <v>18.565885564226477</v>
      </c>
      <c r="S29" s="130">
        <f>IF(SER_hh_tesh_in!S29=0,0,SER_hh_tesh_in!S29/SER_summary!S$27)</f>
        <v>19.24877773249591</v>
      </c>
      <c r="T29" s="130">
        <f>IF(SER_hh_tesh_in!T29=0,0,SER_hh_tesh_in!T29/SER_summary!T$27)</f>
        <v>19.269777309593078</v>
      </c>
      <c r="U29" s="130">
        <f>IF(SER_hh_tesh_in!U29=0,0,SER_hh_tesh_in!U29/SER_summary!U$27)</f>
        <v>20.546633932897933</v>
      </c>
      <c r="V29" s="130">
        <f>IF(SER_hh_tesh_in!V29=0,0,SER_hh_tesh_in!V29/SER_summary!V$27)</f>
        <v>19.188610789320446</v>
      </c>
      <c r="W29" s="130">
        <f>IF(SER_hh_tesh_in!W29=0,0,SER_hh_tesh_in!W29/SER_summary!W$27)</f>
        <v>21.237126564427552</v>
      </c>
      <c r="X29" s="130">
        <f>IF(SER_hh_tesh_in!X29=0,0,SER_hh_tesh_in!X29/SER_summary!X$27)</f>
        <v>21.309818511733763</v>
      </c>
      <c r="Y29" s="130">
        <f>IF(SER_hh_tesh_in!Y29=0,0,SER_hh_tesh_in!Y29/SER_summary!Y$27)</f>
        <v>21.691837893215276</v>
      </c>
      <c r="DA29" s="155" t="s">
        <v>873</v>
      </c>
    </row>
    <row r="30" spans="1:105" s="2" customFormat="1" ht="12" customHeight="1" x14ac:dyDescent="0.25">
      <c r="A30" s="131" t="s">
        <v>52</v>
      </c>
      <c r="B30" s="132"/>
      <c r="C30" s="132">
        <f>IF(SER_hh_tesh_in!C30=0,0,SER_hh_tesh_in!C30/SER_summary!C$27)</f>
        <v>0</v>
      </c>
      <c r="D30" s="132">
        <f>IF(SER_hh_tesh_in!D30=0,0,SER_hh_tesh_in!D30/SER_summary!D$27)</f>
        <v>0</v>
      </c>
      <c r="E30" s="132">
        <f>IF(SER_hh_tesh_in!E30=0,0,SER_hh_tesh_in!E30/SER_summary!E$27)</f>
        <v>0</v>
      </c>
      <c r="F30" s="132">
        <f>IF(SER_hh_tesh_in!F30=0,0,SER_hh_tesh_in!F30/SER_summary!F$27)</f>
        <v>0</v>
      </c>
      <c r="G30" s="132">
        <f>IF(SER_hh_tesh_in!G30=0,0,SER_hh_tesh_in!G30/SER_summary!G$27)</f>
        <v>0</v>
      </c>
      <c r="H30" s="132">
        <f>IF(SER_hh_tesh_in!H30=0,0,SER_hh_tesh_in!H30/SER_summary!H$27)</f>
        <v>0</v>
      </c>
      <c r="I30" s="132">
        <f>IF(SER_hh_tesh_in!I30=0,0,SER_hh_tesh_in!I30/SER_summary!I$27)</f>
        <v>0</v>
      </c>
      <c r="J30" s="132">
        <f>IF(SER_hh_tesh_in!J30=0,0,SER_hh_tesh_in!J30/SER_summary!J$27)</f>
        <v>0</v>
      </c>
      <c r="K30" s="132">
        <f>IF(SER_hh_tesh_in!K30=0,0,SER_hh_tesh_in!K30/SER_summary!K$27)</f>
        <v>0</v>
      </c>
      <c r="L30" s="132">
        <f>IF(SER_hh_tesh_in!L30=0,0,SER_hh_tesh_in!L30/SER_summary!L$27)</f>
        <v>0</v>
      </c>
      <c r="M30" s="132">
        <f>IF(SER_hh_tesh_in!M30=0,0,SER_hh_tesh_in!M30/SER_summary!M$27)</f>
        <v>0</v>
      </c>
      <c r="N30" s="132">
        <f>IF(SER_hh_tesh_in!N30=0,0,SER_hh_tesh_in!N30/SER_summary!N$27)</f>
        <v>0</v>
      </c>
      <c r="O30" s="132">
        <f>IF(SER_hh_tesh_in!O30=0,0,SER_hh_tesh_in!O30/SER_summary!O$27)</f>
        <v>0</v>
      </c>
      <c r="P30" s="132">
        <f>IF(SER_hh_tesh_in!P30=0,0,SER_hh_tesh_in!P30/SER_summary!P$27)</f>
        <v>0</v>
      </c>
      <c r="Q30" s="132">
        <f>IF(SER_hh_tesh_in!Q30=0,0,SER_hh_tesh_in!Q30/SER_summary!Q$27)</f>
        <v>0</v>
      </c>
      <c r="R30" s="132">
        <f>IF(SER_hh_tesh_in!R30=0,0,SER_hh_tesh_in!R30/SER_summary!R$27)</f>
        <v>0</v>
      </c>
      <c r="S30" s="132">
        <f>IF(SER_hh_tesh_in!S30=0,0,SER_hh_tesh_in!S30/SER_summary!S$27)</f>
        <v>0</v>
      </c>
      <c r="T30" s="132">
        <f>IF(SER_hh_tesh_in!T30=0,0,SER_hh_tesh_in!T30/SER_summary!T$27)</f>
        <v>0</v>
      </c>
      <c r="U30" s="132">
        <f>IF(SER_hh_tesh_in!U30=0,0,SER_hh_tesh_in!U30/SER_summary!U$27)</f>
        <v>0</v>
      </c>
      <c r="V30" s="132">
        <f>IF(SER_hh_tesh_in!V30=0,0,SER_hh_tesh_in!V30/SER_summary!V$27)</f>
        <v>0</v>
      </c>
      <c r="W30" s="132">
        <f>IF(SER_hh_tesh_in!W30=0,0,SER_hh_tesh_in!W30/SER_summary!W$27)</f>
        <v>0</v>
      </c>
      <c r="X30" s="132">
        <f>IF(SER_hh_tesh_in!X30=0,0,SER_hh_tesh_in!X30/SER_summary!X$27)</f>
        <v>0</v>
      </c>
      <c r="Y30" s="132">
        <f>IF(SER_hh_tesh_in!Y30=0,0,SER_hh_tesh_in!Y30/SER_summary!Y$27)</f>
        <v>0</v>
      </c>
      <c r="DA30" s="156" t="s">
        <v>874</v>
      </c>
    </row>
    <row r="31" spans="1:105" ht="12" customHeight="1" x14ac:dyDescent="0.25">
      <c r="A31" s="131" t="s">
        <v>149</v>
      </c>
      <c r="B31" s="132"/>
      <c r="C31" s="132">
        <f>IF(SER_hh_tesh_in!C31=0,0,SER_hh_tesh_in!C31/SER_summary!C$27)</f>
        <v>16.664787943714646</v>
      </c>
      <c r="D31" s="132">
        <f>IF(SER_hh_tesh_in!D31=0,0,SER_hh_tesh_in!D31/SER_summary!D$27)</f>
        <v>16.696221833252952</v>
      </c>
      <c r="E31" s="132">
        <f>IF(SER_hh_tesh_in!E31=0,0,SER_hh_tesh_in!E31/SER_summary!E$27)</f>
        <v>16.70665935476784</v>
      </c>
      <c r="F31" s="132">
        <f>IF(SER_hh_tesh_in!F31=0,0,SER_hh_tesh_in!F31/SER_summary!F$27)</f>
        <v>16.933392901661509</v>
      </c>
      <c r="G31" s="132">
        <f>IF(SER_hh_tesh_in!G31=0,0,SER_hh_tesh_in!G31/SER_summary!G$27)</f>
        <v>17.030416984174362</v>
      </c>
      <c r="H31" s="132">
        <f>IF(SER_hh_tesh_in!H31=0,0,SER_hh_tesh_in!H31/SER_summary!H$27)</f>
        <v>17.048650270103796</v>
      </c>
      <c r="I31" s="132">
        <f>IF(SER_hh_tesh_in!I31=0,0,SER_hh_tesh_in!I31/SER_summary!I$27)</f>
        <v>17.054719416234512</v>
      </c>
      <c r="J31" s="132">
        <f>IF(SER_hh_tesh_in!J31=0,0,SER_hh_tesh_in!J31/SER_summary!J$27)</f>
        <v>17.320985501121186</v>
      </c>
      <c r="K31" s="132">
        <f>IF(SER_hh_tesh_in!K31=0,0,SER_hh_tesh_in!K31/SER_summary!K$27)</f>
        <v>17.062362464062375</v>
      </c>
      <c r="L31" s="132">
        <f>IF(SER_hh_tesh_in!L31=0,0,SER_hh_tesh_in!L31/SER_summary!L$27)</f>
        <v>17.06638125441523</v>
      </c>
      <c r="M31" s="132">
        <f>IF(SER_hh_tesh_in!M31=0,0,SER_hh_tesh_in!M31/SER_summary!M$27)</f>
        <v>16.866493423876516</v>
      </c>
      <c r="N31" s="132">
        <f>IF(SER_hh_tesh_in!N31=0,0,SER_hh_tesh_in!N31/SER_summary!N$27)</f>
        <v>17.206493381039024</v>
      </c>
      <c r="O31" s="132">
        <f>IF(SER_hh_tesh_in!O31=0,0,SER_hh_tesh_in!O31/SER_summary!O$27)</f>
        <v>17.776790801639855</v>
      </c>
      <c r="P31" s="132">
        <f>IF(SER_hh_tesh_in!P31=0,0,SER_hh_tesh_in!P31/SER_summary!P$27)</f>
        <v>17.715824000592566</v>
      </c>
      <c r="Q31" s="132">
        <f>IF(SER_hh_tesh_in!Q31=0,0,SER_hh_tesh_in!Q31/SER_summary!Q$27)</f>
        <v>17.983339395756392</v>
      </c>
      <c r="R31" s="132">
        <f>IF(SER_hh_tesh_in!R31=0,0,SER_hh_tesh_in!R31/SER_summary!R$27)</f>
        <v>17.944930135276969</v>
      </c>
      <c r="S31" s="132">
        <f>IF(SER_hh_tesh_in!S31=0,0,SER_hh_tesh_in!S31/SER_summary!S$27)</f>
        <v>20.699373045192729</v>
      </c>
      <c r="T31" s="132">
        <f>IF(SER_hh_tesh_in!T31=0,0,SER_hh_tesh_in!T31/SER_summary!T$27)</f>
        <v>19.004497411776121</v>
      </c>
      <c r="U31" s="132">
        <f>IF(SER_hh_tesh_in!U31=0,0,SER_hh_tesh_in!U31/SER_summary!U$27)</f>
        <v>18.800251483066628</v>
      </c>
      <c r="V31" s="132">
        <f>IF(SER_hh_tesh_in!V31=0,0,SER_hh_tesh_in!V31/SER_summary!V$27)</f>
        <v>18.517709972209431</v>
      </c>
      <c r="W31" s="132">
        <f>IF(SER_hh_tesh_in!W31=0,0,SER_hh_tesh_in!W31/SER_summary!W$27)</f>
        <v>26.482923906858861</v>
      </c>
      <c r="X31" s="132">
        <f>IF(SER_hh_tesh_in!X31=0,0,SER_hh_tesh_in!X31/SER_summary!X$27)</f>
        <v>23.626951344091403</v>
      </c>
      <c r="Y31" s="132">
        <f>IF(SER_hh_tesh_in!Y31=0,0,SER_hh_tesh_in!Y31/SER_summary!Y$27)</f>
        <v>19.363165706858066</v>
      </c>
      <c r="DA31" s="156" t="s">
        <v>875</v>
      </c>
    </row>
    <row r="32" spans="1:105" ht="12" customHeight="1" x14ac:dyDescent="0.25">
      <c r="A32" s="131" t="s">
        <v>128</v>
      </c>
      <c r="B32" s="132"/>
      <c r="C32" s="132">
        <f>IF(SER_hh_tesh_in!C32=0,0,SER_hh_tesh_in!C32/SER_summary!C$27)</f>
        <v>0</v>
      </c>
      <c r="D32" s="132">
        <f>IF(SER_hh_tesh_in!D32=0,0,SER_hh_tesh_in!D32/SER_summary!D$27)</f>
        <v>0</v>
      </c>
      <c r="E32" s="132">
        <f>IF(SER_hh_tesh_in!E32=0,0,SER_hh_tesh_in!E32/SER_summary!E$27)</f>
        <v>0</v>
      </c>
      <c r="F32" s="132">
        <f>IF(SER_hh_tesh_in!F32=0,0,SER_hh_tesh_in!F32/SER_summary!F$27)</f>
        <v>0</v>
      </c>
      <c r="G32" s="132">
        <f>IF(SER_hh_tesh_in!G32=0,0,SER_hh_tesh_in!G32/SER_summary!G$27)</f>
        <v>0</v>
      </c>
      <c r="H32" s="132">
        <f>IF(SER_hh_tesh_in!H32=0,0,SER_hh_tesh_in!H32/SER_summary!H$27)</f>
        <v>0</v>
      </c>
      <c r="I32" s="132">
        <f>IF(SER_hh_tesh_in!I32=0,0,SER_hh_tesh_in!I32/SER_summary!I$27)</f>
        <v>0</v>
      </c>
      <c r="J32" s="132">
        <f>IF(SER_hh_tesh_in!J32=0,0,SER_hh_tesh_in!J32/SER_summary!J$27)</f>
        <v>0</v>
      </c>
      <c r="K32" s="132">
        <f>IF(SER_hh_tesh_in!K32=0,0,SER_hh_tesh_in!K32/SER_summary!K$27)</f>
        <v>0</v>
      </c>
      <c r="L32" s="132">
        <f>IF(SER_hh_tesh_in!L32=0,0,SER_hh_tesh_in!L32/SER_summary!L$27)</f>
        <v>0</v>
      </c>
      <c r="M32" s="132">
        <f>IF(SER_hh_tesh_in!M32=0,0,SER_hh_tesh_in!M32/SER_summary!M$27)</f>
        <v>0</v>
      </c>
      <c r="N32" s="132">
        <f>IF(SER_hh_tesh_in!N32=0,0,SER_hh_tesh_in!N32/SER_summary!N$27)</f>
        <v>0</v>
      </c>
      <c r="O32" s="132">
        <f>IF(SER_hh_tesh_in!O32=0,0,SER_hh_tesh_in!O32/SER_summary!O$27)</f>
        <v>0</v>
      </c>
      <c r="P32" s="132">
        <f>IF(SER_hh_tesh_in!P32=0,0,SER_hh_tesh_in!P32/SER_summary!P$27)</f>
        <v>0</v>
      </c>
      <c r="Q32" s="132">
        <f>IF(SER_hh_tesh_in!Q32=0,0,SER_hh_tesh_in!Q32/SER_summary!Q$27)</f>
        <v>0</v>
      </c>
      <c r="R32" s="132">
        <f>IF(SER_hh_tesh_in!R32=0,0,SER_hh_tesh_in!R32/SER_summary!R$27)</f>
        <v>0</v>
      </c>
      <c r="S32" s="132">
        <f>IF(SER_hh_tesh_in!S32=0,0,SER_hh_tesh_in!S32/SER_summary!S$27)</f>
        <v>0</v>
      </c>
      <c r="T32" s="132">
        <f>IF(SER_hh_tesh_in!T32=0,0,SER_hh_tesh_in!T32/SER_summary!T$27)</f>
        <v>0</v>
      </c>
      <c r="U32" s="132">
        <f>IF(SER_hh_tesh_in!U32=0,0,SER_hh_tesh_in!U32/SER_summary!U$27)</f>
        <v>0</v>
      </c>
      <c r="V32" s="132">
        <f>IF(SER_hh_tesh_in!V32=0,0,SER_hh_tesh_in!V32/SER_summary!V$27)</f>
        <v>0</v>
      </c>
      <c r="W32" s="132">
        <f>IF(SER_hh_tesh_in!W32=0,0,SER_hh_tesh_in!W32/SER_summary!W$27)</f>
        <v>0</v>
      </c>
      <c r="X32" s="132">
        <f>IF(SER_hh_tesh_in!X32=0,0,SER_hh_tesh_in!X32/SER_summary!X$27)</f>
        <v>0</v>
      </c>
      <c r="Y32" s="132">
        <f>IF(SER_hh_tesh_in!Y32=0,0,SER_hh_tesh_in!Y32/SER_summary!Y$27)</f>
        <v>0</v>
      </c>
      <c r="DA32" s="156" t="s">
        <v>876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16.718270744791738</v>
      </c>
      <c r="D33" s="68">
        <f>IF(SER_hh_tesh_in!D33=0,0,SER_hh_tesh_in!D33/SER_summary!D$27)</f>
        <v>16.5866417001819</v>
      </c>
      <c r="E33" s="68">
        <f>IF(SER_hh_tesh_in!E33=0,0,SER_hh_tesh_in!E33/SER_summary!E$27)</f>
        <v>16.669866944196155</v>
      </c>
      <c r="F33" s="68">
        <f>IF(SER_hh_tesh_in!F33=0,0,SER_hh_tesh_in!F33/SER_summary!F$27)</f>
        <v>16.828008918786622</v>
      </c>
      <c r="G33" s="68">
        <f>IF(SER_hh_tesh_in!G33=0,0,SER_hh_tesh_in!G33/SER_summary!G$27)</f>
        <v>16.971078452206278</v>
      </c>
      <c r="H33" s="68">
        <f>IF(SER_hh_tesh_in!H33=0,0,SER_hh_tesh_in!H33/SER_summary!H$27)</f>
        <v>17.109394088465738</v>
      </c>
      <c r="I33" s="68">
        <f>IF(SER_hh_tesh_in!I33=0,0,SER_hh_tesh_in!I33/SER_summary!I$27)</f>
        <v>16.877003413425143</v>
      </c>
      <c r="J33" s="68">
        <f>IF(SER_hh_tesh_in!J33=0,0,SER_hh_tesh_in!J33/SER_summary!J$27)</f>
        <v>16.818871314999225</v>
      </c>
      <c r="K33" s="68">
        <f>IF(SER_hh_tesh_in!K33=0,0,SER_hh_tesh_in!K33/SER_summary!K$27)</f>
        <v>17.098099290484729</v>
      </c>
      <c r="L33" s="68">
        <f>IF(SER_hh_tesh_in!L33=0,0,SER_hh_tesh_in!L33/SER_summary!L$27)</f>
        <v>16.954451268554148</v>
      </c>
      <c r="M33" s="68">
        <f>IF(SER_hh_tesh_in!M33=0,0,SER_hh_tesh_in!M33/SER_summary!M$27)</f>
        <v>17.396926076337792</v>
      </c>
      <c r="N33" s="68">
        <f>IF(SER_hh_tesh_in!N33=0,0,SER_hh_tesh_in!N33/SER_summary!N$27)</f>
        <v>17.319122412183066</v>
      </c>
      <c r="O33" s="68">
        <f>IF(SER_hh_tesh_in!O33=0,0,SER_hh_tesh_in!O33/SER_summary!O$27)</f>
        <v>17.518743467996217</v>
      </c>
      <c r="P33" s="68">
        <f>IF(SER_hh_tesh_in!P33=0,0,SER_hh_tesh_in!P33/SER_summary!P$27)</f>
        <v>17.756575856577498</v>
      </c>
      <c r="Q33" s="68">
        <f>IF(SER_hh_tesh_in!Q33=0,0,SER_hh_tesh_in!Q33/SER_summary!Q$27)</f>
        <v>18.104963881097149</v>
      </c>
      <c r="R33" s="68">
        <f>IF(SER_hh_tesh_in!R33=0,0,SER_hh_tesh_in!R33/SER_summary!R$27)</f>
        <v>18.572675955989833</v>
      </c>
      <c r="S33" s="68">
        <f>IF(SER_hh_tesh_in!S33=0,0,SER_hh_tesh_in!S33/SER_summary!S$27)</f>
        <v>19.232438349871554</v>
      </c>
      <c r="T33" s="68">
        <f>IF(SER_hh_tesh_in!T33=0,0,SER_hh_tesh_in!T33/SER_summary!T$27)</f>
        <v>19.271335824115273</v>
      </c>
      <c r="U33" s="68">
        <f>IF(SER_hh_tesh_in!U33=0,0,SER_hh_tesh_in!U33/SER_summary!U$27)</f>
        <v>20.560516861202988</v>
      </c>
      <c r="V33" s="68">
        <f>IF(SER_hh_tesh_in!V33=0,0,SER_hh_tesh_in!V33/SER_summary!V$27)</f>
        <v>19.195658578532043</v>
      </c>
      <c r="W33" s="68">
        <f>IF(SER_hh_tesh_in!W33=0,0,SER_hh_tesh_in!W33/SER_summary!W$27)</f>
        <v>21.221943653173106</v>
      </c>
      <c r="X33" s="68">
        <f>IF(SER_hh_tesh_in!X33=0,0,SER_hh_tesh_in!X33/SER_summary!X$27)</f>
        <v>21.303764384714178</v>
      </c>
      <c r="Y33" s="68">
        <f>IF(SER_hh_tesh_in!Y33=0,0,SER_hh_tesh_in!Y33/SER_summary!Y$27)</f>
        <v>21.696363820091157</v>
      </c>
      <c r="DA33" s="111" t="s">
        <v>877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92</v>
      </c>
      <c r="B3" s="125"/>
      <c r="C3" s="125">
        <f>IF(SER_hh_emih_in!C3=0,0,SER_hh_emih_in!C3/SER_summary!C$27)</f>
        <v>5.9131221975503641</v>
      </c>
      <c r="D3" s="125">
        <f>IF(SER_hh_emih_in!D3=0,0,SER_hh_emih_in!D3/SER_summary!D$27)</f>
        <v>6.9423927706260411</v>
      </c>
      <c r="E3" s="125">
        <f>IF(SER_hh_emih_in!E3=0,0,SER_hh_emih_in!E3/SER_summary!E$27)</f>
        <v>8.125505478867014</v>
      </c>
      <c r="F3" s="125">
        <f>IF(SER_hh_emih_in!F3=0,0,SER_hh_emih_in!F3/SER_summary!F$27)</f>
        <v>8.1084054131731591</v>
      </c>
      <c r="G3" s="125">
        <f>IF(SER_hh_emih_in!G3=0,0,SER_hh_emih_in!G3/SER_summary!G$27)</f>
        <v>6.9005637510824496</v>
      </c>
      <c r="H3" s="125">
        <f>IF(SER_hh_emih_in!H3=0,0,SER_hh_emih_in!H3/SER_summary!H$27)</f>
        <v>4.6731446197120228</v>
      </c>
      <c r="I3" s="125">
        <f>IF(SER_hh_emih_in!I3=0,0,SER_hh_emih_in!I3/SER_summary!I$27)</f>
        <v>2.34429034445116</v>
      </c>
      <c r="J3" s="125">
        <f>IF(SER_hh_emih_in!J3=0,0,SER_hh_emih_in!J3/SER_summary!J$27)</f>
        <v>3.0456092067122991</v>
      </c>
      <c r="K3" s="125">
        <f>IF(SER_hh_emih_in!K3=0,0,SER_hh_emih_in!K3/SER_summary!K$27)</f>
        <v>8.1886646616185228</v>
      </c>
      <c r="L3" s="125">
        <f>IF(SER_hh_emih_in!L3=0,0,SER_hh_emih_in!L3/SER_summary!L$27)</f>
        <v>13.413676379452069</v>
      </c>
      <c r="M3" s="125">
        <f>IF(SER_hh_emih_in!M3=0,0,SER_hh_emih_in!M3/SER_summary!M$27)</f>
        <v>10.372660285832787</v>
      </c>
      <c r="N3" s="125">
        <f>IF(SER_hh_emih_in!N3=0,0,SER_hh_emih_in!N3/SER_summary!N$27)</f>
        <v>9.9068601452561538</v>
      </c>
      <c r="O3" s="125">
        <f>IF(SER_hh_emih_in!O3=0,0,SER_hh_emih_in!O3/SER_summary!O$27)</f>
        <v>7.0316277273314913</v>
      </c>
      <c r="P3" s="125">
        <f>IF(SER_hh_emih_in!P3=0,0,SER_hh_emih_in!P3/SER_summary!P$27)</f>
        <v>3.9594177988470376</v>
      </c>
      <c r="Q3" s="125">
        <f>IF(SER_hh_emih_in!Q3=0,0,SER_hh_emih_in!Q3/SER_summary!Q$27)</f>
        <v>4.2101464643750752</v>
      </c>
      <c r="R3" s="125">
        <f>IF(SER_hh_emih_in!R3=0,0,SER_hh_emih_in!R3/SER_summary!R$27)</f>
        <v>4.8807802327723637</v>
      </c>
      <c r="S3" s="125">
        <f>IF(SER_hh_emih_in!S3=0,0,SER_hh_emih_in!S3/SER_summary!S$27)</f>
        <v>4.1091661163827498</v>
      </c>
      <c r="T3" s="125">
        <f>IF(SER_hh_emih_in!T3=0,0,SER_hh_emih_in!T3/SER_summary!T$27)</f>
        <v>3.5786946024599144</v>
      </c>
      <c r="U3" s="125">
        <f>IF(SER_hh_emih_in!U3=0,0,SER_hh_emih_in!U3/SER_summary!U$27)</f>
        <v>4.0606863301197773</v>
      </c>
      <c r="V3" s="125">
        <f>IF(SER_hh_emih_in!V3=0,0,SER_hh_emih_in!V3/SER_summary!V$27)</f>
        <v>3.3251043963580411</v>
      </c>
      <c r="W3" s="125">
        <f>IF(SER_hh_emih_in!W3=0,0,SER_hh_emih_in!W3/SER_summary!W$27)</f>
        <v>3.3278528288754332</v>
      </c>
      <c r="X3" s="125">
        <f>IF(SER_hh_emih_in!X3=0,0,SER_hh_emih_in!X3/SER_summary!X$27)</f>
        <v>2.6024526982479572</v>
      </c>
      <c r="Y3" s="125">
        <f>IF(SER_hh_emih_in!Y3=0,0,SER_hh_emih_in!Y3/SER_summary!Y$27)</f>
        <v>2.4441137041914676</v>
      </c>
      <c r="DA3" s="154" t="s">
        <v>879</v>
      </c>
    </row>
    <row r="4" spans="1:105" ht="12.95" customHeight="1" x14ac:dyDescent="0.25">
      <c r="A4" s="129" t="s">
        <v>32</v>
      </c>
      <c r="B4" s="130"/>
      <c r="C4" s="130">
        <f>IF(SER_hh_emih_in!C4=0,0,SER_hh_emih_in!C4/SER_summary!C$27)</f>
        <v>4.9941946502090282</v>
      </c>
      <c r="D4" s="130">
        <f>IF(SER_hh_emih_in!D4=0,0,SER_hh_emih_in!D4/SER_summary!D$27)</f>
        <v>5.915217801127918</v>
      </c>
      <c r="E4" s="130">
        <f>IF(SER_hh_emih_in!E4=0,0,SER_hh_emih_in!E4/SER_summary!E$27)</f>
        <v>7.1858076289664981</v>
      </c>
      <c r="F4" s="130">
        <f>IF(SER_hh_emih_in!F4=0,0,SER_hh_emih_in!F4/SER_summary!F$27)</f>
        <v>7.2839996790943164</v>
      </c>
      <c r="G4" s="130">
        <f>IF(SER_hh_emih_in!G4=0,0,SER_hh_emih_in!G4/SER_summary!G$27)</f>
        <v>6.124660632652958</v>
      </c>
      <c r="H4" s="130">
        <f>IF(SER_hh_emih_in!H4=0,0,SER_hh_emih_in!H4/SER_summary!H$27)</f>
        <v>3.8914652488789554</v>
      </c>
      <c r="I4" s="130">
        <f>IF(SER_hh_emih_in!I4=0,0,SER_hh_emih_in!I4/SER_summary!I$27)</f>
        <v>1.5992503067629145</v>
      </c>
      <c r="J4" s="130">
        <f>IF(SER_hh_emih_in!J4=0,0,SER_hh_emih_in!J4/SER_summary!J$27)</f>
        <v>2.2105520658212283</v>
      </c>
      <c r="K4" s="130">
        <f>IF(SER_hh_emih_in!K4=0,0,SER_hh_emih_in!K4/SER_summary!K$27)</f>
        <v>7.3376949594462308</v>
      </c>
      <c r="L4" s="130">
        <f>IF(SER_hh_emih_in!L4=0,0,SER_hh_emih_in!L4/SER_summary!L$27)</f>
        <v>12.470466457929122</v>
      </c>
      <c r="M4" s="130">
        <f>IF(SER_hh_emih_in!M4=0,0,SER_hh_emih_in!M4/SER_summary!M$27)</f>
        <v>9.5986739874575857</v>
      </c>
      <c r="N4" s="130">
        <f>IF(SER_hh_emih_in!N4=0,0,SER_hh_emih_in!N4/SER_summary!N$27)</f>
        <v>9.2640779740423724</v>
      </c>
      <c r="O4" s="130">
        <f>IF(SER_hh_emih_in!O4=0,0,SER_hh_emih_in!O4/SER_summary!O$27)</f>
        <v>6.4719937109395591</v>
      </c>
      <c r="P4" s="130">
        <f>IF(SER_hh_emih_in!P4=0,0,SER_hh_emih_in!P4/SER_summary!P$27)</f>
        <v>3.6680012789477305</v>
      </c>
      <c r="Q4" s="130">
        <f>IF(SER_hh_emih_in!Q4=0,0,SER_hh_emih_in!Q4/SER_summary!Q$27)</f>
        <v>3.8450788463580703</v>
      </c>
      <c r="R4" s="130">
        <f>IF(SER_hh_emih_in!R4=0,0,SER_hh_emih_in!R4/SER_summary!R$27)</f>
        <v>4.5582002785926754</v>
      </c>
      <c r="S4" s="130">
        <f>IF(SER_hh_emih_in!S4=0,0,SER_hh_emih_in!S4/SER_summary!S$27)</f>
        <v>3.9802417937654617</v>
      </c>
      <c r="T4" s="130">
        <f>IF(SER_hh_emih_in!T4=0,0,SER_hh_emih_in!T4/SER_summary!T$27)</f>
        <v>3.4934405223318952</v>
      </c>
      <c r="U4" s="130">
        <f>IF(SER_hh_emih_in!U4=0,0,SER_hh_emih_in!U4/SER_summary!U$27)</f>
        <v>3.8225551876918673</v>
      </c>
      <c r="V4" s="130">
        <f>IF(SER_hh_emih_in!V4=0,0,SER_hh_emih_in!V4/SER_summary!V$27)</f>
        <v>2.9809874833970782</v>
      </c>
      <c r="W4" s="130">
        <f>IF(SER_hh_emih_in!W4=0,0,SER_hh_emih_in!W4/SER_summary!W$27)</f>
        <v>2.9301054828319573</v>
      </c>
      <c r="X4" s="130">
        <f>IF(SER_hh_emih_in!X4=0,0,SER_hh_emih_in!X4/SER_summary!X$27)</f>
        <v>2.3053127189890419</v>
      </c>
      <c r="Y4" s="130">
        <f>IF(SER_hh_emih_in!Y4=0,0,SER_hh_emih_in!Y4/SER_summary!Y$27)</f>
        <v>2.2862011112347131</v>
      </c>
      <c r="DA4" s="155" t="s">
        <v>880</v>
      </c>
    </row>
    <row r="5" spans="1:105" ht="12" customHeight="1" x14ac:dyDescent="0.25">
      <c r="A5" s="131" t="s">
        <v>29</v>
      </c>
      <c r="B5" s="132"/>
      <c r="C5" s="132">
        <f>IF(SER_hh_emih_in!C5=0,0,SER_hh_emih_in!C5/SER_summary!C$27)</f>
        <v>85.411048444523345</v>
      </c>
      <c r="D5" s="132">
        <f>IF(SER_hh_emih_in!D5=0,0,SER_hh_emih_in!D5/SER_summary!D$27)</f>
        <v>85.69472048039276</v>
      </c>
      <c r="E5" s="132">
        <f>IF(SER_hh_emih_in!E5=0,0,SER_hh_emih_in!E5/SER_summary!E$27)</f>
        <v>85.899881367415162</v>
      </c>
      <c r="F5" s="132">
        <f>IF(SER_hh_emih_in!F5=0,0,SER_hh_emih_in!F5/SER_summary!F$27)</f>
        <v>81.01405866388049</v>
      </c>
      <c r="G5" s="132">
        <f>IF(SER_hh_emih_in!G5=0,0,SER_hh_emih_in!G5/SER_summary!G$27)</f>
        <v>78.434797119085786</v>
      </c>
      <c r="H5" s="132">
        <f>IF(SER_hh_emih_in!H5=0,0,SER_hh_emih_in!H5/SER_summary!H$27)</f>
        <v>81.169411010783477</v>
      </c>
      <c r="I5" s="132">
        <f>IF(SER_hh_emih_in!I5=0,0,SER_hh_emih_in!I5/SER_summary!I$27)</f>
        <v>66.92259375449639</v>
      </c>
      <c r="J5" s="132">
        <f>IF(SER_hh_emih_in!J5=0,0,SER_hh_emih_in!J5/SER_summary!J$27)</f>
        <v>79.017082698098349</v>
      </c>
      <c r="K5" s="132">
        <f>IF(SER_hh_emih_in!K5=0,0,SER_hh_emih_in!K5/SER_summary!K$27)</f>
        <v>84.374293675987758</v>
      </c>
      <c r="L5" s="132">
        <f>IF(SER_hh_emih_in!L5=0,0,SER_hh_emih_in!L5/SER_summary!L$27)</f>
        <v>88.961109091828391</v>
      </c>
      <c r="M5" s="132">
        <f>IF(SER_hh_emih_in!M5=0,0,SER_hh_emih_in!M5/SER_summary!M$27)</f>
        <v>70.533955857568699</v>
      </c>
      <c r="N5" s="132">
        <f>IF(SER_hh_emih_in!N5=0,0,SER_hh_emih_in!N5/SER_summary!N$27)</f>
        <v>79.150078174007575</v>
      </c>
      <c r="O5" s="132">
        <f>IF(SER_hh_emih_in!O5=0,0,SER_hh_emih_in!O5/SER_summary!O$27)</f>
        <v>69.595979021620053</v>
      </c>
      <c r="P5" s="132">
        <f>IF(SER_hh_emih_in!P5=0,0,SER_hh_emih_in!P5/SER_summary!P$27)</f>
        <v>68.143125458714096</v>
      </c>
      <c r="Q5" s="132">
        <f>IF(SER_hh_emih_in!Q5=0,0,SER_hh_emih_in!Q5/SER_summary!Q$27)</f>
        <v>58.392576467463996</v>
      </c>
      <c r="R5" s="132">
        <f>IF(SER_hh_emih_in!R5=0,0,SER_hh_emih_in!R5/SER_summary!R$27)</f>
        <v>60.004874448856107</v>
      </c>
      <c r="S5" s="132">
        <f>IF(SER_hh_emih_in!S5=0,0,SER_hh_emih_in!S5/SER_summary!S$27)</f>
        <v>55.00539021148353</v>
      </c>
      <c r="T5" s="132">
        <f>IF(SER_hh_emih_in!T5=0,0,SER_hh_emih_in!T5/SER_summary!T$27)</f>
        <v>51.283675007012654</v>
      </c>
      <c r="U5" s="132">
        <f>IF(SER_hh_emih_in!U5=0,0,SER_hh_emih_in!U5/SER_summary!U$27)</f>
        <v>47.825232083514074</v>
      </c>
      <c r="V5" s="132">
        <f>IF(SER_hh_emih_in!V5=0,0,SER_hh_emih_in!V5/SER_summary!V$27)</f>
        <v>39.004671567091378</v>
      </c>
      <c r="W5" s="132">
        <f>IF(SER_hh_emih_in!W5=0,0,SER_hh_emih_in!W5/SER_summary!W$27)</f>
        <v>33.907029955400205</v>
      </c>
      <c r="X5" s="132">
        <f>IF(SER_hh_emih_in!X5=0,0,SER_hh_emih_in!X5/SER_summary!X$27)</f>
        <v>28.913663551134157</v>
      </c>
      <c r="Y5" s="132">
        <f>IF(SER_hh_emih_in!Y5=0,0,SER_hh_emih_in!Y5/SER_summary!Y$27)</f>
        <v>28.320417591938792</v>
      </c>
      <c r="DA5" s="156" t="s">
        <v>881</v>
      </c>
    </row>
    <row r="6" spans="1:105" ht="12" customHeight="1" x14ac:dyDescent="0.25">
      <c r="A6" s="131" t="s">
        <v>52</v>
      </c>
      <c r="B6" s="132"/>
      <c r="C6" s="132">
        <f>IF(SER_hh_emih_in!C6=0,0,SER_hh_emih_in!C6/SER_summary!C$27)</f>
        <v>0</v>
      </c>
      <c r="D6" s="132">
        <f>IF(SER_hh_emih_in!D6=0,0,SER_hh_emih_in!D6/SER_summary!D$27)</f>
        <v>0</v>
      </c>
      <c r="E6" s="132">
        <f>IF(SER_hh_emih_in!E6=0,0,SER_hh_emih_in!E6/SER_summary!E$27)</f>
        <v>0</v>
      </c>
      <c r="F6" s="132">
        <f>IF(SER_hh_emih_in!F6=0,0,SER_hh_emih_in!F6/SER_summary!F$27)</f>
        <v>0</v>
      </c>
      <c r="G6" s="132">
        <f>IF(SER_hh_emih_in!G6=0,0,SER_hh_emih_in!G6/SER_summary!G$27)</f>
        <v>0</v>
      </c>
      <c r="H6" s="132">
        <f>IF(SER_hh_emih_in!H6=0,0,SER_hh_emih_in!H6/SER_summary!H$27)</f>
        <v>0</v>
      </c>
      <c r="I6" s="132">
        <f>IF(SER_hh_emih_in!I6=0,0,SER_hh_emih_in!I6/SER_summary!I$27)</f>
        <v>0</v>
      </c>
      <c r="J6" s="132">
        <f>IF(SER_hh_emih_in!J6=0,0,SER_hh_emih_in!J6/SER_summary!J$27)</f>
        <v>0</v>
      </c>
      <c r="K6" s="132">
        <f>IF(SER_hh_emih_in!K6=0,0,SER_hh_emih_in!K6/SER_summary!K$27)</f>
        <v>0</v>
      </c>
      <c r="L6" s="132">
        <f>IF(SER_hh_emih_in!L6=0,0,SER_hh_emih_in!L6/SER_summary!L$27)</f>
        <v>0</v>
      </c>
      <c r="M6" s="132">
        <f>IF(SER_hh_emih_in!M6=0,0,SER_hh_emih_in!M6/SER_summary!M$27)</f>
        <v>0</v>
      </c>
      <c r="N6" s="132">
        <f>IF(SER_hh_emih_in!N6=0,0,SER_hh_emih_in!N6/SER_summary!N$27)</f>
        <v>0</v>
      </c>
      <c r="O6" s="132">
        <f>IF(SER_hh_emih_in!O6=0,0,SER_hh_emih_in!O6/SER_summary!O$27)</f>
        <v>0</v>
      </c>
      <c r="P6" s="132">
        <f>IF(SER_hh_emih_in!P6=0,0,SER_hh_emih_in!P6/SER_summary!P$27)</f>
        <v>0</v>
      </c>
      <c r="Q6" s="132">
        <f>IF(SER_hh_emih_in!Q6=0,0,SER_hh_emih_in!Q6/SER_summary!Q$27)</f>
        <v>0</v>
      </c>
      <c r="R6" s="132">
        <f>IF(SER_hh_emih_in!R6=0,0,SER_hh_emih_in!R6/SER_summary!R$27)</f>
        <v>0</v>
      </c>
      <c r="S6" s="132">
        <f>IF(SER_hh_emih_in!S6=0,0,SER_hh_emih_in!S6/SER_summary!S$27)</f>
        <v>0</v>
      </c>
      <c r="T6" s="132">
        <f>IF(SER_hh_emih_in!T6=0,0,SER_hh_emih_in!T6/SER_summary!T$27)</f>
        <v>0</v>
      </c>
      <c r="U6" s="132">
        <f>IF(SER_hh_emih_in!U6=0,0,SER_hh_emih_in!U6/SER_summary!U$27)</f>
        <v>0</v>
      </c>
      <c r="V6" s="132">
        <f>IF(SER_hh_emih_in!V6=0,0,SER_hh_emih_in!V6/SER_summary!V$27)</f>
        <v>0</v>
      </c>
      <c r="W6" s="132">
        <f>IF(SER_hh_emih_in!W6=0,0,SER_hh_emih_in!W6/SER_summary!W$27)</f>
        <v>0</v>
      </c>
      <c r="X6" s="132">
        <f>IF(SER_hh_emih_in!X6=0,0,SER_hh_emih_in!X6/SER_summary!X$27)</f>
        <v>0</v>
      </c>
      <c r="Y6" s="132">
        <f>IF(SER_hh_emih_in!Y6=0,0,SER_hh_emih_in!Y6/SER_summary!Y$27)</f>
        <v>0</v>
      </c>
      <c r="DA6" s="156" t="s">
        <v>882</v>
      </c>
    </row>
    <row r="7" spans="1:105" ht="12" customHeight="1" x14ac:dyDescent="0.25">
      <c r="A7" s="131" t="s">
        <v>161</v>
      </c>
      <c r="B7" s="132"/>
      <c r="C7" s="132">
        <f>IF(SER_hh_emih_in!C7=0,0,SER_hh_emih_in!C7/SER_summary!C$27)</f>
        <v>72.374174896031874</v>
      </c>
      <c r="D7" s="132">
        <f>IF(SER_hh_emih_in!D7=0,0,SER_hh_emih_in!D7/SER_summary!D$27)</f>
        <v>72.129873206057894</v>
      </c>
      <c r="E7" s="132">
        <f>IF(SER_hh_emih_in!E7=0,0,SER_hh_emih_in!E7/SER_summary!E$27)</f>
        <v>71.438198841557892</v>
      </c>
      <c r="F7" s="132">
        <f>IF(SER_hh_emih_in!F7=0,0,SER_hh_emih_in!F7/SER_summary!F$27)</f>
        <v>69.099153661025028</v>
      </c>
      <c r="G7" s="132">
        <f>IF(SER_hh_emih_in!G7=0,0,SER_hh_emih_in!G7/SER_summary!G$27)</f>
        <v>65.925156560441565</v>
      </c>
      <c r="H7" s="132">
        <f>IF(SER_hh_emih_in!H7=0,0,SER_hh_emih_in!H7/SER_summary!H$27)</f>
        <v>67.079303895660942</v>
      </c>
      <c r="I7" s="132">
        <f>IF(SER_hh_emih_in!I7=0,0,SER_hh_emih_in!I7/SER_summary!I$27)</f>
        <v>67.593211694097846</v>
      </c>
      <c r="J7" s="132">
        <f>IF(SER_hh_emih_in!J7=0,0,SER_hh_emih_in!J7/SER_summary!J$27)</f>
        <v>57.767162187550426</v>
      </c>
      <c r="K7" s="132">
        <f>IF(SER_hh_emih_in!K7=0,0,SER_hh_emih_in!K7/SER_summary!K$27)</f>
        <v>63.862466011357142</v>
      </c>
      <c r="L7" s="132">
        <f>IF(SER_hh_emih_in!L7=0,0,SER_hh_emih_in!L7/SER_summary!L$27)</f>
        <v>71.966162032454903</v>
      </c>
      <c r="M7" s="132">
        <f>IF(SER_hh_emih_in!M7=0,0,SER_hh_emih_in!M7/SER_summary!M$27)</f>
        <v>56.871717426333284</v>
      </c>
      <c r="N7" s="132">
        <f>IF(SER_hh_emih_in!N7=0,0,SER_hh_emih_in!N7/SER_summary!N$27)</f>
        <v>59.649134177742269</v>
      </c>
      <c r="O7" s="132">
        <f>IF(SER_hh_emih_in!O7=0,0,SER_hh_emih_in!O7/SER_summary!O$27)</f>
        <v>50.485857666383289</v>
      </c>
      <c r="P7" s="132">
        <f>IF(SER_hh_emih_in!P7=0,0,SER_hh_emih_in!P7/SER_summary!P$27)</f>
        <v>46.081387439924896</v>
      </c>
      <c r="Q7" s="132">
        <f>IF(SER_hh_emih_in!Q7=0,0,SER_hh_emih_in!Q7/SER_summary!Q$27)</f>
        <v>38.559842521193154</v>
      </c>
      <c r="R7" s="132">
        <f>IF(SER_hh_emih_in!R7=0,0,SER_hh_emih_in!R7/SER_summary!R$27)</f>
        <v>39.765162263784347</v>
      </c>
      <c r="S7" s="132">
        <f>IF(SER_hh_emih_in!S7=0,0,SER_hh_emih_in!S7/SER_summary!S$27)</f>
        <v>36.938667609350006</v>
      </c>
      <c r="T7" s="132">
        <f>IF(SER_hh_emih_in!T7=0,0,SER_hh_emih_in!T7/SER_summary!T$27)</f>
        <v>34.630971371801017</v>
      </c>
      <c r="U7" s="132">
        <f>IF(SER_hh_emih_in!U7=0,0,SER_hh_emih_in!U7/SER_summary!U$27)</f>
        <v>31.562899741883371</v>
      </c>
      <c r="V7" s="132">
        <f>IF(SER_hh_emih_in!V7=0,0,SER_hh_emih_in!V7/SER_summary!V$27)</f>
        <v>25.87878629582098</v>
      </c>
      <c r="W7" s="132">
        <f>IF(SER_hh_emih_in!W7=0,0,SER_hh_emih_in!W7/SER_summary!W$27)</f>
        <v>23.723720664515575</v>
      </c>
      <c r="X7" s="132">
        <f>IF(SER_hh_emih_in!X7=0,0,SER_hh_emih_in!X7/SER_summary!X$27)</f>
        <v>19.372941748092011</v>
      </c>
      <c r="Y7" s="132">
        <f>IF(SER_hh_emih_in!Y7=0,0,SER_hh_emih_in!Y7/SER_summary!Y$27)</f>
        <v>19.483268498100315</v>
      </c>
      <c r="DA7" s="156" t="s">
        <v>883</v>
      </c>
    </row>
    <row r="8" spans="1:105" ht="12" customHeight="1" x14ac:dyDescent="0.25">
      <c r="A8" s="131" t="s">
        <v>73</v>
      </c>
      <c r="B8" s="132"/>
      <c r="C8" s="132">
        <f>IF(SER_hh_emih_in!C8=0,0,SER_hh_emih_in!C8/SER_summary!C$27)</f>
        <v>0</v>
      </c>
      <c r="D8" s="132">
        <f>IF(SER_hh_emih_in!D8=0,0,SER_hh_emih_in!D8/SER_summary!D$27)</f>
        <v>0</v>
      </c>
      <c r="E8" s="132">
        <f>IF(SER_hh_emih_in!E8=0,0,SER_hh_emih_in!E8/SER_summary!E$27)</f>
        <v>0</v>
      </c>
      <c r="F8" s="132">
        <f>IF(SER_hh_emih_in!F8=0,0,SER_hh_emih_in!F8/SER_summary!F$27)</f>
        <v>0</v>
      </c>
      <c r="G8" s="132">
        <f>IF(SER_hh_emih_in!G8=0,0,SER_hh_emih_in!G8/SER_summary!G$27)</f>
        <v>0</v>
      </c>
      <c r="H8" s="132">
        <f>IF(SER_hh_emih_in!H8=0,0,SER_hh_emih_in!H8/SER_summary!H$27)</f>
        <v>0</v>
      </c>
      <c r="I8" s="132">
        <f>IF(SER_hh_emih_in!I8=0,0,SER_hh_emih_in!I8/SER_summary!I$27)</f>
        <v>0</v>
      </c>
      <c r="J8" s="132">
        <f>IF(SER_hh_emih_in!J8=0,0,SER_hh_emih_in!J8/SER_summary!J$27)</f>
        <v>0</v>
      </c>
      <c r="K8" s="132">
        <f>IF(SER_hh_emih_in!K8=0,0,SER_hh_emih_in!K8/SER_summary!K$27)</f>
        <v>0</v>
      </c>
      <c r="L8" s="132">
        <f>IF(SER_hh_emih_in!L8=0,0,SER_hh_emih_in!L8/SER_summary!L$27)</f>
        <v>0</v>
      </c>
      <c r="M8" s="132">
        <f>IF(SER_hh_emih_in!M8=0,0,SER_hh_emih_in!M8/SER_summary!M$27)</f>
        <v>0</v>
      </c>
      <c r="N8" s="132">
        <f>IF(SER_hh_emih_in!N8=0,0,SER_hh_emih_in!N8/SER_summary!N$27)</f>
        <v>0</v>
      </c>
      <c r="O8" s="132">
        <f>IF(SER_hh_emih_in!O8=0,0,SER_hh_emih_in!O8/SER_summary!O$27)</f>
        <v>0</v>
      </c>
      <c r="P8" s="132">
        <f>IF(SER_hh_emih_in!P8=0,0,SER_hh_emih_in!P8/SER_summary!P$27)</f>
        <v>0</v>
      </c>
      <c r="Q8" s="132">
        <f>IF(SER_hh_emih_in!Q8=0,0,SER_hh_emih_in!Q8/SER_summary!Q$27)</f>
        <v>0</v>
      </c>
      <c r="R8" s="132">
        <f>IF(SER_hh_emih_in!R8=0,0,SER_hh_emih_in!R8/SER_summary!R$27)</f>
        <v>0</v>
      </c>
      <c r="S8" s="132">
        <f>IF(SER_hh_emih_in!S8=0,0,SER_hh_emih_in!S8/SER_summary!S$27)</f>
        <v>0</v>
      </c>
      <c r="T8" s="132">
        <f>IF(SER_hh_emih_in!T8=0,0,SER_hh_emih_in!T8/SER_summary!T$27)</f>
        <v>0</v>
      </c>
      <c r="U8" s="132">
        <f>IF(SER_hh_emih_in!U8=0,0,SER_hh_emih_in!U8/SER_summary!U$27)</f>
        <v>0</v>
      </c>
      <c r="V8" s="132">
        <f>IF(SER_hh_emih_in!V8=0,0,SER_hh_emih_in!V8/SER_summary!V$27)</f>
        <v>0</v>
      </c>
      <c r="W8" s="132">
        <f>IF(SER_hh_emih_in!W8=0,0,SER_hh_emih_in!W8/SER_summary!W$27)</f>
        <v>0</v>
      </c>
      <c r="X8" s="132">
        <f>IF(SER_hh_emih_in!X8=0,0,SER_hh_emih_in!X8/SER_summary!X$27)</f>
        <v>0</v>
      </c>
      <c r="Y8" s="132">
        <f>IF(SER_hh_emih_in!Y8=0,0,SER_hh_emih_in!Y8/SER_summary!Y$27)</f>
        <v>0</v>
      </c>
      <c r="DA8" s="156" t="s">
        <v>884</v>
      </c>
    </row>
    <row r="9" spans="1:105" ht="12" customHeight="1" x14ac:dyDescent="0.25">
      <c r="A9" s="131" t="s">
        <v>78</v>
      </c>
      <c r="B9" s="132"/>
      <c r="C9" s="132">
        <f>IF(SER_hh_emih_in!C9=0,0,SER_hh_emih_in!C9/SER_summary!C$27)</f>
        <v>38.273131984074809</v>
      </c>
      <c r="D9" s="132">
        <f>IF(SER_hh_emih_in!D9=0,0,SER_hh_emih_in!D9/SER_summary!D$27)</f>
        <v>40.265432706105642</v>
      </c>
      <c r="E9" s="132">
        <f>IF(SER_hh_emih_in!E9=0,0,SER_hh_emih_in!E9/SER_summary!E$27)</f>
        <v>36.996379979851483</v>
      </c>
      <c r="F9" s="132">
        <f>IF(SER_hh_emih_in!F9=0,0,SER_hh_emih_in!F9/SER_summary!F$27)</f>
        <v>36.262628724289677</v>
      </c>
      <c r="G9" s="132">
        <f>IF(SER_hh_emih_in!G9=0,0,SER_hh_emih_in!G9/SER_summary!G$27)</f>
        <v>35.425083630179614</v>
      </c>
      <c r="H9" s="132">
        <f>IF(SER_hh_emih_in!H9=0,0,SER_hh_emih_in!H9/SER_summary!H$27)</f>
        <v>34.127543881788228</v>
      </c>
      <c r="I9" s="132">
        <f>IF(SER_hh_emih_in!I9=0,0,SER_hh_emih_in!I9/SER_summary!I$27)</f>
        <v>33.512869004665212</v>
      </c>
      <c r="J9" s="132">
        <f>IF(SER_hh_emih_in!J9=0,0,SER_hh_emih_in!J9/SER_summary!J$27)</f>
        <v>32.856113122694687</v>
      </c>
      <c r="K9" s="132">
        <f>IF(SER_hh_emih_in!K9=0,0,SER_hh_emih_in!K9/SER_summary!K$27)</f>
        <v>32.316517324180552</v>
      </c>
      <c r="L9" s="132">
        <f>IF(SER_hh_emih_in!L9=0,0,SER_hh_emih_in!L9/SER_summary!L$27)</f>
        <v>34.974263098697342</v>
      </c>
      <c r="M9" s="132">
        <f>IF(SER_hh_emih_in!M9=0,0,SER_hh_emih_in!M9/SER_summary!M$27)</f>
        <v>43.544841027293131</v>
      </c>
      <c r="N9" s="132">
        <f>IF(SER_hh_emih_in!N9=0,0,SER_hh_emih_in!N9/SER_summary!N$27)</f>
        <v>37.467630324296721</v>
      </c>
      <c r="O9" s="132">
        <f>IF(SER_hh_emih_in!O9=0,0,SER_hh_emih_in!O9/SER_summary!O$27)</f>
        <v>32.807733166410621</v>
      </c>
      <c r="P9" s="132">
        <f>IF(SER_hh_emih_in!P9=0,0,SER_hh_emih_in!P9/SER_summary!P$27)</f>
        <v>23.933980674762974</v>
      </c>
      <c r="Q9" s="132">
        <f>IF(SER_hh_emih_in!Q9=0,0,SER_hh_emih_in!Q9/SER_summary!Q$27)</f>
        <v>20.017271542217426</v>
      </c>
      <c r="R9" s="132">
        <f>IF(SER_hh_emih_in!R9=0,0,SER_hh_emih_in!R9/SER_summary!R$27)</f>
        <v>18.713760153959317</v>
      </c>
      <c r="S9" s="132">
        <f>IF(SER_hh_emih_in!S9=0,0,SER_hh_emih_in!S9/SER_summary!S$27)</f>
        <v>17.534202349004879</v>
      </c>
      <c r="T9" s="132">
        <f>IF(SER_hh_emih_in!T9=0,0,SER_hh_emih_in!T9/SER_summary!T$27)</f>
        <v>14.850499581226716</v>
      </c>
      <c r="U9" s="132">
        <f>IF(SER_hh_emih_in!U9=0,0,SER_hh_emih_in!U9/SER_summary!U$27)</f>
        <v>14.269198490760703</v>
      </c>
      <c r="V9" s="132">
        <f>IF(SER_hh_emih_in!V9=0,0,SER_hh_emih_in!V9/SER_summary!V$27)</f>
        <v>11.2268424677706</v>
      </c>
      <c r="W9" s="132">
        <f>IF(SER_hh_emih_in!W9=0,0,SER_hh_emih_in!W9/SER_summary!W$27)</f>
        <v>11.310328038926968</v>
      </c>
      <c r="X9" s="132">
        <f>IF(SER_hh_emih_in!X9=0,0,SER_hh_emih_in!X9/SER_summary!X$27)</f>
        <v>8.5296689333301039</v>
      </c>
      <c r="Y9" s="132">
        <f>IF(SER_hh_emih_in!Y9=0,0,SER_hh_emih_in!Y9/SER_summary!Y$27)</f>
        <v>0</v>
      </c>
      <c r="DA9" s="156" t="s">
        <v>885</v>
      </c>
    </row>
    <row r="10" spans="1:105" ht="12" customHeight="1" x14ac:dyDescent="0.25">
      <c r="A10" s="131" t="s">
        <v>128</v>
      </c>
      <c r="B10" s="132"/>
      <c r="C10" s="132">
        <f>IF(SER_hh_emih_in!C10=0,0,SER_hh_emih_in!C10/SER_summary!C$27)</f>
        <v>0</v>
      </c>
      <c r="D10" s="132">
        <f>IF(SER_hh_emih_in!D10=0,0,SER_hh_emih_in!D10/SER_summary!D$27)</f>
        <v>0</v>
      </c>
      <c r="E10" s="132">
        <f>IF(SER_hh_emih_in!E10=0,0,SER_hh_emih_in!E10/SER_summary!E$27)</f>
        <v>0</v>
      </c>
      <c r="F10" s="132">
        <f>IF(SER_hh_emih_in!F10=0,0,SER_hh_emih_in!F10/SER_summary!F$27)</f>
        <v>0</v>
      </c>
      <c r="G10" s="132">
        <f>IF(SER_hh_emih_in!G10=0,0,SER_hh_emih_in!G10/SER_summary!G$27)</f>
        <v>0</v>
      </c>
      <c r="H10" s="132">
        <f>IF(SER_hh_emih_in!H10=0,0,SER_hh_emih_in!H10/SER_summary!H$27)</f>
        <v>0</v>
      </c>
      <c r="I10" s="132">
        <f>IF(SER_hh_emih_in!I10=0,0,SER_hh_emih_in!I10/SER_summary!I$27)</f>
        <v>0</v>
      </c>
      <c r="J10" s="132">
        <f>IF(SER_hh_emih_in!J10=0,0,SER_hh_emih_in!J10/SER_summary!J$27)</f>
        <v>6.2448644607376282</v>
      </c>
      <c r="K10" s="132">
        <f>IF(SER_hh_emih_in!K10=0,0,SER_hh_emih_in!K10/SER_summary!K$27)</f>
        <v>2.2837893338599566</v>
      </c>
      <c r="L10" s="132">
        <f>IF(SER_hh_emih_in!L10=0,0,SER_hh_emih_in!L10/SER_summary!L$27)</f>
        <v>2.7959533795251259</v>
      </c>
      <c r="M10" s="132">
        <f>IF(SER_hh_emih_in!M10=0,0,SER_hh_emih_in!M10/SER_summary!M$27)</f>
        <v>2.9728238693937952</v>
      </c>
      <c r="N10" s="132">
        <f>IF(SER_hh_emih_in!N10=0,0,SER_hh_emih_in!N10/SER_summary!N$27)</f>
        <v>2.2199685820973816</v>
      </c>
      <c r="O10" s="132">
        <f>IF(SER_hh_emih_in!O10=0,0,SER_hh_emih_in!O10/SER_summary!O$27)</f>
        <v>0.63835621713405322</v>
      </c>
      <c r="P10" s="132">
        <f>IF(SER_hh_emih_in!P10=0,0,SER_hh_emih_in!P10/SER_summary!P$27)</f>
        <v>1.3972768618817348</v>
      </c>
      <c r="Q10" s="132">
        <f>IF(SER_hh_emih_in!Q10=0,0,SER_hh_emih_in!Q10/SER_summary!Q$27)</f>
        <v>1.3796263924574794</v>
      </c>
      <c r="R10" s="132">
        <f>IF(SER_hh_emih_in!R10=0,0,SER_hh_emih_in!R10/SER_summary!R$27)</f>
        <v>1.4532600735662755</v>
      </c>
      <c r="S10" s="132">
        <f>IF(SER_hh_emih_in!S10=0,0,SER_hh_emih_in!S10/SER_summary!S$27)</f>
        <v>1.2535872586444716</v>
      </c>
      <c r="T10" s="132">
        <f>IF(SER_hh_emih_in!T10=0,0,SER_hh_emih_in!T10/SER_summary!T$27)</f>
        <v>1.416871162946</v>
      </c>
      <c r="U10" s="132">
        <f>IF(SER_hh_emih_in!U10=0,0,SER_hh_emih_in!U10/SER_summary!U$27)</f>
        <v>0.94804131048545326</v>
      </c>
      <c r="V10" s="132">
        <f>IF(SER_hh_emih_in!V10=0,0,SER_hh_emih_in!V10/SER_summary!V$27)</f>
        <v>1.0481078238906163</v>
      </c>
      <c r="W10" s="132">
        <f>IF(SER_hh_emih_in!W10=0,0,SER_hh_emih_in!W10/SER_summary!W$27)</f>
        <v>1.0129062159376736</v>
      </c>
      <c r="X10" s="132">
        <f>IF(SER_hh_emih_in!X10=0,0,SER_hh_emih_in!X10/SER_summary!X$27)</f>
        <v>6.1844588150436266</v>
      </c>
      <c r="Y10" s="132">
        <f>IF(SER_hh_emih_in!Y10=0,0,SER_hh_emih_in!Y10/SER_summary!Y$27)</f>
        <v>0.67381770386485618</v>
      </c>
      <c r="DA10" s="156" t="s">
        <v>886</v>
      </c>
    </row>
    <row r="11" spans="1:105" ht="12" customHeight="1" x14ac:dyDescent="0.25">
      <c r="A11" s="131" t="s">
        <v>25</v>
      </c>
      <c r="B11" s="132"/>
      <c r="C11" s="132">
        <f>IF(SER_hh_emih_in!C11=0,0,SER_hh_emih_in!C11/SER_summary!C$27)</f>
        <v>0</v>
      </c>
      <c r="D11" s="132">
        <f>IF(SER_hh_emih_in!D11=0,0,SER_hh_emih_in!D11/SER_summary!D$27)</f>
        <v>0</v>
      </c>
      <c r="E11" s="132">
        <f>IF(SER_hh_emih_in!E11=0,0,SER_hh_emih_in!E11/SER_summary!E$27)</f>
        <v>0</v>
      </c>
      <c r="F11" s="132">
        <f>IF(SER_hh_emih_in!F11=0,0,SER_hh_emih_in!F11/SER_summary!F$27)</f>
        <v>0</v>
      </c>
      <c r="G11" s="132">
        <f>IF(SER_hh_emih_in!G11=0,0,SER_hh_emih_in!G11/SER_summary!G$27)</f>
        <v>0</v>
      </c>
      <c r="H11" s="132">
        <f>IF(SER_hh_emih_in!H11=0,0,SER_hh_emih_in!H11/SER_summary!H$27)</f>
        <v>0</v>
      </c>
      <c r="I11" s="132">
        <f>IF(SER_hh_emih_in!I11=0,0,SER_hh_emih_in!I11/SER_summary!I$27)</f>
        <v>0</v>
      </c>
      <c r="J11" s="132">
        <f>IF(SER_hh_emih_in!J11=0,0,SER_hh_emih_in!J11/SER_summary!J$27)</f>
        <v>0</v>
      </c>
      <c r="K11" s="132">
        <f>IF(SER_hh_emih_in!K11=0,0,SER_hh_emih_in!K11/SER_summary!K$27)</f>
        <v>0</v>
      </c>
      <c r="L11" s="132">
        <f>IF(SER_hh_emih_in!L11=0,0,SER_hh_emih_in!L11/SER_summary!L$27)</f>
        <v>0</v>
      </c>
      <c r="M11" s="132">
        <f>IF(SER_hh_emih_in!M11=0,0,SER_hh_emih_in!M11/SER_summary!M$27)</f>
        <v>0</v>
      </c>
      <c r="N11" s="132">
        <f>IF(SER_hh_emih_in!N11=0,0,SER_hh_emih_in!N11/SER_summary!N$27)</f>
        <v>0</v>
      </c>
      <c r="O11" s="132">
        <f>IF(SER_hh_emih_in!O11=0,0,SER_hh_emih_in!O11/SER_summary!O$27)</f>
        <v>0</v>
      </c>
      <c r="P11" s="132">
        <f>IF(SER_hh_emih_in!P11=0,0,SER_hh_emih_in!P11/SER_summary!P$27)</f>
        <v>0</v>
      </c>
      <c r="Q11" s="132">
        <f>IF(SER_hh_emih_in!Q11=0,0,SER_hh_emih_in!Q11/SER_summary!Q$27)</f>
        <v>0</v>
      </c>
      <c r="R11" s="132">
        <f>IF(SER_hh_emih_in!R11=0,0,SER_hh_emih_in!R11/SER_summary!R$27)</f>
        <v>0</v>
      </c>
      <c r="S11" s="132">
        <f>IF(SER_hh_emih_in!S11=0,0,SER_hh_emih_in!S11/SER_summary!S$27)</f>
        <v>0</v>
      </c>
      <c r="T11" s="132">
        <f>IF(SER_hh_emih_in!T11=0,0,SER_hh_emih_in!T11/SER_summary!T$27)</f>
        <v>0</v>
      </c>
      <c r="U11" s="132">
        <f>IF(SER_hh_emih_in!U11=0,0,SER_hh_emih_in!U11/SER_summary!U$27)</f>
        <v>0</v>
      </c>
      <c r="V11" s="132">
        <f>IF(SER_hh_emih_in!V11=0,0,SER_hh_emih_in!V11/SER_summary!V$27)</f>
        <v>0</v>
      </c>
      <c r="W11" s="132">
        <f>IF(SER_hh_emih_in!W11=0,0,SER_hh_emih_in!W11/SER_summary!W$27)</f>
        <v>0</v>
      </c>
      <c r="X11" s="132">
        <f>IF(SER_hh_emih_in!X11=0,0,SER_hh_emih_in!X11/SER_summary!X$27)</f>
        <v>0</v>
      </c>
      <c r="Y11" s="132">
        <f>IF(SER_hh_emih_in!Y11=0,0,SER_hh_emih_in!Y11/SER_summary!Y$27)</f>
        <v>0</v>
      </c>
      <c r="DA11" s="156" t="s">
        <v>887</v>
      </c>
    </row>
    <row r="12" spans="1:105" ht="12" customHeight="1" x14ac:dyDescent="0.25">
      <c r="A12" s="131" t="s">
        <v>162</v>
      </c>
      <c r="B12" s="132"/>
      <c r="C12" s="132">
        <f>IF(SER_hh_emih_in!C12=0,0,SER_hh_emih_in!C12/SER_summary!C$27)</f>
        <v>0</v>
      </c>
      <c r="D12" s="132">
        <f>IF(SER_hh_emih_in!D12=0,0,SER_hh_emih_in!D12/SER_summary!D$27)</f>
        <v>0</v>
      </c>
      <c r="E12" s="132">
        <f>IF(SER_hh_emih_in!E12=0,0,SER_hh_emih_in!E12/SER_summary!E$27)</f>
        <v>0</v>
      </c>
      <c r="F12" s="132">
        <f>IF(SER_hh_emih_in!F12=0,0,SER_hh_emih_in!F12/SER_summary!F$27)</f>
        <v>0</v>
      </c>
      <c r="G12" s="132">
        <f>IF(SER_hh_emih_in!G12=0,0,SER_hh_emih_in!G12/SER_summary!G$27)</f>
        <v>0</v>
      </c>
      <c r="H12" s="132">
        <f>IF(SER_hh_emih_in!H12=0,0,SER_hh_emih_in!H12/SER_summary!H$27)</f>
        <v>0</v>
      </c>
      <c r="I12" s="132">
        <f>IF(SER_hh_emih_in!I12=0,0,SER_hh_emih_in!I12/SER_summary!I$27)</f>
        <v>0</v>
      </c>
      <c r="J12" s="132">
        <f>IF(SER_hh_emih_in!J12=0,0,SER_hh_emih_in!J12/SER_summary!J$27)</f>
        <v>0</v>
      </c>
      <c r="K12" s="132">
        <f>IF(SER_hh_emih_in!K12=0,0,SER_hh_emih_in!K12/SER_summary!K$27)</f>
        <v>0</v>
      </c>
      <c r="L12" s="132">
        <f>IF(SER_hh_emih_in!L12=0,0,SER_hh_emih_in!L12/SER_summary!L$27)</f>
        <v>0</v>
      </c>
      <c r="M12" s="132">
        <f>IF(SER_hh_emih_in!M12=0,0,SER_hh_emih_in!M12/SER_summary!M$27)</f>
        <v>0</v>
      </c>
      <c r="N12" s="132">
        <f>IF(SER_hh_emih_in!N12=0,0,SER_hh_emih_in!N12/SER_summary!N$27)</f>
        <v>0</v>
      </c>
      <c r="O12" s="132">
        <f>IF(SER_hh_emih_in!O12=0,0,SER_hh_emih_in!O12/SER_summary!O$27)</f>
        <v>0</v>
      </c>
      <c r="P12" s="132">
        <f>IF(SER_hh_emih_in!P12=0,0,SER_hh_emih_in!P12/SER_summary!P$27)</f>
        <v>0</v>
      </c>
      <c r="Q12" s="132">
        <f>IF(SER_hh_emih_in!Q12=0,0,SER_hh_emih_in!Q12/SER_summary!Q$27)</f>
        <v>0</v>
      </c>
      <c r="R12" s="132">
        <f>IF(SER_hh_emih_in!R12=0,0,SER_hh_emih_in!R12/SER_summary!R$27)</f>
        <v>0</v>
      </c>
      <c r="S12" s="132">
        <f>IF(SER_hh_emih_in!S12=0,0,SER_hh_emih_in!S12/SER_summary!S$27)</f>
        <v>0</v>
      </c>
      <c r="T12" s="132">
        <f>IF(SER_hh_emih_in!T12=0,0,SER_hh_emih_in!T12/SER_summary!T$27)</f>
        <v>0</v>
      </c>
      <c r="U12" s="132">
        <f>IF(SER_hh_emih_in!U12=0,0,SER_hh_emih_in!U12/SER_summary!U$27)</f>
        <v>0</v>
      </c>
      <c r="V12" s="132">
        <f>IF(SER_hh_emih_in!V12=0,0,SER_hh_emih_in!V12/SER_summary!V$27)</f>
        <v>0</v>
      </c>
      <c r="W12" s="132">
        <f>IF(SER_hh_emih_in!W12=0,0,SER_hh_emih_in!W12/SER_summary!W$27)</f>
        <v>0</v>
      </c>
      <c r="X12" s="132">
        <f>IF(SER_hh_emih_in!X12=0,0,SER_hh_emih_in!X12/SER_summary!X$27)</f>
        <v>0</v>
      </c>
      <c r="Y12" s="132">
        <f>IF(SER_hh_emih_in!Y12=0,0,SER_hh_emih_in!Y12/SER_summary!Y$27)</f>
        <v>0</v>
      </c>
      <c r="DA12" s="156" t="s">
        <v>888</v>
      </c>
    </row>
    <row r="13" spans="1:105" ht="12" customHeight="1" x14ac:dyDescent="0.25">
      <c r="A13" s="131" t="s">
        <v>77</v>
      </c>
      <c r="B13" s="132"/>
      <c r="C13" s="132">
        <f>IF(SER_hh_emih_in!C13=0,0,SER_hh_emih_in!C13/SER_summary!C$27)</f>
        <v>0</v>
      </c>
      <c r="D13" s="132">
        <f>IF(SER_hh_emih_in!D13=0,0,SER_hh_emih_in!D13/SER_summary!D$27)</f>
        <v>0</v>
      </c>
      <c r="E13" s="132">
        <f>IF(SER_hh_emih_in!E13=0,0,SER_hh_emih_in!E13/SER_summary!E$27)</f>
        <v>0</v>
      </c>
      <c r="F13" s="132">
        <f>IF(SER_hh_emih_in!F13=0,0,SER_hh_emih_in!F13/SER_summary!F$27)</f>
        <v>0</v>
      </c>
      <c r="G13" s="132">
        <f>IF(SER_hh_emih_in!G13=0,0,SER_hh_emih_in!G13/SER_summary!G$27)</f>
        <v>0</v>
      </c>
      <c r="H13" s="132">
        <f>IF(SER_hh_emih_in!H13=0,0,SER_hh_emih_in!H13/SER_summary!H$27)</f>
        <v>0</v>
      </c>
      <c r="I13" s="132">
        <f>IF(SER_hh_emih_in!I13=0,0,SER_hh_emih_in!I13/SER_summary!I$27)</f>
        <v>0</v>
      </c>
      <c r="J13" s="132">
        <f>IF(SER_hh_emih_in!J13=0,0,SER_hh_emih_in!J13/SER_summary!J$27)</f>
        <v>0</v>
      </c>
      <c r="K13" s="132">
        <f>IF(SER_hh_emih_in!K13=0,0,SER_hh_emih_in!K13/SER_summary!K$27)</f>
        <v>0</v>
      </c>
      <c r="L13" s="132">
        <f>IF(SER_hh_emih_in!L13=0,0,SER_hh_emih_in!L13/SER_summary!L$27)</f>
        <v>0</v>
      </c>
      <c r="M13" s="132">
        <f>IF(SER_hh_emih_in!M13=0,0,SER_hh_emih_in!M13/SER_summary!M$27)</f>
        <v>0</v>
      </c>
      <c r="N13" s="132">
        <f>IF(SER_hh_emih_in!N13=0,0,SER_hh_emih_in!N13/SER_summary!N$27)</f>
        <v>0</v>
      </c>
      <c r="O13" s="132">
        <f>IF(SER_hh_emih_in!O13=0,0,SER_hh_emih_in!O13/SER_summary!O$27)</f>
        <v>0</v>
      </c>
      <c r="P13" s="132">
        <f>IF(SER_hh_emih_in!P13=0,0,SER_hh_emih_in!P13/SER_summary!P$27)</f>
        <v>0</v>
      </c>
      <c r="Q13" s="132">
        <f>IF(SER_hh_emih_in!Q13=0,0,SER_hh_emih_in!Q13/SER_summary!Q$27)</f>
        <v>0</v>
      </c>
      <c r="R13" s="132">
        <f>IF(SER_hh_emih_in!R13=0,0,SER_hh_emih_in!R13/SER_summary!R$27)</f>
        <v>0</v>
      </c>
      <c r="S13" s="132">
        <f>IF(SER_hh_emih_in!S13=0,0,SER_hh_emih_in!S13/SER_summary!S$27)</f>
        <v>0</v>
      </c>
      <c r="T13" s="132">
        <f>IF(SER_hh_emih_in!T13=0,0,SER_hh_emih_in!T13/SER_summary!T$27)</f>
        <v>0</v>
      </c>
      <c r="U13" s="132">
        <f>IF(SER_hh_emih_in!U13=0,0,SER_hh_emih_in!U13/SER_summary!U$27)</f>
        <v>0</v>
      </c>
      <c r="V13" s="132">
        <f>IF(SER_hh_emih_in!V13=0,0,SER_hh_emih_in!V13/SER_summary!V$27)</f>
        <v>0</v>
      </c>
      <c r="W13" s="132">
        <f>IF(SER_hh_emih_in!W13=0,0,SER_hh_emih_in!W13/SER_summary!W$27)</f>
        <v>0</v>
      </c>
      <c r="X13" s="132">
        <f>IF(SER_hh_emih_in!X13=0,0,SER_hh_emih_in!X13/SER_summary!X$27)</f>
        <v>0</v>
      </c>
      <c r="Y13" s="132">
        <f>IF(SER_hh_emih_in!Y13=0,0,SER_hh_emih_in!Y13/SER_summary!Y$27)</f>
        <v>0</v>
      </c>
      <c r="DA13" s="156" t="s">
        <v>889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X14" s="65">
        <f>IF(SER_hh_emih_in!X14=0,0,SER_hh_emih_in!X14/SER_summary!X$27)</f>
        <v>0</v>
      </c>
      <c r="Y14" s="65">
        <f>IF(SER_hh_emih_in!Y14=0,0,SER_hh_emih_in!Y14/SER_summary!Y$27)</f>
        <v>0</v>
      </c>
      <c r="DA14" s="109" t="s">
        <v>890</v>
      </c>
    </row>
    <row r="15" spans="1:105" ht="12" customHeight="1" x14ac:dyDescent="0.25">
      <c r="A15" s="133" t="s">
        <v>80</v>
      </c>
      <c r="B15" s="134"/>
      <c r="C15" s="134">
        <f>IF(SER_hh_emih_in!C15=0,0,SER_hh_emih_in!C15/SER_summary!C$27)</f>
        <v>0</v>
      </c>
      <c r="D15" s="134">
        <f>IF(SER_hh_emih_in!D15=0,0,SER_hh_emih_in!D15/SER_summary!D$27)</f>
        <v>0</v>
      </c>
      <c r="E15" s="134">
        <f>IF(SER_hh_emih_in!E15=0,0,SER_hh_emih_in!E15/SER_summary!E$27)</f>
        <v>0</v>
      </c>
      <c r="F15" s="134">
        <f>IF(SER_hh_emih_in!F15=0,0,SER_hh_emih_in!F15/SER_summary!F$27)</f>
        <v>0</v>
      </c>
      <c r="G15" s="134">
        <f>IF(SER_hh_emih_in!G15=0,0,SER_hh_emih_in!G15/SER_summary!G$27)</f>
        <v>0</v>
      </c>
      <c r="H15" s="134">
        <f>IF(SER_hh_emih_in!H15=0,0,SER_hh_emih_in!H15/SER_summary!H$27)</f>
        <v>0</v>
      </c>
      <c r="I15" s="134">
        <f>IF(SER_hh_emih_in!I15=0,0,SER_hh_emih_in!I15/SER_summary!I$27)</f>
        <v>0</v>
      </c>
      <c r="J15" s="134">
        <f>IF(SER_hh_emih_in!J15=0,0,SER_hh_emih_in!J15/SER_summary!J$27)</f>
        <v>0</v>
      </c>
      <c r="K15" s="134">
        <f>IF(SER_hh_emih_in!K15=0,0,SER_hh_emih_in!K15/SER_summary!K$27)</f>
        <v>0</v>
      </c>
      <c r="L15" s="134">
        <f>IF(SER_hh_emih_in!L15=0,0,SER_hh_emih_in!L15/SER_summary!L$27)</f>
        <v>0</v>
      </c>
      <c r="M15" s="134">
        <f>IF(SER_hh_emih_in!M15=0,0,SER_hh_emih_in!M15/SER_summary!M$27)</f>
        <v>0</v>
      </c>
      <c r="N15" s="134">
        <f>IF(SER_hh_emih_in!N15=0,0,SER_hh_emih_in!N15/SER_summary!N$27)</f>
        <v>0</v>
      </c>
      <c r="O15" s="134">
        <f>IF(SER_hh_emih_in!O15=0,0,SER_hh_emih_in!O15/SER_summary!O$27)</f>
        <v>0</v>
      </c>
      <c r="P15" s="134">
        <f>IF(SER_hh_emih_in!P15=0,0,SER_hh_emih_in!P15/SER_summary!P$27)</f>
        <v>0</v>
      </c>
      <c r="Q15" s="134">
        <f>IF(SER_hh_emih_in!Q15=0,0,SER_hh_emih_in!Q15/SER_summary!Q$27)</f>
        <v>0</v>
      </c>
      <c r="R15" s="134">
        <f>IF(SER_hh_emih_in!R15=0,0,SER_hh_emih_in!R15/SER_summary!R$27)</f>
        <v>0</v>
      </c>
      <c r="S15" s="134">
        <f>IF(SER_hh_emih_in!S15=0,0,SER_hh_emih_in!S15/SER_summary!S$27)</f>
        <v>0</v>
      </c>
      <c r="T15" s="134">
        <f>IF(SER_hh_emih_in!T15=0,0,SER_hh_emih_in!T15/SER_summary!T$27)</f>
        <v>0</v>
      </c>
      <c r="U15" s="134">
        <f>IF(SER_hh_emih_in!U15=0,0,SER_hh_emih_in!U15/SER_summary!U$27)</f>
        <v>0</v>
      </c>
      <c r="V15" s="134">
        <f>IF(SER_hh_emih_in!V15=0,0,SER_hh_emih_in!V15/SER_summary!V$27)</f>
        <v>0</v>
      </c>
      <c r="W15" s="134">
        <f>IF(SER_hh_emih_in!W15=0,0,SER_hh_emih_in!W15/SER_summary!W$27)</f>
        <v>0</v>
      </c>
      <c r="X15" s="134">
        <f>IF(SER_hh_emih_in!X15=0,0,SER_hh_emih_in!X15/SER_summary!X$27)</f>
        <v>0</v>
      </c>
      <c r="Y15" s="134">
        <f>IF(SER_hh_emih_in!Y15=0,0,SER_hh_emih_in!Y15/SER_summary!Y$27)</f>
        <v>0</v>
      </c>
      <c r="DA15" s="157" t="s">
        <v>891</v>
      </c>
    </row>
    <row r="16" spans="1:105" ht="12.95" customHeight="1" x14ac:dyDescent="0.25">
      <c r="A16" s="129" t="s">
        <v>74</v>
      </c>
      <c r="B16" s="130"/>
      <c r="C16" s="130">
        <f>IF(SER_hh_emih_in!C16=0,0,SER_hh_emih_in!C16/SER_summary!C$27)</f>
        <v>0</v>
      </c>
      <c r="D16" s="130">
        <f>IF(SER_hh_emih_in!D16=0,0,SER_hh_emih_in!D16/SER_summary!D$27)</f>
        <v>0</v>
      </c>
      <c r="E16" s="130">
        <f>IF(SER_hh_emih_in!E16=0,0,SER_hh_emih_in!E16/SER_summary!E$27)</f>
        <v>0</v>
      </c>
      <c r="F16" s="130">
        <f>IF(SER_hh_emih_in!F16=0,0,SER_hh_emih_in!F16/SER_summary!F$27)</f>
        <v>0</v>
      </c>
      <c r="G16" s="130">
        <f>IF(SER_hh_emih_in!G16=0,0,SER_hh_emih_in!G16/SER_summary!G$27)</f>
        <v>0</v>
      </c>
      <c r="H16" s="130">
        <f>IF(SER_hh_emih_in!H16=0,0,SER_hh_emih_in!H16/SER_summary!H$27)</f>
        <v>0</v>
      </c>
      <c r="I16" s="130">
        <f>IF(SER_hh_emih_in!I16=0,0,SER_hh_emih_in!I16/SER_summary!I$27)</f>
        <v>0</v>
      </c>
      <c r="J16" s="130">
        <f>IF(SER_hh_emih_in!J16=0,0,SER_hh_emih_in!J16/SER_summary!J$27)</f>
        <v>0</v>
      </c>
      <c r="K16" s="130">
        <f>IF(SER_hh_emih_in!K16=0,0,SER_hh_emih_in!K16/SER_summary!K$27)</f>
        <v>0</v>
      </c>
      <c r="L16" s="130">
        <f>IF(SER_hh_emih_in!L16=0,0,SER_hh_emih_in!L16/SER_summary!L$27)</f>
        <v>0</v>
      </c>
      <c r="M16" s="130">
        <f>IF(SER_hh_emih_in!M16=0,0,SER_hh_emih_in!M16/SER_summary!M$27)</f>
        <v>0</v>
      </c>
      <c r="N16" s="130">
        <f>IF(SER_hh_emih_in!N16=0,0,SER_hh_emih_in!N16/SER_summary!N$27)</f>
        <v>0</v>
      </c>
      <c r="O16" s="130">
        <f>IF(SER_hh_emih_in!O16=0,0,SER_hh_emih_in!O16/SER_summary!O$27)</f>
        <v>0</v>
      </c>
      <c r="P16" s="130">
        <f>IF(SER_hh_emih_in!P16=0,0,SER_hh_emih_in!P16/SER_summary!P$27)</f>
        <v>0</v>
      </c>
      <c r="Q16" s="130">
        <f>IF(SER_hh_emih_in!Q16=0,0,SER_hh_emih_in!Q16/SER_summary!Q$27)</f>
        <v>0</v>
      </c>
      <c r="R16" s="130">
        <f>IF(SER_hh_emih_in!R16=0,0,SER_hh_emih_in!R16/SER_summary!R$27)</f>
        <v>0</v>
      </c>
      <c r="S16" s="130">
        <f>IF(SER_hh_emih_in!S16=0,0,SER_hh_emih_in!S16/SER_summary!S$27)</f>
        <v>0</v>
      </c>
      <c r="T16" s="130">
        <f>IF(SER_hh_emih_in!T16=0,0,SER_hh_emih_in!T16/SER_summary!T$27)</f>
        <v>0</v>
      </c>
      <c r="U16" s="130">
        <f>IF(SER_hh_emih_in!U16=0,0,SER_hh_emih_in!U16/SER_summary!U$27)</f>
        <v>0</v>
      </c>
      <c r="V16" s="130">
        <f>IF(SER_hh_emih_in!V16=0,0,SER_hh_emih_in!V16/SER_summary!V$27)</f>
        <v>0</v>
      </c>
      <c r="W16" s="130">
        <f>IF(SER_hh_emih_in!W16=0,0,SER_hh_emih_in!W16/SER_summary!W$27)</f>
        <v>0</v>
      </c>
      <c r="X16" s="130">
        <f>IF(SER_hh_emih_in!X16=0,0,SER_hh_emih_in!X16/SER_summary!X$27)</f>
        <v>0</v>
      </c>
      <c r="Y16" s="130">
        <f>IF(SER_hh_emih_in!Y16=0,0,SER_hh_emih_in!Y16/SER_summary!Y$27)</f>
        <v>0</v>
      </c>
      <c r="DA16" s="155" t="s">
        <v>892</v>
      </c>
    </row>
    <row r="17" spans="1:105" ht="12.95" customHeight="1" x14ac:dyDescent="0.25">
      <c r="A17" s="131" t="s">
        <v>73</v>
      </c>
      <c r="B17" s="132"/>
      <c r="C17" s="132">
        <f>IF(SER_hh_emih_in!C17=0,0,SER_hh_emih_in!C17/SER_summary!C$27)</f>
        <v>0</v>
      </c>
      <c r="D17" s="132">
        <f>IF(SER_hh_emih_in!D17=0,0,SER_hh_emih_in!D17/SER_summary!D$27)</f>
        <v>0</v>
      </c>
      <c r="E17" s="132">
        <f>IF(SER_hh_emih_in!E17=0,0,SER_hh_emih_in!E17/SER_summary!E$27)</f>
        <v>0</v>
      </c>
      <c r="F17" s="132">
        <f>IF(SER_hh_emih_in!F17=0,0,SER_hh_emih_in!F17/SER_summary!F$27)</f>
        <v>0</v>
      </c>
      <c r="G17" s="132">
        <f>IF(SER_hh_emih_in!G17=0,0,SER_hh_emih_in!G17/SER_summary!G$27)</f>
        <v>0</v>
      </c>
      <c r="H17" s="132">
        <f>IF(SER_hh_emih_in!H17=0,0,SER_hh_emih_in!H17/SER_summary!H$27)</f>
        <v>0</v>
      </c>
      <c r="I17" s="132">
        <f>IF(SER_hh_emih_in!I17=0,0,SER_hh_emih_in!I17/SER_summary!I$27)</f>
        <v>0</v>
      </c>
      <c r="J17" s="132">
        <f>IF(SER_hh_emih_in!J17=0,0,SER_hh_emih_in!J17/SER_summary!J$27)</f>
        <v>0</v>
      </c>
      <c r="K17" s="132">
        <f>IF(SER_hh_emih_in!K17=0,0,SER_hh_emih_in!K17/SER_summary!K$27)</f>
        <v>0</v>
      </c>
      <c r="L17" s="132">
        <f>IF(SER_hh_emih_in!L17=0,0,SER_hh_emih_in!L17/SER_summary!L$27)</f>
        <v>0</v>
      </c>
      <c r="M17" s="132">
        <f>IF(SER_hh_emih_in!M17=0,0,SER_hh_emih_in!M17/SER_summary!M$27)</f>
        <v>0</v>
      </c>
      <c r="N17" s="132">
        <f>IF(SER_hh_emih_in!N17=0,0,SER_hh_emih_in!N17/SER_summary!N$27)</f>
        <v>0</v>
      </c>
      <c r="O17" s="132">
        <f>IF(SER_hh_emih_in!O17=0,0,SER_hh_emih_in!O17/SER_summary!O$27)</f>
        <v>0</v>
      </c>
      <c r="P17" s="132">
        <f>IF(SER_hh_emih_in!P17=0,0,SER_hh_emih_in!P17/SER_summary!P$27)</f>
        <v>0</v>
      </c>
      <c r="Q17" s="132">
        <f>IF(SER_hh_emih_in!Q17=0,0,SER_hh_emih_in!Q17/SER_summary!Q$27)</f>
        <v>0</v>
      </c>
      <c r="R17" s="132">
        <f>IF(SER_hh_emih_in!R17=0,0,SER_hh_emih_in!R17/SER_summary!R$27)</f>
        <v>0</v>
      </c>
      <c r="S17" s="132">
        <f>IF(SER_hh_emih_in!S17=0,0,SER_hh_emih_in!S17/SER_summary!S$27)</f>
        <v>0</v>
      </c>
      <c r="T17" s="132">
        <f>IF(SER_hh_emih_in!T17=0,0,SER_hh_emih_in!T17/SER_summary!T$27)</f>
        <v>0</v>
      </c>
      <c r="U17" s="132">
        <f>IF(SER_hh_emih_in!U17=0,0,SER_hh_emih_in!U17/SER_summary!U$27)</f>
        <v>0</v>
      </c>
      <c r="V17" s="132">
        <f>IF(SER_hh_emih_in!V17=0,0,SER_hh_emih_in!V17/SER_summary!V$27)</f>
        <v>0</v>
      </c>
      <c r="W17" s="132">
        <f>IF(SER_hh_emih_in!W17=0,0,SER_hh_emih_in!W17/SER_summary!W$27)</f>
        <v>0</v>
      </c>
      <c r="X17" s="132">
        <f>IF(SER_hh_emih_in!X17=0,0,SER_hh_emih_in!X17/SER_summary!X$27)</f>
        <v>0</v>
      </c>
      <c r="Y17" s="132">
        <f>IF(SER_hh_emih_in!Y17=0,0,SER_hh_emih_in!Y17/SER_summary!Y$27)</f>
        <v>0</v>
      </c>
      <c r="DA17" s="156" t="s">
        <v>893</v>
      </c>
    </row>
    <row r="18" spans="1:105" ht="12" customHeight="1" x14ac:dyDescent="0.25">
      <c r="A18" s="131" t="s">
        <v>72</v>
      </c>
      <c r="B18" s="132"/>
      <c r="C18" s="132">
        <f>IF(SER_hh_emih_in!C18=0,0,SER_hh_emih_in!C18/SER_summary!C$27)</f>
        <v>0</v>
      </c>
      <c r="D18" s="132">
        <f>IF(SER_hh_emih_in!D18=0,0,SER_hh_emih_in!D18/SER_summary!D$27)</f>
        <v>0</v>
      </c>
      <c r="E18" s="132">
        <f>IF(SER_hh_emih_in!E18=0,0,SER_hh_emih_in!E18/SER_summary!E$27)</f>
        <v>0</v>
      </c>
      <c r="F18" s="132">
        <f>IF(SER_hh_emih_in!F18=0,0,SER_hh_emih_in!F18/SER_summary!F$27)</f>
        <v>0</v>
      </c>
      <c r="G18" s="132">
        <f>IF(SER_hh_emih_in!G18=0,0,SER_hh_emih_in!G18/SER_summary!G$27)</f>
        <v>0</v>
      </c>
      <c r="H18" s="132">
        <f>IF(SER_hh_emih_in!H18=0,0,SER_hh_emih_in!H18/SER_summary!H$27)</f>
        <v>0</v>
      </c>
      <c r="I18" s="132">
        <f>IF(SER_hh_emih_in!I18=0,0,SER_hh_emih_in!I18/SER_summary!I$27)</f>
        <v>0</v>
      </c>
      <c r="J18" s="132">
        <f>IF(SER_hh_emih_in!J18=0,0,SER_hh_emih_in!J18/SER_summary!J$27)</f>
        <v>0</v>
      </c>
      <c r="K18" s="132">
        <f>IF(SER_hh_emih_in!K18=0,0,SER_hh_emih_in!K18/SER_summary!K$27)</f>
        <v>0</v>
      </c>
      <c r="L18" s="132">
        <f>IF(SER_hh_emih_in!L18=0,0,SER_hh_emih_in!L18/SER_summary!L$27)</f>
        <v>0</v>
      </c>
      <c r="M18" s="132">
        <f>IF(SER_hh_emih_in!M18=0,0,SER_hh_emih_in!M18/SER_summary!M$27)</f>
        <v>0</v>
      </c>
      <c r="N18" s="132">
        <f>IF(SER_hh_emih_in!N18=0,0,SER_hh_emih_in!N18/SER_summary!N$27)</f>
        <v>0</v>
      </c>
      <c r="O18" s="132">
        <f>IF(SER_hh_emih_in!O18=0,0,SER_hh_emih_in!O18/SER_summary!O$27)</f>
        <v>0</v>
      </c>
      <c r="P18" s="132">
        <f>IF(SER_hh_emih_in!P18=0,0,SER_hh_emih_in!P18/SER_summary!P$27)</f>
        <v>0</v>
      </c>
      <c r="Q18" s="132">
        <f>IF(SER_hh_emih_in!Q18=0,0,SER_hh_emih_in!Q18/SER_summary!Q$27)</f>
        <v>0</v>
      </c>
      <c r="R18" s="132">
        <f>IF(SER_hh_emih_in!R18=0,0,SER_hh_emih_in!R18/SER_summary!R$27)</f>
        <v>0</v>
      </c>
      <c r="S18" s="132">
        <f>IF(SER_hh_emih_in!S18=0,0,SER_hh_emih_in!S18/SER_summary!S$27)</f>
        <v>0</v>
      </c>
      <c r="T18" s="132">
        <f>IF(SER_hh_emih_in!T18=0,0,SER_hh_emih_in!T18/SER_summary!T$27)</f>
        <v>0</v>
      </c>
      <c r="U18" s="132">
        <f>IF(SER_hh_emih_in!U18=0,0,SER_hh_emih_in!U18/SER_summary!U$27)</f>
        <v>0</v>
      </c>
      <c r="V18" s="132">
        <f>IF(SER_hh_emih_in!V18=0,0,SER_hh_emih_in!V18/SER_summary!V$27)</f>
        <v>0</v>
      </c>
      <c r="W18" s="132">
        <f>IF(SER_hh_emih_in!W18=0,0,SER_hh_emih_in!W18/SER_summary!W$27)</f>
        <v>0</v>
      </c>
      <c r="X18" s="132">
        <f>IF(SER_hh_emih_in!X18=0,0,SER_hh_emih_in!X18/SER_summary!X$27)</f>
        <v>0</v>
      </c>
      <c r="Y18" s="132">
        <f>IF(SER_hh_emih_in!Y18=0,0,SER_hh_emih_in!Y18/SER_summary!Y$27)</f>
        <v>0</v>
      </c>
      <c r="DA18" s="156" t="s">
        <v>894</v>
      </c>
    </row>
    <row r="19" spans="1:105" ht="12.95" customHeight="1" x14ac:dyDescent="0.25">
      <c r="A19" s="129" t="s">
        <v>35</v>
      </c>
      <c r="B19" s="130"/>
      <c r="C19" s="130">
        <f>IF(SER_hh_emih_in!C19=0,0,SER_hh_emih_in!C19/SER_summary!C$27)</f>
        <v>0.8165523413463609</v>
      </c>
      <c r="D19" s="130">
        <f>IF(SER_hh_emih_in!D19=0,0,SER_hh_emih_in!D19/SER_summary!D$27)</f>
        <v>0.92203445899046865</v>
      </c>
      <c r="E19" s="130">
        <f>IF(SER_hh_emih_in!E19=0,0,SER_hh_emih_in!E19/SER_summary!E$27)</f>
        <v>0.8424530789732525</v>
      </c>
      <c r="F19" s="130">
        <f>IF(SER_hh_emih_in!F19=0,0,SER_hh_emih_in!F19/SER_summary!F$27)</f>
        <v>0.73957965764419109</v>
      </c>
      <c r="G19" s="130">
        <f>IF(SER_hh_emih_in!G19=0,0,SER_hh_emih_in!G19/SER_summary!G$27)</f>
        <v>0.69278673153790093</v>
      </c>
      <c r="H19" s="130">
        <f>IF(SER_hh_emih_in!H19=0,0,SER_hh_emih_in!H19/SER_summary!H$27)</f>
        <v>0.70372564130118143</v>
      </c>
      <c r="I19" s="130">
        <f>IF(SER_hh_emih_in!I19=0,0,SER_hh_emih_in!I19/SER_summary!I$27)</f>
        <v>0.67295763025890165</v>
      </c>
      <c r="J19" s="130">
        <f>IF(SER_hh_emih_in!J19=0,0,SER_hh_emih_in!J19/SER_summary!J$27)</f>
        <v>0.7679864541800262</v>
      </c>
      <c r="K19" s="130">
        <f>IF(SER_hh_emih_in!K19=0,0,SER_hh_emih_in!K19/SER_summary!K$27)</f>
        <v>0.79850982149176863</v>
      </c>
      <c r="L19" s="130">
        <f>IF(SER_hh_emih_in!L19=0,0,SER_hh_emih_in!L19/SER_summary!L$27)</f>
        <v>0.90125728348568246</v>
      </c>
      <c r="M19" s="130">
        <f>IF(SER_hh_emih_in!M19=0,0,SER_hh_emih_in!M19/SER_summary!M$27)</f>
        <v>0.76283087724934429</v>
      </c>
      <c r="N19" s="130">
        <f>IF(SER_hh_emih_in!N19=0,0,SER_hh_emih_in!N19/SER_summary!N$27)</f>
        <v>0.60034100756835873</v>
      </c>
      <c r="O19" s="130">
        <f>IF(SER_hh_emih_in!O19=0,0,SER_hh_emih_in!O19/SER_summary!O$27)</f>
        <v>0.4958098356981927</v>
      </c>
      <c r="P19" s="130">
        <f>IF(SER_hh_emih_in!P19=0,0,SER_hh_emih_in!P19/SER_summary!P$27)</f>
        <v>0.23688981338150317</v>
      </c>
      <c r="Q19" s="130">
        <f>IF(SER_hh_emih_in!Q19=0,0,SER_hh_emih_in!Q19/SER_summary!Q$27)</f>
        <v>0.30734506835515385</v>
      </c>
      <c r="R19" s="130">
        <f>IF(SER_hh_emih_in!R19=0,0,SER_hh_emih_in!R19/SER_summary!R$27)</f>
        <v>0.27263032720994607</v>
      </c>
      <c r="S19" s="130">
        <f>IF(SER_hh_emih_in!S19=0,0,SER_hh_emih_in!S19/SER_summary!S$27)</f>
        <v>8.0652226375500707E-2</v>
      </c>
      <c r="T19" s="130">
        <f>IF(SER_hh_emih_in!T19=0,0,SER_hh_emih_in!T19/SER_summary!T$27)</f>
        <v>6.2804769106776681E-2</v>
      </c>
      <c r="U19" s="130">
        <f>IF(SER_hh_emih_in!U19=0,0,SER_hh_emih_in!U19/SER_summary!U$27)</f>
        <v>0.20603305291062907</v>
      </c>
      <c r="V19" s="130">
        <f>IF(SER_hh_emih_in!V19=0,0,SER_hh_emih_in!V19/SER_summary!V$27)</f>
        <v>0.30434781446923664</v>
      </c>
      <c r="W19" s="130">
        <f>IF(SER_hh_emih_in!W19=0,0,SER_hh_emih_in!W19/SER_summary!W$27)</f>
        <v>0.38217938302153137</v>
      </c>
      <c r="X19" s="130">
        <f>IF(SER_hh_emih_in!X19=0,0,SER_hh_emih_in!X19/SER_summary!X$27)</f>
        <v>0.2851106830909067</v>
      </c>
      <c r="Y19" s="130">
        <f>IF(SER_hh_emih_in!Y19=0,0,SER_hh_emih_in!Y19/SER_summary!Y$27)</f>
        <v>0.15248844927229777</v>
      </c>
      <c r="DA19" s="155" t="s">
        <v>895</v>
      </c>
    </row>
    <row r="20" spans="1:105" ht="12" customHeight="1" x14ac:dyDescent="0.25">
      <c r="A20" s="131" t="s">
        <v>29</v>
      </c>
      <c r="B20" s="132"/>
      <c r="C20" s="132">
        <f>IF(SER_hh_emih_in!C20=0,0,SER_hh_emih_in!C20/SER_summary!C$27)</f>
        <v>0</v>
      </c>
      <c r="D20" s="132">
        <f>IF(SER_hh_emih_in!D20=0,0,SER_hh_emih_in!D20/SER_summary!D$27)</f>
        <v>0</v>
      </c>
      <c r="E20" s="132">
        <f>IF(SER_hh_emih_in!E20=0,0,SER_hh_emih_in!E20/SER_summary!E$27)</f>
        <v>0</v>
      </c>
      <c r="F20" s="132">
        <f>IF(SER_hh_emih_in!F20=0,0,SER_hh_emih_in!F20/SER_summary!F$27)</f>
        <v>0</v>
      </c>
      <c r="G20" s="132">
        <f>IF(SER_hh_emih_in!G20=0,0,SER_hh_emih_in!G20/SER_summary!G$27)</f>
        <v>0</v>
      </c>
      <c r="H20" s="132">
        <f>IF(SER_hh_emih_in!H20=0,0,SER_hh_emih_in!H20/SER_summary!H$27)</f>
        <v>0</v>
      </c>
      <c r="I20" s="132">
        <f>IF(SER_hh_emih_in!I20=0,0,SER_hh_emih_in!I20/SER_summary!I$27)</f>
        <v>0</v>
      </c>
      <c r="J20" s="132">
        <f>IF(SER_hh_emih_in!J20=0,0,SER_hh_emih_in!J20/SER_summary!J$27)</f>
        <v>0</v>
      </c>
      <c r="K20" s="132">
        <f>IF(SER_hh_emih_in!K20=0,0,SER_hh_emih_in!K20/SER_summary!K$27)</f>
        <v>0</v>
      </c>
      <c r="L20" s="132">
        <f>IF(SER_hh_emih_in!L20=0,0,SER_hh_emih_in!L20/SER_summary!L$27)</f>
        <v>0</v>
      </c>
      <c r="M20" s="132">
        <f>IF(SER_hh_emih_in!M20=0,0,SER_hh_emih_in!M20/SER_summary!M$27)</f>
        <v>0</v>
      </c>
      <c r="N20" s="132">
        <f>IF(SER_hh_emih_in!N20=0,0,SER_hh_emih_in!N20/SER_summary!N$27)</f>
        <v>0</v>
      </c>
      <c r="O20" s="132">
        <f>IF(SER_hh_emih_in!O20=0,0,SER_hh_emih_in!O20/SER_summary!O$27)</f>
        <v>0</v>
      </c>
      <c r="P20" s="132">
        <f>IF(SER_hh_emih_in!P20=0,0,SER_hh_emih_in!P20/SER_summary!P$27)</f>
        <v>0</v>
      </c>
      <c r="Q20" s="132">
        <f>IF(SER_hh_emih_in!Q20=0,0,SER_hh_emih_in!Q20/SER_summary!Q$27)</f>
        <v>0</v>
      </c>
      <c r="R20" s="132">
        <f>IF(SER_hh_emih_in!R20=0,0,SER_hh_emih_in!R20/SER_summary!R$27)</f>
        <v>0</v>
      </c>
      <c r="S20" s="132">
        <f>IF(SER_hh_emih_in!S20=0,0,SER_hh_emih_in!S20/SER_summary!S$27)</f>
        <v>0</v>
      </c>
      <c r="T20" s="132">
        <f>IF(SER_hh_emih_in!T20=0,0,SER_hh_emih_in!T20/SER_summary!T$27)</f>
        <v>0</v>
      </c>
      <c r="U20" s="132">
        <f>IF(SER_hh_emih_in!U20=0,0,SER_hh_emih_in!U20/SER_summary!U$27)</f>
        <v>0</v>
      </c>
      <c r="V20" s="132">
        <f>IF(SER_hh_emih_in!V20=0,0,SER_hh_emih_in!V20/SER_summary!V$27)</f>
        <v>0</v>
      </c>
      <c r="W20" s="132">
        <f>IF(SER_hh_emih_in!W20=0,0,SER_hh_emih_in!W20/SER_summary!W$27)</f>
        <v>0</v>
      </c>
      <c r="X20" s="132">
        <f>IF(SER_hh_emih_in!X20=0,0,SER_hh_emih_in!X20/SER_summary!X$27)</f>
        <v>0</v>
      </c>
      <c r="Y20" s="132">
        <f>IF(SER_hh_emih_in!Y20=0,0,SER_hh_emih_in!Y20/SER_summary!Y$27)</f>
        <v>0</v>
      </c>
      <c r="DA20" s="156" t="s">
        <v>896</v>
      </c>
    </row>
    <row r="21" spans="1:105" s="2" customFormat="1" ht="12" customHeight="1" x14ac:dyDescent="0.25">
      <c r="A21" s="131" t="s">
        <v>52</v>
      </c>
      <c r="B21" s="132"/>
      <c r="C21" s="132">
        <f>IF(SER_hh_emih_in!C21=0,0,SER_hh_emih_in!C21/SER_summary!C$27)</f>
        <v>0</v>
      </c>
      <c r="D21" s="132">
        <f>IF(SER_hh_emih_in!D21=0,0,SER_hh_emih_in!D21/SER_summary!D$27)</f>
        <v>0</v>
      </c>
      <c r="E21" s="132">
        <f>IF(SER_hh_emih_in!E21=0,0,SER_hh_emih_in!E21/SER_summary!E$27)</f>
        <v>0</v>
      </c>
      <c r="F21" s="132">
        <f>IF(SER_hh_emih_in!F21=0,0,SER_hh_emih_in!F21/SER_summary!F$27)</f>
        <v>0</v>
      </c>
      <c r="G21" s="132">
        <f>IF(SER_hh_emih_in!G21=0,0,SER_hh_emih_in!G21/SER_summary!G$27)</f>
        <v>0</v>
      </c>
      <c r="H21" s="132">
        <f>IF(SER_hh_emih_in!H21=0,0,SER_hh_emih_in!H21/SER_summary!H$27)</f>
        <v>0</v>
      </c>
      <c r="I21" s="132">
        <f>IF(SER_hh_emih_in!I21=0,0,SER_hh_emih_in!I21/SER_summary!I$27)</f>
        <v>0</v>
      </c>
      <c r="J21" s="132">
        <f>IF(SER_hh_emih_in!J21=0,0,SER_hh_emih_in!J21/SER_summary!J$27)</f>
        <v>0</v>
      </c>
      <c r="K21" s="132">
        <f>IF(SER_hh_emih_in!K21=0,0,SER_hh_emih_in!K21/SER_summary!K$27)</f>
        <v>0</v>
      </c>
      <c r="L21" s="132">
        <f>IF(SER_hh_emih_in!L21=0,0,SER_hh_emih_in!L21/SER_summary!L$27)</f>
        <v>0</v>
      </c>
      <c r="M21" s="132">
        <f>IF(SER_hh_emih_in!M21=0,0,SER_hh_emih_in!M21/SER_summary!M$27)</f>
        <v>0</v>
      </c>
      <c r="N21" s="132">
        <f>IF(SER_hh_emih_in!N21=0,0,SER_hh_emih_in!N21/SER_summary!N$27)</f>
        <v>0</v>
      </c>
      <c r="O21" s="132">
        <f>IF(SER_hh_emih_in!O21=0,0,SER_hh_emih_in!O21/SER_summary!O$27)</f>
        <v>0</v>
      </c>
      <c r="P21" s="132">
        <f>IF(SER_hh_emih_in!P21=0,0,SER_hh_emih_in!P21/SER_summary!P$27)</f>
        <v>0</v>
      </c>
      <c r="Q21" s="132">
        <f>IF(SER_hh_emih_in!Q21=0,0,SER_hh_emih_in!Q21/SER_summary!Q$27)</f>
        <v>0</v>
      </c>
      <c r="R21" s="132">
        <f>IF(SER_hh_emih_in!R21=0,0,SER_hh_emih_in!R21/SER_summary!R$27)</f>
        <v>0</v>
      </c>
      <c r="S21" s="132">
        <f>IF(SER_hh_emih_in!S21=0,0,SER_hh_emih_in!S21/SER_summary!S$27)</f>
        <v>0</v>
      </c>
      <c r="T21" s="132">
        <f>IF(SER_hh_emih_in!T21=0,0,SER_hh_emih_in!T21/SER_summary!T$27)</f>
        <v>0</v>
      </c>
      <c r="U21" s="132">
        <f>IF(SER_hh_emih_in!U21=0,0,SER_hh_emih_in!U21/SER_summary!U$27)</f>
        <v>0</v>
      </c>
      <c r="V21" s="132">
        <f>IF(SER_hh_emih_in!V21=0,0,SER_hh_emih_in!V21/SER_summary!V$27)</f>
        <v>0</v>
      </c>
      <c r="W21" s="132">
        <f>IF(SER_hh_emih_in!W21=0,0,SER_hh_emih_in!W21/SER_summary!W$27)</f>
        <v>0</v>
      </c>
      <c r="X21" s="132">
        <f>IF(SER_hh_emih_in!X21=0,0,SER_hh_emih_in!X21/SER_summary!X$27)</f>
        <v>0</v>
      </c>
      <c r="Y21" s="132">
        <f>IF(SER_hh_emih_in!Y21=0,0,SER_hh_emih_in!Y21/SER_summary!Y$27)</f>
        <v>0</v>
      </c>
      <c r="DA21" s="156" t="s">
        <v>897</v>
      </c>
    </row>
    <row r="22" spans="1:105" ht="12" customHeight="1" x14ac:dyDescent="0.25">
      <c r="A22" s="131" t="s">
        <v>161</v>
      </c>
      <c r="B22" s="132"/>
      <c r="C22" s="132">
        <f>IF(SER_hh_emih_in!C22=0,0,SER_hh_emih_in!C22/SER_summary!C$27)</f>
        <v>8.8021925451225727</v>
      </c>
      <c r="D22" s="132">
        <f>IF(SER_hh_emih_in!D22=0,0,SER_hh_emih_in!D22/SER_summary!D$27)</f>
        <v>8.8905606130740544</v>
      </c>
      <c r="E22" s="132">
        <f>IF(SER_hh_emih_in!E22=0,0,SER_hh_emih_in!E22/SER_summary!E$27)</f>
        <v>8.8734634393588756</v>
      </c>
      <c r="F22" s="132">
        <f>IF(SER_hh_emih_in!F22=0,0,SER_hh_emih_in!F22/SER_summary!F$27)</f>
        <v>8.7818256816511173</v>
      </c>
      <c r="G22" s="132">
        <f>IF(SER_hh_emih_in!G22=0,0,SER_hh_emih_in!G22/SER_summary!G$27)</f>
        <v>8.6686130125044816</v>
      </c>
      <c r="H22" s="132">
        <f>IF(SER_hh_emih_in!H22=0,0,SER_hh_emih_in!H22/SER_summary!H$27)</f>
        <v>8.6979615249739108</v>
      </c>
      <c r="I22" s="132">
        <f>IF(SER_hh_emih_in!I22=0,0,SER_hh_emih_in!I22/SER_summary!I$27)</f>
        <v>8.5787807730541612</v>
      </c>
      <c r="J22" s="132">
        <f>IF(SER_hh_emih_in!J22=0,0,SER_hh_emih_in!J22/SER_summary!J$27)</f>
        <v>8.4080934326551535</v>
      </c>
      <c r="K22" s="132">
        <f>IF(SER_hh_emih_in!K22=0,0,SER_hh_emih_in!K22/SER_summary!K$27)</f>
        <v>8.1155906314940314</v>
      </c>
      <c r="L22" s="132">
        <f>IF(SER_hh_emih_in!L22=0,0,SER_hh_emih_in!L22/SER_summary!L$27)</f>
        <v>8.4119003305090541</v>
      </c>
      <c r="M22" s="132">
        <f>IF(SER_hh_emih_in!M22=0,0,SER_hh_emih_in!M22/SER_summary!M$27)</f>
        <v>8.2355242629487666</v>
      </c>
      <c r="N22" s="132">
        <f>IF(SER_hh_emih_in!N22=0,0,SER_hh_emih_in!N22/SER_summary!N$27)</f>
        <v>7.9593579676110595</v>
      </c>
      <c r="O22" s="132">
        <f>IF(SER_hh_emih_in!O22=0,0,SER_hh_emih_in!O22/SER_summary!O$27)</f>
        <v>7.7430547418613154</v>
      </c>
      <c r="P22" s="132">
        <f>IF(SER_hh_emih_in!P22=0,0,SER_hh_emih_in!P22/SER_summary!P$27)</f>
        <v>7.2083756527154534</v>
      </c>
      <c r="Q22" s="132">
        <f>IF(SER_hh_emih_in!Q22=0,0,SER_hh_emih_in!Q22/SER_summary!Q$27)</f>
        <v>6.9783733106343622</v>
      </c>
      <c r="R22" s="132">
        <f>IF(SER_hh_emih_in!R22=0,0,SER_hh_emih_in!R22/SER_summary!R$27)</f>
        <v>7.1173807879965878</v>
      </c>
      <c r="S22" s="132">
        <f>IF(SER_hh_emih_in!S22=0,0,SER_hh_emih_in!S22/SER_summary!S$27)</f>
        <v>6.6168820351625772</v>
      </c>
      <c r="T22" s="132">
        <f>IF(SER_hh_emih_in!T22=0,0,SER_hh_emih_in!T22/SER_summary!T$27)</f>
        <v>6.1563114982591145</v>
      </c>
      <c r="U22" s="132">
        <f>IF(SER_hh_emih_in!U22=0,0,SER_hh_emih_in!U22/SER_summary!U$27)</f>
        <v>6.1939396819115409</v>
      </c>
      <c r="V22" s="132">
        <f>IF(SER_hh_emih_in!V22=0,0,SER_hh_emih_in!V22/SER_summary!V$27)</f>
        <v>5.633842079144836</v>
      </c>
      <c r="W22" s="132">
        <f>IF(SER_hh_emih_in!W22=0,0,SER_hh_emih_in!W22/SER_summary!W$27)</f>
        <v>6.3755898209240494</v>
      </c>
      <c r="X22" s="132">
        <f>IF(SER_hh_emih_in!X22=0,0,SER_hh_emih_in!X22/SER_summary!X$27)</f>
        <v>5.9681173527607214</v>
      </c>
      <c r="Y22" s="132">
        <f>IF(SER_hh_emih_in!Y22=0,0,SER_hh_emih_in!Y22/SER_summary!Y$27)</f>
        <v>5.754909212029931</v>
      </c>
      <c r="DA22" s="156" t="s">
        <v>898</v>
      </c>
    </row>
    <row r="23" spans="1:105" ht="12" customHeight="1" x14ac:dyDescent="0.25">
      <c r="A23" s="131" t="s">
        <v>149</v>
      </c>
      <c r="B23" s="132"/>
      <c r="C23" s="132">
        <f>IF(SER_hh_emih_in!C23=0,0,SER_hh_emih_in!C23/SER_summary!C$27)</f>
        <v>4.9294010436680651</v>
      </c>
      <c r="D23" s="132">
        <f>IF(SER_hh_emih_in!D23=0,0,SER_hh_emih_in!D23/SER_summary!D$27)</f>
        <v>4.6982694547169164</v>
      </c>
      <c r="E23" s="132">
        <f>IF(SER_hh_emih_in!E23=0,0,SER_hh_emih_in!E23/SER_summary!E$27)</f>
        <v>4.4542273457414341</v>
      </c>
      <c r="F23" s="132">
        <f>IF(SER_hh_emih_in!F23=0,0,SER_hh_emih_in!F23/SER_summary!F$27)</f>
        <v>4.2891973839466386</v>
      </c>
      <c r="G23" s="132">
        <f>IF(SER_hh_emih_in!G23=0,0,SER_hh_emih_in!G23/SER_summary!G$27)</f>
        <v>4.3871459799855987</v>
      </c>
      <c r="H23" s="132">
        <f>IF(SER_hh_emih_in!H23=0,0,SER_hh_emih_in!H23/SER_summary!H$27)</f>
        <v>4.2461822756516066</v>
      </c>
      <c r="I23" s="132">
        <f>IF(SER_hh_emih_in!I23=0,0,SER_hh_emih_in!I23/SER_summary!I$27)</f>
        <v>4.1344724754694457</v>
      </c>
      <c r="J23" s="132">
        <f>IF(SER_hh_emih_in!J23=0,0,SER_hh_emih_in!J23/SER_summary!J$27)</f>
        <v>4.087030345179067</v>
      </c>
      <c r="K23" s="132">
        <f>IF(SER_hh_emih_in!K23=0,0,SER_hh_emih_in!K23/SER_summary!K$27)</f>
        <v>4.062151204841717</v>
      </c>
      <c r="L23" s="132">
        <f>IF(SER_hh_emih_in!L23=0,0,SER_hh_emih_in!L23/SER_summary!L$27)</f>
        <v>4.072178177177511</v>
      </c>
      <c r="M23" s="132">
        <f>IF(SER_hh_emih_in!M23=0,0,SER_hh_emih_in!M23/SER_summary!M$27)</f>
        <v>3.9780133687905961</v>
      </c>
      <c r="N23" s="132">
        <f>IF(SER_hh_emih_in!N23=0,0,SER_hh_emih_in!N23/SER_summary!N$27)</f>
        <v>3.2710243403041588</v>
      </c>
      <c r="O23" s="132">
        <f>IF(SER_hh_emih_in!O23=0,0,SER_hh_emih_in!O23/SER_summary!O$27)</f>
        <v>3.7052595679080613</v>
      </c>
      <c r="P23" s="132">
        <f>IF(SER_hh_emih_in!P23=0,0,SER_hh_emih_in!P23/SER_summary!P$27)</f>
        <v>3.335892174691554</v>
      </c>
      <c r="Q23" s="132">
        <f>IF(SER_hh_emih_in!Q23=0,0,SER_hh_emih_in!Q23/SER_summary!Q$27)</f>
        <v>3.3617647871599852</v>
      </c>
      <c r="R23" s="132">
        <f>IF(SER_hh_emih_in!R23=0,0,SER_hh_emih_in!R23/SER_summary!R$27)</f>
        <v>3.3021355801928975</v>
      </c>
      <c r="S23" s="132">
        <f>IF(SER_hh_emih_in!S23=0,0,SER_hh_emih_in!S23/SER_summary!S$27)</f>
        <v>3.0983065515240296</v>
      </c>
      <c r="T23" s="132">
        <f>IF(SER_hh_emih_in!T23=0,0,SER_hh_emih_in!T23/SER_summary!T$27)</f>
        <v>2.646060513265128</v>
      </c>
      <c r="U23" s="132">
        <f>IF(SER_hh_emih_in!U23=0,0,SER_hh_emih_in!U23/SER_summary!U$27)</f>
        <v>2.7196540753949279</v>
      </c>
      <c r="V23" s="132">
        <f>IF(SER_hh_emih_in!V23=0,0,SER_hh_emih_in!V23/SER_summary!V$27)</f>
        <v>2.5139097577087646</v>
      </c>
      <c r="W23" s="132">
        <f>IF(SER_hh_emih_in!W23=0,0,SER_hh_emih_in!W23/SER_summary!W$27)</f>
        <v>3.1757804299756551</v>
      </c>
      <c r="X23" s="132">
        <f>IF(SER_hh_emih_in!X23=0,0,SER_hh_emih_in!X23/SER_summary!X$27)</f>
        <v>2.6817972623867701</v>
      </c>
      <c r="Y23" s="132">
        <f>IF(SER_hh_emih_in!Y23=0,0,SER_hh_emih_in!Y23/SER_summary!Y$27)</f>
        <v>0</v>
      </c>
      <c r="DA23" s="156" t="s">
        <v>899</v>
      </c>
    </row>
    <row r="24" spans="1:105" ht="12" customHeight="1" x14ac:dyDescent="0.25">
      <c r="A24" s="131" t="s">
        <v>128</v>
      </c>
      <c r="B24" s="132"/>
      <c r="C24" s="132">
        <f>IF(SER_hh_emih_in!C24=0,0,SER_hh_emih_in!C24/SER_summary!C$27)</f>
        <v>0</v>
      </c>
      <c r="D24" s="132">
        <f>IF(SER_hh_emih_in!D24=0,0,SER_hh_emih_in!D24/SER_summary!D$27)</f>
        <v>0</v>
      </c>
      <c r="E24" s="132">
        <f>IF(SER_hh_emih_in!E24=0,0,SER_hh_emih_in!E24/SER_summary!E$27)</f>
        <v>0</v>
      </c>
      <c r="F24" s="132">
        <f>IF(SER_hh_emih_in!F24=0,0,SER_hh_emih_in!F24/SER_summary!F$27)</f>
        <v>0</v>
      </c>
      <c r="G24" s="132">
        <f>IF(SER_hh_emih_in!G24=0,0,SER_hh_emih_in!G24/SER_summary!G$27)</f>
        <v>0</v>
      </c>
      <c r="H24" s="132">
        <f>IF(SER_hh_emih_in!H24=0,0,SER_hh_emih_in!H24/SER_summary!H$27)</f>
        <v>0</v>
      </c>
      <c r="I24" s="132">
        <f>IF(SER_hh_emih_in!I24=0,0,SER_hh_emih_in!I24/SER_summary!I$27)</f>
        <v>0</v>
      </c>
      <c r="J24" s="132">
        <f>IF(SER_hh_emih_in!J24=0,0,SER_hh_emih_in!J24/SER_summary!J$27)</f>
        <v>0.70514015755835657</v>
      </c>
      <c r="K24" s="132">
        <f>IF(SER_hh_emih_in!K24=0,0,SER_hh_emih_in!K24/SER_summary!K$27)</f>
        <v>0.22989738902939749</v>
      </c>
      <c r="L24" s="132">
        <f>IF(SER_hh_emih_in!L24=0,0,SER_hh_emih_in!L24/SER_summary!L$27)</f>
        <v>0.26211640557962496</v>
      </c>
      <c r="M24" s="132">
        <f>IF(SER_hh_emih_in!M24=0,0,SER_hh_emih_in!M24/SER_summary!M$27)</f>
        <v>0.3369949851186963</v>
      </c>
      <c r="N24" s="132">
        <f>IF(SER_hh_emih_in!N24=0,0,SER_hh_emih_in!N24/SER_summary!N$27)</f>
        <v>0.23188436692990491</v>
      </c>
      <c r="O24" s="132">
        <f>IF(SER_hh_emih_in!O24=0,0,SER_hh_emih_in!O24/SER_summary!O$27)</f>
        <v>7.3473662689544902E-2</v>
      </c>
      <c r="P24" s="132">
        <f>IF(SER_hh_emih_in!P24=0,0,SER_hh_emih_in!P24/SER_summary!P$27)</f>
        <v>0.15999492543356059</v>
      </c>
      <c r="Q24" s="132">
        <f>IF(SER_hh_emih_in!Q24=0,0,SER_hh_emih_in!Q24/SER_summary!Q$27)</f>
        <v>0.17569928474857635</v>
      </c>
      <c r="R24" s="132">
        <f>IF(SER_hh_emih_in!R24=0,0,SER_hh_emih_in!R24/SER_summary!R$27)</f>
        <v>0.19067326299481949</v>
      </c>
      <c r="S24" s="132">
        <f>IF(SER_hh_emih_in!S24=0,0,SER_hh_emih_in!S24/SER_summary!S$27)</f>
        <v>0.16701774571733452</v>
      </c>
      <c r="T24" s="132">
        <f>IF(SER_hh_emih_in!T24=0,0,SER_hh_emih_in!T24/SER_summary!T$27)</f>
        <v>0.19456740447367549</v>
      </c>
      <c r="U24" s="132">
        <f>IF(SER_hh_emih_in!U24=0,0,SER_hh_emih_in!U24/SER_summary!U$27)</f>
        <v>0.14196637569890164</v>
      </c>
      <c r="V24" s="132">
        <f>IF(SER_hh_emih_in!V24=0,0,SER_hh_emih_in!V24/SER_summary!V$27)</f>
        <v>0.1685803286273389</v>
      </c>
      <c r="W24" s="132">
        <f>IF(SER_hh_emih_in!W24=0,0,SER_hh_emih_in!W24/SER_summary!W$27)</f>
        <v>0.20163670819269025</v>
      </c>
      <c r="X24" s="132">
        <f>IF(SER_hh_emih_in!X24=0,0,SER_hh_emih_in!X24/SER_summary!X$27)</f>
        <v>1.3784761719788532</v>
      </c>
      <c r="Y24" s="132">
        <f>IF(SER_hh_emih_in!Y24=0,0,SER_hh_emih_in!Y24/SER_summary!Y$27)</f>
        <v>0.15318735767609695</v>
      </c>
      <c r="DA24" s="156" t="s">
        <v>900</v>
      </c>
    </row>
    <row r="25" spans="1:105" ht="12" customHeight="1" x14ac:dyDescent="0.25">
      <c r="A25" s="131" t="s">
        <v>162</v>
      </c>
      <c r="B25" s="132"/>
      <c r="C25" s="132">
        <f>IF(SER_hh_emih_in!C25=0,0,SER_hh_emih_in!C25/SER_summary!C$27)</f>
        <v>0</v>
      </c>
      <c r="D25" s="132">
        <f>IF(SER_hh_emih_in!D25=0,0,SER_hh_emih_in!D25/SER_summary!D$27)</f>
        <v>0</v>
      </c>
      <c r="E25" s="132">
        <f>IF(SER_hh_emih_in!E25=0,0,SER_hh_emih_in!E25/SER_summary!E$27)</f>
        <v>0</v>
      </c>
      <c r="F25" s="132">
        <f>IF(SER_hh_emih_in!F25=0,0,SER_hh_emih_in!F25/SER_summary!F$27)</f>
        <v>0</v>
      </c>
      <c r="G25" s="132">
        <f>IF(SER_hh_emih_in!G25=0,0,SER_hh_emih_in!G25/SER_summary!G$27)</f>
        <v>0</v>
      </c>
      <c r="H25" s="132">
        <f>IF(SER_hh_emih_in!H25=0,0,SER_hh_emih_in!H25/SER_summary!H$27)</f>
        <v>0</v>
      </c>
      <c r="I25" s="132">
        <f>IF(SER_hh_emih_in!I25=0,0,SER_hh_emih_in!I25/SER_summary!I$27)</f>
        <v>0</v>
      </c>
      <c r="J25" s="132">
        <f>IF(SER_hh_emih_in!J25=0,0,SER_hh_emih_in!J25/SER_summary!J$27)</f>
        <v>0</v>
      </c>
      <c r="K25" s="132">
        <f>IF(SER_hh_emih_in!K25=0,0,SER_hh_emih_in!K25/SER_summary!K$27)</f>
        <v>0</v>
      </c>
      <c r="L25" s="132">
        <f>IF(SER_hh_emih_in!L25=0,0,SER_hh_emih_in!L25/SER_summary!L$27)</f>
        <v>0</v>
      </c>
      <c r="M25" s="132">
        <f>IF(SER_hh_emih_in!M25=0,0,SER_hh_emih_in!M25/SER_summary!M$27)</f>
        <v>0</v>
      </c>
      <c r="N25" s="132">
        <f>IF(SER_hh_emih_in!N25=0,0,SER_hh_emih_in!N25/SER_summary!N$27)</f>
        <v>0</v>
      </c>
      <c r="O25" s="132">
        <f>IF(SER_hh_emih_in!O25=0,0,SER_hh_emih_in!O25/SER_summary!O$27)</f>
        <v>0</v>
      </c>
      <c r="P25" s="132">
        <f>IF(SER_hh_emih_in!P25=0,0,SER_hh_emih_in!P25/SER_summary!P$27)</f>
        <v>0</v>
      </c>
      <c r="Q25" s="132">
        <f>IF(SER_hh_emih_in!Q25=0,0,SER_hh_emih_in!Q25/SER_summary!Q$27)</f>
        <v>0</v>
      </c>
      <c r="R25" s="132">
        <f>IF(SER_hh_emih_in!R25=0,0,SER_hh_emih_in!R25/SER_summary!R$27)</f>
        <v>0</v>
      </c>
      <c r="S25" s="132">
        <f>IF(SER_hh_emih_in!S25=0,0,SER_hh_emih_in!S25/SER_summary!S$27)</f>
        <v>0</v>
      </c>
      <c r="T25" s="132">
        <f>IF(SER_hh_emih_in!T25=0,0,SER_hh_emih_in!T25/SER_summary!T$27)</f>
        <v>0</v>
      </c>
      <c r="U25" s="132">
        <f>IF(SER_hh_emih_in!U25=0,0,SER_hh_emih_in!U25/SER_summary!U$27)</f>
        <v>0</v>
      </c>
      <c r="V25" s="132">
        <f>IF(SER_hh_emih_in!V25=0,0,SER_hh_emih_in!V25/SER_summary!V$27)</f>
        <v>0</v>
      </c>
      <c r="W25" s="132">
        <f>IF(SER_hh_emih_in!W25=0,0,SER_hh_emih_in!W25/SER_summary!W$27)</f>
        <v>0</v>
      </c>
      <c r="X25" s="132">
        <f>IF(SER_hh_emih_in!X25=0,0,SER_hh_emih_in!X25/SER_summary!X$27)</f>
        <v>0</v>
      </c>
      <c r="Y25" s="132">
        <f>IF(SER_hh_emih_in!Y25=0,0,SER_hh_emih_in!Y25/SER_summary!Y$27)</f>
        <v>0</v>
      </c>
      <c r="DA25" s="156" t="s">
        <v>901</v>
      </c>
    </row>
    <row r="26" spans="1:105" ht="12" customHeight="1" x14ac:dyDescent="0.25">
      <c r="A26" s="131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X26" s="65">
        <f>IF(SER_hh_emih_in!X26=0,0,SER_hh_emih_in!X26/SER_summary!X$27)</f>
        <v>0</v>
      </c>
      <c r="Y26" s="65">
        <f>IF(SER_hh_emih_in!Y26=0,0,SER_hh_emih_in!Y26/SER_summary!Y$27)</f>
        <v>0</v>
      </c>
      <c r="DA26" s="109" t="s">
        <v>902</v>
      </c>
    </row>
    <row r="27" spans="1:105" ht="12" customHeight="1" x14ac:dyDescent="0.25">
      <c r="A27" s="144" t="s">
        <v>86</v>
      </c>
      <c r="B27" s="147"/>
      <c r="C27" s="145">
        <f>IF(SER_hh_emih_in!C27=0,0,SER_hh_emih_in!C27/SER_summary!C$27)</f>
        <v>0</v>
      </c>
      <c r="D27" s="145">
        <f>IF(SER_hh_emih_in!D27=0,0,SER_hh_emih_in!D27/SER_summary!D$27)</f>
        <v>0</v>
      </c>
      <c r="E27" s="145">
        <f>IF(SER_hh_emih_in!E27=0,0,SER_hh_emih_in!E27/SER_summary!E$27)</f>
        <v>0</v>
      </c>
      <c r="F27" s="145">
        <f>IF(SER_hh_emih_in!F27=0,0,SER_hh_emih_in!F27/SER_summary!F$27)</f>
        <v>0</v>
      </c>
      <c r="G27" s="145">
        <f>IF(SER_hh_emih_in!G27=0,0,SER_hh_emih_in!G27/SER_summary!G$27)</f>
        <v>0</v>
      </c>
      <c r="H27" s="145">
        <f>IF(SER_hh_emih_in!H27=0,0,SER_hh_emih_in!H27/SER_summary!H$27)</f>
        <v>0</v>
      </c>
      <c r="I27" s="145">
        <f>IF(SER_hh_emih_in!I27=0,0,SER_hh_emih_in!I27/SER_summary!I$27)</f>
        <v>0</v>
      </c>
      <c r="J27" s="145">
        <f>IF(SER_hh_emih_in!J27=0,0,SER_hh_emih_in!J27/SER_summary!J$27)</f>
        <v>0</v>
      </c>
      <c r="K27" s="145">
        <f>IF(SER_hh_emih_in!K27=0,0,SER_hh_emih_in!K27/SER_summary!K$27)</f>
        <v>0</v>
      </c>
      <c r="L27" s="145">
        <f>IF(SER_hh_emih_in!L27=0,0,SER_hh_emih_in!L27/SER_summary!L$27)</f>
        <v>0</v>
      </c>
      <c r="M27" s="145">
        <f>IF(SER_hh_emih_in!M27=0,0,SER_hh_emih_in!M27/SER_summary!M$27)</f>
        <v>0</v>
      </c>
      <c r="N27" s="145">
        <f>IF(SER_hh_emih_in!N27=0,0,SER_hh_emih_in!N27/SER_summary!N$27)</f>
        <v>0</v>
      </c>
      <c r="O27" s="145">
        <f>IF(SER_hh_emih_in!O27=0,0,SER_hh_emih_in!O27/SER_summary!O$27)</f>
        <v>0</v>
      </c>
      <c r="P27" s="145">
        <f>IF(SER_hh_emih_in!P27=0,0,SER_hh_emih_in!P27/SER_summary!P$27)</f>
        <v>0</v>
      </c>
      <c r="Q27" s="145">
        <f>IF(SER_hh_emih_in!Q27=0,0,SER_hh_emih_in!Q27/SER_summary!Q$27)</f>
        <v>0</v>
      </c>
      <c r="R27" s="145">
        <f>IF(SER_hh_emih_in!R27=0,0,SER_hh_emih_in!R27/SER_summary!R$27)</f>
        <v>0</v>
      </c>
      <c r="S27" s="145">
        <f>IF(SER_hh_emih_in!S27=0,0,SER_hh_emih_in!S27/SER_summary!S$27)</f>
        <v>0</v>
      </c>
      <c r="T27" s="145">
        <f>IF(SER_hh_emih_in!T27=0,0,SER_hh_emih_in!T27/SER_summary!T$27)</f>
        <v>0</v>
      </c>
      <c r="U27" s="145">
        <f>IF(SER_hh_emih_in!U27=0,0,SER_hh_emih_in!U27/SER_summary!U$27)</f>
        <v>0</v>
      </c>
      <c r="V27" s="145">
        <f>IF(SER_hh_emih_in!V27=0,0,SER_hh_emih_in!V27/SER_summary!V$27)</f>
        <v>0</v>
      </c>
      <c r="W27" s="145">
        <f>IF(SER_hh_emih_in!W27=0,0,SER_hh_emih_in!W27/SER_summary!W$27)</f>
        <v>0</v>
      </c>
      <c r="X27" s="145">
        <f>IF(SER_hh_emih_in!X27=0,0,SER_hh_emih_in!X27/SER_summary!X$27)</f>
        <v>0</v>
      </c>
      <c r="Y27" s="145">
        <f>IF(SER_hh_emih_in!Y27=0,0,SER_hh_emih_in!Y27/SER_summary!Y$27)</f>
        <v>0</v>
      </c>
      <c r="DA27" s="158" t="s">
        <v>903</v>
      </c>
    </row>
    <row r="28" spans="1:105" ht="12" customHeight="1" x14ac:dyDescent="0.25">
      <c r="A28" s="78" t="s">
        <v>85</v>
      </c>
      <c r="B28" s="68"/>
      <c r="C28" s="146">
        <f>IF(SER_hh_emih_in!C28=0,0,SER_hh_emih_in!C28/SER_summary!C$27)</f>
        <v>0</v>
      </c>
      <c r="D28" s="146">
        <f>IF(SER_hh_emih_in!D28=0,0,SER_hh_emih_in!D28/SER_summary!D$27)</f>
        <v>0</v>
      </c>
      <c r="E28" s="146">
        <f>IF(SER_hh_emih_in!E28=0,0,SER_hh_emih_in!E28/SER_summary!E$27)</f>
        <v>0</v>
      </c>
      <c r="F28" s="146">
        <f>IF(SER_hh_emih_in!F28=0,0,SER_hh_emih_in!F28/SER_summary!F$27)</f>
        <v>0</v>
      </c>
      <c r="G28" s="146">
        <f>IF(SER_hh_emih_in!G28=0,0,SER_hh_emih_in!G28/SER_summary!G$27)</f>
        <v>0</v>
      </c>
      <c r="H28" s="146">
        <f>IF(SER_hh_emih_in!H28=0,0,SER_hh_emih_in!H28/SER_summary!H$27)</f>
        <v>0</v>
      </c>
      <c r="I28" s="146">
        <f>IF(SER_hh_emih_in!I28=0,0,SER_hh_emih_in!I28/SER_summary!I$27)</f>
        <v>0</v>
      </c>
      <c r="J28" s="146">
        <f>IF(SER_hh_emih_in!J28=0,0,SER_hh_emih_in!J28/SER_summary!J$27)</f>
        <v>0</v>
      </c>
      <c r="K28" s="146">
        <f>IF(SER_hh_emih_in!K28=0,0,SER_hh_emih_in!K28/SER_summary!K$27)</f>
        <v>0</v>
      </c>
      <c r="L28" s="146">
        <f>IF(SER_hh_emih_in!L28=0,0,SER_hh_emih_in!L28/SER_summary!L$27)</f>
        <v>0</v>
      </c>
      <c r="M28" s="146">
        <f>IF(SER_hh_emih_in!M28=0,0,SER_hh_emih_in!M28/SER_summary!M$27)</f>
        <v>0</v>
      </c>
      <c r="N28" s="146">
        <f>IF(SER_hh_emih_in!N28=0,0,SER_hh_emih_in!N28/SER_summary!N$27)</f>
        <v>0</v>
      </c>
      <c r="O28" s="146">
        <f>IF(SER_hh_emih_in!O28=0,0,SER_hh_emih_in!O28/SER_summary!O$27)</f>
        <v>0</v>
      </c>
      <c r="P28" s="146">
        <f>IF(SER_hh_emih_in!P28=0,0,SER_hh_emih_in!P28/SER_summary!P$27)</f>
        <v>0</v>
      </c>
      <c r="Q28" s="146">
        <f>IF(SER_hh_emih_in!Q28=0,0,SER_hh_emih_in!Q28/SER_summary!Q$27)</f>
        <v>0</v>
      </c>
      <c r="R28" s="146">
        <f>IF(SER_hh_emih_in!R28=0,0,SER_hh_emih_in!R28/SER_summary!R$27)</f>
        <v>0</v>
      </c>
      <c r="S28" s="146">
        <f>IF(SER_hh_emih_in!S28=0,0,SER_hh_emih_in!S28/SER_summary!S$27)</f>
        <v>0</v>
      </c>
      <c r="T28" s="146">
        <f>IF(SER_hh_emih_in!T28=0,0,SER_hh_emih_in!T28/SER_summary!T$27)</f>
        <v>0</v>
      </c>
      <c r="U28" s="146">
        <f>IF(SER_hh_emih_in!U28=0,0,SER_hh_emih_in!U28/SER_summary!U$27)</f>
        <v>0</v>
      </c>
      <c r="V28" s="146">
        <f>IF(SER_hh_emih_in!V28=0,0,SER_hh_emih_in!V28/SER_summary!V$27)</f>
        <v>0</v>
      </c>
      <c r="W28" s="146">
        <f>IF(SER_hh_emih_in!W28=0,0,SER_hh_emih_in!W28/SER_summary!W$27)</f>
        <v>0</v>
      </c>
      <c r="X28" s="146">
        <f>IF(SER_hh_emih_in!X28=0,0,SER_hh_emih_in!X28/SER_summary!X$27)</f>
        <v>0</v>
      </c>
      <c r="Y28" s="146">
        <f>IF(SER_hh_emih_in!Y28=0,0,SER_hh_emih_in!Y28/SER_summary!Y$27)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IF(SER_hh_emih_in!C29=0,0,SER_hh_emih_in!C29/SER_summary!C$27)</f>
        <v>0.10237520599497565</v>
      </c>
      <c r="D29" s="130">
        <f>IF(SER_hh_emih_in!D29=0,0,SER_hh_emih_in!D29/SER_summary!D$27)</f>
        <v>0.10514051050765508</v>
      </c>
      <c r="E29" s="130">
        <f>IF(SER_hh_emih_in!E29=0,0,SER_hh_emih_in!E29/SER_summary!E$27)</f>
        <v>9.7244770927262941E-2</v>
      </c>
      <c r="F29" s="130">
        <f>IF(SER_hh_emih_in!F29=0,0,SER_hh_emih_in!F29/SER_summary!F$27)</f>
        <v>8.4826076434652314E-2</v>
      </c>
      <c r="G29" s="130">
        <f>IF(SER_hh_emih_in!G29=0,0,SER_hh_emih_in!G29/SER_summary!G$27)</f>
        <v>8.3116386891590677E-2</v>
      </c>
      <c r="H29" s="130">
        <f>IF(SER_hh_emih_in!H29=0,0,SER_hh_emih_in!H29/SER_summary!H$27)</f>
        <v>7.7953729531884466E-2</v>
      </c>
      <c r="I29" s="130">
        <f>IF(SER_hh_emih_in!I29=0,0,SER_hh_emih_in!I29/SER_summary!I$27)</f>
        <v>7.2082407429343784E-2</v>
      </c>
      <c r="J29" s="130">
        <f>IF(SER_hh_emih_in!J29=0,0,SER_hh_emih_in!J29/SER_summary!J$27)</f>
        <v>6.7070686711044714E-2</v>
      </c>
      <c r="K29" s="130">
        <f>IF(SER_hh_emih_in!K29=0,0,SER_hh_emih_in!K29/SER_summary!K$27)</f>
        <v>5.2459880680524491E-2</v>
      </c>
      <c r="L29" s="130">
        <f>IF(SER_hh_emih_in!L29=0,0,SER_hh_emih_in!L29/SER_summary!L$27)</f>
        <v>4.1952638037265261E-2</v>
      </c>
      <c r="M29" s="130">
        <f>IF(SER_hh_emih_in!M29=0,0,SER_hh_emih_in!M29/SER_summary!M$27)</f>
        <v>1.1155421125856631E-2</v>
      </c>
      <c r="N29" s="130">
        <f>IF(SER_hh_emih_in!N29=0,0,SER_hh_emih_in!N29/SER_summary!N$27)</f>
        <v>4.2441163645422914E-2</v>
      </c>
      <c r="O29" s="130">
        <f>IF(SER_hh_emih_in!O29=0,0,SER_hh_emih_in!O29/SER_summary!O$27)</f>
        <v>6.3824180693740754E-2</v>
      </c>
      <c r="P29" s="130">
        <f>IF(SER_hh_emih_in!P29=0,0,SER_hh_emih_in!P29/SER_summary!P$27)</f>
        <v>5.4526706517803919E-2</v>
      </c>
      <c r="Q29" s="130">
        <f>IF(SER_hh_emih_in!Q29=0,0,SER_hh_emih_in!Q29/SER_summary!Q$27)</f>
        <v>5.7722549661851218E-2</v>
      </c>
      <c r="R29" s="130">
        <f>IF(SER_hh_emih_in!R29=0,0,SER_hh_emih_in!R29/SER_summary!R$27)</f>
        <v>4.9949626969742908E-2</v>
      </c>
      <c r="S29" s="130">
        <f>IF(SER_hh_emih_in!S29=0,0,SER_hh_emih_in!S29/SER_summary!S$27)</f>
        <v>4.827209624178723E-2</v>
      </c>
      <c r="T29" s="130">
        <f>IF(SER_hh_emih_in!T29=0,0,SER_hh_emih_in!T29/SER_summary!T$27)</f>
        <v>2.2449311021242424E-2</v>
      </c>
      <c r="U29" s="130">
        <f>IF(SER_hh_emih_in!U29=0,0,SER_hh_emih_in!U29/SER_summary!U$27)</f>
        <v>3.2098089517279604E-2</v>
      </c>
      <c r="V29" s="130">
        <f>IF(SER_hh_emih_in!V29=0,0,SER_hh_emih_in!V29/SER_summary!V$27)</f>
        <v>3.9769098491726211E-2</v>
      </c>
      <c r="W29" s="130">
        <f>IF(SER_hh_emih_in!W29=0,0,SER_hh_emih_in!W29/SER_summary!W$27)</f>
        <v>1.5567963021943951E-2</v>
      </c>
      <c r="X29" s="130">
        <f>IF(SER_hh_emih_in!X29=0,0,SER_hh_emih_in!X29/SER_summary!X$27)</f>
        <v>1.2029296168008456E-2</v>
      </c>
      <c r="Y29" s="130">
        <f>IF(SER_hh_emih_in!Y29=0,0,SER_hh_emih_in!Y29/SER_summary!Y$27)</f>
        <v>5.4241436844566617E-3</v>
      </c>
      <c r="DA29" s="155" t="s">
        <v>904</v>
      </c>
    </row>
    <row r="30" spans="1:105" s="2" customFormat="1" ht="12" customHeight="1" x14ac:dyDescent="0.25">
      <c r="A30" s="131" t="s">
        <v>52</v>
      </c>
      <c r="B30" s="132"/>
      <c r="C30" s="132">
        <f>IF(SER_hh_emih_in!C30=0,0,SER_hh_emih_in!C30/SER_summary!C$27)</f>
        <v>0</v>
      </c>
      <c r="D30" s="132">
        <f>IF(SER_hh_emih_in!D30=0,0,SER_hh_emih_in!D30/SER_summary!D$27)</f>
        <v>0</v>
      </c>
      <c r="E30" s="132">
        <f>IF(SER_hh_emih_in!E30=0,0,SER_hh_emih_in!E30/SER_summary!E$27)</f>
        <v>0</v>
      </c>
      <c r="F30" s="132">
        <f>IF(SER_hh_emih_in!F30=0,0,SER_hh_emih_in!F30/SER_summary!F$27)</f>
        <v>0</v>
      </c>
      <c r="G30" s="132">
        <f>IF(SER_hh_emih_in!G30=0,0,SER_hh_emih_in!G30/SER_summary!G$27)</f>
        <v>0</v>
      </c>
      <c r="H30" s="132">
        <f>IF(SER_hh_emih_in!H30=0,0,SER_hh_emih_in!H30/SER_summary!H$27)</f>
        <v>0</v>
      </c>
      <c r="I30" s="132">
        <f>IF(SER_hh_emih_in!I30=0,0,SER_hh_emih_in!I30/SER_summary!I$27)</f>
        <v>0</v>
      </c>
      <c r="J30" s="132">
        <f>IF(SER_hh_emih_in!J30=0,0,SER_hh_emih_in!J30/SER_summary!J$27)</f>
        <v>0</v>
      </c>
      <c r="K30" s="132">
        <f>IF(SER_hh_emih_in!K30=0,0,SER_hh_emih_in!K30/SER_summary!K$27)</f>
        <v>0</v>
      </c>
      <c r="L30" s="132">
        <f>IF(SER_hh_emih_in!L30=0,0,SER_hh_emih_in!L30/SER_summary!L$27)</f>
        <v>0</v>
      </c>
      <c r="M30" s="132">
        <f>IF(SER_hh_emih_in!M30=0,0,SER_hh_emih_in!M30/SER_summary!M$27)</f>
        <v>0</v>
      </c>
      <c r="N30" s="132">
        <f>IF(SER_hh_emih_in!N30=0,0,SER_hh_emih_in!N30/SER_summary!N$27)</f>
        <v>0</v>
      </c>
      <c r="O30" s="132">
        <f>IF(SER_hh_emih_in!O30=0,0,SER_hh_emih_in!O30/SER_summary!O$27)</f>
        <v>0</v>
      </c>
      <c r="P30" s="132">
        <f>IF(SER_hh_emih_in!P30=0,0,SER_hh_emih_in!P30/SER_summary!P$27)</f>
        <v>0</v>
      </c>
      <c r="Q30" s="132">
        <f>IF(SER_hh_emih_in!Q30=0,0,SER_hh_emih_in!Q30/SER_summary!Q$27)</f>
        <v>0</v>
      </c>
      <c r="R30" s="132">
        <f>IF(SER_hh_emih_in!R30=0,0,SER_hh_emih_in!R30/SER_summary!R$27)</f>
        <v>0</v>
      </c>
      <c r="S30" s="132">
        <f>IF(SER_hh_emih_in!S30=0,0,SER_hh_emih_in!S30/SER_summary!S$27)</f>
        <v>0</v>
      </c>
      <c r="T30" s="132">
        <f>IF(SER_hh_emih_in!T30=0,0,SER_hh_emih_in!T30/SER_summary!T$27)</f>
        <v>0</v>
      </c>
      <c r="U30" s="132">
        <f>IF(SER_hh_emih_in!U30=0,0,SER_hh_emih_in!U30/SER_summary!U$27)</f>
        <v>0</v>
      </c>
      <c r="V30" s="132">
        <f>IF(SER_hh_emih_in!V30=0,0,SER_hh_emih_in!V30/SER_summary!V$27)</f>
        <v>0</v>
      </c>
      <c r="W30" s="132">
        <f>IF(SER_hh_emih_in!W30=0,0,SER_hh_emih_in!W30/SER_summary!W$27)</f>
        <v>0</v>
      </c>
      <c r="X30" s="132">
        <f>IF(SER_hh_emih_in!X30=0,0,SER_hh_emih_in!X30/SER_summary!X$27)</f>
        <v>0</v>
      </c>
      <c r="Y30" s="132">
        <f>IF(SER_hh_emih_in!Y30=0,0,SER_hh_emih_in!Y30/SER_summary!Y$27)</f>
        <v>0</v>
      </c>
      <c r="DA30" s="156" t="s">
        <v>905</v>
      </c>
    </row>
    <row r="31" spans="1:105" ht="12" customHeight="1" x14ac:dyDescent="0.25">
      <c r="A31" s="131" t="s">
        <v>149</v>
      </c>
      <c r="B31" s="132"/>
      <c r="C31" s="132">
        <f>IF(SER_hh_emih_in!C31=0,0,SER_hh_emih_in!C31/SER_summary!C$27)</f>
        <v>4.9049469320721588</v>
      </c>
      <c r="D31" s="132">
        <f>IF(SER_hh_emih_in!D31=0,0,SER_hh_emih_in!D31/SER_summary!D$27)</f>
        <v>4.7252508444286434</v>
      </c>
      <c r="E31" s="132">
        <f>IF(SER_hh_emih_in!E31=0,0,SER_hh_emih_in!E31/SER_summary!E$27)</f>
        <v>4.5332486956638052</v>
      </c>
      <c r="F31" s="132">
        <f>IF(SER_hh_emih_in!F31=0,0,SER_hh_emih_in!F31/SER_summary!F$27)</f>
        <v>4.3923775463905077</v>
      </c>
      <c r="G31" s="132">
        <f>IF(SER_hh_emih_in!G31=0,0,SER_hh_emih_in!G31/SER_summary!G$27)</f>
        <v>4.4994134905561003</v>
      </c>
      <c r="H31" s="132">
        <f>IF(SER_hh_emih_in!H31=0,0,SER_hh_emih_in!H31/SER_summary!H$27)</f>
        <v>4.5571267588484838</v>
      </c>
      <c r="I31" s="132">
        <f>IF(SER_hh_emih_in!I31=0,0,SER_hh_emih_in!I31/SER_summary!I$27)</f>
        <v>4.4632899324073145</v>
      </c>
      <c r="J31" s="132">
        <f>IF(SER_hh_emih_in!J31=0,0,SER_hh_emih_in!J31/SER_summary!J$27)</f>
        <v>4.4708477970897746</v>
      </c>
      <c r="K31" s="132">
        <f>IF(SER_hh_emih_in!K31=0,0,SER_hh_emih_in!K31/SER_summary!K$27)</f>
        <v>4.4714151409152079</v>
      </c>
      <c r="L31" s="132">
        <f>IF(SER_hh_emih_in!L31=0,0,SER_hh_emih_in!L31/SER_summary!L$27)</f>
        <v>4.5905005117144784</v>
      </c>
      <c r="M31" s="132">
        <f>IF(SER_hh_emih_in!M31=0,0,SER_hh_emih_in!M31/SER_summary!M$27)</f>
        <v>4.436949488870483</v>
      </c>
      <c r="N31" s="132">
        <f>IF(SER_hh_emih_in!N31=0,0,SER_hh_emih_in!N31/SER_summary!N$27)</f>
        <v>3.7820566139954206</v>
      </c>
      <c r="O31" s="132">
        <f>IF(SER_hh_emih_in!O31=0,0,SER_hh_emih_in!O31/SER_summary!O$27)</f>
        <v>4.5508838531503724</v>
      </c>
      <c r="P31" s="132">
        <f>IF(SER_hh_emih_in!P31=0,0,SER_hh_emih_in!P31/SER_summary!P$27)</f>
        <v>4.278980341298241</v>
      </c>
      <c r="Q31" s="132">
        <f>IF(SER_hh_emih_in!Q31=0,0,SER_hh_emih_in!Q31/SER_summary!Q$27)</f>
        <v>4.54440442158519</v>
      </c>
      <c r="R31" s="132">
        <f>IF(SER_hh_emih_in!R31=0,0,SER_hh_emih_in!R31/SER_summary!R$27)</f>
        <v>4.6176525109521496</v>
      </c>
      <c r="S31" s="132">
        <f>IF(SER_hh_emih_in!S31=0,0,SER_hh_emih_in!S31/SER_summary!S$27)</f>
        <v>4.3338242589049436</v>
      </c>
      <c r="T31" s="132">
        <f>IF(SER_hh_emih_in!T31=0,0,SER_hh_emih_in!T31/SER_summary!T$27)</f>
        <v>3.8436205923715256</v>
      </c>
      <c r="U31" s="132">
        <f>IF(SER_hh_emih_in!U31=0,0,SER_hh_emih_in!U31/SER_summary!U$27)</f>
        <v>4.0698298255277301</v>
      </c>
      <c r="V31" s="132">
        <f>IF(SER_hh_emih_in!V31=0,0,SER_hh_emih_in!V31/SER_summary!V$27)</f>
        <v>3.8255123823513477</v>
      </c>
      <c r="W31" s="132">
        <f>IF(SER_hh_emih_in!W31=0,0,SER_hh_emih_in!W31/SER_summary!W$27)</f>
        <v>5.3944032653554155</v>
      </c>
      <c r="X31" s="132">
        <f>IF(SER_hh_emih_in!X31=0,0,SER_hh_emih_in!X31/SER_summary!X$27)</f>
        <v>4.6160749349316879</v>
      </c>
      <c r="Y31" s="132">
        <f>IF(SER_hh_emih_in!Y31=0,0,SER_hh_emih_in!Y31/SER_summary!Y$27)</f>
        <v>2.7962453122957451</v>
      </c>
      <c r="DA31" s="156" t="s">
        <v>906</v>
      </c>
    </row>
    <row r="32" spans="1:105" ht="12" customHeight="1" x14ac:dyDescent="0.25">
      <c r="A32" s="131" t="s">
        <v>128</v>
      </c>
      <c r="B32" s="132"/>
      <c r="C32" s="132">
        <f>IF(SER_hh_emih_in!C32=0,0,SER_hh_emih_in!C32/SER_summary!C$27)</f>
        <v>0</v>
      </c>
      <c r="D32" s="132">
        <f>IF(SER_hh_emih_in!D32=0,0,SER_hh_emih_in!D32/SER_summary!D$27)</f>
        <v>0</v>
      </c>
      <c r="E32" s="132">
        <f>IF(SER_hh_emih_in!E32=0,0,SER_hh_emih_in!E32/SER_summary!E$27)</f>
        <v>0</v>
      </c>
      <c r="F32" s="132">
        <f>IF(SER_hh_emih_in!F32=0,0,SER_hh_emih_in!F32/SER_summary!F$27)</f>
        <v>0</v>
      </c>
      <c r="G32" s="132">
        <f>IF(SER_hh_emih_in!G32=0,0,SER_hh_emih_in!G32/SER_summary!G$27)</f>
        <v>0</v>
      </c>
      <c r="H32" s="132">
        <f>IF(SER_hh_emih_in!H32=0,0,SER_hh_emih_in!H32/SER_summary!H$27)</f>
        <v>0</v>
      </c>
      <c r="I32" s="132">
        <f>IF(SER_hh_emih_in!I32=0,0,SER_hh_emih_in!I32/SER_summary!I$27)</f>
        <v>0</v>
      </c>
      <c r="J32" s="132">
        <f>IF(SER_hh_emih_in!J32=0,0,SER_hh_emih_in!J32/SER_summary!J$27)</f>
        <v>0</v>
      </c>
      <c r="K32" s="132">
        <f>IF(SER_hh_emih_in!K32=0,0,SER_hh_emih_in!K32/SER_summary!K$27)</f>
        <v>0</v>
      </c>
      <c r="L32" s="132">
        <f>IF(SER_hh_emih_in!L32=0,0,SER_hh_emih_in!L32/SER_summary!L$27)</f>
        <v>0</v>
      </c>
      <c r="M32" s="132">
        <f>IF(SER_hh_emih_in!M32=0,0,SER_hh_emih_in!M32/SER_summary!M$27)</f>
        <v>0</v>
      </c>
      <c r="N32" s="132">
        <f>IF(SER_hh_emih_in!N32=0,0,SER_hh_emih_in!N32/SER_summary!N$27)</f>
        <v>0</v>
      </c>
      <c r="O32" s="132">
        <f>IF(SER_hh_emih_in!O32=0,0,SER_hh_emih_in!O32/SER_summary!O$27)</f>
        <v>0</v>
      </c>
      <c r="P32" s="132">
        <f>IF(SER_hh_emih_in!P32=0,0,SER_hh_emih_in!P32/SER_summary!P$27)</f>
        <v>0</v>
      </c>
      <c r="Q32" s="132">
        <f>IF(SER_hh_emih_in!Q32=0,0,SER_hh_emih_in!Q32/SER_summary!Q$27)</f>
        <v>0</v>
      </c>
      <c r="R32" s="132">
        <f>IF(SER_hh_emih_in!R32=0,0,SER_hh_emih_in!R32/SER_summary!R$27)</f>
        <v>0</v>
      </c>
      <c r="S32" s="132">
        <f>IF(SER_hh_emih_in!S32=0,0,SER_hh_emih_in!S32/SER_summary!S$27)</f>
        <v>0</v>
      </c>
      <c r="T32" s="132">
        <f>IF(SER_hh_emih_in!T32=0,0,SER_hh_emih_in!T32/SER_summary!T$27)</f>
        <v>0</v>
      </c>
      <c r="U32" s="132">
        <f>IF(SER_hh_emih_in!U32=0,0,SER_hh_emih_in!U32/SER_summary!U$27)</f>
        <v>0</v>
      </c>
      <c r="V32" s="132">
        <f>IF(SER_hh_emih_in!V32=0,0,SER_hh_emih_in!V32/SER_summary!V$27)</f>
        <v>0</v>
      </c>
      <c r="W32" s="132">
        <f>IF(SER_hh_emih_in!W32=0,0,SER_hh_emih_in!W32/SER_summary!W$27)</f>
        <v>0</v>
      </c>
      <c r="X32" s="132">
        <f>IF(SER_hh_emih_in!X32=0,0,SER_hh_emih_in!X32/SER_summary!X$27)</f>
        <v>0</v>
      </c>
      <c r="Y32" s="132">
        <f>IF(SER_hh_emih_in!Y32=0,0,SER_hh_emih_in!Y32/SER_summary!Y$27)</f>
        <v>0</v>
      </c>
      <c r="DA32" s="156" t="s">
        <v>907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X33" s="68">
        <f>IF(SER_hh_emih_in!X33=0,0,SER_hh_emih_in!X33/SER_summary!X$27)</f>
        <v>0</v>
      </c>
      <c r="Y33" s="68">
        <f>IF(SER_hh_emih_in!Y33=0,0,SER_hh_emih_in!Y33/SER_summary!Y$27)</f>
        <v>0</v>
      </c>
      <c r="DA33" s="111" t="s">
        <v>908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78" t="s">
        <v>81</v>
      </c>
      <c r="B3" s="179">
        <f t="shared" ref="B3" si="0">SUM(B4:B9)</f>
        <v>421.56757788359653</v>
      </c>
      <c r="C3" s="179">
        <f t="shared" ref="C3:W3" si="1">SUM(C4:C9)</f>
        <v>436.94858388552075</v>
      </c>
      <c r="D3" s="179">
        <f t="shared" si="1"/>
        <v>451.49925864392532</v>
      </c>
      <c r="E3" s="179">
        <f t="shared" si="1"/>
        <v>465.729241445924</v>
      </c>
      <c r="F3" s="179">
        <f t="shared" si="1"/>
        <v>481.94859471659356</v>
      </c>
      <c r="G3" s="179">
        <f t="shared" si="1"/>
        <v>499.21683158165695</v>
      </c>
      <c r="H3" s="179">
        <f t="shared" si="1"/>
        <v>513.53599752564708</v>
      </c>
      <c r="I3" s="179">
        <f t="shared" si="1"/>
        <v>529.06190879176143</v>
      </c>
      <c r="J3" s="179">
        <f t="shared" si="1"/>
        <v>539.87710397812532</v>
      </c>
      <c r="K3" s="179">
        <f t="shared" si="1"/>
        <v>548.7891467275125</v>
      </c>
      <c r="L3" s="179">
        <f t="shared" si="1"/>
        <v>556.7251426555905</v>
      </c>
      <c r="M3" s="179">
        <f t="shared" si="1"/>
        <v>558.84434662758349</v>
      </c>
      <c r="N3" s="179">
        <f t="shared" si="1"/>
        <v>563.40505585401854</v>
      </c>
      <c r="O3" s="179">
        <f t="shared" si="1"/>
        <v>569.83176324166834</v>
      </c>
      <c r="P3" s="179">
        <f t="shared" si="1"/>
        <v>576.92841405238778</v>
      </c>
      <c r="Q3" s="179">
        <f t="shared" si="1"/>
        <v>585.28251080548296</v>
      </c>
      <c r="R3" s="179">
        <f t="shared" si="1"/>
        <v>587.07094387178495</v>
      </c>
      <c r="S3" s="179">
        <f t="shared" si="1"/>
        <v>590.45643902827737</v>
      </c>
      <c r="T3" s="179">
        <f t="shared" si="1"/>
        <v>585.3542068835477</v>
      </c>
      <c r="U3" s="179">
        <f t="shared" si="1"/>
        <v>580.78260120673679</v>
      </c>
      <c r="V3" s="179">
        <f t="shared" si="1"/>
        <v>555.13212255936264</v>
      </c>
      <c r="W3" s="179">
        <f t="shared" si="1"/>
        <v>557.12465175666421</v>
      </c>
      <c r="X3" s="179">
        <f t="shared" ref="X3:Y3" si="2">SUM(X4:X9)</f>
        <v>553.20961047920287</v>
      </c>
      <c r="Y3" s="179">
        <f t="shared" si="2"/>
        <v>555.11073402124794</v>
      </c>
      <c r="DA3" s="188" t="s">
        <v>218</v>
      </c>
    </row>
    <row r="4" spans="1:105" ht="12" customHeight="1" x14ac:dyDescent="0.25">
      <c r="A4" s="131" t="s">
        <v>7</v>
      </c>
      <c r="B4" s="180">
        <f t="shared" ref="B4:B9" si="3">B12*B44/11630</f>
        <v>29.889189460909169</v>
      </c>
      <c r="C4" s="180">
        <f t="shared" ref="C4:R9" si="4">C12*C44/11630</f>
        <v>30.97205130939258</v>
      </c>
      <c r="D4" s="180">
        <f t="shared" si="4"/>
        <v>31.894468261306262</v>
      </c>
      <c r="E4" s="180">
        <f t="shared" si="4"/>
        <v>32.476739844302926</v>
      </c>
      <c r="F4" s="180">
        <f t="shared" si="4"/>
        <v>33.469510245085203</v>
      </c>
      <c r="G4" s="180">
        <f t="shared" si="4"/>
        <v>34.493402240245921</v>
      </c>
      <c r="H4" s="180">
        <f t="shared" si="4"/>
        <v>35.744936310450967</v>
      </c>
      <c r="I4" s="180">
        <f t="shared" si="4"/>
        <v>36.899529559696838</v>
      </c>
      <c r="J4" s="180">
        <f t="shared" si="4"/>
        <v>37.519143633466584</v>
      </c>
      <c r="K4" s="180">
        <f t="shared" si="4"/>
        <v>37.926060563598298</v>
      </c>
      <c r="L4" s="180">
        <f t="shared" si="4"/>
        <v>38.23723975513591</v>
      </c>
      <c r="M4" s="180">
        <f t="shared" si="4"/>
        <v>38.379453578519616</v>
      </c>
      <c r="N4" s="180">
        <f t="shared" si="4"/>
        <v>38.225879733871885</v>
      </c>
      <c r="O4" s="180">
        <f t="shared" si="4"/>
        <v>38.141747833378993</v>
      </c>
      <c r="P4" s="180">
        <f t="shared" si="4"/>
        <v>38.047270847684167</v>
      </c>
      <c r="Q4" s="180">
        <f t="shared" si="4"/>
        <v>37.956596160847617</v>
      </c>
      <c r="R4" s="180">
        <f t="shared" si="4"/>
        <v>37.743789143805493</v>
      </c>
      <c r="S4" s="180">
        <f t="shared" ref="D4:W9" si="5">S12*S44/11630</f>
        <v>37.589389858451085</v>
      </c>
      <c r="T4" s="180">
        <f t="shared" si="5"/>
        <v>37.414459337442196</v>
      </c>
      <c r="U4" s="180">
        <f t="shared" si="5"/>
        <v>37.327728034567201</v>
      </c>
      <c r="V4" s="180">
        <f t="shared" si="5"/>
        <v>37.257563083007163</v>
      </c>
      <c r="W4" s="180">
        <f t="shared" si="5"/>
        <v>37.233087945723106</v>
      </c>
      <c r="X4" s="180">
        <f t="shared" ref="X4:Y4" si="6">X12*X44/11630</f>
        <v>37.033561968906703</v>
      </c>
      <c r="Y4" s="180">
        <f t="shared" si="6"/>
        <v>36.766264085179635</v>
      </c>
      <c r="DA4" s="189" t="s">
        <v>909</v>
      </c>
    </row>
    <row r="5" spans="1:105" ht="12" customHeight="1" x14ac:dyDescent="0.25">
      <c r="A5" s="131" t="s">
        <v>6</v>
      </c>
      <c r="B5" s="180">
        <f t="shared" si="3"/>
        <v>88.538383696466227</v>
      </c>
      <c r="C5" s="180">
        <f t="shared" si="4"/>
        <v>88.565213634231085</v>
      </c>
      <c r="D5" s="180">
        <f t="shared" si="5"/>
        <v>88.926132971100742</v>
      </c>
      <c r="E5" s="180">
        <f t="shared" si="5"/>
        <v>89.415282197487016</v>
      </c>
      <c r="F5" s="180">
        <f t="shared" si="5"/>
        <v>89.755593867309571</v>
      </c>
      <c r="G5" s="180">
        <f t="shared" si="5"/>
        <v>90.283830471193738</v>
      </c>
      <c r="H5" s="180">
        <f t="shared" si="5"/>
        <v>90.770251983963831</v>
      </c>
      <c r="I5" s="180">
        <f t="shared" si="5"/>
        <v>91.262965543433324</v>
      </c>
      <c r="J5" s="180">
        <f t="shared" si="5"/>
        <v>92.268265081633814</v>
      </c>
      <c r="K5" s="180">
        <f t="shared" si="5"/>
        <v>93.733476638494452</v>
      </c>
      <c r="L5" s="180">
        <f t="shared" si="5"/>
        <v>95.037822036646375</v>
      </c>
      <c r="M5" s="180">
        <f t="shared" si="5"/>
        <v>96.150004043073451</v>
      </c>
      <c r="N5" s="180">
        <f t="shared" si="5"/>
        <v>97.398667126567688</v>
      </c>
      <c r="O5" s="180">
        <f t="shared" si="5"/>
        <v>98.764293723702067</v>
      </c>
      <c r="P5" s="180">
        <f t="shared" si="5"/>
        <v>100.2390115770645</v>
      </c>
      <c r="Q5" s="180">
        <f t="shared" si="5"/>
        <v>102.23955093634187</v>
      </c>
      <c r="R5" s="180">
        <f t="shared" si="5"/>
        <v>101.9330526895464</v>
      </c>
      <c r="S5" s="180">
        <f t="shared" si="5"/>
        <v>100.49974194827833</v>
      </c>
      <c r="T5" s="180">
        <f t="shared" si="5"/>
        <v>97.840845899468491</v>
      </c>
      <c r="U5" s="180">
        <f t="shared" si="5"/>
        <v>94.585038558298507</v>
      </c>
      <c r="V5" s="180">
        <f t="shared" si="5"/>
        <v>90.551830916946798</v>
      </c>
      <c r="W5" s="180">
        <f t="shared" si="5"/>
        <v>86.874006903828246</v>
      </c>
      <c r="X5" s="180">
        <f t="shared" ref="X5:Y5" si="7">X13*X45/11630</f>
        <v>83.121662021344349</v>
      </c>
      <c r="Y5" s="180">
        <f t="shared" si="7"/>
        <v>80.295440336173314</v>
      </c>
      <c r="DA5" s="189" t="s">
        <v>910</v>
      </c>
    </row>
    <row r="6" spans="1:105" ht="12" customHeight="1" x14ac:dyDescent="0.25">
      <c r="A6" s="131" t="s">
        <v>5</v>
      </c>
      <c r="B6" s="180">
        <f t="shared" si="3"/>
        <v>154.12319575813805</v>
      </c>
      <c r="C6" s="180">
        <f t="shared" si="4"/>
        <v>156.3154261429172</v>
      </c>
      <c r="D6" s="180">
        <f t="shared" si="5"/>
        <v>158.02569124159473</v>
      </c>
      <c r="E6" s="180">
        <f t="shared" si="5"/>
        <v>158.14253950019443</v>
      </c>
      <c r="F6" s="180">
        <f t="shared" si="5"/>
        <v>159.58580977075295</v>
      </c>
      <c r="G6" s="180">
        <f t="shared" si="5"/>
        <v>160.16285004599652</v>
      </c>
      <c r="H6" s="180">
        <f t="shared" si="5"/>
        <v>160.8481598876198</v>
      </c>
      <c r="I6" s="180">
        <f t="shared" si="5"/>
        <v>162.93087816690397</v>
      </c>
      <c r="J6" s="180">
        <f t="shared" si="5"/>
        <v>164.7901429980875</v>
      </c>
      <c r="K6" s="180">
        <f t="shared" si="5"/>
        <v>167.2161107443961</v>
      </c>
      <c r="L6" s="180">
        <f t="shared" si="5"/>
        <v>169.91176100056262</v>
      </c>
      <c r="M6" s="180">
        <f t="shared" si="5"/>
        <v>171.54888805812433</v>
      </c>
      <c r="N6" s="180">
        <f t="shared" si="5"/>
        <v>172.27612064249317</v>
      </c>
      <c r="O6" s="180">
        <f t="shared" si="5"/>
        <v>172.20774560857998</v>
      </c>
      <c r="P6" s="180">
        <f t="shared" si="5"/>
        <v>172.48853497469105</v>
      </c>
      <c r="Q6" s="180">
        <f t="shared" si="5"/>
        <v>171.49747365955875</v>
      </c>
      <c r="R6" s="180">
        <f t="shared" si="5"/>
        <v>169.10687383487948</v>
      </c>
      <c r="S6" s="180">
        <f t="shared" si="5"/>
        <v>165.22863515427571</v>
      </c>
      <c r="T6" s="180">
        <f t="shared" si="5"/>
        <v>158.27996288897791</v>
      </c>
      <c r="U6" s="180">
        <f t="shared" si="5"/>
        <v>150.53958611299925</v>
      </c>
      <c r="V6" s="180">
        <f t="shared" si="5"/>
        <v>132.06311930595689</v>
      </c>
      <c r="W6" s="180">
        <f t="shared" si="5"/>
        <v>129.54020851906253</v>
      </c>
      <c r="X6" s="180">
        <f t="shared" ref="X6:Y6" si="8">X14*X46/11630</f>
        <v>124.05260289215815</v>
      </c>
      <c r="Y6" s="180">
        <f t="shared" si="8"/>
        <v>117.51183291650904</v>
      </c>
      <c r="DA6" s="189" t="s">
        <v>911</v>
      </c>
    </row>
    <row r="7" spans="1:105" ht="12" customHeight="1" x14ac:dyDescent="0.25">
      <c r="A7" s="131" t="s">
        <v>171</v>
      </c>
      <c r="B7" s="180">
        <f t="shared" si="3"/>
        <v>60.067655721255697</v>
      </c>
      <c r="C7" s="180">
        <f t="shared" si="4"/>
        <v>65.892090970973129</v>
      </c>
      <c r="D7" s="180">
        <f t="shared" si="5"/>
        <v>71.050100470804864</v>
      </c>
      <c r="E7" s="180">
        <f t="shared" si="5"/>
        <v>76.692236286482284</v>
      </c>
      <c r="F7" s="180">
        <f t="shared" si="5"/>
        <v>81.066941034201562</v>
      </c>
      <c r="G7" s="180">
        <f t="shared" si="5"/>
        <v>84.561617943732259</v>
      </c>
      <c r="H7" s="180">
        <f t="shared" si="5"/>
        <v>85.569123322272404</v>
      </c>
      <c r="I7" s="180">
        <f t="shared" si="5"/>
        <v>86.803798939579082</v>
      </c>
      <c r="J7" s="180">
        <f t="shared" si="5"/>
        <v>87.604148838070529</v>
      </c>
      <c r="K7" s="180">
        <f t="shared" si="5"/>
        <v>88.210896073915137</v>
      </c>
      <c r="L7" s="180">
        <f t="shared" si="5"/>
        <v>88.88316677330323</v>
      </c>
      <c r="M7" s="180">
        <f t="shared" si="5"/>
        <v>87.825946827198038</v>
      </c>
      <c r="N7" s="180">
        <f t="shared" si="5"/>
        <v>87.074786017301406</v>
      </c>
      <c r="O7" s="180">
        <f t="shared" si="5"/>
        <v>86.565147040491084</v>
      </c>
      <c r="P7" s="180">
        <f t="shared" si="5"/>
        <v>86.251001074523018</v>
      </c>
      <c r="Q7" s="180">
        <f t="shared" si="5"/>
        <v>85.395341250945805</v>
      </c>
      <c r="R7" s="180">
        <f t="shared" si="5"/>
        <v>84.224804472368248</v>
      </c>
      <c r="S7" s="180">
        <f t="shared" si="5"/>
        <v>83.862322858754993</v>
      </c>
      <c r="T7" s="180">
        <f t="shared" si="5"/>
        <v>83.574274282422849</v>
      </c>
      <c r="U7" s="180">
        <f t="shared" si="5"/>
        <v>83.22093009450596</v>
      </c>
      <c r="V7" s="180">
        <f t="shared" si="5"/>
        <v>82.700573426201402</v>
      </c>
      <c r="W7" s="180">
        <f t="shared" si="5"/>
        <v>81.484385242671777</v>
      </c>
      <c r="X7" s="180">
        <f t="shared" ref="X7:Y7" si="9">X15*X47/11630</f>
        <v>80.213317006306681</v>
      </c>
      <c r="Y7" s="180">
        <f t="shared" si="9"/>
        <v>78.723892716600076</v>
      </c>
      <c r="DA7" s="189" t="s">
        <v>912</v>
      </c>
    </row>
    <row r="8" spans="1:105" ht="12" customHeight="1" x14ac:dyDescent="0.25">
      <c r="A8" s="60" t="s">
        <v>4</v>
      </c>
      <c r="B8" s="55">
        <f t="shared" si="3"/>
        <v>37.96550463274091</v>
      </c>
      <c r="C8" s="55">
        <f t="shared" si="4"/>
        <v>40.081068056446171</v>
      </c>
      <c r="D8" s="55">
        <f t="shared" si="5"/>
        <v>42.733915847830332</v>
      </c>
      <c r="E8" s="55">
        <f t="shared" si="5"/>
        <v>46.142745647413456</v>
      </c>
      <c r="F8" s="55">
        <f t="shared" si="5"/>
        <v>50.301223697234143</v>
      </c>
      <c r="G8" s="55">
        <f t="shared" si="5"/>
        <v>55.053538051131994</v>
      </c>
      <c r="H8" s="55">
        <f t="shared" si="5"/>
        <v>60.624059439632696</v>
      </c>
      <c r="I8" s="55">
        <f t="shared" si="5"/>
        <v>65.011761188356232</v>
      </c>
      <c r="J8" s="55">
        <f t="shared" si="5"/>
        <v>68.002513661378387</v>
      </c>
      <c r="K8" s="55">
        <f t="shared" si="5"/>
        <v>69.964520819069051</v>
      </c>
      <c r="L8" s="55">
        <f t="shared" si="5"/>
        <v>71.490045170807406</v>
      </c>
      <c r="M8" s="55">
        <f t="shared" si="5"/>
        <v>72.307955346163268</v>
      </c>
      <c r="N8" s="55">
        <f t="shared" si="5"/>
        <v>72.488442482007443</v>
      </c>
      <c r="O8" s="55">
        <f t="shared" si="5"/>
        <v>72.528052225049493</v>
      </c>
      <c r="P8" s="55">
        <f t="shared" si="5"/>
        <v>72.341454828519801</v>
      </c>
      <c r="Q8" s="55">
        <f t="shared" si="5"/>
        <v>71.817305677243553</v>
      </c>
      <c r="R8" s="55">
        <f t="shared" si="5"/>
        <v>74.2978295647941</v>
      </c>
      <c r="S8" s="55">
        <f t="shared" si="5"/>
        <v>76.241646370351802</v>
      </c>
      <c r="T8" s="55">
        <f t="shared" si="5"/>
        <v>77.272613903003176</v>
      </c>
      <c r="U8" s="55">
        <f t="shared" si="5"/>
        <v>78.229891631736123</v>
      </c>
      <c r="V8" s="55">
        <f t="shared" si="5"/>
        <v>73.034356097171738</v>
      </c>
      <c r="W8" s="55">
        <f t="shared" si="5"/>
        <v>75.378628474172785</v>
      </c>
      <c r="X8" s="55">
        <f t="shared" ref="X8:Y8" si="10">X16*X48/11630</f>
        <v>75.97030258623721</v>
      </c>
      <c r="Y8" s="55">
        <f t="shared" si="10"/>
        <v>76.181991688725986</v>
      </c>
      <c r="DA8" s="101" t="s">
        <v>913</v>
      </c>
    </row>
    <row r="9" spans="1:105" ht="12" customHeight="1" x14ac:dyDescent="0.25">
      <c r="A9" s="62" t="s">
        <v>3</v>
      </c>
      <c r="B9" s="63">
        <f t="shared" si="3"/>
        <v>50.983648614086476</v>
      </c>
      <c r="C9" s="63">
        <f t="shared" si="4"/>
        <v>55.122733771560597</v>
      </c>
      <c r="D9" s="63">
        <f t="shared" si="5"/>
        <v>58.868949851288406</v>
      </c>
      <c r="E9" s="63">
        <f t="shared" si="5"/>
        <v>62.859697970043904</v>
      </c>
      <c r="F9" s="63">
        <f t="shared" si="5"/>
        <v>67.76951610201013</v>
      </c>
      <c r="G9" s="63">
        <f t="shared" si="5"/>
        <v>74.661592829356579</v>
      </c>
      <c r="H9" s="63">
        <f t="shared" si="5"/>
        <v>79.979466581707399</v>
      </c>
      <c r="I9" s="63">
        <f t="shared" si="5"/>
        <v>86.152975393792019</v>
      </c>
      <c r="J9" s="63">
        <f t="shared" si="5"/>
        <v>89.692889765488459</v>
      </c>
      <c r="K9" s="63">
        <f t="shared" si="5"/>
        <v>91.738081888039503</v>
      </c>
      <c r="L9" s="63">
        <f t="shared" si="5"/>
        <v>93.165107919134925</v>
      </c>
      <c r="M9" s="63">
        <f t="shared" si="5"/>
        <v>92.632098774504826</v>
      </c>
      <c r="N9" s="63">
        <f t="shared" si="5"/>
        <v>95.941159851776973</v>
      </c>
      <c r="O9" s="63">
        <f t="shared" si="5"/>
        <v>101.62477681046678</v>
      </c>
      <c r="P9" s="63">
        <f t="shared" si="5"/>
        <v>107.56114074990523</v>
      </c>
      <c r="Q9" s="63">
        <f t="shared" si="5"/>
        <v>116.37624312054531</v>
      </c>
      <c r="R9" s="63">
        <f t="shared" si="5"/>
        <v>119.7645941663913</v>
      </c>
      <c r="S9" s="63">
        <f t="shared" si="5"/>
        <v>127.03470283816536</v>
      </c>
      <c r="T9" s="63">
        <f t="shared" si="5"/>
        <v>130.97205057223309</v>
      </c>
      <c r="U9" s="63">
        <f t="shared" si="5"/>
        <v>136.87942677462976</v>
      </c>
      <c r="V9" s="63">
        <f t="shared" si="5"/>
        <v>139.52467973007873</v>
      </c>
      <c r="W9" s="63">
        <f t="shared" si="5"/>
        <v>146.61433467120582</v>
      </c>
      <c r="X9" s="63">
        <f t="shared" ref="X9:Y9" si="11">X17*X49/11630</f>
        <v>152.81816400424975</v>
      </c>
      <c r="Y9" s="63">
        <f t="shared" si="11"/>
        <v>165.63131227805997</v>
      </c>
      <c r="DA9" s="105" t="s">
        <v>914</v>
      </c>
    </row>
    <row r="10" spans="1:105" s="2" customFormat="1" ht="12" customHeight="1" x14ac:dyDescent="0.25">
      <c r="DA10" s="7"/>
    </row>
    <row r="11" spans="1:105" ht="12.95" customHeight="1" x14ac:dyDescent="0.25">
      <c r="A11" s="178" t="s">
        <v>108</v>
      </c>
      <c r="B11" s="179">
        <f t="shared" ref="B11" si="12">SUM(B12:B17)</f>
        <v>1913.0025314615505</v>
      </c>
      <c r="C11" s="179">
        <f t="shared" ref="C11:W11" si="13">SUM(C12:C17)</f>
        <v>1964.2020113025051</v>
      </c>
      <c r="D11" s="179">
        <f t="shared" si="13"/>
        <v>2017.8356649536554</v>
      </c>
      <c r="E11" s="179">
        <f t="shared" si="13"/>
        <v>2076.7688449052803</v>
      </c>
      <c r="F11" s="179">
        <f t="shared" si="13"/>
        <v>2155.7456105779429</v>
      </c>
      <c r="G11" s="179">
        <f t="shared" si="13"/>
        <v>2252.9746089008863</v>
      </c>
      <c r="H11" s="179">
        <f t="shared" si="13"/>
        <v>2351.3702061300373</v>
      </c>
      <c r="I11" s="179">
        <f t="shared" si="13"/>
        <v>2445.9774146698151</v>
      </c>
      <c r="J11" s="179">
        <f t="shared" si="13"/>
        <v>2506.6576566156759</v>
      </c>
      <c r="K11" s="179">
        <f t="shared" si="13"/>
        <v>2546.2407521896316</v>
      </c>
      <c r="L11" s="179">
        <f t="shared" si="13"/>
        <v>2576.0115894923847</v>
      </c>
      <c r="M11" s="179">
        <f t="shared" si="13"/>
        <v>2587.2962043104217</v>
      </c>
      <c r="N11" s="179">
        <f t="shared" si="13"/>
        <v>2599.1888634104289</v>
      </c>
      <c r="O11" s="179">
        <f t="shared" si="13"/>
        <v>2618.2101087086839</v>
      </c>
      <c r="P11" s="179">
        <f t="shared" si="13"/>
        <v>2640.1254698552266</v>
      </c>
      <c r="Q11" s="179">
        <f t="shared" si="13"/>
        <v>2669.3531634546675</v>
      </c>
      <c r="R11" s="179">
        <f t="shared" si="13"/>
        <v>2667.8232768259281</v>
      </c>
      <c r="S11" s="179">
        <f t="shared" si="13"/>
        <v>2673.4928729046605</v>
      </c>
      <c r="T11" s="179">
        <f t="shared" si="13"/>
        <v>2660.2310730686368</v>
      </c>
      <c r="U11" s="179">
        <f t="shared" si="13"/>
        <v>2650.3717957045546</v>
      </c>
      <c r="V11" s="179">
        <f t="shared" si="13"/>
        <v>2621.3810305736256</v>
      </c>
      <c r="W11" s="179">
        <f t="shared" si="13"/>
        <v>2581.880090247204</v>
      </c>
      <c r="X11" s="179">
        <f t="shared" ref="X11:Y11" si="14">SUM(X12:X17)</f>
        <v>2543.9827095653472</v>
      </c>
      <c r="Y11" s="179">
        <f t="shared" si="14"/>
        <v>2521.3855494436384</v>
      </c>
      <c r="DA11" s="188" t="s">
        <v>915</v>
      </c>
    </row>
    <row r="12" spans="1:105" ht="12" customHeight="1" x14ac:dyDescent="0.25">
      <c r="A12" s="131" t="s">
        <v>7</v>
      </c>
      <c r="B12" s="180">
        <f>B20*B52</f>
        <v>39.681652218079201</v>
      </c>
      <c r="C12" s="180">
        <f t="shared" ref="C12:W12" si="15">C20*C52</f>
        <v>41.119287297743796</v>
      </c>
      <c r="D12" s="180">
        <f t="shared" si="15"/>
        <v>42.3439116300219</v>
      </c>
      <c r="E12" s="180">
        <f t="shared" si="15"/>
        <v>43.116950272744653</v>
      </c>
      <c r="F12" s="180">
        <f t="shared" si="15"/>
        <v>44.434977642732996</v>
      </c>
      <c r="G12" s="180">
        <f t="shared" si="15"/>
        <v>45.794322837221486</v>
      </c>
      <c r="H12" s="180">
        <f t="shared" si="15"/>
        <v>47.455891471523351</v>
      </c>
      <c r="I12" s="180">
        <f t="shared" si="15"/>
        <v>48.988758993067854</v>
      </c>
      <c r="J12" s="180">
        <f t="shared" si="15"/>
        <v>49.811374481417403</v>
      </c>
      <c r="K12" s="180">
        <f t="shared" si="15"/>
        <v>50.351607803042029</v>
      </c>
      <c r="L12" s="180">
        <f t="shared" si="15"/>
        <v>50.764737254820879</v>
      </c>
      <c r="M12" s="180">
        <f t="shared" si="15"/>
        <v>50.953543963262902</v>
      </c>
      <c r="N12" s="180">
        <f t="shared" si="15"/>
        <v>50.749655400106157</v>
      </c>
      <c r="O12" s="180">
        <f t="shared" si="15"/>
        <v>50.637959737693805</v>
      </c>
      <c r="P12" s="180">
        <f t="shared" si="15"/>
        <v>50.512529675635498</v>
      </c>
      <c r="Q12" s="180">
        <f t="shared" si="15"/>
        <v>50.392147642769153</v>
      </c>
      <c r="R12" s="180">
        <f t="shared" si="15"/>
        <v>50.109619605303401</v>
      </c>
      <c r="S12" s="180">
        <f t="shared" si="15"/>
        <v>49.904635165957302</v>
      </c>
      <c r="T12" s="180">
        <f t="shared" si="15"/>
        <v>49.672392933156701</v>
      </c>
      <c r="U12" s="180">
        <f t="shared" si="15"/>
        <v>49.55724623767312</v>
      </c>
      <c r="V12" s="180">
        <f t="shared" si="15"/>
        <v>49.464093453809738</v>
      </c>
      <c r="W12" s="180">
        <f t="shared" si="15"/>
        <v>49.431599635703158</v>
      </c>
      <c r="X12" s="180">
        <f t="shared" ref="X12:Y12" si="16">X20*X52</f>
        <v>49.166703846847597</v>
      </c>
      <c r="Y12" s="180">
        <f t="shared" si="16"/>
        <v>48.811832341397164</v>
      </c>
      <c r="DA12" s="189" t="s">
        <v>916</v>
      </c>
    </row>
    <row r="13" spans="1:105" ht="12" customHeight="1" x14ac:dyDescent="0.25">
      <c r="A13" s="131" t="s">
        <v>6</v>
      </c>
      <c r="B13" s="180">
        <f>B21*B53/1000</f>
        <v>251.64646809835921</v>
      </c>
      <c r="C13" s="180">
        <f t="shared" ref="C13:W13" si="17">C21*C53/1000</f>
        <v>252.32961108468493</v>
      </c>
      <c r="D13" s="180">
        <f t="shared" si="17"/>
        <v>254.10634221741148</v>
      </c>
      <c r="E13" s="180">
        <f t="shared" si="17"/>
        <v>256.07877469956128</v>
      </c>
      <c r="F13" s="180">
        <f t="shared" si="17"/>
        <v>257.71704011130134</v>
      </c>
      <c r="G13" s="180">
        <f t="shared" si="17"/>
        <v>259.50158531295676</v>
      </c>
      <c r="H13" s="180">
        <f t="shared" si="17"/>
        <v>261.25040527255726</v>
      </c>
      <c r="I13" s="180">
        <f t="shared" si="17"/>
        <v>263.08709226954801</v>
      </c>
      <c r="J13" s="180">
        <f t="shared" si="17"/>
        <v>266.67868738015113</v>
      </c>
      <c r="K13" s="180">
        <f t="shared" si="17"/>
        <v>271.4285496233432</v>
      </c>
      <c r="L13" s="180">
        <f t="shared" si="17"/>
        <v>275.91656946697464</v>
      </c>
      <c r="M13" s="180">
        <f t="shared" si="17"/>
        <v>280.74989305734289</v>
      </c>
      <c r="N13" s="180">
        <f t="shared" si="17"/>
        <v>286.41682281240662</v>
      </c>
      <c r="O13" s="180">
        <f t="shared" si="17"/>
        <v>292.62024530665764</v>
      </c>
      <c r="P13" s="180">
        <f t="shared" si="17"/>
        <v>299.1446741683643</v>
      </c>
      <c r="Q13" s="180">
        <f t="shared" si="17"/>
        <v>307.7733576918435</v>
      </c>
      <c r="R13" s="180">
        <f t="shared" si="17"/>
        <v>303.57556081999775</v>
      </c>
      <c r="S13" s="180">
        <f t="shared" si="17"/>
        <v>298.11993711309105</v>
      </c>
      <c r="T13" s="180">
        <f t="shared" si="17"/>
        <v>291.35010419917796</v>
      </c>
      <c r="U13" s="180">
        <f t="shared" si="17"/>
        <v>282.83713651620184</v>
      </c>
      <c r="V13" s="180">
        <f t="shared" si="17"/>
        <v>272.51980977094769</v>
      </c>
      <c r="W13" s="180">
        <f t="shared" si="17"/>
        <v>261.31324735879764</v>
      </c>
      <c r="X13" s="180">
        <f t="shared" ref="X13:Y13" si="18">X21*X53/1000</f>
        <v>251.76109669848884</v>
      </c>
      <c r="Y13" s="180">
        <f t="shared" si="18"/>
        <v>244.90013463153986</v>
      </c>
      <c r="DA13" s="189" t="s">
        <v>917</v>
      </c>
    </row>
    <row r="14" spans="1:105" ht="12" customHeight="1" x14ac:dyDescent="0.25">
      <c r="A14" s="131" t="s">
        <v>5</v>
      </c>
      <c r="B14" s="180">
        <f>B22*B54</f>
        <v>728.80901742877836</v>
      </c>
      <c r="C14" s="180">
        <f t="shared" ref="C14:W14" si="19">C22*C54</f>
        <v>733.68268366883603</v>
      </c>
      <c r="D14" s="180">
        <f t="shared" si="19"/>
        <v>737.51920636015325</v>
      </c>
      <c r="E14" s="180">
        <f t="shared" si="19"/>
        <v>734.25428609849666</v>
      </c>
      <c r="F14" s="180">
        <f t="shared" si="19"/>
        <v>735.459720890433</v>
      </c>
      <c r="G14" s="180">
        <f t="shared" si="19"/>
        <v>733.68794792276981</v>
      </c>
      <c r="H14" s="180">
        <f t="shared" si="19"/>
        <v>734.55529762837602</v>
      </c>
      <c r="I14" s="180">
        <f t="shared" si="19"/>
        <v>740.43429339810393</v>
      </c>
      <c r="J14" s="180">
        <f t="shared" si="19"/>
        <v>747.53654922585213</v>
      </c>
      <c r="K14" s="180">
        <f t="shared" si="19"/>
        <v>755.26211634037145</v>
      </c>
      <c r="L14" s="180">
        <f t="shared" si="19"/>
        <v>764.07152502637257</v>
      </c>
      <c r="M14" s="180">
        <f t="shared" si="19"/>
        <v>769.33677630366287</v>
      </c>
      <c r="N14" s="180">
        <f t="shared" si="19"/>
        <v>770.62899151818192</v>
      </c>
      <c r="O14" s="180">
        <f t="shared" si="19"/>
        <v>769.1097726176497</v>
      </c>
      <c r="P14" s="180">
        <f t="shared" si="19"/>
        <v>769.0202912921942</v>
      </c>
      <c r="Q14" s="180">
        <f t="shared" si="19"/>
        <v>762.60949074709447</v>
      </c>
      <c r="R14" s="180">
        <f t="shared" si="19"/>
        <v>739.94188164118577</v>
      </c>
      <c r="S14" s="180">
        <f t="shared" si="19"/>
        <v>717.88651322673945</v>
      </c>
      <c r="T14" s="180">
        <f t="shared" si="19"/>
        <v>688.9592136555699</v>
      </c>
      <c r="U14" s="180">
        <f t="shared" si="19"/>
        <v>659.07791930403914</v>
      </c>
      <c r="V14" s="180">
        <f t="shared" si="19"/>
        <v>624.12094164292807</v>
      </c>
      <c r="W14" s="180">
        <f t="shared" si="19"/>
        <v>590.78234113841756</v>
      </c>
      <c r="X14" s="180">
        <f t="shared" ref="X14:Y14" si="20">X22*X54</f>
        <v>559.27341363711832</v>
      </c>
      <c r="Y14" s="180">
        <f t="shared" si="20"/>
        <v>526.76758863120972</v>
      </c>
      <c r="DA14" s="189" t="s">
        <v>918</v>
      </c>
    </row>
    <row r="15" spans="1:105" ht="12" customHeight="1" x14ac:dyDescent="0.25">
      <c r="A15" s="131" t="s">
        <v>171</v>
      </c>
      <c r="B15" s="180">
        <f>B23*B55/1000</f>
        <v>79.747355712123749</v>
      </c>
      <c r="C15" s="180">
        <f t="shared" ref="C15:W15" si="21">C23*C55/1000</f>
        <v>87.48002488497913</v>
      </c>
      <c r="D15" s="180">
        <f t="shared" si="21"/>
        <v>94.32793019126261</v>
      </c>
      <c r="E15" s="180">
        <f t="shared" si="21"/>
        <v>101.8185739739485</v>
      </c>
      <c r="F15" s="180">
        <f t="shared" si="21"/>
        <v>107.62654386161694</v>
      </c>
      <c r="G15" s="180">
        <f t="shared" si="21"/>
        <v>112.26616628831123</v>
      </c>
      <c r="H15" s="180">
        <f t="shared" si="21"/>
        <v>113.60375619155575</v>
      </c>
      <c r="I15" s="180">
        <f t="shared" si="21"/>
        <v>115.24294311270604</v>
      </c>
      <c r="J15" s="180">
        <f t="shared" si="21"/>
        <v>116.30550810351147</v>
      </c>
      <c r="K15" s="180">
        <f t="shared" si="21"/>
        <v>117.11104124881656</v>
      </c>
      <c r="L15" s="180">
        <f t="shared" si="21"/>
        <v>118.00356501980787</v>
      </c>
      <c r="M15" s="180">
        <f t="shared" si="21"/>
        <v>116.59997278542392</v>
      </c>
      <c r="N15" s="180">
        <f t="shared" si="21"/>
        <v>115.60271248644008</v>
      </c>
      <c r="O15" s="180">
        <f t="shared" si="21"/>
        <v>114.92610274896251</v>
      </c>
      <c r="P15" s="180">
        <f t="shared" si="21"/>
        <v>114.50903453158712</v>
      </c>
      <c r="Q15" s="180">
        <f t="shared" si="21"/>
        <v>113.37303866992008</v>
      </c>
      <c r="R15" s="180">
        <f t="shared" si="21"/>
        <v>111.81900411114641</v>
      </c>
      <c r="S15" s="180">
        <f t="shared" si="21"/>
        <v>111.33776425197723</v>
      </c>
      <c r="T15" s="180">
        <f t="shared" si="21"/>
        <v>110.95534359641297</v>
      </c>
      <c r="U15" s="180">
        <f t="shared" si="21"/>
        <v>110.48623481724935</v>
      </c>
      <c r="V15" s="180">
        <f t="shared" si="21"/>
        <v>109.79539599848425</v>
      </c>
      <c r="W15" s="180">
        <f t="shared" si="21"/>
        <v>108.18075346715442</v>
      </c>
      <c r="X15" s="180">
        <f t="shared" ref="X15:Y15" si="22">X23*X55/1000</f>
        <v>106.49325077435465</v>
      </c>
      <c r="Y15" s="180">
        <f t="shared" si="22"/>
        <v>104.5158530016049</v>
      </c>
      <c r="DA15" s="189" t="s">
        <v>919</v>
      </c>
    </row>
    <row r="16" spans="1:105" ht="12" customHeight="1" x14ac:dyDescent="0.25">
      <c r="A16" s="60" t="s">
        <v>4</v>
      </c>
      <c r="B16" s="55">
        <f>B24*B56</f>
        <v>535.14438019981787</v>
      </c>
      <c r="C16" s="55">
        <f t="shared" ref="C16:W16" si="23">C24*C56</f>
        <v>562.27845624794736</v>
      </c>
      <c r="D16" s="55">
        <f t="shared" si="23"/>
        <v>596.89153571202667</v>
      </c>
      <c r="E16" s="55">
        <f t="shared" si="23"/>
        <v>641.93056910032738</v>
      </c>
      <c r="F16" s="55">
        <f t="shared" si="23"/>
        <v>697.19448147558944</v>
      </c>
      <c r="G16" s="55">
        <f t="shared" si="23"/>
        <v>760.43564097392186</v>
      </c>
      <c r="H16" s="55">
        <f t="shared" si="23"/>
        <v>834.68153648340547</v>
      </c>
      <c r="I16" s="55">
        <f t="shared" si="23"/>
        <v>892.38297778155732</v>
      </c>
      <c r="J16" s="55">
        <f t="shared" si="23"/>
        <v>930.77162110369056</v>
      </c>
      <c r="K16" s="55">
        <f t="shared" si="23"/>
        <v>955.04091185409459</v>
      </c>
      <c r="L16" s="55">
        <f t="shared" si="23"/>
        <v>973.36530921722851</v>
      </c>
      <c r="M16" s="55">
        <f t="shared" si="23"/>
        <v>982.90164886271339</v>
      </c>
      <c r="N16" s="55">
        <f t="shared" si="23"/>
        <v>983.8282857589744</v>
      </c>
      <c r="O16" s="55">
        <f t="shared" si="23"/>
        <v>982.9083975837558</v>
      </c>
      <c r="P16" s="55">
        <f t="shared" si="23"/>
        <v>978.98977529077638</v>
      </c>
      <c r="Q16" s="55">
        <f t="shared" si="23"/>
        <v>970.57492407012637</v>
      </c>
      <c r="R16" s="55">
        <f t="shared" si="23"/>
        <v>990.53078241596199</v>
      </c>
      <c r="S16" s="55">
        <f t="shared" si="23"/>
        <v>1009.871138982855</v>
      </c>
      <c r="T16" s="55">
        <f t="shared" si="23"/>
        <v>1023.8168953118065</v>
      </c>
      <c r="U16" s="55">
        <f t="shared" si="23"/>
        <v>1040.2527288195847</v>
      </c>
      <c r="V16" s="55">
        <f t="shared" si="23"/>
        <v>1048.3215161626358</v>
      </c>
      <c r="W16" s="55">
        <f t="shared" si="23"/>
        <v>1044.1219735935467</v>
      </c>
      <c r="X16" s="55">
        <f t="shared" ref="X16:Y16" si="24">X24*X56</f>
        <v>1039.8152335292611</v>
      </c>
      <c r="Y16" s="55">
        <f t="shared" si="24"/>
        <v>1036.5550703414306</v>
      </c>
      <c r="DA16" s="101" t="s">
        <v>920</v>
      </c>
    </row>
    <row r="17" spans="1:105" ht="12" customHeight="1" x14ac:dyDescent="0.25">
      <c r="A17" s="62" t="s">
        <v>3</v>
      </c>
      <c r="B17" s="63">
        <f>B25*B57/1000</f>
        <v>277.97365780439208</v>
      </c>
      <c r="C17" s="63">
        <f t="shared" ref="C17:W17" si="25">C25*C57/1000</f>
        <v>287.31194811831364</v>
      </c>
      <c r="D17" s="63">
        <f t="shared" si="25"/>
        <v>292.64673884277965</v>
      </c>
      <c r="E17" s="63">
        <f t="shared" si="25"/>
        <v>299.56969076020152</v>
      </c>
      <c r="F17" s="63">
        <f t="shared" si="25"/>
        <v>313.31284659626925</v>
      </c>
      <c r="G17" s="63">
        <f t="shared" si="25"/>
        <v>341.28894556570492</v>
      </c>
      <c r="H17" s="63">
        <f t="shared" si="25"/>
        <v>359.82331908261966</v>
      </c>
      <c r="I17" s="63">
        <f t="shared" si="25"/>
        <v>385.84134911483164</v>
      </c>
      <c r="J17" s="63">
        <f t="shared" si="25"/>
        <v>395.55391632105318</v>
      </c>
      <c r="K17" s="63">
        <f t="shared" si="25"/>
        <v>397.04652531996356</v>
      </c>
      <c r="L17" s="63">
        <f t="shared" si="25"/>
        <v>393.88988350718046</v>
      </c>
      <c r="M17" s="63">
        <f t="shared" si="25"/>
        <v>386.75436933801598</v>
      </c>
      <c r="N17" s="63">
        <f t="shared" si="25"/>
        <v>391.96239543431955</v>
      </c>
      <c r="O17" s="63">
        <f t="shared" si="25"/>
        <v>408.00763071396455</v>
      </c>
      <c r="P17" s="63">
        <f t="shared" si="25"/>
        <v>427.94916489666889</v>
      </c>
      <c r="Q17" s="63">
        <f t="shared" si="25"/>
        <v>464.63020463291411</v>
      </c>
      <c r="R17" s="63">
        <f t="shared" si="25"/>
        <v>471.84642823233287</v>
      </c>
      <c r="S17" s="63">
        <f t="shared" si="25"/>
        <v>486.3728841640405</v>
      </c>
      <c r="T17" s="63">
        <f t="shared" si="25"/>
        <v>495.47712337251249</v>
      </c>
      <c r="U17" s="63">
        <f t="shared" si="25"/>
        <v>508.16053000980605</v>
      </c>
      <c r="V17" s="63">
        <f t="shared" si="25"/>
        <v>517.15927354481983</v>
      </c>
      <c r="W17" s="63">
        <f t="shared" si="25"/>
        <v>528.05017505358455</v>
      </c>
      <c r="X17" s="63">
        <f t="shared" ref="X17:Y17" si="26">X25*X57/1000</f>
        <v>537.47301107927649</v>
      </c>
      <c r="Y17" s="63">
        <f t="shared" si="26"/>
        <v>559.8350704964563</v>
      </c>
      <c r="DA17" s="105" t="s">
        <v>921</v>
      </c>
    </row>
    <row r="18" spans="1:105" s="2" customFormat="1" ht="12" customHeight="1" x14ac:dyDescent="0.25">
      <c r="DA18" s="7"/>
    </row>
    <row r="19" spans="1:105" ht="12.95" customHeight="1" x14ac:dyDescent="0.25">
      <c r="A19" s="178" t="s">
        <v>107</v>
      </c>
      <c r="B19" s="179"/>
      <c r="C19" s="179"/>
      <c r="D19" s="179"/>
      <c r="E19" s="179"/>
      <c r="F19" s="179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DA19" s="188"/>
    </row>
    <row r="20" spans="1:105" ht="12" customHeight="1" x14ac:dyDescent="0.25">
      <c r="A20" s="131" t="s">
        <v>158</v>
      </c>
      <c r="B20" s="181">
        <v>63.853243594593891</v>
      </c>
      <c r="C20" s="181">
        <v>66.768870911592188</v>
      </c>
      <c r="D20" s="181">
        <v>69.376131237036873</v>
      </c>
      <c r="E20" s="181">
        <v>71.219616431939116</v>
      </c>
      <c r="F20" s="181">
        <v>74.136196110963255</v>
      </c>
      <c r="G20" s="181">
        <v>77.201217129893109</v>
      </c>
      <c r="H20" s="181">
        <v>80.927258602204788</v>
      </c>
      <c r="I20" s="181">
        <v>84.508722643495062</v>
      </c>
      <c r="J20" s="181">
        <v>86.816654903034802</v>
      </c>
      <c r="K20" s="181">
        <v>88.665294328493232</v>
      </c>
      <c r="L20" s="181">
        <v>90.358201693467407</v>
      </c>
      <c r="M20" s="181">
        <v>91.696004131762763</v>
      </c>
      <c r="N20" s="181">
        <v>92.33054826043076</v>
      </c>
      <c r="O20" s="181">
        <v>93.264788996473555</v>
      </c>
      <c r="P20" s="181">
        <v>94.275562908586409</v>
      </c>
      <c r="Q20" s="181">
        <v>95.414112249619222</v>
      </c>
      <c r="R20" s="181">
        <v>96.27608320625157</v>
      </c>
      <c r="S20" s="181">
        <v>97.40131735365604</v>
      </c>
      <c r="T20" s="181">
        <v>98.561447761963876</v>
      </c>
      <c r="U20" s="181">
        <v>99.673664425135343</v>
      </c>
      <c r="V20" s="181">
        <v>100.75253026923755</v>
      </c>
      <c r="W20" s="181">
        <v>101.78175644987692</v>
      </c>
      <c r="X20" s="181">
        <v>102.52015227847185</v>
      </c>
      <c r="Y20" s="181">
        <v>103.0754646451246</v>
      </c>
      <c r="DA20" s="190" t="s">
        <v>922</v>
      </c>
    </row>
    <row r="21" spans="1:105" ht="12" customHeight="1" x14ac:dyDescent="0.25">
      <c r="A21" s="131" t="s">
        <v>156</v>
      </c>
      <c r="B21" s="181">
        <v>1495.9868091331323</v>
      </c>
      <c r="C21" s="181">
        <v>1510.6866967299459</v>
      </c>
      <c r="D21" s="181">
        <v>1533.3385691605165</v>
      </c>
      <c r="E21" s="181">
        <v>1560.1004973503668</v>
      </c>
      <c r="F21" s="181">
        <v>1588.6346231860878</v>
      </c>
      <c r="G21" s="181">
        <v>1622.3730965840027</v>
      </c>
      <c r="H21" s="181">
        <v>1660.0018886987905</v>
      </c>
      <c r="I21" s="181">
        <v>1703.2409473490329</v>
      </c>
      <c r="J21" s="181">
        <v>1745.2453292113291</v>
      </c>
      <c r="K21" s="181">
        <v>1801.5018984373726</v>
      </c>
      <c r="L21" s="181">
        <v>1860.3296878519043</v>
      </c>
      <c r="M21" s="181">
        <v>1926.586109148192</v>
      </c>
      <c r="N21" s="181">
        <v>2008.0455973437554</v>
      </c>
      <c r="O21" s="181">
        <v>2105.5605977704081</v>
      </c>
      <c r="P21" s="181">
        <v>2218.9989755102938</v>
      </c>
      <c r="Q21" s="181">
        <v>2354.9602840068264</v>
      </c>
      <c r="R21" s="181">
        <v>2398.2645480058204</v>
      </c>
      <c r="S21" s="181">
        <v>2442.475176814437</v>
      </c>
      <c r="T21" s="181">
        <v>2487.0737047956518</v>
      </c>
      <c r="U21" s="181">
        <v>2528.6718279516276</v>
      </c>
      <c r="V21" s="181">
        <v>2565.0700132529651</v>
      </c>
      <c r="W21" s="181">
        <v>2593.6508820445501</v>
      </c>
      <c r="X21" s="181">
        <v>2617.8524114318361</v>
      </c>
      <c r="Y21" s="181">
        <v>2637.5790458225456</v>
      </c>
      <c r="DA21" s="190" t="s">
        <v>923</v>
      </c>
    </row>
    <row r="22" spans="1:105" ht="12" customHeight="1" x14ac:dyDescent="0.25">
      <c r="A22" s="131" t="s">
        <v>160</v>
      </c>
      <c r="B22" s="181">
        <v>19.816484959458762</v>
      </c>
      <c r="C22" s="181">
        <v>20.170309146563046</v>
      </c>
      <c r="D22" s="181">
        <v>20.615593936847993</v>
      </c>
      <c r="E22" s="181">
        <v>20.981549086787005</v>
      </c>
      <c r="F22" s="181">
        <v>21.584587381421006</v>
      </c>
      <c r="G22" s="181">
        <v>22.180781577876154</v>
      </c>
      <c r="H22" s="181">
        <v>22.949565883820572</v>
      </c>
      <c r="I22" s="181">
        <v>23.702773733243991</v>
      </c>
      <c r="J22" s="181">
        <v>24.488970650117405</v>
      </c>
      <c r="K22" s="181">
        <v>25.236102770927538</v>
      </c>
      <c r="L22" s="181">
        <v>26.065117257791012</v>
      </c>
      <c r="M22" s="181">
        <v>26.873915260772115</v>
      </c>
      <c r="N22" s="181">
        <v>27.670638018133545</v>
      </c>
      <c r="O22" s="181">
        <v>28.49013072474758</v>
      </c>
      <c r="P22" s="181">
        <v>29.574043651335447</v>
      </c>
      <c r="Q22" s="181">
        <v>30.574049440259351</v>
      </c>
      <c r="R22" s="181">
        <v>31.258960304834385</v>
      </c>
      <c r="S22" s="181">
        <v>32.042277723866057</v>
      </c>
      <c r="T22" s="181">
        <v>32.822630621101546</v>
      </c>
      <c r="U22" s="181">
        <v>33.554010370186866</v>
      </c>
      <c r="V22" s="181">
        <v>34.206226846058954</v>
      </c>
      <c r="W22" s="181">
        <v>34.733038941965681</v>
      </c>
      <c r="X22" s="181">
        <v>35.074694798426428</v>
      </c>
      <c r="Y22" s="181">
        <v>35.309849571578056</v>
      </c>
      <c r="DA22" s="190" t="s">
        <v>924</v>
      </c>
    </row>
    <row r="23" spans="1:105" ht="12" customHeight="1" x14ac:dyDescent="0.25">
      <c r="A23" s="131" t="s">
        <v>172</v>
      </c>
      <c r="B23" s="181">
        <v>121.58691303459807</v>
      </c>
      <c r="C23" s="181">
        <v>135.66146065189051</v>
      </c>
      <c r="D23" s="181">
        <v>149.07663634516092</v>
      </c>
      <c r="E23" s="181">
        <v>164.07323730744716</v>
      </c>
      <c r="F23" s="181">
        <v>176.61100535542104</v>
      </c>
      <c r="G23" s="181">
        <v>187.47166007486317</v>
      </c>
      <c r="H23" s="181">
        <v>192.60397655677679</v>
      </c>
      <c r="I23" s="181">
        <v>198.73755189837547</v>
      </c>
      <c r="J23" s="181">
        <v>204.23119897953839</v>
      </c>
      <c r="K23" s="181">
        <v>209.6949492304081</v>
      </c>
      <c r="L23" s="181">
        <v>215.82966755593242</v>
      </c>
      <c r="M23" s="181">
        <v>219.00711362524413</v>
      </c>
      <c r="N23" s="181">
        <v>222.49599268364162</v>
      </c>
      <c r="O23" s="181">
        <v>227.35727146062746</v>
      </c>
      <c r="P23" s="181">
        <v>232.58102526732964</v>
      </c>
      <c r="Q23" s="181">
        <v>235.80976423404391</v>
      </c>
      <c r="R23" s="181">
        <v>236.63798919523501</v>
      </c>
      <c r="S23" s="181">
        <v>240.22451248607766</v>
      </c>
      <c r="T23" s="181">
        <v>243.87088616125237</v>
      </c>
      <c r="U23" s="181">
        <v>247.26394166012054</v>
      </c>
      <c r="V23" s="181">
        <v>250.22562119687009</v>
      </c>
      <c r="W23" s="181">
        <v>252.52691512923471</v>
      </c>
      <c r="X23" s="181">
        <v>254.53988094336935</v>
      </c>
      <c r="Y23" s="181">
        <v>256.21604783175593</v>
      </c>
      <c r="DA23" s="190" t="s">
        <v>925</v>
      </c>
    </row>
    <row r="24" spans="1:105" ht="12" customHeight="1" x14ac:dyDescent="0.25">
      <c r="A24" s="60" t="s">
        <v>159</v>
      </c>
      <c r="B24" s="36">
        <v>11.210455391304519</v>
      </c>
      <c r="C24" s="36">
        <v>11.835368477433509</v>
      </c>
      <c r="D24" s="36">
        <v>12.637153113033783</v>
      </c>
      <c r="E24" s="36">
        <v>13.685094999816512</v>
      </c>
      <c r="F24" s="36">
        <v>14.980905204274068</v>
      </c>
      <c r="G24" s="36">
        <v>16.479744518296908</v>
      </c>
      <c r="H24" s="36">
        <v>18.265235496838205</v>
      </c>
      <c r="I24" s="36">
        <v>19.700502425808885</v>
      </c>
      <c r="J24" s="36">
        <v>20.713155176487483</v>
      </c>
      <c r="K24" s="36">
        <v>21.420733910061813</v>
      </c>
      <c r="L24" s="36">
        <v>22.017775717001712</v>
      </c>
      <c r="M24" s="36">
        <v>22.445967044142531</v>
      </c>
      <c r="N24" s="36">
        <v>22.712454358687729</v>
      </c>
      <c r="O24" s="36">
        <v>22.999247761281509</v>
      </c>
      <c r="P24" s="36">
        <v>23.287921087854009</v>
      </c>
      <c r="Q24" s="36">
        <v>23.560841535728805</v>
      </c>
      <c r="R24" s="36">
        <v>24.416398408984442</v>
      </c>
      <c r="S24" s="36">
        <v>25.339002371174697</v>
      </c>
      <c r="T24" s="36">
        <v>26.212814491521009</v>
      </c>
      <c r="U24" s="36">
        <v>27.275784381665332</v>
      </c>
      <c r="V24" s="36">
        <v>28.187354449896493</v>
      </c>
      <c r="W24" s="36">
        <v>28.828721188460765</v>
      </c>
      <c r="X24" s="36">
        <v>29.36029275609263</v>
      </c>
      <c r="Y24" s="36">
        <v>29.798748215772115</v>
      </c>
      <c r="DA24" s="89" t="s">
        <v>926</v>
      </c>
    </row>
    <row r="25" spans="1:105" ht="12" customHeight="1" x14ac:dyDescent="0.25">
      <c r="A25" s="62" t="s">
        <v>157</v>
      </c>
      <c r="B25" s="38">
        <v>784.90215784646455</v>
      </c>
      <c r="C25" s="38">
        <v>827.69181458992125</v>
      </c>
      <c r="D25" s="38">
        <v>867.87727194837998</v>
      </c>
      <c r="E25" s="38">
        <v>922.08900925146213</v>
      </c>
      <c r="F25" s="38">
        <v>1008.5730396559519</v>
      </c>
      <c r="G25" s="38">
        <v>1163.0930555930754</v>
      </c>
      <c r="H25" s="38">
        <v>1292.4303255636935</v>
      </c>
      <c r="I25" s="38">
        <v>1464.4904970448106</v>
      </c>
      <c r="J25" s="38">
        <v>1587.1631443692258</v>
      </c>
      <c r="K25" s="38">
        <v>1699.6890473143412</v>
      </c>
      <c r="L25" s="38">
        <v>1832.0341170539916</v>
      </c>
      <c r="M25" s="38">
        <v>1946.8033306798754</v>
      </c>
      <c r="N25" s="38">
        <v>2126.969883644495</v>
      </c>
      <c r="O25" s="38">
        <v>2331.9758484391286</v>
      </c>
      <c r="P25" s="38">
        <v>2550.7189386864238</v>
      </c>
      <c r="Q25" s="38">
        <v>2852.0530115422039</v>
      </c>
      <c r="R25" s="38">
        <v>2952.0679642001842</v>
      </c>
      <c r="S25" s="38">
        <v>3116.334558878204</v>
      </c>
      <c r="T25" s="38">
        <v>3246.9446767916688</v>
      </c>
      <c r="U25" s="38">
        <v>3402.6492487516653</v>
      </c>
      <c r="V25" s="38">
        <v>3572.1626246136811</v>
      </c>
      <c r="W25" s="38">
        <v>3725.8943324158718</v>
      </c>
      <c r="X25" s="38">
        <v>3885.9191960137659</v>
      </c>
      <c r="Y25" s="38">
        <v>4134.634735974797</v>
      </c>
      <c r="DA25" s="90" t="s">
        <v>927</v>
      </c>
    </row>
    <row r="26" spans="1:105" s="2" customFormat="1" ht="12" customHeight="1" x14ac:dyDescent="0.25">
      <c r="DA26" s="7"/>
    </row>
    <row r="27" spans="1:105" ht="12.95" customHeight="1" x14ac:dyDescent="0.25">
      <c r="A27" s="178" t="s">
        <v>106</v>
      </c>
      <c r="B27" s="179"/>
      <c r="C27" s="179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DA27" s="188"/>
    </row>
    <row r="28" spans="1:105" ht="12" customHeight="1" x14ac:dyDescent="0.25">
      <c r="A28" s="131" t="s">
        <v>158</v>
      </c>
      <c r="B28" s="182"/>
      <c r="C28" s="182">
        <v>5.6851549407755186</v>
      </c>
      <c r="D28" s="182">
        <v>5.4551256839848676</v>
      </c>
      <c r="E28" s="182">
        <v>4.7719041175891022</v>
      </c>
      <c r="F28" s="182">
        <v>5.9278306712923836</v>
      </c>
      <c r="G28" s="182">
        <v>6.1614470350945254</v>
      </c>
      <c r="H28" s="182">
        <v>6.9100517385430038</v>
      </c>
      <c r="I28" s="182">
        <v>6.8555359301525414</v>
      </c>
      <c r="J28" s="182">
        <v>5.6746132175524906</v>
      </c>
      <c r="K28" s="182">
        <v>5.3105489551799536</v>
      </c>
      <c r="L28" s="182">
        <v>5.2527390631494058</v>
      </c>
      <c r="M28" s="182">
        <v>4.9983260916539365</v>
      </c>
      <c r="N28" s="182">
        <v>4.3986078690033139</v>
      </c>
      <c r="O28" s="182">
        <v>4.8047732562486232</v>
      </c>
      <c r="P28" s="182">
        <v>4.9907867449020102</v>
      </c>
      <c r="Q28" s="182">
        <v>5.23113920211064</v>
      </c>
      <c r="R28" s="182">
        <v>5.0703221541482861</v>
      </c>
      <c r="S28" s="182">
        <v>5.4526210595563782</v>
      </c>
      <c r="T28" s="182">
        <v>5.6099200310268742</v>
      </c>
      <c r="U28" s="182">
        <v>6.7973716039469849</v>
      </c>
      <c r="V28" s="182">
        <v>6.5339915280870855</v>
      </c>
      <c r="W28" s="182">
        <v>5.8011302982284718</v>
      </c>
      <c r="X28" s="182">
        <v>6.6662264998873155</v>
      </c>
      <c r="Y28" s="182">
        <v>6.716759401747268</v>
      </c>
      <c r="DA28" s="191" t="s">
        <v>928</v>
      </c>
    </row>
    <row r="29" spans="1:105" ht="12" customHeight="1" x14ac:dyDescent="0.25">
      <c r="A29" s="131" t="s">
        <v>156</v>
      </c>
      <c r="B29" s="182"/>
      <c r="C29" s="182">
        <v>202.36309949487554</v>
      </c>
      <c r="D29" s="182">
        <v>218.39302504868942</v>
      </c>
      <c r="E29" s="182">
        <v>230.92873552917058</v>
      </c>
      <c r="F29" s="182">
        <v>241.48926920536655</v>
      </c>
      <c r="G29" s="182">
        <v>255.86024568098674</v>
      </c>
      <c r="H29" s="182">
        <v>269.311769766716</v>
      </c>
      <c r="I29" s="182">
        <v>284.89480262322832</v>
      </c>
      <c r="J29" s="182">
        <v>244.36748135717176</v>
      </c>
      <c r="K29" s="182">
        <v>274.64959427473286</v>
      </c>
      <c r="L29" s="182">
        <v>289.75652494370229</v>
      </c>
      <c r="M29" s="182">
        <v>307.74569050165428</v>
      </c>
      <c r="N29" s="182">
        <v>337.31973387655012</v>
      </c>
      <c r="O29" s="182">
        <v>366.8267701933687</v>
      </c>
      <c r="P29" s="182">
        <v>398.33318036311402</v>
      </c>
      <c r="Q29" s="182">
        <v>380.32878985370439</v>
      </c>
      <c r="R29" s="182">
        <v>317.95385827372684</v>
      </c>
      <c r="S29" s="182">
        <v>333.96715375231906</v>
      </c>
      <c r="T29" s="182">
        <v>352.34421848286911</v>
      </c>
      <c r="U29" s="182">
        <v>378.91785703252617</v>
      </c>
      <c r="V29" s="182">
        <v>403.22495549470614</v>
      </c>
      <c r="W29" s="182">
        <v>426.91404915469911</v>
      </c>
      <c r="X29" s="182">
        <v>404.53031924099014</v>
      </c>
      <c r="Y29" s="182">
        <v>337.68049266443631</v>
      </c>
      <c r="DA29" s="191" t="s">
        <v>929</v>
      </c>
    </row>
    <row r="30" spans="1:105" ht="12" customHeight="1" x14ac:dyDescent="0.25">
      <c r="A30" s="131" t="s">
        <v>160</v>
      </c>
      <c r="B30" s="182"/>
      <c r="C30" s="182">
        <v>3.4484873042595119</v>
      </c>
      <c r="D30" s="182">
        <v>3.6203421554825752</v>
      </c>
      <c r="E30" s="182">
        <v>3.623495273260307</v>
      </c>
      <c r="F30" s="182">
        <v>3.9452039422104512</v>
      </c>
      <c r="G30" s="182">
        <v>4.0251837999512468</v>
      </c>
      <c r="H30" s="182">
        <v>4.2868534086564729</v>
      </c>
      <c r="I30" s="182">
        <v>4.2016951536829303</v>
      </c>
      <c r="J30" s="182">
        <v>4.4065390723559901</v>
      </c>
      <c r="K30" s="182">
        <v>4.3706273940704392</v>
      </c>
      <c r="L30" s="182">
        <v>4.774218429073926</v>
      </c>
      <c r="M30" s="182">
        <v>4.8339818029323496</v>
      </c>
      <c r="N30" s="182">
        <v>5.0835761660179024</v>
      </c>
      <c r="O30" s="182">
        <v>5.0211878602969655</v>
      </c>
      <c r="P30" s="182">
        <v>5.4904519989438576</v>
      </c>
      <c r="Q30" s="182">
        <v>5.370633182994343</v>
      </c>
      <c r="R30" s="182">
        <v>5.4591292936489602</v>
      </c>
      <c r="S30" s="182">
        <v>5.6172992219640214</v>
      </c>
      <c r="T30" s="182">
        <v>5.8639290632533907</v>
      </c>
      <c r="U30" s="182">
        <v>5.752567609382286</v>
      </c>
      <c r="V30" s="182">
        <v>6.1426684748159452</v>
      </c>
      <c r="W30" s="182">
        <v>5.8974452789010705</v>
      </c>
      <c r="X30" s="182">
        <v>5.8007851501097072</v>
      </c>
      <c r="Y30" s="182">
        <v>5.8524539951156491</v>
      </c>
      <c r="DA30" s="191" t="s">
        <v>930</v>
      </c>
    </row>
    <row r="31" spans="1:105" ht="12" customHeight="1" x14ac:dyDescent="0.25">
      <c r="A31" s="131" t="s">
        <v>172</v>
      </c>
      <c r="B31" s="182"/>
      <c r="C31" s="182">
        <v>25.124743482774875</v>
      </c>
      <c r="D31" s="182">
        <v>24.698134930890575</v>
      </c>
      <c r="E31" s="182">
        <v>26.517226542821135</v>
      </c>
      <c r="F31" s="182">
        <v>24.301066219285019</v>
      </c>
      <c r="G31" s="182">
        <v>22.871737181923038</v>
      </c>
      <c r="H31" s="182">
        <v>17.396402609761594</v>
      </c>
      <c r="I31" s="182">
        <v>18.655994450875738</v>
      </c>
      <c r="J31" s="182">
        <v>18.279840745631532</v>
      </c>
      <c r="K31" s="182">
        <v>18.519274666609817</v>
      </c>
      <c r="L31" s="182">
        <v>19.465246725359066</v>
      </c>
      <c r="M31" s="182">
        <v>28.302189552086588</v>
      </c>
      <c r="N31" s="182">
        <v>28.187013989288062</v>
      </c>
      <c r="O31" s="182">
        <v>31.378505319806976</v>
      </c>
      <c r="P31" s="182">
        <v>29.524820025987196</v>
      </c>
      <c r="Q31" s="182">
        <v>26.100476148637313</v>
      </c>
      <c r="R31" s="182">
        <v>18.224627570952691</v>
      </c>
      <c r="S31" s="182">
        <v>22.242517741718387</v>
      </c>
      <c r="T31" s="182">
        <v>21.926214420806247</v>
      </c>
      <c r="U31" s="182">
        <v>21.912330165477982</v>
      </c>
      <c r="V31" s="182">
        <v>22.426926262108623</v>
      </c>
      <c r="W31" s="182">
        <v>30.603483484451203</v>
      </c>
      <c r="X31" s="182">
        <v>30.199979803422707</v>
      </c>
      <c r="Y31" s="182">
        <v>33.054672208193551</v>
      </c>
      <c r="DA31" s="191" t="s">
        <v>931</v>
      </c>
    </row>
    <row r="32" spans="1:105" ht="12" customHeight="1" x14ac:dyDescent="0.25">
      <c r="A32" s="60" t="s">
        <v>159</v>
      </c>
      <c r="B32" s="41"/>
      <c r="C32" s="41">
        <v>0.94421437224066374</v>
      </c>
      <c r="D32" s="41">
        <v>1.1570173667576018</v>
      </c>
      <c r="E32" s="41">
        <v>1.4431494815349772</v>
      </c>
      <c r="F32" s="41">
        <v>1.7354910932118166</v>
      </c>
      <c r="G32" s="41">
        <v>1.9879981422000323</v>
      </c>
      <c r="H32" s="41">
        <v>2.3296955716988972</v>
      </c>
      <c r="I32" s="41">
        <v>2.0407116682947937</v>
      </c>
      <c r="J32" s="41">
        <v>1.6862290802137068</v>
      </c>
      <c r="K32" s="41">
        <v>1.4569536017356768</v>
      </c>
      <c r="L32" s="41">
        <v>1.4307449351650519</v>
      </c>
      <c r="M32" s="41">
        <v>1.3557122990114081</v>
      </c>
      <c r="N32" s="41">
        <v>1.2983835904908325</v>
      </c>
      <c r="O32" s="41">
        <v>1.4348104896500438</v>
      </c>
      <c r="P32" s="41">
        <v>1.5658784710191966</v>
      </c>
      <c r="Q32" s="41">
        <v>1.6938513725041062</v>
      </c>
      <c r="R32" s="41">
        <v>1.7997712454963022</v>
      </c>
      <c r="S32" s="41">
        <v>2.0796213289478551</v>
      </c>
      <c r="T32" s="41">
        <v>2.3169616018812889</v>
      </c>
      <c r="U32" s="41">
        <v>2.79846098335614</v>
      </c>
      <c r="V32" s="41">
        <v>2.8995682104311946</v>
      </c>
      <c r="W32" s="41">
        <v>2.9710623102631679</v>
      </c>
      <c r="X32" s="41">
        <v>2.5722832359266583</v>
      </c>
      <c r="Y32" s="41">
        <v>2.1246845398931917</v>
      </c>
      <c r="DA32" s="92" t="s">
        <v>932</v>
      </c>
    </row>
    <row r="33" spans="1:105" ht="12" customHeight="1" x14ac:dyDescent="0.25">
      <c r="A33" s="62" t="s">
        <v>157</v>
      </c>
      <c r="B33" s="42"/>
      <c r="C33" s="42">
        <v>199.77008831274964</v>
      </c>
      <c r="D33" s="42">
        <v>197.16588892775167</v>
      </c>
      <c r="E33" s="42">
        <v>211.19216887237508</v>
      </c>
      <c r="F33" s="42">
        <v>243.4644619737827</v>
      </c>
      <c r="G33" s="42">
        <v>311.50044750641644</v>
      </c>
      <c r="H33" s="42">
        <v>329.10735828336772</v>
      </c>
      <c r="I33" s="42">
        <v>369.22606040886876</v>
      </c>
      <c r="J33" s="42">
        <v>333.86481619679034</v>
      </c>
      <c r="K33" s="42">
        <v>355.99036491889819</v>
      </c>
      <c r="L33" s="42">
        <v>443.84551724606695</v>
      </c>
      <c r="M33" s="42">
        <v>443.87657190925142</v>
      </c>
      <c r="N33" s="42">
        <v>549.3926133734883</v>
      </c>
      <c r="O33" s="42">
        <v>538.870780991424</v>
      </c>
      <c r="P33" s="42">
        <v>574.73345516619338</v>
      </c>
      <c r="Q33" s="42">
        <v>745.17959010184723</v>
      </c>
      <c r="R33" s="42">
        <v>543.8915245672315</v>
      </c>
      <c r="S33" s="42">
        <v>713.65920805150836</v>
      </c>
      <c r="T33" s="42">
        <v>669.48089890488882</v>
      </c>
      <c r="U33" s="42">
        <v>730.43802712618981</v>
      </c>
      <c r="V33" s="42">
        <v>914.69296596386312</v>
      </c>
      <c r="W33" s="42">
        <v>697.62323236942211</v>
      </c>
      <c r="X33" s="42">
        <v>873.68407164940254</v>
      </c>
      <c r="Y33" s="42">
        <v>918.19643886591984</v>
      </c>
      <c r="DA33" s="93" t="s">
        <v>933</v>
      </c>
    </row>
    <row r="34" spans="1:105" s="2" customFormat="1" ht="12" customHeight="1" x14ac:dyDescent="0.25">
      <c r="DA34" s="7"/>
    </row>
    <row r="35" spans="1:105" ht="12.95" customHeight="1" x14ac:dyDescent="0.25">
      <c r="A35" s="178" t="s">
        <v>105</v>
      </c>
      <c r="B35" s="179"/>
      <c r="C35" s="179"/>
      <c r="D35" s="179"/>
      <c r="E35" s="179"/>
      <c r="F35" s="179"/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DA35" s="188"/>
    </row>
    <row r="36" spans="1:105" ht="12" customHeight="1" x14ac:dyDescent="0.25">
      <c r="A36" s="131" t="s">
        <v>158</v>
      </c>
      <c r="B36" s="182"/>
      <c r="C36" s="182">
        <v>2.7695276237772219</v>
      </c>
      <c r="D36" s="182">
        <v>2.8478653585401901</v>
      </c>
      <c r="E36" s="182">
        <v>2.9284189226868591</v>
      </c>
      <c r="F36" s="182">
        <v>3.0112509922682449</v>
      </c>
      <c r="G36" s="182">
        <v>3.0964260161646706</v>
      </c>
      <c r="H36" s="182">
        <v>3.1840102662313257</v>
      </c>
      <c r="I36" s="182">
        <v>3.2740718888622666</v>
      </c>
      <c r="J36" s="182">
        <v>3.3666809580127506</v>
      </c>
      <c r="K36" s="182">
        <v>3.4619095297215239</v>
      </c>
      <c r="L36" s="182">
        <v>3.5598316981752305</v>
      </c>
      <c r="M36" s="182">
        <v>3.660523653358581</v>
      </c>
      <c r="N36" s="182">
        <v>3.7640637403353168</v>
      </c>
      <c r="O36" s="182">
        <v>3.8705325202058276</v>
      </c>
      <c r="P36" s="182">
        <v>3.9800128327891571</v>
      </c>
      <c r="Q36" s="182">
        <v>4.0925898610778262</v>
      </c>
      <c r="R36" s="182">
        <v>4.2083511975159382</v>
      </c>
      <c r="S36" s="182">
        <v>4.3273869121519084</v>
      </c>
      <c r="T36" s="182">
        <v>4.4497896227190381</v>
      </c>
      <c r="U36" s="182">
        <v>5.6851549407755186</v>
      </c>
      <c r="V36" s="182">
        <v>5.4551256839848747</v>
      </c>
      <c r="W36" s="182">
        <v>4.7719041175891022</v>
      </c>
      <c r="X36" s="182">
        <v>5.9278306712923836</v>
      </c>
      <c r="Y36" s="182">
        <v>6.1614470350945254</v>
      </c>
      <c r="DA36" s="191" t="s">
        <v>934</v>
      </c>
    </row>
    <row r="37" spans="1:105" ht="12" customHeight="1" x14ac:dyDescent="0.25">
      <c r="A37" s="131" t="s">
        <v>156</v>
      </c>
      <c r="B37" s="182"/>
      <c r="C37" s="182">
        <v>187.66321189806195</v>
      </c>
      <c r="D37" s="182">
        <v>195.7411526181188</v>
      </c>
      <c r="E37" s="182">
        <v>204.16680733932026</v>
      </c>
      <c r="F37" s="182">
        <v>212.95514336964561</v>
      </c>
      <c r="G37" s="182">
        <v>222.12177228307178</v>
      </c>
      <c r="H37" s="182">
        <v>231.68297765192824</v>
      </c>
      <c r="I37" s="182">
        <v>241.65574397298587</v>
      </c>
      <c r="J37" s="182">
        <v>202.36309949487554</v>
      </c>
      <c r="K37" s="182">
        <v>218.39302504868942</v>
      </c>
      <c r="L37" s="182">
        <v>230.92873552917058</v>
      </c>
      <c r="M37" s="182">
        <v>241.48926920536633</v>
      </c>
      <c r="N37" s="182">
        <v>255.86024568098696</v>
      </c>
      <c r="O37" s="182">
        <v>269.31176976671577</v>
      </c>
      <c r="P37" s="182">
        <v>284.89480262322832</v>
      </c>
      <c r="Q37" s="182">
        <v>244.36748135717153</v>
      </c>
      <c r="R37" s="182">
        <v>274.64959427473286</v>
      </c>
      <c r="S37" s="182">
        <v>289.75652494370252</v>
      </c>
      <c r="T37" s="182">
        <v>307.74569050165428</v>
      </c>
      <c r="U37" s="182">
        <v>337.31973387655034</v>
      </c>
      <c r="V37" s="182">
        <v>366.8267701933687</v>
      </c>
      <c r="W37" s="182">
        <v>398.33318036311402</v>
      </c>
      <c r="X37" s="182">
        <v>380.32878985370417</v>
      </c>
      <c r="Y37" s="182">
        <v>317.95385827372684</v>
      </c>
      <c r="DA37" s="191" t="s">
        <v>935</v>
      </c>
    </row>
    <row r="38" spans="1:105" ht="12" customHeight="1" x14ac:dyDescent="0.25">
      <c r="A38" s="131" t="s">
        <v>160</v>
      </c>
      <c r="B38" s="182"/>
      <c r="C38" s="182">
        <v>3.0946631171552283</v>
      </c>
      <c r="D38" s="182">
        <v>3.1750573651976275</v>
      </c>
      <c r="E38" s="182">
        <v>3.2575401233212951</v>
      </c>
      <c r="F38" s="182">
        <v>3.3421656475764507</v>
      </c>
      <c r="G38" s="182">
        <v>3.4289896034960989</v>
      </c>
      <c r="H38" s="182">
        <v>3.5180691027120545</v>
      </c>
      <c r="I38" s="182">
        <v>3.4484873042595119</v>
      </c>
      <c r="J38" s="182">
        <v>3.6203421554825752</v>
      </c>
      <c r="K38" s="182">
        <v>3.623495273260307</v>
      </c>
      <c r="L38" s="182">
        <v>3.9452039422104512</v>
      </c>
      <c r="M38" s="182">
        <v>4.0251837999512468</v>
      </c>
      <c r="N38" s="182">
        <v>4.2868534086564729</v>
      </c>
      <c r="O38" s="182">
        <v>4.2016951536829268</v>
      </c>
      <c r="P38" s="182">
        <v>4.4065390723559936</v>
      </c>
      <c r="Q38" s="182">
        <v>4.3706273940704392</v>
      </c>
      <c r="R38" s="182">
        <v>4.7742184290739296</v>
      </c>
      <c r="S38" s="182">
        <v>4.8339818029323496</v>
      </c>
      <c r="T38" s="182">
        <v>5.0835761660178989</v>
      </c>
      <c r="U38" s="182">
        <v>5.0211878602969691</v>
      </c>
      <c r="V38" s="182">
        <v>5.4904519989438541</v>
      </c>
      <c r="W38" s="182">
        <v>5.3706331829943466</v>
      </c>
      <c r="X38" s="182">
        <v>5.4591292936489637</v>
      </c>
      <c r="Y38" s="182">
        <v>5.6172992219640179</v>
      </c>
      <c r="DA38" s="191" t="s">
        <v>936</v>
      </c>
    </row>
    <row r="39" spans="1:105" ht="12" customHeight="1" x14ac:dyDescent="0.25">
      <c r="A39" s="131" t="s">
        <v>172</v>
      </c>
      <c r="B39" s="182"/>
      <c r="C39" s="182">
        <v>11.050195865482436</v>
      </c>
      <c r="D39" s="182">
        <v>11.282959237620162</v>
      </c>
      <c r="E39" s="182">
        <v>11.520625580534897</v>
      </c>
      <c r="F39" s="182">
        <v>11.763298171311135</v>
      </c>
      <c r="G39" s="182">
        <v>12.011082462480914</v>
      </c>
      <c r="H39" s="182">
        <v>12.264086127847975</v>
      </c>
      <c r="I39" s="182">
        <v>12.522419109277052</v>
      </c>
      <c r="J39" s="182">
        <v>12.786193664468612</v>
      </c>
      <c r="K39" s="182">
        <v>13.055524415740109</v>
      </c>
      <c r="L39" s="182">
        <v>13.330528399834748</v>
      </c>
      <c r="M39" s="182">
        <v>25.124743482774875</v>
      </c>
      <c r="N39" s="182">
        <v>24.698134930890575</v>
      </c>
      <c r="O39" s="182">
        <v>26.517226542821135</v>
      </c>
      <c r="P39" s="182">
        <v>24.301066219284991</v>
      </c>
      <c r="Q39" s="182">
        <v>22.871737181923066</v>
      </c>
      <c r="R39" s="182">
        <v>17.396402609761594</v>
      </c>
      <c r="S39" s="182">
        <v>18.655994450875738</v>
      </c>
      <c r="T39" s="182">
        <v>18.279840745631532</v>
      </c>
      <c r="U39" s="182">
        <v>18.519274666609789</v>
      </c>
      <c r="V39" s="182">
        <v>19.465246725359037</v>
      </c>
      <c r="W39" s="182">
        <v>28.30218955208656</v>
      </c>
      <c r="X39" s="182">
        <v>28.187013989288033</v>
      </c>
      <c r="Y39" s="182">
        <v>31.378505319806948</v>
      </c>
      <c r="DA39" s="191" t="s">
        <v>937</v>
      </c>
    </row>
    <row r="40" spans="1:105" ht="12" customHeight="1" x14ac:dyDescent="0.25">
      <c r="A40" s="60" t="s">
        <v>159</v>
      </c>
      <c r="B40" s="41"/>
      <c r="C40" s="41">
        <v>0.31930128611167419</v>
      </c>
      <c r="D40" s="41">
        <v>0.35523273115732756</v>
      </c>
      <c r="E40" s="41">
        <v>0.39520759475224843</v>
      </c>
      <c r="F40" s="41">
        <v>0.43968088875426048</v>
      </c>
      <c r="G40" s="41">
        <v>0.48915882817719236</v>
      </c>
      <c r="H40" s="41">
        <v>0.54420459315759828</v>
      </c>
      <c r="I40" s="41">
        <v>0.60544473932411336</v>
      </c>
      <c r="J40" s="41">
        <v>0.67357632953510915</v>
      </c>
      <c r="K40" s="41">
        <v>0.7493748681613468</v>
      </c>
      <c r="L40" s="41">
        <v>0.83370312822515302</v>
      </c>
      <c r="M40" s="41">
        <v>0.9275209718705888</v>
      </c>
      <c r="N40" s="41">
        <v>1.031896275945634</v>
      </c>
      <c r="O40" s="41">
        <v>1.1480170870562638</v>
      </c>
      <c r="P40" s="41">
        <v>1.2772051444466967</v>
      </c>
      <c r="Q40" s="41">
        <v>1.4209309246293103</v>
      </c>
      <c r="R40" s="41">
        <v>0.94421437224066551</v>
      </c>
      <c r="S40" s="41">
        <v>1.1570173667576</v>
      </c>
      <c r="T40" s="41">
        <v>1.4431494815349772</v>
      </c>
      <c r="U40" s="41">
        <v>1.7354910932118166</v>
      </c>
      <c r="V40" s="41">
        <v>1.9879981422000341</v>
      </c>
      <c r="W40" s="41">
        <v>2.3296955716988954</v>
      </c>
      <c r="X40" s="41">
        <v>2.0407116682947937</v>
      </c>
      <c r="Y40" s="41">
        <v>1.6862290802137068</v>
      </c>
      <c r="DA40" s="92" t="s">
        <v>938</v>
      </c>
    </row>
    <row r="41" spans="1:105" ht="12" customHeight="1" x14ac:dyDescent="0.25">
      <c r="A41" s="62" t="s">
        <v>157</v>
      </c>
      <c r="B41" s="42"/>
      <c r="C41" s="42">
        <v>156.98043156929293</v>
      </c>
      <c r="D41" s="42">
        <v>156.98043156929293</v>
      </c>
      <c r="E41" s="42">
        <v>156.98043156929293</v>
      </c>
      <c r="F41" s="42">
        <v>156.98043156929282</v>
      </c>
      <c r="G41" s="42">
        <v>156.98043156929293</v>
      </c>
      <c r="H41" s="42">
        <v>199.77008831274975</v>
      </c>
      <c r="I41" s="42">
        <v>197.16588892775167</v>
      </c>
      <c r="J41" s="42">
        <v>211.19216887237508</v>
      </c>
      <c r="K41" s="42">
        <v>243.46446197378282</v>
      </c>
      <c r="L41" s="42">
        <v>311.50044750641678</v>
      </c>
      <c r="M41" s="42">
        <v>329.1073582833676</v>
      </c>
      <c r="N41" s="42">
        <v>369.22606040886876</v>
      </c>
      <c r="O41" s="42">
        <v>333.86481619679034</v>
      </c>
      <c r="P41" s="42">
        <v>355.99036491889819</v>
      </c>
      <c r="Q41" s="42">
        <v>443.84551724606717</v>
      </c>
      <c r="R41" s="42">
        <v>443.8765719092512</v>
      </c>
      <c r="S41" s="42">
        <v>549.39261337348853</v>
      </c>
      <c r="T41" s="42">
        <v>538.870780991424</v>
      </c>
      <c r="U41" s="42">
        <v>574.73345516619338</v>
      </c>
      <c r="V41" s="42">
        <v>745.17959010184768</v>
      </c>
      <c r="W41" s="42">
        <v>543.8915245672315</v>
      </c>
      <c r="X41" s="42">
        <v>713.65920805150836</v>
      </c>
      <c r="Y41" s="42">
        <v>669.48089890488882</v>
      </c>
      <c r="DA41" s="93" t="s">
        <v>939</v>
      </c>
    </row>
    <row r="42" spans="1:105" s="2" customFormat="1" ht="12" customHeight="1" x14ac:dyDescent="0.25">
      <c r="DA42" s="7"/>
    </row>
    <row r="43" spans="1:105" ht="12.95" customHeight="1" x14ac:dyDescent="0.25">
      <c r="A43" s="178" t="s">
        <v>104</v>
      </c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DA43" s="192"/>
    </row>
    <row r="44" spans="1:105" ht="12" customHeight="1" x14ac:dyDescent="0.25">
      <c r="A44" s="131" t="s">
        <v>7</v>
      </c>
      <c r="B44" s="184">
        <v>8759.9999999999964</v>
      </c>
      <c r="C44" s="184">
        <v>8760.0000000000018</v>
      </c>
      <c r="D44" s="184">
        <v>8760</v>
      </c>
      <c r="E44" s="184">
        <v>8759.9999999999982</v>
      </c>
      <c r="F44" s="184">
        <v>8759.9999999999982</v>
      </c>
      <c r="G44" s="184">
        <v>8759.9999999999964</v>
      </c>
      <c r="H44" s="184">
        <v>8760.0000000000036</v>
      </c>
      <c r="I44" s="184">
        <v>8759.9999999999964</v>
      </c>
      <c r="J44" s="184">
        <v>8759.9999999999982</v>
      </c>
      <c r="K44" s="184">
        <v>8760</v>
      </c>
      <c r="L44" s="184">
        <v>8759.9999999999945</v>
      </c>
      <c r="M44" s="184">
        <v>8760.0000000000018</v>
      </c>
      <c r="N44" s="184">
        <v>8760.0000000000018</v>
      </c>
      <c r="O44" s="184">
        <v>8760</v>
      </c>
      <c r="P44" s="184">
        <v>8759.9999999999982</v>
      </c>
      <c r="Q44" s="184">
        <v>8760</v>
      </c>
      <c r="R44" s="184">
        <v>8760.0000000000018</v>
      </c>
      <c r="S44" s="184">
        <v>8760.0000000000036</v>
      </c>
      <c r="T44" s="184">
        <v>8760</v>
      </c>
      <c r="U44" s="184">
        <v>8760</v>
      </c>
      <c r="V44" s="184">
        <v>8760</v>
      </c>
      <c r="W44" s="184">
        <v>8760</v>
      </c>
      <c r="X44" s="184">
        <v>8760</v>
      </c>
      <c r="Y44" s="184">
        <v>8760</v>
      </c>
      <c r="DA44" s="193" t="s">
        <v>940</v>
      </c>
    </row>
    <row r="45" spans="1:105" ht="12" customHeight="1" x14ac:dyDescent="0.25">
      <c r="A45" s="131" t="s">
        <v>6</v>
      </c>
      <c r="B45" s="184">
        <v>4091.8571604487224</v>
      </c>
      <c r="C45" s="184">
        <v>4082.0157021540458</v>
      </c>
      <c r="D45" s="184">
        <v>4069.9925764506838</v>
      </c>
      <c r="E45" s="184">
        <v>4060.8587462073465</v>
      </c>
      <c r="F45" s="184">
        <v>4050.401774853518</v>
      </c>
      <c r="G45" s="184">
        <v>4046.2217104134093</v>
      </c>
      <c r="H45" s="184">
        <v>4040.7900208696433</v>
      </c>
      <c r="I45" s="184">
        <v>4034.3609415192273</v>
      </c>
      <c r="J45" s="184">
        <v>4023.8683242419115</v>
      </c>
      <c r="K45" s="184">
        <v>4016.2331295599961</v>
      </c>
      <c r="L45" s="184">
        <v>4005.8843599767692</v>
      </c>
      <c r="M45" s="184">
        <v>3982.9918894841685</v>
      </c>
      <c r="N45" s="184">
        <v>3954.8881506303596</v>
      </c>
      <c r="O45" s="184">
        <v>3925.3221690212345</v>
      </c>
      <c r="P45" s="184">
        <v>3897.0431543940417</v>
      </c>
      <c r="Q45" s="184">
        <v>3863.3817634734392</v>
      </c>
      <c r="R45" s="184">
        <v>3905.0620530100723</v>
      </c>
      <c r="S45" s="184">
        <v>3920.6099738813878</v>
      </c>
      <c r="T45" s="184">
        <v>3905.5727848064012</v>
      </c>
      <c r="U45" s="184">
        <v>3889.2488164120509</v>
      </c>
      <c r="V45" s="184">
        <v>3864.3715275202721</v>
      </c>
      <c r="W45" s="184">
        <v>3866.4120954582258</v>
      </c>
      <c r="X45" s="184">
        <v>3839.7708859124032</v>
      </c>
      <c r="Y45" s="184">
        <v>3813.1296763665805</v>
      </c>
      <c r="DA45" s="193" t="s">
        <v>941</v>
      </c>
    </row>
    <row r="46" spans="1:105" ht="12" customHeight="1" x14ac:dyDescent="0.25">
      <c r="A46" s="131" t="s">
        <v>5</v>
      </c>
      <c r="B46" s="184">
        <v>2459.427262564448</v>
      </c>
      <c r="C46" s="184">
        <v>2477.8401433046474</v>
      </c>
      <c r="D46" s="184">
        <v>2491.9199029540578</v>
      </c>
      <c r="E46" s="184">
        <v>2504.8512064668312</v>
      </c>
      <c r="F46" s="184">
        <v>2523.5684768525298</v>
      </c>
      <c r="G46" s="184">
        <v>2538.8095188269499</v>
      </c>
      <c r="H46" s="184">
        <v>2546.6620491782483</v>
      </c>
      <c r="I46" s="184">
        <v>2559.154985089654</v>
      </c>
      <c r="J46" s="184">
        <v>2563.7667683974678</v>
      </c>
      <c r="K46" s="184">
        <v>2574.89860259442</v>
      </c>
      <c r="L46" s="184">
        <v>2586.2418840544246</v>
      </c>
      <c r="M46" s="184">
        <v>2593.2902593083631</v>
      </c>
      <c r="N46" s="184">
        <v>2599.9168278435109</v>
      </c>
      <c r="O46" s="184">
        <v>2604.0185065018441</v>
      </c>
      <c r="P46" s="184">
        <v>2608.5679200803406</v>
      </c>
      <c r="Q46" s="184">
        <v>2615.382634048693</v>
      </c>
      <c r="R46" s="184">
        <v>2657.9289421183908</v>
      </c>
      <c r="S46" s="184">
        <v>2676.7587793327157</v>
      </c>
      <c r="T46" s="184">
        <v>2671.8504258498515</v>
      </c>
      <c r="U46" s="184">
        <v>2656.4012163280067</v>
      </c>
      <c r="V46" s="184">
        <v>2460.8917519819324</v>
      </c>
      <c r="W46" s="184">
        <v>2550.0975912272893</v>
      </c>
      <c r="X46" s="184">
        <v>2579.6537730146929</v>
      </c>
      <c r="Y46" s="184">
        <v>2594.4318639083949</v>
      </c>
      <c r="DA46" s="193" t="s">
        <v>942</v>
      </c>
    </row>
    <row r="47" spans="1:105" ht="12" customHeight="1" x14ac:dyDescent="0.25">
      <c r="A47" s="131" t="s">
        <v>171</v>
      </c>
      <c r="B47" s="184">
        <v>8759.9999999999964</v>
      </c>
      <c r="C47" s="184">
        <v>8760.0000000000036</v>
      </c>
      <c r="D47" s="184">
        <v>8760</v>
      </c>
      <c r="E47" s="184">
        <v>8760</v>
      </c>
      <c r="F47" s="184">
        <v>8759.9999999999982</v>
      </c>
      <c r="G47" s="184">
        <v>8759.9999999999982</v>
      </c>
      <c r="H47" s="184">
        <v>8759.9999999999982</v>
      </c>
      <c r="I47" s="184">
        <v>8759.9999999999982</v>
      </c>
      <c r="J47" s="184">
        <v>8759.9999999999982</v>
      </c>
      <c r="K47" s="184">
        <v>8760</v>
      </c>
      <c r="L47" s="184">
        <v>8759.9999999999982</v>
      </c>
      <c r="M47" s="184">
        <v>8759.9999999999964</v>
      </c>
      <c r="N47" s="184">
        <v>8760.0000000000018</v>
      </c>
      <c r="O47" s="184">
        <v>8759.9999999999982</v>
      </c>
      <c r="P47" s="184">
        <v>8759.9999999999964</v>
      </c>
      <c r="Q47" s="184">
        <v>8759.9999999999982</v>
      </c>
      <c r="R47" s="184">
        <v>8760.0000000000018</v>
      </c>
      <c r="S47" s="184">
        <v>8760</v>
      </c>
      <c r="T47" s="184">
        <v>8760</v>
      </c>
      <c r="U47" s="184">
        <v>8760</v>
      </c>
      <c r="V47" s="184">
        <v>8760.0000000000018</v>
      </c>
      <c r="W47" s="184">
        <v>8760</v>
      </c>
      <c r="X47" s="184">
        <v>8760</v>
      </c>
      <c r="Y47" s="184">
        <v>8760</v>
      </c>
      <c r="DA47" s="193" t="s">
        <v>943</v>
      </c>
    </row>
    <row r="48" spans="1:105" ht="12" customHeight="1" x14ac:dyDescent="0.25">
      <c r="A48" s="60" t="s">
        <v>4</v>
      </c>
      <c r="B48" s="44">
        <v>825.08353860300349</v>
      </c>
      <c r="C48" s="44">
        <v>829.02486537900438</v>
      </c>
      <c r="D48" s="44">
        <v>832.63945218691242</v>
      </c>
      <c r="E48" s="44">
        <v>835.97846513451668</v>
      </c>
      <c r="F48" s="44">
        <v>839.08184465357908</v>
      </c>
      <c r="G48" s="44">
        <v>841.9813762472271</v>
      </c>
      <c r="H48" s="44">
        <v>844.70277640668246</v>
      </c>
      <c r="I48" s="44">
        <v>847.26715036653502</v>
      </c>
      <c r="J48" s="44">
        <v>849.69203610229715</v>
      </c>
      <c r="K48" s="44">
        <v>851.99216811151985</v>
      </c>
      <c r="L48" s="44">
        <v>854.18004675461259</v>
      </c>
      <c r="M48" s="44">
        <v>855.57036316798087</v>
      </c>
      <c r="N48" s="44">
        <v>856.89809722779307</v>
      </c>
      <c r="O48" s="44">
        <v>858.16872604901005</v>
      </c>
      <c r="P48" s="44">
        <v>859.38703435977743</v>
      </c>
      <c r="Q48" s="44">
        <v>860.55722676593155</v>
      </c>
      <c r="R48" s="44">
        <v>872.34417463635509</v>
      </c>
      <c r="S48" s="44">
        <v>878.02325768044864</v>
      </c>
      <c r="T48" s="44">
        <v>877.7746331469076</v>
      </c>
      <c r="U48" s="44">
        <v>874.60827015516907</v>
      </c>
      <c r="V48" s="44">
        <v>810.23764972342099</v>
      </c>
      <c r="W48" s="44">
        <v>839.6082750154734</v>
      </c>
      <c r="X48" s="44">
        <v>849.70347672164144</v>
      </c>
      <c r="Y48" s="44">
        <v>854.75107757472551</v>
      </c>
      <c r="DA48" s="95" t="s">
        <v>944</v>
      </c>
    </row>
    <row r="49" spans="1:105" ht="12" customHeight="1" x14ac:dyDescent="0.25">
      <c r="A49" s="62" t="s">
        <v>3</v>
      </c>
      <c r="B49" s="185">
        <v>2133.0792207622526</v>
      </c>
      <c r="C49" s="185">
        <v>2231.2938879216304</v>
      </c>
      <c r="D49" s="185">
        <v>2339.4960404404183</v>
      </c>
      <c r="E49" s="185">
        <v>2440.3613247269582</v>
      </c>
      <c r="F49" s="185">
        <v>2515.5670468947915</v>
      </c>
      <c r="G49" s="185">
        <v>2544.2204791196473</v>
      </c>
      <c r="H49" s="185">
        <v>2585.0497925391019</v>
      </c>
      <c r="I49" s="185">
        <v>2596.8162980158058</v>
      </c>
      <c r="J49" s="185">
        <v>2637.1330555250292</v>
      </c>
      <c r="K49" s="185">
        <v>2687.1256246308089</v>
      </c>
      <c r="L49" s="185">
        <v>2750.7947029560792</v>
      </c>
      <c r="M49" s="185">
        <v>2785.5181328434883</v>
      </c>
      <c r="N49" s="185">
        <v>2846.6906572498942</v>
      </c>
      <c r="O49" s="185">
        <v>2896.7501226326372</v>
      </c>
      <c r="P49" s="185">
        <v>2923.0950064441522</v>
      </c>
      <c r="Q49" s="185">
        <v>2912.9740038344121</v>
      </c>
      <c r="R49" s="185">
        <v>2951.9397558506012</v>
      </c>
      <c r="S49" s="185">
        <v>3037.6150523834945</v>
      </c>
      <c r="T49" s="185">
        <v>3074.2185184801879</v>
      </c>
      <c r="U49" s="185">
        <v>3132.6866991386069</v>
      </c>
      <c r="V49" s="185">
        <v>3137.6639814236764</v>
      </c>
      <c r="W49" s="185">
        <v>3229.0960078804901</v>
      </c>
      <c r="X49" s="185">
        <v>3306.7246368344236</v>
      </c>
      <c r="Y49" s="185">
        <v>3440.820811896654</v>
      </c>
      <c r="DA49" s="194" t="s">
        <v>945</v>
      </c>
    </row>
    <row r="50" spans="1:105" s="2" customFormat="1" ht="12" customHeight="1" x14ac:dyDescent="0.25">
      <c r="DA50" s="7"/>
    </row>
    <row r="51" spans="1:105" ht="12.95" customHeight="1" x14ac:dyDescent="0.25">
      <c r="A51" s="178" t="s">
        <v>103</v>
      </c>
      <c r="B51" s="179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DA51" s="188"/>
    </row>
    <row r="52" spans="1:105" ht="12" customHeight="1" x14ac:dyDescent="0.25">
      <c r="A52" s="131" t="s">
        <v>101</v>
      </c>
      <c r="B52" s="180">
        <v>0.62145084547339791</v>
      </c>
      <c r="C52" s="180">
        <v>0.61584517959258767</v>
      </c>
      <c r="D52" s="180">
        <v>0.61035273767783038</v>
      </c>
      <c r="E52" s="180">
        <v>0.60540834720654924</v>
      </c>
      <c r="F52" s="180">
        <v>0.59936953841312546</v>
      </c>
      <c r="G52" s="180">
        <v>0.59318135827018525</v>
      </c>
      <c r="H52" s="180">
        <v>0.58640181678204606</v>
      </c>
      <c r="I52" s="180">
        <v>0.57968878786311528</v>
      </c>
      <c r="J52" s="180">
        <v>0.57375367130939958</v>
      </c>
      <c r="K52" s="180">
        <v>0.56788406539875635</v>
      </c>
      <c r="L52" s="180">
        <v>0.5618165955431027</v>
      </c>
      <c r="M52" s="180">
        <v>0.55567900090875388</v>
      </c>
      <c r="N52" s="180">
        <v>0.54965183632355252</v>
      </c>
      <c r="O52" s="180">
        <v>0.54294831181796255</v>
      </c>
      <c r="P52" s="180">
        <v>0.53579663825093882</v>
      </c>
      <c r="Q52" s="180">
        <v>0.52814145051137606</v>
      </c>
      <c r="R52" s="180">
        <v>0.52047837777066519</v>
      </c>
      <c r="S52" s="180">
        <v>0.51236098773446503</v>
      </c>
      <c r="T52" s="180">
        <v>0.50397385652370574</v>
      </c>
      <c r="U52" s="180">
        <v>0.49719498649410498</v>
      </c>
      <c r="V52" s="180">
        <v>0.49094641416576362</v>
      </c>
      <c r="W52" s="180">
        <v>0.48566267040249067</v>
      </c>
      <c r="X52" s="180">
        <v>0.47958087024000728</v>
      </c>
      <c r="Y52" s="180">
        <v>0.47355432749636345</v>
      </c>
      <c r="DA52" s="189" t="s">
        <v>946</v>
      </c>
    </row>
    <row r="53" spans="1:105" ht="12" customHeight="1" x14ac:dyDescent="0.25">
      <c r="A53" s="131" t="s">
        <v>100</v>
      </c>
      <c r="B53" s="180">
        <v>168.21436296231704</v>
      </c>
      <c r="C53" s="180">
        <v>167.02974324913382</v>
      </c>
      <c r="D53" s="180">
        <v>165.72096165071454</v>
      </c>
      <c r="E53" s="180">
        <v>164.1424864196112</v>
      </c>
      <c r="F53" s="180">
        <v>162.22549625315145</v>
      </c>
      <c r="G53" s="180">
        <v>159.95185439117046</v>
      </c>
      <c r="H53" s="180">
        <v>157.3795831505596</v>
      </c>
      <c r="I53" s="180">
        <v>154.46263940461469</v>
      </c>
      <c r="J53" s="180">
        <v>152.80298014071315</v>
      </c>
      <c r="K53" s="180">
        <v>150.66792316942937</v>
      </c>
      <c r="L53" s="180">
        <v>148.31595241893467</v>
      </c>
      <c r="M53" s="180">
        <v>145.72403056589658</v>
      </c>
      <c r="N53" s="180">
        <v>142.63462104211135</v>
      </c>
      <c r="O53" s="180">
        <v>138.97498158757108</v>
      </c>
      <c r="P53" s="180">
        <v>134.81064095560083</v>
      </c>
      <c r="Q53" s="180">
        <v>130.69152791323737</v>
      </c>
      <c r="R53" s="180">
        <v>126.58134861411502</v>
      </c>
      <c r="S53" s="180">
        <v>122.05648595451017</v>
      </c>
      <c r="T53" s="180">
        <v>117.14574587692665</v>
      </c>
      <c r="U53" s="180">
        <v>111.85205347319287</v>
      </c>
      <c r="V53" s="180">
        <v>106.24263991349854</v>
      </c>
      <c r="W53" s="180">
        <v>100.75112620893947</v>
      </c>
      <c r="X53" s="180">
        <v>96.170851954479716</v>
      </c>
      <c r="Y53" s="180">
        <v>92.850348890744328</v>
      </c>
      <c r="DA53" s="189" t="s">
        <v>947</v>
      </c>
    </row>
    <row r="54" spans="1:105" ht="12" customHeight="1" x14ac:dyDescent="0.25">
      <c r="A54" s="131" t="s">
        <v>140</v>
      </c>
      <c r="B54" s="180">
        <v>36.777915907881777</v>
      </c>
      <c r="C54" s="180">
        <v>36.374389620788392</v>
      </c>
      <c r="D54" s="180">
        <v>35.774822138008979</v>
      </c>
      <c r="E54" s="180">
        <v>34.995237151526077</v>
      </c>
      <c r="F54" s="180">
        <v>34.073374111542293</v>
      </c>
      <c r="G54" s="180">
        <v>33.07764180206231</v>
      </c>
      <c r="H54" s="180">
        <v>32.007372224249217</v>
      </c>
      <c r="I54" s="180">
        <v>31.238297328874143</v>
      </c>
      <c r="J54" s="180">
        <v>30.525437753434861</v>
      </c>
      <c r="K54" s="180">
        <v>29.927842789198319</v>
      </c>
      <c r="L54" s="180">
        <v>29.313949270571083</v>
      </c>
      <c r="M54" s="180">
        <v>28.627640179645301</v>
      </c>
      <c r="N54" s="180">
        <v>27.850062257804161</v>
      </c>
      <c r="O54" s="180">
        <v>26.995656146623876</v>
      </c>
      <c r="P54" s="180">
        <v>26.003217563299575</v>
      </c>
      <c r="Q54" s="180">
        <v>24.943031908063318</v>
      </c>
      <c r="R54" s="180">
        <v>23.671352931298529</v>
      </c>
      <c r="S54" s="180">
        <v>22.404353380035648</v>
      </c>
      <c r="T54" s="180">
        <v>20.990371600886878</v>
      </c>
      <c r="U54" s="180">
        <v>19.642299445959452</v>
      </c>
      <c r="V54" s="180">
        <v>18.24582829470523</v>
      </c>
      <c r="W54" s="180">
        <v>17.009232682620624</v>
      </c>
      <c r="X54" s="180">
        <v>15.945211123040457</v>
      </c>
      <c r="Y54" s="180">
        <v>14.918431967923775</v>
      </c>
      <c r="DA54" s="189" t="s">
        <v>948</v>
      </c>
    </row>
    <row r="55" spans="1:105" ht="12" customHeight="1" x14ac:dyDescent="0.25">
      <c r="A55" s="131" t="s">
        <v>173</v>
      </c>
      <c r="B55" s="180">
        <v>655.88765864490131</v>
      </c>
      <c r="C55" s="180">
        <v>644.84065308314996</v>
      </c>
      <c r="D55" s="180">
        <v>632.74791076492204</v>
      </c>
      <c r="E55" s="180">
        <v>620.56783692977717</v>
      </c>
      <c r="F55" s="180">
        <v>609.3988517024959</v>
      </c>
      <c r="G55" s="180">
        <v>598.84339981563039</v>
      </c>
      <c r="H55" s="180">
        <v>589.83079281370419</v>
      </c>
      <c r="I55" s="180">
        <v>579.87502619351756</v>
      </c>
      <c r="J55" s="180">
        <v>569.47963232181746</v>
      </c>
      <c r="K55" s="180">
        <v>558.48288992472385</v>
      </c>
      <c r="L55" s="180">
        <v>546.74395024598346</v>
      </c>
      <c r="M55" s="180">
        <v>532.40267338961849</v>
      </c>
      <c r="N55" s="180">
        <v>519.57211045509064</v>
      </c>
      <c r="O55" s="180">
        <v>505.48681381789373</v>
      </c>
      <c r="P55" s="180">
        <v>492.34039793216124</v>
      </c>
      <c r="Q55" s="180">
        <v>480.78178203594666</v>
      </c>
      <c r="R55" s="180">
        <v>472.53192309241456</v>
      </c>
      <c r="S55" s="180">
        <v>463.47378583369954</v>
      </c>
      <c r="T55" s="180">
        <v>454.97576747659434</v>
      </c>
      <c r="U55" s="180">
        <v>446.8352080592465</v>
      </c>
      <c r="V55" s="180">
        <v>438.78558667699536</v>
      </c>
      <c r="W55" s="180">
        <v>428.39296322845894</v>
      </c>
      <c r="X55" s="180">
        <v>418.375503200803</v>
      </c>
      <c r="Y55" s="180">
        <v>407.92079140271159</v>
      </c>
      <c r="DA55" s="189" t="s">
        <v>949</v>
      </c>
    </row>
    <row r="56" spans="1:105" ht="12" customHeight="1" x14ac:dyDescent="0.25">
      <c r="A56" s="60" t="s">
        <v>99</v>
      </c>
      <c r="B56" s="55">
        <v>47.736185687417027</v>
      </c>
      <c r="C56" s="55">
        <v>47.508318589323466</v>
      </c>
      <c r="D56" s="55">
        <v>47.233069851500105</v>
      </c>
      <c r="E56" s="55">
        <v>46.907278985563075</v>
      </c>
      <c r="F56" s="55">
        <v>46.538875453045328</v>
      </c>
      <c r="G56" s="55">
        <v>46.143654722901537</v>
      </c>
      <c r="H56" s="55">
        <v>45.697825063788123</v>
      </c>
      <c r="I56" s="55">
        <v>45.297473053909528</v>
      </c>
      <c r="J56" s="55">
        <v>44.936254914956415</v>
      </c>
      <c r="K56" s="55">
        <v>44.584882845936939</v>
      </c>
      <c r="L56" s="55">
        <v>44.208158068646966</v>
      </c>
      <c r="M56" s="55">
        <v>43.789677091199778</v>
      </c>
      <c r="N56" s="55">
        <v>43.316687409551172</v>
      </c>
      <c r="O56" s="55">
        <v>42.736545463823838</v>
      </c>
      <c r="P56" s="55">
        <v>42.038521669560957</v>
      </c>
      <c r="Q56" s="55">
        <v>41.194408213233785</v>
      </c>
      <c r="R56" s="55">
        <v>40.56825932408929</v>
      </c>
      <c r="S56" s="55">
        <v>39.854415899643726</v>
      </c>
      <c r="T56" s="55">
        <v>39.057877422623882</v>
      </c>
      <c r="U56" s="55">
        <v>38.138324979531596</v>
      </c>
      <c r="V56" s="55">
        <v>37.191199267247491</v>
      </c>
      <c r="W56" s="55">
        <v>36.218116189332605</v>
      </c>
      <c r="X56" s="55">
        <v>35.41569704932477</v>
      </c>
      <c r="Y56" s="55">
        <v>34.785188385624686</v>
      </c>
      <c r="DA56" s="101" t="s">
        <v>950</v>
      </c>
    </row>
    <row r="57" spans="1:105" ht="12" customHeight="1" x14ac:dyDescent="0.25">
      <c r="A57" s="62" t="s">
        <v>98</v>
      </c>
      <c r="B57" s="63">
        <v>354.15071168496752</v>
      </c>
      <c r="C57" s="63">
        <v>347.12430768771333</v>
      </c>
      <c r="D57" s="63">
        <v>337.198297848945</v>
      </c>
      <c r="E57" s="63">
        <v>324.88153286133155</v>
      </c>
      <c r="F57" s="63">
        <v>310.64963495667865</v>
      </c>
      <c r="G57" s="63">
        <v>293.43219265605319</v>
      </c>
      <c r="H57" s="63">
        <v>278.40829170089518</v>
      </c>
      <c r="I57" s="63">
        <v>263.46456320025248</v>
      </c>
      <c r="J57" s="63">
        <v>249.22070407466219</v>
      </c>
      <c r="K57" s="63">
        <v>233.59950806727392</v>
      </c>
      <c r="L57" s="63">
        <v>215.001390989692</v>
      </c>
      <c r="M57" s="63">
        <v>198.66124289141783</v>
      </c>
      <c r="N57" s="63">
        <v>184.28206174819201</v>
      </c>
      <c r="O57" s="63">
        <v>174.96220254041569</v>
      </c>
      <c r="P57" s="63">
        <v>167.77589973007974</v>
      </c>
      <c r="Q57" s="63">
        <v>162.91078838737027</v>
      </c>
      <c r="R57" s="63">
        <v>159.83589604115775</v>
      </c>
      <c r="S57" s="63">
        <v>156.07210168702861</v>
      </c>
      <c r="T57" s="63">
        <v>152.59795675425468</v>
      </c>
      <c r="U57" s="63">
        <v>149.34261302314238</v>
      </c>
      <c r="V57" s="63">
        <v>144.77484031140634</v>
      </c>
      <c r="W57" s="63">
        <v>141.72440975028846</v>
      </c>
      <c r="X57" s="63">
        <v>138.31296637115469</v>
      </c>
      <c r="Y57" s="63">
        <v>135.40133681590316</v>
      </c>
      <c r="DA57" s="105" t="s">
        <v>951</v>
      </c>
    </row>
    <row r="58" spans="1:105" s="2" customFormat="1" ht="12" customHeight="1" x14ac:dyDescent="0.25">
      <c r="DA58" s="7"/>
    </row>
    <row r="59" spans="1:105" ht="12.95" customHeight="1" x14ac:dyDescent="0.25">
      <c r="A59" s="178" t="s">
        <v>102</v>
      </c>
      <c r="B59" s="179"/>
      <c r="C59" s="179"/>
      <c r="D59" s="179"/>
      <c r="E59" s="179"/>
      <c r="F59" s="179"/>
      <c r="G59" s="179"/>
      <c r="H59" s="179"/>
      <c r="I59" s="179"/>
      <c r="J59" s="179"/>
      <c r="K59" s="179"/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DA59" s="188"/>
    </row>
    <row r="60" spans="1:105" ht="12" customHeight="1" x14ac:dyDescent="0.25">
      <c r="A60" s="131" t="s">
        <v>101</v>
      </c>
      <c r="B60" s="180"/>
      <c r="C60" s="180">
        <v>0.55561552779632395</v>
      </c>
      <c r="D60" s="180">
        <v>0.54892093062646596</v>
      </c>
      <c r="E60" s="180">
        <v>0.54336947982031258</v>
      </c>
      <c r="F60" s="180">
        <v>0.53803356099756994</v>
      </c>
      <c r="G60" s="180">
        <v>0.53293029080294252</v>
      </c>
      <c r="H60" s="180">
        <v>0.52680857452087082</v>
      </c>
      <c r="I60" s="180">
        <v>0.52038852999480523</v>
      </c>
      <c r="J60" s="180">
        <v>0.51366359334054301</v>
      </c>
      <c r="K60" s="180">
        <v>0.50684777572703466</v>
      </c>
      <c r="L60" s="180">
        <v>0.49981349516698181</v>
      </c>
      <c r="M60" s="180">
        <v>0.49289345723377526</v>
      </c>
      <c r="N60" s="180">
        <v>0.48544723564417824</v>
      </c>
      <c r="O60" s="180">
        <v>0.47736904997940338</v>
      </c>
      <c r="P60" s="180">
        <v>0.47045734427981317</v>
      </c>
      <c r="Q60" s="180">
        <v>0.46318044748239801</v>
      </c>
      <c r="R60" s="180">
        <v>0.46008030680476036</v>
      </c>
      <c r="S60" s="180">
        <v>0.45561094174098543</v>
      </c>
      <c r="T60" s="180">
        <v>0.4515364348167421</v>
      </c>
      <c r="U60" s="180">
        <v>0.44776331865863828</v>
      </c>
      <c r="V60" s="180">
        <v>0.44402871825016188</v>
      </c>
      <c r="W60" s="180">
        <v>0.44136454594066088</v>
      </c>
      <c r="X60" s="180">
        <v>0.43870037363115993</v>
      </c>
      <c r="Y60" s="180">
        <v>0.43603620132165893</v>
      </c>
      <c r="DA60" s="189" t="s">
        <v>952</v>
      </c>
    </row>
    <row r="61" spans="1:105" ht="12" customHeight="1" x14ac:dyDescent="0.25">
      <c r="A61" s="131" t="s">
        <v>100</v>
      </c>
      <c r="B61" s="180"/>
      <c r="C61" s="180">
        <v>159.37090659177821</v>
      </c>
      <c r="D61" s="180">
        <v>158.90253096753503</v>
      </c>
      <c r="E61" s="180">
        <v>157.26159775467301</v>
      </c>
      <c r="F61" s="180">
        <v>155.12233448914435</v>
      </c>
      <c r="G61" s="180">
        <v>153.00781691238052</v>
      </c>
      <c r="H61" s="180">
        <v>151.20477092332806</v>
      </c>
      <c r="I61" s="180">
        <v>149.13102532719671</v>
      </c>
      <c r="J61" s="180">
        <v>146.67412185435515</v>
      </c>
      <c r="K61" s="180">
        <v>143.64873457493661</v>
      </c>
      <c r="L61" s="180">
        <v>140.8225121706684</v>
      </c>
      <c r="M61" s="180">
        <v>137.43069062848463</v>
      </c>
      <c r="N61" s="180">
        <v>132.85776929308889</v>
      </c>
      <c r="O61" s="180">
        <v>127.92045390811457</v>
      </c>
      <c r="P61" s="180">
        <v>123.04042269996253</v>
      </c>
      <c r="Q61" s="180">
        <v>116.92795930176339</v>
      </c>
      <c r="R61" s="180">
        <v>110.88171720466457</v>
      </c>
      <c r="S61" s="180">
        <v>105.84459476432258</v>
      </c>
      <c r="T61" s="180">
        <v>100.82149218349186</v>
      </c>
      <c r="U61" s="180">
        <v>95.805935309310371</v>
      </c>
      <c r="V61" s="180">
        <v>90.786345697816984</v>
      </c>
      <c r="W61" s="180">
        <v>88.553001593650691</v>
      </c>
      <c r="X61" s="180">
        <v>86.319657489484399</v>
      </c>
      <c r="Y61" s="180">
        <v>84.086313385318107</v>
      </c>
      <c r="DA61" s="189" t="s">
        <v>953</v>
      </c>
    </row>
    <row r="62" spans="1:105" ht="12" customHeight="1" x14ac:dyDescent="0.25">
      <c r="A62" s="131" t="s">
        <v>140</v>
      </c>
      <c r="B62" s="180"/>
      <c r="C62" s="180">
        <v>34.417678145259075</v>
      </c>
      <c r="D62" s="180">
        <v>33.314120680170817</v>
      </c>
      <c r="E62" s="180">
        <v>32.162486127805849</v>
      </c>
      <c r="F62" s="180">
        <v>31.461826497914696</v>
      </c>
      <c r="G62" s="180">
        <v>30.890345509246892</v>
      </c>
      <c r="H62" s="180">
        <v>30.384663739665854</v>
      </c>
      <c r="I62" s="180">
        <v>29.647063230314544</v>
      </c>
      <c r="J62" s="180">
        <v>28.98210346078309</v>
      </c>
      <c r="K62" s="180">
        <v>28.432115659988327</v>
      </c>
      <c r="L62" s="180">
        <v>27.843872790818427</v>
      </c>
      <c r="M62" s="180">
        <v>26.811141390186432</v>
      </c>
      <c r="N62" s="180">
        <v>25.876825730896961</v>
      </c>
      <c r="O62" s="180">
        <v>24.505895102664901</v>
      </c>
      <c r="P62" s="180">
        <v>23.244222879664186</v>
      </c>
      <c r="Q62" s="180">
        <v>21.944411210768138</v>
      </c>
      <c r="R62" s="180">
        <v>20.198298222591454</v>
      </c>
      <c r="S62" s="180">
        <v>19.146069477843817</v>
      </c>
      <c r="T62" s="180">
        <v>17.500128985135152</v>
      </c>
      <c r="U62" s="180">
        <v>16.195795507336175</v>
      </c>
      <c r="V62" s="180">
        <v>15.085351373323828</v>
      </c>
      <c r="W62" s="180">
        <v>14.331083804657636</v>
      </c>
      <c r="X62" s="180">
        <v>13.576816235991444</v>
      </c>
      <c r="Y62" s="180">
        <v>12.822548667325252</v>
      </c>
      <c r="DA62" s="189" t="s">
        <v>954</v>
      </c>
    </row>
    <row r="63" spans="1:105" ht="12" customHeight="1" x14ac:dyDescent="0.25">
      <c r="A63" s="131" t="s">
        <v>173</v>
      </c>
      <c r="B63" s="180"/>
      <c r="C63" s="180">
        <v>596.23917262695647</v>
      </c>
      <c r="D63" s="180">
        <v>576.89615281076919</v>
      </c>
      <c r="E63" s="180">
        <v>567.43792177998455</v>
      </c>
      <c r="F63" s="180">
        <v>556.49294813490826</v>
      </c>
      <c r="G63" s="180">
        <v>547.29306660165412</v>
      </c>
      <c r="H63" s="180">
        <v>539.27543811810608</v>
      </c>
      <c r="I63" s="180">
        <v>528.11374366814857</v>
      </c>
      <c r="J63" s="180">
        <v>516.90119995340137</v>
      </c>
      <c r="K63" s="180">
        <v>505.87783028120327</v>
      </c>
      <c r="L63" s="180">
        <v>495.02854844910973</v>
      </c>
      <c r="M63" s="180">
        <v>479.70719746837824</v>
      </c>
      <c r="N63" s="180">
        <v>470.11005597414436</v>
      </c>
      <c r="O63" s="180">
        <v>457.96541412311922</v>
      </c>
      <c r="P63" s="180">
        <v>443.90799856799242</v>
      </c>
      <c r="Q63" s="180">
        <v>436.0666546586703</v>
      </c>
      <c r="R63" s="180">
        <v>429.49673730289095</v>
      </c>
      <c r="S63" s="180">
        <v>421.32133245680899</v>
      </c>
      <c r="T63" s="180">
        <v>413.49823488939376</v>
      </c>
      <c r="U63" s="180">
        <v>406.13579844571814</v>
      </c>
      <c r="V63" s="180">
        <v>398.8515371366891</v>
      </c>
      <c r="W63" s="180">
        <v>390.8745063939553</v>
      </c>
      <c r="X63" s="180">
        <v>382.8974756512215</v>
      </c>
      <c r="Y63" s="180">
        <v>374.92044490848775</v>
      </c>
      <c r="DA63" s="189" t="s">
        <v>955</v>
      </c>
    </row>
    <row r="64" spans="1:105" ht="12" customHeight="1" x14ac:dyDescent="0.25">
      <c r="A64" s="60" t="s">
        <v>99</v>
      </c>
      <c r="B64" s="55"/>
      <c r="C64" s="55">
        <v>44.879958172662164</v>
      </c>
      <c r="D64" s="55">
        <v>44.571962843888635</v>
      </c>
      <c r="E64" s="55">
        <v>44.28143954186956</v>
      </c>
      <c r="F64" s="55">
        <v>43.937189434332346</v>
      </c>
      <c r="G64" s="55">
        <v>43.557252048038045</v>
      </c>
      <c r="H64" s="55">
        <v>43.020276227469921</v>
      </c>
      <c r="I64" s="55">
        <v>42.43767757272753</v>
      </c>
      <c r="J64" s="55">
        <v>41.834534163371018</v>
      </c>
      <c r="K64" s="55">
        <v>41.210364238716956</v>
      </c>
      <c r="L64" s="55">
        <v>40.623736119370008</v>
      </c>
      <c r="M64" s="55">
        <v>39.69326901210043</v>
      </c>
      <c r="N64" s="55">
        <v>38.652236136151551</v>
      </c>
      <c r="O64" s="55">
        <v>37.553439324219816</v>
      </c>
      <c r="P64" s="55">
        <v>36.433401888538128</v>
      </c>
      <c r="Q64" s="55">
        <v>35.076850431458951</v>
      </c>
      <c r="R64" s="55">
        <v>34.633379121930808</v>
      </c>
      <c r="S64" s="55">
        <v>34.097982483966227</v>
      </c>
      <c r="T64" s="55">
        <v>33.60025163222879</v>
      </c>
      <c r="U64" s="55">
        <v>33.121217334487476</v>
      </c>
      <c r="V64" s="55">
        <v>32.646420647511619</v>
      </c>
      <c r="W64" s="55">
        <v>32.319956441036503</v>
      </c>
      <c r="X64" s="55">
        <v>31.993492234561387</v>
      </c>
      <c r="Y64" s="55">
        <v>31.667028028086268</v>
      </c>
      <c r="DA64" s="101" t="s">
        <v>956</v>
      </c>
    </row>
    <row r="65" spans="1:105" ht="12" customHeight="1" x14ac:dyDescent="0.25">
      <c r="A65" s="62" t="s">
        <v>98</v>
      </c>
      <c r="B65" s="63"/>
      <c r="C65" s="63">
        <v>325.03876042315284</v>
      </c>
      <c r="D65" s="63">
        <v>309.02669126337184</v>
      </c>
      <c r="E65" s="63">
        <v>296.02273518048929</v>
      </c>
      <c r="F65" s="63">
        <v>284.79674953304993</v>
      </c>
      <c r="G65" s="63">
        <v>268.28478481910571</v>
      </c>
      <c r="H65" s="63">
        <v>253.6175302402315</v>
      </c>
      <c r="I65" s="63">
        <v>235.48595735976434</v>
      </c>
      <c r="J65" s="63">
        <v>216.34579979804462</v>
      </c>
      <c r="K65" s="63">
        <v>198.96745354889899</v>
      </c>
      <c r="L65" s="63">
        <v>181.17607499221296</v>
      </c>
      <c r="M65" s="63">
        <v>171.96645656296519</v>
      </c>
      <c r="N65" s="63">
        <v>167.74083992136067</v>
      </c>
      <c r="O65" s="63">
        <v>163.8156847208451</v>
      </c>
      <c r="P65" s="63">
        <v>157.93761397152832</v>
      </c>
      <c r="Q65" s="63">
        <v>157.13692378205391</v>
      </c>
      <c r="R65" s="63">
        <v>153.61170573203395</v>
      </c>
      <c r="S65" s="63">
        <v>149.48596352710157</v>
      </c>
      <c r="T65" s="63">
        <v>145.4555691311414</v>
      </c>
      <c r="U65" s="63">
        <v>141.63479087046727</v>
      </c>
      <c r="V65" s="63">
        <v>137.85387740018041</v>
      </c>
      <c r="W65" s="63">
        <v>135.37250760697717</v>
      </c>
      <c r="X65" s="63">
        <v>132.89113781377392</v>
      </c>
      <c r="Y65" s="63">
        <v>130.40976802057065</v>
      </c>
      <c r="DA65" s="105" t="s">
        <v>957</v>
      </c>
    </row>
    <row r="66" spans="1:105" s="2" customFormat="1" ht="12" customHeight="1" x14ac:dyDescent="0.25">
      <c r="DA66" s="7"/>
    </row>
    <row r="67" spans="1:105" ht="12.95" customHeight="1" x14ac:dyDescent="0.25">
      <c r="A67" s="178" t="s">
        <v>97</v>
      </c>
      <c r="B67" s="186"/>
      <c r="C67" s="186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DA67" s="195"/>
    </row>
    <row r="68" spans="1:105" ht="12" customHeight="1" x14ac:dyDescent="0.25">
      <c r="A68" s="131" t="s">
        <v>96</v>
      </c>
      <c r="B68" s="187">
        <f>1000000*B20/SER_summary!B$8</f>
        <v>623.38297693792197</v>
      </c>
      <c r="C68" s="187">
        <f>1000000*C20/SER_summary!C$8</f>
        <v>644.61974445729788</v>
      </c>
      <c r="D68" s="187">
        <f>1000000*D20/SER_summary!D$8</f>
        <v>663.05521026763131</v>
      </c>
      <c r="E68" s="187">
        <f>1000000*E20/SER_summary!E$8</f>
        <v>675.0075702097364</v>
      </c>
      <c r="F68" s="187">
        <f>1000000*F20/SER_summary!F$8</f>
        <v>692.15059284130757</v>
      </c>
      <c r="G68" s="187">
        <f>1000000*G20/SER_summary!G$8</f>
        <v>711.79967214875353</v>
      </c>
      <c r="H68" s="187">
        <f>1000000*H20/SER_summary!H$8</f>
        <v>733.21558376791972</v>
      </c>
      <c r="I68" s="187">
        <f>1000000*I20/SER_summary!I$8</f>
        <v>752.78105861412052</v>
      </c>
      <c r="J68" s="187">
        <f>1000000*J20/SER_summary!J$8</f>
        <v>764.87216035903009</v>
      </c>
      <c r="K68" s="187">
        <f>1000000*K20/SER_summary!K$8</f>
        <v>776.10482580091787</v>
      </c>
      <c r="L68" s="187">
        <f>1000000*L20/SER_summary!L$8</f>
        <v>784.44025531705688</v>
      </c>
      <c r="M68" s="187">
        <f>1000000*M20/SER_summary!M$8</f>
        <v>791.42915862080906</v>
      </c>
      <c r="N68" s="187">
        <f>1000000*N20/SER_summary!N$8</f>
        <v>794.15448601324078</v>
      </c>
      <c r="O68" s="187">
        <f>1000000*O20/SER_summary!O$8</f>
        <v>799.77429804707378</v>
      </c>
      <c r="P68" s="187">
        <f>1000000*P20/SER_summary!P$8</f>
        <v>805.90202851267895</v>
      </c>
      <c r="Q68" s="187">
        <f>1000000*Q20/SER_summary!Q$8</f>
        <v>812.83011294787434</v>
      </c>
      <c r="R68" s="187">
        <f>1000000*R20/SER_summary!R$8</f>
        <v>815.12112242753187</v>
      </c>
      <c r="S68" s="187">
        <f>1000000*S20/SER_summary!S$8</f>
        <v>817.39059723773903</v>
      </c>
      <c r="T68" s="187">
        <f>1000000*T20/SER_summary!T$8</f>
        <v>819.75242835420784</v>
      </c>
      <c r="U68" s="187">
        <f>1000000*U20/SER_summary!U$8</f>
        <v>822.27569223007868</v>
      </c>
      <c r="V68" s="187">
        <f>1000000*V20/SER_summary!V$8</f>
        <v>825.08896489821473</v>
      </c>
      <c r="W68" s="187">
        <f>1000000*W20/SER_summary!W$8</f>
        <v>828.32525306768264</v>
      </c>
      <c r="X68" s="187">
        <f>1000000*X20/SER_summary!X$8</f>
        <v>829.94815424140165</v>
      </c>
      <c r="Y68" s="187">
        <f>1000000*Y20/SER_summary!Y$8</f>
        <v>830.76079681872193</v>
      </c>
      <c r="DA68" s="196" t="s">
        <v>958</v>
      </c>
    </row>
    <row r="69" spans="1:105" ht="12" customHeight="1" x14ac:dyDescent="0.25">
      <c r="A69" s="131" t="s">
        <v>95</v>
      </c>
      <c r="B69" s="187">
        <f>1000*B21/SER_summary!B$3</f>
        <v>0.28928629755777796</v>
      </c>
      <c r="C69" s="187">
        <f>1000*C21/SER_summary!C$3</f>
        <v>0.29157559651348136</v>
      </c>
      <c r="D69" s="187">
        <f>1000*D21/SER_summary!D$3</f>
        <v>0.29516223103395361</v>
      </c>
      <c r="E69" s="187">
        <f>1000*E21/SER_summary!E$3</f>
        <v>0.29965656908614796</v>
      </c>
      <c r="F69" s="187">
        <f>1000*F21/SER_summary!F$3</f>
        <v>0.30435176043254475</v>
      </c>
      <c r="G69" s="187">
        <f>1000*G21/SER_summary!G$3</f>
        <v>0.30981356006470651</v>
      </c>
      <c r="H69" s="187">
        <f>1000*H21/SER_summary!H$3</f>
        <v>0.31585512706471797</v>
      </c>
      <c r="I69" s="187">
        <f>1000*I21/SER_summary!I$3</f>
        <v>0.32276965548295045</v>
      </c>
      <c r="J69" s="187">
        <f>1000*J21/SER_summary!J$3</f>
        <v>0.32926150314034136</v>
      </c>
      <c r="K69" s="187">
        <f>1000*K21/SER_summary!K$3</f>
        <v>0.33822675464446383</v>
      </c>
      <c r="L69" s="187">
        <f>1000*L21/SER_summary!L$3</f>
        <v>0.34763245165297113</v>
      </c>
      <c r="M69" s="187">
        <f>1000*M21/SER_summary!M$3</f>
        <v>0.3584162207016332</v>
      </c>
      <c r="N69" s="187">
        <f>1000*N21/SER_summary!N$3</f>
        <v>0.37177306682742317</v>
      </c>
      <c r="O69" s="187">
        <f>1000*O21/SER_summary!O$3</f>
        <v>0.38800204282962425</v>
      </c>
      <c r="P69" s="187">
        <f>1000*P21/SER_summary!P$3</f>
        <v>0.4070609189253685</v>
      </c>
      <c r="Q69" s="187">
        <f>1000*Q21/SER_summary!Q$3</f>
        <v>0.43038497607747034</v>
      </c>
      <c r="R69" s="187">
        <f>1000*R21/SER_summary!R$3</f>
        <v>0.43705666749630606</v>
      </c>
      <c r="S69" s="187">
        <f>1000*S21/SER_summary!S$3</f>
        <v>0.44382034566087147</v>
      </c>
      <c r="T69" s="187">
        <f>1000*T21/SER_summary!T$3</f>
        <v>0.45111827669502652</v>
      </c>
      <c r="U69" s="187">
        <f>1000*U21/SER_summary!U$3</f>
        <v>0.45826548522216942</v>
      </c>
      <c r="V69" s="187">
        <f>1000*V21/SER_summary!V$3</f>
        <v>0.46424153026717235</v>
      </c>
      <c r="W69" s="187">
        <f>1000*W21/SER_summary!W$3</f>
        <v>0.46869315170346093</v>
      </c>
      <c r="X69" s="187">
        <f>1000*X21/SER_summary!X$3</f>
        <v>0.47183466100910826</v>
      </c>
      <c r="Y69" s="187">
        <f>1000*Y21/SER_summary!Y$3</f>
        <v>0.47404623781626165</v>
      </c>
      <c r="DA69" s="196" t="s">
        <v>959</v>
      </c>
    </row>
    <row r="70" spans="1:105" ht="12" customHeight="1" x14ac:dyDescent="0.25">
      <c r="A70" s="131" t="s">
        <v>141</v>
      </c>
      <c r="B70" s="187">
        <f>1000000*B22/SER_summary!B$8</f>
        <v>193.46330258340771</v>
      </c>
      <c r="C70" s="187">
        <f>1000000*C22/SER_summary!C$8</f>
        <v>194.73415305911328</v>
      </c>
      <c r="D70" s="187">
        <f>1000000*D22/SER_summary!D$8</f>
        <v>197.03141021059741</v>
      </c>
      <c r="E70" s="187">
        <f>1000000*E22/SER_summary!E$8</f>
        <v>198.85960045632891</v>
      </c>
      <c r="F70" s="187">
        <f>1000000*F22/SER_summary!F$8</f>
        <v>201.51809421034298</v>
      </c>
      <c r="G70" s="187">
        <f>1000000*G22/SER_summary!G$8</f>
        <v>204.50808474393827</v>
      </c>
      <c r="H70" s="187">
        <f>1000000*H22/SER_summary!H$8</f>
        <v>207.92721312157977</v>
      </c>
      <c r="I70" s="187">
        <f>1000000*I22/SER_summary!I$8</f>
        <v>211.1379576552601</v>
      </c>
      <c r="J70" s="187">
        <f>1000000*J22/SER_summary!J$8</f>
        <v>215.7527482145527</v>
      </c>
      <c r="K70" s="187">
        <f>1000000*K22/SER_summary!K$8</f>
        <v>220.89658973399153</v>
      </c>
      <c r="L70" s="187">
        <f>1000000*L22/SER_summary!L$8</f>
        <v>226.28302526353644</v>
      </c>
      <c r="M70" s="187">
        <f>1000000*M22/SER_summary!M$8</f>
        <v>231.94904014702269</v>
      </c>
      <c r="N70" s="187">
        <f>1000000*N22/SER_summary!N$8</f>
        <v>238.00098371523268</v>
      </c>
      <c r="O70" s="187">
        <f>1000000*O22/SER_summary!O$8</f>
        <v>244.31164801665844</v>
      </c>
      <c r="P70" s="187">
        <f>1000000*P22/SER_summary!P$8</f>
        <v>252.80975296900641</v>
      </c>
      <c r="Q70" s="187">
        <f>1000000*Q22/SER_summary!Q$8</f>
        <v>260.45945902409301</v>
      </c>
      <c r="R70" s="187">
        <f>1000000*R22/SER_summary!R$8</f>
        <v>264.65387831585326</v>
      </c>
      <c r="S70" s="187">
        <f>1000000*S22/SER_summary!S$8</f>
        <v>268.89838081420237</v>
      </c>
      <c r="T70" s="187">
        <f>1000000*T22/SER_summary!T$8</f>
        <v>272.99143597812196</v>
      </c>
      <c r="U70" s="187">
        <f>1000000*U22/SER_summary!U$8</f>
        <v>276.80979989417278</v>
      </c>
      <c r="V70" s="187">
        <f>1000000*V22/SER_summary!V$8</f>
        <v>280.12378672841731</v>
      </c>
      <c r="W70" s="187">
        <f>1000000*W22/SER_summary!W$8</f>
        <v>282.66611104890393</v>
      </c>
      <c r="X70" s="187">
        <f>1000000*X22/SER_summary!X$8</f>
        <v>283.94591269688675</v>
      </c>
      <c r="Y70" s="187">
        <f>1000000*Y22/SER_summary!Y$8</f>
        <v>284.58798479955112</v>
      </c>
      <c r="DA70" s="196" t="s">
        <v>960</v>
      </c>
    </row>
    <row r="71" spans="1:105" ht="12" customHeight="1" x14ac:dyDescent="0.25">
      <c r="A71" s="131" t="s">
        <v>174</v>
      </c>
      <c r="B71" s="187">
        <f>1000*B23/SER_summary!B$3</f>
        <v>2.3511856981974378E-2</v>
      </c>
      <c r="C71" s="187">
        <f>1000*C23/SER_summary!C$3</f>
        <v>2.6183835072545295E-2</v>
      </c>
      <c r="D71" s="187">
        <f>1000*D23/SER_summary!D$3</f>
        <v>2.8696723257124808E-2</v>
      </c>
      <c r="E71" s="187">
        <f>1000*E23/SER_summary!E$3</f>
        <v>3.1514395036671403E-2</v>
      </c>
      <c r="F71" s="187">
        <f>1000*F23/SER_summary!F$3</f>
        <v>3.3835263066268738E-2</v>
      </c>
      <c r="G71" s="187">
        <f>1000*G23/SER_summary!G$3</f>
        <v>3.5800188342205136E-2</v>
      </c>
      <c r="H71" s="187">
        <f>1000*H23/SER_summary!H$3</f>
        <v>3.6647520646013718E-2</v>
      </c>
      <c r="I71" s="187">
        <f>1000*I23/SER_summary!I$3</f>
        <v>3.7661407364356046E-2</v>
      </c>
      <c r="J71" s="187">
        <f>1000*J23/SER_summary!J$3</f>
        <v>3.8530669836856109E-2</v>
      </c>
      <c r="K71" s="187">
        <f>1000*K23/SER_summary!K$3</f>
        <v>3.9369618319612415E-2</v>
      </c>
      <c r="L71" s="187">
        <f>1000*L23/SER_summary!L$3</f>
        <v>4.0331236426458292E-2</v>
      </c>
      <c r="M71" s="187">
        <f>1000*M23/SER_summary!M$3</f>
        <v>4.0743417384566695E-2</v>
      </c>
      <c r="N71" s="187">
        <f>1000*N23/SER_summary!N$3</f>
        <v>4.1193296440194795E-2</v>
      </c>
      <c r="O71" s="187">
        <f>1000*O23/SER_summary!O$3</f>
        <v>4.1896246478160926E-2</v>
      </c>
      <c r="P71" s="187">
        <f>1000*P23/SER_summary!P$3</f>
        <v>4.2665475250231531E-2</v>
      </c>
      <c r="Q71" s="187">
        <f>1000*Q23/SER_summary!Q$3</f>
        <v>4.3095834960760096E-2</v>
      </c>
      <c r="R71" s="187">
        <f>1000*R23/SER_summary!R$3</f>
        <v>4.312460485090959E-2</v>
      </c>
      <c r="S71" s="187">
        <f>1000*S23/SER_summary!S$3</f>
        <v>4.3651017287650959E-2</v>
      </c>
      <c r="T71" s="187">
        <f>1000*T23/SER_summary!T$3</f>
        <v>4.4234561158770488E-2</v>
      </c>
      <c r="U71" s="187">
        <f>1000*U23/SER_summary!U$3</f>
        <v>4.4811085784354672E-2</v>
      </c>
      <c r="V71" s="187">
        <f>1000*V23/SER_summary!V$3</f>
        <v>4.5287311728840769E-2</v>
      </c>
      <c r="W71" s="187">
        <f>1000*W23/SER_summary!W$3</f>
        <v>4.5633603412566157E-2</v>
      </c>
      <c r="X71" s="187">
        <f>1000*X23/SER_summary!X$3</f>
        <v>4.5877581911703068E-2</v>
      </c>
      <c r="Y71" s="187">
        <f>1000*Y23/SER_summary!Y$3</f>
        <v>4.604914257836687E-2</v>
      </c>
      <c r="DA71" s="196" t="s">
        <v>961</v>
      </c>
    </row>
    <row r="72" spans="1:105" ht="12" customHeight="1" x14ac:dyDescent="0.25">
      <c r="A72" s="60" t="s">
        <v>94</v>
      </c>
      <c r="B72" s="187">
        <f>1000000*B24/SER_summary!B$8</f>
        <v>109.44482474579974</v>
      </c>
      <c r="C72" s="187">
        <f>1000000*C24/SER_summary!C$8</f>
        <v>114.26450828535086</v>
      </c>
      <c r="D72" s="187">
        <f>1000000*D24/SER_summary!D$8</f>
        <v>120.77828591966249</v>
      </c>
      <c r="E72" s="187">
        <f>1000000*E24/SER_summary!E$8</f>
        <v>129.70503334209045</v>
      </c>
      <c r="F72" s="187">
        <f>1000000*F24/SER_summary!F$8</f>
        <v>139.86477540495704</v>
      </c>
      <c r="G72" s="187">
        <f>1000000*G24/SER_summary!G$8</f>
        <v>151.94419442225183</v>
      </c>
      <c r="H72" s="187">
        <f>1000000*H24/SER_summary!H$8</f>
        <v>165.48633351467427</v>
      </c>
      <c r="I72" s="187">
        <f>1000000*I24/SER_summary!I$8</f>
        <v>175.48679719006486</v>
      </c>
      <c r="J72" s="187">
        <f>1000000*J24/SER_summary!J$8</f>
        <v>182.48705580037264</v>
      </c>
      <c r="K72" s="187">
        <f>1000000*K24/SER_summary!K$8</f>
        <v>187.49991285433379</v>
      </c>
      <c r="L72" s="187">
        <f>1000000*L24/SER_summary!L$8</f>
        <v>191.14623001851083</v>
      </c>
      <c r="M72" s="187">
        <f>1000000*M24/SER_summary!M$8</f>
        <v>193.7313733611505</v>
      </c>
      <c r="N72" s="187">
        <f>1000000*N24/SER_summary!N$8</f>
        <v>195.35460210250781</v>
      </c>
      <c r="O72" s="187">
        <f>1000000*O24/SER_summary!O$8</f>
        <v>197.22563500985518</v>
      </c>
      <c r="P72" s="187">
        <f>1000000*P24/SER_summary!P$8</f>
        <v>199.07367578110117</v>
      </c>
      <c r="Q72" s="187">
        <f>1000000*Q24/SER_summary!Q$8</f>
        <v>200.71414002711998</v>
      </c>
      <c r="R72" s="187">
        <f>1000000*R24/SER_summary!R$8</f>
        <v>206.72135190764456</v>
      </c>
      <c r="S72" s="187">
        <f>1000000*S24/SER_summary!S$8</f>
        <v>212.64458063108049</v>
      </c>
      <c r="T72" s="187">
        <f>1000000*T24/SER_summary!T$8</f>
        <v>218.01646405720936</v>
      </c>
      <c r="U72" s="187">
        <f>1000000*U24/SER_summary!U$8</f>
        <v>225.01645357282922</v>
      </c>
      <c r="V72" s="187">
        <f>1000000*V24/SER_summary!V$8</f>
        <v>230.83365791543989</v>
      </c>
      <c r="W72" s="187">
        <f>1000000*W24/SER_summary!W$8</f>
        <v>234.61530442156467</v>
      </c>
      <c r="X72" s="187">
        <f>1000000*X24/SER_summary!X$8</f>
        <v>237.68517934618006</v>
      </c>
      <c r="Y72" s="187">
        <f>1000000*Y24/SER_summary!Y$8</f>
        <v>240.16997543659613</v>
      </c>
      <c r="DA72" s="196" t="s">
        <v>962</v>
      </c>
    </row>
    <row r="73" spans="1:105" ht="12" customHeight="1" x14ac:dyDescent="0.25">
      <c r="A73" s="62" t="s">
        <v>93</v>
      </c>
      <c r="B73" s="52">
        <f>1000*B25/SER_summary!B$3</f>
        <v>0.15178037520269838</v>
      </c>
      <c r="C73" s="52">
        <f>1000*C25/SER_summary!C$3</f>
        <v>0.15975167788978265</v>
      </c>
      <c r="D73" s="52">
        <f>1000*D25/SER_summary!D$3</f>
        <v>0.16706329378526749</v>
      </c>
      <c r="E73" s="52">
        <f>1000*E25/SER_summary!E$3</f>
        <v>0.17711040370387429</v>
      </c>
      <c r="F73" s="52">
        <f>1000*F25/SER_summary!F$3</f>
        <v>0.19322314625654188</v>
      </c>
      <c r="G73" s="52">
        <f>1000*G25/SER_summary!G$3</f>
        <v>0.22210797318973577</v>
      </c>
      <c r="H73" s="52">
        <f>1000*H25/SER_summary!H$3</f>
        <v>0.24591583147125406</v>
      </c>
      <c r="I73" s="52">
        <f>1000*I25/SER_summary!I$3</f>
        <v>0.27752567475841855</v>
      </c>
      <c r="J73" s="52">
        <f>1000*J25/SER_summary!J$3</f>
        <v>0.29943739937130759</v>
      </c>
      <c r="K73" s="52">
        <f>1000*K25/SER_summary!K$3</f>
        <v>0.31911168724080879</v>
      </c>
      <c r="L73" s="52">
        <f>1000*L25/SER_summary!L$3</f>
        <v>0.3423449702395252</v>
      </c>
      <c r="M73" s="52">
        <f>1000*M25/SER_summary!M$3</f>
        <v>0.36217737111171133</v>
      </c>
      <c r="N73" s="52">
        <f>1000*N25/SER_summary!N$3</f>
        <v>0.39379091676906458</v>
      </c>
      <c r="O73" s="52">
        <f>1000*O25/SER_summary!O$3</f>
        <v>0.42972469848734762</v>
      </c>
      <c r="P73" s="52">
        <f>1000*P25/SER_summary!P$3</f>
        <v>0.46791278705447059</v>
      </c>
      <c r="Q73" s="52">
        <f>1000*Q25/SER_summary!Q$3</f>
        <v>0.52123204602660311</v>
      </c>
      <c r="R73" s="52">
        <f>1000*R25/SER_summary!R$3</f>
        <v>0.53798109459140697</v>
      </c>
      <c r="S73" s="52">
        <f>1000*S25/SER_summary!S$3</f>
        <v>0.56626683220589469</v>
      </c>
      <c r="T73" s="52">
        <f>1000*T25/SER_summary!T$3</f>
        <v>0.58894759905746263</v>
      </c>
      <c r="U73" s="52">
        <f>1000*U25/SER_summary!U$3</f>
        <v>0.61665443960878463</v>
      </c>
      <c r="V73" s="52">
        <f>1000*V25/SER_summary!V$3</f>
        <v>0.64651110287269553</v>
      </c>
      <c r="W73" s="52">
        <f>1000*W25/SER_summary!W$3</f>
        <v>0.67329846497978363</v>
      </c>
      <c r="X73" s="52">
        <f>1000*X25/SER_summary!X$3</f>
        <v>0.70038759960386832</v>
      </c>
      <c r="Y73" s="52">
        <f>1000*Y25/SER_summary!Y$3</f>
        <v>0.74310873997789295</v>
      </c>
      <c r="DA73" s="98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V15 B69:V71 B16:V16 B72:Q72 R72:V72 W13:Y17 W69:Y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'SER_se-appl'!B4</f>
        <v>29.889189460909169</v>
      </c>
      <c r="C3" s="198">
        <f>'SER_se-appl'!C4</f>
        <v>30.97205130939258</v>
      </c>
      <c r="D3" s="198">
        <f>'SER_se-appl'!D4</f>
        <v>31.894468261306262</v>
      </c>
      <c r="E3" s="198">
        <f>'SER_se-appl'!E4</f>
        <v>32.476739844302926</v>
      </c>
      <c r="F3" s="198">
        <f>'SER_se-appl'!F4</f>
        <v>33.469510245085203</v>
      </c>
      <c r="G3" s="198">
        <f>'SER_se-appl'!G4</f>
        <v>34.493402240245921</v>
      </c>
      <c r="H3" s="198">
        <f>'SER_se-appl'!H4</f>
        <v>35.744936310450967</v>
      </c>
      <c r="I3" s="198">
        <f>'SER_se-appl'!I4</f>
        <v>36.899529559696838</v>
      </c>
      <c r="J3" s="198">
        <f>'SER_se-appl'!J4</f>
        <v>37.519143633466584</v>
      </c>
      <c r="K3" s="198">
        <f>'SER_se-appl'!K4</f>
        <v>37.926060563598298</v>
      </c>
      <c r="L3" s="198">
        <f>'SER_se-appl'!L4</f>
        <v>38.23723975513591</v>
      </c>
      <c r="M3" s="198">
        <f>'SER_se-appl'!M4</f>
        <v>38.379453578519616</v>
      </c>
      <c r="N3" s="198">
        <f>'SER_se-appl'!N4</f>
        <v>38.225879733871885</v>
      </c>
      <c r="O3" s="198">
        <f>'SER_se-appl'!O4</f>
        <v>38.141747833378993</v>
      </c>
      <c r="P3" s="198">
        <f>'SER_se-appl'!P4</f>
        <v>38.047270847684167</v>
      </c>
      <c r="Q3" s="198">
        <f>'SER_se-appl'!Q4</f>
        <v>37.956596160847617</v>
      </c>
      <c r="R3" s="198">
        <f>'SER_se-appl'!R4</f>
        <v>37.743789143805493</v>
      </c>
      <c r="S3" s="198">
        <f>'SER_se-appl'!S4</f>
        <v>37.589389858451085</v>
      </c>
      <c r="T3" s="198">
        <f>'SER_se-appl'!T4</f>
        <v>37.414459337442196</v>
      </c>
      <c r="U3" s="198">
        <f>'SER_se-appl'!U4</f>
        <v>37.327728034567201</v>
      </c>
      <c r="V3" s="198">
        <f>'SER_se-appl'!V4</f>
        <v>37.257563083007163</v>
      </c>
      <c r="W3" s="198">
        <f>'SER_se-appl'!W4</f>
        <v>37.233087945723106</v>
      </c>
      <c r="X3" s="198">
        <f>'SER_se-appl'!X4</f>
        <v>37.033561968906703</v>
      </c>
      <c r="Y3" s="198">
        <f>'SER_se-appl'!Y4</f>
        <v>36.766264085179635</v>
      </c>
      <c r="DA3" s="205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'SER_se-appl'!B12</f>
        <v>39.681652218079201</v>
      </c>
      <c r="C5" s="59">
        <f>'SER_se-appl'!C12</f>
        <v>41.119287297743796</v>
      </c>
      <c r="D5" s="59">
        <f>'SER_se-appl'!D12</f>
        <v>42.3439116300219</v>
      </c>
      <c r="E5" s="59">
        <f>'SER_se-appl'!E12</f>
        <v>43.116950272744653</v>
      </c>
      <c r="F5" s="59">
        <f>'SER_se-appl'!F12</f>
        <v>44.434977642732996</v>
      </c>
      <c r="G5" s="59">
        <f>'SER_se-appl'!G12</f>
        <v>45.794322837221486</v>
      </c>
      <c r="H5" s="59">
        <f>'SER_se-appl'!H12</f>
        <v>47.455891471523351</v>
      </c>
      <c r="I5" s="59">
        <f>'SER_se-appl'!I12</f>
        <v>48.988758993067854</v>
      </c>
      <c r="J5" s="59">
        <f>'SER_se-appl'!J12</f>
        <v>49.811374481417403</v>
      </c>
      <c r="K5" s="59">
        <f>'SER_se-appl'!K12</f>
        <v>50.351607803042029</v>
      </c>
      <c r="L5" s="59">
        <f>'SER_se-appl'!L12</f>
        <v>50.764737254820879</v>
      </c>
      <c r="M5" s="59">
        <f>'SER_se-appl'!M12</f>
        <v>50.953543963262902</v>
      </c>
      <c r="N5" s="59">
        <f>'SER_se-appl'!N12</f>
        <v>50.749655400106157</v>
      </c>
      <c r="O5" s="59">
        <f>'SER_se-appl'!O12</f>
        <v>50.637959737693805</v>
      </c>
      <c r="P5" s="59">
        <f>'SER_se-appl'!P12</f>
        <v>50.512529675635498</v>
      </c>
      <c r="Q5" s="59">
        <f>'SER_se-appl'!Q12</f>
        <v>50.392147642769153</v>
      </c>
      <c r="R5" s="59">
        <f>'SER_se-appl'!R12</f>
        <v>50.109619605303401</v>
      </c>
      <c r="S5" s="59">
        <f>'SER_se-appl'!S12</f>
        <v>49.904635165957302</v>
      </c>
      <c r="T5" s="59">
        <f>'SER_se-appl'!T12</f>
        <v>49.672392933156701</v>
      </c>
      <c r="U5" s="59">
        <f>'SER_se-appl'!U12</f>
        <v>49.55724623767312</v>
      </c>
      <c r="V5" s="59">
        <f>'SER_se-appl'!V12</f>
        <v>49.464093453809738</v>
      </c>
      <c r="W5" s="59">
        <f>'SER_se-appl'!W12</f>
        <v>49.431599635703158</v>
      </c>
      <c r="X5" s="59">
        <f>'SER_se-appl'!X12</f>
        <v>49.166703846847597</v>
      </c>
      <c r="Y5" s="59">
        <f>'SER_se-appl'!Y12</f>
        <v>48.811832341397164</v>
      </c>
      <c r="DA5" s="104" t="s">
        <v>916</v>
      </c>
    </row>
    <row r="6" spans="1:105" ht="12" customHeight="1" x14ac:dyDescent="0.25">
      <c r="A6" s="200" t="str">
        <f>"Penetration factor "&amp;MID('SER_se-appl'!A68,FIND("(",'SER_se-appl'!A68),100)</f>
        <v>Penetration factor (sqm per building cell)</v>
      </c>
      <c r="B6" s="201">
        <f>'SER_se-appl'!B68</f>
        <v>623.38297693792197</v>
      </c>
      <c r="C6" s="201">
        <f>'SER_se-appl'!C68</f>
        <v>644.61974445729788</v>
      </c>
      <c r="D6" s="201">
        <f>'SER_se-appl'!D68</f>
        <v>663.05521026763131</v>
      </c>
      <c r="E6" s="201">
        <f>'SER_se-appl'!E68</f>
        <v>675.0075702097364</v>
      </c>
      <c r="F6" s="201">
        <f>'SER_se-appl'!F68</f>
        <v>692.15059284130757</v>
      </c>
      <c r="G6" s="201">
        <f>'SER_se-appl'!G68</f>
        <v>711.79967214875353</v>
      </c>
      <c r="H6" s="201">
        <f>'SER_se-appl'!H68</f>
        <v>733.21558376791972</v>
      </c>
      <c r="I6" s="201">
        <f>'SER_se-appl'!I68</f>
        <v>752.78105861412052</v>
      </c>
      <c r="J6" s="201">
        <f>'SER_se-appl'!J68</f>
        <v>764.87216035903009</v>
      </c>
      <c r="K6" s="201">
        <f>'SER_se-appl'!K68</f>
        <v>776.10482580091787</v>
      </c>
      <c r="L6" s="201">
        <f>'SER_se-appl'!L68</f>
        <v>784.44025531705688</v>
      </c>
      <c r="M6" s="201">
        <f>'SER_se-appl'!M68</f>
        <v>791.42915862080906</v>
      </c>
      <c r="N6" s="201">
        <f>'SER_se-appl'!N68</f>
        <v>794.15448601324078</v>
      </c>
      <c r="O6" s="201">
        <f>'SER_se-appl'!O68</f>
        <v>799.77429804707378</v>
      </c>
      <c r="P6" s="201">
        <f>'SER_se-appl'!P68</f>
        <v>805.90202851267895</v>
      </c>
      <c r="Q6" s="201">
        <f>'SER_se-appl'!Q68</f>
        <v>812.83011294787434</v>
      </c>
      <c r="R6" s="201">
        <f>'SER_se-appl'!R68</f>
        <v>815.12112242753187</v>
      </c>
      <c r="S6" s="201">
        <f>'SER_se-appl'!S68</f>
        <v>817.39059723773903</v>
      </c>
      <c r="T6" s="201">
        <f>'SER_se-appl'!T68</f>
        <v>819.75242835420784</v>
      </c>
      <c r="U6" s="201">
        <f>'SER_se-appl'!U68</f>
        <v>822.27569223007868</v>
      </c>
      <c r="V6" s="201">
        <f>'SER_se-appl'!V68</f>
        <v>825.08896489821473</v>
      </c>
      <c r="W6" s="201">
        <f>'SER_se-appl'!W68</f>
        <v>828.32525306768264</v>
      </c>
      <c r="X6" s="201">
        <f>'SER_se-appl'!X68</f>
        <v>829.94815424140165</v>
      </c>
      <c r="Y6" s="201">
        <f>'SER_se-appl'!Y68</f>
        <v>830.76079681872193</v>
      </c>
      <c r="DA6" s="206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"&amp;MID('SER_se-appl'!A20,FIND("(",'SER_se-appl'!A20),100)</f>
        <v>Stock of appliances (serviced million m2)</v>
      </c>
      <c r="B8" s="34">
        <f>'SER_se-appl'!B20</f>
        <v>63.853243594593891</v>
      </c>
      <c r="C8" s="34">
        <f>'SER_se-appl'!C20</f>
        <v>66.768870911592188</v>
      </c>
      <c r="D8" s="34">
        <f>'SER_se-appl'!D20</f>
        <v>69.376131237036873</v>
      </c>
      <c r="E8" s="34">
        <f>'SER_se-appl'!E20</f>
        <v>71.219616431939116</v>
      </c>
      <c r="F8" s="34">
        <f>'SER_se-appl'!F20</f>
        <v>74.136196110963255</v>
      </c>
      <c r="G8" s="34">
        <f>'SER_se-appl'!G20</f>
        <v>77.201217129893109</v>
      </c>
      <c r="H8" s="34">
        <f>'SER_se-appl'!H20</f>
        <v>80.927258602204788</v>
      </c>
      <c r="I8" s="34">
        <f>'SER_se-appl'!I20</f>
        <v>84.508722643495062</v>
      </c>
      <c r="J8" s="34">
        <f>'SER_se-appl'!J20</f>
        <v>86.816654903034802</v>
      </c>
      <c r="K8" s="34">
        <f>'SER_se-appl'!K20</f>
        <v>88.665294328493232</v>
      </c>
      <c r="L8" s="34">
        <f>'SER_se-appl'!L20</f>
        <v>90.358201693467407</v>
      </c>
      <c r="M8" s="34">
        <f>'SER_se-appl'!M20</f>
        <v>91.696004131762763</v>
      </c>
      <c r="N8" s="34">
        <f>'SER_se-appl'!N20</f>
        <v>92.33054826043076</v>
      </c>
      <c r="O8" s="34">
        <f>'SER_se-appl'!O20</f>
        <v>93.264788996473555</v>
      </c>
      <c r="P8" s="34">
        <f>'SER_se-appl'!P20</f>
        <v>94.275562908586409</v>
      </c>
      <c r="Q8" s="34">
        <f>'SER_se-appl'!Q20</f>
        <v>95.414112249619222</v>
      </c>
      <c r="R8" s="34">
        <f>'SER_se-appl'!R20</f>
        <v>96.27608320625157</v>
      </c>
      <c r="S8" s="34">
        <f>'SER_se-appl'!S20</f>
        <v>97.40131735365604</v>
      </c>
      <c r="T8" s="34">
        <f>'SER_se-appl'!T20</f>
        <v>98.561447761963876</v>
      </c>
      <c r="U8" s="34">
        <f>'SER_se-appl'!U20</f>
        <v>99.673664425135343</v>
      </c>
      <c r="V8" s="34">
        <f>'SER_se-appl'!V20</f>
        <v>100.75253026923755</v>
      </c>
      <c r="W8" s="34">
        <f>'SER_se-appl'!W20</f>
        <v>101.78175644987692</v>
      </c>
      <c r="X8" s="34">
        <f>'SER_se-appl'!X20</f>
        <v>102.52015227847185</v>
      </c>
      <c r="Y8" s="34">
        <f>'SER_se-appl'!Y20</f>
        <v>103.0754646451246</v>
      </c>
      <c r="DA8" s="88" t="s">
        <v>922</v>
      </c>
    </row>
    <row r="9" spans="1:105" ht="12.95" customHeight="1" x14ac:dyDescent="0.25">
      <c r="A9" s="202" t="str">
        <f>"Number of new appliances "&amp;MID('SER_se-appl'!A28,FIND("(",'SER_se-appl'!A28),100)</f>
        <v>Number of new appliances (serviced million m2)</v>
      </c>
      <c r="B9" s="36"/>
      <c r="C9" s="36">
        <f>'SER_se-appl'!C28</f>
        <v>5.6851549407755186</v>
      </c>
      <c r="D9" s="36">
        <f>'SER_se-appl'!D28</f>
        <v>5.4551256839848676</v>
      </c>
      <c r="E9" s="36">
        <f>'SER_se-appl'!E28</f>
        <v>4.7719041175891022</v>
      </c>
      <c r="F9" s="36">
        <f>'SER_se-appl'!F28</f>
        <v>5.9278306712923836</v>
      </c>
      <c r="G9" s="36">
        <f>'SER_se-appl'!G28</f>
        <v>6.1614470350945254</v>
      </c>
      <c r="H9" s="36">
        <f>'SER_se-appl'!H28</f>
        <v>6.9100517385430038</v>
      </c>
      <c r="I9" s="36">
        <f>'SER_se-appl'!I28</f>
        <v>6.8555359301525414</v>
      </c>
      <c r="J9" s="36">
        <f>'SER_se-appl'!J28</f>
        <v>5.6746132175524906</v>
      </c>
      <c r="K9" s="36">
        <f>'SER_se-appl'!K28</f>
        <v>5.3105489551799536</v>
      </c>
      <c r="L9" s="36">
        <f>'SER_se-appl'!L28</f>
        <v>5.2527390631494058</v>
      </c>
      <c r="M9" s="36">
        <f>'SER_se-appl'!M28</f>
        <v>4.9983260916539365</v>
      </c>
      <c r="N9" s="36">
        <f>'SER_se-appl'!N28</f>
        <v>4.3986078690033139</v>
      </c>
      <c r="O9" s="36">
        <f>'SER_se-appl'!O28</f>
        <v>4.8047732562486232</v>
      </c>
      <c r="P9" s="36">
        <f>'SER_se-appl'!P28</f>
        <v>4.9907867449020102</v>
      </c>
      <c r="Q9" s="36">
        <f>'SER_se-appl'!Q28</f>
        <v>5.23113920211064</v>
      </c>
      <c r="R9" s="36">
        <f>'SER_se-appl'!R28</f>
        <v>5.0703221541482861</v>
      </c>
      <c r="S9" s="36">
        <f>'SER_se-appl'!S28</f>
        <v>5.4526210595563782</v>
      </c>
      <c r="T9" s="36">
        <f>'SER_se-appl'!T28</f>
        <v>5.6099200310268742</v>
      </c>
      <c r="U9" s="36">
        <f>'SER_se-appl'!U28</f>
        <v>6.7973716039469849</v>
      </c>
      <c r="V9" s="36">
        <f>'SER_se-appl'!V28</f>
        <v>6.5339915280870855</v>
      </c>
      <c r="W9" s="36">
        <f>'SER_se-appl'!W28</f>
        <v>5.8011302982284718</v>
      </c>
      <c r="X9" s="36">
        <f>'SER_se-appl'!X28</f>
        <v>6.6662264998873155</v>
      </c>
      <c r="Y9" s="36">
        <f>'SER_se-appl'!Y28</f>
        <v>6.716759401747268</v>
      </c>
      <c r="DA9" s="89" t="s">
        <v>928</v>
      </c>
    </row>
    <row r="10" spans="1:105" ht="12" customHeight="1" x14ac:dyDescent="0.25">
      <c r="A10" s="203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2.7695276237772219</v>
      </c>
      <c r="D10" s="38">
        <f>'SER_se-appl'!D36</f>
        <v>2.8478653585401901</v>
      </c>
      <c r="E10" s="38">
        <f>'SER_se-appl'!E36</f>
        <v>2.9284189226868591</v>
      </c>
      <c r="F10" s="38">
        <f>'SER_se-appl'!F36</f>
        <v>3.0112509922682449</v>
      </c>
      <c r="G10" s="38">
        <f>'SER_se-appl'!G36</f>
        <v>3.0964260161646706</v>
      </c>
      <c r="H10" s="38">
        <f>'SER_se-appl'!H36</f>
        <v>3.1840102662313257</v>
      </c>
      <c r="I10" s="38">
        <f>'SER_se-appl'!I36</f>
        <v>3.2740718888622666</v>
      </c>
      <c r="J10" s="38">
        <f>'SER_se-appl'!J36</f>
        <v>3.3666809580127506</v>
      </c>
      <c r="K10" s="38">
        <f>'SER_se-appl'!K36</f>
        <v>3.4619095297215239</v>
      </c>
      <c r="L10" s="38">
        <f>'SER_se-appl'!L36</f>
        <v>3.5598316981752305</v>
      </c>
      <c r="M10" s="38">
        <f>'SER_se-appl'!M36</f>
        <v>3.660523653358581</v>
      </c>
      <c r="N10" s="38">
        <f>'SER_se-appl'!N36</f>
        <v>3.7640637403353168</v>
      </c>
      <c r="O10" s="38">
        <f>'SER_se-appl'!O36</f>
        <v>3.8705325202058276</v>
      </c>
      <c r="P10" s="38">
        <f>'SER_se-appl'!P36</f>
        <v>3.9800128327891571</v>
      </c>
      <c r="Q10" s="38">
        <f>'SER_se-appl'!Q36</f>
        <v>4.0925898610778262</v>
      </c>
      <c r="R10" s="38">
        <f>'SER_se-appl'!R36</f>
        <v>4.2083511975159382</v>
      </c>
      <c r="S10" s="38">
        <f>'SER_se-appl'!S36</f>
        <v>4.3273869121519084</v>
      </c>
      <c r="T10" s="38">
        <f>'SER_se-appl'!T36</f>
        <v>4.4497896227190381</v>
      </c>
      <c r="U10" s="38">
        <f>'SER_se-appl'!U36</f>
        <v>5.6851549407755186</v>
      </c>
      <c r="V10" s="38">
        <f>'SER_se-appl'!V36</f>
        <v>5.4551256839848747</v>
      </c>
      <c r="W10" s="38">
        <f>'SER_se-appl'!W36</f>
        <v>4.7719041175891022</v>
      </c>
      <c r="X10" s="38">
        <f>'SER_se-appl'!X36</f>
        <v>5.9278306712923836</v>
      </c>
      <c r="Y10" s="38">
        <f>'SER_se-appl'!Y36</f>
        <v>6.1614470350945254</v>
      </c>
      <c r="DA10" s="90" t="s">
        <v>934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'SER_se-appl'!B44</f>
        <v>8759.9999999999964</v>
      </c>
      <c r="C12" s="204">
        <f>'SER_se-appl'!C44</f>
        <v>8760.0000000000018</v>
      </c>
      <c r="D12" s="204">
        <f>'SER_se-appl'!D44</f>
        <v>8760</v>
      </c>
      <c r="E12" s="204">
        <f>'SER_se-appl'!E44</f>
        <v>8759.9999999999982</v>
      </c>
      <c r="F12" s="204">
        <f>'SER_se-appl'!F44</f>
        <v>8759.9999999999982</v>
      </c>
      <c r="G12" s="204">
        <f>'SER_se-appl'!G44</f>
        <v>8759.9999999999964</v>
      </c>
      <c r="H12" s="204">
        <f>'SER_se-appl'!H44</f>
        <v>8760.0000000000036</v>
      </c>
      <c r="I12" s="204">
        <f>'SER_se-appl'!I44</f>
        <v>8759.9999999999964</v>
      </c>
      <c r="J12" s="204">
        <f>'SER_se-appl'!J44</f>
        <v>8759.9999999999982</v>
      </c>
      <c r="K12" s="204">
        <f>'SER_se-appl'!K44</f>
        <v>8760</v>
      </c>
      <c r="L12" s="204">
        <f>'SER_se-appl'!L44</f>
        <v>8759.9999999999945</v>
      </c>
      <c r="M12" s="204">
        <f>'SER_se-appl'!M44</f>
        <v>8760.0000000000018</v>
      </c>
      <c r="N12" s="204">
        <f>'SER_se-appl'!N44</f>
        <v>8760.0000000000018</v>
      </c>
      <c r="O12" s="204">
        <f>'SER_se-appl'!O44</f>
        <v>8760</v>
      </c>
      <c r="P12" s="204">
        <f>'SER_se-appl'!P44</f>
        <v>8759.9999999999982</v>
      </c>
      <c r="Q12" s="204">
        <f>'SER_se-appl'!Q44</f>
        <v>8760</v>
      </c>
      <c r="R12" s="204">
        <f>'SER_se-appl'!R44</f>
        <v>8760.0000000000018</v>
      </c>
      <c r="S12" s="204">
        <f>'SER_se-appl'!S44</f>
        <v>8760.0000000000036</v>
      </c>
      <c r="T12" s="204">
        <f>'SER_se-appl'!T44</f>
        <v>8760</v>
      </c>
      <c r="U12" s="204">
        <f>'SER_se-appl'!U44</f>
        <v>8760</v>
      </c>
      <c r="V12" s="204">
        <f>'SER_se-appl'!V44</f>
        <v>8760</v>
      </c>
      <c r="W12" s="204">
        <f>'SER_se-appl'!W44</f>
        <v>8760</v>
      </c>
      <c r="X12" s="204">
        <f>'SER_se-appl'!X44</f>
        <v>8760</v>
      </c>
      <c r="Y12" s="204">
        <f>'SER_se-appl'!Y44</f>
        <v>8760</v>
      </c>
      <c r="DA12" s="208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0.62145084547339791</v>
      </c>
      <c r="C14" s="59">
        <f>'SER_se-appl'!C52</f>
        <v>0.61584517959258767</v>
      </c>
      <c r="D14" s="59">
        <f>'SER_se-appl'!D52</f>
        <v>0.61035273767783038</v>
      </c>
      <c r="E14" s="59">
        <f>'SER_se-appl'!E52</f>
        <v>0.60540834720654924</v>
      </c>
      <c r="F14" s="59">
        <f>'SER_se-appl'!F52</f>
        <v>0.59936953841312546</v>
      </c>
      <c r="G14" s="59">
        <f>'SER_se-appl'!G52</f>
        <v>0.59318135827018525</v>
      </c>
      <c r="H14" s="59">
        <f>'SER_se-appl'!H52</f>
        <v>0.58640181678204606</v>
      </c>
      <c r="I14" s="59">
        <f>'SER_se-appl'!I52</f>
        <v>0.57968878786311528</v>
      </c>
      <c r="J14" s="59">
        <f>'SER_se-appl'!J52</f>
        <v>0.57375367130939958</v>
      </c>
      <c r="K14" s="59">
        <f>'SER_se-appl'!K52</f>
        <v>0.56788406539875635</v>
      </c>
      <c r="L14" s="59">
        <f>'SER_se-appl'!L52</f>
        <v>0.5618165955431027</v>
      </c>
      <c r="M14" s="59">
        <f>'SER_se-appl'!M52</f>
        <v>0.55567900090875388</v>
      </c>
      <c r="N14" s="59">
        <f>'SER_se-appl'!N52</f>
        <v>0.54965183632355252</v>
      </c>
      <c r="O14" s="59">
        <f>'SER_se-appl'!O52</f>
        <v>0.54294831181796255</v>
      </c>
      <c r="P14" s="59">
        <f>'SER_se-appl'!P52</f>
        <v>0.53579663825093882</v>
      </c>
      <c r="Q14" s="59">
        <f>'SER_se-appl'!Q52</f>
        <v>0.52814145051137606</v>
      </c>
      <c r="R14" s="59">
        <f>'SER_se-appl'!R52</f>
        <v>0.52047837777066519</v>
      </c>
      <c r="S14" s="59">
        <f>'SER_se-appl'!S52</f>
        <v>0.51236098773446503</v>
      </c>
      <c r="T14" s="59">
        <f>'SER_se-appl'!T52</f>
        <v>0.50397385652370574</v>
      </c>
      <c r="U14" s="59">
        <f>'SER_se-appl'!U52</f>
        <v>0.49719498649410498</v>
      </c>
      <c r="V14" s="59">
        <f>'SER_se-appl'!V52</f>
        <v>0.49094641416576362</v>
      </c>
      <c r="W14" s="59">
        <f>'SER_se-appl'!W52</f>
        <v>0.48566267040249067</v>
      </c>
      <c r="X14" s="59">
        <f>'SER_se-appl'!X52</f>
        <v>0.47958087024000728</v>
      </c>
      <c r="Y14" s="59">
        <f>'SER_se-appl'!Y52</f>
        <v>0.47355432749636345</v>
      </c>
      <c r="DA14" s="104" t="s">
        <v>946</v>
      </c>
    </row>
    <row r="15" spans="1:105" ht="12" customHeight="1" x14ac:dyDescent="0.25">
      <c r="A15" s="203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0.55561552779632395</v>
      </c>
      <c r="D15" s="63">
        <f>'SER_se-appl'!D60</f>
        <v>0.54892093062646596</v>
      </c>
      <c r="E15" s="63">
        <f>'SER_se-appl'!E60</f>
        <v>0.54336947982031258</v>
      </c>
      <c r="F15" s="63">
        <f>'SER_se-appl'!F60</f>
        <v>0.53803356099756994</v>
      </c>
      <c r="G15" s="63">
        <f>'SER_se-appl'!G60</f>
        <v>0.53293029080294252</v>
      </c>
      <c r="H15" s="63">
        <f>'SER_se-appl'!H60</f>
        <v>0.52680857452087082</v>
      </c>
      <c r="I15" s="63">
        <f>'SER_se-appl'!I60</f>
        <v>0.52038852999480523</v>
      </c>
      <c r="J15" s="63">
        <f>'SER_se-appl'!J60</f>
        <v>0.51366359334054301</v>
      </c>
      <c r="K15" s="63">
        <f>'SER_se-appl'!K60</f>
        <v>0.50684777572703466</v>
      </c>
      <c r="L15" s="63">
        <f>'SER_se-appl'!L60</f>
        <v>0.49981349516698181</v>
      </c>
      <c r="M15" s="63">
        <f>'SER_se-appl'!M60</f>
        <v>0.49289345723377526</v>
      </c>
      <c r="N15" s="63">
        <f>'SER_se-appl'!N60</f>
        <v>0.48544723564417824</v>
      </c>
      <c r="O15" s="63">
        <f>'SER_se-appl'!O60</f>
        <v>0.47736904997940338</v>
      </c>
      <c r="P15" s="63">
        <f>'SER_se-appl'!P60</f>
        <v>0.47045734427981317</v>
      </c>
      <c r="Q15" s="63">
        <f>'SER_se-appl'!Q60</f>
        <v>0.46318044748239801</v>
      </c>
      <c r="R15" s="63">
        <f>'SER_se-appl'!R60</f>
        <v>0.46008030680476036</v>
      </c>
      <c r="S15" s="63">
        <f>'SER_se-appl'!S60</f>
        <v>0.45561094174098543</v>
      </c>
      <c r="T15" s="63">
        <f>'SER_se-appl'!T60</f>
        <v>0.4515364348167421</v>
      </c>
      <c r="U15" s="63">
        <f>'SER_se-appl'!U60</f>
        <v>0.44776331865863828</v>
      </c>
      <c r="V15" s="63">
        <f>'SER_se-appl'!V60</f>
        <v>0.44402871825016188</v>
      </c>
      <c r="W15" s="63">
        <f>'SER_se-appl'!W60</f>
        <v>0.44136454594066088</v>
      </c>
      <c r="X15" s="63">
        <f>'SER_se-appl'!X60</f>
        <v>0.43870037363115993</v>
      </c>
      <c r="Y15" s="63">
        <f>'SER_se-appl'!Y60</f>
        <v>0.43603620132165893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'SER_se-appl'!B5</f>
        <v>88.538383696466227</v>
      </c>
      <c r="C3" s="198">
        <f>'SER_se-appl'!C5</f>
        <v>88.565213634231085</v>
      </c>
      <c r="D3" s="198">
        <f>'SER_se-appl'!D5</f>
        <v>88.926132971100742</v>
      </c>
      <c r="E3" s="198">
        <f>'SER_se-appl'!E5</f>
        <v>89.415282197487016</v>
      </c>
      <c r="F3" s="198">
        <f>'SER_se-appl'!F5</f>
        <v>89.755593867309571</v>
      </c>
      <c r="G3" s="198">
        <f>'SER_se-appl'!G5</f>
        <v>90.283830471193738</v>
      </c>
      <c r="H3" s="198">
        <f>'SER_se-appl'!H5</f>
        <v>90.770251983963831</v>
      </c>
      <c r="I3" s="198">
        <f>'SER_se-appl'!I5</f>
        <v>91.262965543433324</v>
      </c>
      <c r="J3" s="198">
        <f>'SER_se-appl'!J5</f>
        <v>92.268265081633814</v>
      </c>
      <c r="K3" s="198">
        <f>'SER_se-appl'!K5</f>
        <v>93.733476638494452</v>
      </c>
      <c r="L3" s="198">
        <f>'SER_se-appl'!L5</f>
        <v>95.037822036646375</v>
      </c>
      <c r="M3" s="198">
        <f>'SER_se-appl'!M5</f>
        <v>96.150004043073451</v>
      </c>
      <c r="N3" s="198">
        <f>'SER_se-appl'!N5</f>
        <v>97.398667126567688</v>
      </c>
      <c r="O3" s="198">
        <f>'SER_se-appl'!O5</f>
        <v>98.764293723702067</v>
      </c>
      <c r="P3" s="198">
        <f>'SER_se-appl'!P5</f>
        <v>100.2390115770645</v>
      </c>
      <c r="Q3" s="198">
        <f>'SER_se-appl'!Q5</f>
        <v>102.23955093634187</v>
      </c>
      <c r="R3" s="198">
        <f>'SER_se-appl'!R5</f>
        <v>101.9330526895464</v>
      </c>
      <c r="S3" s="198">
        <f>'SER_se-appl'!S5</f>
        <v>100.49974194827833</v>
      </c>
      <c r="T3" s="198">
        <f>'SER_se-appl'!T5</f>
        <v>97.840845899468491</v>
      </c>
      <c r="U3" s="198">
        <f>'SER_se-appl'!U5</f>
        <v>94.585038558298507</v>
      </c>
      <c r="V3" s="198">
        <f>'SER_se-appl'!V5</f>
        <v>90.551830916946798</v>
      </c>
      <c r="W3" s="198">
        <f>'SER_se-appl'!W5</f>
        <v>86.874006903828246</v>
      </c>
      <c r="X3" s="198">
        <f>'SER_se-appl'!X5</f>
        <v>83.121662021344349</v>
      </c>
      <c r="Y3" s="198">
        <f>'SER_se-appl'!Y5</f>
        <v>80.295440336173314</v>
      </c>
      <c r="DA3" s="205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'SER_se-appl'!B13</f>
        <v>251.64646809835921</v>
      </c>
      <c r="C5" s="59">
        <f>'SER_se-appl'!C13</f>
        <v>252.32961108468493</v>
      </c>
      <c r="D5" s="59">
        <f>'SER_se-appl'!D13</f>
        <v>254.10634221741148</v>
      </c>
      <c r="E5" s="59">
        <f>'SER_se-appl'!E13</f>
        <v>256.07877469956128</v>
      </c>
      <c r="F5" s="59">
        <f>'SER_se-appl'!F13</f>
        <v>257.71704011130134</v>
      </c>
      <c r="G5" s="59">
        <f>'SER_se-appl'!G13</f>
        <v>259.50158531295676</v>
      </c>
      <c r="H5" s="59">
        <f>'SER_se-appl'!H13</f>
        <v>261.25040527255726</v>
      </c>
      <c r="I5" s="59">
        <f>'SER_se-appl'!I13</f>
        <v>263.08709226954801</v>
      </c>
      <c r="J5" s="59">
        <f>'SER_se-appl'!J13</f>
        <v>266.67868738015113</v>
      </c>
      <c r="K5" s="59">
        <f>'SER_se-appl'!K13</f>
        <v>271.4285496233432</v>
      </c>
      <c r="L5" s="59">
        <f>'SER_se-appl'!L13</f>
        <v>275.91656946697464</v>
      </c>
      <c r="M5" s="59">
        <f>'SER_se-appl'!M13</f>
        <v>280.74989305734289</v>
      </c>
      <c r="N5" s="59">
        <f>'SER_se-appl'!N13</f>
        <v>286.41682281240662</v>
      </c>
      <c r="O5" s="59">
        <f>'SER_se-appl'!O13</f>
        <v>292.62024530665764</v>
      </c>
      <c r="P5" s="59">
        <f>'SER_se-appl'!P13</f>
        <v>299.1446741683643</v>
      </c>
      <c r="Q5" s="59">
        <f>'SER_se-appl'!Q13</f>
        <v>307.7733576918435</v>
      </c>
      <c r="R5" s="59">
        <f>'SER_se-appl'!R13</f>
        <v>303.57556081999775</v>
      </c>
      <c r="S5" s="59">
        <f>'SER_se-appl'!S13</f>
        <v>298.11993711309105</v>
      </c>
      <c r="T5" s="59">
        <f>'SER_se-appl'!T13</f>
        <v>291.35010419917796</v>
      </c>
      <c r="U5" s="59">
        <f>'SER_se-appl'!U13</f>
        <v>282.83713651620184</v>
      </c>
      <c r="V5" s="59">
        <f>'SER_se-appl'!V13</f>
        <v>272.51980977094769</v>
      </c>
      <c r="W5" s="59">
        <f>'SER_se-appl'!W13</f>
        <v>261.31324735879764</v>
      </c>
      <c r="X5" s="59">
        <f>'SER_se-appl'!X13</f>
        <v>251.76109669848884</v>
      </c>
      <c r="Y5" s="59">
        <f>'SER_se-appl'!Y13</f>
        <v>244.90013463153986</v>
      </c>
      <c r="DA5" s="104" t="s">
        <v>917</v>
      </c>
    </row>
    <row r="6" spans="1:105" ht="12" customHeight="1" x14ac:dyDescent="0.25">
      <c r="A6" s="200" t="str">
        <f>"Penetration factor "&amp;MID('SER_se-appl'!A69,FIND("(",'SER_se-appl'!A69),100)</f>
        <v>Penetration factor (unit per capita)</v>
      </c>
      <c r="B6" s="201">
        <f>'SER_se-appl'!B69</f>
        <v>0.28928629755777796</v>
      </c>
      <c r="C6" s="201">
        <f>'SER_se-appl'!C69</f>
        <v>0.29157559651348136</v>
      </c>
      <c r="D6" s="201">
        <f>'SER_se-appl'!D69</f>
        <v>0.29516223103395361</v>
      </c>
      <c r="E6" s="201">
        <f>'SER_se-appl'!E69</f>
        <v>0.29965656908614796</v>
      </c>
      <c r="F6" s="201">
        <f>'SER_se-appl'!F69</f>
        <v>0.30435176043254475</v>
      </c>
      <c r="G6" s="201">
        <f>'SER_se-appl'!G69</f>
        <v>0.30981356006470651</v>
      </c>
      <c r="H6" s="201">
        <f>'SER_se-appl'!H69</f>
        <v>0.31585512706471797</v>
      </c>
      <c r="I6" s="201">
        <f>'SER_se-appl'!I69</f>
        <v>0.32276965548295045</v>
      </c>
      <c r="J6" s="201">
        <f>'SER_se-appl'!J69</f>
        <v>0.32926150314034136</v>
      </c>
      <c r="K6" s="201">
        <f>'SER_se-appl'!K69</f>
        <v>0.33822675464446383</v>
      </c>
      <c r="L6" s="201">
        <f>'SER_se-appl'!L69</f>
        <v>0.34763245165297113</v>
      </c>
      <c r="M6" s="201">
        <f>'SER_se-appl'!M69</f>
        <v>0.3584162207016332</v>
      </c>
      <c r="N6" s="201">
        <f>'SER_se-appl'!N69</f>
        <v>0.37177306682742317</v>
      </c>
      <c r="O6" s="201">
        <f>'SER_se-appl'!O69</f>
        <v>0.38800204282962425</v>
      </c>
      <c r="P6" s="201">
        <f>'SER_se-appl'!P69</f>
        <v>0.4070609189253685</v>
      </c>
      <c r="Q6" s="201">
        <f>'SER_se-appl'!Q69</f>
        <v>0.43038497607747034</v>
      </c>
      <c r="R6" s="201">
        <f>'SER_se-appl'!R69</f>
        <v>0.43705666749630606</v>
      </c>
      <c r="S6" s="201">
        <f>'SER_se-appl'!S69</f>
        <v>0.44382034566087147</v>
      </c>
      <c r="T6" s="201">
        <f>'SER_se-appl'!T69</f>
        <v>0.45111827669502652</v>
      </c>
      <c r="U6" s="201">
        <f>'SER_se-appl'!U69</f>
        <v>0.45826548522216942</v>
      </c>
      <c r="V6" s="201">
        <f>'SER_se-appl'!V69</f>
        <v>0.46424153026717235</v>
      </c>
      <c r="W6" s="201">
        <f>'SER_se-appl'!W69</f>
        <v>0.46869315170346093</v>
      </c>
      <c r="X6" s="201">
        <f>'SER_se-appl'!X69</f>
        <v>0.47183466100910826</v>
      </c>
      <c r="Y6" s="201">
        <f>'SER_se-appl'!Y69</f>
        <v>0.47404623781626165</v>
      </c>
      <c r="DA6" s="206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"&amp;MID('SER_se-appl'!A21,FIND("(",'SER_se-appl'!A21),100)</f>
        <v>Stock of appliances (thousand units)</v>
      </c>
      <c r="B8" s="34">
        <f>'SER_se-appl'!B21</f>
        <v>1495.9868091331323</v>
      </c>
      <c r="C8" s="34">
        <f>'SER_se-appl'!C21</f>
        <v>1510.6866967299459</v>
      </c>
      <c r="D8" s="34">
        <f>'SER_se-appl'!D21</f>
        <v>1533.3385691605165</v>
      </c>
      <c r="E8" s="34">
        <f>'SER_se-appl'!E21</f>
        <v>1560.1004973503668</v>
      </c>
      <c r="F8" s="34">
        <f>'SER_se-appl'!F21</f>
        <v>1588.6346231860878</v>
      </c>
      <c r="G8" s="34">
        <f>'SER_se-appl'!G21</f>
        <v>1622.3730965840027</v>
      </c>
      <c r="H8" s="34">
        <f>'SER_se-appl'!H21</f>
        <v>1660.0018886987905</v>
      </c>
      <c r="I8" s="34">
        <f>'SER_se-appl'!I21</f>
        <v>1703.2409473490329</v>
      </c>
      <c r="J8" s="34">
        <f>'SER_se-appl'!J21</f>
        <v>1745.2453292113291</v>
      </c>
      <c r="K8" s="34">
        <f>'SER_se-appl'!K21</f>
        <v>1801.5018984373726</v>
      </c>
      <c r="L8" s="34">
        <f>'SER_se-appl'!L21</f>
        <v>1860.3296878519043</v>
      </c>
      <c r="M8" s="34">
        <f>'SER_se-appl'!M21</f>
        <v>1926.586109148192</v>
      </c>
      <c r="N8" s="34">
        <f>'SER_se-appl'!N21</f>
        <v>2008.0455973437554</v>
      </c>
      <c r="O8" s="34">
        <f>'SER_se-appl'!O21</f>
        <v>2105.5605977704081</v>
      </c>
      <c r="P8" s="34">
        <f>'SER_se-appl'!P21</f>
        <v>2218.9989755102938</v>
      </c>
      <c r="Q8" s="34">
        <f>'SER_se-appl'!Q21</f>
        <v>2354.9602840068264</v>
      </c>
      <c r="R8" s="34">
        <f>'SER_se-appl'!R21</f>
        <v>2398.2645480058204</v>
      </c>
      <c r="S8" s="34">
        <f>'SER_se-appl'!S21</f>
        <v>2442.475176814437</v>
      </c>
      <c r="T8" s="34">
        <f>'SER_se-appl'!T21</f>
        <v>2487.0737047956518</v>
      </c>
      <c r="U8" s="34">
        <f>'SER_se-appl'!U21</f>
        <v>2528.6718279516276</v>
      </c>
      <c r="V8" s="34">
        <f>'SER_se-appl'!V21</f>
        <v>2565.0700132529651</v>
      </c>
      <c r="W8" s="34">
        <f>'SER_se-appl'!W21</f>
        <v>2593.6508820445501</v>
      </c>
      <c r="X8" s="34">
        <f>'SER_se-appl'!X21</f>
        <v>2617.8524114318361</v>
      </c>
      <c r="Y8" s="34">
        <f>'SER_se-appl'!Y21</f>
        <v>2637.5790458225456</v>
      </c>
      <c r="DA8" s="88" t="s">
        <v>923</v>
      </c>
    </row>
    <row r="9" spans="1:105" ht="12.95" customHeight="1" x14ac:dyDescent="0.25">
      <c r="A9" s="202" t="str">
        <f>"Number of new appliances "&amp;MID('SER_se-appl'!A29,FIND("(",'SER_se-appl'!A29),100)</f>
        <v>Number of new appliances (thousand units)</v>
      </c>
      <c r="B9" s="36"/>
      <c r="C9" s="36">
        <f>'SER_se-appl'!C29</f>
        <v>202.36309949487554</v>
      </c>
      <c r="D9" s="36">
        <f>'SER_se-appl'!D29</f>
        <v>218.39302504868942</v>
      </c>
      <c r="E9" s="36">
        <f>'SER_se-appl'!E29</f>
        <v>230.92873552917058</v>
      </c>
      <c r="F9" s="36">
        <f>'SER_se-appl'!F29</f>
        <v>241.48926920536655</v>
      </c>
      <c r="G9" s="36">
        <f>'SER_se-appl'!G29</f>
        <v>255.86024568098674</v>
      </c>
      <c r="H9" s="36">
        <f>'SER_se-appl'!H29</f>
        <v>269.311769766716</v>
      </c>
      <c r="I9" s="36">
        <f>'SER_se-appl'!I29</f>
        <v>284.89480262322832</v>
      </c>
      <c r="J9" s="36">
        <f>'SER_se-appl'!J29</f>
        <v>244.36748135717176</v>
      </c>
      <c r="K9" s="36">
        <f>'SER_se-appl'!K29</f>
        <v>274.64959427473286</v>
      </c>
      <c r="L9" s="36">
        <f>'SER_se-appl'!L29</f>
        <v>289.75652494370229</v>
      </c>
      <c r="M9" s="36">
        <f>'SER_se-appl'!M29</f>
        <v>307.74569050165428</v>
      </c>
      <c r="N9" s="36">
        <f>'SER_se-appl'!N29</f>
        <v>337.31973387655012</v>
      </c>
      <c r="O9" s="36">
        <f>'SER_se-appl'!O29</f>
        <v>366.8267701933687</v>
      </c>
      <c r="P9" s="36">
        <f>'SER_se-appl'!P29</f>
        <v>398.33318036311402</v>
      </c>
      <c r="Q9" s="36">
        <f>'SER_se-appl'!Q29</f>
        <v>380.32878985370439</v>
      </c>
      <c r="R9" s="36">
        <f>'SER_se-appl'!R29</f>
        <v>317.95385827372684</v>
      </c>
      <c r="S9" s="36">
        <f>'SER_se-appl'!S29</f>
        <v>333.96715375231906</v>
      </c>
      <c r="T9" s="36">
        <f>'SER_se-appl'!T29</f>
        <v>352.34421848286911</v>
      </c>
      <c r="U9" s="36">
        <f>'SER_se-appl'!U29</f>
        <v>378.91785703252617</v>
      </c>
      <c r="V9" s="36">
        <f>'SER_se-appl'!V29</f>
        <v>403.22495549470614</v>
      </c>
      <c r="W9" s="36">
        <f>'SER_se-appl'!W29</f>
        <v>426.91404915469911</v>
      </c>
      <c r="X9" s="36">
        <f>'SER_se-appl'!X29</f>
        <v>404.53031924099014</v>
      </c>
      <c r="Y9" s="36">
        <f>'SER_se-appl'!Y29</f>
        <v>337.68049266443631</v>
      </c>
      <c r="DA9" s="89" t="s">
        <v>929</v>
      </c>
    </row>
    <row r="10" spans="1:105" ht="12" customHeight="1" x14ac:dyDescent="0.25">
      <c r="A10" s="203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187.66321189806195</v>
      </c>
      <c r="D10" s="38">
        <f>'SER_se-appl'!D37</f>
        <v>195.7411526181188</v>
      </c>
      <c r="E10" s="38">
        <f>'SER_se-appl'!E37</f>
        <v>204.16680733932026</v>
      </c>
      <c r="F10" s="38">
        <f>'SER_se-appl'!F37</f>
        <v>212.95514336964561</v>
      </c>
      <c r="G10" s="38">
        <f>'SER_se-appl'!G37</f>
        <v>222.12177228307178</v>
      </c>
      <c r="H10" s="38">
        <f>'SER_se-appl'!H37</f>
        <v>231.68297765192824</v>
      </c>
      <c r="I10" s="38">
        <f>'SER_se-appl'!I37</f>
        <v>241.65574397298587</v>
      </c>
      <c r="J10" s="38">
        <f>'SER_se-appl'!J37</f>
        <v>202.36309949487554</v>
      </c>
      <c r="K10" s="38">
        <f>'SER_se-appl'!K37</f>
        <v>218.39302504868942</v>
      </c>
      <c r="L10" s="38">
        <f>'SER_se-appl'!L37</f>
        <v>230.92873552917058</v>
      </c>
      <c r="M10" s="38">
        <f>'SER_se-appl'!M37</f>
        <v>241.48926920536633</v>
      </c>
      <c r="N10" s="38">
        <f>'SER_se-appl'!N37</f>
        <v>255.86024568098696</v>
      </c>
      <c r="O10" s="38">
        <f>'SER_se-appl'!O37</f>
        <v>269.31176976671577</v>
      </c>
      <c r="P10" s="38">
        <f>'SER_se-appl'!P37</f>
        <v>284.89480262322832</v>
      </c>
      <c r="Q10" s="38">
        <f>'SER_se-appl'!Q37</f>
        <v>244.36748135717153</v>
      </c>
      <c r="R10" s="38">
        <f>'SER_se-appl'!R37</f>
        <v>274.64959427473286</v>
      </c>
      <c r="S10" s="38">
        <f>'SER_se-appl'!S37</f>
        <v>289.75652494370252</v>
      </c>
      <c r="T10" s="38">
        <f>'SER_se-appl'!T37</f>
        <v>307.74569050165428</v>
      </c>
      <c r="U10" s="38">
        <f>'SER_se-appl'!U37</f>
        <v>337.31973387655034</v>
      </c>
      <c r="V10" s="38">
        <f>'SER_se-appl'!V37</f>
        <v>366.8267701933687</v>
      </c>
      <c r="W10" s="38">
        <f>'SER_se-appl'!W37</f>
        <v>398.33318036311402</v>
      </c>
      <c r="X10" s="38">
        <f>'SER_se-appl'!X37</f>
        <v>380.32878985370417</v>
      </c>
      <c r="Y10" s="38">
        <f>'SER_se-appl'!Y37</f>
        <v>317.95385827372684</v>
      </c>
      <c r="DA10" s="90" t="s">
        <v>935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'SER_se-appl'!B45</f>
        <v>4091.8571604487224</v>
      </c>
      <c r="C12" s="204">
        <f>'SER_se-appl'!C45</f>
        <v>4082.0157021540458</v>
      </c>
      <c r="D12" s="204">
        <f>'SER_se-appl'!D45</f>
        <v>4069.9925764506838</v>
      </c>
      <c r="E12" s="204">
        <f>'SER_se-appl'!E45</f>
        <v>4060.8587462073465</v>
      </c>
      <c r="F12" s="204">
        <f>'SER_se-appl'!F45</f>
        <v>4050.401774853518</v>
      </c>
      <c r="G12" s="204">
        <f>'SER_se-appl'!G45</f>
        <v>4046.2217104134093</v>
      </c>
      <c r="H12" s="204">
        <f>'SER_se-appl'!H45</f>
        <v>4040.7900208696433</v>
      </c>
      <c r="I12" s="204">
        <f>'SER_se-appl'!I45</f>
        <v>4034.3609415192273</v>
      </c>
      <c r="J12" s="204">
        <f>'SER_se-appl'!J45</f>
        <v>4023.8683242419115</v>
      </c>
      <c r="K12" s="204">
        <f>'SER_se-appl'!K45</f>
        <v>4016.2331295599961</v>
      </c>
      <c r="L12" s="204">
        <f>'SER_se-appl'!L45</f>
        <v>4005.8843599767692</v>
      </c>
      <c r="M12" s="204">
        <f>'SER_se-appl'!M45</f>
        <v>3982.9918894841685</v>
      </c>
      <c r="N12" s="204">
        <f>'SER_se-appl'!N45</f>
        <v>3954.8881506303596</v>
      </c>
      <c r="O12" s="204">
        <f>'SER_se-appl'!O45</f>
        <v>3925.3221690212345</v>
      </c>
      <c r="P12" s="204">
        <f>'SER_se-appl'!P45</f>
        <v>3897.0431543940417</v>
      </c>
      <c r="Q12" s="204">
        <f>'SER_se-appl'!Q45</f>
        <v>3863.3817634734392</v>
      </c>
      <c r="R12" s="204">
        <f>'SER_se-appl'!R45</f>
        <v>3905.0620530100723</v>
      </c>
      <c r="S12" s="204">
        <f>'SER_se-appl'!S45</f>
        <v>3920.6099738813878</v>
      </c>
      <c r="T12" s="204">
        <f>'SER_se-appl'!T45</f>
        <v>3905.5727848064012</v>
      </c>
      <c r="U12" s="204">
        <f>'SER_se-appl'!U45</f>
        <v>3889.2488164120509</v>
      </c>
      <c r="V12" s="204">
        <f>'SER_se-appl'!V45</f>
        <v>3864.3715275202721</v>
      </c>
      <c r="W12" s="204">
        <f>'SER_se-appl'!W45</f>
        <v>3866.4120954582258</v>
      </c>
      <c r="X12" s="204">
        <f>'SER_se-appl'!X45</f>
        <v>3839.7708859124032</v>
      </c>
      <c r="Y12" s="204">
        <f>'SER_se-appl'!Y45</f>
        <v>3813.1296763665805</v>
      </c>
      <c r="DA12" s="208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168.21436296231704</v>
      </c>
      <c r="C14" s="59">
        <f>'SER_se-appl'!C53</f>
        <v>167.02974324913382</v>
      </c>
      <c r="D14" s="59">
        <f>'SER_se-appl'!D53</f>
        <v>165.72096165071454</v>
      </c>
      <c r="E14" s="59">
        <f>'SER_se-appl'!E53</f>
        <v>164.1424864196112</v>
      </c>
      <c r="F14" s="59">
        <f>'SER_se-appl'!F53</f>
        <v>162.22549625315145</v>
      </c>
      <c r="G14" s="59">
        <f>'SER_se-appl'!G53</f>
        <v>159.95185439117046</v>
      </c>
      <c r="H14" s="59">
        <f>'SER_se-appl'!H53</f>
        <v>157.3795831505596</v>
      </c>
      <c r="I14" s="59">
        <f>'SER_se-appl'!I53</f>
        <v>154.46263940461469</v>
      </c>
      <c r="J14" s="59">
        <f>'SER_se-appl'!J53</f>
        <v>152.80298014071315</v>
      </c>
      <c r="K14" s="59">
        <f>'SER_se-appl'!K53</f>
        <v>150.66792316942937</v>
      </c>
      <c r="L14" s="59">
        <f>'SER_se-appl'!L53</f>
        <v>148.31595241893467</v>
      </c>
      <c r="M14" s="59">
        <f>'SER_se-appl'!M53</f>
        <v>145.72403056589658</v>
      </c>
      <c r="N14" s="59">
        <f>'SER_se-appl'!N53</f>
        <v>142.63462104211135</v>
      </c>
      <c r="O14" s="59">
        <f>'SER_se-appl'!O53</f>
        <v>138.97498158757108</v>
      </c>
      <c r="P14" s="59">
        <f>'SER_se-appl'!P53</f>
        <v>134.81064095560083</v>
      </c>
      <c r="Q14" s="59">
        <f>'SER_se-appl'!Q53</f>
        <v>130.69152791323737</v>
      </c>
      <c r="R14" s="59">
        <f>'SER_se-appl'!R53</f>
        <v>126.58134861411502</v>
      </c>
      <c r="S14" s="59">
        <f>'SER_se-appl'!S53</f>
        <v>122.05648595451017</v>
      </c>
      <c r="T14" s="59">
        <f>'SER_se-appl'!T53</f>
        <v>117.14574587692665</v>
      </c>
      <c r="U14" s="59">
        <f>'SER_se-appl'!U53</f>
        <v>111.85205347319287</v>
      </c>
      <c r="V14" s="59">
        <f>'SER_se-appl'!V53</f>
        <v>106.24263991349854</v>
      </c>
      <c r="W14" s="59">
        <f>'SER_se-appl'!W53</f>
        <v>100.75112620893947</v>
      </c>
      <c r="X14" s="59">
        <f>'SER_se-appl'!X53</f>
        <v>96.170851954479716</v>
      </c>
      <c r="Y14" s="59">
        <f>'SER_se-appl'!Y53</f>
        <v>92.850348890744328</v>
      </c>
      <c r="DA14" s="104" t="s">
        <v>947</v>
      </c>
    </row>
    <row r="15" spans="1:105" ht="12" customHeight="1" x14ac:dyDescent="0.25">
      <c r="A15" s="203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159.37090659177821</v>
      </c>
      <c r="D15" s="63">
        <f>'SER_se-appl'!D61</f>
        <v>158.90253096753503</v>
      </c>
      <c r="E15" s="63">
        <f>'SER_se-appl'!E61</f>
        <v>157.26159775467301</v>
      </c>
      <c r="F15" s="63">
        <f>'SER_se-appl'!F61</f>
        <v>155.12233448914435</v>
      </c>
      <c r="G15" s="63">
        <f>'SER_se-appl'!G61</f>
        <v>153.00781691238052</v>
      </c>
      <c r="H15" s="63">
        <f>'SER_se-appl'!H61</f>
        <v>151.20477092332806</v>
      </c>
      <c r="I15" s="63">
        <f>'SER_se-appl'!I61</f>
        <v>149.13102532719671</v>
      </c>
      <c r="J15" s="63">
        <f>'SER_se-appl'!J61</f>
        <v>146.67412185435515</v>
      </c>
      <c r="K15" s="63">
        <f>'SER_se-appl'!K61</f>
        <v>143.64873457493661</v>
      </c>
      <c r="L15" s="63">
        <f>'SER_se-appl'!L61</f>
        <v>140.8225121706684</v>
      </c>
      <c r="M15" s="63">
        <f>'SER_se-appl'!M61</f>
        <v>137.43069062848463</v>
      </c>
      <c r="N15" s="63">
        <f>'SER_se-appl'!N61</f>
        <v>132.85776929308889</v>
      </c>
      <c r="O15" s="63">
        <f>'SER_se-appl'!O61</f>
        <v>127.92045390811457</v>
      </c>
      <c r="P15" s="63">
        <f>'SER_se-appl'!P61</f>
        <v>123.04042269996253</v>
      </c>
      <c r="Q15" s="63">
        <f>'SER_se-appl'!Q61</f>
        <v>116.92795930176339</v>
      </c>
      <c r="R15" s="63">
        <f>'SER_se-appl'!R61</f>
        <v>110.88171720466457</v>
      </c>
      <c r="S15" s="63">
        <f>'SER_se-appl'!S61</f>
        <v>105.84459476432258</v>
      </c>
      <c r="T15" s="63">
        <f>'SER_se-appl'!T61</f>
        <v>100.82149218349186</v>
      </c>
      <c r="U15" s="63">
        <f>'SER_se-appl'!U61</f>
        <v>95.805935309310371</v>
      </c>
      <c r="V15" s="63">
        <f>'SER_se-appl'!V61</f>
        <v>90.786345697816984</v>
      </c>
      <c r="W15" s="63">
        <f>'SER_se-appl'!W61</f>
        <v>88.553001593650691</v>
      </c>
      <c r="X15" s="63">
        <f>'SER_se-appl'!X61</f>
        <v>86.319657489484399</v>
      </c>
      <c r="Y15" s="63">
        <f>'SER_se-appl'!Y61</f>
        <v>84.086313385318107</v>
      </c>
      <c r="DA15" s="105" t="s">
        <v>953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'SER_se-appl'!B6</f>
        <v>154.12319575813805</v>
      </c>
      <c r="C3" s="198">
        <f>'SER_se-appl'!C6</f>
        <v>156.3154261429172</v>
      </c>
      <c r="D3" s="198">
        <f>'SER_se-appl'!D6</f>
        <v>158.02569124159473</v>
      </c>
      <c r="E3" s="198">
        <f>'SER_se-appl'!E6</f>
        <v>158.14253950019443</v>
      </c>
      <c r="F3" s="198">
        <f>'SER_se-appl'!F6</f>
        <v>159.58580977075295</v>
      </c>
      <c r="G3" s="198">
        <f>'SER_se-appl'!G6</f>
        <v>160.16285004599652</v>
      </c>
      <c r="H3" s="198">
        <f>'SER_se-appl'!H6</f>
        <v>160.8481598876198</v>
      </c>
      <c r="I3" s="198">
        <f>'SER_se-appl'!I6</f>
        <v>162.93087816690397</v>
      </c>
      <c r="J3" s="198">
        <f>'SER_se-appl'!J6</f>
        <v>164.7901429980875</v>
      </c>
      <c r="K3" s="198">
        <f>'SER_se-appl'!K6</f>
        <v>167.2161107443961</v>
      </c>
      <c r="L3" s="198">
        <f>'SER_se-appl'!L6</f>
        <v>169.91176100056262</v>
      </c>
      <c r="M3" s="198">
        <f>'SER_se-appl'!M6</f>
        <v>171.54888805812433</v>
      </c>
      <c r="N3" s="198">
        <f>'SER_se-appl'!N6</f>
        <v>172.27612064249317</v>
      </c>
      <c r="O3" s="198">
        <f>'SER_se-appl'!O6</f>
        <v>172.20774560857998</v>
      </c>
      <c r="P3" s="198">
        <f>'SER_se-appl'!P6</f>
        <v>172.48853497469105</v>
      </c>
      <c r="Q3" s="198">
        <f>'SER_se-appl'!Q6</f>
        <v>171.49747365955875</v>
      </c>
      <c r="R3" s="198">
        <f>'SER_se-appl'!R6</f>
        <v>169.10687383487948</v>
      </c>
      <c r="S3" s="198">
        <f>'SER_se-appl'!S6</f>
        <v>165.22863515427571</v>
      </c>
      <c r="T3" s="198">
        <f>'SER_se-appl'!T6</f>
        <v>158.27996288897791</v>
      </c>
      <c r="U3" s="198">
        <f>'SER_se-appl'!U6</f>
        <v>150.53958611299925</v>
      </c>
      <c r="V3" s="198">
        <f>'SER_se-appl'!V6</f>
        <v>132.06311930595689</v>
      </c>
      <c r="W3" s="198">
        <f>'SER_se-appl'!W6</f>
        <v>129.54020851906253</v>
      </c>
      <c r="X3" s="198">
        <f>'SER_se-appl'!X6</f>
        <v>124.05260289215815</v>
      </c>
      <c r="Y3" s="198">
        <f>'SER_se-appl'!Y6</f>
        <v>117.51183291650904</v>
      </c>
      <c r="DA3" s="205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'SER_se-appl'!B14</f>
        <v>728.80901742877836</v>
      </c>
      <c r="C5" s="59">
        <f>'SER_se-appl'!C14</f>
        <v>733.68268366883603</v>
      </c>
      <c r="D5" s="59">
        <f>'SER_se-appl'!D14</f>
        <v>737.51920636015325</v>
      </c>
      <c r="E5" s="59">
        <f>'SER_se-appl'!E14</f>
        <v>734.25428609849666</v>
      </c>
      <c r="F5" s="59">
        <f>'SER_se-appl'!F14</f>
        <v>735.459720890433</v>
      </c>
      <c r="G5" s="59">
        <f>'SER_se-appl'!G14</f>
        <v>733.68794792276981</v>
      </c>
      <c r="H5" s="59">
        <f>'SER_se-appl'!H14</f>
        <v>734.55529762837602</v>
      </c>
      <c r="I5" s="59">
        <f>'SER_se-appl'!I14</f>
        <v>740.43429339810393</v>
      </c>
      <c r="J5" s="59">
        <f>'SER_se-appl'!J14</f>
        <v>747.53654922585213</v>
      </c>
      <c r="K5" s="59">
        <f>'SER_se-appl'!K14</f>
        <v>755.26211634037145</v>
      </c>
      <c r="L5" s="59">
        <f>'SER_se-appl'!L14</f>
        <v>764.07152502637257</v>
      </c>
      <c r="M5" s="59">
        <f>'SER_se-appl'!M14</f>
        <v>769.33677630366287</v>
      </c>
      <c r="N5" s="59">
        <f>'SER_se-appl'!N14</f>
        <v>770.62899151818192</v>
      </c>
      <c r="O5" s="59">
        <f>'SER_se-appl'!O14</f>
        <v>769.1097726176497</v>
      </c>
      <c r="P5" s="59">
        <f>'SER_se-appl'!P14</f>
        <v>769.0202912921942</v>
      </c>
      <c r="Q5" s="59">
        <f>'SER_se-appl'!Q14</f>
        <v>762.60949074709447</v>
      </c>
      <c r="R5" s="59">
        <f>'SER_se-appl'!R14</f>
        <v>739.94188164118577</v>
      </c>
      <c r="S5" s="59">
        <f>'SER_se-appl'!S14</f>
        <v>717.88651322673945</v>
      </c>
      <c r="T5" s="59">
        <f>'SER_se-appl'!T14</f>
        <v>688.9592136555699</v>
      </c>
      <c r="U5" s="59">
        <f>'SER_se-appl'!U14</f>
        <v>659.07791930403914</v>
      </c>
      <c r="V5" s="59">
        <f>'SER_se-appl'!V14</f>
        <v>624.12094164292807</v>
      </c>
      <c r="W5" s="59">
        <f>'SER_se-appl'!W14</f>
        <v>590.78234113841756</v>
      </c>
      <c r="X5" s="59">
        <f>'SER_se-appl'!X14</f>
        <v>559.27341363711832</v>
      </c>
      <c r="Y5" s="59">
        <f>'SER_se-appl'!Y14</f>
        <v>526.76758863120972</v>
      </c>
      <c r="DA5" s="104" t="s">
        <v>918</v>
      </c>
    </row>
    <row r="6" spans="1:105" ht="12" customHeight="1" x14ac:dyDescent="0.25">
      <c r="A6" s="200" t="str">
        <f>"Penetration factor "&amp;MID('SER_se-appl'!A70,FIND("(",'SER_se-appl'!A70),100)</f>
        <v>Penetration factor (unit per building cell)</v>
      </c>
      <c r="B6" s="201">
        <f>'SER_se-appl'!B70</f>
        <v>193.46330258340771</v>
      </c>
      <c r="C6" s="201">
        <f>'SER_se-appl'!C70</f>
        <v>194.73415305911328</v>
      </c>
      <c r="D6" s="201">
        <f>'SER_se-appl'!D70</f>
        <v>197.03141021059741</v>
      </c>
      <c r="E6" s="201">
        <f>'SER_se-appl'!E70</f>
        <v>198.85960045632891</v>
      </c>
      <c r="F6" s="201">
        <f>'SER_se-appl'!F70</f>
        <v>201.51809421034298</v>
      </c>
      <c r="G6" s="201">
        <f>'SER_se-appl'!G70</f>
        <v>204.50808474393827</v>
      </c>
      <c r="H6" s="201">
        <f>'SER_se-appl'!H70</f>
        <v>207.92721312157977</v>
      </c>
      <c r="I6" s="201">
        <f>'SER_se-appl'!I70</f>
        <v>211.1379576552601</v>
      </c>
      <c r="J6" s="201">
        <f>'SER_se-appl'!J70</f>
        <v>215.7527482145527</v>
      </c>
      <c r="K6" s="201">
        <f>'SER_se-appl'!K70</f>
        <v>220.89658973399153</v>
      </c>
      <c r="L6" s="201">
        <f>'SER_se-appl'!L70</f>
        <v>226.28302526353644</v>
      </c>
      <c r="M6" s="201">
        <f>'SER_se-appl'!M70</f>
        <v>231.94904014702269</v>
      </c>
      <c r="N6" s="201">
        <f>'SER_se-appl'!N70</f>
        <v>238.00098371523268</v>
      </c>
      <c r="O6" s="201">
        <f>'SER_se-appl'!O70</f>
        <v>244.31164801665844</v>
      </c>
      <c r="P6" s="201">
        <f>'SER_se-appl'!P70</f>
        <v>252.80975296900641</v>
      </c>
      <c r="Q6" s="201">
        <f>'SER_se-appl'!Q70</f>
        <v>260.45945902409301</v>
      </c>
      <c r="R6" s="201">
        <f>'SER_se-appl'!R70</f>
        <v>264.65387831585326</v>
      </c>
      <c r="S6" s="201">
        <f>'SER_se-appl'!S70</f>
        <v>268.89838081420237</v>
      </c>
      <c r="T6" s="201">
        <f>'SER_se-appl'!T70</f>
        <v>272.99143597812196</v>
      </c>
      <c r="U6" s="201">
        <f>'SER_se-appl'!U70</f>
        <v>276.80979989417278</v>
      </c>
      <c r="V6" s="201">
        <f>'SER_se-appl'!V70</f>
        <v>280.12378672841731</v>
      </c>
      <c r="W6" s="201">
        <f>'SER_se-appl'!W70</f>
        <v>282.66611104890393</v>
      </c>
      <c r="X6" s="201">
        <f>'SER_se-appl'!X70</f>
        <v>283.94591269688675</v>
      </c>
      <c r="Y6" s="201">
        <f>'SER_se-appl'!Y70</f>
        <v>284.58798479955112</v>
      </c>
      <c r="DA6" s="206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"&amp;MID('SER_se-appl'!A22,FIND("(",'SER_se-appl'!A22),1000)</f>
        <v>Stock of appliances (million units)</v>
      </c>
      <c r="B8" s="34">
        <f>'SER_se-appl'!B22</f>
        <v>19.816484959458762</v>
      </c>
      <c r="C8" s="34">
        <f>'SER_se-appl'!C22</f>
        <v>20.170309146563046</v>
      </c>
      <c r="D8" s="34">
        <f>'SER_se-appl'!D22</f>
        <v>20.615593936847993</v>
      </c>
      <c r="E8" s="34">
        <f>'SER_se-appl'!E22</f>
        <v>20.981549086787005</v>
      </c>
      <c r="F8" s="34">
        <f>'SER_se-appl'!F22</f>
        <v>21.584587381421006</v>
      </c>
      <c r="G8" s="34">
        <f>'SER_se-appl'!G22</f>
        <v>22.180781577876154</v>
      </c>
      <c r="H8" s="34">
        <f>'SER_se-appl'!H22</f>
        <v>22.949565883820572</v>
      </c>
      <c r="I8" s="34">
        <f>'SER_se-appl'!I22</f>
        <v>23.702773733243991</v>
      </c>
      <c r="J8" s="34">
        <f>'SER_se-appl'!J22</f>
        <v>24.488970650117405</v>
      </c>
      <c r="K8" s="34">
        <f>'SER_se-appl'!K22</f>
        <v>25.236102770927538</v>
      </c>
      <c r="L8" s="34">
        <f>'SER_se-appl'!L22</f>
        <v>26.065117257791012</v>
      </c>
      <c r="M8" s="34">
        <f>'SER_se-appl'!M22</f>
        <v>26.873915260772115</v>
      </c>
      <c r="N8" s="34">
        <f>'SER_se-appl'!N22</f>
        <v>27.670638018133545</v>
      </c>
      <c r="O8" s="34">
        <f>'SER_se-appl'!O22</f>
        <v>28.49013072474758</v>
      </c>
      <c r="P8" s="34">
        <f>'SER_se-appl'!P22</f>
        <v>29.574043651335447</v>
      </c>
      <c r="Q8" s="34">
        <f>'SER_se-appl'!Q22</f>
        <v>30.574049440259351</v>
      </c>
      <c r="R8" s="34">
        <f>'SER_se-appl'!R22</f>
        <v>31.258960304834385</v>
      </c>
      <c r="S8" s="34">
        <f>'SER_se-appl'!S22</f>
        <v>32.042277723866057</v>
      </c>
      <c r="T8" s="34">
        <f>'SER_se-appl'!T22</f>
        <v>32.822630621101546</v>
      </c>
      <c r="U8" s="34">
        <f>'SER_se-appl'!U22</f>
        <v>33.554010370186866</v>
      </c>
      <c r="V8" s="34">
        <f>'SER_se-appl'!V22</f>
        <v>34.206226846058954</v>
      </c>
      <c r="W8" s="34">
        <f>'SER_se-appl'!W22</f>
        <v>34.733038941965681</v>
      </c>
      <c r="X8" s="34">
        <f>'SER_se-appl'!X22</f>
        <v>35.074694798426428</v>
      </c>
      <c r="Y8" s="34">
        <f>'SER_se-appl'!Y22</f>
        <v>35.309849571578056</v>
      </c>
      <c r="DA8" s="88" t="s">
        <v>924</v>
      </c>
    </row>
    <row r="9" spans="1:105" ht="12.95" customHeight="1" x14ac:dyDescent="0.25">
      <c r="A9" s="202" t="str">
        <f>"Number of new appliances "&amp;MID('SER_se-appl'!A30,FIND("(",'SER_se-appl'!A30),100)</f>
        <v>Number of new appliances (million units)</v>
      </c>
      <c r="B9" s="36"/>
      <c r="C9" s="36">
        <f>'SER_se-appl'!C30</f>
        <v>3.4484873042595119</v>
      </c>
      <c r="D9" s="36">
        <f>'SER_se-appl'!D30</f>
        <v>3.6203421554825752</v>
      </c>
      <c r="E9" s="36">
        <f>'SER_se-appl'!E30</f>
        <v>3.623495273260307</v>
      </c>
      <c r="F9" s="36">
        <f>'SER_se-appl'!F30</f>
        <v>3.9452039422104512</v>
      </c>
      <c r="G9" s="36">
        <f>'SER_se-appl'!G30</f>
        <v>4.0251837999512468</v>
      </c>
      <c r="H9" s="36">
        <f>'SER_se-appl'!H30</f>
        <v>4.2868534086564729</v>
      </c>
      <c r="I9" s="36">
        <f>'SER_se-appl'!I30</f>
        <v>4.2016951536829303</v>
      </c>
      <c r="J9" s="36">
        <f>'SER_se-appl'!J30</f>
        <v>4.4065390723559901</v>
      </c>
      <c r="K9" s="36">
        <f>'SER_se-appl'!K30</f>
        <v>4.3706273940704392</v>
      </c>
      <c r="L9" s="36">
        <f>'SER_se-appl'!L30</f>
        <v>4.774218429073926</v>
      </c>
      <c r="M9" s="36">
        <f>'SER_se-appl'!M30</f>
        <v>4.8339818029323496</v>
      </c>
      <c r="N9" s="36">
        <f>'SER_se-appl'!N30</f>
        <v>5.0835761660179024</v>
      </c>
      <c r="O9" s="36">
        <f>'SER_se-appl'!O30</f>
        <v>5.0211878602969655</v>
      </c>
      <c r="P9" s="36">
        <f>'SER_se-appl'!P30</f>
        <v>5.4904519989438576</v>
      </c>
      <c r="Q9" s="36">
        <f>'SER_se-appl'!Q30</f>
        <v>5.370633182994343</v>
      </c>
      <c r="R9" s="36">
        <f>'SER_se-appl'!R30</f>
        <v>5.4591292936489602</v>
      </c>
      <c r="S9" s="36">
        <f>'SER_se-appl'!S30</f>
        <v>5.6172992219640214</v>
      </c>
      <c r="T9" s="36">
        <f>'SER_se-appl'!T30</f>
        <v>5.8639290632533907</v>
      </c>
      <c r="U9" s="36">
        <f>'SER_se-appl'!U30</f>
        <v>5.752567609382286</v>
      </c>
      <c r="V9" s="36">
        <f>'SER_se-appl'!V30</f>
        <v>6.1426684748159452</v>
      </c>
      <c r="W9" s="36">
        <f>'SER_se-appl'!W30</f>
        <v>5.8974452789010705</v>
      </c>
      <c r="X9" s="36">
        <f>'SER_se-appl'!X30</f>
        <v>5.8007851501097072</v>
      </c>
      <c r="Y9" s="36">
        <f>'SER_se-appl'!Y30</f>
        <v>5.8524539951156491</v>
      </c>
      <c r="DA9" s="89" t="s">
        <v>930</v>
      </c>
    </row>
    <row r="10" spans="1:105" ht="12" customHeight="1" x14ac:dyDescent="0.25">
      <c r="A10" s="203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3.0946631171552283</v>
      </c>
      <c r="D10" s="38">
        <f>'SER_se-appl'!D38</f>
        <v>3.1750573651976275</v>
      </c>
      <c r="E10" s="38">
        <f>'SER_se-appl'!E38</f>
        <v>3.2575401233212951</v>
      </c>
      <c r="F10" s="38">
        <f>'SER_se-appl'!F38</f>
        <v>3.3421656475764507</v>
      </c>
      <c r="G10" s="38">
        <f>'SER_se-appl'!G38</f>
        <v>3.4289896034960989</v>
      </c>
      <c r="H10" s="38">
        <f>'SER_se-appl'!H38</f>
        <v>3.5180691027120545</v>
      </c>
      <c r="I10" s="38">
        <f>'SER_se-appl'!I38</f>
        <v>3.4484873042595119</v>
      </c>
      <c r="J10" s="38">
        <f>'SER_se-appl'!J38</f>
        <v>3.6203421554825752</v>
      </c>
      <c r="K10" s="38">
        <f>'SER_se-appl'!K38</f>
        <v>3.623495273260307</v>
      </c>
      <c r="L10" s="38">
        <f>'SER_se-appl'!L38</f>
        <v>3.9452039422104512</v>
      </c>
      <c r="M10" s="38">
        <f>'SER_se-appl'!M38</f>
        <v>4.0251837999512468</v>
      </c>
      <c r="N10" s="38">
        <f>'SER_se-appl'!N38</f>
        <v>4.2868534086564729</v>
      </c>
      <c r="O10" s="38">
        <f>'SER_se-appl'!O38</f>
        <v>4.2016951536829268</v>
      </c>
      <c r="P10" s="38">
        <f>'SER_se-appl'!P38</f>
        <v>4.4065390723559936</v>
      </c>
      <c r="Q10" s="38">
        <f>'SER_se-appl'!Q38</f>
        <v>4.3706273940704392</v>
      </c>
      <c r="R10" s="38">
        <f>'SER_se-appl'!R38</f>
        <v>4.7742184290739296</v>
      </c>
      <c r="S10" s="38">
        <f>'SER_se-appl'!S38</f>
        <v>4.8339818029323496</v>
      </c>
      <c r="T10" s="38">
        <f>'SER_se-appl'!T38</f>
        <v>5.0835761660178989</v>
      </c>
      <c r="U10" s="38">
        <f>'SER_se-appl'!U38</f>
        <v>5.0211878602969691</v>
      </c>
      <c r="V10" s="38">
        <f>'SER_se-appl'!V38</f>
        <v>5.4904519989438541</v>
      </c>
      <c r="W10" s="38">
        <f>'SER_se-appl'!W38</f>
        <v>5.3706331829943466</v>
      </c>
      <c r="X10" s="38">
        <f>'SER_se-appl'!X38</f>
        <v>5.4591292936489637</v>
      </c>
      <c r="Y10" s="38">
        <f>'SER_se-appl'!Y38</f>
        <v>5.6172992219640179</v>
      </c>
      <c r="DA10" s="90" t="s">
        <v>936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'SER_se-appl'!B46</f>
        <v>2459.427262564448</v>
      </c>
      <c r="C12" s="204">
        <f>'SER_se-appl'!C46</f>
        <v>2477.8401433046474</v>
      </c>
      <c r="D12" s="204">
        <f>'SER_se-appl'!D46</f>
        <v>2491.9199029540578</v>
      </c>
      <c r="E12" s="204">
        <f>'SER_se-appl'!E46</f>
        <v>2504.8512064668312</v>
      </c>
      <c r="F12" s="204">
        <f>'SER_se-appl'!F46</f>
        <v>2523.5684768525298</v>
      </c>
      <c r="G12" s="204">
        <f>'SER_se-appl'!G46</f>
        <v>2538.8095188269499</v>
      </c>
      <c r="H12" s="204">
        <f>'SER_se-appl'!H46</f>
        <v>2546.6620491782483</v>
      </c>
      <c r="I12" s="204">
        <f>'SER_se-appl'!I46</f>
        <v>2559.154985089654</v>
      </c>
      <c r="J12" s="204">
        <f>'SER_se-appl'!J46</f>
        <v>2563.7667683974678</v>
      </c>
      <c r="K12" s="204">
        <f>'SER_se-appl'!K46</f>
        <v>2574.89860259442</v>
      </c>
      <c r="L12" s="204">
        <f>'SER_se-appl'!L46</f>
        <v>2586.2418840544246</v>
      </c>
      <c r="M12" s="204">
        <f>'SER_se-appl'!M46</f>
        <v>2593.2902593083631</v>
      </c>
      <c r="N12" s="204">
        <f>'SER_se-appl'!N46</f>
        <v>2599.9168278435109</v>
      </c>
      <c r="O12" s="204">
        <f>'SER_se-appl'!O46</f>
        <v>2604.0185065018441</v>
      </c>
      <c r="P12" s="204">
        <f>'SER_se-appl'!P46</f>
        <v>2608.5679200803406</v>
      </c>
      <c r="Q12" s="204">
        <f>'SER_se-appl'!Q46</f>
        <v>2615.382634048693</v>
      </c>
      <c r="R12" s="204">
        <f>'SER_se-appl'!R46</f>
        <v>2657.9289421183908</v>
      </c>
      <c r="S12" s="204">
        <f>'SER_se-appl'!S46</f>
        <v>2676.7587793327157</v>
      </c>
      <c r="T12" s="204">
        <f>'SER_se-appl'!T46</f>
        <v>2671.8504258498515</v>
      </c>
      <c r="U12" s="204">
        <f>'SER_se-appl'!U46</f>
        <v>2656.4012163280067</v>
      </c>
      <c r="V12" s="204">
        <f>'SER_se-appl'!V46</f>
        <v>2460.8917519819324</v>
      </c>
      <c r="W12" s="204">
        <f>'SER_se-appl'!W46</f>
        <v>2550.0975912272893</v>
      </c>
      <c r="X12" s="204">
        <f>'SER_se-appl'!X46</f>
        <v>2579.6537730146929</v>
      </c>
      <c r="Y12" s="204">
        <f>'SER_se-appl'!Y46</f>
        <v>2594.4318639083949</v>
      </c>
      <c r="DA12" s="208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36.777915907881777</v>
      </c>
      <c r="C14" s="59">
        <f>'SER_se-appl'!C54</f>
        <v>36.374389620788392</v>
      </c>
      <c r="D14" s="59">
        <f>'SER_se-appl'!D54</f>
        <v>35.774822138008979</v>
      </c>
      <c r="E14" s="59">
        <f>'SER_se-appl'!E54</f>
        <v>34.995237151526077</v>
      </c>
      <c r="F14" s="59">
        <f>'SER_se-appl'!F54</f>
        <v>34.073374111542293</v>
      </c>
      <c r="G14" s="59">
        <f>'SER_se-appl'!G54</f>
        <v>33.07764180206231</v>
      </c>
      <c r="H14" s="59">
        <f>'SER_se-appl'!H54</f>
        <v>32.007372224249217</v>
      </c>
      <c r="I14" s="59">
        <f>'SER_se-appl'!I54</f>
        <v>31.238297328874143</v>
      </c>
      <c r="J14" s="59">
        <f>'SER_se-appl'!J54</f>
        <v>30.525437753434861</v>
      </c>
      <c r="K14" s="59">
        <f>'SER_se-appl'!K54</f>
        <v>29.927842789198319</v>
      </c>
      <c r="L14" s="59">
        <f>'SER_se-appl'!L54</f>
        <v>29.313949270571083</v>
      </c>
      <c r="M14" s="59">
        <f>'SER_se-appl'!M54</f>
        <v>28.627640179645301</v>
      </c>
      <c r="N14" s="59">
        <f>'SER_se-appl'!N54</f>
        <v>27.850062257804161</v>
      </c>
      <c r="O14" s="59">
        <f>'SER_se-appl'!O54</f>
        <v>26.995656146623876</v>
      </c>
      <c r="P14" s="59">
        <f>'SER_se-appl'!P54</f>
        <v>26.003217563299575</v>
      </c>
      <c r="Q14" s="59">
        <f>'SER_se-appl'!Q54</f>
        <v>24.943031908063318</v>
      </c>
      <c r="R14" s="59">
        <f>'SER_se-appl'!R54</f>
        <v>23.671352931298529</v>
      </c>
      <c r="S14" s="59">
        <f>'SER_se-appl'!S54</f>
        <v>22.404353380035648</v>
      </c>
      <c r="T14" s="59">
        <f>'SER_se-appl'!T54</f>
        <v>20.990371600886878</v>
      </c>
      <c r="U14" s="59">
        <f>'SER_se-appl'!U54</f>
        <v>19.642299445959452</v>
      </c>
      <c r="V14" s="59">
        <f>'SER_se-appl'!V54</f>
        <v>18.24582829470523</v>
      </c>
      <c r="W14" s="59">
        <f>'SER_se-appl'!W54</f>
        <v>17.009232682620624</v>
      </c>
      <c r="X14" s="59">
        <f>'SER_se-appl'!X54</f>
        <v>15.945211123040457</v>
      </c>
      <c r="Y14" s="59">
        <f>'SER_se-appl'!Y54</f>
        <v>14.918431967923775</v>
      </c>
      <c r="DA14" s="104" t="s">
        <v>948</v>
      </c>
    </row>
    <row r="15" spans="1:105" ht="12" customHeight="1" x14ac:dyDescent="0.25">
      <c r="A15" s="203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34.417678145259075</v>
      </c>
      <c r="D15" s="63">
        <f>'SER_se-appl'!D62</f>
        <v>33.314120680170817</v>
      </c>
      <c r="E15" s="63">
        <f>'SER_se-appl'!E62</f>
        <v>32.162486127805849</v>
      </c>
      <c r="F15" s="63">
        <f>'SER_se-appl'!F62</f>
        <v>31.461826497914696</v>
      </c>
      <c r="G15" s="63">
        <f>'SER_se-appl'!G62</f>
        <v>30.890345509246892</v>
      </c>
      <c r="H15" s="63">
        <f>'SER_se-appl'!H62</f>
        <v>30.384663739665854</v>
      </c>
      <c r="I15" s="63">
        <f>'SER_se-appl'!I62</f>
        <v>29.647063230314544</v>
      </c>
      <c r="J15" s="63">
        <f>'SER_se-appl'!J62</f>
        <v>28.98210346078309</v>
      </c>
      <c r="K15" s="63">
        <f>'SER_se-appl'!K62</f>
        <v>28.432115659988327</v>
      </c>
      <c r="L15" s="63">
        <f>'SER_se-appl'!L62</f>
        <v>27.843872790818427</v>
      </c>
      <c r="M15" s="63">
        <f>'SER_se-appl'!M62</f>
        <v>26.811141390186432</v>
      </c>
      <c r="N15" s="63">
        <f>'SER_se-appl'!N62</f>
        <v>25.876825730896961</v>
      </c>
      <c r="O15" s="63">
        <f>'SER_se-appl'!O62</f>
        <v>24.505895102664901</v>
      </c>
      <c r="P15" s="63">
        <f>'SER_se-appl'!P62</f>
        <v>23.244222879664186</v>
      </c>
      <c r="Q15" s="63">
        <f>'SER_se-appl'!Q62</f>
        <v>21.944411210768138</v>
      </c>
      <c r="R15" s="63">
        <f>'SER_se-appl'!R62</f>
        <v>20.198298222591454</v>
      </c>
      <c r="S15" s="63">
        <f>'SER_se-appl'!S62</f>
        <v>19.146069477843817</v>
      </c>
      <c r="T15" s="63">
        <f>'SER_se-appl'!T62</f>
        <v>17.500128985135152</v>
      </c>
      <c r="U15" s="63">
        <f>'SER_se-appl'!U62</f>
        <v>16.195795507336175</v>
      </c>
      <c r="V15" s="63">
        <f>'SER_se-appl'!V62</f>
        <v>15.085351373323828</v>
      </c>
      <c r="W15" s="63">
        <f>'SER_se-appl'!W62</f>
        <v>14.331083804657636</v>
      </c>
      <c r="X15" s="63">
        <f>'SER_se-appl'!X62</f>
        <v>13.576816235991444</v>
      </c>
      <c r="Y15" s="63">
        <f>'SER_se-appl'!Y62</f>
        <v>12.822548667325252</v>
      </c>
      <c r="DA15" s="105" t="s">
        <v>954</v>
      </c>
    </row>
    <row r="16" spans="1:105" ht="12.95" customHeight="1" x14ac:dyDescent="0.25">
      <c r="A16" s="203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X16" s="63">
        <v>0</v>
      </c>
      <c r="Y16" s="63">
        <v>0</v>
      </c>
      <c r="DA16" s="105" t="s">
        <v>964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'SER_se-appl'!B7</f>
        <v>60.067655721255697</v>
      </c>
      <c r="C3" s="198">
        <f>'SER_se-appl'!C7</f>
        <v>65.892090970973129</v>
      </c>
      <c r="D3" s="198">
        <f>'SER_se-appl'!D7</f>
        <v>71.050100470804864</v>
      </c>
      <c r="E3" s="198">
        <f>'SER_se-appl'!E7</f>
        <v>76.692236286482284</v>
      </c>
      <c r="F3" s="198">
        <f>'SER_se-appl'!F7</f>
        <v>81.066941034201562</v>
      </c>
      <c r="G3" s="198">
        <f>'SER_se-appl'!G7</f>
        <v>84.561617943732259</v>
      </c>
      <c r="H3" s="198">
        <f>'SER_se-appl'!H7</f>
        <v>85.569123322272404</v>
      </c>
      <c r="I3" s="198">
        <f>'SER_se-appl'!I7</f>
        <v>86.803798939579082</v>
      </c>
      <c r="J3" s="198">
        <f>'SER_se-appl'!J7</f>
        <v>87.604148838070529</v>
      </c>
      <c r="K3" s="198">
        <f>'SER_se-appl'!K7</f>
        <v>88.210896073915137</v>
      </c>
      <c r="L3" s="198">
        <f>'SER_se-appl'!L7</f>
        <v>88.88316677330323</v>
      </c>
      <c r="M3" s="198">
        <f>'SER_se-appl'!M7</f>
        <v>87.825946827198038</v>
      </c>
      <c r="N3" s="198">
        <f>'SER_se-appl'!N7</f>
        <v>87.074786017301406</v>
      </c>
      <c r="O3" s="198">
        <f>'SER_se-appl'!O7</f>
        <v>86.565147040491084</v>
      </c>
      <c r="P3" s="198">
        <f>'SER_se-appl'!P7</f>
        <v>86.251001074523018</v>
      </c>
      <c r="Q3" s="198">
        <f>'SER_se-appl'!Q7</f>
        <v>85.395341250945805</v>
      </c>
      <c r="R3" s="198">
        <f>'SER_se-appl'!R7</f>
        <v>84.224804472368248</v>
      </c>
      <c r="S3" s="198">
        <f>'SER_se-appl'!S7</f>
        <v>83.862322858754993</v>
      </c>
      <c r="T3" s="198">
        <f>'SER_se-appl'!T7</f>
        <v>83.574274282422849</v>
      </c>
      <c r="U3" s="198">
        <f>'SER_se-appl'!U7</f>
        <v>83.22093009450596</v>
      </c>
      <c r="V3" s="198">
        <f>'SER_se-appl'!V7</f>
        <v>82.700573426201402</v>
      </c>
      <c r="W3" s="198">
        <f>'SER_se-appl'!W7</f>
        <v>81.484385242671777</v>
      </c>
      <c r="X3" s="198">
        <f>'SER_se-appl'!X7</f>
        <v>80.213317006306681</v>
      </c>
      <c r="Y3" s="198">
        <f>'SER_se-appl'!Y7</f>
        <v>78.723892716600076</v>
      </c>
      <c r="DA3" s="205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'SER_se-appl'!B15</f>
        <v>79.747355712123749</v>
      </c>
      <c r="C5" s="59">
        <f>'SER_se-appl'!C15</f>
        <v>87.48002488497913</v>
      </c>
      <c r="D5" s="59">
        <f>'SER_se-appl'!D15</f>
        <v>94.32793019126261</v>
      </c>
      <c r="E5" s="59">
        <f>'SER_se-appl'!E15</f>
        <v>101.8185739739485</v>
      </c>
      <c r="F5" s="59">
        <f>'SER_se-appl'!F15</f>
        <v>107.62654386161694</v>
      </c>
      <c r="G5" s="59">
        <f>'SER_se-appl'!G15</f>
        <v>112.26616628831123</v>
      </c>
      <c r="H5" s="59">
        <f>'SER_se-appl'!H15</f>
        <v>113.60375619155575</v>
      </c>
      <c r="I5" s="59">
        <f>'SER_se-appl'!I15</f>
        <v>115.24294311270604</v>
      </c>
      <c r="J5" s="59">
        <f>'SER_se-appl'!J15</f>
        <v>116.30550810351147</v>
      </c>
      <c r="K5" s="59">
        <f>'SER_se-appl'!K15</f>
        <v>117.11104124881656</v>
      </c>
      <c r="L5" s="59">
        <f>'SER_se-appl'!L15</f>
        <v>118.00356501980787</v>
      </c>
      <c r="M5" s="59">
        <f>'SER_se-appl'!M15</f>
        <v>116.59997278542392</v>
      </c>
      <c r="N5" s="59">
        <f>'SER_se-appl'!N15</f>
        <v>115.60271248644008</v>
      </c>
      <c r="O5" s="59">
        <f>'SER_se-appl'!O15</f>
        <v>114.92610274896251</v>
      </c>
      <c r="P5" s="59">
        <f>'SER_se-appl'!P15</f>
        <v>114.50903453158712</v>
      </c>
      <c r="Q5" s="59">
        <f>'SER_se-appl'!Q15</f>
        <v>113.37303866992008</v>
      </c>
      <c r="R5" s="59">
        <f>'SER_se-appl'!R15</f>
        <v>111.81900411114641</v>
      </c>
      <c r="S5" s="59">
        <f>'SER_se-appl'!S15</f>
        <v>111.33776425197723</v>
      </c>
      <c r="T5" s="59">
        <f>'SER_se-appl'!T15</f>
        <v>110.95534359641297</v>
      </c>
      <c r="U5" s="59">
        <f>'SER_se-appl'!U15</f>
        <v>110.48623481724935</v>
      </c>
      <c r="V5" s="59">
        <f>'SER_se-appl'!V15</f>
        <v>109.79539599848425</v>
      </c>
      <c r="W5" s="59">
        <f>'SER_se-appl'!W15</f>
        <v>108.18075346715442</v>
      </c>
      <c r="X5" s="59">
        <f>'SER_se-appl'!X15</f>
        <v>106.49325077435465</v>
      </c>
      <c r="Y5" s="59">
        <f>'SER_se-appl'!Y15</f>
        <v>104.5158530016049</v>
      </c>
      <c r="DA5" s="104" t="s">
        <v>919</v>
      </c>
    </row>
    <row r="6" spans="1:105" ht="12" customHeight="1" x14ac:dyDescent="0.25">
      <c r="A6" s="200" t="str">
        <f>"Penetration factor "&amp;MID('SER_se-appl'!A71,FIND("(",'SER_se-appl'!A71),100)</f>
        <v>Penetration factor (unit per capita)</v>
      </c>
      <c r="B6" s="201">
        <f>'SER_se-appl'!B71</f>
        <v>2.3511856981974378E-2</v>
      </c>
      <c r="C6" s="201">
        <f>'SER_se-appl'!C71</f>
        <v>2.6183835072545295E-2</v>
      </c>
      <c r="D6" s="201">
        <f>'SER_se-appl'!D71</f>
        <v>2.8696723257124808E-2</v>
      </c>
      <c r="E6" s="201">
        <f>'SER_se-appl'!E71</f>
        <v>3.1514395036671403E-2</v>
      </c>
      <c r="F6" s="201">
        <f>'SER_se-appl'!F71</f>
        <v>3.3835263066268738E-2</v>
      </c>
      <c r="G6" s="201">
        <f>'SER_se-appl'!G71</f>
        <v>3.5800188342205136E-2</v>
      </c>
      <c r="H6" s="201">
        <f>'SER_se-appl'!H71</f>
        <v>3.6647520646013718E-2</v>
      </c>
      <c r="I6" s="201">
        <f>'SER_se-appl'!I71</f>
        <v>3.7661407364356046E-2</v>
      </c>
      <c r="J6" s="201">
        <f>'SER_se-appl'!J71</f>
        <v>3.8530669836856109E-2</v>
      </c>
      <c r="K6" s="201">
        <f>'SER_se-appl'!K71</f>
        <v>3.9369618319612415E-2</v>
      </c>
      <c r="L6" s="201">
        <f>'SER_se-appl'!L71</f>
        <v>4.0331236426458292E-2</v>
      </c>
      <c r="M6" s="201">
        <f>'SER_se-appl'!M71</f>
        <v>4.0743417384566695E-2</v>
      </c>
      <c r="N6" s="201">
        <f>'SER_se-appl'!N71</f>
        <v>4.1193296440194795E-2</v>
      </c>
      <c r="O6" s="201">
        <f>'SER_se-appl'!O71</f>
        <v>4.1896246478160926E-2</v>
      </c>
      <c r="P6" s="201">
        <f>'SER_se-appl'!P71</f>
        <v>4.2665475250231531E-2</v>
      </c>
      <c r="Q6" s="201">
        <f>'SER_se-appl'!Q71</f>
        <v>4.3095834960760096E-2</v>
      </c>
      <c r="R6" s="201">
        <f>'SER_se-appl'!R71</f>
        <v>4.312460485090959E-2</v>
      </c>
      <c r="S6" s="201">
        <f>'SER_se-appl'!S71</f>
        <v>4.3651017287650959E-2</v>
      </c>
      <c r="T6" s="201">
        <f>'SER_se-appl'!T71</f>
        <v>4.4234561158770488E-2</v>
      </c>
      <c r="U6" s="201">
        <f>'SER_se-appl'!U71</f>
        <v>4.4811085784354672E-2</v>
      </c>
      <c r="V6" s="201">
        <f>'SER_se-appl'!V71</f>
        <v>4.5287311728840769E-2</v>
      </c>
      <c r="W6" s="201">
        <f>'SER_se-appl'!W71</f>
        <v>4.5633603412566157E-2</v>
      </c>
      <c r="X6" s="201">
        <f>'SER_se-appl'!X71</f>
        <v>4.5877581911703068E-2</v>
      </c>
      <c r="Y6" s="201">
        <f>'SER_se-appl'!Y71</f>
        <v>4.604914257836687E-2</v>
      </c>
      <c r="DA6" s="206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"&amp;MID('SER_se-appl'!A23,FIND("(",'SER_se-appl'!A23),100)</f>
        <v>Stock of appliances (thousand units)</v>
      </c>
      <c r="B8" s="34">
        <f>'SER_se-appl'!B23</f>
        <v>121.58691303459807</v>
      </c>
      <c r="C8" s="34">
        <f>'SER_se-appl'!C23</f>
        <v>135.66146065189051</v>
      </c>
      <c r="D8" s="34">
        <f>'SER_se-appl'!D23</f>
        <v>149.07663634516092</v>
      </c>
      <c r="E8" s="34">
        <f>'SER_se-appl'!E23</f>
        <v>164.07323730744716</v>
      </c>
      <c r="F8" s="34">
        <f>'SER_se-appl'!F23</f>
        <v>176.61100535542104</v>
      </c>
      <c r="G8" s="34">
        <f>'SER_se-appl'!G23</f>
        <v>187.47166007486317</v>
      </c>
      <c r="H8" s="34">
        <f>'SER_se-appl'!H23</f>
        <v>192.60397655677679</v>
      </c>
      <c r="I8" s="34">
        <f>'SER_se-appl'!I23</f>
        <v>198.73755189837547</v>
      </c>
      <c r="J8" s="34">
        <f>'SER_se-appl'!J23</f>
        <v>204.23119897953839</v>
      </c>
      <c r="K8" s="34">
        <f>'SER_se-appl'!K23</f>
        <v>209.6949492304081</v>
      </c>
      <c r="L8" s="34">
        <f>'SER_se-appl'!L23</f>
        <v>215.82966755593242</v>
      </c>
      <c r="M8" s="34">
        <f>'SER_se-appl'!M23</f>
        <v>219.00711362524413</v>
      </c>
      <c r="N8" s="34">
        <f>'SER_se-appl'!N23</f>
        <v>222.49599268364162</v>
      </c>
      <c r="O8" s="34">
        <f>'SER_se-appl'!O23</f>
        <v>227.35727146062746</v>
      </c>
      <c r="P8" s="34">
        <f>'SER_se-appl'!P23</f>
        <v>232.58102526732964</v>
      </c>
      <c r="Q8" s="34">
        <f>'SER_se-appl'!Q23</f>
        <v>235.80976423404391</v>
      </c>
      <c r="R8" s="34">
        <f>'SER_se-appl'!R23</f>
        <v>236.63798919523501</v>
      </c>
      <c r="S8" s="34">
        <f>'SER_se-appl'!S23</f>
        <v>240.22451248607766</v>
      </c>
      <c r="T8" s="34">
        <f>'SER_se-appl'!T23</f>
        <v>243.87088616125237</v>
      </c>
      <c r="U8" s="34">
        <f>'SER_se-appl'!U23</f>
        <v>247.26394166012054</v>
      </c>
      <c r="V8" s="34">
        <f>'SER_se-appl'!V23</f>
        <v>250.22562119687009</v>
      </c>
      <c r="W8" s="34">
        <f>'SER_se-appl'!W23</f>
        <v>252.52691512923471</v>
      </c>
      <c r="X8" s="34">
        <f>'SER_se-appl'!X23</f>
        <v>254.53988094336935</v>
      </c>
      <c r="Y8" s="34">
        <f>'SER_se-appl'!Y23</f>
        <v>256.21604783175593</v>
      </c>
      <c r="DA8" s="88" t="s">
        <v>925</v>
      </c>
    </row>
    <row r="9" spans="1:105" ht="12.95" customHeight="1" x14ac:dyDescent="0.25">
      <c r="A9" s="202" t="str">
        <f>"Number of new appliances "&amp;MID('SER_se-appl'!A31,FIND("(",'SER_se-appl'!A31),100)</f>
        <v>Number of new appliances (thousand units)</v>
      </c>
      <c r="B9" s="36"/>
      <c r="C9" s="36">
        <f>'SER_se-appl'!C31</f>
        <v>25.124743482774875</v>
      </c>
      <c r="D9" s="36">
        <f>'SER_se-appl'!D31</f>
        <v>24.698134930890575</v>
      </c>
      <c r="E9" s="36">
        <f>'SER_se-appl'!E31</f>
        <v>26.517226542821135</v>
      </c>
      <c r="F9" s="36">
        <f>'SER_se-appl'!F31</f>
        <v>24.301066219285019</v>
      </c>
      <c r="G9" s="36">
        <f>'SER_se-appl'!G31</f>
        <v>22.871737181923038</v>
      </c>
      <c r="H9" s="36">
        <f>'SER_se-appl'!H31</f>
        <v>17.396402609761594</v>
      </c>
      <c r="I9" s="36">
        <f>'SER_se-appl'!I31</f>
        <v>18.655994450875738</v>
      </c>
      <c r="J9" s="36">
        <f>'SER_se-appl'!J31</f>
        <v>18.279840745631532</v>
      </c>
      <c r="K9" s="36">
        <f>'SER_se-appl'!K31</f>
        <v>18.519274666609817</v>
      </c>
      <c r="L9" s="36">
        <f>'SER_se-appl'!L31</f>
        <v>19.465246725359066</v>
      </c>
      <c r="M9" s="36">
        <f>'SER_se-appl'!M31</f>
        <v>28.302189552086588</v>
      </c>
      <c r="N9" s="36">
        <f>'SER_se-appl'!N31</f>
        <v>28.187013989288062</v>
      </c>
      <c r="O9" s="36">
        <f>'SER_se-appl'!O31</f>
        <v>31.378505319806976</v>
      </c>
      <c r="P9" s="36">
        <f>'SER_se-appl'!P31</f>
        <v>29.524820025987196</v>
      </c>
      <c r="Q9" s="36">
        <f>'SER_se-appl'!Q31</f>
        <v>26.100476148637313</v>
      </c>
      <c r="R9" s="36">
        <f>'SER_se-appl'!R31</f>
        <v>18.224627570952691</v>
      </c>
      <c r="S9" s="36">
        <f>'SER_se-appl'!S31</f>
        <v>22.242517741718387</v>
      </c>
      <c r="T9" s="36">
        <f>'SER_se-appl'!T31</f>
        <v>21.926214420806247</v>
      </c>
      <c r="U9" s="36">
        <f>'SER_se-appl'!U31</f>
        <v>21.912330165477982</v>
      </c>
      <c r="V9" s="36">
        <f>'SER_se-appl'!V31</f>
        <v>22.426926262108623</v>
      </c>
      <c r="W9" s="36">
        <f>'SER_se-appl'!W31</f>
        <v>30.603483484451203</v>
      </c>
      <c r="X9" s="36">
        <f>'SER_se-appl'!X31</f>
        <v>30.199979803422707</v>
      </c>
      <c r="Y9" s="36">
        <f>'SER_se-appl'!Y31</f>
        <v>33.054672208193551</v>
      </c>
      <c r="DA9" s="89" t="s">
        <v>931</v>
      </c>
    </row>
    <row r="10" spans="1:105" ht="12" customHeight="1" x14ac:dyDescent="0.25">
      <c r="A10" s="203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11.050195865482436</v>
      </c>
      <c r="D10" s="38">
        <f>'SER_se-appl'!D39</f>
        <v>11.282959237620162</v>
      </c>
      <c r="E10" s="38">
        <f>'SER_se-appl'!E39</f>
        <v>11.520625580534897</v>
      </c>
      <c r="F10" s="38">
        <f>'SER_se-appl'!F39</f>
        <v>11.763298171311135</v>
      </c>
      <c r="G10" s="38">
        <f>'SER_se-appl'!G39</f>
        <v>12.011082462480914</v>
      </c>
      <c r="H10" s="38">
        <f>'SER_se-appl'!H39</f>
        <v>12.264086127847975</v>
      </c>
      <c r="I10" s="38">
        <f>'SER_se-appl'!I39</f>
        <v>12.522419109277052</v>
      </c>
      <c r="J10" s="38">
        <f>'SER_se-appl'!J39</f>
        <v>12.786193664468612</v>
      </c>
      <c r="K10" s="38">
        <f>'SER_se-appl'!K39</f>
        <v>13.055524415740109</v>
      </c>
      <c r="L10" s="38">
        <f>'SER_se-appl'!L39</f>
        <v>13.330528399834748</v>
      </c>
      <c r="M10" s="38">
        <f>'SER_se-appl'!M39</f>
        <v>25.124743482774875</v>
      </c>
      <c r="N10" s="38">
        <f>'SER_se-appl'!N39</f>
        <v>24.698134930890575</v>
      </c>
      <c r="O10" s="38">
        <f>'SER_se-appl'!O39</f>
        <v>26.517226542821135</v>
      </c>
      <c r="P10" s="38">
        <f>'SER_se-appl'!P39</f>
        <v>24.301066219284991</v>
      </c>
      <c r="Q10" s="38">
        <f>'SER_se-appl'!Q39</f>
        <v>22.871737181923066</v>
      </c>
      <c r="R10" s="38">
        <f>'SER_se-appl'!R39</f>
        <v>17.396402609761594</v>
      </c>
      <c r="S10" s="38">
        <f>'SER_se-appl'!S39</f>
        <v>18.655994450875738</v>
      </c>
      <c r="T10" s="38">
        <f>'SER_se-appl'!T39</f>
        <v>18.279840745631532</v>
      </c>
      <c r="U10" s="38">
        <f>'SER_se-appl'!U39</f>
        <v>18.519274666609789</v>
      </c>
      <c r="V10" s="38">
        <f>'SER_se-appl'!V39</f>
        <v>19.465246725359037</v>
      </c>
      <c r="W10" s="38">
        <f>'SER_se-appl'!W39</f>
        <v>28.30218955208656</v>
      </c>
      <c r="X10" s="38">
        <f>'SER_se-appl'!X39</f>
        <v>28.187013989288033</v>
      </c>
      <c r="Y10" s="38">
        <f>'SER_se-appl'!Y39</f>
        <v>31.378505319806948</v>
      </c>
      <c r="DA10" s="90" t="s">
        <v>937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'SER_se-appl'!B47</f>
        <v>8759.9999999999964</v>
      </c>
      <c r="C12" s="204">
        <f>'SER_se-appl'!C47</f>
        <v>8760.0000000000036</v>
      </c>
      <c r="D12" s="204">
        <f>'SER_se-appl'!D47</f>
        <v>8760</v>
      </c>
      <c r="E12" s="204">
        <f>'SER_se-appl'!E47</f>
        <v>8760</v>
      </c>
      <c r="F12" s="204">
        <f>'SER_se-appl'!F47</f>
        <v>8759.9999999999982</v>
      </c>
      <c r="G12" s="204">
        <f>'SER_se-appl'!G47</f>
        <v>8759.9999999999982</v>
      </c>
      <c r="H12" s="204">
        <f>'SER_se-appl'!H47</f>
        <v>8759.9999999999982</v>
      </c>
      <c r="I12" s="204">
        <f>'SER_se-appl'!I47</f>
        <v>8759.9999999999982</v>
      </c>
      <c r="J12" s="204">
        <f>'SER_se-appl'!J47</f>
        <v>8759.9999999999982</v>
      </c>
      <c r="K12" s="204">
        <f>'SER_se-appl'!K47</f>
        <v>8760</v>
      </c>
      <c r="L12" s="204">
        <f>'SER_se-appl'!L47</f>
        <v>8759.9999999999982</v>
      </c>
      <c r="M12" s="204">
        <f>'SER_se-appl'!M47</f>
        <v>8759.9999999999964</v>
      </c>
      <c r="N12" s="204">
        <f>'SER_se-appl'!N47</f>
        <v>8760.0000000000018</v>
      </c>
      <c r="O12" s="204">
        <f>'SER_se-appl'!O47</f>
        <v>8759.9999999999982</v>
      </c>
      <c r="P12" s="204">
        <f>'SER_se-appl'!P47</f>
        <v>8759.9999999999964</v>
      </c>
      <c r="Q12" s="204">
        <f>'SER_se-appl'!Q47</f>
        <v>8759.9999999999982</v>
      </c>
      <c r="R12" s="204">
        <f>'SER_se-appl'!R47</f>
        <v>8760.0000000000018</v>
      </c>
      <c r="S12" s="204">
        <f>'SER_se-appl'!S47</f>
        <v>8760</v>
      </c>
      <c r="T12" s="204">
        <f>'SER_se-appl'!T47</f>
        <v>8760</v>
      </c>
      <c r="U12" s="204">
        <f>'SER_se-appl'!U47</f>
        <v>8760</v>
      </c>
      <c r="V12" s="204">
        <f>'SER_se-appl'!V47</f>
        <v>8760.0000000000018</v>
      </c>
      <c r="W12" s="204">
        <f>'SER_se-appl'!W47</f>
        <v>8760</v>
      </c>
      <c r="X12" s="204">
        <f>'SER_se-appl'!X47</f>
        <v>8760</v>
      </c>
      <c r="Y12" s="204">
        <f>'SER_se-appl'!Y47</f>
        <v>8760</v>
      </c>
      <c r="DA12" s="208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655.88765864490131</v>
      </c>
      <c r="C14" s="59">
        <f>'SER_se-appl'!C55</f>
        <v>644.84065308314996</v>
      </c>
      <c r="D14" s="59">
        <f>'SER_se-appl'!D55</f>
        <v>632.74791076492204</v>
      </c>
      <c r="E14" s="59">
        <f>'SER_se-appl'!E55</f>
        <v>620.56783692977717</v>
      </c>
      <c r="F14" s="59">
        <f>'SER_se-appl'!F55</f>
        <v>609.3988517024959</v>
      </c>
      <c r="G14" s="59">
        <f>'SER_se-appl'!G55</f>
        <v>598.84339981563039</v>
      </c>
      <c r="H14" s="59">
        <f>'SER_se-appl'!H55</f>
        <v>589.83079281370419</v>
      </c>
      <c r="I14" s="59">
        <f>'SER_se-appl'!I55</f>
        <v>579.87502619351756</v>
      </c>
      <c r="J14" s="59">
        <f>'SER_se-appl'!J55</f>
        <v>569.47963232181746</v>
      </c>
      <c r="K14" s="59">
        <f>'SER_se-appl'!K55</f>
        <v>558.48288992472385</v>
      </c>
      <c r="L14" s="59">
        <f>'SER_se-appl'!L55</f>
        <v>546.74395024598346</v>
      </c>
      <c r="M14" s="59">
        <f>'SER_se-appl'!M55</f>
        <v>532.40267338961849</v>
      </c>
      <c r="N14" s="59">
        <f>'SER_se-appl'!N55</f>
        <v>519.57211045509064</v>
      </c>
      <c r="O14" s="59">
        <f>'SER_se-appl'!O55</f>
        <v>505.48681381789373</v>
      </c>
      <c r="P14" s="59">
        <f>'SER_se-appl'!P55</f>
        <v>492.34039793216124</v>
      </c>
      <c r="Q14" s="59">
        <f>'SER_se-appl'!Q55</f>
        <v>480.78178203594666</v>
      </c>
      <c r="R14" s="59">
        <f>'SER_se-appl'!R55</f>
        <v>472.53192309241456</v>
      </c>
      <c r="S14" s="59">
        <f>'SER_se-appl'!S55</f>
        <v>463.47378583369954</v>
      </c>
      <c r="T14" s="59">
        <f>'SER_se-appl'!T55</f>
        <v>454.97576747659434</v>
      </c>
      <c r="U14" s="59">
        <f>'SER_se-appl'!U55</f>
        <v>446.8352080592465</v>
      </c>
      <c r="V14" s="59">
        <f>'SER_se-appl'!V55</f>
        <v>438.78558667699536</v>
      </c>
      <c r="W14" s="59">
        <f>'SER_se-appl'!W55</f>
        <v>428.39296322845894</v>
      </c>
      <c r="X14" s="59">
        <f>'SER_se-appl'!X55</f>
        <v>418.375503200803</v>
      </c>
      <c r="Y14" s="59">
        <f>'SER_se-appl'!Y55</f>
        <v>407.92079140271159</v>
      </c>
      <c r="DA14" s="104" t="s">
        <v>949</v>
      </c>
    </row>
    <row r="15" spans="1:105" ht="12" customHeight="1" x14ac:dyDescent="0.25">
      <c r="A15" s="203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596.23917262695647</v>
      </c>
      <c r="D15" s="63">
        <f>'SER_se-appl'!D63</f>
        <v>576.89615281076919</v>
      </c>
      <c r="E15" s="63">
        <f>'SER_se-appl'!E63</f>
        <v>567.43792177998455</v>
      </c>
      <c r="F15" s="63">
        <f>'SER_se-appl'!F63</f>
        <v>556.49294813490826</v>
      </c>
      <c r="G15" s="63">
        <f>'SER_se-appl'!G63</f>
        <v>547.29306660165412</v>
      </c>
      <c r="H15" s="63">
        <f>'SER_se-appl'!H63</f>
        <v>539.27543811810608</v>
      </c>
      <c r="I15" s="63">
        <f>'SER_se-appl'!I63</f>
        <v>528.11374366814857</v>
      </c>
      <c r="J15" s="63">
        <f>'SER_se-appl'!J63</f>
        <v>516.90119995340137</v>
      </c>
      <c r="K15" s="63">
        <f>'SER_se-appl'!K63</f>
        <v>505.87783028120327</v>
      </c>
      <c r="L15" s="63">
        <f>'SER_se-appl'!L63</f>
        <v>495.02854844910973</v>
      </c>
      <c r="M15" s="63">
        <f>'SER_se-appl'!M63</f>
        <v>479.70719746837824</v>
      </c>
      <c r="N15" s="63">
        <f>'SER_se-appl'!N63</f>
        <v>470.11005597414436</v>
      </c>
      <c r="O15" s="63">
        <f>'SER_se-appl'!O63</f>
        <v>457.96541412311922</v>
      </c>
      <c r="P15" s="63">
        <f>'SER_se-appl'!P63</f>
        <v>443.90799856799242</v>
      </c>
      <c r="Q15" s="63">
        <f>'SER_se-appl'!Q63</f>
        <v>436.0666546586703</v>
      </c>
      <c r="R15" s="63">
        <f>'SER_se-appl'!R63</f>
        <v>429.49673730289095</v>
      </c>
      <c r="S15" s="63">
        <f>'SER_se-appl'!S63</f>
        <v>421.32133245680899</v>
      </c>
      <c r="T15" s="63">
        <f>'SER_se-appl'!T63</f>
        <v>413.49823488939376</v>
      </c>
      <c r="U15" s="63">
        <f>'SER_se-appl'!U63</f>
        <v>406.13579844571814</v>
      </c>
      <c r="V15" s="63">
        <f>'SER_se-appl'!V63</f>
        <v>398.8515371366891</v>
      </c>
      <c r="W15" s="63">
        <f>'SER_se-appl'!W63</f>
        <v>390.8745063939553</v>
      </c>
      <c r="X15" s="63">
        <f>'SER_se-appl'!X63</f>
        <v>382.8974756512215</v>
      </c>
      <c r="Y15" s="63">
        <f>'SER_se-appl'!Y63</f>
        <v>374.92044490848775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'SER_se-appl'!B8</f>
        <v>37.96550463274091</v>
      </c>
      <c r="C3" s="198">
        <f>'SER_se-appl'!C8</f>
        <v>40.081068056446171</v>
      </c>
      <c r="D3" s="198">
        <f>'SER_se-appl'!D8</f>
        <v>42.733915847830332</v>
      </c>
      <c r="E3" s="198">
        <f>'SER_se-appl'!E8</f>
        <v>46.142745647413456</v>
      </c>
      <c r="F3" s="198">
        <f>'SER_se-appl'!F8</f>
        <v>50.301223697234143</v>
      </c>
      <c r="G3" s="198">
        <f>'SER_se-appl'!G8</f>
        <v>55.053538051131994</v>
      </c>
      <c r="H3" s="198">
        <f>'SER_se-appl'!H8</f>
        <v>60.624059439632696</v>
      </c>
      <c r="I3" s="198">
        <f>'SER_se-appl'!I8</f>
        <v>65.011761188356232</v>
      </c>
      <c r="J3" s="198">
        <f>'SER_se-appl'!J8</f>
        <v>68.002513661378387</v>
      </c>
      <c r="K3" s="198">
        <f>'SER_se-appl'!K8</f>
        <v>69.964520819069051</v>
      </c>
      <c r="L3" s="198">
        <f>'SER_se-appl'!L8</f>
        <v>71.490045170807406</v>
      </c>
      <c r="M3" s="198">
        <f>'SER_se-appl'!M8</f>
        <v>72.307955346163268</v>
      </c>
      <c r="N3" s="198">
        <f>'SER_se-appl'!N8</f>
        <v>72.488442482007443</v>
      </c>
      <c r="O3" s="198">
        <f>'SER_se-appl'!O8</f>
        <v>72.528052225049493</v>
      </c>
      <c r="P3" s="198">
        <f>'SER_se-appl'!P8</f>
        <v>72.341454828519801</v>
      </c>
      <c r="Q3" s="198">
        <f>'SER_se-appl'!Q8</f>
        <v>71.817305677243553</v>
      </c>
      <c r="R3" s="198">
        <f>'SER_se-appl'!R8</f>
        <v>74.2978295647941</v>
      </c>
      <c r="S3" s="198">
        <f>'SER_se-appl'!S8</f>
        <v>76.241646370351802</v>
      </c>
      <c r="T3" s="198">
        <f>'SER_se-appl'!T8</f>
        <v>77.272613903003176</v>
      </c>
      <c r="U3" s="198">
        <f>'SER_se-appl'!U8</f>
        <v>78.229891631736123</v>
      </c>
      <c r="V3" s="198">
        <f>'SER_se-appl'!V8</f>
        <v>73.034356097171738</v>
      </c>
      <c r="W3" s="198">
        <f>'SER_se-appl'!W8</f>
        <v>75.378628474172785</v>
      </c>
      <c r="X3" s="198">
        <f>'SER_se-appl'!X8</f>
        <v>75.97030258623721</v>
      </c>
      <c r="Y3" s="198">
        <f>'SER_se-appl'!Y8</f>
        <v>76.181991688725986</v>
      </c>
      <c r="DA3" s="205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'SER_se-appl'!B16</f>
        <v>535.14438019981787</v>
      </c>
      <c r="C5" s="59">
        <f>'SER_se-appl'!C16</f>
        <v>562.27845624794736</v>
      </c>
      <c r="D5" s="59">
        <f>'SER_se-appl'!D16</f>
        <v>596.89153571202667</v>
      </c>
      <c r="E5" s="59">
        <f>'SER_se-appl'!E16</f>
        <v>641.93056910032738</v>
      </c>
      <c r="F5" s="59">
        <f>'SER_se-appl'!F16</f>
        <v>697.19448147558944</v>
      </c>
      <c r="G5" s="59">
        <f>'SER_se-appl'!G16</f>
        <v>760.43564097392186</v>
      </c>
      <c r="H5" s="59">
        <f>'SER_se-appl'!H16</f>
        <v>834.68153648340547</v>
      </c>
      <c r="I5" s="59">
        <f>'SER_se-appl'!I16</f>
        <v>892.38297778155732</v>
      </c>
      <c r="J5" s="59">
        <f>'SER_se-appl'!J16</f>
        <v>930.77162110369056</v>
      </c>
      <c r="K5" s="59">
        <f>'SER_se-appl'!K16</f>
        <v>955.04091185409459</v>
      </c>
      <c r="L5" s="59">
        <f>'SER_se-appl'!L16</f>
        <v>973.36530921722851</v>
      </c>
      <c r="M5" s="59">
        <f>'SER_se-appl'!M16</f>
        <v>982.90164886271339</v>
      </c>
      <c r="N5" s="59">
        <f>'SER_se-appl'!N16</f>
        <v>983.8282857589744</v>
      </c>
      <c r="O5" s="59">
        <f>'SER_se-appl'!O16</f>
        <v>982.9083975837558</v>
      </c>
      <c r="P5" s="59">
        <f>'SER_se-appl'!P16</f>
        <v>978.98977529077638</v>
      </c>
      <c r="Q5" s="59">
        <f>'SER_se-appl'!Q16</f>
        <v>970.57492407012637</v>
      </c>
      <c r="R5" s="59">
        <f>'SER_se-appl'!R16</f>
        <v>990.53078241596199</v>
      </c>
      <c r="S5" s="59">
        <f>'SER_se-appl'!S16</f>
        <v>1009.871138982855</v>
      </c>
      <c r="T5" s="59">
        <f>'SER_se-appl'!T16</f>
        <v>1023.8168953118065</v>
      </c>
      <c r="U5" s="59">
        <f>'SER_se-appl'!U16</f>
        <v>1040.2527288195847</v>
      </c>
      <c r="V5" s="59">
        <f>'SER_se-appl'!V16</f>
        <v>1048.3215161626358</v>
      </c>
      <c r="W5" s="59">
        <f>'SER_se-appl'!W16</f>
        <v>1044.1219735935467</v>
      </c>
      <c r="X5" s="59">
        <f>'SER_se-appl'!X16</f>
        <v>1039.8152335292611</v>
      </c>
      <c r="Y5" s="59">
        <f>'SER_se-appl'!Y16</f>
        <v>1036.5550703414306</v>
      </c>
      <c r="DA5" s="104" t="s">
        <v>920</v>
      </c>
    </row>
    <row r="6" spans="1:105" ht="12" customHeight="1" x14ac:dyDescent="0.25">
      <c r="A6" s="200" t="str">
        <f>"Penetration factor "&amp;MID('SER_se-appl'!A72,FIND("(",'SER_se-appl'!A72),100)</f>
        <v>Penetration factor (sqm per building cell)</v>
      </c>
      <c r="B6" s="201">
        <f>'SER_se-appl'!B72</f>
        <v>109.44482474579974</v>
      </c>
      <c r="C6" s="201">
        <f>'SER_se-appl'!C72</f>
        <v>114.26450828535086</v>
      </c>
      <c r="D6" s="201">
        <f>'SER_se-appl'!D72</f>
        <v>120.77828591966249</v>
      </c>
      <c r="E6" s="201">
        <f>'SER_se-appl'!E72</f>
        <v>129.70503334209045</v>
      </c>
      <c r="F6" s="201">
        <f>'SER_se-appl'!F72</f>
        <v>139.86477540495704</v>
      </c>
      <c r="G6" s="201">
        <f>'SER_se-appl'!G72</f>
        <v>151.94419442225183</v>
      </c>
      <c r="H6" s="201">
        <f>'SER_se-appl'!H72</f>
        <v>165.48633351467427</v>
      </c>
      <c r="I6" s="201">
        <f>'SER_se-appl'!I72</f>
        <v>175.48679719006486</v>
      </c>
      <c r="J6" s="201">
        <f>'SER_se-appl'!J72</f>
        <v>182.48705580037264</v>
      </c>
      <c r="K6" s="201">
        <f>'SER_se-appl'!K72</f>
        <v>187.49991285433379</v>
      </c>
      <c r="L6" s="201">
        <f>'SER_se-appl'!L72</f>
        <v>191.14623001851083</v>
      </c>
      <c r="M6" s="201">
        <f>'SER_se-appl'!M72</f>
        <v>193.7313733611505</v>
      </c>
      <c r="N6" s="201">
        <f>'SER_se-appl'!N72</f>
        <v>195.35460210250781</v>
      </c>
      <c r="O6" s="201">
        <f>'SER_se-appl'!O72</f>
        <v>197.22563500985518</v>
      </c>
      <c r="P6" s="201">
        <f>'SER_se-appl'!P72</f>
        <v>199.07367578110117</v>
      </c>
      <c r="Q6" s="201">
        <f>'SER_se-appl'!Q72</f>
        <v>200.71414002711998</v>
      </c>
      <c r="R6" s="201">
        <f>'SER_se-appl'!R72</f>
        <v>206.72135190764456</v>
      </c>
      <c r="S6" s="201">
        <f>'SER_se-appl'!S72</f>
        <v>212.64458063108049</v>
      </c>
      <c r="T6" s="201">
        <f>'SER_se-appl'!T72</f>
        <v>218.01646405720936</v>
      </c>
      <c r="U6" s="201">
        <f>'SER_se-appl'!U72</f>
        <v>225.01645357282922</v>
      </c>
      <c r="V6" s="201">
        <f>'SER_se-appl'!V72</f>
        <v>230.83365791543989</v>
      </c>
      <c r="W6" s="201">
        <f>'SER_se-appl'!W72</f>
        <v>234.61530442156467</v>
      </c>
      <c r="X6" s="201">
        <f>'SER_se-appl'!X72</f>
        <v>237.68517934618006</v>
      </c>
      <c r="Y6" s="201">
        <f>'SER_se-appl'!Y72</f>
        <v>240.16997543659613</v>
      </c>
      <c r="DA6" s="206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"&amp;MID('SER_se-appl'!A24,FIND("(",'SER_se-appl'!A24),100)</f>
        <v>Stock of appliances (serviced million m2)</v>
      </c>
      <c r="B8" s="34">
        <f>'SER_se-appl'!B24</f>
        <v>11.210455391304519</v>
      </c>
      <c r="C8" s="34">
        <f>'SER_se-appl'!C24</f>
        <v>11.835368477433509</v>
      </c>
      <c r="D8" s="34">
        <f>'SER_se-appl'!D24</f>
        <v>12.637153113033783</v>
      </c>
      <c r="E8" s="34">
        <f>'SER_se-appl'!E24</f>
        <v>13.685094999816512</v>
      </c>
      <c r="F8" s="34">
        <f>'SER_se-appl'!F24</f>
        <v>14.980905204274068</v>
      </c>
      <c r="G8" s="34">
        <f>'SER_se-appl'!G24</f>
        <v>16.479744518296908</v>
      </c>
      <c r="H8" s="34">
        <f>'SER_se-appl'!H24</f>
        <v>18.265235496838205</v>
      </c>
      <c r="I8" s="34">
        <f>'SER_se-appl'!I24</f>
        <v>19.700502425808885</v>
      </c>
      <c r="J8" s="34">
        <f>'SER_se-appl'!J24</f>
        <v>20.713155176487483</v>
      </c>
      <c r="K8" s="34">
        <f>'SER_se-appl'!K24</f>
        <v>21.420733910061813</v>
      </c>
      <c r="L8" s="34">
        <f>'SER_se-appl'!L24</f>
        <v>22.017775717001712</v>
      </c>
      <c r="M8" s="34">
        <f>'SER_se-appl'!M24</f>
        <v>22.445967044142531</v>
      </c>
      <c r="N8" s="34">
        <f>'SER_se-appl'!N24</f>
        <v>22.712454358687729</v>
      </c>
      <c r="O8" s="34">
        <f>'SER_se-appl'!O24</f>
        <v>22.999247761281509</v>
      </c>
      <c r="P8" s="34">
        <f>'SER_se-appl'!P24</f>
        <v>23.287921087854009</v>
      </c>
      <c r="Q8" s="34">
        <f>'SER_se-appl'!Q24</f>
        <v>23.560841535728805</v>
      </c>
      <c r="R8" s="34">
        <f>'SER_se-appl'!R24</f>
        <v>24.416398408984442</v>
      </c>
      <c r="S8" s="34">
        <f>'SER_se-appl'!S24</f>
        <v>25.339002371174697</v>
      </c>
      <c r="T8" s="34">
        <f>'SER_se-appl'!T24</f>
        <v>26.212814491521009</v>
      </c>
      <c r="U8" s="34">
        <f>'SER_se-appl'!U24</f>
        <v>27.275784381665332</v>
      </c>
      <c r="V8" s="34">
        <f>'SER_se-appl'!V24</f>
        <v>28.187354449896493</v>
      </c>
      <c r="W8" s="34">
        <f>'SER_se-appl'!W24</f>
        <v>28.828721188460765</v>
      </c>
      <c r="X8" s="34">
        <f>'SER_se-appl'!X24</f>
        <v>29.36029275609263</v>
      </c>
      <c r="Y8" s="34">
        <f>'SER_se-appl'!Y24</f>
        <v>29.798748215772115</v>
      </c>
      <c r="DA8" s="88" t="s">
        <v>926</v>
      </c>
    </row>
    <row r="9" spans="1:105" ht="12.95" customHeight="1" x14ac:dyDescent="0.25">
      <c r="A9" s="202" t="str">
        <f>"Number of new appliances "&amp;MID('SER_se-appl'!A32,FIND("(",'SER_se-appl'!A32),100)</f>
        <v>Number of new appliances (serviced million m2)</v>
      </c>
      <c r="B9" s="36"/>
      <c r="C9" s="36">
        <f>'SER_se-appl'!C32</f>
        <v>0.94421437224066374</v>
      </c>
      <c r="D9" s="36">
        <f>'SER_se-appl'!D32</f>
        <v>1.1570173667576018</v>
      </c>
      <c r="E9" s="36">
        <f>'SER_se-appl'!E32</f>
        <v>1.4431494815349772</v>
      </c>
      <c r="F9" s="36">
        <f>'SER_se-appl'!F32</f>
        <v>1.7354910932118166</v>
      </c>
      <c r="G9" s="36">
        <f>'SER_se-appl'!G32</f>
        <v>1.9879981422000323</v>
      </c>
      <c r="H9" s="36">
        <f>'SER_se-appl'!H32</f>
        <v>2.3296955716988972</v>
      </c>
      <c r="I9" s="36">
        <f>'SER_se-appl'!I32</f>
        <v>2.0407116682947937</v>
      </c>
      <c r="J9" s="36">
        <f>'SER_se-appl'!J32</f>
        <v>1.6862290802137068</v>
      </c>
      <c r="K9" s="36">
        <f>'SER_se-appl'!K32</f>
        <v>1.4569536017356768</v>
      </c>
      <c r="L9" s="36">
        <f>'SER_se-appl'!L32</f>
        <v>1.4307449351650519</v>
      </c>
      <c r="M9" s="36">
        <f>'SER_se-appl'!M32</f>
        <v>1.3557122990114081</v>
      </c>
      <c r="N9" s="36">
        <f>'SER_se-appl'!N32</f>
        <v>1.2983835904908325</v>
      </c>
      <c r="O9" s="36">
        <f>'SER_se-appl'!O32</f>
        <v>1.4348104896500438</v>
      </c>
      <c r="P9" s="36">
        <f>'SER_se-appl'!P32</f>
        <v>1.5658784710191966</v>
      </c>
      <c r="Q9" s="36">
        <f>'SER_se-appl'!Q32</f>
        <v>1.6938513725041062</v>
      </c>
      <c r="R9" s="36">
        <f>'SER_se-appl'!R32</f>
        <v>1.7997712454963022</v>
      </c>
      <c r="S9" s="36">
        <f>'SER_se-appl'!S32</f>
        <v>2.0796213289478551</v>
      </c>
      <c r="T9" s="36">
        <f>'SER_se-appl'!T32</f>
        <v>2.3169616018812889</v>
      </c>
      <c r="U9" s="36">
        <f>'SER_se-appl'!U32</f>
        <v>2.79846098335614</v>
      </c>
      <c r="V9" s="36">
        <f>'SER_se-appl'!V32</f>
        <v>2.8995682104311946</v>
      </c>
      <c r="W9" s="36">
        <f>'SER_se-appl'!W32</f>
        <v>2.9710623102631679</v>
      </c>
      <c r="X9" s="36">
        <f>'SER_se-appl'!X32</f>
        <v>2.5722832359266583</v>
      </c>
      <c r="Y9" s="36">
        <f>'SER_se-appl'!Y32</f>
        <v>2.1246845398931917</v>
      </c>
      <c r="DA9" s="89" t="s">
        <v>932</v>
      </c>
    </row>
    <row r="10" spans="1:105" ht="12" customHeight="1" x14ac:dyDescent="0.25">
      <c r="A10" s="203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0.31930128611167419</v>
      </c>
      <c r="D10" s="38">
        <f>'SER_se-appl'!D40</f>
        <v>0.35523273115732756</v>
      </c>
      <c r="E10" s="38">
        <f>'SER_se-appl'!E40</f>
        <v>0.39520759475224843</v>
      </c>
      <c r="F10" s="38">
        <f>'SER_se-appl'!F40</f>
        <v>0.43968088875426048</v>
      </c>
      <c r="G10" s="38">
        <f>'SER_se-appl'!G40</f>
        <v>0.48915882817719236</v>
      </c>
      <c r="H10" s="38">
        <f>'SER_se-appl'!H40</f>
        <v>0.54420459315759828</v>
      </c>
      <c r="I10" s="38">
        <f>'SER_se-appl'!I40</f>
        <v>0.60544473932411336</v>
      </c>
      <c r="J10" s="38">
        <f>'SER_se-appl'!J40</f>
        <v>0.67357632953510915</v>
      </c>
      <c r="K10" s="38">
        <f>'SER_se-appl'!K40</f>
        <v>0.7493748681613468</v>
      </c>
      <c r="L10" s="38">
        <f>'SER_se-appl'!L40</f>
        <v>0.83370312822515302</v>
      </c>
      <c r="M10" s="38">
        <f>'SER_se-appl'!M40</f>
        <v>0.9275209718705888</v>
      </c>
      <c r="N10" s="38">
        <f>'SER_se-appl'!N40</f>
        <v>1.031896275945634</v>
      </c>
      <c r="O10" s="38">
        <f>'SER_se-appl'!O40</f>
        <v>1.1480170870562638</v>
      </c>
      <c r="P10" s="38">
        <f>'SER_se-appl'!P40</f>
        <v>1.2772051444466967</v>
      </c>
      <c r="Q10" s="38">
        <f>'SER_se-appl'!Q40</f>
        <v>1.4209309246293103</v>
      </c>
      <c r="R10" s="38">
        <f>'SER_se-appl'!R40</f>
        <v>0.94421437224066551</v>
      </c>
      <c r="S10" s="38">
        <f>'SER_se-appl'!S40</f>
        <v>1.1570173667576</v>
      </c>
      <c r="T10" s="38">
        <f>'SER_se-appl'!T40</f>
        <v>1.4431494815349772</v>
      </c>
      <c r="U10" s="38">
        <f>'SER_se-appl'!U40</f>
        <v>1.7354910932118166</v>
      </c>
      <c r="V10" s="38">
        <f>'SER_se-appl'!V40</f>
        <v>1.9879981422000341</v>
      </c>
      <c r="W10" s="38">
        <f>'SER_se-appl'!W40</f>
        <v>2.3296955716988954</v>
      </c>
      <c r="X10" s="38">
        <f>'SER_se-appl'!X40</f>
        <v>2.0407116682947937</v>
      </c>
      <c r="Y10" s="38">
        <f>'SER_se-appl'!Y40</f>
        <v>1.6862290802137068</v>
      </c>
      <c r="DA10" s="90" t="s">
        <v>938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'SER_se-appl'!B48</f>
        <v>825.08353860300349</v>
      </c>
      <c r="C12" s="204">
        <f>'SER_se-appl'!C48</f>
        <v>829.02486537900438</v>
      </c>
      <c r="D12" s="204">
        <f>'SER_se-appl'!D48</f>
        <v>832.63945218691242</v>
      </c>
      <c r="E12" s="204">
        <f>'SER_se-appl'!E48</f>
        <v>835.97846513451668</v>
      </c>
      <c r="F12" s="204">
        <f>'SER_se-appl'!F48</f>
        <v>839.08184465357908</v>
      </c>
      <c r="G12" s="204">
        <f>'SER_se-appl'!G48</f>
        <v>841.9813762472271</v>
      </c>
      <c r="H12" s="204">
        <f>'SER_se-appl'!H48</f>
        <v>844.70277640668246</v>
      </c>
      <c r="I12" s="204">
        <f>'SER_se-appl'!I48</f>
        <v>847.26715036653502</v>
      </c>
      <c r="J12" s="204">
        <f>'SER_se-appl'!J48</f>
        <v>849.69203610229715</v>
      </c>
      <c r="K12" s="204">
        <f>'SER_se-appl'!K48</f>
        <v>851.99216811151985</v>
      </c>
      <c r="L12" s="204">
        <f>'SER_se-appl'!L48</f>
        <v>854.18004675461259</v>
      </c>
      <c r="M12" s="204">
        <f>'SER_se-appl'!M48</f>
        <v>855.57036316798087</v>
      </c>
      <c r="N12" s="204">
        <f>'SER_se-appl'!N48</f>
        <v>856.89809722779307</v>
      </c>
      <c r="O12" s="204">
        <f>'SER_se-appl'!O48</f>
        <v>858.16872604901005</v>
      </c>
      <c r="P12" s="204">
        <f>'SER_se-appl'!P48</f>
        <v>859.38703435977743</v>
      </c>
      <c r="Q12" s="204">
        <f>'SER_se-appl'!Q48</f>
        <v>860.55722676593155</v>
      </c>
      <c r="R12" s="204">
        <f>'SER_se-appl'!R48</f>
        <v>872.34417463635509</v>
      </c>
      <c r="S12" s="204">
        <f>'SER_se-appl'!S48</f>
        <v>878.02325768044864</v>
      </c>
      <c r="T12" s="204">
        <f>'SER_se-appl'!T48</f>
        <v>877.7746331469076</v>
      </c>
      <c r="U12" s="204">
        <f>'SER_se-appl'!U48</f>
        <v>874.60827015516907</v>
      </c>
      <c r="V12" s="204">
        <f>'SER_se-appl'!V48</f>
        <v>810.23764972342099</v>
      </c>
      <c r="W12" s="204">
        <f>'SER_se-appl'!W48</f>
        <v>839.6082750154734</v>
      </c>
      <c r="X12" s="204">
        <f>'SER_se-appl'!X48</f>
        <v>849.70347672164144</v>
      </c>
      <c r="Y12" s="204">
        <f>'SER_se-appl'!Y48</f>
        <v>854.75107757472551</v>
      </c>
      <c r="DA12" s="208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47.736185687417027</v>
      </c>
      <c r="C14" s="59">
        <f>'SER_se-appl'!C56</f>
        <v>47.508318589323466</v>
      </c>
      <c r="D14" s="59">
        <f>'SER_se-appl'!D56</f>
        <v>47.233069851500105</v>
      </c>
      <c r="E14" s="59">
        <f>'SER_se-appl'!E56</f>
        <v>46.907278985563075</v>
      </c>
      <c r="F14" s="59">
        <f>'SER_se-appl'!F56</f>
        <v>46.538875453045328</v>
      </c>
      <c r="G14" s="59">
        <f>'SER_se-appl'!G56</f>
        <v>46.143654722901537</v>
      </c>
      <c r="H14" s="59">
        <f>'SER_se-appl'!H56</f>
        <v>45.697825063788123</v>
      </c>
      <c r="I14" s="59">
        <f>'SER_se-appl'!I56</f>
        <v>45.297473053909528</v>
      </c>
      <c r="J14" s="59">
        <f>'SER_se-appl'!J56</f>
        <v>44.936254914956415</v>
      </c>
      <c r="K14" s="59">
        <f>'SER_se-appl'!K56</f>
        <v>44.584882845936939</v>
      </c>
      <c r="L14" s="59">
        <f>'SER_se-appl'!L56</f>
        <v>44.208158068646966</v>
      </c>
      <c r="M14" s="59">
        <f>'SER_se-appl'!M56</f>
        <v>43.789677091199778</v>
      </c>
      <c r="N14" s="59">
        <f>'SER_se-appl'!N56</f>
        <v>43.316687409551172</v>
      </c>
      <c r="O14" s="59">
        <f>'SER_se-appl'!O56</f>
        <v>42.736545463823838</v>
      </c>
      <c r="P14" s="59">
        <f>'SER_se-appl'!P56</f>
        <v>42.038521669560957</v>
      </c>
      <c r="Q14" s="59">
        <f>'SER_se-appl'!Q56</f>
        <v>41.194408213233785</v>
      </c>
      <c r="R14" s="59">
        <f>'SER_se-appl'!R56</f>
        <v>40.56825932408929</v>
      </c>
      <c r="S14" s="59">
        <f>'SER_se-appl'!S56</f>
        <v>39.854415899643726</v>
      </c>
      <c r="T14" s="59">
        <f>'SER_se-appl'!T56</f>
        <v>39.057877422623882</v>
      </c>
      <c r="U14" s="59">
        <f>'SER_se-appl'!U56</f>
        <v>38.138324979531596</v>
      </c>
      <c r="V14" s="59">
        <f>'SER_se-appl'!V56</f>
        <v>37.191199267247491</v>
      </c>
      <c r="W14" s="59">
        <f>'SER_se-appl'!W56</f>
        <v>36.218116189332605</v>
      </c>
      <c r="X14" s="59">
        <f>'SER_se-appl'!X56</f>
        <v>35.41569704932477</v>
      </c>
      <c r="Y14" s="59">
        <f>'SER_se-appl'!Y56</f>
        <v>34.785188385624686</v>
      </c>
      <c r="DA14" s="104" t="s">
        <v>950</v>
      </c>
    </row>
    <row r="15" spans="1:105" ht="12" customHeight="1" x14ac:dyDescent="0.25">
      <c r="A15" s="203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44.879958172662164</v>
      </c>
      <c r="D15" s="63">
        <f>'SER_se-appl'!D64</f>
        <v>44.571962843888635</v>
      </c>
      <c r="E15" s="63">
        <f>'SER_se-appl'!E64</f>
        <v>44.28143954186956</v>
      </c>
      <c r="F15" s="63">
        <f>'SER_se-appl'!F64</f>
        <v>43.937189434332346</v>
      </c>
      <c r="G15" s="63">
        <f>'SER_se-appl'!G64</f>
        <v>43.557252048038045</v>
      </c>
      <c r="H15" s="63">
        <f>'SER_se-appl'!H64</f>
        <v>43.020276227469921</v>
      </c>
      <c r="I15" s="63">
        <f>'SER_se-appl'!I64</f>
        <v>42.43767757272753</v>
      </c>
      <c r="J15" s="63">
        <f>'SER_se-appl'!J64</f>
        <v>41.834534163371018</v>
      </c>
      <c r="K15" s="63">
        <f>'SER_se-appl'!K64</f>
        <v>41.210364238716956</v>
      </c>
      <c r="L15" s="63">
        <f>'SER_se-appl'!L64</f>
        <v>40.623736119370008</v>
      </c>
      <c r="M15" s="63">
        <f>'SER_se-appl'!M64</f>
        <v>39.69326901210043</v>
      </c>
      <c r="N15" s="63">
        <f>'SER_se-appl'!N64</f>
        <v>38.652236136151551</v>
      </c>
      <c r="O15" s="63">
        <f>'SER_se-appl'!O64</f>
        <v>37.553439324219816</v>
      </c>
      <c r="P15" s="63">
        <f>'SER_se-appl'!P64</f>
        <v>36.433401888538128</v>
      </c>
      <c r="Q15" s="63">
        <f>'SER_se-appl'!Q64</f>
        <v>35.076850431458951</v>
      </c>
      <c r="R15" s="63">
        <f>'SER_se-appl'!R64</f>
        <v>34.633379121930808</v>
      </c>
      <c r="S15" s="63">
        <f>'SER_se-appl'!S64</f>
        <v>34.097982483966227</v>
      </c>
      <c r="T15" s="63">
        <f>'SER_se-appl'!T64</f>
        <v>33.60025163222879</v>
      </c>
      <c r="U15" s="63">
        <f>'SER_se-appl'!U64</f>
        <v>33.121217334487476</v>
      </c>
      <c r="V15" s="63">
        <f>'SER_se-appl'!V64</f>
        <v>32.646420647511619</v>
      </c>
      <c r="W15" s="63">
        <f>'SER_se-appl'!W64</f>
        <v>32.319956441036503</v>
      </c>
      <c r="X15" s="63">
        <f>'SER_se-appl'!X64</f>
        <v>31.993492234561387</v>
      </c>
      <c r="Y15" s="63">
        <f>'SER_se-appl'!Y64</f>
        <v>31.667028028086268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7"/>
  <sheetViews>
    <sheetView showGridLines="0" zoomScaleNormal="100" workbookViewId="0">
      <pane xSplit="1" ySplit="1" topLeftCell="I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'SER_se-appl'!B9</f>
        <v>50.983648614086476</v>
      </c>
      <c r="C3" s="198">
        <f>'SER_se-appl'!C9</f>
        <v>55.122733771560597</v>
      </c>
      <c r="D3" s="198">
        <f>'SER_se-appl'!D9</f>
        <v>58.868949851288406</v>
      </c>
      <c r="E3" s="198">
        <f>'SER_se-appl'!E9</f>
        <v>62.859697970043904</v>
      </c>
      <c r="F3" s="198">
        <f>'SER_se-appl'!F9</f>
        <v>67.76951610201013</v>
      </c>
      <c r="G3" s="198">
        <f>'SER_se-appl'!G9</f>
        <v>74.661592829356579</v>
      </c>
      <c r="H3" s="198">
        <f>'SER_se-appl'!H9</f>
        <v>79.979466581707399</v>
      </c>
      <c r="I3" s="198">
        <f>'SER_se-appl'!I9</f>
        <v>86.152975393792019</v>
      </c>
      <c r="J3" s="198">
        <f>'SER_se-appl'!J9</f>
        <v>89.692889765488459</v>
      </c>
      <c r="K3" s="198">
        <f>'SER_se-appl'!K9</f>
        <v>91.738081888039503</v>
      </c>
      <c r="L3" s="198">
        <f>'SER_se-appl'!L9</f>
        <v>93.165107919134925</v>
      </c>
      <c r="M3" s="198">
        <f>'SER_se-appl'!M9</f>
        <v>92.632098774504826</v>
      </c>
      <c r="N3" s="198">
        <f>'SER_se-appl'!N9</f>
        <v>95.941159851776973</v>
      </c>
      <c r="O3" s="198">
        <f>'SER_se-appl'!O9</f>
        <v>101.62477681046678</v>
      </c>
      <c r="P3" s="198">
        <f>'SER_se-appl'!P9</f>
        <v>107.56114074990523</v>
      </c>
      <c r="Q3" s="198">
        <f>'SER_se-appl'!Q9</f>
        <v>116.37624312054531</v>
      </c>
      <c r="R3" s="198">
        <f>'SER_se-appl'!R9</f>
        <v>119.7645941663913</v>
      </c>
      <c r="S3" s="198">
        <f>'SER_se-appl'!S9</f>
        <v>127.03470283816536</v>
      </c>
      <c r="T3" s="198">
        <f>'SER_se-appl'!T9</f>
        <v>130.97205057223309</v>
      </c>
      <c r="U3" s="198">
        <f>'SER_se-appl'!U9</f>
        <v>136.87942677462976</v>
      </c>
      <c r="V3" s="198">
        <f>'SER_se-appl'!V9</f>
        <v>139.52467973007873</v>
      </c>
      <c r="W3" s="198">
        <f>'SER_se-appl'!W9</f>
        <v>146.61433467120582</v>
      </c>
      <c r="X3" s="198">
        <f>'SER_se-appl'!X9</f>
        <v>152.81816400424975</v>
      </c>
      <c r="Y3" s="198">
        <f>'SER_se-appl'!Y9</f>
        <v>165.63131227805997</v>
      </c>
      <c r="DA3" s="205" t="s">
        <v>914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'SER_se-appl'!B17</f>
        <v>277.97365780439208</v>
      </c>
      <c r="C5" s="59">
        <f>'SER_se-appl'!C17</f>
        <v>287.31194811831364</v>
      </c>
      <c r="D5" s="59">
        <f>'SER_se-appl'!D17</f>
        <v>292.64673884277965</v>
      </c>
      <c r="E5" s="59">
        <f>'SER_se-appl'!E17</f>
        <v>299.56969076020152</v>
      </c>
      <c r="F5" s="59">
        <f>'SER_se-appl'!F17</f>
        <v>313.31284659626925</v>
      </c>
      <c r="G5" s="59">
        <f>'SER_se-appl'!G17</f>
        <v>341.28894556570492</v>
      </c>
      <c r="H5" s="59">
        <f>'SER_se-appl'!H17</f>
        <v>359.82331908261966</v>
      </c>
      <c r="I5" s="59">
        <f>'SER_se-appl'!I17</f>
        <v>385.84134911483164</v>
      </c>
      <c r="J5" s="59">
        <f>'SER_se-appl'!J17</f>
        <v>395.55391632105318</v>
      </c>
      <c r="K5" s="59">
        <f>'SER_se-appl'!K17</f>
        <v>397.04652531996356</v>
      </c>
      <c r="L5" s="59">
        <f>'SER_se-appl'!L17</f>
        <v>393.88988350718046</v>
      </c>
      <c r="M5" s="59">
        <f>'SER_se-appl'!M17</f>
        <v>386.75436933801598</v>
      </c>
      <c r="N5" s="59">
        <f>'SER_se-appl'!N17</f>
        <v>391.96239543431955</v>
      </c>
      <c r="O5" s="59">
        <f>'SER_se-appl'!O17</f>
        <v>408.00763071396455</v>
      </c>
      <c r="P5" s="59">
        <f>'SER_se-appl'!P17</f>
        <v>427.94916489666889</v>
      </c>
      <c r="Q5" s="59">
        <f>'SER_se-appl'!Q17</f>
        <v>464.63020463291411</v>
      </c>
      <c r="R5" s="59">
        <f>'SER_se-appl'!R17</f>
        <v>471.84642823233287</v>
      </c>
      <c r="S5" s="59">
        <f>'SER_se-appl'!S17</f>
        <v>486.3728841640405</v>
      </c>
      <c r="T5" s="59">
        <f>'SER_se-appl'!T17</f>
        <v>495.47712337251249</v>
      </c>
      <c r="U5" s="59">
        <f>'SER_se-appl'!U17</f>
        <v>508.16053000980605</v>
      </c>
      <c r="V5" s="59">
        <f>'SER_se-appl'!V17</f>
        <v>517.15927354481983</v>
      </c>
      <c r="W5" s="59">
        <f>'SER_se-appl'!W17</f>
        <v>528.05017505358455</v>
      </c>
      <c r="X5" s="59">
        <f>'SER_se-appl'!X17</f>
        <v>537.47301107927649</v>
      </c>
      <c r="Y5" s="59">
        <f>'SER_se-appl'!Y17</f>
        <v>559.8350704964563</v>
      </c>
      <c r="DA5" s="104" t="s">
        <v>921</v>
      </c>
    </row>
    <row r="6" spans="1:105" ht="12" customHeight="1" x14ac:dyDescent="0.25">
      <c r="A6" s="200" t="str">
        <f>"Penetration factor "&amp;MID('SER_se-appl'!A73,FIND("(",'SER_se-appl'!A73),100)</f>
        <v>Penetration factor (unit per capita)</v>
      </c>
      <c r="B6" s="201">
        <f>'SER_se-appl'!B73</f>
        <v>0.15178037520269838</v>
      </c>
      <c r="C6" s="201">
        <f>'SER_se-appl'!C73</f>
        <v>0.15975167788978265</v>
      </c>
      <c r="D6" s="201">
        <f>'SER_se-appl'!D73</f>
        <v>0.16706329378526749</v>
      </c>
      <c r="E6" s="201">
        <f>'SER_se-appl'!E73</f>
        <v>0.17711040370387429</v>
      </c>
      <c r="F6" s="201">
        <f>'SER_se-appl'!F73</f>
        <v>0.19322314625654188</v>
      </c>
      <c r="G6" s="201">
        <f>'SER_se-appl'!G73</f>
        <v>0.22210797318973577</v>
      </c>
      <c r="H6" s="201">
        <f>'SER_se-appl'!H73</f>
        <v>0.24591583147125406</v>
      </c>
      <c r="I6" s="201">
        <f>'SER_se-appl'!I73</f>
        <v>0.27752567475841855</v>
      </c>
      <c r="J6" s="201">
        <f>'SER_se-appl'!J73</f>
        <v>0.29943739937130759</v>
      </c>
      <c r="K6" s="201">
        <f>'SER_se-appl'!K73</f>
        <v>0.31911168724080879</v>
      </c>
      <c r="L6" s="201">
        <f>'SER_se-appl'!L73</f>
        <v>0.3423449702395252</v>
      </c>
      <c r="M6" s="201">
        <f>'SER_se-appl'!M73</f>
        <v>0.36217737111171133</v>
      </c>
      <c r="N6" s="201">
        <f>'SER_se-appl'!N73</f>
        <v>0.39379091676906458</v>
      </c>
      <c r="O6" s="201">
        <f>'SER_se-appl'!O73</f>
        <v>0.42972469848734762</v>
      </c>
      <c r="P6" s="201">
        <f>'SER_se-appl'!P73</f>
        <v>0.46791278705447059</v>
      </c>
      <c r="Q6" s="201">
        <f>'SER_se-appl'!Q73</f>
        <v>0.52123204602660311</v>
      </c>
      <c r="R6" s="201">
        <f>'SER_se-appl'!R73</f>
        <v>0.53798109459140697</v>
      </c>
      <c r="S6" s="201">
        <f>'SER_se-appl'!S73</f>
        <v>0.56626683220589469</v>
      </c>
      <c r="T6" s="201">
        <f>'SER_se-appl'!T73</f>
        <v>0.58894759905746263</v>
      </c>
      <c r="U6" s="201">
        <f>'SER_se-appl'!U73</f>
        <v>0.61665443960878463</v>
      </c>
      <c r="V6" s="201">
        <f>'SER_se-appl'!V73</f>
        <v>0.64651110287269553</v>
      </c>
      <c r="W6" s="201">
        <f>'SER_se-appl'!W73</f>
        <v>0.67329846497978363</v>
      </c>
      <c r="X6" s="201">
        <f>'SER_se-appl'!X73</f>
        <v>0.70038759960386832</v>
      </c>
      <c r="Y6" s="201">
        <f>'SER_se-appl'!Y73</f>
        <v>0.74310873997789295</v>
      </c>
      <c r="DA6" s="206" t="s">
        <v>963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"&amp;MID('SER_se-appl'!A25,FIND("(",'SER_se-appl'!A25),100)</f>
        <v>Stock of appliances (thousand units)</v>
      </c>
      <c r="B8" s="34">
        <f>'SER_se-appl'!B25</f>
        <v>784.90215784646455</v>
      </c>
      <c r="C8" s="34">
        <f>'SER_se-appl'!C25</f>
        <v>827.69181458992125</v>
      </c>
      <c r="D8" s="34">
        <f>'SER_se-appl'!D25</f>
        <v>867.87727194837998</v>
      </c>
      <c r="E8" s="34">
        <f>'SER_se-appl'!E25</f>
        <v>922.08900925146213</v>
      </c>
      <c r="F8" s="34">
        <f>'SER_se-appl'!F25</f>
        <v>1008.5730396559519</v>
      </c>
      <c r="G8" s="34">
        <f>'SER_se-appl'!G25</f>
        <v>1163.0930555930754</v>
      </c>
      <c r="H8" s="34">
        <f>'SER_se-appl'!H25</f>
        <v>1292.4303255636935</v>
      </c>
      <c r="I8" s="34">
        <f>'SER_se-appl'!I25</f>
        <v>1464.4904970448106</v>
      </c>
      <c r="J8" s="34">
        <f>'SER_se-appl'!J25</f>
        <v>1587.1631443692258</v>
      </c>
      <c r="K8" s="34">
        <f>'SER_se-appl'!K25</f>
        <v>1699.6890473143412</v>
      </c>
      <c r="L8" s="34">
        <f>'SER_se-appl'!L25</f>
        <v>1832.0341170539916</v>
      </c>
      <c r="M8" s="34">
        <f>'SER_se-appl'!M25</f>
        <v>1946.8033306798754</v>
      </c>
      <c r="N8" s="34">
        <f>'SER_se-appl'!N25</f>
        <v>2126.969883644495</v>
      </c>
      <c r="O8" s="34">
        <f>'SER_se-appl'!O25</f>
        <v>2331.9758484391286</v>
      </c>
      <c r="P8" s="34">
        <f>'SER_se-appl'!P25</f>
        <v>2550.7189386864238</v>
      </c>
      <c r="Q8" s="34">
        <f>'SER_se-appl'!Q25</f>
        <v>2852.0530115422039</v>
      </c>
      <c r="R8" s="34">
        <f>'SER_se-appl'!R25</f>
        <v>2952.0679642001842</v>
      </c>
      <c r="S8" s="34">
        <f>'SER_se-appl'!S25</f>
        <v>3116.334558878204</v>
      </c>
      <c r="T8" s="34">
        <f>'SER_se-appl'!T25</f>
        <v>3246.9446767916688</v>
      </c>
      <c r="U8" s="34">
        <f>'SER_se-appl'!U25</f>
        <v>3402.6492487516653</v>
      </c>
      <c r="V8" s="34">
        <f>'SER_se-appl'!V25</f>
        <v>3572.1626246136811</v>
      </c>
      <c r="W8" s="34">
        <f>'SER_se-appl'!W25</f>
        <v>3725.8943324158718</v>
      </c>
      <c r="X8" s="34">
        <f>'SER_se-appl'!X25</f>
        <v>3885.9191960137659</v>
      </c>
      <c r="Y8" s="34">
        <f>'SER_se-appl'!Y25</f>
        <v>4134.634735974797</v>
      </c>
      <c r="DA8" s="88" t="s">
        <v>927</v>
      </c>
    </row>
    <row r="9" spans="1:105" ht="12.95" customHeight="1" x14ac:dyDescent="0.25">
      <c r="A9" s="202" t="str">
        <f>"Number of new appliances "&amp;MID('SER_se-appl'!A33,FIND("(",'SER_se-appl'!A33),100)</f>
        <v>Number of new appliances (thousand units)</v>
      </c>
      <c r="B9" s="36"/>
      <c r="C9" s="36">
        <f>'SER_se-appl'!C33</f>
        <v>199.77008831274964</v>
      </c>
      <c r="D9" s="36">
        <f>'SER_se-appl'!D33</f>
        <v>197.16588892775167</v>
      </c>
      <c r="E9" s="36">
        <f>'SER_se-appl'!E33</f>
        <v>211.19216887237508</v>
      </c>
      <c r="F9" s="36">
        <f>'SER_se-appl'!F33</f>
        <v>243.4644619737827</v>
      </c>
      <c r="G9" s="36">
        <f>'SER_se-appl'!G33</f>
        <v>311.50044750641644</v>
      </c>
      <c r="H9" s="36">
        <f>'SER_se-appl'!H33</f>
        <v>329.10735828336772</v>
      </c>
      <c r="I9" s="36">
        <f>'SER_se-appl'!I33</f>
        <v>369.22606040886876</v>
      </c>
      <c r="J9" s="36">
        <f>'SER_se-appl'!J33</f>
        <v>333.86481619679034</v>
      </c>
      <c r="K9" s="36">
        <f>'SER_se-appl'!K33</f>
        <v>355.99036491889819</v>
      </c>
      <c r="L9" s="36">
        <f>'SER_se-appl'!L33</f>
        <v>443.84551724606695</v>
      </c>
      <c r="M9" s="36">
        <f>'SER_se-appl'!M33</f>
        <v>443.87657190925142</v>
      </c>
      <c r="N9" s="36">
        <f>'SER_se-appl'!N33</f>
        <v>549.3926133734883</v>
      </c>
      <c r="O9" s="36">
        <f>'SER_se-appl'!O33</f>
        <v>538.870780991424</v>
      </c>
      <c r="P9" s="36">
        <f>'SER_se-appl'!P33</f>
        <v>574.73345516619338</v>
      </c>
      <c r="Q9" s="36">
        <f>'SER_se-appl'!Q33</f>
        <v>745.17959010184723</v>
      </c>
      <c r="R9" s="36">
        <f>'SER_se-appl'!R33</f>
        <v>543.8915245672315</v>
      </c>
      <c r="S9" s="36">
        <f>'SER_se-appl'!S33</f>
        <v>713.65920805150836</v>
      </c>
      <c r="T9" s="36">
        <f>'SER_se-appl'!T33</f>
        <v>669.48089890488882</v>
      </c>
      <c r="U9" s="36">
        <f>'SER_se-appl'!U33</f>
        <v>730.43802712618981</v>
      </c>
      <c r="V9" s="36">
        <f>'SER_se-appl'!V33</f>
        <v>914.69296596386312</v>
      </c>
      <c r="W9" s="36">
        <f>'SER_se-appl'!W33</f>
        <v>697.62323236942211</v>
      </c>
      <c r="X9" s="36">
        <f>'SER_se-appl'!X33</f>
        <v>873.68407164940254</v>
      </c>
      <c r="Y9" s="36">
        <f>'SER_se-appl'!Y33</f>
        <v>918.19643886591984</v>
      </c>
      <c r="DA9" s="89" t="s">
        <v>933</v>
      </c>
    </row>
    <row r="10" spans="1:105" ht="12" customHeight="1" x14ac:dyDescent="0.25">
      <c r="A10" s="203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156.98043156929293</v>
      </c>
      <c r="D10" s="38">
        <f>'SER_se-appl'!D41</f>
        <v>156.98043156929293</v>
      </c>
      <c r="E10" s="38">
        <f>'SER_se-appl'!E41</f>
        <v>156.98043156929293</v>
      </c>
      <c r="F10" s="38">
        <f>'SER_se-appl'!F41</f>
        <v>156.98043156929282</v>
      </c>
      <c r="G10" s="38">
        <f>'SER_se-appl'!G41</f>
        <v>156.98043156929293</v>
      </c>
      <c r="H10" s="38">
        <f>'SER_se-appl'!H41</f>
        <v>199.77008831274975</v>
      </c>
      <c r="I10" s="38">
        <f>'SER_se-appl'!I41</f>
        <v>197.16588892775167</v>
      </c>
      <c r="J10" s="38">
        <f>'SER_se-appl'!J41</f>
        <v>211.19216887237508</v>
      </c>
      <c r="K10" s="38">
        <f>'SER_se-appl'!K41</f>
        <v>243.46446197378282</v>
      </c>
      <c r="L10" s="38">
        <f>'SER_se-appl'!L41</f>
        <v>311.50044750641678</v>
      </c>
      <c r="M10" s="38">
        <f>'SER_se-appl'!M41</f>
        <v>329.1073582833676</v>
      </c>
      <c r="N10" s="38">
        <f>'SER_se-appl'!N41</f>
        <v>369.22606040886876</v>
      </c>
      <c r="O10" s="38">
        <f>'SER_se-appl'!O41</f>
        <v>333.86481619679034</v>
      </c>
      <c r="P10" s="38">
        <f>'SER_se-appl'!P41</f>
        <v>355.99036491889819</v>
      </c>
      <c r="Q10" s="38">
        <f>'SER_se-appl'!Q41</f>
        <v>443.84551724606717</v>
      </c>
      <c r="R10" s="38">
        <f>'SER_se-appl'!R41</f>
        <v>443.8765719092512</v>
      </c>
      <c r="S10" s="38">
        <f>'SER_se-appl'!S41</f>
        <v>549.39261337348853</v>
      </c>
      <c r="T10" s="38">
        <f>'SER_se-appl'!T41</f>
        <v>538.870780991424</v>
      </c>
      <c r="U10" s="38">
        <f>'SER_se-appl'!U41</f>
        <v>574.73345516619338</v>
      </c>
      <c r="V10" s="38">
        <f>'SER_se-appl'!V41</f>
        <v>745.17959010184768</v>
      </c>
      <c r="W10" s="38">
        <f>'SER_se-appl'!W41</f>
        <v>543.8915245672315</v>
      </c>
      <c r="X10" s="38">
        <f>'SER_se-appl'!X41</f>
        <v>713.65920805150836</v>
      </c>
      <c r="Y10" s="38">
        <f>'SER_se-appl'!Y41</f>
        <v>669.48089890488882</v>
      </c>
      <c r="DA10" s="90" t="s">
        <v>939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'SER_se-appl'!B49</f>
        <v>2133.0792207622526</v>
      </c>
      <c r="C12" s="204">
        <f>'SER_se-appl'!C49</f>
        <v>2231.2938879216304</v>
      </c>
      <c r="D12" s="204">
        <f>'SER_se-appl'!D49</f>
        <v>2339.4960404404183</v>
      </c>
      <c r="E12" s="204">
        <f>'SER_se-appl'!E49</f>
        <v>2440.3613247269582</v>
      </c>
      <c r="F12" s="204">
        <f>'SER_se-appl'!F49</f>
        <v>2515.5670468947915</v>
      </c>
      <c r="G12" s="204">
        <f>'SER_se-appl'!G49</f>
        <v>2544.2204791196473</v>
      </c>
      <c r="H12" s="204">
        <f>'SER_se-appl'!H49</f>
        <v>2585.0497925391019</v>
      </c>
      <c r="I12" s="204">
        <f>'SER_se-appl'!I49</f>
        <v>2596.8162980158058</v>
      </c>
      <c r="J12" s="204">
        <f>'SER_se-appl'!J49</f>
        <v>2637.1330555250292</v>
      </c>
      <c r="K12" s="204">
        <f>'SER_se-appl'!K49</f>
        <v>2687.1256246308089</v>
      </c>
      <c r="L12" s="204">
        <f>'SER_se-appl'!L49</f>
        <v>2750.7947029560792</v>
      </c>
      <c r="M12" s="204">
        <f>'SER_se-appl'!M49</f>
        <v>2785.5181328434883</v>
      </c>
      <c r="N12" s="204">
        <f>'SER_se-appl'!N49</f>
        <v>2846.6906572498942</v>
      </c>
      <c r="O12" s="204">
        <f>'SER_se-appl'!O49</f>
        <v>2896.7501226326372</v>
      </c>
      <c r="P12" s="204">
        <f>'SER_se-appl'!P49</f>
        <v>2923.0950064441522</v>
      </c>
      <c r="Q12" s="204">
        <f>'SER_se-appl'!Q49</f>
        <v>2912.9740038344121</v>
      </c>
      <c r="R12" s="204">
        <f>'SER_se-appl'!R49</f>
        <v>2951.9397558506012</v>
      </c>
      <c r="S12" s="204">
        <f>'SER_se-appl'!S49</f>
        <v>3037.6150523834945</v>
      </c>
      <c r="T12" s="204">
        <f>'SER_se-appl'!T49</f>
        <v>3074.2185184801879</v>
      </c>
      <c r="U12" s="204">
        <f>'SER_se-appl'!U49</f>
        <v>3132.6866991386069</v>
      </c>
      <c r="V12" s="204">
        <f>'SER_se-appl'!V49</f>
        <v>3137.6639814236764</v>
      </c>
      <c r="W12" s="204">
        <f>'SER_se-appl'!W49</f>
        <v>3229.0960078804901</v>
      </c>
      <c r="X12" s="204">
        <f>'SER_se-appl'!X49</f>
        <v>3306.7246368344236</v>
      </c>
      <c r="Y12" s="204">
        <f>'SER_se-appl'!Y49</f>
        <v>3440.820811896654</v>
      </c>
      <c r="DA12" s="208" t="s">
        <v>945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354.15071168496752</v>
      </c>
      <c r="C14" s="59">
        <f>'SER_se-appl'!C57</f>
        <v>347.12430768771333</v>
      </c>
      <c r="D14" s="59">
        <f>'SER_se-appl'!D57</f>
        <v>337.198297848945</v>
      </c>
      <c r="E14" s="59">
        <f>'SER_se-appl'!E57</f>
        <v>324.88153286133155</v>
      </c>
      <c r="F14" s="59">
        <f>'SER_se-appl'!F57</f>
        <v>310.64963495667865</v>
      </c>
      <c r="G14" s="59">
        <f>'SER_se-appl'!G57</f>
        <v>293.43219265605319</v>
      </c>
      <c r="H14" s="59">
        <f>'SER_se-appl'!H57</f>
        <v>278.40829170089518</v>
      </c>
      <c r="I14" s="59">
        <f>'SER_se-appl'!I57</f>
        <v>263.46456320025248</v>
      </c>
      <c r="J14" s="59">
        <f>'SER_se-appl'!J57</f>
        <v>249.22070407466219</v>
      </c>
      <c r="K14" s="59">
        <f>'SER_se-appl'!K57</f>
        <v>233.59950806727392</v>
      </c>
      <c r="L14" s="59">
        <f>'SER_se-appl'!L57</f>
        <v>215.001390989692</v>
      </c>
      <c r="M14" s="59">
        <f>'SER_se-appl'!M57</f>
        <v>198.66124289141783</v>
      </c>
      <c r="N14" s="59">
        <f>'SER_se-appl'!N57</f>
        <v>184.28206174819201</v>
      </c>
      <c r="O14" s="59">
        <f>'SER_se-appl'!O57</f>
        <v>174.96220254041569</v>
      </c>
      <c r="P14" s="59">
        <f>'SER_se-appl'!P57</f>
        <v>167.77589973007974</v>
      </c>
      <c r="Q14" s="59">
        <f>'SER_se-appl'!Q57</f>
        <v>162.91078838737027</v>
      </c>
      <c r="R14" s="59">
        <f>'SER_se-appl'!R57</f>
        <v>159.83589604115775</v>
      </c>
      <c r="S14" s="59">
        <f>'SER_se-appl'!S57</f>
        <v>156.07210168702861</v>
      </c>
      <c r="T14" s="59">
        <f>'SER_se-appl'!T57</f>
        <v>152.59795675425468</v>
      </c>
      <c r="U14" s="59">
        <f>'SER_se-appl'!U57</f>
        <v>149.34261302314238</v>
      </c>
      <c r="V14" s="59">
        <f>'SER_se-appl'!V57</f>
        <v>144.77484031140634</v>
      </c>
      <c r="W14" s="59">
        <f>'SER_se-appl'!W57</f>
        <v>141.72440975028846</v>
      </c>
      <c r="X14" s="59">
        <f>'SER_se-appl'!X57</f>
        <v>138.31296637115469</v>
      </c>
      <c r="Y14" s="59">
        <f>'SER_se-appl'!Y57</f>
        <v>135.40133681590316</v>
      </c>
      <c r="DA14" s="104" t="s">
        <v>951</v>
      </c>
    </row>
    <row r="15" spans="1:105" ht="12" customHeight="1" x14ac:dyDescent="0.25">
      <c r="A15" s="203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325.03876042315284</v>
      </c>
      <c r="D15" s="63">
        <f>'SER_se-appl'!D65</f>
        <v>309.02669126337184</v>
      </c>
      <c r="E15" s="63">
        <f>'SER_se-appl'!E65</f>
        <v>296.02273518048929</v>
      </c>
      <c r="F15" s="63">
        <f>'SER_se-appl'!F65</f>
        <v>284.79674953304993</v>
      </c>
      <c r="G15" s="63">
        <f>'SER_se-appl'!G65</f>
        <v>268.28478481910571</v>
      </c>
      <c r="H15" s="63">
        <f>'SER_se-appl'!H65</f>
        <v>253.6175302402315</v>
      </c>
      <c r="I15" s="63">
        <f>'SER_se-appl'!I65</f>
        <v>235.48595735976434</v>
      </c>
      <c r="J15" s="63">
        <f>'SER_se-appl'!J65</f>
        <v>216.34579979804462</v>
      </c>
      <c r="K15" s="63">
        <f>'SER_se-appl'!K65</f>
        <v>198.96745354889899</v>
      </c>
      <c r="L15" s="63">
        <f>'SER_se-appl'!L65</f>
        <v>181.17607499221296</v>
      </c>
      <c r="M15" s="63">
        <f>'SER_se-appl'!M65</f>
        <v>171.96645656296519</v>
      </c>
      <c r="N15" s="63">
        <f>'SER_se-appl'!N65</f>
        <v>167.74083992136067</v>
      </c>
      <c r="O15" s="63">
        <f>'SER_se-appl'!O65</f>
        <v>163.8156847208451</v>
      </c>
      <c r="P15" s="63">
        <f>'SER_se-appl'!P65</f>
        <v>157.93761397152832</v>
      </c>
      <c r="Q15" s="63">
        <f>'SER_se-appl'!Q65</f>
        <v>157.13692378205391</v>
      </c>
      <c r="R15" s="63">
        <f>'SER_se-appl'!R65</f>
        <v>153.61170573203395</v>
      </c>
      <c r="S15" s="63">
        <f>'SER_se-appl'!S65</f>
        <v>149.48596352710157</v>
      </c>
      <c r="T15" s="63">
        <f>'SER_se-appl'!T65</f>
        <v>145.4555691311414</v>
      </c>
      <c r="U15" s="63">
        <f>'SER_se-appl'!U65</f>
        <v>141.63479087046727</v>
      </c>
      <c r="V15" s="63">
        <f>'SER_se-appl'!V65</f>
        <v>137.85387740018041</v>
      </c>
      <c r="W15" s="63">
        <f>'SER_se-appl'!W65</f>
        <v>135.37250760697717</v>
      </c>
      <c r="X15" s="63">
        <f>'SER_se-appl'!X65</f>
        <v>132.89113781377392</v>
      </c>
      <c r="Y15" s="63">
        <f>'SER_se-appl'!Y65</f>
        <v>130.40976802057065</v>
      </c>
      <c r="DA15" s="105" t="s">
        <v>957</v>
      </c>
    </row>
    <row r="17" spans="1:105" ht="12" customHeight="1" x14ac:dyDescent="0.25">
      <c r="A17" s="197" t="s">
        <v>184</v>
      </c>
      <c r="B17" s="198">
        <v>15.627117204202788</v>
      </c>
      <c r="C17" s="198">
        <v>18.905222944585134</v>
      </c>
      <c r="D17" s="198">
        <v>22.203781187027516</v>
      </c>
      <c r="E17" s="198">
        <v>25.414624243103248</v>
      </c>
      <c r="F17" s="198">
        <v>28.472146912626272</v>
      </c>
      <c r="G17" s="198">
        <v>31.254234408405594</v>
      </c>
      <c r="H17" s="198">
        <v>33.695557083767859</v>
      </c>
      <c r="I17" s="198">
        <v>35.863551920719225</v>
      </c>
      <c r="J17" s="198">
        <v>37.870521047253362</v>
      </c>
      <c r="K17" s="198">
        <v>39.779345365574095</v>
      </c>
      <c r="L17" s="198">
        <v>41.672312544540766</v>
      </c>
      <c r="M17" s="198">
        <v>41.706663169045719</v>
      </c>
      <c r="N17" s="198">
        <v>44.585593163795039</v>
      </c>
      <c r="O17" s="198">
        <v>48.278250813359733</v>
      </c>
      <c r="P17" s="198">
        <v>51.247870055677012</v>
      </c>
      <c r="Q17" s="198">
        <v>54.118744495679906</v>
      </c>
      <c r="R17" s="198">
        <v>55.078159891369872</v>
      </c>
      <c r="S17" s="198">
        <v>60.62891330237229</v>
      </c>
      <c r="T17" s="198">
        <v>63.307709505445963</v>
      </c>
      <c r="U17" s="198">
        <v>68.246945613698855</v>
      </c>
      <c r="V17" s="198">
        <v>74.378676185343522</v>
      </c>
      <c r="W17" s="198">
        <v>80.081989752563942</v>
      </c>
      <c r="X17" s="198">
        <v>86.051821221287582</v>
      </c>
      <c r="Y17" s="198">
        <v>98.959594404480725</v>
      </c>
      <c r="DA17" s="205" t="s">
        <v>965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E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27" t="s">
        <v>150</v>
      </c>
    </row>
    <row r="2" spans="1:105" x14ac:dyDescent="0.25">
      <c r="A2" s="6"/>
    </row>
    <row r="3" spans="1:105" x14ac:dyDescent="0.25">
      <c r="A3" s="218" t="s">
        <v>179</v>
      </c>
      <c r="B3" s="219">
        <v>6342.1266248702077</v>
      </c>
      <c r="C3" s="219">
        <v>6062.2122992756194</v>
      </c>
      <c r="D3" s="219">
        <v>5960.7120166612294</v>
      </c>
      <c r="E3" s="219">
        <v>5750.7230834519087</v>
      </c>
      <c r="F3" s="219">
        <v>5585.4577468266907</v>
      </c>
      <c r="G3" s="219">
        <v>5496.9956316916496</v>
      </c>
      <c r="H3" s="219">
        <v>5023.1544486747334</v>
      </c>
      <c r="I3" s="219">
        <v>6294.0527440356036</v>
      </c>
      <c r="J3" s="219">
        <v>5867.541249142072</v>
      </c>
      <c r="K3" s="219">
        <v>5508.9072058410557</v>
      </c>
      <c r="L3" s="219">
        <v>5970.8777772800568</v>
      </c>
      <c r="M3" s="219">
        <v>5856.7111807366182</v>
      </c>
      <c r="N3" s="219">
        <v>5576.5649495485923</v>
      </c>
      <c r="O3" s="219">
        <v>5588.8035134658658</v>
      </c>
      <c r="P3" s="219">
        <v>5573.196871749903</v>
      </c>
      <c r="Q3" s="219">
        <v>5185.6795399999992</v>
      </c>
      <c r="R3" s="219">
        <v>5398.7424559157434</v>
      </c>
      <c r="S3" s="219">
        <v>5520.6466969618787</v>
      </c>
      <c r="T3" s="219">
        <v>5705.4425136548289</v>
      </c>
      <c r="U3" s="219">
        <v>5990.4275300541221</v>
      </c>
      <c r="V3" s="219">
        <v>5968.4992328906383</v>
      </c>
      <c r="W3" s="219">
        <v>5907.6707423500557</v>
      </c>
      <c r="X3" s="219">
        <v>6177.3005301896746</v>
      </c>
      <c r="Y3" s="219">
        <v>6379</v>
      </c>
      <c r="DA3" s="210" t="s">
        <v>974</v>
      </c>
    </row>
    <row r="5" spans="1:105" x14ac:dyDescent="0.25">
      <c r="A5" s="218" t="s">
        <v>120</v>
      </c>
      <c r="B5" s="219">
        <v>7874.8506668343234</v>
      </c>
      <c r="C5" s="219">
        <v>8180.231582326016</v>
      </c>
      <c r="D5" s="219">
        <v>8154.1678553941047</v>
      </c>
      <c r="E5" s="219">
        <v>7574.3283654540955</v>
      </c>
      <c r="F5" s="219">
        <v>7571.4353423953926</v>
      </c>
      <c r="G5" s="219">
        <v>6572.6063605588333</v>
      </c>
      <c r="H5" s="219">
        <v>6927.6560736409056</v>
      </c>
      <c r="I5" s="219">
        <v>7877.4624239194272</v>
      </c>
      <c r="J5" s="219">
        <v>7354.0005477896257</v>
      </c>
      <c r="K5" s="219">
        <v>6540.8980097438071</v>
      </c>
      <c r="L5" s="219">
        <v>6916.0179045420682</v>
      </c>
      <c r="M5" s="219">
        <v>6910.1004056685833</v>
      </c>
      <c r="N5" s="219">
        <v>7268.5496247165784</v>
      </c>
      <c r="O5" s="219">
        <v>7145.2036156798158</v>
      </c>
      <c r="P5" s="219">
        <v>7057.6754475969656</v>
      </c>
      <c r="Q5" s="219">
        <v>7146.2368164785594</v>
      </c>
      <c r="R5" s="219">
        <v>7312.1014149929642</v>
      </c>
      <c r="S5" s="219">
        <v>7788.0899796335143</v>
      </c>
      <c r="T5" s="219">
        <v>6982.3182110967409</v>
      </c>
      <c r="U5" s="219">
        <v>7490.9001738520446</v>
      </c>
      <c r="V5" s="219">
        <v>6908.4041406286497</v>
      </c>
      <c r="W5" s="219">
        <v>6977.0174661699994</v>
      </c>
      <c r="X5" s="219">
        <v>7794.0064515340746</v>
      </c>
      <c r="Y5" s="219">
        <v>7796.9374096979727</v>
      </c>
      <c r="DA5" s="210" t="s">
        <v>975</v>
      </c>
    </row>
    <row r="6" spans="1:105" x14ac:dyDescent="0.25">
      <c r="A6" s="220" t="s">
        <v>119</v>
      </c>
      <c r="B6" s="221">
        <v>9843.5633335429029</v>
      </c>
      <c r="C6" s="221">
        <v>9351.3851668657571</v>
      </c>
      <c r="D6" s="221">
        <v>9351.3851668657571</v>
      </c>
      <c r="E6" s="221">
        <v>8859.2070001886113</v>
      </c>
      <c r="F6" s="221">
        <v>8367.0288335114656</v>
      </c>
      <c r="G6" s="221">
        <v>8367.0288335114656</v>
      </c>
      <c r="H6" s="221">
        <v>7874.8506668343207</v>
      </c>
      <c r="I6" s="221">
        <v>8367.0288335114656</v>
      </c>
      <c r="J6" s="221">
        <v>8367.0288335114656</v>
      </c>
      <c r="K6" s="221">
        <v>7874.8506668343207</v>
      </c>
      <c r="L6" s="221">
        <v>7382.6725001571758</v>
      </c>
      <c r="M6" s="221">
        <v>7382.6725001571758</v>
      </c>
      <c r="N6" s="221">
        <v>7874.8506668343207</v>
      </c>
      <c r="O6" s="221">
        <v>7874.8506668343207</v>
      </c>
      <c r="P6" s="221">
        <v>7874.8506668343207</v>
      </c>
      <c r="Q6" s="221">
        <v>7874.8506668343207</v>
      </c>
      <c r="R6" s="221">
        <v>7874.8506668343207</v>
      </c>
      <c r="S6" s="221">
        <v>8367.0288335114656</v>
      </c>
      <c r="T6" s="221">
        <v>7874.8506668343207</v>
      </c>
      <c r="U6" s="221">
        <v>8367.0288335114656</v>
      </c>
      <c r="V6" s="221">
        <v>8367.0288335114656</v>
      </c>
      <c r="W6" s="221">
        <v>7874.8506668343207</v>
      </c>
      <c r="X6" s="221">
        <v>8367.0288335114656</v>
      </c>
      <c r="Y6" s="221">
        <v>8367.0288335114656</v>
      </c>
      <c r="DA6" s="211" t="s">
        <v>976</v>
      </c>
    </row>
    <row r="7" spans="1:105" x14ac:dyDescent="0.25">
      <c r="A7" s="224" t="s">
        <v>118</v>
      </c>
      <c r="B7" s="225"/>
      <c r="C7" s="225">
        <v>0</v>
      </c>
      <c r="D7" s="225">
        <v>0</v>
      </c>
      <c r="E7" s="225">
        <v>0</v>
      </c>
      <c r="F7" s="225">
        <v>0</v>
      </c>
      <c r="G7" s="225">
        <v>0</v>
      </c>
      <c r="H7" s="225">
        <v>0</v>
      </c>
      <c r="I7" s="225">
        <v>984.35633335429043</v>
      </c>
      <c r="J7" s="225">
        <v>0</v>
      </c>
      <c r="K7" s="225">
        <v>0</v>
      </c>
      <c r="L7" s="225">
        <v>0</v>
      </c>
      <c r="M7" s="225">
        <v>0</v>
      </c>
      <c r="N7" s="225">
        <v>984.35633335429043</v>
      </c>
      <c r="O7" s="225">
        <v>492.17816667714521</v>
      </c>
      <c r="P7" s="225">
        <v>0</v>
      </c>
      <c r="Q7" s="225">
        <v>492.17816667714521</v>
      </c>
      <c r="R7" s="225">
        <v>492.17816667714521</v>
      </c>
      <c r="S7" s="225">
        <v>492.17816667714521</v>
      </c>
      <c r="T7" s="225">
        <v>0</v>
      </c>
      <c r="U7" s="225">
        <v>984.35633335429043</v>
      </c>
      <c r="V7" s="225">
        <v>0</v>
      </c>
      <c r="W7" s="225">
        <v>0</v>
      </c>
      <c r="X7" s="225">
        <v>984.35633335429043</v>
      </c>
      <c r="Y7" s="225">
        <v>0</v>
      </c>
      <c r="DA7" s="212" t="s">
        <v>977</v>
      </c>
    </row>
    <row r="8" spans="1:105" x14ac:dyDescent="0.25">
      <c r="A8" s="226" t="s">
        <v>117</v>
      </c>
      <c r="B8" s="227"/>
      <c r="C8" s="227">
        <f t="shared" ref="C8" si="0">IF(B6=0,0,B6+C7-C6)</f>
        <v>492.17816667714578</v>
      </c>
      <c r="D8" s="227">
        <f t="shared" ref="D8" si="1">IF(C6=0,0,C6+D7-D6)</f>
        <v>0</v>
      </c>
      <c r="E8" s="227">
        <f t="shared" ref="E8" si="2">IF(D6=0,0,D6+E7-E6)</f>
        <v>492.17816667714578</v>
      </c>
      <c r="F8" s="227">
        <f t="shared" ref="F8" si="3">IF(E6=0,0,E6+F7-F6)</f>
        <v>492.17816667714578</v>
      </c>
      <c r="G8" s="227">
        <f t="shared" ref="G8" si="4">IF(F6=0,0,F6+G7-G6)</f>
        <v>0</v>
      </c>
      <c r="H8" s="227">
        <f t="shared" ref="H8" si="5">IF(G6=0,0,G6+H7-H6)</f>
        <v>492.17816667714487</v>
      </c>
      <c r="I8" s="227">
        <f t="shared" ref="I8" si="6">IF(H6=0,0,H6+I7-I6)</f>
        <v>492.17816667714578</v>
      </c>
      <c r="J8" s="227">
        <f t="shared" ref="J8" si="7">IF(I6=0,0,I6+J7-J6)</f>
        <v>0</v>
      </c>
      <c r="K8" s="227">
        <f t="shared" ref="K8" si="8">IF(J6=0,0,J6+K7-K6)</f>
        <v>492.17816667714487</v>
      </c>
      <c r="L8" s="227">
        <f t="shared" ref="L8" si="9">IF(K6=0,0,K6+L7-L6)</f>
        <v>492.17816667714487</v>
      </c>
      <c r="M8" s="227">
        <f t="shared" ref="M8" si="10">IF(L6=0,0,L6+M7-M6)</f>
        <v>0</v>
      </c>
      <c r="N8" s="227">
        <f t="shared" ref="N8" si="11">IF(M6=0,0,M6+N7-N6)</f>
        <v>492.17816667714487</v>
      </c>
      <c r="O8" s="227">
        <f t="shared" ref="O8" si="12">IF(N6=0,0,N6+O7-O6)</f>
        <v>492.17816667714487</v>
      </c>
      <c r="P8" s="227">
        <f t="shared" ref="P8" si="13">IF(O6=0,0,O6+P7-P6)</f>
        <v>0</v>
      </c>
      <c r="Q8" s="227">
        <f t="shared" ref="Q8" si="14">IF(P6=0,0,P6+Q7-Q6)</f>
        <v>492.17816667714487</v>
      </c>
      <c r="R8" s="227">
        <f t="shared" ref="R8" si="15">IF(Q6=0,0,Q6+R7-R6)</f>
        <v>492.17816667714487</v>
      </c>
      <c r="S8" s="227">
        <f t="shared" ref="S8" si="16">IF(R6=0,0,R6+S7-S6)</f>
        <v>0</v>
      </c>
      <c r="T8" s="227">
        <f t="shared" ref="T8" si="17">IF(S6=0,0,S6+T7-T6)</f>
        <v>492.17816667714487</v>
      </c>
      <c r="U8" s="227">
        <f t="shared" ref="U8" si="18">IF(T6=0,0,T6+U7-U6)</f>
        <v>492.17816667714578</v>
      </c>
      <c r="V8" s="227">
        <f t="shared" ref="V8" si="19">IF(U6=0,0,U6+V7-V6)</f>
        <v>0</v>
      </c>
      <c r="W8" s="227">
        <f t="shared" ref="W8" si="20">IF(V6=0,0,V6+W7-W6)</f>
        <v>492.17816667714487</v>
      </c>
      <c r="X8" s="227">
        <f t="shared" ref="X8" si="21">IF(W6=0,0,W6+X7-X6)</f>
        <v>492.17816667714578</v>
      </c>
      <c r="Y8" s="227">
        <f t="shared" ref="Y8" si="22">IF(X6=0,0,X6+Y7-Y6)</f>
        <v>0</v>
      </c>
      <c r="DA8" s="213" t="s">
        <v>978</v>
      </c>
    </row>
    <row r="9" spans="1:105" x14ac:dyDescent="0.25">
      <c r="A9" s="222" t="s">
        <v>116</v>
      </c>
      <c r="B9" s="223">
        <f>B6-B5</f>
        <v>1968.7126667085795</v>
      </c>
      <c r="C9" s="223">
        <f t="shared" ref="C9:W9" si="23">C6-C5</f>
        <v>1171.1535845397411</v>
      </c>
      <c r="D9" s="223">
        <f t="shared" si="23"/>
        <v>1197.2173114716525</v>
      </c>
      <c r="E9" s="223">
        <f t="shared" si="23"/>
        <v>1284.8786347345158</v>
      </c>
      <c r="F9" s="223">
        <f t="shared" si="23"/>
        <v>795.59349111607298</v>
      </c>
      <c r="G9" s="223">
        <f t="shared" si="23"/>
        <v>1794.4224729526322</v>
      </c>
      <c r="H9" s="223">
        <f t="shared" si="23"/>
        <v>947.19459319341513</v>
      </c>
      <c r="I9" s="223">
        <f t="shared" si="23"/>
        <v>489.56640959203833</v>
      </c>
      <c r="J9" s="223">
        <f t="shared" si="23"/>
        <v>1013.0282857218399</v>
      </c>
      <c r="K9" s="223">
        <f t="shared" si="23"/>
        <v>1333.9526570905136</v>
      </c>
      <c r="L9" s="223">
        <f t="shared" si="23"/>
        <v>466.65459561510761</v>
      </c>
      <c r="M9" s="223">
        <f t="shared" si="23"/>
        <v>472.57209448859248</v>
      </c>
      <c r="N9" s="223">
        <f t="shared" si="23"/>
        <v>606.30104211774233</v>
      </c>
      <c r="O9" s="223">
        <f t="shared" si="23"/>
        <v>729.64705115450488</v>
      </c>
      <c r="P9" s="223">
        <f t="shared" si="23"/>
        <v>817.17521923735512</v>
      </c>
      <c r="Q9" s="223">
        <f t="shared" si="23"/>
        <v>728.61385035576131</v>
      </c>
      <c r="R9" s="223">
        <f t="shared" si="23"/>
        <v>562.74925184135645</v>
      </c>
      <c r="S9" s="223">
        <f t="shared" si="23"/>
        <v>578.93885387795126</v>
      </c>
      <c r="T9" s="223">
        <f t="shared" si="23"/>
        <v>892.53245573757977</v>
      </c>
      <c r="U9" s="223">
        <f t="shared" si="23"/>
        <v>876.12865965942092</v>
      </c>
      <c r="V9" s="223">
        <f t="shared" si="23"/>
        <v>1458.6246928828159</v>
      </c>
      <c r="W9" s="223">
        <f t="shared" si="23"/>
        <v>897.83320066432134</v>
      </c>
      <c r="X9" s="223">
        <f t="shared" ref="X9:Y9" si="24">X6-X5</f>
        <v>573.02238197739098</v>
      </c>
      <c r="Y9" s="223">
        <f t="shared" si="24"/>
        <v>570.09142381349284</v>
      </c>
      <c r="DA9" s="214" t="s">
        <v>979</v>
      </c>
    </row>
    <row r="10" spans="1:105" x14ac:dyDescent="0.25">
      <c r="B10" s="215"/>
      <c r="C10" s="215"/>
      <c r="D10" s="215"/>
      <c r="E10" s="215"/>
      <c r="F10" s="215"/>
      <c r="G10" s="215"/>
      <c r="H10" s="215"/>
      <c r="I10" s="215"/>
      <c r="J10" s="215"/>
      <c r="K10" s="215"/>
      <c r="L10" s="215"/>
      <c r="M10" s="215"/>
      <c r="N10" s="215"/>
      <c r="O10" s="215"/>
      <c r="P10" s="215"/>
      <c r="Q10" s="215"/>
      <c r="R10" s="215"/>
      <c r="S10" s="215"/>
      <c r="T10" s="215"/>
      <c r="U10" s="215"/>
      <c r="V10" s="215"/>
      <c r="W10" s="215"/>
      <c r="X10" s="215"/>
      <c r="Y10" s="215"/>
    </row>
    <row r="11" spans="1:105" x14ac:dyDescent="0.25">
      <c r="A11" s="218" t="s">
        <v>115</v>
      </c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230"/>
      <c r="R11" s="230"/>
      <c r="S11" s="230"/>
      <c r="T11" s="230"/>
      <c r="U11" s="230"/>
      <c r="V11" s="230"/>
      <c r="W11" s="230"/>
      <c r="X11" s="230"/>
      <c r="Y11" s="230"/>
      <c r="DA11" s="210"/>
    </row>
    <row r="12" spans="1:105" x14ac:dyDescent="0.25">
      <c r="A12" s="228" t="s">
        <v>114</v>
      </c>
      <c r="B12" s="229">
        <f>SUM(B13,B14,B18,B19,B26,B27)</f>
        <v>885.69793637145324</v>
      </c>
      <c r="C12" s="229">
        <f t="shared" ref="C12:W12" si="25">SUM(C13,C14,C18,C19,C26,C27)</f>
        <v>898.34832330180564</v>
      </c>
      <c r="D12" s="229">
        <f t="shared" si="25"/>
        <v>928.01822871883041</v>
      </c>
      <c r="E12" s="229">
        <f t="shared" si="25"/>
        <v>905.41908856405837</v>
      </c>
      <c r="F12" s="229">
        <f t="shared" si="25"/>
        <v>888.17601031814263</v>
      </c>
      <c r="G12" s="229">
        <f t="shared" si="25"/>
        <v>882.66182287188315</v>
      </c>
      <c r="H12" s="229">
        <f t="shared" si="25"/>
        <v>900.99174548581266</v>
      </c>
      <c r="I12" s="229">
        <f t="shared" si="25"/>
        <v>928.08082545141872</v>
      </c>
      <c r="J12" s="229">
        <f t="shared" si="25"/>
        <v>908.19105760963032</v>
      </c>
      <c r="K12" s="229">
        <f t="shared" si="25"/>
        <v>901.55554600171956</v>
      </c>
      <c r="L12" s="229">
        <f t="shared" si="25"/>
        <v>888.54350816852957</v>
      </c>
      <c r="M12" s="229">
        <f t="shared" si="25"/>
        <v>801.71891659501284</v>
      </c>
      <c r="N12" s="229">
        <f t="shared" si="25"/>
        <v>859.95786758383485</v>
      </c>
      <c r="O12" s="229">
        <f t="shared" si="25"/>
        <v>842.3825451418744</v>
      </c>
      <c r="P12" s="229">
        <f t="shared" si="25"/>
        <v>806.07583834909724</v>
      </c>
      <c r="Q12" s="229">
        <f t="shared" si="25"/>
        <v>833.8035253654341</v>
      </c>
      <c r="R12" s="229">
        <f t="shared" si="25"/>
        <v>865.84419604471191</v>
      </c>
      <c r="S12" s="229">
        <f t="shared" si="25"/>
        <v>850.9256233877901</v>
      </c>
      <c r="T12" s="229">
        <f t="shared" si="25"/>
        <v>803.24256233877918</v>
      </c>
      <c r="U12" s="229">
        <f t="shared" si="25"/>
        <v>856.28882201203771</v>
      </c>
      <c r="V12" s="229">
        <f t="shared" si="25"/>
        <v>836.07429062768688</v>
      </c>
      <c r="W12" s="229">
        <f t="shared" si="25"/>
        <v>806.63344797936361</v>
      </c>
      <c r="X12" s="229">
        <f t="shared" ref="X12:Y12" si="26">SUM(X13,X14,X18,X19,X26,X27)</f>
        <v>771.03387790197758</v>
      </c>
      <c r="Y12" s="229">
        <f t="shared" si="26"/>
        <v>790.44505588993979</v>
      </c>
      <c r="DA12" s="210" t="s">
        <v>980</v>
      </c>
    </row>
    <row r="13" spans="1:105" x14ac:dyDescent="0.25">
      <c r="A13" s="58" t="s">
        <v>29</v>
      </c>
      <c r="B13" s="59">
        <v>21.639466895958726</v>
      </c>
      <c r="C13" s="59">
        <v>24.47325881341359</v>
      </c>
      <c r="D13" s="59">
        <v>28.058899398108338</v>
      </c>
      <c r="E13" s="59">
        <v>30.653224419604467</v>
      </c>
      <c r="F13" s="59">
        <v>33.287876182287185</v>
      </c>
      <c r="G13" s="59">
        <v>29.172398968185725</v>
      </c>
      <c r="H13" s="59">
        <v>28.908426483233015</v>
      </c>
      <c r="I13" s="59">
        <v>34.32906276870164</v>
      </c>
      <c r="J13" s="59">
        <v>39.695786758383484</v>
      </c>
      <c r="K13" s="59">
        <v>46.031728288907992</v>
      </c>
      <c r="L13" s="59">
        <v>55.122613929492694</v>
      </c>
      <c r="M13" s="59">
        <v>45.560189165950113</v>
      </c>
      <c r="N13" s="59">
        <v>50.510146173688739</v>
      </c>
      <c r="O13" s="59">
        <v>45.654342218400686</v>
      </c>
      <c r="P13" s="59">
        <v>43.154342218400686</v>
      </c>
      <c r="Q13" s="59">
        <v>45.087704213241615</v>
      </c>
      <c r="R13" s="59">
        <v>50.862596732588123</v>
      </c>
      <c r="S13" s="59">
        <v>51.297420464316424</v>
      </c>
      <c r="T13" s="59">
        <v>51.424505588993981</v>
      </c>
      <c r="U13" s="59">
        <v>50.405331040412719</v>
      </c>
      <c r="V13" s="59">
        <v>32.602751504729149</v>
      </c>
      <c r="W13" s="59">
        <v>31.030610490111776</v>
      </c>
      <c r="X13" s="59">
        <v>28.401375752364579</v>
      </c>
      <c r="Y13" s="59">
        <v>28.951848667239894</v>
      </c>
      <c r="DA13" s="9" t="s">
        <v>981</v>
      </c>
    </row>
    <row r="14" spans="1:105" x14ac:dyDescent="0.25">
      <c r="A14" s="60" t="s">
        <v>28</v>
      </c>
      <c r="B14" s="55">
        <f>SUM(B15:B17)</f>
        <v>614.813241616509</v>
      </c>
      <c r="C14" s="55">
        <f t="shared" ref="C14:W14" si="27">SUM(C15:C17)</f>
        <v>605.21642304385205</v>
      </c>
      <c r="D14" s="55">
        <f t="shared" si="27"/>
        <v>614.37368873602747</v>
      </c>
      <c r="E14" s="55">
        <f t="shared" si="27"/>
        <v>615.50343938091135</v>
      </c>
      <c r="F14" s="55">
        <f t="shared" si="27"/>
        <v>588.02089423903692</v>
      </c>
      <c r="G14" s="55">
        <f t="shared" si="27"/>
        <v>599.22846087704215</v>
      </c>
      <c r="H14" s="55">
        <f t="shared" si="27"/>
        <v>585.0168529664661</v>
      </c>
      <c r="I14" s="55">
        <f t="shared" si="27"/>
        <v>594.38710232158201</v>
      </c>
      <c r="J14" s="55">
        <f t="shared" si="27"/>
        <v>577.04608770421328</v>
      </c>
      <c r="K14" s="55">
        <f t="shared" si="27"/>
        <v>545.45537403267417</v>
      </c>
      <c r="L14" s="55">
        <f t="shared" si="27"/>
        <v>497.37858985382627</v>
      </c>
      <c r="M14" s="55">
        <f t="shared" si="27"/>
        <v>466.72158211521923</v>
      </c>
      <c r="N14" s="55">
        <f t="shared" si="27"/>
        <v>488.86595012897669</v>
      </c>
      <c r="O14" s="55">
        <f t="shared" si="27"/>
        <v>468.96792777300084</v>
      </c>
      <c r="P14" s="55">
        <f t="shared" si="27"/>
        <v>444.45081685296645</v>
      </c>
      <c r="Q14" s="55">
        <f t="shared" si="27"/>
        <v>487.28976784178849</v>
      </c>
      <c r="R14" s="55">
        <f t="shared" si="27"/>
        <v>489.99260533104035</v>
      </c>
      <c r="S14" s="55">
        <f t="shared" si="27"/>
        <v>486.74660361134988</v>
      </c>
      <c r="T14" s="55">
        <f t="shared" si="27"/>
        <v>444.35623387790207</v>
      </c>
      <c r="U14" s="55">
        <f t="shared" si="27"/>
        <v>502.14393809114358</v>
      </c>
      <c r="V14" s="55">
        <f t="shared" si="27"/>
        <v>522.87566638005148</v>
      </c>
      <c r="W14" s="55">
        <f t="shared" si="27"/>
        <v>442.43525365434215</v>
      </c>
      <c r="X14" s="55">
        <f t="shared" ref="X14:Y14" si="28">SUM(X15:X17)</f>
        <v>453.76612209802227</v>
      </c>
      <c r="Y14" s="55">
        <f t="shared" si="28"/>
        <v>442.19896818572653</v>
      </c>
      <c r="DA14" s="10"/>
    </row>
    <row r="15" spans="1:105" x14ac:dyDescent="0.25">
      <c r="A15" s="61" t="s">
        <v>52</v>
      </c>
      <c r="B15" s="55">
        <v>5.5173688736027513</v>
      </c>
      <c r="C15" s="55">
        <v>4.4138435081685294</v>
      </c>
      <c r="D15" s="55">
        <v>4.4138435081685294</v>
      </c>
      <c r="E15" s="55">
        <v>4.4138435081685294</v>
      </c>
      <c r="F15" s="55">
        <v>4.4138435081685294</v>
      </c>
      <c r="G15" s="55">
        <v>4.4138435081685294</v>
      </c>
      <c r="H15" s="55">
        <v>5.5173688736027513</v>
      </c>
      <c r="I15" s="55">
        <v>5.5173688736027513</v>
      </c>
      <c r="J15" s="55">
        <v>4.4138435081685294</v>
      </c>
      <c r="K15" s="55">
        <v>4.4138435081685294</v>
      </c>
      <c r="L15" s="55">
        <v>4.4138435081685294</v>
      </c>
      <c r="M15" s="55">
        <v>4.4138435081685294</v>
      </c>
      <c r="N15" s="55">
        <v>5.5173688736027513</v>
      </c>
      <c r="O15" s="55">
        <v>4.4233877901977641</v>
      </c>
      <c r="P15" s="55">
        <v>4.4233877901977641</v>
      </c>
      <c r="Q15" s="55">
        <v>3.3175408426483228</v>
      </c>
      <c r="R15" s="55">
        <v>3.3175408426483228</v>
      </c>
      <c r="S15" s="55">
        <v>3.3175408426483228</v>
      </c>
      <c r="T15" s="55">
        <v>2.211693895098882</v>
      </c>
      <c r="U15" s="55">
        <v>2.211693895098882</v>
      </c>
      <c r="V15" s="55">
        <v>2.211693895098882</v>
      </c>
      <c r="W15" s="55">
        <v>4.4233877901977641</v>
      </c>
      <c r="X15" s="55">
        <v>4.4233877901977641</v>
      </c>
      <c r="Y15" s="55">
        <v>4.4233877901977641</v>
      </c>
      <c r="DA15" s="10" t="s">
        <v>982</v>
      </c>
    </row>
    <row r="16" spans="1:105" x14ac:dyDescent="0.25">
      <c r="A16" s="61" t="s">
        <v>165</v>
      </c>
      <c r="B16" s="55">
        <v>440.59905417024925</v>
      </c>
      <c r="C16" s="55">
        <v>433.40980223559757</v>
      </c>
      <c r="D16" s="55">
        <v>431.35571797076523</v>
      </c>
      <c r="E16" s="55">
        <v>428.27454858125532</v>
      </c>
      <c r="F16" s="55">
        <v>417.082287188306</v>
      </c>
      <c r="G16" s="55">
        <v>406.85967325881342</v>
      </c>
      <c r="H16" s="55">
        <v>393.32201203783319</v>
      </c>
      <c r="I16" s="55">
        <v>399.47962166809964</v>
      </c>
      <c r="J16" s="55">
        <v>398.46741186586416</v>
      </c>
      <c r="K16" s="55">
        <v>372.95941530524505</v>
      </c>
      <c r="L16" s="55">
        <v>392.41960447119516</v>
      </c>
      <c r="M16" s="55">
        <v>388.27747205503005</v>
      </c>
      <c r="N16" s="55">
        <v>411.77841788478065</v>
      </c>
      <c r="O16" s="55">
        <v>397.24849527085121</v>
      </c>
      <c r="P16" s="55">
        <v>386.93035253654341</v>
      </c>
      <c r="Q16" s="55">
        <v>430.73929492691315</v>
      </c>
      <c r="R16" s="55">
        <v>416.95614789337912</v>
      </c>
      <c r="S16" s="55">
        <v>415.77601031814265</v>
      </c>
      <c r="T16" s="55">
        <v>383.7993121238178</v>
      </c>
      <c r="U16" s="55">
        <v>427.03886500429923</v>
      </c>
      <c r="V16" s="55">
        <v>452.73387790197751</v>
      </c>
      <c r="W16" s="55">
        <v>392.69561478933787</v>
      </c>
      <c r="X16" s="55">
        <v>401.89122957867579</v>
      </c>
      <c r="Y16" s="55">
        <v>372.67575236457435</v>
      </c>
      <c r="DA16" s="10" t="s">
        <v>983</v>
      </c>
    </row>
    <row r="17" spans="1:105" x14ac:dyDescent="0.25">
      <c r="A17" s="61" t="s">
        <v>113</v>
      </c>
      <c r="B17" s="55">
        <v>168.69681857265692</v>
      </c>
      <c r="C17" s="55">
        <v>167.39277730008598</v>
      </c>
      <c r="D17" s="55">
        <v>178.60412725709372</v>
      </c>
      <c r="E17" s="55">
        <v>182.8150472914875</v>
      </c>
      <c r="F17" s="55">
        <v>166.52476354256234</v>
      </c>
      <c r="G17" s="55">
        <v>187.95494411006015</v>
      </c>
      <c r="H17" s="55">
        <v>186.17747205503008</v>
      </c>
      <c r="I17" s="55">
        <v>189.39011177987962</v>
      </c>
      <c r="J17" s="55">
        <v>174.16483233018056</v>
      </c>
      <c r="K17" s="55">
        <v>168.08211521926052</v>
      </c>
      <c r="L17" s="55">
        <v>100.54514187446259</v>
      </c>
      <c r="M17" s="55">
        <v>74.030266552020635</v>
      </c>
      <c r="N17" s="55">
        <v>71.570163370593292</v>
      </c>
      <c r="O17" s="55">
        <v>67.296044711951851</v>
      </c>
      <c r="P17" s="55">
        <v>53.097076526225266</v>
      </c>
      <c r="Q17" s="55">
        <v>53.232932072226994</v>
      </c>
      <c r="R17" s="55">
        <v>69.7189165950129</v>
      </c>
      <c r="S17" s="55">
        <v>67.653052450558903</v>
      </c>
      <c r="T17" s="55">
        <v>58.345227858985382</v>
      </c>
      <c r="U17" s="55">
        <v>72.893379191745481</v>
      </c>
      <c r="V17" s="55">
        <v>67.930094582975059</v>
      </c>
      <c r="W17" s="55">
        <v>45.31625107480653</v>
      </c>
      <c r="X17" s="55">
        <v>47.451504729148752</v>
      </c>
      <c r="Y17" s="55">
        <v>65.099828030954413</v>
      </c>
      <c r="DA17" s="10" t="s">
        <v>984</v>
      </c>
    </row>
    <row r="18" spans="1:105" x14ac:dyDescent="0.25">
      <c r="A18" s="60" t="s">
        <v>149</v>
      </c>
      <c r="B18" s="55">
        <v>14.445399828030951</v>
      </c>
      <c r="C18" s="55">
        <v>13.843508168529659</v>
      </c>
      <c r="D18" s="55">
        <v>13.993981083404989</v>
      </c>
      <c r="E18" s="55">
        <v>12.89767841788478</v>
      </c>
      <c r="F18" s="55">
        <v>14.445399828030951</v>
      </c>
      <c r="G18" s="55">
        <v>12.89767841788478</v>
      </c>
      <c r="H18" s="55">
        <v>11.801375752364571</v>
      </c>
      <c r="I18" s="55">
        <v>10.74797936371453</v>
      </c>
      <c r="J18" s="55">
        <v>8.2544282029234726</v>
      </c>
      <c r="K18" s="55">
        <v>9.0713671539122949</v>
      </c>
      <c r="L18" s="55">
        <v>5.9759243336199477</v>
      </c>
      <c r="M18" s="55">
        <v>3.912237158941712</v>
      </c>
      <c r="N18" s="55">
        <v>2.5146872726187475</v>
      </c>
      <c r="O18" s="55">
        <v>1.7179255740478614</v>
      </c>
      <c r="P18" s="55">
        <v>1.180836462777588</v>
      </c>
      <c r="Q18" s="55">
        <v>2.6142817745354114</v>
      </c>
      <c r="R18" s="55">
        <v>2.9766069495949377</v>
      </c>
      <c r="S18" s="55">
        <v>1.521087973258227</v>
      </c>
      <c r="T18" s="55">
        <v>1.840504107153804</v>
      </c>
      <c r="U18" s="55">
        <v>2.1190925157576994</v>
      </c>
      <c r="V18" s="55">
        <v>2.4397988970480262</v>
      </c>
      <c r="W18" s="55">
        <v>2.7403395716613286</v>
      </c>
      <c r="X18" s="55">
        <v>1.9996645222218719</v>
      </c>
      <c r="Y18" s="55">
        <v>1.5139018230149952</v>
      </c>
      <c r="DA18" s="10" t="s">
        <v>985</v>
      </c>
    </row>
    <row r="19" spans="1:105" x14ac:dyDescent="0.25">
      <c r="A19" s="60" t="s">
        <v>51</v>
      </c>
      <c r="B19" s="55">
        <f>SUM(B20:B25)</f>
        <v>95.920464316423036</v>
      </c>
      <c r="C19" s="55">
        <f t="shared" ref="C19:W19" si="29">SUM(C20:C25)</f>
        <v>110.15571797076529</v>
      </c>
      <c r="D19" s="55">
        <f t="shared" si="29"/>
        <v>116.46122098022353</v>
      </c>
      <c r="E19" s="55">
        <f t="shared" si="29"/>
        <v>120.330524505589</v>
      </c>
      <c r="F19" s="55">
        <f t="shared" si="29"/>
        <v>120.56938950988823</v>
      </c>
      <c r="G19" s="55">
        <f t="shared" si="29"/>
        <v>123.02949269131555</v>
      </c>
      <c r="H19" s="55">
        <f t="shared" si="29"/>
        <v>129.07231298366298</v>
      </c>
      <c r="I19" s="55">
        <f t="shared" si="29"/>
        <v>128.73800515907135</v>
      </c>
      <c r="J19" s="55">
        <f t="shared" si="29"/>
        <v>127.82072226999142</v>
      </c>
      <c r="K19" s="55">
        <f t="shared" si="29"/>
        <v>150.82510748065346</v>
      </c>
      <c r="L19" s="55">
        <f t="shared" si="29"/>
        <v>174.48220120378332</v>
      </c>
      <c r="M19" s="55">
        <f t="shared" si="29"/>
        <v>147.22361838705996</v>
      </c>
      <c r="N19" s="55">
        <f t="shared" si="29"/>
        <v>168.99382519513708</v>
      </c>
      <c r="O19" s="55">
        <f t="shared" si="29"/>
        <v>184.42584054805008</v>
      </c>
      <c r="P19" s="55">
        <f t="shared" si="29"/>
        <v>172.74986001185695</v>
      </c>
      <c r="Q19" s="55">
        <f t="shared" si="29"/>
        <v>155.21761848341816</v>
      </c>
      <c r="R19" s="55">
        <f t="shared" si="29"/>
        <v>173.13018582770513</v>
      </c>
      <c r="S19" s="55">
        <f t="shared" si="29"/>
        <v>167.00685699664717</v>
      </c>
      <c r="T19" s="55">
        <f t="shared" si="29"/>
        <v>162.93954748355986</v>
      </c>
      <c r="U19" s="55">
        <f t="shared" si="29"/>
        <v>160.65365039051918</v>
      </c>
      <c r="V19" s="55">
        <f t="shared" si="29"/>
        <v>144.53131030329592</v>
      </c>
      <c r="W19" s="55">
        <f t="shared" si="29"/>
        <v>171.61864581096984</v>
      </c>
      <c r="X19" s="55">
        <f t="shared" ref="X19:Y19" si="30">SUM(X20:X25)</f>
        <v>164.07600185782974</v>
      </c>
      <c r="Y19" s="55">
        <f t="shared" si="30"/>
        <v>168.10518674104347</v>
      </c>
      <c r="DA19" s="10"/>
    </row>
    <row r="20" spans="1:105" x14ac:dyDescent="0.25">
      <c r="A20" s="61" t="s">
        <v>164</v>
      </c>
      <c r="B20" s="55">
        <v>95.538349097162509</v>
      </c>
      <c r="C20" s="55">
        <v>109.8691315563199</v>
      </c>
      <c r="D20" s="55">
        <v>116.079105760963</v>
      </c>
      <c r="E20" s="55">
        <v>119.90060189165951</v>
      </c>
      <c r="F20" s="55">
        <v>120.0439380911436</v>
      </c>
      <c r="G20" s="55">
        <v>122.52794496990541</v>
      </c>
      <c r="H20" s="55">
        <v>128.618486672399</v>
      </c>
      <c r="I20" s="55">
        <v>128.26027515047289</v>
      </c>
      <c r="J20" s="55">
        <v>124.12820292347379</v>
      </c>
      <c r="K20" s="55">
        <v>137.33637145313841</v>
      </c>
      <c r="L20" s="55">
        <v>159.47738607050729</v>
      </c>
      <c r="M20" s="55">
        <v>134.9478933791917</v>
      </c>
      <c r="N20" s="55">
        <v>162.98847807394671</v>
      </c>
      <c r="O20" s="55">
        <v>183.1709372312983</v>
      </c>
      <c r="P20" s="55">
        <v>171.46749785038691</v>
      </c>
      <c r="Q20" s="55">
        <v>154.031728288908</v>
      </c>
      <c r="R20" s="55">
        <v>171.7540842648323</v>
      </c>
      <c r="S20" s="55">
        <v>165.61573516766981</v>
      </c>
      <c r="T20" s="55">
        <v>161.3165090283749</v>
      </c>
      <c r="U20" s="55">
        <v>159.07136715391229</v>
      </c>
      <c r="V20" s="55">
        <v>142.85374032674119</v>
      </c>
      <c r="W20" s="55">
        <v>156.30077386070511</v>
      </c>
      <c r="X20" s="55">
        <v>145.36165090283751</v>
      </c>
      <c r="Y20" s="55">
        <v>148.29939810834051</v>
      </c>
      <c r="DA20" s="10" t="s">
        <v>986</v>
      </c>
    </row>
    <row r="21" spans="1:105" x14ac:dyDescent="0.25">
      <c r="A21" s="61" t="s">
        <v>50</v>
      </c>
      <c r="B21" s="55">
        <v>0.3821152192605331</v>
      </c>
      <c r="C21" s="55">
        <v>0.28658641444539978</v>
      </c>
      <c r="D21" s="55">
        <v>0.3821152192605331</v>
      </c>
      <c r="E21" s="55">
        <v>0.42992261392949271</v>
      </c>
      <c r="F21" s="55">
        <v>0.52545141874462586</v>
      </c>
      <c r="G21" s="55">
        <v>0.50154772141014614</v>
      </c>
      <c r="H21" s="55">
        <v>0.45382631126397238</v>
      </c>
      <c r="I21" s="55">
        <v>0.47773000859845233</v>
      </c>
      <c r="J21" s="55">
        <v>0.47773000859845233</v>
      </c>
      <c r="K21" s="55">
        <v>0.45382631126397238</v>
      </c>
      <c r="L21" s="55">
        <v>0.45382631126397238</v>
      </c>
      <c r="M21" s="55">
        <v>0.57331744123025663</v>
      </c>
      <c r="N21" s="55">
        <v>0.90801264139672933</v>
      </c>
      <c r="O21" s="55">
        <v>0.59884140789538909</v>
      </c>
      <c r="P21" s="55">
        <v>0.62243094908827623</v>
      </c>
      <c r="Q21" s="55">
        <v>0.50979389184463941</v>
      </c>
      <c r="R21" s="55">
        <v>0.51290293862518244</v>
      </c>
      <c r="S21" s="55">
        <v>0.72396791668158367</v>
      </c>
      <c r="T21" s="55">
        <v>0.96370913446270468</v>
      </c>
      <c r="U21" s="55">
        <v>0.91693499928959143</v>
      </c>
      <c r="V21" s="55">
        <v>0.99029568592703798</v>
      </c>
      <c r="W21" s="55">
        <v>1.6888091815630906</v>
      </c>
      <c r="X21" s="55">
        <v>1.9359330702114901</v>
      </c>
      <c r="Y21" s="55">
        <v>2.8339055716539634</v>
      </c>
      <c r="DA21" s="10" t="s">
        <v>987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3.2147893379191741</v>
      </c>
      <c r="K22" s="55">
        <v>13.034909716251075</v>
      </c>
      <c r="L22" s="55">
        <v>14.550988822012036</v>
      </c>
      <c r="M22" s="55">
        <v>11.702407566638003</v>
      </c>
      <c r="N22" s="55">
        <v>5.0973344797936369</v>
      </c>
      <c r="O22" s="55">
        <v>0.65606190885640581</v>
      </c>
      <c r="P22" s="55">
        <v>0.65993121238177122</v>
      </c>
      <c r="Q22" s="55">
        <v>0.67609630266552023</v>
      </c>
      <c r="R22" s="55">
        <v>0.86319862424763538</v>
      </c>
      <c r="S22" s="55">
        <v>0.66715391229578669</v>
      </c>
      <c r="T22" s="55">
        <v>0.65932932072226991</v>
      </c>
      <c r="U22" s="55">
        <v>0.66534823731728288</v>
      </c>
      <c r="V22" s="55">
        <v>0.68727429062768697</v>
      </c>
      <c r="W22" s="55">
        <v>13.629062768701637</v>
      </c>
      <c r="X22" s="55">
        <v>16.778417884780733</v>
      </c>
      <c r="Y22" s="55">
        <v>16.971883061049006</v>
      </c>
      <c r="DA22" s="10" t="s">
        <v>988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DA23" s="10" t="s">
        <v>989</v>
      </c>
    </row>
    <row r="24" spans="1:105" x14ac:dyDescent="0.25">
      <c r="A24" s="61" t="s">
        <v>25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" t="s">
        <v>990</v>
      </c>
    </row>
    <row r="25" spans="1:105" x14ac:dyDescent="0.25">
      <c r="A25" s="61" t="s">
        <v>151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X25" s="55">
        <v>0</v>
      </c>
      <c r="Y25" s="55">
        <v>0</v>
      </c>
      <c r="DA25" s="10" t="s">
        <v>991</v>
      </c>
    </row>
    <row r="26" spans="1:105" x14ac:dyDescent="0.25">
      <c r="A26" s="60" t="s">
        <v>162</v>
      </c>
      <c r="B26" s="55">
        <v>8.0969045571797071</v>
      </c>
      <c r="C26" s="55">
        <v>9.1478073946689591</v>
      </c>
      <c r="D26" s="55">
        <v>9.3866723989681855</v>
      </c>
      <c r="E26" s="55">
        <v>9.6971625107480648</v>
      </c>
      <c r="F26" s="55">
        <v>9.8404127257093723</v>
      </c>
      <c r="G26" s="55">
        <v>10.50920034393809</v>
      </c>
      <c r="H26" s="55">
        <v>10.93912295786758</v>
      </c>
      <c r="I26" s="55">
        <v>10.867497850386931</v>
      </c>
      <c r="J26" s="55">
        <v>10.74806534823732</v>
      </c>
      <c r="K26" s="55">
        <v>11.822871883061049</v>
      </c>
      <c r="L26" s="55">
        <v>13.27979363714531</v>
      </c>
      <c r="M26" s="55">
        <v>13.27979363714531</v>
      </c>
      <c r="N26" s="55">
        <v>12.873774720550299</v>
      </c>
      <c r="O26" s="55">
        <v>12.0378331900258</v>
      </c>
      <c r="P26" s="55">
        <v>12.89767841788478</v>
      </c>
      <c r="Q26" s="55">
        <v>12.0378331900258</v>
      </c>
      <c r="R26" s="55">
        <v>13.112639724849529</v>
      </c>
      <c r="S26" s="55">
        <v>13.39922613929493</v>
      </c>
      <c r="T26" s="55">
        <v>13.017110920034391</v>
      </c>
      <c r="U26" s="55">
        <v>14.139638865004301</v>
      </c>
      <c r="V26" s="55">
        <v>13.160447119518491</v>
      </c>
      <c r="W26" s="55">
        <v>16.934135855546</v>
      </c>
      <c r="X26" s="55">
        <v>15.31006018916595</v>
      </c>
      <c r="Y26" s="55">
        <v>21.90214961306965</v>
      </c>
      <c r="DA26" s="10" t="s">
        <v>992</v>
      </c>
    </row>
    <row r="27" spans="1:105" x14ac:dyDescent="0.25">
      <c r="A27" s="62" t="s">
        <v>24</v>
      </c>
      <c r="B27" s="63">
        <v>130.7824591573517</v>
      </c>
      <c r="C27" s="63">
        <v>135.51160791057609</v>
      </c>
      <c r="D27" s="63">
        <v>145.74376612209801</v>
      </c>
      <c r="E27" s="63">
        <v>116.3370593293207</v>
      </c>
      <c r="F27" s="63">
        <v>122.01203783319001</v>
      </c>
      <c r="G27" s="63">
        <v>107.8245915735168</v>
      </c>
      <c r="H27" s="63">
        <v>135.2536543422184</v>
      </c>
      <c r="I27" s="63">
        <v>149.01117798796221</v>
      </c>
      <c r="J27" s="63">
        <v>144.62596732588131</v>
      </c>
      <c r="K27" s="63">
        <v>138.3490971625107</v>
      </c>
      <c r="L27" s="63">
        <v>142.3043852106621</v>
      </c>
      <c r="M27" s="63">
        <v>125.02149613069651</v>
      </c>
      <c r="N27" s="63">
        <v>136.19948409286329</v>
      </c>
      <c r="O27" s="63">
        <v>129.57867583834911</v>
      </c>
      <c r="P27" s="63">
        <v>131.64230438521071</v>
      </c>
      <c r="Q27" s="63">
        <v>131.55631986242469</v>
      </c>
      <c r="R27" s="63">
        <v>135.76956147893381</v>
      </c>
      <c r="S27" s="63">
        <v>130.95442820292351</v>
      </c>
      <c r="T27" s="63">
        <v>129.66466036113499</v>
      </c>
      <c r="U27" s="63">
        <v>126.82717110920029</v>
      </c>
      <c r="V27" s="63">
        <v>120.4643164230438</v>
      </c>
      <c r="W27" s="63">
        <v>141.8744625967326</v>
      </c>
      <c r="X27" s="63">
        <v>107.4806534823732</v>
      </c>
      <c r="Y27" s="63">
        <v>127.7730008598452</v>
      </c>
      <c r="DA27" s="11" t="s">
        <v>993</v>
      </c>
    </row>
    <row r="29" spans="1:105" x14ac:dyDescent="0.25">
      <c r="A29" s="218" t="s">
        <v>84</v>
      </c>
      <c r="B29" s="219">
        <v>2017.6766761607996</v>
      </c>
      <c r="C29" s="219">
        <v>2000.8194358175999</v>
      </c>
      <c r="D29" s="219">
        <v>2044.2527121599999</v>
      </c>
      <c r="E29" s="219">
        <v>2055.5666795448001</v>
      </c>
      <c r="F29" s="219">
        <v>1986.0562341431998</v>
      </c>
      <c r="G29" s="219">
        <v>1998.0314314992004</v>
      </c>
      <c r="H29" s="219">
        <v>1948.6530779040002</v>
      </c>
      <c r="I29" s="219">
        <v>1997.7297931583998</v>
      </c>
      <c r="J29" s="219">
        <v>1962.7790935104003</v>
      </c>
      <c r="K29" s="219">
        <v>1895.0944819823999</v>
      </c>
      <c r="L29" s="219">
        <v>1791.3752873352</v>
      </c>
      <c r="M29" s="219">
        <v>1652.0819516268891</v>
      </c>
      <c r="N29" s="219">
        <v>1738.692941440353</v>
      </c>
      <c r="O29" s="219">
        <v>1654.2872050583105</v>
      </c>
      <c r="P29" s="219">
        <v>1565.7451705414221</v>
      </c>
      <c r="Q29" s="219">
        <v>1710.5514177989637</v>
      </c>
      <c r="R29" s="219">
        <v>1744.7585257224521</v>
      </c>
      <c r="S29" s="219">
        <v>1733.5981522747313</v>
      </c>
      <c r="T29" s="219">
        <v>1603.7129829786618</v>
      </c>
      <c r="U29" s="219">
        <v>1776.3983662473308</v>
      </c>
      <c r="V29" s="219">
        <v>1763.0995351924319</v>
      </c>
      <c r="W29" s="219">
        <v>1508.0859109553526</v>
      </c>
      <c r="X29" s="219">
        <v>1529.5146326491395</v>
      </c>
      <c r="Y29" s="219">
        <v>1492.7729118016082</v>
      </c>
      <c r="DA29" s="8"/>
    </row>
    <row r="31" spans="1:105" x14ac:dyDescent="0.25">
      <c r="A31" s="33" t="s">
        <v>183</v>
      </c>
      <c r="B31" s="59">
        <f t="shared" ref="B31:Y31" si="31">IF(B$12=0,"",B$12/B$3*1000)</f>
        <v>139.65314613843415</v>
      </c>
      <c r="C31" s="59">
        <f t="shared" si="31"/>
        <v>148.18819911819162</v>
      </c>
      <c r="D31" s="59">
        <f t="shared" si="31"/>
        <v>155.6891569538769</v>
      </c>
      <c r="E31" s="59">
        <f t="shared" si="31"/>
        <v>157.44439010973463</v>
      </c>
      <c r="F31" s="59">
        <f t="shared" si="31"/>
        <v>159.01579612212603</v>
      </c>
      <c r="G31" s="59">
        <f t="shared" si="31"/>
        <v>160.57167987966039</v>
      </c>
      <c r="H31" s="59">
        <f t="shared" si="31"/>
        <v>179.36771697782908</v>
      </c>
      <c r="I31" s="59">
        <f t="shared" si="31"/>
        <v>147.45361426004737</v>
      </c>
      <c r="J31" s="59">
        <f t="shared" si="31"/>
        <v>154.78221951016064</v>
      </c>
      <c r="K31" s="59">
        <f t="shared" si="31"/>
        <v>163.65415359434746</v>
      </c>
      <c r="L31" s="59">
        <f t="shared" si="31"/>
        <v>148.81287832578815</v>
      </c>
      <c r="M31" s="59">
        <f t="shared" si="31"/>
        <v>136.88892824900714</v>
      </c>
      <c r="N31" s="59">
        <f t="shared" si="31"/>
        <v>154.20924446570751</v>
      </c>
      <c r="O31" s="59">
        <f t="shared" si="31"/>
        <v>150.72681355002146</v>
      </c>
      <c r="P31" s="59">
        <f t="shared" si="31"/>
        <v>144.63437357381585</v>
      </c>
      <c r="Q31" s="59">
        <f t="shared" si="31"/>
        <v>160.78963594526982</v>
      </c>
      <c r="R31" s="59">
        <f t="shared" si="31"/>
        <v>160.37886658141133</v>
      </c>
      <c r="S31" s="59">
        <f t="shared" si="31"/>
        <v>154.13513490295827</v>
      </c>
      <c r="T31" s="59">
        <f t="shared" si="31"/>
        <v>140.78532215798856</v>
      </c>
      <c r="U31" s="59">
        <f t="shared" si="31"/>
        <v>142.94285636809988</v>
      </c>
      <c r="V31" s="59">
        <f t="shared" si="31"/>
        <v>140.08115909948151</v>
      </c>
      <c r="W31" s="59">
        <f t="shared" si="31"/>
        <v>136.54001435741608</v>
      </c>
      <c r="X31" s="59">
        <f t="shared" si="31"/>
        <v>124.81728452967188</v>
      </c>
      <c r="Y31" s="59">
        <f t="shared" si="31"/>
        <v>123.91363158644613</v>
      </c>
      <c r="DA31" s="211"/>
    </row>
    <row r="32" spans="1:105" x14ac:dyDescent="0.25">
      <c r="A32" s="35" t="s">
        <v>112</v>
      </c>
      <c r="B32" s="55">
        <f t="shared" ref="B32:Y32" si="32">IF(B$12=0,"",B$12/B$5*1000)</f>
        <v>112.4717120162867</v>
      </c>
      <c r="C32" s="55">
        <f t="shared" si="32"/>
        <v>109.81942433546165</v>
      </c>
      <c r="D32" s="55">
        <f t="shared" si="32"/>
        <v>113.80906613357638</v>
      </c>
      <c r="E32" s="55">
        <f t="shared" si="32"/>
        <v>119.53787119840253</v>
      </c>
      <c r="F32" s="55">
        <f t="shared" si="32"/>
        <v>117.30616060932356</v>
      </c>
      <c r="G32" s="55">
        <f t="shared" si="32"/>
        <v>134.29403412451359</v>
      </c>
      <c r="H32" s="55">
        <f t="shared" si="32"/>
        <v>130.05722800154635</v>
      </c>
      <c r="I32" s="55">
        <f t="shared" si="32"/>
        <v>117.81469406104162</v>
      </c>
      <c r="J32" s="55">
        <f t="shared" si="32"/>
        <v>123.49619118298857</v>
      </c>
      <c r="K32" s="55">
        <f t="shared" si="32"/>
        <v>137.83360398812144</v>
      </c>
      <c r="L32" s="55">
        <f t="shared" si="32"/>
        <v>128.47617233393541</v>
      </c>
      <c r="M32" s="55">
        <f t="shared" si="32"/>
        <v>116.0213122138336</v>
      </c>
      <c r="N32" s="55">
        <f t="shared" si="32"/>
        <v>118.31216844961241</v>
      </c>
      <c r="O32" s="55">
        <f t="shared" si="32"/>
        <v>117.89482713876833</v>
      </c>
      <c r="P32" s="55">
        <f t="shared" si="32"/>
        <v>114.2126532077292</v>
      </c>
      <c r="Q32" s="55">
        <f t="shared" si="32"/>
        <v>116.67728719019784</v>
      </c>
      <c r="R32" s="55">
        <f t="shared" si="32"/>
        <v>118.41249825520165</v>
      </c>
      <c r="S32" s="55">
        <f t="shared" si="32"/>
        <v>109.25986032686184</v>
      </c>
      <c r="T32" s="55">
        <f t="shared" si="32"/>
        <v>115.03952384499111</v>
      </c>
      <c r="U32" s="55">
        <f t="shared" si="32"/>
        <v>114.31053707016741</v>
      </c>
      <c r="V32" s="55">
        <f t="shared" si="32"/>
        <v>121.02278233994659</v>
      </c>
      <c r="W32" s="55">
        <f t="shared" si="32"/>
        <v>115.61293230102248</v>
      </c>
      <c r="X32" s="55">
        <f t="shared" si="32"/>
        <v>98.926512660278448</v>
      </c>
      <c r="Y32" s="55">
        <f t="shared" si="32"/>
        <v>101.37891512464495</v>
      </c>
      <c r="DA32" s="216"/>
    </row>
    <row r="33" spans="1:105" x14ac:dyDescent="0.25">
      <c r="A33" s="35" t="s">
        <v>111</v>
      </c>
      <c r="B33" s="55">
        <f>IF(AGR_ued!B$5=0,"",AGR_ued!B$5/B$5*1000)</f>
        <v>44.160917084825456</v>
      </c>
      <c r="C33" s="55">
        <f>IF(AGR_ued!C$5=0,"",AGR_ued!C$5/C$5*1000)</f>
        <v>43.078376948436684</v>
      </c>
      <c r="D33" s="55">
        <f>IF(AGR_ued!D$5=0,"",AGR_ued!D$5/D$5*1000)</f>
        <v>44.692719849890764</v>
      </c>
      <c r="E33" s="55">
        <f>IF(AGR_ued!E$5=0,"",AGR_ued!E$5/E$5*1000)</f>
        <v>45.92397769475285</v>
      </c>
      <c r="F33" s="55">
        <f>IF(AGR_ued!F$5=0,"",AGR_ued!F$5/F$5*1000)</f>
        <v>45.399111719714043</v>
      </c>
      <c r="G33" s="55">
        <f>IF(AGR_ued!G$5=0,"",AGR_ued!G$5/G$5*1000)</f>
        <v>51.225347218924782</v>
      </c>
      <c r="H33" s="55">
        <f>IF(AGR_ued!H$5=0,"",AGR_ued!H$5/H$5*1000)</f>
        <v>50.461869828947371</v>
      </c>
      <c r="I33" s="55">
        <f>IF(AGR_ued!I$5=0,"",AGR_ued!I$5/I$5*1000)</f>
        <v>46.022275199414061</v>
      </c>
      <c r="J33" s="55">
        <f>IF(AGR_ued!J$5=0,"",AGR_ued!J$5/J$5*1000)</f>
        <v>48.262568081465865</v>
      </c>
      <c r="K33" s="55">
        <f>IF(AGR_ued!K$5=0,"",AGR_ued!K$5/K$5*1000)</f>
        <v>53.449005343834543</v>
      </c>
      <c r="L33" s="55">
        <f>IF(AGR_ued!L$5=0,"",AGR_ued!L$5/L$5*1000)</f>
        <v>50.369804002829724</v>
      </c>
      <c r="M33" s="55">
        <f>IF(AGR_ued!M$5=0,"",AGR_ued!M$5/M$5*1000)</f>
        <v>45.768055600994614</v>
      </c>
      <c r="N33" s="55">
        <f>IF(AGR_ued!N$5=0,"",AGR_ued!N$5/N$5*1000)</f>
        <v>46.509954150458874</v>
      </c>
      <c r="O33" s="55">
        <f>IF(AGR_ued!O$5=0,"",AGR_ued!O$5/O$5*1000)</f>
        <v>45.948166739793564</v>
      </c>
      <c r="P33" s="55">
        <f>IF(AGR_ued!P$5=0,"",AGR_ued!P$5/P$5*1000)</f>
        <v>45.007107434749116</v>
      </c>
      <c r="Q33" s="55">
        <f>IF(AGR_ued!Q$5=0,"",AGR_ued!Q$5/Q$5*1000)</f>
        <v>46.129326315930577</v>
      </c>
      <c r="R33" s="55">
        <f>IF(AGR_ued!R$5=0,"",AGR_ued!R$5/R$5*1000)</f>
        <v>46.44551661748995</v>
      </c>
      <c r="S33" s="55">
        <f>IF(AGR_ued!S$5=0,"",AGR_ued!S$5/S$5*1000)</f>
        <v>42.815418029933561</v>
      </c>
      <c r="T33" s="55">
        <f>IF(AGR_ued!T$5=0,"",AGR_ued!T$5/T$5*1000)</f>
        <v>45.270636877602911</v>
      </c>
      <c r="U33" s="55">
        <f>IF(AGR_ued!U$5=0,"",AGR_ued!U$5/U$5*1000)</f>
        <v>44.729698435379774</v>
      </c>
      <c r="V33" s="55">
        <f>IF(AGR_ued!V$5=0,"",AGR_ued!V$5/V$5*1000)</f>
        <v>47.648263559287521</v>
      </c>
      <c r="W33" s="55">
        <f>IF(AGR_ued!W$5=0,"",AGR_ued!W$5/W$5*1000)</f>
        <v>46.506768498041581</v>
      </c>
      <c r="X33" s="55">
        <f>IF(AGR_ued!X$5=0,"",AGR_ued!X$5/X$5*1000)</f>
        <v>38.918269985313849</v>
      </c>
      <c r="Y33" s="55">
        <f>IF(AGR_ued!Y$5=0,"",AGR_ued!Y$5/Y$5*1000)</f>
        <v>40.428359701025592</v>
      </c>
      <c r="DA33" s="216"/>
    </row>
    <row r="34" spans="1:105" x14ac:dyDescent="0.25">
      <c r="A34" s="37" t="s">
        <v>110</v>
      </c>
      <c r="B34" s="217">
        <f t="shared" ref="B34:Y34" si="33">IF(B$12=0,"",B$29/B$12)</f>
        <v>2.2780641043682022</v>
      </c>
      <c r="C34" s="217">
        <f t="shared" si="33"/>
        <v>2.22722009260701</v>
      </c>
      <c r="D34" s="217">
        <f t="shared" si="33"/>
        <v>2.2028152560992038</v>
      </c>
      <c r="E34" s="217">
        <f t="shared" si="33"/>
        <v>2.2702930670534109</v>
      </c>
      <c r="F34" s="217">
        <f t="shared" si="33"/>
        <v>2.2361065949437195</v>
      </c>
      <c r="G34" s="217">
        <f t="shared" si="33"/>
        <v>2.2636431980237703</v>
      </c>
      <c r="H34" s="217">
        <f t="shared" si="33"/>
        <v>2.1627868264800707</v>
      </c>
      <c r="I34" s="217">
        <f t="shared" si="33"/>
        <v>2.1525385918696291</v>
      </c>
      <c r="J34" s="217">
        <f t="shared" si="33"/>
        <v>2.1611962340572459</v>
      </c>
      <c r="K34" s="217">
        <f t="shared" si="33"/>
        <v>2.1020274240304939</v>
      </c>
      <c r="L34" s="217">
        <f t="shared" si="33"/>
        <v>2.0160805530250197</v>
      </c>
      <c r="M34" s="217">
        <f t="shared" si="33"/>
        <v>2.0606747794394829</v>
      </c>
      <c r="N34" s="217">
        <f t="shared" si="33"/>
        <v>2.0218350305061343</v>
      </c>
      <c r="O34" s="217">
        <f t="shared" si="33"/>
        <v>1.9638194245581084</v>
      </c>
      <c r="P34" s="217">
        <f t="shared" si="33"/>
        <v>1.9424291066063755</v>
      </c>
      <c r="Q34" s="217">
        <f t="shared" si="33"/>
        <v>2.0515041802555034</v>
      </c>
      <c r="R34" s="217">
        <f t="shared" si="33"/>
        <v>2.0150952488828064</v>
      </c>
      <c r="S34" s="217">
        <f t="shared" si="33"/>
        <v>2.0373086726108411</v>
      </c>
      <c r="T34" s="217">
        <f t="shared" si="33"/>
        <v>1.9965488112447316</v>
      </c>
      <c r="U34" s="217">
        <f t="shared" si="33"/>
        <v>2.0745317708028637</v>
      </c>
      <c r="V34" s="217">
        <f t="shared" si="33"/>
        <v>2.108783340136887</v>
      </c>
      <c r="W34" s="217">
        <f t="shared" si="33"/>
        <v>1.8696049794775365</v>
      </c>
      <c r="X34" s="217">
        <f t="shared" si="33"/>
        <v>1.9837191029932779</v>
      </c>
      <c r="Y34" s="217">
        <f t="shared" si="33"/>
        <v>1.8885220429659557</v>
      </c>
      <c r="DA34" s="214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Y14 B19:Y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25.5" x14ac:dyDescent="0.25">
      <c r="A1" s="28" t="s">
        <v>994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178" t="s">
        <v>130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 t="shared" ref="B5" si="0">SUM(B6:B9,B16:B17,B25:B27)</f>
        <v>885.69793637145312</v>
      </c>
      <c r="C5" s="80">
        <f t="shared" ref="C5:W5" si="1">SUM(C6:C9,C16:C17,C25:C27)</f>
        <v>898.34832330180564</v>
      </c>
      <c r="D5" s="80">
        <f t="shared" si="1"/>
        <v>928.01822871883019</v>
      </c>
      <c r="E5" s="80">
        <f t="shared" si="1"/>
        <v>905.41908856405826</v>
      </c>
      <c r="F5" s="80">
        <f t="shared" si="1"/>
        <v>888.17601031814229</v>
      </c>
      <c r="G5" s="80">
        <f t="shared" si="1"/>
        <v>882.66182287188258</v>
      </c>
      <c r="H5" s="80">
        <f t="shared" si="1"/>
        <v>900.99174548581254</v>
      </c>
      <c r="I5" s="80">
        <f t="shared" si="1"/>
        <v>928.08082545141849</v>
      </c>
      <c r="J5" s="80">
        <f t="shared" si="1"/>
        <v>908.19105760962998</v>
      </c>
      <c r="K5" s="80">
        <f t="shared" si="1"/>
        <v>901.55554600171956</v>
      </c>
      <c r="L5" s="80">
        <f t="shared" si="1"/>
        <v>888.54350816852934</v>
      </c>
      <c r="M5" s="80">
        <f t="shared" si="1"/>
        <v>801.71891659501296</v>
      </c>
      <c r="N5" s="80">
        <f t="shared" si="1"/>
        <v>859.95786758383485</v>
      </c>
      <c r="O5" s="80">
        <f t="shared" si="1"/>
        <v>842.38254514187406</v>
      </c>
      <c r="P5" s="80">
        <f t="shared" si="1"/>
        <v>806.07583834909713</v>
      </c>
      <c r="Q5" s="80">
        <f t="shared" si="1"/>
        <v>833.80352536543444</v>
      </c>
      <c r="R5" s="80">
        <f t="shared" si="1"/>
        <v>865.84419604471191</v>
      </c>
      <c r="S5" s="80">
        <f t="shared" si="1"/>
        <v>850.9256233877901</v>
      </c>
      <c r="T5" s="80">
        <f t="shared" si="1"/>
        <v>803.24256233877895</v>
      </c>
      <c r="U5" s="80">
        <f t="shared" si="1"/>
        <v>856.2888220120376</v>
      </c>
      <c r="V5" s="80">
        <f t="shared" si="1"/>
        <v>836.07429062768676</v>
      </c>
      <c r="W5" s="80">
        <f t="shared" si="1"/>
        <v>806.6334479793635</v>
      </c>
      <c r="X5" s="80">
        <f t="shared" ref="X5:Y5" si="2">SUM(X6:X9,X16:X17,X25:X27)</f>
        <v>771.03387790197758</v>
      </c>
      <c r="Y5" s="80">
        <f t="shared" si="2"/>
        <v>790.44505588993945</v>
      </c>
      <c r="DA5" s="103"/>
    </row>
    <row r="6" spans="1:105" x14ac:dyDescent="0.25">
      <c r="A6" s="238" t="s">
        <v>125</v>
      </c>
      <c r="B6" s="239">
        <v>20.594534991772431</v>
      </c>
      <c r="C6" s="239">
        <v>21.08052218197194</v>
      </c>
      <c r="D6" s="239">
        <v>22.219862784283471</v>
      </c>
      <c r="E6" s="239">
        <v>18.86649492824629</v>
      </c>
      <c r="F6" s="239">
        <v>19.421628799453199</v>
      </c>
      <c r="G6" s="239">
        <v>17.65546884215026</v>
      </c>
      <c r="H6" s="239">
        <v>20.640420742032742</v>
      </c>
      <c r="I6" s="239">
        <v>22.17358173538307</v>
      </c>
      <c r="J6" s="239">
        <v>21.677489439469682</v>
      </c>
      <c r="K6" s="239">
        <v>20.861329460179391</v>
      </c>
      <c r="L6" s="239">
        <v>21.486453264841529</v>
      </c>
      <c r="M6" s="239">
        <v>19.388941164960219</v>
      </c>
      <c r="N6" s="239">
        <v>20.854073562447262</v>
      </c>
      <c r="O6" s="239">
        <v>19.881253757774779</v>
      </c>
      <c r="P6" s="239">
        <v>19.931082238495961</v>
      </c>
      <c r="Q6" s="239">
        <v>20.43378297458435</v>
      </c>
      <c r="R6" s="239">
        <v>20.834548978853981</v>
      </c>
      <c r="S6" s="239">
        <v>20.265283266367611</v>
      </c>
      <c r="T6" s="239">
        <v>19.698937519070331</v>
      </c>
      <c r="U6" s="239">
        <v>19.954404799484301</v>
      </c>
      <c r="V6" s="239">
        <v>19.40814726154543</v>
      </c>
      <c r="W6" s="239">
        <v>21.321636713379331</v>
      </c>
      <c r="X6" s="239">
        <v>17.52996707345314</v>
      </c>
      <c r="Y6" s="239">
        <v>19.723067296649699</v>
      </c>
      <c r="DA6" s="267" t="s">
        <v>995</v>
      </c>
    </row>
    <row r="7" spans="1:105" x14ac:dyDescent="0.25">
      <c r="A7" s="240" t="s">
        <v>124</v>
      </c>
      <c r="B7" s="241">
        <v>13.386447744652081</v>
      </c>
      <c r="C7" s="241">
        <v>13.70233941828176</v>
      </c>
      <c r="D7" s="241">
        <v>14.44291080978426</v>
      </c>
      <c r="E7" s="241">
        <v>12.26322170336009</v>
      </c>
      <c r="F7" s="241">
        <v>12.624058719644569</v>
      </c>
      <c r="G7" s="241">
        <v>11.47605474739766</v>
      </c>
      <c r="H7" s="241">
        <v>13.41627348232128</v>
      </c>
      <c r="I7" s="241">
        <v>14.412828127998999</v>
      </c>
      <c r="J7" s="241">
        <v>14.090368135655281</v>
      </c>
      <c r="K7" s="241">
        <v>13.559864149116599</v>
      </c>
      <c r="L7" s="241">
        <v>13.966194622147</v>
      </c>
      <c r="M7" s="241">
        <v>12.60281175722414</v>
      </c>
      <c r="N7" s="241">
        <v>13.555147815590709</v>
      </c>
      <c r="O7" s="241">
        <v>12.922814942553609</v>
      </c>
      <c r="P7" s="241">
        <v>12.95520345502238</v>
      </c>
      <c r="Q7" s="241">
        <v>13.281958933479819</v>
      </c>
      <c r="R7" s="241">
        <v>13.542456836255081</v>
      </c>
      <c r="S7" s="241">
        <v>13.17243412313894</v>
      </c>
      <c r="T7" s="241">
        <v>12.80430938739571</v>
      </c>
      <c r="U7" s="241">
        <v>12.9703631196648</v>
      </c>
      <c r="V7" s="241">
        <v>12.61529572000453</v>
      </c>
      <c r="W7" s="241">
        <v>13.85906386369656</v>
      </c>
      <c r="X7" s="241">
        <v>11.39447859774454</v>
      </c>
      <c r="Y7" s="241">
        <v>12.819993742822311</v>
      </c>
      <c r="DA7" s="268" t="s">
        <v>996</v>
      </c>
    </row>
    <row r="8" spans="1:105" x14ac:dyDescent="0.25">
      <c r="A8" s="240" t="s">
        <v>123</v>
      </c>
      <c r="B8" s="241">
        <v>18.535081492595189</v>
      </c>
      <c r="C8" s="241">
        <v>18.972469963774738</v>
      </c>
      <c r="D8" s="241">
        <v>19.997876505855121</v>
      </c>
      <c r="E8" s="241">
        <v>16.979845435421659</v>
      </c>
      <c r="F8" s="241">
        <v>17.47946591950787</v>
      </c>
      <c r="G8" s="241">
        <v>15.889921957935231</v>
      </c>
      <c r="H8" s="241">
        <v>18.57637866782947</v>
      </c>
      <c r="I8" s="241">
        <v>19.956223561844769</v>
      </c>
      <c r="J8" s="241">
        <v>19.50974049552271</v>
      </c>
      <c r="K8" s="241">
        <v>18.775196514161451</v>
      </c>
      <c r="L8" s="241">
        <v>19.337807938357379</v>
      </c>
      <c r="M8" s="241">
        <v>17.450047048464199</v>
      </c>
      <c r="N8" s="241">
        <v>18.768666206202521</v>
      </c>
      <c r="O8" s="241">
        <v>17.8931283819973</v>
      </c>
      <c r="P8" s="241">
        <v>17.937974014646372</v>
      </c>
      <c r="Q8" s="241">
        <v>18.390404677125911</v>
      </c>
      <c r="R8" s="241">
        <v>18.751094080968581</v>
      </c>
      <c r="S8" s="241">
        <v>18.238754939730839</v>
      </c>
      <c r="T8" s="241">
        <v>17.729043767163301</v>
      </c>
      <c r="U8" s="241">
        <v>17.95896431953587</v>
      </c>
      <c r="V8" s="241">
        <v>17.467332535390891</v>
      </c>
      <c r="W8" s="241">
        <v>19.189473042041389</v>
      </c>
      <c r="X8" s="241">
        <v>15.776970366107831</v>
      </c>
      <c r="Y8" s="241">
        <v>17.750760566984731</v>
      </c>
      <c r="DA8" s="268" t="s">
        <v>997</v>
      </c>
    </row>
    <row r="9" spans="1:105" x14ac:dyDescent="0.25">
      <c r="A9" s="242" t="s">
        <v>122</v>
      </c>
      <c r="B9" s="243">
        <f t="shared" ref="B9" si="3">SUM(B10:B15)</f>
        <v>150.39514711137099</v>
      </c>
      <c r="C9" s="243">
        <f t="shared" ref="C9:W9" si="4">SUM(C10:C15)</f>
        <v>151.343254139896</v>
      </c>
      <c r="D9" s="243">
        <f t="shared" si="4"/>
        <v>154.90025766644249</v>
      </c>
      <c r="E9" s="243">
        <f t="shared" si="4"/>
        <v>148.56111977895688</v>
      </c>
      <c r="F9" s="243">
        <f t="shared" si="4"/>
        <v>146.8548694072698</v>
      </c>
      <c r="G9" s="243">
        <f t="shared" si="4"/>
        <v>143.06002417605217</v>
      </c>
      <c r="H9" s="243">
        <f t="shared" si="4"/>
        <v>146.00475657367443</v>
      </c>
      <c r="I9" s="243">
        <f t="shared" si="4"/>
        <v>150.84852527579807</v>
      </c>
      <c r="J9" s="243">
        <f t="shared" si="4"/>
        <v>148.53465217951694</v>
      </c>
      <c r="K9" s="243">
        <f t="shared" si="4"/>
        <v>145.23802511344579</v>
      </c>
      <c r="L9" s="243">
        <f t="shared" si="4"/>
        <v>148.37372063442535</v>
      </c>
      <c r="M9" s="243">
        <f t="shared" si="4"/>
        <v>138.20387888499795</v>
      </c>
      <c r="N9" s="243">
        <f t="shared" si="4"/>
        <v>146.00324491682559</v>
      </c>
      <c r="O9" s="243">
        <f t="shared" si="4"/>
        <v>140.38794540349247</v>
      </c>
      <c r="P9" s="243">
        <f t="shared" si="4"/>
        <v>137.21007684990462</v>
      </c>
      <c r="Q9" s="243">
        <f t="shared" si="4"/>
        <v>144.87979837279633</v>
      </c>
      <c r="R9" s="243">
        <f t="shared" si="4"/>
        <v>146.58681825905302</v>
      </c>
      <c r="S9" s="243">
        <f t="shared" si="4"/>
        <v>144.46757003569203</v>
      </c>
      <c r="T9" s="243">
        <f t="shared" si="4"/>
        <v>136.49864628948092</v>
      </c>
      <c r="U9" s="243">
        <f t="shared" si="4"/>
        <v>146.30340750421263</v>
      </c>
      <c r="V9" s="243">
        <f t="shared" si="4"/>
        <v>147.01412830885465</v>
      </c>
      <c r="W9" s="243">
        <f t="shared" si="4"/>
        <v>143.89058094896387</v>
      </c>
      <c r="X9" s="243">
        <f t="shared" ref="X9:Y9" si="5">SUM(X10:X15)</f>
        <v>136.84469926793071</v>
      </c>
      <c r="Y9" s="243">
        <f t="shared" si="5"/>
        <v>140.50360247195209</v>
      </c>
      <c r="DA9" s="269"/>
    </row>
    <row r="10" spans="1:105" x14ac:dyDescent="0.25">
      <c r="A10" s="253" t="s">
        <v>166</v>
      </c>
      <c r="B10" s="254">
        <v>106.8544965217571</v>
      </c>
      <c r="C10" s="254">
        <v>104.7067842458534</v>
      </c>
      <c r="D10" s="254">
        <v>103.25953390629761</v>
      </c>
      <c r="E10" s="254">
        <v>109.41666734100041</v>
      </c>
      <c r="F10" s="254">
        <v>103.9107306664951</v>
      </c>
      <c r="G10" s="254">
        <v>105.3064908542226</v>
      </c>
      <c r="H10" s="254">
        <v>96.132648602549168</v>
      </c>
      <c r="I10" s="254">
        <v>95.608254464165512</v>
      </c>
      <c r="J10" s="254">
        <v>96.759921680042538</v>
      </c>
      <c r="K10" s="254">
        <v>93.983204164242224</v>
      </c>
      <c r="L10" s="254">
        <v>96.813646833835833</v>
      </c>
      <c r="M10" s="254">
        <v>94.603662154953668</v>
      </c>
      <c r="N10" s="254">
        <v>99.445547623049421</v>
      </c>
      <c r="O10" s="254">
        <v>96.946398491486548</v>
      </c>
      <c r="P10" s="254">
        <v>91.407344371339519</v>
      </c>
      <c r="Q10" s="254">
        <v>101.9290249239091</v>
      </c>
      <c r="R10" s="254">
        <v>100.0758848567389</v>
      </c>
      <c r="S10" s="254">
        <v>100.28514992371051</v>
      </c>
      <c r="T10" s="254">
        <v>90.875658549011845</v>
      </c>
      <c r="U10" s="254">
        <v>103.5555890473772</v>
      </c>
      <c r="V10" s="254">
        <v>108.7718396256023</v>
      </c>
      <c r="W10" s="254">
        <v>89.63819211533766</v>
      </c>
      <c r="X10" s="254">
        <v>99.810942338845763</v>
      </c>
      <c r="Y10" s="254">
        <v>87.362398189137892</v>
      </c>
      <c r="DA10" s="270" t="s">
        <v>998</v>
      </c>
    </row>
    <row r="11" spans="1:105" x14ac:dyDescent="0.25">
      <c r="A11" s="253" t="s">
        <v>169</v>
      </c>
      <c r="B11" s="255">
        <v>7.6339618334926156</v>
      </c>
      <c r="C11" s="255">
        <v>7.3796654982096941</v>
      </c>
      <c r="D11" s="255">
        <v>7.6095991600596564</v>
      </c>
      <c r="E11" s="255">
        <v>7.4427052386675019</v>
      </c>
      <c r="F11" s="255">
        <v>8.199832178373617</v>
      </c>
      <c r="G11" s="255">
        <v>7.6970856145304687</v>
      </c>
      <c r="H11" s="255">
        <v>6.8814343804821503</v>
      </c>
      <c r="I11" s="255">
        <v>6.2295036495570564</v>
      </c>
      <c r="J11" s="255">
        <v>4.7881450221360424</v>
      </c>
      <c r="K11" s="255">
        <v>5.3894992037494687</v>
      </c>
      <c r="L11" s="255">
        <v>3.408161276528205</v>
      </c>
      <c r="M11" s="255">
        <v>2.2436327861812941</v>
      </c>
      <c r="N11" s="255">
        <v>1.7548062916841469</v>
      </c>
      <c r="O11" s="255">
        <v>1.231306672032717</v>
      </c>
      <c r="P11" s="255">
        <v>0.9181608671651198</v>
      </c>
      <c r="Q11" s="255">
        <v>1.5255352686420061</v>
      </c>
      <c r="R11" s="255">
        <v>1.801477091814786</v>
      </c>
      <c r="S11" s="255">
        <v>1.1551821005815111</v>
      </c>
      <c r="T11" s="255">
        <v>1.435904053818104</v>
      </c>
      <c r="U11" s="255">
        <v>1.5530324795761781</v>
      </c>
      <c r="V11" s="255">
        <v>1.658261447942259</v>
      </c>
      <c r="W11" s="255">
        <v>2.0519739472323431</v>
      </c>
      <c r="X11" s="255">
        <v>1.892878624252208</v>
      </c>
      <c r="Y11" s="255">
        <v>2.0813902924213741</v>
      </c>
      <c r="DA11" s="271" t="s">
        <v>999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0</v>
      </c>
      <c r="P12" s="255">
        <v>0</v>
      </c>
      <c r="Q12" s="255">
        <v>0</v>
      </c>
      <c r="R12" s="255">
        <v>0</v>
      </c>
      <c r="S12" s="255">
        <v>0</v>
      </c>
      <c r="T12" s="255">
        <v>0</v>
      </c>
      <c r="U12" s="255">
        <v>0</v>
      </c>
      <c r="V12" s="255">
        <v>0</v>
      </c>
      <c r="W12" s="255">
        <v>0</v>
      </c>
      <c r="X12" s="255">
        <v>0</v>
      </c>
      <c r="Y12" s="255">
        <v>0</v>
      </c>
      <c r="DA12" s="271" t="s">
        <v>1000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1001</v>
      </c>
    </row>
    <row r="14" spans="1:105" x14ac:dyDescent="0.25">
      <c r="A14" s="253" t="s">
        <v>162</v>
      </c>
      <c r="B14" s="254">
        <v>8.0969045571838478</v>
      </c>
      <c r="C14" s="254">
        <v>9.1478073946744765</v>
      </c>
      <c r="D14" s="254">
        <v>9.3866723989748007</v>
      </c>
      <c r="E14" s="254">
        <v>9.697162510753019</v>
      </c>
      <c r="F14" s="254">
        <v>9.8404127257193128</v>
      </c>
      <c r="G14" s="254">
        <v>10.50920034394561</v>
      </c>
      <c r="H14" s="254">
        <v>10.939122957883811</v>
      </c>
      <c r="I14" s="254">
        <v>10.867497850402421</v>
      </c>
      <c r="J14" s="254">
        <v>10.748065348250179</v>
      </c>
      <c r="K14" s="254">
        <v>11.82287188308217</v>
      </c>
      <c r="L14" s="254">
        <v>13.27979363715702</v>
      </c>
      <c r="M14" s="254">
        <v>13.279793637161269</v>
      </c>
      <c r="N14" s="254">
        <v>12.873774720569321</v>
      </c>
      <c r="O14" s="254">
        <v>12.03783319003607</v>
      </c>
      <c r="P14" s="254">
        <v>12.89767841790359</v>
      </c>
      <c r="Q14" s="254">
        <v>12.03783319003659</v>
      </c>
      <c r="R14" s="254">
        <v>13.112639724870389</v>
      </c>
      <c r="S14" s="254">
        <v>13.39922613931577</v>
      </c>
      <c r="T14" s="254">
        <v>13.01711092005449</v>
      </c>
      <c r="U14" s="254">
        <v>14.13963886501292</v>
      </c>
      <c r="V14" s="254">
        <v>13.160447119523299</v>
      </c>
      <c r="W14" s="254">
        <v>16.93413585557364</v>
      </c>
      <c r="X14" s="254">
        <v>15.31006018917204</v>
      </c>
      <c r="Y14" s="254">
        <v>21.902149613094341</v>
      </c>
      <c r="DA14" s="270" t="s">
        <v>1002</v>
      </c>
    </row>
    <row r="15" spans="1:105" x14ac:dyDescent="0.25">
      <c r="A15" s="253" t="s">
        <v>24</v>
      </c>
      <c r="B15" s="255">
        <v>27.809784198937429</v>
      </c>
      <c r="C15" s="255">
        <v>30.10899700115845</v>
      </c>
      <c r="D15" s="255">
        <v>34.644452201110433</v>
      </c>
      <c r="E15" s="255">
        <v>22.004584688535971</v>
      </c>
      <c r="F15" s="255">
        <v>24.90389383668176</v>
      </c>
      <c r="G15" s="255">
        <v>19.547247363353481</v>
      </c>
      <c r="H15" s="255">
        <v>32.051550632759309</v>
      </c>
      <c r="I15" s="255">
        <v>38.143269311673073</v>
      </c>
      <c r="J15" s="255">
        <v>36.238520129088187</v>
      </c>
      <c r="K15" s="255">
        <v>34.042449862371917</v>
      </c>
      <c r="L15" s="255">
        <v>34.872118886904289</v>
      </c>
      <c r="M15" s="255">
        <v>28.076790306701721</v>
      </c>
      <c r="N15" s="255">
        <v>31.929116281522699</v>
      </c>
      <c r="O15" s="255">
        <v>30.172407049937139</v>
      </c>
      <c r="P15" s="255">
        <v>31.9868931934964</v>
      </c>
      <c r="Q15" s="255">
        <v>29.38740499020864</v>
      </c>
      <c r="R15" s="255">
        <v>31.596816585628929</v>
      </c>
      <c r="S15" s="255">
        <v>29.628011872084251</v>
      </c>
      <c r="T15" s="255">
        <v>31.16997276659648</v>
      </c>
      <c r="U15" s="255">
        <v>27.055147112246349</v>
      </c>
      <c r="V15" s="255">
        <v>23.42358011578678</v>
      </c>
      <c r="W15" s="255">
        <v>35.266279030820243</v>
      </c>
      <c r="X15" s="255">
        <v>19.830818115660708</v>
      </c>
      <c r="Y15" s="255">
        <v>29.157664377298481</v>
      </c>
      <c r="DA15" s="271" t="s">
        <v>1003</v>
      </c>
    </row>
    <row r="16" spans="1:105" x14ac:dyDescent="0.25">
      <c r="A16" s="256" t="s">
        <v>168</v>
      </c>
      <c r="B16" s="257">
        <v>195.4896136566764</v>
      </c>
      <c r="C16" s="257">
        <v>195.38024618114781</v>
      </c>
      <c r="D16" s="257">
        <v>198.1928370987967</v>
      </c>
      <c r="E16" s="257">
        <v>194.8926321919123</v>
      </c>
      <c r="F16" s="257">
        <v>190.71894003954091</v>
      </c>
      <c r="G16" s="257">
        <v>187.50883929372901</v>
      </c>
      <c r="H16" s="257">
        <v>186.31636040049781</v>
      </c>
      <c r="I16" s="257">
        <v>190.5714482451983</v>
      </c>
      <c r="J16" s="257">
        <v>188.9185011716815</v>
      </c>
      <c r="K16" s="257">
        <v>184.44867676157429</v>
      </c>
      <c r="L16" s="257">
        <v>188.16663499831731</v>
      </c>
      <c r="M16" s="257">
        <v>176.85964453279911</v>
      </c>
      <c r="N16" s="257">
        <v>186.9802233645259</v>
      </c>
      <c r="O16" s="257">
        <v>180.76031041214</v>
      </c>
      <c r="P16" s="257">
        <v>174.52909265959721</v>
      </c>
      <c r="Q16" s="257">
        <v>186.78683771428149</v>
      </c>
      <c r="R16" s="257">
        <v>187.8690459278252</v>
      </c>
      <c r="S16" s="257">
        <v>185.83311208000819</v>
      </c>
      <c r="T16" s="257">
        <v>173.62230337610811</v>
      </c>
      <c r="U16" s="257">
        <v>188.9540153653611</v>
      </c>
      <c r="V16" s="257">
        <v>191.60866163243449</v>
      </c>
      <c r="W16" s="257">
        <v>178.53522529535309</v>
      </c>
      <c r="X16" s="257">
        <v>177.11298811458491</v>
      </c>
      <c r="Y16" s="257">
        <v>173.7660886248245</v>
      </c>
      <c r="DA16" s="272" t="s">
        <v>1004</v>
      </c>
    </row>
    <row r="17" spans="1:105" x14ac:dyDescent="0.25">
      <c r="A17" s="256" t="s">
        <v>121</v>
      </c>
      <c r="B17" s="257">
        <f t="shared" ref="B17" si="6">SUM(B18:B24)</f>
        <v>399.2755422236919</v>
      </c>
      <c r="C17" s="257">
        <f t="shared" ref="C17:W17" si="7">SUM(C18:C24)</f>
        <v>408.67826952191183</v>
      </c>
      <c r="D17" s="257">
        <f t="shared" si="7"/>
        <v>425.74141469899723</v>
      </c>
      <c r="E17" s="257">
        <f t="shared" si="7"/>
        <v>430.18261849463988</v>
      </c>
      <c r="F17" s="257">
        <f t="shared" si="7"/>
        <v>416.84582314622958</v>
      </c>
      <c r="G17" s="257">
        <f t="shared" si="7"/>
        <v>427.78422907391945</v>
      </c>
      <c r="H17" s="257">
        <f t="shared" si="7"/>
        <v>429.66628344117157</v>
      </c>
      <c r="I17" s="257">
        <f t="shared" si="7"/>
        <v>439.17305130310967</v>
      </c>
      <c r="J17" s="257">
        <f t="shared" si="7"/>
        <v>426.0481926660691</v>
      </c>
      <c r="K17" s="257">
        <f t="shared" si="7"/>
        <v>432.11884644147887</v>
      </c>
      <c r="L17" s="257">
        <f t="shared" si="7"/>
        <v>408.41309916762293</v>
      </c>
      <c r="M17" s="257">
        <f t="shared" si="7"/>
        <v>355.72563275575953</v>
      </c>
      <c r="N17" s="257">
        <f t="shared" si="7"/>
        <v>386.77422332895253</v>
      </c>
      <c r="O17" s="257">
        <f t="shared" si="7"/>
        <v>387.09342048491959</v>
      </c>
      <c r="P17" s="257">
        <f t="shared" si="7"/>
        <v>361.14403801507478</v>
      </c>
      <c r="Q17" s="257">
        <f t="shared" si="7"/>
        <v>364.07532690845761</v>
      </c>
      <c r="R17" s="257">
        <f t="shared" si="7"/>
        <v>391.11498413952836</v>
      </c>
      <c r="S17" s="257">
        <f t="shared" si="7"/>
        <v>383.58914377198755</v>
      </c>
      <c r="T17" s="257">
        <f t="shared" si="7"/>
        <v>361.26395256355272</v>
      </c>
      <c r="U17" s="257">
        <f t="shared" si="7"/>
        <v>384.95028640174701</v>
      </c>
      <c r="V17" s="257">
        <f t="shared" si="7"/>
        <v>363.59156323206457</v>
      </c>
      <c r="W17" s="257">
        <f t="shared" si="7"/>
        <v>343.29242676414026</v>
      </c>
      <c r="X17" s="257">
        <f t="shared" ref="X17:Y17" si="8">SUM(X18:X24)</f>
        <v>335.39261847500495</v>
      </c>
      <c r="Y17" s="257">
        <f t="shared" si="8"/>
        <v>344.16942626182129</v>
      </c>
      <c r="DA17" s="272"/>
    </row>
    <row r="18" spans="1:105" x14ac:dyDescent="0.25">
      <c r="A18" s="61" t="s">
        <v>29</v>
      </c>
      <c r="B18" s="55">
        <v>21.639466895936138</v>
      </c>
      <c r="C18" s="55">
        <v>24.473258813387371</v>
      </c>
      <c r="D18" s="55">
        <v>28.058899398078051</v>
      </c>
      <c r="E18" s="55">
        <v>30.653224419572581</v>
      </c>
      <c r="F18" s="55">
        <v>33.28787618222534</v>
      </c>
      <c r="G18" s="55">
        <v>29.17239896814419</v>
      </c>
      <c r="H18" s="55">
        <v>28.908426483175301</v>
      </c>
      <c r="I18" s="55">
        <v>34.32906276864027</v>
      </c>
      <c r="J18" s="55">
        <v>39.695786758321141</v>
      </c>
      <c r="K18" s="55">
        <v>46.031728288804601</v>
      </c>
      <c r="L18" s="55">
        <v>55.122613929424453</v>
      </c>
      <c r="M18" s="55">
        <v>45.560189165851611</v>
      </c>
      <c r="N18" s="55">
        <v>50.510146173569296</v>
      </c>
      <c r="O18" s="55">
        <v>45.654342218341633</v>
      </c>
      <c r="P18" s="55">
        <v>43.154342218305437</v>
      </c>
      <c r="Q18" s="55">
        <v>45.087704213162553</v>
      </c>
      <c r="R18" s="55">
        <v>50.862596732458968</v>
      </c>
      <c r="S18" s="55">
        <v>51.29742046418226</v>
      </c>
      <c r="T18" s="55">
        <v>51.424505588873068</v>
      </c>
      <c r="U18" s="55">
        <v>50.405331040354227</v>
      </c>
      <c r="V18" s="55">
        <v>32.602751504694737</v>
      </c>
      <c r="W18" s="55">
        <v>31.030610490029201</v>
      </c>
      <c r="X18" s="55">
        <v>28.401375752327251</v>
      </c>
      <c r="Y18" s="55">
        <v>28.951848667183992</v>
      </c>
      <c r="DA18" s="101" t="s">
        <v>1005</v>
      </c>
    </row>
    <row r="19" spans="1:105" x14ac:dyDescent="0.25">
      <c r="A19" s="61" t="s">
        <v>27</v>
      </c>
      <c r="B19" s="55">
        <v>5.5173688735969906</v>
      </c>
      <c r="C19" s="55">
        <v>4.4138435081638017</v>
      </c>
      <c r="D19" s="55">
        <v>4.4138435081637661</v>
      </c>
      <c r="E19" s="55">
        <v>4.4138435081639367</v>
      </c>
      <c r="F19" s="55">
        <v>4.4138435081603271</v>
      </c>
      <c r="G19" s="55">
        <v>4.4138435081622447</v>
      </c>
      <c r="H19" s="55">
        <v>5.5173688735917361</v>
      </c>
      <c r="I19" s="55">
        <v>5.517368873592889</v>
      </c>
      <c r="J19" s="55">
        <v>4.4138435081615972</v>
      </c>
      <c r="K19" s="55">
        <v>4.4138435081586156</v>
      </c>
      <c r="L19" s="55">
        <v>4.4138435081630663</v>
      </c>
      <c r="M19" s="55">
        <v>4.413843508158986</v>
      </c>
      <c r="N19" s="55">
        <v>5.5173688735897057</v>
      </c>
      <c r="O19" s="55">
        <v>4.4233877901920424</v>
      </c>
      <c r="P19" s="55">
        <v>4.4233877901880003</v>
      </c>
      <c r="Q19" s="55">
        <v>3.3175408426425048</v>
      </c>
      <c r="R19" s="55">
        <v>3.3175408426398989</v>
      </c>
      <c r="S19" s="55">
        <v>3.3175408426396462</v>
      </c>
      <c r="T19" s="55">
        <v>2.2116938950936822</v>
      </c>
      <c r="U19" s="55">
        <v>2.2116938950963161</v>
      </c>
      <c r="V19" s="55">
        <v>2.2116938950965479</v>
      </c>
      <c r="W19" s="55">
        <v>4.423387790185993</v>
      </c>
      <c r="X19" s="55">
        <v>4.4233877901919509</v>
      </c>
      <c r="Y19" s="55">
        <v>4.4233877901892216</v>
      </c>
      <c r="DA19" s="101" t="s">
        <v>1006</v>
      </c>
    </row>
    <row r="20" spans="1:105" x14ac:dyDescent="0.25">
      <c r="A20" s="61" t="s">
        <v>166</v>
      </c>
      <c r="B20" s="55">
        <v>100.6899855708198</v>
      </c>
      <c r="C20" s="55">
        <v>95.7788292594892</v>
      </c>
      <c r="D20" s="55">
        <v>91.81894163241283</v>
      </c>
      <c r="E20" s="55">
        <v>86.515005590926748</v>
      </c>
      <c r="F20" s="55">
        <v>85.804382754272822</v>
      </c>
      <c r="G20" s="55">
        <v>78.012956993327577</v>
      </c>
      <c r="H20" s="55">
        <v>75.07076167445797</v>
      </c>
      <c r="I20" s="55">
        <v>76.680027008336111</v>
      </c>
      <c r="J20" s="55">
        <v>79.701513957015138</v>
      </c>
      <c r="K20" s="55">
        <v>72.119093711375498</v>
      </c>
      <c r="L20" s="55">
        <v>85.832524417032587</v>
      </c>
      <c r="M20" s="55">
        <v>94.531518336999937</v>
      </c>
      <c r="N20" s="55">
        <v>94.520173215478096</v>
      </c>
      <c r="O20" s="55">
        <v>85.463248223549641</v>
      </c>
      <c r="P20" s="55">
        <v>88.116627085764733</v>
      </c>
      <c r="Q20" s="55">
        <v>106.8068810941444</v>
      </c>
      <c r="R20" s="55">
        <v>93.773812908793474</v>
      </c>
      <c r="S20" s="55">
        <v>94.615521058189728</v>
      </c>
      <c r="T20" s="55">
        <v>86.597707004944809</v>
      </c>
      <c r="U20" s="55">
        <v>98.885520085437477</v>
      </c>
      <c r="V20" s="55">
        <v>116.2214497877478</v>
      </c>
      <c r="W20" s="55">
        <v>103.84422874296079</v>
      </c>
      <c r="X20" s="55">
        <v>107.7119803325736</v>
      </c>
      <c r="Y20" s="55">
        <v>95.128546563319659</v>
      </c>
      <c r="DA20" s="101" t="s">
        <v>1007</v>
      </c>
    </row>
    <row r="21" spans="1:105" x14ac:dyDescent="0.25">
      <c r="A21" s="61" t="s">
        <v>129</v>
      </c>
      <c r="B21" s="55">
        <v>168.69681857248091</v>
      </c>
      <c r="C21" s="55">
        <v>167.3927772999067</v>
      </c>
      <c r="D21" s="55">
        <v>178.60412725690091</v>
      </c>
      <c r="E21" s="55">
        <v>182.81504729129739</v>
      </c>
      <c r="F21" s="55">
        <v>166.52476354225291</v>
      </c>
      <c r="G21" s="55">
        <v>187.95494410979259</v>
      </c>
      <c r="H21" s="55">
        <v>186.17747205465841</v>
      </c>
      <c r="I21" s="55">
        <v>189.390111779541</v>
      </c>
      <c r="J21" s="55">
        <v>174.164832329907</v>
      </c>
      <c r="K21" s="55">
        <v>168.08211521888299</v>
      </c>
      <c r="L21" s="55">
        <v>100.5451418743381</v>
      </c>
      <c r="M21" s="55">
        <v>74.030266551860549</v>
      </c>
      <c r="N21" s="55">
        <v>71.570163370424083</v>
      </c>
      <c r="O21" s="55">
        <v>67.296044711864781</v>
      </c>
      <c r="P21" s="55">
        <v>53.097076526108083</v>
      </c>
      <c r="Q21" s="55">
        <v>53.232932072133643</v>
      </c>
      <c r="R21" s="55">
        <v>69.718916594835875</v>
      </c>
      <c r="S21" s="55">
        <v>67.653052450381963</v>
      </c>
      <c r="T21" s="55">
        <v>58.345227858848197</v>
      </c>
      <c r="U21" s="55">
        <v>72.893379191660927</v>
      </c>
      <c r="V21" s="55">
        <v>67.930094582903379</v>
      </c>
      <c r="W21" s="55">
        <v>45.316251074685937</v>
      </c>
      <c r="X21" s="55">
        <v>47.451504729086388</v>
      </c>
      <c r="Y21" s="55">
        <v>65.099828030828718</v>
      </c>
      <c r="DA21" s="101" t="s">
        <v>1008</v>
      </c>
    </row>
    <row r="22" spans="1:105" x14ac:dyDescent="0.25">
      <c r="A22" s="61" t="s">
        <v>169</v>
      </c>
      <c r="B22" s="55">
        <v>7.1935532137952638</v>
      </c>
      <c r="C22" s="55">
        <v>6.7504290847625894</v>
      </c>
      <c r="D22" s="55">
        <v>6.7664971426039244</v>
      </c>
      <c r="E22" s="55">
        <v>5.884895793144449</v>
      </c>
      <c r="F22" s="55">
        <v>6.7710190683976661</v>
      </c>
      <c r="G22" s="55">
        <v>5.7021405247618464</v>
      </c>
      <c r="H22" s="55">
        <v>5.3737676831458749</v>
      </c>
      <c r="I22" s="55">
        <v>4.9962057227558727</v>
      </c>
      <c r="J22" s="55">
        <v>3.9440131893854198</v>
      </c>
      <c r="K22" s="55">
        <v>4.1356942614271368</v>
      </c>
      <c r="L22" s="55">
        <v>3.0215893683549799</v>
      </c>
      <c r="M22" s="55">
        <v>2.2419218139885242</v>
      </c>
      <c r="N22" s="55">
        <v>1.667893622329979</v>
      </c>
      <c r="O22" s="55">
        <v>1.0854603099101809</v>
      </c>
      <c r="P22" s="55">
        <v>0.88510654470013028</v>
      </c>
      <c r="Q22" s="55">
        <v>1.5985403977366091</v>
      </c>
      <c r="R22" s="55">
        <v>1.6880327964039139</v>
      </c>
      <c r="S22" s="55">
        <v>1.0898737893572461</v>
      </c>
      <c r="T22" s="55">
        <v>1.368309187797405</v>
      </c>
      <c r="U22" s="55">
        <v>1.4829950354703381</v>
      </c>
      <c r="V22" s="55">
        <v>1.771833135031543</v>
      </c>
      <c r="W22" s="55">
        <v>2.3771748059891009</v>
      </c>
      <c r="X22" s="55">
        <v>2.0427189681792219</v>
      </c>
      <c r="Y22" s="55">
        <v>2.2664171022455539</v>
      </c>
      <c r="DA22" s="101" t="s">
        <v>1009</v>
      </c>
    </row>
    <row r="23" spans="1:105" x14ac:dyDescent="0.25">
      <c r="A23" s="61" t="s">
        <v>164</v>
      </c>
      <c r="B23" s="55">
        <v>95.538349097062778</v>
      </c>
      <c r="C23" s="55">
        <v>109.86913155620221</v>
      </c>
      <c r="D23" s="55">
        <v>116.07910576083771</v>
      </c>
      <c r="E23" s="55">
        <v>119.90060189153481</v>
      </c>
      <c r="F23" s="55">
        <v>120.04393809092051</v>
      </c>
      <c r="G23" s="55">
        <v>122.527944969731</v>
      </c>
      <c r="H23" s="55">
        <v>128.61848667214221</v>
      </c>
      <c r="I23" s="55">
        <v>128.26027515024359</v>
      </c>
      <c r="J23" s="55">
        <v>124.12820292327881</v>
      </c>
      <c r="K23" s="55">
        <v>137.33637145283001</v>
      </c>
      <c r="L23" s="55">
        <v>159.47738607030979</v>
      </c>
      <c r="M23" s="55">
        <v>134.94789337889989</v>
      </c>
      <c r="N23" s="55">
        <v>162.98847807356131</v>
      </c>
      <c r="O23" s="55">
        <v>183.17093723106129</v>
      </c>
      <c r="P23" s="55">
        <v>171.46749785000841</v>
      </c>
      <c r="Q23" s="55">
        <v>154.03172828863791</v>
      </c>
      <c r="R23" s="55">
        <v>171.7540842643962</v>
      </c>
      <c r="S23" s="55">
        <v>165.61573516723669</v>
      </c>
      <c r="T23" s="55">
        <v>161.31650902799561</v>
      </c>
      <c r="U23" s="55">
        <v>159.07136715372769</v>
      </c>
      <c r="V23" s="55">
        <v>142.8537403265905</v>
      </c>
      <c r="W23" s="55">
        <v>156.30077386028921</v>
      </c>
      <c r="X23" s="55">
        <v>145.36165090264649</v>
      </c>
      <c r="Y23" s="55">
        <v>148.29939810805411</v>
      </c>
      <c r="DA23" s="101" t="s">
        <v>1010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1" t="s">
        <v>1011</v>
      </c>
    </row>
    <row r="25" spans="1:105" x14ac:dyDescent="0.25">
      <c r="A25" s="256" t="s">
        <v>167</v>
      </c>
      <c r="B25" s="257">
        <v>37.564958420851617</v>
      </c>
      <c r="C25" s="257">
        <v>37.54394254899033</v>
      </c>
      <c r="D25" s="257">
        <v>38.084405333176413</v>
      </c>
      <c r="E25" s="257">
        <v>37.450243457317733</v>
      </c>
      <c r="F25" s="257">
        <v>36.648233727836072</v>
      </c>
      <c r="G25" s="257">
        <v>36.03138611743082</v>
      </c>
      <c r="H25" s="257">
        <v>35.802241360305011</v>
      </c>
      <c r="I25" s="257">
        <v>36.619891950397047</v>
      </c>
      <c r="J25" s="257">
        <v>36.302264395014078</v>
      </c>
      <c r="K25" s="257">
        <v>35.443350384323658</v>
      </c>
      <c r="L25" s="257">
        <v>36.157787043956112</v>
      </c>
      <c r="M25" s="257">
        <v>33.985054596655289</v>
      </c>
      <c r="N25" s="257">
        <v>35.929808161294552</v>
      </c>
      <c r="O25" s="257">
        <v>34.734600052448208</v>
      </c>
      <c r="P25" s="257">
        <v>33.537219632040667</v>
      </c>
      <c r="Q25" s="257">
        <v>35.892647496977197</v>
      </c>
      <c r="R25" s="257">
        <v>36.100602824035512</v>
      </c>
      <c r="S25" s="257">
        <v>35.709381168264237</v>
      </c>
      <c r="T25" s="257">
        <v>33.362972514285509</v>
      </c>
      <c r="U25" s="257">
        <v>36.30908874329517</v>
      </c>
      <c r="V25" s="257">
        <v>36.819201146605849</v>
      </c>
      <c r="W25" s="257">
        <v>34.307031404009699</v>
      </c>
      <c r="X25" s="257">
        <v>34.033736677191257</v>
      </c>
      <c r="Y25" s="257">
        <v>33.390602048093122</v>
      </c>
      <c r="DA25" s="272" t="s">
        <v>1012</v>
      </c>
    </row>
    <row r="26" spans="1:105" x14ac:dyDescent="0.25">
      <c r="A26" s="256" t="s">
        <v>170</v>
      </c>
      <c r="B26" s="257">
        <v>20.594534991772431</v>
      </c>
      <c r="C26" s="257">
        <v>21.08052218197194</v>
      </c>
      <c r="D26" s="257">
        <v>22.219862784283471</v>
      </c>
      <c r="E26" s="257">
        <v>18.86649492824629</v>
      </c>
      <c r="F26" s="257">
        <v>19.421628799453199</v>
      </c>
      <c r="G26" s="257">
        <v>17.65546884215026</v>
      </c>
      <c r="H26" s="257">
        <v>20.640420742032742</v>
      </c>
      <c r="I26" s="257">
        <v>22.17358173538307</v>
      </c>
      <c r="J26" s="257">
        <v>21.677489439469682</v>
      </c>
      <c r="K26" s="257">
        <v>20.861329460179391</v>
      </c>
      <c r="L26" s="257">
        <v>21.486453264841529</v>
      </c>
      <c r="M26" s="257">
        <v>19.388941164960219</v>
      </c>
      <c r="N26" s="257">
        <v>20.854073562447262</v>
      </c>
      <c r="O26" s="257">
        <v>19.881253757774779</v>
      </c>
      <c r="P26" s="257">
        <v>19.931082238495961</v>
      </c>
      <c r="Q26" s="257">
        <v>20.43378297458435</v>
      </c>
      <c r="R26" s="257">
        <v>20.834548978853981</v>
      </c>
      <c r="S26" s="257">
        <v>20.265283266367611</v>
      </c>
      <c r="T26" s="257">
        <v>19.698937519070331</v>
      </c>
      <c r="U26" s="257">
        <v>19.954404799484301</v>
      </c>
      <c r="V26" s="257">
        <v>19.40814726154543</v>
      </c>
      <c r="W26" s="257">
        <v>21.321636713379331</v>
      </c>
      <c r="X26" s="257">
        <v>17.52996707345314</v>
      </c>
      <c r="Y26" s="257">
        <v>19.723067296649699</v>
      </c>
      <c r="DA26" s="272" t="s">
        <v>1013</v>
      </c>
    </row>
    <row r="27" spans="1:105" x14ac:dyDescent="0.25">
      <c r="A27" s="128" t="s">
        <v>33</v>
      </c>
      <c r="B27" s="258">
        <v>29.862075738070018</v>
      </c>
      <c r="C27" s="258">
        <v>30.566757163859322</v>
      </c>
      <c r="D27" s="258">
        <v>32.218801037211037</v>
      </c>
      <c r="E27" s="258">
        <v>27.356417645957119</v>
      </c>
      <c r="F27" s="258">
        <v>28.161361759207139</v>
      </c>
      <c r="G27" s="258">
        <v>25.600429821117871</v>
      </c>
      <c r="H27" s="258">
        <v>29.928610075947489</v>
      </c>
      <c r="I27" s="258">
        <v>32.151693516305457</v>
      </c>
      <c r="J27" s="258">
        <v>31.432359687231031</v>
      </c>
      <c r="K27" s="258">
        <v>30.24892771726012</v>
      </c>
      <c r="L27" s="258">
        <v>31.15535723402024</v>
      </c>
      <c r="M27" s="258">
        <v>28.113964689192319</v>
      </c>
      <c r="N27" s="258">
        <v>30.238406665548521</v>
      </c>
      <c r="O27" s="258">
        <v>28.827817948773429</v>
      </c>
      <c r="P27" s="258">
        <v>28.90006924581915</v>
      </c>
      <c r="Q27" s="258">
        <v>29.628985313147311</v>
      </c>
      <c r="R27" s="258">
        <v>30.21009601933827</v>
      </c>
      <c r="S27" s="258">
        <v>29.38466073623303</v>
      </c>
      <c r="T27" s="258">
        <v>28.56345940265199</v>
      </c>
      <c r="U27" s="258">
        <v>28.933886959252241</v>
      </c>
      <c r="V27" s="258">
        <v>28.141813529240871</v>
      </c>
      <c r="W27" s="258">
        <v>30.916373234400019</v>
      </c>
      <c r="X27" s="258">
        <v>25.418452256507059</v>
      </c>
      <c r="Y27" s="258">
        <v>28.598447580142071</v>
      </c>
      <c r="DA27" s="273" t="s">
        <v>1014</v>
      </c>
    </row>
    <row r="29" spans="1:105" ht="12.75" x14ac:dyDescent="0.25">
      <c r="A29" s="178" t="s">
        <v>127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9">SUM(B32:B40)</f>
        <v>1</v>
      </c>
      <c r="C31" s="235">
        <f t="shared" si="9"/>
        <v>1</v>
      </c>
      <c r="D31" s="235">
        <f t="shared" si="9"/>
        <v>1</v>
      </c>
      <c r="E31" s="235">
        <f t="shared" si="9"/>
        <v>1</v>
      </c>
      <c r="F31" s="235">
        <f t="shared" si="9"/>
        <v>1</v>
      </c>
      <c r="G31" s="235">
        <f t="shared" si="9"/>
        <v>1.0000000000000002</v>
      </c>
      <c r="H31" s="235">
        <f t="shared" si="9"/>
        <v>1</v>
      </c>
      <c r="I31" s="235">
        <f t="shared" si="9"/>
        <v>0.99999999999999989</v>
      </c>
      <c r="J31" s="235">
        <f t="shared" si="9"/>
        <v>0.99999999999999989</v>
      </c>
      <c r="K31" s="235">
        <f t="shared" si="9"/>
        <v>1</v>
      </c>
      <c r="L31" s="235">
        <f t="shared" si="9"/>
        <v>1</v>
      </c>
      <c r="M31" s="235">
        <f t="shared" si="9"/>
        <v>0.99999999999999989</v>
      </c>
      <c r="N31" s="235">
        <f t="shared" si="9"/>
        <v>0.99999999999999989</v>
      </c>
      <c r="O31" s="235">
        <f t="shared" si="9"/>
        <v>1</v>
      </c>
      <c r="P31" s="235">
        <f t="shared" si="9"/>
        <v>1</v>
      </c>
      <c r="Q31" s="235">
        <f t="shared" si="9"/>
        <v>0.99999999999999978</v>
      </c>
      <c r="R31" s="235">
        <f t="shared" ref="R31:W31" si="10">SUM(R32:R40)</f>
        <v>1.0000000000000002</v>
      </c>
      <c r="S31" s="235">
        <f t="shared" si="10"/>
        <v>0.99999999999999989</v>
      </c>
      <c r="T31" s="235">
        <f t="shared" si="10"/>
        <v>0.99999999999999989</v>
      </c>
      <c r="U31" s="235">
        <f t="shared" si="10"/>
        <v>0.99999999999999967</v>
      </c>
      <c r="V31" s="235">
        <f t="shared" si="10"/>
        <v>1</v>
      </c>
      <c r="W31" s="235">
        <f t="shared" si="10"/>
        <v>1</v>
      </c>
      <c r="X31" s="235">
        <f t="shared" ref="X31:Y31" si="11">SUM(X32:X40)</f>
        <v>0.99999999999999989</v>
      </c>
      <c r="Y31" s="235">
        <f t="shared" si="11"/>
        <v>1.0000000000000002</v>
      </c>
      <c r="DA31" s="274"/>
    </row>
    <row r="32" spans="1:105" x14ac:dyDescent="0.25">
      <c r="A32" s="238" t="s">
        <v>125</v>
      </c>
      <c r="B32" s="244">
        <f t="shared" ref="B32:Y32" si="12">IF(B$6=0,0,B$6/B$5)</f>
        <v>2.3252323558689295E-2</v>
      </c>
      <c r="C32" s="244">
        <f t="shared" si="12"/>
        <v>2.3465866897254519E-2</v>
      </c>
      <c r="D32" s="244">
        <f t="shared" si="12"/>
        <v>2.3943347335923525E-2</v>
      </c>
      <c r="E32" s="244">
        <f t="shared" si="12"/>
        <v>2.0837306355190113E-2</v>
      </c>
      <c r="F32" s="244">
        <f t="shared" si="12"/>
        <v>2.1866869374794779E-2</v>
      </c>
      <c r="G32" s="244">
        <f t="shared" si="12"/>
        <v>2.0002529150638174E-2</v>
      </c>
      <c r="H32" s="244">
        <f t="shared" si="12"/>
        <v>2.2908556982287866E-2</v>
      </c>
      <c r="I32" s="244">
        <f t="shared" si="12"/>
        <v>2.3891864940316854E-2</v>
      </c>
      <c r="J32" s="244">
        <f t="shared" si="12"/>
        <v>2.3868864659959438E-2</v>
      </c>
      <c r="K32" s="244">
        <f t="shared" si="12"/>
        <v>2.3139261416222936E-2</v>
      </c>
      <c r="L32" s="244">
        <f t="shared" si="12"/>
        <v>2.4181655785353182E-2</v>
      </c>
      <c r="M32" s="244">
        <f t="shared" si="12"/>
        <v>2.4184213149550157E-2</v>
      </c>
      <c r="N32" s="244">
        <f t="shared" si="12"/>
        <v>2.4250110788612857E-2</v>
      </c>
      <c r="O32" s="244">
        <f t="shared" si="12"/>
        <v>2.36012176088316E-2</v>
      </c>
      <c r="P32" s="244">
        <f t="shared" si="12"/>
        <v>2.4726063343265926E-2</v>
      </c>
      <c r="Q32" s="244">
        <f t="shared" si="12"/>
        <v>2.4506712136565689E-2</v>
      </c>
      <c r="R32" s="244">
        <f t="shared" si="12"/>
        <v>2.4062699818314763E-2</v>
      </c>
      <c r="S32" s="244">
        <f t="shared" si="12"/>
        <v>2.3815575309256102E-2</v>
      </c>
      <c r="T32" s="244">
        <f t="shared" si="12"/>
        <v>2.4524270055751883E-2</v>
      </c>
      <c r="U32" s="244">
        <f t="shared" si="12"/>
        <v>2.3303357799996816E-2</v>
      </c>
      <c r="V32" s="244">
        <f t="shared" si="12"/>
        <v>2.3213424308233029E-2</v>
      </c>
      <c r="W32" s="244">
        <f t="shared" si="12"/>
        <v>2.6432869560257578E-2</v>
      </c>
      <c r="X32" s="244">
        <f t="shared" si="12"/>
        <v>2.2735663861039507E-2</v>
      </c>
      <c r="Y32" s="244">
        <f t="shared" si="12"/>
        <v>2.4951851048576758E-2</v>
      </c>
      <c r="DA32" s="275"/>
    </row>
    <row r="33" spans="1:105" x14ac:dyDescent="0.25">
      <c r="A33" s="240" t="s">
        <v>124</v>
      </c>
      <c r="B33" s="245">
        <f t="shared" ref="B33:Y33" si="13">IF(B$7=0,0,B$7/B$5)</f>
        <v>1.5114010313148043E-2</v>
      </c>
      <c r="C33" s="245">
        <f t="shared" si="13"/>
        <v>1.5252813483215435E-2</v>
      </c>
      <c r="D33" s="245">
        <f t="shared" si="13"/>
        <v>1.5563175768350295E-2</v>
      </c>
      <c r="E33" s="245">
        <f t="shared" si="13"/>
        <v>1.3544249130873574E-2</v>
      </c>
      <c r="F33" s="245">
        <f t="shared" si="13"/>
        <v>1.4213465093616597E-2</v>
      </c>
      <c r="G33" s="245">
        <f t="shared" si="13"/>
        <v>1.3001643947914802E-2</v>
      </c>
      <c r="H33" s="245">
        <f t="shared" si="13"/>
        <v>1.4890562038487111E-2</v>
      </c>
      <c r="I33" s="245">
        <f t="shared" si="13"/>
        <v>1.5529712211205958E-2</v>
      </c>
      <c r="J33" s="245">
        <f t="shared" si="13"/>
        <v>1.551476202897362E-2</v>
      </c>
      <c r="K33" s="245">
        <f t="shared" si="13"/>
        <v>1.5040519920544903E-2</v>
      </c>
      <c r="L33" s="245">
        <f t="shared" si="13"/>
        <v>1.5718076260479576E-2</v>
      </c>
      <c r="M33" s="245">
        <f t="shared" si="13"/>
        <v>1.5719738547207599E-2</v>
      </c>
      <c r="N33" s="245">
        <f t="shared" si="13"/>
        <v>1.5762572012598345E-2</v>
      </c>
      <c r="O33" s="245">
        <f t="shared" si="13"/>
        <v>1.5340791445740545E-2</v>
      </c>
      <c r="P33" s="245">
        <f t="shared" si="13"/>
        <v>1.6071941173122859E-2</v>
      </c>
      <c r="Q33" s="245">
        <f t="shared" si="13"/>
        <v>1.5929362888767687E-2</v>
      </c>
      <c r="R33" s="245">
        <f t="shared" si="13"/>
        <v>1.5640754881904587E-2</v>
      </c>
      <c r="S33" s="245">
        <f t="shared" si="13"/>
        <v>1.5480123951016458E-2</v>
      </c>
      <c r="T33" s="245">
        <f t="shared" si="13"/>
        <v>1.5940775536238717E-2</v>
      </c>
      <c r="U33" s="245">
        <f t="shared" si="13"/>
        <v>1.5147182569997935E-2</v>
      </c>
      <c r="V33" s="245">
        <f t="shared" si="13"/>
        <v>1.508872580035147E-2</v>
      </c>
      <c r="W33" s="245">
        <f t="shared" si="13"/>
        <v>1.718136521416742E-2</v>
      </c>
      <c r="X33" s="245">
        <f t="shared" si="13"/>
        <v>1.4778181509675678E-2</v>
      </c>
      <c r="Y33" s="245">
        <f t="shared" si="13"/>
        <v>1.6218703181574898E-2</v>
      </c>
      <c r="DA33" s="276"/>
    </row>
    <row r="34" spans="1:105" x14ac:dyDescent="0.25">
      <c r="A34" s="240" t="s">
        <v>123</v>
      </c>
      <c r="B34" s="245">
        <f t="shared" ref="B34:Y34" si="14">IF(B$8=0,0,B$8/B$5)</f>
        <v>2.0927091202820367E-2</v>
      </c>
      <c r="C34" s="245">
        <f t="shared" si="14"/>
        <v>2.1119280207529057E-2</v>
      </c>
      <c r="D34" s="245">
        <f t="shared" si="14"/>
        <v>2.154901260233117E-2</v>
      </c>
      <c r="E34" s="245">
        <f t="shared" si="14"/>
        <v>1.8753575719671099E-2</v>
      </c>
      <c r="F34" s="245">
        <f t="shared" si="14"/>
        <v>1.9680182437315293E-2</v>
      </c>
      <c r="G34" s="245">
        <f t="shared" si="14"/>
        <v>1.8002276235574353E-2</v>
      </c>
      <c r="H34" s="245">
        <f t="shared" si="14"/>
        <v>2.0617701284059081E-2</v>
      </c>
      <c r="I34" s="245">
        <f t="shared" si="14"/>
        <v>2.1502678446285173E-2</v>
      </c>
      <c r="J34" s="245">
        <f t="shared" si="14"/>
        <v>2.148197819396349E-2</v>
      </c>
      <c r="K34" s="245">
        <f t="shared" si="14"/>
        <v>2.0825335274600641E-2</v>
      </c>
      <c r="L34" s="245">
        <f t="shared" si="14"/>
        <v>2.1763490206817865E-2</v>
      </c>
      <c r="M34" s="245">
        <f t="shared" si="14"/>
        <v>2.1765791834595146E-2</v>
      </c>
      <c r="N34" s="245">
        <f t="shared" si="14"/>
        <v>2.1825099709751557E-2</v>
      </c>
      <c r="O34" s="245">
        <f t="shared" si="14"/>
        <v>2.1241095847948439E-2</v>
      </c>
      <c r="P34" s="245">
        <f t="shared" si="14"/>
        <v>2.2253457008939343E-2</v>
      </c>
      <c r="Q34" s="245">
        <f t="shared" si="14"/>
        <v>2.2056040922909116E-2</v>
      </c>
      <c r="R34" s="245">
        <f t="shared" si="14"/>
        <v>2.1656429836483283E-2</v>
      </c>
      <c r="S34" s="245">
        <f t="shared" si="14"/>
        <v>2.143401777833048E-2</v>
      </c>
      <c r="T34" s="245">
        <f t="shared" si="14"/>
        <v>2.2071843050176697E-2</v>
      </c>
      <c r="U34" s="245">
        <f t="shared" si="14"/>
        <v>2.0973022019997133E-2</v>
      </c>
      <c r="V34" s="245">
        <f t="shared" si="14"/>
        <v>2.0892081877409732E-2</v>
      </c>
      <c r="W34" s="245">
        <f t="shared" si="14"/>
        <v>2.3789582604231807E-2</v>
      </c>
      <c r="X34" s="245">
        <f t="shared" si="14"/>
        <v>2.0462097474935562E-2</v>
      </c>
      <c r="Y34" s="245">
        <f t="shared" si="14"/>
        <v>2.2456665943719083E-2</v>
      </c>
      <c r="DA34" s="276"/>
    </row>
    <row r="35" spans="1:105" x14ac:dyDescent="0.25">
      <c r="A35" s="242" t="s">
        <v>122</v>
      </c>
      <c r="B35" s="246">
        <f t="shared" ref="B35:Y35" si="15">IF(B$9=0,0,B$9/B$5)</f>
        <v>0.16980410694814663</v>
      </c>
      <c r="C35" s="246">
        <f t="shared" si="15"/>
        <v>0.16846834375295128</v>
      </c>
      <c r="D35" s="246">
        <f t="shared" si="15"/>
        <v>0.16691510239005658</v>
      </c>
      <c r="E35" s="246">
        <f t="shared" si="15"/>
        <v>0.16407995110260612</v>
      </c>
      <c r="F35" s="246">
        <f t="shared" si="15"/>
        <v>0.16534433231839574</v>
      </c>
      <c r="G35" s="246">
        <f t="shared" si="15"/>
        <v>0.16207795609714185</v>
      </c>
      <c r="H35" s="246">
        <f t="shared" si="15"/>
        <v>0.1620489391886149</v>
      </c>
      <c r="I35" s="246">
        <f t="shared" si="15"/>
        <v>0.16253813368294226</v>
      </c>
      <c r="J35" s="246">
        <f t="shared" si="15"/>
        <v>0.16355000518333881</v>
      </c>
      <c r="K35" s="246">
        <f t="shared" si="15"/>
        <v>0.16109714565847591</v>
      </c>
      <c r="L35" s="246">
        <f t="shared" si="15"/>
        <v>0.16698531841198644</v>
      </c>
      <c r="M35" s="246">
        <f t="shared" si="15"/>
        <v>0.17238445547968956</v>
      </c>
      <c r="N35" s="246">
        <f t="shared" si="15"/>
        <v>0.16977953271948193</v>
      </c>
      <c r="O35" s="246">
        <f t="shared" si="15"/>
        <v>0.16665581001544652</v>
      </c>
      <c r="P35" s="246">
        <f t="shared" si="15"/>
        <v>0.1702198109931207</v>
      </c>
      <c r="Q35" s="246">
        <f t="shared" si="15"/>
        <v>0.17375771865356324</v>
      </c>
      <c r="R35" s="246">
        <f t="shared" si="15"/>
        <v>0.16929930226324844</v>
      </c>
      <c r="S35" s="246">
        <f t="shared" si="15"/>
        <v>0.1697769653010604</v>
      </c>
      <c r="T35" s="246">
        <f t="shared" si="15"/>
        <v>0.16993452873319065</v>
      </c>
      <c r="U35" s="246">
        <f t="shared" si="15"/>
        <v>0.1708575468268298</v>
      </c>
      <c r="V35" s="246">
        <f t="shared" si="15"/>
        <v>0.17583859467617774</v>
      </c>
      <c r="W35" s="246">
        <f t="shared" si="15"/>
        <v>0.17838409913376801</v>
      </c>
      <c r="X35" s="246">
        <f t="shared" si="15"/>
        <v>0.17748208371893087</v>
      </c>
      <c r="Y35" s="246">
        <f t="shared" si="15"/>
        <v>0.17775252236066313</v>
      </c>
      <c r="DA35" s="277"/>
    </row>
    <row r="36" spans="1:105" x14ac:dyDescent="0.25">
      <c r="A36" s="127" t="s">
        <v>168</v>
      </c>
      <c r="B36" s="259">
        <f t="shared" ref="B36:Y36" si="16">IF(B$16=0,0,B$16/B$5)</f>
        <v>0.22071815415711882</v>
      </c>
      <c r="C36" s="259">
        <f t="shared" si="16"/>
        <v>0.21748829614669254</v>
      </c>
      <c r="D36" s="259">
        <f t="shared" si="16"/>
        <v>0.21356567248944086</v>
      </c>
      <c r="E36" s="259">
        <f t="shared" si="16"/>
        <v>0.21525129595069684</v>
      </c>
      <c r="F36" s="259">
        <f t="shared" si="16"/>
        <v>0.21473101932940736</v>
      </c>
      <c r="G36" s="259">
        <f t="shared" si="16"/>
        <v>0.21243565138417198</v>
      </c>
      <c r="H36" s="259">
        <f t="shared" si="16"/>
        <v>0.20679030782910945</v>
      </c>
      <c r="I36" s="259">
        <f t="shared" si="16"/>
        <v>0.20533927974700303</v>
      </c>
      <c r="J36" s="259">
        <f t="shared" si="16"/>
        <v>0.20801625339597299</v>
      </c>
      <c r="K36" s="259">
        <f t="shared" si="16"/>
        <v>0.2045893651029933</v>
      </c>
      <c r="L36" s="259">
        <f t="shared" si="16"/>
        <v>0.21176974820981742</v>
      </c>
      <c r="M36" s="259">
        <f t="shared" si="16"/>
        <v>0.22060056320479648</v>
      </c>
      <c r="N36" s="259">
        <f t="shared" si="16"/>
        <v>0.21742951650628131</v>
      </c>
      <c r="O36" s="259">
        <f t="shared" si="16"/>
        <v>0.21458221262371521</v>
      </c>
      <c r="P36" s="259">
        <f t="shared" si="16"/>
        <v>0.21651696323890032</v>
      </c>
      <c r="Q36" s="259">
        <f t="shared" si="16"/>
        <v>0.22401780759132395</v>
      </c>
      <c r="R36" s="259">
        <f t="shared" si="16"/>
        <v>0.21697788907754451</v>
      </c>
      <c r="S36" s="259">
        <f t="shared" si="16"/>
        <v>0.21838937149424512</v>
      </c>
      <c r="T36" s="259">
        <f t="shared" si="16"/>
        <v>0.21615177222503859</v>
      </c>
      <c r="U36" s="259">
        <f t="shared" si="16"/>
        <v>0.22066621741175177</v>
      </c>
      <c r="V36" s="259">
        <f t="shared" si="16"/>
        <v>0.22917659803721913</v>
      </c>
      <c r="W36" s="259">
        <f t="shared" si="16"/>
        <v>0.22133377402410995</v>
      </c>
      <c r="X36" s="259">
        <f t="shared" si="16"/>
        <v>0.22970843848848557</v>
      </c>
      <c r="Y36" s="259">
        <f t="shared" si="16"/>
        <v>0.21983322854639939</v>
      </c>
      <c r="DA36" s="278"/>
    </row>
    <row r="37" spans="1:105" x14ac:dyDescent="0.25">
      <c r="A37" s="127" t="s">
        <v>121</v>
      </c>
      <c r="B37" s="259">
        <f t="shared" ref="B37:Y37" si="17">IF(B$17=0,0,B$17/B$5)</f>
        <v>0.45080328837555245</v>
      </c>
      <c r="C37" s="259">
        <f t="shared" si="17"/>
        <v>0.45492183702180056</v>
      </c>
      <c r="D37" s="259">
        <f t="shared" si="17"/>
        <v>0.45876406467441044</v>
      </c>
      <c r="E37" s="259">
        <f t="shared" si="17"/>
        <v>0.4751198908086689</v>
      </c>
      <c r="F37" s="259">
        <f t="shared" si="17"/>
        <v>0.46932794660476868</v>
      </c>
      <c r="G37" s="259">
        <f t="shared" si="17"/>
        <v>0.48465246597168377</v>
      </c>
      <c r="H37" s="259">
        <f t="shared" si="17"/>
        <v>0.47688148708787176</v>
      </c>
      <c r="I37" s="259">
        <f t="shared" si="17"/>
        <v>0.4732056080239519</v>
      </c>
      <c r="J37" s="259">
        <f t="shared" si="17"/>
        <v>0.46911736148056027</v>
      </c>
      <c r="K37" s="259">
        <f t="shared" si="17"/>
        <v>0.47930363066132664</v>
      </c>
      <c r="L37" s="259">
        <f t="shared" si="17"/>
        <v>0.45964333250202483</v>
      </c>
      <c r="M37" s="259">
        <f t="shared" si="17"/>
        <v>0.44370367892348705</v>
      </c>
      <c r="N37" s="259">
        <f t="shared" si="17"/>
        <v>0.44975950323664782</v>
      </c>
      <c r="O37" s="259">
        <f t="shared" si="17"/>
        <v>0.45952212889183897</v>
      </c>
      <c r="P37" s="259">
        <f t="shared" si="17"/>
        <v>0.44802737017242006</v>
      </c>
      <c r="Q37" s="259">
        <f t="shared" si="17"/>
        <v>0.43664402444076122</v>
      </c>
      <c r="R37" s="259">
        <f t="shared" si="17"/>
        <v>0.45171519994727932</v>
      </c>
      <c r="S37" s="259">
        <f t="shared" si="17"/>
        <v>0.45079044892878434</v>
      </c>
      <c r="T37" s="259">
        <f t="shared" si="17"/>
        <v>0.44975698438049716</v>
      </c>
      <c r="U37" s="259">
        <f t="shared" si="17"/>
        <v>0.44955659411414739</v>
      </c>
      <c r="V37" s="259">
        <f t="shared" si="17"/>
        <v>0.43487949253779407</v>
      </c>
      <c r="W37" s="259">
        <f t="shared" si="17"/>
        <v>0.42558664982724953</v>
      </c>
      <c r="X37" s="259">
        <f t="shared" si="17"/>
        <v>0.43499076770481904</v>
      </c>
      <c r="Y37" s="259">
        <f t="shared" si="17"/>
        <v>0.43541220695514476</v>
      </c>
      <c r="DA37" s="278"/>
    </row>
    <row r="38" spans="1:105" x14ac:dyDescent="0.25">
      <c r="A38" s="127" t="s">
        <v>167</v>
      </c>
      <c r="B38" s="259">
        <f t="shared" ref="B38:Y38" si="18">IF(B$25=0,0,B$25/B$5)</f>
        <v>4.2412832725735559E-2</v>
      </c>
      <c r="C38" s="259">
        <f t="shared" si="18"/>
        <v>4.1792188592283057E-2</v>
      </c>
      <c r="D38" s="259">
        <f t="shared" si="18"/>
        <v>4.1038423766474506E-2</v>
      </c>
      <c r="E38" s="259">
        <f t="shared" si="18"/>
        <v>4.1362330362077551E-2</v>
      </c>
      <c r="F38" s="259">
        <f t="shared" si="18"/>
        <v>4.1262354873454386E-2</v>
      </c>
      <c r="G38" s="259">
        <f t="shared" si="18"/>
        <v>4.0821280793811719E-2</v>
      </c>
      <c r="H38" s="259">
        <f t="shared" si="18"/>
        <v>3.9736480982964534E-2</v>
      </c>
      <c r="I38" s="259">
        <f t="shared" si="18"/>
        <v>3.9457653844518478E-2</v>
      </c>
      <c r="J38" s="259">
        <f t="shared" si="18"/>
        <v>3.9972056640330815E-2</v>
      </c>
      <c r="K38" s="259">
        <f t="shared" si="18"/>
        <v>3.9313551496089463E-2</v>
      </c>
      <c r="L38" s="259">
        <f t="shared" si="18"/>
        <v>4.0693321949405427E-2</v>
      </c>
      <c r="M38" s="259">
        <f t="shared" si="18"/>
        <v>4.2390236644276144E-2</v>
      </c>
      <c r="N38" s="259">
        <f t="shared" si="18"/>
        <v>4.1780893594524686E-2</v>
      </c>
      <c r="O38" s="259">
        <f t="shared" si="18"/>
        <v>4.1233760424841434E-2</v>
      </c>
      <c r="P38" s="259">
        <f t="shared" si="18"/>
        <v>4.1605538879229242E-2</v>
      </c>
      <c r="Q38" s="259">
        <f t="shared" si="18"/>
        <v>4.3046888631523096E-2</v>
      </c>
      <c r="R38" s="259">
        <f t="shared" si="18"/>
        <v>4.1694109620354018E-2</v>
      </c>
      <c r="S38" s="259">
        <f t="shared" si="18"/>
        <v>4.1965337729629626E-2</v>
      </c>
      <c r="T38" s="259">
        <f t="shared" si="18"/>
        <v>4.1535364382514137E-2</v>
      </c>
      <c r="U38" s="259">
        <f t="shared" si="18"/>
        <v>4.2402852647286736E-2</v>
      </c>
      <c r="V38" s="259">
        <f t="shared" si="18"/>
        <v>4.4038193207643857E-2</v>
      </c>
      <c r="W38" s="259">
        <f t="shared" si="18"/>
        <v>4.2531129213584748E-2</v>
      </c>
      <c r="X38" s="259">
        <f t="shared" si="18"/>
        <v>4.4140390782566895E-2</v>
      </c>
      <c r="Y38" s="259">
        <f t="shared" si="18"/>
        <v>4.2242786894908971E-2</v>
      </c>
      <c r="DA38" s="278"/>
    </row>
    <row r="39" spans="1:105" x14ac:dyDescent="0.25">
      <c r="A39" s="127" t="s">
        <v>170</v>
      </c>
      <c r="B39" s="259">
        <f t="shared" ref="B39:Y39" si="19">IF(B$26=0,0,B$26/B$5)</f>
        <v>2.3252323558689295E-2</v>
      </c>
      <c r="C39" s="259">
        <f t="shared" si="19"/>
        <v>2.3465866897254519E-2</v>
      </c>
      <c r="D39" s="259">
        <f t="shared" si="19"/>
        <v>2.3943347335923525E-2</v>
      </c>
      <c r="E39" s="259">
        <f t="shared" si="19"/>
        <v>2.0837306355190113E-2</v>
      </c>
      <c r="F39" s="259">
        <f t="shared" si="19"/>
        <v>2.1866869374794779E-2</v>
      </c>
      <c r="G39" s="259">
        <f t="shared" si="19"/>
        <v>2.0002529150638174E-2</v>
      </c>
      <c r="H39" s="259">
        <f t="shared" si="19"/>
        <v>2.2908556982287866E-2</v>
      </c>
      <c r="I39" s="259">
        <f t="shared" si="19"/>
        <v>2.3891864940316854E-2</v>
      </c>
      <c r="J39" s="259">
        <f t="shared" si="19"/>
        <v>2.3868864659959438E-2</v>
      </c>
      <c r="K39" s="259">
        <f t="shared" si="19"/>
        <v>2.3139261416222936E-2</v>
      </c>
      <c r="L39" s="259">
        <f t="shared" si="19"/>
        <v>2.4181655785353182E-2</v>
      </c>
      <c r="M39" s="259">
        <f t="shared" si="19"/>
        <v>2.4184213149550157E-2</v>
      </c>
      <c r="N39" s="259">
        <f t="shared" si="19"/>
        <v>2.4250110788612857E-2</v>
      </c>
      <c r="O39" s="259">
        <f t="shared" si="19"/>
        <v>2.36012176088316E-2</v>
      </c>
      <c r="P39" s="259">
        <f t="shared" si="19"/>
        <v>2.4726063343265926E-2</v>
      </c>
      <c r="Q39" s="259">
        <f t="shared" si="19"/>
        <v>2.4506712136565689E-2</v>
      </c>
      <c r="R39" s="259">
        <f t="shared" si="19"/>
        <v>2.4062699818314763E-2</v>
      </c>
      <c r="S39" s="259">
        <f t="shared" si="19"/>
        <v>2.3815575309256102E-2</v>
      </c>
      <c r="T39" s="259">
        <f t="shared" si="19"/>
        <v>2.4524270055751883E-2</v>
      </c>
      <c r="U39" s="259">
        <f t="shared" si="19"/>
        <v>2.3303357799996816E-2</v>
      </c>
      <c r="V39" s="259">
        <f t="shared" si="19"/>
        <v>2.3213424308233029E-2</v>
      </c>
      <c r="W39" s="259">
        <f t="shared" si="19"/>
        <v>2.6432869560257578E-2</v>
      </c>
      <c r="X39" s="259">
        <f t="shared" si="19"/>
        <v>2.2735663861039507E-2</v>
      </c>
      <c r="Y39" s="259">
        <f t="shared" si="19"/>
        <v>2.4951851048576758E-2</v>
      </c>
      <c r="DA39" s="278"/>
    </row>
    <row r="40" spans="1:105" x14ac:dyDescent="0.25">
      <c r="A40" s="260" t="s">
        <v>33</v>
      </c>
      <c r="B40" s="261">
        <f t="shared" ref="B40:Y40" si="20">IF(B$27=0,0,B$27/B$5)</f>
        <v>3.3715869160099471E-2</v>
      </c>
      <c r="C40" s="261">
        <f t="shared" si="20"/>
        <v>3.4025507001019063E-2</v>
      </c>
      <c r="D40" s="261">
        <f t="shared" si="20"/>
        <v>3.4717853637089117E-2</v>
      </c>
      <c r="E40" s="261">
        <f t="shared" si="20"/>
        <v>3.0214094215025661E-2</v>
      </c>
      <c r="F40" s="261">
        <f t="shared" si="20"/>
        <v>3.1706960593452432E-2</v>
      </c>
      <c r="G40" s="261">
        <f t="shared" si="20"/>
        <v>2.9003667268425345E-2</v>
      </c>
      <c r="H40" s="261">
        <f t="shared" si="20"/>
        <v>3.3217407624317422E-2</v>
      </c>
      <c r="I40" s="261">
        <f t="shared" si="20"/>
        <v>3.4643204163459444E-2</v>
      </c>
      <c r="J40" s="261">
        <f t="shared" si="20"/>
        <v>3.4609853756941172E-2</v>
      </c>
      <c r="K40" s="261">
        <f t="shared" si="20"/>
        <v>3.3551929053523256E-2</v>
      </c>
      <c r="L40" s="261">
        <f t="shared" si="20"/>
        <v>3.5063400888762135E-2</v>
      </c>
      <c r="M40" s="261">
        <f t="shared" si="20"/>
        <v>3.5067109066847728E-2</v>
      </c>
      <c r="N40" s="261">
        <f t="shared" si="20"/>
        <v>3.5162660643488636E-2</v>
      </c>
      <c r="O40" s="261">
        <f t="shared" si="20"/>
        <v>3.4221765532805822E-2</v>
      </c>
      <c r="P40" s="261">
        <f t="shared" si="20"/>
        <v>3.5852791847735599E-2</v>
      </c>
      <c r="Q40" s="261">
        <f t="shared" si="20"/>
        <v>3.5534732598020251E-2</v>
      </c>
      <c r="R40" s="261">
        <f t="shared" si="20"/>
        <v>3.4890914736556401E-2</v>
      </c>
      <c r="S40" s="261">
        <f t="shared" si="20"/>
        <v>3.453258419842134E-2</v>
      </c>
      <c r="T40" s="261">
        <f t="shared" si="20"/>
        <v>3.5560191580840242E-2</v>
      </c>
      <c r="U40" s="261">
        <f t="shared" si="20"/>
        <v>3.3789868809995391E-2</v>
      </c>
      <c r="V40" s="261">
        <f t="shared" si="20"/>
        <v>3.3659465246937886E-2</v>
      </c>
      <c r="W40" s="261">
        <f t="shared" si="20"/>
        <v>3.8327660862373471E-2</v>
      </c>
      <c r="X40" s="261">
        <f t="shared" si="20"/>
        <v>3.2966712598507295E-2</v>
      </c>
      <c r="Y40" s="261">
        <f t="shared" si="20"/>
        <v>3.618018402043631E-2</v>
      </c>
      <c r="DA40" s="279"/>
    </row>
    <row r="42" spans="1:105" ht="12.75" x14ac:dyDescent="0.25">
      <c r="A42" s="178" t="s">
        <v>23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6">
        <f t="shared" ref="B44:Y44" si="21">SUM(B$45:B$53)</f>
        <v>112.47171201628666</v>
      </c>
      <c r="C44" s="236">
        <f t="shared" si="21"/>
        <v>109.81942433546166</v>
      </c>
      <c r="D44" s="236">
        <f t="shared" si="21"/>
        <v>113.80906613357637</v>
      </c>
      <c r="E44" s="236">
        <f t="shared" si="21"/>
        <v>119.5378711984025</v>
      </c>
      <c r="F44" s="236">
        <f t="shared" si="21"/>
        <v>117.30616060932353</v>
      </c>
      <c r="G44" s="236">
        <f t="shared" si="21"/>
        <v>134.29403412451353</v>
      </c>
      <c r="H44" s="236">
        <f t="shared" si="21"/>
        <v>130.05722800154632</v>
      </c>
      <c r="I44" s="236">
        <f t="shared" si="21"/>
        <v>117.81469406104159</v>
      </c>
      <c r="J44" s="236">
        <f t="shared" si="21"/>
        <v>123.49619118298854</v>
      </c>
      <c r="K44" s="236">
        <f t="shared" si="21"/>
        <v>137.83360398812144</v>
      </c>
      <c r="L44" s="236">
        <f t="shared" si="21"/>
        <v>128.47617233393538</v>
      </c>
      <c r="M44" s="236">
        <f t="shared" si="21"/>
        <v>116.02131221383362</v>
      </c>
      <c r="N44" s="236">
        <f t="shared" si="21"/>
        <v>118.3121684496124</v>
      </c>
      <c r="O44" s="236">
        <f t="shared" si="21"/>
        <v>117.89482713876831</v>
      </c>
      <c r="P44" s="236">
        <f t="shared" si="21"/>
        <v>114.21265320772919</v>
      </c>
      <c r="Q44" s="236">
        <f t="shared" si="21"/>
        <v>116.67728719019787</v>
      </c>
      <c r="R44" s="236">
        <f t="shared" si="21"/>
        <v>118.41249825520165</v>
      </c>
      <c r="S44" s="236">
        <f t="shared" si="21"/>
        <v>109.25986032686184</v>
      </c>
      <c r="T44" s="236">
        <f t="shared" si="21"/>
        <v>115.03952384499107</v>
      </c>
      <c r="U44" s="236">
        <f t="shared" si="21"/>
        <v>114.31053707016737</v>
      </c>
      <c r="V44" s="236">
        <f t="shared" si="21"/>
        <v>121.02278233994657</v>
      </c>
      <c r="W44" s="236">
        <f t="shared" si="21"/>
        <v>115.61293230102247</v>
      </c>
      <c r="X44" s="236">
        <f t="shared" si="21"/>
        <v>98.926512660278448</v>
      </c>
      <c r="Y44" s="236">
        <f t="shared" si="21"/>
        <v>101.37891512464491</v>
      </c>
      <c r="DA44" s="280"/>
    </row>
    <row r="45" spans="1:105" x14ac:dyDescent="0.25">
      <c r="A45" s="238" t="s">
        <v>125</v>
      </c>
      <c r="B45" s="247">
        <f>IF(B$6=0,0,B$6/AGR!B$5*1000)</f>
        <v>2.6152286390024204</v>
      </c>
      <c r="C45" s="247">
        <f>IF(C$6=0,0,C$6/AGR!C$5*1000)</f>
        <v>2.5770079941890565</v>
      </c>
      <c r="D45" s="247">
        <f>IF(D$6=0,0,D$6/AGR!D$5*1000)</f>
        <v>2.7249700004133097</v>
      </c>
      <c r="E45" s="247">
        <f>IF(E$6=0,0,E$6/AGR!E$5*1000)</f>
        <v>2.4908472432083699</v>
      </c>
      <c r="F45" s="247">
        <f>IF(F$6=0,0,F$6/AGR!F$5*1000)</f>
        <v>2.565118490902774</v>
      </c>
      <c r="G45" s="247">
        <f>IF(G$6=0,0,G$6/AGR!G$5*1000)</f>
        <v>2.6862203323323794</v>
      </c>
      <c r="H45" s="247">
        <f>IF(H$6=0,0,H$6/AGR!H$5*1000)</f>
        <v>2.9794234186318289</v>
      </c>
      <c r="I45" s="247">
        <f>IF(I$6=0,0,I$6/AGR!I$5*1000)</f>
        <v>2.814812758491156</v>
      </c>
      <c r="J45" s="247">
        <f>IF(J$6=0,0,J$6/AGR!J$5*1000)</f>
        <v>2.947713873367229</v>
      </c>
      <c r="K45" s="247">
        <f>IF(K$6=0,0,K$6/AGR!K$5*1000)</f>
        <v>3.1893677946212899</v>
      </c>
      <c r="L45" s="247">
        <f>IF(L$6=0,0,L$6/AGR!L$5*1000)</f>
        <v>3.1067665759989409</v>
      </c>
      <c r="M45" s="247">
        <f>IF(M$6=0,0,M$6/AGR!M$5*1000)</f>
        <v>2.805884144469859</v>
      </c>
      <c r="N45" s="247">
        <f>IF(N$6=0,0,N$6/AGR!N$5*1000)</f>
        <v>2.8690831925441276</v>
      </c>
      <c r="O45" s="247">
        <f>IF(O$6=0,0,O$6/AGR!O$5*1000)</f>
        <v>2.7824614702576556</v>
      </c>
      <c r="P45" s="247">
        <f>IF(P$6=0,0,P$6/AGR!P$5*1000)</f>
        <v>2.824029297816776</v>
      </c>
      <c r="Q45" s="247">
        <f>IF(Q$6=0,0,Q$6/AGR!Q$5*1000)</f>
        <v>2.8593766900455835</v>
      </c>
      <c r="R45" s="247">
        <f>IF(R$6=0,0,R$6/AGR!R$5*1000)</f>
        <v>2.8493244002516382</v>
      </c>
      <c r="S45" s="247">
        <f>IF(S$6=0,0,S$6/AGR!S$5*1000)</f>
        <v>2.6020864318931816</v>
      </c>
      <c r="T45" s="247">
        <f>IF(T$6=0,0,T$6/AGR!T$5*1000)</f>
        <v>2.8212603498596693</v>
      </c>
      <c r="U45" s="247">
        <f>IF(U$6=0,0,U$6/AGR!U$5*1000)</f>
        <v>2.6638193456559107</v>
      </c>
      <c r="V45" s="247">
        <f>IF(V$6=0,0,V$6/AGR!V$5*1000)</f>
        <v>2.8093531974201107</v>
      </c>
      <c r="W45" s="247">
        <f>IF(W$6=0,0,W$6/AGR!W$5*1000)</f>
        <v>3.0559815589918169</v>
      </c>
      <c r="X45" s="247">
        <f>IF(X$6=0,0,X$6/AGR!X$5*1000)</f>
        <v>2.2491599387889605</v>
      </c>
      <c r="Y45" s="247">
        <f>IF(Y$6=0,0,Y$6/AGR!Y$5*1000)</f>
        <v>2.5295915896564449</v>
      </c>
      <c r="DA45" s="281"/>
    </row>
    <row r="46" spans="1:105" x14ac:dyDescent="0.25">
      <c r="A46" s="240" t="s">
        <v>124</v>
      </c>
      <c r="B46" s="248">
        <f>IF(B$7=0,0,B$7/AGR!B$5*1000)</f>
        <v>1.6998986153515734</v>
      </c>
      <c r="C46" s="248">
        <f>IF(C$7=0,0,C$7/AGR!C$5*1000)</f>
        <v>1.6750551962228866</v>
      </c>
      <c r="D46" s="248">
        <f>IF(D$7=0,0,D$7/AGR!D$5*1000)</f>
        <v>1.7712305002686519</v>
      </c>
      <c r="E46" s="248">
        <f>IF(E$7=0,0,E$7/AGR!E$5*1000)</f>
        <v>1.6190507080854404</v>
      </c>
      <c r="F46" s="248">
        <f>IF(F$7=0,0,F$7/AGR!F$5*1000)</f>
        <v>1.6673270190868019</v>
      </c>
      <c r="G46" s="248">
        <f>IF(G$7=0,0,G$7/AGR!G$5*1000)</f>
        <v>1.7460432160160453</v>
      </c>
      <c r="H46" s="248">
        <f>IF(H$7=0,0,H$7/AGR!H$5*1000)</f>
        <v>1.9366252221106888</v>
      </c>
      <c r="I46" s="248">
        <f>IF(I$7=0,0,I$7/AGR!I$5*1000)</f>
        <v>1.8296282930192518</v>
      </c>
      <c r="J46" s="248">
        <f>IF(J$7=0,0,J$7/AGR!J$5*1000)</f>
        <v>1.9160140176886973</v>
      </c>
      <c r="K46" s="248">
        <f>IF(K$7=0,0,K$7/AGR!K$5*1000)</f>
        <v>2.073089066503838</v>
      </c>
      <c r="L46" s="248">
        <f>IF(L$7=0,0,L$7/AGR!L$5*1000)</f>
        <v>2.0193982743993124</v>
      </c>
      <c r="M46" s="248">
        <f>IF(M$7=0,0,M$7/AGR!M$5*1000)</f>
        <v>1.8238246939054081</v>
      </c>
      <c r="N46" s="248">
        <f>IF(N$7=0,0,N$7/AGR!N$5*1000)</f>
        <v>1.8649040751536816</v>
      </c>
      <c r="O46" s="248">
        <f>IF(O$7=0,0,O$7/AGR!O$5*1000)</f>
        <v>1.8085999556674768</v>
      </c>
      <c r="P46" s="248">
        <f>IF(P$7=0,0,P$7/AGR!P$5*1000)</f>
        <v>1.8356190435809052</v>
      </c>
      <c r="Q46" s="248">
        <f>IF(Q$7=0,0,Q$7/AGR!Q$5*1000)</f>
        <v>1.858594848529628</v>
      </c>
      <c r="R46" s="248">
        <f>IF(R$7=0,0,R$7/AGR!R$5*1000)</f>
        <v>1.8520608601635635</v>
      </c>
      <c r="S46" s="248">
        <f>IF(S$7=0,0,S$7/AGR!S$5*1000)</f>
        <v>1.691356180730567</v>
      </c>
      <c r="T46" s="248">
        <f>IF(T$7=0,0,T$7/AGR!T$5*1000)</f>
        <v>1.8338192274087843</v>
      </c>
      <c r="U46" s="248">
        <f>IF(U$7=0,0,U$7/AGR!U$5*1000)</f>
        <v>1.7314825746763425</v>
      </c>
      <c r="V46" s="248">
        <f>IF(V$7=0,0,V$7/AGR!V$5*1000)</f>
        <v>1.8260795783230721</v>
      </c>
      <c r="W46" s="248">
        <f>IF(W$7=0,0,W$7/AGR!W$5*1000)</f>
        <v>1.9863880133446803</v>
      </c>
      <c r="X46" s="248">
        <f>IF(X$7=0,0,X$7/AGR!X$5*1000)</f>
        <v>1.461953960212824</v>
      </c>
      <c r="Y46" s="248">
        <f>IF(Y$7=0,0,Y$7/AGR!Y$5*1000)</f>
        <v>1.6442345332766901</v>
      </c>
      <c r="DA46" s="282"/>
    </row>
    <row r="47" spans="1:105" x14ac:dyDescent="0.25">
      <c r="A47" s="240" t="s">
        <v>123</v>
      </c>
      <c r="B47" s="248">
        <f>IF(B$8=0,0,B$8/AGR!B$5*1000)</f>
        <v>2.353705775102179</v>
      </c>
      <c r="C47" s="248">
        <f>IF(C$8=0,0,C$8/AGR!C$5*1000)</f>
        <v>2.31930719477015</v>
      </c>
      <c r="D47" s="248">
        <f>IF(D$8=0,0,D$8/AGR!D$5*1000)</f>
        <v>2.4524730003719788</v>
      </c>
      <c r="E47" s="248">
        <f>IF(E$8=0,0,E$8/AGR!E$5*1000)</f>
        <v>2.2417625188875325</v>
      </c>
      <c r="F47" s="248">
        <f>IF(F$8=0,0,F$8/AGR!F$5*1000)</f>
        <v>2.3086066418124953</v>
      </c>
      <c r="G47" s="248">
        <f>IF(G$8=0,0,G$8/AGR!G$5*1000)</f>
        <v>2.4175982990991409</v>
      </c>
      <c r="H47" s="248">
        <f>IF(H$8=0,0,H$8/AGR!H$5*1000)</f>
        <v>2.6814810767686463</v>
      </c>
      <c r="I47" s="248">
        <f>IF(I$8=0,0,I$8/AGR!I$5*1000)</f>
        <v>2.533331482642041</v>
      </c>
      <c r="J47" s="248">
        <f>IF(J$8=0,0,J$8/AGR!J$5*1000)</f>
        <v>2.6529424860305055</v>
      </c>
      <c r="K47" s="248">
        <f>IF(K$8=0,0,K$8/AGR!K$5*1000)</f>
        <v>2.870431015159161</v>
      </c>
      <c r="L47" s="248">
        <f>IF(L$8=0,0,L$8/AGR!L$5*1000)</f>
        <v>2.7960899183990469</v>
      </c>
      <c r="M47" s="248">
        <f>IF(M$8=0,0,M$8/AGR!M$5*1000)</f>
        <v>2.5252957300228736</v>
      </c>
      <c r="N47" s="248">
        <f>IF(N$8=0,0,N$8/AGR!N$5*1000)</f>
        <v>2.5821748732897132</v>
      </c>
      <c r="O47" s="248">
        <f>IF(O$8=0,0,O$8/AGR!O$5*1000)</f>
        <v>2.50421532323189</v>
      </c>
      <c r="P47" s="248">
        <f>IF(P$8=0,0,P$8/AGR!P$5*1000)</f>
        <v>2.5416263680350997</v>
      </c>
      <c r="Q47" s="248">
        <f>IF(Q$8=0,0,Q$8/AGR!Q$5*1000)</f>
        <v>2.5734390210410245</v>
      </c>
      <c r="R47" s="248">
        <f>IF(R$8=0,0,R$8/AGR!R$5*1000)</f>
        <v>2.564391960226474</v>
      </c>
      <c r="S47" s="248">
        <f>IF(S$8=0,0,S$8/AGR!S$5*1000)</f>
        <v>2.341877788703862</v>
      </c>
      <c r="T47" s="248">
        <f>IF(T$8=0,0,T$8/AGR!T$5*1000)</f>
        <v>2.5391343148737029</v>
      </c>
      <c r="U47" s="248">
        <f>IF(U$8=0,0,U$8/AGR!U$5*1000)</f>
        <v>2.3974374110903196</v>
      </c>
      <c r="V47" s="248">
        <f>IF(V$8=0,0,V$8/AGR!V$5*1000)</f>
        <v>2.5284178776781006</v>
      </c>
      <c r="W47" s="248">
        <f>IF(W$8=0,0,W$8/AGR!W$5*1000)</f>
        <v>2.7503834030926337</v>
      </c>
      <c r="X47" s="248">
        <f>IF(X$8=0,0,X$8/AGR!X$5*1000)</f>
        <v>2.0242439449100651</v>
      </c>
      <c r="Y47" s="248">
        <f>IF(Y$8=0,0,Y$8/AGR!Y$5*1000)</f>
        <v>2.2766324306908006</v>
      </c>
      <c r="DA47" s="282"/>
    </row>
    <row r="48" spans="1:105" x14ac:dyDescent="0.25">
      <c r="A48" s="242" t="s">
        <v>122</v>
      </c>
      <c r="B48" s="249">
        <f>IF(B$9=0,0,B$9/AGR!B$5*1000)</f>
        <v>19.09815861585469</v>
      </c>
      <c r="C48" s="249">
        <f>IF(C$9=0,0,C$9/AGR!C$5*1000)</f>
        <v>18.501096529697776</v>
      </c>
      <c r="D48" s="249">
        <f>IF(D$9=0,0,D$9/AGR!D$5*1000)</f>
        <v>18.996451926602617</v>
      </c>
      <c r="E48" s="249">
        <f>IF(E$9=0,0,E$9/AGR!E$5*1000)</f>
        <v>19.61376806114351</v>
      </c>
      <c r="F48" s="249">
        <f>IF(F$9=0,0,F$9/AGR!F$5*1000)</f>
        <v>19.39590880278309</v>
      </c>
      <c r="G48" s="249">
        <f>IF(G$9=0,0,G$9/AGR!G$5*1000)</f>
        <v>21.766102566940969</v>
      </c>
      <c r="H48" s="249">
        <f>IF(H$9=0,0,H$9/AGR!H$5*1000)</f>
        <v>21.075635831462403</v>
      </c>
      <c r="I48" s="249">
        <f>IF(I$9=0,0,I$9/AGR!I$5*1000)</f>
        <v>19.149380493108524</v>
      </c>
      <c r="J48" s="249">
        <f>IF(J$9=0,0,J$9/AGR!J$5*1000)</f>
        <v>20.197802708100376</v>
      </c>
      <c r="K48" s="249">
        <f>IF(K$9=0,0,K$9/AGR!K$5*1000)</f>
        <v>22.204600178307082</v>
      </c>
      <c r="L48" s="249">
        <f>IF(L$9=0,0,L$9/AGR!L$5*1000)</f>
        <v>21.453634545535444</v>
      </c>
      <c r="M48" s="249">
        <f>IF(M$9=0,0,M$9/AGR!M$5*1000)</f>
        <v>20.000270730020759</v>
      </c>
      <c r="N48" s="249">
        <f>IF(N$9=0,0,N$9/AGR!N$5*1000)</f>
        <v>20.086984674403826</v>
      </c>
      <c r="O48" s="249">
        <f>IF(O$9=0,0,O$9/AGR!O$5*1000)</f>
        <v>19.647857913442476</v>
      </c>
      <c r="P48" s="249">
        <f>IF(P$9=0,0,P$9/AGR!P$5*1000)</f>
        <v>19.441256242042506</v>
      </c>
      <c r="Q48" s="249">
        <f>IF(Q$9=0,0,Q$9/AGR!Q$5*1000)</f>
        <v>20.273579240855405</v>
      </c>
      <c r="R48" s="249">
        <f>IF(R$9=0,0,R$9/AGR!R$5*1000)</f>
        <v>20.047153333853764</v>
      </c>
      <c r="S48" s="249">
        <f>IF(S$9=0,0,S$9/AGR!S$5*1000)</f>
        <v>18.549807515512327</v>
      </c>
      <c r="T48" s="249">
        <f>IF(T$9=0,0,T$9/AGR!T$5*1000)</f>
        <v>19.549187270289206</v>
      </c>
      <c r="U48" s="249">
        <f>IF(U$9=0,0,U$9/AGR!U$5*1000)</f>
        <v>19.530817940266189</v>
      </c>
      <c r="V48" s="249">
        <f>IF(V$9=0,0,V$9/AGR!V$5*1000)</f>
        <v>21.28047597045715</v>
      </c>
      <c r="W48" s="249">
        <f>IF(W$9=0,0,W$9/AGR!W$5*1000)</f>
        <v>20.623508776731203</v>
      </c>
      <c r="X48" s="249">
        <f>IF(X$9=0,0,X$9/AGR!X$5*1000)</f>
        <v>17.557683601993414</v>
      </c>
      <c r="Y48" s="249">
        <f>IF(Y$9=0,0,Y$9/AGR!Y$5*1000)</f>
        <v>18.020357877593213</v>
      </c>
      <c r="DA48" s="283"/>
    </row>
    <row r="49" spans="1:105" x14ac:dyDescent="0.25">
      <c r="A49" s="127" t="s">
        <v>168</v>
      </c>
      <c r="B49" s="262">
        <f>IF(B$16=0,0,B$16/AGR!B$5*1000)</f>
        <v>24.824548671125832</v>
      </c>
      <c r="C49" s="262">
        <f>IF(C$16=0,0,C$16/AGR!C$5*1000)</f>
        <v>23.88443948253018</v>
      </c>
      <c r="D49" s="262">
        <f>IF(D$16=0,0,D$16/AGR!D$5*1000)</f>
        <v>24.305709744212486</v>
      </c>
      <c r="E49" s="262">
        <f>IF(E$16=0,0,E$16/AGR!E$5*1000)</f>
        <v>25.730681690643618</v>
      </c>
      <c r="F49" s="262">
        <f>IF(F$16=0,0,F$16/AGR!F$5*1000)</f>
        <v>25.189271441259208</v>
      </c>
      <c r="G49" s="262">
        <f>IF(G$16=0,0,G$16/AGR!G$5*1000)</f>
        <v>28.528840616249248</v>
      </c>
      <c r="H49" s="262">
        <f>IF(H$16=0,0,H$16/AGR!H$5*1000)</f>
        <v>26.894574213840439</v>
      </c>
      <c r="I49" s="262">
        <f>IF(I$16=0,0,I$16/AGR!I$5*1000)</f>
        <v>24.191984422107797</v>
      </c>
      <c r="J49" s="262">
        <f>IF(J$16=0,0,J$16/AGR!J$5*1000)</f>
        <v>25.689214998558068</v>
      </c>
      <c r="K49" s="262">
        <f>IF(K$16=0,0,K$16/AGR!K$5*1000)</f>
        <v>28.199289529787173</v>
      </c>
      <c r="L49" s="262">
        <f>IF(L$16=0,0,L$16/AGR!L$5*1000)</f>
        <v>27.207366666118606</v>
      </c>
      <c r="M49" s="262">
        <f>IF(M$16=0,0,M$16/AGR!M$5*1000)</f>
        <v>25.594366818131228</v>
      </c>
      <c r="N49" s="262">
        <f>IF(N$16=0,0,N$16/AGR!N$5*1000)</f>
        <v>25.724557582808934</v>
      </c>
      <c r="O49" s="262">
        <f>IF(O$16=0,0,O$16/AGR!O$5*1000)</f>
        <v>25.298132864327329</v>
      </c>
      <c r="P49" s="262">
        <f>IF(P$16=0,0,P$16/AGR!P$5*1000)</f>
        <v>24.728976835995173</v>
      </c>
      <c r="Q49" s="262">
        <f>IF(Q$16=0,0,Q$16/AGR!Q$5*1000)</f>
        <v>26.137790072051402</v>
      </c>
      <c r="R49" s="262">
        <f>IF(R$16=0,0,R$16/AGR!R$5*1000)</f>
        <v>25.692893911812074</v>
      </c>
      <c r="S49" s="262">
        <f>IF(S$16=0,0,S$16/AGR!S$5*1000)</f>
        <v>23.861192226332367</v>
      </c>
      <c r="T49" s="262">
        <f>IF(T$16=0,0,T$16/AGR!T$5*1000)</f>
        <v>24.865996955019405</v>
      </c>
      <c r="U49" s="262">
        <f>IF(U$16=0,0,U$16/AGR!U$5*1000)</f>
        <v>25.224473825579672</v>
      </c>
      <c r="V49" s="262">
        <f>IF(V$16=0,0,V$16/AGR!V$5*1000)</f>
        <v>27.7355895416678</v>
      </c>
      <c r="W49" s="262">
        <f>IF(W$16=0,0,W$16/AGR!W$5*1000)</f>
        <v>25.58904663217923</v>
      </c>
      <c r="X49" s="262">
        <f>IF(X$16=0,0,X$16/AGR!X$5*1000)</f>
        <v>22.724254748303963</v>
      </c>
      <c r="Y49" s="262">
        <f>IF(Y$16=0,0,Y$16/AGR!Y$5*1000)</f>
        <v>22.28645421838209</v>
      </c>
      <c r="DA49" s="284"/>
    </row>
    <row r="50" spans="1:105" x14ac:dyDescent="0.25">
      <c r="A50" s="127" t="s">
        <v>121</v>
      </c>
      <c r="B50" s="262">
        <f>IF(B$17=0,0,B$17/AGR!B$5*1000)</f>
        <v>50.702617626170166</v>
      </c>
      <c r="C50" s="262">
        <f>IF(C$17=0,0,C$17/AGR!C$5*1000)</f>
        <v>49.95925425936484</v>
      </c>
      <c r="D50" s="262">
        <f>IF(D$17=0,0,D$17/AGR!D$5*1000)</f>
        <v>52.21150977623828</v>
      </c>
      <c r="E50" s="262">
        <f>IF(E$17=0,0,E$17/AGR!E$5*1000)</f>
        <v>56.794820311285726</v>
      </c>
      <c r="F50" s="262">
        <f>IF(F$17=0,0,F$17/AGR!F$5*1000)</f>
        <v>55.055059482863008</v>
      </c>
      <c r="G50" s="262">
        <f>IF(G$17=0,0,G$17/AGR!G$5*1000)</f>
        <v>65.085934803730922</v>
      </c>
      <c r="H50" s="262">
        <f>IF(H$17=0,0,H$17/AGR!H$5*1000)</f>
        <v>62.021884295903817</v>
      </c>
      <c r="I50" s="262">
        <f>IF(I$17=0,0,I$17/AGR!I$5*1000)</f>
        <v>55.750573937311067</v>
      </c>
      <c r="J50" s="262">
        <f>IF(J$17=0,0,J$17/AGR!J$5*1000)</f>
        <v>57.934207360662406</v>
      </c>
      <c r="K50" s="262">
        <f>IF(K$17=0,0,K$17/AGR!K$5*1000)</f>
        <v>66.064146818642115</v>
      </c>
      <c r="L50" s="262">
        <f>IF(L$17=0,0,L$17/AGR!L$5*1000)</f>
        <v>59.053215998674496</v>
      </c>
      <c r="M50" s="262">
        <f>IF(M$17=0,0,M$17/AGR!M$5*1000)</f>
        <v>51.479083062808478</v>
      </c>
      <c r="N50" s="262">
        <f>IF(N$17=0,0,N$17/AGR!N$5*1000)</f>
        <v>53.212022108748272</v>
      </c>
      <c r="O50" s="262">
        <f>IF(O$17=0,0,O$17/AGR!O$5*1000)</f>
        <v>54.175281952142157</v>
      </c>
      <c r="P50" s="262">
        <f>IF(P$17=0,0,P$17/AGR!P$5*1000)</f>
        <v>51.17039465707353</v>
      </c>
      <c r="Q50" s="262">
        <f>IF(Q$17=0,0,Q$17/AGR!Q$5*1000)</f>
        <v>50.946440239558484</v>
      </c>
      <c r="R50" s="262">
        <f>IF(R$17=0,0,R$17/AGR!R$5*1000)</f>
        <v>53.48872532560528</v>
      </c>
      <c r="S50" s="262">
        <f>IF(S$17=0,0,S$17/AGR!S$5*1000)</f>
        <v>49.253301486642322</v>
      </c>
      <c r="T50" s="262">
        <f>IF(T$17=0,0,T$17/AGR!T$5*1000)</f>
        <v>51.739829329091485</v>
      </c>
      <c r="U50" s="262">
        <f>IF(U$17=0,0,U$17/AGR!U$5*1000)</f>
        <v>51.389055716623453</v>
      </c>
      <c r="V50" s="262">
        <f>IF(V$17=0,0,V$17/AGR!V$5*1000)</f>
        <v>52.630326169507875</v>
      </c>
      <c r="W50" s="262">
        <f>IF(W$17=0,0,W$17/AGR!W$5*1000)</f>
        <v>49.203320534696751</v>
      </c>
      <c r="X50" s="262">
        <f>IF(X$17=0,0,X$17/AGR!X$5*1000)</f>
        <v>43.032119688455033</v>
      </c>
      <c r="Y50" s="262">
        <f>IF(Y$17=0,0,Y$17/AGR!Y$5*1000)</f>
        <v>44.141617173139942</v>
      </c>
      <c r="DA50" s="284"/>
    </row>
    <row r="51" spans="1:105" x14ac:dyDescent="0.25">
      <c r="A51" s="127" t="s">
        <v>167</v>
      </c>
      <c r="B51" s="262">
        <f>IF(B$25=0,0,B$25/AGR!B$5*1000)</f>
        <v>4.7702439081238692</v>
      </c>
      <c r="C51" s="262">
        <f>IF(C$25=0,0,C$25/AGR!C$5*1000)</f>
        <v>4.5895940929235719</v>
      </c>
      <c r="D51" s="262">
        <f>IF(D$25=0,0,D$25/AGR!D$5*1000)</f>
        <v>4.6705446844564289</v>
      </c>
      <c r="E51" s="262">
        <f>IF(E$25=0,0,E$25/AGR!E$5*1000)</f>
        <v>4.9443649192877999</v>
      </c>
      <c r="F51" s="262">
        <f>IF(F$25=0,0,F$25/AGR!F$5*1000)</f>
        <v>4.8403284279043426</v>
      </c>
      <c r="G51" s="262">
        <f>IF(G$25=0,0,G$25/AGR!G$5*1000)</f>
        <v>5.4820544759304992</v>
      </c>
      <c r="H51" s="262">
        <f>IF(H$25=0,0,H$25/AGR!H$5*1000)</f>
        <v>5.168016567180528</v>
      </c>
      <c r="I51" s="262">
        <f>IF(I$25=0,0,I$25/AGR!I$5*1000)</f>
        <v>4.6486914160584263</v>
      </c>
      <c r="J51" s="262">
        <f>IF(J$25=0,0,J$25/AGR!J$5*1000)</f>
        <v>4.936396748831541</v>
      </c>
      <c r="K51" s="262">
        <f>IF(K$25=0,0,K$25/AGR!K$5*1000)</f>
        <v>5.4187284882786146</v>
      </c>
      <c r="L51" s="262">
        <f>IF(L$25=0,0,L$25/AGR!L$5*1000)</f>
        <v>5.228122243612126</v>
      </c>
      <c r="M51" s="262">
        <f>IF(M$25=0,0,M$25/AGR!M$5*1000)</f>
        <v>4.9181708805238529</v>
      </c>
      <c r="N51" s="262">
        <f>IF(N$25=0,0,N$25/AGR!N$5*1000)</f>
        <v>4.9431881209307358</v>
      </c>
      <c r="O51" s="262">
        <f>IF(O$25=0,0,O$25/AGR!O$5*1000)</f>
        <v>4.8612470575680655</v>
      </c>
      <c r="P51" s="262">
        <f>IF(P$25=0,0,P$25/AGR!P$5*1000)</f>
        <v>4.7518789835341035</v>
      </c>
      <c r="Q51" s="262">
        <f>IF(Q$25=0,0,Q$25/AGR!Q$5*1000)</f>
        <v>5.0225941875046853</v>
      </c>
      <c r="R51" s="262">
        <f>IF(R$25=0,0,R$25/AGR!R$5*1000)</f>
        <v>4.9371036826723564</v>
      </c>
      <c r="S51" s="262">
        <f>IF(S$25=0,0,S$25/AGR!S$5*1000)</f>
        <v>4.5851269389089184</v>
      </c>
      <c r="T51" s="262">
        <f>IF(T$25=0,0,T$25/AGR!T$5*1000)</f>
        <v>4.7782085412926278</v>
      </c>
      <c r="U51" s="262">
        <f>IF(U$25=0,0,U$25/AGR!U$5*1000)</f>
        <v>4.8470928594185159</v>
      </c>
      <c r="V51" s="262">
        <f>IF(V$25=0,0,V$25/AGR!V$5*1000)</f>
        <v>5.3296246712131961</v>
      </c>
      <c r="W51" s="262">
        <f>IF(W$25=0,0,W$25/AGR!W$5*1000)</f>
        <v>4.9171485624562123</v>
      </c>
      <c r="X51" s="262">
        <f>IF(X$25=0,0,X$25/AGR!X$5*1000)</f>
        <v>4.3666549275812416</v>
      </c>
      <c r="Y51" s="262">
        <f>IF(Y$25=0,0,Y$25/AGR!Y$5*1000)</f>
        <v>4.282527907247438</v>
      </c>
      <c r="DA51" s="284"/>
    </row>
    <row r="52" spans="1:105" x14ac:dyDescent="0.25">
      <c r="A52" s="127" t="s">
        <v>170</v>
      </c>
      <c r="B52" s="262">
        <f>IF(B$26=0,0,B$26/AGR!B$5*1000)</f>
        <v>2.6152286390024204</v>
      </c>
      <c r="C52" s="262">
        <f>IF(C$26=0,0,C$26/AGR!C$5*1000)</f>
        <v>2.5770079941890565</v>
      </c>
      <c r="D52" s="262">
        <f>IF(D$26=0,0,D$26/AGR!D$5*1000)</f>
        <v>2.7249700004133097</v>
      </c>
      <c r="E52" s="262">
        <f>IF(E$26=0,0,E$26/AGR!E$5*1000)</f>
        <v>2.4908472432083699</v>
      </c>
      <c r="F52" s="262">
        <f>IF(F$26=0,0,F$26/AGR!F$5*1000)</f>
        <v>2.565118490902774</v>
      </c>
      <c r="G52" s="262">
        <f>IF(G$26=0,0,G$26/AGR!G$5*1000)</f>
        <v>2.6862203323323794</v>
      </c>
      <c r="H52" s="262">
        <f>IF(H$26=0,0,H$26/AGR!H$5*1000)</f>
        <v>2.9794234186318289</v>
      </c>
      <c r="I52" s="262">
        <f>IF(I$26=0,0,I$26/AGR!I$5*1000)</f>
        <v>2.814812758491156</v>
      </c>
      <c r="J52" s="262">
        <f>IF(J$26=0,0,J$26/AGR!J$5*1000)</f>
        <v>2.947713873367229</v>
      </c>
      <c r="K52" s="262">
        <f>IF(K$26=0,0,K$26/AGR!K$5*1000)</f>
        <v>3.1893677946212899</v>
      </c>
      <c r="L52" s="262">
        <f>IF(L$26=0,0,L$26/AGR!L$5*1000)</f>
        <v>3.1067665759989409</v>
      </c>
      <c r="M52" s="262">
        <f>IF(M$26=0,0,M$26/AGR!M$5*1000)</f>
        <v>2.805884144469859</v>
      </c>
      <c r="N52" s="262">
        <f>IF(N$26=0,0,N$26/AGR!N$5*1000)</f>
        <v>2.8690831925441276</v>
      </c>
      <c r="O52" s="262">
        <f>IF(O$26=0,0,O$26/AGR!O$5*1000)</f>
        <v>2.7824614702576556</v>
      </c>
      <c r="P52" s="262">
        <f>IF(P$26=0,0,P$26/AGR!P$5*1000)</f>
        <v>2.824029297816776</v>
      </c>
      <c r="Q52" s="262">
        <f>IF(Q$26=0,0,Q$26/AGR!Q$5*1000)</f>
        <v>2.8593766900455835</v>
      </c>
      <c r="R52" s="262">
        <f>IF(R$26=0,0,R$26/AGR!R$5*1000)</f>
        <v>2.8493244002516382</v>
      </c>
      <c r="S52" s="262">
        <f>IF(S$26=0,0,S$26/AGR!S$5*1000)</f>
        <v>2.6020864318931816</v>
      </c>
      <c r="T52" s="262">
        <f>IF(T$26=0,0,T$26/AGR!T$5*1000)</f>
        <v>2.8212603498596693</v>
      </c>
      <c r="U52" s="262">
        <f>IF(U$26=0,0,U$26/AGR!U$5*1000)</f>
        <v>2.6638193456559107</v>
      </c>
      <c r="V52" s="262">
        <f>IF(V$26=0,0,V$26/AGR!V$5*1000)</f>
        <v>2.8093531974201107</v>
      </c>
      <c r="W52" s="262">
        <f>IF(W$26=0,0,W$26/AGR!W$5*1000)</f>
        <v>3.0559815589918169</v>
      </c>
      <c r="X52" s="262">
        <f>IF(X$26=0,0,X$26/AGR!X$5*1000)</f>
        <v>2.2491599387889605</v>
      </c>
      <c r="Y52" s="262">
        <f>IF(Y$26=0,0,Y$26/AGR!Y$5*1000)</f>
        <v>2.5295915896564449</v>
      </c>
      <c r="DA52" s="284"/>
    </row>
    <row r="53" spans="1:105" x14ac:dyDescent="0.25">
      <c r="A53" s="260" t="s">
        <v>33</v>
      </c>
      <c r="B53" s="263">
        <f>IF(B$27=0,0,B$27/AGR!B$5*1000)</f>
        <v>3.7920815265535088</v>
      </c>
      <c r="C53" s="263">
        <f>IF(C$27=0,0,C$27/AGR!C$5*1000)</f>
        <v>3.7366615915741335</v>
      </c>
      <c r="D53" s="263">
        <f>IF(D$27=0,0,D$27/AGR!D$5*1000)</f>
        <v>3.9512065005992993</v>
      </c>
      <c r="E53" s="263">
        <f>IF(E$27=0,0,E$27/AGR!E$5*1000)</f>
        <v>3.6117285026521357</v>
      </c>
      <c r="F53" s="263">
        <f>IF(F$27=0,0,F$27/AGR!F$5*1000)</f>
        <v>3.7194218118090228</v>
      </c>
      <c r="G53" s="263">
        <f>IF(G$27=0,0,G$27/AGR!G$5*1000)</f>
        <v>3.8950194818819495</v>
      </c>
      <c r="H53" s="263">
        <f>IF(H$27=0,0,H$27/AGR!H$5*1000)</f>
        <v>4.3201639570161543</v>
      </c>
      <c r="I53" s="263">
        <f>IF(I$27=0,0,I$27/AGR!I$5*1000)</f>
        <v>4.0814784998121763</v>
      </c>
      <c r="J53" s="263">
        <f>IF(J$27=0,0,J$27/AGR!J$5*1000)</f>
        <v>4.2741851163824807</v>
      </c>
      <c r="K53" s="263">
        <f>IF(K$27=0,0,K$27/AGR!K$5*1000)</f>
        <v>4.6245833022008709</v>
      </c>
      <c r="L53" s="263">
        <f>IF(L$27=0,0,L$27/AGR!L$5*1000)</f>
        <v>4.504811535198467</v>
      </c>
      <c r="M53" s="263">
        <f>IF(M$27=0,0,M$27/AGR!M$5*1000)</f>
        <v>4.068532009481296</v>
      </c>
      <c r="N53" s="263">
        <f>IF(N$27=0,0,N$27/AGR!N$5*1000)</f>
        <v>4.1601706291889844</v>
      </c>
      <c r="O53" s="263">
        <f>IF(O$27=0,0,O$27/AGR!O$5*1000)</f>
        <v>4.0345691318736003</v>
      </c>
      <c r="P53" s="263">
        <f>IF(P$27=0,0,P$27/AGR!P$5*1000)</f>
        <v>4.0948424818343261</v>
      </c>
      <c r="Q53" s="263">
        <f>IF(Q$27=0,0,Q$27/AGR!Q$5*1000)</f>
        <v>4.1460962005660962</v>
      </c>
      <c r="R53" s="263">
        <f>IF(R$27=0,0,R$27/AGR!R$5*1000)</f>
        <v>4.1315203803648748</v>
      </c>
      <c r="S53" s="263">
        <f>IF(S$27=0,0,S$27/AGR!S$5*1000)</f>
        <v>3.7730253262451123</v>
      </c>
      <c r="T53" s="263">
        <f>IF(T$27=0,0,T$27/AGR!T$5*1000)</f>
        <v>4.0908275072965212</v>
      </c>
      <c r="U53" s="263">
        <f>IF(U$27=0,0,U$27/AGR!U$5*1000)</f>
        <v>3.8625380512010712</v>
      </c>
      <c r="V53" s="263">
        <f>IF(V$27=0,0,V$27/AGR!V$5*1000)</f>
        <v>4.0735621362591603</v>
      </c>
      <c r="W53" s="263">
        <f>IF(W$27=0,0,W$27/AGR!W$5*1000)</f>
        <v>4.4311732605381327</v>
      </c>
      <c r="X53" s="263">
        <f>IF(X$27=0,0,X$27/AGR!X$5*1000)</f>
        <v>3.261281911243993</v>
      </c>
      <c r="Y53" s="263">
        <f>IF(Y$27=0,0,Y$27/AGR!Y$5*1000)</f>
        <v>3.6679078050018461</v>
      </c>
      <c r="DA53" s="285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25.5" x14ac:dyDescent="0.25">
      <c r="A1" s="28" t="s">
        <v>1015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178" t="s">
        <v>133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 t="shared" ref="B5" si="0">SUM(B6:B9,B16:B17,B25:B27)</f>
        <v>347.760627353453</v>
      </c>
      <c r="C5" s="80">
        <f t="shared" ref="C5:W5" si="1">SUM(C6:C9,C16:C17,C25:C27)</f>
        <v>352.39109962894679</v>
      </c>
      <c r="D5" s="80">
        <f t="shared" si="1"/>
        <v>364.43193957011329</v>
      </c>
      <c r="E5" s="80">
        <f t="shared" si="1"/>
        <v>347.8432869078477</v>
      </c>
      <c r="F5" s="80">
        <f t="shared" si="1"/>
        <v>343.7364389879998</v>
      </c>
      <c r="G5" s="80">
        <f t="shared" si="1"/>
        <v>336.68404295293976</v>
      </c>
      <c r="H5" s="80">
        <f t="shared" si="1"/>
        <v>349.582479007784</v>
      </c>
      <c r="I5" s="80">
        <f t="shared" si="1"/>
        <v>362.53874354666323</v>
      </c>
      <c r="J5" s="80">
        <f t="shared" si="1"/>
        <v>354.92295210883407</v>
      </c>
      <c r="K5" s="80">
        <f t="shared" si="1"/>
        <v>349.60449267627348</v>
      </c>
      <c r="L5" s="80">
        <f t="shared" si="1"/>
        <v>348.35846633184514</v>
      </c>
      <c r="M5" s="80">
        <f t="shared" si="1"/>
        <v>316.26185957509517</v>
      </c>
      <c r="N5" s="80">
        <f t="shared" si="1"/>
        <v>338.05990978590313</v>
      </c>
      <c r="O5" s="80">
        <f t="shared" si="1"/>
        <v>328.30900712303202</v>
      </c>
      <c r="P5" s="80">
        <f t="shared" si="1"/>
        <v>317.64555710958768</v>
      </c>
      <c r="Q5" s="80">
        <f t="shared" si="1"/>
        <v>329.65109003825637</v>
      </c>
      <c r="R5" s="80">
        <f t="shared" si="1"/>
        <v>339.61432777882749</v>
      </c>
      <c r="S5" s="80">
        <f t="shared" si="1"/>
        <v>333.45032813274571</v>
      </c>
      <c r="T5" s="80">
        <f t="shared" si="1"/>
        <v>316.0939922984345</v>
      </c>
      <c r="U5" s="80">
        <f t="shared" si="1"/>
        <v>335.06570578593585</v>
      </c>
      <c r="V5" s="80">
        <f t="shared" si="1"/>
        <v>329.1734612667471</v>
      </c>
      <c r="W5" s="80">
        <f t="shared" si="1"/>
        <v>324.47853610596081</v>
      </c>
      <c r="X5" s="80">
        <f t="shared" ref="X5:Y5" si="2">SUM(X6:X9,X16:X17,X25:X27)</f>
        <v>303.32924734808108</v>
      </c>
      <c r="Y5" s="80">
        <f t="shared" si="2"/>
        <v>315.21739016565238</v>
      </c>
      <c r="DA5" s="103"/>
    </row>
    <row r="6" spans="1:105" x14ac:dyDescent="0.25">
      <c r="A6" s="238" t="s">
        <v>125</v>
      </c>
      <c r="B6" s="239">
        <v>10.280358495351321</v>
      </c>
      <c r="C6" s="239">
        <v>10.52295307402937</v>
      </c>
      <c r="D6" s="239">
        <v>11.09168792746264</v>
      </c>
      <c r="E6" s="239">
        <v>9.4177572589322605</v>
      </c>
      <c r="F6" s="239">
        <v>9.6948684057097534</v>
      </c>
      <c r="G6" s="239">
        <v>8.8132385204774675</v>
      </c>
      <c r="H6" s="239">
        <v>10.30326369630354</v>
      </c>
      <c r="I6" s="239">
        <v>11.06858540174759</v>
      </c>
      <c r="J6" s="239">
        <v>10.82094656693976</v>
      </c>
      <c r="K6" s="239">
        <v>10.41353667980151</v>
      </c>
      <c r="L6" s="239">
        <v>10.725585328555759</v>
      </c>
      <c r="M6" s="239">
        <v>9.6785514264195118</v>
      </c>
      <c r="N6" s="239">
        <v>10.4099146883401</v>
      </c>
      <c r="O6" s="239">
        <v>9.9243035129770174</v>
      </c>
      <c r="P6" s="239">
        <v>9.9491768420080984</v>
      </c>
      <c r="Q6" s="239">
        <v>10.20011447108932</v>
      </c>
      <c r="R6" s="239">
        <v>10.400168427067801</v>
      </c>
      <c r="S6" s="239">
        <v>10.116002962501129</v>
      </c>
      <c r="T6" s="239">
        <v>9.8332950831117856</v>
      </c>
      <c r="U6" s="239">
        <v>9.9608189736748542</v>
      </c>
      <c r="V6" s="239">
        <v>9.6881387056793322</v>
      </c>
      <c r="W6" s="239">
        <v>10.64331237431446</v>
      </c>
      <c r="X6" s="239">
        <v>8.7505906784881997</v>
      </c>
      <c r="Y6" s="239">
        <v>9.845340160314457</v>
      </c>
      <c r="DA6" s="267" t="s">
        <v>1016</v>
      </c>
    </row>
    <row r="7" spans="1:105" x14ac:dyDescent="0.25">
      <c r="A7" s="240" t="s">
        <v>124</v>
      </c>
      <c r="B7" s="241">
        <v>6.6262887908960622</v>
      </c>
      <c r="C7" s="241">
        <v>6.782655102260926</v>
      </c>
      <c r="D7" s="241">
        <v>7.149237783789097</v>
      </c>
      <c r="E7" s="241">
        <v>6.0702921389815092</v>
      </c>
      <c r="F7" s="241">
        <v>6.2489063854160403</v>
      </c>
      <c r="G7" s="241">
        <v>5.68064466294057</v>
      </c>
      <c r="H7" s="241">
        <v>6.6410525247086118</v>
      </c>
      <c r="I7" s="241">
        <v>7.1343468626936639</v>
      </c>
      <c r="J7" s="241">
        <v>6.9747292349601828</v>
      </c>
      <c r="K7" s="241">
        <v>6.7121298742798032</v>
      </c>
      <c r="L7" s="241">
        <v>6.913263372142703</v>
      </c>
      <c r="M7" s="241">
        <v>6.2383891435298677</v>
      </c>
      <c r="N7" s="241">
        <v>6.7097952901860349</v>
      </c>
      <c r="O7" s="241">
        <v>6.396790652313018</v>
      </c>
      <c r="P7" s="241">
        <v>6.41282295910713</v>
      </c>
      <c r="Q7" s="241">
        <v>6.5745668515547324</v>
      </c>
      <c r="R7" s="241">
        <v>6.7035132581099166</v>
      </c>
      <c r="S7" s="241">
        <v>6.5203520936943642</v>
      </c>
      <c r="T7" s="241">
        <v>6.3381304276753516</v>
      </c>
      <c r="U7" s="241">
        <v>6.4203269898858668</v>
      </c>
      <c r="V7" s="241">
        <v>6.2445687024551031</v>
      </c>
      <c r="W7" s="241">
        <v>6.860233669459709</v>
      </c>
      <c r="X7" s="241">
        <v>5.6402644861855471</v>
      </c>
      <c r="Y7" s="241">
        <v>6.3458941802808333</v>
      </c>
      <c r="DA7" s="268" t="s">
        <v>1017</v>
      </c>
    </row>
    <row r="8" spans="1:105" x14ac:dyDescent="0.25">
      <c r="A8" s="240" t="s">
        <v>123</v>
      </c>
      <c r="B8" s="241">
        <v>13.1679746666904</v>
      </c>
      <c r="C8" s="241">
        <v>13.4787108407016</v>
      </c>
      <c r="D8" s="241">
        <v>14.20719576128678</v>
      </c>
      <c r="E8" s="241">
        <v>12.063080198879939</v>
      </c>
      <c r="F8" s="241">
        <v>12.41802818656671</v>
      </c>
      <c r="G8" s="241">
        <v>11.2887601752045</v>
      </c>
      <c r="H8" s="241">
        <v>13.19731363439379</v>
      </c>
      <c r="I8" s="241">
        <v>14.17760404291529</v>
      </c>
      <c r="J8" s="241">
        <v>13.860406748218541</v>
      </c>
      <c r="K8" s="241">
        <v>13.3385608344577</v>
      </c>
      <c r="L8" s="241">
        <v>13.73825980443322</v>
      </c>
      <c r="M8" s="241">
        <v>12.39712798449419</v>
      </c>
      <c r="N8" s="241">
        <v>13.333921473697229</v>
      </c>
      <c r="O8" s="241">
        <v>12.711908568414369</v>
      </c>
      <c r="P8" s="241">
        <v>12.74376848523592</v>
      </c>
      <c r="Q8" s="241">
        <v>13.06519116170727</v>
      </c>
      <c r="R8" s="241">
        <v>13.32143761707038</v>
      </c>
      <c r="S8" s="241">
        <v>12.95745384741349</v>
      </c>
      <c r="T8" s="241">
        <v>12.595337079252539</v>
      </c>
      <c r="U8" s="241">
        <v>12.7586807370726</v>
      </c>
      <c r="V8" s="241">
        <v>12.409408203172649</v>
      </c>
      <c r="W8" s="241">
        <v>13.632877469985139</v>
      </c>
      <c r="X8" s="241">
        <v>11.2085153864055</v>
      </c>
      <c r="Y8" s="241">
        <v>12.6107654586748</v>
      </c>
      <c r="DA8" s="268" t="s">
        <v>1018</v>
      </c>
    </row>
    <row r="9" spans="1:105" x14ac:dyDescent="0.25">
      <c r="A9" s="242" t="s">
        <v>122</v>
      </c>
      <c r="B9" s="243">
        <f t="shared" ref="B9" si="3">SUM(B10:B15)</f>
        <v>104.28228401790714</v>
      </c>
      <c r="C9" s="243">
        <f t="shared" ref="C9:W9" si="4">SUM(C10:C15)</f>
        <v>105.52743840664209</v>
      </c>
      <c r="D9" s="243">
        <f t="shared" si="4"/>
        <v>108.9500927797063</v>
      </c>
      <c r="E9" s="243">
        <f t="shared" si="4"/>
        <v>101.81845000826351</v>
      </c>
      <c r="F9" s="243">
        <f t="shared" si="4"/>
        <v>101.50184999171788</v>
      </c>
      <c r="G9" s="243">
        <f t="shared" si="4"/>
        <v>97.788171636042847</v>
      </c>
      <c r="H9" s="243">
        <f t="shared" si="4"/>
        <v>102.71234063042789</v>
      </c>
      <c r="I9" s="243">
        <f t="shared" si="4"/>
        <v>107.24946562936202</v>
      </c>
      <c r="J9" s="243">
        <f t="shared" si="4"/>
        <v>105.19155263587143</v>
      </c>
      <c r="K9" s="243">
        <f t="shared" si="4"/>
        <v>102.68335819304971</v>
      </c>
      <c r="L9" s="243">
        <f t="shared" si="4"/>
        <v>104.88401496336284</v>
      </c>
      <c r="M9" s="243">
        <f t="shared" si="4"/>
        <v>96.633641827272044</v>
      </c>
      <c r="N9" s="243">
        <f t="shared" si="4"/>
        <v>102.49545281766974</v>
      </c>
      <c r="O9" s="243">
        <f t="shared" si="4"/>
        <v>98.361748327402154</v>
      </c>
      <c r="P9" s="243">
        <f t="shared" si="4"/>
        <v>96.827374278012087</v>
      </c>
      <c r="Q9" s="243">
        <f t="shared" si="4"/>
        <v>101.06415848177748</v>
      </c>
      <c r="R9" s="243">
        <f t="shared" si="4"/>
        <v>102.812145725444</v>
      </c>
      <c r="S9" s="243">
        <f t="shared" si="4"/>
        <v>100.95502966544764</v>
      </c>
      <c r="T9" s="243">
        <f t="shared" si="4"/>
        <v>96.219290220553702</v>
      </c>
      <c r="U9" s="243">
        <f t="shared" si="4"/>
        <v>101.59422777632018</v>
      </c>
      <c r="V9" s="243">
        <f t="shared" si="4"/>
        <v>101.08042498378816</v>
      </c>
      <c r="W9" s="243">
        <f t="shared" si="4"/>
        <v>102.34384850547895</v>
      </c>
      <c r="X9" s="243">
        <f t="shared" ref="X9:Y9" si="5">SUM(X10:X15)</f>
        <v>93.9038109063994</v>
      </c>
      <c r="Y9" s="243">
        <f t="shared" si="5"/>
        <v>99.12868294324953</v>
      </c>
      <c r="DA9" s="269"/>
    </row>
    <row r="10" spans="1:105" x14ac:dyDescent="0.25">
      <c r="A10" s="253" t="s">
        <v>166</v>
      </c>
      <c r="B10" s="254">
        <v>68.364421959499523</v>
      </c>
      <c r="C10" s="254">
        <v>66.990337451529513</v>
      </c>
      <c r="D10" s="254">
        <v>66.064401378504499</v>
      </c>
      <c r="E10" s="254">
        <v>70.003672835417504</v>
      </c>
      <c r="F10" s="254">
        <v>66.481030453947682</v>
      </c>
      <c r="G10" s="254">
        <v>67.374023650622789</v>
      </c>
      <c r="H10" s="254">
        <v>61.504692521861251</v>
      </c>
      <c r="I10" s="254">
        <v>61.169190476402179</v>
      </c>
      <c r="J10" s="254">
        <v>61.906015468012221</v>
      </c>
      <c r="K10" s="254">
        <v>60.129499793972677</v>
      </c>
      <c r="L10" s="254">
        <v>61.940388275926921</v>
      </c>
      <c r="M10" s="254">
        <v>60.526462516795512</v>
      </c>
      <c r="N10" s="254">
        <v>63.624251678649529</v>
      </c>
      <c r="O10" s="254">
        <v>62.025321438637647</v>
      </c>
      <c r="P10" s="254">
        <v>58.481490851694304</v>
      </c>
      <c r="Q10" s="254">
        <v>65.213155240496747</v>
      </c>
      <c r="R10" s="254">
        <v>64.02753504082375</v>
      </c>
      <c r="S10" s="254">
        <v>64.16142070596203</v>
      </c>
      <c r="T10" s="254">
        <v>58.141323660881767</v>
      </c>
      <c r="U10" s="254">
        <v>66.253814451860052</v>
      </c>
      <c r="V10" s="254">
        <v>69.591118610170852</v>
      </c>
      <c r="W10" s="254">
        <v>57.349605200861767</v>
      </c>
      <c r="X10" s="254">
        <v>63.858027507890242</v>
      </c>
      <c r="Y10" s="254">
        <v>55.893575353471043</v>
      </c>
      <c r="DA10" s="270" t="s">
        <v>1019</v>
      </c>
    </row>
    <row r="11" spans="1:105" x14ac:dyDescent="0.25">
      <c r="A11" s="253" t="s">
        <v>169</v>
      </c>
      <c r="B11" s="255">
        <v>5.4185424656516972</v>
      </c>
      <c r="C11" s="255">
        <v>5.2380443806934034</v>
      </c>
      <c r="D11" s="255">
        <v>5.4012499793316664</v>
      </c>
      <c r="E11" s="255">
        <v>5.2827896280688433</v>
      </c>
      <c r="F11" s="255">
        <v>5.8201940013377031</v>
      </c>
      <c r="G11" s="255">
        <v>5.4633473645503878</v>
      </c>
      <c r="H11" s="255">
        <v>4.8844027817439004</v>
      </c>
      <c r="I11" s="255">
        <v>4.4216660760555504</v>
      </c>
      <c r="J11" s="255">
        <v>3.398597962635205</v>
      </c>
      <c r="K11" s="255">
        <v>3.8254357227709268</v>
      </c>
      <c r="L11" s="255">
        <v>2.419093389442426</v>
      </c>
      <c r="M11" s="255">
        <v>1.592517724664825</v>
      </c>
      <c r="N11" s="255">
        <v>1.2455514735175319</v>
      </c>
      <c r="O11" s="255">
        <v>0.87397443636380912</v>
      </c>
      <c r="P11" s="255">
        <v>0.65170533433982758</v>
      </c>
      <c r="Q11" s="255">
        <v>1.0828162121167191</v>
      </c>
      <c r="R11" s="255">
        <v>1.2786781406308401</v>
      </c>
      <c r="S11" s="255">
        <v>0.81994165075592296</v>
      </c>
      <c r="T11" s="255">
        <v>1.019196488261084</v>
      </c>
      <c r="U11" s="255">
        <v>1.1023335752347929</v>
      </c>
      <c r="V11" s="255">
        <v>1.1770244953814899</v>
      </c>
      <c r="W11" s="255">
        <v>1.456479376502523</v>
      </c>
      <c r="X11" s="255">
        <v>1.343554425807554</v>
      </c>
      <c r="Y11" s="255">
        <v>1.477358930142904</v>
      </c>
      <c r="DA11" s="271" t="s">
        <v>1020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0</v>
      </c>
      <c r="P12" s="255">
        <v>0</v>
      </c>
      <c r="Q12" s="255">
        <v>0</v>
      </c>
      <c r="R12" s="255">
        <v>0</v>
      </c>
      <c r="S12" s="255">
        <v>0</v>
      </c>
      <c r="T12" s="255">
        <v>0</v>
      </c>
      <c r="U12" s="255">
        <v>0</v>
      </c>
      <c r="V12" s="255">
        <v>0</v>
      </c>
      <c r="W12" s="255">
        <v>0</v>
      </c>
      <c r="X12" s="255">
        <v>0</v>
      </c>
      <c r="Y12" s="255">
        <v>0</v>
      </c>
      <c r="DA12" s="271" t="s">
        <v>1021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1022</v>
      </c>
    </row>
    <row r="14" spans="1:105" x14ac:dyDescent="0.25">
      <c r="A14" s="253" t="s">
        <v>162</v>
      </c>
      <c r="B14" s="254">
        <v>5.9040062967830513</v>
      </c>
      <c r="C14" s="254">
        <v>6.6702913537492936</v>
      </c>
      <c r="D14" s="254">
        <v>6.8444641477485737</v>
      </c>
      <c r="E14" s="254">
        <v>7.0708637010693609</v>
      </c>
      <c r="F14" s="254">
        <v>7.1753172197200348</v>
      </c>
      <c r="G14" s="254">
        <v>7.6629759640379884</v>
      </c>
      <c r="H14" s="254">
        <v>7.9764619143655802</v>
      </c>
      <c r="I14" s="254">
        <v>7.9242351550415213</v>
      </c>
      <c r="J14" s="254">
        <v>7.8371487580403691</v>
      </c>
      <c r="K14" s="254">
        <v>8.6208636338494848</v>
      </c>
      <c r="L14" s="254">
        <v>9.6832048222912412</v>
      </c>
      <c r="M14" s="254">
        <v>9.6832048222943374</v>
      </c>
      <c r="N14" s="254">
        <v>9.3871486908131914</v>
      </c>
      <c r="O14" s="254">
        <v>8.7776066090022002</v>
      </c>
      <c r="P14" s="254">
        <v>9.4045785096509018</v>
      </c>
      <c r="Q14" s="254">
        <v>8.7776066090025804</v>
      </c>
      <c r="R14" s="254">
        <v>9.5613214848130195</v>
      </c>
      <c r="S14" s="254">
        <v>9.7702912192971443</v>
      </c>
      <c r="T14" s="254">
        <v>9.4916649066510796</v>
      </c>
      <c r="U14" s="254">
        <v>10.310176722931461</v>
      </c>
      <c r="V14" s="254">
        <v>9.5961811224770361</v>
      </c>
      <c r="W14" s="254">
        <v>12.347835400033389</v>
      </c>
      <c r="X14" s="254">
        <v>11.16361087408416</v>
      </c>
      <c r="Y14" s="254">
        <v>15.970353647563361</v>
      </c>
      <c r="DA14" s="270" t="s">
        <v>1023</v>
      </c>
    </row>
    <row r="15" spans="1:105" x14ac:dyDescent="0.25">
      <c r="A15" s="253" t="s">
        <v>24</v>
      </c>
      <c r="B15" s="255">
        <v>24.595313295972868</v>
      </c>
      <c r="C15" s="255">
        <v>26.62876522066988</v>
      </c>
      <c r="D15" s="255">
        <v>30.63997727412157</v>
      </c>
      <c r="E15" s="255">
        <v>19.46112384370781</v>
      </c>
      <c r="F15" s="255">
        <v>22.025308316712469</v>
      </c>
      <c r="G15" s="255">
        <v>17.287824656831681</v>
      </c>
      <c r="H15" s="255">
        <v>28.34678341245716</v>
      </c>
      <c r="I15" s="255">
        <v>33.73437392186279</v>
      </c>
      <c r="J15" s="255">
        <v>32.049790447183632</v>
      </c>
      <c r="K15" s="255">
        <v>30.107559042456629</v>
      </c>
      <c r="L15" s="255">
        <v>30.841328475702259</v>
      </c>
      <c r="M15" s="255">
        <v>24.831456763517359</v>
      </c>
      <c r="N15" s="255">
        <v>28.23850097468949</v>
      </c>
      <c r="O15" s="255">
        <v>26.684845843398492</v>
      </c>
      <c r="P15" s="255">
        <v>28.28959958232706</v>
      </c>
      <c r="Q15" s="255">
        <v>25.990580420161439</v>
      </c>
      <c r="R15" s="255">
        <v>27.944611059176381</v>
      </c>
      <c r="S15" s="255">
        <v>26.203376089432538</v>
      </c>
      <c r="T15" s="255">
        <v>27.56710516475977</v>
      </c>
      <c r="U15" s="255">
        <v>23.92790302629388</v>
      </c>
      <c r="V15" s="255">
        <v>20.716100755758781</v>
      </c>
      <c r="W15" s="255">
        <v>31.189928528081261</v>
      </c>
      <c r="X15" s="255">
        <v>17.538618098617452</v>
      </c>
      <c r="Y15" s="255">
        <v>25.787395012072221</v>
      </c>
      <c r="DA15" s="271" t="s">
        <v>1024</v>
      </c>
    </row>
    <row r="16" spans="1:105" x14ac:dyDescent="0.25">
      <c r="A16" s="256" t="s">
        <v>168</v>
      </c>
      <c r="B16" s="257">
        <v>69.829346134078733</v>
      </c>
      <c r="C16" s="257">
        <v>69.79027981663279</v>
      </c>
      <c r="D16" s="257">
        <v>70.79494385503537</v>
      </c>
      <c r="E16" s="257">
        <v>69.616102961928149</v>
      </c>
      <c r="F16" s="257">
        <v>68.125250386625225</v>
      </c>
      <c r="G16" s="257">
        <v>66.978594910093165</v>
      </c>
      <c r="H16" s="257">
        <v>66.552638667020005</v>
      </c>
      <c r="I16" s="257">
        <v>68.072565973543448</v>
      </c>
      <c r="J16" s="257">
        <v>67.482129422061846</v>
      </c>
      <c r="K16" s="257">
        <v>65.885497713330309</v>
      </c>
      <c r="L16" s="257">
        <v>67.213561070606829</v>
      </c>
      <c r="M16" s="257">
        <v>63.174677693722941</v>
      </c>
      <c r="N16" s="257">
        <v>66.789772066762296</v>
      </c>
      <c r="O16" s="257">
        <v>64.568004647247179</v>
      </c>
      <c r="P16" s="257">
        <v>62.342199126738613</v>
      </c>
      <c r="Q16" s="257">
        <v>66.720694261268235</v>
      </c>
      <c r="R16" s="257">
        <v>67.107261560262472</v>
      </c>
      <c r="S16" s="257">
        <v>66.380021239377839</v>
      </c>
      <c r="T16" s="257">
        <v>62.018291878864851</v>
      </c>
      <c r="U16" s="257">
        <v>67.494815174909476</v>
      </c>
      <c r="V16" s="257">
        <v>68.443061015594211</v>
      </c>
      <c r="W16" s="257">
        <v>63.773199051739851</v>
      </c>
      <c r="X16" s="257">
        <v>63.265172612263427</v>
      </c>
      <c r="Y16" s="257">
        <v>62.069652305200457</v>
      </c>
      <c r="DA16" s="272" t="s">
        <v>1025</v>
      </c>
    </row>
    <row r="17" spans="1:105" x14ac:dyDescent="0.25">
      <c r="A17" s="256" t="s">
        <v>121</v>
      </c>
      <c r="B17" s="257">
        <f t="shared" ref="B17" si="6">SUM(B18:B24)</f>
        <v>108.45052253459076</v>
      </c>
      <c r="C17" s="257">
        <f t="shared" ref="C17:W17" si="7">SUM(C18:C24)</f>
        <v>110.56326652631645</v>
      </c>
      <c r="D17" s="257">
        <f t="shared" si="7"/>
        <v>114.9543421356657</v>
      </c>
      <c r="E17" s="257">
        <f t="shared" si="7"/>
        <v>115.92146829671425</v>
      </c>
      <c r="F17" s="257">
        <f t="shared" si="7"/>
        <v>112.31834475971321</v>
      </c>
      <c r="G17" s="257">
        <f t="shared" si="7"/>
        <v>115.06634034710027</v>
      </c>
      <c r="H17" s="257">
        <f t="shared" si="7"/>
        <v>115.43543960914586</v>
      </c>
      <c r="I17" s="257">
        <f t="shared" si="7"/>
        <v>117.97574970286922</v>
      </c>
      <c r="J17" s="257">
        <f t="shared" si="7"/>
        <v>114.43200510676763</v>
      </c>
      <c r="K17" s="257">
        <f t="shared" si="7"/>
        <v>115.64471092527174</v>
      </c>
      <c r="L17" s="257">
        <f t="shared" si="7"/>
        <v>108.99740754783662</v>
      </c>
      <c r="M17" s="257">
        <f t="shared" si="7"/>
        <v>95.41702659408152</v>
      </c>
      <c r="N17" s="257">
        <f t="shared" si="7"/>
        <v>103.28178589824969</v>
      </c>
      <c r="O17" s="257">
        <f t="shared" si="7"/>
        <v>102.82128791688476</v>
      </c>
      <c r="P17" s="257">
        <f t="shared" si="7"/>
        <v>96.082390599139671</v>
      </c>
      <c r="Q17" s="257">
        <f t="shared" si="7"/>
        <v>97.521504872987691</v>
      </c>
      <c r="R17" s="257">
        <f t="shared" si="7"/>
        <v>104.21222210300033</v>
      </c>
      <c r="S17" s="257">
        <f t="shared" si="7"/>
        <v>102.27295807424315</v>
      </c>
      <c r="T17" s="257">
        <f t="shared" si="7"/>
        <v>96.135436109041464</v>
      </c>
      <c r="U17" s="257">
        <f t="shared" si="7"/>
        <v>102.82678915857988</v>
      </c>
      <c r="V17" s="257">
        <f t="shared" si="7"/>
        <v>97.85276379987026</v>
      </c>
      <c r="W17" s="257">
        <f t="shared" si="7"/>
        <v>92.007380450327972</v>
      </c>
      <c r="X17" s="257">
        <f t="shared" ref="X17:Y17" si="8">SUM(X18:X24)</f>
        <v>90.148899460980687</v>
      </c>
      <c r="Y17" s="257">
        <f t="shared" si="8"/>
        <v>92.225787062285946</v>
      </c>
      <c r="DA17" s="272"/>
    </row>
    <row r="18" spans="1:105" x14ac:dyDescent="0.25">
      <c r="A18" s="61" t="s">
        <v>29</v>
      </c>
      <c r="B18" s="55">
        <v>5.6504916758987784</v>
      </c>
      <c r="C18" s="55">
        <v>6.3904506461354487</v>
      </c>
      <c r="D18" s="55">
        <v>7.3267321346763881</v>
      </c>
      <c r="E18" s="55">
        <v>8.004161574552457</v>
      </c>
      <c r="F18" s="55">
        <v>8.6921211220474675</v>
      </c>
      <c r="G18" s="55">
        <v>7.6174888377889403</v>
      </c>
      <c r="H18" s="55">
        <v>7.5485604147295389</v>
      </c>
      <c r="I18" s="55">
        <v>8.9639954786518743</v>
      </c>
      <c r="J18" s="55">
        <v>10.365352978648</v>
      </c>
      <c r="K18" s="55">
        <v>12.01979229774701</v>
      </c>
      <c r="L18" s="55">
        <v>14.39360186920725</v>
      </c>
      <c r="M18" s="55">
        <v>11.896664130961771</v>
      </c>
      <c r="N18" s="55">
        <v>13.18919555064376</v>
      </c>
      <c r="O18" s="55">
        <v>11.92124935027026</v>
      </c>
      <c r="P18" s="55">
        <v>11.268450034192639</v>
      </c>
      <c r="Q18" s="55">
        <v>11.773288989374601</v>
      </c>
      <c r="R18" s="55">
        <v>13.28122734416017</v>
      </c>
      <c r="S18" s="55">
        <v>13.394768398031839</v>
      </c>
      <c r="T18" s="55">
        <v>13.427952831024079</v>
      </c>
      <c r="U18" s="55">
        <v>13.161826251733199</v>
      </c>
      <c r="V18" s="55">
        <v>8.5132215536821079</v>
      </c>
      <c r="W18" s="55">
        <v>8.1027045220275546</v>
      </c>
      <c r="X18" s="55">
        <v>7.4161594666057491</v>
      </c>
      <c r="Y18" s="55">
        <v>7.5598988035387613</v>
      </c>
      <c r="DA18" s="101" t="s">
        <v>1026</v>
      </c>
    </row>
    <row r="19" spans="1:105" x14ac:dyDescent="0.25">
      <c r="A19" s="61" t="s">
        <v>27</v>
      </c>
      <c r="B19" s="55">
        <v>1.672143350306899</v>
      </c>
      <c r="C19" s="55">
        <v>1.3376990447005741</v>
      </c>
      <c r="D19" s="55">
        <v>1.337699044700563</v>
      </c>
      <c r="E19" s="55">
        <v>1.337699044700615</v>
      </c>
      <c r="F19" s="55">
        <v>1.3376990446995209</v>
      </c>
      <c r="G19" s="55">
        <v>1.337699044700102</v>
      </c>
      <c r="H19" s="55">
        <v>1.6721433503053069</v>
      </c>
      <c r="I19" s="55">
        <v>1.672143350305656</v>
      </c>
      <c r="J19" s="55">
        <v>1.337699044699906</v>
      </c>
      <c r="K19" s="55">
        <v>1.337699044699002</v>
      </c>
      <c r="L19" s="55">
        <v>1.3376990447003509</v>
      </c>
      <c r="M19" s="55">
        <v>1.337699044699115</v>
      </c>
      <c r="N19" s="55">
        <v>1.672143350304691</v>
      </c>
      <c r="O19" s="55">
        <v>1.3405916205084649</v>
      </c>
      <c r="P19" s="55">
        <v>1.3405916205072399</v>
      </c>
      <c r="Q19" s="55">
        <v>1.0054437153808859</v>
      </c>
      <c r="R19" s="55">
        <v>1.0054437153800959</v>
      </c>
      <c r="S19" s="55">
        <v>1.0054437153800191</v>
      </c>
      <c r="T19" s="55">
        <v>0.67029581025352336</v>
      </c>
      <c r="U19" s="55">
        <v>0.67029581025432161</v>
      </c>
      <c r="V19" s="55">
        <v>0.67029581025439211</v>
      </c>
      <c r="W19" s="55">
        <v>1.3405916205066311</v>
      </c>
      <c r="X19" s="55">
        <v>1.3405916205084369</v>
      </c>
      <c r="Y19" s="55">
        <v>1.34059162050761</v>
      </c>
      <c r="DA19" s="101" t="s">
        <v>1027</v>
      </c>
    </row>
    <row r="20" spans="1:105" x14ac:dyDescent="0.25">
      <c r="A20" s="61" t="s">
        <v>166</v>
      </c>
      <c r="B20" s="55">
        <v>29.170823102548439</v>
      </c>
      <c r="C20" s="55">
        <v>27.748015549497129</v>
      </c>
      <c r="D20" s="55">
        <v>26.60079936091034</v>
      </c>
      <c r="E20" s="55">
        <v>25.064199875506709</v>
      </c>
      <c r="F20" s="55">
        <v>24.858325845997751</v>
      </c>
      <c r="G20" s="55">
        <v>22.601077507936221</v>
      </c>
      <c r="H20" s="55">
        <v>21.748696224004789</v>
      </c>
      <c r="I20" s="55">
        <v>22.21491532328757</v>
      </c>
      <c r="J20" s="55">
        <v>23.090268128106299</v>
      </c>
      <c r="K20" s="55">
        <v>20.893570627150101</v>
      </c>
      <c r="L20" s="55">
        <v>24.866478746820238</v>
      </c>
      <c r="M20" s="55">
        <v>27.38665800169791</v>
      </c>
      <c r="N20" s="55">
        <v>27.383371214723869</v>
      </c>
      <c r="O20" s="55">
        <v>24.759496007126661</v>
      </c>
      <c r="P20" s="55">
        <v>25.528204483693852</v>
      </c>
      <c r="Q20" s="55">
        <v>30.942944493132721</v>
      </c>
      <c r="R20" s="55">
        <v>27.167143708546028</v>
      </c>
      <c r="S20" s="55">
        <v>27.41099436947141</v>
      </c>
      <c r="T20" s="55">
        <v>25.088159242517978</v>
      </c>
      <c r="U20" s="55">
        <v>28.648052708150878</v>
      </c>
      <c r="V20" s="55">
        <v>33.670432399611123</v>
      </c>
      <c r="W20" s="55">
        <v>30.084636617123142</v>
      </c>
      <c r="X20" s="55">
        <v>31.205160140744471</v>
      </c>
      <c r="Y20" s="55">
        <v>27.55962261857087</v>
      </c>
      <c r="DA20" s="101" t="s">
        <v>1028</v>
      </c>
    </row>
    <row r="21" spans="1:105" x14ac:dyDescent="0.25">
      <c r="A21" s="61" t="s">
        <v>129</v>
      </c>
      <c r="B21" s="55">
        <v>45.558908785748478</v>
      </c>
      <c r="C21" s="55">
        <v>45.206734406333418</v>
      </c>
      <c r="D21" s="55">
        <v>48.234514505436778</v>
      </c>
      <c r="E21" s="55">
        <v>49.371731694086478</v>
      </c>
      <c r="F21" s="55">
        <v>44.972315287203863</v>
      </c>
      <c r="G21" s="55">
        <v>50.759831910222879</v>
      </c>
      <c r="H21" s="55">
        <v>50.279801000841601</v>
      </c>
      <c r="I21" s="55">
        <v>51.147418786558859</v>
      </c>
      <c r="J21" s="55">
        <v>47.035621518815013</v>
      </c>
      <c r="K21" s="55">
        <v>45.392899644296733</v>
      </c>
      <c r="L21" s="55">
        <v>27.153606015012041</v>
      </c>
      <c r="M21" s="55">
        <v>19.99289725651678</v>
      </c>
      <c r="N21" s="55">
        <v>19.32851237128293</v>
      </c>
      <c r="O21" s="55">
        <v>18.174227520196041</v>
      </c>
      <c r="P21" s="55">
        <v>14.339599802254231</v>
      </c>
      <c r="Q21" s="55">
        <v>14.376289471222449</v>
      </c>
      <c r="R21" s="55">
        <v>18.82855757840284</v>
      </c>
      <c r="S21" s="55">
        <v>18.270642397089059</v>
      </c>
      <c r="T21" s="55">
        <v>15.75693564702823</v>
      </c>
      <c r="U21" s="55">
        <v>19.685865102731668</v>
      </c>
      <c r="V21" s="55">
        <v>18.345461456228161</v>
      </c>
      <c r="W21" s="55">
        <v>12.2382802870503</v>
      </c>
      <c r="X21" s="55">
        <v>12.814935065121711</v>
      </c>
      <c r="Y21" s="55">
        <v>17.581108833716051</v>
      </c>
      <c r="DA21" s="101" t="s">
        <v>1029</v>
      </c>
    </row>
    <row r="22" spans="1:105" x14ac:dyDescent="0.25">
      <c r="A22" s="61" t="s">
        <v>169</v>
      </c>
      <c r="B22" s="55">
        <v>2.256707445811188</v>
      </c>
      <c r="C22" s="55">
        <v>2.1176938746751728</v>
      </c>
      <c r="D22" s="55">
        <v>2.1227346250098931</v>
      </c>
      <c r="E22" s="55">
        <v>1.8461652759784519</v>
      </c>
      <c r="F22" s="55">
        <v>2.124153209582059</v>
      </c>
      <c r="G22" s="55">
        <v>1.788832666812606</v>
      </c>
      <c r="H22" s="55">
        <v>1.6858180070675679</v>
      </c>
      <c r="I22" s="55">
        <v>1.5673721066976101</v>
      </c>
      <c r="J22" s="55">
        <v>1.2372861736526699</v>
      </c>
      <c r="K22" s="55">
        <v>1.297418918854035</v>
      </c>
      <c r="L22" s="55">
        <v>0.94791030567118562</v>
      </c>
      <c r="M22" s="55">
        <v>0.70331886067819149</v>
      </c>
      <c r="N22" s="55">
        <v>0.52323905092059864</v>
      </c>
      <c r="O22" s="55">
        <v>0.34052244985263019</v>
      </c>
      <c r="P22" s="55">
        <v>0.27766897253647621</v>
      </c>
      <c r="Q22" s="55">
        <v>0.50148207857614879</v>
      </c>
      <c r="R22" s="55">
        <v>0.5295569612403529</v>
      </c>
      <c r="S22" s="55">
        <v>0.3419070134520244</v>
      </c>
      <c r="T22" s="55">
        <v>0.42925567386539482</v>
      </c>
      <c r="U22" s="55">
        <v>0.46523405599181672</v>
      </c>
      <c r="V22" s="55">
        <v>0.55584617361175814</v>
      </c>
      <c r="W22" s="55">
        <v>0.74574941273563666</v>
      </c>
      <c r="X22" s="55">
        <v>0.64082644114586207</v>
      </c>
      <c r="Y22" s="55">
        <v>0.71100333839789753</v>
      </c>
      <c r="DA22" s="101" t="s">
        <v>1030</v>
      </c>
    </row>
    <row r="23" spans="1:105" x14ac:dyDescent="0.25">
      <c r="A23" s="61" t="s">
        <v>164</v>
      </c>
      <c r="B23" s="55">
        <v>24.141448174276981</v>
      </c>
      <c r="C23" s="55">
        <v>27.762673004974719</v>
      </c>
      <c r="D23" s="55">
        <v>29.331862464931731</v>
      </c>
      <c r="E23" s="55">
        <v>30.297510831889539</v>
      </c>
      <c r="F23" s="55">
        <v>30.333730250182541</v>
      </c>
      <c r="G23" s="55">
        <v>30.96141037963951</v>
      </c>
      <c r="H23" s="55">
        <v>32.500420612197047</v>
      </c>
      <c r="I23" s="55">
        <v>32.409904657367662</v>
      </c>
      <c r="J23" s="55">
        <v>31.365777262845761</v>
      </c>
      <c r="K23" s="55">
        <v>34.70333039252484</v>
      </c>
      <c r="L23" s="55">
        <v>40.298111566425547</v>
      </c>
      <c r="M23" s="55">
        <v>34.099789299527743</v>
      </c>
      <c r="N23" s="55">
        <v>41.185324360373848</v>
      </c>
      <c r="O23" s="55">
        <v>46.285200968930702</v>
      </c>
      <c r="P23" s="55">
        <v>43.327875685955227</v>
      </c>
      <c r="Q23" s="55">
        <v>38.922056125300877</v>
      </c>
      <c r="R23" s="55">
        <v>43.400292795270829</v>
      </c>
      <c r="S23" s="55">
        <v>41.849202180818793</v>
      </c>
      <c r="T23" s="55">
        <v>40.762836904352262</v>
      </c>
      <c r="U23" s="55">
        <v>40.195515229718012</v>
      </c>
      <c r="V23" s="55">
        <v>36.097506406482722</v>
      </c>
      <c r="W23" s="55">
        <v>39.495417990884711</v>
      </c>
      <c r="X23" s="55">
        <v>36.731226726854452</v>
      </c>
      <c r="Y23" s="55">
        <v>37.473561847554762</v>
      </c>
      <c r="DA23" s="101" t="s">
        <v>1031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1" t="s">
        <v>1032</v>
      </c>
    </row>
    <row r="25" spans="1:105" x14ac:dyDescent="0.25">
      <c r="A25" s="256" t="s">
        <v>167</v>
      </c>
      <c r="B25" s="257">
        <v>9.3928035587717602</v>
      </c>
      <c r="C25" s="257">
        <v>9.3875487158461279</v>
      </c>
      <c r="D25" s="257">
        <v>9.5226869131472824</v>
      </c>
      <c r="E25" s="257">
        <v>9.3641200419246466</v>
      </c>
      <c r="F25" s="257">
        <v>9.1635842192345489</v>
      </c>
      <c r="G25" s="257">
        <v>9.0093466352254534</v>
      </c>
      <c r="H25" s="257">
        <v>8.9520509058892941</v>
      </c>
      <c r="I25" s="257">
        <v>9.1564975949127874</v>
      </c>
      <c r="J25" s="257">
        <v>9.0770774821805666</v>
      </c>
      <c r="K25" s="257">
        <v>8.8623132200746966</v>
      </c>
      <c r="L25" s="257">
        <v>9.0409521293457313</v>
      </c>
      <c r="M25" s="257">
        <v>8.4976785594770146</v>
      </c>
      <c r="N25" s="257">
        <v>8.9839479171648495</v>
      </c>
      <c r="O25" s="257">
        <v>8.6850961294835596</v>
      </c>
      <c r="P25" s="257">
        <v>8.3857011734714497</v>
      </c>
      <c r="Q25" s="257">
        <v>8.9746562039640541</v>
      </c>
      <c r="R25" s="257">
        <v>9.0266536935972272</v>
      </c>
      <c r="S25" s="257">
        <v>8.9288319918019408</v>
      </c>
      <c r="T25" s="257">
        <v>8.3421321395483918</v>
      </c>
      <c r="U25" s="257">
        <v>9.0787838533710481</v>
      </c>
      <c r="V25" s="257">
        <v>9.2063331918665376</v>
      </c>
      <c r="W25" s="257">
        <v>8.578186166275847</v>
      </c>
      <c r="X25" s="257">
        <v>8.5098511064071563</v>
      </c>
      <c r="Y25" s="257">
        <v>8.3490406733092417</v>
      </c>
      <c r="DA25" s="272" t="s">
        <v>1033</v>
      </c>
    </row>
    <row r="26" spans="1:105" x14ac:dyDescent="0.25">
      <c r="A26" s="256" t="s">
        <v>170</v>
      </c>
      <c r="B26" s="257">
        <v>10.194290447532399</v>
      </c>
      <c r="C26" s="257">
        <v>10.43485400347835</v>
      </c>
      <c r="D26" s="257">
        <v>10.998827359675539</v>
      </c>
      <c r="E26" s="257">
        <v>9.3389109830484767</v>
      </c>
      <c r="F26" s="257">
        <v>9.6137021314092994</v>
      </c>
      <c r="G26" s="257">
        <v>8.7394533276008826</v>
      </c>
      <c r="H26" s="257">
        <v>10.2170038841671</v>
      </c>
      <c r="I26" s="257">
        <v>10.975918250297941</v>
      </c>
      <c r="J26" s="257">
        <v>10.73035266916952</v>
      </c>
      <c r="K26" s="257">
        <v>10.32635365273816</v>
      </c>
      <c r="L26" s="257">
        <v>10.63578980329646</v>
      </c>
      <c r="M26" s="257">
        <v>9.5975217592767219</v>
      </c>
      <c r="N26" s="257">
        <v>10.322761984901589</v>
      </c>
      <c r="O26" s="257">
        <v>9.8412163881738746</v>
      </c>
      <c r="P26" s="257">
        <v>9.8658814755494308</v>
      </c>
      <c r="Q26" s="257">
        <v>10.114718233161129</v>
      </c>
      <c r="R26" s="257">
        <v>10.31309732016911</v>
      </c>
      <c r="S26" s="257">
        <v>10.03131091337595</v>
      </c>
      <c r="T26" s="257">
        <v>9.7509698887313139</v>
      </c>
      <c r="U26" s="257">
        <v>9.8774261382859461</v>
      </c>
      <c r="V26" s="257">
        <v>9.6070287730078494</v>
      </c>
      <c r="W26" s="257">
        <v>10.554205645322631</v>
      </c>
      <c r="X26" s="257">
        <v>8.6773299787469984</v>
      </c>
      <c r="Y26" s="257">
        <v>9.7629141235089723</v>
      </c>
      <c r="DA26" s="272" t="s">
        <v>1034</v>
      </c>
    </row>
    <row r="27" spans="1:105" x14ac:dyDescent="0.25">
      <c r="A27" s="128" t="s">
        <v>33</v>
      </c>
      <c r="B27" s="258">
        <v>15.53675870763435</v>
      </c>
      <c r="C27" s="258">
        <v>15.903393143039059</v>
      </c>
      <c r="D27" s="258">
        <v>16.76292505434451</v>
      </c>
      <c r="E27" s="258">
        <v>14.23310501917493</v>
      </c>
      <c r="F27" s="258">
        <v>14.65190452160712</v>
      </c>
      <c r="G27" s="258">
        <v>13.319492738254681</v>
      </c>
      <c r="H27" s="258">
        <v>15.571375455727869</v>
      </c>
      <c r="I27" s="258">
        <v>16.728010088321291</v>
      </c>
      <c r="J27" s="258">
        <v>16.353752242664559</v>
      </c>
      <c r="K27" s="258">
        <v>15.738031583269869</v>
      </c>
      <c r="L27" s="258">
        <v>16.20963231226494</v>
      </c>
      <c r="M27" s="258">
        <v>14.62724458682133</v>
      </c>
      <c r="N27" s="258">
        <v>15.732557648931641</v>
      </c>
      <c r="O27" s="258">
        <v>14.99865098013613</v>
      </c>
      <c r="P27" s="258">
        <v>15.03624217032529</v>
      </c>
      <c r="Q27" s="258">
        <v>15.415485500746479</v>
      </c>
      <c r="R27" s="258">
        <v>15.71782807410623</v>
      </c>
      <c r="S27" s="258">
        <v>15.28836734489027</v>
      </c>
      <c r="T27" s="258">
        <v>14.86110947165507</v>
      </c>
      <c r="U27" s="258">
        <v>15.053836983835989</v>
      </c>
      <c r="V27" s="258">
        <v>14.64173389131299</v>
      </c>
      <c r="W27" s="258">
        <v>16.08529277305631</v>
      </c>
      <c r="X27" s="258">
        <v>13.22481273220418</v>
      </c>
      <c r="Y27" s="258">
        <v>14.879313258828191</v>
      </c>
      <c r="DA27" s="273" t="s">
        <v>1035</v>
      </c>
    </row>
    <row r="29" spans="1:105" ht="12.75" x14ac:dyDescent="0.25">
      <c r="A29" s="178" t="s">
        <v>132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9">SUM(B32:B40)</f>
        <v>0.99999999999999989</v>
      </c>
      <c r="C31" s="235">
        <f t="shared" si="9"/>
        <v>0.99999999999999989</v>
      </c>
      <c r="D31" s="235">
        <f t="shared" si="9"/>
        <v>0.99999999999999967</v>
      </c>
      <c r="E31" s="235">
        <f t="shared" si="9"/>
        <v>0.99999999999999989</v>
      </c>
      <c r="F31" s="235">
        <f t="shared" si="9"/>
        <v>1</v>
      </c>
      <c r="G31" s="235">
        <f t="shared" si="9"/>
        <v>1</v>
      </c>
      <c r="H31" s="235">
        <f t="shared" si="9"/>
        <v>0.99999999999999989</v>
      </c>
      <c r="I31" s="235">
        <f t="shared" si="9"/>
        <v>1.0000000000000002</v>
      </c>
      <c r="J31" s="235">
        <f t="shared" si="9"/>
        <v>1</v>
      </c>
      <c r="K31" s="235">
        <f t="shared" si="9"/>
        <v>1</v>
      </c>
      <c r="L31" s="235">
        <f t="shared" si="9"/>
        <v>0.99999999999999989</v>
      </c>
      <c r="M31" s="235">
        <f t="shared" si="9"/>
        <v>0.99999999999999989</v>
      </c>
      <c r="N31" s="235">
        <f t="shared" si="9"/>
        <v>1.0000000000000002</v>
      </c>
      <c r="O31" s="235">
        <f t="shared" si="9"/>
        <v>1.0000000000000004</v>
      </c>
      <c r="P31" s="235">
        <f t="shared" si="9"/>
        <v>1</v>
      </c>
      <c r="Q31" s="235">
        <f t="shared" si="9"/>
        <v>1.0000000000000002</v>
      </c>
      <c r="R31" s="235">
        <f t="shared" ref="R31:W31" si="10">SUM(R32:R40)</f>
        <v>0.99999999999999978</v>
      </c>
      <c r="S31" s="235">
        <f t="shared" si="10"/>
        <v>1.0000000000000002</v>
      </c>
      <c r="T31" s="235">
        <f t="shared" si="10"/>
        <v>1</v>
      </c>
      <c r="U31" s="235">
        <f t="shared" si="10"/>
        <v>1.0000000000000002</v>
      </c>
      <c r="V31" s="235">
        <f t="shared" si="10"/>
        <v>1</v>
      </c>
      <c r="W31" s="235">
        <f t="shared" si="10"/>
        <v>1</v>
      </c>
      <c r="X31" s="235">
        <f t="shared" ref="X31:Y31" si="11">SUM(X32:X40)</f>
        <v>1</v>
      </c>
      <c r="Y31" s="235">
        <f t="shared" si="11"/>
        <v>1.0000000000000002</v>
      </c>
      <c r="DA31" s="274"/>
    </row>
    <row r="32" spans="1:105" x14ac:dyDescent="0.25">
      <c r="A32" s="238" t="s">
        <v>125</v>
      </c>
      <c r="B32" s="244">
        <f t="shared" ref="B32:Y32" si="12">IF(B$6=0,0,B$6/B$5)</f>
        <v>2.9561594058497849E-2</v>
      </c>
      <c r="C32" s="244">
        <f t="shared" si="12"/>
        <v>2.9861574498077855E-2</v>
      </c>
      <c r="D32" s="244">
        <f t="shared" si="12"/>
        <v>3.0435553866509289E-2</v>
      </c>
      <c r="E32" s="244">
        <f t="shared" si="12"/>
        <v>2.7074713278647397E-2</v>
      </c>
      <c r="F32" s="244">
        <f t="shared" si="12"/>
        <v>2.8204366212242662E-2</v>
      </c>
      <c r="G32" s="244">
        <f t="shared" si="12"/>
        <v>2.617658515437675E-2</v>
      </c>
      <c r="H32" s="244">
        <f t="shared" si="12"/>
        <v>2.9473055187282778E-2</v>
      </c>
      <c r="I32" s="244">
        <f t="shared" si="12"/>
        <v>3.0530765604429601E-2</v>
      </c>
      <c r="J32" s="244">
        <f t="shared" si="12"/>
        <v>3.0488156662298951E-2</v>
      </c>
      <c r="K32" s="244">
        <f t="shared" si="12"/>
        <v>2.9786621447809108E-2</v>
      </c>
      <c r="L32" s="244">
        <f t="shared" si="12"/>
        <v>3.0788932565625093E-2</v>
      </c>
      <c r="M32" s="244">
        <f t="shared" si="12"/>
        <v>3.0602967551708132E-2</v>
      </c>
      <c r="N32" s="244">
        <f t="shared" si="12"/>
        <v>3.0793106153677932E-2</v>
      </c>
      <c r="O32" s="244">
        <f t="shared" si="12"/>
        <v>3.0228544747960384E-2</v>
      </c>
      <c r="P32" s="244">
        <f t="shared" si="12"/>
        <v>3.1321630727470344E-2</v>
      </c>
      <c r="Q32" s="244">
        <f t="shared" si="12"/>
        <v>3.0942153019744557E-2</v>
      </c>
      <c r="R32" s="244">
        <f t="shared" si="12"/>
        <v>3.0623467787969386E-2</v>
      </c>
      <c r="S32" s="244">
        <f t="shared" si="12"/>
        <v>3.0337360947127259E-2</v>
      </c>
      <c r="T32" s="244">
        <f t="shared" si="12"/>
        <v>3.1108769298683333E-2</v>
      </c>
      <c r="U32" s="244">
        <f t="shared" si="12"/>
        <v>2.9727957238448462E-2</v>
      </c>
      <c r="V32" s="244">
        <f t="shared" si="12"/>
        <v>2.9431712594316674E-2</v>
      </c>
      <c r="W32" s="244">
        <f t="shared" si="12"/>
        <v>3.2801283259114584E-2</v>
      </c>
      <c r="X32" s="244">
        <f t="shared" si="12"/>
        <v>2.8848489735137827E-2</v>
      </c>
      <c r="Y32" s="244">
        <f t="shared" si="12"/>
        <v>3.123349303520518E-2</v>
      </c>
      <c r="DA32" s="275"/>
    </row>
    <row r="33" spans="1:105" x14ac:dyDescent="0.25">
      <c r="A33" s="240" t="s">
        <v>124</v>
      </c>
      <c r="B33" s="245">
        <f t="shared" ref="B33:Y33" si="13">IF(B$7=0,0,B$7/B$5)</f>
        <v>1.9054166198525142E-2</v>
      </c>
      <c r="C33" s="245">
        <f t="shared" si="13"/>
        <v>1.9247521033881901E-2</v>
      </c>
      <c r="D33" s="245">
        <f t="shared" si="13"/>
        <v>1.9617484110263202E-2</v>
      </c>
      <c r="E33" s="245">
        <f t="shared" si="13"/>
        <v>1.74512269388418E-2</v>
      </c>
      <c r="F33" s="245">
        <f t="shared" si="13"/>
        <v>1.8179353937026722E-2</v>
      </c>
      <c r="G33" s="245">
        <f t="shared" si="13"/>
        <v>1.687233114203332E-2</v>
      </c>
      <c r="H33" s="245">
        <f t="shared" si="13"/>
        <v>1.8997097748027408E-2</v>
      </c>
      <c r="I33" s="245">
        <f t="shared" si="13"/>
        <v>1.9678853611339295E-2</v>
      </c>
      <c r="J33" s="245">
        <f t="shared" si="13"/>
        <v>1.9651389670683913E-2</v>
      </c>
      <c r="K33" s="245">
        <f t="shared" si="13"/>
        <v>1.919920943491735E-2</v>
      </c>
      <c r="L33" s="245">
        <f t="shared" si="13"/>
        <v>1.9845257228676482E-2</v>
      </c>
      <c r="M33" s="245">
        <f t="shared" si="13"/>
        <v>1.9725391964466668E-2</v>
      </c>
      <c r="N33" s="245">
        <f t="shared" si="13"/>
        <v>1.9847947348845412E-2</v>
      </c>
      <c r="O33" s="245">
        <f t="shared" si="13"/>
        <v>1.9484054697030764E-2</v>
      </c>
      <c r="P33" s="245">
        <f t="shared" si="13"/>
        <v>2.0188612167160603E-2</v>
      </c>
      <c r="Q33" s="245">
        <f t="shared" si="13"/>
        <v>1.994401672019876E-2</v>
      </c>
      <c r="R33" s="245">
        <f t="shared" si="13"/>
        <v>1.9738605558701734E-2</v>
      </c>
      <c r="S33" s="245">
        <f t="shared" si="13"/>
        <v>1.9554193064397374E-2</v>
      </c>
      <c r="T33" s="245">
        <f t="shared" si="13"/>
        <v>2.0051410599703265E-2</v>
      </c>
      <c r="U33" s="245">
        <f t="shared" si="13"/>
        <v>1.9161396941015606E-2</v>
      </c>
      <c r="V33" s="245">
        <f t="shared" si="13"/>
        <v>1.8970450043039135E-2</v>
      </c>
      <c r="W33" s="245">
        <f t="shared" si="13"/>
        <v>2.1142334256646949E-2</v>
      </c>
      <c r="X33" s="245">
        <f t="shared" si="13"/>
        <v>1.8594528999418058E-2</v>
      </c>
      <c r="Y33" s="245">
        <f t="shared" si="13"/>
        <v>2.0131802299822203E-2</v>
      </c>
      <c r="DA33" s="276"/>
    </row>
    <row r="34" spans="1:105" x14ac:dyDescent="0.25">
      <c r="A34" s="240" t="s">
        <v>123</v>
      </c>
      <c r="B34" s="245">
        <f t="shared" ref="B34:Y34" si="14">IF(B$8=0,0,B$8/B$5)</f>
        <v>3.7865053231879761E-2</v>
      </c>
      <c r="C34" s="245">
        <f t="shared" si="14"/>
        <v>3.824929419299785E-2</v>
      </c>
      <c r="D34" s="245">
        <f t="shared" si="14"/>
        <v>3.8984496743193521E-2</v>
      </c>
      <c r="E34" s="245">
        <f t="shared" si="14"/>
        <v>3.4679640668401769E-2</v>
      </c>
      <c r="F34" s="245">
        <f t="shared" si="14"/>
        <v>3.6126598108500906E-2</v>
      </c>
      <c r="G34" s="245">
        <f t="shared" si="14"/>
        <v>3.3529240281762906E-2</v>
      </c>
      <c r="H34" s="245">
        <f t="shared" si="14"/>
        <v>3.775164496759556E-2</v>
      </c>
      <c r="I34" s="245">
        <f t="shared" si="14"/>
        <v>3.9106452193820369E-2</v>
      </c>
      <c r="J34" s="245">
        <f t="shared" si="14"/>
        <v>3.9051874965720351E-2</v>
      </c>
      <c r="K34" s="245">
        <f t="shared" si="14"/>
        <v>3.8153287826335036E-2</v>
      </c>
      <c r="L34" s="245">
        <f t="shared" si="14"/>
        <v>3.9437134825786604E-2</v>
      </c>
      <c r="M34" s="245">
        <f t="shared" si="14"/>
        <v>3.9198934709199544E-2</v>
      </c>
      <c r="N34" s="245">
        <f t="shared" si="14"/>
        <v>3.944248071929541E-2</v>
      </c>
      <c r="O34" s="245">
        <f t="shared" si="14"/>
        <v>3.8719341512463139E-2</v>
      </c>
      <c r="P34" s="245">
        <f t="shared" si="14"/>
        <v>4.0119460826707934E-2</v>
      </c>
      <c r="Q34" s="245">
        <f t="shared" si="14"/>
        <v>3.9633392870598548E-2</v>
      </c>
      <c r="R34" s="245">
        <f t="shared" si="14"/>
        <v>3.9225193189569775E-2</v>
      </c>
      <c r="S34" s="245">
        <f t="shared" si="14"/>
        <v>3.8858722736824419E-2</v>
      </c>
      <c r="T34" s="245">
        <f t="shared" si="14"/>
        <v>3.984680944951613E-2</v>
      </c>
      <c r="U34" s="245">
        <f t="shared" si="14"/>
        <v>3.8078145619664716E-2</v>
      </c>
      <c r="V34" s="245">
        <f t="shared" si="14"/>
        <v>3.7698689789322455E-2</v>
      </c>
      <c r="W34" s="245">
        <f t="shared" si="14"/>
        <v>4.2014728103720318E-2</v>
      </c>
      <c r="X34" s="245">
        <f t="shared" si="14"/>
        <v>3.6951647374588087E-2</v>
      </c>
      <c r="Y34" s="245">
        <f t="shared" si="14"/>
        <v>4.0006566427212717E-2</v>
      </c>
      <c r="DA34" s="276"/>
    </row>
    <row r="35" spans="1:105" x14ac:dyDescent="0.25">
      <c r="A35" s="242" t="s">
        <v>122</v>
      </c>
      <c r="B35" s="246">
        <f t="shared" ref="B35:Y35" si="15">IF(B$9=0,0,B$9/B$5)</f>
        <v>0.29986800061732666</v>
      </c>
      <c r="C35" s="246">
        <f t="shared" si="15"/>
        <v>0.29946113428448706</v>
      </c>
      <c r="D35" s="246">
        <f t="shared" si="15"/>
        <v>0.29895868322690011</v>
      </c>
      <c r="E35" s="246">
        <f t="shared" si="15"/>
        <v>0.29271356912872587</v>
      </c>
      <c r="F35" s="246">
        <f t="shared" si="15"/>
        <v>0.29528975831177856</v>
      </c>
      <c r="G35" s="246">
        <f t="shared" si="15"/>
        <v>0.29044492509468661</v>
      </c>
      <c r="H35" s="246">
        <f t="shared" si="15"/>
        <v>0.29381432651303108</v>
      </c>
      <c r="I35" s="246">
        <f t="shared" si="15"/>
        <v>0.29582897700851574</v>
      </c>
      <c r="J35" s="246">
        <f t="shared" si="15"/>
        <v>0.29637855768655769</v>
      </c>
      <c r="K35" s="246">
        <f t="shared" si="15"/>
        <v>0.29371292516006758</v>
      </c>
      <c r="L35" s="246">
        <f t="shared" si="15"/>
        <v>0.30108071168119876</v>
      </c>
      <c r="M35" s="246">
        <f t="shared" si="15"/>
        <v>0.30554946447574011</v>
      </c>
      <c r="N35" s="246">
        <f t="shared" si="15"/>
        <v>0.30318724536896785</v>
      </c>
      <c r="O35" s="246">
        <f t="shared" si="15"/>
        <v>0.29960112635758918</v>
      </c>
      <c r="P35" s="246">
        <f t="shared" si="15"/>
        <v>0.30482836013540293</v>
      </c>
      <c r="Q35" s="246">
        <f t="shared" si="15"/>
        <v>0.30657917275519664</v>
      </c>
      <c r="R35" s="246">
        <f t="shared" si="15"/>
        <v>0.30273206197707891</v>
      </c>
      <c r="S35" s="246">
        <f t="shared" si="15"/>
        <v>0.30275882537220866</v>
      </c>
      <c r="T35" s="246">
        <f t="shared" si="15"/>
        <v>0.30440088253784331</v>
      </c>
      <c r="U35" s="246">
        <f t="shared" si="15"/>
        <v>0.30320688158168568</v>
      </c>
      <c r="V35" s="246">
        <f t="shared" si="15"/>
        <v>0.30707343354717537</v>
      </c>
      <c r="W35" s="246">
        <f t="shared" si="15"/>
        <v>0.31541022630864501</v>
      </c>
      <c r="X35" s="246">
        <f t="shared" si="15"/>
        <v>0.30957717307965837</v>
      </c>
      <c r="Y35" s="246">
        <f t="shared" si="15"/>
        <v>0.31447720219736491</v>
      </c>
      <c r="DA35" s="277"/>
    </row>
    <row r="36" spans="1:105" x14ac:dyDescent="0.25">
      <c r="A36" s="127" t="s">
        <v>168</v>
      </c>
      <c r="B36" s="259">
        <f t="shared" ref="B36:Y36" si="16">IF(B$16=0,0,B$16/B$5)</f>
        <v>0.20079715942974297</v>
      </c>
      <c r="C36" s="259">
        <f t="shared" si="16"/>
        <v>0.19804779374427747</v>
      </c>
      <c r="D36" s="259">
        <f t="shared" si="16"/>
        <v>0.19426108463090702</v>
      </c>
      <c r="E36" s="259">
        <f t="shared" si="16"/>
        <v>0.20013639929860477</v>
      </c>
      <c r="F36" s="259">
        <f t="shared" si="16"/>
        <v>0.19819036523213515</v>
      </c>
      <c r="G36" s="259">
        <f t="shared" si="16"/>
        <v>0.19893605388199267</v>
      </c>
      <c r="H36" s="259">
        <f t="shared" si="16"/>
        <v>0.1903775007715364</v>
      </c>
      <c r="I36" s="259">
        <f t="shared" si="16"/>
        <v>0.18776632066299878</v>
      </c>
      <c r="J36" s="259">
        <f t="shared" si="16"/>
        <v>0.19013177091282907</v>
      </c>
      <c r="K36" s="259">
        <f t="shared" si="16"/>
        <v>0.18845723980537893</v>
      </c>
      <c r="L36" s="259">
        <f t="shared" si="16"/>
        <v>0.1929436702898428</v>
      </c>
      <c r="M36" s="259">
        <f t="shared" si="16"/>
        <v>0.19975433578554025</v>
      </c>
      <c r="N36" s="259">
        <f t="shared" si="16"/>
        <v>0.19756785745183733</v>
      </c>
      <c r="O36" s="259">
        <f t="shared" si="16"/>
        <v>0.19666839241803277</v>
      </c>
      <c r="P36" s="259">
        <f t="shared" si="16"/>
        <v>0.19626340659073208</v>
      </c>
      <c r="Q36" s="259">
        <f t="shared" si="16"/>
        <v>0.20239791791231518</v>
      </c>
      <c r="R36" s="259">
        <f t="shared" si="16"/>
        <v>0.19759844055803741</v>
      </c>
      <c r="S36" s="259">
        <f t="shared" si="16"/>
        <v>0.19907019318617111</v>
      </c>
      <c r="T36" s="259">
        <f t="shared" si="16"/>
        <v>0.19620205821663131</v>
      </c>
      <c r="U36" s="259">
        <f t="shared" si="16"/>
        <v>0.20143755093226412</v>
      </c>
      <c r="V36" s="259">
        <f t="shared" si="16"/>
        <v>0.20792399469935119</v>
      </c>
      <c r="W36" s="259">
        <f t="shared" si="16"/>
        <v>0.1965405780520233</v>
      </c>
      <c r="X36" s="259">
        <f t="shared" si="16"/>
        <v>0.20856931260461142</v>
      </c>
      <c r="Y36" s="259">
        <f t="shared" si="16"/>
        <v>0.19691062181747571</v>
      </c>
      <c r="DA36" s="278"/>
    </row>
    <row r="37" spans="1:105" x14ac:dyDescent="0.25">
      <c r="A37" s="127" t="s">
        <v>121</v>
      </c>
      <c r="B37" s="259">
        <f t="shared" ref="B37:Y37" si="17">IF(B$17=0,0,B$17/B$5)</f>
        <v>0.31185394206332923</v>
      </c>
      <c r="C37" s="259">
        <f t="shared" si="17"/>
        <v>0.31375158635599759</v>
      </c>
      <c r="D37" s="259">
        <f t="shared" si="17"/>
        <v>0.31543432299393603</v>
      </c>
      <c r="E37" s="259">
        <f t="shared" si="17"/>
        <v>0.33325774180435663</v>
      </c>
      <c r="F37" s="259">
        <f t="shared" si="17"/>
        <v>0.32675716630564838</v>
      </c>
      <c r="G37" s="259">
        <f t="shared" si="17"/>
        <v>0.34176356960042725</v>
      </c>
      <c r="H37" s="259">
        <f t="shared" si="17"/>
        <v>0.33020945425178333</v>
      </c>
      <c r="I37" s="259">
        <f t="shared" si="17"/>
        <v>0.32541556399939442</v>
      </c>
      <c r="J37" s="259">
        <f t="shared" si="17"/>
        <v>0.32241365182739168</v>
      </c>
      <c r="K37" s="259">
        <f t="shared" si="17"/>
        <v>0.33078725630781969</v>
      </c>
      <c r="L37" s="259">
        <f t="shared" si="17"/>
        <v>0.31288864225279384</v>
      </c>
      <c r="M37" s="259">
        <f t="shared" si="17"/>
        <v>0.30170260404550969</v>
      </c>
      <c r="N37" s="259">
        <f t="shared" si="17"/>
        <v>0.30551326231986253</v>
      </c>
      <c r="O37" s="259">
        <f t="shared" si="17"/>
        <v>0.31318448682814554</v>
      </c>
      <c r="P37" s="259">
        <f t="shared" si="17"/>
        <v>0.3024830300585355</v>
      </c>
      <c r="Q37" s="259">
        <f t="shared" si="17"/>
        <v>0.29583249629682767</v>
      </c>
      <c r="R37" s="259">
        <f t="shared" si="17"/>
        <v>0.30685461000593628</v>
      </c>
      <c r="S37" s="259">
        <f t="shared" si="17"/>
        <v>0.30671122336856288</v>
      </c>
      <c r="T37" s="259">
        <f t="shared" si="17"/>
        <v>0.30413560033205855</v>
      </c>
      <c r="U37" s="259">
        <f t="shared" si="17"/>
        <v>0.30688544778818116</v>
      </c>
      <c r="V37" s="259">
        <f t="shared" si="17"/>
        <v>0.29726808298368518</v>
      </c>
      <c r="W37" s="259">
        <f t="shared" si="17"/>
        <v>0.28355459672156036</v>
      </c>
      <c r="X37" s="259">
        <f t="shared" si="17"/>
        <v>0.29719817739016646</v>
      </c>
      <c r="Y37" s="259">
        <f t="shared" si="17"/>
        <v>0.29257836001313142</v>
      </c>
      <c r="DA37" s="278"/>
    </row>
    <row r="38" spans="1:105" x14ac:dyDescent="0.25">
      <c r="A38" s="127" t="s">
        <v>167</v>
      </c>
      <c r="B38" s="259">
        <f t="shared" ref="B38:Y38" si="18">IF(B$25=0,0,B$25/B$5)</f>
        <v>2.7009393300942056E-2</v>
      </c>
      <c r="C38" s="259">
        <f t="shared" si="18"/>
        <v>2.6639573830697844E-2</v>
      </c>
      <c r="D38" s="259">
        <f t="shared" si="18"/>
        <v>2.6130220431228715E-2</v>
      </c>
      <c r="E38" s="259">
        <f t="shared" si="18"/>
        <v>2.6920513904887963E-2</v>
      </c>
      <c r="F38" s="259">
        <f t="shared" si="18"/>
        <v>2.6658751240378267E-2</v>
      </c>
      <c r="G38" s="259">
        <f t="shared" si="18"/>
        <v>2.6759054442282378E-2</v>
      </c>
      <c r="H38" s="259">
        <f t="shared" si="18"/>
        <v>2.5607836328919571E-2</v>
      </c>
      <c r="I38" s="259">
        <f t="shared" si="18"/>
        <v>2.5256604315820476E-2</v>
      </c>
      <c r="J38" s="259">
        <f t="shared" si="18"/>
        <v>2.5574783000782544E-2</v>
      </c>
      <c r="K38" s="259">
        <f t="shared" si="18"/>
        <v>2.5349540425617514E-2</v>
      </c>
      <c r="L38" s="259">
        <f t="shared" si="18"/>
        <v>2.5953013930005507E-2</v>
      </c>
      <c r="M38" s="259">
        <f t="shared" si="18"/>
        <v>2.6869122223254598E-2</v>
      </c>
      <c r="N38" s="259">
        <f t="shared" si="18"/>
        <v>2.6575017199923168E-2</v>
      </c>
      <c r="O38" s="259">
        <f t="shared" si="18"/>
        <v>2.6454029408425176E-2</v>
      </c>
      <c r="P38" s="259">
        <f t="shared" si="18"/>
        <v>2.6399554427195666E-2</v>
      </c>
      <c r="Q38" s="259">
        <f t="shared" si="18"/>
        <v>2.7224712658837365E-2</v>
      </c>
      <c r="R38" s="259">
        <f t="shared" si="18"/>
        <v>2.6579130959032447E-2</v>
      </c>
      <c r="S38" s="259">
        <f t="shared" si="18"/>
        <v>2.677709763190695E-2</v>
      </c>
      <c r="T38" s="259">
        <f t="shared" si="18"/>
        <v>2.63913024062549E-2</v>
      </c>
      <c r="U38" s="259">
        <f t="shared" si="18"/>
        <v>2.7095532895781434E-2</v>
      </c>
      <c r="V38" s="259">
        <f t="shared" si="18"/>
        <v>2.7968029854041444E-2</v>
      </c>
      <c r="W38" s="259">
        <f t="shared" si="18"/>
        <v>2.6436836991506205E-2</v>
      </c>
      <c r="X38" s="259">
        <f t="shared" si="18"/>
        <v>2.8054832103419951E-2</v>
      </c>
      <c r="Y38" s="259">
        <f t="shared" si="18"/>
        <v>2.6486611886868523E-2</v>
      </c>
      <c r="DA38" s="278"/>
    </row>
    <row r="39" spans="1:105" x14ac:dyDescent="0.25">
      <c r="A39" s="127" t="s">
        <v>170</v>
      </c>
      <c r="B39" s="259">
        <f t="shared" ref="B39:Y39" si="19">IF(B$26=0,0,B$26/B$5)</f>
        <v>2.9314101843884822E-2</v>
      </c>
      <c r="C39" s="259">
        <f t="shared" si="19"/>
        <v>2.9611570821356778E-2</v>
      </c>
      <c r="D39" s="259">
        <f t="shared" si="19"/>
        <v>3.0180744785020325E-2</v>
      </c>
      <c r="E39" s="259">
        <f t="shared" si="19"/>
        <v>2.6848041444372004E-2</v>
      </c>
      <c r="F39" s="259">
        <f t="shared" si="19"/>
        <v>2.7968236826194978E-2</v>
      </c>
      <c r="G39" s="259">
        <f t="shared" si="19"/>
        <v>2.5957432526205127E-2</v>
      </c>
      <c r="H39" s="259">
        <f t="shared" si="19"/>
        <v>2.9226304227734489E-2</v>
      </c>
      <c r="I39" s="259">
        <f t="shared" si="19"/>
        <v>3.0275159402060443E-2</v>
      </c>
      <c r="J39" s="259">
        <f t="shared" si="19"/>
        <v>3.0232907185667578E-2</v>
      </c>
      <c r="K39" s="259">
        <f t="shared" si="19"/>
        <v>2.9537245284488232E-2</v>
      </c>
      <c r="L39" s="259">
        <f t="shared" si="19"/>
        <v>3.053116496719457E-2</v>
      </c>
      <c r="M39" s="259">
        <f t="shared" si="19"/>
        <v>3.0346756868410263E-2</v>
      </c>
      <c r="N39" s="259">
        <f t="shared" si="19"/>
        <v>3.0535303613608317E-2</v>
      </c>
      <c r="O39" s="259">
        <f t="shared" si="19"/>
        <v>2.9975468764662713E-2</v>
      </c>
      <c r="P39" s="259">
        <f t="shared" si="19"/>
        <v>3.1059403334093235E-2</v>
      </c>
      <c r="Q39" s="259">
        <f t="shared" si="19"/>
        <v>3.068310264645964E-2</v>
      </c>
      <c r="R39" s="259">
        <f t="shared" si="19"/>
        <v>3.0367085474925764E-2</v>
      </c>
      <c r="S39" s="259">
        <f t="shared" si="19"/>
        <v>3.0083373945226744E-2</v>
      </c>
      <c r="T39" s="259">
        <f t="shared" si="19"/>
        <v>3.0848323999543497E-2</v>
      </c>
      <c r="U39" s="259">
        <f t="shared" si="19"/>
        <v>2.947907221694708E-2</v>
      </c>
      <c r="V39" s="259">
        <f t="shared" si="19"/>
        <v>2.9185307758521739E-2</v>
      </c>
      <c r="W39" s="259">
        <f t="shared" si="19"/>
        <v>3.2526668087149158E-2</v>
      </c>
      <c r="X39" s="259">
        <f t="shared" si="19"/>
        <v>2.8606967691412407E-2</v>
      </c>
      <c r="Y39" s="259">
        <f t="shared" si="19"/>
        <v>3.0972003538187999E-2</v>
      </c>
      <c r="DA39" s="278"/>
    </row>
    <row r="40" spans="1:105" x14ac:dyDescent="0.25">
      <c r="A40" s="260" t="s">
        <v>33</v>
      </c>
      <c r="B40" s="261">
        <f t="shared" ref="B40:Y40" si="20">IF(B$27=0,0,B$27/B$5)</f>
        <v>4.4676589255871327E-2</v>
      </c>
      <c r="C40" s="261">
        <f t="shared" si="20"/>
        <v>4.5129951238225573E-2</v>
      </c>
      <c r="D40" s="261">
        <f t="shared" si="20"/>
        <v>4.5997409212041582E-2</v>
      </c>
      <c r="E40" s="261">
        <f t="shared" si="20"/>
        <v>4.0918153533161708E-2</v>
      </c>
      <c r="F40" s="261">
        <f t="shared" si="20"/>
        <v>4.262540382609431E-2</v>
      </c>
      <c r="G40" s="261">
        <f t="shared" si="20"/>
        <v>3.9560807876233152E-2</v>
      </c>
      <c r="H40" s="261">
        <f t="shared" si="20"/>
        <v>4.4542780004089247E-2</v>
      </c>
      <c r="I40" s="261">
        <f t="shared" si="20"/>
        <v>4.6141303201620958E-2</v>
      </c>
      <c r="J40" s="261">
        <f t="shared" si="20"/>
        <v>4.6076908088068143E-2</v>
      </c>
      <c r="K40" s="261">
        <f t="shared" si="20"/>
        <v>4.5016674307566638E-2</v>
      </c>
      <c r="L40" s="261">
        <f t="shared" si="20"/>
        <v>4.6531472258876286E-2</v>
      </c>
      <c r="M40" s="261">
        <f t="shared" si="20"/>
        <v>4.6250422376170677E-2</v>
      </c>
      <c r="N40" s="261">
        <f t="shared" si="20"/>
        <v>4.6537779823982189E-2</v>
      </c>
      <c r="O40" s="261">
        <f t="shared" si="20"/>
        <v>4.5684555265690492E-2</v>
      </c>
      <c r="P40" s="261">
        <f t="shared" si="20"/>
        <v>4.7336541732701735E-2</v>
      </c>
      <c r="Q40" s="261">
        <f t="shared" si="20"/>
        <v>4.6763035119821675E-2</v>
      </c>
      <c r="R40" s="261">
        <f t="shared" si="20"/>
        <v>4.62814044887482E-2</v>
      </c>
      <c r="S40" s="261">
        <f t="shared" si="20"/>
        <v>4.584900974757479E-2</v>
      </c>
      <c r="T40" s="261">
        <f t="shared" si="20"/>
        <v>4.7014843159765653E-2</v>
      </c>
      <c r="U40" s="261">
        <f t="shared" si="20"/>
        <v>4.4928014786011751E-2</v>
      </c>
      <c r="V40" s="261">
        <f t="shared" si="20"/>
        <v>4.4480298730546812E-2</v>
      </c>
      <c r="W40" s="261">
        <f t="shared" si="20"/>
        <v>4.957274821963429E-2</v>
      </c>
      <c r="X40" s="261">
        <f t="shared" si="20"/>
        <v>4.3598871021587438E-2</v>
      </c>
      <c r="Y40" s="261">
        <f t="shared" si="20"/>
        <v>4.7203338784731534E-2</v>
      </c>
      <c r="DA40" s="279"/>
    </row>
    <row r="42" spans="1:105" ht="12.75" x14ac:dyDescent="0.25">
      <c r="A42" s="178" t="s">
        <v>131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7">
        <f>IF(B$5=0,0,B$5/AGR_fec!B$5)</f>
        <v>0.39264021408717109</v>
      </c>
      <c r="C44" s="237">
        <f>IF(C$5=0,0,C$5/AGR_fec!C$5)</f>
        <v>0.39226555055366741</v>
      </c>
      <c r="D44" s="237">
        <f>IF(D$5=0,0,D$5/AGR_fec!D$5)</f>
        <v>0.39269911763826831</v>
      </c>
      <c r="E44" s="237">
        <f>IF(E$5=0,0,E$5/AGR_fec!E$5)</f>
        <v>0.38417931685039558</v>
      </c>
      <c r="F44" s="237">
        <f>IF(F$5=0,0,F$5/AGR_fec!F$5)</f>
        <v>0.38701387449642366</v>
      </c>
      <c r="G44" s="237">
        <f>IF(G$5=0,0,G$5/AGR_fec!G$5)</f>
        <v>0.38144171893317413</v>
      </c>
      <c r="H44" s="237">
        <f>IF(H$5=0,0,H$5/AGR_fec!H$5)</f>
        <v>0.38799742701226414</v>
      </c>
      <c r="I44" s="237">
        <f>IF(I$5=0,0,I$5/AGR_fec!I$5)</f>
        <v>0.39063272681053873</v>
      </c>
      <c r="J44" s="237">
        <f>IF(J$5=0,0,J$5/AGR_fec!J$5)</f>
        <v>0.39080207753090596</v>
      </c>
      <c r="K44" s="237">
        <f>IF(K$5=0,0,K$5/AGR_fec!K$5)</f>
        <v>0.38777920476084193</v>
      </c>
      <c r="L44" s="237">
        <f>IF(L$5=0,0,L$5/AGR_fec!L$5)</f>
        <v>0.39205560912811516</v>
      </c>
      <c r="M44" s="237">
        <f>IF(M$5=0,0,M$5/AGR_fec!M$5)</f>
        <v>0.39447972728184277</v>
      </c>
      <c r="N44" s="237">
        <f>IF(N$5=0,0,N$5/AGR_fec!N$5)</f>
        <v>0.39311217738576781</v>
      </c>
      <c r="O44" s="237">
        <f>IF(O$5=0,0,O$5/AGR_fec!O$5)</f>
        <v>0.38973861580635938</v>
      </c>
      <c r="P44" s="237">
        <f>IF(P$5=0,0,P$5/AGR_fec!P$5)</f>
        <v>0.39406410910436079</v>
      </c>
      <c r="Q44" s="237">
        <f>IF(Q$5=0,0,Q$5/AGR_fec!Q$5)</f>
        <v>0.39535823489565947</v>
      </c>
      <c r="R44" s="237">
        <f>IF(R$5=0,0,R$5/AGR_fec!R$5)</f>
        <v>0.392234918626503</v>
      </c>
      <c r="S44" s="237">
        <f>IF(S$5=0,0,S$5/AGR_fec!S$5)</f>
        <v>0.39186777195071404</v>
      </c>
      <c r="T44" s="237">
        <f>IF(T$5=0,0,T$5/AGR_fec!T$5)</f>
        <v>0.39352246397162077</v>
      </c>
      <c r="U44" s="237">
        <f>IF(U$5=0,0,U$5/AGR_fec!U$5)</f>
        <v>0.39129987122642312</v>
      </c>
      <c r="V44" s="237">
        <f>IF(V$5=0,0,V$5/AGR_fec!V$5)</f>
        <v>0.39371317233019876</v>
      </c>
      <c r="W44" s="237">
        <f>IF(W$5=0,0,W$5/AGR_fec!W$5)</f>
        <v>0.40226268439374474</v>
      </c>
      <c r="X44" s="237">
        <f>IF(X$5=0,0,X$5/AGR_fec!X$5)</f>
        <v>0.39340586197516431</v>
      </c>
      <c r="Y44" s="237">
        <f>IF(Y$5=0,0,Y$5/AGR_fec!Y$5)</f>
        <v>0.3987846945424412</v>
      </c>
      <c r="DA44" s="286"/>
    </row>
    <row r="45" spans="1:105" x14ac:dyDescent="0.25">
      <c r="A45" s="238" t="s">
        <v>125</v>
      </c>
      <c r="B45" s="250">
        <f>IF(B$6=0,0,B$6/AGR_fec!B$6)</f>
        <v>0.49917895691543168</v>
      </c>
      <c r="C45" s="250">
        <f>IF(C$6=0,0,C$6/AGR_fec!C$6)</f>
        <v>0.49917895691543157</v>
      </c>
      <c r="D45" s="250">
        <f>IF(D$6=0,0,D$6/AGR_fec!D$6)</f>
        <v>0.49917895691543157</v>
      </c>
      <c r="E45" s="250">
        <f>IF(E$6=0,0,E$6/AGR_fec!E$6)</f>
        <v>0.49917895691543146</v>
      </c>
      <c r="F45" s="250">
        <f>IF(F$6=0,0,F$6/AGR_fec!F$6)</f>
        <v>0.49917895691543157</v>
      </c>
      <c r="G45" s="250">
        <f>IF(G$6=0,0,G$6/AGR_fec!G$6)</f>
        <v>0.49917895691543146</v>
      </c>
      <c r="H45" s="250">
        <f>IF(H$6=0,0,H$6/AGR_fec!H$6)</f>
        <v>0.49917895691543152</v>
      </c>
      <c r="I45" s="250">
        <f>IF(I$6=0,0,I$6/AGR_fec!I$6)</f>
        <v>0.49917895691543179</v>
      </c>
      <c r="J45" s="250">
        <f>IF(J$6=0,0,J$6/AGR_fec!J$6)</f>
        <v>0.49917895691543163</v>
      </c>
      <c r="K45" s="250">
        <f>IF(K$6=0,0,K$6/AGR_fec!K$6)</f>
        <v>0.49917895691543152</v>
      </c>
      <c r="L45" s="250">
        <f>IF(L$6=0,0,L$6/AGR_fec!L$6)</f>
        <v>0.49917895691543135</v>
      </c>
      <c r="M45" s="250">
        <f>IF(M$6=0,0,M$6/AGR_fec!M$6)</f>
        <v>0.4991789569154314</v>
      </c>
      <c r="N45" s="250">
        <f>IF(N$6=0,0,N$6/AGR_fec!N$6)</f>
        <v>0.49917895691543146</v>
      </c>
      <c r="O45" s="250">
        <f>IF(O$6=0,0,O$6/AGR_fec!O$6)</f>
        <v>0.49917895691543152</v>
      </c>
      <c r="P45" s="250">
        <f>IF(P$6=0,0,P$6/AGR_fec!P$6)</f>
        <v>0.49917895691543157</v>
      </c>
      <c r="Q45" s="250">
        <f>IF(Q$6=0,0,Q$6/AGR_fec!Q$6)</f>
        <v>0.49917895691543152</v>
      </c>
      <c r="R45" s="250">
        <f>IF(R$6=0,0,R$6/AGR_fec!R$6)</f>
        <v>0.49917895691543157</v>
      </c>
      <c r="S45" s="250">
        <f>IF(S$6=0,0,S$6/AGR_fec!S$6)</f>
        <v>0.49917895691543135</v>
      </c>
      <c r="T45" s="250">
        <f>IF(T$6=0,0,T$6/AGR_fec!T$6)</f>
        <v>0.49917895691543152</v>
      </c>
      <c r="U45" s="250">
        <f>IF(U$6=0,0,U$6/AGR_fec!U$6)</f>
        <v>0.49917895691543152</v>
      </c>
      <c r="V45" s="250">
        <f>IF(V$6=0,0,V$6/AGR_fec!V$6)</f>
        <v>0.49917895691543129</v>
      </c>
      <c r="W45" s="250">
        <f>IF(W$6=0,0,W$6/AGR_fec!W$6)</f>
        <v>0.49917895691543135</v>
      </c>
      <c r="X45" s="250">
        <f>IF(X$6=0,0,X$6/AGR_fec!X$6)</f>
        <v>0.49917895691543163</v>
      </c>
      <c r="Y45" s="250">
        <f>IF(Y$6=0,0,Y$6/AGR_fec!Y$6)</f>
        <v>0.49917895691543157</v>
      </c>
      <c r="DA45" s="287"/>
    </row>
    <row r="46" spans="1:105" x14ac:dyDescent="0.25">
      <c r="A46" s="240" t="s">
        <v>124</v>
      </c>
      <c r="B46" s="251">
        <f>IF(B$7=0,0,B$7/AGR_fec!B$7)</f>
        <v>0.49499978764293767</v>
      </c>
      <c r="C46" s="251">
        <f>IF(C$7=0,0,C$7/AGR_fec!C$7)</f>
        <v>0.49499978764293773</v>
      </c>
      <c r="D46" s="251">
        <f>IF(D$7=0,0,D$7/AGR_fec!D$7)</f>
        <v>0.49499978764293762</v>
      </c>
      <c r="E46" s="251">
        <f>IF(E$7=0,0,E$7/AGR_fec!E$7)</f>
        <v>0.49499978764293767</v>
      </c>
      <c r="F46" s="251">
        <f>IF(F$7=0,0,F$7/AGR_fec!F$7)</f>
        <v>0.49499978764293789</v>
      </c>
      <c r="G46" s="251">
        <f>IF(G$7=0,0,G$7/AGR_fec!G$7)</f>
        <v>0.49499978764293784</v>
      </c>
      <c r="H46" s="251">
        <f>IF(H$7=0,0,H$7/AGR_fec!H$7)</f>
        <v>0.49499978764293784</v>
      </c>
      <c r="I46" s="251">
        <f>IF(I$7=0,0,I$7/AGR_fec!I$7)</f>
        <v>0.49499978764293773</v>
      </c>
      <c r="J46" s="251">
        <f>IF(J$7=0,0,J$7/AGR_fec!J$7)</f>
        <v>0.49499978764293789</v>
      </c>
      <c r="K46" s="251">
        <f>IF(K$7=0,0,K$7/AGR_fec!K$7)</f>
        <v>0.49499978764293789</v>
      </c>
      <c r="L46" s="251">
        <f>IF(L$7=0,0,L$7/AGR_fec!L$7)</f>
        <v>0.49499978764293767</v>
      </c>
      <c r="M46" s="251">
        <f>IF(M$7=0,0,M$7/AGR_fec!M$7)</f>
        <v>0.49499978764293767</v>
      </c>
      <c r="N46" s="251">
        <f>IF(N$7=0,0,N$7/AGR_fec!N$7)</f>
        <v>0.49499978764293789</v>
      </c>
      <c r="O46" s="251">
        <f>IF(O$7=0,0,O$7/AGR_fec!O$7)</f>
        <v>0.49499978764293767</v>
      </c>
      <c r="P46" s="251">
        <f>IF(P$7=0,0,P$7/AGR_fec!P$7)</f>
        <v>0.49499978764293762</v>
      </c>
      <c r="Q46" s="251">
        <f>IF(Q$7=0,0,Q$7/AGR_fec!Q$7)</f>
        <v>0.49499978764293789</v>
      </c>
      <c r="R46" s="251">
        <f>IF(R$7=0,0,R$7/AGR_fec!R$7)</f>
        <v>0.49499978764293784</v>
      </c>
      <c r="S46" s="251">
        <f>IF(S$7=0,0,S$7/AGR_fec!S$7)</f>
        <v>0.49499978764293789</v>
      </c>
      <c r="T46" s="251">
        <f>IF(T$7=0,0,T$7/AGR_fec!T$7)</f>
        <v>0.49499978764293778</v>
      </c>
      <c r="U46" s="251">
        <f>IF(U$7=0,0,U$7/AGR_fec!U$7)</f>
        <v>0.49499978764293773</v>
      </c>
      <c r="V46" s="251">
        <f>IF(V$7=0,0,V$7/AGR_fec!V$7)</f>
        <v>0.49499978764293767</v>
      </c>
      <c r="W46" s="251">
        <f>IF(W$7=0,0,W$7/AGR_fec!W$7)</f>
        <v>0.49499978764293767</v>
      </c>
      <c r="X46" s="251">
        <f>IF(X$7=0,0,X$7/AGR_fec!X$7)</f>
        <v>0.49499978764293784</v>
      </c>
      <c r="Y46" s="251">
        <f>IF(Y$7=0,0,Y$7/AGR_fec!Y$7)</f>
        <v>0.49499978764293767</v>
      </c>
      <c r="DA46" s="288"/>
    </row>
    <row r="47" spans="1:105" x14ac:dyDescent="0.25">
      <c r="A47" s="240" t="s">
        <v>123</v>
      </c>
      <c r="B47" s="251">
        <f>IF(B$8=0,0,B$8/AGR_fec!B$8)</f>
        <v>0.71043521831565926</v>
      </c>
      <c r="C47" s="251">
        <f>IF(C$8=0,0,C$8/AGR_fec!C$8)</f>
        <v>0.71043521831565959</v>
      </c>
      <c r="D47" s="251">
        <f>IF(D$8=0,0,D$8/AGR_fec!D$8)</f>
        <v>0.71043521831565948</v>
      </c>
      <c r="E47" s="251">
        <f>IF(E$8=0,0,E$8/AGR_fec!E$8)</f>
        <v>0.71043521831565948</v>
      </c>
      <c r="F47" s="251">
        <f>IF(F$8=0,0,F$8/AGR_fec!F$8)</f>
        <v>0.71043521831565992</v>
      </c>
      <c r="G47" s="251">
        <f>IF(G$8=0,0,G$8/AGR_fec!G$8)</f>
        <v>0.71043521831565903</v>
      </c>
      <c r="H47" s="251">
        <f>IF(H$8=0,0,H$8/AGR_fec!H$8)</f>
        <v>0.71043521831565959</v>
      </c>
      <c r="I47" s="251">
        <f>IF(I$8=0,0,I$8/AGR_fec!I$8)</f>
        <v>0.71043521831565914</v>
      </c>
      <c r="J47" s="251">
        <f>IF(J$8=0,0,J$8/AGR_fec!J$8)</f>
        <v>0.71043521831565959</v>
      </c>
      <c r="K47" s="251">
        <f>IF(K$8=0,0,K$8/AGR_fec!K$8)</f>
        <v>0.71043521831565959</v>
      </c>
      <c r="L47" s="251">
        <f>IF(L$8=0,0,L$8/AGR_fec!L$8)</f>
        <v>0.71043521831565959</v>
      </c>
      <c r="M47" s="251">
        <f>IF(M$8=0,0,M$8/AGR_fec!M$8)</f>
        <v>0.71043521831565937</v>
      </c>
      <c r="N47" s="251">
        <f>IF(N$8=0,0,N$8/AGR_fec!N$8)</f>
        <v>0.71043521831565948</v>
      </c>
      <c r="O47" s="251">
        <f>IF(O$8=0,0,O$8/AGR_fec!O$8)</f>
        <v>0.71043521831565914</v>
      </c>
      <c r="P47" s="251">
        <f>IF(P$8=0,0,P$8/AGR_fec!P$8)</f>
        <v>0.71043521831565937</v>
      </c>
      <c r="Q47" s="251">
        <f>IF(Q$8=0,0,Q$8/AGR_fec!Q$8)</f>
        <v>0.71043521831565937</v>
      </c>
      <c r="R47" s="251">
        <f>IF(R$8=0,0,R$8/AGR_fec!R$8)</f>
        <v>0.71043521831565926</v>
      </c>
      <c r="S47" s="251">
        <f>IF(S$8=0,0,S$8/AGR_fec!S$8)</f>
        <v>0.71043521831565937</v>
      </c>
      <c r="T47" s="251">
        <f>IF(T$8=0,0,T$8/AGR_fec!T$8)</f>
        <v>0.71043521831565937</v>
      </c>
      <c r="U47" s="251">
        <f>IF(U$8=0,0,U$8/AGR_fec!U$8)</f>
        <v>0.71043521831565926</v>
      </c>
      <c r="V47" s="251">
        <f>IF(V$8=0,0,V$8/AGR_fec!V$8)</f>
        <v>0.71043521831565948</v>
      </c>
      <c r="W47" s="251">
        <f>IF(W$8=0,0,W$8/AGR_fec!W$8)</f>
        <v>0.7104352183156597</v>
      </c>
      <c r="X47" s="251">
        <f>IF(X$8=0,0,X$8/AGR_fec!X$8)</f>
        <v>0.71043521831565903</v>
      </c>
      <c r="Y47" s="251">
        <f>IF(Y$8=0,0,Y$8/AGR_fec!Y$8)</f>
        <v>0.7104352183156597</v>
      </c>
      <c r="DA47" s="288"/>
    </row>
    <row r="48" spans="1:105" x14ac:dyDescent="0.25">
      <c r="A48" s="242" t="s">
        <v>122</v>
      </c>
      <c r="B48" s="252">
        <f>IF(B$9=0,0,B$9/AGR_fec!B$9)</f>
        <v>0.69338862337548546</v>
      </c>
      <c r="C48" s="252">
        <f>IF(C$9=0,0,C$9/AGR_fec!C$9)</f>
        <v>0.69727216456636054</v>
      </c>
      <c r="D48" s="252">
        <f>IF(D$9=0,0,D$9/AGR_fec!D$9)</f>
        <v>0.70335643349487587</v>
      </c>
      <c r="E48" s="252">
        <f>IF(E$9=0,0,E$9/AGR_fec!E$9)</f>
        <v>0.68536404518058636</v>
      </c>
      <c r="F48" s="252">
        <f>IF(F$9=0,0,F$9/AGR_fec!F$9)</f>
        <v>0.6911711569483252</v>
      </c>
      <c r="G48" s="252">
        <f>IF(G$9=0,0,G$9/AGR_fec!G$9)</f>
        <v>0.68354644981537971</v>
      </c>
      <c r="H48" s="252">
        <f>IF(H$9=0,0,H$9/AGR_fec!H$9)</f>
        <v>0.70348626333005071</v>
      </c>
      <c r="I48" s="252">
        <f>IF(I$9=0,0,I$9/AGR_fec!I$9)</f>
        <v>0.71097457156625565</v>
      </c>
      <c r="J48" s="252">
        <f>IF(J$9=0,0,J$9/AGR_fec!J$9)</f>
        <v>0.70819536783065518</v>
      </c>
      <c r="K48" s="252">
        <f>IF(K$9=0,0,K$9/AGR_fec!K$9)</f>
        <v>0.70700051252310459</v>
      </c>
      <c r="L48" s="252">
        <f>IF(L$9=0,0,L$9/AGR_fec!L$9)</f>
        <v>0.70689077900650743</v>
      </c>
      <c r="M48" s="252">
        <f>IF(M$9=0,0,M$9/AGR_fec!M$9)</f>
        <v>0.69921077908155327</v>
      </c>
      <c r="N48" s="252">
        <f>IF(N$9=0,0,N$9/AGR_fec!N$9)</f>
        <v>0.70200804698593411</v>
      </c>
      <c r="O48" s="252">
        <f>IF(O$9=0,0,O$9/AGR_fec!O$9)</f>
        <v>0.70064240946541545</v>
      </c>
      <c r="P48" s="252">
        <f>IF(P$9=0,0,P$9/AGR_fec!P$9)</f>
        <v>0.70568704938437177</v>
      </c>
      <c r="Q48" s="252">
        <f>IF(Q$9=0,0,Q$9/AGR_fec!Q$9)</f>
        <v>0.6975724677758387</v>
      </c>
      <c r="R48" s="252">
        <f>IF(R$9=0,0,R$9/AGR_fec!R$9)</f>
        <v>0.70137374524188811</v>
      </c>
      <c r="S48" s="252">
        <f>IF(S$9=0,0,S$9/AGR_fec!S$9)</f>
        <v>0.69880755688287532</v>
      </c>
      <c r="T48" s="252">
        <f>IF(T$9=0,0,T$9/AGR_fec!T$9)</f>
        <v>0.7049102158602778</v>
      </c>
      <c r="U48" s="252">
        <f>IF(U$9=0,0,U$9/AGR_fec!U$9)</f>
        <v>0.69440780299935867</v>
      </c>
      <c r="V48" s="252">
        <f>IF(V$9=0,0,V$9/AGR_fec!V$9)</f>
        <v>0.68755585702234912</v>
      </c>
      <c r="W48" s="252">
        <f>IF(W$9=0,0,W$9/AGR_fec!W$9)</f>
        <v>0.71126162553877648</v>
      </c>
      <c r="X48" s="252">
        <f>IF(X$9=0,0,X$9/AGR_fec!X$9)</f>
        <v>0.68620714875147215</v>
      </c>
      <c r="Y48" s="252">
        <f>IF(Y$9=0,0,Y$9/AGR_fec!Y$9)</f>
        <v>0.70552413745432618</v>
      </c>
      <c r="DA48" s="289"/>
    </row>
    <row r="49" spans="1:105" x14ac:dyDescent="0.25">
      <c r="A49" s="127" t="s">
        <v>168</v>
      </c>
      <c r="B49" s="264">
        <f>IF(B$16=0,0,B$16/AGR_fec!B$16)</f>
        <v>0.35720233329999168</v>
      </c>
      <c r="C49" s="264">
        <f>IF(C$16=0,0,C$16/AGR_fec!C$16)</f>
        <v>0.35720233329999168</v>
      </c>
      <c r="D49" s="264">
        <f>IF(D$16=0,0,D$16/AGR_fec!D$16)</f>
        <v>0.35720233329999185</v>
      </c>
      <c r="E49" s="264">
        <f>IF(E$16=0,0,E$16/AGR_fec!E$16)</f>
        <v>0.35720233329999168</v>
      </c>
      <c r="F49" s="264">
        <f>IF(F$16=0,0,F$16/AGR_fec!F$16)</f>
        <v>0.35720233329999168</v>
      </c>
      <c r="G49" s="264">
        <f>IF(G$16=0,0,G$16/AGR_fec!G$16)</f>
        <v>0.35720233329999168</v>
      </c>
      <c r="H49" s="264">
        <f>IF(H$16=0,0,H$16/AGR_fec!H$16)</f>
        <v>0.35720233329999174</v>
      </c>
      <c r="I49" s="264">
        <f>IF(I$16=0,0,I$16/AGR_fec!I$16)</f>
        <v>0.35720233329999174</v>
      </c>
      <c r="J49" s="264">
        <f>IF(J$16=0,0,J$16/AGR_fec!J$16)</f>
        <v>0.35720233329999168</v>
      </c>
      <c r="K49" s="264">
        <f>IF(K$16=0,0,K$16/AGR_fec!K$16)</f>
        <v>0.35720233329999179</v>
      </c>
      <c r="L49" s="264">
        <f>IF(L$16=0,0,L$16/AGR_fec!L$16)</f>
        <v>0.35720233329999174</v>
      </c>
      <c r="M49" s="264">
        <f>IF(M$16=0,0,M$16/AGR_fec!M$16)</f>
        <v>0.35720233329999157</v>
      </c>
      <c r="N49" s="264">
        <f>IF(N$16=0,0,N$16/AGR_fec!N$16)</f>
        <v>0.35720233329999179</v>
      </c>
      <c r="O49" s="264">
        <f>IF(O$16=0,0,O$16/AGR_fec!O$16)</f>
        <v>0.35720233329999163</v>
      </c>
      <c r="P49" s="264">
        <f>IF(P$16=0,0,P$16/AGR_fec!P$16)</f>
        <v>0.3572023332999919</v>
      </c>
      <c r="Q49" s="264">
        <f>IF(Q$16=0,0,Q$16/AGR_fec!Q$16)</f>
        <v>0.35720233329999168</v>
      </c>
      <c r="R49" s="264">
        <f>IF(R$16=0,0,R$16/AGR_fec!R$16)</f>
        <v>0.35720233329999174</v>
      </c>
      <c r="S49" s="264">
        <f>IF(S$16=0,0,S$16/AGR_fec!S$16)</f>
        <v>0.3572023332999919</v>
      </c>
      <c r="T49" s="264">
        <f>IF(T$16=0,0,T$16/AGR_fec!T$16)</f>
        <v>0.35720233329999174</v>
      </c>
      <c r="U49" s="264">
        <f>IF(U$16=0,0,U$16/AGR_fec!U$16)</f>
        <v>0.35720233329999174</v>
      </c>
      <c r="V49" s="264">
        <f>IF(V$16=0,0,V$16/AGR_fec!V$16)</f>
        <v>0.35720233329999179</v>
      </c>
      <c r="W49" s="264">
        <f>IF(W$16=0,0,W$16/AGR_fec!W$16)</f>
        <v>0.35720233329999185</v>
      </c>
      <c r="X49" s="264">
        <f>IF(X$16=0,0,X$16/AGR_fec!X$16)</f>
        <v>0.35720233329999168</v>
      </c>
      <c r="Y49" s="264">
        <f>IF(Y$16=0,0,Y$16/AGR_fec!Y$16)</f>
        <v>0.35720233329999168</v>
      </c>
      <c r="DA49" s="290"/>
    </row>
    <row r="50" spans="1:105" x14ac:dyDescent="0.25">
      <c r="A50" s="127" t="s">
        <v>121</v>
      </c>
      <c r="B50" s="264">
        <f>IF(B$17=0,0,B$17/AGR_fec!B$17)</f>
        <v>0.27161824621311753</v>
      </c>
      <c r="C50" s="264">
        <f>IF(C$17=0,0,C$17/AGR_fec!C$17)</f>
        <v>0.27053864805598249</v>
      </c>
      <c r="D50" s="264">
        <f>IF(D$17=0,0,D$17/AGR_fec!D$17)</f>
        <v>0.27000977158151124</v>
      </c>
      <c r="E50" s="264">
        <f>IF(E$17=0,0,E$17/AGR_fec!E$17)</f>
        <v>0.26947036749732983</v>
      </c>
      <c r="F50" s="264">
        <f>IF(F$17=0,0,F$17/AGR_fec!F$17)</f>
        <v>0.26944817129740539</v>
      </c>
      <c r="G50" s="264">
        <f>IF(G$17=0,0,G$17/AGR_fec!G$17)</f>
        <v>0.26898219365449599</v>
      </c>
      <c r="H50" s="264">
        <f>IF(H$17=0,0,H$17/AGR_fec!H$17)</f>
        <v>0.26866301606127974</v>
      </c>
      <c r="I50" s="264">
        <f>IF(I$17=0,0,I$17/AGR_fec!I$17)</f>
        <v>0.26863157780927771</v>
      </c>
      <c r="J50" s="264">
        <f>IF(J$17=0,0,J$17/AGR_fec!J$17)</f>
        <v>0.26858934523507749</v>
      </c>
      <c r="K50" s="264">
        <f>IF(K$17=0,0,K$17/AGR_fec!K$17)</f>
        <v>0.26762246515654647</v>
      </c>
      <c r="L50" s="264">
        <f>IF(L$17=0,0,L$17/AGR_fec!L$17)</f>
        <v>0.26688029294354576</v>
      </c>
      <c r="M50" s="264">
        <f>IF(M$17=0,0,M$17/AGR_fec!M$17)</f>
        <v>0.26823208059227671</v>
      </c>
      <c r="N50" s="264">
        <f>IF(N$17=0,0,N$17/AGR_fec!N$17)</f>
        <v>0.26703378784994225</v>
      </c>
      <c r="O50" s="264">
        <f>IF(O$17=0,0,O$17/AGR_fec!O$17)</f>
        <v>0.26562396175083136</v>
      </c>
      <c r="P50" s="264">
        <f>IF(P$17=0,0,P$17/AGR_fec!P$17)</f>
        <v>0.26605005340038046</v>
      </c>
      <c r="Q50" s="264">
        <f>IF(Q$17=0,0,Q$17/AGR_fec!Q$17)</f>
        <v>0.26786079051577233</v>
      </c>
      <c r="R50" s="264">
        <f>IF(R$17=0,0,R$17/AGR_fec!R$17)</f>
        <v>0.26644906569425408</v>
      </c>
      <c r="S50" s="264">
        <f>IF(S$17=0,0,S$17/AGR_fec!S$17)</f>
        <v>0.26662109638597092</v>
      </c>
      <c r="T50" s="264">
        <f>IF(T$17=0,0,T$17/AGR_fec!T$17)</f>
        <v>0.26610857636600083</v>
      </c>
      <c r="U50" s="264">
        <f>IF(U$17=0,0,U$17/AGR_fec!U$17)</f>
        <v>0.26711706106192218</v>
      </c>
      <c r="V50" s="264">
        <f>IF(V$17=0,0,V$17/AGR_fec!V$17)</f>
        <v>0.2691282573501716</v>
      </c>
      <c r="W50" s="264">
        <f>IF(W$17=0,0,W$17/AGR_fec!W$17)</f>
        <v>0.26801459419768042</v>
      </c>
      <c r="X50" s="264">
        <f>IF(X$17=0,0,X$17/AGR_fec!X$17)</f>
        <v>0.2687861762458526</v>
      </c>
      <c r="Y50" s="264">
        <f>IF(Y$17=0,0,Y$17/AGR_fec!Y$17)</f>
        <v>0.26796623995336144</v>
      </c>
      <c r="DA50" s="290"/>
    </row>
    <row r="51" spans="1:105" x14ac:dyDescent="0.25">
      <c r="A51" s="127" t="s">
        <v>167</v>
      </c>
      <c r="B51" s="264">
        <f>IF(B$25=0,0,B$25/AGR_fec!B$25)</f>
        <v>0.25004163330999424</v>
      </c>
      <c r="C51" s="264">
        <f>IF(C$25=0,0,C$25/AGR_fec!C$25)</f>
        <v>0.25004163330999418</v>
      </c>
      <c r="D51" s="264">
        <f>IF(D$25=0,0,D$25/AGR_fec!D$25)</f>
        <v>0.25004163330999418</v>
      </c>
      <c r="E51" s="264">
        <f>IF(E$25=0,0,E$25/AGR_fec!E$25)</f>
        <v>0.25004163330999413</v>
      </c>
      <c r="F51" s="264">
        <f>IF(F$25=0,0,F$25/AGR_fec!F$25)</f>
        <v>0.25004163330999418</v>
      </c>
      <c r="G51" s="264">
        <f>IF(G$25=0,0,G$25/AGR_fec!G$25)</f>
        <v>0.25004163330999424</v>
      </c>
      <c r="H51" s="264">
        <f>IF(H$25=0,0,H$25/AGR_fec!H$25)</f>
        <v>0.25004163330999424</v>
      </c>
      <c r="I51" s="264">
        <f>IF(I$25=0,0,I$25/AGR_fec!I$25)</f>
        <v>0.25004163330999424</v>
      </c>
      <c r="J51" s="264">
        <f>IF(J$25=0,0,J$25/AGR_fec!J$25)</f>
        <v>0.25004163330999413</v>
      </c>
      <c r="K51" s="264">
        <f>IF(K$25=0,0,K$25/AGR_fec!K$25)</f>
        <v>0.25004163330999418</v>
      </c>
      <c r="L51" s="264">
        <f>IF(L$25=0,0,L$25/AGR_fec!L$25)</f>
        <v>0.25004163330999413</v>
      </c>
      <c r="M51" s="264">
        <f>IF(M$25=0,0,M$25/AGR_fec!M$25)</f>
        <v>0.25004163330999418</v>
      </c>
      <c r="N51" s="264">
        <f>IF(N$25=0,0,N$25/AGR_fec!N$25)</f>
        <v>0.25004163330999418</v>
      </c>
      <c r="O51" s="264">
        <f>IF(O$25=0,0,O$25/AGR_fec!O$25)</f>
        <v>0.25004163330999418</v>
      </c>
      <c r="P51" s="264">
        <f>IF(P$25=0,0,P$25/AGR_fec!P$25)</f>
        <v>0.25004163330999418</v>
      </c>
      <c r="Q51" s="264">
        <f>IF(Q$25=0,0,Q$25/AGR_fec!Q$25)</f>
        <v>0.25004163330999424</v>
      </c>
      <c r="R51" s="264">
        <f>IF(R$25=0,0,R$25/AGR_fec!R$25)</f>
        <v>0.25004163330999418</v>
      </c>
      <c r="S51" s="264">
        <f>IF(S$25=0,0,S$25/AGR_fec!S$25)</f>
        <v>0.25004163330999424</v>
      </c>
      <c r="T51" s="264">
        <f>IF(T$25=0,0,T$25/AGR_fec!T$25)</f>
        <v>0.25004163330999418</v>
      </c>
      <c r="U51" s="264">
        <f>IF(U$25=0,0,U$25/AGR_fec!U$25)</f>
        <v>0.25004163330999418</v>
      </c>
      <c r="V51" s="264">
        <f>IF(V$25=0,0,V$25/AGR_fec!V$25)</f>
        <v>0.25004163330999418</v>
      </c>
      <c r="W51" s="264">
        <f>IF(W$25=0,0,W$25/AGR_fec!W$25)</f>
        <v>0.25004163330999413</v>
      </c>
      <c r="X51" s="264">
        <f>IF(X$25=0,0,X$25/AGR_fec!X$25)</f>
        <v>0.25004163330999418</v>
      </c>
      <c r="Y51" s="264">
        <f>IF(Y$25=0,0,Y$25/AGR_fec!Y$25)</f>
        <v>0.25004163330999418</v>
      </c>
      <c r="DA51" s="290"/>
    </row>
    <row r="52" spans="1:105" x14ac:dyDescent="0.25">
      <c r="A52" s="127" t="s">
        <v>170</v>
      </c>
      <c r="B52" s="264">
        <f>IF(B$26=0,0,B$26/AGR_fec!B$26)</f>
        <v>0.49499978764293751</v>
      </c>
      <c r="C52" s="264">
        <f>IF(C$26=0,0,C$26/AGR_fec!C$26)</f>
        <v>0.49499978764293778</v>
      </c>
      <c r="D52" s="264">
        <f>IF(D$26=0,0,D$26/AGR_fec!D$26)</f>
        <v>0.49499978764293801</v>
      </c>
      <c r="E52" s="264">
        <f>IF(E$26=0,0,E$26/AGR_fec!E$26)</f>
        <v>0.49499978764293778</v>
      </c>
      <c r="F52" s="264">
        <f>IF(F$26=0,0,F$26/AGR_fec!F$26)</f>
        <v>0.49499978764293784</v>
      </c>
      <c r="G52" s="264">
        <f>IF(G$26=0,0,G$26/AGR_fec!G$26)</f>
        <v>0.49499978764293773</v>
      </c>
      <c r="H52" s="264">
        <f>IF(H$26=0,0,H$26/AGR_fec!H$26)</f>
        <v>0.49499978764293801</v>
      </c>
      <c r="I52" s="264">
        <f>IF(I$26=0,0,I$26/AGR_fec!I$26)</f>
        <v>0.49499978764293767</v>
      </c>
      <c r="J52" s="264">
        <f>IF(J$26=0,0,J$26/AGR_fec!J$26)</f>
        <v>0.49499978764293784</v>
      </c>
      <c r="K52" s="264">
        <f>IF(K$26=0,0,K$26/AGR_fec!K$26)</f>
        <v>0.49499978764293773</v>
      </c>
      <c r="L52" s="264">
        <f>IF(L$26=0,0,L$26/AGR_fec!L$26)</f>
        <v>0.49499978764293756</v>
      </c>
      <c r="M52" s="264">
        <f>IF(M$26=0,0,M$26/AGR_fec!M$26)</f>
        <v>0.49499978764293773</v>
      </c>
      <c r="N52" s="264">
        <f>IF(N$26=0,0,N$26/AGR_fec!N$26)</f>
        <v>0.49499978764293739</v>
      </c>
      <c r="O52" s="264">
        <f>IF(O$26=0,0,O$26/AGR_fec!O$26)</f>
        <v>0.49499978764293778</v>
      </c>
      <c r="P52" s="264">
        <f>IF(P$26=0,0,P$26/AGR_fec!P$26)</f>
        <v>0.49499978764293784</v>
      </c>
      <c r="Q52" s="264">
        <f>IF(Q$26=0,0,Q$26/AGR_fec!Q$26)</f>
        <v>0.49499978764293773</v>
      </c>
      <c r="R52" s="264">
        <f>IF(R$26=0,0,R$26/AGR_fec!R$26)</f>
        <v>0.49499978764293795</v>
      </c>
      <c r="S52" s="264">
        <f>IF(S$26=0,0,S$26/AGR_fec!S$26)</f>
        <v>0.49499978764293789</v>
      </c>
      <c r="T52" s="264">
        <f>IF(T$26=0,0,T$26/AGR_fec!T$26)</f>
        <v>0.49499978764293784</v>
      </c>
      <c r="U52" s="264">
        <f>IF(U$26=0,0,U$26/AGR_fec!U$26)</f>
        <v>0.49499978764293773</v>
      </c>
      <c r="V52" s="264">
        <f>IF(V$26=0,0,V$26/AGR_fec!V$26)</f>
        <v>0.49499978764293762</v>
      </c>
      <c r="W52" s="264">
        <f>IF(W$26=0,0,W$26/AGR_fec!W$26)</f>
        <v>0.49499978764293762</v>
      </c>
      <c r="X52" s="264">
        <f>IF(X$26=0,0,X$26/AGR_fec!X$26)</f>
        <v>0.49499978764293795</v>
      </c>
      <c r="Y52" s="264">
        <f>IF(Y$26=0,0,Y$26/AGR_fec!Y$26)</f>
        <v>0.49499978764293778</v>
      </c>
      <c r="DA52" s="290"/>
    </row>
    <row r="53" spans="1:105" x14ac:dyDescent="0.25">
      <c r="A53" s="260" t="s">
        <v>33</v>
      </c>
      <c r="B53" s="265">
        <f>IF(B$27=0,0,B$27/AGR_fec!B$27)</f>
        <v>0.5202839495791356</v>
      </c>
      <c r="C53" s="265">
        <f>IF(C$27=0,0,C$27/AGR_fec!C$27)</f>
        <v>0.52028394957913537</v>
      </c>
      <c r="D53" s="265">
        <f>IF(D$27=0,0,D$27/AGR_fec!D$27)</f>
        <v>0.5202839495791356</v>
      </c>
      <c r="E53" s="265">
        <f>IF(E$27=0,0,E$27/AGR_fec!E$27)</f>
        <v>0.5202839495791356</v>
      </c>
      <c r="F53" s="265">
        <f>IF(F$27=0,0,F$27/AGR_fec!F$27)</f>
        <v>0.52028394957913549</v>
      </c>
      <c r="G53" s="265">
        <f>IF(G$27=0,0,G$27/AGR_fec!G$27)</f>
        <v>0.52028394957913526</v>
      </c>
      <c r="H53" s="265">
        <f>IF(H$27=0,0,H$27/AGR_fec!H$27)</f>
        <v>0.52028394957913549</v>
      </c>
      <c r="I53" s="265">
        <f>IF(I$27=0,0,I$27/AGR_fec!I$27)</f>
        <v>0.52028394957913571</v>
      </c>
      <c r="J53" s="265">
        <f>IF(J$27=0,0,J$27/AGR_fec!J$27)</f>
        <v>0.52028394957913537</v>
      </c>
      <c r="K53" s="265">
        <f>IF(K$27=0,0,K$27/AGR_fec!K$27)</f>
        <v>0.52028394957913515</v>
      </c>
      <c r="L53" s="265">
        <f>IF(L$27=0,0,L$27/AGR_fec!L$27)</f>
        <v>0.52028394957913549</v>
      </c>
      <c r="M53" s="265">
        <f>IF(M$27=0,0,M$27/AGR_fec!M$27)</f>
        <v>0.52028394957913549</v>
      </c>
      <c r="N53" s="265">
        <f>IF(N$27=0,0,N$27/AGR_fec!N$27)</f>
        <v>0.52028394957913549</v>
      </c>
      <c r="O53" s="265">
        <f>IF(O$27=0,0,O$27/AGR_fec!O$27)</f>
        <v>0.52028394957913537</v>
      </c>
      <c r="P53" s="265">
        <f>IF(P$27=0,0,P$27/AGR_fec!P$27)</f>
        <v>0.52028394957913526</v>
      </c>
      <c r="Q53" s="265">
        <f>IF(Q$27=0,0,Q$27/AGR_fec!Q$27)</f>
        <v>0.52028394957913537</v>
      </c>
      <c r="R53" s="265">
        <f>IF(R$27=0,0,R$27/AGR_fec!R$27)</f>
        <v>0.52028394957913537</v>
      </c>
      <c r="S53" s="265">
        <f>IF(S$27=0,0,S$27/AGR_fec!S$27)</f>
        <v>0.5202839495791356</v>
      </c>
      <c r="T53" s="265">
        <f>IF(T$27=0,0,T$27/AGR_fec!T$27)</f>
        <v>0.52028394957913537</v>
      </c>
      <c r="U53" s="265">
        <f>IF(U$27=0,0,U$27/AGR_fec!U$27)</f>
        <v>0.52028394957913515</v>
      </c>
      <c r="V53" s="265">
        <f>IF(V$27=0,0,V$27/AGR_fec!V$27)</f>
        <v>0.52028394957913549</v>
      </c>
      <c r="W53" s="265">
        <f>IF(W$27=0,0,W$27/AGR_fec!W$27)</f>
        <v>0.52028394957913537</v>
      </c>
      <c r="X53" s="265">
        <f>IF(X$27=0,0,X$27/AGR_fec!X$27)</f>
        <v>0.52028394957913537</v>
      </c>
      <c r="Y53" s="265">
        <f>IF(Y$27=0,0,Y$27/AGR_fec!Y$27)</f>
        <v>0.5202839495791356</v>
      </c>
      <c r="DA53" s="291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232" t="s">
        <v>136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>SUM(B6:B9,B16:B17,B25:B27)</f>
        <v>2017.6766761597003</v>
      </c>
      <c r="C5" s="80">
        <f t="shared" ref="C5:W5" si="0">SUM(C6:C9,C16:C17,C25:C27)</f>
        <v>2000.8194358165629</v>
      </c>
      <c r="D5" s="80">
        <f t="shared" si="0"/>
        <v>2044.2527121590153</v>
      </c>
      <c r="E5" s="80">
        <f t="shared" si="0"/>
        <v>2055.5666795437655</v>
      </c>
      <c r="F5" s="80">
        <f t="shared" si="0"/>
        <v>1986.0562341414675</v>
      </c>
      <c r="G5" s="80">
        <f t="shared" si="0"/>
        <v>1998.0314314978689</v>
      </c>
      <c r="H5" s="80">
        <f t="shared" si="0"/>
        <v>1948.6530779025279</v>
      </c>
      <c r="I5" s="80">
        <f t="shared" si="0"/>
        <v>1997.7297931570808</v>
      </c>
      <c r="J5" s="80">
        <f t="shared" si="0"/>
        <v>1962.7790935091957</v>
      </c>
      <c r="K5" s="80">
        <f t="shared" si="0"/>
        <v>1895.0944819808499</v>
      </c>
      <c r="L5" s="80">
        <f t="shared" si="0"/>
        <v>1791.3752873343101</v>
      </c>
      <c r="M5" s="80">
        <f t="shared" si="0"/>
        <v>1652.0819516251538</v>
      </c>
      <c r="N5" s="80">
        <f t="shared" si="0"/>
        <v>1738.6929414385806</v>
      </c>
      <c r="O5" s="80">
        <f t="shared" si="0"/>
        <v>1654.2872050575113</v>
      </c>
      <c r="P5" s="80">
        <f t="shared" si="0"/>
        <v>1565.7451705400542</v>
      </c>
      <c r="Q5" s="80">
        <f t="shared" si="0"/>
        <v>1710.5514177974901</v>
      </c>
      <c r="R5" s="80">
        <f t="shared" si="0"/>
        <v>1744.7585257205981</v>
      </c>
      <c r="S5" s="80">
        <f t="shared" si="0"/>
        <v>1733.5981522727557</v>
      </c>
      <c r="T5" s="80">
        <f t="shared" si="0"/>
        <v>1603.7129829771113</v>
      </c>
      <c r="U5" s="80">
        <f t="shared" si="0"/>
        <v>1776.3983662463606</v>
      </c>
      <c r="V5" s="80">
        <f t="shared" si="0"/>
        <v>1763.0995351913923</v>
      </c>
      <c r="W5" s="80">
        <f t="shared" si="0"/>
        <v>1508.0859109534601</v>
      </c>
      <c r="X5" s="80">
        <f t="shared" ref="X5:Y5" si="1">SUM(X6:X9,X16:X17,X25:X27)</f>
        <v>1529.5146326479944</v>
      </c>
      <c r="Y5" s="80">
        <f t="shared" si="1"/>
        <v>1492.7729118002273</v>
      </c>
      <c r="DA5" s="103"/>
    </row>
    <row r="6" spans="1:105" x14ac:dyDescent="0.25">
      <c r="A6" s="238" t="s">
        <v>125</v>
      </c>
      <c r="B6" s="239">
        <v>0</v>
      </c>
      <c r="C6" s="239">
        <v>0</v>
      </c>
      <c r="D6" s="239">
        <v>0</v>
      </c>
      <c r="E6" s="239">
        <v>0</v>
      </c>
      <c r="F6" s="239">
        <v>0</v>
      </c>
      <c r="G6" s="239">
        <v>0</v>
      </c>
      <c r="H6" s="239">
        <v>0</v>
      </c>
      <c r="I6" s="239">
        <v>0</v>
      </c>
      <c r="J6" s="239">
        <v>0</v>
      </c>
      <c r="K6" s="239">
        <v>0</v>
      </c>
      <c r="L6" s="239">
        <v>0</v>
      </c>
      <c r="M6" s="239">
        <v>0</v>
      </c>
      <c r="N6" s="239">
        <v>0</v>
      </c>
      <c r="O6" s="239">
        <v>0</v>
      </c>
      <c r="P6" s="239">
        <v>0</v>
      </c>
      <c r="Q6" s="239">
        <v>0</v>
      </c>
      <c r="R6" s="239">
        <v>0</v>
      </c>
      <c r="S6" s="239">
        <v>0</v>
      </c>
      <c r="T6" s="239">
        <v>0</v>
      </c>
      <c r="U6" s="239">
        <v>0</v>
      </c>
      <c r="V6" s="239">
        <v>0</v>
      </c>
      <c r="W6" s="239">
        <v>0</v>
      </c>
      <c r="X6" s="239">
        <v>0</v>
      </c>
      <c r="Y6" s="239">
        <v>0</v>
      </c>
      <c r="DA6" s="267" t="s">
        <v>1037</v>
      </c>
    </row>
    <row r="7" spans="1:105" x14ac:dyDescent="0.25">
      <c r="A7" s="240" t="s">
        <v>124</v>
      </c>
      <c r="B7" s="241">
        <v>0</v>
      </c>
      <c r="C7" s="241">
        <v>0</v>
      </c>
      <c r="D7" s="241">
        <v>0</v>
      </c>
      <c r="E7" s="241">
        <v>0</v>
      </c>
      <c r="F7" s="241">
        <v>0</v>
      </c>
      <c r="G7" s="241">
        <v>0</v>
      </c>
      <c r="H7" s="241">
        <v>0</v>
      </c>
      <c r="I7" s="241">
        <v>0</v>
      </c>
      <c r="J7" s="241">
        <v>0</v>
      </c>
      <c r="K7" s="241">
        <v>0</v>
      </c>
      <c r="L7" s="241">
        <v>0</v>
      </c>
      <c r="M7" s="241">
        <v>0</v>
      </c>
      <c r="N7" s="241">
        <v>0</v>
      </c>
      <c r="O7" s="241">
        <v>0</v>
      </c>
      <c r="P7" s="241">
        <v>0</v>
      </c>
      <c r="Q7" s="241">
        <v>0</v>
      </c>
      <c r="R7" s="241">
        <v>0</v>
      </c>
      <c r="S7" s="241">
        <v>0</v>
      </c>
      <c r="T7" s="241">
        <v>0</v>
      </c>
      <c r="U7" s="241">
        <v>0</v>
      </c>
      <c r="V7" s="241">
        <v>0</v>
      </c>
      <c r="W7" s="241">
        <v>0</v>
      </c>
      <c r="X7" s="241">
        <v>0</v>
      </c>
      <c r="Y7" s="241">
        <v>0</v>
      </c>
      <c r="DA7" s="268" t="s">
        <v>1038</v>
      </c>
    </row>
    <row r="8" spans="1:105" x14ac:dyDescent="0.25">
      <c r="A8" s="240" t="s">
        <v>123</v>
      </c>
      <c r="B8" s="241">
        <v>0</v>
      </c>
      <c r="C8" s="241">
        <v>0</v>
      </c>
      <c r="D8" s="241">
        <v>0</v>
      </c>
      <c r="E8" s="241">
        <v>0</v>
      </c>
      <c r="F8" s="241">
        <v>0</v>
      </c>
      <c r="G8" s="241">
        <v>0</v>
      </c>
      <c r="H8" s="241">
        <v>0</v>
      </c>
      <c r="I8" s="241">
        <v>0</v>
      </c>
      <c r="J8" s="241">
        <v>0</v>
      </c>
      <c r="K8" s="241">
        <v>0</v>
      </c>
      <c r="L8" s="241">
        <v>0</v>
      </c>
      <c r="M8" s="241">
        <v>0</v>
      </c>
      <c r="N8" s="241">
        <v>0</v>
      </c>
      <c r="O8" s="241">
        <v>0</v>
      </c>
      <c r="P8" s="241">
        <v>0</v>
      </c>
      <c r="Q8" s="241">
        <v>0</v>
      </c>
      <c r="R8" s="241">
        <v>0</v>
      </c>
      <c r="S8" s="241">
        <v>0</v>
      </c>
      <c r="T8" s="241">
        <v>0</v>
      </c>
      <c r="U8" s="241">
        <v>0</v>
      </c>
      <c r="V8" s="241">
        <v>0</v>
      </c>
      <c r="W8" s="241">
        <v>0</v>
      </c>
      <c r="X8" s="241">
        <v>0</v>
      </c>
      <c r="Y8" s="241">
        <v>0</v>
      </c>
      <c r="DA8" s="268" t="s">
        <v>1039</v>
      </c>
    </row>
    <row r="9" spans="1:105" x14ac:dyDescent="0.25">
      <c r="A9" s="242" t="s">
        <v>122</v>
      </c>
      <c r="B9" s="243">
        <f>SUM(B10:B15)</f>
        <v>348.97592463346433</v>
      </c>
      <c r="C9" s="243">
        <f t="shared" ref="C9:W9" si="2">SUM(C10:C15)</f>
        <v>341.82606168566844</v>
      </c>
      <c r="D9" s="243">
        <f t="shared" si="2"/>
        <v>337.75263334859829</v>
      </c>
      <c r="E9" s="243">
        <f t="shared" si="2"/>
        <v>356.37379743320923</v>
      </c>
      <c r="F9" s="243">
        <f t="shared" si="2"/>
        <v>340.95834399308046</v>
      </c>
      <c r="G9" s="243">
        <f t="shared" si="2"/>
        <v>344.10699955954027</v>
      </c>
      <c r="H9" s="243">
        <f t="shared" si="2"/>
        <v>313.80827351785808</v>
      </c>
      <c r="I9" s="243">
        <f t="shared" si="2"/>
        <v>310.62598851908626</v>
      </c>
      <c r="J9" s="243">
        <f t="shared" si="2"/>
        <v>308.4183758834788</v>
      </c>
      <c r="K9" s="243">
        <f t="shared" si="2"/>
        <v>293.78455248316703</v>
      </c>
      <c r="L9" s="243">
        <f t="shared" si="2"/>
        <v>297.05746826065882</v>
      </c>
      <c r="M9" s="243">
        <f t="shared" si="2"/>
        <v>289.5093749456413</v>
      </c>
      <c r="N9" s="243">
        <f t="shared" si="2"/>
        <v>307.77753110604169</v>
      </c>
      <c r="O9" s="243">
        <f t="shared" si="2"/>
        <v>302.41696060699741</v>
      </c>
      <c r="P9" s="243">
        <f t="shared" si="2"/>
        <v>284.51321024019933</v>
      </c>
      <c r="Q9" s="243">
        <f t="shared" si="2"/>
        <v>318.72940555453135</v>
      </c>
      <c r="R9" s="243">
        <f t="shared" si="2"/>
        <v>313.44523812008606</v>
      </c>
      <c r="S9" s="243">
        <f t="shared" si="2"/>
        <v>312.46642757260844</v>
      </c>
      <c r="T9" s="243">
        <f t="shared" si="2"/>
        <v>283.66443203789476</v>
      </c>
      <c r="U9" s="243">
        <f t="shared" si="2"/>
        <v>323.31909265260879</v>
      </c>
      <c r="V9" s="243">
        <f t="shared" si="2"/>
        <v>339.71472322367509</v>
      </c>
      <c r="W9" s="243">
        <f t="shared" si="2"/>
        <v>271.74921502948786</v>
      </c>
      <c r="X9" s="243">
        <f t="shared" ref="X9:Y9" si="3">SUM(X10:X15)</f>
        <v>299.50472458348241</v>
      </c>
      <c r="Y9" s="243">
        <f t="shared" si="3"/>
        <v>260.93154588019223</v>
      </c>
      <c r="DA9" s="269"/>
    </row>
    <row r="10" spans="1:105" x14ac:dyDescent="0.25">
      <c r="A10" s="253" t="s">
        <v>166</v>
      </c>
      <c r="B10" s="254">
        <v>331.50739887363392</v>
      </c>
      <c r="C10" s="254">
        <v>324.84429593187929</v>
      </c>
      <c r="D10" s="254">
        <v>320.35431927013502</v>
      </c>
      <c r="E10" s="254">
        <v>339.45632579206568</v>
      </c>
      <c r="F10" s="254">
        <v>322.37460434147113</v>
      </c>
      <c r="G10" s="254">
        <v>326.70483698816838</v>
      </c>
      <c r="H10" s="254">
        <v>298.24373631834231</v>
      </c>
      <c r="I10" s="254">
        <v>296.61684608481102</v>
      </c>
      <c r="J10" s="254">
        <v>297.78728646321179</v>
      </c>
      <c r="K10" s="254">
        <v>281.72885258958593</v>
      </c>
      <c r="L10" s="254">
        <v>289.61741278807301</v>
      </c>
      <c r="M10" s="254">
        <v>284.91310126155179</v>
      </c>
      <c r="N10" s="254">
        <v>304.74929718869481</v>
      </c>
      <c r="O10" s="254">
        <v>300.27242481311839</v>
      </c>
      <c r="P10" s="254">
        <v>283.10101911977472</v>
      </c>
      <c r="Q10" s="254">
        <v>315.73094610199979</v>
      </c>
      <c r="R10" s="254">
        <v>309.83587248840757</v>
      </c>
      <c r="S10" s="254">
        <v>310.62810083813571</v>
      </c>
      <c r="T10" s="254">
        <v>281.45084678137363</v>
      </c>
      <c r="U10" s="254">
        <v>320.77302564239608</v>
      </c>
      <c r="V10" s="254">
        <v>336.94430065834757</v>
      </c>
      <c r="W10" s="254">
        <v>268.76726037473571</v>
      </c>
      <c r="X10" s="254">
        <v>297.24573463293808</v>
      </c>
      <c r="Y10" s="254">
        <v>259.22928540042972</v>
      </c>
      <c r="DA10" s="270" t="s">
        <v>1040</v>
      </c>
    </row>
    <row r="11" spans="1:105" x14ac:dyDescent="0.25">
      <c r="A11" s="253" t="s">
        <v>169</v>
      </c>
      <c r="B11" s="255">
        <v>17.46852575983041</v>
      </c>
      <c r="C11" s="255">
        <v>16.98176575378913</v>
      </c>
      <c r="D11" s="255">
        <v>17.398314078463269</v>
      </c>
      <c r="E11" s="255">
        <v>16.917471641143539</v>
      </c>
      <c r="F11" s="255">
        <v>18.583739651609338</v>
      </c>
      <c r="G11" s="255">
        <v>17.402162571371889</v>
      </c>
      <c r="H11" s="255">
        <v>15.56453719951574</v>
      </c>
      <c r="I11" s="255">
        <v>14.009142434275221</v>
      </c>
      <c r="J11" s="255">
        <v>10.63108942026701</v>
      </c>
      <c r="K11" s="255">
        <v>12.055699893581121</v>
      </c>
      <c r="L11" s="255">
        <v>7.4400554725858061</v>
      </c>
      <c r="M11" s="255">
        <v>4.5962736840895326</v>
      </c>
      <c r="N11" s="255">
        <v>3.028233917346896</v>
      </c>
      <c r="O11" s="255">
        <v>2.1445357938790299</v>
      </c>
      <c r="P11" s="255">
        <v>1.412191120424618</v>
      </c>
      <c r="Q11" s="255">
        <v>2.9984594525315491</v>
      </c>
      <c r="R11" s="255">
        <v>3.6093656316784721</v>
      </c>
      <c r="S11" s="255">
        <v>1.8383267344727039</v>
      </c>
      <c r="T11" s="255">
        <v>2.2135852565211378</v>
      </c>
      <c r="U11" s="255">
        <v>2.546067010212723</v>
      </c>
      <c r="V11" s="255">
        <v>2.770422565327503</v>
      </c>
      <c r="W11" s="255">
        <v>2.9819546547521232</v>
      </c>
      <c r="X11" s="255">
        <v>2.2589899505443451</v>
      </c>
      <c r="Y11" s="255">
        <v>1.7022604797624921</v>
      </c>
      <c r="DA11" s="271" t="s">
        <v>1041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0</v>
      </c>
      <c r="P12" s="255">
        <v>0</v>
      </c>
      <c r="Q12" s="255">
        <v>0</v>
      </c>
      <c r="R12" s="255">
        <v>0</v>
      </c>
      <c r="S12" s="255">
        <v>0</v>
      </c>
      <c r="T12" s="255">
        <v>0</v>
      </c>
      <c r="U12" s="255">
        <v>0</v>
      </c>
      <c r="V12" s="255">
        <v>0</v>
      </c>
      <c r="W12" s="255">
        <v>0</v>
      </c>
      <c r="X12" s="255">
        <v>0</v>
      </c>
      <c r="Y12" s="255">
        <v>0</v>
      </c>
      <c r="DA12" s="271" t="s">
        <v>1042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1043</v>
      </c>
    </row>
    <row r="14" spans="1:105" x14ac:dyDescent="0.25">
      <c r="A14" s="253" t="s">
        <v>162</v>
      </c>
      <c r="B14" s="254">
        <v>0</v>
      </c>
      <c r="C14" s="254">
        <v>0</v>
      </c>
      <c r="D14" s="254">
        <v>0</v>
      </c>
      <c r="E14" s="254">
        <v>0</v>
      </c>
      <c r="F14" s="254">
        <v>0</v>
      </c>
      <c r="G14" s="254">
        <v>0</v>
      </c>
      <c r="H14" s="254">
        <v>0</v>
      </c>
      <c r="I14" s="254">
        <v>0</v>
      </c>
      <c r="J14" s="254">
        <v>0</v>
      </c>
      <c r="K14" s="254">
        <v>0</v>
      </c>
      <c r="L14" s="254">
        <v>0</v>
      </c>
      <c r="M14" s="254">
        <v>0</v>
      </c>
      <c r="N14" s="254">
        <v>0</v>
      </c>
      <c r="O14" s="254">
        <v>0</v>
      </c>
      <c r="P14" s="254">
        <v>0</v>
      </c>
      <c r="Q14" s="254">
        <v>0</v>
      </c>
      <c r="R14" s="254">
        <v>0</v>
      </c>
      <c r="S14" s="254">
        <v>0</v>
      </c>
      <c r="T14" s="254">
        <v>0</v>
      </c>
      <c r="U14" s="254">
        <v>0</v>
      </c>
      <c r="V14" s="254">
        <v>0</v>
      </c>
      <c r="W14" s="254">
        <v>0</v>
      </c>
      <c r="X14" s="254">
        <v>0</v>
      </c>
      <c r="Y14" s="254">
        <v>0</v>
      </c>
      <c r="DA14" s="270" t="s">
        <v>1044</v>
      </c>
    </row>
    <row r="15" spans="1:105" x14ac:dyDescent="0.25">
      <c r="A15" s="253" t="s">
        <v>24</v>
      </c>
      <c r="B15" s="255">
        <v>0</v>
      </c>
      <c r="C15" s="255">
        <v>0</v>
      </c>
      <c r="D15" s="255">
        <v>0</v>
      </c>
      <c r="E15" s="255">
        <v>0</v>
      </c>
      <c r="F15" s="255">
        <v>0</v>
      </c>
      <c r="G15" s="255">
        <v>0</v>
      </c>
      <c r="H15" s="255">
        <v>0</v>
      </c>
      <c r="I15" s="255">
        <v>0</v>
      </c>
      <c r="J15" s="255">
        <v>0</v>
      </c>
      <c r="K15" s="255">
        <v>0</v>
      </c>
      <c r="L15" s="255">
        <v>0</v>
      </c>
      <c r="M15" s="255">
        <v>0</v>
      </c>
      <c r="N15" s="255">
        <v>0</v>
      </c>
      <c r="O15" s="255">
        <v>0</v>
      </c>
      <c r="P15" s="255">
        <v>0</v>
      </c>
      <c r="Q15" s="255">
        <v>0</v>
      </c>
      <c r="R15" s="255">
        <v>0</v>
      </c>
      <c r="S15" s="255">
        <v>0</v>
      </c>
      <c r="T15" s="255">
        <v>0</v>
      </c>
      <c r="U15" s="255">
        <v>0</v>
      </c>
      <c r="V15" s="255">
        <v>0</v>
      </c>
      <c r="W15" s="255">
        <v>0</v>
      </c>
      <c r="X15" s="255">
        <v>0</v>
      </c>
      <c r="Y15" s="255">
        <v>0</v>
      </c>
      <c r="DA15" s="271" t="s">
        <v>1045</v>
      </c>
    </row>
    <row r="16" spans="1:105" x14ac:dyDescent="0.25">
      <c r="A16" s="256" t="s">
        <v>168</v>
      </c>
      <c r="B16" s="257">
        <v>606.49065261320959</v>
      </c>
      <c r="C16" s="257">
        <v>606.15134890102115</v>
      </c>
      <c r="D16" s="257">
        <v>614.87718384064442</v>
      </c>
      <c r="E16" s="257">
        <v>604.63856609367394</v>
      </c>
      <c r="F16" s="257">
        <v>591.69002509474456</v>
      </c>
      <c r="G16" s="257">
        <v>581.73094819104358</v>
      </c>
      <c r="H16" s="257">
        <v>578.03137925408009</v>
      </c>
      <c r="I16" s="257">
        <v>591.23244377913034</v>
      </c>
      <c r="J16" s="257">
        <v>581.41353206795395</v>
      </c>
      <c r="K16" s="257">
        <v>552.91277338123234</v>
      </c>
      <c r="L16" s="257">
        <v>562.89929966984937</v>
      </c>
      <c r="M16" s="257">
        <v>532.63931505443213</v>
      </c>
      <c r="N16" s="257">
        <v>572.9979171567976</v>
      </c>
      <c r="O16" s="257">
        <v>559.86955226801626</v>
      </c>
      <c r="P16" s="257">
        <v>540.54041650370618</v>
      </c>
      <c r="Q16" s="257">
        <v>578.58284266876558</v>
      </c>
      <c r="R16" s="257">
        <v>581.6443176289622</v>
      </c>
      <c r="S16" s="257">
        <v>575.60851952822793</v>
      </c>
      <c r="T16" s="257">
        <v>537.72533905746889</v>
      </c>
      <c r="U16" s="257">
        <v>585.30255849635193</v>
      </c>
      <c r="V16" s="257">
        <v>593.54927448175977</v>
      </c>
      <c r="W16" s="257">
        <v>535.31226200185529</v>
      </c>
      <c r="X16" s="257">
        <v>527.45800241448205</v>
      </c>
      <c r="Y16" s="257">
        <v>515.61381000002859</v>
      </c>
      <c r="DA16" s="272" t="s">
        <v>1046</v>
      </c>
    </row>
    <row r="17" spans="1:105" x14ac:dyDescent="0.25">
      <c r="A17" s="256" t="s">
        <v>121</v>
      </c>
      <c r="B17" s="257">
        <f>SUM(B18:B24)</f>
        <v>945.66786568695773</v>
      </c>
      <c r="C17" s="257">
        <f t="shared" ref="C17:W17" si="4">SUM(C18:C24)</f>
        <v>936.36499203976587</v>
      </c>
      <c r="D17" s="257">
        <f t="shared" si="4"/>
        <v>973.46911987730596</v>
      </c>
      <c r="E17" s="257">
        <f t="shared" si="4"/>
        <v>978.36797665032304</v>
      </c>
      <c r="F17" s="257">
        <f t="shared" si="4"/>
        <v>939.70969574960975</v>
      </c>
      <c r="G17" s="257">
        <f t="shared" si="4"/>
        <v>960.40903406650875</v>
      </c>
      <c r="H17" s="257">
        <f t="shared" si="4"/>
        <v>945.7398784522419</v>
      </c>
      <c r="I17" s="257">
        <f t="shared" si="4"/>
        <v>982.26111961798381</v>
      </c>
      <c r="J17" s="257">
        <f t="shared" si="4"/>
        <v>961.22373003029713</v>
      </c>
      <c r="K17" s="257">
        <f t="shared" si="4"/>
        <v>942.15035888812929</v>
      </c>
      <c r="L17" s="257">
        <f t="shared" si="4"/>
        <v>823.25272792415694</v>
      </c>
      <c r="M17" s="257">
        <f t="shared" si="4"/>
        <v>727.58217836768438</v>
      </c>
      <c r="N17" s="257">
        <f t="shared" si="4"/>
        <v>747.81116818687622</v>
      </c>
      <c r="O17" s="257">
        <f t="shared" si="4"/>
        <v>684.41709191519749</v>
      </c>
      <c r="P17" s="257">
        <f t="shared" si="4"/>
        <v>636.82219804966644</v>
      </c>
      <c r="Q17" s="257">
        <f t="shared" si="4"/>
        <v>702.05965460496884</v>
      </c>
      <c r="R17" s="257">
        <f t="shared" si="4"/>
        <v>737.90116707523259</v>
      </c>
      <c r="S17" s="257">
        <f t="shared" si="4"/>
        <v>734.91523118134103</v>
      </c>
      <c r="T17" s="257">
        <f t="shared" si="4"/>
        <v>678.99480672664185</v>
      </c>
      <c r="U17" s="257">
        <f t="shared" si="4"/>
        <v>755.30595073163965</v>
      </c>
      <c r="V17" s="257">
        <f t="shared" si="4"/>
        <v>715.78009791773638</v>
      </c>
      <c r="W17" s="257">
        <f t="shared" si="4"/>
        <v>598.15972163316837</v>
      </c>
      <c r="X17" s="257">
        <f t="shared" ref="X17:Y17" si="5">SUM(X18:X24)</f>
        <v>601.19645479603628</v>
      </c>
      <c r="Y17" s="257">
        <f t="shared" si="5"/>
        <v>617.14806534469483</v>
      </c>
      <c r="DA17" s="272"/>
    </row>
    <row r="18" spans="1:105" x14ac:dyDescent="0.25">
      <c r="A18" s="61" t="s">
        <v>29</v>
      </c>
      <c r="B18" s="55">
        <v>93.047565520702904</v>
      </c>
      <c r="C18" s="55">
        <v>105.7306162174868</v>
      </c>
      <c r="D18" s="55">
        <v>120.8671081198695</v>
      </c>
      <c r="E18" s="55">
        <v>132.22592610466239</v>
      </c>
      <c r="F18" s="55">
        <v>143.75619886293291</v>
      </c>
      <c r="G18" s="55">
        <v>125.9082772990207</v>
      </c>
      <c r="H18" s="55">
        <v>124.75507334375089</v>
      </c>
      <c r="I18" s="55">
        <v>148.2092688381351</v>
      </c>
      <c r="J18" s="55">
        <v>171.75341399013021</v>
      </c>
      <c r="K18" s="55">
        <v>199.43436522195199</v>
      </c>
      <c r="L18" s="55">
        <v>239.105606334904</v>
      </c>
      <c r="M18" s="55">
        <v>199.15408145116939</v>
      </c>
      <c r="N18" s="55">
        <v>222.9897135702727</v>
      </c>
      <c r="O18" s="55">
        <v>201.23403268293961</v>
      </c>
      <c r="P18" s="55">
        <v>189.59614363758149</v>
      </c>
      <c r="Q18" s="55">
        <v>198.0793978808527</v>
      </c>
      <c r="R18" s="55">
        <v>224.34460511703031</v>
      </c>
      <c r="S18" s="55">
        <v>226.5959131122074</v>
      </c>
      <c r="T18" s="55">
        <v>226.1065452618684</v>
      </c>
      <c r="U18" s="55">
        <v>220.4181415653442</v>
      </c>
      <c r="V18" s="55">
        <v>142.2569738698499</v>
      </c>
      <c r="W18" s="55">
        <v>135.47732029883949</v>
      </c>
      <c r="X18" s="55">
        <v>123.7986943774373</v>
      </c>
      <c r="Y18" s="55">
        <v>125.81901763175701</v>
      </c>
      <c r="DA18" s="101" t="s">
        <v>1047</v>
      </c>
    </row>
    <row r="19" spans="1:105" x14ac:dyDescent="0.25">
      <c r="A19" s="61" t="s">
        <v>27</v>
      </c>
      <c r="B19" s="55">
        <v>14.576175719984789</v>
      </c>
      <c r="C19" s="55">
        <v>11.660804279987509</v>
      </c>
      <c r="D19" s="55">
        <v>11.660804279987421</v>
      </c>
      <c r="E19" s="55">
        <v>11.66080427998787</v>
      </c>
      <c r="F19" s="55">
        <v>11.660804279978329</v>
      </c>
      <c r="G19" s="55">
        <v>11.660804279983401</v>
      </c>
      <c r="H19" s="55">
        <v>14.5761757199709</v>
      </c>
      <c r="I19" s="55">
        <v>14.57617571997395</v>
      </c>
      <c r="J19" s="55">
        <v>11.66080427998169</v>
      </c>
      <c r="K19" s="55">
        <v>11.66080427997381</v>
      </c>
      <c r="L19" s="55">
        <v>11.66080427998557</v>
      </c>
      <c r="M19" s="55">
        <v>11.660804279974791</v>
      </c>
      <c r="N19" s="55">
        <v>14.576175719965541</v>
      </c>
      <c r="O19" s="55">
        <v>11.686019039984879</v>
      </c>
      <c r="P19" s="55">
        <v>11.686019039974211</v>
      </c>
      <c r="Q19" s="55">
        <v>8.7645142799846294</v>
      </c>
      <c r="R19" s="55">
        <v>8.764514279977746</v>
      </c>
      <c r="S19" s="55">
        <v>8.7645142799770781</v>
      </c>
      <c r="T19" s="55">
        <v>5.8430095199862624</v>
      </c>
      <c r="U19" s="55">
        <v>5.8430095199932204</v>
      </c>
      <c r="V19" s="55">
        <v>5.843009519993835</v>
      </c>
      <c r="W19" s="55">
        <v>11.686019039968899</v>
      </c>
      <c r="X19" s="55">
        <v>11.68601903998464</v>
      </c>
      <c r="Y19" s="55">
        <v>11.686019039977429</v>
      </c>
      <c r="DA19" s="101" t="s">
        <v>1048</v>
      </c>
    </row>
    <row r="20" spans="1:105" x14ac:dyDescent="0.25">
      <c r="A20" s="61" t="s">
        <v>166</v>
      </c>
      <c r="B20" s="55">
        <v>312.38250420664008</v>
      </c>
      <c r="C20" s="55">
        <v>297.14604053662941</v>
      </c>
      <c r="D20" s="55">
        <v>284.86081071650028</v>
      </c>
      <c r="E20" s="55">
        <v>268.40577982739632</v>
      </c>
      <c r="F20" s="55">
        <v>266.20113017925178</v>
      </c>
      <c r="G20" s="55">
        <v>242.02886441969099</v>
      </c>
      <c r="H20" s="55">
        <v>232.9009423491579</v>
      </c>
      <c r="I20" s="55">
        <v>237.89355737516971</v>
      </c>
      <c r="J20" s="55">
        <v>245.28851570127591</v>
      </c>
      <c r="K20" s="55">
        <v>216.18787848091941</v>
      </c>
      <c r="L20" s="55">
        <v>256.76745446223742</v>
      </c>
      <c r="M20" s="55">
        <v>284.69582934583701</v>
      </c>
      <c r="N20" s="55">
        <v>289.65556574494889</v>
      </c>
      <c r="O20" s="55">
        <v>264.70562265130712</v>
      </c>
      <c r="P20" s="55">
        <v>272.90921862946988</v>
      </c>
      <c r="Q20" s="55">
        <v>330.84038273918497</v>
      </c>
      <c r="R20" s="55">
        <v>290.32459898558938</v>
      </c>
      <c r="S20" s="55">
        <v>293.06671664223501</v>
      </c>
      <c r="T20" s="55">
        <v>268.20161036546392</v>
      </c>
      <c r="U20" s="55">
        <v>306.30705461504101</v>
      </c>
      <c r="V20" s="55">
        <v>360.02107949100611</v>
      </c>
      <c r="W20" s="55">
        <v>311.36202333332648</v>
      </c>
      <c r="X20" s="55">
        <v>320.77571829780891</v>
      </c>
      <c r="Y20" s="55">
        <v>282.27367446349399</v>
      </c>
      <c r="DA20" s="101" t="s">
        <v>1049</v>
      </c>
    </row>
    <row r="21" spans="1:105" x14ac:dyDescent="0.25">
      <c r="A21" s="61" t="s">
        <v>129</v>
      </c>
      <c r="B21" s="55">
        <v>509.20086599946859</v>
      </c>
      <c r="C21" s="55">
        <v>506.2937367594576</v>
      </c>
      <c r="D21" s="55">
        <v>540.60972083941647</v>
      </c>
      <c r="E21" s="55">
        <v>552.69893807942526</v>
      </c>
      <c r="F21" s="55">
        <v>502.74602207906588</v>
      </c>
      <c r="G21" s="55">
        <v>567.91925063919143</v>
      </c>
      <c r="H21" s="55">
        <v>561.3532142388791</v>
      </c>
      <c r="I21" s="55">
        <v>570.34646207898038</v>
      </c>
      <c r="J21" s="55">
        <v>523.7641274391774</v>
      </c>
      <c r="K21" s="55">
        <v>505.61623079886442</v>
      </c>
      <c r="L21" s="55">
        <v>309.12269831961731</v>
      </c>
      <c r="M21" s="55">
        <v>227.4786946795081</v>
      </c>
      <c r="N21" s="55">
        <v>217.71146267948529</v>
      </c>
      <c r="O21" s="55">
        <v>204.90089867973489</v>
      </c>
      <c r="P21" s="55">
        <v>161.26946531964401</v>
      </c>
      <c r="Q21" s="55">
        <v>161.23340771971729</v>
      </c>
      <c r="R21" s="55">
        <v>211.08537539946411</v>
      </c>
      <c r="S21" s="55">
        <v>204.75369035946451</v>
      </c>
      <c r="T21" s="55">
        <v>176.73426035958451</v>
      </c>
      <c r="U21" s="55">
        <v>220.30649855974451</v>
      </c>
      <c r="V21" s="55">
        <v>204.69887063978399</v>
      </c>
      <c r="W21" s="55">
        <v>136.1798182796376</v>
      </c>
      <c r="X21" s="55">
        <v>142.49821139981279</v>
      </c>
      <c r="Y21" s="55">
        <v>195.5157699596225</v>
      </c>
      <c r="DA21" s="101" t="s">
        <v>1050</v>
      </c>
    </row>
    <row r="22" spans="1:105" x14ac:dyDescent="0.25">
      <c r="A22" s="61" t="s">
        <v>169</v>
      </c>
      <c r="B22" s="55">
        <v>16.460754240161339</v>
      </c>
      <c r="C22" s="55">
        <v>15.53379424620447</v>
      </c>
      <c r="D22" s="55">
        <v>15.470675921532299</v>
      </c>
      <c r="E22" s="55">
        <v>13.376528358851189</v>
      </c>
      <c r="F22" s="55">
        <v>15.345540348380929</v>
      </c>
      <c r="G22" s="55">
        <v>12.89183742862221</v>
      </c>
      <c r="H22" s="55">
        <v>12.154472800483081</v>
      </c>
      <c r="I22" s="55">
        <v>11.235655605724659</v>
      </c>
      <c r="J22" s="55">
        <v>8.756868619731959</v>
      </c>
      <c r="K22" s="55">
        <v>9.2510801064196357</v>
      </c>
      <c r="L22" s="55">
        <v>6.5961645274125917</v>
      </c>
      <c r="M22" s="55">
        <v>4.5927686111951296</v>
      </c>
      <c r="N22" s="55">
        <v>2.8782504722038689</v>
      </c>
      <c r="O22" s="55">
        <v>1.8905188612309869</v>
      </c>
      <c r="P22" s="55">
        <v>1.36135142299683</v>
      </c>
      <c r="Q22" s="55">
        <v>3.141951985229178</v>
      </c>
      <c r="R22" s="55">
        <v>3.382073293171135</v>
      </c>
      <c r="S22" s="55">
        <v>1.734396787457082</v>
      </c>
      <c r="T22" s="55">
        <v>2.10938121973882</v>
      </c>
      <c r="U22" s="55">
        <v>2.43124647151661</v>
      </c>
      <c r="V22" s="55">
        <v>2.9601643971025271</v>
      </c>
      <c r="W22" s="55">
        <v>3.4545406813959101</v>
      </c>
      <c r="X22" s="55">
        <v>2.437811680992569</v>
      </c>
      <c r="Y22" s="55">
        <v>1.853584249843989</v>
      </c>
      <c r="DA22" s="101" t="s">
        <v>1051</v>
      </c>
    </row>
    <row r="23" spans="1:105" x14ac:dyDescent="0.25">
      <c r="A23" s="61" t="s">
        <v>164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DA23" s="101" t="s">
        <v>1052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1" t="s">
        <v>1053</v>
      </c>
    </row>
    <row r="25" spans="1:105" x14ac:dyDescent="0.25">
      <c r="A25" s="256" t="s">
        <v>167</v>
      </c>
      <c r="B25" s="257">
        <v>116.5422332260684</v>
      </c>
      <c r="C25" s="257">
        <v>116.47703319010751</v>
      </c>
      <c r="D25" s="257">
        <v>118.1537750924667</v>
      </c>
      <c r="E25" s="257">
        <v>116.18633936655949</v>
      </c>
      <c r="F25" s="257">
        <v>113.6981693040327</v>
      </c>
      <c r="G25" s="257">
        <v>111.7844496807764</v>
      </c>
      <c r="H25" s="257">
        <v>111.0735466783478</v>
      </c>
      <c r="I25" s="257">
        <v>113.6102412408805</v>
      </c>
      <c r="J25" s="257">
        <v>111.7234555274659</v>
      </c>
      <c r="K25" s="257">
        <v>106.2467972283213</v>
      </c>
      <c r="L25" s="257">
        <v>108.16579147964489</v>
      </c>
      <c r="M25" s="257">
        <v>102.3510832573959</v>
      </c>
      <c r="N25" s="257">
        <v>110.1063249888651</v>
      </c>
      <c r="O25" s="257">
        <v>107.5836002673003</v>
      </c>
      <c r="P25" s="257">
        <v>103.8693457464822</v>
      </c>
      <c r="Q25" s="257">
        <v>111.1795149692243</v>
      </c>
      <c r="R25" s="257">
        <v>111.76780289631709</v>
      </c>
      <c r="S25" s="257">
        <v>110.6079739905782</v>
      </c>
      <c r="T25" s="257">
        <v>103.3284051551058</v>
      </c>
      <c r="U25" s="257">
        <v>112.4707643657602</v>
      </c>
      <c r="V25" s="257">
        <v>114.0554395682212</v>
      </c>
      <c r="W25" s="257">
        <v>102.8647122889486</v>
      </c>
      <c r="X25" s="257">
        <v>101.3554508539937</v>
      </c>
      <c r="Y25" s="257">
        <v>99.079490575311553</v>
      </c>
      <c r="DA25" s="272" t="s">
        <v>1054</v>
      </c>
    </row>
    <row r="26" spans="1:105" x14ac:dyDescent="0.25">
      <c r="A26" s="256" t="s">
        <v>170</v>
      </c>
      <c r="B26" s="257">
        <v>0</v>
      </c>
      <c r="C26" s="257">
        <v>0</v>
      </c>
      <c r="D26" s="257">
        <v>0</v>
      </c>
      <c r="E26" s="257">
        <v>0</v>
      </c>
      <c r="F26" s="257">
        <v>0</v>
      </c>
      <c r="G26" s="257">
        <v>0</v>
      </c>
      <c r="H26" s="257">
        <v>0</v>
      </c>
      <c r="I26" s="257">
        <v>0</v>
      </c>
      <c r="J26" s="257">
        <v>0</v>
      </c>
      <c r="K26" s="257">
        <v>0</v>
      </c>
      <c r="L26" s="257">
        <v>0</v>
      </c>
      <c r="M26" s="257">
        <v>0</v>
      </c>
      <c r="N26" s="257">
        <v>0</v>
      </c>
      <c r="O26" s="257">
        <v>0</v>
      </c>
      <c r="P26" s="257">
        <v>0</v>
      </c>
      <c r="Q26" s="257">
        <v>0</v>
      </c>
      <c r="R26" s="257">
        <v>0</v>
      </c>
      <c r="S26" s="257">
        <v>0</v>
      </c>
      <c r="T26" s="257">
        <v>0</v>
      </c>
      <c r="U26" s="257">
        <v>0</v>
      </c>
      <c r="V26" s="257">
        <v>0</v>
      </c>
      <c r="W26" s="257">
        <v>0</v>
      </c>
      <c r="X26" s="257">
        <v>0</v>
      </c>
      <c r="Y26" s="257">
        <v>0</v>
      </c>
      <c r="DA26" s="272" t="s">
        <v>1055</v>
      </c>
    </row>
    <row r="27" spans="1:105" x14ac:dyDescent="0.25">
      <c r="A27" s="128" t="s">
        <v>33</v>
      </c>
      <c r="B27" s="258">
        <v>0</v>
      </c>
      <c r="C27" s="258">
        <v>0</v>
      </c>
      <c r="D27" s="258">
        <v>0</v>
      </c>
      <c r="E27" s="258">
        <v>0</v>
      </c>
      <c r="F27" s="258">
        <v>0</v>
      </c>
      <c r="G27" s="258">
        <v>0</v>
      </c>
      <c r="H27" s="258">
        <v>0</v>
      </c>
      <c r="I27" s="258">
        <v>0</v>
      </c>
      <c r="J27" s="258">
        <v>0</v>
      </c>
      <c r="K27" s="258">
        <v>0</v>
      </c>
      <c r="L27" s="258">
        <v>0</v>
      </c>
      <c r="M27" s="258">
        <v>0</v>
      </c>
      <c r="N27" s="258">
        <v>0</v>
      </c>
      <c r="O27" s="258">
        <v>0</v>
      </c>
      <c r="P27" s="258">
        <v>0</v>
      </c>
      <c r="Q27" s="258">
        <v>0</v>
      </c>
      <c r="R27" s="258">
        <v>0</v>
      </c>
      <c r="S27" s="258">
        <v>0</v>
      </c>
      <c r="T27" s="258">
        <v>0</v>
      </c>
      <c r="U27" s="258">
        <v>0</v>
      </c>
      <c r="V27" s="258">
        <v>0</v>
      </c>
      <c r="W27" s="258">
        <v>0</v>
      </c>
      <c r="X27" s="258">
        <v>0</v>
      </c>
      <c r="Y27" s="258">
        <v>0</v>
      </c>
      <c r="DA27" s="273" t="s">
        <v>1056</v>
      </c>
    </row>
    <row r="29" spans="1:105" ht="12.75" x14ac:dyDescent="0.25">
      <c r="A29" s="232" t="s">
        <v>135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6">SUM(B32:B40)</f>
        <v>0.99999999999999989</v>
      </c>
      <c r="C31" s="235">
        <f t="shared" si="6"/>
        <v>1</v>
      </c>
      <c r="D31" s="235">
        <f t="shared" si="6"/>
        <v>1</v>
      </c>
      <c r="E31" s="235">
        <f t="shared" si="6"/>
        <v>1</v>
      </c>
      <c r="F31" s="235">
        <f t="shared" si="6"/>
        <v>1</v>
      </c>
      <c r="G31" s="235">
        <f t="shared" si="6"/>
        <v>1</v>
      </c>
      <c r="H31" s="235">
        <f t="shared" si="6"/>
        <v>1</v>
      </c>
      <c r="I31" s="235">
        <f t="shared" si="6"/>
        <v>0.99999999999999989</v>
      </c>
      <c r="J31" s="235">
        <f t="shared" si="6"/>
        <v>1</v>
      </c>
      <c r="K31" s="235">
        <f t="shared" si="6"/>
        <v>1</v>
      </c>
      <c r="L31" s="235">
        <f t="shared" si="6"/>
        <v>0.99999999999999989</v>
      </c>
      <c r="M31" s="235">
        <f t="shared" si="6"/>
        <v>1</v>
      </c>
      <c r="N31" s="235">
        <f t="shared" si="6"/>
        <v>0.99999999999999989</v>
      </c>
      <c r="O31" s="235">
        <f t="shared" si="6"/>
        <v>1</v>
      </c>
      <c r="P31" s="235">
        <f t="shared" si="6"/>
        <v>1</v>
      </c>
      <c r="Q31" s="235">
        <f t="shared" si="6"/>
        <v>1</v>
      </c>
      <c r="R31" s="235">
        <f t="shared" ref="R31:W31" si="7">SUM(R32:R40)</f>
        <v>0.99999999999999989</v>
      </c>
      <c r="S31" s="235">
        <f t="shared" si="7"/>
        <v>0.99999999999999989</v>
      </c>
      <c r="T31" s="235">
        <f t="shared" si="7"/>
        <v>1</v>
      </c>
      <c r="U31" s="235">
        <f t="shared" si="7"/>
        <v>1</v>
      </c>
      <c r="V31" s="235">
        <f t="shared" si="7"/>
        <v>1.0000000000000002</v>
      </c>
      <c r="W31" s="235">
        <f t="shared" si="7"/>
        <v>0.99999999999999989</v>
      </c>
      <c r="X31" s="235">
        <f t="shared" ref="X31:Y31" si="8">SUM(X32:X40)</f>
        <v>1</v>
      </c>
      <c r="Y31" s="235">
        <f t="shared" si="8"/>
        <v>0.99999999999999989</v>
      </c>
      <c r="DA31" s="274"/>
    </row>
    <row r="32" spans="1:105" x14ac:dyDescent="0.25">
      <c r="A32" s="238" t="s">
        <v>125</v>
      </c>
      <c r="B32" s="244">
        <f t="shared" ref="B32:Y32" si="9">IF(B$6=0,0,B$6/B$5)</f>
        <v>0</v>
      </c>
      <c r="C32" s="244">
        <f t="shared" si="9"/>
        <v>0</v>
      </c>
      <c r="D32" s="244">
        <f t="shared" si="9"/>
        <v>0</v>
      </c>
      <c r="E32" s="244">
        <f t="shared" si="9"/>
        <v>0</v>
      </c>
      <c r="F32" s="244">
        <f t="shared" si="9"/>
        <v>0</v>
      </c>
      <c r="G32" s="244">
        <f t="shared" si="9"/>
        <v>0</v>
      </c>
      <c r="H32" s="244">
        <f t="shared" si="9"/>
        <v>0</v>
      </c>
      <c r="I32" s="244">
        <f t="shared" si="9"/>
        <v>0</v>
      </c>
      <c r="J32" s="244">
        <f t="shared" si="9"/>
        <v>0</v>
      </c>
      <c r="K32" s="244">
        <f t="shared" si="9"/>
        <v>0</v>
      </c>
      <c r="L32" s="244">
        <f t="shared" si="9"/>
        <v>0</v>
      </c>
      <c r="M32" s="244">
        <f t="shared" si="9"/>
        <v>0</v>
      </c>
      <c r="N32" s="244">
        <f t="shared" si="9"/>
        <v>0</v>
      </c>
      <c r="O32" s="244">
        <f t="shared" si="9"/>
        <v>0</v>
      </c>
      <c r="P32" s="244">
        <f t="shared" si="9"/>
        <v>0</v>
      </c>
      <c r="Q32" s="244">
        <f t="shared" si="9"/>
        <v>0</v>
      </c>
      <c r="R32" s="244">
        <f t="shared" si="9"/>
        <v>0</v>
      </c>
      <c r="S32" s="244">
        <f t="shared" si="9"/>
        <v>0</v>
      </c>
      <c r="T32" s="244">
        <f t="shared" si="9"/>
        <v>0</v>
      </c>
      <c r="U32" s="244">
        <f t="shared" si="9"/>
        <v>0</v>
      </c>
      <c r="V32" s="244">
        <f t="shared" si="9"/>
        <v>0</v>
      </c>
      <c r="W32" s="244">
        <f t="shared" si="9"/>
        <v>0</v>
      </c>
      <c r="X32" s="244">
        <f t="shared" si="9"/>
        <v>0</v>
      </c>
      <c r="Y32" s="244">
        <f t="shared" si="9"/>
        <v>0</v>
      </c>
      <c r="DA32" s="275"/>
    </row>
    <row r="33" spans="1:105" x14ac:dyDescent="0.25">
      <c r="A33" s="240" t="s">
        <v>124</v>
      </c>
      <c r="B33" s="245">
        <f t="shared" ref="B33:Y33" si="10">IF(B$7=0,0,B$7/B$5)</f>
        <v>0</v>
      </c>
      <c r="C33" s="245">
        <f t="shared" si="10"/>
        <v>0</v>
      </c>
      <c r="D33" s="245">
        <f t="shared" si="10"/>
        <v>0</v>
      </c>
      <c r="E33" s="245">
        <f t="shared" si="10"/>
        <v>0</v>
      </c>
      <c r="F33" s="245">
        <f t="shared" si="10"/>
        <v>0</v>
      </c>
      <c r="G33" s="245">
        <f t="shared" si="10"/>
        <v>0</v>
      </c>
      <c r="H33" s="245">
        <f t="shared" si="10"/>
        <v>0</v>
      </c>
      <c r="I33" s="245">
        <f t="shared" si="10"/>
        <v>0</v>
      </c>
      <c r="J33" s="245">
        <f t="shared" si="10"/>
        <v>0</v>
      </c>
      <c r="K33" s="245">
        <f t="shared" si="10"/>
        <v>0</v>
      </c>
      <c r="L33" s="245">
        <f t="shared" si="10"/>
        <v>0</v>
      </c>
      <c r="M33" s="245">
        <f t="shared" si="10"/>
        <v>0</v>
      </c>
      <c r="N33" s="245">
        <f t="shared" si="10"/>
        <v>0</v>
      </c>
      <c r="O33" s="245">
        <f t="shared" si="10"/>
        <v>0</v>
      </c>
      <c r="P33" s="245">
        <f t="shared" si="10"/>
        <v>0</v>
      </c>
      <c r="Q33" s="245">
        <f t="shared" si="10"/>
        <v>0</v>
      </c>
      <c r="R33" s="245">
        <f t="shared" si="10"/>
        <v>0</v>
      </c>
      <c r="S33" s="245">
        <f t="shared" si="10"/>
        <v>0</v>
      </c>
      <c r="T33" s="245">
        <f t="shared" si="10"/>
        <v>0</v>
      </c>
      <c r="U33" s="245">
        <f t="shared" si="10"/>
        <v>0</v>
      </c>
      <c r="V33" s="245">
        <f t="shared" si="10"/>
        <v>0</v>
      </c>
      <c r="W33" s="245">
        <f t="shared" si="10"/>
        <v>0</v>
      </c>
      <c r="X33" s="245">
        <f t="shared" si="10"/>
        <v>0</v>
      </c>
      <c r="Y33" s="245">
        <f t="shared" si="10"/>
        <v>0</v>
      </c>
      <c r="DA33" s="276"/>
    </row>
    <row r="34" spans="1:105" x14ac:dyDescent="0.25">
      <c r="A34" s="240" t="s">
        <v>123</v>
      </c>
      <c r="B34" s="245">
        <f t="shared" ref="B34:Y34" si="11">IF(B$8=0,0,B$8/B$5)</f>
        <v>0</v>
      </c>
      <c r="C34" s="245">
        <f t="shared" si="11"/>
        <v>0</v>
      </c>
      <c r="D34" s="245">
        <f t="shared" si="11"/>
        <v>0</v>
      </c>
      <c r="E34" s="245">
        <f t="shared" si="11"/>
        <v>0</v>
      </c>
      <c r="F34" s="245">
        <f t="shared" si="11"/>
        <v>0</v>
      </c>
      <c r="G34" s="245">
        <f t="shared" si="11"/>
        <v>0</v>
      </c>
      <c r="H34" s="245">
        <f t="shared" si="11"/>
        <v>0</v>
      </c>
      <c r="I34" s="245">
        <f t="shared" si="11"/>
        <v>0</v>
      </c>
      <c r="J34" s="245">
        <f t="shared" si="11"/>
        <v>0</v>
      </c>
      <c r="K34" s="245">
        <f t="shared" si="11"/>
        <v>0</v>
      </c>
      <c r="L34" s="245">
        <f t="shared" si="11"/>
        <v>0</v>
      </c>
      <c r="M34" s="245">
        <f t="shared" si="11"/>
        <v>0</v>
      </c>
      <c r="N34" s="245">
        <f t="shared" si="11"/>
        <v>0</v>
      </c>
      <c r="O34" s="245">
        <f t="shared" si="11"/>
        <v>0</v>
      </c>
      <c r="P34" s="245">
        <f t="shared" si="11"/>
        <v>0</v>
      </c>
      <c r="Q34" s="245">
        <f t="shared" si="11"/>
        <v>0</v>
      </c>
      <c r="R34" s="245">
        <f t="shared" si="11"/>
        <v>0</v>
      </c>
      <c r="S34" s="245">
        <f t="shared" si="11"/>
        <v>0</v>
      </c>
      <c r="T34" s="245">
        <f t="shared" si="11"/>
        <v>0</v>
      </c>
      <c r="U34" s="245">
        <f t="shared" si="11"/>
        <v>0</v>
      </c>
      <c r="V34" s="245">
        <f t="shared" si="11"/>
        <v>0</v>
      </c>
      <c r="W34" s="245">
        <f t="shared" si="11"/>
        <v>0</v>
      </c>
      <c r="X34" s="245">
        <f t="shared" si="11"/>
        <v>0</v>
      </c>
      <c r="Y34" s="245">
        <f t="shared" si="11"/>
        <v>0</v>
      </c>
      <c r="DA34" s="276"/>
    </row>
    <row r="35" spans="1:105" x14ac:dyDescent="0.25">
      <c r="A35" s="242" t="s">
        <v>122</v>
      </c>
      <c r="B35" s="246">
        <f t="shared" ref="B35:Y35" si="12">IF(B$9=0,0,B$9/B$5)</f>
        <v>0.17295928964083573</v>
      </c>
      <c r="C35" s="246">
        <f t="shared" si="12"/>
        <v>0.17084303339254817</v>
      </c>
      <c r="D35" s="246">
        <f t="shared" si="12"/>
        <v>0.16522058713175658</v>
      </c>
      <c r="E35" s="246">
        <f t="shared" si="12"/>
        <v>0.17337009836737899</v>
      </c>
      <c r="F35" s="246">
        <f t="shared" si="12"/>
        <v>0.17167607751070046</v>
      </c>
      <c r="G35" s="246">
        <f t="shared" si="12"/>
        <v>0.17222301618226935</v>
      </c>
      <c r="H35" s="246">
        <f t="shared" si="12"/>
        <v>0.16103855379718587</v>
      </c>
      <c r="I35" s="246">
        <f t="shared" si="12"/>
        <v>0.15548949091267913</v>
      </c>
      <c r="J35" s="246">
        <f t="shared" si="12"/>
        <v>0.15713351385461649</v>
      </c>
      <c r="K35" s="246">
        <f t="shared" si="12"/>
        <v>0.15502369685340878</v>
      </c>
      <c r="L35" s="246">
        <f t="shared" si="12"/>
        <v>0.16582648558398994</v>
      </c>
      <c r="M35" s="246">
        <f t="shared" si="12"/>
        <v>0.17523911247916654</v>
      </c>
      <c r="N35" s="246">
        <f t="shared" si="12"/>
        <v>0.17701661044956507</v>
      </c>
      <c r="O35" s="246">
        <f t="shared" si="12"/>
        <v>0.18280801524816476</v>
      </c>
      <c r="P35" s="246">
        <f t="shared" si="12"/>
        <v>0.18171105719717182</v>
      </c>
      <c r="Q35" s="246">
        <f t="shared" si="12"/>
        <v>0.18633137959975973</v>
      </c>
      <c r="R35" s="246">
        <f t="shared" si="12"/>
        <v>0.17964963833068584</v>
      </c>
      <c r="S35" s="246">
        <f t="shared" si="12"/>
        <v>0.18024155549713952</v>
      </c>
      <c r="T35" s="246">
        <f t="shared" si="12"/>
        <v>0.17687980021917882</v>
      </c>
      <c r="U35" s="246">
        <f t="shared" si="12"/>
        <v>0.18200821324543434</v>
      </c>
      <c r="V35" s="246">
        <f t="shared" si="12"/>
        <v>0.19268039974090151</v>
      </c>
      <c r="W35" s="246">
        <f t="shared" si="12"/>
        <v>0.18019478403433881</v>
      </c>
      <c r="X35" s="246">
        <f t="shared" si="12"/>
        <v>0.19581684162443122</v>
      </c>
      <c r="Y35" s="246">
        <f t="shared" si="12"/>
        <v>0.17479654394687449</v>
      </c>
      <c r="DA35" s="277"/>
    </row>
    <row r="36" spans="1:105" x14ac:dyDescent="0.25">
      <c r="A36" s="127" t="s">
        <v>168</v>
      </c>
      <c r="B36" s="259">
        <f t="shared" ref="B36:Y36" si="13">IF(B$16=0,0,B$16/B$5)</f>
        <v>0.30058862243853657</v>
      </c>
      <c r="C36" s="259">
        <f t="shared" si="13"/>
        <v>0.30295154977522604</v>
      </c>
      <c r="D36" s="259">
        <f t="shared" si="13"/>
        <v>0.30078335236314718</v>
      </c>
      <c r="E36" s="259">
        <f t="shared" si="13"/>
        <v>0.29414689978720315</v>
      </c>
      <c r="F36" s="259">
        <f t="shared" si="13"/>
        <v>0.29792209048427087</v>
      </c>
      <c r="G36" s="259">
        <f t="shared" si="13"/>
        <v>0.29115205047346826</v>
      </c>
      <c r="H36" s="259">
        <f t="shared" si="13"/>
        <v>0.29663124021863135</v>
      </c>
      <c r="I36" s="259">
        <f t="shared" si="13"/>
        <v>0.29595215819692283</v>
      </c>
      <c r="J36" s="259">
        <f t="shared" si="13"/>
        <v>0.29621954604604106</v>
      </c>
      <c r="K36" s="259">
        <f t="shared" si="13"/>
        <v>0.2917600038618125</v>
      </c>
      <c r="L36" s="259">
        <f t="shared" si="13"/>
        <v>0.31422745621744191</v>
      </c>
      <c r="M36" s="259">
        <f t="shared" si="13"/>
        <v>0.32240489918219528</v>
      </c>
      <c r="N36" s="259">
        <f t="shared" si="13"/>
        <v>0.32955670521253955</v>
      </c>
      <c r="O36" s="259">
        <f t="shared" si="13"/>
        <v>0.33843552108507807</v>
      </c>
      <c r="P36" s="259">
        <f t="shared" si="13"/>
        <v>0.34522885759070482</v>
      </c>
      <c r="Q36" s="259">
        <f t="shared" si="13"/>
        <v>0.33824346736899036</v>
      </c>
      <c r="R36" s="259">
        <f t="shared" si="13"/>
        <v>0.33336665736522986</v>
      </c>
      <c r="S36" s="259">
        <f t="shared" si="13"/>
        <v>0.33203111042406358</v>
      </c>
      <c r="T36" s="259">
        <f t="shared" si="13"/>
        <v>0.33530023437189038</v>
      </c>
      <c r="U36" s="259">
        <f t="shared" si="13"/>
        <v>0.329488345417212</v>
      </c>
      <c r="V36" s="259">
        <f t="shared" si="13"/>
        <v>0.33665102998131491</v>
      </c>
      <c r="W36" s="259">
        <f t="shared" si="13"/>
        <v>0.35496138390644716</v>
      </c>
      <c r="X36" s="259">
        <f t="shared" si="13"/>
        <v>0.34485319143453552</v>
      </c>
      <c r="Y36" s="259">
        <f t="shared" si="13"/>
        <v>0.34540672993470783</v>
      </c>
      <c r="DA36" s="278"/>
    </row>
    <row r="37" spans="1:105" x14ac:dyDescent="0.25">
      <c r="A37" s="127" t="s">
        <v>121</v>
      </c>
      <c r="B37" s="259">
        <f t="shared" ref="B37:Y37" si="14">IF(B$17=0,0,B$17/B$5)</f>
        <v>0.46869147909608266</v>
      </c>
      <c r="C37" s="259">
        <f t="shared" si="14"/>
        <v>0.46799075182794891</v>
      </c>
      <c r="D37" s="259">
        <f t="shared" si="14"/>
        <v>0.47619803270271172</v>
      </c>
      <c r="E37" s="259">
        <f t="shared" si="14"/>
        <v>0.47596022371187324</v>
      </c>
      <c r="F37" s="259">
        <f t="shared" si="14"/>
        <v>0.47315361951764046</v>
      </c>
      <c r="G37" s="259">
        <f t="shared" si="14"/>
        <v>0.48067764046460304</v>
      </c>
      <c r="H37" s="259">
        <f t="shared" si="14"/>
        <v>0.48533004113292866</v>
      </c>
      <c r="I37" s="259">
        <f t="shared" si="14"/>
        <v>0.49168867730889815</v>
      </c>
      <c r="J37" s="259">
        <f t="shared" si="14"/>
        <v>0.48972588571429765</v>
      </c>
      <c r="K37" s="259">
        <f t="shared" si="14"/>
        <v>0.49715218309503251</v>
      </c>
      <c r="L37" s="259">
        <f t="shared" si="14"/>
        <v>0.45956463380111362</v>
      </c>
      <c r="M37" s="259">
        <f t="shared" si="14"/>
        <v>0.44040320012694373</v>
      </c>
      <c r="N37" s="259">
        <f t="shared" si="14"/>
        <v>0.43009961699628413</v>
      </c>
      <c r="O37" s="259">
        <f t="shared" si="14"/>
        <v>0.41372325786162611</v>
      </c>
      <c r="P37" s="259">
        <f t="shared" si="14"/>
        <v>0.40672148318363632</v>
      </c>
      <c r="Q37" s="259">
        <f t="shared" si="14"/>
        <v>0.41042885194818785</v>
      </c>
      <c r="R37" s="259">
        <f t="shared" si="14"/>
        <v>0.4229245229052393</v>
      </c>
      <c r="S37" s="259">
        <f t="shared" si="14"/>
        <v>0.42392478915477821</v>
      </c>
      <c r="T37" s="259">
        <f t="shared" si="14"/>
        <v>0.42338923107435655</v>
      </c>
      <c r="U37" s="259">
        <f t="shared" si="14"/>
        <v>0.42518950990010634</v>
      </c>
      <c r="V37" s="259">
        <f t="shared" si="14"/>
        <v>0.4059782693096991</v>
      </c>
      <c r="W37" s="259">
        <f t="shared" si="14"/>
        <v>0.39663504399095717</v>
      </c>
      <c r="X37" s="259">
        <f t="shared" si="14"/>
        <v>0.39306355229515272</v>
      </c>
      <c r="Y37" s="259">
        <f t="shared" si="14"/>
        <v>0.41342394443669112</v>
      </c>
      <c r="DA37" s="278"/>
    </row>
    <row r="38" spans="1:105" x14ac:dyDescent="0.25">
      <c r="A38" s="127" t="s">
        <v>167</v>
      </c>
      <c r="B38" s="259">
        <f t="shared" ref="B38:Y38" si="15">IF(B$25=0,0,B$25/B$5)</f>
        <v>5.7760608824544903E-2</v>
      </c>
      <c r="C38" s="259">
        <f t="shared" si="15"/>
        <v>5.8214665004276897E-2</v>
      </c>
      <c r="D38" s="259">
        <f t="shared" si="15"/>
        <v>5.7798027802384508E-2</v>
      </c>
      <c r="E38" s="259">
        <f t="shared" si="15"/>
        <v>5.6522778133544727E-2</v>
      </c>
      <c r="F38" s="259">
        <f t="shared" si="15"/>
        <v>5.7248212487388178E-2</v>
      </c>
      <c r="G38" s="259">
        <f t="shared" si="15"/>
        <v>5.5947292879659404E-2</v>
      </c>
      <c r="H38" s="259">
        <f t="shared" si="15"/>
        <v>5.7000164851254101E-2</v>
      </c>
      <c r="I38" s="259">
        <f t="shared" si="15"/>
        <v>5.6869673581499899E-2</v>
      </c>
      <c r="J38" s="259">
        <f t="shared" si="15"/>
        <v>5.6921054385044821E-2</v>
      </c>
      <c r="K38" s="259">
        <f t="shared" si="15"/>
        <v>5.6064116189746223E-2</v>
      </c>
      <c r="L38" s="259">
        <f t="shared" si="15"/>
        <v>6.0381424397454454E-2</v>
      </c>
      <c r="M38" s="259">
        <f t="shared" si="15"/>
        <v>6.1952788211694393E-2</v>
      </c>
      <c r="N38" s="259">
        <f t="shared" si="15"/>
        <v>6.3327067341611226E-2</v>
      </c>
      <c r="O38" s="259">
        <f t="shared" si="15"/>
        <v>6.5033205805131125E-2</v>
      </c>
      <c r="P38" s="259">
        <f t="shared" si="15"/>
        <v>6.6338602028487015E-2</v>
      </c>
      <c r="Q38" s="259">
        <f t="shared" si="15"/>
        <v>6.4996301083062036E-2</v>
      </c>
      <c r="R38" s="259">
        <f t="shared" si="15"/>
        <v>6.4059181398844964E-2</v>
      </c>
      <c r="S38" s="259">
        <f t="shared" si="15"/>
        <v>6.3802544924018642E-2</v>
      </c>
      <c r="T38" s="259">
        <f t="shared" si="15"/>
        <v>6.4430734334574219E-2</v>
      </c>
      <c r="U38" s="259">
        <f t="shared" si="15"/>
        <v>6.3313931437247298E-2</v>
      </c>
      <c r="V38" s="259">
        <f t="shared" si="15"/>
        <v>6.4690300968084577E-2</v>
      </c>
      <c r="W38" s="259">
        <f t="shared" si="15"/>
        <v>6.8208788068256823E-2</v>
      </c>
      <c r="X38" s="259">
        <f t="shared" si="15"/>
        <v>6.6266414645880567E-2</v>
      </c>
      <c r="Y38" s="259">
        <f t="shared" si="15"/>
        <v>6.6372781681726431E-2</v>
      </c>
      <c r="DA38" s="278"/>
    </row>
    <row r="39" spans="1:105" x14ac:dyDescent="0.25">
      <c r="A39" s="127" t="s">
        <v>170</v>
      </c>
      <c r="B39" s="259">
        <f t="shared" ref="B39:Y39" si="16">IF(B$26=0,0,B$26/B$5)</f>
        <v>0</v>
      </c>
      <c r="C39" s="259">
        <f t="shared" si="16"/>
        <v>0</v>
      </c>
      <c r="D39" s="259">
        <f t="shared" si="16"/>
        <v>0</v>
      </c>
      <c r="E39" s="259">
        <f t="shared" si="16"/>
        <v>0</v>
      </c>
      <c r="F39" s="259">
        <f t="shared" si="16"/>
        <v>0</v>
      </c>
      <c r="G39" s="259">
        <f t="shared" si="16"/>
        <v>0</v>
      </c>
      <c r="H39" s="259">
        <f t="shared" si="16"/>
        <v>0</v>
      </c>
      <c r="I39" s="259">
        <f t="shared" si="16"/>
        <v>0</v>
      </c>
      <c r="J39" s="259">
        <f t="shared" si="16"/>
        <v>0</v>
      </c>
      <c r="K39" s="259">
        <f t="shared" si="16"/>
        <v>0</v>
      </c>
      <c r="L39" s="259">
        <f t="shared" si="16"/>
        <v>0</v>
      </c>
      <c r="M39" s="259">
        <f t="shared" si="16"/>
        <v>0</v>
      </c>
      <c r="N39" s="259">
        <f t="shared" si="16"/>
        <v>0</v>
      </c>
      <c r="O39" s="259">
        <f t="shared" si="16"/>
        <v>0</v>
      </c>
      <c r="P39" s="259">
        <f t="shared" si="16"/>
        <v>0</v>
      </c>
      <c r="Q39" s="259">
        <f t="shared" si="16"/>
        <v>0</v>
      </c>
      <c r="R39" s="259">
        <f t="shared" si="16"/>
        <v>0</v>
      </c>
      <c r="S39" s="259">
        <f t="shared" si="16"/>
        <v>0</v>
      </c>
      <c r="T39" s="259">
        <f t="shared" si="16"/>
        <v>0</v>
      </c>
      <c r="U39" s="259">
        <f t="shared" si="16"/>
        <v>0</v>
      </c>
      <c r="V39" s="259">
        <f t="shared" si="16"/>
        <v>0</v>
      </c>
      <c r="W39" s="259">
        <f t="shared" si="16"/>
        <v>0</v>
      </c>
      <c r="X39" s="259">
        <f t="shared" si="16"/>
        <v>0</v>
      </c>
      <c r="Y39" s="259">
        <f t="shared" si="16"/>
        <v>0</v>
      </c>
      <c r="DA39" s="278"/>
    </row>
    <row r="40" spans="1:105" x14ac:dyDescent="0.25">
      <c r="A40" s="260" t="s">
        <v>33</v>
      </c>
      <c r="B40" s="261">
        <f t="shared" ref="B40:Y40" si="17">IF(B$27=0,0,B$27/B$5)</f>
        <v>0</v>
      </c>
      <c r="C40" s="261">
        <f t="shared" si="17"/>
        <v>0</v>
      </c>
      <c r="D40" s="261">
        <f t="shared" si="17"/>
        <v>0</v>
      </c>
      <c r="E40" s="261">
        <f t="shared" si="17"/>
        <v>0</v>
      </c>
      <c r="F40" s="261">
        <f t="shared" si="17"/>
        <v>0</v>
      </c>
      <c r="G40" s="261">
        <f t="shared" si="17"/>
        <v>0</v>
      </c>
      <c r="H40" s="261">
        <f t="shared" si="17"/>
        <v>0</v>
      </c>
      <c r="I40" s="261">
        <f t="shared" si="17"/>
        <v>0</v>
      </c>
      <c r="J40" s="261">
        <f t="shared" si="17"/>
        <v>0</v>
      </c>
      <c r="K40" s="261">
        <f t="shared" si="17"/>
        <v>0</v>
      </c>
      <c r="L40" s="261">
        <f t="shared" si="17"/>
        <v>0</v>
      </c>
      <c r="M40" s="261">
        <f t="shared" si="17"/>
        <v>0</v>
      </c>
      <c r="N40" s="261">
        <f t="shared" si="17"/>
        <v>0</v>
      </c>
      <c r="O40" s="261">
        <f t="shared" si="17"/>
        <v>0</v>
      </c>
      <c r="P40" s="261">
        <f t="shared" si="17"/>
        <v>0</v>
      </c>
      <c r="Q40" s="261">
        <f t="shared" si="17"/>
        <v>0</v>
      </c>
      <c r="R40" s="261">
        <f t="shared" si="17"/>
        <v>0</v>
      </c>
      <c r="S40" s="261">
        <f t="shared" si="17"/>
        <v>0</v>
      </c>
      <c r="T40" s="261">
        <f t="shared" si="17"/>
        <v>0</v>
      </c>
      <c r="U40" s="261">
        <f t="shared" si="17"/>
        <v>0</v>
      </c>
      <c r="V40" s="261">
        <f t="shared" si="17"/>
        <v>0</v>
      </c>
      <c r="W40" s="261">
        <f t="shared" si="17"/>
        <v>0</v>
      </c>
      <c r="X40" s="261">
        <f t="shared" si="17"/>
        <v>0</v>
      </c>
      <c r="Y40" s="261">
        <f t="shared" si="17"/>
        <v>0</v>
      </c>
      <c r="DA40" s="279"/>
    </row>
    <row r="42" spans="1:105" ht="12.75" x14ac:dyDescent="0.25">
      <c r="A42" s="232" t="s">
        <v>134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7">
        <f>IF(B$5=0,0,B$5/AGR_fec!B$5)</f>
        <v>2.2780641043669614</v>
      </c>
      <c r="C44" s="237">
        <f>IF(C$5=0,0,C$5/AGR_fec!C$5)</f>
        <v>2.2272200926058559</v>
      </c>
      <c r="D44" s="237">
        <f>IF(D$5=0,0,D$5/AGR_fec!D$5)</f>
        <v>2.2028152560981433</v>
      </c>
      <c r="E44" s="237">
        <f>IF(E$5=0,0,E$5/AGR_fec!E$5)</f>
        <v>2.2702930670522687</v>
      </c>
      <c r="F44" s="237">
        <f>IF(F$5=0,0,F$5/AGR_fec!F$5)</f>
        <v>2.23610659494177</v>
      </c>
      <c r="G44" s="237">
        <f>IF(G$5=0,0,G$5/AGR_fec!G$5)</f>
        <v>2.2636431980222635</v>
      </c>
      <c r="H44" s="237">
        <f>IF(H$5=0,0,H$5/AGR_fec!H$5)</f>
        <v>2.1627868264784369</v>
      </c>
      <c r="I44" s="237">
        <f>IF(I$5=0,0,I$5/AGR_fec!I$5)</f>
        <v>2.1525385918682085</v>
      </c>
      <c r="J44" s="237">
        <f>IF(J$5=0,0,J$5/AGR_fec!J$5)</f>
        <v>2.1611962340559203</v>
      </c>
      <c r="K44" s="237">
        <f>IF(K$5=0,0,K$5/AGR_fec!K$5)</f>
        <v>2.1020274240287744</v>
      </c>
      <c r="L44" s="237">
        <f>IF(L$5=0,0,L$5/AGR_fec!L$5)</f>
        <v>2.0160805530240182</v>
      </c>
      <c r="M44" s="237">
        <f>IF(M$5=0,0,M$5/AGR_fec!M$5)</f>
        <v>2.0606747794373179</v>
      </c>
      <c r="N44" s="237">
        <f>IF(N$5=0,0,N$5/AGR_fec!N$5)</f>
        <v>2.0218350305040733</v>
      </c>
      <c r="O44" s="237">
        <f>IF(O$5=0,0,O$5/AGR_fec!O$5)</f>
        <v>1.9638194245571603</v>
      </c>
      <c r="P44" s="237">
        <f>IF(P$5=0,0,P$5/AGR_fec!P$5)</f>
        <v>1.9424291066046788</v>
      </c>
      <c r="Q44" s="237">
        <f>IF(Q$5=0,0,Q$5/AGR_fec!Q$5)</f>
        <v>2.051504180253735</v>
      </c>
      <c r="R44" s="237">
        <f>IF(R$5=0,0,R$5/AGR_fec!R$5)</f>
        <v>2.015095248880665</v>
      </c>
      <c r="S44" s="237">
        <f>IF(S$5=0,0,S$5/AGR_fec!S$5)</f>
        <v>2.0373086726085194</v>
      </c>
      <c r="T44" s="237">
        <f>IF(T$5=0,0,T$5/AGR_fec!T$5)</f>
        <v>1.9965488112428018</v>
      </c>
      <c r="U44" s="237">
        <f>IF(U$5=0,0,U$5/AGR_fec!U$5)</f>
        <v>2.0745317708017312</v>
      </c>
      <c r="V44" s="237">
        <f>IF(V$5=0,0,V$5/AGR_fec!V$5)</f>
        <v>2.1087833401356439</v>
      </c>
      <c r="W44" s="237">
        <f>IF(W$5=0,0,W$5/AGR_fec!W$5)</f>
        <v>1.8696049794751906</v>
      </c>
      <c r="X44" s="237">
        <f>IF(X$5=0,0,X$5/AGR_fec!X$5)</f>
        <v>1.9837191029917927</v>
      </c>
      <c r="Y44" s="237">
        <f>IF(Y$5=0,0,Y$5/AGR_fec!Y$5)</f>
        <v>1.8885220429642096</v>
      </c>
      <c r="DA44" s="286"/>
    </row>
    <row r="45" spans="1:105" x14ac:dyDescent="0.25">
      <c r="A45" s="238" t="s">
        <v>125</v>
      </c>
      <c r="B45" s="250">
        <f>IF(B$6=0,0,B$6/AGR_fec!B$6)</f>
        <v>0</v>
      </c>
      <c r="C45" s="250">
        <f>IF(C$6=0,0,C$6/AGR_fec!C$6)</f>
        <v>0</v>
      </c>
      <c r="D45" s="250">
        <f>IF(D$6=0,0,D$6/AGR_fec!D$6)</f>
        <v>0</v>
      </c>
      <c r="E45" s="250">
        <f>IF(E$6=0,0,E$6/AGR_fec!E$6)</f>
        <v>0</v>
      </c>
      <c r="F45" s="250">
        <f>IF(F$6=0,0,F$6/AGR_fec!F$6)</f>
        <v>0</v>
      </c>
      <c r="G45" s="250">
        <f>IF(G$6=0,0,G$6/AGR_fec!G$6)</f>
        <v>0</v>
      </c>
      <c r="H45" s="250">
        <f>IF(H$6=0,0,H$6/AGR_fec!H$6)</f>
        <v>0</v>
      </c>
      <c r="I45" s="250">
        <f>IF(I$6=0,0,I$6/AGR_fec!I$6)</f>
        <v>0</v>
      </c>
      <c r="J45" s="250">
        <f>IF(J$6=0,0,J$6/AGR_fec!J$6)</f>
        <v>0</v>
      </c>
      <c r="K45" s="250">
        <f>IF(K$6=0,0,K$6/AGR_fec!K$6)</f>
        <v>0</v>
      </c>
      <c r="L45" s="250">
        <f>IF(L$6=0,0,L$6/AGR_fec!L$6)</f>
        <v>0</v>
      </c>
      <c r="M45" s="250">
        <f>IF(M$6=0,0,M$6/AGR_fec!M$6)</f>
        <v>0</v>
      </c>
      <c r="N45" s="250">
        <f>IF(N$6=0,0,N$6/AGR_fec!N$6)</f>
        <v>0</v>
      </c>
      <c r="O45" s="250">
        <f>IF(O$6=0,0,O$6/AGR_fec!O$6)</f>
        <v>0</v>
      </c>
      <c r="P45" s="250">
        <f>IF(P$6=0,0,P$6/AGR_fec!P$6)</f>
        <v>0</v>
      </c>
      <c r="Q45" s="250">
        <f>IF(Q$6=0,0,Q$6/AGR_fec!Q$6)</f>
        <v>0</v>
      </c>
      <c r="R45" s="250">
        <f>IF(R$6=0,0,R$6/AGR_fec!R$6)</f>
        <v>0</v>
      </c>
      <c r="S45" s="250">
        <f>IF(S$6=0,0,S$6/AGR_fec!S$6)</f>
        <v>0</v>
      </c>
      <c r="T45" s="250">
        <f>IF(T$6=0,0,T$6/AGR_fec!T$6)</f>
        <v>0</v>
      </c>
      <c r="U45" s="250">
        <f>IF(U$6=0,0,U$6/AGR_fec!U$6)</f>
        <v>0</v>
      </c>
      <c r="V45" s="250">
        <f>IF(V$6=0,0,V$6/AGR_fec!V$6)</f>
        <v>0</v>
      </c>
      <c r="W45" s="250">
        <f>IF(W$6=0,0,W$6/AGR_fec!W$6)</f>
        <v>0</v>
      </c>
      <c r="X45" s="250">
        <f>IF(X$6=0,0,X$6/AGR_fec!X$6)</f>
        <v>0</v>
      </c>
      <c r="Y45" s="250">
        <f>IF(Y$6=0,0,Y$6/AGR_fec!Y$6)</f>
        <v>0</v>
      </c>
      <c r="DA45" s="287"/>
    </row>
    <row r="46" spans="1:105" x14ac:dyDescent="0.25">
      <c r="A46" s="240" t="s">
        <v>124</v>
      </c>
      <c r="B46" s="251">
        <f>IF(B$7=0,0,B$7/AGR_fec!B$7)</f>
        <v>0</v>
      </c>
      <c r="C46" s="251">
        <f>IF(C$7=0,0,C$7/AGR_fec!C$7)</f>
        <v>0</v>
      </c>
      <c r="D46" s="251">
        <f>IF(D$7=0,0,D$7/AGR_fec!D$7)</f>
        <v>0</v>
      </c>
      <c r="E46" s="251">
        <f>IF(E$7=0,0,E$7/AGR_fec!E$7)</f>
        <v>0</v>
      </c>
      <c r="F46" s="251">
        <f>IF(F$7=0,0,F$7/AGR_fec!F$7)</f>
        <v>0</v>
      </c>
      <c r="G46" s="251">
        <f>IF(G$7=0,0,G$7/AGR_fec!G$7)</f>
        <v>0</v>
      </c>
      <c r="H46" s="251">
        <f>IF(H$7=0,0,H$7/AGR_fec!H$7)</f>
        <v>0</v>
      </c>
      <c r="I46" s="251">
        <f>IF(I$7=0,0,I$7/AGR_fec!I$7)</f>
        <v>0</v>
      </c>
      <c r="J46" s="251">
        <f>IF(J$7=0,0,J$7/AGR_fec!J$7)</f>
        <v>0</v>
      </c>
      <c r="K46" s="251">
        <f>IF(K$7=0,0,K$7/AGR_fec!K$7)</f>
        <v>0</v>
      </c>
      <c r="L46" s="251">
        <f>IF(L$7=0,0,L$7/AGR_fec!L$7)</f>
        <v>0</v>
      </c>
      <c r="M46" s="251">
        <f>IF(M$7=0,0,M$7/AGR_fec!M$7)</f>
        <v>0</v>
      </c>
      <c r="N46" s="251">
        <f>IF(N$7=0,0,N$7/AGR_fec!N$7)</f>
        <v>0</v>
      </c>
      <c r="O46" s="251">
        <f>IF(O$7=0,0,O$7/AGR_fec!O$7)</f>
        <v>0</v>
      </c>
      <c r="P46" s="251">
        <f>IF(P$7=0,0,P$7/AGR_fec!P$7)</f>
        <v>0</v>
      </c>
      <c r="Q46" s="251">
        <f>IF(Q$7=0,0,Q$7/AGR_fec!Q$7)</f>
        <v>0</v>
      </c>
      <c r="R46" s="251">
        <f>IF(R$7=0,0,R$7/AGR_fec!R$7)</f>
        <v>0</v>
      </c>
      <c r="S46" s="251">
        <f>IF(S$7=0,0,S$7/AGR_fec!S$7)</f>
        <v>0</v>
      </c>
      <c r="T46" s="251">
        <f>IF(T$7=0,0,T$7/AGR_fec!T$7)</f>
        <v>0</v>
      </c>
      <c r="U46" s="251">
        <f>IF(U$7=0,0,U$7/AGR_fec!U$7)</f>
        <v>0</v>
      </c>
      <c r="V46" s="251">
        <f>IF(V$7=0,0,V$7/AGR_fec!V$7)</f>
        <v>0</v>
      </c>
      <c r="W46" s="251">
        <f>IF(W$7=0,0,W$7/AGR_fec!W$7)</f>
        <v>0</v>
      </c>
      <c r="X46" s="251">
        <f>IF(X$7=0,0,X$7/AGR_fec!X$7)</f>
        <v>0</v>
      </c>
      <c r="Y46" s="251">
        <f>IF(Y$7=0,0,Y$7/AGR_fec!Y$7)</f>
        <v>0</v>
      </c>
      <c r="DA46" s="288"/>
    </row>
    <row r="47" spans="1:105" x14ac:dyDescent="0.25">
      <c r="A47" s="240" t="s">
        <v>123</v>
      </c>
      <c r="B47" s="251">
        <f>IF(B$8=0,0,B$8/AGR_fec!B$8)</f>
        <v>0</v>
      </c>
      <c r="C47" s="251">
        <f>IF(C$8=0,0,C$8/AGR_fec!C$8)</f>
        <v>0</v>
      </c>
      <c r="D47" s="251">
        <f>IF(D$8=0,0,D$8/AGR_fec!D$8)</f>
        <v>0</v>
      </c>
      <c r="E47" s="251">
        <f>IF(E$8=0,0,E$8/AGR_fec!E$8)</f>
        <v>0</v>
      </c>
      <c r="F47" s="251">
        <f>IF(F$8=0,0,F$8/AGR_fec!F$8)</f>
        <v>0</v>
      </c>
      <c r="G47" s="251">
        <f>IF(G$8=0,0,G$8/AGR_fec!G$8)</f>
        <v>0</v>
      </c>
      <c r="H47" s="251">
        <f>IF(H$8=0,0,H$8/AGR_fec!H$8)</f>
        <v>0</v>
      </c>
      <c r="I47" s="251">
        <f>IF(I$8=0,0,I$8/AGR_fec!I$8)</f>
        <v>0</v>
      </c>
      <c r="J47" s="251">
        <f>IF(J$8=0,0,J$8/AGR_fec!J$8)</f>
        <v>0</v>
      </c>
      <c r="K47" s="251">
        <f>IF(K$8=0,0,K$8/AGR_fec!K$8)</f>
        <v>0</v>
      </c>
      <c r="L47" s="251">
        <f>IF(L$8=0,0,L$8/AGR_fec!L$8)</f>
        <v>0</v>
      </c>
      <c r="M47" s="251">
        <f>IF(M$8=0,0,M$8/AGR_fec!M$8)</f>
        <v>0</v>
      </c>
      <c r="N47" s="251">
        <f>IF(N$8=0,0,N$8/AGR_fec!N$8)</f>
        <v>0</v>
      </c>
      <c r="O47" s="251">
        <f>IF(O$8=0,0,O$8/AGR_fec!O$8)</f>
        <v>0</v>
      </c>
      <c r="P47" s="251">
        <f>IF(P$8=0,0,P$8/AGR_fec!P$8)</f>
        <v>0</v>
      </c>
      <c r="Q47" s="251">
        <f>IF(Q$8=0,0,Q$8/AGR_fec!Q$8)</f>
        <v>0</v>
      </c>
      <c r="R47" s="251">
        <f>IF(R$8=0,0,R$8/AGR_fec!R$8)</f>
        <v>0</v>
      </c>
      <c r="S47" s="251">
        <f>IF(S$8=0,0,S$8/AGR_fec!S$8)</f>
        <v>0</v>
      </c>
      <c r="T47" s="251">
        <f>IF(T$8=0,0,T$8/AGR_fec!T$8)</f>
        <v>0</v>
      </c>
      <c r="U47" s="251">
        <f>IF(U$8=0,0,U$8/AGR_fec!U$8)</f>
        <v>0</v>
      </c>
      <c r="V47" s="251">
        <f>IF(V$8=0,0,V$8/AGR_fec!V$8)</f>
        <v>0</v>
      </c>
      <c r="W47" s="251">
        <f>IF(W$8=0,0,W$8/AGR_fec!W$8)</f>
        <v>0</v>
      </c>
      <c r="X47" s="251">
        <f>IF(X$8=0,0,X$8/AGR_fec!X$8)</f>
        <v>0</v>
      </c>
      <c r="Y47" s="251">
        <f>IF(Y$8=0,0,Y$8/AGR_fec!Y$8)</f>
        <v>0</v>
      </c>
      <c r="DA47" s="288"/>
    </row>
    <row r="48" spans="1:105" x14ac:dyDescent="0.25">
      <c r="A48" s="242" t="s">
        <v>122</v>
      </c>
      <c r="B48" s="252">
        <f>IF(B$9=0,0,B$9/AGR_fec!B$9)</f>
        <v>2.3203935189148077</v>
      </c>
      <c r="C48" s="252">
        <f>IF(C$9=0,0,C$9/AGR_fec!C$9)</f>
        <v>2.2586144564441391</v>
      </c>
      <c r="D48" s="252">
        <f>IF(D$9=0,0,D$9/AGR_fec!D$9)</f>
        <v>2.1804523661665209</v>
      </c>
      <c r="E48" s="252">
        <f>IF(E$9=0,0,E$9/AGR_fec!E$9)</f>
        <v>2.3988362363144238</v>
      </c>
      <c r="F48" s="252">
        <f>IF(F$9=0,0,F$9/AGR_fec!F$9)</f>
        <v>2.3217367280311776</v>
      </c>
      <c r="G48" s="252">
        <f>IF(G$9=0,0,G$9/AGR_fec!G$9)</f>
        <v>2.4053330169724854</v>
      </c>
      <c r="H48" s="252">
        <f>IF(H$9=0,0,H$9/AGR_fec!H$9)</f>
        <v>2.1493017137390966</v>
      </c>
      <c r="I48" s="252">
        <f>IF(I$9=0,0,I$9/AGR_fec!I$9)</f>
        <v>2.0591914170268835</v>
      </c>
      <c r="J48" s="252">
        <f>IF(J$9=0,0,J$9/AGR_fec!J$9)</f>
        <v>2.0764068946734975</v>
      </c>
      <c r="K48" s="252">
        <f>IF(K$9=0,0,K$9/AGR_fec!K$9)</f>
        <v>2.0227798625992826</v>
      </c>
      <c r="L48" s="252">
        <f>IF(L$9=0,0,L$9/AGR_fec!L$9)</f>
        <v>2.0020895006911097</v>
      </c>
      <c r="M48" s="252">
        <f>IF(M$9=0,0,M$9/AGR_fec!M$9)</f>
        <v>2.0947992001479747</v>
      </c>
      <c r="N48" s="252">
        <f>IF(N$9=0,0,N$9/AGR_fec!N$9)</f>
        <v>2.1080184298737668</v>
      </c>
      <c r="O48" s="252">
        <f>IF(O$9=0,0,O$9/AGR_fec!O$9)</f>
        <v>2.1541519091102397</v>
      </c>
      <c r="P48" s="252">
        <f>IF(P$9=0,0,P$9/AGR_fec!P$9)</f>
        <v>2.0735591493868992</v>
      </c>
      <c r="Q48" s="252">
        <f>IF(Q$9=0,0,Q$9/AGR_fec!Q$9)</f>
        <v>2.1999575450429276</v>
      </c>
      <c r="R48" s="252">
        <f>IF(R$9=0,0,R$9/AGR_fec!R$9)</f>
        <v>2.1382907538531559</v>
      </c>
      <c r="S48" s="252">
        <f>IF(S$9=0,0,S$9/AGR_fec!S$9)</f>
        <v>2.162882835887741</v>
      </c>
      <c r="T48" s="252">
        <f>IF(T$9=0,0,T$9/AGR_fec!T$9)</f>
        <v>2.0781483168434542</v>
      </c>
      <c r="U48" s="252">
        <f>IF(U$9=0,0,U$9/AGR_fec!U$9)</f>
        <v>2.2099218204695554</v>
      </c>
      <c r="V48" s="252">
        <f>IF(V$9=0,0,V$9/AGR_fec!V$9)</f>
        <v>2.3107624221665648</v>
      </c>
      <c r="W48" s="252">
        <f>IF(W$9=0,0,W$9/AGR_fec!W$9)</f>
        <v>1.8885823744493309</v>
      </c>
      <c r="X48" s="252">
        <f>IF(X$9=0,0,X$9/AGR_fec!X$9)</f>
        <v>2.1886468835528419</v>
      </c>
      <c r="Y48" s="252">
        <f>IF(Y$9=0,0,Y$9/AGR_fec!Y$9)</f>
        <v>1.8571164104655642</v>
      </c>
      <c r="DA48" s="289"/>
    </row>
    <row r="49" spans="1:105" x14ac:dyDescent="0.25">
      <c r="A49" s="127" t="s">
        <v>168</v>
      </c>
      <c r="B49" s="264">
        <f>IF(B$16=0,0,B$16/AGR_fec!B$16)</f>
        <v>3.1024188000000001</v>
      </c>
      <c r="C49" s="264">
        <f>IF(C$16=0,0,C$16/AGR_fec!C$16)</f>
        <v>3.1024187999999997</v>
      </c>
      <c r="D49" s="264">
        <f>IF(D$16=0,0,D$16/AGR_fec!D$16)</f>
        <v>3.1024188000000006</v>
      </c>
      <c r="E49" s="264">
        <f>IF(E$16=0,0,E$16/AGR_fec!E$16)</f>
        <v>3.1024188000000001</v>
      </c>
      <c r="F49" s="264">
        <f>IF(F$16=0,0,F$16/AGR_fec!F$16)</f>
        <v>3.1024188000000006</v>
      </c>
      <c r="G49" s="264">
        <f>IF(G$16=0,0,G$16/AGR_fec!G$16)</f>
        <v>3.1024187999999997</v>
      </c>
      <c r="H49" s="264">
        <f>IF(H$16=0,0,H$16/AGR_fec!H$16)</f>
        <v>3.1024188000000006</v>
      </c>
      <c r="I49" s="264">
        <f>IF(I$16=0,0,I$16/AGR_fec!I$16)</f>
        <v>3.1024188000000006</v>
      </c>
      <c r="J49" s="264">
        <f>IF(J$16=0,0,J$16/AGR_fec!J$16)</f>
        <v>3.0775891639093031</v>
      </c>
      <c r="K49" s="264">
        <f>IF(K$16=0,0,K$16/AGR_fec!K$16)</f>
        <v>2.9976510706875357</v>
      </c>
      <c r="L49" s="264">
        <f>IF(L$16=0,0,L$16/AGR_fec!L$16)</f>
        <v>2.9914936815173592</v>
      </c>
      <c r="M49" s="264">
        <f>IF(M$16=0,0,M$16/AGR_fec!M$16)</f>
        <v>3.0116498111340073</v>
      </c>
      <c r="N49" s="264">
        <f>IF(N$16=0,0,N$16/AGR_fec!N$16)</f>
        <v>3.0644840766914361</v>
      </c>
      <c r="O49" s="264">
        <f>IF(O$16=0,0,O$16/AGR_fec!O$16)</f>
        <v>3.0973035562480149</v>
      </c>
      <c r="P49" s="264">
        <f>IF(P$16=0,0,P$16/AGR_fec!P$16)</f>
        <v>3.0971364617014316</v>
      </c>
      <c r="Q49" s="264">
        <f>IF(Q$16=0,0,Q$16/AGR_fec!Q$16)</f>
        <v>3.0975568179691275</v>
      </c>
      <c r="R49" s="264">
        <f>IF(R$16=0,0,R$16/AGR_fec!R$16)</f>
        <v>3.0960093226449663</v>
      </c>
      <c r="S49" s="264">
        <f>IF(S$16=0,0,S$16/AGR_fec!S$16)</f>
        <v>3.0974486359589495</v>
      </c>
      <c r="T49" s="264">
        <f>IF(T$16=0,0,T$16/AGR_fec!T$16)</f>
        <v>3.0970982909530069</v>
      </c>
      <c r="U49" s="264">
        <f>IF(U$16=0,0,U$16/AGR_fec!U$16)</f>
        <v>3.0975925934392667</v>
      </c>
      <c r="V49" s="264">
        <f>IF(V$16=0,0,V$16/AGR_fec!V$16)</f>
        <v>3.097716300635581</v>
      </c>
      <c r="W49" s="264">
        <f>IF(W$16=0,0,W$16/AGR_fec!W$16)</f>
        <v>2.9983565490579318</v>
      </c>
      <c r="X49" s="264">
        <f>IF(X$16=0,0,X$16/AGR_fec!X$16)</f>
        <v>2.978087649186056</v>
      </c>
      <c r="Y49" s="264">
        <f>IF(Y$16=0,0,Y$16/AGR_fec!Y$16)</f>
        <v>2.9672867363279485</v>
      </c>
      <c r="DA49" s="290"/>
    </row>
    <row r="50" spans="1:105" x14ac:dyDescent="0.25">
      <c r="A50" s="127" t="s">
        <v>121</v>
      </c>
      <c r="B50" s="264">
        <f>IF(B$17=0,0,B$17/AGR_fec!B$17)</f>
        <v>2.3684592860865807</v>
      </c>
      <c r="C50" s="264">
        <f>IF(C$17=0,0,C$17/AGR_fec!C$17)</f>
        <v>2.2912032810923932</v>
      </c>
      <c r="D50" s="264">
        <f>IF(D$17=0,0,D$17/AGR_fec!D$17)</f>
        <v>2.2865267184907458</v>
      </c>
      <c r="E50" s="264">
        <f>IF(E$17=0,0,E$17/AGR_fec!E$17)</f>
        <v>2.2743084787432286</v>
      </c>
      <c r="F50" s="264">
        <f>IF(F$17=0,0,F$17/AGR_fec!F$17)</f>
        <v>2.2543339613120206</v>
      </c>
      <c r="G50" s="264">
        <f>IF(G$17=0,0,G$17/AGR_fec!G$17)</f>
        <v>2.2450781697717841</v>
      </c>
      <c r="H50" s="264">
        <f>IF(H$17=0,0,H$17/AGR_fec!H$17)</f>
        <v>2.2011033094751298</v>
      </c>
      <c r="I50" s="264">
        <f>IF(I$17=0,0,I$17/AGR_fec!I$17)</f>
        <v>2.2366151946332522</v>
      </c>
      <c r="J50" s="264">
        <f>IF(J$17=0,0,J$17/AGR_fec!J$17)</f>
        <v>2.2561384992981099</v>
      </c>
      <c r="K50" s="264">
        <f>IF(K$17=0,0,K$17/AGR_fec!K$17)</f>
        <v>2.1803037906047988</v>
      </c>
      <c r="L50" s="264">
        <f>IF(L$17=0,0,L$17/AGR_fec!L$17)</f>
        <v>2.0157353659860786</v>
      </c>
      <c r="M50" s="264">
        <f>IF(M$17=0,0,M$17/AGR_fec!M$17)</f>
        <v>2.0453465012661618</v>
      </c>
      <c r="N50" s="264">
        <f>IF(N$17=0,0,N$17/AGR_fec!N$17)</f>
        <v>1.933456582888309</v>
      </c>
      <c r="O50" s="264">
        <f>IF(O$17=0,0,O$17/AGR_fec!O$17)</f>
        <v>1.7680928057568497</v>
      </c>
      <c r="P50" s="264">
        <f>IF(P$17=0,0,P$17/AGR_fec!P$17)</f>
        <v>1.7633468395318888</v>
      </c>
      <c r="Q50" s="264">
        <f>IF(Q$17=0,0,Q$17/AGR_fec!Q$17)</f>
        <v>1.9283362609779193</v>
      </c>
      <c r="R50" s="264">
        <f>IF(R$17=0,0,R$17/AGR_fec!R$17)</f>
        <v>1.8866604374635516</v>
      </c>
      <c r="S50" s="264">
        <f>IF(S$17=0,0,S$17/AGR_fec!S$17)</f>
        <v>1.915891633310113</v>
      </c>
      <c r="T50" s="264">
        <f>IF(T$17=0,0,T$17/AGR_fec!T$17)</f>
        <v>1.8794978073744977</v>
      </c>
      <c r="U50" s="264">
        <f>IF(U$17=0,0,U$17/AGR_fec!U$17)</f>
        <v>1.9620869951591025</v>
      </c>
      <c r="V50" s="264">
        <f>IF(V$17=0,0,V$17/AGR_fec!V$17)</f>
        <v>1.968637807640452</v>
      </c>
      <c r="W50" s="264">
        <f>IF(W$17=0,0,W$17/AGR_fec!W$17)</f>
        <v>1.7424203827372375</v>
      </c>
      <c r="X50" s="264">
        <f>IF(X$17=0,0,X$17/AGR_fec!X$17)</f>
        <v>1.7925154630105262</v>
      </c>
      <c r="Y50" s="264">
        <f>IF(Y$17=0,0,Y$17/AGR_fec!Y$17)</f>
        <v>1.7931519137182437</v>
      </c>
      <c r="DA50" s="290"/>
    </row>
    <row r="51" spans="1:105" x14ac:dyDescent="0.25">
      <c r="A51" s="127" t="s">
        <v>167</v>
      </c>
      <c r="B51" s="264">
        <f>IF(B$25=0,0,B$25/AGR_fec!B$25)</f>
        <v>3.102418800000001</v>
      </c>
      <c r="C51" s="264">
        <f>IF(C$25=0,0,C$25/AGR_fec!C$25)</f>
        <v>3.1024187999999997</v>
      </c>
      <c r="D51" s="264">
        <f>IF(D$25=0,0,D$25/AGR_fec!D$25)</f>
        <v>3.1024187999999984</v>
      </c>
      <c r="E51" s="264">
        <f>IF(E$25=0,0,E$25/AGR_fec!E$25)</f>
        <v>3.1024187999999988</v>
      </c>
      <c r="F51" s="264">
        <f>IF(F$25=0,0,F$25/AGR_fec!F$25)</f>
        <v>3.1024187999999997</v>
      </c>
      <c r="G51" s="264">
        <f>IF(G$25=0,0,G$25/AGR_fec!G$25)</f>
        <v>3.1024188000000006</v>
      </c>
      <c r="H51" s="264">
        <f>IF(H$25=0,0,H$25/AGR_fec!H$25)</f>
        <v>3.1024187999999988</v>
      </c>
      <c r="I51" s="264">
        <f>IF(I$25=0,0,I$25/AGR_fec!I$25)</f>
        <v>3.102418800000001</v>
      </c>
      <c r="J51" s="264">
        <f>IF(J$25=0,0,J$25/AGR_fec!J$25)</f>
        <v>3.0775891639093049</v>
      </c>
      <c r="K51" s="264">
        <f>IF(K$25=0,0,K$25/AGR_fec!K$25)</f>
        <v>2.9976510706875357</v>
      </c>
      <c r="L51" s="264">
        <f>IF(L$25=0,0,L$25/AGR_fec!L$25)</f>
        <v>2.9914936815173578</v>
      </c>
      <c r="M51" s="264">
        <f>IF(M$25=0,0,M$25/AGR_fec!M$25)</f>
        <v>3.0116498111340095</v>
      </c>
      <c r="N51" s="264">
        <f>IF(N$25=0,0,N$25/AGR_fec!N$25)</f>
        <v>3.0644840766914343</v>
      </c>
      <c r="O51" s="264">
        <f>IF(O$25=0,0,O$25/AGR_fec!O$25)</f>
        <v>3.0973035562480145</v>
      </c>
      <c r="P51" s="264">
        <f>IF(P$25=0,0,P$25/AGR_fec!P$25)</f>
        <v>3.0971364617014308</v>
      </c>
      <c r="Q51" s="264">
        <f>IF(Q$25=0,0,Q$25/AGR_fec!Q$25)</f>
        <v>3.0975568179691289</v>
      </c>
      <c r="R51" s="264">
        <f>IF(R$25=0,0,R$25/AGR_fec!R$25)</f>
        <v>3.096009322644965</v>
      </c>
      <c r="S51" s="264">
        <f>IF(S$25=0,0,S$25/AGR_fec!S$25)</f>
        <v>3.0974486359589477</v>
      </c>
      <c r="T51" s="264">
        <f>IF(T$25=0,0,T$25/AGR_fec!T$25)</f>
        <v>3.0970982909530069</v>
      </c>
      <c r="U51" s="264">
        <f>IF(U$25=0,0,U$25/AGR_fec!U$25)</f>
        <v>3.0975925934392676</v>
      </c>
      <c r="V51" s="264">
        <f>IF(V$25=0,0,V$25/AGR_fec!V$25)</f>
        <v>3.0977163006355806</v>
      </c>
      <c r="W51" s="264">
        <f>IF(W$25=0,0,W$25/AGR_fec!W$25)</f>
        <v>2.9983565490579314</v>
      </c>
      <c r="X51" s="264">
        <f>IF(X$25=0,0,X$25/AGR_fec!X$25)</f>
        <v>2.9780876491860542</v>
      </c>
      <c r="Y51" s="264">
        <f>IF(Y$25=0,0,Y$25/AGR_fec!Y$25)</f>
        <v>2.9672867363279485</v>
      </c>
      <c r="DA51" s="290"/>
    </row>
    <row r="52" spans="1:105" x14ac:dyDescent="0.25">
      <c r="A52" s="127" t="s">
        <v>170</v>
      </c>
      <c r="B52" s="264">
        <f>IF(B$26=0,0,B$26/AGR_fec!B$26)</f>
        <v>0</v>
      </c>
      <c r="C52" s="264">
        <f>IF(C$26=0,0,C$26/AGR_fec!C$26)</f>
        <v>0</v>
      </c>
      <c r="D52" s="264">
        <f>IF(D$26=0,0,D$26/AGR_fec!D$26)</f>
        <v>0</v>
      </c>
      <c r="E52" s="264">
        <f>IF(E$26=0,0,E$26/AGR_fec!E$26)</f>
        <v>0</v>
      </c>
      <c r="F52" s="264">
        <f>IF(F$26=0,0,F$26/AGR_fec!F$26)</f>
        <v>0</v>
      </c>
      <c r="G52" s="264">
        <f>IF(G$26=0,0,G$26/AGR_fec!G$26)</f>
        <v>0</v>
      </c>
      <c r="H52" s="264">
        <f>IF(H$26=0,0,H$26/AGR_fec!H$26)</f>
        <v>0</v>
      </c>
      <c r="I52" s="264">
        <f>IF(I$26=0,0,I$26/AGR_fec!I$26)</f>
        <v>0</v>
      </c>
      <c r="J52" s="264">
        <f>IF(J$26=0,0,J$26/AGR_fec!J$26)</f>
        <v>0</v>
      </c>
      <c r="K52" s="264">
        <f>IF(K$26=0,0,K$26/AGR_fec!K$26)</f>
        <v>0</v>
      </c>
      <c r="L52" s="264">
        <f>IF(L$26=0,0,L$26/AGR_fec!L$26)</f>
        <v>0</v>
      </c>
      <c r="M52" s="264">
        <f>IF(M$26=0,0,M$26/AGR_fec!M$26)</f>
        <v>0</v>
      </c>
      <c r="N52" s="264">
        <f>IF(N$26=0,0,N$26/AGR_fec!N$26)</f>
        <v>0</v>
      </c>
      <c r="O52" s="264">
        <f>IF(O$26=0,0,O$26/AGR_fec!O$26)</f>
        <v>0</v>
      </c>
      <c r="P52" s="264">
        <f>IF(P$26=0,0,P$26/AGR_fec!P$26)</f>
        <v>0</v>
      </c>
      <c r="Q52" s="264">
        <f>IF(Q$26=0,0,Q$26/AGR_fec!Q$26)</f>
        <v>0</v>
      </c>
      <c r="R52" s="264">
        <f>IF(R$26=0,0,R$26/AGR_fec!R$26)</f>
        <v>0</v>
      </c>
      <c r="S52" s="264">
        <f>IF(S$26=0,0,S$26/AGR_fec!S$26)</f>
        <v>0</v>
      </c>
      <c r="T52" s="264">
        <f>IF(T$26=0,0,T$26/AGR_fec!T$26)</f>
        <v>0</v>
      </c>
      <c r="U52" s="264">
        <f>IF(U$26=0,0,U$26/AGR_fec!U$26)</f>
        <v>0</v>
      </c>
      <c r="V52" s="264">
        <f>IF(V$26=0,0,V$26/AGR_fec!V$26)</f>
        <v>0</v>
      </c>
      <c r="W52" s="264">
        <f>IF(W$26=0,0,W$26/AGR_fec!W$26)</f>
        <v>0</v>
      </c>
      <c r="X52" s="264">
        <f>IF(X$26=0,0,X$26/AGR_fec!X$26)</f>
        <v>0</v>
      </c>
      <c r="Y52" s="264">
        <f>IF(Y$26=0,0,Y$26/AGR_fec!Y$26)</f>
        <v>0</v>
      </c>
      <c r="DA52" s="290"/>
    </row>
    <row r="53" spans="1:105" x14ac:dyDescent="0.25">
      <c r="A53" s="260" t="s">
        <v>33</v>
      </c>
      <c r="B53" s="265">
        <f>IF(B$27=0,0,B$27/AGR_fec!B$27)</f>
        <v>0</v>
      </c>
      <c r="C53" s="265">
        <f>IF(C$27=0,0,C$27/AGR_fec!C$27)</f>
        <v>0</v>
      </c>
      <c r="D53" s="265">
        <f>IF(D$27=0,0,D$27/AGR_fec!D$27)</f>
        <v>0</v>
      </c>
      <c r="E53" s="265">
        <f>IF(E$27=0,0,E$27/AGR_fec!E$27)</f>
        <v>0</v>
      </c>
      <c r="F53" s="265">
        <f>IF(F$27=0,0,F$27/AGR_fec!F$27)</f>
        <v>0</v>
      </c>
      <c r="G53" s="265">
        <f>IF(G$27=0,0,G$27/AGR_fec!G$27)</f>
        <v>0</v>
      </c>
      <c r="H53" s="265">
        <f>IF(H$27=0,0,H$27/AGR_fec!H$27)</f>
        <v>0</v>
      </c>
      <c r="I53" s="265">
        <f>IF(I$27=0,0,I$27/AGR_fec!I$27)</f>
        <v>0</v>
      </c>
      <c r="J53" s="265">
        <f>IF(J$27=0,0,J$27/AGR_fec!J$27)</f>
        <v>0</v>
      </c>
      <c r="K53" s="265">
        <f>IF(K$27=0,0,K$27/AGR_fec!K$27)</f>
        <v>0</v>
      </c>
      <c r="L53" s="265">
        <f>IF(L$27=0,0,L$27/AGR_fec!L$27)</f>
        <v>0</v>
      </c>
      <c r="M53" s="265">
        <f>IF(M$27=0,0,M$27/AGR_fec!M$27)</f>
        <v>0</v>
      </c>
      <c r="N53" s="265">
        <f>IF(N$27=0,0,N$27/AGR_fec!N$27)</f>
        <v>0</v>
      </c>
      <c r="O53" s="265">
        <f>IF(O$27=0,0,O$27/AGR_fec!O$27)</f>
        <v>0</v>
      </c>
      <c r="P53" s="265">
        <f>IF(P$27=0,0,P$27/AGR_fec!P$27)</f>
        <v>0</v>
      </c>
      <c r="Q53" s="265">
        <f>IF(Q$27=0,0,Q$27/AGR_fec!Q$27)</f>
        <v>0</v>
      </c>
      <c r="R53" s="265">
        <f>IF(R$27=0,0,R$27/AGR_fec!R$27)</f>
        <v>0</v>
      </c>
      <c r="S53" s="265">
        <f>IF(S$27=0,0,S$27/AGR_fec!S$27)</f>
        <v>0</v>
      </c>
      <c r="T53" s="265">
        <f>IF(T$27=0,0,T$27/AGR_fec!T$27)</f>
        <v>0</v>
      </c>
      <c r="U53" s="265">
        <f>IF(U$27=0,0,U$27/AGR_fec!U$27)</f>
        <v>0</v>
      </c>
      <c r="V53" s="265">
        <f>IF(V$27=0,0,V$27/AGR_fec!V$27)</f>
        <v>0</v>
      </c>
      <c r="W53" s="265">
        <f>IF(W$27=0,0,W$27/AGR_fec!W$27)</f>
        <v>0</v>
      </c>
      <c r="X53" s="265">
        <f>IF(X$27=0,0,X$27/AGR_fec!X$27)</f>
        <v>0</v>
      </c>
      <c r="Y53" s="265">
        <f>IF(Y$27=0,0,Y$27/AGR_fec!Y$27)</f>
        <v>0</v>
      </c>
      <c r="DA53" s="291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2025-11-06T10:23:55Z</dcterms:created>
  <dcterms:modified xsi:type="dcterms:W3CDTF">2025-11-06T10:23:55Z</dcterms:modified>
</cp:coreProperties>
</file>