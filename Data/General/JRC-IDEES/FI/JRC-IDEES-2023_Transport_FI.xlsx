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FI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28" i="8"/>
  <c r="X88" i="8"/>
  <c r="X87" i="8"/>
  <c r="X86" i="8"/>
  <c r="X84" i="8"/>
  <c r="Y12" i="3"/>
  <c r="X12" i="3"/>
  <c r="X17" i="9"/>
  <c r="X51" i="3" s="1"/>
  <c r="Y29" i="9"/>
  <c r="Y49" i="9"/>
  <c r="Y40" i="3"/>
  <c r="X25" i="9"/>
  <c r="X5" i="9"/>
  <c r="Y57" i="10"/>
  <c r="X68" i="10"/>
  <c r="X15" i="10"/>
  <c r="Y32" i="10"/>
  <c r="X54" i="10"/>
  <c r="Y53" i="10"/>
  <c r="X53" i="10"/>
  <c r="Y41" i="10"/>
  <c r="Y70" i="3"/>
  <c r="X28" i="10"/>
  <c r="Y24" i="10"/>
  <c r="X24" i="10"/>
  <c r="X102" i="11"/>
  <c r="Y44" i="11"/>
  <c r="Y67" i="11"/>
  <c r="X48" i="13"/>
  <c r="X101" i="11"/>
  <c r="X25" i="3"/>
  <c r="Y24" i="3"/>
  <c r="X24" i="3"/>
  <c r="Y23" i="3"/>
  <c r="X8" i="11"/>
  <c r="X16" i="3"/>
  <c r="X15" i="3"/>
  <c r="Y14" i="3"/>
  <c r="Y25" i="12"/>
  <c r="Y75" i="12" s="1"/>
  <c r="X54" i="3"/>
  <c r="Y53" i="3"/>
  <c r="X4" i="12"/>
  <c r="X46" i="3"/>
  <c r="Y45" i="3"/>
  <c r="X45" i="3"/>
  <c r="Y39" i="12"/>
  <c r="Y76" i="3"/>
  <c r="X76" i="3"/>
  <c r="Y24" i="13"/>
  <c r="Y23" i="13"/>
  <c r="Y7" i="15"/>
  <c r="X28" i="3"/>
  <c r="Y27" i="3"/>
  <c r="X27" i="3"/>
  <c r="Y15" i="17"/>
  <c r="X88" i="3"/>
  <c r="Y14" i="17"/>
  <c r="X14" i="17"/>
  <c r="X31" i="3"/>
  <c r="Y3" i="18"/>
  <c r="Y17" i="18" s="1"/>
  <c r="Y4" i="19"/>
  <c r="X3" i="20"/>
  <c r="Y90" i="3"/>
  <c r="X90" i="3"/>
  <c r="Y85" i="3"/>
  <c r="X85" i="3"/>
  <c r="X84" i="3"/>
  <c r="X83" i="3"/>
  <c r="Y75" i="3"/>
  <c r="X75" i="3"/>
  <c r="Y54" i="3"/>
  <c r="Y44" i="3"/>
  <c r="X44" i="3"/>
  <c r="Y42" i="3"/>
  <c r="Y31" i="3"/>
  <c r="Y30" i="3"/>
  <c r="Y25" i="3"/>
  <c r="Y10" i="3"/>
  <c r="Y44" i="12" l="1"/>
  <c r="X35" i="12"/>
  <c r="X10" i="19"/>
  <c r="X25" i="19" s="1"/>
  <c r="Y15" i="14"/>
  <c r="Y21" i="14" s="1"/>
  <c r="Y58" i="11"/>
  <c r="X27" i="9"/>
  <c r="Y69" i="11"/>
  <c r="X55" i="3"/>
  <c r="X207" i="3" s="1"/>
  <c r="X5" i="13"/>
  <c r="Y55" i="3"/>
  <c r="Y52" i="3" s="1"/>
  <c r="X90" i="8"/>
  <c r="X41" i="12"/>
  <c r="Y41" i="12"/>
  <c r="X29" i="9"/>
  <c r="Y57" i="8"/>
  <c r="Y79" i="8" s="1"/>
  <c r="X91" i="8"/>
  <c r="Y91" i="8"/>
  <c r="Y18" i="11"/>
  <c r="Y120" i="11" s="1"/>
  <c r="X31" i="9"/>
  <c r="Y53" i="9"/>
  <c r="X53" i="3"/>
  <c r="Y43" i="9"/>
  <c r="X19" i="12"/>
  <c r="X69" i="12" s="1"/>
  <c r="Y7" i="18"/>
  <c r="Y22" i="18" s="1"/>
  <c r="X227" i="3"/>
  <c r="X240" i="3"/>
  <c r="X98" i="11"/>
  <c r="X43" i="8"/>
  <c r="X88" i="11"/>
  <c r="Y88" i="11"/>
  <c r="Y25" i="9"/>
  <c r="Y31" i="9"/>
  <c r="Y42" i="9"/>
  <c r="Y48" i="11"/>
  <c r="Y43" i="11" s="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0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243" i="3" s="1"/>
  <c r="Y39" i="13"/>
  <c r="Y79" i="11"/>
  <c r="X4" i="9"/>
  <c r="X57" i="8"/>
  <c r="X79" i="8" s="1"/>
  <c r="X7" i="15"/>
  <c r="X21" i="15" s="1"/>
  <c r="X13" i="14"/>
  <c r="X19" i="14" s="1"/>
  <c r="Y15" i="3"/>
  <c r="Y197" i="3" s="1"/>
  <c r="X23" i="3"/>
  <c r="X22" i="3" s="1"/>
  <c r="X14" i="20"/>
  <c r="Y15" i="18"/>
  <c r="Y29" i="13"/>
  <c r="X18" i="11"/>
  <c r="X120" i="11" s="1"/>
  <c r="X237" i="3"/>
  <c r="Y194" i="3"/>
  <c r="Y196" i="3"/>
  <c r="Y206" i="3"/>
  <c r="Y65" i="10"/>
  <c r="X46" i="10"/>
  <c r="X36" i="9"/>
  <c r="X47" i="9"/>
  <c r="X10" i="8"/>
  <c r="X21" i="3" s="1"/>
  <c r="X203" i="3" s="1"/>
  <c r="X26" i="8"/>
  <c r="X61" i="8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48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20" i="19" s="1"/>
  <c r="Y10" i="19"/>
  <c r="Y3" i="19" s="1"/>
  <c r="Y28" i="19" s="1"/>
  <c r="X15" i="20"/>
  <c r="Y14" i="20"/>
  <c r="X14" i="3"/>
  <c r="X196" i="3" s="1"/>
  <c r="X206" i="3"/>
  <c r="Y74" i="3"/>
  <c r="Y73" i="3" s="1"/>
  <c r="Y6" i="13"/>
  <c r="Y25" i="13"/>
  <c r="X44" i="13"/>
  <c r="Y45" i="12"/>
  <c r="X31" i="12"/>
  <c r="Y14" i="11"/>
  <c r="Y116" i="11" s="1"/>
  <c r="Y24" i="11"/>
  <c r="Y96" i="11" s="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X24" i="13"/>
  <c r="Y35" i="13"/>
  <c r="X89" i="11"/>
  <c r="Y35" i="12"/>
  <c r="Y68" i="11"/>
  <c r="Y73" i="11"/>
  <c r="Y29" i="12"/>
  <c r="X14" i="11"/>
  <c r="X119" i="11" s="1"/>
  <c r="X92" i="11"/>
  <c r="X48" i="11"/>
  <c r="X236" i="3"/>
  <c r="Y47" i="13"/>
  <c r="Y27" i="13"/>
  <c r="Y83" i="3"/>
  <c r="Y235" i="3" s="1"/>
  <c r="Y10" i="13"/>
  <c r="Y37" i="13"/>
  <c r="X228" i="3"/>
  <c r="X55" i="10"/>
  <c r="X81" i="3"/>
  <c r="Y20" i="19"/>
  <c r="Y60" i="3"/>
  <c r="Y24" i="19"/>
  <c r="Y18" i="17"/>
  <c r="Y87" i="3"/>
  <c r="Y239" i="3" s="1"/>
  <c r="Y3" i="17"/>
  <c r="Y23" i="17" s="1"/>
  <c r="Y23" i="15"/>
  <c r="Y21" i="15"/>
  <c r="Y162" i="3"/>
  <c r="X43" i="13"/>
  <c r="X33" i="13"/>
  <c r="X23" i="13"/>
  <c r="X6" i="13"/>
  <c r="X4" i="13"/>
  <c r="X74" i="3"/>
  <c r="X3" i="18"/>
  <c r="X18" i="18" s="1"/>
  <c r="X30" i="3"/>
  <c r="X14" i="18"/>
  <c r="X18" i="20"/>
  <c r="X21" i="20"/>
  <c r="X14" i="14"/>
  <c r="X20" i="14" s="1"/>
  <c r="X4" i="14"/>
  <c r="X43" i="3"/>
  <c r="X198" i="3"/>
  <c r="Y91" i="3"/>
  <c r="Y243" i="3" s="1"/>
  <c r="Y19" i="20"/>
  <c r="Y3" i="20"/>
  <c r="Y23" i="20" s="1"/>
  <c r="Y15" i="20"/>
  <c r="Y28" i="11"/>
  <c r="Y101" i="11"/>
  <c r="X4" i="10"/>
  <c r="X23" i="10"/>
  <c r="X7" i="18"/>
  <c r="X13" i="20" s="1"/>
  <c r="X110" i="11"/>
  <c r="X111" i="11"/>
  <c r="Y28" i="3"/>
  <c r="Y84" i="3"/>
  <c r="Y192" i="3"/>
  <c r="Y237" i="3"/>
  <c r="Y242" i="3"/>
  <c r="X23" i="20"/>
  <c r="Y19" i="18"/>
  <c r="X19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X82" i="3"/>
  <c r="Y205" i="3"/>
  <c r="Y18" i="20"/>
  <c r="Y14" i="18"/>
  <c r="Y15" i="15"/>
  <c r="X45" i="13"/>
  <c r="X35" i="13"/>
  <c r="X25" i="13"/>
  <c r="Y43" i="12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Y18" i="18"/>
  <c r="X3" i="15"/>
  <c r="X15" i="15"/>
  <c r="X37" i="13"/>
  <c r="X27" i="13"/>
  <c r="X10" i="13"/>
  <c r="X30" i="12"/>
  <c r="X20" i="12"/>
  <c r="X70" i="12" s="1"/>
  <c r="X5" i="12"/>
  <c r="X40" i="12"/>
  <c r="X11" i="10"/>
  <c r="X9" i="10" s="1"/>
  <c r="X34" i="10"/>
  <c r="X45" i="10"/>
  <c r="X56" i="10"/>
  <c r="Y28" i="9"/>
  <c r="Y39" i="9"/>
  <c r="Y13" i="9"/>
  <c r="Y50" i="9"/>
  <c r="X22" i="20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X63" i="8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X24" i="19" l="1"/>
  <c r="X22" i="10"/>
  <c r="X3" i="19"/>
  <c r="X29" i="19" s="1"/>
  <c r="Y10" i="17"/>
  <c r="Y25" i="19"/>
  <c r="Y11" i="20"/>
  <c r="X86" i="3"/>
  <c r="X117" i="11"/>
  <c r="X13" i="11"/>
  <c r="Y3" i="16"/>
  <c r="Y28" i="16" s="1"/>
  <c r="X23" i="15"/>
  <c r="X22" i="15"/>
  <c r="Y53" i="11"/>
  <c r="X19" i="13"/>
  <c r="Y57" i="3"/>
  <c r="Y209" i="3" s="1"/>
  <c r="X61" i="3"/>
  <c r="X213" i="3" s="1"/>
  <c r="X21" i="19"/>
  <c r="X11" i="20"/>
  <c r="X10" i="20"/>
  <c r="Y20" i="16"/>
  <c r="X60" i="3"/>
  <c r="X212" i="3" s="1"/>
  <c r="X116" i="11"/>
  <c r="Y207" i="3"/>
  <c r="X122" i="11"/>
  <c r="X9" i="20"/>
  <c r="Y23" i="18"/>
  <c r="Y21" i="18"/>
  <c r="X3" i="16"/>
  <c r="X28" i="16" s="1"/>
  <c r="X11" i="17"/>
  <c r="Y26" i="14"/>
  <c r="X52" i="3"/>
  <c r="X204" i="3" s="1"/>
  <c r="Y3" i="12"/>
  <c r="Y49" i="12" s="1"/>
  <c r="X43" i="11"/>
  <c r="X80" i="11"/>
  <c r="Y227" i="3"/>
  <c r="X25" i="14"/>
  <c r="Y122" i="11"/>
  <c r="X235" i="3"/>
  <c r="Y27" i="14"/>
  <c r="X4" i="8"/>
  <c r="X108" i="8" s="1"/>
  <c r="X96" i="8"/>
  <c r="X192" i="3"/>
  <c r="Y25" i="14"/>
  <c r="X118" i="11"/>
  <c r="Y22" i="13"/>
  <c r="Y121" i="11"/>
  <c r="X89" i="3"/>
  <c r="X181" i="3" s="1"/>
  <c r="Y13" i="18"/>
  <c r="Y123" i="11"/>
  <c r="X112" i="8"/>
  <c r="Y36" i="8"/>
  <c r="X25" i="8"/>
  <c r="X233" i="3"/>
  <c r="X22" i="17"/>
  <c r="X44" i="10"/>
  <c r="Y13" i="15"/>
  <c r="X205" i="3"/>
  <c r="Y18" i="15"/>
  <c r="Y13" i="3"/>
  <c r="Y225" i="3" s="1"/>
  <c r="X100" i="8"/>
  <c r="Y17" i="15"/>
  <c r="Y198" i="3"/>
  <c r="X41" i="9"/>
  <c r="X111" i="8"/>
  <c r="X76" i="11"/>
  <c r="X41" i="3"/>
  <c r="X39" i="3" s="1"/>
  <c r="X11" i="9"/>
  <c r="X46" i="9" s="1"/>
  <c r="X36" i="8"/>
  <c r="X113" i="8"/>
  <c r="Y80" i="11"/>
  <c r="X224" i="3"/>
  <c r="Y111" i="11"/>
  <c r="Y42" i="13"/>
  <c r="Y12" i="14"/>
  <c r="Y18" i="14" s="1"/>
  <c r="X13" i="3"/>
  <c r="X195" i="3" s="1"/>
  <c r="X37" i="9"/>
  <c r="X3" i="12"/>
  <c r="X51" i="12" s="1"/>
  <c r="Y23" i="10"/>
  <c r="Y22" i="10"/>
  <c r="Y117" i="11"/>
  <c r="Y29" i="19"/>
  <c r="X121" i="11"/>
  <c r="Y119" i="11"/>
  <c r="Y118" i="11"/>
  <c r="X53" i="11"/>
  <c r="Y76" i="11"/>
  <c r="X21" i="16"/>
  <c r="X10" i="17"/>
  <c r="X123" i="11"/>
  <c r="Y112" i="11"/>
  <c r="X21" i="14"/>
  <c r="Y13" i="11"/>
  <c r="X25" i="16"/>
  <c r="X57" i="3"/>
  <c r="X209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X85" i="8"/>
  <c r="X15" i="8"/>
  <c r="X49" i="10"/>
  <c r="X8" i="10"/>
  <c r="X60" i="10" s="1"/>
  <c r="Y44" i="10"/>
  <c r="Y55" i="10"/>
  <c r="Y33" i="10"/>
  <c r="Y81" i="3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Y240" i="3"/>
  <c r="Y122" i="3"/>
  <c r="Y32" i="12"/>
  <c r="Y22" i="12"/>
  <c r="Y72" i="12" s="1"/>
  <c r="Y42" i="12"/>
  <c r="Y41" i="9"/>
  <c r="Y30" i="9"/>
  <c r="Y52" i="9"/>
  <c r="Y51" i="3"/>
  <c r="X18" i="15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Y95" i="11" s="1"/>
  <c r="X73" i="3"/>
  <c r="X226" i="3"/>
  <c r="Y204" i="3"/>
  <c r="X13" i="18"/>
  <c r="X17" i="18"/>
  <c r="X19" i="18"/>
  <c r="Y27" i="19"/>
  <c r="Y23" i="19"/>
  <c r="Y19" i="19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38" i="3"/>
  <c r="X26" i="9"/>
  <c r="Y36" i="13"/>
  <c r="Y26" i="13"/>
  <c r="Y46" i="13"/>
  <c r="Y18" i="13"/>
  <c r="Y3" i="13"/>
  <c r="Y56" i="13" s="1"/>
  <c r="X234" i="3"/>
  <c r="X32" i="12"/>
  <c r="X22" i="12"/>
  <c r="X72" i="12" s="1"/>
  <c r="X42" i="12"/>
  <c r="Y121" i="3"/>
  <c r="X96" i="11"/>
  <c r="X23" i="11"/>
  <c r="Y21" i="16"/>
  <c r="Y11" i="17"/>
  <c r="Y25" i="16"/>
  <c r="Y58" i="3"/>
  <c r="Y21" i="20"/>
  <c r="Y13" i="20"/>
  <c r="Y17" i="20"/>
  <c r="Y9" i="20"/>
  <c r="Y22" i="20"/>
  <c r="Y13" i="17"/>
  <c r="Y21" i="17"/>
  <c r="Y17" i="17"/>
  <c r="Y9" i="17"/>
  <c r="X33" i="10"/>
  <c r="Y82" i="3"/>
  <c r="Y234" i="3" s="1"/>
  <c r="Y26" i="8"/>
  <c r="X56" i="8"/>
  <c r="X78" i="8" s="1"/>
  <c r="Y110" i="11"/>
  <c r="Y90" i="11"/>
  <c r="X21" i="18"/>
  <c r="X22" i="18"/>
  <c r="X27" i="19"/>
  <c r="X19" i="19"/>
  <c r="Y86" i="3"/>
  <c r="Y22" i="17"/>
  <c r="X23" i="18"/>
  <c r="X28" i="19"/>
  <c r="X23" i="19" l="1"/>
  <c r="Y52" i="12"/>
  <c r="Y29" i="16"/>
  <c r="Y56" i="3"/>
  <c r="Y208" i="3" s="1"/>
  <c r="Y23" i="16"/>
  <c r="Y19" i="16"/>
  <c r="X62" i="10"/>
  <c r="Y27" i="16"/>
  <c r="X59" i="3"/>
  <c r="X153" i="3" s="1"/>
  <c r="X110" i="8"/>
  <c r="Y53" i="12"/>
  <c r="Y51" i="12"/>
  <c r="Y47" i="12"/>
  <c r="Y55" i="12"/>
  <c r="Y48" i="12"/>
  <c r="Y50" i="12"/>
  <c r="Y195" i="3"/>
  <c r="Y54" i="12"/>
  <c r="X95" i="11"/>
  <c r="Y17" i="12"/>
  <c r="Y67" i="12" s="1"/>
  <c r="X94" i="8"/>
  <c r="X106" i="8"/>
  <c r="X107" i="8"/>
  <c r="X105" i="8"/>
  <c r="X23" i="16"/>
  <c r="X38" i="10"/>
  <c r="X29" i="16"/>
  <c r="X183" i="3"/>
  <c r="X9" i="17"/>
  <c r="X109" i="8"/>
  <c r="X19" i="16"/>
  <c r="X49" i="12"/>
  <c r="X27" i="16"/>
  <c r="X56" i="3"/>
  <c r="X208" i="3" s="1"/>
  <c r="X225" i="3"/>
  <c r="Y24" i="14"/>
  <c r="X193" i="3"/>
  <c r="Y37" i="12"/>
  <c r="X10" i="9"/>
  <c r="X57" i="9" s="1"/>
  <c r="X182" i="3"/>
  <c r="X35" i="9"/>
  <c r="X24" i="9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191" i="3"/>
  <c r="X211" i="3"/>
  <c r="X151" i="3"/>
  <c r="X60" i="9"/>
  <c r="X152" i="3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X58" i="9" l="1"/>
  <c r="X45" i="9"/>
  <c r="X62" i="9"/>
  <c r="X56" i="9"/>
  <c r="X64" i="9"/>
  <c r="X59" i="9"/>
  <c r="X63" i="9"/>
  <c r="X65" i="9"/>
  <c r="X61" i="9"/>
  <c r="Y153" i="3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4" i="1"/>
  <c r="B26" i="1"/>
  <c r="B25" i="1"/>
  <c r="S242" i="3" l="1"/>
  <c r="C242" i="3"/>
  <c r="O14" i="18"/>
  <c r="I15" i="18"/>
  <c r="E3" i="18"/>
  <c r="E19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E18" i="18"/>
  <c r="I21" i="18"/>
  <c r="N3" i="18"/>
  <c r="N17" i="18" s="1"/>
  <c r="U14" i="18"/>
  <c r="E21" i="20"/>
  <c r="P14" i="18"/>
  <c r="J14" i="20"/>
  <c r="O3" i="20"/>
  <c r="O23" i="20" s="1"/>
  <c r="O3" i="18"/>
  <c r="O18" i="18" s="1"/>
  <c r="N3" i="20"/>
  <c r="F24" i="19"/>
  <c r="F20" i="19"/>
  <c r="L20" i="19"/>
  <c r="L10" i="20"/>
  <c r="Q25" i="19"/>
  <c r="Q21" i="19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E13" i="18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M22" i="20"/>
  <c r="W23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R25" i="19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I22" i="18" l="1"/>
  <c r="U19" i="18"/>
  <c r="N29" i="3"/>
  <c r="N123" i="3" s="1"/>
  <c r="J11" i="20"/>
  <c r="M23" i="20"/>
  <c r="P10" i="20"/>
  <c r="R21" i="19"/>
  <c r="H20" i="19"/>
  <c r="W24" i="19"/>
  <c r="N13" i="20"/>
  <c r="K23" i="18"/>
  <c r="F22" i="20"/>
  <c r="G18" i="18"/>
  <c r="H25" i="19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3" i="3" s="1"/>
  <c r="M23" i="18"/>
  <c r="S23" i="18"/>
  <c r="S22" i="18"/>
  <c r="N241" i="3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3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U121" i="3"/>
  <c r="W121" i="3"/>
  <c r="W241" i="3"/>
  <c r="B122" i="3"/>
  <c r="C123" i="3"/>
  <c r="C241" i="3"/>
  <c r="B183" i="3"/>
  <c r="H123" i="3"/>
  <c r="F183" i="3"/>
  <c r="U122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Q9" i="20" l="1"/>
  <c r="F182" i="3"/>
  <c r="N121" i="3"/>
  <c r="E23" i="19"/>
  <c r="H23" i="19"/>
  <c r="E27" i="19"/>
  <c r="N19" i="19"/>
  <c r="N27" i="19"/>
  <c r="M9" i="20"/>
  <c r="M28" i="19"/>
  <c r="W9" i="20"/>
  <c r="N9" i="20"/>
  <c r="W29" i="19"/>
  <c r="M29" i="19"/>
  <c r="N29" i="19"/>
  <c r="M27" i="19"/>
  <c r="M19" i="19"/>
  <c r="Q23" i="19"/>
  <c r="H27" i="19"/>
  <c r="H19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2" i="12" l="1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36" i="8" l="1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O79" i="8"/>
  <c r="K79" i="8"/>
  <c r="V77" i="8"/>
  <c r="S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8" i="1"/>
  <c r="B7" i="1"/>
  <c r="B12" i="1"/>
  <c r="B22" i="1"/>
  <c r="B4" i="1"/>
  <c r="B20" i="1"/>
  <c r="B9" i="1"/>
  <c r="B11" i="1"/>
  <c r="B17" i="1"/>
  <c r="B15" i="1"/>
  <c r="B18" i="1"/>
  <c r="B21" i="1"/>
  <c r="B13" i="1"/>
  <c r="B6" i="1"/>
  <c r="B16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 s="1"/>
  <c r="T3" i="15"/>
  <c r="T27" i="3"/>
  <c r="T14" i="15"/>
  <c r="N3" i="15"/>
  <c r="N27" i="3"/>
  <c r="N14" i="15"/>
  <c r="T15" i="15"/>
  <c r="M3" i="15"/>
  <c r="M18" i="15" s="1"/>
  <c r="M27" i="3"/>
  <c r="H3" i="15"/>
  <c r="H18" i="15" s="1"/>
  <c r="H27" i="3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43" i="11" s="1"/>
  <c r="T95" i="11" s="1"/>
  <c r="T58" i="11"/>
  <c r="T53" i="11" s="1"/>
  <c r="U102" i="11"/>
  <c r="U103" i="11"/>
  <c r="T100" i="11" l="1"/>
  <c r="U48" i="1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X58" i="4" s="1"/>
  <c r="W4" i="7"/>
  <c r="T47" i="7"/>
  <c r="X13" i="7"/>
  <c r="T6" i="7"/>
  <c r="T58" i="4"/>
  <c r="U34" i="7"/>
  <c r="U114" i="4"/>
  <c r="T31" i="7"/>
  <c r="Y6" i="7"/>
  <c r="W36" i="7"/>
  <c r="X44" i="7"/>
  <c r="V35" i="7"/>
  <c r="V42" i="7" l="1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 s="1"/>
  <c r="P8" i="3"/>
  <c r="O180" i="4"/>
  <c r="P208" i="4"/>
  <c r="P206" i="4"/>
  <c r="P102" i="5"/>
  <c r="P209" i="4"/>
  <c r="P96" i="6"/>
  <c r="P150" i="4" l="1"/>
  <c r="O179" i="4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K16" i="4"/>
  <c r="K14" i="4"/>
  <c r="L13" i="4" l="1"/>
  <c r="L150" i="4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 s="1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I204" i="4" l="1"/>
  <c r="I8" i="3"/>
  <c r="G208" i="4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251" i="4" s="1"/>
  <c r="N170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243" i="4" s="1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184" i="4"/>
  <c r="I265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J20" i="4" s="1"/>
  <c r="P7" i="4"/>
  <c r="H24" i="4"/>
  <c r="L11" i="4"/>
  <c r="I22" i="4"/>
  <c r="H47" i="4"/>
  <c r="L33" i="4"/>
  <c r="J19" i="4" l="1"/>
  <c r="J238" i="4" s="1"/>
  <c r="J157" i="4"/>
  <c r="J211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143" i="4"/>
  <c r="S224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G243" i="4" l="1"/>
  <c r="F20" i="4"/>
  <c r="F157" i="4" s="1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H226" i="4" s="1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 s="1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31" i="4" l="1"/>
  <c r="U226" i="4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 s="1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 s="1"/>
  <c r="X265" i="4" s="1"/>
  <c r="X184" i="4"/>
  <c r="X187" i="4"/>
  <c r="X268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D131" i="5" l="1"/>
  <c r="D77" i="5"/>
  <c r="D132" i="7" s="1"/>
  <c r="D49" i="3"/>
  <c r="D104" i="5"/>
  <c r="C187" i="3"/>
  <c r="C34" i="3"/>
  <c r="C127" i="3" s="1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X241" i="4"/>
  <c r="I69" i="7"/>
  <c r="I60" i="7" s="1"/>
  <c r="X19" i="4" l="1"/>
  <c r="X240" i="4" s="1"/>
  <c r="X211" i="4"/>
  <c r="X19" i="3"/>
  <c r="X238" i="4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 s="1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 s="1"/>
  <c r="Y184" i="4"/>
  <c r="G127" i="6"/>
  <c r="G73" i="6"/>
  <c r="G215" i="7" s="1"/>
  <c r="G100" i="6"/>
  <c r="G34" i="6"/>
  <c r="Y186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Y268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Y265" i="4" l="1"/>
  <c r="Y267" i="4"/>
  <c r="F70" i="6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 s="1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 s="1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 s="1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 s="1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 s="1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 s="1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 s="1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 s="1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 s="1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<sst xmlns="http://schemas.openxmlformats.org/spreadsheetml/2006/main" count="2657" uniqueCount="1169">
  <si>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</si>
  <si>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</si>
  <si>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</si>
  <si>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</si>
  <si>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</si>
  <si>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</si>
  <si>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</si>
  <si>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</si>
  <si>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</si>
  <si>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</si>
  <si>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</si>
  <si>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</si>
  <si>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</si>
  <si>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</si>
  <si>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</si>
  <si>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</si>
  <si>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</si>
  <si>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</si>
  <si>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</si>
  <si>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</si>
  <si>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</si>
  <si>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</si>
  <si>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</si>
  <si>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</si>
  <si>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</si>
  <si>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</si>
  <si>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</si>
  <si>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</si>
  <si>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</si>
  <si>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</si>
  <si>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</si>
  <si>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</si>
  <si>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</si>
  <si>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</si>
  <si>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</si>
  <si>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</si>
  <si>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</si>
  <si>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</si>
  <si>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</si>
  <si>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</si>
  <si>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</si>
  <si>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</si>
  <si>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</si>
  <si>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</si>
  <si>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</si>
  <si>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</si>
  <si>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</si>
  <si>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</si>
  <si>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</si>
  <si>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</si>
  <si>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</si>
  <si>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</si>
  <si>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</si>
  <si>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</si>
  <si>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</si>
  <si>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</si>
  <si>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</si>
  <si>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</si>
  <si>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</si>
  <si>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</si>
  <si>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</si>
  <si>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</si>
  <si>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</si>
  <si>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</si>
  <si>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</si>
  <si>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</si>
  <si>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</si>
  <si>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</si>
  <si>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</si>
  <si>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</si>
  <si>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</si>
  <si>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</si>
  <si>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</si>
  <si>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</si>
  <si>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</si>
  <si>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</si>
  <si>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</si>
  <si>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</si>
  <si>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</si>
  <si>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</si>
  <si>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</si>
  <si>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</si>
  <si>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</si>
  <si>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</si>
  <si>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</si>
  <si>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</si>
  <si>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</si>
  <si>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</si>
  <si>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</si>
  <si>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</si>
  <si>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</si>
  <si>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</si>
  <si>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</si>
  <si>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</si>
  <si>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</si>
  <si>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</si>
  <si>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</si>
  <si>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</si>
  <si>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</si>
  <si>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</si>
  <si>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</si>
  <si>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</si>
  <si>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</si>
  <si>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</si>
  <si>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</si>
  <si>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</si>
  <si>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</si>
  <si>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</si>
  <si>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</si>
  <si>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</si>
  <si>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</si>
  <si>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</si>
  <si>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</si>
  <si>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</si>
  <si>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</si>
  <si>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</si>
  <si>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</si>
  <si>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</si>
  <si>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</si>
  <si>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</si>
  <si>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</si>
  <si>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</si>
  <si>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</si>
  <si>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</si>
  <si>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</si>
  <si>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</si>
  <si>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</si>
  <si>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</si>
  <si>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</si>
  <si>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</si>
  <si>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</si>
  <si>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</si>
  <si>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</si>
  <si>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</si>
  <si>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</si>
  <si>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</si>
  <si>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</si>
  <si>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</si>
  <si>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</si>
  <si>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</si>
  <si>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</si>
  <si>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</si>
  <si>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</si>
  <si>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</si>
  <si>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</si>
  <si>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</si>
  <si>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</si>
  <si>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</si>
  <si>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</si>
  <si>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</si>
  <si>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</si>
  <si>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</si>
  <si>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</si>
  <si>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</si>
  <si>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</si>
  <si>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</si>
  <si>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</si>
  <si>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</si>
  <si>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</si>
  <si>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</si>
  <si>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</si>
  <si>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</si>
  <si>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</si>
  <si>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</si>
  <si>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</si>
  <si>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</si>
  <si>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</si>
  <si>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</si>
  <si>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</si>
  <si>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</si>
  <si>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</si>
  <si>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</si>
  <si>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</si>
  <si>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</si>
  <si>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</si>
  <si>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</si>
  <si>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</si>
  <si>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</si>
  <si>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</si>
  <si>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</si>
  <si>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</si>
  <si>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</si>
  <si>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</si>
  <si>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</si>
  <si>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</si>
  <si>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</si>
  <si>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</si>
  <si>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FI</t>
  </si>
  <si>
    <t>Finland</t>
  </si>
  <si>
    <t>Aviation - FI - Finland</t>
  </si>
  <si>
    <t>Activity.Mpkm.FI.Tr.Avia.Passenger</t>
  </si>
  <si>
    <t>Activity.Mpkm.FI.Tr.Avia.Passenger.Domestic</t>
  </si>
  <si>
    <t>Activity.Mpkm.FI.Tr.Avia.Passenger.IntraEEAwCHUK</t>
  </si>
  <si>
    <t>Activity.Mpkm.FI.Tr.Avia.Passenger.ExtraEEAwCHUK</t>
  </si>
  <si>
    <t>Activity.Mtkm.FI.Tr.Avia.Freight</t>
  </si>
  <si>
    <t>Activity.Mtkm.FI.Tr.Avia.Freight.Domestic</t>
  </si>
  <si>
    <t>Activity.Mtkm.FI.Tr.Avia.Freight.IntraEEAwCHUK</t>
  </si>
  <si>
    <t>Activity.Mtkm.FI.Tr.Avia.Freight.ExtraEEAwCHUK</t>
  </si>
  <si>
    <t>VehicleKm.Mkm.FI.Tr.Avia</t>
  </si>
  <si>
    <t>VehicleKm.Mkm.FI.Tr.Avia.Passenger</t>
  </si>
  <si>
    <t>VehicleKm.Mkm.FI.Tr.Avia.Passenger.Domestic</t>
  </si>
  <si>
    <t>VehicleKm.Mkm.FI.Tr.Avia.Passenger.IntraEEAwCHUK</t>
  </si>
  <si>
    <t>VehicleKm.Mkm.FI.Tr.Avia.Passenger.ExtraEEAwCHUK</t>
  </si>
  <si>
    <t>VehicleKm.Mkm.FI.Tr.Avia.Freight</t>
  </si>
  <si>
    <t>VehicleKm.Mkm.FI.Tr.Avia.Freight.Domestic</t>
  </si>
  <si>
    <t>VehicleKm.Mkm.FI.Tr.Avia.Freight.IntraEEAwCHUK</t>
  </si>
  <si>
    <t>VehicleKm.Mkm.FI.Tr.Avia.Freight.ExtraEEAwCHUK</t>
  </si>
  <si>
    <t>Flights.number.FI.Tr.Avia</t>
  </si>
  <si>
    <t>Flights.number.FI.Tr.Avia.Passenger</t>
  </si>
  <si>
    <t>Flights.number.FI.Tr.Avia.Passenger.Domestic</t>
  </si>
  <si>
    <t>Flights.number.FI.Tr.Avia.Passenger.IntraEEAwCHUK</t>
  </si>
  <si>
    <t>Flights.number.FI.Tr.Avia.Passenger.ExtraEEAwCHUK</t>
  </si>
  <si>
    <t>Flights.number.FI.Tr.Avia.Freight</t>
  </si>
  <si>
    <t>Flights.number.FI.Tr.Avia.Freight.Domestic</t>
  </si>
  <si>
    <t>Flights.number.FI.Tr.Avia.Freight.IntraEEAwCHUK</t>
  </si>
  <si>
    <t>Flights.number.FI.Tr.Avia.Freight.ExtraEEAwCHUK</t>
  </si>
  <si>
    <t>VolCarried.passenger.FI.Tr.Avia.Passenger</t>
  </si>
  <si>
    <t>VolCarried.passenger.FI.Tr.Avia.Passenger.Domestic</t>
  </si>
  <si>
    <t>VolCarried.passenger.FI.Tr.Avia.Passenger.IntraEEAwCHUK</t>
  </si>
  <si>
    <t>VolCarried.passenger.FI.Tr.Avia.Passenger.ExtraEEAwCHUK</t>
  </si>
  <si>
    <t>VolCarried.t.FI.Tr.Avia.Freight</t>
  </si>
  <si>
    <t>VolCarried.t.FI.Tr.Avia.Freight.Domestic</t>
  </si>
  <si>
    <t>VolCarried.t.FI.Tr.Avia.Freight.IntraEEAwCHUK</t>
  </si>
  <si>
    <t>VolCarried.t.FI.Tr.Avia.Freight.ExtraEEAwCHUK</t>
  </si>
  <si>
    <t>Stock.number.FI.Tr.Avia</t>
  </si>
  <si>
    <t>Stock.number.FI.Tr.Avia.Passenger</t>
  </si>
  <si>
    <t>Stock.number.FI.Tr.Avia.Passenger.Domestic</t>
  </si>
  <si>
    <t>Stock.number.FI.Tr.Avia.Passenger.IntraEEAwCHUK</t>
  </si>
  <si>
    <t>Stock.number.FI.Tr.Avia.Passenger.ExtraEEAwCHUK</t>
  </si>
  <si>
    <t>Stock.number.FI.Tr.Avia.Freight</t>
  </si>
  <si>
    <t>Stock.number.FI.Tr.Avia.Freight.Domestic</t>
  </si>
  <si>
    <t>Stock.number.FI.Tr.Avia.Freight.IntraEEAwCHUK</t>
  </si>
  <si>
    <t>Stock.number.FI.Tr.Avia.Freight.ExtraEEAwCHUK</t>
  </si>
  <si>
    <t>StockNew.number.FI.Tr.Avia</t>
  </si>
  <si>
    <t>StockNew.number.FI.Tr.Avia.Passenger</t>
  </si>
  <si>
    <t>StockNew.number.FI.Tr.Avia.Passenger.Domestic</t>
  </si>
  <si>
    <t>StockNew.number.FI.Tr.Avia.Passenger.IntraEEAwCHUK</t>
  </si>
  <si>
    <t>StockNew.number.FI.Tr.Avia.Passenger.ExtraEEAwCHUK</t>
  </si>
  <si>
    <t>StockNew.number.FI.Tr.Avia.Freight</t>
  </si>
  <si>
    <t>StockNew.number.FI.Tr.Avia.Freight.Domestic</t>
  </si>
  <si>
    <t>StockNew.number.FI.Tr.Avia.Freight.IntraEEAwCHUK</t>
  </si>
  <si>
    <t>StockNew.number.FI.Tr.Avia.Freight.ExtraEEAwCHUK</t>
  </si>
  <si>
    <t>Load.passenger_per_movement.FI.Tr.Avia.Passenger</t>
  </si>
  <si>
    <t>Load.passenger_per_movement.FI.Tr.Avia.Passenger.Domestic</t>
  </si>
  <si>
    <t>Load.passenger_per_movement.FI.Tr.Avia.Passenger.IntraEEAwCHUK</t>
  </si>
  <si>
    <t>Load.passenger_per_movement.FI.Tr.Avia.Passenger.ExtraEEAwCHUK</t>
  </si>
  <si>
    <t>Load.t_per_movement.FI.Tr.Avia.Freight</t>
  </si>
  <si>
    <t>Load.t_per_movement.FI.Tr.Avia.Freight.Domestic</t>
  </si>
  <si>
    <t>Load.t_per_movement.FI.Tr.Avia.Freight.IntraEEAwCHUK</t>
  </si>
  <si>
    <t>Load.t_per_movement.FI.Tr.Avia.Freight.ExtraEEAwCHUK</t>
  </si>
  <si>
    <t>VehicleKm_per_flight.km.FI.Tr.Avia</t>
  </si>
  <si>
    <t>VehicleKm_per_flight.km.FI.Tr.Avia.Passenger</t>
  </si>
  <si>
    <t>VehicleKm_per_flight.km.FI.Tr.Avia.Passenger.Domestic</t>
  </si>
  <si>
    <t>VehicleKm_per_flight.km.FI.Tr.Avia.Passenger.IntraEEAwCHUK</t>
  </si>
  <si>
    <t>VehicleKm_per_flight.km.FI.Tr.Avia.Passenger.ExtraEEAwCHUK</t>
  </si>
  <si>
    <t>VehicleKm_per_flight.km.FI.Tr.Avia.Freight</t>
  </si>
  <si>
    <t>VehicleKm_per_flight.km.FI.Tr.Avia.Freight.Domestic</t>
  </si>
  <si>
    <t>VehicleKm_per_flight.km.FI.Tr.Avia.Freight.IntraEEAwCHUK</t>
  </si>
  <si>
    <t>VehicleKm_per_flight.km.FI.Tr.Avia.Freight.ExtraEEAwCHUK</t>
  </si>
  <si>
    <t>Activity_per_flight.pkm.FI.Tr.Avia.Passenger</t>
  </si>
  <si>
    <t>Activity_per_flight.pkm.FI.Tr.Avia.Passenger.Domestic</t>
  </si>
  <si>
    <t>Activity_per_flight.pkm.FI.Tr.Avia.Passenger.IntraEEAwCHUK</t>
  </si>
  <si>
    <t>Activity_per_flight.pkm.FI.Tr.Avia.Passenger.ExtraEEAwCHUK</t>
  </si>
  <si>
    <t>Activity_per_flight.tkm.FI.Tr.Avia.Freight</t>
  </si>
  <si>
    <t>Activity_per_flight.tkm.FI.Tr.Avia.Freight.Domestic</t>
  </si>
  <si>
    <t>Activity_per_flight.tkm.FI.Tr.Avia.Freight.IntraEEAwCHUK</t>
  </si>
  <si>
    <t>Activity_per_flight.tkm.FI.Tr.Avia.Freight.ExtraEEAwCHUK</t>
  </si>
  <si>
    <t>Flights_per_vehicle.number.FI.Tr.Avia</t>
  </si>
  <si>
    <t>Flights_per_vehicle.number.FI.Tr.Avia.Passenger</t>
  </si>
  <si>
    <t>Flights_per_vehicle.number.FI.Tr.Avia.Passenger.Domestic</t>
  </si>
  <si>
    <t>Flights_per_vehicle.number.FI.Tr.Avia.Passenger.IntraEEAwCHUK</t>
  </si>
  <si>
    <t>Flights_per_vehicle.number.FI.Tr.Avia.Passenger.ExtraEEAwCHUK</t>
  </si>
  <si>
    <t>Flights_per_vehicle.number.FI.Tr.Avia.Freight</t>
  </si>
  <si>
    <t>Flights_per_vehicle.number.FI.Tr.Avia.Freight.Domestic</t>
  </si>
  <si>
    <t>Flights_per_vehicle.number.FI.Tr.Avia.Freight.IntraEEAwCHUK</t>
  </si>
  <si>
    <t>Flights_per_vehicle.number.FI.Tr.Avia.Freight.ExtraEEAwCHUK</t>
  </si>
  <si>
    <t>Aviation / energy consumption - FI - Finland</t>
  </si>
  <si>
    <t>FEC.ktoe.FI.Tr.Avia</t>
  </si>
  <si>
    <t>FEC.ktoe.FI.Tr.Avia.Domestic</t>
  </si>
  <si>
    <t>FEC.ktoe.FI.Tr.Avia.International</t>
  </si>
  <si>
    <t>FEC.ktoe.FI.Tr.Avia.Passenger</t>
  </si>
  <si>
    <t>FEC.ktoe.FI.Tr.Avia.Passenger.Domestic</t>
  </si>
  <si>
    <t>FEC.ktoe.FI.Tr.Avia.Passenger.IntraEEAwCHUK</t>
  </si>
  <si>
    <t>FEC.ktoe.FI.Tr.Avia.Passenger.ExtraEEAwCHUK</t>
  </si>
  <si>
    <t>FEC.ktoe.FI.Tr.Avia.Freight</t>
  </si>
  <si>
    <t>FEC.ktoe.FI.Tr.Avia.Freight.Domestic</t>
  </si>
  <si>
    <t>FEC.ktoe.FI.Tr.Avia.Freight.IntraEEAwCHUK</t>
  </si>
  <si>
    <t>FEC.ktoe.FI.Tr.Avia.Freight.ExtraEEAwCHUK</t>
  </si>
  <si>
    <t>Eff.kgoe_per_100km.FI.Tr.Avia</t>
  </si>
  <si>
    <t>Eff.kgoe_per_100km.FI.Tr.Avia.Passenger</t>
  </si>
  <si>
    <t>Eff.kgoe_per_100km.FI.Tr.Avia.Passenger.Domestic</t>
  </si>
  <si>
    <t>Eff.kgoe_per_100km.FI.Tr.Avia.Passenger.IntraEEAwCHUK</t>
  </si>
  <si>
    <t>Eff.kgoe_per_100km.FI.Tr.Avia.Passenger.ExtraEEAwCHUK</t>
  </si>
  <si>
    <t>Eff.kgoe_per_100km.FI.Tr.Avia.Freight</t>
  </si>
  <si>
    <t>Eff.kgoe_per_100km.FI.Tr.Avia.Freight.Domestic</t>
  </si>
  <si>
    <t>Eff.kgoe_per_100km.FI.Tr.Avia.Freight.IntraEEAwCHUK</t>
  </si>
  <si>
    <t>Eff.kgoe_per_100km.FI.Tr.Avia.Freight.ExtraEEAwCHUK</t>
  </si>
  <si>
    <t>Eff.kgoe_per_kpkm.FI.Tr.Avia.Passenger</t>
  </si>
  <si>
    <t>Eff.kgoe_per_kpkm.FI.Tr.Avia.Passenger.Domestic</t>
  </si>
  <si>
    <t>Eff.kgoe_per_kpkm.FI.Tr.Avia.Passenger.IntraEEAwCHUK</t>
  </si>
  <si>
    <t>Eff.kgoe_per_kpkm.FI.Tr.Avia.Passenger.ExtraEEAwCHUK</t>
  </si>
  <si>
    <t>Eff.kgoe_per_ktkm.FI.Tr.Avia.Freight</t>
  </si>
  <si>
    <t>Eff.kgoe_per_ktkm.FI.Tr.Avia.Freight.Domestic</t>
  </si>
  <si>
    <t>Eff.kgoe_per_ktkm.FI.Tr.Avia.Freight.IntraEEAwCHUK</t>
  </si>
  <si>
    <t>Eff.kgoe_per_ktkm.FI.Tr.Avia.Freight.ExtraEEAwCHUK</t>
  </si>
  <si>
    <t>FEC_per_flight.kgoe.FI.Tr.Avia</t>
  </si>
  <si>
    <t>FEC_per_flight.kgoe.FI.Tr.Avia.Passenger</t>
  </si>
  <si>
    <t>FEC_per_flight.kgoe.FI.Tr.Avia.Passenger.Domestic</t>
  </si>
  <si>
    <t>FEC_per_flight.kgoe.FI.Tr.Avia.Passenger.IntraEEAwCHUK</t>
  </si>
  <si>
    <t>FEC_per_flight.kgoe.FI.Tr.Avia.Passenger.ExtraEEAwCHUK</t>
  </si>
  <si>
    <t>FEC_per_flight.kgoe.FI.Tr.Avia.Freight</t>
  </si>
  <si>
    <t>FEC_per_flight.kgoe.FI.Tr.Avia.Freight.Domestic</t>
  </si>
  <si>
    <t>FEC_per_flight.kgoe.FI.Tr.Avia.Freight.IntraEEAwCHUK</t>
  </si>
  <si>
    <t>FEC_per_flight.kgoe.FI.Tr.Avia.Freight.ExtraEEAwCHUK</t>
  </si>
  <si>
    <t>Eff_theor.kgoe_per_100km.FI.Tr.Avia</t>
  </si>
  <si>
    <t>Eff_theor.kgoe_per_100km.FI.Tr.Avia.Passenger</t>
  </si>
  <si>
    <t>Eff_theor.kgoe_per_100km.FI.Tr.Avia.Passenger.Domestic</t>
  </si>
  <si>
    <t>Eff_theor.kgoe_per_100km.FI.Tr.Avia.Passenger.IntraEEAwCHUK</t>
  </si>
  <si>
    <t>Eff_theor.kgoe_per_100km.FI.Tr.Avia.Passenger.ExtraEEAwCHUK</t>
  </si>
  <si>
    <t>Eff_theor.kgoe_per_100km.FI.Tr.Avia.Freight</t>
  </si>
  <si>
    <t>Eff_theor.kgoe_per_100km.FI.Tr.Avia.Freight.Domestic</t>
  </si>
  <si>
    <t>Eff_theor.kgoe_per_100km.FI.Tr.Avia.Freight.IntraEEAwCHUK</t>
  </si>
  <si>
    <t>Eff_theor.kgoe_per_100km.FI.Tr.Avia.Freight.ExtraEEAwCHUK</t>
  </si>
  <si>
    <t>Aviation / CO2 emissions - FI - Finland</t>
  </si>
  <si>
    <t>EMI.ktCO2.FI.Tr.Avia</t>
  </si>
  <si>
    <t>EMI.ktCO2.FI.Tr.Avia.Domestic</t>
  </si>
  <si>
    <t>EMI.ktCO2.FI.Tr.Avia.International</t>
  </si>
  <si>
    <t>EMI.ktCO2.FI.Tr.Avia.Passenger</t>
  </si>
  <si>
    <t>EMI.ktCO2.FI.Tr.Avia.Passenger.Domestic</t>
  </si>
  <si>
    <t>EMI.ktCO2.FI.Tr.Avia.Passenger.IntraEEAwCHUK</t>
  </si>
  <si>
    <t>EMI.ktCO2.FI.Tr.Avia.Passenger.ExtraEEAwCHUK</t>
  </si>
  <si>
    <t>EMI.ktCO2.FI.Tr.Avia.Freight</t>
  </si>
  <si>
    <t>EMI.ktCO2.FI.Tr.Avia.Freight.Domestic</t>
  </si>
  <si>
    <t>EMI.ktCO2.FI.Tr.Avia.Freight.IntraEEAwCHUK</t>
  </si>
  <si>
    <t>EMI.ktCO2.FI.Tr.Avia.Freight.ExtraEEAwCHUK</t>
  </si>
  <si>
    <t>EMIint.gCO2_per_km.FI.Tr.Avia</t>
  </si>
  <si>
    <t>EMIint.gCO2_per_km.FI.Tr.Avia.Passenger</t>
  </si>
  <si>
    <t>EMIint.gCO2_per_km.FI.Tr.Avia.Passenger.Domestic</t>
  </si>
  <si>
    <t>EMIint.gCO2_per_km.FI.Tr.Avia.Passenger.IntraEEAwCHUK</t>
  </si>
  <si>
    <t>EMIint.gCO2_per_km.FI.Tr.Avia.Passenger.ExtraEEAwCHUK</t>
  </si>
  <si>
    <t>EMIint.gCO2_per_km.FI.Tr.Avia.Freight</t>
  </si>
  <si>
    <t>EMIint.gCO2_per_km.FI.Tr.Avia.Freight.Domestic</t>
  </si>
  <si>
    <t>EMIint.gCO2_per_km.FI.Tr.Avia.Freight.IntraEEAwCHUK</t>
  </si>
  <si>
    <t>EMIint.gCO2_per_km.FI.Tr.Avia.Freight.ExtraEEAwCHUK</t>
  </si>
  <si>
    <t>EMIint.gCO2_per_pkm.FI.Tr.Avia.Passenger</t>
  </si>
  <si>
    <t>EMIint.gCO2_per_pkm.FI.Tr.Avia.Passenger.Domestic</t>
  </si>
  <si>
    <t>EMIint.gCO2_per_pkm.FI.Tr.Avia.Passenger.IntraEEAwCHUK</t>
  </si>
  <si>
    <t>EMIint.gCO2_per_pkm.FI.Tr.Avia.Passenger.ExtraEEAwCHUK</t>
  </si>
  <si>
    <t>EMIint.gCO2_per_tkm.FI.Tr.Avia.Freight</t>
  </si>
  <si>
    <t>EMIint.gCO2_per_tkm.FI.Tr.Avia.Freight.Domestic</t>
  </si>
  <si>
    <t>EMIint.gCO2_per_tkm.FI.Tr.Avia.Freight.IntraEEAwCHUK</t>
  </si>
  <si>
    <t>EMIint.gCO2_per_tkm.FI.Tr.Avia.Freight.ExtraEEAwCHUK</t>
  </si>
  <si>
    <t>EMI_per_flight.kgCO2.FI.Tr.Avia</t>
  </si>
  <si>
    <t>EMI_per_flight.kgCO2.FI.Tr.Avia.Passenger</t>
  </si>
  <si>
    <t>EMI_per_flight.kgCO2.FI.Tr.Avia.Passenger.Domestic</t>
  </si>
  <si>
    <t>EMI_per_flight.kgCO2.FI.Tr.Avia.Passenger.IntraEEAwCHUK</t>
  </si>
  <si>
    <t>EMI_per_flight.kgCO2.FI.Tr.Avia.Passenger.ExtraEEAwCHUK</t>
  </si>
  <si>
    <t>EMI_per_flight.kgCO2.FI.Tr.Avia.Freight</t>
  </si>
  <si>
    <t>EMI_per_flight.kgCO2.FI.Tr.Avia.Freight.Domestic</t>
  </si>
  <si>
    <t>EMI_per_flight.kgCO2.FI.Tr.Avia.Freight.IntraEEAwCHUK</t>
  </si>
  <si>
    <t>EMI_per_flight.kgCO2.FI.Tr.Avia.Freight.ExtraEEAwCHUK</t>
  </si>
  <si>
    <t>Aviation / passenger transport specific data - FI - Finland</t>
  </si>
  <si>
    <t>TrCap.seats.FI.Tr.Avia.Passenger</t>
  </si>
  <si>
    <t>TrCap.seats.FI.Tr.Avia.Passenger.Domestic</t>
  </si>
  <si>
    <t>TrCap.seats.FI.Tr.Avia.Passenger.IntraEEAwCHUK</t>
  </si>
  <si>
    <t>TrCap.seats.FI.Tr.Avia.Passenger.ExtraEEAwCHUK</t>
  </si>
  <si>
    <t>TrCap_per_flight.seats.FI.Tr.Avia.Passenger</t>
  </si>
  <si>
    <t>TrCap_per_flight.seats.FI.Tr.Avia.Passenger.Domestic</t>
  </si>
  <si>
    <t>TrCap_per_flight.seats.FI.Tr.Avia.Passenger.IntraEEAwCHUK</t>
  </si>
  <si>
    <t>TrCap_per_flight.seats.FI.Tr.Avia.Passenger.ExtraEEAwCHUK</t>
  </si>
  <si>
    <t>Transport overview - FI - Finland</t>
  </si>
  <si>
    <t>Activity.Mpkm.FI.Tr</t>
  </si>
  <si>
    <t>Activity.Mpkm.FI.Tr.Road.Passenger</t>
  </si>
  <si>
    <t>Activity.Mpkm.FI.Tr.Road.Passenger.P2W</t>
  </si>
  <si>
    <t>Activity.Mpkm.FI.Tr.Road.Passenger.Car</t>
  </si>
  <si>
    <t>Activity.Mpkm.FI.Tr.Road.Passenger.Bus</t>
  </si>
  <si>
    <t>Activity.Mpkm.FI.Tr.Rail.Passenger</t>
  </si>
  <si>
    <t>Activity.Mpkm.FI.Tr.Rail.Passenger.MTU</t>
  </si>
  <si>
    <t>Activity.Mpkm.FI.Tr.Rail.Passenger.CPT</t>
  </si>
  <si>
    <t>Activity.Mpkm.FI.Tr.Rail.Passenger.HST</t>
  </si>
  <si>
    <t>Activity.Mtkm.FI.Tr</t>
  </si>
  <si>
    <t>Activity.Mtkm.FI.Tr.Road.Freight</t>
  </si>
  <si>
    <t>Activity.Mtkm.FI.Tr.Road.Freight.LCV</t>
  </si>
  <si>
    <t>Activity.Mtkm.FI.Tr.Road.Freight.HGV_All</t>
  </si>
  <si>
    <t>Activity.Mtkm.FI.Tr.Rail.Freight</t>
  </si>
  <si>
    <t>Activity.Mtkm.FI.Tr.DNavi.Freight</t>
  </si>
  <si>
    <t>Activity.Mtkm.FI.Tr.DNavi.Freight.DCS</t>
  </si>
  <si>
    <t>Activity.Mtkm.FI.Tr.DNavi.Freight.IWW</t>
  </si>
  <si>
    <t>Activity.Mtkm.FI.MBunk.Freight</t>
  </si>
  <si>
    <t>Activity.Mtkm.FI.MBunk.Freight.IntraEEA</t>
  </si>
  <si>
    <t>Activity.Mtkm.FI.MBunk.Freight.ExtraEEA</t>
  </si>
  <si>
    <t>FEC.ktoe.FI.Tr.Road.Passenger</t>
  </si>
  <si>
    <t>FEC.ktoe.FI.Tr.Road.Passenger.P2W</t>
  </si>
  <si>
    <t>FEC.ktoe.FI.Tr.Road.Passenger.Car</t>
  </si>
  <si>
    <t>FEC.ktoe.FI.Tr.Road.Passenger.Bus</t>
  </si>
  <si>
    <t>FEC.ktoe.FI.Tr.Rail.Passenger</t>
  </si>
  <si>
    <t>FEC.ktoe.FI.Tr.Rail.Passenger.MTU</t>
  </si>
  <si>
    <t>FEC.ktoe.FI.Tr.Rail.Passenger.CPT</t>
  </si>
  <si>
    <t>FEC.ktoe.FI.Tr.Rail.Passenger.HST</t>
  </si>
  <si>
    <t>FEC.ktoe.FI.Tr.Road.Freight</t>
  </si>
  <si>
    <t>FEC.ktoe.FI.Tr.Road.Freight.LCV</t>
  </si>
  <si>
    <t>FEC.ktoe.FI.Tr.Road.Freight.HGV_All</t>
  </si>
  <si>
    <t>FEC.ktoe.FI.Tr.Rail.Freight</t>
  </si>
  <si>
    <t>EMI.ktCO2.FI.Tr.Road.Passenger</t>
  </si>
  <si>
    <t>EMI.ktCO2.FI.Tr.Road.Passenger.P2W</t>
  </si>
  <si>
    <t>EMI.ktCO2.FI.Tr.Road.Passenger.Car</t>
  </si>
  <si>
    <t>EMI.ktCO2.FI.Tr.Road.Passenger.Bus</t>
  </si>
  <si>
    <t>EMI.ktCO2.FI.Tr.Rail.Passenger</t>
  </si>
  <si>
    <t>EMI.ktCO2.FI.Tr.Rail.Passenger.MTU</t>
  </si>
  <si>
    <t>EMI.ktCO2.FI.Tr.Rail.Passenger.CPT</t>
  </si>
  <si>
    <t>EMI.ktCO2.FI.Tr.Rail.Passenger.HST</t>
  </si>
  <si>
    <t>EMI.ktCO2.FI.Tr.Road.Freight</t>
  </si>
  <si>
    <t>EMI.ktCO2.FI.Tr.Road.Freight.LCV</t>
  </si>
  <si>
    <t>EMI.ktCO2.FI.Tr.Road.Freight.HGV_All</t>
  </si>
  <si>
    <t>EMI.ktCO2.FI.Tr.Rail.Freight</t>
  </si>
  <si>
    <t>Eff.kgoe_per_kpkm.FI.Tr</t>
  </si>
  <si>
    <t>Eff.kgoe_per_kpkm.FI.Tr.Road.Passenger</t>
  </si>
  <si>
    <t>Eff.kgoe_per_kpkm.FI.Tr.Road.Passenger.P2W</t>
  </si>
  <si>
    <t>Eff.kgoe_per_kpkm.FI.Tr.Road.Passenger.Car</t>
  </si>
  <si>
    <t>Eff.kgoe_per_kpkm.FI.Tr.Road.Passenger.Bus</t>
  </si>
  <si>
    <t>Eff.kgoe_per_kpkm.FI.Tr.Rail.Passenger</t>
  </si>
  <si>
    <t>Eff.kgoe_per_kpkm.FI.Tr.Rail.Passenger.MTU</t>
  </si>
  <si>
    <t>Eff.kgoe_per_kpkm.FI.Tr.Rail.Passenger.CPT</t>
  </si>
  <si>
    <t>Eff.kgoe_per_kpkm.FI.Tr.Rail.Passenger.HST</t>
  </si>
  <si>
    <t>Eff.kgoe_per_ktkm.FI.Tr</t>
  </si>
  <si>
    <t>Eff.kgoe_per_ktkm.FI.Tr.Road.Freight</t>
  </si>
  <si>
    <t>Eff.kgoe_per_ktkm.FI.Tr.Road.Freight.LCV</t>
  </si>
  <si>
    <t>Eff.kgoe_per_ktkm.FI.Tr.Road.Freight.HGV_All</t>
  </si>
  <si>
    <t>Eff.kgoe_per_ktkm.FI.Tr.Rail.Freight</t>
  </si>
  <si>
    <t>Eff.kgoe_per_ktkm.FI.Tr.DNavi.Freight</t>
  </si>
  <si>
    <t>Eff.kgoe_per_ktkm.FI.Tr.DNavi.Freight.DCS</t>
  </si>
  <si>
    <t>Eff.kgoe_per_ktkm.FI.Tr.DNavi.Freight.IWW</t>
  </si>
  <si>
    <t>Eff.kgoe_per_ktkm.FI.MBunk.Freight</t>
  </si>
  <si>
    <t>Eff.kgoe_per_ktkm.FI.MBunk.Freight.IntraEEA</t>
  </si>
  <si>
    <t>Eff.kgoe_per_ktkm.FI.MBunk.Freight.ExtraEEA</t>
  </si>
  <si>
    <t>EMIint.gCO2_per_pkm.FI.Tr</t>
  </si>
  <si>
    <t>EMIint.gCO2_per_pkm.FI.Tr.Road.Passenger</t>
  </si>
  <si>
    <t>EMIint.gCO2_per_pkm.FI.Tr.Road.Passenger.P2W</t>
  </si>
  <si>
    <t>EMIint.gCO2_per_pkm.FI.Tr.Road.Passenger.Car</t>
  </si>
  <si>
    <t>EMIint.gCO2_per_pkm.FI.Tr.Road.Passenger.Bus</t>
  </si>
  <si>
    <t>EMIint.gCO2_per_pkm.FI.Tr.Rail.Passenger</t>
  </si>
  <si>
    <t>EMIint.gCO2_per_pkm.FI.Tr.Rail.Passenger.MTU</t>
  </si>
  <si>
    <t>EMIint.gCO2_per_pkm.FI.Tr.Rail.Passenger.CPT</t>
  </si>
  <si>
    <t>EMIint.gCO2_per_pkm.FI.Tr.Rail.Passenger.HST</t>
  </si>
  <si>
    <t>EMIint.gCO2_per_tkm.FI.Tr</t>
  </si>
  <si>
    <t>EMIint.gCO2_per_tkm.FI.Tr.Road.Freight</t>
  </si>
  <si>
    <t>EMIint.gCO2_per_tkm.FI.Tr.Road.Freight.LCV</t>
  </si>
  <si>
    <t>EMIint.gCO2_per_tkm.FI.Tr.Road.Freight.HGV_All</t>
  </si>
  <si>
    <t>EMIint.gCO2_per_tkm.FI.Tr.Rail.Freight</t>
  </si>
  <si>
    <t>EMIint.gCO2_per_tkm.FI.Tr.DNavi.Freight</t>
  </si>
  <si>
    <t>EMIint.gCO2_per_tkm.FI.Tr.DNavi.Freight.DCS</t>
  </si>
  <si>
    <t>EMIint.gCO2_per_tkm.FI.Tr.DNavi.Freight.IWW</t>
  </si>
  <si>
    <t>EMIint.gCO2_per_tkm.FI.MBunk.Freight</t>
  </si>
  <si>
    <t>EMIint.gCO2_per_tkm.FI.MBunk.Freight.IntraEEA</t>
  </si>
  <si>
    <t>EMIint.gCO2_per_tkm.FI.MBunk.Freight.ExtraEEA</t>
  </si>
  <si>
    <t>Road transport - FI - Finland</t>
  </si>
  <si>
    <t>Activity.Mpkm.FI.Tr.Road.Passenger.Car.ICE.Gasoline</t>
  </si>
  <si>
    <t>Activity.Mpkm.FI.Tr.Road.Passenger.Car.ICE.Diesel</t>
  </si>
  <si>
    <t>Activity.Mpkm.FI.Tr.Road.Passenger.Car.ICE.LPG</t>
  </si>
  <si>
    <t>Activity.Mpkm.FI.Tr.Road.Passenger.Car.ICE.NGas</t>
  </si>
  <si>
    <t>Activity.Mpkm.FI.Tr.Road.Passenger.Car.PHEV.Gasoline</t>
  </si>
  <si>
    <t>Activity.Mpkm.FI.Tr.Road.Passenger.Car.BEV</t>
  </si>
  <si>
    <t>Activity.Mpkm.FI.Tr.Road.Passenger.Bus.ICE.Gasoline</t>
  </si>
  <si>
    <t>Activity.Mpkm.FI.Tr.Road.Passenger.Bus.ICE.Diesel</t>
  </si>
  <si>
    <t>Activity.Mpkm.FI.Tr.Road.Passenger.Bus.ICE.LPG</t>
  </si>
  <si>
    <t>Activity.Mpkm.FI.Tr.Road.Passenger.Bus.ICE.NGas</t>
  </si>
  <si>
    <t>Activity.Mpkm.FI.Tr.Road.Passenger.Bus.BEV</t>
  </si>
  <si>
    <t>Activity.Mtkm.FI.Tr.Road.Freight.LCV.ICE.Gasoline</t>
  </si>
  <si>
    <t>Activity.Mtkm.FI.Tr.Road.Freight.LCV.ICE.Diesel</t>
  </si>
  <si>
    <t>Activity.Mtkm.FI.Tr.Road.Freight.LCV.ICE.LPG</t>
  </si>
  <si>
    <t>Activity.Mtkm.FI.Tr.Road.Freight.LCV.ICE.NGas</t>
  </si>
  <si>
    <t>Activity.Mtkm.FI.Tr.Road.Freight.LCV.BEV</t>
  </si>
  <si>
    <t>Activity.Mtkm.FI.Tr.Road.Freight.HGV_Domestic</t>
  </si>
  <si>
    <t>Activity.Mtkm.FI.Tr.Road.Freight.HGV_International</t>
  </si>
  <si>
    <t>VehicleKm.Mkm.FI.Tr.Road</t>
  </si>
  <si>
    <t>VehicleKm.Mkm.FI.Tr.Road.Passenger</t>
  </si>
  <si>
    <t>VehicleKm.Mkm.FI.Tr.Road.Passenger.P2W</t>
  </si>
  <si>
    <t>VehicleKm.Mkm.FI.Tr.Road.Passenger.Car</t>
  </si>
  <si>
    <t>VehicleKm.Mkm.FI.Tr.Road.Passenger.Car.ICE.Gasoline</t>
  </si>
  <si>
    <t>VehicleKm.Mkm.FI.Tr.Road.Passenger.Car.ICE.Diesel</t>
  </si>
  <si>
    <t>VehicleKm.Mkm.FI.Tr.Road.Passenger.Car.ICE.LPG</t>
  </si>
  <si>
    <t>VehicleKm.Mkm.FI.Tr.Road.Passenger.Car.ICE.NGas</t>
  </si>
  <si>
    <t>VehicleKm.Mkm.FI.Tr.Road.Passenger.Car.PHEV.Gasoline</t>
  </si>
  <si>
    <t>VehicleKm.Mkm.FI.Tr.Road.Passenger.Car.BEV</t>
  </si>
  <si>
    <t>VehicleKm.Mkm.FI.Tr.Road.Passenger.Bus</t>
  </si>
  <si>
    <t>VehicleKm.Mkm.FI.Tr.Road.Passenger.Bus.ICE.Gasoline</t>
  </si>
  <si>
    <t>VehicleKm.Mkm.FI.Tr.Road.Passenger.Bus.ICE.Diesel</t>
  </si>
  <si>
    <t>VehicleKm.Mkm.FI.Tr.Road.Passenger.Bus.ICE.LPG</t>
  </si>
  <si>
    <t>VehicleKm.Mkm.FI.Tr.Road.Passenger.Bus.ICE.NGas</t>
  </si>
  <si>
    <t>VehicleKm.Mkm.FI.Tr.Road.Passenger.Bus.BEV</t>
  </si>
  <si>
    <t>VehicleKm.Mkm.FI.Tr.Road.Freight</t>
  </si>
  <si>
    <t>VehicleKm.Mkm.FI.Tr.Road.Freight.LCV</t>
  </si>
  <si>
    <t>VehicleKm.Mkm.FI.Tr.Road.Freight.LCV.ICE.Gasoline</t>
  </si>
  <si>
    <t>VehicleKm.Mkm.FI.Tr.Road.Freight.LCV.ICE.Diesel</t>
  </si>
  <si>
    <t>VehicleKm.Mkm.FI.Tr.Road.Freight.LCV.ICE.LPG</t>
  </si>
  <si>
    <t>VehicleKm.Mkm.FI.Tr.Road.Freight.LCV.ICE.NGas</t>
  </si>
  <si>
    <t>VehicleKm.Mkm.FI.Tr.Road.Freight.LCV.BEV</t>
  </si>
  <si>
    <t>VehicleKm.Mkm.FI.Tr.Road.Freight.HGV_All</t>
  </si>
  <si>
    <t>VehicleKm.Mkm.FI.Tr.Road.Freight.HGV_Domestic</t>
  </si>
  <si>
    <t>VehicleKm.Mkm.FI.Tr.Road.Freight.HGV_International</t>
  </si>
  <si>
    <t>Stock.number.FI.Tr.Road</t>
  </si>
  <si>
    <t>Stock.number.FI.Tr.Road.Passenger</t>
  </si>
  <si>
    <t>Stock.number.FI.Tr.Road.Passenger.P2W</t>
  </si>
  <si>
    <t>Stock.number.FI.Tr.Road.Passenger.Car</t>
  </si>
  <si>
    <t>Stock.number.FI.Tr.Road.Passenger.Car.ICE.Gasoline</t>
  </si>
  <si>
    <t>Stock.number.FI.Tr.Road.Passenger.Car.ICE.Diesel</t>
  </si>
  <si>
    <t>Stock.number.FI.Tr.Road.Passenger.Car.ICE.LPG</t>
  </si>
  <si>
    <t>Stock.number.FI.Tr.Road.Passenger.Car.ICE.NGas</t>
  </si>
  <si>
    <t>Stock.number.FI.Tr.Road.Passenger.Car.PHEV.Gasoline</t>
  </si>
  <si>
    <t>Stock.number.FI.Tr.Road.Passenger.Car.BEV</t>
  </si>
  <si>
    <t>Stock.number.FI.Tr.Road.Passenger.Bus</t>
  </si>
  <si>
    <t>Stock.number.FI.Tr.Road.Passenger.Bus.ICE.Gasoline</t>
  </si>
  <si>
    <t>Stock.number.FI.Tr.Road.Passenger.Bus.ICE.Diesel</t>
  </si>
  <si>
    <t>Stock.number.FI.Tr.Road.Passenger.Bus.ICE.LPG</t>
  </si>
  <si>
    <t>Stock.number.FI.Tr.Road.Passenger.Bus.ICE.NGas</t>
  </si>
  <si>
    <t>Stock.number.FI.Tr.Road.Passenger.Bus.BEV</t>
  </si>
  <si>
    <t>Stock.number.FI.Tr.Road.Freight</t>
  </si>
  <si>
    <t>Stock.number.FI.Tr.Road.Freight.LCV</t>
  </si>
  <si>
    <t>Stock.number.FI.Tr.Road.Freight.LCV.ICE.Gasoline</t>
  </si>
  <si>
    <t>Stock.number.FI.Tr.Road.Freight.LCV.ICE.Diesel</t>
  </si>
  <si>
    <t>Stock.number.FI.Tr.Road.Freight.LCV.ICE.LPG</t>
  </si>
  <si>
    <t>Stock.number.FI.Tr.Road.Freight.LCV.ICE.NGas</t>
  </si>
  <si>
    <t>Stock.number.FI.Tr.Road.Freight.LCV.BEV</t>
  </si>
  <si>
    <t>Stock.number.FI.Tr.Road.Freight.HGV_All</t>
  </si>
  <si>
    <t>Stock.number.FI.Tr.Road.Freight.HGV_Domestic</t>
  </si>
  <si>
    <t>Stock.number.FI.Tr.Road.Freight.HGV_International</t>
  </si>
  <si>
    <t>StockNew.number.FI.Tr.Road</t>
  </si>
  <si>
    <t>StockNew.number.FI.Tr.Road.Passenger</t>
  </si>
  <si>
    <t>StockNew.number.FI.Tr.Road.Passenger.P2W</t>
  </si>
  <si>
    <t>StockNew.number.FI.Tr.Road.Passenger.Car</t>
  </si>
  <si>
    <t>StockNew.number.FI.Tr.Road.Passenger.Car.ICE.Gasoline</t>
  </si>
  <si>
    <t>StockNew.number.FI.Tr.Road.Passenger.Car.ICE.Diesel</t>
  </si>
  <si>
    <t>StockNew.number.FI.Tr.Road.Passenger.Car.ICE.LPG</t>
  </si>
  <si>
    <t>StockNew.number.FI.Tr.Road.Passenger.Car.ICE.NGas</t>
  </si>
  <si>
    <t>StockNew.number.FI.Tr.Road.Passenger.Car.PHEV.Gasoline</t>
  </si>
  <si>
    <t>StockNew.number.FI.Tr.Road.Passenger.Car.BEV</t>
  </si>
  <si>
    <t>StockNew.number.FI.Tr.Road.Passenger.Bus</t>
  </si>
  <si>
    <t>StockNew.number.FI.Tr.Road.Passenger.Bus.ICE.Gasoline</t>
  </si>
  <si>
    <t>StockNew.number.FI.Tr.Road.Passenger.Bus.ICE.Diesel</t>
  </si>
  <si>
    <t>StockNew.number.FI.Tr.Road.Passenger.Bus.ICE.LPG</t>
  </si>
  <si>
    <t>StockNew.number.FI.Tr.Road.Passenger.Bus.ICE.NGas</t>
  </si>
  <si>
    <t>StockNew.number.FI.Tr.Road.Passenger.Bus.BEV</t>
  </si>
  <si>
    <t>StockNew.number.FI.Tr.Road.Freight</t>
  </si>
  <si>
    <t>StockNew.number.FI.Tr.Road.Freight.LCV</t>
  </si>
  <si>
    <t>StockNew.number.FI.Tr.Road.Freight.LCV.ICE.Gasoline</t>
  </si>
  <si>
    <t>StockNew.number.FI.Tr.Road.Freight.LCV.ICE.Diesel</t>
  </si>
  <si>
    <t>StockNew.number.FI.Tr.Road.Freight.LCV.ICE.LPG</t>
  </si>
  <si>
    <t>StockNew.number.FI.Tr.Road.Freight.LCV.ICE.NGas</t>
  </si>
  <si>
    <t>StockNew.number.FI.Tr.Road.Freight.LCV.BEV</t>
  </si>
  <si>
    <t>StockNew.number.FI.Tr.Road.Freight.HGV_All</t>
  </si>
  <si>
    <t>StockNew.number.FI.Tr.Road.Freight.HGV_Domestic</t>
  </si>
  <si>
    <t>StockNew.number.FI.Tr.Road.Freight.HGV_International</t>
  </si>
  <si>
    <t>Load.passenger_per_movement.FI.Tr.Road.Passenger</t>
  </si>
  <si>
    <t>Load.passenger_per_movement.FI.Tr.Road.Passenger.P2W</t>
  </si>
  <si>
    <t>Load.passenger_per_movement.FI.Tr.Road.Passenger.Car</t>
  </si>
  <si>
    <t>Load.passenger_per_movement.FI.Tr.Road.Passenger.Car.ICE.Gasoline</t>
  </si>
  <si>
    <t>Load.passenger_per_movement.FI.Tr.Road.Passenger.Car.ICE.Diesel</t>
  </si>
  <si>
    <t>Load.passenger_per_movement.FI.Tr.Road.Passenger.Car.ICE.LPG</t>
  </si>
  <si>
    <t>Load.passenger_per_movement.FI.Tr.Road.Passenger.Car.ICE.NGas</t>
  </si>
  <si>
    <t>Load.passenger_per_movement.FI.Tr.Road.Passenger.Car.PHEV.Gasoline</t>
  </si>
  <si>
    <t>Load.passenger_per_movement.FI.Tr.Road.Passenger.Car.BEV</t>
  </si>
  <si>
    <t>Load.passenger_per_movement.FI.Tr.Road.Passenger.Bus</t>
  </si>
  <si>
    <t>Load.passenger_per_movement.FI.Tr.Road.Passenger.Bus.ICE.Gasoline</t>
  </si>
  <si>
    <t>Load.passenger_per_movement.FI.Tr.Road.Passenger.Bus.ICE.Diesel</t>
  </si>
  <si>
    <t>Load.passenger_per_movement.FI.Tr.Road.Passenger.Bus.ICE.LPG</t>
  </si>
  <si>
    <t>Load.passenger_per_movement.FI.Tr.Road.Passenger.Bus.ICE.NGas</t>
  </si>
  <si>
    <t>Load.passenger_per_movement.FI.Tr.Road.Passenger.Bus.BEV</t>
  </si>
  <si>
    <t>Load.t_per_movement.FI.Tr.Road.Freight</t>
  </si>
  <si>
    <t>Load.t_per_movement.FI.Tr.Road.Freight.LCV</t>
  </si>
  <si>
    <t>Load.t_per_movement.FI.Tr.Road.Freight.LCV.ICE.Gasoline</t>
  </si>
  <si>
    <t>Load.t_per_movement.FI.Tr.Road.Freight.LCV.ICE.Diesel</t>
  </si>
  <si>
    <t>Load.t_per_movement.FI.Tr.Road.Freight.LCV.ICE.LPG</t>
  </si>
  <si>
    <t>Load.t_per_movement.FI.Tr.Road.Freight.LCV.ICE.NGas</t>
  </si>
  <si>
    <t>Load.t_per_movement.FI.Tr.Road.Freight.LCV.BEV</t>
  </si>
  <si>
    <t>Load.t_per_movement.FI.Tr.Road.Freight.HGV_All</t>
  </si>
  <si>
    <t>Load.t_per_movement.FI.Tr.Road.Freight.HGV_Domestic</t>
  </si>
  <si>
    <t>Load.t_per_movement.FI.Tr.Road.Freight.HGV_International</t>
  </si>
  <si>
    <t>VehicleKm_per_vehicle.km.FI.Tr.Road</t>
  </si>
  <si>
    <t>VehicleKm_per_vehicle.km.FI.Tr.Road.Passenger</t>
  </si>
  <si>
    <t>VehicleKm_per_vehicle.km.FI.Tr.Road.Passenger.P2W</t>
  </si>
  <si>
    <t>VehicleKm_per_vehicle.km.FI.Tr.Road.Passenger.Car</t>
  </si>
  <si>
    <t>VehicleKm_per_vehicle.km.FI.Tr.Road.Passenger.Car.ICE.Gasoline</t>
  </si>
  <si>
    <t>VehicleKm_per_vehicle.km.FI.Tr.Road.Passenger.Car.ICE.Diesel</t>
  </si>
  <si>
    <t>VehicleKm_per_vehicle.km.FI.Tr.Road.Passenger.Car.ICE.LPG</t>
  </si>
  <si>
    <t>VehicleKm_per_vehicle.km.FI.Tr.Road.Passenger.Car.ICE.NGas</t>
  </si>
  <si>
    <t>VehicleKm_per_vehicle.km.FI.Tr.Road.Passenger.Car.PHEV.Gasoline</t>
  </si>
  <si>
    <t>VehicleKm_per_vehicle.km.FI.Tr.Road.Passenger.Car.BEV</t>
  </si>
  <si>
    <t>VehicleKm_per_vehicle.km.FI.Tr.Road.Passenger.Bus</t>
  </si>
  <si>
    <t>VehicleKm_per_vehicle.km.FI.Tr.Road.Passenger.Bus.ICE.Gasoline</t>
  </si>
  <si>
    <t>VehicleKm_per_vehicle.km.FI.Tr.Road.Passenger.Bus.ICE.Diesel</t>
  </si>
  <si>
    <t>VehicleKm_per_vehicle.km.FI.Tr.Road.Passenger.Bus.ICE.LPG</t>
  </si>
  <si>
    <t>VehicleKm_per_vehicle.km.FI.Tr.Road.Passenger.Bus.ICE.NGas</t>
  </si>
  <si>
    <t>VehicleKm_per_vehicle.km.FI.Tr.Road.Passenger.Bus.BEV</t>
  </si>
  <si>
    <t>VehicleKm_per_vehicle.km.FI.Tr.Road.Freight</t>
  </si>
  <si>
    <t>VehicleKm_per_vehicle.km.FI.Tr.Road.Freight.LCV</t>
  </si>
  <si>
    <t>VehicleKm_per_vehicle.km.FI.Tr.Road.Freight.LCV.ICE.Gasoline</t>
  </si>
  <si>
    <t>VehicleKm_per_vehicle.km.FI.Tr.Road.Freight.LCV.ICE.Diesel</t>
  </si>
  <si>
    <t>VehicleKm_per_vehicle.km.FI.Tr.Road.Freight.LCV.ICE.LPG</t>
  </si>
  <si>
    <t>VehicleKm_per_vehicle.km.FI.Tr.Road.Freight.LCV.ICE.NGas</t>
  </si>
  <si>
    <t>VehicleKm_per_vehicle.km.FI.Tr.Road.Freight.LCV.BEV</t>
  </si>
  <si>
    <t>VehicleKm_per_vehicle.km.FI.Tr.Road.Freight.HGV_All</t>
  </si>
  <si>
    <t>VehicleKm_per_vehicle.km.FI.Tr.Road.Freight.HGV_Domestic</t>
  </si>
  <si>
    <t>VehicleKm_per_vehicle.km.FI.Tr.Road.Freight.HGV_International</t>
  </si>
  <si>
    <t>Activity_per_vehicle.pkm.FI.Tr.Road.Passenger</t>
  </si>
  <si>
    <t>Activity_per_vehicle.pkm.FI.Tr.Road.Passenger.P2W</t>
  </si>
  <si>
    <t>Activity_per_vehicle.pkm.FI.Tr.Road.Passenger.Car</t>
  </si>
  <si>
    <t>Activity_per_vehicle.pkm.FI.Tr.Road.Passenger.Car.ICE.Gasoline</t>
  </si>
  <si>
    <t>Activity_per_vehicle.pkm.FI.Tr.Road.Passenger.Car.ICE.Diesel</t>
  </si>
  <si>
    <t>Activity_per_vehicle.pkm.FI.Tr.Road.Passenger.Car.ICE.LPG</t>
  </si>
  <si>
    <t>Activity_per_vehicle.pkm.FI.Tr.Road.Passenger.Car.ICE.NGas</t>
  </si>
  <si>
    <t>Activity_per_vehicle.pkm.FI.Tr.Road.Passenger.Car.PHEV.Gasoline</t>
  </si>
  <si>
    <t>Activity_per_vehicle.pkm.FI.Tr.Road.Passenger.Car.BEV</t>
  </si>
  <si>
    <t>Activity_per_vehicle.pkm.FI.Tr.Road.Passenger.Bus</t>
  </si>
  <si>
    <t>Activity_per_vehicle.pkm.FI.Tr.Road.Passenger.Bus.ICE.Gasoline</t>
  </si>
  <si>
    <t>Activity_per_vehicle.pkm.FI.Tr.Road.Passenger.Bus.ICE.Diesel</t>
  </si>
  <si>
    <t>Activity_per_vehicle.pkm.FI.Tr.Road.Passenger.Bus.ICE.LPG</t>
  </si>
  <si>
    <t>Activity_per_vehicle.pkm.FI.Tr.Road.Passenger.Bus.ICE.NGas</t>
  </si>
  <si>
    <t>Activity_per_vehicle.pkm.FI.Tr.Road.Passenger.Bus.BEV</t>
  </si>
  <si>
    <t>Activity_per_vehicle.tkm.FI.Tr.Road.Freight</t>
  </si>
  <si>
    <t>Activity_per_vehicle.tkm.FI.Tr.Road.Freight.LCV</t>
  </si>
  <si>
    <t>Activity_per_vehicle.tkm.FI.Tr.Road.Freight.LCV.ICE.Gasoline</t>
  </si>
  <si>
    <t>Activity_per_vehicle.tkm.FI.Tr.Road.Freight.LCV.ICE.Diesel</t>
  </si>
  <si>
    <t>Activity_per_vehicle.tkm.FI.Tr.Road.Freight.LCV.ICE.LPG</t>
  </si>
  <si>
    <t>Activity_per_vehicle.tkm.FI.Tr.Road.Freight.LCV.ICE.NGas</t>
  </si>
  <si>
    <t>Activity_per_vehicle.tkm.FI.Tr.Road.Freight.LCV.BEV</t>
  </si>
  <si>
    <t>Activity_per_vehicle.tkm.FI.Tr.Road.Freight.HGV_All</t>
  </si>
  <si>
    <t>Activity_per_vehicle.tkm.FI.Tr.Road.Freight.HGV_Domestic</t>
  </si>
  <si>
    <t>Activity_per_vehicle.tkm.FI.Tr.Road.Freight.HGV_International</t>
  </si>
  <si>
    <t>Road transport / energy consumption - FI - Finland</t>
  </si>
  <si>
    <t>FEC.ktoe.FI.ES.Tr.Road</t>
  </si>
  <si>
    <t>FEC.ktoe.FI.ES.Tr.Road.LPG</t>
  </si>
  <si>
    <t>FEC.ktoe.FI.ES.Tr.Road.Gasoline</t>
  </si>
  <si>
    <t>FEC.ktoe.FI.ES.Tr.Road.Diesel</t>
  </si>
  <si>
    <t>FEC.ktoe.FI.ES.Tr.Road.NG</t>
  </si>
  <si>
    <t>FEC.ktoe.FI.ES.Tr.Road.Biogas</t>
  </si>
  <si>
    <t>FEC.ktoe.FI.ES.Tr.Road.Biogasoline</t>
  </si>
  <si>
    <t>FEC.ktoe.FI.ES.Tr.Road.Biodiesel</t>
  </si>
  <si>
    <t>FEC.ktoe.FI.ES.Tr.Road.OthLiqBio</t>
  </si>
  <si>
    <t>FEC.ktoe.FI.ES.Tr.Road.Elec</t>
  </si>
  <si>
    <t>FEC.ktoe.FI.Tr.Road</t>
  </si>
  <si>
    <t>FEC.ktoe.FI.Tr.Road.Passenger.P2W.Total.Total.Biogasoline</t>
  </si>
  <si>
    <t>FEC.ktoe.FI.Tr.Road.Passenger.Car.ICE.Gasoline</t>
  </si>
  <si>
    <t>FEC.ktoe.FI.Tr.Road.Passenger.Car.ICE.Gasoline.Biogasoline</t>
  </si>
  <si>
    <t>FEC.ktoe.FI.Tr.Road.Passenger.Car.ICE.Diesel</t>
  </si>
  <si>
    <t>FEC.ktoe.FI.Tr.Road.Passenger.Car.ICE.Diesel.BioDiesel_OthLiqBio</t>
  </si>
  <si>
    <t>FEC.ktoe.FI.Tr.Road.Passenger.Car.ICE.LPG</t>
  </si>
  <si>
    <t>FEC.ktoe.FI.Tr.Road.Passenger.Car.ICE.NGas</t>
  </si>
  <si>
    <t>FEC.ktoe.FI.Tr.Road.Passenger.Car.ICE.NGas.Biogas</t>
  </si>
  <si>
    <t>FEC.ktoe.FI.Tr.Road.Passenger.Car.PHEV.Gasoline</t>
  </si>
  <si>
    <t>FEC.ktoe.FI.Tr.Road.Passenger.Car.PHEV.Gasoline.Biogasoline</t>
  </si>
  <si>
    <t>FEC.ktoe.FI.Tr.Road.Passenger.Car.PHEV.Gasoline.Elec</t>
  </si>
  <si>
    <t>FEC.ktoe.FI.Tr.Road.Passenger.Car.BEV</t>
  </si>
  <si>
    <t>FEC.ktoe.FI.Tr.Road.Passenger.Bus.ICE.Gasoline</t>
  </si>
  <si>
    <t>FEC.ktoe.FI.Tr.Road.Passenger.Bus.ICE.Gasoline.Biogasoline</t>
  </si>
  <si>
    <t>FEC.ktoe.FI.Tr.Road.Passenger.Bus.ICE.Diesel</t>
  </si>
  <si>
    <t>FEC.ktoe.FI.Tr.Road.Passenger.Bus.ICE.Diesel.BioDiesel_OthLiqBio</t>
  </si>
  <si>
    <t>FEC.ktoe.FI.Tr.Road.Passenger.Bus.ICE.LPG</t>
  </si>
  <si>
    <t>FEC.ktoe.FI.Tr.Road.Passenger.Bus.ICE.NGas</t>
  </si>
  <si>
    <t>FEC.ktoe.FI.Tr.Road.Passenger.Bus.ICE.NGas.Biogas</t>
  </si>
  <si>
    <t>FEC.ktoe.FI.Tr.Road.Passenger.Bus.BEV</t>
  </si>
  <si>
    <t>FEC.ktoe.FI.Tr.Road.Freight.LCV.ICE.Gasoline</t>
  </si>
  <si>
    <t>FEC.ktoe.FI.Tr.Road.Freight.LCV.ICE.Gasoline.Biogasoline</t>
  </si>
  <si>
    <t>FEC.ktoe.FI.Tr.Road.Freight.LCV.ICE.Diesel</t>
  </si>
  <si>
    <t>FEC.ktoe.FI.Tr.Road.Freight.LCV.ICE.Diesel.BioDiesel_OthLiqBio</t>
  </si>
  <si>
    <t>FEC.ktoe.FI.Tr.Road.Freight.LCV.ICE.LPG</t>
  </si>
  <si>
    <t>FEC.ktoe.FI.Tr.Road.Freight.LCV.ICE.NGas</t>
  </si>
  <si>
    <t>FEC.ktoe.FI.Tr.Road.Freight.LCV.ICE.NGas.Biogas</t>
  </si>
  <si>
    <t>FEC.ktoe.FI.Tr.Road.Freight.LCV.BEV</t>
  </si>
  <si>
    <t>FEC.ktoe.FI.Tr.Road.Freight.HGV_Domestic</t>
  </si>
  <si>
    <t>FEC.ktoe.FI.Tr.Road.Freight.HGV_Domestic.Total.Total.BioDiesel_OthLiqBio</t>
  </si>
  <si>
    <t>FEC.ktoe.FI.Tr.Road.Freight.HGV_International</t>
  </si>
  <si>
    <t>FEC.ktoe.FI.Tr.Road.Freight.HGV_International.Total.Total.BioDiesel_OthLiqBio</t>
  </si>
  <si>
    <t>Eff.kgoe_per_100km.FI.Tr.Road</t>
  </si>
  <si>
    <t>Eff.kgoe_per_100km.FI.Tr.Road.Passenger</t>
  </si>
  <si>
    <t>Eff.kgoe_per_100km.FI.Tr.Road.Passenger.P2W</t>
  </si>
  <si>
    <t>Eff.kgoe_per_100km.FI.Tr.Road.Passenger.Car</t>
  </si>
  <si>
    <t>Eff.kgoe_per_100km.FI.Tr.Road.Passenger.Car.ICE.Gasoline</t>
  </si>
  <si>
    <t>Eff.kgoe_per_100km.FI.Tr.Road.Passenger.Car.ICE.Diesel</t>
  </si>
  <si>
    <t>Eff.kgoe_per_100km.FI.Tr.Road.Passenger.Car.ICE.LPG</t>
  </si>
  <si>
    <t>Eff.kgoe_per_100km.FI.Tr.Road.Passenger.Car.ICE.NGas</t>
  </si>
  <si>
    <t>Eff.kgoe_per_100km.FI.Tr.Road.Passenger.Car.PHEV.Gasoline</t>
  </si>
  <si>
    <t>Eff.kgoe_per_100km.FI.Tr.Road.Passenger.Car.BEV</t>
  </si>
  <si>
    <t>Eff.kgoe_per_100km.FI.Tr.Road.Passenger.Bus</t>
  </si>
  <si>
    <t>Eff.kgoe_per_100km.FI.Tr.Road.Passenger.Bus.ICE.Gasoline</t>
  </si>
  <si>
    <t>Eff.kgoe_per_100km.FI.Tr.Road.Passenger.Bus.ICE.Diesel</t>
  </si>
  <si>
    <t>Eff.kgoe_per_100km.FI.Tr.Road.Passenger.Bus.ICE.LPG</t>
  </si>
  <si>
    <t>Eff.kgoe_per_100km.FI.Tr.Road.Passenger.Bus.ICE.NGas</t>
  </si>
  <si>
    <t>Eff.kgoe_per_100km.FI.Tr.Road.Passenger.Bus.BEV</t>
  </si>
  <si>
    <t>Eff.kgoe_per_100km.FI.Tr.Road.Freight</t>
  </si>
  <si>
    <t>Eff.kgoe_per_100km.FI.Tr.Road.Freight.LCV</t>
  </si>
  <si>
    <t>Eff.kgoe_per_100km.FI.Tr.Road.Freight.LCV.ICE.Gasoline</t>
  </si>
  <si>
    <t>Eff.kgoe_per_100km.FI.Tr.Road.Freight.LCV.ICE.Diesel</t>
  </si>
  <si>
    <t>Eff.kgoe_per_100km.FI.Tr.Road.Freight.LCV.ICE.LPG</t>
  </si>
  <si>
    <t>Eff.kgoe_per_100km.FI.Tr.Road.Freight.LCV.ICE.NGas</t>
  </si>
  <si>
    <t>Eff.kgoe_per_100km.FI.Tr.Road.Freight.LCV.BEV</t>
  </si>
  <si>
    <t>Eff.kgoe_per_100km.FI.Tr.Road.Freight.HGV_All</t>
  </si>
  <si>
    <t>Eff.kgoe_per_100km.FI.Tr.Road.Freight.HGV_Domestic</t>
  </si>
  <si>
    <t>Eff.kgoe_per_100km.FI.Tr.Road.Freight.HGV_International</t>
  </si>
  <si>
    <t>Eff.kgoe_per_kpkm.FI.Tr.Road.Passenger.Car.ICE.Gasoline</t>
  </si>
  <si>
    <t>Eff.kgoe_per_kpkm.FI.Tr.Road.Passenger.Car.ICE.Diesel</t>
  </si>
  <si>
    <t>Eff.kgoe_per_kpkm.FI.Tr.Road.Passenger.Car.ICE.LPG</t>
  </si>
  <si>
    <t>Eff.kgoe_per_kpkm.FI.Tr.Road.Passenger.Car.ICE.NGas</t>
  </si>
  <si>
    <t>Eff.kgoe_per_kpkm.FI.Tr.Road.Passenger.Car.PHEV.Gasoline</t>
  </si>
  <si>
    <t>Eff.kgoe_per_kpkm.FI.Tr.Road.Passenger.Car.BEV</t>
  </si>
  <si>
    <t>Eff.kgoe_per_kpkm.FI.Tr.Road.Passenger.Bus.ICE.Gasoline</t>
  </si>
  <si>
    <t>Eff.kgoe_per_kpkm.FI.Tr.Road.Passenger.Bus.ICE.Diesel</t>
  </si>
  <si>
    <t>Eff.kgoe_per_kpkm.FI.Tr.Road.Passenger.Bus.ICE.LPG</t>
  </si>
  <si>
    <t>Eff.kgoe_per_kpkm.FI.Tr.Road.Passenger.Bus.ICE.NGas</t>
  </si>
  <si>
    <t>Eff.kgoe_per_kpkm.FI.Tr.Road.Passenger.Bus.BEV</t>
  </si>
  <si>
    <t>Eff.kgoe_per_ktkm.FI.Tr.Road.Freight.LCV.ICE.Gasoline</t>
  </si>
  <si>
    <t>Eff.kgoe_per_ktkm.FI.Tr.Road.Freight.LCV.ICE.Diesel</t>
  </si>
  <si>
    <t>Eff.kgoe_per_ktkm.FI.Tr.Road.Freight.LCV.ICE.LPG</t>
  </si>
  <si>
    <t>Eff.kgoe_per_ktkm.FI.Tr.Road.Freight.LCV.ICE.NGas</t>
  </si>
  <si>
    <t>Eff.kgoe_per_ktkm.FI.Tr.Road.Freight.LCV.BEV</t>
  </si>
  <si>
    <t>Eff.kgoe_per_ktkm.FI.Tr.Road.Freight.HGV_Domestic</t>
  </si>
  <si>
    <t>Eff.kgoe_per_ktkm.FI.Tr.Road.Freight.HGV_International</t>
  </si>
  <si>
    <t>FEC_per_vehicle.kgoe.FI.Tr.Road.Passenger.P2W</t>
  </si>
  <si>
    <t>FEC_per_vehicle.kgoe.FI.Tr.Road.Passenger.Car</t>
  </si>
  <si>
    <t>FEC_per_vehicle.kgoe.FI.Tr.Road.Passenger.Car.ICE.Gasoline</t>
  </si>
  <si>
    <t>FEC_per_vehicle.kgoe.FI.Tr.Road.Passenger.Car.ICE.Diesel</t>
  </si>
  <si>
    <t>FEC_per_vehicle.kgoe.FI.Tr.Road.Passenger.Car.ICE.LPG</t>
  </si>
  <si>
    <t>FEC_per_vehicle.kgoe.FI.Tr.Road.Passenger.Car.ICE.NGas</t>
  </si>
  <si>
    <t>FEC_per_vehicle.kgoe.FI.Tr.Road.Passenger.Car.PHEV.Gasoline</t>
  </si>
  <si>
    <t>FEC_per_vehicle.kgoe.FI.Tr.Road.Passenger.Car.BEV</t>
  </si>
  <si>
    <t>FEC_per_vehicle.kgoe.FI.Tr.Road.Passenger.Bus</t>
  </si>
  <si>
    <t>FEC_per_vehicle.kgoe.FI.Tr.Road.Passenger.Bus.ICE.Gasoline</t>
  </si>
  <si>
    <t>FEC_per_vehicle.kgoe.FI.Tr.Road.Passenger.Bus.ICE.Diesel</t>
  </si>
  <si>
    <t>FEC_per_vehicle.kgoe.FI.Tr.Road.Passenger.Bus.ICE.LPG</t>
  </si>
  <si>
    <t>FEC_per_vehicle.kgoe.FI.Tr.Road.Passenger.Bus.ICE.NGas</t>
  </si>
  <si>
    <t>FEC_per_vehicle.kgoe.FI.Tr.Road.Passenger.Bus.BEV</t>
  </si>
  <si>
    <t>FEC_per_vehicle.kgoe.FI.Tr.Road.Freight.LCV</t>
  </si>
  <si>
    <t>FEC_per_vehicle.kgoe.FI.Tr.Road.Freight.LCV.ICE.Gasoline</t>
  </si>
  <si>
    <t>FEC_per_vehicle.kgoe.FI.Tr.Road.Freight.LCV.ICE.Diesel</t>
  </si>
  <si>
    <t>FEC_per_vehicle.kgoe.FI.Tr.Road.Freight.LCV.ICE.LPG</t>
  </si>
  <si>
    <t>FEC_per_vehicle.kgoe.FI.Tr.Road.Freight.LCV.ICE.NGas</t>
  </si>
  <si>
    <t>FEC_per_vehicle.kgoe.FI.Tr.Road.Freight.LCV.BEV</t>
  </si>
  <si>
    <t>FEC_per_vehicle.kgoe.FI.Tr.Road.Freight.HGV_All</t>
  </si>
  <si>
    <t>FEC_per_vehicle.kgoe.FI.Tr.Road.Freight.HGV_Domestic</t>
  </si>
  <si>
    <t>FEC_per_vehicle.kgoe.FI.Tr.Road.Freight.HGV_International</t>
  </si>
  <si>
    <t>Road transport / CO2 emissions - FI - Finland</t>
  </si>
  <si>
    <t>EMI.ktCO2.FI.ES.Tr.Road</t>
  </si>
  <si>
    <t>EMI.ktCO2.FI.ES.Tr.Road.LPG</t>
  </si>
  <si>
    <t>EMI.ktCO2.FI.ES.Tr.Road.Gasoline</t>
  </si>
  <si>
    <t>EMI.ktCO2.FI.ES.Tr.Road.Diesel</t>
  </si>
  <si>
    <t>EMI.ktCO2.FI.ES.Tr.Road.NG</t>
  </si>
  <si>
    <t>EMI.ktCO2.FI.ES.Tr.Road.Biogas</t>
  </si>
  <si>
    <t>EMI.ktCO2.FI.ES.Tr.Road.Biogasoline</t>
  </si>
  <si>
    <t>EMI.ktCO2.FI.ES.Tr.Road.Biodiesel</t>
  </si>
  <si>
    <t>EMI.ktCO2.FI.ES.Tr.Road.OthLiqBio</t>
  </si>
  <si>
    <t>EMI.ktCO2.FI.ES.Tr.Road.Elec</t>
  </si>
  <si>
    <t>EMI.ktCO2.FI.Tr.Road</t>
  </si>
  <si>
    <t>EMI.ktCO2.FI.Tr.Road.Passenger.Car.ICE.Gasoline</t>
  </si>
  <si>
    <t>EMI.ktCO2.FI.Tr.Road.Passenger.Car.ICE.Diesel</t>
  </si>
  <si>
    <t>EMI.ktCO2.FI.Tr.Road.Passenger.Car.ICE.LPG</t>
  </si>
  <si>
    <t>EMI.ktCO2.FI.Tr.Road.Passenger.Car.ICE.NGas</t>
  </si>
  <si>
    <t>EMI.ktCO2.FI.Tr.Road.Passenger.Car.PHEV.Gasoline</t>
  </si>
  <si>
    <t>EMI.ktCO2.FI.Tr.Road.Passenger.Car.BEV</t>
  </si>
  <si>
    <t>EMI.ktCO2.FI.Tr.Road.Passenger.Bus.ICE.Gasoline</t>
  </si>
  <si>
    <t>EMI.ktCO2.FI.Tr.Road.Passenger.Bus.ICE.Diesel</t>
  </si>
  <si>
    <t>EMI.ktCO2.FI.Tr.Road.Passenger.Bus.ICE.LPG</t>
  </si>
  <si>
    <t>EMI.ktCO2.FI.Tr.Road.Passenger.Bus.ICE.NGas</t>
  </si>
  <si>
    <t>EMI.ktCO2.FI.Tr.Road.Passenger.Bus.BEV</t>
  </si>
  <si>
    <t>EMI.ktCO2.FI.Tr.Road.Freight.LCV.ICE.Gasoline</t>
  </si>
  <si>
    <t>EMI.ktCO2.FI.Tr.Road.Freight.LCV.ICE.Diesel</t>
  </si>
  <si>
    <t>EMI.ktCO2.FI.Tr.Road.Freight.LCV.ICE.LPG</t>
  </si>
  <si>
    <t>EMI.ktCO2.FI.Tr.Road.Freight.LCV.ICE.NGas</t>
  </si>
  <si>
    <t>EMI.ktCO2.FI.Tr.Road.Freight.LCV.BEV</t>
  </si>
  <si>
    <t>EMI.ktCO2.FI.Tr.Road.Freight.HGV_Domestic</t>
  </si>
  <si>
    <t>EMI.ktCO2.FI.Tr.Road.Freight.HGV_International</t>
  </si>
  <si>
    <t>EMIint.gCO2_per_km.FI.Tr.Road</t>
  </si>
  <si>
    <t>EMIint.gCO2_per_km.FI.Tr.Road.Passenger</t>
  </si>
  <si>
    <t>EMIint.gCO2_per_km.FI.Tr.Road.Passenger.P2W</t>
  </si>
  <si>
    <t>EMIint.gCO2_per_km.FI.Tr.Road.Passenger.Car</t>
  </si>
  <si>
    <t>EMIint.gCO2_per_km.FI.Tr.Road.Passenger.Car.ICE.Gasoline</t>
  </si>
  <si>
    <t>EMIint.gCO2_per_km.FI.Tr.Road.Passenger.Car.ICE.Diesel</t>
  </si>
  <si>
    <t>EMIint.gCO2_per_km.FI.Tr.Road.Passenger.Car.ICE.LPG</t>
  </si>
  <si>
    <t>EMIint.gCO2_per_km.FI.Tr.Road.Passenger.Car.ICE.NGas</t>
  </si>
  <si>
    <t>EMIint.gCO2_per_km.FI.Tr.Road.Passenger.Car.PHEV.Gasoline</t>
  </si>
  <si>
    <t>EMIint.gCO2_per_km.FI.Tr.Road.Passenger.Car.BEV</t>
  </si>
  <si>
    <t>EMIint.gCO2_per_km.FI.Tr.Road.Passenger.Bus</t>
  </si>
  <si>
    <t>EMIint.gCO2_per_km.FI.Tr.Road.Passenger.Bus.ICE.Gasoline</t>
  </si>
  <si>
    <t>EMIint.gCO2_per_km.FI.Tr.Road.Passenger.Bus.ICE.Diesel</t>
  </si>
  <si>
    <t>EMIint.gCO2_per_km.FI.Tr.Road.Passenger.Bus.ICE.LPG</t>
  </si>
  <si>
    <t>EMIint.gCO2_per_km.FI.Tr.Road.Passenger.Bus.ICE.NGas</t>
  </si>
  <si>
    <t>EMIint.gCO2_per_km.FI.Tr.Road.Passenger.Bus.BEV</t>
  </si>
  <si>
    <t>EMIint.gCO2_per_km.FI.Tr.Road.Freight</t>
  </si>
  <si>
    <t>EMIint.gCO2_per_km.FI.Tr.Road.Freight.LCV</t>
  </si>
  <si>
    <t>EMIint.gCO2_per_km.FI.Tr.Road.Freight.LCV.ICE.Gasoline</t>
  </si>
  <si>
    <t>EMIint.gCO2_per_km.FI.Tr.Road.Freight.LCV.ICE.Diesel</t>
  </si>
  <si>
    <t>EMIint.gCO2_per_km.FI.Tr.Road.Freight.LCV.ICE.LPG</t>
  </si>
  <si>
    <t>EMIint.gCO2_per_km.FI.Tr.Road.Freight.LCV.ICE.NGas</t>
  </si>
  <si>
    <t>EMIint.gCO2_per_km.FI.Tr.Road.Freight.LCV.BEV</t>
  </si>
  <si>
    <t>EMIint.gCO2_per_km.FI.Tr.Road.Freight.HGV_All</t>
  </si>
  <si>
    <t>EMIint.gCO2_per_km.FI.Tr.Road.Freight.HGV_Domestic</t>
  </si>
  <si>
    <t>EMIint.gCO2_per_km.FI.Tr.Road.Freight.HGV_International</t>
  </si>
  <si>
    <t>EMIint.gCO2_per_pkm.FI.Tr.Road.Passenger.Car.ICE.Gasoline</t>
  </si>
  <si>
    <t>EMIint.gCO2_per_pkm.FI.Tr.Road.Passenger.Car.ICE.Diesel</t>
  </si>
  <si>
    <t>EMIint.gCO2_per_pkm.FI.Tr.Road.Passenger.Car.ICE.LPG</t>
  </si>
  <si>
    <t>EMIint.gCO2_per_pkm.FI.Tr.Road.Passenger.Car.ICE.NGas</t>
  </si>
  <si>
    <t>EMIint.gCO2_per_pkm.FI.Tr.Road.Passenger.Car.PHEV.Gasoline</t>
  </si>
  <si>
    <t>EMIint.gCO2_per_pkm.FI.Tr.Road.Passenger.Car.BEV</t>
  </si>
  <si>
    <t>EMIint.gCO2_per_pkm.FI.Tr.Road.Passenger.Bus.ICE.Gasoline</t>
  </si>
  <si>
    <t>EMIint.gCO2_per_pkm.FI.Tr.Road.Passenger.Bus.ICE.Diesel</t>
  </si>
  <si>
    <t>EMIint.gCO2_per_pkm.FI.Tr.Road.Passenger.Bus.ICE.LPG</t>
  </si>
  <si>
    <t>EMIint.gCO2_per_pkm.FI.Tr.Road.Passenger.Bus.ICE.NGas</t>
  </si>
  <si>
    <t>EMIint.gCO2_per_pkm.FI.Tr.Road.Passenger.Bus.BEV</t>
  </si>
  <si>
    <t>EMIint.gCO2_per_tkm.FI.Tr.Road.Freight.LCV.ICE.Gasoline</t>
  </si>
  <si>
    <t>EMIint.gCO2_per_tkm.FI.Tr.Road.Freight.LCV.ICE.Diesel</t>
  </si>
  <si>
    <t>EMIint.gCO2_per_tkm.FI.Tr.Road.Freight.LCV.ICE.LPG</t>
  </si>
  <si>
    <t>EMIint.gCO2_per_tkm.FI.Tr.Road.Freight.LCV.ICE.NGas</t>
  </si>
  <si>
    <t>EMIint.gCO2_per_tkm.FI.Tr.Road.Freight.LCV.BEV</t>
  </si>
  <si>
    <t>EMIint.gCO2_per_tkm.FI.Tr.Road.Freight.HGV_Domestic</t>
  </si>
  <si>
    <t>EMIint.gCO2_per_tkm.FI.Tr.Road.Freight.HGV_International</t>
  </si>
  <si>
    <t>EMI_per_vehicle.kgCO2.FI.Tr.Road.Passenger.P2W</t>
  </si>
  <si>
    <t>EMI_per_vehicle.kgCO2.FI.Tr.Road.Passenger.Car</t>
  </si>
  <si>
    <t>EMI_per_vehicle.kgCO2.FI.Tr.Road.Passenger.Car.ICE.Gasoline</t>
  </si>
  <si>
    <t>EMI_per_vehicle.kgCO2.FI.Tr.Road.Passenger.Car.ICE.Diesel</t>
  </si>
  <si>
    <t>EMI_per_vehicle.kgCO2.FI.Tr.Road.Passenger.Car.ICE.LPG</t>
  </si>
  <si>
    <t>EMI_per_vehicle.kgCO2.FI.Tr.Road.Passenger.Car.ICE.NGas</t>
  </si>
  <si>
    <t>EMI_per_vehicle.kgCO2.FI.Tr.Road.Passenger.Car.PHEV.Gasoline</t>
  </si>
  <si>
    <t>EMI_per_vehicle.kgCO2.FI.Tr.Road.Passenger.Car.BEV</t>
  </si>
  <si>
    <t>EMI_per_vehicle.kgCO2.FI.Tr.Road.Passenger.Bus</t>
  </si>
  <si>
    <t>EMI_per_vehicle.kgCO2.FI.Tr.Road.Passenger.Bus.ICE.Gasoline</t>
  </si>
  <si>
    <t>EMI_per_vehicle.kgCO2.FI.Tr.Road.Passenger.Bus.ICE.Diesel</t>
  </si>
  <si>
    <t>EMI_per_vehicle.kgCO2.FI.Tr.Road.Passenger.Bus.ICE.LPG</t>
  </si>
  <si>
    <t>EMI_per_vehicle.kgCO2.FI.Tr.Road.Passenger.Bus.ICE.NGas</t>
  </si>
  <si>
    <t>EMI_per_vehicle.kgCO2.FI.Tr.Road.Passenger.Bus.BEV</t>
  </si>
  <si>
    <t>EMI_per_vehicle.kgCO2.FI.Tr.Road.Freight.LCV</t>
  </si>
  <si>
    <t>EMI_per_vehicle.kgCO2.FI.Tr.Road.Freight.LCV.ICE.Gasoline</t>
  </si>
  <si>
    <t>EMI_per_vehicle.kgCO2.FI.Tr.Road.Freight.LCV.ICE.Diesel</t>
  </si>
  <si>
    <t>EMI_per_vehicle.kgCO2.FI.Tr.Road.Freight.LCV.ICE.LPG</t>
  </si>
  <si>
    <t>EMI_per_vehicle.kgCO2.FI.Tr.Road.Freight.LCV.ICE.NGas</t>
  </si>
  <si>
    <t>EMI_per_vehicle.kgCO2.FI.Tr.Road.Freight.LCV.BEV</t>
  </si>
  <si>
    <t>EMI_per_vehicle.kgCO2.FI.Tr.Road.Freight.HGV_All</t>
  </si>
  <si>
    <t>EMI_per_vehicle.kgCO2.FI.Tr.Road.Freight.HGV_Domestic</t>
  </si>
  <si>
    <t>EMI_per_vehicle.kgCO2.FI.Tr.Road.Freight.HGV_International</t>
  </si>
  <si>
    <t>Road transport / technologies - FI - Finland</t>
  </si>
  <si>
    <t>Stock.number.FI.Tr.Road.Freight.HGV_all</t>
  </si>
  <si>
    <t>StockVin.number.FI.Tr.Road</t>
  </si>
  <si>
    <t>StockVin.number.FI.Tr.Road.Passenger</t>
  </si>
  <si>
    <t>StockVin.number.FI.Tr.Road.Passenger.P2W</t>
  </si>
  <si>
    <t>StockVin.number.FI.Tr.Road.Passenger.Car</t>
  </si>
  <si>
    <t>StockVin.number.FI.Tr.Road.Passenger.Car.ICE.Gasoline</t>
  </si>
  <si>
    <t>StockVin.number.FI.Tr.Road.Passenger.Car.ICE.Diesel</t>
  </si>
  <si>
    <t>StockVin.number.FI.Tr.Road.Passenger.Car.ICE.LPG</t>
  </si>
  <si>
    <t>StockVin.number.FI.Tr.Road.Passenger.Car.ICE.NGas</t>
  </si>
  <si>
    <t>StockVin.number.FI.Tr.Road.Passenger.Car.PHEV.Gasoline</t>
  </si>
  <si>
    <t>StockVin.number.FI.Tr.Road.Passenger.Car.BEV</t>
  </si>
  <si>
    <t>StockVin.number.FI.Tr.Road.Passenger.Bus</t>
  </si>
  <si>
    <t>StockVin.number.FI.Tr.Road.Passenger.Bus.ICE.Gasoline</t>
  </si>
  <si>
    <t>StockVin.number.FI.Tr.Road.Passenger.Bus.ICE.Diesel</t>
  </si>
  <si>
    <t>StockVin.number.FI.Tr.Road.Passenger.Bus.ICE.LPG</t>
  </si>
  <si>
    <t>StockVin.number.FI.Tr.Road.Passenger.Bus.ICE.NGas</t>
  </si>
  <si>
    <t>StockVin.number.FI.Tr.Road.Passenger.Bus.BEV</t>
  </si>
  <si>
    <t>StockVin.number.FI.Tr.Road.Freight</t>
  </si>
  <si>
    <t>StockVin.number.FI.Tr.Road.Freight.LCV</t>
  </si>
  <si>
    <t>StockVin.number.FI.Tr.Road.Freight.LCV.ICE.Gasoline</t>
  </si>
  <si>
    <t>StockVin.number.FI.Tr.Road.Freight.LCV.ICE.Diesel</t>
  </si>
  <si>
    <t>StockVin.number.FI.Tr.Road.Freight.LCV.ICE.LPG</t>
  </si>
  <si>
    <t>StockVin.number.FI.Tr.Road.Freight.LCV.ICE.NGas</t>
  </si>
  <si>
    <t>StockVin.number.FI.Tr.Road.Freight.LCV.BEV</t>
  </si>
  <si>
    <t>StockVin.number.FI.Tr.Road.Freight.HGV_All</t>
  </si>
  <si>
    <t>StockVin.number.FI.Tr.Road.Freight.HGV_Domestic</t>
  </si>
  <si>
    <t>StockVin.number.FI.Tr.Road.Freight.HGV_International</t>
  </si>
  <si>
    <t>Eff_test_stock.kgoe_per_100km.FI.Tr.Road.Passenger.P2W</t>
  </si>
  <si>
    <t>Eff_test_stock.kgoe_per_100km.FI.Tr.Road.Passenger.Car</t>
  </si>
  <si>
    <t>Eff_test_stock.kgoe_per_100km.FI.Tr.Road.Passenger.Car.ICE.Gasoline</t>
  </si>
  <si>
    <t>Eff_test_stock.kgoe_per_100km.FI.Tr.Road.Passenger.Car.ICE.Diesel</t>
  </si>
  <si>
    <t>Eff_test_stock.kgoe_per_100km.FI.Tr.Road.Passenger.Car.ICE.LPG</t>
  </si>
  <si>
    <t>Eff_test_stock.kgoe_per_100km.FI.Tr.Road.Passenger.Car.ICE.NGas</t>
  </si>
  <si>
    <t>Eff_test_stock.kgoe_per_100km.FI.Tr.Road.Passenger.Car.PHEV.Gasoline</t>
  </si>
  <si>
    <t>Eff_test_stock.kgoe_per_100km.FI.Tr.Road.Passenger.Car.BEV</t>
  </si>
  <si>
    <t>Eff_test_stock.kgoe_per_100km.FI.Tr.Road.Passenger.Bus</t>
  </si>
  <si>
    <t>Eff_test_stock.kgoe_per_100km.FI.Tr.Road.Passenger.Bus.ICE.Gasoline</t>
  </si>
  <si>
    <t>Eff_test_stock.kgoe_per_100km.FI.Tr.Road.Passenger.Bus.ICE.Diesel</t>
  </si>
  <si>
    <t>Eff_test_stock.kgoe_per_100km.FI.Tr.Road.Passenger.Bus.ICE.LPG</t>
  </si>
  <si>
    <t>Eff_test_stock.kgoe_per_100km.FI.Tr.Road.Passenger.Bus.ICE.NGas</t>
  </si>
  <si>
    <t>Eff_test_stock.kgoe_per_100km.FI.Tr.Road.Passenger.Bus.BEV</t>
  </si>
  <si>
    <t>Eff_test_stock.kgoe_per_100km.FI.Tr.Road.Freight.LCV</t>
  </si>
  <si>
    <t>Eff_test_stock.kgoe_per_100km.FI.Tr.Road.Freight.LCV.ICE.Gasoline</t>
  </si>
  <si>
    <t>Eff_test_stock.kgoe_per_100km.FI.Tr.Road.Freight.LCV.ICE.Diesel</t>
  </si>
  <si>
    <t>Eff_test_stock.kgoe_per_100km.FI.Tr.Road.Freight.LCV.ICE.LPG</t>
  </si>
  <si>
    <t>Eff_test_stock.kgoe_per_100km.FI.Tr.Road.Freight.LCV.ICE.NGas</t>
  </si>
  <si>
    <t>Eff_test_stock.kgoe_per_100km.FI.Tr.Road.Freight.LCV.BEV</t>
  </si>
  <si>
    <t>Eff_test_stock.kgoe_per_100km.FI.Tr.Road.Freight.HGV_All</t>
  </si>
  <si>
    <t>Eff_test_stock.kgoe_per_100km.FI.Tr.Road.Freight.HGV_Domestic</t>
  </si>
  <si>
    <t>Eff_test_stock.kgoe_per_100km.FI.Tr.Road.Freight.HGV_International</t>
  </si>
  <si>
    <t>Eff_test_new.kgoe_per_100km.FI.Tr.Road.Passenger.P2W</t>
  </si>
  <si>
    <t>Eff_test_new.kgoe_per_100km.FI.Tr.Road.Passenger.Car</t>
  </si>
  <si>
    <t>Eff_test_new.kgoe_per_100km.FI.Tr.Road.Passenger.Car.ICE.Gasoline</t>
  </si>
  <si>
    <t>Eff_test_new.kgoe_per_100km.FI.Tr.Road.Passenger.Car.ICE.Diesel</t>
  </si>
  <si>
    <t>Eff_test_new.kgoe_per_100km.FI.Tr.Road.Passenger.Car.ICE.LPG</t>
  </si>
  <si>
    <t>Eff_test_new.kgoe_per_100km.FI.Tr.Road.Passenger.Car.ICE.NGas</t>
  </si>
  <si>
    <t>Eff_test_new.kgoe_per_100km.FI.Tr.Road.Passenger.Car.PHEV.Gasoline</t>
  </si>
  <si>
    <t>Eff_test_new.kgoe_per_100km.FI.Tr.Road.Passenger.Car.BEV</t>
  </si>
  <si>
    <t>Eff_test_new.kgoe_per_100km.FI.Tr.Road.Passenger.Bus</t>
  </si>
  <si>
    <t>Eff_test_new.kgoe_per_100km.FI.Tr.Road.Passenger.Bus.ICE.Gasoline</t>
  </si>
  <si>
    <t>Eff_test_new.kgoe_per_100km.FI.Tr.Road.Passenger.Bus.ICE.Diesel</t>
  </si>
  <si>
    <t>Eff_test_new.kgoe_per_100km.FI.Tr.Road.Passenger.Bus.ICE.LPG</t>
  </si>
  <si>
    <t>Eff_test_new.kgoe_per_100km.FI.Tr.Road.Passenger.Bus.ICE.NGas</t>
  </si>
  <si>
    <t>Eff_test_new.kgoe_per_100km.FI.Tr.Road.Passenger.Bus.BEV</t>
  </si>
  <si>
    <t>Eff_test_new.kgoe_per_100km.FI.Tr.Road.Freight.LCV</t>
  </si>
  <si>
    <t>Eff_test_new.kgoe_per_100km.FI.Tr.Road.Freight.LCV.ICE.Gasoline</t>
  </si>
  <si>
    <t>Eff_test_new.kgoe_per_100km.FI.Tr.Road.Freight.LCV.ICE.Diesel</t>
  </si>
  <si>
    <t>Eff_test_new.kgoe_per_100km.FI.Tr.Road.Freight.LCV.ICE.LPG</t>
  </si>
  <si>
    <t>Eff_test_new.kgoe_per_100km.FI.Tr.Road.Freight.LCV.ICE.NGas</t>
  </si>
  <si>
    <t>Eff_test_new.kgoe_per_100km.FI.Tr.Road.Freight.LCV.BEV</t>
  </si>
  <si>
    <t>Eff_test_new.kgoe_per_100km.FI.Tr.Road.Freight.HGV_All</t>
  </si>
  <si>
    <t>Eff_test_new.kgoe_per_100km.FI.Tr.Road.Freight.HGV_Domestic</t>
  </si>
  <si>
    <t>Eff_test_new.kgoe_per_100km.FI.Tr.Road.Freight.HGV_International</t>
  </si>
  <si>
    <t>EMIint_test_stock.gCO2_per_km.FI.Tr.Road.Passenger.P2W</t>
  </si>
  <si>
    <t>EMIint_test_stock.gCO2_per_km.FI.Tr.Road.Passenger.Car</t>
  </si>
  <si>
    <t>EMIint_test_stock.gCO2_per_km.FI.Tr.Road.Passenger.Car.ICE.Gasoline</t>
  </si>
  <si>
    <t>EMIint_test_stock.gCO2_per_km.FI.Tr.Road.Passenger.Car.ICE.Diesel</t>
  </si>
  <si>
    <t>EMIint_test_stock.gCO2_per_km.FI.Tr.Road.Passenger.Car.ICE.LPG</t>
  </si>
  <si>
    <t>EMIint_test_stock.gCO2_per_km.FI.Tr.Road.Passenger.Car.ICE.NGas</t>
  </si>
  <si>
    <t>EMIint_test_stock.gCO2_per_km.FI.Tr.Road.Passenger.Car.PHEV.Gasoline</t>
  </si>
  <si>
    <t>EMIint_test_stock.gCO2_per_km.FI.Tr.Road.Passenger.Car.BEV</t>
  </si>
  <si>
    <t>EMIint_test_stock.gCO2_per_km.FI.Tr.Road.Passenger.Bus</t>
  </si>
  <si>
    <t>EMIint_test_stock.gCO2_per_km.FI.Tr.Road.Passenger.Bus.ICE.Gasoline</t>
  </si>
  <si>
    <t>EMIint_test_stock.gCO2_per_km.FI.Tr.Road.Passenger.Bus.ICE.Diesel</t>
  </si>
  <si>
    <t>EMIint_test_stock.gCO2_per_km.FI.Tr.Road.Passenger.Bus.ICE.LPG</t>
  </si>
  <si>
    <t>EMIint_test_stock.gCO2_per_km.FI.Tr.Road.Passenger.Bus.ICE.NGas</t>
  </si>
  <si>
    <t>EMIint_test_stock.gCO2_per_km.FI.Tr.Road.Passenger.Bus.BEV</t>
  </si>
  <si>
    <t>EMIint_test_stock.gCO2_per_km.FI.Tr.Road.Freight.LCV</t>
  </si>
  <si>
    <t>EMIint_test_stock.gCO2_per_km.FI.Tr.Road.Freight.LCV.ICE.Gasoline</t>
  </si>
  <si>
    <t>EMIint_test_stock.gCO2_per_km.FI.Tr.Road.Freight.LCV.ICE.Diesel</t>
  </si>
  <si>
    <t>EMIint_test_stock.gCO2_per_km.FI.Tr.Road.Freight.LCV.ICE.LPG</t>
  </si>
  <si>
    <t>EMIint_test_stock.gCO2_per_km.FI.Tr.Road.Freight.LCV.ICE.NGas</t>
  </si>
  <si>
    <t>EMIint_test_stock.gCO2_per_km.FI.Tr.Road.Freight.LCV.BEV</t>
  </si>
  <si>
    <t>EMIint_test_stock.gCO2_per_km.FI.Tr.Road.Freight.HGV_All</t>
  </si>
  <si>
    <t>EMIint_test_stock.gCO2_per_km.FI.Tr.Road.Freight.HGV_Domestic</t>
  </si>
  <si>
    <t>EMIint_test_stock.gCO2_per_km.FI.Tr.Road.Freight.HGV_International</t>
  </si>
  <si>
    <t>EMIint_test_new.gCO2_per_km.FI.Tr.Road.Passenger.P2W</t>
  </si>
  <si>
    <t>EMIint_test_new.gCO2_per_km.FI.Tr.Road.Passenger.Car</t>
  </si>
  <si>
    <t>EMIint_test_new.gCO2_per_km.FI.Tr.Road.Passenger.Car.ICE.Gasoline</t>
  </si>
  <si>
    <t>EMIint_test_new.gCO2_per_km.FI.Tr.Road.Passenger.Car.ICE.Diesel</t>
  </si>
  <si>
    <t>EMIint_test_new.gCO2_per_km.FI.Tr.Road.Passenger.Car.ICE.LPG</t>
  </si>
  <si>
    <t>EMIint_test_new.gCO2_per_km.FI.Tr.Road.Passenger.Car.ICE.NGas</t>
  </si>
  <si>
    <t>EMIint_test_new.gCO2_per_km.FI.Tr.Road.Passenger.Car.PHEV.Gasoline</t>
  </si>
  <si>
    <t>EMIint_test_new.gCO2_per_km.FI.Tr.Road.Passenger.Car.BEV</t>
  </si>
  <si>
    <t>EMIint_test_new.gCO2_per_km.FI.Tr.Road.Passenger.Bus</t>
  </si>
  <si>
    <t>EMIint_test_new.gCO2_per_km.FI.Tr.Road.Passenger.Bus.ICE.Gasoline</t>
  </si>
  <si>
    <t>EMIint_test_new.gCO2_per_km.FI.Tr.Road.Passenger.Bus.ICE.Diesel</t>
  </si>
  <si>
    <t>EMIint_test_new.gCO2_per_km.FI.Tr.Road.Passenger.Bus.ICE.LPG</t>
  </si>
  <si>
    <t>EMIint_test_new.gCO2_per_km.FI.Tr.Road.Passenger.Bus.ICE.NGas</t>
  </si>
  <si>
    <t>EMIint_test_new.gCO2_per_km.FI.Tr.Road.Passenger.Bus.BEV</t>
  </si>
  <si>
    <t>EMIint_test_new.gCO2_per_km.FI.Tr.Road.Freight.LCV</t>
  </si>
  <si>
    <t>EMIint_test_new.gCO2_per_km.FI.Tr.Road.Freight.LCV.ICE.Gasoline</t>
  </si>
  <si>
    <t>EMIint_test_new.gCO2_per_km.FI.Tr.Road.Freight.LCV.ICE.Diesel</t>
  </si>
  <si>
    <t>EMIint_test_new.gCO2_per_km.FI.Tr.Road.Freight.LCV.ICE.LPG</t>
  </si>
  <si>
    <t>EMIint_test_new.gCO2_per_km.FI.Tr.Road.Freight.LCV.ICE.NGas</t>
  </si>
  <si>
    <t>EMIint_test_new.gCO2_per_km.FI.Tr.Road.Freight.LCV.BEV</t>
  </si>
  <si>
    <t>EMIint_test_new.gCO2_per_km.FI.Tr.Road.Freight.HGV_All</t>
  </si>
  <si>
    <t>EMIint_test_new.gCO2_per_km.FI.Tr.Road.Freight.HGV_Domestic</t>
  </si>
  <si>
    <t>EMIint_test_new.gCO2_per_km.FI.Tr.Road.Freight.HGV_International</t>
  </si>
  <si>
    <t>FEC.ktoe.FI.MBunk</t>
  </si>
  <si>
    <t>FEC.ktoe.FI.MBunk.IntraEEA</t>
  </si>
  <si>
    <t>FEC.ktoe.FI.MBunk.ExtraEEA</t>
  </si>
  <si>
    <t>EMI.ktCO2.FI.MBunk</t>
  </si>
  <si>
    <t>EMI.ktCO2.FI.MBunk.IntraEEA</t>
  </si>
  <si>
    <t>EMI.ktCO2.FI.MBunk.ExtraEEA</t>
  </si>
  <si>
    <t>International maritime bunkers - FI - Finland</t>
  </si>
  <si>
    <t>VehicleKm.Mkm.FI.MBunk.Freight</t>
  </si>
  <si>
    <t>VehicleKm.Mkm.FI.MBunk.Freight.IntraEEA</t>
  </si>
  <si>
    <t>VehicleKm.Mkm.FI.MBunk.Freight.ExtraEEA</t>
  </si>
  <si>
    <t>Load.t_per_movement.FI.MBunk.Freight</t>
  </si>
  <si>
    <t>Load.t_per_movement.FI.MBunk.Freight.IntraEEA</t>
  </si>
  <si>
    <t>Load.t_per_movement.FI.MBunk.Freight.ExtraEEA</t>
  </si>
  <si>
    <t>International maritime bunkers / energy consumption - FI - Finland</t>
  </si>
  <si>
    <t>FEC.ktoe.FI.ES.MBunk</t>
  </si>
  <si>
    <t>FEC.ktoe.FI.ES.MBunk.IntraEEA</t>
  </si>
  <si>
    <t>FEC.ktoe.FI.ES.MBunk.IntraEEA.Diesel</t>
  </si>
  <si>
    <t>FEC.ktoe.FI.ES.MBunk.IntraEEA.RFO_Other</t>
  </si>
  <si>
    <t>FEC.ktoe.FI.ES.MBunk.IntraEEA.LiqBio</t>
  </si>
  <si>
    <t>FEC.ktoe.FI.ES.MBunk.IntraEEA.NG</t>
  </si>
  <si>
    <t>FEC.ktoe.FI.ES.MBunk.IntraEEA.Biogas</t>
  </si>
  <si>
    <t>FEC.ktoe.FI.ES.MBunk.ExtraEEA</t>
  </si>
  <si>
    <t>FEC.ktoe.FI.ES.MBunk.ExtraEEA.Diesel</t>
  </si>
  <si>
    <t>FEC.ktoe.FI.ES.MBunk.ExtraEEA.RFO_Other</t>
  </si>
  <si>
    <t>FEC.ktoe.FI.ES.MBunk.ExtraEEA.LiqBio</t>
  </si>
  <si>
    <t>FEC.ktoe.FI.ES.MBunk.ExtraEEA.NG</t>
  </si>
  <si>
    <t>FEC.ktoe.FI.ES.MBunk.ExtraEEA.Biogas</t>
  </si>
  <si>
    <t>Eff.kgoe_per_100km.FI.MBunk.Freight</t>
  </si>
  <si>
    <t>Eff.kgoe_per_100km.FI.MBunk.Freight.IntraEEA</t>
  </si>
  <si>
    <t>Eff.kgoe_per_100km.FI.MBunk.Freight.ExtraEEA</t>
  </si>
  <si>
    <t>International maritime bunkers / CO2 emissions - FI - Finland</t>
  </si>
  <si>
    <t>EMI.ktCO2.FI.ES.MBunk</t>
  </si>
  <si>
    <t>EMI.ktCO2.FI.ES.MBunk.IntraEEA</t>
  </si>
  <si>
    <t>EMI.ktCO2.FI.ES.MBunk.ExtraEEA</t>
  </si>
  <si>
    <t>EMIint.gCO2_per_km.FI.MBunk.Freight</t>
  </si>
  <si>
    <t>EMIint.gCO2_per_km.FI.MBunk.Freight.IntraEEA</t>
  </si>
  <si>
    <t>EMIint.gCO2_per_km.FI.MBunk.Freight.ExtraEEA</t>
  </si>
  <si>
    <t>FEC.ktoe.FI.Tr.DNavi</t>
  </si>
  <si>
    <t>FEC.ktoe.FI.Tr.Dnavi.DCS</t>
  </si>
  <si>
    <t>FEC.ktoe.FI.Tr.Dnavi.IWW</t>
  </si>
  <si>
    <t>EMI.ktCO2.FI.Tr.DNavi</t>
  </si>
  <si>
    <t>EMI.ktCO2.FI.Tr.Dnavi.DCS</t>
  </si>
  <si>
    <t>EMI.ktCO2.FI.Tr.Dnavi.IWW</t>
  </si>
  <si>
    <t>Domestic navigation - FI - Finland</t>
  </si>
  <si>
    <t>VehicleKm.Mkm.FI.Tr.DNavi.Freight</t>
  </si>
  <si>
    <t>VehicleKm.Mkm.FI.Tr.DNavi.Freight.DCS</t>
  </si>
  <si>
    <t>VehicleKm.Mkm.FI.Tr.DNavi.Freight.IWW</t>
  </si>
  <si>
    <t>Load.t_per_movement.FI.Tr.DNavi.Freight</t>
  </si>
  <si>
    <t>Load.t_per_movement.FI.Tr.DNavi.Freight.DCS</t>
  </si>
  <si>
    <t>Load.t_per_movement.FI.Tr.DNavi.Freight.IWW</t>
  </si>
  <si>
    <t>Domestic navigation / energy consumption - FI - Finland</t>
  </si>
  <si>
    <t>FEC.ktoe.FI.ES.Tr.DNavi</t>
  </si>
  <si>
    <t>FEC.ktoe.FI.ES.Tr.DNavi.DCS</t>
  </si>
  <si>
    <t>FEC.ktoe.FI.ES.Tr.DNavi.DCS.Diesel</t>
  </si>
  <si>
    <t>FEC.ktoe.FI.ES.Tr.DNavi.DCS.RFO_Other</t>
  </si>
  <si>
    <t>FEC.ktoe.FI.ES.Tr.DNavi.DCS.LiqBio</t>
  </si>
  <si>
    <t>FEC.ktoe.FI.ES.Tr.DNavi.DCS.NG</t>
  </si>
  <si>
    <t>FEC.ktoe.FI.ES.Tr.DNavi.DCS.Biogas</t>
  </si>
  <si>
    <t>FEC.ktoe.FI.ES.Tr.DNavi.IWW</t>
  </si>
  <si>
    <t>FEC.ktoe.FI.ES.Tr.DNavi.IWW.Diesel</t>
  </si>
  <si>
    <t>FEC.ktoe.FI.ES.Tr.DNavi.IWW.RFO_Other</t>
  </si>
  <si>
    <t>FEC.ktoe.FI.ES.Tr.DNavi.IWW.LiqBio</t>
  </si>
  <si>
    <t>FEC.ktoe.FI.ES.Tr.DNavi.IWW.NG</t>
  </si>
  <si>
    <t>FEC.ktoe.FI.ES.Tr.DNavi.IWW.Biogas</t>
  </si>
  <si>
    <t>Eff.kgoe_per_100km.FI.Tr.DNavi.Freight</t>
  </si>
  <si>
    <t>Eff.kgoe_per_100km.FI.Tr.DNavi.Freight.DCS</t>
  </si>
  <si>
    <t>Eff.kgoe_per_100km.FI.Tr.DNavi.Freight.IWW</t>
  </si>
  <si>
    <t>Domestic navigation / CO2 emissions - FI - Finland</t>
  </si>
  <si>
    <t>EMI.ktCO2.FI.ES.Tr.DNavi</t>
  </si>
  <si>
    <t>EMI.ktCO2.FI.ES.Tr.DNavi.DCS</t>
  </si>
  <si>
    <t>EMI.ktCO2.FI.ES.Tr.DNavi.IWW</t>
  </si>
  <si>
    <t>EMIint.gCO2_per_km.FI.Tr.DNavi.Freight</t>
  </si>
  <si>
    <t>EMIint.gCO2_per_km.FI.Tr.DNavi.Freight.DCS</t>
  </si>
  <si>
    <t>EMIint.gCO2_per_km.FI.Tr.DNavi.Freight.IWW</t>
  </si>
  <si>
    <t>Rail, metro and tram - FI - Finland</t>
  </si>
  <si>
    <t>Activity.Mpkm.FI.Tr.Rail.Passenger.CPT.Diesel</t>
  </si>
  <si>
    <t>Activity.Mpkm.FI.Tr.Rail.Passenger.CPT.Elc</t>
  </si>
  <si>
    <t>Activity.Mtkm.FI.Tr.Rail.Freight.Diesel</t>
  </si>
  <si>
    <t>Activity.Mtkm.FI.Tr.Rail.Freight.Elc</t>
  </si>
  <si>
    <t>VehicleKm.Mkm.FI.Tr.Rail</t>
  </si>
  <si>
    <t>VehicleKm.Mkm.FI.Tr.Rail.Passenger</t>
  </si>
  <si>
    <t>VehicleKm.Mkm.FI.Tr.Rail.Passenger.MTU</t>
  </si>
  <si>
    <t>VehicleKm.Mkm.FI.Tr.Rail.Passenger.CPT</t>
  </si>
  <si>
    <t>VehicleKm.Mkm.FI.Tr.Rail.Passenger.CPT.Diesel</t>
  </si>
  <si>
    <t>VehicleKm.Mkm.FI.Tr.Rail.Passenger.CPT.Elc</t>
  </si>
  <si>
    <t>VehicleKm.Mkm.FI.Tr.Rail.Passenger.HST</t>
  </si>
  <si>
    <t>VehicleKm.Mkm.FI.Tr.Rail.Freight</t>
  </si>
  <si>
    <t>VehicleKm.Mkm.FI.Tr.Rail.Freight.Diesel</t>
  </si>
  <si>
    <t>VehicleKm.Mkm.FI.Tr.Rail.Freight.Elc</t>
  </si>
  <si>
    <t>Stock.number.FI.Tr.Rail</t>
  </si>
  <si>
    <t>Stock.number.FI.Tr.Rail.Passenger</t>
  </si>
  <si>
    <t>Stock.number.FI.Tr.Rail.Passenger.MTU</t>
  </si>
  <si>
    <t>Stock.number.FI.Tr.Rail.Passenger.CPT</t>
  </si>
  <si>
    <t>Stock.number.FI.Tr.Rail.Passenger.CPT.Diesel</t>
  </si>
  <si>
    <t>Stock.number.FI.Tr.Rail.Passenger.CPT.Elc</t>
  </si>
  <si>
    <t>Stock.number.FI.Tr.Rail.Passenger.HST</t>
  </si>
  <si>
    <t>Stock.number.FI.Tr.Rail.Freight</t>
  </si>
  <si>
    <t>Stock.number.FI.Tr.Rail.Freight.Diesel</t>
  </si>
  <si>
    <t>Stock.number.FI.Tr.Rail.Freight.Elc</t>
  </si>
  <si>
    <t>StockNew.number.FI.Tr.Rail</t>
  </si>
  <si>
    <t>StockNew.number.FI.Tr.Rail.Passenger</t>
  </si>
  <si>
    <t>StockNew.number.FI.Tr.Rail.Passenger.MTU</t>
  </si>
  <si>
    <t>StockNew.number.FI.Tr.Rail.Passenger.CPT</t>
  </si>
  <si>
    <t>StockNew.number.FI.Tr.Rail.Passenger.CPT.Diesel</t>
  </si>
  <si>
    <t>StockNew.number.FI.Tr.Rail.Passenger.CPT.Elc</t>
  </si>
  <si>
    <t>StockNew.number.FI.Tr.Rail.Passenger.HST</t>
  </si>
  <si>
    <t>StockNew.number.FI.Tr.Rail.Freight</t>
  </si>
  <si>
    <t>StockNew.number.FI.Tr.Rail.Freight.Diesel</t>
  </si>
  <si>
    <t>StockNew.number.FI.Tr.Rail.Freight.Elc</t>
  </si>
  <si>
    <t>Load.passenger_per_movement.FI.Tr.Rail.Passenger</t>
  </si>
  <si>
    <t>Load.passenger_per_movement.FI.Tr.Rail.Passenger.MTU</t>
  </si>
  <si>
    <t>Load.passenger_per_movement.FI.Tr.Rail.Passenger.CPT</t>
  </si>
  <si>
    <t>Load.passenger_per_movement.FI.Tr.Rail.Passenger.CPT.Diesel</t>
  </si>
  <si>
    <t>Load.passenger_per_movement.FI.Tr.Rail.Passenger.CPT.Elc</t>
  </si>
  <si>
    <t>Load.passenger_per_movement.FI.Tr.Rail.Passenger.HST</t>
  </si>
  <si>
    <t>Load.t_per_movement.FI.Tr.Rail.Freight</t>
  </si>
  <si>
    <t>Load.t_per_movement.FI.Tr.Rail.Freight.Diesel</t>
  </si>
  <si>
    <t>Load.t_per_movement.FI.Tr.Rail.Freight.Elc</t>
  </si>
  <si>
    <t>TrCap.seats.FI.Tr.Rail.Passenger</t>
  </si>
  <si>
    <t>TrCap.seats.FI.Tr.Rail.Passenger.MTU</t>
  </si>
  <si>
    <t>TrCap.seats.FI.Tr.Rail.Passenger.CPT</t>
  </si>
  <si>
    <t>TrCap.seats.FI.Tr.Rail.Passenger.CPT.Diesel</t>
  </si>
  <si>
    <t>TrCap.seats.FI.Tr.Rail.Passenger.CPT.Elc</t>
  </si>
  <si>
    <t>TrCap.seats.FI.Tr.Rail.Passenger.HST</t>
  </si>
  <si>
    <t>TrCap.t.FI.Tr.Rail.Freight</t>
  </si>
  <si>
    <t>TrCap.t.FI.Tr.Rail.Freight.Diesel</t>
  </si>
  <si>
    <t>TrCap.t.FI.Tr.Rail.Freight.Elc</t>
  </si>
  <si>
    <t>VehicleKm_per_vehicle.km.FI.Tr.Rail</t>
  </si>
  <si>
    <t>VehicleKm_per_vehicle.km.FI.Tr.Rail.Passenger</t>
  </si>
  <si>
    <t>VehicleKm_per_vehicle.km.FI.Tr.Rail.Passenger.MTU</t>
  </si>
  <si>
    <t>VehicleKm_per_vehicle.km.FI.Tr.Rail.Passenger.CPT</t>
  </si>
  <si>
    <t>VehicleKm_per_vehicle.km.FI.Tr.Rail.Passenger.CPT.Diesel</t>
  </si>
  <si>
    <t>VehicleKm_per_vehicle.km.FI.Tr.Rail.Passenger.CPT.Elc</t>
  </si>
  <si>
    <t>VehicleKm_per_vehicle.km.FI.Tr.Rail.Passenger.HST</t>
  </si>
  <si>
    <t>VehicleKm_per_vehicle.km.FI.Tr.Rail.Freight</t>
  </si>
  <si>
    <t>VehicleKm_per_vehicle.km.FI.Tr.Rail.Freight.Diesel</t>
  </si>
  <si>
    <t>VehicleKm_per_vehicle.km.FI.Tr.Rail.Freight.Elc</t>
  </si>
  <si>
    <t>Activity_per_vehicle.pkm.FI.Tr.Rail.Passenger</t>
  </si>
  <si>
    <t>Activity_per_vehicle.pkm.FI.Tr.Rail.Passenger.MTU</t>
  </si>
  <si>
    <t>Activity_per_vehicle.pkm.FI.Tr.Rail.Passenger.CPT</t>
  </si>
  <si>
    <t>Activity_per_vehicle.pkm.FI.Tr.Rail.Passenger.CPT.Diesel</t>
  </si>
  <si>
    <t>Activity_per_vehicle.pkm.FI.Tr.Rail.Passenger.CPT.Elc</t>
  </si>
  <si>
    <t>Activity_per_vehicle.pkm.FI.Tr.Rail.Passenger.HST</t>
  </si>
  <si>
    <t>Activity_per_vehicle.tkm.FI.Tr.Rail.Freight</t>
  </si>
  <si>
    <t>Activity_per_vehicle.tkm.FI.Tr.Rail.Freight.Diesel</t>
  </si>
  <si>
    <t>Activity_per_vehicle.tkm.FI.Tr.Rail.Freight.Elc</t>
  </si>
  <si>
    <t>Rail, metro and tram / energy consumption - FI - Finland</t>
  </si>
  <si>
    <t>FEC.ktoe.FI.ES.Tr.Rail</t>
  </si>
  <si>
    <t>FEC.ktoe.FI.ES.Tr.Rail.Diesel</t>
  </si>
  <si>
    <t>FEC.ktoe.FI.ES.Tr.Rail.LiqBio</t>
  </si>
  <si>
    <t>FEC.ktoe.FI.ES.Tr.Rail.Elec</t>
  </si>
  <si>
    <t>FEC.ktoe.FI.Tr.Rail</t>
  </si>
  <si>
    <t>FEC.ktoe.FI.Tr.Rail.Passenger.CPT.Diesel</t>
  </si>
  <si>
    <t>FEC.ktoe.FI.Tr.Rail.Passenger.CPT.Elc</t>
  </si>
  <si>
    <t>FEC.ktoe.FI.Tr.Rail.Freight.Diesel</t>
  </si>
  <si>
    <t>FEC.ktoe.FI.Tr.Rail.Freight.Elc</t>
  </si>
  <si>
    <t>Eff.kgoe_per_100km.FI.Tr.Rail</t>
  </si>
  <si>
    <t>Eff.kgoe_per_100km.FI.Tr.Rail.Passenger</t>
  </si>
  <si>
    <t>Eff.kgoe_per_100km.FI.Tr.Rail.Passenger.MTU</t>
  </si>
  <si>
    <t>Eff.kgoe_per_100km.FI.Tr.Rail.Passenger.CPT</t>
  </si>
  <si>
    <t>Eff.kgoe_per_100km.FI.Tr.Rail.Passenger.CPT.Diesel</t>
  </si>
  <si>
    <t>Eff.kgoe_per_100km.FI.Tr.Rail.Passenger.CPT.Elc</t>
  </si>
  <si>
    <t>Eff.kgoe_per_100km.FI.Tr.Rail.Passenger.HST</t>
  </si>
  <si>
    <t>Eff.kgoe_per_100km.FI.Tr.Rail.Freight</t>
  </si>
  <si>
    <t>Eff.kgoe_per_100km.FI.Tr.Rail.Freight.Diesel</t>
  </si>
  <si>
    <t>Eff.kgoe_per_100km.FI.Tr.Rail.Freight.Elc</t>
  </si>
  <si>
    <t>Eff.kgoe_per_kpkm.FI.Tr.Rail.Passenger.CPT.Diesel</t>
  </si>
  <si>
    <t>Eff.kgoe_per_kpkm.FI.Tr.Rail.Passenger.CPT.Elc</t>
  </si>
  <si>
    <t>Eff.kgoe_per_ktkm.FI.Tr.Rail.Freight.Diesel</t>
  </si>
  <si>
    <t>Eff.kgoe_per_ktkm.FI.Tr.Rail.Freight.Elc</t>
  </si>
  <si>
    <t>FEC_per_vehicle.kgoe.FI.Tr.Rail</t>
  </si>
  <si>
    <t>FEC_per_vehicle.kgoe.FI.Tr.Rail.Passenger</t>
  </si>
  <si>
    <t>FEC_per_vehicle.kgoe.FI.Tr.Rail.Passenger.MTU</t>
  </si>
  <si>
    <t>FEC_per_vehicle.kgoe.FI.Tr.Rail.Passenger.CPT</t>
  </si>
  <si>
    <t>FEC_per_vehicle.kgoe.FI.Tr.Rail.Passenger.CPT.Diesel</t>
  </si>
  <si>
    <t>FEC_per_vehicle.kgoe.FI.Tr.Rail.Passenger.CPT.Elc</t>
  </si>
  <si>
    <t>FEC_per_vehicle.kgoe.FI.Tr.Rail.Passenger.HST</t>
  </si>
  <si>
    <t>FEC_per_vehicle.kgoe.FI.Tr.Rail.Freight</t>
  </si>
  <si>
    <t>FEC_per_vehicle.kgoe.FI.Tr.Rail.Freight.Diesel</t>
  </si>
  <si>
    <t>FEC_per_vehicle.kgoe.FI.Tr.Rail.Freight.Elc</t>
  </si>
  <si>
    <t>Rail, metro and tram / CO2 emissions - FI - Finland</t>
  </si>
  <si>
    <t>EMI.ktCO2.FI.ES.Tr.Rail</t>
  </si>
  <si>
    <t>EMI.ktCO2.FI.ES.Tr.Rail.Diesel</t>
  </si>
  <si>
    <t>EMI.ktCO2.FI.ES.Tr.Rail.Elec</t>
  </si>
  <si>
    <t>EMI.ktCO2.FI.Tr.Rail</t>
  </si>
  <si>
    <t>EMI.ktCO2.FI.Tr.Rail.Passenger.CPT.Diesel</t>
  </si>
  <si>
    <t>EMI.ktCO2.FI.Tr.Rail.Passenger.CPT.Elc</t>
  </si>
  <si>
    <t>EMI.ktCO2.FI.Tr.Rail.Freight.Diesel</t>
  </si>
  <si>
    <t>EMI.ktCO2.FI.Tr.Rail.Freight.Elc</t>
  </si>
  <si>
    <t>EMIint.gCO2_per_km.FI.Tr.Rail</t>
  </si>
  <si>
    <t>EMIint.gCO2_per_km.FI.Tr.Rail.Passenger</t>
  </si>
  <si>
    <t>EMIint.gCO2_per_km.FI.Tr.Rail.Passenger.MTU</t>
  </si>
  <si>
    <t>EMIint.gCO2_per_km.FI.Tr.Rail.Passenger.CPT</t>
  </si>
  <si>
    <t>EMIint.gCO2_per_km.FI.Tr.Rail.Passenger.CPT.Diesel</t>
  </si>
  <si>
    <t>EMIint.gCO2_per_km.FI.Tr.Rail.Passenger.CPT.Elc</t>
  </si>
  <si>
    <t>EMIint.gCO2_per_km.FI.Tr.Rail.Passenger.HST</t>
  </si>
  <si>
    <t>EMIint.gCO2_per_km.FI.Tr.Rail.Freight</t>
  </si>
  <si>
    <t>EMIint.gCO2_per_km.FI.Tr.Rail.Freight.Diesel</t>
  </si>
  <si>
    <t>EMIint.gCO2_per_km.FI.Tr.Rail.Freight.Elc</t>
  </si>
  <si>
    <t>EMIint.gCO2_per_pkm.FI.Tr.Rail.Passenger.CPT.Diesel</t>
  </si>
  <si>
    <t>EMIint.gCO2_per_pkm.FI.Tr.Rail.Passenger.CPT.Elc</t>
  </si>
  <si>
    <t>EMIint.gCO2_per_tkm.FI.Tr.Rail.Freight.Diesel</t>
  </si>
  <si>
    <t>EMIint.gCO2_per_tkm.FI.Tr.Rail.Freight.Elc</t>
  </si>
  <si>
    <t>EMI_per_vehicle.tCO2.FI.Tr.Rail</t>
  </si>
  <si>
    <t>EMI_per_vehicle.tCO2.FI.Tr.Rail.Passenger</t>
  </si>
  <si>
    <t>EMI_per_vehicle.tCO2.FI.Tr.Rail.Passenger.MTU</t>
  </si>
  <si>
    <t>EMI_per_vehicle.tCO2.FI.Tr.Rail.Passenger.CPT</t>
  </si>
  <si>
    <t>EMI_per_vehicle.tCO2.FI.Tr.Rail.Passenger.CPT.Diesel</t>
  </si>
  <si>
    <t>EMI_per_vehicle.tCO2.FI.Tr.Rail.Passenger.CPT.Elc</t>
  </si>
  <si>
    <t>EMI_per_vehicle.tCO2.FI.Tr.Rail.Passenger.HST</t>
  </si>
  <si>
    <t>EMI_per_vehicle.tCO2.FI.Tr.Rail.Freight</t>
  </si>
  <si>
    <t>EMI_per_vehicle.tCO2.FI.Tr.Rail.Freight.Diesel</t>
  </si>
  <si>
    <t>EMI_per_vehicle.tCO2.FI.Tr.Rail.Freight.Elc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</si>
</sst>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45967.474965277775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78390.267882861939</v>
      </c>
      <c r="C4" s="28">
        <f t="shared" si="0"/>
        <v>79647.577087761107</v>
      </c>
      <c r="D4" s="28">
        <f t="shared" si="0"/>
        <v>80947.316179823945</v>
      </c>
      <c r="E4" s="28">
        <f t="shared" si="0"/>
        <v>82059.40250123835</v>
      </c>
      <c r="F4" s="28">
        <f t="shared" si="0"/>
        <v>84732.837031349802</v>
      </c>
      <c r="G4" s="28">
        <f t="shared" si="0"/>
        <v>86667.765714061781</v>
      </c>
      <c r="H4" s="28">
        <f t="shared" si="0"/>
        <v>88609.655148690625</v>
      </c>
      <c r="I4" s="28">
        <f t="shared" si="0"/>
        <v>92379.835121043929</v>
      </c>
      <c r="J4" s="28">
        <f t="shared" si="0"/>
        <v>92927.516542487079</v>
      </c>
      <c r="K4" s="28">
        <f t="shared" si="0"/>
        <v>92847.757215919526</v>
      </c>
      <c r="L4" s="28">
        <f t="shared" si="0"/>
        <v>94506.857811911337</v>
      </c>
      <c r="M4" s="28">
        <f t="shared" si="0"/>
        <v>97543.43779426167</v>
      </c>
      <c r="N4" s="28">
        <f t="shared" si="0"/>
        <v>98403.062319595891</v>
      </c>
      <c r="O4" s="28">
        <f t="shared" si="0"/>
        <v>98600.493777607742</v>
      </c>
      <c r="P4" s="28">
        <f t="shared" si="0"/>
        <v>99485.778793458638</v>
      </c>
      <c r="Q4" s="28">
        <f t="shared" si="0"/>
        <v>100383.39410080592</v>
      </c>
      <c r="R4" s="28">
        <f t="shared" ref="R4:V4" si="1">R5+R9+R13</f>
        <v>92592.354199455047</v>
      </c>
      <c r="S4" s="28">
        <f t="shared" si="1"/>
        <v>105734.57950849106</v>
      </c>
      <c r="T4" s="28">
        <f t="shared" si="1"/>
        <v>108761.98929105487</v>
      </c>
      <c r="U4" s="28">
        <f t="shared" si="1"/>
        <v>111168.18905042135</v>
      </c>
      <c r="V4" s="28">
        <f t="shared" si="1"/>
        <v>82458.801993700938</v>
      </c>
      <c r="W4" s="28">
        <f t="shared" ref="W4:Y4" si="2">W5+W9+W13</f>
        <v>78985.746710845633</v>
      </c>
      <c r="X4" s="28">
        <f t="shared" si="2"/>
        <v>91210.435741419584</v>
      </c>
      <c r="Y4" s="28">
        <f t="shared" si="2"/>
        <v>99571.321006983038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64303.87177540797</v>
      </c>
      <c r="C5" s="137">
        <f t="shared" si="3"/>
        <v>65603.854438941315</v>
      </c>
      <c r="D5" s="137">
        <f t="shared" si="3"/>
        <v>66903.697382352315</v>
      </c>
      <c r="E5" s="137">
        <f t="shared" si="3"/>
        <v>68164.076907720009</v>
      </c>
      <c r="F5" s="137">
        <f t="shared" si="3"/>
        <v>69449.197980074779</v>
      </c>
      <c r="G5" s="137">
        <f t="shared" si="3"/>
        <v>70353.379204750439</v>
      </c>
      <c r="H5" s="137">
        <f t="shared" si="3"/>
        <v>70898.631197742623</v>
      </c>
      <c r="I5" s="137">
        <f t="shared" si="3"/>
        <v>72230.08158730327</v>
      </c>
      <c r="J5" s="137">
        <f t="shared" si="3"/>
        <v>71845.557909925425</v>
      </c>
      <c r="K5" s="137">
        <f t="shared" si="3"/>
        <v>72775.992478810906</v>
      </c>
      <c r="L5" s="137">
        <f t="shared" si="3"/>
        <v>73490.914655306537</v>
      </c>
      <c r="M5" s="137">
        <f t="shared" si="3"/>
        <v>74234.85827140999</v>
      </c>
      <c r="N5" s="137">
        <f t="shared" si="3"/>
        <v>74007.42213014602</v>
      </c>
      <c r="O5" s="137">
        <f t="shared" si="3"/>
        <v>73851.806130935103</v>
      </c>
      <c r="P5" s="137">
        <f t="shared" si="3"/>
        <v>74259.404729284754</v>
      </c>
      <c r="Q5" s="137">
        <f t="shared" si="3"/>
        <v>75036.477690338012</v>
      </c>
      <c r="R5" s="137">
        <f t="shared" ref="R5:V5" si="4">R6+R7+R8</f>
        <v>66494.441577760343</v>
      </c>
      <c r="S5" s="137">
        <f t="shared" si="4"/>
        <v>76005.271439358592</v>
      </c>
      <c r="T5" s="137">
        <f t="shared" si="4"/>
        <v>75908.783228423534</v>
      </c>
      <c r="U5" s="137">
        <f t="shared" si="4"/>
        <v>75877.34119688299</v>
      </c>
      <c r="V5" s="137">
        <f t="shared" si="4"/>
        <v>71953.256594355524</v>
      </c>
      <c r="W5" s="137">
        <f t="shared" ref="W5:Y5" si="5">W6+W7+W8</f>
        <v>70692.084308262201</v>
      </c>
      <c r="X5" s="137">
        <f t="shared" si="5"/>
        <v>68502.630182038381</v>
      </c>
      <c r="Y5" s="137">
        <f t="shared" si="5"/>
        <v>69486.408273105248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903.87177540797063</v>
      </c>
      <c r="C6" s="102">
        <f>TrRoad_act!C$5</f>
        <v>903.85443894131481</v>
      </c>
      <c r="D6" s="102">
        <f>TrRoad_act!D$5</f>
        <v>903.69738235231682</v>
      </c>
      <c r="E6" s="102">
        <f>TrRoad_act!E$5</f>
        <v>904.07690772001263</v>
      </c>
      <c r="F6" s="102">
        <f>TrRoad_act!F$5</f>
        <v>904.19798007477993</v>
      </c>
      <c r="G6" s="102">
        <f>TrRoad_act!G$5</f>
        <v>903.37920475043745</v>
      </c>
      <c r="H6" s="102">
        <f>TrRoad_act!H$5</f>
        <v>903.631197742616</v>
      </c>
      <c r="I6" s="102">
        <f>TrRoad_act!I$5</f>
        <v>905.08158730327898</v>
      </c>
      <c r="J6" s="102">
        <f>TrRoad_act!J$5</f>
        <v>905.55790992542154</v>
      </c>
      <c r="K6" s="102">
        <f>TrRoad_act!K$5</f>
        <v>905.9924788108948</v>
      </c>
      <c r="L6" s="102">
        <f>TrRoad_act!L$5</f>
        <v>1205.9146553065257</v>
      </c>
      <c r="M6" s="102">
        <f>TrRoad_act!M$5</f>
        <v>1204.8582714100037</v>
      </c>
      <c r="N6" s="102">
        <f>TrRoad_act!N$5</f>
        <v>1197.4221301460341</v>
      </c>
      <c r="O6" s="102">
        <f>TrRoad_act!O$5</f>
        <v>1196.8061309351144</v>
      </c>
      <c r="P6" s="102">
        <f>TrRoad_act!P$5</f>
        <v>1199.4047292847661</v>
      </c>
      <c r="Q6" s="102">
        <f>TrRoad_act!Q$5</f>
        <v>1201.4776903379957</v>
      </c>
      <c r="R6" s="102">
        <f>TrRoad_act!R$5</f>
        <v>1233.4415777603363</v>
      </c>
      <c r="S6" s="102">
        <f>TrRoad_act!S$5</f>
        <v>1164.2714393585809</v>
      </c>
      <c r="T6" s="102">
        <f>TrRoad_act!T$5</f>
        <v>1108.7832284235301</v>
      </c>
      <c r="U6" s="102">
        <f>TrRoad_act!U$5</f>
        <v>1177.3411968829935</v>
      </c>
      <c r="V6" s="102">
        <f>TrRoad_act!V$5</f>
        <v>1053.2565943555396</v>
      </c>
      <c r="W6" s="102">
        <f>TrRoad_act!W$5</f>
        <v>1092.0843082622</v>
      </c>
      <c r="X6" s="102">
        <f>TrRoad_act!X$5</f>
        <v>1102.6301820383978</v>
      </c>
      <c r="Y6" s="102">
        <f>TrRoad_act!Y$5</f>
        <v>1186.4082731052504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55700</v>
      </c>
      <c r="C7" s="102">
        <f>TrRoad_act!C$6</f>
        <v>57000</v>
      </c>
      <c r="D7" s="102">
        <f>TrRoad_act!D$6</f>
        <v>58300</v>
      </c>
      <c r="E7" s="102">
        <f>TrRoad_act!E$6</f>
        <v>59590</v>
      </c>
      <c r="F7" s="102">
        <f>TrRoad_act!F$6</f>
        <v>60940</v>
      </c>
      <c r="G7" s="102">
        <f>TrRoad_act!G$6</f>
        <v>61910</v>
      </c>
      <c r="H7" s="102">
        <f>TrRoad_act!H$6</f>
        <v>62455</v>
      </c>
      <c r="I7" s="102">
        <f>TrRoad_act!I$6</f>
        <v>63785</v>
      </c>
      <c r="J7" s="102">
        <f>TrRoad_act!J$6</f>
        <v>63400</v>
      </c>
      <c r="K7" s="102">
        <f>TrRoad_act!K$6</f>
        <v>64330</v>
      </c>
      <c r="L7" s="102">
        <f>TrRoad_act!L$6</f>
        <v>64745.000000000007</v>
      </c>
      <c r="M7" s="102">
        <f>TrRoad_act!M$6</f>
        <v>65489.999999999993</v>
      </c>
      <c r="N7" s="102">
        <f>TrRoad_act!N$6</f>
        <v>65269.999999999993</v>
      </c>
      <c r="O7" s="102">
        <f>TrRoad_act!O$6</f>
        <v>65114.999999999993</v>
      </c>
      <c r="P7" s="102">
        <f>TrRoad_act!P$6</f>
        <v>65519.999999999993</v>
      </c>
      <c r="Q7" s="102">
        <f>TrRoad_act!Q$6</f>
        <v>66295.000000000015</v>
      </c>
      <c r="R7" s="102">
        <f>TrRoad_act!R$6</f>
        <v>57006</v>
      </c>
      <c r="S7" s="102">
        <f>TrRoad_act!S$6</f>
        <v>66607.000000000015</v>
      </c>
      <c r="T7" s="102">
        <f>TrRoad_act!T$6</f>
        <v>66800</v>
      </c>
      <c r="U7" s="102">
        <f>TrRoad_act!U$6</f>
        <v>66800</v>
      </c>
      <c r="V7" s="102">
        <f>TrRoad_act!V$6</f>
        <v>64099.999999999993</v>
      </c>
      <c r="W7" s="102">
        <f>TrRoad_act!W$6</f>
        <v>63600</v>
      </c>
      <c r="X7" s="102">
        <f>TrRoad_act!X$6</f>
        <v>60599.999999999993</v>
      </c>
      <c r="Y7" s="102">
        <f>TrRoad_act!Y$6</f>
        <v>61000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7699.9999999999991</v>
      </c>
      <c r="C8" s="102">
        <f>TrRoad_act!C$13</f>
        <v>7700.0000000000009</v>
      </c>
      <c r="D8" s="102">
        <f>TrRoad_act!D$13</f>
        <v>7700</v>
      </c>
      <c r="E8" s="102">
        <f>TrRoad_act!E$13</f>
        <v>7670</v>
      </c>
      <c r="F8" s="102">
        <f>TrRoad_act!F$13</f>
        <v>7605</v>
      </c>
      <c r="G8" s="102">
        <f>TrRoad_act!G$13</f>
        <v>7540</v>
      </c>
      <c r="H8" s="102">
        <f>TrRoad_act!H$13</f>
        <v>7540</v>
      </c>
      <c r="I8" s="102">
        <f>TrRoad_act!I$13</f>
        <v>7539.9999999999991</v>
      </c>
      <c r="J8" s="102">
        <f>TrRoad_act!J$13</f>
        <v>7539.9999999999991</v>
      </c>
      <c r="K8" s="102">
        <f>TrRoad_act!K$13</f>
        <v>7540.0000000000009</v>
      </c>
      <c r="L8" s="102">
        <f>TrRoad_act!L$13</f>
        <v>7540</v>
      </c>
      <c r="M8" s="102">
        <f>TrRoad_act!M$13</f>
        <v>7540</v>
      </c>
      <c r="N8" s="102">
        <f>TrRoad_act!N$13</f>
        <v>7540</v>
      </c>
      <c r="O8" s="102">
        <f>TrRoad_act!O$13</f>
        <v>7540</v>
      </c>
      <c r="P8" s="102">
        <f>TrRoad_act!P$13</f>
        <v>7540</v>
      </c>
      <c r="Q8" s="102">
        <f>TrRoad_act!Q$13</f>
        <v>7540.0000000000009</v>
      </c>
      <c r="R8" s="102">
        <f>TrRoad_act!R$13</f>
        <v>8255.0000000000018</v>
      </c>
      <c r="S8" s="102">
        <f>TrRoad_act!S$13</f>
        <v>8234</v>
      </c>
      <c r="T8" s="102">
        <f>TrRoad_act!T$13</f>
        <v>7999.9999999999991</v>
      </c>
      <c r="U8" s="102">
        <f>TrRoad_act!U$13</f>
        <v>7900</v>
      </c>
      <c r="V8" s="102">
        <f>TrRoad_act!V$13</f>
        <v>6799.9999999999991</v>
      </c>
      <c r="W8" s="102">
        <f>TrRoad_act!W$13</f>
        <v>6000</v>
      </c>
      <c r="X8" s="102">
        <f>TrRoad_act!X$13</f>
        <v>6799.9999999999991</v>
      </c>
      <c r="Y8" s="102">
        <f>TrRoad_act!Y$13</f>
        <v>7300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3902</v>
      </c>
      <c r="C9" s="110">
        <f t="shared" si="6"/>
        <v>3786.6</v>
      </c>
      <c r="D9" s="110">
        <f t="shared" si="6"/>
        <v>3835.5</v>
      </c>
      <c r="E9" s="110">
        <f t="shared" si="6"/>
        <v>3860.3</v>
      </c>
      <c r="F9" s="110">
        <f t="shared" si="6"/>
        <v>3875</v>
      </c>
      <c r="G9" s="110">
        <f t="shared" si="6"/>
        <v>4004</v>
      </c>
      <c r="H9" s="110">
        <f t="shared" si="6"/>
        <v>4064</v>
      </c>
      <c r="I9" s="110">
        <f t="shared" si="6"/>
        <v>4298</v>
      </c>
      <c r="J9" s="110">
        <f t="shared" si="6"/>
        <v>4584</v>
      </c>
      <c r="K9" s="110">
        <f t="shared" si="6"/>
        <v>4408</v>
      </c>
      <c r="L9" s="110">
        <f t="shared" si="6"/>
        <v>4489</v>
      </c>
      <c r="M9" s="110">
        <f t="shared" si="6"/>
        <v>4397</v>
      </c>
      <c r="N9" s="110">
        <f t="shared" si="6"/>
        <v>4561</v>
      </c>
      <c r="O9" s="110">
        <f t="shared" si="6"/>
        <v>4578</v>
      </c>
      <c r="P9" s="110">
        <f t="shared" si="6"/>
        <v>4387.6439267886853</v>
      </c>
      <c r="Q9" s="110">
        <f t="shared" si="6"/>
        <v>4629.8277870216307</v>
      </c>
      <c r="R9" s="110">
        <f t="shared" ref="R9:V9" si="7">R10+R11+R12</f>
        <v>4395.1838602329453</v>
      </c>
      <c r="S9" s="110">
        <f t="shared" si="7"/>
        <v>4828.7579034941764</v>
      </c>
      <c r="T9" s="110">
        <f t="shared" si="7"/>
        <v>5189.7212978369389</v>
      </c>
      <c r="U9" s="110">
        <f t="shared" si="7"/>
        <v>5576.5374376039936</v>
      </c>
      <c r="V9" s="110">
        <f t="shared" si="7"/>
        <v>3381.6777943933107</v>
      </c>
      <c r="W9" s="110">
        <f t="shared" ref="W9:Y9" si="8">W10+W11+W12</f>
        <v>3398.5980538764506</v>
      </c>
      <c r="X9" s="110">
        <f t="shared" si="8"/>
        <v>5133.6777943933112</v>
      </c>
      <c r="Y9" s="110">
        <f t="shared" si="8"/>
        <v>5793.6128375105036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497</v>
      </c>
      <c r="C10" s="102">
        <f>TrRail_act!C$5</f>
        <v>504.59999999999991</v>
      </c>
      <c r="D10" s="102">
        <f>TrRail_act!D$5</f>
        <v>517.5</v>
      </c>
      <c r="E10" s="102">
        <f>TrRail_act!E$5</f>
        <v>522.29999999999995</v>
      </c>
      <c r="F10" s="102">
        <f>TrRail_act!F$5</f>
        <v>523</v>
      </c>
      <c r="G10" s="102">
        <f>TrRail_act!G$5</f>
        <v>526</v>
      </c>
      <c r="H10" s="102">
        <f>TrRail_act!H$5</f>
        <v>524</v>
      </c>
      <c r="I10" s="102">
        <f>TrRail_act!I$5</f>
        <v>520</v>
      </c>
      <c r="J10" s="102">
        <f>TrRail_act!J$5</f>
        <v>532</v>
      </c>
      <c r="K10" s="102">
        <f>TrRail_act!K$5</f>
        <v>532</v>
      </c>
      <c r="L10" s="102">
        <f>TrRail_act!L$5</f>
        <v>530</v>
      </c>
      <c r="M10" s="102">
        <f>TrRail_act!M$5</f>
        <v>515</v>
      </c>
      <c r="N10" s="102">
        <f>TrRail_act!N$5</f>
        <v>526</v>
      </c>
      <c r="O10" s="102">
        <f>TrRail_act!O$5</f>
        <v>525</v>
      </c>
      <c r="P10" s="102">
        <f>TrRail_act!P$5</f>
        <v>513.64392678868558</v>
      </c>
      <c r="Q10" s="102">
        <f>TrRail_act!Q$5</f>
        <v>515.82778702163057</v>
      </c>
      <c r="R10" s="102">
        <f>TrRail_act!R$5</f>
        <v>527.18386023294511</v>
      </c>
      <c r="S10" s="102">
        <f>TrRail_act!S$5</f>
        <v>557.75790349417639</v>
      </c>
      <c r="T10" s="102">
        <f>TrRail_act!T$5</f>
        <v>654.72129783693856</v>
      </c>
      <c r="U10" s="102">
        <f>TrRail_act!U$5</f>
        <v>652.53743760399334</v>
      </c>
      <c r="V10" s="102">
        <f>TrRail_act!V$5</f>
        <v>561.67779439331071</v>
      </c>
      <c r="W10" s="102">
        <f>TrRail_act!W$5</f>
        <v>495.59805387645059</v>
      </c>
      <c r="X10" s="102">
        <f>TrRail_act!X$5</f>
        <v>561.67779439331071</v>
      </c>
      <c r="Y10" s="102">
        <f>TrRail_act!Y$5</f>
        <v>594.61283751050325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3334</v>
      </c>
      <c r="C11" s="102">
        <f>TrRail_act!C$6</f>
        <v>3222</v>
      </c>
      <c r="D11" s="102">
        <f>TrRail_act!D$6</f>
        <v>3183</v>
      </c>
      <c r="E11" s="102">
        <f>TrRail_act!E$6</f>
        <v>3138</v>
      </c>
      <c r="F11" s="102">
        <f>TrRail_act!F$6</f>
        <v>3190</v>
      </c>
      <c r="G11" s="102">
        <f>TrRail_act!G$6</f>
        <v>3167</v>
      </c>
      <c r="H11" s="102">
        <f>TrRail_act!H$6</f>
        <v>3105</v>
      </c>
      <c r="I11" s="102">
        <f>TrRail_act!I$6</f>
        <v>3198</v>
      </c>
      <c r="J11" s="102">
        <f>TrRail_act!J$6</f>
        <v>3429.9999999999995</v>
      </c>
      <c r="K11" s="102">
        <f>TrRail_act!K$6</f>
        <v>3272</v>
      </c>
      <c r="L11" s="102">
        <f>TrRail_act!L$6</f>
        <v>3308</v>
      </c>
      <c r="M11" s="102">
        <f>TrRail_act!M$6</f>
        <v>3173</v>
      </c>
      <c r="N11" s="102">
        <f>TrRail_act!N$6</f>
        <v>3327</v>
      </c>
      <c r="O11" s="102">
        <f>TrRail_act!O$6</f>
        <v>3296</v>
      </c>
      <c r="P11" s="102">
        <f>TrRail_act!P$6</f>
        <v>3223</v>
      </c>
      <c r="Q11" s="102">
        <f>TrRail_act!Q$6</f>
        <v>3543</v>
      </c>
      <c r="R11" s="102">
        <f>TrRail_act!R$6</f>
        <v>3255</v>
      </c>
      <c r="S11" s="102">
        <f>TrRail_act!S$6</f>
        <v>3593</v>
      </c>
      <c r="T11" s="102">
        <f>TrRail_act!T$6</f>
        <v>3740</v>
      </c>
      <c r="U11" s="102">
        <f>TrRail_act!U$6</f>
        <v>4110</v>
      </c>
      <c r="V11" s="102">
        <f>TrRail_act!V$6</f>
        <v>2495</v>
      </c>
      <c r="W11" s="102">
        <f>TrRail_act!W$6</f>
        <v>2563</v>
      </c>
      <c r="X11" s="102">
        <f>TrRail_act!X$6</f>
        <v>4185.3727034120739</v>
      </c>
      <c r="Y11" s="102">
        <f>TrRail_act!Y$6</f>
        <v>4759.3509809797397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71</v>
      </c>
      <c r="C12" s="102">
        <f>TrRail_act!C$9</f>
        <v>60</v>
      </c>
      <c r="D12" s="102">
        <f>TrRail_act!D$9</f>
        <v>135</v>
      </c>
      <c r="E12" s="102">
        <f>TrRail_act!E$9</f>
        <v>200</v>
      </c>
      <c r="F12" s="102">
        <f>TrRail_act!F$9</f>
        <v>162</v>
      </c>
      <c r="G12" s="102">
        <f>TrRail_act!G$9</f>
        <v>311</v>
      </c>
      <c r="H12" s="102">
        <f>TrRail_act!H$9</f>
        <v>435</v>
      </c>
      <c r="I12" s="102">
        <f>TrRail_act!I$9</f>
        <v>580</v>
      </c>
      <c r="J12" s="102">
        <f>TrRail_act!J$9</f>
        <v>622</v>
      </c>
      <c r="K12" s="102">
        <f>TrRail_act!K$9</f>
        <v>604</v>
      </c>
      <c r="L12" s="102">
        <f>TrRail_act!L$9</f>
        <v>651</v>
      </c>
      <c r="M12" s="102">
        <f>TrRail_act!M$9</f>
        <v>709</v>
      </c>
      <c r="N12" s="102">
        <f>TrRail_act!N$9</f>
        <v>708</v>
      </c>
      <c r="O12" s="102">
        <f>TrRail_act!O$9</f>
        <v>757</v>
      </c>
      <c r="P12" s="102">
        <f>TrRail_act!P$9</f>
        <v>651</v>
      </c>
      <c r="Q12" s="102">
        <f>TrRail_act!Q$9</f>
        <v>571</v>
      </c>
      <c r="R12" s="102">
        <f>TrRail_act!R$9</f>
        <v>613</v>
      </c>
      <c r="S12" s="102">
        <f>TrRail_act!S$9</f>
        <v>678</v>
      </c>
      <c r="T12" s="102">
        <f>TrRail_act!T$9</f>
        <v>795</v>
      </c>
      <c r="U12" s="102">
        <f>TrRail_act!U$9</f>
        <v>814</v>
      </c>
      <c r="V12" s="102">
        <f>TrRail_act!V$9</f>
        <v>325</v>
      </c>
      <c r="W12" s="102">
        <f>TrRail_act!W$9</f>
        <v>340</v>
      </c>
      <c r="X12" s="102">
        <f>TrRail_act!X$9</f>
        <v>386.62729658792648</v>
      </c>
      <c r="Y12" s="102">
        <f>TrRail_act!Y$9</f>
        <v>439.6490190202602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10184.396107453969</v>
      </c>
      <c r="C13" s="110">
        <f t="shared" ref="C13:V13" si="10">C14+C15+C16</f>
        <v>10257.122648819794</v>
      </c>
      <c r="D13" s="110">
        <f t="shared" si="10"/>
        <v>10208.118797471623</v>
      </c>
      <c r="E13" s="110">
        <f t="shared" si="10"/>
        <v>10035.025593518338</v>
      </c>
      <c r="F13" s="110">
        <f t="shared" si="10"/>
        <v>11408.639051275019</v>
      </c>
      <c r="G13" s="110">
        <f t="shared" si="10"/>
        <v>12310.386509311338</v>
      </c>
      <c r="H13" s="110">
        <f t="shared" si="10"/>
        <v>13647.023950948002</v>
      </c>
      <c r="I13" s="110">
        <f t="shared" si="10"/>
        <v>15851.753533740652</v>
      </c>
      <c r="J13" s="110">
        <f t="shared" si="10"/>
        <v>16497.958632561662</v>
      </c>
      <c r="K13" s="110">
        <f t="shared" si="10"/>
        <v>15663.764737108617</v>
      </c>
      <c r="L13" s="110">
        <f t="shared" si="10"/>
        <v>16526.943156604797</v>
      </c>
      <c r="M13" s="110">
        <f t="shared" si="10"/>
        <v>18911.579522851673</v>
      </c>
      <c r="N13" s="110">
        <f t="shared" si="10"/>
        <v>19834.640189449878</v>
      </c>
      <c r="O13" s="110">
        <f t="shared" si="10"/>
        <v>20170.687646672632</v>
      </c>
      <c r="P13" s="110">
        <f t="shared" si="10"/>
        <v>20838.730137385195</v>
      </c>
      <c r="Q13" s="110">
        <f t="shared" si="10"/>
        <v>20717.088623446285</v>
      </c>
      <c r="R13" s="110">
        <f t="shared" si="10"/>
        <v>21702.728761461749</v>
      </c>
      <c r="S13" s="110">
        <f t="shared" si="10"/>
        <v>24900.550165638302</v>
      </c>
      <c r="T13" s="110">
        <f t="shared" si="10"/>
        <v>27663.48476479439</v>
      </c>
      <c r="U13" s="110">
        <f t="shared" si="10"/>
        <v>29714.310415934357</v>
      </c>
      <c r="V13" s="110">
        <f t="shared" si="10"/>
        <v>7123.8676049521018</v>
      </c>
      <c r="W13" s="110">
        <f t="shared" ref="W13:Y13" si="11">W14+W15+W16</f>
        <v>4895.0643487069738</v>
      </c>
      <c r="X13" s="110">
        <f t="shared" si="11"/>
        <v>17574.12776498789</v>
      </c>
      <c r="Y13" s="110">
        <f t="shared" si="11"/>
        <v>24291.299896367287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1581.723857453321</v>
      </c>
      <c r="C14" s="102">
        <f>TrAvia_act!C$5</f>
        <v>1555.0931924780421</v>
      </c>
      <c r="D14" s="102">
        <f>TrAvia_act!D$5</f>
        <v>1560.5016762693788</v>
      </c>
      <c r="E14" s="102">
        <f>TrAvia_act!E$5</f>
        <v>1349.3612681248933</v>
      </c>
      <c r="F14" s="102">
        <f>TrAvia_act!F$5</f>
        <v>1427.637018774966</v>
      </c>
      <c r="G14" s="102">
        <f>TrAvia_act!G$5</f>
        <v>1416.5376334822265</v>
      </c>
      <c r="H14" s="102">
        <f>TrAvia_act!H$5</f>
        <v>1383.2669553704636</v>
      </c>
      <c r="I14" s="102">
        <f>TrAvia_act!I$5</f>
        <v>1454.9485915009773</v>
      </c>
      <c r="J14" s="102">
        <f>TrAvia_act!J$5</f>
        <v>1348.6660830597607</v>
      </c>
      <c r="K14" s="102">
        <f>TrAvia_act!K$5</f>
        <v>1227.9968039906612</v>
      </c>
      <c r="L14" s="102">
        <f>TrAvia_act!L$5</f>
        <v>1193.0116949863018</v>
      </c>
      <c r="M14" s="102">
        <f>TrAvia_act!M$5</f>
        <v>1415.1752012033155</v>
      </c>
      <c r="N14" s="102">
        <f>TrAvia_act!N$5</f>
        <v>1413.9089597816587</v>
      </c>
      <c r="O14" s="102">
        <f>TrAvia_act!O$5</f>
        <v>1276.1254968755452</v>
      </c>
      <c r="P14" s="102">
        <f>TrAvia_act!P$5</f>
        <v>1329.6104518585669</v>
      </c>
      <c r="Q14" s="102">
        <f>TrAvia_act!Q$5</f>
        <v>1339.2269261952556</v>
      </c>
      <c r="R14" s="102">
        <f>TrAvia_act!R$5</f>
        <v>1409.5155616357438</v>
      </c>
      <c r="S14" s="102">
        <f>TrAvia_act!S$5</f>
        <v>1509.8542840339583</v>
      </c>
      <c r="T14" s="102">
        <f>TrAvia_act!T$5</f>
        <v>1690.3659844694098</v>
      </c>
      <c r="U14" s="102">
        <f>TrAvia_act!U$5</f>
        <v>1694.5390770315578</v>
      </c>
      <c r="V14" s="102">
        <f>TrAvia_act!V$5</f>
        <v>656.97583440440644</v>
      </c>
      <c r="W14" s="102">
        <f>TrAvia_act!W$5</f>
        <v>587.84752846756055</v>
      </c>
      <c r="X14" s="102">
        <f>TrAvia_act!X$5</f>
        <v>1108.7472137204129</v>
      </c>
      <c r="Y14" s="102">
        <f>TrAvia_act!Y$5</f>
        <v>1170.3922196898432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6017.7148552342724</v>
      </c>
      <c r="C15" s="102">
        <f>TrAvia_act!C$6</f>
        <v>6171.6834501838066</v>
      </c>
      <c r="D15" s="102">
        <f>TrAvia_act!D$6</f>
        <v>5956.8745681010996</v>
      </c>
      <c r="E15" s="102">
        <f>TrAvia_act!E$6</f>
        <v>6065.885226399053</v>
      </c>
      <c r="F15" s="102">
        <f>TrAvia_act!F$6</f>
        <v>6586.5431429987748</v>
      </c>
      <c r="G15" s="102">
        <f>TrAvia_act!G$6</f>
        <v>6944.5683754032643</v>
      </c>
      <c r="H15" s="102">
        <f>TrAvia_act!H$6</f>
        <v>7546.7144235208989</v>
      </c>
      <c r="I15" s="102">
        <f>TrAvia_act!I$6</f>
        <v>7940.4611551626967</v>
      </c>
      <c r="J15" s="102">
        <f>TrAvia_act!J$6</f>
        <v>7686.5291959919432</v>
      </c>
      <c r="K15" s="102">
        <f>TrAvia_act!K$6</f>
        <v>7302.2372687536335</v>
      </c>
      <c r="L15" s="102">
        <f>TrAvia_act!L$6</f>
        <v>7423.6980486836474</v>
      </c>
      <c r="M15" s="102">
        <f>TrAvia_act!M$6</f>
        <v>8445.8191192809481</v>
      </c>
      <c r="N15" s="102">
        <f>TrAvia_act!N$6</f>
        <v>8444.4579248249029</v>
      </c>
      <c r="O15" s="102">
        <f>TrAvia_act!O$6</f>
        <v>8958.9818170505714</v>
      </c>
      <c r="P15" s="102">
        <f>TrAvia_act!P$6</f>
        <v>9941.6517003028839</v>
      </c>
      <c r="Q15" s="102">
        <f>TrAvia_act!Q$6</f>
        <v>9696.8265395667622</v>
      </c>
      <c r="R15" s="102">
        <f>TrAvia_act!R$6</f>
        <v>10073.563468824615</v>
      </c>
      <c r="S15" s="102">
        <f>TrAvia_act!S$6</f>
        <v>11394.309878389804</v>
      </c>
      <c r="T15" s="102">
        <f>TrAvia_act!T$6</f>
        <v>12353.944482362531</v>
      </c>
      <c r="U15" s="102">
        <f>TrAvia_act!U$6</f>
        <v>12724.533554476329</v>
      </c>
      <c r="V15" s="102">
        <f>TrAvia_act!V$6</f>
        <v>2810.2755491541716</v>
      </c>
      <c r="W15" s="102">
        <f>TrAvia_act!W$6</f>
        <v>2542.315184284178</v>
      </c>
      <c r="X15" s="102">
        <f>TrAvia_act!X$6</f>
        <v>8813.3255452335452</v>
      </c>
      <c r="Y15" s="102">
        <f>TrAvia_act!Y$6</f>
        <v>10473.268513711755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2584.9573947663748</v>
      </c>
      <c r="C16" s="102">
        <f>TrAvia_act!C$7</f>
        <v>2530.3460061579449</v>
      </c>
      <c r="D16" s="102">
        <f>TrAvia_act!D$7</f>
        <v>2690.742553101144</v>
      </c>
      <c r="E16" s="102">
        <f>TrAvia_act!E$7</f>
        <v>2619.7790989943906</v>
      </c>
      <c r="F16" s="102">
        <f>TrAvia_act!F$7</f>
        <v>3394.458889501278</v>
      </c>
      <c r="G16" s="102">
        <f>TrAvia_act!G$7</f>
        <v>3949.2805004258471</v>
      </c>
      <c r="H16" s="102">
        <f>TrAvia_act!H$7</f>
        <v>4717.0425720566373</v>
      </c>
      <c r="I16" s="102">
        <f>TrAvia_act!I$7</f>
        <v>6456.3437870769785</v>
      </c>
      <c r="J16" s="102">
        <f>TrAvia_act!J$7</f>
        <v>7462.7633535099594</v>
      </c>
      <c r="K16" s="102">
        <f>TrAvia_act!K$7</f>
        <v>7133.5306643643207</v>
      </c>
      <c r="L16" s="102">
        <f>TrAvia_act!L$7</f>
        <v>7910.2334129348483</v>
      </c>
      <c r="M16" s="102">
        <f>TrAvia_act!M$7</f>
        <v>9050.585202367407</v>
      </c>
      <c r="N16" s="102">
        <f>TrAvia_act!N$7</f>
        <v>9976.2733048433147</v>
      </c>
      <c r="O16" s="102">
        <f>TrAvia_act!O$7</f>
        <v>9935.5803327465146</v>
      </c>
      <c r="P16" s="102">
        <f>TrAvia_act!P$7</f>
        <v>9567.4679852237441</v>
      </c>
      <c r="Q16" s="102">
        <f>TrAvia_act!Q$7</f>
        <v>9681.0351576842677</v>
      </c>
      <c r="R16" s="102">
        <f>TrAvia_act!R$7</f>
        <v>10219.649731001389</v>
      </c>
      <c r="S16" s="102">
        <f>TrAvia_act!S$7</f>
        <v>11996.38600321454</v>
      </c>
      <c r="T16" s="102">
        <f>TrAvia_act!T$7</f>
        <v>13619.174297962451</v>
      </c>
      <c r="U16" s="102">
        <f>TrAvia_act!U$7</f>
        <v>15295.23778442647</v>
      </c>
      <c r="V16" s="102">
        <f>TrAvia_act!V$7</f>
        <v>3656.616221393524</v>
      </c>
      <c r="W16" s="102">
        <f>TrAvia_act!W$7</f>
        <v>1764.9016359552354</v>
      </c>
      <c r="X16" s="102">
        <f>TrAvia_act!X$7</f>
        <v>7652.0550060339328</v>
      </c>
      <c r="Y16" s="102">
        <f>TrAvia_act!Y$7</f>
        <v>12647.639162965686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40880.790455201641</v>
      </c>
      <c r="C17" s="28">
        <f t="shared" si="12"/>
        <v>39564.456111930966</v>
      </c>
      <c r="D17" s="28">
        <f t="shared" si="12"/>
        <v>40888.258206810809</v>
      </c>
      <c r="E17" s="28">
        <f t="shared" si="12"/>
        <v>40062.677982715926</v>
      </c>
      <c r="F17" s="28">
        <f t="shared" si="12"/>
        <v>40801.181719042914</v>
      </c>
      <c r="G17" s="28">
        <f t="shared" si="12"/>
        <v>40882.259579031583</v>
      </c>
      <c r="H17" s="28">
        <f t="shared" si="12"/>
        <v>40060.831417343688</v>
      </c>
      <c r="I17" s="28">
        <f t="shared" si="12"/>
        <v>40152.098981603966</v>
      </c>
      <c r="J17" s="28">
        <f t="shared" si="12"/>
        <v>42234.078459092605</v>
      </c>
      <c r="K17" s="28">
        <f t="shared" si="12"/>
        <v>36873.47228953326</v>
      </c>
      <c r="L17" s="28">
        <f t="shared" si="12"/>
        <v>39312.583515930841</v>
      </c>
      <c r="M17" s="28">
        <f t="shared" si="12"/>
        <v>37270.653508267766</v>
      </c>
      <c r="N17" s="28">
        <f t="shared" si="12"/>
        <v>35318.157547997944</v>
      </c>
      <c r="O17" s="28">
        <f t="shared" si="12"/>
        <v>34262.15845644135</v>
      </c>
      <c r="P17" s="28">
        <f t="shared" si="12"/>
        <v>34086.728692643119</v>
      </c>
      <c r="Q17" s="28">
        <f t="shared" si="12"/>
        <v>34367.255630941429</v>
      </c>
      <c r="R17" s="28">
        <f t="shared" ref="R17:V17" si="13">R18+R21+R22+R26</f>
        <v>38456.041662557713</v>
      </c>
      <c r="S17" s="28">
        <f t="shared" si="13"/>
        <v>41254.091296235471</v>
      </c>
      <c r="T17" s="28">
        <f t="shared" si="13"/>
        <v>42105.737953017073</v>
      </c>
      <c r="U17" s="28">
        <f t="shared" si="13"/>
        <v>42513.502934223739</v>
      </c>
      <c r="V17" s="28">
        <f t="shared" si="13"/>
        <v>42759.317520768156</v>
      </c>
      <c r="W17" s="28">
        <f t="shared" ref="W17:Y17" si="14">W18+W21+W22+W26</f>
        <v>43182.080544494806</v>
      </c>
      <c r="X17" s="28">
        <f t="shared" si="14"/>
        <v>42954.69058718333</v>
      </c>
      <c r="Y17" s="28">
        <f t="shared" si="14"/>
        <v>39396.397923563491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29673.365104731136</v>
      </c>
      <c r="C18" s="137">
        <f t="shared" si="15"/>
        <v>28717.364555368276</v>
      </c>
      <c r="D18" s="137">
        <f t="shared" si="15"/>
        <v>30177.998253873466</v>
      </c>
      <c r="E18" s="137">
        <f t="shared" si="15"/>
        <v>29034.197630347076</v>
      </c>
      <c r="F18" s="137">
        <f t="shared" si="15"/>
        <v>29707.404326057713</v>
      </c>
      <c r="G18" s="137">
        <f t="shared" si="15"/>
        <v>30265.686719541362</v>
      </c>
      <c r="H18" s="137">
        <f t="shared" si="15"/>
        <v>28002.873791659691</v>
      </c>
      <c r="I18" s="137">
        <f t="shared" si="15"/>
        <v>28597.637155620479</v>
      </c>
      <c r="J18" s="137">
        <f t="shared" si="15"/>
        <v>30388.648402345927</v>
      </c>
      <c r="K18" s="137">
        <f t="shared" si="15"/>
        <v>27104.310419571553</v>
      </c>
      <c r="L18" s="137">
        <f t="shared" si="15"/>
        <v>28279.252187824852</v>
      </c>
      <c r="M18" s="137">
        <f t="shared" si="15"/>
        <v>26478.660789144324</v>
      </c>
      <c r="N18" s="137">
        <f t="shared" si="15"/>
        <v>24921.977704232224</v>
      </c>
      <c r="O18" s="137">
        <f t="shared" si="15"/>
        <v>23902.152555786968</v>
      </c>
      <c r="P18" s="137">
        <f t="shared" si="15"/>
        <v>23535.973532673983</v>
      </c>
      <c r="Q18" s="137">
        <f t="shared" si="15"/>
        <v>24886.060189721615</v>
      </c>
      <c r="R18" s="137">
        <f t="shared" ref="R18:V18" si="16">R19+R20</f>
        <v>27897.215638651694</v>
      </c>
      <c r="S18" s="137">
        <f t="shared" si="16"/>
        <v>29728.492446624728</v>
      </c>
      <c r="T18" s="137">
        <f t="shared" si="16"/>
        <v>29598.326567398344</v>
      </c>
      <c r="U18" s="137">
        <f t="shared" si="16"/>
        <v>30196.339096674925</v>
      </c>
      <c r="V18" s="137">
        <f t="shared" si="16"/>
        <v>31398.681197613019</v>
      </c>
      <c r="W18" s="137">
        <f t="shared" ref="W18:Y18" si="17">W19+W20</f>
        <v>31553.435713158211</v>
      </c>
      <c r="X18" s="137">
        <f t="shared" si="17"/>
        <v>32893.650568640325</v>
      </c>
      <c r="Y18" s="137">
        <f t="shared" si="17"/>
        <v>30310.201174478676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1234.9165061019005</v>
      </c>
      <c r="C19" s="102">
        <f>TrRoad_act!C$20</f>
        <v>1267.1331579492676</v>
      </c>
      <c r="D19" s="102">
        <f>TrRoad_act!D$20</f>
        <v>1289.3990422072097</v>
      </c>
      <c r="E19" s="102">
        <f>TrRoad_act!E$20</f>
        <v>1307.6732222143214</v>
      </c>
      <c r="F19" s="102">
        <f>TrRoad_act!F$20</f>
        <v>1413.2964971939939</v>
      </c>
      <c r="G19" s="102">
        <f>TrRoad_act!G$20</f>
        <v>1456.7228767938839</v>
      </c>
      <c r="H19" s="102">
        <f>TrRoad_act!H$20</f>
        <v>1479.2165535891631</v>
      </c>
      <c r="I19" s="102">
        <f>TrRoad_act!I$20</f>
        <v>1547.6169883281302</v>
      </c>
      <c r="J19" s="102">
        <f>TrRoad_act!J$20</f>
        <v>1674.327509073124</v>
      </c>
      <c r="K19" s="102">
        <f>TrRoad_act!K$20</f>
        <v>1707.2402863589411</v>
      </c>
      <c r="L19" s="102">
        <f>TrRoad_act!L$20</f>
        <v>1790.4882318498189</v>
      </c>
      <c r="M19" s="102">
        <f>TrRoad_act!M$20</f>
        <v>1883.4257895899416</v>
      </c>
      <c r="N19" s="102">
        <f>TrRoad_act!N$20</f>
        <v>1927.9086667836027</v>
      </c>
      <c r="O19" s="102">
        <f>TrRoad_act!O$20</f>
        <v>2008.8120603386824</v>
      </c>
      <c r="P19" s="102">
        <f>TrRoad_act!P$20</f>
        <v>2050.3119810771241</v>
      </c>
      <c r="Q19" s="102">
        <f>TrRoad_act!Q$20</f>
        <v>2109.4553699263715</v>
      </c>
      <c r="R19" s="102">
        <f>TrRoad_act!R$20</f>
        <v>2183.9215717845127</v>
      </c>
      <c r="S19" s="102">
        <f>TrRoad_act!S$20</f>
        <v>2264.6349779834113</v>
      </c>
      <c r="T19" s="102">
        <f>TrRoad_act!T$20</f>
        <v>2342.3265673983451</v>
      </c>
      <c r="U19" s="102">
        <f>TrRoad_act!U$20</f>
        <v>2414.3390966749257</v>
      </c>
      <c r="V19" s="102">
        <f>TrRoad_act!V$20</f>
        <v>2456.6811976130189</v>
      </c>
      <c r="W19" s="102">
        <f>TrRoad_act!W$20</f>
        <v>2528.4357131582096</v>
      </c>
      <c r="X19" s="102">
        <f>TrRoad_act!X$20</f>
        <v>2552.6505686403252</v>
      </c>
      <c r="Y19" s="102">
        <f>TrRoad_act!Y$20</f>
        <v>2586.2011744786746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28438.448598629235</v>
      </c>
      <c r="C20" s="102">
        <f>TrRoad_act!C$26</f>
        <v>27450.231397419007</v>
      </c>
      <c r="D20" s="102">
        <f>TrRoad_act!D$26</f>
        <v>28888.599211666256</v>
      </c>
      <c r="E20" s="102">
        <f>TrRoad_act!E$26</f>
        <v>27726.524408132755</v>
      </c>
      <c r="F20" s="102">
        <f>TrRoad_act!F$26</f>
        <v>28294.107828863718</v>
      </c>
      <c r="G20" s="102">
        <f>TrRoad_act!G$26</f>
        <v>28808.963842747478</v>
      </c>
      <c r="H20" s="102">
        <f>TrRoad_act!H$26</f>
        <v>26523.657238070529</v>
      </c>
      <c r="I20" s="102">
        <f>TrRoad_act!I$26</f>
        <v>27050.02016729235</v>
      </c>
      <c r="J20" s="102">
        <f>TrRoad_act!J$26</f>
        <v>28714.320893272801</v>
      </c>
      <c r="K20" s="102">
        <f>TrRoad_act!K$26</f>
        <v>25397.070133212612</v>
      </c>
      <c r="L20" s="102">
        <f>TrRoad_act!L$26</f>
        <v>26488.763955975031</v>
      </c>
      <c r="M20" s="102">
        <f>TrRoad_act!M$26</f>
        <v>24595.234999554381</v>
      </c>
      <c r="N20" s="102">
        <f>TrRoad_act!N$26</f>
        <v>22994.069037448622</v>
      </c>
      <c r="O20" s="102">
        <f>TrRoad_act!O$26</f>
        <v>21893.340495448287</v>
      </c>
      <c r="P20" s="102">
        <f>TrRoad_act!P$26</f>
        <v>21485.661551596859</v>
      </c>
      <c r="Q20" s="102">
        <f>TrRoad_act!Q$26</f>
        <v>22776.604819795244</v>
      </c>
      <c r="R20" s="102">
        <f>TrRoad_act!R$26</f>
        <v>25713.294066867184</v>
      </c>
      <c r="S20" s="102">
        <f>TrRoad_act!S$26</f>
        <v>27463.857468641316</v>
      </c>
      <c r="T20" s="102">
        <f>TrRoad_act!T$26</f>
        <v>27256</v>
      </c>
      <c r="U20" s="102">
        <f>TrRoad_act!U$26</f>
        <v>27782</v>
      </c>
      <c r="V20" s="102">
        <f>TrRoad_act!V$26</f>
        <v>28942</v>
      </c>
      <c r="W20" s="102">
        <f>TrRoad_act!W$26</f>
        <v>29025</v>
      </c>
      <c r="X20" s="102">
        <f>TrRoad_act!X$26</f>
        <v>30341</v>
      </c>
      <c r="Y20" s="102">
        <f>TrRoad_act!Y$26</f>
        <v>27724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10107</v>
      </c>
      <c r="C21" s="110">
        <f>TrRail_act!C$10</f>
        <v>9857</v>
      </c>
      <c r="D21" s="110">
        <f>TrRail_act!D$10</f>
        <v>9664</v>
      </c>
      <c r="E21" s="110">
        <f>TrRail_act!E$10</f>
        <v>10047</v>
      </c>
      <c r="F21" s="110">
        <f>TrRail_act!F$10</f>
        <v>10105</v>
      </c>
      <c r="G21" s="110">
        <f>TrRail_act!G$10</f>
        <v>9706</v>
      </c>
      <c r="H21" s="110">
        <f>TrRail_act!H$10</f>
        <v>11060</v>
      </c>
      <c r="I21" s="110">
        <f>TrRail_act!I$10</f>
        <v>10434</v>
      </c>
      <c r="J21" s="110">
        <f>TrRail_act!J$10</f>
        <v>10777</v>
      </c>
      <c r="K21" s="110">
        <f>TrRail_act!K$10</f>
        <v>8872</v>
      </c>
      <c r="L21" s="110">
        <f>TrRail_act!L$10</f>
        <v>9750</v>
      </c>
      <c r="M21" s="110">
        <f>TrRail_act!M$10</f>
        <v>9395</v>
      </c>
      <c r="N21" s="110">
        <f>TrRail_act!N$10</f>
        <v>9275</v>
      </c>
      <c r="O21" s="110">
        <f>TrRail_act!O$10</f>
        <v>9470</v>
      </c>
      <c r="P21" s="110">
        <f>TrRail_act!P$10</f>
        <v>9597</v>
      </c>
      <c r="Q21" s="110">
        <f>TrRail_act!Q$10</f>
        <v>8468</v>
      </c>
      <c r="R21" s="110">
        <f>TrRail_act!R$10</f>
        <v>9456</v>
      </c>
      <c r="S21" s="110">
        <f>TrRail_act!S$10</f>
        <v>10362</v>
      </c>
      <c r="T21" s="110">
        <f>TrRail_act!T$10</f>
        <v>11175</v>
      </c>
      <c r="U21" s="110">
        <f>TrRail_act!U$10</f>
        <v>10271</v>
      </c>
      <c r="V21" s="110">
        <f>TrRail_act!V$10</f>
        <v>10137</v>
      </c>
      <c r="W21" s="110">
        <f>TrRail_act!W$10</f>
        <v>10750</v>
      </c>
      <c r="X21" s="110">
        <f>TrRail_act!X$10</f>
        <v>8844</v>
      </c>
      <c r="Y21" s="110">
        <f>TrRail_act!Y$10</f>
        <v>7869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123.35935047050918</v>
      </c>
      <c r="C22" s="110">
        <f t="shared" ref="C22:V22" si="19">C23+C24+C25</f>
        <v>102.50055656269375</v>
      </c>
      <c r="D22" s="110">
        <f t="shared" si="19"/>
        <v>98.637952937344991</v>
      </c>
      <c r="E22" s="110">
        <f t="shared" si="19"/>
        <v>114.08635236885669</v>
      </c>
      <c r="F22" s="110">
        <f t="shared" si="19"/>
        <v>143.77439298519852</v>
      </c>
      <c r="G22" s="110">
        <f t="shared" si="19"/>
        <v>157.04585949021879</v>
      </c>
      <c r="H22" s="110">
        <f t="shared" si="19"/>
        <v>150.50662568399713</v>
      </c>
      <c r="I22" s="110">
        <f t="shared" si="19"/>
        <v>170.75482598347983</v>
      </c>
      <c r="J22" s="110">
        <f t="shared" si="19"/>
        <v>140.16805674667555</v>
      </c>
      <c r="K22" s="110">
        <f t="shared" si="19"/>
        <v>97.769869961704586</v>
      </c>
      <c r="L22" s="110">
        <f t="shared" si="19"/>
        <v>94.881328105994029</v>
      </c>
      <c r="M22" s="110">
        <f t="shared" si="19"/>
        <v>132.87071912343887</v>
      </c>
      <c r="N22" s="110">
        <f t="shared" si="19"/>
        <v>171.97484376572058</v>
      </c>
      <c r="O22" s="110">
        <f t="shared" si="19"/>
        <v>160.90190065437889</v>
      </c>
      <c r="P22" s="110">
        <f t="shared" si="19"/>
        <v>144.50715996913686</v>
      </c>
      <c r="Q22" s="110">
        <f t="shared" si="19"/>
        <v>133.88544121982159</v>
      </c>
      <c r="R22" s="110">
        <f t="shared" si="19"/>
        <v>149.3410239060193</v>
      </c>
      <c r="S22" s="110">
        <f t="shared" si="19"/>
        <v>149.38851627740124</v>
      </c>
      <c r="T22" s="110">
        <f t="shared" si="19"/>
        <v>141.07560784095304</v>
      </c>
      <c r="U22" s="110">
        <f t="shared" si="19"/>
        <v>163.60583754881227</v>
      </c>
      <c r="V22" s="110">
        <f t="shared" si="19"/>
        <v>92.389323155133866</v>
      </c>
      <c r="W22" s="110">
        <f t="shared" ref="W22:Y22" si="20">W23+W24+W25</f>
        <v>88.370831336602663</v>
      </c>
      <c r="X22" s="110">
        <f t="shared" si="20"/>
        <v>165.61001854300582</v>
      </c>
      <c r="Y22" s="110">
        <f t="shared" si="20"/>
        <v>360.31274908481947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2.9315719393967377</v>
      </c>
      <c r="C23" s="102">
        <f>TrAvia_act!C$9</f>
        <v>2.2016501977302472</v>
      </c>
      <c r="D23" s="102">
        <f>TrAvia_act!D$9</f>
        <v>2.1422300011738256</v>
      </c>
      <c r="E23" s="102">
        <f>TrAvia_act!E$9</f>
        <v>1.9099681874915739</v>
      </c>
      <c r="F23" s="102">
        <f>TrAvia_act!F$9</f>
        <v>1.7985277318905337</v>
      </c>
      <c r="G23" s="102">
        <f>TrAvia_act!G$9</f>
        <v>1.7840136730290501</v>
      </c>
      <c r="H23" s="102">
        <f>TrAvia_act!H$9</f>
        <v>1.4721981902977903</v>
      </c>
      <c r="I23" s="102">
        <f>TrAvia_act!I$9</f>
        <v>1.1925418143591631</v>
      </c>
      <c r="J23" s="102">
        <f>TrAvia_act!J$9</f>
        <v>0.81362859241850694</v>
      </c>
      <c r="K23" s="102">
        <f>TrAvia_act!K$9</f>
        <v>0.82183386059569818</v>
      </c>
      <c r="L23" s="102">
        <f>TrAvia_act!L$9</f>
        <v>0.60029180882722299</v>
      </c>
      <c r="M23" s="102">
        <f>TrAvia_act!M$9</f>
        <v>0.75663291120861798</v>
      </c>
      <c r="N23" s="102">
        <f>TrAvia_act!N$9</f>
        <v>1.0555312627005353</v>
      </c>
      <c r="O23" s="102">
        <f>TrAvia_act!O$9</f>
        <v>0.91764401985438537</v>
      </c>
      <c r="P23" s="102">
        <f>TrAvia_act!P$9</f>
        <v>0.78850032087322064</v>
      </c>
      <c r="Q23" s="102">
        <f>TrAvia_act!Q$9</f>
        <v>0.76132628894689303</v>
      </c>
      <c r="R23" s="102">
        <f>TrAvia_act!R$9</f>
        <v>0.92914526873371539</v>
      </c>
      <c r="S23" s="102">
        <f>TrAvia_act!S$9</f>
        <v>0.68326834597960007</v>
      </c>
      <c r="T23" s="102">
        <f>TrAvia_act!T$9</f>
        <v>0.46878148779161738</v>
      </c>
      <c r="U23" s="102">
        <f>TrAvia_act!U$9</f>
        <v>0.53007576603419337</v>
      </c>
      <c r="V23" s="102">
        <f>TrAvia_act!V$9</f>
        <v>0.44620789371387121</v>
      </c>
      <c r="W23" s="102">
        <f>TrAvia_act!W$9</f>
        <v>0.44217328887472618</v>
      </c>
      <c r="X23" s="102">
        <f>TrAvia_act!X$9</f>
        <v>0.48116073875839033</v>
      </c>
      <c r="Y23" s="102">
        <f>TrAvia_act!Y$9</f>
        <v>0.41974012473074412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38.145045254108972</v>
      </c>
      <c r="C24" s="102">
        <f>TrAvia_act!C$10</f>
        <v>36.309009050465015</v>
      </c>
      <c r="D24" s="102">
        <f>TrAvia_act!D$10</f>
        <v>29.546155249875859</v>
      </c>
      <c r="E24" s="102">
        <f>TrAvia_act!E$10</f>
        <v>47.952853830763189</v>
      </c>
      <c r="F24" s="102">
        <f>TrAvia_act!F$10</f>
        <v>58.041074921975266</v>
      </c>
      <c r="G24" s="102">
        <f>TrAvia_act!G$10</f>
        <v>57.284236610700511</v>
      </c>
      <c r="H24" s="102">
        <f>TrAvia_act!H$10</f>
        <v>55.924880016158298</v>
      </c>
      <c r="I24" s="102">
        <f>TrAvia_act!I$10</f>
        <v>57.418247930050718</v>
      </c>
      <c r="J24" s="102">
        <f>TrAvia_act!J$10</f>
        <v>44.070066989516796</v>
      </c>
      <c r="K24" s="102">
        <f>TrAvia_act!K$10</f>
        <v>39.849165092066677</v>
      </c>
      <c r="L24" s="102">
        <f>TrAvia_act!L$10</f>
        <v>39.033040581681789</v>
      </c>
      <c r="M24" s="102">
        <f>TrAvia_act!M$10</f>
        <v>35.855092560592574</v>
      </c>
      <c r="N24" s="102">
        <f>TrAvia_act!N$10</f>
        <v>37.699662180494968</v>
      </c>
      <c r="O24" s="102">
        <f>TrAvia_act!O$10</f>
        <v>45.087433294276615</v>
      </c>
      <c r="P24" s="102">
        <f>TrAvia_act!P$10</f>
        <v>55.987069746832439</v>
      </c>
      <c r="Q24" s="102">
        <f>TrAvia_act!Q$10</f>
        <v>58.132630415872164</v>
      </c>
      <c r="R24" s="102">
        <f>TrAvia_act!R$10</f>
        <v>55.9032857565551</v>
      </c>
      <c r="S24" s="102">
        <f>TrAvia_act!S$10</f>
        <v>53.079544409241841</v>
      </c>
      <c r="T24" s="102">
        <f>TrAvia_act!T$10</f>
        <v>46.271505561662551</v>
      </c>
      <c r="U24" s="102">
        <f>TrAvia_act!U$10</f>
        <v>61.088122967314902</v>
      </c>
      <c r="V24" s="102">
        <f>TrAvia_act!V$10</f>
        <v>35.6021709430361</v>
      </c>
      <c r="W24" s="102">
        <f>TrAvia_act!W$10</f>
        <v>28.917383592639489</v>
      </c>
      <c r="X24" s="102">
        <f>TrAvia_act!X$10</f>
        <v>36.634418936114677</v>
      </c>
      <c r="Y24" s="102">
        <f>TrAvia_act!Y$10</f>
        <v>43.90242419830922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82.282733277003473</v>
      </c>
      <c r="C25" s="102">
        <f>TrAvia_act!C$11</f>
        <v>63.989897314498485</v>
      </c>
      <c r="D25" s="102">
        <f>TrAvia_act!D$11</f>
        <v>66.94956768629531</v>
      </c>
      <c r="E25" s="102">
        <f>TrAvia_act!E$11</f>
        <v>64.223530350601933</v>
      </c>
      <c r="F25" s="102">
        <f>TrAvia_act!F$11</f>
        <v>83.934790331332707</v>
      </c>
      <c r="G25" s="102">
        <f>TrAvia_act!G$11</f>
        <v>97.97760920648922</v>
      </c>
      <c r="H25" s="102">
        <f>TrAvia_act!H$11</f>
        <v>93.109547477541057</v>
      </c>
      <c r="I25" s="102">
        <f>TrAvia_act!I$11</f>
        <v>112.14403623906995</v>
      </c>
      <c r="J25" s="102">
        <f>TrAvia_act!J$11</f>
        <v>95.284361164740233</v>
      </c>
      <c r="K25" s="102">
        <f>TrAvia_act!K$11</f>
        <v>57.098871009042213</v>
      </c>
      <c r="L25" s="102">
        <f>TrAvia_act!L$11</f>
        <v>55.247995715485018</v>
      </c>
      <c r="M25" s="102">
        <f>TrAvia_act!M$11</f>
        <v>96.258993651637681</v>
      </c>
      <c r="N25" s="102">
        <f>TrAvia_act!N$11</f>
        <v>133.21965032252507</v>
      </c>
      <c r="O25" s="102">
        <f>TrAvia_act!O$11</f>
        <v>114.89682334024788</v>
      </c>
      <c r="P25" s="102">
        <f>TrAvia_act!P$11</f>
        <v>87.731589901431192</v>
      </c>
      <c r="Q25" s="102">
        <f>TrAvia_act!Q$11</f>
        <v>74.991484515002526</v>
      </c>
      <c r="R25" s="102">
        <f>TrAvia_act!R$11</f>
        <v>92.508592880730504</v>
      </c>
      <c r="S25" s="102">
        <f>TrAvia_act!S$11</f>
        <v>95.625703522179791</v>
      </c>
      <c r="T25" s="102">
        <f>TrAvia_act!T$11</f>
        <v>94.335320791498873</v>
      </c>
      <c r="U25" s="102">
        <f>TrAvia_act!U$11</f>
        <v>101.98763881546317</v>
      </c>
      <c r="V25" s="102">
        <f>TrAvia_act!V$11</f>
        <v>56.34094431838389</v>
      </c>
      <c r="W25" s="102">
        <f>TrAvia_act!W$11</f>
        <v>59.011274455088454</v>
      </c>
      <c r="X25" s="102">
        <f>TrAvia_act!X$11</f>
        <v>128.49443886813276</v>
      </c>
      <c r="Y25" s="102">
        <f>TrAvia_act!Y$11</f>
        <v>315.99058476177953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977.06600000000003</v>
      </c>
      <c r="C26" s="110">
        <f t="shared" si="21"/>
        <v>887.59100000000001</v>
      </c>
      <c r="D26" s="110">
        <f t="shared" si="21"/>
        <v>947.62199999999996</v>
      </c>
      <c r="E26" s="110">
        <f t="shared" si="21"/>
        <v>867.39400000000001</v>
      </c>
      <c r="F26" s="110">
        <f t="shared" si="21"/>
        <v>845.00300000000004</v>
      </c>
      <c r="G26" s="110">
        <f t="shared" si="21"/>
        <v>753.52700000000004</v>
      </c>
      <c r="H26" s="110">
        <f t="shared" si="21"/>
        <v>847.45100000000002</v>
      </c>
      <c r="I26" s="110">
        <f t="shared" si="21"/>
        <v>949.70699999999999</v>
      </c>
      <c r="J26" s="110">
        <f t="shared" si="21"/>
        <v>928.26199999999994</v>
      </c>
      <c r="K26" s="110">
        <f t="shared" si="21"/>
        <v>799.39200000000005</v>
      </c>
      <c r="L26" s="110">
        <f t="shared" si="21"/>
        <v>1188.45</v>
      </c>
      <c r="M26" s="110">
        <f t="shared" si="21"/>
        <v>1264.1220000000001</v>
      </c>
      <c r="N26" s="110">
        <f t="shared" si="21"/>
        <v>949.20500000000004</v>
      </c>
      <c r="O26" s="110">
        <f t="shared" si="21"/>
        <v>729.10400000000004</v>
      </c>
      <c r="P26" s="110">
        <f t="shared" si="21"/>
        <v>809.24800000000005</v>
      </c>
      <c r="Q26" s="110">
        <f t="shared" si="21"/>
        <v>879.31</v>
      </c>
      <c r="R26" s="110">
        <f t="shared" ref="R26:V26" si="22">R27+R28</f>
        <v>953.48500000000001</v>
      </c>
      <c r="S26" s="110">
        <f t="shared" si="22"/>
        <v>1014.2103333333333</v>
      </c>
      <c r="T26" s="110">
        <f t="shared" si="22"/>
        <v>1191.3357777777778</v>
      </c>
      <c r="U26" s="110">
        <f t="shared" si="22"/>
        <v>1882.558</v>
      </c>
      <c r="V26" s="110">
        <f t="shared" si="22"/>
        <v>1131.2469999999998</v>
      </c>
      <c r="W26" s="110">
        <f t="shared" ref="W26:Y26" si="23">W27+W28</f>
        <v>790.274</v>
      </c>
      <c r="X26" s="110">
        <f t="shared" si="23"/>
        <v>1051.4299999999998</v>
      </c>
      <c r="Y26" s="110">
        <f t="shared" si="23"/>
        <v>856.88400000000001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859.06600000000003</v>
      </c>
      <c r="C27" s="102">
        <f>TrNavi_act!C4</f>
        <v>786.59100000000001</v>
      </c>
      <c r="D27" s="102">
        <f>TrNavi_act!D4</f>
        <v>835.62199999999996</v>
      </c>
      <c r="E27" s="102">
        <f>TrNavi_act!E4</f>
        <v>758.39400000000001</v>
      </c>
      <c r="F27" s="102">
        <f>TrNavi_act!F4</f>
        <v>727.00300000000004</v>
      </c>
      <c r="G27" s="102">
        <f>TrNavi_act!G4</f>
        <v>678.52700000000004</v>
      </c>
      <c r="H27" s="102">
        <f>TrNavi_act!H4</f>
        <v>781.45100000000002</v>
      </c>
      <c r="I27" s="102">
        <f>TrNavi_act!I4</f>
        <v>847.70699999999999</v>
      </c>
      <c r="J27" s="102">
        <f>TrNavi_act!J4</f>
        <v>848.26199999999994</v>
      </c>
      <c r="K27" s="102">
        <f>TrNavi_act!K4</f>
        <v>738.39200000000005</v>
      </c>
      <c r="L27" s="102">
        <f>TrNavi_act!L4</f>
        <v>1112.45</v>
      </c>
      <c r="M27" s="102">
        <f>TrNavi_act!M4</f>
        <v>1174.1220000000001</v>
      </c>
      <c r="N27" s="102">
        <f>TrNavi_act!N4</f>
        <v>825.20500000000004</v>
      </c>
      <c r="O27" s="102">
        <f>TrNavi_act!O4</f>
        <v>608.10400000000004</v>
      </c>
      <c r="P27" s="102">
        <f>TrNavi_act!P4</f>
        <v>673.24800000000005</v>
      </c>
      <c r="Q27" s="102">
        <f>TrNavi_act!Q4</f>
        <v>751.31</v>
      </c>
      <c r="R27" s="102">
        <f>TrNavi_act!R4</f>
        <v>850.48500000000001</v>
      </c>
      <c r="S27" s="102">
        <f>TrNavi_act!S4</f>
        <v>891.87699999999995</v>
      </c>
      <c r="T27" s="102">
        <f>TrNavi_act!T4</f>
        <v>1073.558</v>
      </c>
      <c r="U27" s="102">
        <f>TrNavi_act!U4</f>
        <v>1760.558</v>
      </c>
      <c r="V27" s="102">
        <f>TrNavi_act!V4</f>
        <v>1004.247</v>
      </c>
      <c r="W27" s="102">
        <f>TrNavi_act!W4</f>
        <v>642.274</v>
      </c>
      <c r="X27" s="102">
        <f>TrNavi_act!X4</f>
        <v>857.43</v>
      </c>
      <c r="Y27" s="102">
        <f>TrNavi_act!Y4</f>
        <v>635.88400000000001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118</v>
      </c>
      <c r="C28" s="169">
        <f>TrNavi_act!C5</f>
        <v>101</v>
      </c>
      <c r="D28" s="169">
        <f>TrNavi_act!D5</f>
        <v>112</v>
      </c>
      <c r="E28" s="169">
        <f>TrNavi_act!E5</f>
        <v>109</v>
      </c>
      <c r="F28" s="169">
        <f>TrNavi_act!F5</f>
        <v>118</v>
      </c>
      <c r="G28" s="169">
        <f>TrNavi_act!G5</f>
        <v>75</v>
      </c>
      <c r="H28" s="169">
        <f>TrNavi_act!H5</f>
        <v>66</v>
      </c>
      <c r="I28" s="169">
        <f>TrNavi_act!I5</f>
        <v>102</v>
      </c>
      <c r="J28" s="169">
        <f>TrNavi_act!J5</f>
        <v>80</v>
      </c>
      <c r="K28" s="169">
        <f>TrNavi_act!K5</f>
        <v>61</v>
      </c>
      <c r="L28" s="169">
        <f>TrNavi_act!L5</f>
        <v>76</v>
      </c>
      <c r="M28" s="169">
        <f>TrNavi_act!M5</f>
        <v>90</v>
      </c>
      <c r="N28" s="169">
        <f>TrNavi_act!N5</f>
        <v>124</v>
      </c>
      <c r="O28" s="169">
        <f>TrNavi_act!O5</f>
        <v>121</v>
      </c>
      <c r="P28" s="169">
        <f>TrNavi_act!P5</f>
        <v>136</v>
      </c>
      <c r="Q28" s="169">
        <f>TrNavi_act!Q5</f>
        <v>128</v>
      </c>
      <c r="R28" s="169">
        <f>TrNavi_act!R5</f>
        <v>103</v>
      </c>
      <c r="S28" s="169">
        <f>TrNavi_act!S5</f>
        <v>122.33333333333333</v>
      </c>
      <c r="T28" s="169">
        <f>TrNavi_act!T5</f>
        <v>117.77777777777777</v>
      </c>
      <c r="U28" s="169">
        <f>TrNavi_act!U5</f>
        <v>122</v>
      </c>
      <c r="V28" s="169">
        <f>TrNavi_act!V5</f>
        <v>127</v>
      </c>
      <c r="W28" s="169">
        <f>TrNavi_act!W5</f>
        <v>148</v>
      </c>
      <c r="X28" s="169">
        <f>TrNavi_act!X5</f>
        <v>194</v>
      </c>
      <c r="Y28" s="169">
        <f>TrNavi_act!Y5</f>
        <v>221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114311.951642</v>
      </c>
      <c r="C29" s="28">
        <f t="shared" si="24"/>
        <v>132044.14726300002</v>
      </c>
      <c r="D29" s="28">
        <f t="shared" si="24"/>
        <v>149399.20454900002</v>
      </c>
      <c r="E29" s="28">
        <f t="shared" si="24"/>
        <v>162369.50329999998</v>
      </c>
      <c r="F29" s="28">
        <f t="shared" si="24"/>
        <v>166973.96856800001</v>
      </c>
      <c r="G29" s="28">
        <f t="shared" si="24"/>
        <v>152912.612517</v>
      </c>
      <c r="H29" s="28">
        <f t="shared" si="24"/>
        <v>163665.43560699999</v>
      </c>
      <c r="I29" s="28">
        <f t="shared" si="24"/>
        <v>168976.64244699999</v>
      </c>
      <c r="J29" s="28">
        <f t="shared" si="24"/>
        <v>183894.454486</v>
      </c>
      <c r="K29" s="28">
        <f t="shared" si="24"/>
        <v>157682.84138699999</v>
      </c>
      <c r="L29" s="28">
        <f t="shared" si="24"/>
        <v>177547.19013899998</v>
      </c>
      <c r="M29" s="28">
        <f t="shared" si="24"/>
        <v>192443.118136</v>
      </c>
      <c r="N29" s="28">
        <f t="shared" si="24"/>
        <v>182630.12815899999</v>
      </c>
      <c r="O29" s="28">
        <f t="shared" si="24"/>
        <v>188716.55197999999</v>
      </c>
      <c r="P29" s="28">
        <f t="shared" si="24"/>
        <v>186497.899393</v>
      </c>
      <c r="Q29" s="28">
        <f t="shared" si="24"/>
        <v>153921.69265699998</v>
      </c>
      <c r="R29" s="28">
        <f t="shared" si="24"/>
        <v>175675.52304499998</v>
      </c>
      <c r="S29" s="28">
        <f t="shared" si="24"/>
        <v>178694.77658800001</v>
      </c>
      <c r="T29" s="28">
        <f t="shared" si="24"/>
        <v>187598.05703600001</v>
      </c>
      <c r="U29" s="28">
        <f t="shared" si="24"/>
        <v>194856.43445100001</v>
      </c>
      <c r="V29" s="28">
        <f t="shared" si="24"/>
        <v>178076.04207</v>
      </c>
      <c r="W29" s="28">
        <f t="shared" si="24"/>
        <v>167561.21124500001</v>
      </c>
      <c r="X29" s="28">
        <f t="shared" ref="X29:Y29" si="25">X30+X31</f>
        <v>164254.06692700001</v>
      </c>
      <c r="Y29" s="28">
        <f t="shared" si="25"/>
        <v>135518.45063899999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56515.607217000004</v>
      </c>
      <c r="C30" s="102">
        <f>MBunk_act!C$4</f>
        <v>54445.728969999996</v>
      </c>
      <c r="D30" s="102">
        <f>MBunk_act!D$4</f>
        <v>55928.535715999999</v>
      </c>
      <c r="E30" s="102">
        <f>MBunk_act!E$4</f>
        <v>57491.764978000007</v>
      </c>
      <c r="F30" s="102">
        <f>MBunk_act!F$4</f>
        <v>59341.023832999999</v>
      </c>
      <c r="G30" s="102">
        <f>MBunk_act!G$4</f>
        <v>55498.506164999999</v>
      </c>
      <c r="H30" s="102">
        <f>MBunk_act!H$4</f>
        <v>63809.77003</v>
      </c>
      <c r="I30" s="102">
        <f>MBunk_act!I$4</f>
        <v>64006.124450999996</v>
      </c>
      <c r="J30" s="102">
        <f>MBunk_act!J$4</f>
        <v>65254.399216999998</v>
      </c>
      <c r="K30" s="102">
        <f>MBunk_act!K$4</f>
        <v>48467.442371999998</v>
      </c>
      <c r="L30" s="102">
        <f>MBunk_act!L$4</f>
        <v>57429.393904999997</v>
      </c>
      <c r="M30" s="102">
        <f>MBunk_act!M$4</f>
        <v>57854.305908000002</v>
      </c>
      <c r="N30" s="102">
        <f>MBunk_act!N$4</f>
        <v>56365.691634999996</v>
      </c>
      <c r="O30" s="102">
        <f>MBunk_act!O$4</f>
        <v>57378.213283999998</v>
      </c>
      <c r="P30" s="102">
        <f>MBunk_act!P$4</f>
        <v>55537.508907000003</v>
      </c>
      <c r="Q30" s="102">
        <f>MBunk_act!Q$4</f>
        <v>53373.181297999996</v>
      </c>
      <c r="R30" s="102">
        <f>MBunk_act!R$4</f>
        <v>57950.844926999998</v>
      </c>
      <c r="S30" s="102">
        <f>MBunk_act!S$4</f>
        <v>60467.226788999993</v>
      </c>
      <c r="T30" s="102">
        <f>MBunk_act!T$4</f>
        <v>61395.314228000003</v>
      </c>
      <c r="U30" s="102">
        <f>MBunk_act!U$4</f>
        <v>60122.295743999995</v>
      </c>
      <c r="V30" s="102">
        <f>MBunk_act!V$4</f>
        <v>58721.975590999995</v>
      </c>
      <c r="W30" s="102">
        <f>MBunk_act!W$4</f>
        <v>58294.945533999999</v>
      </c>
      <c r="X30" s="102">
        <f>MBunk_act!X$4</f>
        <v>61731.737516000001</v>
      </c>
      <c r="Y30" s="102">
        <f>MBunk_act!Y$4</f>
        <v>61172.630992999999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57796.344425000003</v>
      </c>
      <c r="C31" s="86">
        <f>MBunk_act!C$5</f>
        <v>77598.41829300001</v>
      </c>
      <c r="D31" s="86">
        <f>MBunk_act!D$5</f>
        <v>93470.668833000003</v>
      </c>
      <c r="E31" s="86">
        <f>MBunk_act!E$5</f>
        <v>104877.73832199999</v>
      </c>
      <c r="F31" s="86">
        <f>MBunk_act!F$5</f>
        <v>107632.944735</v>
      </c>
      <c r="G31" s="86">
        <f>MBunk_act!G$5</f>
        <v>97414.106352000003</v>
      </c>
      <c r="H31" s="86">
        <f>MBunk_act!H$5</f>
        <v>99855.665576999992</v>
      </c>
      <c r="I31" s="86">
        <f>MBunk_act!I$5</f>
        <v>104970.517996</v>
      </c>
      <c r="J31" s="86">
        <f>MBunk_act!J$5</f>
        <v>118640.055269</v>
      </c>
      <c r="K31" s="86">
        <f>MBunk_act!K$5</f>
        <v>109215.399015</v>
      </c>
      <c r="L31" s="86">
        <f>MBunk_act!L$5</f>
        <v>120117.79623399999</v>
      </c>
      <c r="M31" s="86">
        <f>MBunk_act!M$5</f>
        <v>134588.812228</v>
      </c>
      <c r="N31" s="86">
        <f>MBunk_act!N$5</f>
        <v>126264.43652399999</v>
      </c>
      <c r="O31" s="86">
        <f>MBunk_act!O$5</f>
        <v>131338.33869599999</v>
      </c>
      <c r="P31" s="86">
        <f>MBunk_act!P$5</f>
        <v>130960.39048599999</v>
      </c>
      <c r="Q31" s="86">
        <f>MBunk_act!Q$5</f>
        <v>100548.511359</v>
      </c>
      <c r="R31" s="86">
        <f>MBunk_act!R$5</f>
        <v>117724.678118</v>
      </c>
      <c r="S31" s="86">
        <f>MBunk_act!S$5</f>
        <v>118227.549799</v>
      </c>
      <c r="T31" s="86">
        <f>MBunk_act!T$5</f>
        <v>126202.74280800001</v>
      </c>
      <c r="U31" s="86">
        <f>MBunk_act!U$5</f>
        <v>134734.13870700001</v>
      </c>
      <c r="V31" s="86">
        <f>MBunk_act!V$5</f>
        <v>119354.066479</v>
      </c>
      <c r="W31" s="86">
        <f>MBunk_act!W$5</f>
        <v>109266.265711</v>
      </c>
      <c r="X31" s="86">
        <f>MBunk_act!X$5</f>
        <v>102522.329411</v>
      </c>
      <c r="Y31" s="86">
        <f>MBunk_act!Y$5</f>
        <v>74345.819646000004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2835.6464588355129</v>
      </c>
      <c r="C34" s="28">
        <f t="shared" si="26"/>
        <v>2871.8530489613386</v>
      </c>
      <c r="D34" s="28">
        <f t="shared" si="26"/>
        <v>2912.0281203614104</v>
      </c>
      <c r="E34" s="28">
        <f t="shared" si="26"/>
        <v>2973.498748738044</v>
      </c>
      <c r="F34" s="28">
        <f t="shared" si="26"/>
        <v>3087.7975064648299</v>
      </c>
      <c r="G34" s="28">
        <f t="shared" si="26"/>
        <v>3101.2953464583329</v>
      </c>
      <c r="H34" s="28">
        <f t="shared" si="26"/>
        <v>3199.7367345634043</v>
      </c>
      <c r="I34" s="28">
        <f t="shared" si="26"/>
        <v>3350.8663911452304</v>
      </c>
      <c r="J34" s="28">
        <f t="shared" si="26"/>
        <v>3327.2946362572188</v>
      </c>
      <c r="K34" s="28">
        <f t="shared" si="26"/>
        <v>3267.4904306119397</v>
      </c>
      <c r="L34" s="28">
        <f t="shared" si="26"/>
        <v>3349.7108233256267</v>
      </c>
      <c r="M34" s="28">
        <f t="shared" si="26"/>
        <v>3494.4919097838438</v>
      </c>
      <c r="N34" s="28">
        <f t="shared" si="26"/>
        <v>3449.8792231984526</v>
      </c>
      <c r="O34" s="28">
        <f t="shared" si="26"/>
        <v>3469.2394402512964</v>
      </c>
      <c r="P34" s="28">
        <f t="shared" si="26"/>
        <v>3437.734102354696</v>
      </c>
      <c r="Q34" s="28">
        <f t="shared" si="26"/>
        <v>3486.663163847144</v>
      </c>
      <c r="R34" s="28">
        <f t="shared" ref="R34:V34" si="27">R35+R39+R43</f>
        <v>3470.1294203569264</v>
      </c>
      <c r="S34" s="28">
        <f t="shared" si="27"/>
        <v>3526.9537957798193</v>
      </c>
      <c r="T34" s="28">
        <f t="shared" si="27"/>
        <v>3647.0282487959039</v>
      </c>
      <c r="U34" s="28">
        <f t="shared" si="27"/>
        <v>3649.8983391056036</v>
      </c>
      <c r="V34" s="28">
        <f t="shared" si="27"/>
        <v>2855.5283889161637</v>
      </c>
      <c r="W34" s="28">
        <f t="shared" ref="W34:Y34" si="28">W35+W39+W43</f>
        <v>2879.7136217047896</v>
      </c>
      <c r="X34" s="28">
        <f t="shared" si="28"/>
        <v>3033.8207814606835</v>
      </c>
      <c r="Y34" s="28">
        <f t="shared" si="28"/>
        <v>3120.3866865053656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2334.6896872340803</v>
      </c>
      <c r="C35" s="137">
        <f t="shared" si="29"/>
        <v>2361.2065683236287</v>
      </c>
      <c r="D35" s="137">
        <f t="shared" si="29"/>
        <v>2418.6076901037991</v>
      </c>
      <c r="E35" s="137">
        <f t="shared" si="29"/>
        <v>2467.2467836684773</v>
      </c>
      <c r="F35" s="137">
        <f t="shared" si="29"/>
        <v>2528.0217154246948</v>
      </c>
      <c r="G35" s="137">
        <f t="shared" si="29"/>
        <v>2544.7100963268231</v>
      </c>
      <c r="H35" s="137">
        <f t="shared" si="29"/>
        <v>2601.5165343634903</v>
      </c>
      <c r="I35" s="137">
        <f t="shared" si="29"/>
        <v>2687.528531437129</v>
      </c>
      <c r="J35" s="137">
        <f t="shared" si="29"/>
        <v>2618.6505282055195</v>
      </c>
      <c r="K35" s="137">
        <f t="shared" si="29"/>
        <v>2634.7434842219473</v>
      </c>
      <c r="L35" s="137">
        <f t="shared" si="29"/>
        <v>2690.3062100173147</v>
      </c>
      <c r="M35" s="137">
        <f t="shared" si="29"/>
        <v>2727.4529430691591</v>
      </c>
      <c r="N35" s="137">
        <f t="shared" si="29"/>
        <v>2719.8030145345297</v>
      </c>
      <c r="O35" s="137">
        <f t="shared" si="29"/>
        <v>2731.1180307570826</v>
      </c>
      <c r="P35" s="137">
        <f t="shared" si="29"/>
        <v>2709.6369931734216</v>
      </c>
      <c r="Q35" s="137">
        <f t="shared" si="29"/>
        <v>2746.2424860180854</v>
      </c>
      <c r="R35" s="137">
        <f t="shared" ref="R35:V35" si="30">R36+R37+R38</f>
        <v>2729.3517526678838</v>
      </c>
      <c r="S35" s="137">
        <f t="shared" si="30"/>
        <v>2744.5607868874417</v>
      </c>
      <c r="T35" s="137">
        <f t="shared" si="30"/>
        <v>2757.0027231068661</v>
      </c>
      <c r="U35" s="137">
        <f t="shared" si="30"/>
        <v>2706.2605656569272</v>
      </c>
      <c r="V35" s="137">
        <f t="shared" si="30"/>
        <v>2509.2493354975254</v>
      </c>
      <c r="W35" s="137">
        <f t="shared" ref="W35:Y35" si="31">W36+W37+W38</f>
        <v>2541.8930007818408</v>
      </c>
      <c r="X35" s="137">
        <f t="shared" si="31"/>
        <v>2421.5356250638138</v>
      </c>
      <c r="Y35" s="137">
        <f t="shared" si="31"/>
        <v>2416.6175938284714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39.47603358400351</v>
      </c>
      <c r="C36" s="102">
        <f>TrRoad_ene!C$19</f>
        <v>38.962899956726176</v>
      </c>
      <c r="D36" s="102">
        <f>TrRoad_ene!D$19</f>
        <v>38.401675221345243</v>
      </c>
      <c r="E36" s="102">
        <f>TrRoad_ene!E$19</f>
        <v>37.814966912611879</v>
      </c>
      <c r="F36" s="102">
        <f>TrRoad_ene!F$19</f>
        <v>37.328158551797117</v>
      </c>
      <c r="G36" s="102">
        <f>TrRoad_ene!G$19</f>
        <v>36.862710673633984</v>
      </c>
      <c r="H36" s="102">
        <f>TrRoad_ene!H$19</f>
        <v>36.459806863383648</v>
      </c>
      <c r="I36" s="102">
        <f>TrRoad_ene!I$19</f>
        <v>36.233639930017944</v>
      </c>
      <c r="J36" s="102">
        <f>TrRoad_ene!J$19</f>
        <v>35.678090743092959</v>
      </c>
      <c r="K36" s="102">
        <f>TrRoad_ene!K$19</f>
        <v>35.180909695937714</v>
      </c>
      <c r="L36" s="102">
        <f>TrRoad_ene!L$19</f>
        <v>46.142739032311866</v>
      </c>
      <c r="M36" s="102">
        <f>TrRoad_ene!M$19</f>
        <v>45.416886840916369</v>
      </c>
      <c r="N36" s="102">
        <f>TrRoad_ene!N$19</f>
        <v>44.760807949170186</v>
      </c>
      <c r="O36" s="102">
        <f>TrRoad_ene!O$19</f>
        <v>44.359565983900644</v>
      </c>
      <c r="P36" s="102">
        <f>TrRoad_ene!P$19</f>
        <v>43.853592239222337</v>
      </c>
      <c r="Q36" s="102">
        <f>TrRoad_ene!Q$19</f>
        <v>43.396773922751308</v>
      </c>
      <c r="R36" s="102">
        <f>TrRoad_ene!R$19</f>
        <v>44.206092799982628</v>
      </c>
      <c r="S36" s="102">
        <f>TrRoad_ene!S$19</f>
        <v>41.398231336092664</v>
      </c>
      <c r="T36" s="102">
        <f>TrRoad_ene!T$19</f>
        <v>39.145913571847501</v>
      </c>
      <c r="U36" s="102">
        <f>TrRoad_ene!U$19</f>
        <v>41.235016618996951</v>
      </c>
      <c r="V36" s="102">
        <f>TrRoad_ene!V$19</f>
        <v>36.650707371645325</v>
      </c>
      <c r="W36" s="102">
        <f>TrRoad_ene!W$19</f>
        <v>37.737981240636053</v>
      </c>
      <c r="X36" s="102">
        <f>TrRoad_ene!X$19</f>
        <v>37.855019538213263</v>
      </c>
      <c r="Y36" s="102">
        <f>TrRoad_ene!Y$19</f>
        <v>40.581227857268281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2077.1986449950405</v>
      </c>
      <c r="C37" s="102">
        <f>TrRoad_ene!C$21</f>
        <v>2108.6704751926741</v>
      </c>
      <c r="D37" s="102">
        <f>TrRoad_ene!D$21</f>
        <v>2164.5043857651922</v>
      </c>
      <c r="E37" s="102">
        <f>TrRoad_ene!E$21</f>
        <v>2207.7391183659611</v>
      </c>
      <c r="F37" s="102">
        <f>TrRoad_ene!F$21</f>
        <v>2260.6054550256176</v>
      </c>
      <c r="G37" s="102">
        <f>TrRoad_ene!G$21</f>
        <v>2280.8082479671252</v>
      </c>
      <c r="H37" s="102">
        <f>TrRoad_ene!H$21</f>
        <v>2329.6901340161103</v>
      </c>
      <c r="I37" s="102">
        <f>TrRoad_ene!I$21</f>
        <v>2406.9743564914147</v>
      </c>
      <c r="J37" s="102">
        <f>TrRoad_ene!J$21</f>
        <v>2337.7005868304364</v>
      </c>
      <c r="K37" s="102">
        <f>TrRoad_ene!K$21</f>
        <v>2344.7292268067322</v>
      </c>
      <c r="L37" s="102">
        <f>TrRoad_ene!L$21</f>
        <v>2377.5582629787746</v>
      </c>
      <c r="M37" s="102">
        <f>TrRoad_ene!M$21</f>
        <v>2408.9100507303265</v>
      </c>
      <c r="N37" s="102">
        <f>TrRoad_ene!N$21</f>
        <v>2390.2841730659393</v>
      </c>
      <c r="O37" s="102">
        <f>TrRoad_ene!O$21</f>
        <v>2393.122402054049</v>
      </c>
      <c r="P37" s="102">
        <f>TrRoad_ene!P$21</f>
        <v>2363.0597411198873</v>
      </c>
      <c r="Q37" s="102">
        <f>TrRoad_ene!Q$21</f>
        <v>2388.2515805687749</v>
      </c>
      <c r="R37" s="102">
        <f>TrRoad_ene!R$21</f>
        <v>2347.0902161606368</v>
      </c>
      <c r="S37" s="102">
        <f>TrRoad_ene!S$21</f>
        <v>2365.209565886104</v>
      </c>
      <c r="T37" s="102">
        <f>TrRoad_ene!T$21</f>
        <v>2382.9277998153166</v>
      </c>
      <c r="U37" s="102">
        <f>TrRoad_ene!U$21</f>
        <v>2341.0970660639568</v>
      </c>
      <c r="V37" s="102">
        <f>TrRoad_ene!V$21</f>
        <v>2192.9522886430723</v>
      </c>
      <c r="W37" s="102">
        <f>TrRoad_ene!W$21</f>
        <v>2249.2252058616091</v>
      </c>
      <c r="X37" s="102">
        <f>TrRoad_ene!X$21</f>
        <v>2108.7414045018854</v>
      </c>
      <c r="Y37" s="102">
        <f>TrRoad_ene!Y$21</f>
        <v>2091.3919848725609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218.01500865503658</v>
      </c>
      <c r="C38" s="102">
        <f>TrRoad_ene!C$33</f>
        <v>213.57319317422824</v>
      </c>
      <c r="D38" s="102">
        <f>TrRoad_ene!D$33</f>
        <v>215.70162911726166</v>
      </c>
      <c r="E38" s="102">
        <f>TrRoad_ene!E$33</f>
        <v>221.69269838990428</v>
      </c>
      <c r="F38" s="102">
        <f>TrRoad_ene!F$33</f>
        <v>230.08810184728006</v>
      </c>
      <c r="G38" s="102">
        <f>TrRoad_ene!G$33</f>
        <v>227.03913768606378</v>
      </c>
      <c r="H38" s="102">
        <f>TrRoad_ene!H$33</f>
        <v>235.36659348399644</v>
      </c>
      <c r="I38" s="102">
        <f>TrRoad_ene!I$33</f>
        <v>244.32053501569644</v>
      </c>
      <c r="J38" s="102">
        <f>TrRoad_ene!J$33</f>
        <v>245.27185063199039</v>
      </c>
      <c r="K38" s="102">
        <f>TrRoad_ene!K$33</f>
        <v>254.8333477192773</v>
      </c>
      <c r="L38" s="102">
        <f>TrRoad_ene!L$33</f>
        <v>266.60520800622794</v>
      </c>
      <c r="M38" s="102">
        <f>TrRoad_ene!M$33</f>
        <v>273.12600549791637</v>
      </c>
      <c r="N38" s="102">
        <f>TrRoad_ene!N$33</f>
        <v>284.75803351942028</v>
      </c>
      <c r="O38" s="102">
        <f>TrRoad_ene!O$33</f>
        <v>293.63606271913289</v>
      </c>
      <c r="P38" s="102">
        <f>TrRoad_ene!P$33</f>
        <v>302.72365981431187</v>
      </c>
      <c r="Q38" s="102">
        <f>TrRoad_ene!Q$33</f>
        <v>314.59413152655901</v>
      </c>
      <c r="R38" s="102">
        <f>TrRoad_ene!R$33</f>
        <v>338.05544370726409</v>
      </c>
      <c r="S38" s="102">
        <f>TrRoad_ene!S$33</f>
        <v>337.95298966524513</v>
      </c>
      <c r="T38" s="102">
        <f>TrRoad_ene!T$33</f>
        <v>334.92900971970232</v>
      </c>
      <c r="U38" s="102">
        <f>TrRoad_ene!U$33</f>
        <v>323.9284829739733</v>
      </c>
      <c r="V38" s="102">
        <f>TrRoad_ene!V$33</f>
        <v>279.64633948280795</v>
      </c>
      <c r="W38" s="102">
        <f>TrRoad_ene!W$33</f>
        <v>254.9298136795957</v>
      </c>
      <c r="X38" s="102">
        <f>TrRoad_ene!X$33</f>
        <v>274.93920102371516</v>
      </c>
      <c r="Y38" s="102">
        <f>TrRoad_ene!Y$33</f>
        <v>284.64438109864187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40.931072245575898</v>
      </c>
      <c r="C39" s="110">
        <f t="shared" si="32"/>
        <v>41.4780330104916</v>
      </c>
      <c r="D39" s="110">
        <f t="shared" si="32"/>
        <v>43.704218698474975</v>
      </c>
      <c r="E39" s="110">
        <f t="shared" si="32"/>
        <v>46.871600135365881</v>
      </c>
      <c r="F39" s="110">
        <f t="shared" si="32"/>
        <v>45.998948645406102</v>
      </c>
      <c r="G39" s="110">
        <f t="shared" si="32"/>
        <v>46.534716620221154</v>
      </c>
      <c r="H39" s="110">
        <f t="shared" si="32"/>
        <v>46.707673410767882</v>
      </c>
      <c r="I39" s="110">
        <f t="shared" si="32"/>
        <v>47.990763785013037</v>
      </c>
      <c r="J39" s="110">
        <f t="shared" si="32"/>
        <v>49.404375353034972</v>
      </c>
      <c r="K39" s="110">
        <f t="shared" si="32"/>
        <v>50.894707392328769</v>
      </c>
      <c r="L39" s="110">
        <f t="shared" si="32"/>
        <v>52.201807709167497</v>
      </c>
      <c r="M39" s="110">
        <f t="shared" si="32"/>
        <v>52.898818331166304</v>
      </c>
      <c r="N39" s="110">
        <f t="shared" si="32"/>
        <v>53.153959842452281</v>
      </c>
      <c r="O39" s="110">
        <f t="shared" si="32"/>
        <v>52.702931026781073</v>
      </c>
      <c r="P39" s="110">
        <f t="shared" si="32"/>
        <v>50.313502878733601</v>
      </c>
      <c r="Q39" s="110">
        <f t="shared" si="32"/>
        <v>51.911135201231339</v>
      </c>
      <c r="R39" s="110">
        <f t="shared" ref="R39:V39" si="33">R40+R41+R42</f>
        <v>48.713001334779065</v>
      </c>
      <c r="S39" s="110">
        <f t="shared" si="33"/>
        <v>50.922427715620934</v>
      </c>
      <c r="T39" s="110">
        <f t="shared" si="33"/>
        <v>53.600845902231661</v>
      </c>
      <c r="U39" s="110">
        <f t="shared" si="33"/>
        <v>54.393480502990066</v>
      </c>
      <c r="V39" s="110">
        <f t="shared" si="33"/>
        <v>43.628037271387058</v>
      </c>
      <c r="W39" s="110">
        <f t="shared" ref="W39:Y39" si="34">W40+W41+W42</f>
        <v>44.39817722631129</v>
      </c>
      <c r="X39" s="110">
        <f t="shared" si="34"/>
        <v>47.343372039376845</v>
      </c>
      <c r="Y39" s="110">
        <f t="shared" si="34"/>
        <v>47.732463117985226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2.7432333412541614</v>
      </c>
      <c r="C40" s="102">
        <f>TrRail_ene!C$12</f>
        <v>2.8149983596136656</v>
      </c>
      <c r="D40" s="102">
        <f>TrRail_ene!D$12</f>
        <v>2.8998637001471681</v>
      </c>
      <c r="E40" s="102">
        <f>TrRail_ene!E$12</f>
        <v>2.9150874897019552</v>
      </c>
      <c r="F40" s="102">
        <f>TrRail_ene!F$12</f>
        <v>2.8935610199919237</v>
      </c>
      <c r="G40" s="102">
        <f>TrRail_ene!G$12</f>
        <v>2.8609959553419326</v>
      </c>
      <c r="H40" s="102">
        <f>TrRail_ene!H$12</f>
        <v>2.8377972591319609</v>
      </c>
      <c r="I40" s="102">
        <f>TrRail_ene!I$12</f>
        <v>2.7910642901967435</v>
      </c>
      <c r="J40" s="102">
        <f>TrRail_ene!J$12</f>
        <v>2.7927770575598361</v>
      </c>
      <c r="K40" s="102">
        <f>TrRail_ene!K$12</f>
        <v>2.8074170960742397</v>
      </c>
      <c r="L40" s="102">
        <f>TrRail_ene!L$12</f>
        <v>2.7657661916049348</v>
      </c>
      <c r="M40" s="102">
        <f>TrRail_ene!M$12</f>
        <v>2.7010493295213065</v>
      </c>
      <c r="N40" s="102">
        <f>TrRail_ene!N$12</f>
        <v>2.7289327281413409</v>
      </c>
      <c r="O40" s="102">
        <f>TrRail_ene!O$12</f>
        <v>2.7070627419568907</v>
      </c>
      <c r="P40" s="102">
        <f>TrRail_ene!P$12</f>
        <v>2.6436849394768154</v>
      </c>
      <c r="Q40" s="102">
        <f>TrRail_ene!Q$12</f>
        <v>2.5589028680296169</v>
      </c>
      <c r="R40" s="102">
        <f>TrRail_ene!R$12</f>
        <v>2.565844329821378</v>
      </c>
      <c r="S40" s="102">
        <f>TrRail_ene!S$12</f>
        <v>2.6206361489253402</v>
      </c>
      <c r="T40" s="102">
        <f>TrRail_ene!T$12</f>
        <v>3.0253253078858395</v>
      </c>
      <c r="U40" s="102">
        <f>TrRail_ene!U$12</f>
        <v>2.968245577384919</v>
      </c>
      <c r="V40" s="102">
        <f>TrRail_ene!V$12</f>
        <v>2.9142478281776678</v>
      </c>
      <c r="W40" s="102">
        <f>TrRail_ene!W$12</f>
        <v>2.8410680876336718</v>
      </c>
      <c r="X40" s="102">
        <f>TrRail_ene!X$12</f>
        <v>2.5683014356529288</v>
      </c>
      <c r="Y40" s="102">
        <f>TrRail_ene!Y$12</f>
        <v>2.5527327808438685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37.120511087137373</v>
      </c>
      <c r="C41" s="102">
        <f>TrRail_ene!C$13</f>
        <v>37.774915137408797</v>
      </c>
      <c r="D41" s="102">
        <f>TrRail_ene!D$13</f>
        <v>38.823231228790803</v>
      </c>
      <c r="E41" s="102">
        <f>TrRail_ene!E$13</f>
        <v>41.072230248504226</v>
      </c>
      <c r="F41" s="102">
        <f>TrRail_ene!F$13</f>
        <v>40.84052897265407</v>
      </c>
      <c r="G41" s="102">
        <f>TrRail_ene!G$13</f>
        <v>39.389879029350809</v>
      </c>
      <c r="H41" s="102">
        <f>TrRail_ene!H$13</f>
        <v>38.043226633955562</v>
      </c>
      <c r="I41" s="102">
        <f>TrRail_ene!I$13</f>
        <v>37.54234609923688</v>
      </c>
      <c r="J41" s="102">
        <f>TrRail_ene!J$13</f>
        <v>38.325237385151382</v>
      </c>
      <c r="K41" s="102">
        <f>TrRail_ene!K$13</f>
        <v>40.069177802428186</v>
      </c>
      <c r="L41" s="102">
        <f>TrRail_ene!L$13</f>
        <v>41.003716499186389</v>
      </c>
      <c r="M41" s="102">
        <f>TrRail_ene!M$13</f>
        <v>41.130694456634956</v>
      </c>
      <c r="N41" s="102">
        <f>TrRail_ene!N$13</f>
        <v>41.660947726018151</v>
      </c>
      <c r="O41" s="102">
        <f>TrRail_ene!O$13</f>
        <v>40.70077437675549</v>
      </c>
      <c r="P41" s="102">
        <f>TrRail_ene!P$13</f>
        <v>39.725505226296811</v>
      </c>
      <c r="Q41" s="102">
        <f>TrRail_ene!Q$13</f>
        <v>42.528649330448388</v>
      </c>
      <c r="R41" s="102">
        <f>TrRail_ene!R$13</f>
        <v>38.814635067857594</v>
      </c>
      <c r="S41" s="102">
        <f>TrRail_ene!S$13</f>
        <v>40.293598487301409</v>
      </c>
      <c r="T41" s="102">
        <f>TrRail_ene!T$13</f>
        <v>41.243290338318872</v>
      </c>
      <c r="U41" s="102">
        <f>TrRail_ene!U$13</f>
        <v>41.946683303169962</v>
      </c>
      <c r="V41" s="102">
        <f>TrRail_ene!V$13</f>
        <v>33.668127514141233</v>
      </c>
      <c r="W41" s="102">
        <f>TrRail_ene!W$13</f>
        <v>33.669844671145242</v>
      </c>
      <c r="X41" s="102">
        <f>TrRail_ene!X$13</f>
        <v>37.553152745205402</v>
      </c>
      <c r="Y41" s="102">
        <f>TrRail_ene!Y$13</f>
        <v>38.765625582060004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1.0673278171843654</v>
      </c>
      <c r="C42" s="102">
        <f>TrRail_ene!C$16</f>
        <v>0.88811951346913653</v>
      </c>
      <c r="D42" s="102">
        <f>TrRail_ene!D$16</f>
        <v>1.9811237695370032</v>
      </c>
      <c r="E42" s="102">
        <f>TrRail_ene!E$16</f>
        <v>2.8842823971597031</v>
      </c>
      <c r="F42" s="102">
        <f>TrRail_ene!F$16</f>
        <v>2.2648586527601107</v>
      </c>
      <c r="G42" s="102">
        <f>TrRail_ene!G$16</f>
        <v>4.283841635528411</v>
      </c>
      <c r="H42" s="102">
        <f>TrRail_ene!H$16</f>
        <v>5.8266495176803623</v>
      </c>
      <c r="I42" s="102">
        <f>TrRail_ene!I$16</f>
        <v>7.6573533955794142</v>
      </c>
      <c r="J42" s="102">
        <f>TrRail_ene!J$16</f>
        <v>8.2863609103237525</v>
      </c>
      <c r="K42" s="102">
        <f>TrRail_ene!K$16</f>
        <v>8.0181124938263455</v>
      </c>
      <c r="L42" s="102">
        <f>TrRail_ene!L$16</f>
        <v>8.4323250183761793</v>
      </c>
      <c r="M42" s="102">
        <f>TrRail_ene!M$16</f>
        <v>9.0670745450100423</v>
      </c>
      <c r="N42" s="102">
        <f>TrRail_ene!N$16</f>
        <v>8.7640793882927905</v>
      </c>
      <c r="O42" s="102">
        <f>TrRail_ene!O$16</f>
        <v>9.2950939080686972</v>
      </c>
      <c r="P42" s="102">
        <f>TrRail_ene!P$16</f>
        <v>7.9443127129599773</v>
      </c>
      <c r="Q42" s="102">
        <f>TrRail_ene!Q$16</f>
        <v>6.8235830027533284</v>
      </c>
      <c r="R42" s="102">
        <f>TrRail_ene!R$16</f>
        <v>7.3325219371000907</v>
      </c>
      <c r="S42" s="102">
        <f>TrRail_ene!S$16</f>
        <v>8.0081930793941822</v>
      </c>
      <c r="T42" s="102">
        <f>TrRail_ene!T$16</f>
        <v>9.3322302560269552</v>
      </c>
      <c r="U42" s="102">
        <f>TrRail_ene!U$16</f>
        <v>9.4785516224351856</v>
      </c>
      <c r="V42" s="102">
        <f>TrRail_ene!V$16</f>
        <v>7.0456619290681592</v>
      </c>
      <c r="W42" s="102">
        <f>TrRail_ene!W$16</f>
        <v>7.8872644675323764</v>
      </c>
      <c r="X42" s="102">
        <f>TrRail_ene!X$16</f>
        <v>7.2219178585185198</v>
      </c>
      <c r="Y42" s="102">
        <f>TrRail_ene!Y$16</f>
        <v>6.4141047550813548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460.02569935585672</v>
      </c>
      <c r="C43" s="110">
        <f t="shared" si="35"/>
        <v>469.1684476272182</v>
      </c>
      <c r="D43" s="110">
        <f t="shared" si="35"/>
        <v>449.71621155913647</v>
      </c>
      <c r="E43" s="110">
        <f t="shared" si="35"/>
        <v>459.38036493420054</v>
      </c>
      <c r="F43" s="110">
        <f t="shared" si="35"/>
        <v>513.77684239472899</v>
      </c>
      <c r="G43" s="110">
        <f t="shared" si="35"/>
        <v>510.05053351128896</v>
      </c>
      <c r="H43" s="110">
        <f t="shared" si="35"/>
        <v>551.51252678914636</v>
      </c>
      <c r="I43" s="110">
        <f t="shared" si="35"/>
        <v>615.34709592308855</v>
      </c>
      <c r="J43" s="110">
        <f t="shared" si="35"/>
        <v>659.2397326986644</v>
      </c>
      <c r="K43" s="110">
        <f t="shared" si="35"/>
        <v>581.85223899766402</v>
      </c>
      <c r="L43" s="110">
        <f t="shared" si="35"/>
        <v>607.20280559914477</v>
      </c>
      <c r="M43" s="110">
        <f t="shared" si="35"/>
        <v>714.14014838351829</v>
      </c>
      <c r="N43" s="110">
        <f t="shared" si="35"/>
        <v>676.9222488214707</v>
      </c>
      <c r="O43" s="110">
        <f t="shared" si="35"/>
        <v>685.41847846743258</v>
      </c>
      <c r="P43" s="110">
        <f t="shared" si="35"/>
        <v>677.78360630254065</v>
      </c>
      <c r="Q43" s="110">
        <f t="shared" si="35"/>
        <v>688.50954262782705</v>
      </c>
      <c r="R43" s="110">
        <f t="shared" ref="R43:V43" si="36">R44+R45+R46</f>
        <v>692.06466635426341</v>
      </c>
      <c r="S43" s="110">
        <f t="shared" si="36"/>
        <v>731.47058117675681</v>
      </c>
      <c r="T43" s="110">
        <f t="shared" si="36"/>
        <v>836.42467978680588</v>
      </c>
      <c r="U43" s="110">
        <f t="shared" si="36"/>
        <v>889.24429294568677</v>
      </c>
      <c r="V43" s="110">
        <f t="shared" si="36"/>
        <v>302.65101614725086</v>
      </c>
      <c r="W43" s="110">
        <f t="shared" ref="W43:Y43" si="37">W44+W45+W46</f>
        <v>293.4224436966374</v>
      </c>
      <c r="X43" s="110">
        <f t="shared" si="37"/>
        <v>564.94178435749291</v>
      </c>
      <c r="Y43" s="110">
        <f t="shared" si="37"/>
        <v>656.03662955890877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122.56534882800047</v>
      </c>
      <c r="C44" s="102">
        <f>TrAvia_ene!C$7</f>
        <v>120.86186208810759</v>
      </c>
      <c r="D44" s="102">
        <f>TrAvia_ene!D$7</f>
        <v>105.48955151892343</v>
      </c>
      <c r="E44" s="102">
        <f>TrAvia_ene!E$7</f>
        <v>105.65890021703829</v>
      </c>
      <c r="F44" s="102">
        <f>TrAvia_ene!F$7</f>
        <v>107.72447054755888</v>
      </c>
      <c r="G44" s="102">
        <f>TrAvia_ene!G$7</f>
        <v>102.60279222264047</v>
      </c>
      <c r="H44" s="102">
        <f>TrAvia_ene!H$7</f>
        <v>97.484788166300888</v>
      </c>
      <c r="I44" s="102">
        <f>TrAvia_ene!I$7</f>
        <v>91.422744252676054</v>
      </c>
      <c r="J44" s="102">
        <f>TrAvia_ene!J$7</f>
        <v>88.445984440203986</v>
      </c>
      <c r="K44" s="102">
        <f>TrAvia_ene!K$7</f>
        <v>80.185821767915186</v>
      </c>
      <c r="L44" s="102">
        <f>TrAvia_ene!L$7</f>
        <v>78.231166129543084</v>
      </c>
      <c r="M44" s="102">
        <f>TrAvia_ene!M$7</f>
        <v>87.569619748309549</v>
      </c>
      <c r="N44" s="102">
        <f>TrAvia_ene!N$7</f>
        <v>73.059521641655195</v>
      </c>
      <c r="O44" s="102">
        <f>TrAvia_ene!O$7</f>
        <v>62.782086564021434</v>
      </c>
      <c r="P44" s="102">
        <f>TrAvia_ene!P$7</f>
        <v>62.847388052559559</v>
      </c>
      <c r="Q44" s="102">
        <f>TrAvia_ene!Q$7</f>
        <v>60.788942397267995</v>
      </c>
      <c r="R44" s="102">
        <f>TrAvia_ene!R$7</f>
        <v>61.799117937684414</v>
      </c>
      <c r="S44" s="102">
        <f>TrAvia_ene!S$7</f>
        <v>63.92262127680722</v>
      </c>
      <c r="T44" s="102">
        <f>TrAvia_ene!T$7</f>
        <v>70.19351235312746</v>
      </c>
      <c r="U44" s="102">
        <f>TrAvia_ene!U$7</f>
        <v>67.083041115053064</v>
      </c>
      <c r="V44" s="102">
        <f>TrAvia_ene!V$7</f>
        <v>28.813348461928165</v>
      </c>
      <c r="W44" s="102">
        <f>TrAvia_ene!W$7</f>
        <v>25.751746827247562</v>
      </c>
      <c r="X44" s="102">
        <f>TrAvia_ene!X$7</f>
        <v>44.332229321709285</v>
      </c>
      <c r="Y44" s="102">
        <f>TrAvia_ene!Y$7</f>
        <v>48.448059287433914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229.86370505702621</v>
      </c>
      <c r="C45" s="102">
        <f>TrAvia_ene!C$8</f>
        <v>239.12364390488725</v>
      </c>
      <c r="D45" s="102">
        <f>TrAvia_ene!D$8</f>
        <v>224.44295817578845</v>
      </c>
      <c r="E45" s="102">
        <f>TrAvia_ene!E$8</f>
        <v>235.58678777858378</v>
      </c>
      <c r="F45" s="102">
        <f>TrAvia_ene!F$8</f>
        <v>266.07773855192954</v>
      </c>
      <c r="G45" s="102">
        <f>TrAvia_ene!G$8</f>
        <v>265.58696424182676</v>
      </c>
      <c r="H45" s="102">
        <f>TrAvia_ene!H$8</f>
        <v>301.73630066385493</v>
      </c>
      <c r="I45" s="102">
        <f>TrAvia_ene!I$8</f>
        <v>352.27766626581428</v>
      </c>
      <c r="J45" s="102">
        <f>TrAvia_ene!J$8</f>
        <v>382.34471718587139</v>
      </c>
      <c r="K45" s="102">
        <f>TrAvia_ene!K$8</f>
        <v>330.05844078559949</v>
      </c>
      <c r="L45" s="102">
        <f>TrAvia_ene!L$8</f>
        <v>348.39707955209246</v>
      </c>
      <c r="M45" s="102">
        <f>TrAvia_ene!M$8</f>
        <v>414.15456276202929</v>
      </c>
      <c r="N45" s="102">
        <f>TrAvia_ene!N$8</f>
        <v>391.40460402950106</v>
      </c>
      <c r="O45" s="102">
        <f>TrAvia_ene!O$8</f>
        <v>403.37732542968575</v>
      </c>
      <c r="P45" s="102">
        <f>TrAvia_ene!P$8</f>
        <v>401.74408833160379</v>
      </c>
      <c r="Q45" s="102">
        <f>TrAvia_ene!Q$8</f>
        <v>413.12188517776968</v>
      </c>
      <c r="R45" s="102">
        <f>TrAvia_ene!R$8</f>
        <v>422.76873931002223</v>
      </c>
      <c r="S45" s="102">
        <f>TrAvia_ene!S$8</f>
        <v>454.45019339144972</v>
      </c>
      <c r="T45" s="102">
        <f>TrAvia_ene!T$8</f>
        <v>520.71410213088177</v>
      </c>
      <c r="U45" s="102">
        <f>TrAvia_ene!U$8</f>
        <v>554.18352539998943</v>
      </c>
      <c r="V45" s="102">
        <f>TrAvia_ene!V$8</f>
        <v>166.07813455179581</v>
      </c>
      <c r="W45" s="102">
        <f>TrAvia_ene!W$8</f>
        <v>171.03933566924169</v>
      </c>
      <c r="X45" s="102">
        <f>TrAvia_ene!X$8</f>
        <v>358.27418272365776</v>
      </c>
      <c r="Y45" s="102">
        <f>TrAvia_ene!Y$8</f>
        <v>412.70104092166639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107.59664547083003</v>
      </c>
      <c r="C46" s="102">
        <f>TrAvia_ene!C$9</f>
        <v>109.18294163422335</v>
      </c>
      <c r="D46" s="102">
        <f>TrAvia_ene!D$9</f>
        <v>119.78370186442456</v>
      </c>
      <c r="E46" s="102">
        <f>TrAvia_ene!E$9</f>
        <v>118.13467693857848</v>
      </c>
      <c r="F46" s="102">
        <f>TrAvia_ene!F$9</f>
        <v>139.97463329524052</v>
      </c>
      <c r="G46" s="102">
        <f>TrAvia_ene!G$9</f>
        <v>141.86077704682174</v>
      </c>
      <c r="H46" s="102">
        <f>TrAvia_ene!H$9</f>
        <v>152.29143795899051</v>
      </c>
      <c r="I46" s="102">
        <f>TrAvia_ene!I$9</f>
        <v>171.64668540459817</v>
      </c>
      <c r="J46" s="102">
        <f>TrAvia_ene!J$9</f>
        <v>188.44903107258904</v>
      </c>
      <c r="K46" s="102">
        <f>TrAvia_ene!K$9</f>
        <v>171.60797644414941</v>
      </c>
      <c r="L46" s="102">
        <f>TrAvia_ene!L$9</f>
        <v>180.57455991750922</v>
      </c>
      <c r="M46" s="102">
        <f>TrAvia_ene!M$9</f>
        <v>212.41596587317949</v>
      </c>
      <c r="N46" s="102">
        <f>TrAvia_ene!N$9</f>
        <v>212.45812315031444</v>
      </c>
      <c r="O46" s="102">
        <f>TrAvia_ene!O$9</f>
        <v>219.25906647372543</v>
      </c>
      <c r="P46" s="102">
        <f>TrAvia_ene!P$9</f>
        <v>213.19212991837728</v>
      </c>
      <c r="Q46" s="102">
        <f>TrAvia_ene!Q$9</f>
        <v>214.5987150527894</v>
      </c>
      <c r="R46" s="102">
        <f>TrAvia_ene!R$9</f>
        <v>207.49680910655678</v>
      </c>
      <c r="S46" s="102">
        <f>TrAvia_ene!S$9</f>
        <v>213.0977665084998</v>
      </c>
      <c r="T46" s="102">
        <f>TrAvia_ene!T$9</f>
        <v>245.51706530279668</v>
      </c>
      <c r="U46" s="102">
        <f>TrAvia_ene!U$9</f>
        <v>267.97772643064417</v>
      </c>
      <c r="V46" s="102">
        <f>TrAvia_ene!V$9</f>
        <v>107.75953313352684</v>
      </c>
      <c r="W46" s="102">
        <f>TrAvia_ene!W$9</f>
        <v>96.631361200148163</v>
      </c>
      <c r="X46" s="102">
        <f>TrAvia_ene!X$9</f>
        <v>162.33537231212586</v>
      </c>
      <c r="Y46" s="102">
        <f>TrAvia_ene!Y$9</f>
        <v>194.88752934980843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1431.2260705974832</v>
      </c>
      <c r="C47" s="28">
        <f t="shared" si="38"/>
        <v>1448.3054501232734</v>
      </c>
      <c r="D47" s="28">
        <f t="shared" si="38"/>
        <v>1468.1318677354705</v>
      </c>
      <c r="E47" s="28">
        <f t="shared" si="38"/>
        <v>1484.6081819278666</v>
      </c>
      <c r="F47" s="28">
        <f t="shared" si="38"/>
        <v>1532.7743474072674</v>
      </c>
      <c r="G47" s="28">
        <f t="shared" si="38"/>
        <v>1525.095445417694</v>
      </c>
      <c r="H47" s="28">
        <f t="shared" si="38"/>
        <v>1535.0920798092009</v>
      </c>
      <c r="I47" s="28">
        <f t="shared" si="38"/>
        <v>1573.9555140724813</v>
      </c>
      <c r="J47" s="28">
        <f t="shared" si="38"/>
        <v>1506.6770717089871</v>
      </c>
      <c r="K47" s="28">
        <f t="shared" si="38"/>
        <v>1367.1222858094873</v>
      </c>
      <c r="L47" s="28">
        <f t="shared" si="38"/>
        <v>1485.4433558629464</v>
      </c>
      <c r="M47" s="28">
        <f t="shared" si="38"/>
        <v>1436.4106036448075</v>
      </c>
      <c r="N47" s="28">
        <f t="shared" si="38"/>
        <v>1356.7348478747303</v>
      </c>
      <c r="O47" s="28">
        <f t="shared" si="38"/>
        <v>1370.9678190065474</v>
      </c>
      <c r="P47" s="28">
        <f t="shared" si="38"/>
        <v>1296.7682958240455</v>
      </c>
      <c r="Q47" s="28">
        <f t="shared" si="38"/>
        <v>1255.7852649603269</v>
      </c>
      <c r="R47" s="28">
        <f t="shared" ref="R47:V47" si="39">R48+R51+R52+R56</f>
        <v>1347.9767310874806</v>
      </c>
      <c r="S47" s="28">
        <f t="shared" si="39"/>
        <v>1344.3946180584264</v>
      </c>
      <c r="T47" s="28">
        <f t="shared" si="39"/>
        <v>1366.7541313874585</v>
      </c>
      <c r="U47" s="28">
        <f t="shared" si="39"/>
        <v>1359.9481120203382</v>
      </c>
      <c r="V47" s="28">
        <f t="shared" si="39"/>
        <v>1303.6851164237785</v>
      </c>
      <c r="W47" s="28">
        <f t="shared" ref="W47:Y47" si="40">W48+W51+W52+W56</f>
        <v>1412.4426361792314</v>
      </c>
      <c r="X47" s="28">
        <f t="shared" si="40"/>
        <v>1347.227600719136</v>
      </c>
      <c r="Y47" s="28">
        <f t="shared" si="40"/>
        <v>1261.6492106824173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1205.195567908288</v>
      </c>
      <c r="C48" s="137">
        <f t="shared" si="41"/>
        <v>1239.273340907157</v>
      </c>
      <c r="D48" s="137">
        <f t="shared" si="41"/>
        <v>1255.2801569784644</v>
      </c>
      <c r="E48" s="137">
        <f t="shared" si="41"/>
        <v>1265.3895537042258</v>
      </c>
      <c r="F48" s="137">
        <f t="shared" si="41"/>
        <v>1314.1198718953819</v>
      </c>
      <c r="G48" s="137">
        <f t="shared" si="41"/>
        <v>1304.7937651966674</v>
      </c>
      <c r="H48" s="137">
        <f t="shared" si="41"/>
        <v>1298.5845929927782</v>
      </c>
      <c r="I48" s="137">
        <f t="shared" si="41"/>
        <v>1336.3588080024228</v>
      </c>
      <c r="J48" s="137">
        <f t="shared" si="41"/>
        <v>1299.3447395199296</v>
      </c>
      <c r="K48" s="137">
        <f t="shared" si="41"/>
        <v>1167.5534970318104</v>
      </c>
      <c r="L48" s="137">
        <f t="shared" si="41"/>
        <v>1261.9250113036749</v>
      </c>
      <c r="M48" s="137">
        <f t="shared" si="41"/>
        <v>1221.4007311505497</v>
      </c>
      <c r="N48" s="137">
        <f t="shared" si="41"/>
        <v>1151.3090788946295</v>
      </c>
      <c r="O48" s="137">
        <f t="shared" si="41"/>
        <v>1168.9825217079838</v>
      </c>
      <c r="P48" s="137">
        <f t="shared" si="41"/>
        <v>1115.158096320883</v>
      </c>
      <c r="Q48" s="137">
        <f t="shared" si="41"/>
        <v>1080.3690554291102</v>
      </c>
      <c r="R48" s="137">
        <f t="shared" ref="R48:V48" si="42">R49+R50</f>
        <v>1179.2986808057581</v>
      </c>
      <c r="S48" s="137">
        <f t="shared" si="42"/>
        <v>1167.9417972001593</v>
      </c>
      <c r="T48" s="137">
        <f t="shared" si="42"/>
        <v>1187.7084618916294</v>
      </c>
      <c r="U48" s="137">
        <f t="shared" si="42"/>
        <v>1174.3882930356526</v>
      </c>
      <c r="V48" s="137">
        <f t="shared" si="42"/>
        <v>1145.1783572886761</v>
      </c>
      <c r="W48" s="137">
        <f t="shared" ref="W48:Y48" si="43">W49+W50</f>
        <v>1246.8222424848113</v>
      </c>
      <c r="X48" s="137">
        <f t="shared" si="43"/>
        <v>1190.9901431865133</v>
      </c>
      <c r="Y48" s="137">
        <f t="shared" si="43"/>
        <v>1107.6408313042812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406.46458012227288</v>
      </c>
      <c r="C49" s="102">
        <f>TrRoad_ene!C$43</f>
        <v>404.99217290652916</v>
      </c>
      <c r="D49" s="102">
        <f>TrRoad_ene!D$43</f>
        <v>404.92763123115247</v>
      </c>
      <c r="E49" s="102">
        <f>TrRoad_ene!E$43</f>
        <v>405.24266021195638</v>
      </c>
      <c r="F49" s="102">
        <f>TrRoad_ene!F$43</f>
        <v>432.16755233245453</v>
      </c>
      <c r="G49" s="102">
        <f>TrRoad_ene!G$43</f>
        <v>432.65441746930532</v>
      </c>
      <c r="H49" s="102">
        <f>TrRoad_ene!H$43</f>
        <v>442.39242773560352</v>
      </c>
      <c r="I49" s="102">
        <f>TrRoad_ene!I$43</f>
        <v>467.09689788319218</v>
      </c>
      <c r="J49" s="102">
        <f>TrRoad_ene!J$43</f>
        <v>479.51234356709318</v>
      </c>
      <c r="K49" s="102">
        <f>TrRoad_ene!K$43</f>
        <v>478.08614999874828</v>
      </c>
      <c r="L49" s="102">
        <f>TrRoad_ene!L$43</f>
        <v>505.36671166890642</v>
      </c>
      <c r="M49" s="102">
        <f>TrRoad_ene!M$43</f>
        <v>531.68794477957738</v>
      </c>
      <c r="N49" s="102">
        <f>TrRoad_ene!N$43</f>
        <v>538.67903918216234</v>
      </c>
      <c r="O49" s="102">
        <f>TrRoad_ene!O$43</f>
        <v>559.09763166412051</v>
      </c>
      <c r="P49" s="102">
        <f>TrRoad_ene!P$43</f>
        <v>561.27358203091171</v>
      </c>
      <c r="Q49" s="102">
        <f>TrRoad_ene!Q$43</f>
        <v>575.18812888873526</v>
      </c>
      <c r="R49" s="102">
        <f>TrRoad_ene!R$43</f>
        <v>597.25816653533116</v>
      </c>
      <c r="S49" s="102">
        <f>TrRoad_ene!S$43</f>
        <v>597.68156045581907</v>
      </c>
      <c r="T49" s="102">
        <f>TrRoad_ene!T$43</f>
        <v>620.92748459347013</v>
      </c>
      <c r="U49" s="102">
        <f>TrRoad_ene!U$43</f>
        <v>628.57747898486525</v>
      </c>
      <c r="V49" s="102">
        <f>TrRoad_ene!V$43</f>
        <v>629.30136853137526</v>
      </c>
      <c r="W49" s="102">
        <f>TrRoad_ene!W$43</f>
        <v>672.30544802097916</v>
      </c>
      <c r="X49" s="102">
        <f>TrRoad_ene!X$43</f>
        <v>648.82480847315139</v>
      </c>
      <c r="Y49" s="102">
        <f>TrRoad_ene!Y$43</f>
        <v>638.28916026070442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798.73098778601513</v>
      </c>
      <c r="C50" s="102">
        <f>TrRoad_ene!C$52</f>
        <v>834.28116800062776</v>
      </c>
      <c r="D50" s="102">
        <f>TrRoad_ene!D$52</f>
        <v>850.35252574731192</v>
      </c>
      <c r="E50" s="102">
        <f>TrRoad_ene!E$52</f>
        <v>860.14689349226956</v>
      </c>
      <c r="F50" s="102">
        <f>TrRoad_ene!F$52</f>
        <v>881.95231956292753</v>
      </c>
      <c r="G50" s="102">
        <f>TrRoad_ene!G$52</f>
        <v>872.13934772736218</v>
      </c>
      <c r="H50" s="102">
        <f>TrRoad_ene!H$52</f>
        <v>856.19216525717468</v>
      </c>
      <c r="I50" s="102">
        <f>TrRoad_ene!I$52</f>
        <v>869.26191011923061</v>
      </c>
      <c r="J50" s="102">
        <f>TrRoad_ene!J$52</f>
        <v>819.83239595283635</v>
      </c>
      <c r="K50" s="102">
        <f>TrRoad_ene!K$52</f>
        <v>689.46734703306208</v>
      </c>
      <c r="L50" s="102">
        <f>TrRoad_ene!L$52</f>
        <v>756.55829963476845</v>
      </c>
      <c r="M50" s="102">
        <f>TrRoad_ene!M$52</f>
        <v>689.71278637097248</v>
      </c>
      <c r="N50" s="102">
        <f>TrRoad_ene!N$52</f>
        <v>612.63003971246712</v>
      </c>
      <c r="O50" s="102">
        <f>TrRoad_ene!O$52</f>
        <v>609.88489004386338</v>
      </c>
      <c r="P50" s="102">
        <f>TrRoad_ene!P$52</f>
        <v>553.88451428997132</v>
      </c>
      <c r="Q50" s="102">
        <f>TrRoad_ene!Q$52</f>
        <v>505.1809265403748</v>
      </c>
      <c r="R50" s="102">
        <f>TrRoad_ene!R$52</f>
        <v>582.0405142704268</v>
      </c>
      <c r="S50" s="102">
        <f>TrRoad_ene!S$52</f>
        <v>570.26023674434032</v>
      </c>
      <c r="T50" s="102">
        <f>TrRoad_ene!T$52</f>
        <v>566.78097729815931</v>
      </c>
      <c r="U50" s="102">
        <f>TrRoad_ene!U$52</f>
        <v>545.81081405078726</v>
      </c>
      <c r="V50" s="102">
        <f>TrRoad_ene!V$52</f>
        <v>515.87698875730075</v>
      </c>
      <c r="W50" s="102">
        <f>TrRoad_ene!W$52</f>
        <v>574.51679446383207</v>
      </c>
      <c r="X50" s="102">
        <f>TrRoad_ene!X$52</f>
        <v>542.16533471336186</v>
      </c>
      <c r="Y50" s="102">
        <f>TrRoad_ene!Y$52</f>
        <v>469.35167104357669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53.599366275490297</v>
      </c>
      <c r="C51" s="110">
        <f>TrRail_ene!C$17</f>
        <v>52.292904220806761</v>
      </c>
      <c r="D51" s="110">
        <f>TrRail_ene!D$17</f>
        <v>50.420200905996211</v>
      </c>
      <c r="E51" s="110">
        <f>TrRail_ene!E$17</f>
        <v>50.176293243825853</v>
      </c>
      <c r="F51" s="110">
        <f>TrRail_ene!F$17</f>
        <v>52.128480417362596</v>
      </c>
      <c r="G51" s="110">
        <f>TrRail_ene!G$17</f>
        <v>51.095893869890624</v>
      </c>
      <c r="H51" s="110">
        <f>TrRail_ene!H$17</f>
        <v>55.261372161029179</v>
      </c>
      <c r="I51" s="110">
        <f>TrRail_ene!I$17</f>
        <v>50.021102079131403</v>
      </c>
      <c r="J51" s="110">
        <f>TrRail_ene!J$17</f>
        <v>50.489863683938367</v>
      </c>
      <c r="K51" s="110">
        <f>TrRail_ene!K$17</f>
        <v>41.324381171729684</v>
      </c>
      <c r="L51" s="110">
        <f>TrRail_ene!L$17</f>
        <v>43.106446805019928</v>
      </c>
      <c r="M51" s="110">
        <f>TrRail_ene!M$17</f>
        <v>42.56695982876488</v>
      </c>
      <c r="N51" s="110">
        <f>TrRail_ene!N$17</f>
        <v>42.913709976980208</v>
      </c>
      <c r="O51" s="110">
        <f>TrRail_ene!O$17</f>
        <v>40.246338104775234</v>
      </c>
      <c r="P51" s="110">
        <f>TrRail_ene!P$17</f>
        <v>39.540323432530364</v>
      </c>
      <c r="Q51" s="110">
        <f>TrRail_ene!Q$17</f>
        <v>31.03452258036797</v>
      </c>
      <c r="R51" s="110">
        <f>TrRail_ene!R$17</f>
        <v>32.924143979064432</v>
      </c>
      <c r="S51" s="110">
        <f>TrRail_ene!S$17</f>
        <v>35.382645371223418</v>
      </c>
      <c r="T51" s="110">
        <f>TrRail_ene!T$17</f>
        <v>38.531484278335832</v>
      </c>
      <c r="U51" s="110">
        <f>TrRail_ene!U$17</f>
        <v>35.86008785470554</v>
      </c>
      <c r="V51" s="110">
        <f>TrRail_ene!V$17</f>
        <v>36.233441662404843</v>
      </c>
      <c r="W51" s="110">
        <f>TrRail_ene!W$17</f>
        <v>38.635012799484045</v>
      </c>
      <c r="X51" s="110">
        <f>TrRail_ene!X$17</f>
        <v>31.583111193641212</v>
      </c>
      <c r="Y51" s="110">
        <f>TrRail_ene!Y$17</f>
        <v>28.261260011851398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10.555727987221477</v>
      </c>
      <c r="C52" s="110">
        <f t="shared" si="44"/>
        <v>8.6523606272958489</v>
      </c>
      <c r="D52" s="110">
        <f t="shared" si="44"/>
        <v>8.4547256721620041</v>
      </c>
      <c r="E52" s="110">
        <f t="shared" si="44"/>
        <v>10.157210302256821</v>
      </c>
      <c r="F52" s="110">
        <f t="shared" si="44"/>
        <v>13.676124071306916</v>
      </c>
      <c r="G52" s="110">
        <f t="shared" si="44"/>
        <v>14.290309137034349</v>
      </c>
      <c r="H52" s="110">
        <f t="shared" si="44"/>
        <v>15.240095738798594</v>
      </c>
      <c r="I52" s="110">
        <f t="shared" si="44"/>
        <v>16.56029874587108</v>
      </c>
      <c r="J52" s="110">
        <f t="shared" si="44"/>
        <v>14.035761712341724</v>
      </c>
      <c r="K52" s="110">
        <f t="shared" si="44"/>
        <v>10.755499609386504</v>
      </c>
      <c r="L52" s="110">
        <f t="shared" si="44"/>
        <v>11.259963102488904</v>
      </c>
      <c r="M52" s="110">
        <f t="shared" si="44"/>
        <v>11.879714041245135</v>
      </c>
      <c r="N52" s="110">
        <f t="shared" si="44"/>
        <v>12.900537077067492</v>
      </c>
      <c r="O52" s="110">
        <f t="shared" si="44"/>
        <v>13.712132022679103</v>
      </c>
      <c r="P52" s="110">
        <f t="shared" si="44"/>
        <v>12.03917959599746</v>
      </c>
      <c r="Q52" s="110">
        <f t="shared" si="44"/>
        <v>12.6894255578994</v>
      </c>
      <c r="R52" s="110">
        <f t="shared" si="44"/>
        <v>12.236967351669312</v>
      </c>
      <c r="S52" s="110">
        <f t="shared" si="44"/>
        <v>13.164930431153753</v>
      </c>
      <c r="T52" s="110">
        <f t="shared" si="44"/>
        <v>12.665346008550866</v>
      </c>
      <c r="U52" s="110">
        <f t="shared" si="44"/>
        <v>17.761124079248983</v>
      </c>
      <c r="V52" s="110">
        <f t="shared" si="44"/>
        <v>9.6877628725255676</v>
      </c>
      <c r="W52" s="110">
        <f t="shared" ref="W52:Y52" si="45">W53+W54+W55</f>
        <v>9.6085107315654223</v>
      </c>
      <c r="X52" s="110">
        <f t="shared" si="45"/>
        <v>11.118748746548434</v>
      </c>
      <c r="Y52" s="110">
        <f t="shared" si="45"/>
        <v>20.34153037230357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1.5581249467200677</v>
      </c>
      <c r="C53" s="102">
        <f>TrAvia_ene!C$11</f>
        <v>1.1931680064753614</v>
      </c>
      <c r="D53" s="102">
        <f>TrAvia_ene!D$11</f>
        <v>1.0524949127189105</v>
      </c>
      <c r="E53" s="102">
        <f>TrAvia_ene!E$11</f>
        <v>0.87351594805202537</v>
      </c>
      <c r="F53" s="102">
        <f>TrAvia_ene!F$11</f>
        <v>0.87638929766893348</v>
      </c>
      <c r="G53" s="102">
        <f>TrAvia_ene!G$11</f>
        <v>0.8175001247370226</v>
      </c>
      <c r="H53" s="102">
        <f>TrAvia_ene!H$11</f>
        <v>0.77402524728467037</v>
      </c>
      <c r="I53" s="102">
        <f>TrAvia_ene!I$11</f>
        <v>0.63082410501955921</v>
      </c>
      <c r="J53" s="102">
        <f>TrAvia_ene!J$11</f>
        <v>0.50500438180805274</v>
      </c>
      <c r="K53" s="102">
        <f>TrAvia_ene!K$11</f>
        <v>0.49156430259211514</v>
      </c>
      <c r="L53" s="102">
        <f>TrAvia_ene!L$11</f>
        <v>0.37777626082663807</v>
      </c>
      <c r="M53" s="102">
        <f>TrAvia_ene!M$11</f>
        <v>0.34714723363369765</v>
      </c>
      <c r="N53" s="102">
        <f>TrAvia_ene!N$11</f>
        <v>0.37839753289336825</v>
      </c>
      <c r="O53" s="102">
        <f>TrAvia_ene!O$11</f>
        <v>0.31387216340762181</v>
      </c>
      <c r="P53" s="102">
        <f>TrAvia_ene!P$11</f>
        <v>0.2485706748695001</v>
      </c>
      <c r="Q53" s="102">
        <f>TrAvia_ene!Q$11</f>
        <v>0.23857265002348824</v>
      </c>
      <c r="R53" s="102">
        <f>TrAvia_ene!R$11</f>
        <v>0.26261894967585431</v>
      </c>
      <c r="S53" s="102">
        <f>TrAvia_ene!S$11</f>
        <v>0.20747330616782977</v>
      </c>
      <c r="T53" s="102">
        <f>TrAvia_ene!T$11</f>
        <v>0.14182728573753822</v>
      </c>
      <c r="U53" s="102">
        <f>TrAvia_ene!U$11</f>
        <v>0.14971898812835494</v>
      </c>
      <c r="V53" s="102">
        <f>TrAvia_ene!V$11</f>
        <v>0.15389143489040336</v>
      </c>
      <c r="W53" s="102">
        <f>TrAvia_ene!W$11</f>
        <v>0.11291353388743204</v>
      </c>
      <c r="X53" s="102">
        <f>TrAvia_ene!X$11</f>
        <v>0.14808022257273648</v>
      </c>
      <c r="Y53" s="102">
        <f>TrAvia_ene!Y$11</f>
        <v>0.16905163260047368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5.0751416946756738</v>
      </c>
      <c r="C54" s="102">
        <f>TrAvia_ene!C$12</f>
        <v>4.5254599490862981</v>
      </c>
      <c r="D54" s="102">
        <f>TrAvia_ene!D$12</f>
        <v>4.0554762438974947</v>
      </c>
      <c r="E54" s="102">
        <f>TrAvia_ene!E$12</f>
        <v>5.8943320112822217</v>
      </c>
      <c r="F54" s="102">
        <f>TrAvia_ene!F$12</f>
        <v>8.0870981074451755</v>
      </c>
      <c r="G54" s="102">
        <f>TrAvia_ene!G$12</f>
        <v>8.2797240533378211</v>
      </c>
      <c r="H54" s="102">
        <f>TrAvia_ene!H$12</f>
        <v>10.199522870006303</v>
      </c>
      <c r="I54" s="102">
        <f>TrAvia_ene!I$12</f>
        <v>11.619000639564755</v>
      </c>
      <c r="J54" s="102">
        <f>TrAvia_ene!J$12</f>
        <v>9.8159450696128907</v>
      </c>
      <c r="K54" s="102">
        <f>TrAvia_ene!K$12</f>
        <v>8.0982348408119478</v>
      </c>
      <c r="L54" s="102">
        <f>TrAvia_ene!L$12</f>
        <v>8.5064447233326206</v>
      </c>
      <c r="M54" s="102">
        <f>TrAvia_ene!M$12</f>
        <v>7.8437044442956037</v>
      </c>
      <c r="N54" s="102">
        <f>TrAvia_ene!N$12</f>
        <v>7.6973786508721647</v>
      </c>
      <c r="O54" s="102">
        <f>TrAvia_ene!O$12</f>
        <v>9.1674754645326502</v>
      </c>
      <c r="P54" s="102">
        <f>TrAvia_ene!P$12</f>
        <v>9.0375384056464299</v>
      </c>
      <c r="Q54" s="102">
        <f>TrAvia_ene!Q$12</f>
        <v>10.135455364401462</v>
      </c>
      <c r="R54" s="102">
        <f>TrAvia_ene!R$12</f>
        <v>9.6737565747097918</v>
      </c>
      <c r="S54" s="102">
        <f>TrAvia_ene!S$12</f>
        <v>10.734834933466601</v>
      </c>
      <c r="T54" s="102">
        <f>TrAvia_ene!T$12</f>
        <v>10.284762170760434</v>
      </c>
      <c r="U54" s="102">
        <f>TrAvia_ene!U$12</f>
        <v>15.581026356407499</v>
      </c>
      <c r="V54" s="102">
        <f>TrAvia_ene!V$12</f>
        <v>7.3279986602630256</v>
      </c>
      <c r="W54" s="102">
        <f>TrAvia_ene!W$12</f>
        <v>7.1414722044190189</v>
      </c>
      <c r="X54" s="102">
        <f>TrAvia_ene!X$12</f>
        <v>8.0497332760348996</v>
      </c>
      <c r="Y54" s="102">
        <f>TrAvia_ene!Y$12</f>
        <v>11.19433555352027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3.9224613458257358</v>
      </c>
      <c r="C55" s="102">
        <f>TrAvia_ene!C$13</f>
        <v>2.9337326717341896</v>
      </c>
      <c r="D55" s="102">
        <f>TrAvia_ene!D$13</f>
        <v>3.3467545155455984</v>
      </c>
      <c r="E55" s="102">
        <f>TrAvia_ene!E$13</f>
        <v>3.389362342922575</v>
      </c>
      <c r="F55" s="102">
        <f>TrAvia_ene!F$13</f>
        <v>4.7126366661928065</v>
      </c>
      <c r="G55" s="102">
        <f>TrAvia_ene!G$13</f>
        <v>5.1930849589595045</v>
      </c>
      <c r="H55" s="102">
        <f>TrAvia_ene!H$13</f>
        <v>4.2665476215076206</v>
      </c>
      <c r="I55" s="102">
        <f>TrAvia_ene!I$13</f>
        <v>4.3104740012867655</v>
      </c>
      <c r="J55" s="102">
        <f>TrAvia_ene!J$13</f>
        <v>3.7148122609207799</v>
      </c>
      <c r="K55" s="102">
        <f>TrAvia_ene!K$13</f>
        <v>2.1657004659824417</v>
      </c>
      <c r="L55" s="102">
        <f>TrAvia_ene!L$13</f>
        <v>2.3757421183296459</v>
      </c>
      <c r="M55" s="102">
        <f>TrAvia_ene!M$13</f>
        <v>3.6888623633158342</v>
      </c>
      <c r="N55" s="102">
        <f>TrAvia_ene!N$13</f>
        <v>4.8247608933019581</v>
      </c>
      <c r="O55" s="102">
        <f>TrAvia_ene!O$13</f>
        <v>4.2307843947388308</v>
      </c>
      <c r="P55" s="102">
        <f>TrAvia_ene!P$13</f>
        <v>2.7530705154815314</v>
      </c>
      <c r="Q55" s="102">
        <f>TrAvia_ene!Q$13</f>
        <v>2.3153975434744485</v>
      </c>
      <c r="R55" s="102">
        <f>TrAvia_ene!R$13</f>
        <v>2.3005918272836667</v>
      </c>
      <c r="S55" s="102">
        <f>TrAvia_ene!S$13</f>
        <v>2.2226221915193234</v>
      </c>
      <c r="T55" s="102">
        <f>TrAvia_ene!T$13</f>
        <v>2.238756552052894</v>
      </c>
      <c r="U55" s="102">
        <f>TrAvia_ene!U$13</f>
        <v>2.0303787347131315</v>
      </c>
      <c r="V55" s="102">
        <f>TrAvia_ene!V$13</f>
        <v>2.2058727773721385</v>
      </c>
      <c r="W55" s="102">
        <f>TrAvia_ene!W$13</f>
        <v>2.3541249932589721</v>
      </c>
      <c r="X55" s="102">
        <f>TrAvia_ene!X$13</f>
        <v>2.9209352479407973</v>
      </c>
      <c r="Y55" s="102">
        <f>TrAvia_ene!Y$13</f>
        <v>8.9781431861828267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161.8754084264832</v>
      </c>
      <c r="C56" s="110">
        <f t="shared" si="46"/>
        <v>148.08684436801371</v>
      </c>
      <c r="D56" s="110">
        <f t="shared" si="46"/>
        <v>153.97678417884779</v>
      </c>
      <c r="E56" s="110">
        <f t="shared" si="46"/>
        <v>158.88512467755805</v>
      </c>
      <c r="F56" s="110">
        <f t="shared" si="46"/>
        <v>152.84987102321583</v>
      </c>
      <c r="G56" s="110">
        <f t="shared" si="46"/>
        <v>154.91547721410149</v>
      </c>
      <c r="H56" s="110">
        <f t="shared" si="46"/>
        <v>166.00601891659502</v>
      </c>
      <c r="I56" s="110">
        <f t="shared" si="46"/>
        <v>171.01530524505588</v>
      </c>
      <c r="J56" s="110">
        <f t="shared" si="46"/>
        <v>142.80670679277731</v>
      </c>
      <c r="K56" s="110">
        <f t="shared" si="46"/>
        <v>147.48890799656064</v>
      </c>
      <c r="L56" s="110">
        <f t="shared" si="46"/>
        <v>169.1519346517627</v>
      </c>
      <c r="M56" s="110">
        <f t="shared" si="46"/>
        <v>160.56319862424763</v>
      </c>
      <c r="N56" s="110">
        <f t="shared" si="46"/>
        <v>149.61152192605331</v>
      </c>
      <c r="O56" s="110">
        <f t="shared" si="46"/>
        <v>148.02682717110918</v>
      </c>
      <c r="P56" s="110">
        <f t="shared" si="46"/>
        <v>130.03069647463457</v>
      </c>
      <c r="Q56" s="110">
        <f t="shared" si="46"/>
        <v>131.69226139294926</v>
      </c>
      <c r="R56" s="110">
        <f t="shared" ref="R56:V56" si="47">R57+R58</f>
        <v>123.51693895098879</v>
      </c>
      <c r="S56" s="110">
        <f t="shared" si="47"/>
        <v>127.90524505588994</v>
      </c>
      <c r="T56" s="110">
        <f t="shared" si="47"/>
        <v>127.84883920894238</v>
      </c>
      <c r="U56" s="110">
        <f t="shared" si="47"/>
        <v>131.93860705073089</v>
      </c>
      <c r="V56" s="110">
        <f t="shared" si="47"/>
        <v>112.58555460017197</v>
      </c>
      <c r="W56" s="110">
        <f t="shared" ref="W56:Y56" si="48">W57+W58</f>
        <v>117.37687016337057</v>
      </c>
      <c r="X56" s="110">
        <f t="shared" si="48"/>
        <v>113.53559759243336</v>
      </c>
      <c r="Y56" s="110">
        <f t="shared" si="48"/>
        <v>105.40558899398106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138.80776418512909</v>
      </c>
      <c r="C57" s="102">
        <f>TrNavi_ene!C4</f>
        <v>128.78717148522759</v>
      </c>
      <c r="D57" s="102">
        <f>TrNavi_ene!D4</f>
        <v>134.25698258475603</v>
      </c>
      <c r="E57" s="102">
        <f>TrNavi_ene!E4</f>
        <v>134.48847025712769</v>
      </c>
      <c r="F57" s="102">
        <f>TrNavi_ene!F4</f>
        <v>126.2403391873324</v>
      </c>
      <c r="G57" s="102">
        <f>TrNavi_ene!G4</f>
        <v>133.96795048039189</v>
      </c>
      <c r="H57" s="102">
        <f>TrNavi_ene!H4</f>
        <v>149.24006549728927</v>
      </c>
      <c r="I57" s="102">
        <f>TrNavi_ene!I4</f>
        <v>146.90287043202582</v>
      </c>
      <c r="J57" s="102">
        <f>TrNavi_ene!J4</f>
        <v>129.55163859506902</v>
      </c>
      <c r="K57" s="102">
        <f>TrNavi_ene!K4</f>
        <v>134.49025854431903</v>
      </c>
      <c r="L57" s="102">
        <f>TrNavi_ene!L4</f>
        <v>160.27087596806291</v>
      </c>
      <c r="M57" s="102">
        <f>TrNavi_ene!M4</f>
        <v>151.54772511852462</v>
      </c>
      <c r="N57" s="102">
        <f>TrNavi_ene!N4</f>
        <v>132.49133783453291</v>
      </c>
      <c r="O57" s="102">
        <f>TrNavi_ene!O4</f>
        <v>125.67074067197981</v>
      </c>
      <c r="P57" s="102">
        <f>TrNavi_ene!P4</f>
        <v>113.13041591887469</v>
      </c>
      <c r="Q57" s="102">
        <f>TrNavi_ene!Q4</f>
        <v>117.08620269542857</v>
      </c>
      <c r="R57" s="102">
        <f>TrNavi_ene!R4</f>
        <v>113.45175099405273</v>
      </c>
      <c r="S57" s="102">
        <f>TrNavi_ene!S4</f>
        <v>116.98309521080039</v>
      </c>
      <c r="T57" s="102">
        <f>TrNavi_ene!T4</f>
        <v>118.90971039266283</v>
      </c>
      <c r="U57" s="102">
        <f>TrNavi_ene!U4</f>
        <v>125.92543978621806</v>
      </c>
      <c r="V57" s="102">
        <f>TrNavi_ene!V4</f>
        <v>102.48703357698069</v>
      </c>
      <c r="W57" s="102">
        <f>TrNavi_ene!W4</f>
        <v>99.837856802013377</v>
      </c>
      <c r="X57" s="102">
        <f>TrNavi_ene!X4</f>
        <v>98.521506471621166</v>
      </c>
      <c r="Y57" s="102">
        <f>TrNavi_ene!Y4</f>
        <v>85.21448818384205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23.06764424135411</v>
      </c>
      <c r="C58" s="169">
        <f>TrNavi_ene!C10</f>
        <v>19.299672882786126</v>
      </c>
      <c r="D58" s="169">
        <f>TrNavi_ene!D10</f>
        <v>19.71980159409177</v>
      </c>
      <c r="E58" s="169">
        <f>TrNavi_ene!E10</f>
        <v>24.396654420430352</v>
      </c>
      <c r="F58" s="169">
        <f>TrNavi_ene!F10</f>
        <v>26.609531835883427</v>
      </c>
      <c r="G58" s="169">
        <f>TrNavi_ene!G10</f>
        <v>20.947526733709608</v>
      </c>
      <c r="H58" s="169">
        <f>TrNavi_ene!H10</f>
        <v>16.765953419305749</v>
      </c>
      <c r="I58" s="169">
        <f>TrNavi_ene!I10</f>
        <v>24.11243481303006</v>
      </c>
      <c r="J58" s="169">
        <f>TrNavi_ene!J10</f>
        <v>13.255068197708288</v>
      </c>
      <c r="K58" s="169">
        <f>TrNavi_ene!K10</f>
        <v>12.998649452241596</v>
      </c>
      <c r="L58" s="169">
        <f>TrNavi_ene!L10</f>
        <v>8.8810586836997878</v>
      </c>
      <c r="M58" s="169">
        <f>TrNavi_ene!M10</f>
        <v>9.0154735057230067</v>
      </c>
      <c r="N58" s="169">
        <f>TrNavi_ene!N10</f>
        <v>17.120184091520404</v>
      </c>
      <c r="O58" s="169">
        <f>TrNavi_ene!O10</f>
        <v>22.356086499129351</v>
      </c>
      <c r="P58" s="169">
        <f>TrNavi_ene!P10</f>
        <v>16.900280555759871</v>
      </c>
      <c r="Q58" s="169">
        <f>TrNavi_ene!Q10</f>
        <v>14.60605869752068</v>
      </c>
      <c r="R58" s="169">
        <f>TrNavi_ene!R10</f>
        <v>10.065187956936064</v>
      </c>
      <c r="S58" s="169">
        <f>TrNavi_ene!S10</f>
        <v>10.922149845089551</v>
      </c>
      <c r="T58" s="169">
        <f>TrNavi_ene!T10</f>
        <v>8.9391288162795437</v>
      </c>
      <c r="U58" s="169">
        <f>TrNavi_ene!U10</f>
        <v>6.013167264512818</v>
      </c>
      <c r="V58" s="169">
        <f>TrNavi_ene!V10</f>
        <v>10.098521023191276</v>
      </c>
      <c r="W58" s="169">
        <f>TrNavi_ene!W10</f>
        <v>17.539013361357195</v>
      </c>
      <c r="X58" s="169">
        <f>TrNavi_ene!X10</f>
        <v>15.014091120812189</v>
      </c>
      <c r="Y58" s="169">
        <f>TrNavi_ene!Y10</f>
        <v>20.191100810139009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678.02141014617359</v>
      </c>
      <c r="C59" s="28">
        <f t="shared" ref="C59:W59" si="49">C60+C61</f>
        <v>579.73155631986242</v>
      </c>
      <c r="D59" s="28">
        <f t="shared" si="49"/>
        <v>650.55889939810834</v>
      </c>
      <c r="E59" s="28">
        <f t="shared" si="49"/>
        <v>646.26921754084265</v>
      </c>
      <c r="F59" s="28">
        <f t="shared" si="49"/>
        <v>519.32269991401552</v>
      </c>
      <c r="G59" s="28">
        <f t="shared" si="49"/>
        <v>510.48779019776441</v>
      </c>
      <c r="H59" s="28">
        <f t="shared" si="49"/>
        <v>561.98177128116936</v>
      </c>
      <c r="I59" s="28">
        <f t="shared" si="49"/>
        <v>461.4760103181427</v>
      </c>
      <c r="J59" s="28">
        <f t="shared" si="49"/>
        <v>403.14135855545987</v>
      </c>
      <c r="K59" s="28">
        <f t="shared" si="49"/>
        <v>250.45614789337915</v>
      </c>
      <c r="L59" s="28">
        <f t="shared" si="49"/>
        <v>212.99415305245054</v>
      </c>
      <c r="M59" s="28">
        <f t="shared" si="49"/>
        <v>201.22201203783322</v>
      </c>
      <c r="N59" s="28">
        <f t="shared" si="49"/>
        <v>123.22854686156491</v>
      </c>
      <c r="O59" s="28">
        <f t="shared" si="49"/>
        <v>130.46423043852104</v>
      </c>
      <c r="P59" s="28">
        <f t="shared" si="49"/>
        <v>96.735081685296649</v>
      </c>
      <c r="Q59" s="28">
        <f t="shared" si="49"/>
        <v>295.95769561478926</v>
      </c>
      <c r="R59" s="28">
        <f t="shared" si="49"/>
        <v>286.54849527085128</v>
      </c>
      <c r="S59" s="28">
        <f t="shared" si="49"/>
        <v>354.47214101461725</v>
      </c>
      <c r="T59" s="28">
        <f t="shared" si="49"/>
        <v>326.06552020636286</v>
      </c>
      <c r="U59" s="28">
        <f t="shared" si="49"/>
        <v>335.77781599312118</v>
      </c>
      <c r="V59" s="28">
        <f t="shared" si="49"/>
        <v>308.87386070507301</v>
      </c>
      <c r="W59" s="28">
        <f t="shared" si="49"/>
        <v>280.56311263972475</v>
      </c>
      <c r="X59" s="28">
        <f t="shared" ref="X59:Y59" si="50">X60+X61</f>
        <v>337.27549441100609</v>
      </c>
      <c r="Y59" s="28">
        <f t="shared" si="50"/>
        <v>285.44350816852966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402.91239797889062</v>
      </c>
      <c r="C60" s="102">
        <f>MBunk_ene!C$4</f>
        <v>329.82999266008818</v>
      </c>
      <c r="D60" s="102">
        <f>MBunk_ene!D$4</f>
        <v>364.51313191274471</v>
      </c>
      <c r="E60" s="102">
        <f>MBunk_ene!E$4</f>
        <v>353.33196989040141</v>
      </c>
      <c r="F60" s="102">
        <f>MBunk_ene!F$4</f>
        <v>285.78806666013617</v>
      </c>
      <c r="G60" s="102">
        <f>MBunk_ene!G$4</f>
        <v>283.47943975604221</v>
      </c>
      <c r="H60" s="102">
        <f>MBunk_ene!H$4</f>
        <v>318.06018821574298</v>
      </c>
      <c r="I60" s="102">
        <f>MBunk_ene!I$4</f>
        <v>260.03123488659128</v>
      </c>
      <c r="J60" s="102">
        <f>MBunk_ene!J$4</f>
        <v>226.23715295906436</v>
      </c>
      <c r="K60" s="102">
        <f>MBunk_ene!K$4</f>
        <v>134.74197067405564</v>
      </c>
      <c r="L60" s="102">
        <f>MBunk_ene!L$4</f>
        <v>117.98810253875838</v>
      </c>
      <c r="M60" s="102">
        <f>MBunk_ene!M$4</f>
        <v>109.50732769521989</v>
      </c>
      <c r="N60" s="102">
        <f>MBunk_ene!N$4</f>
        <v>68.119050085682744</v>
      </c>
      <c r="O60" s="102">
        <f>MBunk_ene!O$4</f>
        <v>71.305621029490297</v>
      </c>
      <c r="P60" s="102">
        <f>MBunk_ene!P$4</f>
        <v>52.026886774481838</v>
      </c>
      <c r="Q60" s="102">
        <f>MBunk_ene!Q$4</f>
        <v>168.17012177618597</v>
      </c>
      <c r="R60" s="102">
        <f>MBunk_ene!R$4</f>
        <v>159.46174258010234</v>
      </c>
      <c r="S60" s="102">
        <f>MBunk_ene!S$4</f>
        <v>200.09379366432776</v>
      </c>
      <c r="T60" s="102">
        <f>MBunk_ene!T$4</f>
        <v>182.43479442868141</v>
      </c>
      <c r="U60" s="102">
        <f>MBunk_ene!U$4</f>
        <v>185.9509725777481</v>
      </c>
      <c r="V60" s="102">
        <f>MBunk_ene!V$4</f>
        <v>160.84288766025347</v>
      </c>
      <c r="W60" s="102">
        <f>MBunk_ene!W$4</f>
        <v>147.00673729195083</v>
      </c>
      <c r="X60" s="102">
        <f>MBunk_ene!X$4</f>
        <v>196.14727372226625</v>
      </c>
      <c r="Y60" s="102">
        <f>MBunk_ene!Y$4</f>
        <v>177.07368677328557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275.10901216728303</v>
      </c>
      <c r="C61" s="86">
        <f>MBunk_ene!C$10</f>
        <v>249.90156365977424</v>
      </c>
      <c r="D61" s="86">
        <f>MBunk_ene!D$10</f>
        <v>286.04576748536363</v>
      </c>
      <c r="E61" s="86">
        <f>MBunk_ene!E$10</f>
        <v>292.93724765044118</v>
      </c>
      <c r="F61" s="86">
        <f>MBunk_ene!F$10</f>
        <v>233.53463325387935</v>
      </c>
      <c r="G61" s="86">
        <f>MBunk_ene!G$10</f>
        <v>227.0083504417222</v>
      </c>
      <c r="H61" s="86">
        <f>MBunk_ene!H$10</f>
        <v>243.92158306542643</v>
      </c>
      <c r="I61" s="86">
        <f>MBunk_ene!I$10</f>
        <v>201.44477543155142</v>
      </c>
      <c r="J61" s="86">
        <f>MBunk_ene!J$10</f>
        <v>176.90420559639554</v>
      </c>
      <c r="K61" s="86">
        <f>MBunk_ene!K$10</f>
        <v>115.71417721932352</v>
      </c>
      <c r="L61" s="86">
        <f>MBunk_ene!L$10</f>
        <v>95.006050513692173</v>
      </c>
      <c r="M61" s="86">
        <f>MBunk_ene!M$10</f>
        <v>91.714684342613339</v>
      </c>
      <c r="N61" s="86">
        <f>MBunk_ene!N$10</f>
        <v>55.109496775882164</v>
      </c>
      <c r="O61" s="86">
        <f>MBunk_ene!O$10</f>
        <v>59.158609409030745</v>
      </c>
      <c r="P61" s="86">
        <f>MBunk_ene!P$10</f>
        <v>44.708194910814811</v>
      </c>
      <c r="Q61" s="86">
        <f>MBunk_ene!Q$10</f>
        <v>127.78757383860329</v>
      </c>
      <c r="R61" s="86">
        <f>MBunk_ene!R$10</f>
        <v>127.08675269074891</v>
      </c>
      <c r="S61" s="86">
        <f>MBunk_ene!S$10</f>
        <v>154.37834735028952</v>
      </c>
      <c r="T61" s="86">
        <f>MBunk_ene!T$10</f>
        <v>143.63072577768148</v>
      </c>
      <c r="U61" s="86">
        <f>MBunk_ene!U$10</f>
        <v>149.82684341537305</v>
      </c>
      <c r="V61" s="86">
        <f>MBunk_ene!V$10</f>
        <v>148.03097304481955</v>
      </c>
      <c r="W61" s="86">
        <f>MBunk_ene!W$10</f>
        <v>133.55637534777392</v>
      </c>
      <c r="X61" s="86">
        <f>MBunk_ene!X$10</f>
        <v>141.12822068873982</v>
      </c>
      <c r="Y61" s="86">
        <f>MBunk_ene!Y$10</f>
        <v>108.36982139524412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8343.5001227146113</v>
      </c>
      <c r="C64" s="28">
        <f t="shared" si="51"/>
        <v>8441.5127438561467</v>
      </c>
      <c r="D64" s="28">
        <f t="shared" si="51"/>
        <v>8552.0782586026926</v>
      </c>
      <c r="E64" s="28">
        <f t="shared" si="51"/>
        <v>8721.9602221638524</v>
      </c>
      <c r="F64" s="28">
        <f t="shared" si="51"/>
        <v>9063.7464777506739</v>
      </c>
      <c r="G64" s="28">
        <f t="shared" si="51"/>
        <v>9113.1035824527025</v>
      </c>
      <c r="H64" s="28">
        <f t="shared" si="51"/>
        <v>9415.0534828496111</v>
      </c>
      <c r="I64" s="28">
        <f t="shared" si="51"/>
        <v>9865.1593776946429</v>
      </c>
      <c r="J64" s="28">
        <f t="shared" si="51"/>
        <v>9626.5566552937707</v>
      </c>
      <c r="K64" s="28">
        <f t="shared" si="51"/>
        <v>9340.5633393328317</v>
      </c>
      <c r="L64" s="28">
        <f t="shared" si="51"/>
        <v>9581.7802974598908</v>
      </c>
      <c r="M64" s="28">
        <f t="shared" si="51"/>
        <v>9927.3085116974762</v>
      </c>
      <c r="N64" s="28">
        <f t="shared" si="51"/>
        <v>9788.9463078717363</v>
      </c>
      <c r="O64" s="28">
        <f t="shared" si="51"/>
        <v>9828.3058582809954</v>
      </c>
      <c r="P64" s="28">
        <f t="shared" si="51"/>
        <v>9275.7606531853071</v>
      </c>
      <c r="Q64" s="28">
        <f t="shared" si="51"/>
        <v>9405.7693535277467</v>
      </c>
      <c r="R64" s="28">
        <f t="shared" ref="R64:V64" si="52">R65+R69+R73</f>
        <v>9923.7765018988121</v>
      </c>
      <c r="S64" s="28">
        <f t="shared" si="52"/>
        <v>9712.6661332963959</v>
      </c>
      <c r="T64" s="28">
        <f t="shared" si="52"/>
        <v>10095.346943940163</v>
      </c>
      <c r="U64" s="28">
        <f t="shared" si="52"/>
        <v>9975.5940679737068</v>
      </c>
      <c r="V64" s="28">
        <f t="shared" si="52"/>
        <v>7661.6430154728241</v>
      </c>
      <c r="W64" s="28">
        <f t="shared" ref="W64:Y64" si="53">W65+W69+W73</f>
        <v>7261.8071685288651</v>
      </c>
      <c r="X64" s="28">
        <f t="shared" si="53"/>
        <v>7863.5779634616083</v>
      </c>
      <c r="Y64" s="28">
        <f t="shared" si="53"/>
        <v>8016.9380879447981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6907.6497242141995</v>
      </c>
      <c r="C65" s="137">
        <f t="shared" si="54"/>
        <v>6984.7135743411964</v>
      </c>
      <c r="D65" s="137">
        <f t="shared" si="54"/>
        <v>7153.5108356336605</v>
      </c>
      <c r="E65" s="137">
        <f t="shared" si="54"/>
        <v>7292.8076210882255</v>
      </c>
      <c r="F65" s="137">
        <f t="shared" si="54"/>
        <v>7472.4362572552427</v>
      </c>
      <c r="G65" s="137">
        <f t="shared" si="54"/>
        <v>7538.9129102504721</v>
      </c>
      <c r="H65" s="137">
        <f t="shared" si="54"/>
        <v>7715.1172433071551</v>
      </c>
      <c r="I65" s="137">
        <f t="shared" si="54"/>
        <v>7980.4741806054053</v>
      </c>
      <c r="J65" s="137">
        <f t="shared" si="54"/>
        <v>7608.8544328701664</v>
      </c>
      <c r="K65" s="137">
        <f t="shared" si="54"/>
        <v>7561.3914191643253</v>
      </c>
      <c r="L65" s="137">
        <f t="shared" si="54"/>
        <v>7723.1391817044587</v>
      </c>
      <c r="M65" s="137">
        <f t="shared" si="54"/>
        <v>7743.5170123423204</v>
      </c>
      <c r="N65" s="137">
        <f t="shared" si="54"/>
        <v>7721.3409754751519</v>
      </c>
      <c r="O65" s="137">
        <f t="shared" si="54"/>
        <v>7740.0248264914844</v>
      </c>
      <c r="P65" s="137">
        <f t="shared" si="54"/>
        <v>7206.831142069871</v>
      </c>
      <c r="Q65" s="137">
        <f t="shared" si="54"/>
        <v>7303.9440980704794</v>
      </c>
      <c r="R65" s="137">
        <f t="shared" ref="R65:V65" si="55">R66+R67+R68</f>
        <v>7815.3490322538491</v>
      </c>
      <c r="S65" s="137">
        <f t="shared" si="55"/>
        <v>7483.6779020170816</v>
      </c>
      <c r="T65" s="137">
        <f t="shared" si="55"/>
        <v>7556.9682208795857</v>
      </c>
      <c r="U65" s="137">
        <f t="shared" si="55"/>
        <v>7284.2902630253557</v>
      </c>
      <c r="V65" s="137">
        <f t="shared" si="55"/>
        <v>6737.5210710139481</v>
      </c>
      <c r="W65" s="137">
        <f t="shared" ref="W65:Y65" si="56">W66+W67+W68</f>
        <v>6366.8791889093645</v>
      </c>
      <c r="X65" s="137">
        <f t="shared" si="56"/>
        <v>6148.8556650683313</v>
      </c>
      <c r="Y65" s="137">
        <f t="shared" si="56"/>
        <v>6039.6516170241812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114.53783238478759</v>
      </c>
      <c r="C66" s="102">
        <f>TrRoad_emi!C$19</f>
        <v>113.04899959040304</v>
      </c>
      <c r="D66" s="102">
        <f>TrRoad_emi!D$19</f>
        <v>111.37890586166816</v>
      </c>
      <c r="E66" s="102">
        <f>TrRoad_emi!E$19</f>
        <v>109.47296158887876</v>
      </c>
      <c r="F66" s="102">
        <f>TrRoad_emi!F$19</f>
        <v>108.02844760039748</v>
      </c>
      <c r="G66" s="102">
        <f>TrRoad_emi!G$19</f>
        <v>106.95540035452095</v>
      </c>
      <c r="H66" s="102">
        <f>TrRoad_emi!H$19</f>
        <v>105.74508157744442</v>
      </c>
      <c r="I66" s="102">
        <f>TrRoad_emi!I$19</f>
        <v>105.0478850625514</v>
      </c>
      <c r="J66" s="102">
        <f>TrRoad_emi!J$19</f>
        <v>99.756716895464436</v>
      </c>
      <c r="K66" s="102">
        <f>TrRoad_emi!K$19</f>
        <v>97.512804867067317</v>
      </c>
      <c r="L66" s="102">
        <f>TrRoad_emi!L$19</f>
        <v>127.43997390273734</v>
      </c>
      <c r="M66" s="102">
        <f>TrRoad_emi!M$19</f>
        <v>124.20143779650051</v>
      </c>
      <c r="N66" s="102">
        <f>TrRoad_emi!N$19</f>
        <v>121.83445270692583</v>
      </c>
      <c r="O66" s="102">
        <f>TrRoad_emi!O$19</f>
        <v>122.94522743877765</v>
      </c>
      <c r="P66" s="102">
        <f>TrRoad_emi!P$19</f>
        <v>121.07027354406188</v>
      </c>
      <c r="Q66" s="102">
        <f>TrRoad_emi!Q$19</f>
        <v>120.10006614530427</v>
      </c>
      <c r="R66" s="102">
        <f>TrRoad_emi!R$19</f>
        <v>122.14360568152861</v>
      </c>
      <c r="S66" s="102">
        <f>TrRoad_emi!S$19</f>
        <v>113.10314254722104</v>
      </c>
      <c r="T66" s="102">
        <f>TrRoad_emi!T$19</f>
        <v>106.56111743788328</v>
      </c>
      <c r="U66" s="102">
        <f>TrRoad_emi!U$19</f>
        <v>111.68311960153841</v>
      </c>
      <c r="V66" s="102">
        <f>TrRoad_emi!V$19</f>
        <v>98.422895676511416</v>
      </c>
      <c r="W66" s="102">
        <f>TrRoad_emi!W$19</f>
        <v>99.892895014253668</v>
      </c>
      <c r="X66" s="102">
        <f>TrRoad_emi!X$19</f>
        <v>99.047012577536506</v>
      </c>
      <c r="Y66" s="102">
        <f>TrRoad_emi!Y$19</f>
        <v>104.58738316176776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6118.0519906083973</v>
      </c>
      <c r="C67" s="102">
        <f>TrRoad_emi!C$20</f>
        <v>6210.3833348604931</v>
      </c>
      <c r="D67" s="102">
        <f>TrRoad_emi!D$20</f>
        <v>6374.8948450054695</v>
      </c>
      <c r="E67" s="102">
        <f>TrRoad_emi!E$20</f>
        <v>6497.5113216944046</v>
      </c>
      <c r="F67" s="102">
        <f>TrRoad_emi!F$20</f>
        <v>6652.5393106621386</v>
      </c>
      <c r="G67" s="102">
        <f>TrRoad_emi!G$20</f>
        <v>6729.5479760643721</v>
      </c>
      <c r="H67" s="102">
        <f>TrRoad_emi!H$20</f>
        <v>6881.7719028902548</v>
      </c>
      <c r="I67" s="102">
        <f>TrRoad_emi!I$20</f>
        <v>7119.9530448411215</v>
      </c>
      <c r="J67" s="102">
        <f>TrRoad_emi!J$20</f>
        <v>6754.901882751431</v>
      </c>
      <c r="K67" s="102">
        <f>TrRoad_emi!K$20</f>
        <v>6697.5806116627073</v>
      </c>
      <c r="L67" s="102">
        <f>TrRoad_emi!L$20</f>
        <v>6793.4664489687175</v>
      </c>
      <c r="M67" s="102">
        <f>TrRoad_emi!M$20</f>
        <v>6811.6606964915027</v>
      </c>
      <c r="N67" s="102">
        <f>TrRoad_emi!N$20</f>
        <v>6756.6748890335593</v>
      </c>
      <c r="O67" s="102">
        <f>TrRoad_emi!O$20</f>
        <v>6765.8463414505604</v>
      </c>
      <c r="P67" s="102">
        <f>TrRoad_emi!P$20</f>
        <v>6313.0650054927464</v>
      </c>
      <c r="Q67" s="102">
        <f>TrRoad_emi!Q$20</f>
        <v>6381.4846895213886</v>
      </c>
      <c r="R67" s="102">
        <f>TrRoad_emi!R$20</f>
        <v>6692.4676713390372</v>
      </c>
      <c r="S67" s="102">
        <f>TrRoad_emi!S$20</f>
        <v>6451.6472213006873</v>
      </c>
      <c r="T67" s="102">
        <f>TrRoad_emi!T$20</f>
        <v>6526.8745040919657</v>
      </c>
      <c r="U67" s="102">
        <f>TrRoad_emi!U$20</f>
        <v>6305.4717919249097</v>
      </c>
      <c r="V67" s="102">
        <f>TrRoad_emi!V$20</f>
        <v>5885.7167567355518</v>
      </c>
      <c r="W67" s="102">
        <f>TrRoad_emi!W$20</f>
        <v>5661.1604879579454</v>
      </c>
      <c r="X67" s="102">
        <f>TrRoad_emi!X$20</f>
        <v>5369.4016581523583</v>
      </c>
      <c r="Y67" s="102">
        <f>TrRoad_emi!Y$20</f>
        <v>5240.9193050325321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675.05990122101514</v>
      </c>
      <c r="C68" s="102">
        <f>TrRoad_emi!C$27</f>
        <v>661.28123989030064</v>
      </c>
      <c r="D68" s="102">
        <f>TrRoad_emi!D$27</f>
        <v>667.237084766522</v>
      </c>
      <c r="E68" s="102">
        <f>TrRoad_emi!E$27</f>
        <v>685.82333780494173</v>
      </c>
      <c r="F68" s="102">
        <f>TrRoad_emi!F$27</f>
        <v>711.86849899270658</v>
      </c>
      <c r="G68" s="102">
        <f>TrRoad_emi!G$27</f>
        <v>702.40953383157876</v>
      </c>
      <c r="H68" s="102">
        <f>TrRoad_emi!H$27</f>
        <v>727.60025883945605</v>
      </c>
      <c r="I68" s="102">
        <f>TrRoad_emi!I$27</f>
        <v>755.47325070173235</v>
      </c>
      <c r="J68" s="102">
        <f>TrRoad_emi!J$27</f>
        <v>754.19583322327026</v>
      </c>
      <c r="K68" s="102">
        <f>TrRoad_emi!K$27</f>
        <v>766.29800263455024</v>
      </c>
      <c r="L68" s="102">
        <f>TrRoad_emi!L$27</f>
        <v>802.2327588330038</v>
      </c>
      <c r="M68" s="102">
        <f>TrRoad_emi!M$27</f>
        <v>807.65487805431712</v>
      </c>
      <c r="N68" s="102">
        <f>TrRoad_emi!N$27</f>
        <v>842.83163373466732</v>
      </c>
      <c r="O68" s="102">
        <f>TrRoad_emi!O$27</f>
        <v>851.23325760214595</v>
      </c>
      <c r="P68" s="102">
        <f>TrRoad_emi!P$27</f>
        <v>772.69586303306266</v>
      </c>
      <c r="Q68" s="102">
        <f>TrRoad_emi!Q$27</f>
        <v>802.35934240378663</v>
      </c>
      <c r="R68" s="102">
        <f>TrRoad_emi!R$27</f>
        <v>1000.7377552332836</v>
      </c>
      <c r="S68" s="102">
        <f>TrRoad_emi!S$27</f>
        <v>918.92753816917332</v>
      </c>
      <c r="T68" s="102">
        <f>TrRoad_emi!T$27</f>
        <v>923.53259934973664</v>
      </c>
      <c r="U68" s="102">
        <f>TrRoad_emi!U$27</f>
        <v>867.13535149890799</v>
      </c>
      <c r="V68" s="102">
        <f>TrRoad_emi!V$27</f>
        <v>753.381418601885</v>
      </c>
      <c r="W68" s="102">
        <f>TrRoad_emi!W$27</f>
        <v>605.82580593716602</v>
      </c>
      <c r="X68" s="102">
        <f>TrRoad_emi!X$27</f>
        <v>680.40699433843702</v>
      </c>
      <c r="Y68" s="102">
        <f>TrRoad_emi!Y$27</f>
        <v>694.14492882988156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51.194780438794844</v>
      </c>
      <c r="C69" s="110">
        <f t="shared" si="57"/>
        <v>44.621513432695345</v>
      </c>
      <c r="D69" s="110">
        <f t="shared" si="57"/>
        <v>44.946994974599384</v>
      </c>
      <c r="E69" s="110">
        <f t="shared" si="57"/>
        <v>46.358012161476466</v>
      </c>
      <c r="F69" s="110">
        <f t="shared" si="57"/>
        <v>44.765425804411585</v>
      </c>
      <c r="G69" s="110">
        <f t="shared" si="57"/>
        <v>38.780858708289415</v>
      </c>
      <c r="H69" s="110">
        <f t="shared" si="57"/>
        <v>39.795382926260018</v>
      </c>
      <c r="I69" s="110">
        <f t="shared" si="57"/>
        <v>32.382634806020043</v>
      </c>
      <c r="J69" s="110">
        <f t="shared" si="57"/>
        <v>33.269349442003929</v>
      </c>
      <c r="K69" s="110">
        <f t="shared" si="57"/>
        <v>27.699296929915214</v>
      </c>
      <c r="L69" s="110">
        <f t="shared" si="57"/>
        <v>30.855555528028603</v>
      </c>
      <c r="M69" s="110">
        <f t="shared" si="57"/>
        <v>34.091543492487702</v>
      </c>
      <c r="N69" s="110">
        <f t="shared" si="57"/>
        <v>29.942662018845414</v>
      </c>
      <c r="O69" s="110">
        <f t="shared" si="57"/>
        <v>25.042097930748586</v>
      </c>
      <c r="P69" s="110">
        <f t="shared" si="57"/>
        <v>28.673989108585182</v>
      </c>
      <c r="Q69" s="110">
        <f t="shared" si="57"/>
        <v>29.281351167788657</v>
      </c>
      <c r="R69" s="110">
        <f t="shared" ref="R69:V69" si="58">R70+R71+R72</f>
        <v>25.181516932829865</v>
      </c>
      <c r="S69" s="110">
        <f t="shared" si="58"/>
        <v>27.118373372949247</v>
      </c>
      <c r="T69" s="110">
        <f t="shared" si="58"/>
        <v>20.564677724409357</v>
      </c>
      <c r="U69" s="110">
        <f t="shared" si="58"/>
        <v>14.486374707287636</v>
      </c>
      <c r="V69" s="110">
        <f t="shared" si="58"/>
        <v>13.131395812024918</v>
      </c>
      <c r="W69" s="110">
        <f t="shared" ref="W69:Y69" si="59">W70+W71+W72</f>
        <v>11.71836615788515</v>
      </c>
      <c r="X69" s="110">
        <f t="shared" si="59"/>
        <v>14.155601818257871</v>
      </c>
      <c r="Y69" s="110">
        <f t="shared" si="59"/>
        <v>14.905860902799889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51.194780438794844</v>
      </c>
      <c r="C71" s="102">
        <f>TrRail_emi!C$11</f>
        <v>44.621513432695345</v>
      </c>
      <c r="D71" s="102">
        <f>TrRail_emi!D$11</f>
        <v>44.946994974599384</v>
      </c>
      <c r="E71" s="102">
        <f>TrRail_emi!E$11</f>
        <v>46.358012161476466</v>
      </c>
      <c r="F71" s="102">
        <f>TrRail_emi!F$11</f>
        <v>44.765425804411585</v>
      </c>
      <c r="G71" s="102">
        <f>TrRail_emi!G$11</f>
        <v>38.780858708289415</v>
      </c>
      <c r="H71" s="102">
        <f>TrRail_emi!H$11</f>
        <v>39.795382926260018</v>
      </c>
      <c r="I71" s="102">
        <f>TrRail_emi!I$11</f>
        <v>32.382634806020043</v>
      </c>
      <c r="J71" s="102">
        <f>TrRail_emi!J$11</f>
        <v>33.269349442003929</v>
      </c>
      <c r="K71" s="102">
        <f>TrRail_emi!K$11</f>
        <v>27.699296929915214</v>
      </c>
      <c r="L71" s="102">
        <f>TrRail_emi!L$11</f>
        <v>30.855555528028603</v>
      </c>
      <c r="M71" s="102">
        <f>TrRail_emi!M$11</f>
        <v>34.091543492487702</v>
      </c>
      <c r="N71" s="102">
        <f>TrRail_emi!N$11</f>
        <v>29.942662018845414</v>
      </c>
      <c r="O71" s="102">
        <f>TrRail_emi!O$11</f>
        <v>25.042097930748586</v>
      </c>
      <c r="P71" s="102">
        <f>TrRail_emi!P$11</f>
        <v>28.673989108585182</v>
      </c>
      <c r="Q71" s="102">
        <f>TrRail_emi!Q$11</f>
        <v>29.281351167788657</v>
      </c>
      <c r="R71" s="102">
        <f>TrRail_emi!R$11</f>
        <v>25.181516932829865</v>
      </c>
      <c r="S71" s="102">
        <f>TrRail_emi!S$11</f>
        <v>27.118373372949247</v>
      </c>
      <c r="T71" s="102">
        <f>TrRail_emi!T$11</f>
        <v>20.564677724409357</v>
      </c>
      <c r="U71" s="102">
        <f>TrRail_emi!U$11</f>
        <v>14.486374707287636</v>
      </c>
      <c r="V71" s="102">
        <f>TrRail_emi!V$11</f>
        <v>13.131395812024918</v>
      </c>
      <c r="W71" s="102">
        <f>TrRail_emi!W$11</f>
        <v>11.71836615788515</v>
      </c>
      <c r="X71" s="102">
        <f>TrRail_emi!X$11</f>
        <v>14.155601818257871</v>
      </c>
      <c r="Y71" s="102">
        <f>TrRail_emi!Y$11</f>
        <v>14.905860902799889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1384.6556180616178</v>
      </c>
      <c r="C73" s="110">
        <f t="shared" si="60"/>
        <v>1412.1776560822539</v>
      </c>
      <c r="D73" s="110">
        <f t="shared" si="60"/>
        <v>1353.6204279944334</v>
      </c>
      <c r="E73" s="110">
        <f t="shared" si="60"/>
        <v>1382.7945889141495</v>
      </c>
      <c r="F73" s="110">
        <f t="shared" si="60"/>
        <v>1546.5447946910199</v>
      </c>
      <c r="G73" s="110">
        <f t="shared" si="60"/>
        <v>1535.4098134939418</v>
      </c>
      <c r="H73" s="110">
        <f t="shared" si="60"/>
        <v>1660.1408566161963</v>
      </c>
      <c r="I73" s="110">
        <f t="shared" si="60"/>
        <v>1852.3025622832172</v>
      </c>
      <c r="J73" s="110">
        <f t="shared" si="60"/>
        <v>1984.4328729816016</v>
      </c>
      <c r="K73" s="110">
        <f t="shared" si="60"/>
        <v>1751.4726232385901</v>
      </c>
      <c r="L73" s="110">
        <f t="shared" si="60"/>
        <v>1827.7855602274035</v>
      </c>
      <c r="M73" s="110">
        <f t="shared" si="60"/>
        <v>2149.699955862668</v>
      </c>
      <c r="N73" s="110">
        <f t="shared" si="60"/>
        <v>2037.6626703777392</v>
      </c>
      <c r="O73" s="110">
        <f t="shared" si="60"/>
        <v>2063.2389338587627</v>
      </c>
      <c r="P73" s="110">
        <f t="shared" si="60"/>
        <v>2040.2555220068509</v>
      </c>
      <c r="Q73" s="110">
        <f t="shared" si="60"/>
        <v>2072.5439042894777</v>
      </c>
      <c r="R73" s="110">
        <f t="shared" ref="R73:V73" si="61">R74+R75+R76</f>
        <v>2083.2459527121327</v>
      </c>
      <c r="S73" s="110">
        <f t="shared" si="61"/>
        <v>2201.8698579063657</v>
      </c>
      <c r="T73" s="110">
        <f t="shared" si="61"/>
        <v>2517.814045336168</v>
      </c>
      <c r="U73" s="110">
        <f t="shared" si="61"/>
        <v>2676.8174302410634</v>
      </c>
      <c r="V73" s="110">
        <f t="shared" si="61"/>
        <v>910.99054864685195</v>
      </c>
      <c r="W73" s="110">
        <f t="shared" ref="W73:Y73" si="62">W74+W75+W76</f>
        <v>883.20961346161562</v>
      </c>
      <c r="X73" s="110">
        <f t="shared" si="62"/>
        <v>1700.5666965750186</v>
      </c>
      <c r="Y73" s="110">
        <f t="shared" si="62"/>
        <v>1962.3806100178176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368.79562023238708</v>
      </c>
      <c r="C74" s="102">
        <f>TrAvia_emi!C$7</f>
        <v>363.66713721328205</v>
      </c>
      <c r="D74" s="102">
        <f>TrAvia_emi!D$7</f>
        <v>317.39174639010747</v>
      </c>
      <c r="E74" s="102">
        <f>TrAvia_emi!E$7</f>
        <v>317.9836094386003</v>
      </c>
      <c r="F74" s="102">
        <f>TrAvia_emi!F$7</f>
        <v>324.20160403766204</v>
      </c>
      <c r="G74" s="102">
        <f>TrAvia_emi!G$7</f>
        <v>308.8661293735031</v>
      </c>
      <c r="H74" s="102">
        <f>TrAvia_emi!H$7</f>
        <v>293.37697798464916</v>
      </c>
      <c r="I74" s="102">
        <f>TrAvia_emi!I$7</f>
        <v>275.12826634573946</v>
      </c>
      <c r="J74" s="102">
        <f>TrAvia_emi!J$7</f>
        <v>266.16720129667448</v>
      </c>
      <c r="K74" s="102">
        <f>TrAvia_emi!K$7</f>
        <v>241.30159212083757</v>
      </c>
      <c r="L74" s="102">
        <f>TrAvia_emi!L$7</f>
        <v>235.41736739297792</v>
      </c>
      <c r="M74" s="102">
        <f>TrAvia_emi!M$7</f>
        <v>263.52892906323513</v>
      </c>
      <c r="N74" s="102">
        <f>TrAvia_emi!N$7</f>
        <v>219.84914721124952</v>
      </c>
      <c r="O74" s="102">
        <f>TrAvia_emi!O$7</f>
        <v>188.91087505711849</v>
      </c>
      <c r="P74" s="102">
        <f>TrAvia_emi!P$7</f>
        <v>189.10736679572437</v>
      </c>
      <c r="Q74" s="102">
        <f>TrAvia_emi!Q$7</f>
        <v>182.91080638590302</v>
      </c>
      <c r="R74" s="102">
        <f>TrAvia_emi!R$7</f>
        <v>185.95177387065885</v>
      </c>
      <c r="S74" s="102">
        <f>TrAvia_emi!S$7</f>
        <v>192.34409277831674</v>
      </c>
      <c r="T74" s="102">
        <f>TrAvia_emi!T$7</f>
        <v>211.22131268382543</v>
      </c>
      <c r="U74" s="102">
        <f>TrAvia_emi!U$7</f>
        <v>201.85784997179005</v>
      </c>
      <c r="V74" s="102">
        <f>TrAvia_emi!V$7</f>
        <v>86.654498307182251</v>
      </c>
      <c r="W74" s="102">
        <f>TrAvia_emi!W$7</f>
        <v>77.438052105279851</v>
      </c>
      <c r="X74" s="102">
        <f>TrAvia_emi!X$7</f>
        <v>133.37096344289264</v>
      </c>
      <c r="Y74" s="102">
        <f>TrAvia_emi!Y$7</f>
        <v>133.35114711475015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691.9608260792528</v>
      </c>
      <c r="C75" s="102">
        <f>TrAvia_emi!C$8</f>
        <v>719.83610518440605</v>
      </c>
      <c r="D75" s="102">
        <f>TrAvia_emi!D$8</f>
        <v>675.64270187179136</v>
      </c>
      <c r="E75" s="102">
        <f>TrAvia_emi!E$8</f>
        <v>709.18907464831841</v>
      </c>
      <c r="F75" s="102">
        <f>TrAvia_emi!F$8</f>
        <v>800.9762642780687</v>
      </c>
      <c r="G75" s="102">
        <f>TrAvia_emi!G$8</f>
        <v>799.49888185724217</v>
      </c>
      <c r="H75" s="102">
        <f>TrAvia_emi!H$8</f>
        <v>908.3195618623688</v>
      </c>
      <c r="I75" s="102">
        <f>TrAvia_emi!I$8</f>
        <v>1060.4646997145103</v>
      </c>
      <c r="J75" s="102">
        <f>TrAvia_emi!J$8</f>
        <v>1150.9758197160265</v>
      </c>
      <c r="K75" s="102">
        <f>TrAvia_emi!K$8</f>
        <v>993.57796083454593</v>
      </c>
      <c r="L75" s="102">
        <f>TrAvia_emi!L$8</f>
        <v>1048.7829338287963</v>
      </c>
      <c r="M75" s="102">
        <f>TrAvia_emi!M$8</f>
        <v>1246.7332905045146</v>
      </c>
      <c r="N75" s="102">
        <f>TrAvia_emi!N$8</f>
        <v>1178.2488804323648</v>
      </c>
      <c r="O75" s="102">
        <f>TrAvia_emi!O$8</f>
        <v>1214.2904738123768</v>
      </c>
      <c r="P75" s="102">
        <f>TrAvia_emi!P$8</f>
        <v>1209.37392515024</v>
      </c>
      <c r="Q75" s="102">
        <f>TrAvia_emi!Q$8</f>
        <v>1243.624611671984</v>
      </c>
      <c r="R75" s="102">
        <f>TrAvia_emi!R$8</f>
        <v>1272.664625417362</v>
      </c>
      <c r="S75" s="102">
        <f>TrAvia_emi!S$8</f>
        <v>1368.0355981080602</v>
      </c>
      <c r="T75" s="102">
        <f>TrAvia_emi!T$8</f>
        <v>1567.5104522143331</v>
      </c>
      <c r="U75" s="102">
        <f>TrAvia_emi!U$8</f>
        <v>1668.263765000022</v>
      </c>
      <c r="V75" s="102">
        <f>TrAvia_emi!V$8</f>
        <v>499.94653636010889</v>
      </c>
      <c r="W75" s="102">
        <f>TrAvia_emi!W$8</f>
        <v>514.88128572700657</v>
      </c>
      <c r="X75" s="102">
        <f>TrAvia_emi!X$8</f>
        <v>1078.5160683755082</v>
      </c>
      <c r="Y75" s="102">
        <f>TrAvia_emi!Y$8</f>
        <v>1242.3577403360691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323.89917174997805</v>
      </c>
      <c r="C76" s="102">
        <f>TrAvia_emi!C$9</f>
        <v>328.67441368456565</v>
      </c>
      <c r="D76" s="102">
        <f>TrAvia_emi!D$9</f>
        <v>360.5859797325345</v>
      </c>
      <c r="E76" s="102">
        <f>TrAvia_emi!E$9</f>
        <v>355.62190482723071</v>
      </c>
      <c r="F76" s="102">
        <f>TrAvia_emi!F$9</f>
        <v>421.3669263752891</v>
      </c>
      <c r="G76" s="102">
        <f>TrAvia_emi!G$9</f>
        <v>427.0448022631964</v>
      </c>
      <c r="H76" s="102">
        <f>TrAvia_emi!H$9</f>
        <v>458.44431676917844</v>
      </c>
      <c r="I76" s="102">
        <f>TrAvia_emi!I$9</f>
        <v>516.70959622296755</v>
      </c>
      <c r="J76" s="102">
        <f>TrAvia_emi!J$9</f>
        <v>567.28985196890051</v>
      </c>
      <c r="K76" s="102">
        <f>TrAvia_emi!K$9</f>
        <v>516.59307028320643</v>
      </c>
      <c r="L76" s="102">
        <f>TrAvia_emi!L$9</f>
        <v>543.58525900562938</v>
      </c>
      <c r="M76" s="102">
        <f>TrAvia_emi!M$9</f>
        <v>639.43773629491841</v>
      </c>
      <c r="N76" s="102">
        <f>TrAvia_emi!N$9</f>
        <v>639.56464273412473</v>
      </c>
      <c r="O76" s="102">
        <f>TrAvia_emi!O$9</f>
        <v>660.03758498926732</v>
      </c>
      <c r="P76" s="102">
        <f>TrAvia_emi!P$9</f>
        <v>641.77423006088657</v>
      </c>
      <c r="Q76" s="102">
        <f>TrAvia_emi!Q$9</f>
        <v>646.0084862315905</v>
      </c>
      <c r="R76" s="102">
        <f>TrAvia_emi!R$9</f>
        <v>624.62955342411169</v>
      </c>
      <c r="S76" s="102">
        <f>TrAvia_emi!S$9</f>
        <v>641.4901670199888</v>
      </c>
      <c r="T76" s="102">
        <f>TrAvia_emi!T$9</f>
        <v>739.08228043800966</v>
      </c>
      <c r="U76" s="102">
        <f>TrAvia_emi!U$9</f>
        <v>806.6958152692514</v>
      </c>
      <c r="V76" s="102">
        <f>TrAvia_emi!V$9</f>
        <v>324.38951397956072</v>
      </c>
      <c r="W76" s="102">
        <f>TrAvia_emi!W$9</f>
        <v>290.89027562932915</v>
      </c>
      <c r="X76" s="102">
        <f>TrAvia_emi!X$9</f>
        <v>488.6796647566178</v>
      </c>
      <c r="Y76" s="102">
        <f>TrAvia_emi!Y$9</f>
        <v>586.67172256699837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4361.7647538853853</v>
      </c>
      <c r="C77" s="28">
        <f t="shared" si="63"/>
        <v>4414.6896963438521</v>
      </c>
      <c r="D77" s="28">
        <f t="shared" si="63"/>
        <v>4476.5545137973104</v>
      </c>
      <c r="E77" s="28">
        <f t="shared" si="63"/>
        <v>4527.9067655561494</v>
      </c>
      <c r="F77" s="28">
        <f t="shared" si="63"/>
        <v>4674.4305687693241</v>
      </c>
      <c r="G77" s="28">
        <f t="shared" si="63"/>
        <v>4653.6098861072951</v>
      </c>
      <c r="H77" s="28">
        <f t="shared" si="63"/>
        <v>4677.5192028303854</v>
      </c>
      <c r="I77" s="28">
        <f t="shared" si="63"/>
        <v>4796.7861723853548</v>
      </c>
      <c r="J77" s="28">
        <f t="shared" si="63"/>
        <v>4564.0260156262293</v>
      </c>
      <c r="K77" s="28">
        <f t="shared" si="63"/>
        <v>4069.132166907169</v>
      </c>
      <c r="L77" s="28">
        <f t="shared" si="63"/>
        <v>4423.2856312201093</v>
      </c>
      <c r="M77" s="28">
        <f t="shared" si="63"/>
        <v>4210.3420044434388</v>
      </c>
      <c r="N77" s="28">
        <f t="shared" si="63"/>
        <v>3982.4023437436977</v>
      </c>
      <c r="O77" s="28">
        <f t="shared" si="63"/>
        <v>3953.8790384292247</v>
      </c>
      <c r="P77" s="28">
        <f t="shared" si="63"/>
        <v>3340.6417820361817</v>
      </c>
      <c r="Q77" s="28">
        <f t="shared" si="63"/>
        <v>3240.7909957643315</v>
      </c>
      <c r="R77" s="28">
        <f t="shared" si="63"/>
        <v>3948.3888152977952</v>
      </c>
      <c r="S77" s="28">
        <f t="shared" si="63"/>
        <v>3648.8227009862567</v>
      </c>
      <c r="T77" s="28">
        <f t="shared" si="63"/>
        <v>3760.8417682658501</v>
      </c>
      <c r="U77" s="28">
        <f t="shared" si="63"/>
        <v>3667.0560073223369</v>
      </c>
      <c r="V77" s="28">
        <f t="shared" si="63"/>
        <v>3519.7172283797181</v>
      </c>
      <c r="W77" s="28">
        <f t="shared" si="63"/>
        <v>3438.4157463977253</v>
      </c>
      <c r="X77" s="28">
        <f t="shared" si="63"/>
        <v>3440.5013080987569</v>
      </c>
      <c r="Y77" s="28">
        <f t="shared" si="63"/>
        <v>3193.7227490970672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3731.1881538257981</v>
      </c>
      <c r="C78" s="137">
        <f t="shared" si="64"/>
        <v>3837.3689977388012</v>
      </c>
      <c r="D78" s="137">
        <f t="shared" si="64"/>
        <v>3887.4400458063428</v>
      </c>
      <c r="E78" s="137">
        <f t="shared" si="64"/>
        <v>3919.1714641917752</v>
      </c>
      <c r="F78" s="137">
        <f t="shared" si="64"/>
        <v>4070.7817883047555</v>
      </c>
      <c r="G78" s="137">
        <f t="shared" si="64"/>
        <v>4042.320785389526</v>
      </c>
      <c r="H78" s="137">
        <f t="shared" si="64"/>
        <v>4023.5229909328418</v>
      </c>
      <c r="I78" s="137">
        <f t="shared" si="64"/>
        <v>4141.0116658745919</v>
      </c>
      <c r="J78" s="137">
        <f t="shared" si="64"/>
        <v>4004.243564409835</v>
      </c>
      <c r="K78" s="137">
        <f t="shared" si="64"/>
        <v>3519.7781881556739</v>
      </c>
      <c r="L78" s="137">
        <f t="shared" si="64"/>
        <v>3806.1665479355411</v>
      </c>
      <c r="M78" s="137">
        <f t="shared" si="64"/>
        <v>3615.0693717585946</v>
      </c>
      <c r="N78" s="137">
        <f t="shared" si="64"/>
        <v>3414.6061614602813</v>
      </c>
      <c r="O78" s="137">
        <f t="shared" si="64"/>
        <v>3392.518558258736</v>
      </c>
      <c r="P78" s="137">
        <f t="shared" si="64"/>
        <v>2853.911285791618</v>
      </c>
      <c r="Q78" s="137">
        <f t="shared" si="64"/>
        <v>2762.5802849415977</v>
      </c>
      <c r="R78" s="137">
        <f t="shared" ref="R78:V78" si="65">R79+R80</f>
        <v>3496.2083144627577</v>
      </c>
      <c r="S78" s="137">
        <f t="shared" si="65"/>
        <v>3183.8117675855719</v>
      </c>
      <c r="T78" s="137">
        <f t="shared" si="65"/>
        <v>3284.5416919664276</v>
      </c>
      <c r="U78" s="137">
        <f t="shared" si="65"/>
        <v>3159.7336683506874</v>
      </c>
      <c r="V78" s="137">
        <f t="shared" si="65"/>
        <v>3105.9277301985949</v>
      </c>
      <c r="W78" s="137">
        <f t="shared" ref="W78:Y78" si="66">W79+W80</f>
        <v>3012.8848756572261</v>
      </c>
      <c r="X78" s="137">
        <f t="shared" si="66"/>
        <v>3035.6222312120326</v>
      </c>
      <c r="Y78" s="137">
        <f t="shared" si="66"/>
        <v>2795.1692446976845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1253.190121175895</v>
      </c>
      <c r="C79" s="102">
        <f>TrRoad_emi!C$34</f>
        <v>1249.079417647695</v>
      </c>
      <c r="D79" s="102">
        <f>TrRoad_emi!D$34</f>
        <v>1249.2903833003982</v>
      </c>
      <c r="E79" s="102">
        <f>TrRoad_emi!E$34</f>
        <v>1250.6355710597607</v>
      </c>
      <c r="F79" s="102">
        <f>TrRoad_emi!F$34</f>
        <v>1334.5963313891211</v>
      </c>
      <c r="G79" s="102">
        <f>TrRoad_emi!G$34</f>
        <v>1336.5792767804201</v>
      </c>
      <c r="H79" s="102">
        <f>TrRoad_emi!H$34</f>
        <v>1367.2563210262761</v>
      </c>
      <c r="I79" s="102">
        <f>TrRoad_emi!I$34</f>
        <v>1444.1971737967808</v>
      </c>
      <c r="J79" s="102">
        <f>TrRoad_emi!J$34</f>
        <v>1473.3174869213556</v>
      </c>
      <c r="K79" s="102">
        <f>TrRoad_emi!K$34</f>
        <v>1437.9155276906492</v>
      </c>
      <c r="L79" s="102">
        <f>TrRoad_emi!L$34</f>
        <v>1520.7501036108479</v>
      </c>
      <c r="M79" s="102">
        <f>TrRoad_emi!M$34</f>
        <v>1570.7866389590556</v>
      </c>
      <c r="N79" s="102">
        <f>TrRoad_emi!N$34</f>
        <v>1594.7554846338953</v>
      </c>
      <c r="O79" s="102">
        <f>TrRoad_emi!O$34</f>
        <v>1621.0704958306364</v>
      </c>
      <c r="P79" s="102">
        <f>TrRoad_emi!P$34</f>
        <v>1438.353384455505</v>
      </c>
      <c r="Q79" s="102">
        <f>TrRoad_emi!Q$34</f>
        <v>1472.6478126756328</v>
      </c>
      <c r="R79" s="102">
        <f>TrRoad_emi!R$34</f>
        <v>1768.6071871215909</v>
      </c>
      <c r="S79" s="102">
        <f>TrRoad_emi!S$34</f>
        <v>1629.1654379116515</v>
      </c>
      <c r="T79" s="102">
        <f>TrRoad_emi!T$34</f>
        <v>1716.4559752716793</v>
      </c>
      <c r="U79" s="102">
        <f>TrRoad_emi!U$34</f>
        <v>1690.9512117736688</v>
      </c>
      <c r="V79" s="102">
        <f>TrRoad_emi!V$34</f>
        <v>1705.7527169292205</v>
      </c>
      <c r="W79" s="102">
        <f>TrRoad_emi!W$34</f>
        <v>1625.52838293586</v>
      </c>
      <c r="X79" s="102">
        <f>TrRoad_emi!X$34</f>
        <v>1652.8027751075269</v>
      </c>
      <c r="Y79" s="102">
        <f>TrRoad_emi!Y$34</f>
        <v>1609.3147462436018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2477.9980326499031</v>
      </c>
      <c r="C80" s="102">
        <f>TrRoad_emi!C$40</f>
        <v>2588.289580091106</v>
      </c>
      <c r="D80" s="102">
        <f>TrRoad_emi!D$40</f>
        <v>2638.1496625059444</v>
      </c>
      <c r="E80" s="102">
        <f>TrRoad_emi!E$40</f>
        <v>2668.5358931320147</v>
      </c>
      <c r="F80" s="102">
        <f>TrRoad_emi!F$40</f>
        <v>2736.1854569156344</v>
      </c>
      <c r="G80" s="102">
        <f>TrRoad_emi!G$40</f>
        <v>2705.7415086091059</v>
      </c>
      <c r="H80" s="102">
        <f>TrRoad_emi!H$40</f>
        <v>2656.2666699065658</v>
      </c>
      <c r="I80" s="102">
        <f>TrRoad_emi!I$40</f>
        <v>2696.8144920778113</v>
      </c>
      <c r="J80" s="102">
        <f>TrRoad_emi!J$40</f>
        <v>2530.9260774884792</v>
      </c>
      <c r="K80" s="102">
        <f>TrRoad_emi!K$40</f>
        <v>2081.8626604650244</v>
      </c>
      <c r="L80" s="102">
        <f>TrRoad_emi!L$40</f>
        <v>2285.4164443246932</v>
      </c>
      <c r="M80" s="102">
        <f>TrRoad_emi!M$40</f>
        <v>2044.2827327995392</v>
      </c>
      <c r="N80" s="102">
        <f>TrRoad_emi!N$40</f>
        <v>1819.8506768263858</v>
      </c>
      <c r="O80" s="102">
        <f>TrRoad_emi!O$40</f>
        <v>1771.4480624280995</v>
      </c>
      <c r="P80" s="102">
        <f>TrRoad_emi!P$40</f>
        <v>1415.557901336113</v>
      </c>
      <c r="Q80" s="102">
        <f>TrRoad_emi!Q$40</f>
        <v>1289.9324722659646</v>
      </c>
      <c r="R80" s="102">
        <f>TrRoad_emi!R$40</f>
        <v>1727.6011273411666</v>
      </c>
      <c r="S80" s="102">
        <f>TrRoad_emi!S$40</f>
        <v>1554.6463296739205</v>
      </c>
      <c r="T80" s="102">
        <f>TrRoad_emi!T$40</f>
        <v>1568.085716694748</v>
      </c>
      <c r="U80" s="102">
        <f>TrRoad_emi!U$40</f>
        <v>1468.7824565770188</v>
      </c>
      <c r="V80" s="102">
        <f>TrRoad_emi!V$40</f>
        <v>1400.1750132693742</v>
      </c>
      <c r="W80" s="102">
        <f>TrRoad_emi!W$40</f>
        <v>1387.3564927213661</v>
      </c>
      <c r="X80" s="102">
        <f>TrRoad_emi!X$40</f>
        <v>1382.8194561045054</v>
      </c>
      <c r="Y80" s="102">
        <f>TrRoad_emi!Y$40</f>
        <v>1185.8544984540827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98.561349201205147</v>
      </c>
      <c r="C81" s="110">
        <f>TrRail_emi!C$15</f>
        <v>95.575805127304633</v>
      </c>
      <c r="D81" s="110">
        <f>TrRail_emi!D$15</f>
        <v>88.877693945400608</v>
      </c>
      <c r="E81" s="110">
        <f>TrRail_emi!E$15</f>
        <v>87.466676758523533</v>
      </c>
      <c r="F81" s="110">
        <f>TrRail_emi!F$15</f>
        <v>91.608154915588401</v>
      </c>
      <c r="G81" s="110">
        <f>TrRail_emi!G$15</f>
        <v>91.249702731710613</v>
      </c>
      <c r="H81" s="110">
        <f>TrRail_emi!H$15</f>
        <v>96.492301073739966</v>
      </c>
      <c r="I81" s="110">
        <f>TrRail_emi!I$15</f>
        <v>78.556980473979948</v>
      </c>
      <c r="J81" s="110">
        <f>TrRail_emi!J$15</f>
        <v>80.842575757996059</v>
      </c>
      <c r="K81" s="110">
        <f>TrRail_emi!K$15</f>
        <v>67.402777150084773</v>
      </c>
      <c r="L81" s="110">
        <f>TrRail_emi!L$15</f>
        <v>67.428165071971392</v>
      </c>
      <c r="M81" s="110">
        <f>TrRail_emi!M$15</f>
        <v>67.348481427512269</v>
      </c>
      <c r="N81" s="110">
        <f>TrRail_emi!N$15</f>
        <v>71.497362901154546</v>
      </c>
      <c r="O81" s="110">
        <f>TrRail_emi!O$15</f>
        <v>67.790382069251422</v>
      </c>
      <c r="P81" s="110">
        <f>TrRail_emi!P$15</f>
        <v>57.756250891414837</v>
      </c>
      <c r="Q81" s="110">
        <f>TrRail_emi!Q$15</f>
        <v>41.052056912211356</v>
      </c>
      <c r="R81" s="110">
        <f>TrRail_emi!R$15</f>
        <v>41.89261746717014</v>
      </c>
      <c r="S81" s="110">
        <f>TrRail_emi!S$15</f>
        <v>39.765827907050763</v>
      </c>
      <c r="T81" s="110">
        <f>TrRail_emi!T$15</f>
        <v>52.66067551559064</v>
      </c>
      <c r="U81" s="110">
        <f>TrRail_emi!U$15</f>
        <v>55.577872532712341</v>
      </c>
      <c r="V81" s="110">
        <f>TrRail_emi!V$15</f>
        <v>50.567957827975064</v>
      </c>
      <c r="W81" s="110">
        <f>TrRail_emi!W$15</f>
        <v>59.220587122114829</v>
      </c>
      <c r="X81" s="110">
        <f>TrRail_emi!X$15</f>
        <v>44.050363141742153</v>
      </c>
      <c r="Y81" s="110">
        <f>TrRail_emi!Y$15</f>
        <v>40.004817777200103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31.77392049838231</v>
      </c>
      <c r="C82" s="110">
        <f t="shared" si="67"/>
        <v>26.044657437745993</v>
      </c>
      <c r="D82" s="110">
        <f t="shared" si="67"/>
        <v>25.449698005567264</v>
      </c>
      <c r="E82" s="110">
        <f t="shared" si="67"/>
        <v>30.575662805850605</v>
      </c>
      <c r="F82" s="110">
        <f t="shared" si="67"/>
        <v>41.168692068980221</v>
      </c>
      <c r="G82" s="110">
        <f t="shared" si="67"/>
        <v>43.018249066058566</v>
      </c>
      <c r="H82" s="110">
        <f t="shared" si="67"/>
        <v>45.876746343803788</v>
      </c>
      <c r="I82" s="110">
        <f t="shared" si="67"/>
        <v>49.851050676782613</v>
      </c>
      <c r="J82" s="110">
        <f t="shared" si="67"/>
        <v>42.25151121839852</v>
      </c>
      <c r="K82" s="110">
        <f t="shared" si="67"/>
        <v>32.376873521410495</v>
      </c>
      <c r="L82" s="110">
        <f t="shared" si="67"/>
        <v>33.895571492596957</v>
      </c>
      <c r="M82" s="110">
        <f t="shared" si="67"/>
        <v>35.761284617332244</v>
      </c>
      <c r="N82" s="110">
        <f t="shared" si="67"/>
        <v>38.834177622261663</v>
      </c>
      <c r="O82" s="110">
        <f t="shared" si="67"/>
        <v>41.277344141237165</v>
      </c>
      <c r="P82" s="110">
        <f t="shared" si="67"/>
        <v>36.241325993149246</v>
      </c>
      <c r="Q82" s="110">
        <f t="shared" si="67"/>
        <v>38.198769910522628</v>
      </c>
      <c r="R82" s="110">
        <f t="shared" si="67"/>
        <v>36.8367040478674</v>
      </c>
      <c r="S82" s="110">
        <f t="shared" si="67"/>
        <v>39.630242573633964</v>
      </c>
      <c r="T82" s="110">
        <f t="shared" si="67"/>
        <v>38.126440183831811</v>
      </c>
      <c r="U82" s="110">
        <f t="shared" si="67"/>
        <v>53.466290318937261</v>
      </c>
      <c r="V82" s="110">
        <f t="shared" si="67"/>
        <v>29.162720593148109</v>
      </c>
      <c r="W82" s="110">
        <f t="shared" ref="W82:Y82" si="68">W83+W84+W85</f>
        <v>28.924225778384432</v>
      </c>
      <c r="X82" s="110">
        <f t="shared" si="68"/>
        <v>33.470595224981835</v>
      </c>
      <c r="Y82" s="110">
        <f t="shared" si="68"/>
        <v>61.190705502182539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4.6883532876129381</v>
      </c>
      <c r="C83" s="102">
        <f>TrAvia_emi!C$11</f>
        <v>3.5901812667179596</v>
      </c>
      <c r="D83" s="102">
        <f>TrAvia_emi!D$11</f>
        <v>3.1666946498927335</v>
      </c>
      <c r="E83" s="102">
        <f>TrAvia_emi!E$11</f>
        <v>2.6288722813998437</v>
      </c>
      <c r="F83" s="102">
        <f>TrAvia_emi!F$11</f>
        <v>2.6375327223378666</v>
      </c>
      <c r="G83" s="102">
        <f>TrAvia_emi!G$11</f>
        <v>2.460928146497007</v>
      </c>
      <c r="H83" s="102">
        <f>TrAvia_emi!H$11</f>
        <v>2.3294012553508949</v>
      </c>
      <c r="I83" s="102">
        <f>TrAvia_emi!I$11</f>
        <v>1.898406614260584</v>
      </c>
      <c r="J83" s="102">
        <f>TrAvia_emi!J$11</f>
        <v>1.519747943325584</v>
      </c>
      <c r="K83" s="102">
        <f>TrAvia_emi!K$11</f>
        <v>1.4792546391625077</v>
      </c>
      <c r="L83" s="102">
        <f>TrAvia_emi!L$11</f>
        <v>1.1368243270220768</v>
      </c>
      <c r="M83" s="102">
        <f>TrAvia_emi!M$11</f>
        <v>1.0446926567648938</v>
      </c>
      <c r="N83" s="102">
        <f>TrAvia_emi!N$11</f>
        <v>1.1386657487504874</v>
      </c>
      <c r="O83" s="102">
        <f>TrAvia_emi!O$11</f>
        <v>0.94443922288151994</v>
      </c>
      <c r="P83" s="102">
        <f>TrAvia_emi!P$11</f>
        <v>0.74794748427564739</v>
      </c>
      <c r="Q83" s="102">
        <f>TrAvia_emi!Q$11</f>
        <v>0.71785285409701804</v>
      </c>
      <c r="R83" s="102">
        <f>TrAvia_emi!R$11</f>
        <v>0.79021288934118727</v>
      </c>
      <c r="S83" s="102">
        <f>TrAvia_emi!S$11</f>
        <v>0.62429018168327499</v>
      </c>
      <c r="T83" s="102">
        <f>TrAvia_emi!T$11</f>
        <v>0.42677655617459764</v>
      </c>
      <c r="U83" s="102">
        <f>TrAvia_emi!U$11</f>
        <v>0.45051554820999379</v>
      </c>
      <c r="V83" s="102">
        <f>TrAvia_emi!V$11</f>
        <v>0.46281969281774732</v>
      </c>
      <c r="W83" s="102">
        <f>TrAvia_emi!W$11</f>
        <v>0.33954217472014553</v>
      </c>
      <c r="X83" s="102">
        <f>TrAvia_emi!X$11</f>
        <v>0.44549083710736281</v>
      </c>
      <c r="Y83" s="102">
        <f>TrAvia_emi!Y$11</f>
        <v>0.46530716524988947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15.277745734785775</v>
      </c>
      <c r="C84" s="102">
        <f>TrAvia_emi!C$12</f>
        <v>13.62303371896602</v>
      </c>
      <c r="D84" s="102">
        <f>TrAvia_emi!D$12</f>
        <v>12.208237447386072</v>
      </c>
      <c r="E84" s="102">
        <f>TrAvia_emi!E$12</f>
        <v>17.743761881417377</v>
      </c>
      <c r="F84" s="102">
        <f>TrAvia_emi!F$12</f>
        <v>24.344665834144813</v>
      </c>
      <c r="G84" s="102">
        <f>TrAvia_emi!G$12</f>
        <v>24.924529491224138</v>
      </c>
      <c r="H84" s="102">
        <f>TrAvia_emi!H$12</f>
        <v>30.703717531190385</v>
      </c>
      <c r="I84" s="102">
        <f>TrAvia_emi!I$12</f>
        <v>34.976784520087662</v>
      </c>
      <c r="J84" s="102">
        <f>TrAvia_emi!J$12</f>
        <v>29.549029749750318</v>
      </c>
      <c r="K84" s="102">
        <f>TrAvia_emi!K$12</f>
        <v>24.378190845056753</v>
      </c>
      <c r="L84" s="102">
        <f>TrAvia_emi!L$12</f>
        <v>25.607028809939656</v>
      </c>
      <c r="M84" s="102">
        <f>TrAvia_emi!M$12</f>
        <v>23.611975650743947</v>
      </c>
      <c r="N84" s="102">
        <f>TrAvia_emi!N$12</f>
        <v>23.171489768604069</v>
      </c>
      <c r="O84" s="102">
        <f>TrAvia_emi!O$12</f>
        <v>27.596935731656909</v>
      </c>
      <c r="P84" s="102">
        <f>TrAvia_emi!P$12</f>
        <v>27.205785007870794</v>
      </c>
      <c r="Q84" s="102">
        <f>TrAvia_emi!Q$12</f>
        <v>30.510854529647077</v>
      </c>
      <c r="R84" s="102">
        <f>TrAvia_emi!R$12</f>
        <v>29.120998415409378</v>
      </c>
      <c r="S84" s="102">
        <f>TrAvia_emi!S$12</f>
        <v>32.315172360695904</v>
      </c>
      <c r="T84" s="102">
        <f>TrAvia_emi!T$12</f>
        <v>30.960314182452109</v>
      </c>
      <c r="U84" s="102">
        <f>TrAvia_emi!U$12</f>
        <v>46.903706986135973</v>
      </c>
      <c r="V84" s="102">
        <f>TrAvia_emi!V$12</f>
        <v>22.059541784577462</v>
      </c>
      <c r="W84" s="102">
        <f>TrAvia_emi!W$12</f>
        <v>21.498039478506865</v>
      </c>
      <c r="X84" s="102">
        <f>TrAvia_emi!X$12</f>
        <v>24.232186138394002</v>
      </c>
      <c r="Y84" s="102">
        <f>TrAvia_emi!Y$12</f>
        <v>33.698411304649163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11.807821475983598</v>
      </c>
      <c r="C85" s="102">
        <f>TrAvia_emi!C$13</f>
        <v>8.8314424520620136</v>
      </c>
      <c r="D85" s="102">
        <f>TrAvia_emi!D$13</f>
        <v>10.074765908288461</v>
      </c>
      <c r="E85" s="102">
        <f>TrAvia_emi!E$13</f>
        <v>10.203028643033383</v>
      </c>
      <c r="F85" s="102">
        <f>TrAvia_emi!F$13</f>
        <v>14.186493512497542</v>
      </c>
      <c r="G85" s="102">
        <f>TrAvia_emi!G$13</f>
        <v>15.632791428337422</v>
      </c>
      <c r="H85" s="102">
        <f>TrAvia_emi!H$13</f>
        <v>12.84362755726251</v>
      </c>
      <c r="I85" s="102">
        <f>TrAvia_emi!I$13</f>
        <v>12.975859542434362</v>
      </c>
      <c r="J85" s="102">
        <f>TrAvia_emi!J$13</f>
        <v>11.182733525322622</v>
      </c>
      <c r="K85" s="102">
        <f>TrAvia_emi!K$13</f>
        <v>6.5194280371912336</v>
      </c>
      <c r="L85" s="102">
        <f>TrAvia_emi!L$13</f>
        <v>7.1517183556352242</v>
      </c>
      <c r="M85" s="102">
        <f>TrAvia_emi!M$13</f>
        <v>11.104616309823401</v>
      </c>
      <c r="N85" s="102">
        <f>TrAvia_emi!N$13</f>
        <v>14.524022104907109</v>
      </c>
      <c r="O85" s="102">
        <f>TrAvia_emi!O$13</f>
        <v>12.735969186698735</v>
      </c>
      <c r="P85" s="102">
        <f>TrAvia_emi!P$13</f>
        <v>8.2875935010027995</v>
      </c>
      <c r="Q85" s="102">
        <f>TrAvia_emi!Q$13</f>
        <v>6.9700625267785332</v>
      </c>
      <c r="R85" s="102">
        <f>TrAvia_emi!R$13</f>
        <v>6.925492743116834</v>
      </c>
      <c r="S85" s="102">
        <f>TrAvia_emi!S$13</f>
        <v>6.690780031254782</v>
      </c>
      <c r="T85" s="102">
        <f>TrAvia_emi!T$13</f>
        <v>6.7393494452051055</v>
      </c>
      <c r="U85" s="102">
        <f>TrAvia_emi!U$13</f>
        <v>6.1120677845912992</v>
      </c>
      <c r="V85" s="102">
        <f>TrAvia_emi!V$13</f>
        <v>6.6403591157529007</v>
      </c>
      <c r="W85" s="102">
        <f>TrAvia_emi!W$13</f>
        <v>7.0866441251574246</v>
      </c>
      <c r="X85" s="102">
        <f>TrAvia_emi!X$13</f>
        <v>8.792918249480465</v>
      </c>
      <c r="Y85" s="102">
        <f>TrAvia_emi!Y$13</f>
        <v>27.026987032283483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500.24133035999995</v>
      </c>
      <c r="C86" s="110">
        <f t="shared" si="69"/>
        <v>455.70023603999988</v>
      </c>
      <c r="D86" s="110">
        <f t="shared" si="69"/>
        <v>474.78707603999999</v>
      </c>
      <c r="E86" s="110">
        <f t="shared" si="69"/>
        <v>490.69296180000009</v>
      </c>
      <c r="F86" s="110">
        <f t="shared" si="69"/>
        <v>470.87193348000005</v>
      </c>
      <c r="G86" s="110">
        <f t="shared" si="69"/>
        <v>477.02114892000009</v>
      </c>
      <c r="H86" s="110">
        <f t="shared" si="69"/>
        <v>511.62716448000003</v>
      </c>
      <c r="I86" s="110">
        <f t="shared" si="69"/>
        <v>527.36647536000009</v>
      </c>
      <c r="J86" s="110">
        <f t="shared" si="69"/>
        <v>436.68836424000011</v>
      </c>
      <c r="K86" s="110">
        <f t="shared" si="69"/>
        <v>449.57432808000004</v>
      </c>
      <c r="L86" s="110">
        <f t="shared" si="69"/>
        <v>515.79534672</v>
      </c>
      <c r="M86" s="110">
        <f t="shared" si="69"/>
        <v>492.16286664000006</v>
      </c>
      <c r="N86" s="110">
        <f t="shared" si="69"/>
        <v>457.46464176000001</v>
      </c>
      <c r="O86" s="110">
        <f t="shared" si="69"/>
        <v>452.29275395999991</v>
      </c>
      <c r="P86" s="110">
        <f t="shared" si="69"/>
        <v>392.73291935999998</v>
      </c>
      <c r="Q86" s="110">
        <f t="shared" si="69"/>
        <v>398.95988399999993</v>
      </c>
      <c r="R86" s="110">
        <f t="shared" ref="R86:V86" si="70">R87+R88</f>
        <v>373.45117932000005</v>
      </c>
      <c r="S86" s="110">
        <f t="shared" si="70"/>
        <v>385.61486292000006</v>
      </c>
      <c r="T86" s="110">
        <f t="shared" si="70"/>
        <v>385.51296059999999</v>
      </c>
      <c r="U86" s="110">
        <f t="shared" si="70"/>
        <v>398.27817611999996</v>
      </c>
      <c r="V86" s="110">
        <f t="shared" si="70"/>
        <v>334.05881976000001</v>
      </c>
      <c r="W86" s="110">
        <f t="shared" ref="W86:Y86" si="71">W87+W88</f>
        <v>337.38605783999992</v>
      </c>
      <c r="X86" s="110">
        <f t="shared" si="71"/>
        <v>327.35811852</v>
      </c>
      <c r="Y86" s="110">
        <f t="shared" si="71"/>
        <v>297.35798111999998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428.95570917927034</v>
      </c>
      <c r="C87" s="102">
        <f>TrNavi_emi!C$4</f>
        <v>396.31031841622962</v>
      </c>
      <c r="D87" s="102">
        <f>TrNavi_emi!D$4</f>
        <v>413.98111110912606</v>
      </c>
      <c r="E87" s="102">
        <f>TrNavi_emi!E$4</f>
        <v>415.34754076158282</v>
      </c>
      <c r="F87" s="102">
        <f>TrNavi_emi!F$4</f>
        <v>388.89815345203419</v>
      </c>
      <c r="G87" s="102">
        <f>TrNavi_emi!G$4</f>
        <v>412.51879286595312</v>
      </c>
      <c r="H87" s="102">
        <f>TrNavi_emi!H$4</f>
        <v>459.95483799626641</v>
      </c>
      <c r="I87" s="102">
        <f>TrNavi_emi!I$4</f>
        <v>453.01003257568937</v>
      </c>
      <c r="J87" s="102">
        <f>TrNavi_emi!J$4</f>
        <v>396.15571574509318</v>
      </c>
      <c r="K87" s="102">
        <f>TrNavi_emi!K$4</f>
        <v>409.9519647930249</v>
      </c>
      <c r="L87" s="102">
        <f>TrNavi_emi!L$4</f>
        <v>488.7143159742966</v>
      </c>
      <c r="M87" s="102">
        <f>TrNavi_emi!M$4</f>
        <v>464.52838175982941</v>
      </c>
      <c r="N87" s="102">
        <f>TrNavi_emi!N$4</f>
        <v>405.11654195145985</v>
      </c>
      <c r="O87" s="102">
        <f>TrNavi_emi!O$4</f>
        <v>383.98421743525921</v>
      </c>
      <c r="P87" s="102">
        <f>TrNavi_emi!P$4</f>
        <v>341.68884514817438</v>
      </c>
      <c r="Q87" s="102">
        <f>TrNavi_emi!Q$4</f>
        <v>354.71103124264249</v>
      </c>
      <c r="R87" s="102">
        <f>TrNavi_emi!R$4</f>
        <v>343.01926978177272</v>
      </c>
      <c r="S87" s="102">
        <f>TrNavi_emi!S$4</f>
        <v>352.68624210022421</v>
      </c>
      <c r="T87" s="102">
        <f>TrNavi_emi!T$4</f>
        <v>358.55808141242534</v>
      </c>
      <c r="U87" s="102">
        <f>TrNavi_emi!U$4</f>
        <v>380.12645128108454</v>
      </c>
      <c r="V87" s="102">
        <f>TrNavi_emi!V$4</f>
        <v>304.09494005705568</v>
      </c>
      <c r="W87" s="102">
        <f>TrNavi_emi!W$4</f>
        <v>286.97221933710534</v>
      </c>
      <c r="X87" s="102">
        <f>TrNavi_emi!X$4</f>
        <v>284.06786660940031</v>
      </c>
      <c r="Y87" s="102">
        <f>TrNavi_emi!Y$4</f>
        <v>240.39719724888877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71.285621180729621</v>
      </c>
      <c r="C88" s="169">
        <f>TrNavi_emi!C$5</f>
        <v>59.389917623770273</v>
      </c>
      <c r="D88" s="169">
        <f>TrNavi_emi!D$5</f>
        <v>60.80596493087392</v>
      </c>
      <c r="E88" s="169">
        <f>TrNavi_emi!E$5</f>
        <v>75.345421038417257</v>
      </c>
      <c r="F88" s="169">
        <f>TrNavi_emi!F$5</f>
        <v>81.973780027965859</v>
      </c>
      <c r="G88" s="169">
        <f>TrNavi_emi!G$5</f>
        <v>64.50235605404697</v>
      </c>
      <c r="H88" s="169">
        <f>TrNavi_emi!H$5</f>
        <v>51.672326483733649</v>
      </c>
      <c r="I88" s="169">
        <f>TrNavi_emi!I$5</f>
        <v>74.356442784310687</v>
      </c>
      <c r="J88" s="169">
        <f>TrNavi_emi!J$5</f>
        <v>40.532648494906923</v>
      </c>
      <c r="K88" s="169">
        <f>TrNavi_emi!K$5</f>
        <v>39.622363286975123</v>
      </c>
      <c r="L88" s="169">
        <f>TrNavi_emi!L$5</f>
        <v>27.081030745703405</v>
      </c>
      <c r="M88" s="169">
        <f>TrNavi_emi!M$5</f>
        <v>27.634484880170636</v>
      </c>
      <c r="N88" s="169">
        <f>TrNavi_emi!N$5</f>
        <v>52.348099808540155</v>
      </c>
      <c r="O88" s="169">
        <f>TrNavi_emi!O$5</f>
        <v>68.308536524740703</v>
      </c>
      <c r="P88" s="169">
        <f>TrNavi_emi!P$5</f>
        <v>51.044074211825617</v>
      </c>
      <c r="Q88" s="169">
        <f>TrNavi_emi!Q$5</f>
        <v>44.248852757357447</v>
      </c>
      <c r="R88" s="169">
        <f>TrNavi_emi!R$5</f>
        <v>30.431909538227302</v>
      </c>
      <c r="S88" s="169">
        <f>TrNavi_emi!S$5</f>
        <v>32.92862081977583</v>
      </c>
      <c r="T88" s="169">
        <f>TrNavi_emi!T$5</f>
        <v>26.954879187574662</v>
      </c>
      <c r="U88" s="169">
        <f>TrNavi_emi!U$5</f>
        <v>18.151724838915435</v>
      </c>
      <c r="V88" s="169">
        <f>TrNavi_emi!V$5</f>
        <v>29.96387970294435</v>
      </c>
      <c r="W88" s="169">
        <f>TrNavi_emi!W$5</f>
        <v>50.413838502894592</v>
      </c>
      <c r="X88" s="169">
        <f>TrNavi_emi!X$5</f>
        <v>43.2902519105997</v>
      </c>
      <c r="Y88" s="169">
        <f>TrNavi_emi!Y$5</f>
        <v>56.96078387111119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2170.5075856800004</v>
      </c>
      <c r="C89" s="28">
        <f t="shared" si="72"/>
        <v>1858.5185432400001</v>
      </c>
      <c r="D89" s="28">
        <f t="shared" si="72"/>
        <v>2093.7164439600001</v>
      </c>
      <c r="E89" s="28">
        <f t="shared" si="72"/>
        <v>2080.9505663999998</v>
      </c>
      <c r="F89" s="28">
        <f t="shared" si="72"/>
        <v>1675.9876514400005</v>
      </c>
      <c r="G89" s="28">
        <f t="shared" si="72"/>
        <v>1647.3573914400004</v>
      </c>
      <c r="H89" s="28">
        <f t="shared" si="72"/>
        <v>1812.5384785200004</v>
      </c>
      <c r="I89" s="28">
        <f t="shared" si="72"/>
        <v>1484.72318412</v>
      </c>
      <c r="J89" s="28">
        <f t="shared" si="72"/>
        <v>1295.9669703599998</v>
      </c>
      <c r="K89" s="28">
        <f t="shared" si="72"/>
        <v>804.84747876000006</v>
      </c>
      <c r="L89" s="28">
        <f t="shared" si="72"/>
        <v>681.33006467999996</v>
      </c>
      <c r="M89" s="28">
        <f t="shared" si="72"/>
        <v>643.46506164000016</v>
      </c>
      <c r="N89" s="28">
        <f t="shared" si="72"/>
        <v>393.40305072000007</v>
      </c>
      <c r="O89" s="28">
        <f t="shared" si="72"/>
        <v>416.07987336000008</v>
      </c>
      <c r="P89" s="28">
        <f t="shared" si="72"/>
        <v>308.77360056000003</v>
      </c>
      <c r="Q89" s="28">
        <f t="shared" si="72"/>
        <v>952.81102223999983</v>
      </c>
      <c r="R89" s="28">
        <f t="shared" si="72"/>
        <v>922.55864581761546</v>
      </c>
      <c r="S89" s="28">
        <f t="shared" si="72"/>
        <v>1134.5154377281578</v>
      </c>
      <c r="T89" s="28">
        <f t="shared" si="72"/>
        <v>1047.433342480997</v>
      </c>
      <c r="U89" s="28">
        <f t="shared" si="72"/>
        <v>1077.6573172001335</v>
      </c>
      <c r="V89" s="28">
        <f t="shared" si="72"/>
        <v>989.41660720378127</v>
      </c>
      <c r="W89" s="28">
        <f t="shared" si="72"/>
        <v>893.81261930177573</v>
      </c>
      <c r="X89" s="28">
        <f t="shared" ref="X89:Y89" si="73">X90+X91</f>
        <v>1071.9851327318831</v>
      </c>
      <c r="Y89" s="28">
        <f t="shared" si="73"/>
        <v>894.34573539116229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1282.0454800133812</v>
      </c>
      <c r="C90" s="102">
        <f>MBunk_emi!C$4</f>
        <v>1051.2175256166383</v>
      </c>
      <c r="D90" s="102">
        <f>MBunk_emi!D$4</f>
        <v>1168.6216115173295</v>
      </c>
      <c r="E90" s="102">
        <f>MBunk_emi!E$4</f>
        <v>1133.4862944920135</v>
      </c>
      <c r="F90" s="102">
        <f>MBunk_emi!F$4</f>
        <v>920.13657204734182</v>
      </c>
      <c r="G90" s="102">
        <f>MBunk_emi!G$4</f>
        <v>912.64265096588929</v>
      </c>
      <c r="H90" s="102">
        <f>MBunk_emi!H$4</f>
        <v>1023.1922704116643</v>
      </c>
      <c r="I90" s="102">
        <f>MBunk_emi!I$4</f>
        <v>833.32023660626282</v>
      </c>
      <c r="J90" s="102">
        <f>MBunk_emi!J$4</f>
        <v>724.04447081258525</v>
      </c>
      <c r="K90" s="102">
        <f>MBunk_emi!K$4</f>
        <v>430.8139722277665</v>
      </c>
      <c r="L90" s="102">
        <f>MBunk_emi!L$4</f>
        <v>374.62026316760841</v>
      </c>
      <c r="M90" s="102">
        <f>MBunk_emi!M$4</f>
        <v>347.42033935913861</v>
      </c>
      <c r="N90" s="102">
        <f>MBunk_emi!N$4</f>
        <v>215.58753688825394</v>
      </c>
      <c r="O90" s="102">
        <f>MBunk_emi!O$4</f>
        <v>225.28964406583313</v>
      </c>
      <c r="P90" s="102">
        <f>MBunk_emi!P$4</f>
        <v>164.54781470719934</v>
      </c>
      <c r="Q90" s="102">
        <f>MBunk_emi!Q$4</f>
        <v>539.49543211937669</v>
      </c>
      <c r="R90" s="102">
        <f>MBunk_emi!R$4</f>
        <v>511.57388395980024</v>
      </c>
      <c r="S90" s="102">
        <f>MBunk_emi!S$4</f>
        <v>637.34053700053619</v>
      </c>
      <c r="T90" s="102">
        <f>MBunk_emi!T$4</f>
        <v>583.50734001810144</v>
      </c>
      <c r="U90" s="102">
        <f>MBunk_emi!U$4</f>
        <v>593.62909745693207</v>
      </c>
      <c r="V90" s="102">
        <f>MBunk_emi!V$4</f>
        <v>511.83802370693036</v>
      </c>
      <c r="W90" s="102">
        <f>MBunk_emi!W$4</f>
        <v>463.65493072553818</v>
      </c>
      <c r="X90" s="102">
        <f>MBunk_emi!X$4</f>
        <v>617.41426952431652</v>
      </c>
      <c r="Y90" s="102">
        <f>MBunk_emi!Y$4</f>
        <v>551.89975358197921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888.46210566661921</v>
      </c>
      <c r="C91" s="86">
        <f>MBunk_emi!C$5</f>
        <v>807.30101762336176</v>
      </c>
      <c r="D91" s="86">
        <f>MBunk_emi!D$5</f>
        <v>925.09483244267062</v>
      </c>
      <c r="E91" s="86">
        <f>MBunk_emi!E$5</f>
        <v>947.46427190798636</v>
      </c>
      <c r="F91" s="86">
        <f>MBunk_emi!F$5</f>
        <v>755.85107939265868</v>
      </c>
      <c r="G91" s="86">
        <f>MBunk_emi!G$5</f>
        <v>734.71474047411095</v>
      </c>
      <c r="H91" s="86">
        <f>MBunk_emi!H$5</f>
        <v>789.34620810833599</v>
      </c>
      <c r="I91" s="86">
        <f>MBunk_emi!I$5</f>
        <v>651.40294751373722</v>
      </c>
      <c r="J91" s="86">
        <f>MBunk_emi!J$5</f>
        <v>571.92249954741442</v>
      </c>
      <c r="K91" s="86">
        <f>MBunk_emi!K$5</f>
        <v>374.03350653223356</v>
      </c>
      <c r="L91" s="86">
        <f>MBunk_emi!L$5</f>
        <v>306.70980151239155</v>
      </c>
      <c r="M91" s="86">
        <f>MBunk_emi!M$5</f>
        <v>296.04472228086149</v>
      </c>
      <c r="N91" s="86">
        <f>MBunk_emi!N$5</f>
        <v>177.81551383174613</v>
      </c>
      <c r="O91" s="86">
        <f>MBunk_emi!O$5</f>
        <v>190.79022929416692</v>
      </c>
      <c r="P91" s="86">
        <f>MBunk_emi!P$5</f>
        <v>144.2257858528007</v>
      </c>
      <c r="Q91" s="86">
        <f>MBunk_emi!Q$5</f>
        <v>413.31559012062314</v>
      </c>
      <c r="R91" s="86">
        <f>MBunk_emi!R$5</f>
        <v>410.98476185781522</v>
      </c>
      <c r="S91" s="86">
        <f>MBunk_emi!S$5</f>
        <v>497.17490072762166</v>
      </c>
      <c r="T91" s="86">
        <f>MBunk_emi!T$5</f>
        <v>463.92600246289567</v>
      </c>
      <c r="U91" s="86">
        <f>MBunk_emi!U$5</f>
        <v>484.02821974320159</v>
      </c>
      <c r="V91" s="86">
        <f>MBunk_emi!V$5</f>
        <v>477.57858349685091</v>
      </c>
      <c r="W91" s="86">
        <f>MBunk_emi!W$5</f>
        <v>430.15768857623755</v>
      </c>
      <c r="X91" s="86">
        <f>MBunk_emi!X$5</f>
        <v>454.57086320756662</v>
      </c>
      <c r="Y91" s="86">
        <f>MBunk_emi!Y$5</f>
        <v>342.44598180918308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0.82030427388635563</v>
      </c>
      <c r="C97" s="139">
        <f t="shared" si="75"/>
        <v>0.82367671230795303</v>
      </c>
      <c r="D97" s="139">
        <f t="shared" si="75"/>
        <v>0.82650914866314007</v>
      </c>
      <c r="E97" s="139">
        <f t="shared" si="75"/>
        <v>0.83066747782731365</v>
      </c>
      <c r="F97" s="139">
        <f t="shared" si="75"/>
        <v>0.81962554793697839</v>
      </c>
      <c r="G97" s="139">
        <f t="shared" si="75"/>
        <v>0.81175946587643089</v>
      </c>
      <c r="H97" s="139">
        <f t="shared" si="75"/>
        <v>0.80012309131292547</v>
      </c>
      <c r="I97" s="139">
        <f t="shared" si="75"/>
        <v>0.78188147329621516</v>
      </c>
      <c r="J97" s="139">
        <f t="shared" si="75"/>
        <v>0.77313545635406233</v>
      </c>
      <c r="K97" s="139">
        <f t="shared" si="75"/>
        <v>0.78382068303027197</v>
      </c>
      <c r="L97" s="139">
        <f t="shared" si="75"/>
        <v>0.77762520473984043</v>
      </c>
      <c r="M97" s="139">
        <f t="shared" si="75"/>
        <v>0.76104410455561278</v>
      </c>
      <c r="N97" s="139">
        <f t="shared" si="75"/>
        <v>0.75208454275318071</v>
      </c>
      <c r="O97" s="139">
        <f t="shared" si="75"/>
        <v>0.74900036806617809</v>
      </c>
      <c r="P97" s="139">
        <f t="shared" si="75"/>
        <v>0.74643236078448871</v>
      </c>
      <c r="Q97" s="139">
        <f t="shared" si="75"/>
        <v>0.7474989101781685</v>
      </c>
      <c r="R97" s="139">
        <f t="shared" si="75"/>
        <v>0.71814181800068866</v>
      </c>
      <c r="S97" s="139">
        <f t="shared" si="75"/>
        <v>0.71883079114392234</v>
      </c>
      <c r="T97" s="139">
        <f t="shared" si="75"/>
        <v>0.69793485502813113</v>
      </c>
      <c r="U97" s="139">
        <f t="shared" si="75"/>
        <v>0.68254544618396296</v>
      </c>
      <c r="V97" s="139">
        <f t="shared" si="75"/>
        <v>0.87259643427577405</v>
      </c>
      <c r="W97" s="139">
        <f t="shared" si="75"/>
        <v>0.89499798700460198</v>
      </c>
      <c r="X97" s="139">
        <f t="shared" si="75"/>
        <v>0.75103939176699541</v>
      </c>
      <c r="Y97" s="139">
        <f t="shared" si="75"/>
        <v>0.69785564327535732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1.15304080445116E-2</v>
      </c>
      <c r="C98" s="140">
        <f t="shared" si="76"/>
        <v>1.1348172436499689E-2</v>
      </c>
      <c r="D98" s="140">
        <f t="shared" si="76"/>
        <v>1.1164019080567895E-2</v>
      </c>
      <c r="E98" s="140">
        <f t="shared" si="76"/>
        <v>1.1017346948222897E-2</v>
      </c>
      <c r="F98" s="140">
        <f t="shared" si="76"/>
        <v>1.0671163763113951E-2</v>
      </c>
      <c r="G98" s="140">
        <f t="shared" si="76"/>
        <v>1.0423474025289946E-2</v>
      </c>
      <c r="H98" s="140">
        <f t="shared" si="76"/>
        <v>1.0197886406693333E-2</v>
      </c>
      <c r="I98" s="140">
        <f t="shared" si="76"/>
        <v>9.7973934042788011E-3</v>
      </c>
      <c r="J98" s="140">
        <f t="shared" si="76"/>
        <v>9.744776828415451E-3</v>
      </c>
      <c r="K98" s="140">
        <f t="shared" si="76"/>
        <v>9.7578283630910881E-3</v>
      </c>
      <c r="L98" s="140">
        <f t="shared" si="76"/>
        <v>1.2760075651933654E-2</v>
      </c>
      <c r="M98" s="140">
        <f t="shared" si="76"/>
        <v>1.235201771288077E-2</v>
      </c>
      <c r="N98" s="140">
        <f t="shared" si="76"/>
        <v>1.2168545387917064E-2</v>
      </c>
      <c r="O98" s="140">
        <f t="shared" si="76"/>
        <v>1.2137932428964267E-2</v>
      </c>
      <c r="P98" s="140">
        <f t="shared" si="76"/>
        <v>1.2056042017571551E-2</v>
      </c>
      <c r="Q98" s="140">
        <f t="shared" si="76"/>
        <v>1.1968888889445806E-2</v>
      </c>
      <c r="R98" s="140">
        <f t="shared" si="76"/>
        <v>1.3321203337192994E-2</v>
      </c>
      <c r="S98" s="140">
        <f t="shared" si="76"/>
        <v>1.1011264666400679E-2</v>
      </c>
      <c r="T98" s="140">
        <f t="shared" si="76"/>
        <v>1.0194583931858278E-2</v>
      </c>
      <c r="U98" s="140">
        <f t="shared" si="76"/>
        <v>1.0590630349739704E-2</v>
      </c>
      <c r="V98" s="140">
        <f t="shared" si="76"/>
        <v>1.2773125110840179E-2</v>
      </c>
      <c r="W98" s="140">
        <f t="shared" si="76"/>
        <v>1.3826346571871359E-2</v>
      </c>
      <c r="X98" s="140">
        <f t="shared" si="76"/>
        <v>1.2088859932259728E-2</v>
      </c>
      <c r="Y98" s="140">
        <f t="shared" si="76"/>
        <v>1.19151605211911E-2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0.71054738686736141</v>
      </c>
      <c r="C99" s="140">
        <f t="shared" si="77"/>
        <v>0.71565265490993568</v>
      </c>
      <c r="D99" s="140">
        <f t="shared" si="77"/>
        <v>0.72022153113127219</v>
      </c>
      <c r="E99" s="140">
        <f t="shared" si="77"/>
        <v>0.72618125630515939</v>
      </c>
      <c r="F99" s="140">
        <f t="shared" si="77"/>
        <v>0.71920169482172736</v>
      </c>
      <c r="G99" s="140">
        <f t="shared" si="77"/>
        <v>0.71433709511165056</v>
      </c>
      <c r="H99" s="140">
        <f t="shared" si="77"/>
        <v>0.70483289767010104</v>
      </c>
      <c r="I99" s="140">
        <f t="shared" si="77"/>
        <v>0.69046453608001634</v>
      </c>
      <c r="J99" s="140">
        <f t="shared" si="77"/>
        <v>0.68225217200346788</v>
      </c>
      <c r="K99" s="140">
        <f t="shared" si="77"/>
        <v>0.69285464645526285</v>
      </c>
      <c r="L99" s="140">
        <f t="shared" si="77"/>
        <v>0.68508255907583204</v>
      </c>
      <c r="M99" s="140">
        <f t="shared" si="77"/>
        <v>0.67139319139162701</v>
      </c>
      <c r="N99" s="140">
        <f t="shared" si="77"/>
        <v>0.66329236571941708</v>
      </c>
      <c r="O99" s="140">
        <f t="shared" si="77"/>
        <v>0.66039223035602757</v>
      </c>
      <c r="P99" s="140">
        <f t="shared" si="77"/>
        <v>0.65858659191908586</v>
      </c>
      <c r="Q99" s="140">
        <f t="shared" si="77"/>
        <v>0.66041799636129028</v>
      </c>
      <c r="R99" s="140">
        <f t="shared" si="77"/>
        <v>0.61566638512292526</v>
      </c>
      <c r="S99" s="140">
        <f t="shared" si="77"/>
        <v>0.62994528667559613</v>
      </c>
      <c r="T99" s="140">
        <f t="shared" si="77"/>
        <v>0.61418516188811534</v>
      </c>
      <c r="U99" s="140">
        <f t="shared" si="77"/>
        <v>0.60089132125470035</v>
      </c>
      <c r="V99" s="140">
        <f t="shared" si="77"/>
        <v>0.77735788600101929</v>
      </c>
      <c r="W99" s="140">
        <f t="shared" si="77"/>
        <v>0.80520856798163309</v>
      </c>
      <c r="X99" s="140">
        <f t="shared" si="77"/>
        <v>0.66439765918672089</v>
      </c>
      <c r="Y99" s="140">
        <f t="shared" si="77"/>
        <v>0.61262619982436517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9.8226478974482626E-2</v>
      </c>
      <c r="C100" s="140">
        <f t="shared" si="78"/>
        <v>9.6675884961517633E-2</v>
      </c>
      <c r="D100" s="140">
        <f t="shared" si="78"/>
        <v>9.5123598451300098E-2</v>
      </c>
      <c r="E100" s="140">
        <f t="shared" si="78"/>
        <v>9.3468874573931396E-2</v>
      </c>
      <c r="F100" s="140">
        <f t="shared" si="78"/>
        <v>8.9752689352137136E-2</v>
      </c>
      <c r="G100" s="140">
        <f t="shared" si="78"/>
        <v>8.6998896739490308E-2</v>
      </c>
      <c r="H100" s="140">
        <f t="shared" si="78"/>
        <v>8.509230723613101E-2</v>
      </c>
      <c r="I100" s="140">
        <f t="shared" si="78"/>
        <v>8.1619543811920089E-2</v>
      </c>
      <c r="J100" s="140">
        <f t="shared" si="78"/>
        <v>8.1138507522178979E-2</v>
      </c>
      <c r="K100" s="140">
        <f t="shared" si="78"/>
        <v>8.1208208211917959E-2</v>
      </c>
      <c r="L100" s="140">
        <f t="shared" si="78"/>
        <v>7.9782570012074644E-2</v>
      </c>
      <c r="M100" s="140">
        <f t="shared" si="78"/>
        <v>7.7298895451105035E-2</v>
      </c>
      <c r="N100" s="140">
        <f t="shared" si="78"/>
        <v>7.6623631645846568E-2</v>
      </c>
      <c r="O100" s="140">
        <f t="shared" si="78"/>
        <v>7.6470205281186338E-2</v>
      </c>
      <c r="P100" s="140">
        <f t="shared" si="78"/>
        <v>7.5789726847831321E-2</v>
      </c>
      <c r="Q100" s="140">
        <f t="shared" si="78"/>
        <v>7.5112024927432366E-2</v>
      </c>
      <c r="R100" s="140">
        <f t="shared" si="78"/>
        <v>8.9154229540570284E-2</v>
      </c>
      <c r="S100" s="140">
        <f t="shared" si="78"/>
        <v>7.7874239801925579E-2</v>
      </c>
      <c r="T100" s="140">
        <f t="shared" si="78"/>
        <v>7.3555109208157513E-2</v>
      </c>
      <c r="U100" s="140">
        <f t="shared" si="78"/>
        <v>7.1063494579522948E-2</v>
      </c>
      <c r="V100" s="140">
        <f t="shared" si="78"/>
        <v>8.2465423163914683E-2</v>
      </c>
      <c r="W100" s="140">
        <f t="shared" si="78"/>
        <v>7.5963072451097458E-2</v>
      </c>
      <c r="X100" s="140">
        <f t="shared" si="78"/>
        <v>7.4552872648014884E-2</v>
      </c>
      <c r="Y100" s="140">
        <f t="shared" si="78"/>
        <v>7.3314282929801078E-2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4.9776587137458604E-2</v>
      </c>
      <c r="C101" s="124">
        <f t="shared" si="79"/>
        <v>4.7541935843543201E-2</v>
      </c>
      <c r="D101" s="124">
        <f t="shared" si="79"/>
        <v>4.7382670371423574E-2</v>
      </c>
      <c r="E101" s="124">
        <f t="shared" si="79"/>
        <v>4.7042750523826261E-2</v>
      </c>
      <c r="F101" s="124">
        <f t="shared" si="79"/>
        <v>4.5731975179425559E-2</v>
      </c>
      <c r="G101" s="124">
        <f t="shared" si="79"/>
        <v>4.6199414130625893E-2</v>
      </c>
      <c r="H101" s="124">
        <f t="shared" si="79"/>
        <v>4.5864076473161326E-2</v>
      </c>
      <c r="I101" s="124">
        <f t="shared" si="79"/>
        <v>4.652530494743138E-2</v>
      </c>
      <c r="J101" s="124">
        <f t="shared" si="79"/>
        <v>4.9328769029398999E-2</v>
      </c>
      <c r="K101" s="124">
        <f t="shared" si="79"/>
        <v>4.7475567877736644E-2</v>
      </c>
      <c r="L101" s="124">
        <f t="shared" si="79"/>
        <v>4.7499198512493776E-2</v>
      </c>
      <c r="M101" s="124">
        <f t="shared" si="79"/>
        <v>4.50773532226139E-2</v>
      </c>
      <c r="N101" s="124">
        <f t="shared" si="79"/>
        <v>4.6350183545982256E-2</v>
      </c>
      <c r="O101" s="124">
        <f t="shared" si="79"/>
        <v>4.6429787768868837E-2</v>
      </c>
      <c r="P101" s="124">
        <f t="shared" si="79"/>
        <v>4.4103227416029241E-2</v>
      </c>
      <c r="Q101" s="124">
        <f t="shared" si="79"/>
        <v>4.6121450948075293E-2</v>
      </c>
      <c r="R101" s="124">
        <f t="shared" si="79"/>
        <v>4.7468107904084518E-2</v>
      </c>
      <c r="S101" s="124">
        <f t="shared" si="79"/>
        <v>4.5668672689112087E-2</v>
      </c>
      <c r="T101" s="124">
        <f t="shared" si="79"/>
        <v>4.7716314602787128E-2</v>
      </c>
      <c r="U101" s="124">
        <f t="shared" si="79"/>
        <v>5.016306809742762E-2</v>
      </c>
      <c r="V101" s="124">
        <f t="shared" si="79"/>
        <v>4.1010513282155596E-2</v>
      </c>
      <c r="W101" s="124">
        <f t="shared" si="79"/>
        <v>4.3027991699795945E-2</v>
      </c>
      <c r="X101" s="124">
        <f t="shared" si="79"/>
        <v>5.6283886297256842E-2</v>
      </c>
      <c r="Y101" s="124">
        <f t="shared" si="79"/>
        <v>5.8185557637667494E-2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6.340072733807516E-3</v>
      </c>
      <c r="C102" s="140">
        <f t="shared" si="80"/>
        <v>6.3354092924132188E-3</v>
      </c>
      <c r="D102" s="140">
        <f t="shared" si="80"/>
        <v>6.3930470387724416E-3</v>
      </c>
      <c r="E102" s="140">
        <f t="shared" si="80"/>
        <v>6.3649013285481575E-3</v>
      </c>
      <c r="F102" s="140">
        <f t="shared" si="80"/>
        <v>6.1723414242166623E-3</v>
      </c>
      <c r="G102" s="140">
        <f t="shared" si="80"/>
        <v>6.0691538043729319E-3</v>
      </c>
      <c r="H102" s="140">
        <f t="shared" si="80"/>
        <v>5.9135767893544623E-3</v>
      </c>
      <c r="I102" s="140">
        <f t="shared" si="80"/>
        <v>5.6289340559944898E-3</v>
      </c>
      <c r="J102" s="140">
        <f t="shared" si="80"/>
        <v>5.7248920426789416E-3</v>
      </c>
      <c r="K102" s="140">
        <f t="shared" si="80"/>
        <v>5.7298099162785606E-3</v>
      </c>
      <c r="L102" s="140">
        <f t="shared" si="80"/>
        <v>5.6080586348010034E-3</v>
      </c>
      <c r="M102" s="140">
        <f t="shared" si="80"/>
        <v>5.2796990924826384E-3</v>
      </c>
      <c r="N102" s="140">
        <f t="shared" si="80"/>
        <v>5.3453621015537526E-3</v>
      </c>
      <c r="O102" s="140">
        <f t="shared" si="80"/>
        <v>5.3245169459711968E-3</v>
      </c>
      <c r="P102" s="140">
        <f t="shared" si="80"/>
        <v>5.1629884493848742E-3</v>
      </c>
      <c r="Q102" s="140">
        <f t="shared" si="80"/>
        <v>5.1385768696327562E-3</v>
      </c>
      <c r="R102" s="140">
        <f t="shared" si="80"/>
        <v>5.6936003495205211E-3</v>
      </c>
      <c r="S102" s="140">
        <f t="shared" si="80"/>
        <v>5.2750756288711146E-3</v>
      </c>
      <c r="T102" s="140">
        <f t="shared" si="80"/>
        <v>6.0197620704128306E-3</v>
      </c>
      <c r="U102" s="140">
        <f t="shared" si="80"/>
        <v>5.8698216025452115E-3</v>
      </c>
      <c r="V102" s="140">
        <f t="shared" si="80"/>
        <v>6.811617205355682E-3</v>
      </c>
      <c r="W102" s="140">
        <f t="shared" si="80"/>
        <v>6.2745251455399538E-3</v>
      </c>
      <c r="X102" s="140">
        <f t="shared" si="80"/>
        <v>6.1580430992091741E-3</v>
      </c>
      <c r="Y102" s="140">
        <f t="shared" si="80"/>
        <v>5.9717279182105306E-3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4.2530789727392874E-2</v>
      </c>
      <c r="C103" s="140">
        <f t="shared" si="81"/>
        <v>4.0453207967014258E-2</v>
      </c>
      <c r="D103" s="140">
        <f t="shared" si="81"/>
        <v>3.9321871931232232E-2</v>
      </c>
      <c r="E103" s="140">
        <f t="shared" si="81"/>
        <v>3.8240590405866588E-2</v>
      </c>
      <c r="F103" s="140">
        <f t="shared" si="81"/>
        <v>3.7647742147707754E-2</v>
      </c>
      <c r="G103" s="140">
        <f t="shared" si="81"/>
        <v>3.6541844293629423E-2</v>
      </c>
      <c r="H103" s="140">
        <f t="shared" si="81"/>
        <v>3.504132811249161E-2</v>
      </c>
      <c r="I103" s="140">
        <f t="shared" si="81"/>
        <v>3.4617944444366111E-2</v>
      </c>
      <c r="J103" s="140">
        <f t="shared" si="81"/>
        <v>3.69104881699037E-2</v>
      </c>
      <c r="K103" s="140">
        <f t="shared" si="81"/>
        <v>3.5240485048991452E-2</v>
      </c>
      <c r="L103" s="140">
        <f t="shared" si="81"/>
        <v>3.5002750875323993E-2</v>
      </c>
      <c r="M103" s="140">
        <f t="shared" si="81"/>
        <v>3.2529097515431864E-2</v>
      </c>
      <c r="N103" s="140">
        <f t="shared" si="81"/>
        <v>3.3809923406595693E-2</v>
      </c>
      <c r="O103" s="140">
        <f t="shared" si="81"/>
        <v>3.342782448365917E-2</v>
      </c>
      <c r="P103" s="140">
        <f t="shared" si="81"/>
        <v>3.2396590136679095E-2</v>
      </c>
      <c r="Q103" s="140">
        <f t="shared" si="81"/>
        <v>3.5294682270277565E-2</v>
      </c>
      <c r="R103" s="140">
        <f t="shared" si="81"/>
        <v>3.515409050933449E-2</v>
      </c>
      <c r="S103" s="140">
        <f t="shared" si="81"/>
        <v>3.3981314501860413E-2</v>
      </c>
      <c r="T103" s="140">
        <f t="shared" si="81"/>
        <v>3.438701355481364E-2</v>
      </c>
      <c r="U103" s="140">
        <f t="shared" si="81"/>
        <v>3.6971007939473333E-2</v>
      </c>
      <c r="V103" s="140">
        <f t="shared" si="81"/>
        <v>3.0257533940289287E-2</v>
      </c>
      <c r="W103" s="140">
        <f t="shared" si="81"/>
        <v>3.2448892448693797E-2</v>
      </c>
      <c r="X103" s="140">
        <f t="shared" si="81"/>
        <v>4.5886993844405609E-2</v>
      </c>
      <c r="Y103" s="140">
        <f t="shared" si="81"/>
        <v>4.7798411559147255E-2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9.0572467625821653E-4</v>
      </c>
      <c r="C104" s="140">
        <f t="shared" si="82"/>
        <v>7.5331858411572183E-4</v>
      </c>
      <c r="D104" s="140">
        <f t="shared" si="82"/>
        <v>1.6677514014188978E-3</v>
      </c>
      <c r="E104" s="140">
        <f t="shared" si="82"/>
        <v>2.43725878941151E-3</v>
      </c>
      <c r="F104" s="140">
        <f t="shared" si="82"/>
        <v>1.9118916075011459E-3</v>
      </c>
      <c r="G104" s="140">
        <f t="shared" si="82"/>
        <v>3.5884160326235394E-3</v>
      </c>
      <c r="H104" s="140">
        <f t="shared" si="82"/>
        <v>4.9091715713152498E-3</v>
      </c>
      <c r="I104" s="140">
        <f t="shared" si="82"/>
        <v>6.2784264470707772E-3</v>
      </c>
      <c r="J104" s="140">
        <f t="shared" si="82"/>
        <v>6.6933888168163565E-3</v>
      </c>
      <c r="K104" s="140">
        <f t="shared" si="82"/>
        <v>6.5052729124666364E-3</v>
      </c>
      <c r="L104" s="140">
        <f t="shared" si="82"/>
        <v>6.8883890023687788E-3</v>
      </c>
      <c r="M104" s="140">
        <f t="shared" si="82"/>
        <v>7.2685566146993988E-3</v>
      </c>
      <c r="N104" s="140">
        <f t="shared" si="82"/>
        <v>7.194898037832808E-3</v>
      </c>
      <c r="O104" s="140">
        <f t="shared" si="82"/>
        <v>7.677446339238469E-3</v>
      </c>
      <c r="P104" s="140">
        <f t="shared" si="82"/>
        <v>6.5436488299652771E-3</v>
      </c>
      <c r="Q104" s="140">
        <f t="shared" si="82"/>
        <v>5.6881918081649703E-3</v>
      </c>
      <c r="R104" s="140">
        <f t="shared" si="82"/>
        <v>6.6204170452295059E-3</v>
      </c>
      <c r="S104" s="140">
        <f t="shared" si="82"/>
        <v>6.4122825583805615E-3</v>
      </c>
      <c r="T104" s="140">
        <f t="shared" si="82"/>
        <v>7.3095389775606539E-3</v>
      </c>
      <c r="U104" s="140">
        <f t="shared" si="82"/>
        <v>7.3222385554090729E-3</v>
      </c>
      <c r="V104" s="140">
        <f t="shared" si="82"/>
        <v>3.9413621365106287E-3</v>
      </c>
      <c r="W104" s="140">
        <f t="shared" si="82"/>
        <v>4.3045741055621894E-3</v>
      </c>
      <c r="X104" s="140">
        <f t="shared" si="82"/>
        <v>4.2388493536420534E-3</v>
      </c>
      <c r="Y104" s="140">
        <f t="shared" si="82"/>
        <v>4.4154181603097056E-3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0.12991913897618573</v>
      </c>
      <c r="C105" s="124">
        <f t="shared" si="83"/>
        <v>0.12878135184850381</v>
      </c>
      <c r="D105" s="124">
        <f t="shared" si="83"/>
        <v>0.12610818096543625</v>
      </c>
      <c r="E105" s="124">
        <f t="shared" si="83"/>
        <v>0.12228977164886011</v>
      </c>
      <c r="F105" s="124">
        <f t="shared" si="83"/>
        <v>0.13464247688359596</v>
      </c>
      <c r="G105" s="124">
        <f t="shared" si="83"/>
        <v>0.14204111999294319</v>
      </c>
      <c r="H105" s="124">
        <f t="shared" si="83"/>
        <v>0.15401283221391324</v>
      </c>
      <c r="I105" s="124">
        <f t="shared" si="83"/>
        <v>0.17159322175635336</v>
      </c>
      <c r="J105" s="124">
        <f t="shared" si="83"/>
        <v>0.17753577461653874</v>
      </c>
      <c r="K105" s="124">
        <f t="shared" si="83"/>
        <v>0.16870374909199135</v>
      </c>
      <c r="L105" s="124">
        <f t="shared" si="83"/>
        <v>0.17487559674766581</v>
      </c>
      <c r="M105" s="124">
        <f t="shared" si="83"/>
        <v>0.19387854222177323</v>
      </c>
      <c r="N105" s="124">
        <f t="shared" si="83"/>
        <v>0.20156527370083713</v>
      </c>
      <c r="O105" s="124">
        <f t="shared" si="83"/>
        <v>0.20456984416495297</v>
      </c>
      <c r="P105" s="124">
        <f t="shared" si="83"/>
        <v>0.20946441179948203</v>
      </c>
      <c r="Q105" s="124">
        <f t="shared" si="83"/>
        <v>0.20637963887375632</v>
      </c>
      <c r="R105" s="124">
        <f t="shared" si="83"/>
        <v>0.23439007409522675</v>
      </c>
      <c r="S105" s="124">
        <f t="shared" si="83"/>
        <v>0.23550053616696562</v>
      </c>
      <c r="T105" s="124">
        <f t="shared" si="83"/>
        <v>0.25434883036908168</v>
      </c>
      <c r="U105" s="124">
        <f t="shared" si="83"/>
        <v>0.26729148571860928</v>
      </c>
      <c r="V105" s="124">
        <f t="shared" si="83"/>
        <v>8.6393052442070364E-2</v>
      </c>
      <c r="W105" s="124">
        <f t="shared" si="83"/>
        <v>6.1974021295602012E-2</v>
      </c>
      <c r="X105" s="124">
        <f t="shared" si="83"/>
        <v>0.19267672193574775</v>
      </c>
      <c r="Y105" s="124">
        <f t="shared" si="83"/>
        <v>0.24395879908697518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2.0177553925659248E-2</v>
      </c>
      <c r="C106" s="140">
        <f t="shared" si="84"/>
        <v>1.952467669875927E-2</v>
      </c>
      <c r="D106" s="140">
        <f t="shared" si="84"/>
        <v>1.9277991537146634E-2</v>
      </c>
      <c r="E106" s="140">
        <f t="shared" si="84"/>
        <v>1.6443713054144285E-2</v>
      </c>
      <c r="F106" s="140">
        <f t="shared" si="84"/>
        <v>1.6848686634282798E-2</v>
      </c>
      <c r="G106" s="140">
        <f t="shared" si="84"/>
        <v>1.634445773248305E-2</v>
      </c>
      <c r="H106" s="140">
        <f t="shared" si="84"/>
        <v>1.5610792673205703E-2</v>
      </c>
      <c r="I106" s="140">
        <f t="shared" si="84"/>
        <v>1.5749633993117435E-2</v>
      </c>
      <c r="J106" s="140">
        <f t="shared" si="84"/>
        <v>1.451309723146579E-2</v>
      </c>
      <c r="K106" s="140">
        <f t="shared" si="84"/>
        <v>1.3225917790721938E-2</v>
      </c>
      <c r="L106" s="140">
        <f t="shared" si="84"/>
        <v>1.2623546297144359E-2</v>
      </c>
      <c r="M106" s="140">
        <f t="shared" si="84"/>
        <v>1.450815383591666E-2</v>
      </c>
      <c r="N106" s="140">
        <f t="shared" si="84"/>
        <v>1.4368546328258874E-2</v>
      </c>
      <c r="O106" s="140">
        <f t="shared" si="84"/>
        <v>1.2942384444380485E-2</v>
      </c>
      <c r="P106" s="140">
        <f t="shared" si="84"/>
        <v>1.3364829305090498E-2</v>
      </c>
      <c r="Q106" s="140">
        <f t="shared" si="84"/>
        <v>1.334112019414677E-2</v>
      </c>
      <c r="R106" s="140">
        <f t="shared" si="84"/>
        <v>1.5222807259004108E-2</v>
      </c>
      <c r="S106" s="140">
        <f t="shared" si="84"/>
        <v>1.4279664146323187E-2</v>
      </c>
      <c r="T106" s="140">
        <f t="shared" si="84"/>
        <v>1.5541881823675269E-2</v>
      </c>
      <c r="U106" s="140">
        <f t="shared" si="84"/>
        <v>1.5243021331066066E-2</v>
      </c>
      <c r="V106" s="140">
        <f t="shared" si="84"/>
        <v>7.967322087150782E-3</v>
      </c>
      <c r="W106" s="140">
        <f t="shared" si="84"/>
        <v>7.44245073252998E-3</v>
      </c>
      <c r="X106" s="140">
        <f t="shared" si="84"/>
        <v>1.2155924974020484E-2</v>
      </c>
      <c r="Y106" s="140">
        <f t="shared" si="84"/>
        <v>1.1754310456599871E-2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7.6766096324948199E-2</v>
      </c>
      <c r="C107" s="140">
        <f t="shared" si="85"/>
        <v>7.7487397305048306E-2</v>
      </c>
      <c r="D107" s="140">
        <f t="shared" si="85"/>
        <v>7.3589525252053339E-2</v>
      </c>
      <c r="E107" s="140">
        <f t="shared" si="85"/>
        <v>7.3920660418012596E-2</v>
      </c>
      <c r="F107" s="140">
        <f t="shared" si="85"/>
        <v>7.7733065170022084E-2</v>
      </c>
      <c r="G107" s="140">
        <f t="shared" si="85"/>
        <v>8.0128618964461357E-2</v>
      </c>
      <c r="H107" s="140">
        <f t="shared" si="85"/>
        <v>8.5168082539732307E-2</v>
      </c>
      <c r="I107" s="140">
        <f t="shared" si="85"/>
        <v>8.5954485031916633E-2</v>
      </c>
      <c r="J107" s="140">
        <f t="shared" si="85"/>
        <v>8.2715319229236167E-2</v>
      </c>
      <c r="K107" s="140">
        <f t="shared" si="85"/>
        <v>7.8647427656998947E-2</v>
      </c>
      <c r="L107" s="140">
        <f t="shared" si="85"/>
        <v>7.8551950837878651E-2</v>
      </c>
      <c r="M107" s="140">
        <f t="shared" si="85"/>
        <v>8.6585210756000258E-2</v>
      </c>
      <c r="N107" s="140">
        <f t="shared" si="85"/>
        <v>8.5814991177802821E-2</v>
      </c>
      <c r="O107" s="140">
        <f t="shared" si="85"/>
        <v>9.0861429530540175E-2</v>
      </c>
      <c r="P107" s="140">
        <f t="shared" si="85"/>
        <v>9.9930380209845279E-2</v>
      </c>
      <c r="Q107" s="140">
        <f t="shared" si="85"/>
        <v>9.6597914689247513E-2</v>
      </c>
      <c r="R107" s="140">
        <f t="shared" si="85"/>
        <v>0.10879476557130138</v>
      </c>
      <c r="S107" s="140">
        <f t="shared" si="85"/>
        <v>0.10776332521826296</v>
      </c>
      <c r="T107" s="140">
        <f t="shared" si="85"/>
        <v>0.11358696694396138</v>
      </c>
      <c r="U107" s="140">
        <f t="shared" si="85"/>
        <v>0.11446200269309956</v>
      </c>
      <c r="V107" s="140">
        <f t="shared" si="85"/>
        <v>3.4080965054147282E-2</v>
      </c>
      <c r="W107" s="140">
        <f t="shared" si="85"/>
        <v>3.2187012089550701E-2</v>
      </c>
      <c r="X107" s="140">
        <f t="shared" si="85"/>
        <v>9.6626284849896021E-2</v>
      </c>
      <c r="Y107" s="140">
        <f t="shared" si="85"/>
        <v>0.10518358507041656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3.2975488725578275E-2</v>
      </c>
      <c r="C108" s="140">
        <f t="shared" si="86"/>
        <v>3.1769277844696242E-2</v>
      </c>
      <c r="D108" s="140">
        <f t="shared" si="86"/>
        <v>3.3240664176236265E-2</v>
      </c>
      <c r="E108" s="140">
        <f t="shared" si="86"/>
        <v>3.1925398176703222E-2</v>
      </c>
      <c r="F108" s="140">
        <f t="shared" si="86"/>
        <v>4.0060725079291072E-2</v>
      </c>
      <c r="G108" s="140">
        <f t="shared" si="86"/>
        <v>4.5568043295998797E-2</v>
      </c>
      <c r="H108" s="140">
        <f t="shared" si="86"/>
        <v>5.3233957000975198E-2</v>
      </c>
      <c r="I108" s="140">
        <f t="shared" si="86"/>
        <v>6.9889102731319305E-2</v>
      </c>
      <c r="J108" s="140">
        <f t="shared" si="86"/>
        <v>8.0307358155836811E-2</v>
      </c>
      <c r="K108" s="140">
        <f t="shared" si="86"/>
        <v>7.6830403644270448E-2</v>
      </c>
      <c r="L108" s="140">
        <f t="shared" si="86"/>
        <v>8.3700099612642798E-2</v>
      </c>
      <c r="M108" s="140">
        <f t="shared" si="86"/>
        <v>9.2785177629856289E-2</v>
      </c>
      <c r="N108" s="140">
        <f t="shared" si="86"/>
        <v>0.1013817361947754</v>
      </c>
      <c r="O108" s="140">
        <f t="shared" si="86"/>
        <v>0.10076603019003232</v>
      </c>
      <c r="P108" s="140">
        <f t="shared" si="86"/>
        <v>9.6169202284546243E-2</v>
      </c>
      <c r="Q108" s="140">
        <f t="shared" si="86"/>
        <v>9.6440603990362028E-2</v>
      </c>
      <c r="R108" s="140">
        <f t="shared" si="86"/>
        <v>0.11037250126492126</v>
      </c>
      <c r="S108" s="140">
        <f t="shared" si="86"/>
        <v>0.11345754680237949</v>
      </c>
      <c r="T108" s="140">
        <f t="shared" si="86"/>
        <v>0.12521998160144501</v>
      </c>
      <c r="U108" s="140">
        <f t="shared" si="86"/>
        <v>0.13758646169444366</v>
      </c>
      <c r="V108" s="140">
        <f t="shared" si="86"/>
        <v>4.4344765300772311E-2</v>
      </c>
      <c r="W108" s="140">
        <f t="shared" si="86"/>
        <v>2.234455847352133E-2</v>
      </c>
      <c r="X108" s="140">
        <f t="shared" si="86"/>
        <v>8.3894512111831271E-2</v>
      </c>
      <c r="Y108" s="140">
        <f t="shared" si="86"/>
        <v>0.12702090355995874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0.72585106046929482</v>
      </c>
      <c r="C110" s="139">
        <f t="shared" si="88"/>
        <v>0.72583746568193908</v>
      </c>
      <c r="D110" s="139">
        <f t="shared" si="88"/>
        <v>0.73806025439466327</v>
      </c>
      <c r="E110" s="139">
        <f t="shared" si="88"/>
        <v>0.7247193420987279</v>
      </c>
      <c r="F110" s="139">
        <f t="shared" si="88"/>
        <v>0.72810156653361191</v>
      </c>
      <c r="G110" s="139">
        <f t="shared" si="88"/>
        <v>0.74031345212299771</v>
      </c>
      <c r="H110" s="139">
        <f t="shared" si="88"/>
        <v>0.69900880238686958</v>
      </c>
      <c r="I110" s="139">
        <f t="shared" si="88"/>
        <v>0.71223268224963121</v>
      </c>
      <c r="J110" s="139">
        <f t="shared" si="88"/>
        <v>0.71952909856385261</v>
      </c>
      <c r="K110" s="139">
        <f t="shared" si="88"/>
        <v>0.73506260020066683</v>
      </c>
      <c r="L110" s="139">
        <f t="shared" si="88"/>
        <v>0.71934351952130304</v>
      </c>
      <c r="M110" s="139">
        <f t="shared" si="88"/>
        <v>0.7104426216532681</v>
      </c>
      <c r="N110" s="139">
        <f t="shared" si="88"/>
        <v>0.70564206726703838</v>
      </c>
      <c r="O110" s="139">
        <f t="shared" si="88"/>
        <v>0.69762541627885444</v>
      </c>
      <c r="P110" s="139">
        <f t="shared" si="88"/>
        <v>0.69047322624871632</v>
      </c>
      <c r="Q110" s="139">
        <f t="shared" si="88"/>
        <v>0.72412125242017489</v>
      </c>
      <c r="R110" s="139">
        <f t="shared" si="88"/>
        <v>0.72543128290329217</v>
      </c>
      <c r="S110" s="139">
        <f t="shared" si="88"/>
        <v>0.72061925284335426</v>
      </c>
      <c r="T110" s="139">
        <f t="shared" si="88"/>
        <v>0.70295232921520345</v>
      </c>
      <c r="U110" s="139">
        <f t="shared" si="88"/>
        <v>0.71027643013548547</v>
      </c>
      <c r="V110" s="139">
        <f t="shared" si="88"/>
        <v>0.73431202877273971</v>
      </c>
      <c r="W110" s="139">
        <f t="shared" si="88"/>
        <v>0.73070670322717679</v>
      </c>
      <c r="X110" s="139">
        <f t="shared" si="88"/>
        <v>0.76577552111282154</v>
      </c>
      <c r="Y110" s="139">
        <f t="shared" si="88"/>
        <v>0.76936478388928431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3.0207745309013972E-2</v>
      </c>
      <c r="C111" s="140">
        <f t="shared" si="89"/>
        <v>3.2027058690367129E-2</v>
      </c>
      <c r="D111" s="140">
        <f t="shared" si="89"/>
        <v>3.1534702106543459E-2</v>
      </c>
      <c r="E111" s="140">
        <f t="shared" si="89"/>
        <v>3.2640684249277727E-2</v>
      </c>
      <c r="F111" s="140">
        <f t="shared" si="89"/>
        <v>3.4638616766689716E-2</v>
      </c>
      <c r="G111" s="140">
        <f t="shared" si="89"/>
        <v>3.5632151739994178E-2</v>
      </c>
      <c r="H111" s="140">
        <f t="shared" si="89"/>
        <v>3.6924259963031128E-2</v>
      </c>
      <c r="I111" s="140">
        <f t="shared" si="89"/>
        <v>3.8543862651792736E-2</v>
      </c>
      <c r="J111" s="140">
        <f t="shared" si="89"/>
        <v>3.9643992959260528E-2</v>
      </c>
      <c r="K111" s="140">
        <f t="shared" si="89"/>
        <v>4.6299959845212374E-2</v>
      </c>
      <c r="L111" s="140">
        <f t="shared" si="89"/>
        <v>4.5544913910942793E-2</v>
      </c>
      <c r="M111" s="140">
        <f t="shared" si="89"/>
        <v>5.0533747393834677E-2</v>
      </c>
      <c r="N111" s="140">
        <f t="shared" si="89"/>
        <v>5.4586898089560416E-2</v>
      </c>
      <c r="O111" s="140">
        <f t="shared" si="89"/>
        <v>5.8630633644770329E-2</v>
      </c>
      <c r="P111" s="140">
        <f t="shared" si="89"/>
        <v>6.0149860655875714E-2</v>
      </c>
      <c r="Q111" s="140">
        <f t="shared" si="89"/>
        <v>6.1379802698798933E-2</v>
      </c>
      <c r="R111" s="140">
        <f t="shared" si="89"/>
        <v>5.679007712098625E-2</v>
      </c>
      <c r="S111" s="140">
        <f t="shared" si="89"/>
        <v>5.4894797263176281E-2</v>
      </c>
      <c r="T111" s="140">
        <f t="shared" si="89"/>
        <v>5.5629628674647331E-2</v>
      </c>
      <c r="U111" s="140">
        <f t="shared" si="89"/>
        <v>5.678993566844763E-2</v>
      </c>
      <c r="V111" s="140">
        <f t="shared" si="89"/>
        <v>5.7453704597128133E-2</v>
      </c>
      <c r="W111" s="140">
        <f t="shared" si="89"/>
        <v>5.855289234044455E-2</v>
      </c>
      <c r="X111" s="140">
        <f t="shared" si="89"/>
        <v>5.9426584937431165E-2</v>
      </c>
      <c r="Y111" s="140">
        <f t="shared" si="89"/>
        <v>6.5645625254785914E-2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0.69564331516028077</v>
      </c>
      <c r="C112" s="140">
        <f t="shared" si="90"/>
        <v>0.69381040699157193</v>
      </c>
      <c r="D112" s="140">
        <f t="shared" si="90"/>
        <v>0.70652555228811986</v>
      </c>
      <c r="E112" s="140">
        <f t="shared" si="90"/>
        <v>0.69207865784945011</v>
      </c>
      <c r="F112" s="140">
        <f t="shared" si="90"/>
        <v>0.69346294976692213</v>
      </c>
      <c r="G112" s="140">
        <f t="shared" si="90"/>
        <v>0.70468130038300358</v>
      </c>
      <c r="H112" s="140">
        <f t="shared" si="90"/>
        <v>0.66208454242383852</v>
      </c>
      <c r="I112" s="140">
        <f t="shared" si="90"/>
        <v>0.67368881959783855</v>
      </c>
      <c r="J112" s="140">
        <f t="shared" si="90"/>
        <v>0.67988510560459203</v>
      </c>
      <c r="K112" s="140">
        <f t="shared" si="90"/>
        <v>0.68876264035545443</v>
      </c>
      <c r="L112" s="140">
        <f t="shared" si="90"/>
        <v>0.6737986056103602</v>
      </c>
      <c r="M112" s="140">
        <f t="shared" si="90"/>
        <v>0.65990887425943334</v>
      </c>
      <c r="N112" s="140">
        <f t="shared" si="90"/>
        <v>0.65105516917747797</v>
      </c>
      <c r="O112" s="140">
        <f t="shared" si="90"/>
        <v>0.63899478263408405</v>
      </c>
      <c r="P112" s="140">
        <f t="shared" si="90"/>
        <v>0.63032336559284063</v>
      </c>
      <c r="Q112" s="140">
        <f t="shared" si="90"/>
        <v>0.66274144972137594</v>
      </c>
      <c r="R112" s="140">
        <f t="shared" si="90"/>
        <v>0.66864120578230601</v>
      </c>
      <c r="S112" s="140">
        <f t="shared" si="90"/>
        <v>0.6657244555801779</v>
      </c>
      <c r="T112" s="140">
        <f t="shared" si="90"/>
        <v>0.64732270054055618</v>
      </c>
      <c r="U112" s="140">
        <f t="shared" si="90"/>
        <v>0.65348649446703788</v>
      </c>
      <c r="V112" s="140">
        <f t="shared" si="90"/>
        <v>0.67685832417561154</v>
      </c>
      <c r="W112" s="140">
        <f t="shared" si="90"/>
        <v>0.67215381088673221</v>
      </c>
      <c r="X112" s="140">
        <f t="shared" si="90"/>
        <v>0.70634893617539041</v>
      </c>
      <c r="Y112" s="140">
        <f t="shared" si="90"/>
        <v>0.70371915863449841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0.24723103167673688</v>
      </c>
      <c r="C113" s="124">
        <f t="shared" si="91"/>
        <v>0.24913776072426649</v>
      </c>
      <c r="D113" s="124">
        <f t="shared" si="91"/>
        <v>0.23635147164058593</v>
      </c>
      <c r="E113" s="124">
        <f t="shared" si="91"/>
        <v>0.25078203719518039</v>
      </c>
      <c r="F113" s="124">
        <f t="shared" si="91"/>
        <v>0.24766439534970008</v>
      </c>
      <c r="G113" s="124">
        <f t="shared" si="91"/>
        <v>0.23741349181634239</v>
      </c>
      <c r="H113" s="124">
        <f t="shared" si="91"/>
        <v>0.27608014134254216</v>
      </c>
      <c r="I113" s="124">
        <f t="shared" si="91"/>
        <v>0.25986188181047343</v>
      </c>
      <c r="J113" s="124">
        <f t="shared" si="91"/>
        <v>0.25517308280890905</v>
      </c>
      <c r="K113" s="124">
        <f t="shared" si="91"/>
        <v>0.24060657836442398</v>
      </c>
      <c r="L113" s="124">
        <f t="shared" si="91"/>
        <v>0.24801219172097802</v>
      </c>
      <c r="M113" s="124">
        <f t="shared" si="91"/>
        <v>0.25207500045353115</v>
      </c>
      <c r="N113" s="124">
        <f t="shared" si="91"/>
        <v>0.26261279307662427</v>
      </c>
      <c r="O113" s="124">
        <f t="shared" si="91"/>
        <v>0.2763982313618546</v>
      </c>
      <c r="P113" s="124">
        <f t="shared" si="91"/>
        <v>0.28154652464703378</v>
      </c>
      <c r="Q113" s="124">
        <f t="shared" si="91"/>
        <v>0.24639732921752747</v>
      </c>
      <c r="R113" s="124">
        <f t="shared" si="91"/>
        <v>0.24589114196864226</v>
      </c>
      <c r="S113" s="124">
        <f t="shared" si="91"/>
        <v>0.2511750877165862</v>
      </c>
      <c r="T113" s="124">
        <f t="shared" si="91"/>
        <v>0.26540325721091557</v>
      </c>
      <c r="U113" s="124">
        <f t="shared" si="91"/>
        <v>0.24159382998599618</v>
      </c>
      <c r="V113" s="124">
        <f t="shared" si="91"/>
        <v>0.23707113648566699</v>
      </c>
      <c r="W113" s="124">
        <f t="shared" si="91"/>
        <v>0.24894585588397489</v>
      </c>
      <c r="X113" s="124">
        <f t="shared" si="91"/>
        <v>0.20589136783676057</v>
      </c>
      <c r="Y113" s="124">
        <f t="shared" si="91"/>
        <v>0.19973907297990434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3.0175382886906245E-3</v>
      </c>
      <c r="C114" s="124">
        <f t="shared" si="92"/>
        <v>2.5907232560637657E-3</v>
      </c>
      <c r="D114" s="124">
        <f t="shared" si="92"/>
        <v>2.4123784495401848E-3</v>
      </c>
      <c r="E114" s="124">
        <f t="shared" si="92"/>
        <v>2.8476966122453545E-3</v>
      </c>
      <c r="F114" s="124">
        <f t="shared" si="92"/>
        <v>3.5237801192923653E-3</v>
      </c>
      <c r="G114" s="124">
        <f t="shared" si="92"/>
        <v>3.8414182852742136E-3</v>
      </c>
      <c r="H114" s="124">
        <f t="shared" si="92"/>
        <v>3.7569521240349924E-3</v>
      </c>
      <c r="I114" s="124">
        <f t="shared" si="92"/>
        <v>4.2526998666174995E-3</v>
      </c>
      <c r="J114" s="124">
        <f t="shared" si="92"/>
        <v>3.3188378167749192E-3</v>
      </c>
      <c r="K114" s="124">
        <f t="shared" si="92"/>
        <v>2.6514961540374678E-3</v>
      </c>
      <c r="L114" s="124">
        <f t="shared" si="92"/>
        <v>2.4135103730220319E-3</v>
      </c>
      <c r="M114" s="124">
        <f t="shared" si="92"/>
        <v>3.5650225208410714E-3</v>
      </c>
      <c r="N114" s="124">
        <f t="shared" si="92"/>
        <v>4.8693039418039857E-3</v>
      </c>
      <c r="O114" s="124">
        <f t="shared" si="92"/>
        <v>4.6961986022841778E-3</v>
      </c>
      <c r="P114" s="124">
        <f t="shared" si="92"/>
        <v>4.2393965484967648E-3</v>
      </c>
      <c r="Q114" s="124">
        <f t="shared" si="92"/>
        <v>3.8957268702969183E-3</v>
      </c>
      <c r="R114" s="124">
        <f t="shared" si="92"/>
        <v>3.8834216276456631E-3</v>
      </c>
      <c r="S114" s="124">
        <f t="shared" si="92"/>
        <v>3.621180629205455E-3</v>
      </c>
      <c r="T114" s="124">
        <f t="shared" si="92"/>
        <v>3.3505079046083864E-3</v>
      </c>
      <c r="U114" s="124">
        <f t="shared" si="92"/>
        <v>3.8483264435287962E-3</v>
      </c>
      <c r="V114" s="124">
        <f t="shared" si="92"/>
        <v>2.1606828291929701E-3</v>
      </c>
      <c r="W114" s="124">
        <f t="shared" si="92"/>
        <v>2.0464699760250177E-3</v>
      </c>
      <c r="X114" s="124">
        <f t="shared" si="92"/>
        <v>3.8554583045331018E-3</v>
      </c>
      <c r="Y114" s="124">
        <f t="shared" si="92"/>
        <v>9.1458297731659317E-3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7.1710255764482824E-5</v>
      </c>
      <c r="C115" s="140">
        <f t="shared" si="93"/>
        <v>5.5647174613031585E-5</v>
      </c>
      <c r="D115" s="140">
        <f t="shared" si="93"/>
        <v>5.2392302707993358E-5</v>
      </c>
      <c r="E115" s="140">
        <f t="shared" si="93"/>
        <v>4.7674501148315234E-5</v>
      </c>
      <c r="F115" s="140">
        <f t="shared" si="93"/>
        <v>4.4080285327890802E-5</v>
      </c>
      <c r="G115" s="140">
        <f t="shared" si="93"/>
        <v>4.3637844174935639E-5</v>
      </c>
      <c r="H115" s="140">
        <f t="shared" si="93"/>
        <v>3.6749067311179813E-5</v>
      </c>
      <c r="I115" s="140">
        <f t="shared" si="93"/>
        <v>2.9700609547349854E-5</v>
      </c>
      <c r="J115" s="140">
        <f t="shared" si="93"/>
        <v>1.9264741225656842E-5</v>
      </c>
      <c r="K115" s="140">
        <f t="shared" si="93"/>
        <v>2.228794332528809E-5</v>
      </c>
      <c r="L115" s="140">
        <f t="shared" si="93"/>
        <v>1.5269711505578453E-5</v>
      </c>
      <c r="M115" s="140">
        <f t="shared" si="93"/>
        <v>2.0301036874515059E-5</v>
      </c>
      <c r="N115" s="140">
        <f t="shared" si="93"/>
        <v>2.9886362595955107E-5</v>
      </c>
      <c r="O115" s="140">
        <f t="shared" si="93"/>
        <v>2.6783018385167342E-5</v>
      </c>
      <c r="P115" s="140">
        <f t="shared" si="93"/>
        <v>2.3132179329470278E-5</v>
      </c>
      <c r="Q115" s="140">
        <f t="shared" si="93"/>
        <v>2.2152664650402225E-5</v>
      </c>
      <c r="R115" s="140">
        <f t="shared" ref="R115:V116" si="94">IF(R23=0,0,R23/R$17)</f>
        <v>2.4161230032116569E-5</v>
      </c>
      <c r="S115" s="140">
        <f t="shared" si="94"/>
        <v>1.6562438403338431E-5</v>
      </c>
      <c r="T115" s="140">
        <f t="shared" si="94"/>
        <v>1.1133434790163249E-5</v>
      </c>
      <c r="U115" s="140">
        <f t="shared" si="94"/>
        <v>1.246840955106237E-5</v>
      </c>
      <c r="V115" s="140">
        <f t="shared" si="94"/>
        <v>1.043533712850184E-5</v>
      </c>
      <c r="W115" s="140">
        <f t="shared" ref="W115:Y120" si="95">IF(W23=0,0,W23/W$17)</f>
        <v>1.0239740264925654E-5</v>
      </c>
      <c r="X115" s="140">
        <f t="shared" si="95"/>
        <v>1.1201587816860154E-5</v>
      </c>
      <c r="Y115" s="140">
        <f t="shared" si="95"/>
        <v>1.0654276706848171E-5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9.3307993386060925E-4</v>
      </c>
      <c r="C116" s="140">
        <f t="shared" si="96"/>
        <v>9.177178866744425E-4</v>
      </c>
      <c r="D116" s="140">
        <f t="shared" si="96"/>
        <v>7.2260733388135171E-4</v>
      </c>
      <c r="E116" s="140">
        <f t="shared" si="96"/>
        <v>1.1969457920773866E-3</v>
      </c>
      <c r="F116" s="140">
        <f t="shared" si="96"/>
        <v>1.4225341638790347E-3</v>
      </c>
      <c r="G116" s="140">
        <f t="shared" si="96"/>
        <v>1.4012003543972765E-3</v>
      </c>
      <c r="H116" s="140">
        <f t="shared" si="96"/>
        <v>1.3959989854815276E-3</v>
      </c>
      <c r="I116" s="140">
        <f t="shared" si="96"/>
        <v>1.4300185889748226E-3</v>
      </c>
      <c r="J116" s="140">
        <f t="shared" si="96"/>
        <v>1.0434717317723058E-3</v>
      </c>
      <c r="K116" s="140">
        <f t="shared" si="96"/>
        <v>1.0807000973265565E-3</v>
      </c>
      <c r="L116" s="140">
        <f t="shared" si="96"/>
        <v>9.9288922504582361E-4</v>
      </c>
      <c r="M116" s="140">
        <f t="shared" si="96"/>
        <v>9.62019422402637E-4</v>
      </c>
      <c r="N116" s="140">
        <f t="shared" si="96"/>
        <v>1.0674300359315323E-3</v>
      </c>
      <c r="O116" s="140">
        <f t="shared" si="96"/>
        <v>1.3159542575695517E-3</v>
      </c>
      <c r="P116" s="140">
        <f t="shared" si="96"/>
        <v>1.6424887894541794E-3</v>
      </c>
      <c r="Q116" s="140">
        <f t="shared" si="96"/>
        <v>1.6915121486609005E-3</v>
      </c>
      <c r="R116" s="140">
        <f t="shared" si="94"/>
        <v>1.4536931868103498E-3</v>
      </c>
      <c r="S116" s="140">
        <f t="shared" si="94"/>
        <v>1.2866492205122323E-3</v>
      </c>
      <c r="T116" s="140">
        <f t="shared" si="94"/>
        <v>1.0989358650665088E-3</v>
      </c>
      <c r="U116" s="140">
        <f t="shared" si="94"/>
        <v>1.436911069450794E-3</v>
      </c>
      <c r="V116" s="140">
        <f t="shared" si="94"/>
        <v>8.326178481624306E-4</v>
      </c>
      <c r="W116" s="140">
        <f t="shared" si="95"/>
        <v>6.6966165659486983E-4</v>
      </c>
      <c r="X116" s="140">
        <f t="shared" si="95"/>
        <v>8.5286189785861309E-4</v>
      </c>
      <c r="Y116" s="140">
        <f t="shared" si="95"/>
        <v>1.1143766057873687E-3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2.0127480990655327E-3</v>
      </c>
      <c r="C117" s="140">
        <f t="shared" si="97"/>
        <v>1.6173581947762916E-3</v>
      </c>
      <c r="D117" s="140">
        <f t="shared" si="97"/>
        <v>1.6373788129508396E-3</v>
      </c>
      <c r="E117" s="140">
        <f t="shared" si="97"/>
        <v>1.6030763190196526E-3</v>
      </c>
      <c r="F117" s="140">
        <f t="shared" si="97"/>
        <v>2.0571656700854395E-3</v>
      </c>
      <c r="G117" s="140">
        <f t="shared" si="97"/>
        <v>2.3965800867020008E-3</v>
      </c>
      <c r="H117" s="140">
        <f t="shared" si="97"/>
        <v>2.3242040712422854E-3</v>
      </c>
      <c r="I117" s="140">
        <f t="shared" si="97"/>
        <v>2.7929806680953269E-3</v>
      </c>
      <c r="J117" s="140">
        <f t="shared" si="97"/>
        <v>2.2561013437769565E-3</v>
      </c>
      <c r="K117" s="140">
        <f t="shared" si="97"/>
        <v>1.5485081133856235E-3</v>
      </c>
      <c r="L117" s="140">
        <f t="shared" si="97"/>
        <v>1.40535143647063E-3</v>
      </c>
      <c r="M117" s="140">
        <f t="shared" si="97"/>
        <v>2.5827020615639194E-3</v>
      </c>
      <c r="N117" s="140">
        <f t="shared" si="97"/>
        <v>3.7719875432764981E-3</v>
      </c>
      <c r="O117" s="140">
        <f t="shared" si="97"/>
        <v>3.3534613263294585E-3</v>
      </c>
      <c r="P117" s="140">
        <f t="shared" si="97"/>
        <v>2.5737755797131143E-3</v>
      </c>
      <c r="Q117" s="140">
        <f t="shared" si="97"/>
        <v>2.1820620569856152E-3</v>
      </c>
      <c r="R117" s="140">
        <f t="shared" ref="R117:V120" si="98">IF(R25=0,0,R25/R$17)</f>
        <v>2.4055672108031973E-3</v>
      </c>
      <c r="S117" s="140">
        <f t="shared" si="98"/>
        <v>2.3179689702898837E-3</v>
      </c>
      <c r="T117" s="140">
        <f t="shared" si="98"/>
        <v>2.2404386047517144E-3</v>
      </c>
      <c r="U117" s="140">
        <f t="shared" si="98"/>
        <v>2.3989469645269395E-3</v>
      </c>
      <c r="V117" s="140">
        <f t="shared" si="98"/>
        <v>1.3176296439020372E-3</v>
      </c>
      <c r="W117" s="140">
        <f t="shared" si="95"/>
        <v>1.3665685791652224E-3</v>
      </c>
      <c r="X117" s="140">
        <f t="shared" si="95"/>
        <v>2.9913948188576285E-3</v>
      </c>
      <c r="Y117" s="140">
        <f t="shared" si="95"/>
        <v>8.0207988906717161E-3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2.3900369565277788E-2</v>
      </c>
      <c r="C118" s="124">
        <f t="shared" si="99"/>
        <v>2.2434050337730792E-2</v>
      </c>
      <c r="D118" s="124">
        <f t="shared" si="99"/>
        <v>2.3175895515210609E-2</v>
      </c>
      <c r="E118" s="124">
        <f t="shared" si="99"/>
        <v>2.1650924093846551E-2</v>
      </c>
      <c r="F118" s="124">
        <f t="shared" si="99"/>
        <v>2.071025799739561E-2</v>
      </c>
      <c r="G118" s="124">
        <f t="shared" si="99"/>
        <v>1.8431637775385642E-2</v>
      </c>
      <c r="H118" s="124">
        <f t="shared" si="99"/>
        <v>2.1154104146553231E-2</v>
      </c>
      <c r="I118" s="124">
        <f t="shared" si="99"/>
        <v>2.3652736073277676E-2</v>
      </c>
      <c r="J118" s="124">
        <f t="shared" si="99"/>
        <v>2.1978980810463351E-2</v>
      </c>
      <c r="K118" s="124">
        <f t="shared" si="99"/>
        <v>2.167932528087169E-2</v>
      </c>
      <c r="L118" s="124">
        <f t="shared" si="99"/>
        <v>3.0230778384697062E-2</v>
      </c>
      <c r="M118" s="124">
        <f t="shared" si="99"/>
        <v>3.3917355372359632E-2</v>
      </c>
      <c r="N118" s="124">
        <f t="shared" si="99"/>
        <v>2.6875835714533388E-2</v>
      </c>
      <c r="O118" s="124">
        <f t="shared" si="99"/>
        <v>2.1280153757006724E-2</v>
      </c>
      <c r="P118" s="124">
        <f t="shared" si="99"/>
        <v>2.3740852555753134E-2</v>
      </c>
      <c r="Q118" s="124">
        <f t="shared" si="99"/>
        <v>2.5585691492000951E-2</v>
      </c>
      <c r="R118" s="124">
        <f t="shared" si="98"/>
        <v>2.4794153500419931E-2</v>
      </c>
      <c r="S118" s="124">
        <f t="shared" si="98"/>
        <v>2.4584478810853901E-2</v>
      </c>
      <c r="T118" s="124">
        <f t="shared" si="98"/>
        <v>2.8293905669272638E-2</v>
      </c>
      <c r="U118" s="124">
        <f t="shared" si="98"/>
        <v>4.4281413434989488E-2</v>
      </c>
      <c r="V118" s="124">
        <f t="shared" si="98"/>
        <v>2.6456151912400246E-2</v>
      </c>
      <c r="W118" s="124">
        <f t="shared" si="95"/>
        <v>1.8300970912823476E-2</v>
      </c>
      <c r="X118" s="124">
        <f t="shared" si="95"/>
        <v>2.4477652745884797E-2</v>
      </c>
      <c r="Y118" s="124">
        <f t="shared" si="95"/>
        <v>2.175031335764549E-2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2.1013928312892814E-2</v>
      </c>
      <c r="C119" s="140">
        <f t="shared" si="100"/>
        <v>1.9881253966304302E-2</v>
      </c>
      <c r="D119" s="140">
        <f t="shared" si="100"/>
        <v>2.0436722830634281E-2</v>
      </c>
      <c r="E119" s="140">
        <f t="shared" si="100"/>
        <v>1.8930187351109948E-2</v>
      </c>
      <c r="F119" s="140">
        <f t="shared" si="100"/>
        <v>1.7818184899793966E-2</v>
      </c>
      <c r="G119" s="140">
        <f t="shared" si="100"/>
        <v>1.6597101211793464E-2</v>
      </c>
      <c r="H119" s="140">
        <f t="shared" si="100"/>
        <v>1.9506609632212561E-2</v>
      </c>
      <c r="I119" s="140">
        <f t="shared" si="100"/>
        <v>2.1112395653048781E-2</v>
      </c>
      <c r="J119" s="140">
        <f t="shared" si="100"/>
        <v>2.008477587173154E-2</v>
      </c>
      <c r="K119" s="140">
        <f t="shared" si="100"/>
        <v>2.0025019455778149E-2</v>
      </c>
      <c r="L119" s="140">
        <f t="shared" si="100"/>
        <v>2.8297555146666872E-2</v>
      </c>
      <c r="M119" s="140">
        <f t="shared" si="100"/>
        <v>3.1502586874135277E-2</v>
      </c>
      <c r="N119" s="140">
        <f t="shared" si="100"/>
        <v>2.3364893790921375E-2</v>
      </c>
      <c r="O119" s="140">
        <f t="shared" si="100"/>
        <v>1.774856072693445E-2</v>
      </c>
      <c r="P119" s="140">
        <f t="shared" si="100"/>
        <v>1.9751029970362221E-2</v>
      </c>
      <c r="Q119" s="140">
        <f t="shared" si="100"/>
        <v>2.1861216038547539E-2</v>
      </c>
      <c r="R119" s="140">
        <f t="shared" si="98"/>
        <v>2.2115770714593985E-2</v>
      </c>
      <c r="S119" s="140">
        <f t="shared" si="98"/>
        <v>2.1619116358560678E-2</v>
      </c>
      <c r="T119" s="140">
        <f t="shared" si="98"/>
        <v>2.5496714989247077E-2</v>
      </c>
      <c r="U119" s="140">
        <f t="shared" si="98"/>
        <v>4.1411736942117174E-2</v>
      </c>
      <c r="V119" s="140">
        <f t="shared" si="98"/>
        <v>2.3486039025581693E-2</v>
      </c>
      <c r="W119" s="140">
        <f t="shared" si="95"/>
        <v>1.4873623315537125E-2</v>
      </c>
      <c r="X119" s="140">
        <f t="shared" si="95"/>
        <v>1.9961265889221348E-2</v>
      </c>
      <c r="Y119" s="140">
        <f t="shared" si="95"/>
        <v>1.6140663449326915E-2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2.8864412523849762E-3</v>
      </c>
      <c r="C120" s="127">
        <f t="shared" si="101"/>
        <v>2.5527963714264902E-3</v>
      </c>
      <c r="D120" s="127">
        <f t="shared" si="101"/>
        <v>2.7391726845763268E-3</v>
      </c>
      <c r="E120" s="127">
        <f t="shared" si="101"/>
        <v>2.7207367427366041E-3</v>
      </c>
      <c r="F120" s="127">
        <f t="shared" si="101"/>
        <v>2.8920730976016436E-3</v>
      </c>
      <c r="G120" s="127">
        <f t="shared" si="101"/>
        <v>1.834536563592178E-3</v>
      </c>
      <c r="H120" s="127">
        <f t="shared" si="101"/>
        <v>1.6474945143406677E-3</v>
      </c>
      <c r="I120" s="127">
        <f t="shared" si="101"/>
        <v>2.540340420228895E-3</v>
      </c>
      <c r="J120" s="127">
        <f t="shared" si="101"/>
        <v>1.8942049387318108E-3</v>
      </c>
      <c r="K120" s="127">
        <f t="shared" si="101"/>
        <v>1.6543058250935371E-3</v>
      </c>
      <c r="L120" s="127">
        <f t="shared" si="101"/>
        <v>1.9332232380301878E-3</v>
      </c>
      <c r="M120" s="127">
        <f t="shared" si="101"/>
        <v>2.414768498224354E-3</v>
      </c>
      <c r="N120" s="127">
        <f t="shared" si="101"/>
        <v>3.510941923612012E-3</v>
      </c>
      <c r="O120" s="127">
        <f t="shared" si="101"/>
        <v>3.5315930300722715E-3</v>
      </c>
      <c r="P120" s="127">
        <f t="shared" si="101"/>
        <v>3.9898225853909133E-3</v>
      </c>
      <c r="Q120" s="127">
        <f t="shared" si="101"/>
        <v>3.7244754534534147E-3</v>
      </c>
      <c r="R120" s="127">
        <f t="shared" si="98"/>
        <v>2.6783827858259468E-3</v>
      </c>
      <c r="S120" s="127">
        <f t="shared" si="98"/>
        <v>2.9653624522932233E-3</v>
      </c>
      <c r="T120" s="127">
        <f t="shared" si="98"/>
        <v>2.7971906800255582E-3</v>
      </c>
      <c r="U120" s="127">
        <f t="shared" si="98"/>
        <v>2.8696764928723135E-3</v>
      </c>
      <c r="V120" s="127">
        <f t="shared" si="98"/>
        <v>2.9701128868185565E-3</v>
      </c>
      <c r="W120" s="127">
        <f t="shared" si="95"/>
        <v>3.4273475972863522E-3</v>
      </c>
      <c r="X120" s="127">
        <f t="shared" si="95"/>
        <v>4.5163868566634501E-3</v>
      </c>
      <c r="Y120" s="127">
        <f t="shared" si="95"/>
        <v>5.6096499083185744E-3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1</v>
      </c>
      <c r="C121" s="31">
        <f t="shared" si="102"/>
        <v>1</v>
      </c>
      <c r="D121" s="31">
        <f t="shared" si="102"/>
        <v>1</v>
      </c>
      <c r="E121" s="31">
        <f t="shared" si="102"/>
        <v>1</v>
      </c>
      <c r="F121" s="31">
        <f t="shared" si="102"/>
        <v>1</v>
      </c>
      <c r="G121" s="31">
        <f t="shared" si="102"/>
        <v>1</v>
      </c>
      <c r="H121" s="31">
        <f t="shared" si="102"/>
        <v>1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1</v>
      </c>
      <c r="Y121" s="31">
        <f t="shared" si="102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0.49439806079065562</v>
      </c>
      <c r="C122" s="140">
        <f t="shared" si="103"/>
        <v>0.41232974045837312</v>
      </c>
      <c r="D122" s="140">
        <f t="shared" si="103"/>
        <v>0.37435631524836221</v>
      </c>
      <c r="E122" s="140">
        <f t="shared" si="103"/>
        <v>0.35407982293187201</v>
      </c>
      <c r="F122" s="140">
        <f t="shared" si="103"/>
        <v>0.35539086925896124</v>
      </c>
      <c r="G122" s="140">
        <f t="shared" si="103"/>
        <v>0.36294263273299299</v>
      </c>
      <c r="H122" s="140">
        <f t="shared" si="103"/>
        <v>0.38987932786995161</v>
      </c>
      <c r="I122" s="140">
        <f t="shared" si="103"/>
        <v>0.37878681647421003</v>
      </c>
      <c r="J122" s="140">
        <f t="shared" si="103"/>
        <v>0.35484702026165699</v>
      </c>
      <c r="K122" s="140">
        <f t="shared" si="103"/>
        <v>0.30737296427229305</v>
      </c>
      <c r="L122" s="140">
        <f t="shared" si="103"/>
        <v>0.32345988612964854</v>
      </c>
      <c r="M122" s="140">
        <f t="shared" si="103"/>
        <v>0.30063068229394529</v>
      </c>
      <c r="N122" s="140">
        <f t="shared" si="103"/>
        <v>0.30863303992168994</v>
      </c>
      <c r="O122" s="140">
        <f t="shared" si="103"/>
        <v>0.30404441307342711</v>
      </c>
      <c r="P122" s="140">
        <f t="shared" si="103"/>
        <v>0.29779160563073098</v>
      </c>
      <c r="Q122" s="140">
        <f t="shared" si="103"/>
        <v>0.34675542073810944</v>
      </c>
      <c r="R122" s="140">
        <f t="shared" si="103"/>
        <v>0.32987432695535884</v>
      </c>
      <c r="S122" s="140">
        <f t="shared" si="103"/>
        <v>0.33838273252056872</v>
      </c>
      <c r="T122" s="140">
        <f t="shared" si="103"/>
        <v>0.3272705229362704</v>
      </c>
      <c r="U122" s="140">
        <f t="shared" si="103"/>
        <v>0.3085466277436108</v>
      </c>
      <c r="V122" s="140">
        <f t="shared" si="103"/>
        <v>0.32975786584428324</v>
      </c>
      <c r="W122" s="140">
        <f t="shared" si="103"/>
        <v>0.34790238803396994</v>
      </c>
      <c r="X122" s="140">
        <f t="shared" si="103"/>
        <v>0.37583080084973269</v>
      </c>
      <c r="Y122" s="140">
        <f t="shared" si="103"/>
        <v>0.45139706589440243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0.50560193920934438</v>
      </c>
      <c r="C123" s="127">
        <f t="shared" si="104"/>
        <v>0.58767025954162677</v>
      </c>
      <c r="D123" s="127">
        <f t="shared" si="104"/>
        <v>0.62564368475163767</v>
      </c>
      <c r="E123" s="127">
        <f t="shared" si="104"/>
        <v>0.6459201770681281</v>
      </c>
      <c r="F123" s="127">
        <f t="shared" si="104"/>
        <v>0.64460913074103865</v>
      </c>
      <c r="G123" s="127">
        <f t="shared" si="104"/>
        <v>0.63705736726700701</v>
      </c>
      <c r="H123" s="127">
        <f t="shared" si="104"/>
        <v>0.61012067213004839</v>
      </c>
      <c r="I123" s="127">
        <f t="shared" si="104"/>
        <v>0.62121318352578991</v>
      </c>
      <c r="J123" s="127">
        <f t="shared" si="104"/>
        <v>0.64515297973834307</v>
      </c>
      <c r="K123" s="127">
        <f t="shared" si="104"/>
        <v>0.69262703572770701</v>
      </c>
      <c r="L123" s="127">
        <f t="shared" si="104"/>
        <v>0.67654011387035151</v>
      </c>
      <c r="M123" s="127">
        <f t="shared" si="104"/>
        <v>0.69936931770605471</v>
      </c>
      <c r="N123" s="127">
        <f t="shared" si="104"/>
        <v>0.69136696007831</v>
      </c>
      <c r="O123" s="127">
        <f t="shared" si="104"/>
        <v>0.69595558692657289</v>
      </c>
      <c r="P123" s="127">
        <f t="shared" si="104"/>
        <v>0.70220839436926896</v>
      </c>
      <c r="Q123" s="127">
        <f t="shared" si="104"/>
        <v>0.65324457926189061</v>
      </c>
      <c r="R123" s="127">
        <f t="shared" si="104"/>
        <v>0.67012567304464121</v>
      </c>
      <c r="S123" s="127">
        <f t="shared" si="104"/>
        <v>0.66161726747943117</v>
      </c>
      <c r="T123" s="127">
        <f t="shared" si="104"/>
        <v>0.67272947706372965</v>
      </c>
      <c r="U123" s="127">
        <f t="shared" si="104"/>
        <v>0.69145337225638914</v>
      </c>
      <c r="V123" s="127">
        <f t="shared" si="104"/>
        <v>0.67024213415571676</v>
      </c>
      <c r="W123" s="127">
        <f t="shared" si="104"/>
        <v>0.65209761196603</v>
      </c>
      <c r="X123" s="127">
        <f t="shared" si="104"/>
        <v>0.62416919915026725</v>
      </c>
      <c r="Y123" s="127">
        <f t="shared" si="104"/>
        <v>0.54860293410559768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0.8233359557075548</v>
      </c>
      <c r="C127" s="139">
        <f t="shared" ref="C127:Y127" si="107">IF(C35=0,0,C35/C$34)</f>
        <v>0.8221892026047799</v>
      </c>
      <c r="D127" s="139">
        <f t="shared" si="107"/>
        <v>0.83055780718340966</v>
      </c>
      <c r="E127" s="139">
        <f t="shared" si="107"/>
        <v>0.82974535796108184</v>
      </c>
      <c r="F127" s="139">
        <f t="shared" si="107"/>
        <v>0.81871356853286226</v>
      </c>
      <c r="G127" s="139">
        <f t="shared" si="107"/>
        <v>0.82053136255883274</v>
      </c>
      <c r="H127" s="139">
        <f t="shared" si="107"/>
        <v>0.81304080622072195</v>
      </c>
      <c r="I127" s="139">
        <f t="shared" si="107"/>
        <v>0.80203989587260405</v>
      </c>
      <c r="J127" s="139">
        <f t="shared" si="107"/>
        <v>0.78702093276331153</v>
      </c>
      <c r="K127" s="139">
        <f t="shared" si="107"/>
        <v>0.80635078821899075</v>
      </c>
      <c r="L127" s="139">
        <f t="shared" si="107"/>
        <v>0.80314580926909729</v>
      </c>
      <c r="M127" s="139">
        <f t="shared" si="107"/>
        <v>0.78050057447060139</v>
      </c>
      <c r="N127" s="139">
        <f t="shared" si="107"/>
        <v>0.78837629916010377</v>
      </c>
      <c r="O127" s="139">
        <f t="shared" si="107"/>
        <v>0.78723826296614807</v>
      </c>
      <c r="P127" s="139">
        <f t="shared" si="107"/>
        <v>0.78820435568807956</v>
      </c>
      <c r="Q127" s="139">
        <f t="shared" si="107"/>
        <v>0.7876420396709366</v>
      </c>
      <c r="R127" s="139">
        <f t="shared" si="107"/>
        <v>0.786527365998687</v>
      </c>
      <c r="S127" s="139">
        <f t="shared" si="107"/>
        <v>0.77816749121336637</v>
      </c>
      <c r="T127" s="139">
        <f t="shared" si="107"/>
        <v>0.75595869706167296</v>
      </c>
      <c r="U127" s="139">
        <f t="shared" si="107"/>
        <v>0.74146190228412989</v>
      </c>
      <c r="V127" s="139">
        <f t="shared" si="107"/>
        <v>0.87873380815868163</v>
      </c>
      <c r="W127" s="139">
        <f t="shared" si="107"/>
        <v>0.88268950829806503</v>
      </c>
      <c r="X127" s="139">
        <f t="shared" si="107"/>
        <v>0.79818018251490952</v>
      </c>
      <c r="Y127" s="139">
        <f t="shared" si="107"/>
        <v>0.77446093597294807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1.3921352381923784E-2</v>
      </c>
      <c r="C128" s="140">
        <f t="shared" ref="C128:Y128" si="108">IF(C36=0,0,C36/C$34)</f>
        <v>1.3567163532555352E-2</v>
      </c>
      <c r="D128" s="140">
        <f t="shared" si="108"/>
        <v>1.3187261123213065E-2</v>
      </c>
      <c r="E128" s="140">
        <f t="shared" si="108"/>
        <v>1.2717330696258269E-2</v>
      </c>
      <c r="F128" s="140">
        <f t="shared" si="108"/>
        <v>1.2088926969350891E-2</v>
      </c>
      <c r="G128" s="140">
        <f t="shared" si="108"/>
        <v>1.1886230286235413E-2</v>
      </c>
      <c r="H128" s="140">
        <f t="shared" si="108"/>
        <v>1.1394627085893207E-2</v>
      </c>
      <c r="I128" s="140">
        <f t="shared" si="108"/>
        <v>1.0813215359993605E-2</v>
      </c>
      <c r="J128" s="140">
        <f t="shared" si="108"/>
        <v>1.0722852840957376E-2</v>
      </c>
      <c r="K128" s="140">
        <f t="shared" si="108"/>
        <v>1.0766951103005675E-2</v>
      </c>
      <c r="L128" s="140">
        <f t="shared" si="108"/>
        <v>1.3775141039339297E-2</v>
      </c>
      <c r="M128" s="140">
        <f t="shared" si="108"/>
        <v>1.2996706821314602E-2</v>
      </c>
      <c r="N128" s="140">
        <f t="shared" si="108"/>
        <v>1.2974601443488082E-2</v>
      </c>
      <c r="O128" s="140">
        <f t="shared" si="108"/>
        <v>1.2786539167411124E-2</v>
      </c>
      <c r="P128" s="140">
        <f t="shared" si="108"/>
        <v>1.2756539899111035E-2</v>
      </c>
      <c r="Q128" s="140">
        <f t="shared" si="108"/>
        <v>1.2446505981056056E-2</v>
      </c>
      <c r="R128" s="140">
        <f t="shared" si="108"/>
        <v>1.2739032884668528E-2</v>
      </c>
      <c r="S128" s="140">
        <f t="shared" si="108"/>
        <v>1.1737673282147264E-2</v>
      </c>
      <c r="T128" s="140">
        <f t="shared" si="108"/>
        <v>1.0733646931517968E-2</v>
      </c>
      <c r="U128" s="140">
        <f t="shared" si="108"/>
        <v>1.1297579490693833E-2</v>
      </c>
      <c r="V128" s="140">
        <f t="shared" si="108"/>
        <v>1.283500017506615E-2</v>
      </c>
      <c r="W128" s="140">
        <f t="shared" si="108"/>
        <v>1.3104768806245108E-2</v>
      </c>
      <c r="X128" s="140">
        <f t="shared" si="108"/>
        <v>1.2477671644132958E-2</v>
      </c>
      <c r="Y128" s="140">
        <f t="shared" si="108"/>
        <v>1.3005191963152706E-2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0.7325308973277519</v>
      </c>
      <c r="C129" s="140">
        <f t="shared" ref="C129:Y129" si="109">IF(C37=0,0,C37/C$34)</f>
        <v>0.73425430871378172</v>
      </c>
      <c r="D129" s="140">
        <f t="shared" si="109"/>
        <v>0.74329789971140681</v>
      </c>
      <c r="E129" s="140">
        <f t="shared" si="109"/>
        <v>0.74247185047679198</v>
      </c>
      <c r="F129" s="140">
        <f t="shared" si="109"/>
        <v>0.73210935959778944</v>
      </c>
      <c r="G129" s="140">
        <f t="shared" si="109"/>
        <v>0.73543729092806309</v>
      </c>
      <c r="H129" s="140">
        <f t="shared" si="109"/>
        <v>0.72808806701217266</v>
      </c>
      <c r="I129" s="140">
        <f t="shared" si="109"/>
        <v>0.71831403449923281</v>
      </c>
      <c r="J129" s="140">
        <f t="shared" si="109"/>
        <v>0.7025829817884871</v>
      </c>
      <c r="K129" s="140">
        <f t="shared" si="109"/>
        <v>0.71759329571092523</v>
      </c>
      <c r="L129" s="140">
        <f t="shared" si="109"/>
        <v>0.7097801536845233</v>
      </c>
      <c r="M129" s="140">
        <f t="shared" si="109"/>
        <v>0.68934486412341778</v>
      </c>
      <c r="N129" s="140">
        <f t="shared" si="109"/>
        <v>0.69286024768422438</v>
      </c>
      <c r="O129" s="140">
        <f t="shared" si="109"/>
        <v>0.68981182857782275</v>
      </c>
      <c r="P129" s="140">
        <f t="shared" si="109"/>
        <v>0.68738874815864781</v>
      </c>
      <c r="Q129" s="140">
        <f t="shared" si="109"/>
        <v>0.68496768065590985</v>
      </c>
      <c r="R129" s="140">
        <f t="shared" si="109"/>
        <v>0.67636964846089875</v>
      </c>
      <c r="S129" s="140">
        <f t="shared" si="109"/>
        <v>0.67060973940633928</v>
      </c>
      <c r="T129" s="140">
        <f t="shared" si="109"/>
        <v>0.65338890659869708</v>
      </c>
      <c r="U129" s="140">
        <f t="shared" si="109"/>
        <v>0.64141432131987419</v>
      </c>
      <c r="V129" s="140">
        <f t="shared" si="109"/>
        <v>0.76796725157946089</v>
      </c>
      <c r="W129" s="140">
        <f t="shared" si="109"/>
        <v>0.78105864031370886</v>
      </c>
      <c r="X129" s="140">
        <f t="shared" si="109"/>
        <v>0.69507777696960626</v>
      </c>
      <c r="Y129" s="140">
        <f t="shared" si="109"/>
        <v>0.67023487631104683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7.6883705997879109E-2</v>
      </c>
      <c r="C130" s="140">
        <f t="shared" ref="C130:Y130" si="110">IF(C38=0,0,C38/C$34)</f>
        <v>7.4367730358442657E-2</v>
      </c>
      <c r="D130" s="140">
        <f t="shared" si="110"/>
        <v>7.4072646348789739E-2</v>
      </c>
      <c r="E130" s="140">
        <f t="shared" si="110"/>
        <v>7.4556176788031572E-2</v>
      </c>
      <c r="F130" s="140">
        <f t="shared" si="110"/>
        <v>7.4515281965721991E-2</v>
      </c>
      <c r="G130" s="140">
        <f t="shared" si="110"/>
        <v>7.3207841344534175E-2</v>
      </c>
      <c r="H130" s="140">
        <f t="shared" si="110"/>
        <v>7.3558112122656116E-2</v>
      </c>
      <c r="I130" s="140">
        <f t="shared" si="110"/>
        <v>7.2912646013377644E-2</v>
      </c>
      <c r="J130" s="140">
        <f t="shared" si="110"/>
        <v>7.3715098133867063E-2</v>
      </c>
      <c r="K130" s="140">
        <f t="shared" si="110"/>
        <v>7.7990541405059843E-2</v>
      </c>
      <c r="L130" s="140">
        <f t="shared" si="110"/>
        <v>7.9590514545234567E-2</v>
      </c>
      <c r="M130" s="140">
        <f t="shared" si="110"/>
        <v>7.8159003525869061E-2</v>
      </c>
      <c r="N130" s="140">
        <f t="shared" si="110"/>
        <v>8.2541450032391384E-2</v>
      </c>
      <c r="O130" s="140">
        <f t="shared" si="110"/>
        <v>8.4639895220914238E-2</v>
      </c>
      <c r="P130" s="140">
        <f t="shared" si="110"/>
        <v>8.8059067630320662E-2</v>
      </c>
      <c r="Q130" s="140">
        <f t="shared" si="110"/>
        <v>9.0227853033970587E-2</v>
      </c>
      <c r="R130" s="140">
        <f t="shared" si="110"/>
        <v>9.7418684653119592E-2</v>
      </c>
      <c r="S130" s="140">
        <f t="shared" si="110"/>
        <v>9.5820078524879795E-2</v>
      </c>
      <c r="T130" s="140">
        <f t="shared" si="110"/>
        <v>9.1836143531457942E-2</v>
      </c>
      <c r="U130" s="140">
        <f t="shared" si="110"/>
        <v>8.8750001473561865E-2</v>
      </c>
      <c r="V130" s="140">
        <f t="shared" si="110"/>
        <v>9.7931556404154574E-2</v>
      </c>
      <c r="W130" s="140">
        <f t="shared" si="110"/>
        <v>8.8526099178111092E-2</v>
      </c>
      <c r="X130" s="140">
        <f t="shared" si="110"/>
        <v>9.062473390117036E-2</v>
      </c>
      <c r="Y130" s="140">
        <f t="shared" si="110"/>
        <v>9.1220867698748404E-2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1.4434476525816501E-2</v>
      </c>
      <c r="C131" s="124">
        <f t="shared" ref="C131:Y131" si="111">IF(C39=0,0,C39/C$34)</f>
        <v>1.4442951050539629E-2</v>
      </c>
      <c r="D131" s="124">
        <f t="shared" si="111"/>
        <v>1.5008171931063243E-2</v>
      </c>
      <c r="E131" s="124">
        <f t="shared" si="111"/>
        <v>1.5763114127846273E-2</v>
      </c>
      <c r="F131" s="124">
        <f t="shared" si="111"/>
        <v>1.489700945385812E-2</v>
      </c>
      <c r="G131" s="124">
        <f t="shared" si="111"/>
        <v>1.5004929044685672E-2</v>
      </c>
      <c r="H131" s="124">
        <f t="shared" si="111"/>
        <v>1.4597348871309883E-2</v>
      </c>
      <c r="I131" s="124">
        <f t="shared" si="111"/>
        <v>1.4321897140342609E-2</v>
      </c>
      <c r="J131" s="124">
        <f t="shared" si="111"/>
        <v>1.4848211761795937E-2</v>
      </c>
      <c r="K131" s="124">
        <f t="shared" si="111"/>
        <v>1.5576084604721289E-2</v>
      </c>
      <c r="L131" s="124">
        <f t="shared" si="111"/>
        <v>1.5583974397330518E-2</v>
      </c>
      <c r="M131" s="124">
        <f t="shared" si="111"/>
        <v>1.5137771011305168E-2</v>
      </c>
      <c r="N131" s="124">
        <f t="shared" si="111"/>
        <v>1.5407484263513484E-2</v>
      </c>
      <c r="O131" s="124">
        <f t="shared" si="111"/>
        <v>1.519149425528366E-2</v>
      </c>
      <c r="P131" s="124">
        <f t="shared" si="111"/>
        <v>1.4635658657913966E-2</v>
      </c>
      <c r="Q131" s="124">
        <f t="shared" si="111"/>
        <v>1.4888485856475219E-2</v>
      </c>
      <c r="R131" s="124">
        <f t="shared" si="111"/>
        <v>1.4037805347838756E-2</v>
      </c>
      <c r="S131" s="124">
        <f t="shared" si="111"/>
        <v>1.4438076216522095E-2</v>
      </c>
      <c r="T131" s="124">
        <f t="shared" si="111"/>
        <v>1.4697129346318723E-2</v>
      </c>
      <c r="U131" s="124">
        <f t="shared" si="111"/>
        <v>1.4902738501017818E-2</v>
      </c>
      <c r="V131" s="124">
        <f t="shared" si="111"/>
        <v>1.5278446343146457E-2</v>
      </c>
      <c r="W131" s="124">
        <f t="shared" si="111"/>
        <v>1.5417566834311664E-2</v>
      </c>
      <c r="X131" s="124">
        <f t="shared" si="111"/>
        <v>1.5605197356642337E-2</v>
      </c>
      <c r="Y131" s="124">
        <f t="shared" si="111"/>
        <v>1.5296970508306631E-2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9.674102117725558E-4</v>
      </c>
      <c r="C132" s="140">
        <f t="shared" ref="C132:Y132" si="112">IF(C40=0,0,C40/C$34)</f>
        <v>9.8020278601363819E-4</v>
      </c>
      <c r="D132" s="140">
        <f t="shared" si="112"/>
        <v>9.9582269823248392E-4</v>
      </c>
      <c r="E132" s="140">
        <f t="shared" si="112"/>
        <v>9.8035605057480556E-4</v>
      </c>
      <c r="F132" s="140">
        <f t="shared" si="112"/>
        <v>9.3709545847283087E-4</v>
      </c>
      <c r="G132" s="140">
        <f t="shared" si="112"/>
        <v>9.2251644417200664E-4</v>
      </c>
      <c r="H132" s="140">
        <f t="shared" si="112"/>
        <v>8.8688460787358209E-4</v>
      </c>
      <c r="I132" s="140">
        <f t="shared" si="112"/>
        <v>8.3293810149286118E-4</v>
      </c>
      <c r="J132" s="140">
        <f t="shared" si="112"/>
        <v>8.393536980846858E-4</v>
      </c>
      <c r="K132" s="140">
        <f t="shared" si="112"/>
        <v>8.5919673085269391E-4</v>
      </c>
      <c r="L132" s="140">
        <f t="shared" si="112"/>
        <v>8.2567312149621746E-4</v>
      </c>
      <c r="M132" s="140">
        <f t="shared" si="112"/>
        <v>7.7294479405115677E-4</v>
      </c>
      <c r="N132" s="140">
        <f t="shared" si="112"/>
        <v>7.9102268560326367E-4</v>
      </c>
      <c r="O132" s="140">
        <f t="shared" si="112"/>
        <v>7.8030438330333374E-4</v>
      </c>
      <c r="P132" s="140">
        <f t="shared" si="112"/>
        <v>7.6901961023280072E-4</v>
      </c>
      <c r="Q132" s="140">
        <f t="shared" si="112"/>
        <v>7.3391169372557141E-4</v>
      </c>
      <c r="R132" s="140">
        <f t="shared" si="112"/>
        <v>7.3940882860716573E-4</v>
      </c>
      <c r="S132" s="140">
        <f t="shared" si="112"/>
        <v>7.4303104057134675E-4</v>
      </c>
      <c r="T132" s="140">
        <f t="shared" si="112"/>
        <v>8.2953163548559719E-4</v>
      </c>
      <c r="U132" s="140">
        <f t="shared" si="112"/>
        <v>8.1324061702833035E-4</v>
      </c>
      <c r="V132" s="140">
        <f t="shared" si="112"/>
        <v>1.0205634233893194E-3</v>
      </c>
      <c r="W132" s="140">
        <f t="shared" si="112"/>
        <v>9.8658007734524667E-4</v>
      </c>
      <c r="X132" s="140">
        <f t="shared" si="112"/>
        <v>8.4655674169928298E-4</v>
      </c>
      <c r="Y132" s="140">
        <f t="shared" si="112"/>
        <v>8.1808219214739904E-4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1.309066966774881E-2</v>
      </c>
      <c r="C133" s="140">
        <f t="shared" ref="C133:Y133" si="113">IF(C41=0,0,C41/C$34)</f>
        <v>1.3153498627330821E-2</v>
      </c>
      <c r="D133" s="140">
        <f t="shared" si="113"/>
        <v>1.3332024837717732E-2</v>
      </c>
      <c r="E133" s="140">
        <f t="shared" si="113"/>
        <v>1.381276190747863E-2</v>
      </c>
      <c r="F133" s="140">
        <f t="shared" si="113"/>
        <v>1.3226427214591458E-2</v>
      </c>
      <c r="G133" s="140">
        <f t="shared" si="113"/>
        <v>1.2701105386281218E-2</v>
      </c>
      <c r="H133" s="140">
        <f t="shared" si="113"/>
        <v>1.1889486476501156E-2</v>
      </c>
      <c r="I133" s="140">
        <f t="shared" si="113"/>
        <v>1.1203772910326627E-2</v>
      </c>
      <c r="J133" s="140">
        <f t="shared" si="113"/>
        <v>1.151843812313008E-2</v>
      </c>
      <c r="K133" s="140">
        <f t="shared" si="113"/>
        <v>1.2262982448864887E-2</v>
      </c>
      <c r="L133" s="140">
        <f t="shared" si="113"/>
        <v>1.2240972030677408E-2</v>
      </c>
      <c r="M133" s="140">
        <f t="shared" si="113"/>
        <v>1.1770150144425187E-2</v>
      </c>
      <c r="N133" s="140">
        <f t="shared" si="113"/>
        <v>1.2076059777940124E-2</v>
      </c>
      <c r="O133" s="140">
        <f t="shared" si="113"/>
        <v>1.1731901207086273E-2</v>
      </c>
      <c r="P133" s="140">
        <f t="shared" si="113"/>
        <v>1.155572363758052E-2</v>
      </c>
      <c r="Q133" s="140">
        <f t="shared" si="113"/>
        <v>1.2197521622227129E-2</v>
      </c>
      <c r="R133" s="140">
        <f t="shared" si="113"/>
        <v>1.1185356615277262E-2</v>
      </c>
      <c r="S133" s="140">
        <f t="shared" si="113"/>
        <v>1.1424475856620169E-2</v>
      </c>
      <c r="T133" s="140">
        <f t="shared" si="113"/>
        <v>1.1308738930644609E-2</v>
      </c>
      <c r="U133" s="140">
        <f t="shared" si="113"/>
        <v>1.1492562095153825E-2</v>
      </c>
      <c r="V133" s="140">
        <f t="shared" si="113"/>
        <v>1.1790507019585336E-2</v>
      </c>
      <c r="W133" s="140">
        <f t="shared" si="113"/>
        <v>1.1692080912966861E-2</v>
      </c>
      <c r="X133" s="140">
        <f t="shared" si="113"/>
        <v>1.237817110842151E-2</v>
      </c>
      <c r="Y133" s="140">
        <f t="shared" si="113"/>
        <v>1.2423340270521098E-2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3.7639664629513599E-4</v>
      </c>
      <c r="C134" s="140">
        <f t="shared" ref="C134:Y134" si="114">IF(C42=0,0,C42/C$34)</f>
        <v>3.0924963719516994E-4</v>
      </c>
      <c r="D134" s="140">
        <f t="shared" si="114"/>
        <v>6.8032439511302753E-4</v>
      </c>
      <c r="E134" s="140">
        <f t="shared" si="114"/>
        <v>9.6999616979283939E-4</v>
      </c>
      <c r="F134" s="140">
        <f t="shared" si="114"/>
        <v>7.3348678079383236E-4</v>
      </c>
      <c r="G134" s="140">
        <f t="shared" si="114"/>
        <v>1.3813072142324469E-3</v>
      </c>
      <c r="H134" s="140">
        <f t="shared" si="114"/>
        <v>1.8209777869351471E-3</v>
      </c>
      <c r="I134" s="140">
        <f t="shared" si="114"/>
        <v>2.2851861285231221E-3</v>
      </c>
      <c r="J134" s="140">
        <f t="shared" si="114"/>
        <v>2.4904199405811713E-3</v>
      </c>
      <c r="K134" s="140">
        <f t="shared" si="114"/>
        <v>2.4539054250037095E-3</v>
      </c>
      <c r="L134" s="140">
        <f t="shared" si="114"/>
        <v>2.5173292451568944E-3</v>
      </c>
      <c r="M134" s="140">
        <f t="shared" si="114"/>
        <v>2.5946760728288243E-3</v>
      </c>
      <c r="N134" s="140">
        <f t="shared" si="114"/>
        <v>2.5404017999700974E-3</v>
      </c>
      <c r="O134" s="140">
        <f t="shared" si="114"/>
        <v>2.6792886648940558E-3</v>
      </c>
      <c r="P134" s="140">
        <f t="shared" si="114"/>
        <v>2.3109154101006455E-3</v>
      </c>
      <c r="Q134" s="140">
        <f t="shared" si="114"/>
        <v>1.9570525405225164E-3</v>
      </c>
      <c r="R134" s="140">
        <f t="shared" si="114"/>
        <v>2.1130399039543291E-3</v>
      </c>
      <c r="S134" s="140">
        <f t="shared" si="114"/>
        <v>2.2705693193305777E-3</v>
      </c>
      <c r="T134" s="140">
        <f t="shared" si="114"/>
        <v>2.5588587801885186E-3</v>
      </c>
      <c r="U134" s="140">
        <f t="shared" si="114"/>
        <v>2.5969357888356625E-3</v>
      </c>
      <c r="V134" s="140">
        <f t="shared" si="114"/>
        <v>2.4673759001718034E-3</v>
      </c>
      <c r="W134" s="140">
        <f t="shared" si="114"/>
        <v>2.7389058439995567E-3</v>
      </c>
      <c r="X134" s="140">
        <f t="shared" si="114"/>
        <v>2.3804695065215444E-3</v>
      </c>
      <c r="Y134" s="140">
        <f t="shared" si="114"/>
        <v>2.0555480456381334E-3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0.16222956776662875</v>
      </c>
      <c r="C135" s="124">
        <f t="shared" ref="C135:Y135" si="115">IF(C43=0,0,C43/C$34)</f>
        <v>0.16336784634468052</v>
      </c>
      <c r="D135" s="124">
        <f t="shared" si="115"/>
        <v>0.15443402088552716</v>
      </c>
      <c r="E135" s="124">
        <f t="shared" si="115"/>
        <v>0.15449152791107179</v>
      </c>
      <c r="F135" s="124">
        <f t="shared" si="115"/>
        <v>0.16638942201327958</v>
      </c>
      <c r="G135" s="124">
        <f t="shared" si="115"/>
        <v>0.16446370839648169</v>
      </c>
      <c r="H135" s="124">
        <f t="shared" si="115"/>
        <v>0.17236184490796827</v>
      </c>
      <c r="I135" s="124">
        <f t="shared" si="115"/>
        <v>0.18363820698705344</v>
      </c>
      <c r="J135" s="124">
        <f t="shared" si="115"/>
        <v>0.19813085547489262</v>
      </c>
      <c r="K135" s="124">
        <f t="shared" si="115"/>
        <v>0.17807312717628801</v>
      </c>
      <c r="L135" s="124">
        <f t="shared" si="115"/>
        <v>0.18127021633357224</v>
      </c>
      <c r="M135" s="124">
        <f t="shared" si="115"/>
        <v>0.20436165451809341</v>
      </c>
      <c r="N135" s="124">
        <f t="shared" si="115"/>
        <v>0.19621621657638277</v>
      </c>
      <c r="O135" s="124">
        <f t="shared" si="115"/>
        <v>0.19757024277856816</v>
      </c>
      <c r="P135" s="124">
        <f t="shared" si="115"/>
        <v>0.19715998565400647</v>
      </c>
      <c r="Q135" s="124">
        <f t="shared" si="115"/>
        <v>0.19746947447258814</v>
      </c>
      <c r="R135" s="124">
        <f t="shared" si="115"/>
        <v>0.1994348286534742</v>
      </c>
      <c r="S135" s="124">
        <f t="shared" si="115"/>
        <v>0.20739443257011159</v>
      </c>
      <c r="T135" s="124">
        <f t="shared" si="115"/>
        <v>0.22934417359200832</v>
      </c>
      <c r="U135" s="124">
        <f t="shared" si="115"/>
        <v>0.24363535921485238</v>
      </c>
      <c r="V135" s="124">
        <f t="shared" si="115"/>
        <v>0.10598774549817178</v>
      </c>
      <c r="W135" s="124">
        <f t="shared" si="115"/>
        <v>0.10189292486762326</v>
      </c>
      <c r="X135" s="124">
        <f t="shared" si="115"/>
        <v>0.18621462012844817</v>
      </c>
      <c r="Y135" s="124">
        <f t="shared" si="115"/>
        <v>0.21024209351874529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4.3223071214009229E-2</v>
      </c>
      <c r="C136" s="140">
        <f t="shared" ref="C136:Y136" si="116">IF(C44=0,0,C44/C$34)</f>
        <v>4.2084974414627385E-2</v>
      </c>
      <c r="D136" s="140">
        <f t="shared" si="116"/>
        <v>3.6225457708090804E-2</v>
      </c>
      <c r="E136" s="140">
        <f t="shared" si="116"/>
        <v>3.5533527721133239E-2</v>
      </c>
      <c r="F136" s="140">
        <f t="shared" si="116"/>
        <v>3.4887155107165981E-2</v>
      </c>
      <c r="G136" s="140">
        <f t="shared" si="116"/>
        <v>3.3083850701227942E-2</v>
      </c>
      <c r="H136" s="140">
        <f t="shared" si="116"/>
        <v>3.0466502794831474E-2</v>
      </c>
      <c r="I136" s="140">
        <f t="shared" si="116"/>
        <v>2.7283315292505699E-2</v>
      </c>
      <c r="J136" s="140">
        <f t="shared" si="116"/>
        <v>2.6581951437788635E-2</v>
      </c>
      <c r="K136" s="140">
        <f t="shared" si="116"/>
        <v>2.4540491692548856E-2</v>
      </c>
      <c r="L136" s="140">
        <f t="shared" si="116"/>
        <v>2.335460290625159E-2</v>
      </c>
      <c r="M136" s="140">
        <f t="shared" si="116"/>
        <v>2.5059328225408965E-2</v>
      </c>
      <c r="N136" s="140">
        <f t="shared" si="116"/>
        <v>2.1177414313629288E-2</v>
      </c>
      <c r="O136" s="140">
        <f t="shared" si="116"/>
        <v>1.8096786816038785E-2</v>
      </c>
      <c r="P136" s="140">
        <f t="shared" si="116"/>
        <v>1.8281631499513552E-2</v>
      </c>
      <c r="Q136" s="140">
        <f t="shared" si="116"/>
        <v>1.743470462750241E-2</v>
      </c>
      <c r="R136" s="140">
        <f t="shared" si="116"/>
        <v>1.7808879857664776E-2</v>
      </c>
      <c r="S136" s="140">
        <f t="shared" si="116"/>
        <v>1.8124031381781612E-2</v>
      </c>
      <c r="T136" s="140">
        <f t="shared" si="116"/>
        <v>1.9246769579123062E-2</v>
      </c>
      <c r="U136" s="140">
        <f t="shared" si="116"/>
        <v>1.8379427283306625E-2</v>
      </c>
      <c r="V136" s="140">
        <f t="shared" si="116"/>
        <v>1.0090373667363355E-2</v>
      </c>
      <c r="W136" s="140">
        <f t="shared" si="116"/>
        <v>8.9424679708263958E-3</v>
      </c>
      <c r="X136" s="140">
        <f t="shared" si="116"/>
        <v>1.4612672440184419E-2</v>
      </c>
      <c r="Y136" s="140">
        <f t="shared" si="116"/>
        <v>1.5526299832311057E-2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8.1062187544854267E-2</v>
      </c>
      <c r="C137" s="140">
        <f t="shared" ref="C137:Y137" si="117">IF(C45=0,0,C45/C$34)</f>
        <v>8.326458207580327E-2</v>
      </c>
      <c r="D137" s="140">
        <f t="shared" si="117"/>
        <v>7.7074447395079737E-2</v>
      </c>
      <c r="E137" s="140">
        <f t="shared" si="117"/>
        <v>7.9228816853737394E-2</v>
      </c>
      <c r="F137" s="140">
        <f t="shared" si="117"/>
        <v>8.6170721362022765E-2</v>
      </c>
      <c r="G137" s="140">
        <f t="shared" si="117"/>
        <v>8.5637430354747093E-2</v>
      </c>
      <c r="H137" s="140">
        <f t="shared" si="117"/>
        <v>9.4300352089755929E-2</v>
      </c>
      <c r="I137" s="140">
        <f t="shared" si="117"/>
        <v>0.10513032307009287</v>
      </c>
      <c r="J137" s="140">
        <f t="shared" si="117"/>
        <v>0.11491159004059837</v>
      </c>
      <c r="K137" s="140">
        <f t="shared" si="117"/>
        <v>0.1010128255291587</v>
      </c>
      <c r="L137" s="140">
        <f t="shared" si="117"/>
        <v>0.10400810634937148</v>
      </c>
      <c r="M137" s="140">
        <f t="shared" si="117"/>
        <v>0.11851638906431103</v>
      </c>
      <c r="N137" s="140">
        <f t="shared" si="117"/>
        <v>0.11345458165536067</v>
      </c>
      <c r="O137" s="140">
        <f t="shared" si="117"/>
        <v>0.11627255263778129</v>
      </c>
      <c r="P137" s="140">
        <f t="shared" si="117"/>
        <v>0.11686304884849205</v>
      </c>
      <c r="Q137" s="140">
        <f t="shared" si="117"/>
        <v>0.11848631937302935</v>
      </c>
      <c r="R137" s="140">
        <f t="shared" si="117"/>
        <v>0.12183082764288877</v>
      </c>
      <c r="S137" s="140">
        <f t="shared" si="117"/>
        <v>0.12885062286192198</v>
      </c>
      <c r="T137" s="140">
        <f t="shared" si="117"/>
        <v>0.14277764431981019</v>
      </c>
      <c r="U137" s="140">
        <f t="shared" si="117"/>
        <v>0.15183533181249931</v>
      </c>
      <c r="V137" s="140">
        <f t="shared" si="117"/>
        <v>5.8160211327764791E-2</v>
      </c>
      <c r="W137" s="140">
        <f t="shared" si="117"/>
        <v>5.9394564230309282E-2</v>
      </c>
      <c r="X137" s="140">
        <f t="shared" si="117"/>
        <v>0.11809339065544956</v>
      </c>
      <c r="Y137" s="140">
        <f t="shared" si="117"/>
        <v>0.13225958266853949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3.7944309007765263E-2</v>
      </c>
      <c r="C138" s="140">
        <f t="shared" ref="C138:Y138" si="118">IF(C46=0,0,C46/C$34)</f>
        <v>3.8018289854249848E-2</v>
      </c>
      <c r="D138" s="140">
        <f t="shared" si="118"/>
        <v>4.1134115782356616E-2</v>
      </c>
      <c r="E138" s="140">
        <f t="shared" si="118"/>
        <v>3.9729183336201151E-2</v>
      </c>
      <c r="F138" s="140">
        <f t="shared" si="118"/>
        <v>4.5331545544090829E-2</v>
      </c>
      <c r="G138" s="140">
        <f t="shared" si="118"/>
        <v>4.5742427340506667E-2</v>
      </c>
      <c r="H138" s="140">
        <f t="shared" si="118"/>
        <v>4.759499002338087E-2</v>
      </c>
      <c r="I138" s="140">
        <f t="shared" si="118"/>
        <v>5.1224568624454833E-2</v>
      </c>
      <c r="J138" s="140">
        <f t="shared" si="118"/>
        <v>5.6637313996505616E-2</v>
      </c>
      <c r="K138" s="140">
        <f t="shared" si="118"/>
        <v>5.2519809954580485E-2</v>
      </c>
      <c r="L138" s="140">
        <f t="shared" si="118"/>
        <v>5.3907507077949189E-2</v>
      </c>
      <c r="M138" s="140">
        <f t="shared" si="118"/>
        <v>6.0785937228373423E-2</v>
      </c>
      <c r="N138" s="140">
        <f t="shared" si="118"/>
        <v>6.1584220607392805E-2</v>
      </c>
      <c r="O138" s="140">
        <f t="shared" si="118"/>
        <v>6.3200903324748106E-2</v>
      </c>
      <c r="P138" s="140">
        <f t="shared" si="118"/>
        <v>6.2015305306000856E-2</v>
      </c>
      <c r="Q138" s="140">
        <f t="shared" si="118"/>
        <v>6.1548450472056399E-2</v>
      </c>
      <c r="R138" s="140">
        <f t="shared" si="118"/>
        <v>5.9795121152920669E-2</v>
      </c>
      <c r="S138" s="140">
        <f t="shared" si="118"/>
        <v>6.0419778326407957E-2</v>
      </c>
      <c r="T138" s="140">
        <f t="shared" si="118"/>
        <v>6.7319759693075076E-2</v>
      </c>
      <c r="U138" s="140">
        <f t="shared" si="118"/>
        <v>7.3420600119046414E-2</v>
      </c>
      <c r="V138" s="140">
        <f t="shared" si="118"/>
        <v>3.7737160503043626E-2</v>
      </c>
      <c r="W138" s="140">
        <f t="shared" si="118"/>
        <v>3.3555892666487591E-2</v>
      </c>
      <c r="X138" s="140">
        <f t="shared" si="118"/>
        <v>5.3508557032814173E-2</v>
      </c>
      <c r="Y138" s="140">
        <f t="shared" si="118"/>
        <v>6.2456211017894725E-2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0.8420721175133179</v>
      </c>
      <c r="C140" s="139">
        <f t="shared" ref="C140:Y140" si="121">IF(C48=0,0,C48/C$47)</f>
        <v>0.85567125415545142</v>
      </c>
      <c r="D140" s="139">
        <f t="shared" si="121"/>
        <v>0.85501867002906184</v>
      </c>
      <c r="E140" s="139">
        <f t="shared" si="121"/>
        <v>0.85233906771349588</v>
      </c>
      <c r="F140" s="139">
        <f t="shared" si="121"/>
        <v>0.85734725017955449</v>
      </c>
      <c r="G140" s="139">
        <f t="shared" si="121"/>
        <v>0.85554892260484705</v>
      </c>
      <c r="H140" s="139">
        <f t="shared" si="121"/>
        <v>0.84593270336863535</v>
      </c>
      <c r="I140" s="139">
        <f t="shared" si="121"/>
        <v>0.84904484024755167</v>
      </c>
      <c r="J140" s="139">
        <f t="shared" si="121"/>
        <v>0.86239099533526087</v>
      </c>
      <c r="K140" s="139">
        <f t="shared" si="121"/>
        <v>0.85402272287624204</v>
      </c>
      <c r="L140" s="139">
        <f t="shared" si="121"/>
        <v>0.84952752073846538</v>
      </c>
      <c r="M140" s="139">
        <f t="shared" si="121"/>
        <v>0.85031447696871443</v>
      </c>
      <c r="N140" s="139">
        <f t="shared" si="121"/>
        <v>0.84858812368393721</v>
      </c>
      <c r="O140" s="139">
        <f t="shared" si="121"/>
        <v>0.85266955613522022</v>
      </c>
      <c r="P140" s="139">
        <f t="shared" si="121"/>
        <v>0.85995169677729033</v>
      </c>
      <c r="Q140" s="139">
        <f t="shared" si="121"/>
        <v>0.86031353096282859</v>
      </c>
      <c r="R140" s="139">
        <f t="shared" si="121"/>
        <v>0.87486575517839871</v>
      </c>
      <c r="S140" s="139">
        <f t="shared" si="121"/>
        <v>0.86874923591028641</v>
      </c>
      <c r="T140" s="139">
        <f t="shared" si="121"/>
        <v>0.86899935739424383</v>
      </c>
      <c r="U140" s="139">
        <f t="shared" si="121"/>
        <v>0.86355375080522889</v>
      </c>
      <c r="V140" s="139">
        <f t="shared" si="121"/>
        <v>0.87841637743789514</v>
      </c>
      <c r="W140" s="139">
        <f t="shared" si="121"/>
        <v>0.88274186189788473</v>
      </c>
      <c r="X140" s="139">
        <f t="shared" si="121"/>
        <v>0.88403039141328099</v>
      </c>
      <c r="Y140" s="139">
        <f t="shared" si="121"/>
        <v>0.87793090339680546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0.28399746795598069</v>
      </c>
      <c r="C141" s="140">
        <f t="shared" ref="C141:Y141" si="122">IF(C49=0,0,C49/C$47)</f>
        <v>0.27963173988750645</v>
      </c>
      <c r="D141" s="140">
        <f t="shared" si="122"/>
        <v>0.27581148541904194</v>
      </c>
      <c r="E141" s="140">
        <f t="shared" si="122"/>
        <v>0.27296270163735775</v>
      </c>
      <c r="F141" s="140">
        <f t="shared" si="122"/>
        <v>0.28195119070427982</v>
      </c>
      <c r="G141" s="140">
        <f t="shared" si="122"/>
        <v>0.28369005937907688</v>
      </c>
      <c r="H141" s="140">
        <f t="shared" si="122"/>
        <v>0.28818624859988151</v>
      </c>
      <c r="I141" s="140">
        <f t="shared" si="122"/>
        <v>0.29676626417135332</v>
      </c>
      <c r="J141" s="140">
        <f t="shared" si="122"/>
        <v>0.31825820713073838</v>
      </c>
      <c r="K141" s="140">
        <f t="shared" si="122"/>
        <v>0.34970255035793563</v>
      </c>
      <c r="L141" s="140">
        <f t="shared" si="122"/>
        <v>0.34021271135937803</v>
      </c>
      <c r="M141" s="140">
        <f t="shared" si="122"/>
        <v>0.37015038974959563</v>
      </c>
      <c r="N141" s="140">
        <f t="shared" si="122"/>
        <v>0.39704076299505464</v>
      </c>
      <c r="O141" s="140">
        <f t="shared" si="122"/>
        <v>0.40781236722920511</v>
      </c>
      <c r="P141" s="140">
        <f t="shared" si="122"/>
        <v>0.43282488000236335</v>
      </c>
      <c r="Q141" s="140">
        <f t="shared" si="122"/>
        <v>0.4580306402200911</v>
      </c>
      <c r="R141" s="140">
        <f t="shared" si="122"/>
        <v>0.44307750479749969</v>
      </c>
      <c r="S141" s="140">
        <f t="shared" si="122"/>
        <v>0.44457300886773132</v>
      </c>
      <c r="T141" s="140">
        <f t="shared" si="122"/>
        <v>0.45430810877676769</v>
      </c>
      <c r="U141" s="140">
        <f t="shared" si="122"/>
        <v>0.46220695733093148</v>
      </c>
      <c r="V141" s="140">
        <f t="shared" si="122"/>
        <v>0.48270963640181141</v>
      </c>
      <c r="W141" s="140">
        <f t="shared" si="122"/>
        <v>0.47598778937997677</v>
      </c>
      <c r="X141" s="140">
        <f t="shared" si="122"/>
        <v>0.48159999700630796</v>
      </c>
      <c r="Y141" s="140">
        <f t="shared" si="122"/>
        <v>0.50591650583719561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0.55807464955733721</v>
      </c>
      <c r="C142" s="140">
        <f t="shared" ref="C142:Y142" si="123">IF(C50=0,0,C50/C$47)</f>
        <v>0.57603951426794497</v>
      </c>
      <c r="D142" s="140">
        <f t="shared" si="123"/>
        <v>0.57920718461001985</v>
      </c>
      <c r="E142" s="140">
        <f t="shared" si="123"/>
        <v>0.57937636607613818</v>
      </c>
      <c r="F142" s="140">
        <f t="shared" si="123"/>
        <v>0.57539605947527472</v>
      </c>
      <c r="G142" s="140">
        <f t="shared" si="123"/>
        <v>0.57185886322577018</v>
      </c>
      <c r="H142" s="140">
        <f t="shared" si="123"/>
        <v>0.55774645476875384</v>
      </c>
      <c r="I142" s="140">
        <f t="shared" si="123"/>
        <v>0.55227857607619824</v>
      </c>
      <c r="J142" s="140">
        <f t="shared" si="123"/>
        <v>0.54413278820452249</v>
      </c>
      <c r="K142" s="140">
        <f t="shared" si="123"/>
        <v>0.50432017251830641</v>
      </c>
      <c r="L142" s="140">
        <f t="shared" si="123"/>
        <v>0.50931480937908735</v>
      </c>
      <c r="M142" s="140">
        <f t="shared" si="123"/>
        <v>0.48016408721911885</v>
      </c>
      <c r="N142" s="140">
        <f t="shared" si="123"/>
        <v>0.45154736068888257</v>
      </c>
      <c r="O142" s="140">
        <f t="shared" si="123"/>
        <v>0.44485718890601522</v>
      </c>
      <c r="P142" s="140">
        <f t="shared" si="123"/>
        <v>0.42712681677492692</v>
      </c>
      <c r="Q142" s="140">
        <f t="shared" si="123"/>
        <v>0.40228289074273743</v>
      </c>
      <c r="R142" s="140">
        <f t="shared" si="123"/>
        <v>0.43178825038089896</v>
      </c>
      <c r="S142" s="140">
        <f t="shared" si="123"/>
        <v>0.42417622704255514</v>
      </c>
      <c r="T142" s="140">
        <f t="shared" si="123"/>
        <v>0.41469124861747619</v>
      </c>
      <c r="U142" s="140">
        <f t="shared" si="123"/>
        <v>0.40134679347429736</v>
      </c>
      <c r="V142" s="140">
        <f t="shared" si="123"/>
        <v>0.39570674103608372</v>
      </c>
      <c r="W142" s="140">
        <f t="shared" si="123"/>
        <v>0.40675407251790791</v>
      </c>
      <c r="X142" s="140">
        <f t="shared" si="123"/>
        <v>0.40243039440697298</v>
      </c>
      <c r="Y142" s="140">
        <f t="shared" si="123"/>
        <v>0.3720143975596098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3.7449965017137071E-2</v>
      </c>
      <c r="C143" s="124">
        <f t="shared" ref="C143:Y143" si="124">IF(C51=0,0,C51/C$47)</f>
        <v>3.6106267649794327E-2</v>
      </c>
      <c r="D143" s="124">
        <f t="shared" si="124"/>
        <v>3.4343100925782084E-2</v>
      </c>
      <c r="E143" s="124">
        <f t="shared" si="124"/>
        <v>3.3797667192341931E-2</v>
      </c>
      <c r="F143" s="124">
        <f t="shared" si="124"/>
        <v>3.4009233326183622E-2</v>
      </c>
      <c r="G143" s="124">
        <f t="shared" si="124"/>
        <v>3.3503407293893304E-2</v>
      </c>
      <c r="H143" s="124">
        <f t="shared" si="124"/>
        <v>3.5998734465425494E-2</v>
      </c>
      <c r="I143" s="124">
        <f t="shared" si="124"/>
        <v>3.1780505631767118E-2</v>
      </c>
      <c r="J143" s="124">
        <f t="shared" si="124"/>
        <v>3.3510740046418137E-2</v>
      </c>
      <c r="K143" s="124">
        <f t="shared" si="124"/>
        <v>3.0227274912178824E-2</v>
      </c>
      <c r="L143" s="124">
        <f t="shared" si="124"/>
        <v>2.9019246432306987E-2</v>
      </c>
      <c r="M143" s="124">
        <f t="shared" si="124"/>
        <v>2.9634256194401323E-2</v>
      </c>
      <c r="N143" s="124">
        <f t="shared" si="124"/>
        <v>3.163013763831804E-2</v>
      </c>
      <c r="O143" s="124">
        <f t="shared" si="124"/>
        <v>2.9356150849652457E-2</v>
      </c>
      <c r="P143" s="124">
        <f t="shared" si="124"/>
        <v>3.0491432864191082E-2</v>
      </c>
      <c r="Q143" s="124">
        <f t="shared" si="124"/>
        <v>2.4713239951376895E-2</v>
      </c>
      <c r="R143" s="124">
        <f t="shared" si="124"/>
        <v>2.4424860770781161E-2</v>
      </c>
      <c r="S143" s="124">
        <f t="shared" si="124"/>
        <v>2.6318645504787134E-2</v>
      </c>
      <c r="T143" s="124">
        <f t="shared" si="124"/>
        <v>2.8191964738544927E-2</v>
      </c>
      <c r="U143" s="124">
        <f t="shared" si="124"/>
        <v>2.6368717701612757E-2</v>
      </c>
      <c r="V143" s="124">
        <f t="shared" si="124"/>
        <v>2.7793092983832708E-2</v>
      </c>
      <c r="W143" s="124">
        <f t="shared" si="124"/>
        <v>2.7353332312308836E-2</v>
      </c>
      <c r="X143" s="124">
        <f t="shared" si="124"/>
        <v>2.3443040490547015E-2</v>
      </c>
      <c r="Y143" s="124">
        <f t="shared" si="124"/>
        <v>2.2400251807366548E-2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7.3753044358777341E-3</v>
      </c>
      <c r="C144" s="124">
        <f t="shared" ref="C144:Y144" si="125">IF(C52=0,0,C52/C$47)</f>
        <v>5.9741269540616575E-3</v>
      </c>
      <c r="D144" s="124">
        <f t="shared" si="125"/>
        <v>5.7588326075933838E-3</v>
      </c>
      <c r="E144" s="124">
        <f t="shared" si="125"/>
        <v>6.8416774377916875E-3</v>
      </c>
      <c r="F144" s="124">
        <f t="shared" si="125"/>
        <v>8.9224640890164155E-3</v>
      </c>
      <c r="G144" s="124">
        <f t="shared" si="125"/>
        <v>9.3701080676432749E-3</v>
      </c>
      <c r="H144" s="124">
        <f t="shared" si="125"/>
        <v>9.9278055950186451E-3</v>
      </c>
      <c r="I144" s="124">
        <f t="shared" si="125"/>
        <v>1.0521452860521236E-2</v>
      </c>
      <c r="J144" s="124">
        <f t="shared" si="125"/>
        <v>9.315706713729506E-3</v>
      </c>
      <c r="K144" s="124">
        <f t="shared" si="125"/>
        <v>7.8672549785976618E-3</v>
      </c>
      <c r="L144" s="124">
        <f t="shared" si="125"/>
        <v>7.5802036193750345E-3</v>
      </c>
      <c r="M144" s="124">
        <f t="shared" si="125"/>
        <v>8.2704165585390822E-3</v>
      </c>
      <c r="N144" s="124">
        <f t="shared" si="125"/>
        <v>9.50851752446372E-3</v>
      </c>
      <c r="O144" s="124">
        <f t="shared" si="125"/>
        <v>1.0001789854276381E-2</v>
      </c>
      <c r="P144" s="124">
        <f t="shared" si="125"/>
        <v>9.2839866881130311E-3</v>
      </c>
      <c r="Q144" s="124">
        <f t="shared" si="125"/>
        <v>1.0104773413072567E-2</v>
      </c>
      <c r="R144" s="124">
        <f t="shared" si="125"/>
        <v>9.0780256583488164E-3</v>
      </c>
      <c r="S144" s="124">
        <f t="shared" si="125"/>
        <v>9.7924599327588301E-3</v>
      </c>
      <c r="T144" s="124">
        <f t="shared" si="125"/>
        <v>9.266733289983663E-3</v>
      </c>
      <c r="U144" s="124">
        <f t="shared" si="125"/>
        <v>1.3060148341147418E-2</v>
      </c>
      <c r="V144" s="124">
        <f t="shared" si="125"/>
        <v>7.4310604228578492E-3</v>
      </c>
      <c r="W144" s="124">
        <f t="shared" si="125"/>
        <v>6.8027617444041486E-3</v>
      </c>
      <c r="X144" s="124">
        <f t="shared" si="125"/>
        <v>8.2530589045335494E-3</v>
      </c>
      <c r="Y144" s="124">
        <f t="shared" si="125"/>
        <v>1.6122968413146296E-2</v>
      </c>
      <c r="DA144" s="176"/>
    </row>
    <row r="145" spans="1:105" ht="11.45" customHeight="1" x14ac:dyDescent="0.25">
      <c r="A145" s="128" t="s">
        <v>27</v>
      </c>
      <c r="B145" s="140">
        <f t="shared" si="119"/>
        <v>1.0886644526183129E-3</v>
      </c>
      <c r="C145" s="140">
        <f t="shared" ref="C145:Y145" si="126">IF(C53=0,0,C53/C$47)</f>
        <v>8.2383726883980459E-4</v>
      </c>
      <c r="D145" s="140">
        <f t="shared" si="126"/>
        <v>7.1689399014431725E-4</v>
      </c>
      <c r="E145" s="140">
        <f t="shared" si="126"/>
        <v>5.8838147242170279E-4</v>
      </c>
      <c r="F145" s="140">
        <f t="shared" si="126"/>
        <v>5.7176667860560923E-4</v>
      </c>
      <c r="G145" s="140">
        <f t="shared" si="126"/>
        <v>5.3603210683848389E-4</v>
      </c>
      <c r="H145" s="140">
        <f t="shared" si="126"/>
        <v>5.0422072881834898E-4</v>
      </c>
      <c r="I145" s="140">
        <f t="shared" si="126"/>
        <v>4.0078903080770906E-4</v>
      </c>
      <c r="J145" s="140">
        <f t="shared" si="126"/>
        <v>3.351775846932074E-4</v>
      </c>
      <c r="K145" s="140">
        <f t="shared" si="126"/>
        <v>3.5956132651371038E-4</v>
      </c>
      <c r="L145" s="140">
        <f t="shared" si="126"/>
        <v>2.5431885997913029E-4</v>
      </c>
      <c r="M145" s="140">
        <f t="shared" si="126"/>
        <v>2.4167688038004729E-4</v>
      </c>
      <c r="N145" s="140">
        <f t="shared" si="126"/>
        <v>2.7890308374264324E-4</v>
      </c>
      <c r="O145" s="140">
        <f t="shared" si="126"/>
        <v>2.2894203573287729E-4</v>
      </c>
      <c r="P145" s="140">
        <f t="shared" si="126"/>
        <v>1.9168472553652554E-4</v>
      </c>
      <c r="Q145" s="140">
        <f t="shared" si="126"/>
        <v>1.8997885759634652E-4</v>
      </c>
      <c r="R145" s="140">
        <f t="shared" si="126"/>
        <v>1.9482454230792723E-4</v>
      </c>
      <c r="S145" s="140">
        <f t="shared" si="126"/>
        <v>1.5432470747871822E-4</v>
      </c>
      <c r="T145" s="140">
        <f t="shared" si="126"/>
        <v>1.0376942163954716E-4</v>
      </c>
      <c r="U145" s="140">
        <f t="shared" si="126"/>
        <v>1.1009169159103613E-4</v>
      </c>
      <c r="V145" s="140">
        <f t="shared" si="126"/>
        <v>1.1804340860510299E-4</v>
      </c>
      <c r="W145" s="140">
        <f t="shared" si="126"/>
        <v>7.9942031623225456E-5</v>
      </c>
      <c r="X145" s="140">
        <f t="shared" si="126"/>
        <v>1.0991477794375116E-4</v>
      </c>
      <c r="Y145" s="140">
        <f t="shared" si="126"/>
        <v>1.3399257984637015E-4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3.5460098155960735E-3</v>
      </c>
      <c r="C146" s="140">
        <f t="shared" ref="C146:Y146" si="127">IF(C54=0,0,C54/C$47)</f>
        <v>3.1246585095023364E-3</v>
      </c>
      <c r="D146" s="140">
        <f t="shared" si="127"/>
        <v>2.7623378614843983E-3</v>
      </c>
      <c r="E146" s="140">
        <f t="shared" si="127"/>
        <v>3.9702947101019096E-3</v>
      </c>
      <c r="F146" s="140">
        <f t="shared" si="127"/>
        <v>5.2761178585254498E-3</v>
      </c>
      <c r="G146" s="140">
        <f t="shared" si="127"/>
        <v>5.4289874631880276E-3</v>
      </c>
      <c r="H146" s="140">
        <f t="shared" si="127"/>
        <v>6.644241739084485E-3</v>
      </c>
      <c r="I146" s="140">
        <f t="shared" si="127"/>
        <v>7.3820387778950249E-3</v>
      </c>
      <c r="J146" s="140">
        <f t="shared" si="127"/>
        <v>6.5149627972229665E-3</v>
      </c>
      <c r="K146" s="140">
        <f t="shared" si="127"/>
        <v>5.9235628918278506E-3</v>
      </c>
      <c r="L146" s="140">
        <f t="shared" si="127"/>
        <v>5.7265359124992867E-3</v>
      </c>
      <c r="M146" s="140">
        <f t="shared" si="127"/>
        <v>5.4606283359317073E-3</v>
      </c>
      <c r="N146" s="140">
        <f t="shared" si="127"/>
        <v>5.6734583496029405E-3</v>
      </c>
      <c r="O146" s="140">
        <f t="shared" si="127"/>
        <v>6.6868640805702734E-3</v>
      </c>
      <c r="P146" s="140">
        <f t="shared" si="127"/>
        <v>6.969277730454867E-3</v>
      </c>
      <c r="Q146" s="140">
        <f t="shared" si="127"/>
        <v>8.0710099466899422E-3</v>
      </c>
      <c r="R146" s="140">
        <f t="shared" si="127"/>
        <v>7.1765011603022897E-3</v>
      </c>
      <c r="S146" s="140">
        <f t="shared" si="127"/>
        <v>7.9848838944102888E-3</v>
      </c>
      <c r="T146" s="140">
        <f t="shared" si="127"/>
        <v>7.5249541483513732E-3</v>
      </c>
      <c r="U146" s="140">
        <f t="shared" si="127"/>
        <v>1.1457074147674896E-2</v>
      </c>
      <c r="V146" s="140">
        <f t="shared" si="127"/>
        <v>5.6209882033208484E-3</v>
      </c>
      <c r="W146" s="140">
        <f t="shared" si="127"/>
        <v>5.0561148619368106E-3</v>
      </c>
      <c r="X146" s="140">
        <f t="shared" si="127"/>
        <v>5.9750358972292701E-3</v>
      </c>
      <c r="Y146" s="140">
        <f t="shared" si="127"/>
        <v>8.8727797384071053E-3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2.7406301676633485E-3</v>
      </c>
      <c r="C147" s="140">
        <f t="shared" ref="C147:Y147" si="128">IF(C55=0,0,C55/C$47)</f>
        <v>2.0256311757195162E-3</v>
      </c>
      <c r="D147" s="140">
        <f t="shared" si="128"/>
        <v>2.2796007559646682E-3</v>
      </c>
      <c r="E147" s="140">
        <f t="shared" si="128"/>
        <v>2.2830012552680756E-3</v>
      </c>
      <c r="F147" s="140">
        <f t="shared" si="128"/>
        <v>3.0745795518853569E-3</v>
      </c>
      <c r="G147" s="140">
        <f t="shared" si="128"/>
        <v>3.4050884976167635E-3</v>
      </c>
      <c r="H147" s="140">
        <f t="shared" si="128"/>
        <v>2.7793431271158123E-3</v>
      </c>
      <c r="I147" s="140">
        <f t="shared" si="128"/>
        <v>2.7386250518185019E-3</v>
      </c>
      <c r="J147" s="140">
        <f t="shared" si="128"/>
        <v>2.4655663318133318E-3</v>
      </c>
      <c r="K147" s="140">
        <f t="shared" si="128"/>
        <v>1.5841307602561011E-3</v>
      </c>
      <c r="L147" s="140">
        <f t="shared" si="128"/>
        <v>1.5993488468966179E-3</v>
      </c>
      <c r="M147" s="140">
        <f t="shared" si="128"/>
        <v>2.568111342227329E-3</v>
      </c>
      <c r="N147" s="140">
        <f t="shared" si="128"/>
        <v>3.5561560911181347E-3</v>
      </c>
      <c r="O147" s="140">
        <f t="shared" si="128"/>
        <v>3.0859837379732294E-3</v>
      </c>
      <c r="P147" s="140">
        <f t="shared" si="128"/>
        <v>2.1230242321216394E-3</v>
      </c>
      <c r="Q147" s="140">
        <f t="shared" si="128"/>
        <v>1.8437846087862777E-3</v>
      </c>
      <c r="R147" s="140">
        <f t="shared" si="128"/>
        <v>1.7066999557386006E-3</v>
      </c>
      <c r="S147" s="140">
        <f t="shared" si="128"/>
        <v>1.6532513308698249E-3</v>
      </c>
      <c r="T147" s="140">
        <f t="shared" si="128"/>
        <v>1.6380097199927418E-3</v>
      </c>
      <c r="U147" s="140">
        <f t="shared" si="128"/>
        <v>1.4929825018814887E-3</v>
      </c>
      <c r="V147" s="140">
        <f t="shared" si="128"/>
        <v>1.6920288109318977E-3</v>
      </c>
      <c r="W147" s="140">
        <f t="shared" si="128"/>
        <v>1.6667048508441132E-3</v>
      </c>
      <c r="X147" s="140">
        <f t="shared" si="128"/>
        <v>2.1681082293605273E-3</v>
      </c>
      <c r="Y147" s="140">
        <f t="shared" si="128"/>
        <v>7.1161960948928201E-3</v>
      </c>
      <c r="DA147" s="175"/>
    </row>
    <row r="148" spans="1:105" ht="11.45" customHeight="1" x14ac:dyDescent="0.25">
      <c r="A148" s="109" t="s">
        <v>141</v>
      </c>
      <c r="B148" s="124">
        <f t="shared" si="119"/>
        <v>0.11310261303366721</v>
      </c>
      <c r="C148" s="124">
        <f t="shared" ref="C148:Y148" si="129">IF(C56=0,0,C56/C$47)</f>
        <v>0.10224835124069249</v>
      </c>
      <c r="D148" s="124">
        <f t="shared" si="129"/>
        <v>0.10487939643756271</v>
      </c>
      <c r="E148" s="124">
        <f t="shared" si="129"/>
        <v>0.10702158765637053</v>
      </c>
      <c r="F148" s="124">
        <f t="shared" si="129"/>
        <v>9.9721052405245328E-2</v>
      </c>
      <c r="G148" s="124">
        <f t="shared" si="129"/>
        <v>0.1015775620336163</v>
      </c>
      <c r="H148" s="124">
        <f t="shared" si="129"/>
        <v>0.10814075657092061</v>
      </c>
      <c r="I148" s="124">
        <f t="shared" si="129"/>
        <v>0.10865320126016</v>
      </c>
      <c r="J148" s="124">
        <f t="shared" si="129"/>
        <v>9.4782557904591419E-2</v>
      </c>
      <c r="K148" s="124">
        <f t="shared" si="129"/>
        <v>0.10788274723298139</v>
      </c>
      <c r="L148" s="124">
        <f t="shared" si="129"/>
        <v>0.11387302920985255</v>
      </c>
      <c r="M148" s="124">
        <f t="shared" si="129"/>
        <v>0.11178085027834517</v>
      </c>
      <c r="N148" s="124">
        <f t="shared" si="129"/>
        <v>0.11027322115328109</v>
      </c>
      <c r="O148" s="124">
        <f t="shared" si="129"/>
        <v>0.1079725031608508</v>
      </c>
      <c r="P148" s="124">
        <f t="shared" si="129"/>
        <v>0.10027288367040556</v>
      </c>
      <c r="Q148" s="124">
        <f t="shared" si="129"/>
        <v>0.10486845567272182</v>
      </c>
      <c r="R148" s="124">
        <f t="shared" si="129"/>
        <v>9.163135839247126E-2</v>
      </c>
      <c r="S148" s="124">
        <f t="shared" si="129"/>
        <v>9.5139658652167614E-2</v>
      </c>
      <c r="T148" s="124">
        <f t="shared" si="129"/>
        <v>9.3541944577227518E-2</v>
      </c>
      <c r="U148" s="124">
        <f t="shared" si="129"/>
        <v>9.7017383152010833E-2</v>
      </c>
      <c r="V148" s="124">
        <f t="shared" si="129"/>
        <v>8.6359469155414287E-2</v>
      </c>
      <c r="W148" s="124">
        <f t="shared" si="129"/>
        <v>8.3102044045402265E-2</v>
      </c>
      <c r="X148" s="124">
        <f t="shared" si="129"/>
        <v>8.4273509191638618E-2</v>
      </c>
      <c r="Y148" s="124">
        <f t="shared" si="129"/>
        <v>8.35458763826816E-2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9.6985212215413355E-2</v>
      </c>
      <c r="C149" s="140">
        <f t="shared" ref="C149:Y149" si="130">IF(C57=0,0,C57/C$47)</f>
        <v>8.8922658873006238E-2</v>
      </c>
      <c r="D149" s="140">
        <f t="shared" si="130"/>
        <v>9.1447495647541246E-2</v>
      </c>
      <c r="E149" s="140">
        <f t="shared" si="130"/>
        <v>9.0588528269112123E-2</v>
      </c>
      <c r="F149" s="140">
        <f t="shared" si="130"/>
        <v>8.236068107537918E-2</v>
      </c>
      <c r="G149" s="140">
        <f t="shared" si="130"/>
        <v>8.7842338578160706E-2</v>
      </c>
      <c r="H149" s="140">
        <f t="shared" si="130"/>
        <v>9.72189665103598E-2</v>
      </c>
      <c r="I149" s="140">
        <f t="shared" si="130"/>
        <v>9.3333559378642572E-2</v>
      </c>
      <c r="J149" s="140">
        <f t="shared" si="130"/>
        <v>8.5985007024844254E-2</v>
      </c>
      <c r="K149" s="140">
        <f t="shared" si="130"/>
        <v>9.8374710104799409E-2</v>
      </c>
      <c r="L149" s="140">
        <f t="shared" si="130"/>
        <v>0.10789430329704892</v>
      </c>
      <c r="M149" s="140">
        <f t="shared" si="130"/>
        <v>0.10550446002973049</v>
      </c>
      <c r="N149" s="140">
        <f t="shared" si="130"/>
        <v>9.7654555009090524E-2</v>
      </c>
      <c r="O149" s="140">
        <f t="shared" si="130"/>
        <v>9.1665711572314915E-2</v>
      </c>
      <c r="P149" s="140">
        <f t="shared" si="130"/>
        <v>8.7240269740697776E-2</v>
      </c>
      <c r="Q149" s="140">
        <f t="shared" si="130"/>
        <v>9.3237439522853127E-2</v>
      </c>
      <c r="R149" s="140">
        <f t="shared" si="130"/>
        <v>8.416447285594128E-2</v>
      </c>
      <c r="S149" s="140">
        <f t="shared" si="130"/>
        <v>8.7015444453167529E-2</v>
      </c>
      <c r="T149" s="140">
        <f t="shared" si="130"/>
        <v>8.7001537190856557E-2</v>
      </c>
      <c r="U149" s="140">
        <f t="shared" si="130"/>
        <v>9.2595767936427584E-2</v>
      </c>
      <c r="V149" s="140">
        <f t="shared" si="130"/>
        <v>7.8613334068060384E-2</v>
      </c>
      <c r="W149" s="140">
        <f t="shared" si="130"/>
        <v>7.0684539141414371E-2</v>
      </c>
      <c r="X149" s="140">
        <f t="shared" si="130"/>
        <v>7.3129073676215822E-2</v>
      </c>
      <c r="Y149" s="140">
        <f t="shared" si="130"/>
        <v>6.754214044785882E-2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1.6117400818253844E-2</v>
      </c>
      <c r="C150" s="127">
        <f t="shared" ref="C150:Y150" si="131">IF(C58=0,0,C58/C$47)</f>
        <v>1.3325692367686265E-2</v>
      </c>
      <c r="D150" s="127">
        <f t="shared" si="131"/>
        <v>1.3431900790021475E-2</v>
      </c>
      <c r="E150" s="127">
        <f t="shared" si="131"/>
        <v>1.6433059387258399E-2</v>
      </c>
      <c r="F150" s="127">
        <f t="shared" si="131"/>
        <v>1.7360371329866151E-2</v>
      </c>
      <c r="G150" s="127">
        <f t="shared" si="131"/>
        <v>1.3735223455455595E-2</v>
      </c>
      <c r="H150" s="127">
        <f t="shared" si="131"/>
        <v>1.0921790060560809E-2</v>
      </c>
      <c r="I150" s="127">
        <f t="shared" si="131"/>
        <v>1.5319641881517417E-2</v>
      </c>
      <c r="J150" s="127">
        <f t="shared" si="131"/>
        <v>8.7975508797471687E-3</v>
      </c>
      <c r="K150" s="127">
        <f t="shared" si="131"/>
        <v>9.508037128181962E-3</v>
      </c>
      <c r="L150" s="127">
        <f t="shared" si="131"/>
        <v>5.9787259128036337E-3</v>
      </c>
      <c r="M150" s="127">
        <f t="shared" si="131"/>
        <v>6.2763902486146876E-3</v>
      </c>
      <c r="N150" s="127">
        <f t="shared" si="131"/>
        <v>1.261866614419057E-2</v>
      </c>
      <c r="O150" s="127">
        <f t="shared" si="131"/>
        <v>1.6306791588535881E-2</v>
      </c>
      <c r="P150" s="127">
        <f t="shared" si="131"/>
        <v>1.3032613929707776E-2</v>
      </c>
      <c r="Q150" s="127">
        <f t="shared" si="131"/>
        <v>1.1631016149868679E-2</v>
      </c>
      <c r="R150" s="127">
        <f t="shared" si="131"/>
        <v>7.4668855365299753E-3</v>
      </c>
      <c r="S150" s="127">
        <f t="shared" si="131"/>
        <v>8.1242141990000762E-3</v>
      </c>
      <c r="T150" s="127">
        <f t="shared" si="131"/>
        <v>6.5404073863709489E-3</v>
      </c>
      <c r="U150" s="127">
        <f t="shared" si="131"/>
        <v>4.421615215583233E-3</v>
      </c>
      <c r="V150" s="127">
        <f t="shared" si="131"/>
        <v>7.7461350873538936E-3</v>
      </c>
      <c r="W150" s="127">
        <f t="shared" si="131"/>
        <v>1.2417504903987894E-2</v>
      </c>
      <c r="X150" s="127">
        <f t="shared" si="131"/>
        <v>1.1144435515422801E-2</v>
      </c>
      <c r="Y150" s="127">
        <f t="shared" si="131"/>
        <v>1.6003735934822787E-2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1</v>
      </c>
      <c r="C151" s="31">
        <f t="shared" si="132"/>
        <v>1</v>
      </c>
      <c r="D151" s="31">
        <f t="shared" si="132"/>
        <v>1</v>
      </c>
      <c r="E151" s="31">
        <f t="shared" si="132"/>
        <v>1</v>
      </c>
      <c r="F151" s="31">
        <f t="shared" si="132"/>
        <v>1</v>
      </c>
      <c r="G151" s="31">
        <f t="shared" si="132"/>
        <v>1</v>
      </c>
      <c r="H151" s="31">
        <f t="shared" si="132"/>
        <v>1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1</v>
      </c>
      <c r="Y151" s="31">
        <f t="shared" si="132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0.5942473083438875</v>
      </c>
      <c r="C152" s="140">
        <f t="shared" si="133"/>
        <v>0.5689357238958147</v>
      </c>
      <c r="D152" s="140">
        <f t="shared" si="133"/>
        <v>0.56030765584790132</v>
      </c>
      <c r="E152" s="140">
        <f t="shared" si="133"/>
        <v>0.54672566834435632</v>
      </c>
      <c r="F152" s="140">
        <f t="shared" si="133"/>
        <v>0.55030921372675257</v>
      </c>
      <c r="G152" s="140">
        <f t="shared" si="133"/>
        <v>0.55531091085689133</v>
      </c>
      <c r="H152" s="140">
        <f t="shared" si="133"/>
        <v>0.56596175262170889</v>
      </c>
      <c r="I152" s="140">
        <f t="shared" si="133"/>
        <v>0.56347725357884826</v>
      </c>
      <c r="J152" s="140">
        <f t="shared" si="133"/>
        <v>0.56118566889222077</v>
      </c>
      <c r="K152" s="140">
        <f t="shared" si="133"/>
        <v>0.53798627746768746</v>
      </c>
      <c r="L152" s="140">
        <f t="shared" si="133"/>
        <v>0.55394995988318707</v>
      </c>
      <c r="M152" s="140">
        <f t="shared" si="133"/>
        <v>0.54421147361666677</v>
      </c>
      <c r="N152" s="140">
        <f t="shared" si="133"/>
        <v>0.55278628061895241</v>
      </c>
      <c r="O152" s="140">
        <f t="shared" si="133"/>
        <v>0.54655303442035641</v>
      </c>
      <c r="P152" s="140">
        <f t="shared" si="133"/>
        <v>0.53782852991987207</v>
      </c>
      <c r="Q152" s="140">
        <f t="shared" si="133"/>
        <v>0.56822351392771953</v>
      </c>
      <c r="R152" s="140">
        <f t="shared" si="133"/>
        <v>0.55649129278929199</v>
      </c>
      <c r="S152" s="140">
        <f t="shared" si="133"/>
        <v>0.56448383529264878</v>
      </c>
      <c r="T152" s="140">
        <f t="shared" si="133"/>
        <v>0.55950348357354884</v>
      </c>
      <c r="U152" s="140">
        <f t="shared" si="133"/>
        <v>0.55379171499989011</v>
      </c>
      <c r="V152" s="140">
        <f t="shared" si="133"/>
        <v>0.52073971974544542</v>
      </c>
      <c r="W152" s="140">
        <f t="shared" si="133"/>
        <v>0.523970296411433</v>
      </c>
      <c r="X152" s="140">
        <f t="shared" si="133"/>
        <v>0.58156396468947114</v>
      </c>
      <c r="Y152" s="140">
        <f t="shared" si="133"/>
        <v>0.62034581872059569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0.40575269165611261</v>
      </c>
      <c r="C153" s="127">
        <f t="shared" si="134"/>
        <v>0.43106427610418535</v>
      </c>
      <c r="D153" s="127">
        <f t="shared" si="134"/>
        <v>0.43969234415209874</v>
      </c>
      <c r="E153" s="127">
        <f t="shared" si="134"/>
        <v>0.45327433165564357</v>
      </c>
      <c r="F153" s="127">
        <f t="shared" si="134"/>
        <v>0.44969078627324738</v>
      </c>
      <c r="G153" s="127">
        <f t="shared" si="134"/>
        <v>0.44468908914310862</v>
      </c>
      <c r="H153" s="127">
        <f t="shared" si="134"/>
        <v>0.43403824737829116</v>
      </c>
      <c r="I153" s="127">
        <f t="shared" si="134"/>
        <v>0.43652274642115174</v>
      </c>
      <c r="J153" s="127">
        <f t="shared" si="134"/>
        <v>0.43881433110777929</v>
      </c>
      <c r="K153" s="127">
        <f t="shared" si="134"/>
        <v>0.46201372253231254</v>
      </c>
      <c r="L153" s="127">
        <f t="shared" si="134"/>
        <v>0.44605004011681298</v>
      </c>
      <c r="M153" s="127">
        <f t="shared" si="134"/>
        <v>0.45578852638333317</v>
      </c>
      <c r="N153" s="127">
        <f t="shared" si="134"/>
        <v>0.44721371938104759</v>
      </c>
      <c r="O153" s="127">
        <f t="shared" si="134"/>
        <v>0.45344696557964365</v>
      </c>
      <c r="P153" s="127">
        <f t="shared" si="134"/>
        <v>0.46217147008012793</v>
      </c>
      <c r="Q153" s="127">
        <f t="shared" si="134"/>
        <v>0.43177648607228053</v>
      </c>
      <c r="R153" s="127">
        <f t="shared" si="134"/>
        <v>0.44350870721070795</v>
      </c>
      <c r="S153" s="127">
        <f t="shared" si="134"/>
        <v>0.43551616470735133</v>
      </c>
      <c r="T153" s="127">
        <f t="shared" si="134"/>
        <v>0.44049651642645121</v>
      </c>
      <c r="U153" s="127">
        <f t="shared" si="134"/>
        <v>0.44620828500010984</v>
      </c>
      <c r="V153" s="127">
        <f t="shared" si="134"/>
        <v>0.47926028025455458</v>
      </c>
      <c r="W153" s="127">
        <f t="shared" si="134"/>
        <v>0.47602970358856705</v>
      </c>
      <c r="X153" s="127">
        <f t="shared" si="134"/>
        <v>0.41843603531052881</v>
      </c>
      <c r="Y153" s="127">
        <f t="shared" si="134"/>
        <v>0.37965418127940442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0.82790790706751394</v>
      </c>
      <c r="C157" s="139">
        <f t="shared" ref="C157:W157" si="138">IF(C65=0,0,C65/C$64)</f>
        <v>0.82742439492551501</v>
      </c>
      <c r="D157" s="139">
        <f t="shared" si="138"/>
        <v>0.83646461355025747</v>
      </c>
      <c r="E157" s="139">
        <f t="shared" si="138"/>
        <v>0.83614318746330341</v>
      </c>
      <c r="F157" s="139">
        <f t="shared" si="138"/>
        <v>0.82443129621931543</v>
      </c>
      <c r="G157" s="139">
        <f t="shared" si="138"/>
        <v>0.82726075063677129</v>
      </c>
      <c r="H157" s="139">
        <f t="shared" si="138"/>
        <v>0.81944486638986735</v>
      </c>
      <c r="I157" s="139">
        <f t="shared" si="138"/>
        <v>0.80895542333045778</v>
      </c>
      <c r="J157" s="139">
        <f t="shared" si="138"/>
        <v>0.79040249855964406</v>
      </c>
      <c r="K157" s="139">
        <f t="shared" si="138"/>
        <v>0.80952198967738198</v>
      </c>
      <c r="L157" s="139">
        <f t="shared" si="138"/>
        <v>0.8060234050400682</v>
      </c>
      <c r="M157" s="139">
        <f t="shared" si="138"/>
        <v>0.78002179575844088</v>
      </c>
      <c r="N157" s="139">
        <f t="shared" si="138"/>
        <v>0.7887816249708175</v>
      </c>
      <c r="O157" s="139">
        <f t="shared" si="138"/>
        <v>0.78752380502790353</v>
      </c>
      <c r="P157" s="139">
        <f t="shared" si="138"/>
        <v>0.77695311592532701</v>
      </c>
      <c r="Q157" s="139">
        <f t="shared" si="138"/>
        <v>0.7765387203898475</v>
      </c>
      <c r="R157" s="139">
        <f t="shared" si="138"/>
        <v>0.78753779176289018</v>
      </c>
      <c r="S157" s="139">
        <f t="shared" si="138"/>
        <v>0.77050706771047894</v>
      </c>
      <c r="T157" s="139">
        <f t="shared" si="138"/>
        <v>0.74855953567952749</v>
      </c>
      <c r="U157" s="139">
        <f t="shared" si="138"/>
        <v>0.73021117473207064</v>
      </c>
      <c r="V157" s="139">
        <f t="shared" si="138"/>
        <v>0.87938331992333818</v>
      </c>
      <c r="W157" s="139">
        <f t="shared" si="138"/>
        <v>0.87676235971977756</v>
      </c>
      <c r="X157" s="139">
        <f t="shared" ref="X157:Y157" si="139">IF(X65=0,0,X65/X$64)</f>
        <v>0.78194120966806779</v>
      </c>
      <c r="Y157" s="139">
        <f t="shared" si="139"/>
        <v>0.75336138944444453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1.372779177805321E-2</v>
      </c>
      <c r="C158" s="140">
        <f t="shared" ref="C158:W158" si="140">IF(C66=0,0,C66/C$64)</f>
        <v>1.3392030909706523E-2</v>
      </c>
      <c r="D158" s="140">
        <f t="shared" si="140"/>
        <v>1.3023606951869281E-2</v>
      </c>
      <c r="E158" s="140">
        <f t="shared" si="140"/>
        <v>1.2551417204436567E-2</v>
      </c>
      <c r="F158" s="140">
        <f t="shared" si="140"/>
        <v>1.1918741092944451E-2</v>
      </c>
      <c r="G158" s="140">
        <f t="shared" si="140"/>
        <v>1.1736440762120137E-2</v>
      </c>
      <c r="H158" s="140">
        <f t="shared" si="140"/>
        <v>1.1231490269287249E-2</v>
      </c>
      <c r="I158" s="140">
        <f t="shared" si="140"/>
        <v>1.0648371814455136E-2</v>
      </c>
      <c r="J158" s="140">
        <f t="shared" si="140"/>
        <v>1.0362658265830379E-2</v>
      </c>
      <c r="K158" s="140">
        <f t="shared" si="140"/>
        <v>1.0439713465294306E-2</v>
      </c>
      <c r="L158" s="140">
        <f t="shared" si="140"/>
        <v>1.3300239615859424E-2</v>
      </c>
      <c r="M158" s="140">
        <f t="shared" si="140"/>
        <v>1.2511088745771561E-2</v>
      </c>
      <c r="N158" s="140">
        <f t="shared" si="140"/>
        <v>1.2446125341289615E-2</v>
      </c>
      <c r="O158" s="140">
        <f t="shared" si="140"/>
        <v>1.250930009826548E-2</v>
      </c>
      <c r="P158" s="140">
        <f t="shared" si="140"/>
        <v>1.3052328328727004E-2</v>
      </c>
      <c r="Q158" s="140">
        <f t="shared" si="140"/>
        <v>1.2768765810769037E-2</v>
      </c>
      <c r="R158" s="140">
        <f t="shared" si="140"/>
        <v>1.2308177804907002E-2</v>
      </c>
      <c r="S158" s="140">
        <f t="shared" si="140"/>
        <v>1.1644912014373421E-2</v>
      </c>
      <c r="T158" s="140">
        <f t="shared" si="140"/>
        <v>1.0555468576723626E-2</v>
      </c>
      <c r="U158" s="140">
        <f t="shared" si="140"/>
        <v>1.1195635953160235E-2</v>
      </c>
      <c r="V158" s="140">
        <f t="shared" si="140"/>
        <v>1.2846186578746182E-2</v>
      </c>
      <c r="W158" s="140">
        <f t="shared" si="140"/>
        <v>1.3755927787117279E-2</v>
      </c>
      <c r="X158" s="140">
        <f t="shared" ref="X158:Y158" si="141">IF(X66=0,0,X66/X$64)</f>
        <v>1.2595667396923122E-2</v>
      </c>
      <c r="Y158" s="140">
        <f t="shared" si="141"/>
        <v>1.3045801528520912E-2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0.73327163667828288</v>
      </c>
      <c r="C159" s="140">
        <f t="shared" ref="C159:W159" si="142">IF(C67=0,0,C67/C$64)</f>
        <v>0.73569554691254813</v>
      </c>
      <c r="D159" s="140">
        <f t="shared" si="142"/>
        <v>0.74542054600504215</v>
      </c>
      <c r="E159" s="140">
        <f t="shared" si="142"/>
        <v>0.74495998103536654</v>
      </c>
      <c r="F159" s="140">
        <f t="shared" si="142"/>
        <v>0.73397235094698743</v>
      </c>
      <c r="G159" s="140">
        <f t="shared" si="142"/>
        <v>0.73844743617554498</v>
      </c>
      <c r="H159" s="140">
        <f t="shared" si="142"/>
        <v>0.73093285294937915</v>
      </c>
      <c r="I159" s="140">
        <f t="shared" si="142"/>
        <v>0.72172711785473054</v>
      </c>
      <c r="J159" s="140">
        <f t="shared" si="142"/>
        <v>0.70169450247164145</v>
      </c>
      <c r="K159" s="140">
        <f t="shared" si="142"/>
        <v>0.71704247038927471</v>
      </c>
      <c r="L159" s="140">
        <f t="shared" si="142"/>
        <v>0.70899835292295843</v>
      </c>
      <c r="M159" s="140">
        <f t="shared" si="142"/>
        <v>0.68615382391563984</v>
      </c>
      <c r="N159" s="140">
        <f t="shared" si="142"/>
        <v>0.69023515672981173</v>
      </c>
      <c r="O159" s="140">
        <f t="shared" si="142"/>
        <v>0.68840412976666665</v>
      </c>
      <c r="P159" s="140">
        <f t="shared" si="142"/>
        <v>0.68059809233271151</v>
      </c>
      <c r="Q159" s="140">
        <f t="shared" si="142"/>
        <v>0.67846493462312429</v>
      </c>
      <c r="R159" s="140">
        <f t="shared" si="142"/>
        <v>0.674387182143663</v>
      </c>
      <c r="S159" s="140">
        <f t="shared" si="142"/>
        <v>0.66425090008844501</v>
      </c>
      <c r="T159" s="140">
        <f t="shared" si="142"/>
        <v>0.64652305070206528</v>
      </c>
      <c r="U159" s="140">
        <f t="shared" si="142"/>
        <v>0.63208985339213075</v>
      </c>
      <c r="V159" s="140">
        <f t="shared" si="142"/>
        <v>0.76820555915346644</v>
      </c>
      <c r="W159" s="140">
        <f t="shared" si="142"/>
        <v>0.77958011781037317</v>
      </c>
      <c r="X159" s="140">
        <f t="shared" ref="X159:Y159" si="143">IF(X67=0,0,X67/X$64)</f>
        <v>0.68281915472848009</v>
      </c>
      <c r="Y159" s="140">
        <f t="shared" si="143"/>
        <v>0.65373079441805704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8.0908478611177878E-2</v>
      </c>
      <c r="C160" s="140">
        <f t="shared" ref="C160:W160" si="144">IF(C68=0,0,C68/C$64)</f>
        <v>7.8336817103260376E-2</v>
      </c>
      <c r="D160" s="140">
        <f t="shared" si="144"/>
        <v>7.8020460593345942E-2</v>
      </c>
      <c r="E160" s="140">
        <f t="shared" si="144"/>
        <v>7.8631789223500281E-2</v>
      </c>
      <c r="F160" s="140">
        <f t="shared" si="144"/>
        <v>7.8540204179383566E-2</v>
      </c>
      <c r="G160" s="140">
        <f t="shared" si="144"/>
        <v>7.7076873699106152E-2</v>
      </c>
      <c r="H160" s="140">
        <f t="shared" si="144"/>
        <v>7.7280523171201002E-2</v>
      </c>
      <c r="I160" s="140">
        <f t="shared" si="144"/>
        <v>7.6579933661272123E-2</v>
      </c>
      <c r="J160" s="140">
        <f t="shared" si="144"/>
        <v>7.8345337822172165E-2</v>
      </c>
      <c r="K160" s="140">
        <f t="shared" si="144"/>
        <v>8.2039805822812895E-2</v>
      </c>
      <c r="L160" s="140">
        <f t="shared" si="144"/>
        <v>8.3724812501250315E-2</v>
      </c>
      <c r="M160" s="140">
        <f t="shared" si="144"/>
        <v>8.1356883097029459E-2</v>
      </c>
      <c r="N160" s="140">
        <f t="shared" si="144"/>
        <v>8.6100342899716201E-2</v>
      </c>
      <c r="O160" s="140">
        <f t="shared" si="144"/>
        <v>8.6610375162971334E-2</v>
      </c>
      <c r="P160" s="140">
        <f t="shared" si="144"/>
        <v>8.3302695263888463E-2</v>
      </c>
      <c r="Q160" s="140">
        <f t="shared" si="144"/>
        <v>8.5305019955954173E-2</v>
      </c>
      <c r="R160" s="140">
        <f t="shared" si="144"/>
        <v>0.10084243181432016</v>
      </c>
      <c r="S160" s="140">
        <f t="shared" si="144"/>
        <v>9.4611255607660552E-2</v>
      </c>
      <c r="T160" s="140">
        <f t="shared" si="144"/>
        <v>9.1481016400738621E-2</v>
      </c>
      <c r="U160" s="140">
        <f t="shared" si="144"/>
        <v>8.6925685386779666E-2</v>
      </c>
      <c r="V160" s="140">
        <f t="shared" si="144"/>
        <v>9.8331574191125565E-2</v>
      </c>
      <c r="W160" s="140">
        <f t="shared" si="144"/>
        <v>8.3426314122287196E-2</v>
      </c>
      <c r="X160" s="140">
        <f t="shared" ref="X160:Y160" si="145">IF(X68=0,0,X68/X$64)</f>
        <v>8.6526387542664687E-2</v>
      </c>
      <c r="Y160" s="140">
        <f t="shared" si="145"/>
        <v>8.6584793497866561E-2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6.1358877792091759E-3</v>
      </c>
      <c r="C161" s="124">
        <f t="shared" ref="C161:W161" si="146">IF(C69=0,0,C69/C$64)</f>
        <v>5.285961744850947E-3</v>
      </c>
      <c r="D161" s="124">
        <f t="shared" si="146"/>
        <v>5.2556809719773523E-3</v>
      </c>
      <c r="E161" s="124">
        <f t="shared" si="146"/>
        <v>5.3150909865047969E-3</v>
      </c>
      <c r="F161" s="124">
        <f t="shared" si="146"/>
        <v>4.9389538767771121E-3</v>
      </c>
      <c r="G161" s="124">
        <f t="shared" si="146"/>
        <v>4.2555050930137596E-3</v>
      </c>
      <c r="H161" s="124">
        <f t="shared" si="146"/>
        <v>4.2267824605299355E-3</v>
      </c>
      <c r="I161" s="124">
        <f t="shared" si="146"/>
        <v>3.2825252554193845E-3</v>
      </c>
      <c r="J161" s="124">
        <f t="shared" si="146"/>
        <v>3.4559968463602894E-3</v>
      </c>
      <c r="K161" s="124">
        <f t="shared" si="146"/>
        <v>2.9654846205340001E-3</v>
      </c>
      <c r="L161" s="124">
        <f t="shared" si="146"/>
        <v>3.2202319997055601E-3</v>
      </c>
      <c r="M161" s="124">
        <f t="shared" si="146"/>
        <v>3.4341174601672944E-3</v>
      </c>
      <c r="N161" s="124">
        <f t="shared" si="146"/>
        <v>3.0588238077030989E-3</v>
      </c>
      <c r="O161" s="124">
        <f t="shared" si="146"/>
        <v>2.5479567172453192E-3</v>
      </c>
      <c r="P161" s="124">
        <f t="shared" si="146"/>
        <v>3.0912816943738735E-3</v>
      </c>
      <c r="Q161" s="124">
        <f t="shared" si="146"/>
        <v>3.1131266425118466E-3</v>
      </c>
      <c r="R161" s="124">
        <f t="shared" si="146"/>
        <v>2.5374933552777656E-3</v>
      </c>
      <c r="S161" s="124">
        <f t="shared" si="146"/>
        <v>2.7920627560730849E-3</v>
      </c>
      <c r="T161" s="124">
        <f t="shared" si="146"/>
        <v>2.0370451692849961E-3</v>
      </c>
      <c r="U161" s="124">
        <f t="shared" si="146"/>
        <v>1.4521816554059304E-3</v>
      </c>
      <c r="V161" s="124">
        <f t="shared" si="146"/>
        <v>1.7139138152881608E-3</v>
      </c>
      <c r="W161" s="124">
        <f t="shared" si="146"/>
        <v>1.6136983378834497E-3</v>
      </c>
      <c r="X161" s="124">
        <f t="shared" ref="X161:Y161" si="147">IF(X69=0,0,X69/X$64)</f>
        <v>1.8001477042680028E-3</v>
      </c>
      <c r="Y161" s="124">
        <f t="shared" si="147"/>
        <v>1.8592959979588813E-3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6.1358877792091759E-3</v>
      </c>
      <c r="C163" s="140">
        <f t="shared" ref="C163:W163" si="150">IF(C71=0,0,C71/C$64)</f>
        <v>5.285961744850947E-3</v>
      </c>
      <c r="D163" s="140">
        <f t="shared" si="150"/>
        <v>5.2556809719773523E-3</v>
      </c>
      <c r="E163" s="140">
        <f t="shared" si="150"/>
        <v>5.3150909865047969E-3</v>
      </c>
      <c r="F163" s="140">
        <f t="shared" si="150"/>
        <v>4.9389538767771121E-3</v>
      </c>
      <c r="G163" s="140">
        <f t="shared" si="150"/>
        <v>4.2555050930137596E-3</v>
      </c>
      <c r="H163" s="140">
        <f t="shared" si="150"/>
        <v>4.2267824605299355E-3</v>
      </c>
      <c r="I163" s="140">
        <f t="shared" si="150"/>
        <v>3.2825252554193845E-3</v>
      </c>
      <c r="J163" s="140">
        <f t="shared" si="150"/>
        <v>3.4559968463602894E-3</v>
      </c>
      <c r="K163" s="140">
        <f t="shared" si="150"/>
        <v>2.9654846205340001E-3</v>
      </c>
      <c r="L163" s="140">
        <f t="shared" si="150"/>
        <v>3.2202319997055601E-3</v>
      </c>
      <c r="M163" s="140">
        <f t="shared" si="150"/>
        <v>3.4341174601672944E-3</v>
      </c>
      <c r="N163" s="140">
        <f t="shared" si="150"/>
        <v>3.0588238077030989E-3</v>
      </c>
      <c r="O163" s="140">
        <f t="shared" si="150"/>
        <v>2.5479567172453192E-3</v>
      </c>
      <c r="P163" s="140">
        <f t="shared" si="150"/>
        <v>3.0912816943738735E-3</v>
      </c>
      <c r="Q163" s="140">
        <f t="shared" si="150"/>
        <v>3.1131266425118466E-3</v>
      </c>
      <c r="R163" s="140">
        <f t="shared" si="150"/>
        <v>2.5374933552777656E-3</v>
      </c>
      <c r="S163" s="140">
        <f t="shared" si="150"/>
        <v>2.7920627560730849E-3</v>
      </c>
      <c r="T163" s="140">
        <f t="shared" si="150"/>
        <v>2.0370451692849961E-3</v>
      </c>
      <c r="U163" s="140">
        <f t="shared" si="150"/>
        <v>1.4521816554059304E-3</v>
      </c>
      <c r="V163" s="140">
        <f t="shared" si="150"/>
        <v>1.7139138152881608E-3</v>
      </c>
      <c r="W163" s="140">
        <f t="shared" si="150"/>
        <v>1.6136983378834497E-3</v>
      </c>
      <c r="X163" s="140">
        <f t="shared" ref="X163:Y163" si="151">IF(X71=0,0,X71/X$64)</f>
        <v>1.8001477042680028E-3</v>
      </c>
      <c r="Y163" s="140">
        <f t="shared" si="151"/>
        <v>1.8592959979588813E-3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0.165956205153277</v>
      </c>
      <c r="C165" s="124">
        <f t="shared" ref="C165:W165" si="154">IF(C73=0,0,C73/C$64)</f>
        <v>0.16728964332963389</v>
      </c>
      <c r="D165" s="124">
        <f t="shared" si="154"/>
        <v>0.15827970547776521</v>
      </c>
      <c r="E165" s="124">
        <f t="shared" si="154"/>
        <v>0.15854172155019169</v>
      </c>
      <c r="F165" s="124">
        <f t="shared" si="154"/>
        <v>0.1706297499039075</v>
      </c>
      <c r="G165" s="124">
        <f t="shared" si="154"/>
        <v>0.16848374427021506</v>
      </c>
      <c r="H165" s="124">
        <f t="shared" si="154"/>
        <v>0.17632835114960271</v>
      </c>
      <c r="I165" s="124">
        <f t="shared" si="154"/>
        <v>0.1877620514141228</v>
      </c>
      <c r="J165" s="124">
        <f t="shared" si="154"/>
        <v>0.2061415045939958</v>
      </c>
      <c r="K165" s="124">
        <f t="shared" si="154"/>
        <v>0.1875125257020839</v>
      </c>
      <c r="L165" s="124">
        <f t="shared" si="154"/>
        <v>0.19075636296022624</v>
      </c>
      <c r="M165" s="124">
        <f t="shared" si="154"/>
        <v>0.21654408678139184</v>
      </c>
      <c r="N165" s="124">
        <f t="shared" si="154"/>
        <v>0.2081595512214795</v>
      </c>
      <c r="O165" s="124">
        <f t="shared" si="154"/>
        <v>0.20992823825485121</v>
      </c>
      <c r="P165" s="124">
        <f t="shared" si="154"/>
        <v>0.2199556023802991</v>
      </c>
      <c r="Q165" s="124">
        <f t="shared" si="154"/>
        <v>0.22034815296764057</v>
      </c>
      <c r="R165" s="124">
        <f t="shared" si="154"/>
        <v>0.20992471488183204</v>
      </c>
      <c r="S165" s="124">
        <f t="shared" si="154"/>
        <v>0.22670086953344806</v>
      </c>
      <c r="T165" s="124">
        <f t="shared" si="154"/>
        <v>0.24940341915118747</v>
      </c>
      <c r="U165" s="124">
        <f t="shared" si="154"/>
        <v>0.26833664361252346</v>
      </c>
      <c r="V165" s="124">
        <f t="shared" si="154"/>
        <v>0.11890276626137375</v>
      </c>
      <c r="W165" s="124">
        <f t="shared" si="154"/>
        <v>0.12162394194233897</v>
      </c>
      <c r="X165" s="124">
        <f t="shared" ref="X165:Y165" si="155">IF(X73=0,0,X73/X$64)</f>
        <v>0.21625864262766409</v>
      </c>
      <c r="Y165" s="124">
        <f t="shared" si="155"/>
        <v>0.24477931455759672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4.4201547888561316E-2</v>
      </c>
      <c r="C166" s="140">
        <f t="shared" ref="C166:W166" si="156">IF(C74=0,0,C74/C$64)</f>
        <v>4.3080801776667836E-2</v>
      </c>
      <c r="D166" s="140">
        <f t="shared" si="156"/>
        <v>3.7112820625891406E-2</v>
      </c>
      <c r="E166" s="140">
        <f t="shared" si="156"/>
        <v>3.64578146814468E-2</v>
      </c>
      <c r="F166" s="140">
        <f t="shared" si="156"/>
        <v>3.576905034066203E-2</v>
      </c>
      <c r="G166" s="140">
        <f t="shared" si="156"/>
        <v>3.3892529211258543E-2</v>
      </c>
      <c r="H166" s="140">
        <f t="shared" si="156"/>
        <v>3.1160415447353793E-2</v>
      </c>
      <c r="I166" s="140">
        <f t="shared" si="156"/>
        <v>2.7888882055753801E-2</v>
      </c>
      <c r="J166" s="140">
        <f t="shared" si="156"/>
        <v>2.7649263472656716E-2</v>
      </c>
      <c r="K166" s="140">
        <f t="shared" si="156"/>
        <v>2.5833730081859605E-2</v>
      </c>
      <c r="L166" s="140">
        <f t="shared" si="156"/>
        <v>2.4569272106498473E-2</v>
      </c>
      <c r="M166" s="140">
        <f t="shared" si="156"/>
        <v>2.6545858704070249E-2</v>
      </c>
      <c r="N166" s="140">
        <f t="shared" si="156"/>
        <v>2.2458918487933563E-2</v>
      </c>
      <c r="O166" s="140">
        <f t="shared" si="156"/>
        <v>1.922110257669165E-2</v>
      </c>
      <c r="P166" s="140">
        <f t="shared" si="156"/>
        <v>2.038726244308435E-2</v>
      </c>
      <c r="Q166" s="140">
        <f t="shared" si="156"/>
        <v>1.9446660821775319E-2</v>
      </c>
      <c r="R166" s="140">
        <f t="shared" si="156"/>
        <v>1.8738005016041916E-2</v>
      </c>
      <c r="S166" s="140">
        <f t="shared" si="156"/>
        <v>1.9803428856566368E-2</v>
      </c>
      <c r="T166" s="140">
        <f t="shared" si="156"/>
        <v>2.0922640287326946E-2</v>
      </c>
      <c r="U166" s="140">
        <f t="shared" si="156"/>
        <v>2.0235170817530311E-2</v>
      </c>
      <c r="V166" s="140">
        <f t="shared" si="156"/>
        <v>1.1310171738905344E-2</v>
      </c>
      <c r="W166" s="140">
        <f t="shared" si="156"/>
        <v>1.0663743928767479E-2</v>
      </c>
      <c r="X166" s="140">
        <f t="shared" ref="X166:Y166" si="157">IF(X74=0,0,X74/X$64)</f>
        <v>1.6960595299316102E-2</v>
      </c>
      <c r="Y166" s="140">
        <f t="shared" si="157"/>
        <v>1.6633675556915233E-2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8.2934118283936556E-2</v>
      </c>
      <c r="C167" s="140">
        <f t="shared" ref="C167:W167" si="158">IF(C75=0,0,C75/C$64)</f>
        <v>8.5273354080797073E-2</v>
      </c>
      <c r="D167" s="140">
        <f t="shared" si="158"/>
        <v>7.9003334796679384E-2</v>
      </c>
      <c r="E167" s="140">
        <f t="shared" si="158"/>
        <v>8.131074398231708E-2</v>
      </c>
      <c r="F167" s="140">
        <f t="shared" si="158"/>
        <v>8.8371432965857283E-2</v>
      </c>
      <c r="G167" s="140">
        <f t="shared" si="158"/>
        <v>8.7730691813563785E-2</v>
      </c>
      <c r="H167" s="140">
        <f t="shared" si="158"/>
        <v>9.6475241857835084E-2</v>
      </c>
      <c r="I167" s="140">
        <f t="shared" si="158"/>
        <v>0.10749595207881242</v>
      </c>
      <c r="J167" s="140">
        <f t="shared" si="158"/>
        <v>0.11956256644301674</v>
      </c>
      <c r="K167" s="140">
        <f t="shared" si="158"/>
        <v>0.106372380844592</v>
      </c>
      <c r="L167" s="140">
        <f t="shared" si="158"/>
        <v>0.10945595716767023</v>
      </c>
      <c r="M167" s="140">
        <f t="shared" si="158"/>
        <v>0.12558623407698799</v>
      </c>
      <c r="N167" s="140">
        <f t="shared" si="158"/>
        <v>0.12036524089266701</v>
      </c>
      <c r="O167" s="140">
        <f t="shared" si="158"/>
        <v>0.12355033424089637</v>
      </c>
      <c r="P167" s="140">
        <f t="shared" si="158"/>
        <v>0.13038002708003679</v>
      </c>
      <c r="Q167" s="140">
        <f t="shared" si="158"/>
        <v>0.13221933952755791</v>
      </c>
      <c r="R167" s="140">
        <f t="shared" si="158"/>
        <v>0.12824398304152163</v>
      </c>
      <c r="S167" s="140">
        <f t="shared" si="158"/>
        <v>0.14085067676919732</v>
      </c>
      <c r="T167" s="140">
        <f t="shared" si="158"/>
        <v>0.15527058762009635</v>
      </c>
      <c r="U167" s="140">
        <f t="shared" si="158"/>
        <v>0.16723452795216717</v>
      </c>
      <c r="V167" s="140">
        <f t="shared" si="158"/>
        <v>6.5253175506932132E-2</v>
      </c>
      <c r="W167" s="140">
        <f t="shared" si="158"/>
        <v>7.0902638114434244E-2</v>
      </c>
      <c r="X167" s="140">
        <f t="shared" ref="X167:Y167" si="159">IF(X75=0,0,X75/X$64)</f>
        <v>0.13715335097927064</v>
      </c>
      <c r="Y167" s="140">
        <f t="shared" si="159"/>
        <v>0.15496661277754195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3.8820538980779133E-2</v>
      </c>
      <c r="C168" s="140">
        <f t="shared" ref="C168:W168" si="160">IF(C76=0,0,C76/C$64)</f>
        <v>3.8935487472168961E-2</v>
      </c>
      <c r="D168" s="140">
        <f t="shared" si="160"/>
        <v>4.2163550055194413E-2</v>
      </c>
      <c r="E168" s="140">
        <f t="shared" si="160"/>
        <v>4.0773162886427794E-2</v>
      </c>
      <c r="F168" s="140">
        <f t="shared" si="160"/>
        <v>4.6489266597388175E-2</v>
      </c>
      <c r="G168" s="140">
        <f t="shared" si="160"/>
        <v>4.6860523245392707E-2</v>
      </c>
      <c r="H168" s="140">
        <f t="shared" si="160"/>
        <v>4.8692693844413854E-2</v>
      </c>
      <c r="I168" s="140">
        <f t="shared" si="160"/>
        <v>5.2377217279556583E-2</v>
      </c>
      <c r="J168" s="140">
        <f t="shared" si="160"/>
        <v>5.8929674678322316E-2</v>
      </c>
      <c r="K168" s="140">
        <f t="shared" si="160"/>
        <v>5.5306414775632272E-2</v>
      </c>
      <c r="L168" s="140">
        <f t="shared" si="160"/>
        <v>5.6731133686057554E-2</v>
      </c>
      <c r="M168" s="140">
        <f t="shared" si="160"/>
        <v>6.4411994000333594E-2</v>
      </c>
      <c r="N168" s="140">
        <f t="shared" si="160"/>
        <v>6.5335391840878901E-2</v>
      </c>
      <c r="O168" s="140">
        <f t="shared" si="160"/>
        <v>6.7156801437263186E-2</v>
      </c>
      <c r="P168" s="140">
        <f t="shared" si="160"/>
        <v>6.9188312857177983E-2</v>
      </c>
      <c r="Q168" s="140">
        <f t="shared" si="160"/>
        <v>6.8682152618307318E-2</v>
      </c>
      <c r="R168" s="140">
        <f t="shared" si="160"/>
        <v>6.2942726824268491E-2</v>
      </c>
      <c r="S168" s="140">
        <f t="shared" si="160"/>
        <v>6.604676390768438E-2</v>
      </c>
      <c r="T168" s="140">
        <f t="shared" si="160"/>
        <v>7.3210191243764183E-2</v>
      </c>
      <c r="U168" s="140">
        <f t="shared" si="160"/>
        <v>8.0866944842825944E-2</v>
      </c>
      <c r="V168" s="140">
        <f t="shared" si="160"/>
        <v>4.233941901553627E-2</v>
      </c>
      <c r="W168" s="140">
        <f t="shared" si="160"/>
        <v>4.0057559899137229E-2</v>
      </c>
      <c r="X168" s="140">
        <f t="shared" ref="X168:Y168" si="161">IF(X76=0,0,X76/X$64)</f>
        <v>6.2144696349077364E-2</v>
      </c>
      <c r="Y168" s="140">
        <f t="shared" si="161"/>
        <v>7.3179026223139515E-2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0.8554308552523654</v>
      </c>
      <c r="C170" s="139">
        <f t="shared" ref="C170:W170" si="165">IF(C78=0,0,C78/C$77)</f>
        <v>0.86922734363795151</v>
      </c>
      <c r="D170" s="139">
        <f t="shared" si="165"/>
        <v>0.86840002368445601</v>
      </c>
      <c r="E170" s="139">
        <f t="shared" si="165"/>
        <v>0.86555922352575099</v>
      </c>
      <c r="F170" s="139">
        <f t="shared" si="165"/>
        <v>0.87086153669761401</v>
      </c>
      <c r="G170" s="139">
        <f t="shared" si="165"/>
        <v>0.86864195416494028</v>
      </c>
      <c r="H170" s="139">
        <f t="shared" si="165"/>
        <v>0.86018310485998473</v>
      </c>
      <c r="I170" s="139">
        <f t="shared" si="165"/>
        <v>0.86328877649664792</v>
      </c>
      <c r="J170" s="139">
        <f t="shared" si="165"/>
        <v>0.87734897888403329</v>
      </c>
      <c r="K170" s="139">
        <f t="shared" si="165"/>
        <v>0.86499480571823173</v>
      </c>
      <c r="L170" s="139">
        <f t="shared" si="165"/>
        <v>0.86048400787666446</v>
      </c>
      <c r="M170" s="139">
        <f t="shared" si="165"/>
        <v>0.85861656082650395</v>
      </c>
      <c r="N170" s="139">
        <f t="shared" si="165"/>
        <v>0.85742370225966325</v>
      </c>
      <c r="O170" s="139">
        <f t="shared" si="165"/>
        <v>0.85802284927929839</v>
      </c>
      <c r="P170" s="139">
        <f t="shared" si="165"/>
        <v>0.85430030275563018</v>
      </c>
      <c r="Q170" s="139">
        <f t="shared" si="165"/>
        <v>0.85244012605325414</v>
      </c>
      <c r="R170" s="139">
        <f t="shared" si="165"/>
        <v>0.88547721058192363</v>
      </c>
      <c r="S170" s="139">
        <f t="shared" si="165"/>
        <v>0.87255863835888903</v>
      </c>
      <c r="T170" s="139">
        <f t="shared" si="165"/>
        <v>0.87335280087599976</v>
      </c>
      <c r="U170" s="139">
        <f t="shared" si="165"/>
        <v>0.86165405219919355</v>
      </c>
      <c r="V170" s="139">
        <f t="shared" si="165"/>
        <v>0.88243672109659532</v>
      </c>
      <c r="W170" s="139">
        <f t="shared" si="165"/>
        <v>0.87624217019529738</v>
      </c>
      <c r="X170" s="139">
        <f t="shared" ref="X170:Y170" si="166">IF(X78=0,0,X78/X$77)</f>
        <v>0.88231974336598551</v>
      </c>
      <c r="Y170" s="139">
        <f t="shared" si="166"/>
        <v>0.87520723127514366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0.28731263419458253</v>
      </c>
      <c r="C171" s="140">
        <f t="shared" ref="C171:W171" si="167">IF(C79=0,0,C79/C$77)</f>
        <v>0.28293708132695145</v>
      </c>
      <c r="D171" s="140">
        <f t="shared" si="167"/>
        <v>0.27907409134635269</v>
      </c>
      <c r="E171" s="140">
        <f t="shared" si="167"/>
        <v>0.27620612256713478</v>
      </c>
      <c r="F171" s="140">
        <f t="shared" si="167"/>
        <v>0.28550992719964419</v>
      </c>
      <c r="G171" s="140">
        <f t="shared" si="167"/>
        <v>0.28721343419236572</v>
      </c>
      <c r="H171" s="140">
        <f t="shared" si="167"/>
        <v>0.29230373232865486</v>
      </c>
      <c r="I171" s="140">
        <f t="shared" si="167"/>
        <v>0.30107599586383227</v>
      </c>
      <c r="J171" s="140">
        <f t="shared" si="167"/>
        <v>0.32281093093620367</v>
      </c>
      <c r="K171" s="140">
        <f t="shared" si="167"/>
        <v>0.35337154673537374</v>
      </c>
      <c r="L171" s="140">
        <f t="shared" si="167"/>
        <v>0.34380553968235772</v>
      </c>
      <c r="M171" s="140">
        <f t="shared" si="167"/>
        <v>0.3730781578554202</v>
      </c>
      <c r="N171" s="140">
        <f t="shared" si="167"/>
        <v>0.40045061924474695</v>
      </c>
      <c r="O171" s="140">
        <f t="shared" si="167"/>
        <v>0.40999496445764977</v>
      </c>
      <c r="P171" s="140">
        <f t="shared" si="167"/>
        <v>0.430561993264301</v>
      </c>
      <c r="Q171" s="140">
        <f t="shared" si="167"/>
        <v>0.4544099926839969</v>
      </c>
      <c r="R171" s="140">
        <f t="shared" si="167"/>
        <v>0.44793136386903654</v>
      </c>
      <c r="S171" s="140">
        <f t="shared" si="167"/>
        <v>0.44649070985863387</v>
      </c>
      <c r="T171" s="140">
        <f t="shared" si="167"/>
        <v>0.45640207193910975</v>
      </c>
      <c r="U171" s="140">
        <f t="shared" si="167"/>
        <v>0.4611195488689554</v>
      </c>
      <c r="V171" s="140">
        <f t="shared" si="167"/>
        <v>0.484627771565176</v>
      </c>
      <c r="W171" s="140">
        <f t="shared" si="167"/>
        <v>0.47275504267884227</v>
      </c>
      <c r="X171" s="140">
        <f t="shared" ref="X171:Y171" si="168">IF(X79=0,0,X79/X$77)</f>
        <v>0.48039591533272119</v>
      </c>
      <c r="Y171" s="140">
        <f t="shared" si="168"/>
        <v>0.50389932773550528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0.56811822105778287</v>
      </c>
      <c r="C172" s="140">
        <f t="shared" ref="C172:W172" si="169">IF(C80=0,0,C80/C$77)</f>
        <v>0.58629026231100001</v>
      </c>
      <c r="D172" s="140">
        <f t="shared" si="169"/>
        <v>0.58932593233810326</v>
      </c>
      <c r="E172" s="140">
        <f t="shared" si="169"/>
        <v>0.58935310095861626</v>
      </c>
      <c r="F172" s="140">
        <f t="shared" si="169"/>
        <v>0.58535160949796983</v>
      </c>
      <c r="G172" s="140">
        <f t="shared" si="169"/>
        <v>0.58142851997257461</v>
      </c>
      <c r="H172" s="140">
        <f t="shared" si="169"/>
        <v>0.56787937253132992</v>
      </c>
      <c r="I172" s="140">
        <f t="shared" si="169"/>
        <v>0.56221278063281577</v>
      </c>
      <c r="J172" s="140">
        <f t="shared" si="169"/>
        <v>0.55453804794782946</v>
      </c>
      <c r="K172" s="140">
        <f t="shared" si="169"/>
        <v>0.51162325898285799</v>
      </c>
      <c r="L172" s="140">
        <f t="shared" si="169"/>
        <v>0.51667846819430674</v>
      </c>
      <c r="M172" s="140">
        <f t="shared" si="169"/>
        <v>0.4855384029710838</v>
      </c>
      <c r="N172" s="140">
        <f t="shared" si="169"/>
        <v>0.45697308301491624</v>
      </c>
      <c r="O172" s="140">
        <f t="shared" si="169"/>
        <v>0.44802788482164863</v>
      </c>
      <c r="P172" s="140">
        <f t="shared" si="169"/>
        <v>0.42373830949132918</v>
      </c>
      <c r="Q172" s="140">
        <f t="shared" si="169"/>
        <v>0.39803013336925719</v>
      </c>
      <c r="R172" s="140">
        <f t="shared" si="169"/>
        <v>0.43754584671288699</v>
      </c>
      <c r="S172" s="140">
        <f t="shared" si="169"/>
        <v>0.42606792850025521</v>
      </c>
      <c r="T172" s="140">
        <f t="shared" si="169"/>
        <v>0.41695072893688989</v>
      </c>
      <c r="U172" s="140">
        <f t="shared" si="169"/>
        <v>0.40053450333023827</v>
      </c>
      <c r="V172" s="140">
        <f t="shared" si="169"/>
        <v>0.39780894953141926</v>
      </c>
      <c r="W172" s="140">
        <f t="shared" si="169"/>
        <v>0.4034871275164551</v>
      </c>
      <c r="X172" s="140">
        <f t="shared" ref="X172:Y172" si="170">IF(X80=0,0,X80/X$77)</f>
        <v>0.40192382803326426</v>
      </c>
      <c r="Y172" s="140">
        <f t="shared" si="170"/>
        <v>0.37130790353963844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2.2596667808232523E-2</v>
      </c>
      <c r="C173" s="124">
        <f t="shared" ref="C173:W173" si="171">IF(C81=0,0,C81/C$77)</f>
        <v>2.1649495593418125E-2</v>
      </c>
      <c r="D173" s="124">
        <f t="shared" si="171"/>
        <v>1.9854040349887005E-2</v>
      </c>
      <c r="E173" s="124">
        <f t="shared" si="171"/>
        <v>1.9317243328392665E-2</v>
      </c>
      <c r="F173" s="124">
        <f t="shared" si="171"/>
        <v>1.9597714324315407E-2</v>
      </c>
      <c r="G173" s="124">
        <f t="shared" si="171"/>
        <v>1.9608369623789031E-2</v>
      </c>
      <c r="H173" s="124">
        <f t="shared" si="171"/>
        <v>2.0628948143142221E-2</v>
      </c>
      <c r="I173" s="124">
        <f t="shared" si="171"/>
        <v>1.637700277869901E-2</v>
      </c>
      <c r="J173" s="124">
        <f t="shared" si="171"/>
        <v>1.7712996262775171E-2</v>
      </c>
      <c r="K173" s="124">
        <f t="shared" si="171"/>
        <v>1.6564410883049715E-2</v>
      </c>
      <c r="L173" s="124">
        <f t="shared" si="171"/>
        <v>1.5243909322982644E-2</v>
      </c>
      <c r="M173" s="124">
        <f t="shared" si="171"/>
        <v>1.5995964545501333E-2</v>
      </c>
      <c r="N173" s="124">
        <f t="shared" si="171"/>
        <v>1.7953324835064937E-2</v>
      </c>
      <c r="O173" s="124">
        <f t="shared" si="171"/>
        <v>1.714528477233912E-2</v>
      </c>
      <c r="P173" s="124">
        <f t="shared" si="171"/>
        <v>1.7288968605371199E-2</v>
      </c>
      <c r="Q173" s="124">
        <f t="shared" si="171"/>
        <v>1.2667295412097176E-2</v>
      </c>
      <c r="R173" s="124">
        <f t="shared" si="171"/>
        <v>1.0610053727449463E-2</v>
      </c>
      <c r="S173" s="124">
        <f t="shared" si="171"/>
        <v>1.0898262581051768E-2</v>
      </c>
      <c r="T173" s="124">
        <f t="shared" si="171"/>
        <v>1.4002364034547733E-2</v>
      </c>
      <c r="U173" s="124">
        <f t="shared" si="171"/>
        <v>1.51559922787476E-2</v>
      </c>
      <c r="V173" s="124">
        <f t="shared" si="171"/>
        <v>1.4367051256345879E-2</v>
      </c>
      <c r="W173" s="124">
        <f t="shared" si="171"/>
        <v>1.7223218915326802E-2</v>
      </c>
      <c r="X173" s="124">
        <f t="shared" ref="X173:Y173" si="172">IF(X81=0,0,X81/X$77)</f>
        <v>1.2803472284126137E-2</v>
      </c>
      <c r="Y173" s="124">
        <f t="shared" si="172"/>
        <v>1.2526077220857794E-2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7.2846479100182205E-3</v>
      </c>
      <c r="C174" s="124">
        <f t="shared" ref="C174:W174" si="173">IF(C82=0,0,C82/C$77)</f>
        <v>5.899544300772849E-3</v>
      </c>
      <c r="D174" s="124">
        <f t="shared" si="173"/>
        <v>5.6851084750845892E-3</v>
      </c>
      <c r="E174" s="124">
        <f t="shared" si="173"/>
        <v>6.7527147507630021E-3</v>
      </c>
      <c r="F174" s="124">
        <f t="shared" si="173"/>
        <v>8.8072100897241563E-3</v>
      </c>
      <c r="G174" s="124">
        <f t="shared" si="173"/>
        <v>9.2440600133852132E-3</v>
      </c>
      <c r="H174" s="124">
        <f t="shared" si="173"/>
        <v>9.8079226090709761E-3</v>
      </c>
      <c r="I174" s="124">
        <f t="shared" si="173"/>
        <v>1.0392593892087666E-2</v>
      </c>
      <c r="J174" s="124">
        <f t="shared" si="173"/>
        <v>9.2575088471754021E-3</v>
      </c>
      <c r="K174" s="124">
        <f t="shared" si="173"/>
        <v>7.9567023614323228E-3</v>
      </c>
      <c r="L174" s="124">
        <f t="shared" si="173"/>
        <v>7.6629850112680331E-3</v>
      </c>
      <c r="M174" s="124">
        <f t="shared" si="173"/>
        <v>8.4936768983591149E-3</v>
      </c>
      <c r="N174" s="124">
        <f t="shared" si="173"/>
        <v>9.7514450500637267E-3</v>
      </c>
      <c r="O174" s="124">
        <f t="shared" si="173"/>
        <v>1.0439708382590177E-2</v>
      </c>
      <c r="P174" s="124">
        <f t="shared" si="173"/>
        <v>1.0848611841003648E-2</v>
      </c>
      <c r="Q174" s="124">
        <f t="shared" si="173"/>
        <v>1.1786866218910102E-2</v>
      </c>
      <c r="R174" s="124">
        <f t="shared" si="173"/>
        <v>9.3295533370841809E-3</v>
      </c>
      <c r="S174" s="124">
        <f t="shared" si="173"/>
        <v>1.0861103928925383E-2</v>
      </c>
      <c r="T174" s="124">
        <f t="shared" si="173"/>
        <v>1.0137741105075041E-2</v>
      </c>
      <c r="U174" s="124">
        <f t="shared" si="173"/>
        <v>1.4580167363731659E-2</v>
      </c>
      <c r="V174" s="124">
        <f t="shared" si="173"/>
        <v>8.2855294050349047E-3</v>
      </c>
      <c r="W174" s="124">
        <f t="shared" si="173"/>
        <v>8.4120792573402596E-3</v>
      </c>
      <c r="X174" s="124">
        <f t="shared" ref="X174:Y174" si="174">IF(X82=0,0,X82/X$77)</f>
        <v>9.7284064814025309E-3</v>
      </c>
      <c r="Y174" s="124">
        <f t="shared" si="174"/>
        <v>1.9159679881255328E-2</v>
      </c>
      <c r="DA174" s="176"/>
    </row>
    <row r="175" spans="1:105" ht="11.45" customHeight="1" x14ac:dyDescent="0.25">
      <c r="A175" s="128" t="s">
        <v>27</v>
      </c>
      <c r="B175" s="140">
        <f t="shared" si="162"/>
        <v>1.0748753204621211E-3</v>
      </c>
      <c r="C175" s="140">
        <f t="shared" ref="C175:W175" si="175">IF(C83=0,0,C83/C$77)</f>
        <v>8.1323524724541071E-4</v>
      </c>
      <c r="D175" s="140">
        <f t="shared" si="175"/>
        <v>7.0739552933680983E-4</v>
      </c>
      <c r="E175" s="140">
        <f t="shared" si="175"/>
        <v>5.8059328902213979E-4</v>
      </c>
      <c r="F175" s="140">
        <f t="shared" si="175"/>
        <v>5.6424684965045309E-4</v>
      </c>
      <c r="G175" s="140">
        <f t="shared" si="175"/>
        <v>5.2882132510586363E-4</v>
      </c>
      <c r="H175" s="140">
        <f t="shared" si="175"/>
        <v>4.9799929286049004E-4</v>
      </c>
      <c r="I175" s="140">
        <f t="shared" si="175"/>
        <v>3.9576636231765589E-4</v>
      </c>
      <c r="J175" s="140">
        <f t="shared" si="175"/>
        <v>3.3298406672580276E-4</v>
      </c>
      <c r="K175" s="140">
        <f t="shared" si="175"/>
        <v>3.6353074279394732E-4</v>
      </c>
      <c r="L175" s="140">
        <f t="shared" si="175"/>
        <v>2.5700902491989822E-4</v>
      </c>
      <c r="M175" s="140">
        <f t="shared" si="175"/>
        <v>2.4812536740776971E-4</v>
      </c>
      <c r="N175" s="140">
        <f t="shared" si="175"/>
        <v>2.8592433673591932E-4</v>
      </c>
      <c r="O175" s="140">
        <f t="shared" si="175"/>
        <v>2.3886396465399245E-4</v>
      </c>
      <c r="P175" s="140">
        <f t="shared" si="175"/>
        <v>2.2389335136069568E-4</v>
      </c>
      <c r="Q175" s="140">
        <f t="shared" si="175"/>
        <v>2.2150544574927594E-4</v>
      </c>
      <c r="R175" s="140">
        <f t="shared" si="175"/>
        <v>2.0013553029011604E-4</v>
      </c>
      <c r="S175" s="140">
        <f t="shared" si="175"/>
        <v>1.710935917808593E-4</v>
      </c>
      <c r="T175" s="140">
        <f t="shared" si="175"/>
        <v>1.1347899817954512E-4</v>
      </c>
      <c r="U175" s="140">
        <f t="shared" si="175"/>
        <v>1.2285483158981192E-4</v>
      </c>
      <c r="V175" s="140">
        <f t="shared" si="175"/>
        <v>1.3149343051936129E-4</v>
      </c>
      <c r="W175" s="140">
        <f t="shared" si="175"/>
        <v>9.8749598583553695E-5</v>
      </c>
      <c r="X175" s="140">
        <f t="shared" ref="X175:Y175" si="176">IF(X83=0,0,X83/X$77)</f>
        <v>1.2948428069441541E-4</v>
      </c>
      <c r="Y175" s="140">
        <f t="shared" si="176"/>
        <v>1.4569428901786845E-4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3.5026523888471105E-3</v>
      </c>
      <c r="C176" s="140">
        <f t="shared" ref="C176:W176" si="177">IF(C84=0,0,C84/C$77)</f>
        <v>3.0858417365660635E-3</v>
      </c>
      <c r="D176" s="140">
        <f t="shared" si="177"/>
        <v>2.7271504032305941E-3</v>
      </c>
      <c r="E176" s="140">
        <f t="shared" si="177"/>
        <v>3.9187560168849819E-3</v>
      </c>
      <c r="F176" s="140">
        <f t="shared" si="177"/>
        <v>5.2080495102003908E-3</v>
      </c>
      <c r="G176" s="140">
        <f t="shared" si="177"/>
        <v>5.3559559355486272E-3</v>
      </c>
      <c r="H176" s="140">
        <f t="shared" si="177"/>
        <v>6.5641029357210211E-3</v>
      </c>
      <c r="I176" s="140">
        <f t="shared" si="177"/>
        <v>7.2917122554775754E-3</v>
      </c>
      <c r="J176" s="140">
        <f t="shared" si="177"/>
        <v>6.4743342059359185E-3</v>
      </c>
      <c r="K176" s="140">
        <f t="shared" si="177"/>
        <v>5.9910049231912564E-3</v>
      </c>
      <c r="L176" s="140">
        <f t="shared" si="177"/>
        <v>5.7891420416538355E-3</v>
      </c>
      <c r="M176" s="140">
        <f t="shared" si="177"/>
        <v>5.6080897052602245E-3</v>
      </c>
      <c r="N176" s="140">
        <f t="shared" si="177"/>
        <v>5.8184703022300544E-3</v>
      </c>
      <c r="O176" s="140">
        <f t="shared" si="177"/>
        <v>6.9797116865316314E-3</v>
      </c>
      <c r="P176" s="140">
        <f t="shared" si="177"/>
        <v>8.1438797641117857E-3</v>
      </c>
      <c r="Q176" s="140">
        <f t="shared" si="177"/>
        <v>9.4146319739607815E-3</v>
      </c>
      <c r="R176" s="140">
        <f t="shared" si="177"/>
        <v>7.3754130552142741E-3</v>
      </c>
      <c r="S176" s="140">
        <f t="shared" si="177"/>
        <v>8.8563284677990219E-3</v>
      </c>
      <c r="T176" s="140">
        <f t="shared" si="177"/>
        <v>8.2322831137690011E-3</v>
      </c>
      <c r="U176" s="140">
        <f t="shared" si="177"/>
        <v>1.2790561936463248E-2</v>
      </c>
      <c r="V176" s="140">
        <f t="shared" si="177"/>
        <v>6.2674187592997197E-3</v>
      </c>
      <c r="W176" s="140">
        <f t="shared" si="177"/>
        <v>6.2523095123181074E-3</v>
      </c>
      <c r="X176" s="140">
        <f t="shared" ref="X176:Y176" si="178">IF(X84=0,0,X84/X$77)</f>
        <v>7.0432137553189493E-3</v>
      </c>
      <c r="Y176" s="140">
        <f t="shared" si="178"/>
        <v>1.0551451691971827E-2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2.7071202007089889E-3</v>
      </c>
      <c r="C177" s="140">
        <f t="shared" ref="C177:W177" si="179">IF(C85=0,0,C85/C$77)</f>
        <v>2.0004673169613752E-3</v>
      </c>
      <c r="D177" s="140">
        <f t="shared" si="179"/>
        <v>2.2505625425171859E-3</v>
      </c>
      <c r="E177" s="140">
        <f t="shared" si="179"/>
        <v>2.2533654448558802E-3</v>
      </c>
      <c r="F177" s="140">
        <f t="shared" si="179"/>
        <v>3.034913729873313E-3</v>
      </c>
      <c r="G177" s="140">
        <f t="shared" si="179"/>
        <v>3.3592827527307231E-3</v>
      </c>
      <c r="H177" s="140">
        <f t="shared" si="179"/>
        <v>2.7458203804894654E-3</v>
      </c>
      <c r="I177" s="140">
        <f t="shared" si="179"/>
        <v>2.7051152742924335E-3</v>
      </c>
      <c r="J177" s="140">
        <f t="shared" si="179"/>
        <v>2.4501905745136819E-3</v>
      </c>
      <c r="K177" s="140">
        <f t="shared" si="179"/>
        <v>1.6021666954471191E-3</v>
      </c>
      <c r="L177" s="140">
        <f t="shared" si="179"/>
        <v>1.6168339446942996E-3</v>
      </c>
      <c r="M177" s="140">
        <f t="shared" si="179"/>
        <v>2.6374618256911199E-3</v>
      </c>
      <c r="N177" s="140">
        <f t="shared" si="179"/>
        <v>3.6470504110977533E-3</v>
      </c>
      <c r="O177" s="140">
        <f t="shared" si="179"/>
        <v>3.2211327314045526E-3</v>
      </c>
      <c r="P177" s="140">
        <f t="shared" si="179"/>
        <v>2.4808387255311646E-3</v>
      </c>
      <c r="Q177" s="140">
        <f t="shared" si="179"/>
        <v>2.1507287992000431E-3</v>
      </c>
      <c r="R177" s="140">
        <f t="shared" si="179"/>
        <v>1.7540047515797908E-3</v>
      </c>
      <c r="S177" s="140">
        <f t="shared" si="179"/>
        <v>1.8336818693455018E-3</v>
      </c>
      <c r="T177" s="140">
        <f t="shared" si="179"/>
        <v>1.7919789931264952E-3</v>
      </c>
      <c r="U177" s="140">
        <f t="shared" si="179"/>
        <v>1.6667505956786015E-3</v>
      </c>
      <c r="V177" s="140">
        <f t="shared" si="179"/>
        <v>1.8866172152158236E-3</v>
      </c>
      <c r="W177" s="140">
        <f t="shared" si="179"/>
        <v>2.0610201464385989E-3</v>
      </c>
      <c r="X177" s="140">
        <f t="shared" ref="X177:Y177" si="180">IF(X85=0,0,X85/X$77)</f>
        <v>2.5557084453891655E-3</v>
      </c>
      <c r="Y177" s="140">
        <f t="shared" si="180"/>
        <v>8.4625339002656324E-3</v>
      </c>
      <c r="DA177" s="175"/>
    </row>
    <row r="178" spans="1:105" ht="11.45" customHeight="1" x14ac:dyDescent="0.25">
      <c r="A178" s="109" t="s">
        <v>141</v>
      </c>
      <c r="B178" s="124">
        <f t="shared" si="162"/>
        <v>0.11468782902938393</v>
      </c>
      <c r="C178" s="124">
        <f t="shared" ref="C178:W178" si="181">IF(C86=0,0,C86/C$77)</f>
        <v>0.10322361646785745</v>
      </c>
      <c r="D178" s="124">
        <f t="shared" si="181"/>
        <v>0.10606082749057245</v>
      </c>
      <c r="E178" s="124">
        <f t="shared" si="181"/>
        <v>0.10837081839509337</v>
      </c>
      <c r="F178" s="124">
        <f t="shared" si="181"/>
        <v>0.10073353888834644</v>
      </c>
      <c r="G178" s="124">
        <f t="shared" si="181"/>
        <v>0.10250561619788551</v>
      </c>
      <c r="H178" s="124">
        <f t="shared" si="181"/>
        <v>0.10938002438780206</v>
      </c>
      <c r="I178" s="124">
        <f t="shared" si="181"/>
        <v>0.10994162683256534</v>
      </c>
      <c r="J178" s="124">
        <f t="shared" si="181"/>
        <v>9.5680516006016278E-2</v>
      </c>
      <c r="K178" s="124">
        <f t="shared" si="181"/>
        <v>0.1104840810372863</v>
      </c>
      <c r="L178" s="124">
        <f t="shared" si="181"/>
        <v>0.11660909778908493</v>
      </c>
      <c r="M178" s="124">
        <f t="shared" si="181"/>
        <v>0.11689379772963565</v>
      </c>
      <c r="N178" s="124">
        <f t="shared" si="181"/>
        <v>0.11487152785520806</v>
      </c>
      <c r="O178" s="124">
        <f t="shared" si="181"/>
        <v>0.11439215756577224</v>
      </c>
      <c r="P178" s="124">
        <f t="shared" si="181"/>
        <v>0.11756211679799507</v>
      </c>
      <c r="Q178" s="124">
        <f t="shared" si="181"/>
        <v>0.12310571231573864</v>
      </c>
      <c r="R178" s="124">
        <f t="shared" si="181"/>
        <v>9.4583182353542766E-2</v>
      </c>
      <c r="S178" s="124">
        <f t="shared" si="181"/>
        <v>0.1056819951311338</v>
      </c>
      <c r="T178" s="124">
        <f t="shared" si="181"/>
        <v>0.1025070939843775</v>
      </c>
      <c r="U178" s="124">
        <f t="shared" si="181"/>
        <v>0.10860978815832714</v>
      </c>
      <c r="V178" s="124">
        <f t="shared" si="181"/>
        <v>9.4910698242023861E-2</v>
      </c>
      <c r="W178" s="124">
        <f t="shared" si="181"/>
        <v>9.8122531632035548E-2</v>
      </c>
      <c r="X178" s="124">
        <f t="shared" ref="X178:Y178" si="182">IF(X86=0,0,X86/X$77)</f>
        <v>9.5148377868485748E-2</v>
      </c>
      <c r="Y178" s="124">
        <f t="shared" si="182"/>
        <v>9.3107011622743194E-2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9.8344531028906126E-2</v>
      </c>
      <c r="C179" s="140">
        <f t="shared" ref="C179:W179" si="183">IF(C87=0,0,C87/C$77)</f>
        <v>8.9770820980791699E-2</v>
      </c>
      <c r="D179" s="140">
        <f t="shared" si="183"/>
        <v>9.2477620865150559E-2</v>
      </c>
      <c r="E179" s="140">
        <f t="shared" si="183"/>
        <v>9.1730585956658256E-2</v>
      </c>
      <c r="F179" s="140">
        <f t="shared" si="183"/>
        <v>8.3196904463685856E-2</v>
      </c>
      <c r="G179" s="140">
        <f t="shared" si="183"/>
        <v>8.8644902121570307E-2</v>
      </c>
      <c r="H179" s="140">
        <f t="shared" si="183"/>
        <v>9.8333073163643217E-2</v>
      </c>
      <c r="I179" s="140">
        <f t="shared" si="183"/>
        <v>9.444032239411157E-2</v>
      </c>
      <c r="J179" s="140">
        <f t="shared" si="183"/>
        <v>8.6799618229331396E-2</v>
      </c>
      <c r="K179" s="140">
        <f t="shared" si="183"/>
        <v>0.10074678038895396</v>
      </c>
      <c r="L179" s="140">
        <f t="shared" si="183"/>
        <v>0.11048671886004584</v>
      </c>
      <c r="M179" s="140">
        <f t="shared" si="183"/>
        <v>0.11033032026129549</v>
      </c>
      <c r="N179" s="140">
        <f t="shared" si="183"/>
        <v>0.10172667324482988</v>
      </c>
      <c r="O179" s="140">
        <f t="shared" si="183"/>
        <v>9.7115823145618119E-2</v>
      </c>
      <c r="P179" s="140">
        <f t="shared" si="183"/>
        <v>0.10228239585146685</v>
      </c>
      <c r="Q179" s="140">
        <f t="shared" si="183"/>
        <v>0.10945199233960007</v>
      </c>
      <c r="R179" s="140">
        <f t="shared" si="183"/>
        <v>8.6875757638853898E-2</v>
      </c>
      <c r="S179" s="140">
        <f t="shared" si="183"/>
        <v>9.6657544364897499E-2</v>
      </c>
      <c r="T179" s="140">
        <f t="shared" si="183"/>
        <v>9.5339847700574479E-2</v>
      </c>
      <c r="U179" s="140">
        <f t="shared" si="183"/>
        <v>0.10365984335173836</v>
      </c>
      <c r="V179" s="140">
        <f t="shared" si="183"/>
        <v>8.6397548531773408E-2</v>
      </c>
      <c r="W179" s="140">
        <f t="shared" si="183"/>
        <v>8.3460593628840063E-2</v>
      </c>
      <c r="X179" s="140">
        <f t="shared" ref="X179:Y179" si="184">IF(X87=0,0,X87/X$77)</f>
        <v>8.2565835955568365E-2</v>
      </c>
      <c r="Y179" s="140">
        <f t="shared" si="184"/>
        <v>7.5271780343755298E-2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1.6343298000477815E-2</v>
      </c>
      <c r="C180" s="127">
        <f t="shared" ref="C180:W180" si="185">IF(C88=0,0,C88/C$77)</f>
        <v>1.3452795487065758E-2</v>
      </c>
      <c r="D180" s="127">
        <f t="shared" si="185"/>
        <v>1.3583206625421895E-2</v>
      </c>
      <c r="E180" s="127">
        <f t="shared" si="185"/>
        <v>1.6640232438435116E-2</v>
      </c>
      <c r="F180" s="127">
        <f t="shared" si="185"/>
        <v>1.753663442466058E-2</v>
      </c>
      <c r="G180" s="127">
        <f t="shared" si="185"/>
        <v>1.3860714076315202E-2</v>
      </c>
      <c r="H180" s="127">
        <f t="shared" si="185"/>
        <v>1.1046951224158849E-2</v>
      </c>
      <c r="I180" s="127">
        <f t="shared" si="185"/>
        <v>1.5501304438453753E-2</v>
      </c>
      <c r="J180" s="127">
        <f t="shared" si="185"/>
        <v>8.8808977766848783E-3</v>
      </c>
      <c r="K180" s="127">
        <f t="shared" si="185"/>
        <v>9.7373006483323313E-3</v>
      </c>
      <c r="L180" s="127">
        <f t="shared" si="185"/>
        <v>6.1223789290390986E-3</v>
      </c>
      <c r="M180" s="127">
        <f t="shared" si="185"/>
        <v>6.5634774683401547E-3</v>
      </c>
      <c r="N180" s="127">
        <f t="shared" si="185"/>
        <v>1.3144854610378166E-2</v>
      </c>
      <c r="O180" s="127">
        <f t="shared" si="185"/>
        <v>1.7276334420154124E-2</v>
      </c>
      <c r="P180" s="127">
        <f t="shared" si="185"/>
        <v>1.5279720946528224E-2</v>
      </c>
      <c r="Q180" s="127">
        <f t="shared" si="185"/>
        <v>1.3653719976138566E-2</v>
      </c>
      <c r="R180" s="127">
        <f t="shared" si="185"/>
        <v>7.707424714688862E-3</v>
      </c>
      <c r="S180" s="127">
        <f t="shared" si="185"/>
        <v>9.0244507662362999E-3</v>
      </c>
      <c r="T180" s="127">
        <f t="shared" si="185"/>
        <v>7.1672462838030387E-3</v>
      </c>
      <c r="U180" s="127">
        <f t="shared" si="185"/>
        <v>4.9499448065887927E-3</v>
      </c>
      <c r="V180" s="127">
        <f t="shared" si="185"/>
        <v>8.5131497102504602E-3</v>
      </c>
      <c r="W180" s="127">
        <f t="shared" si="185"/>
        <v>1.4661938003195488E-2</v>
      </c>
      <c r="X180" s="127">
        <f t="shared" ref="X180:Y180" si="186">IF(X88=0,0,X88/X$77)</f>
        <v>1.2582541912917385E-2</v>
      </c>
      <c r="Y180" s="127">
        <f t="shared" si="186"/>
        <v>1.7835231278987885E-2</v>
      </c>
      <c r="DA180" s="178"/>
    </row>
    <row r="181" spans="1:105" ht="11.45" customHeight="1" x14ac:dyDescent="0.25">
      <c r="A181" s="27" t="s">
        <v>169</v>
      </c>
      <c r="B181" s="31">
        <f>IF(B89=0,0,B89/B$89)</f>
        <v>1</v>
      </c>
      <c r="C181" s="31">
        <f t="shared" ref="C181:W181" si="187">IF(C89=0,0,C89/C$89)</f>
        <v>1</v>
      </c>
      <c r="D181" s="31">
        <f t="shared" si="187"/>
        <v>1</v>
      </c>
      <c r="E181" s="31">
        <f t="shared" si="187"/>
        <v>1</v>
      </c>
      <c r="F181" s="31">
        <f t="shared" si="187"/>
        <v>1</v>
      </c>
      <c r="G181" s="31">
        <f t="shared" si="187"/>
        <v>1</v>
      </c>
      <c r="H181" s="31">
        <f t="shared" si="187"/>
        <v>1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1</v>
      </c>
      <c r="Y181" s="31">
        <f t="shared" si="188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0.59066620567083983</v>
      </c>
      <c r="C182" s="140">
        <f t="shared" ref="C182:W182" si="189">IF(C90=0,0,C90/C$89)</f>
        <v>0.56562121989056158</v>
      </c>
      <c r="D182" s="140">
        <f t="shared" si="189"/>
        <v>0.55815658079612218</v>
      </c>
      <c r="E182" s="140">
        <f t="shared" si="189"/>
        <v>0.54469640595687996</v>
      </c>
      <c r="F182" s="140">
        <f t="shared" si="189"/>
        <v>0.54901154627050197</v>
      </c>
      <c r="G182" s="140">
        <f t="shared" si="189"/>
        <v>0.55400404047607621</v>
      </c>
      <c r="H182" s="140">
        <f t="shared" si="189"/>
        <v>0.56450788909437977</v>
      </c>
      <c r="I182" s="140">
        <f t="shared" si="189"/>
        <v>0.56126303240841102</v>
      </c>
      <c r="J182" s="140">
        <f t="shared" si="189"/>
        <v>0.55869052790092077</v>
      </c>
      <c r="K182" s="140">
        <f t="shared" si="189"/>
        <v>0.53527405327964284</v>
      </c>
      <c r="L182" s="140">
        <f t="shared" si="189"/>
        <v>0.54983668355154147</v>
      </c>
      <c r="M182" s="140">
        <f t="shared" si="189"/>
        <v>0.53992106187345745</v>
      </c>
      <c r="N182" s="140">
        <f t="shared" si="189"/>
        <v>0.54800677446117674</v>
      </c>
      <c r="O182" s="140">
        <f t="shared" si="189"/>
        <v>0.54145768274378492</v>
      </c>
      <c r="P182" s="140">
        <f t="shared" si="189"/>
        <v>0.53290765275519358</v>
      </c>
      <c r="Q182" s="140">
        <f t="shared" si="189"/>
        <v>0.56621451633825171</v>
      </c>
      <c r="R182" s="140">
        <f t="shared" si="189"/>
        <v>0.55451638362395816</v>
      </c>
      <c r="S182" s="140">
        <f t="shared" si="189"/>
        <v>0.56177334904917342</v>
      </c>
      <c r="T182" s="140">
        <f t="shared" si="189"/>
        <v>0.557083029871839</v>
      </c>
      <c r="U182" s="140">
        <f t="shared" si="189"/>
        <v>0.5508514515534888</v>
      </c>
      <c r="V182" s="140">
        <f t="shared" si="189"/>
        <v>0.51731294985380372</v>
      </c>
      <c r="W182" s="140">
        <f t="shared" si="189"/>
        <v>0.51873840300860141</v>
      </c>
      <c r="X182" s="140">
        <f t="shared" ref="X182:Y182" si="190">IF(X90=0,0,X90/X$89)</f>
        <v>0.57595413469110068</v>
      </c>
      <c r="Y182" s="140">
        <f t="shared" si="190"/>
        <v>0.61709888216841935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0.40933379432916012</v>
      </c>
      <c r="C183" s="127">
        <f t="shared" ref="C183:W183" si="191">IF(C91=0,0,C91/C$89)</f>
        <v>0.43437878010943837</v>
      </c>
      <c r="D183" s="127">
        <f t="shared" si="191"/>
        <v>0.44184341920387776</v>
      </c>
      <c r="E183" s="127">
        <f t="shared" si="191"/>
        <v>0.4553035940431201</v>
      </c>
      <c r="F183" s="127">
        <f t="shared" si="191"/>
        <v>0.45098845372949797</v>
      </c>
      <c r="G183" s="127">
        <f t="shared" si="191"/>
        <v>0.44599595952392374</v>
      </c>
      <c r="H183" s="127">
        <f t="shared" si="191"/>
        <v>0.43549211090562012</v>
      </c>
      <c r="I183" s="127">
        <f t="shared" si="191"/>
        <v>0.43873696759158898</v>
      </c>
      <c r="J183" s="127">
        <f t="shared" si="191"/>
        <v>0.44130947209907911</v>
      </c>
      <c r="K183" s="127">
        <f t="shared" si="191"/>
        <v>0.46472594672035716</v>
      </c>
      <c r="L183" s="127">
        <f t="shared" si="191"/>
        <v>0.45016331644845853</v>
      </c>
      <c r="M183" s="127">
        <f t="shared" si="191"/>
        <v>0.46007893812654249</v>
      </c>
      <c r="N183" s="127">
        <f t="shared" si="191"/>
        <v>0.45199322553882332</v>
      </c>
      <c r="O183" s="127">
        <f t="shared" si="191"/>
        <v>0.45854231725621503</v>
      </c>
      <c r="P183" s="127">
        <f t="shared" si="191"/>
        <v>0.46709234724480647</v>
      </c>
      <c r="Q183" s="127">
        <f t="shared" si="191"/>
        <v>0.43378548366174829</v>
      </c>
      <c r="R183" s="127">
        <f t="shared" si="191"/>
        <v>0.44548361637604178</v>
      </c>
      <c r="S183" s="127">
        <f t="shared" si="191"/>
        <v>0.43822665095082658</v>
      </c>
      <c r="T183" s="127">
        <f t="shared" si="191"/>
        <v>0.44291697012816106</v>
      </c>
      <c r="U183" s="127">
        <f t="shared" si="191"/>
        <v>0.44914854844651131</v>
      </c>
      <c r="V183" s="127">
        <f t="shared" si="191"/>
        <v>0.48268705014619623</v>
      </c>
      <c r="W183" s="127">
        <f t="shared" si="191"/>
        <v>0.48126159699139859</v>
      </c>
      <c r="X183" s="127">
        <f t="shared" ref="X183:Y183" si="192">IF(X91=0,0,X91/X$89)</f>
        <v>0.42404586530889926</v>
      </c>
      <c r="Y183" s="127">
        <f t="shared" si="192"/>
        <v>0.38290111783158065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36.173450294528919</v>
      </c>
      <c r="C186" s="32">
        <f t="shared" si="193"/>
        <v>36.057004543866235</v>
      </c>
      <c r="D186" s="32">
        <f t="shared" si="193"/>
        <v>35.974362805214675</v>
      </c>
      <c r="E186" s="32">
        <f t="shared" si="193"/>
        <v>36.235929803329618</v>
      </c>
      <c r="F186" s="32">
        <f t="shared" si="193"/>
        <v>36.441568754772057</v>
      </c>
      <c r="G186" s="32">
        <f t="shared" si="193"/>
        <v>35.783723289813047</v>
      </c>
      <c r="H186" s="32">
        <f t="shared" si="193"/>
        <v>36.110474972440819</v>
      </c>
      <c r="I186" s="32">
        <f t="shared" si="193"/>
        <v>36.272703742701424</v>
      </c>
      <c r="J186" s="32">
        <f t="shared" si="193"/>
        <v>35.805268020220446</v>
      </c>
      <c r="K186" s="32">
        <f t="shared" si="193"/>
        <v>35.191915546363902</v>
      </c>
      <c r="L186" s="32">
        <f t="shared" si="193"/>
        <v>35.444103220448412</v>
      </c>
      <c r="M186" s="32">
        <f t="shared" si="193"/>
        <v>35.824982067521709</v>
      </c>
      <c r="N186" s="32">
        <f t="shared" si="193"/>
        <v>35.058657138065989</v>
      </c>
      <c r="O186" s="32">
        <f t="shared" si="193"/>
        <v>35.184807979523157</v>
      </c>
      <c r="P186" s="32">
        <f t="shared" si="193"/>
        <v>34.555030317365649</v>
      </c>
      <c r="Q186" s="32">
        <f t="shared" si="193"/>
        <v>34.733465580430611</v>
      </c>
      <c r="R186" s="32">
        <f t="shared" si="193"/>
        <v>37.477494231131125</v>
      </c>
      <c r="S186" s="32">
        <f t="shared" si="193"/>
        <v>33.356673021966152</v>
      </c>
      <c r="T186" s="32">
        <f t="shared" si="193"/>
        <v>33.532195140677274</v>
      </c>
      <c r="U186" s="32">
        <f t="shared" si="193"/>
        <v>32.832219093271</v>
      </c>
      <c r="V186" s="32">
        <f t="shared" si="193"/>
        <v>34.62975837478573</v>
      </c>
      <c r="W186" s="32">
        <f t="shared" si="193"/>
        <v>36.458649080662205</v>
      </c>
      <c r="X186" s="32">
        <f t="shared" si="193"/>
        <v>33.261772699579318</v>
      </c>
      <c r="Y186" s="32">
        <f t="shared" si="193"/>
        <v>31.338207176005323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36.3071401888268</v>
      </c>
      <c r="C187" s="141">
        <f t="shared" si="194"/>
        <v>35.991887801672476</v>
      </c>
      <c r="D187" s="141">
        <f t="shared" si="194"/>
        <v>36.150583371820836</v>
      </c>
      <c r="E187" s="141">
        <f t="shared" si="194"/>
        <v>36.195704476547327</v>
      </c>
      <c r="F187" s="141">
        <f t="shared" si="194"/>
        <v>36.40102101898993</v>
      </c>
      <c r="G187" s="141">
        <f t="shared" si="194"/>
        <v>36.170403256976712</v>
      </c>
      <c r="H187" s="141">
        <f t="shared" si="194"/>
        <v>36.693466297080235</v>
      </c>
      <c r="I187" s="141">
        <f t="shared" si="194"/>
        <v>37.207884476618773</v>
      </c>
      <c r="J187" s="141">
        <f t="shared" si="194"/>
        <v>36.448328948723415</v>
      </c>
      <c r="K187" s="141">
        <f t="shared" si="194"/>
        <v>36.203470326963469</v>
      </c>
      <c r="L187" s="141">
        <f t="shared" si="194"/>
        <v>36.607330615432154</v>
      </c>
      <c r="M187" s="141">
        <f t="shared" si="194"/>
        <v>36.740865498756953</v>
      </c>
      <c r="N187" s="141">
        <f t="shared" si="194"/>
        <v>36.750408759699937</v>
      </c>
      <c r="O187" s="141">
        <f t="shared" si="194"/>
        <v>36.981059419385943</v>
      </c>
      <c r="P187" s="141">
        <f t="shared" si="194"/>
        <v>36.488805735132104</v>
      </c>
      <c r="Q187" s="141">
        <f t="shared" si="194"/>
        <v>36.598765967551572</v>
      </c>
      <c r="R187" s="141">
        <f t="shared" si="194"/>
        <v>41.046314367135608</v>
      </c>
      <c r="S187" s="141">
        <f t="shared" si="194"/>
        <v>36.110137295900735</v>
      </c>
      <c r="T187" s="141">
        <f t="shared" si="194"/>
        <v>36.319943567143433</v>
      </c>
      <c r="U187" s="141">
        <f t="shared" si="194"/>
        <v>35.666254549363401</v>
      </c>
      <c r="V187" s="141">
        <f t="shared" si="194"/>
        <v>34.873325465221086</v>
      </c>
      <c r="W187" s="141">
        <f t="shared" si="194"/>
        <v>35.957250739666684</v>
      </c>
      <c r="X187" s="141">
        <f t="shared" si="194"/>
        <v>35.349527728042602</v>
      </c>
      <c r="Y187" s="141">
        <f t="shared" si="194"/>
        <v>34.778277563726434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43.674373576036984</v>
      </c>
      <c r="C188" s="97">
        <f t="shared" si="195"/>
        <v>43.107494169485342</v>
      </c>
      <c r="D188" s="97">
        <f t="shared" si="195"/>
        <v>42.493954249802073</v>
      </c>
      <c r="E188" s="97">
        <f t="shared" si="195"/>
        <v>41.827157169601058</v>
      </c>
      <c r="F188" s="97">
        <f t="shared" si="195"/>
        <v>41.283169587162718</v>
      </c>
      <c r="G188" s="97">
        <f t="shared" si="195"/>
        <v>40.805356687192585</v>
      </c>
      <c r="H188" s="97">
        <f t="shared" si="195"/>
        <v>40.348105459909767</v>
      </c>
      <c r="I188" s="97">
        <f t="shared" si="195"/>
        <v>40.033562099055949</v>
      </c>
      <c r="J188" s="97">
        <f t="shared" si="195"/>
        <v>39.399016177807205</v>
      </c>
      <c r="K188" s="97">
        <f t="shared" si="195"/>
        <v>38.831348514186644</v>
      </c>
      <c r="L188" s="97">
        <f t="shared" si="195"/>
        <v>38.263685435171254</v>
      </c>
      <c r="M188" s="97">
        <f t="shared" si="195"/>
        <v>37.69479607569658</v>
      </c>
      <c r="N188" s="97">
        <f t="shared" si="195"/>
        <v>37.380976033665995</v>
      </c>
      <c r="O188" s="97">
        <f t="shared" si="195"/>
        <v>37.064955498883236</v>
      </c>
      <c r="P188" s="97">
        <f t="shared" si="195"/>
        <v>36.562797501535023</v>
      </c>
      <c r="Q188" s="97">
        <f t="shared" si="195"/>
        <v>36.119500404991349</v>
      </c>
      <c r="R188" s="97">
        <f t="shared" si="195"/>
        <v>35.839632453651639</v>
      </c>
      <c r="S188" s="97">
        <f t="shared" si="195"/>
        <v>35.557199065966721</v>
      </c>
      <c r="T188" s="97">
        <f t="shared" si="195"/>
        <v>35.305290130971073</v>
      </c>
      <c r="U188" s="97">
        <f t="shared" si="195"/>
        <v>35.023845872518947</v>
      </c>
      <c r="V188" s="97">
        <f t="shared" si="195"/>
        <v>34.797510471862694</v>
      </c>
      <c r="W188" s="97">
        <f t="shared" si="195"/>
        <v>34.555922976942448</v>
      </c>
      <c r="X188" s="97">
        <f t="shared" si="195"/>
        <v>34.331564793766006</v>
      </c>
      <c r="Y188" s="97">
        <f t="shared" si="195"/>
        <v>34.20511199829452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37.292614811401087</v>
      </c>
      <c r="C189" s="97">
        <f t="shared" si="196"/>
        <v>36.994218863029374</v>
      </c>
      <c r="D189" s="97">
        <f t="shared" si="196"/>
        <v>37.127004901632802</v>
      </c>
      <c r="E189" s="97">
        <f t="shared" si="196"/>
        <v>37.048818901929202</v>
      </c>
      <c r="F189" s="97">
        <f t="shared" si="196"/>
        <v>37.095593288900844</v>
      </c>
      <c r="G189" s="97">
        <f t="shared" si="196"/>
        <v>36.840708253385962</v>
      </c>
      <c r="H189" s="97">
        <f t="shared" si="196"/>
        <v>37.301899511906335</v>
      </c>
      <c r="I189" s="97">
        <f t="shared" si="196"/>
        <v>37.73574283125209</v>
      </c>
      <c r="J189" s="97">
        <f t="shared" si="196"/>
        <v>36.872249003634643</v>
      </c>
      <c r="K189" s="97">
        <f t="shared" si="196"/>
        <v>36.448456813411035</v>
      </c>
      <c r="L189" s="97">
        <f t="shared" si="196"/>
        <v>36.721882199069796</v>
      </c>
      <c r="M189" s="97">
        <f t="shared" si="196"/>
        <v>36.782868388003152</v>
      </c>
      <c r="N189" s="97">
        <f t="shared" si="196"/>
        <v>36.621482657667222</v>
      </c>
      <c r="O189" s="97">
        <f t="shared" si="196"/>
        <v>36.752244522061723</v>
      </c>
      <c r="P189" s="97">
        <f t="shared" si="196"/>
        <v>36.066235365077652</v>
      </c>
      <c r="Q189" s="97">
        <f t="shared" si="196"/>
        <v>36.024610914379281</v>
      </c>
      <c r="R189" s="97">
        <f t="shared" si="196"/>
        <v>41.172687369060043</v>
      </c>
      <c r="S189" s="97">
        <f t="shared" si="196"/>
        <v>35.50992487105114</v>
      </c>
      <c r="T189" s="97">
        <f t="shared" si="196"/>
        <v>35.672571853522705</v>
      </c>
      <c r="U189" s="97">
        <f t="shared" si="196"/>
        <v>35.046363264430489</v>
      </c>
      <c r="V189" s="97">
        <f t="shared" si="196"/>
        <v>34.211424159798327</v>
      </c>
      <c r="W189" s="97">
        <f t="shared" si="196"/>
        <v>35.365176192792596</v>
      </c>
      <c r="X189" s="97">
        <f t="shared" si="196"/>
        <v>34.797712945575668</v>
      </c>
      <c r="Y189" s="97">
        <f t="shared" si="196"/>
        <v>34.285114506107554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28.313637487667094</v>
      </c>
      <c r="C190" s="97">
        <f t="shared" si="197"/>
        <v>27.736778334315353</v>
      </c>
      <c r="D190" s="97">
        <f t="shared" si="197"/>
        <v>28.013198586657357</v>
      </c>
      <c r="E190" s="97">
        <f t="shared" si="197"/>
        <v>28.903872019544234</v>
      </c>
      <c r="F190" s="97">
        <f t="shared" si="197"/>
        <v>30.254845739287319</v>
      </c>
      <c r="G190" s="97">
        <f t="shared" si="197"/>
        <v>30.111291470300234</v>
      </c>
      <c r="H190" s="97">
        <f t="shared" si="197"/>
        <v>31.21572857877937</v>
      </c>
      <c r="I190" s="97">
        <f t="shared" si="197"/>
        <v>32.403253980861599</v>
      </c>
      <c r="J190" s="97">
        <f t="shared" si="197"/>
        <v>32.529423160741437</v>
      </c>
      <c r="K190" s="97">
        <f t="shared" si="197"/>
        <v>33.797526222715817</v>
      </c>
      <c r="L190" s="97">
        <f t="shared" si="197"/>
        <v>35.358780902682746</v>
      </c>
      <c r="M190" s="97">
        <f t="shared" si="197"/>
        <v>36.223608156222333</v>
      </c>
      <c r="N190" s="97">
        <f t="shared" si="197"/>
        <v>37.766317442893936</v>
      </c>
      <c r="O190" s="97">
        <f t="shared" si="197"/>
        <v>38.943774896436722</v>
      </c>
      <c r="P190" s="97">
        <f t="shared" si="197"/>
        <v>40.149026500571864</v>
      </c>
      <c r="Q190" s="97">
        <f t="shared" si="197"/>
        <v>41.723359618907025</v>
      </c>
      <c r="R190" s="97">
        <f t="shared" si="197"/>
        <v>40.951598268596491</v>
      </c>
      <c r="S190" s="97">
        <f t="shared" si="197"/>
        <v>41.043598453393869</v>
      </c>
      <c r="T190" s="97">
        <f t="shared" si="197"/>
        <v>41.866126214962797</v>
      </c>
      <c r="U190" s="97">
        <f t="shared" si="197"/>
        <v>41.003605439743453</v>
      </c>
      <c r="V190" s="97">
        <f t="shared" si="197"/>
        <v>41.124461688648232</v>
      </c>
      <c r="W190" s="97">
        <f t="shared" si="197"/>
        <v>42.488302279932618</v>
      </c>
      <c r="X190" s="97">
        <f t="shared" si="197"/>
        <v>40.432235444663995</v>
      </c>
      <c r="Y190" s="97">
        <f t="shared" si="197"/>
        <v>38.992380972416697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10.489767361757021</v>
      </c>
      <c r="C191" s="130">
        <f t="shared" si="198"/>
        <v>10.953898750988115</v>
      </c>
      <c r="D191" s="130">
        <f t="shared" si="198"/>
        <v>11.394660069997386</v>
      </c>
      <c r="E191" s="130">
        <f t="shared" si="198"/>
        <v>12.141957913987483</v>
      </c>
      <c r="F191" s="130">
        <f t="shared" si="198"/>
        <v>11.870696424620931</v>
      </c>
      <c r="G191" s="130">
        <f t="shared" si="198"/>
        <v>11.622057097957331</v>
      </c>
      <c r="H191" s="130">
        <f t="shared" si="198"/>
        <v>11.493029874696822</v>
      </c>
      <c r="I191" s="130">
        <f t="shared" si="198"/>
        <v>11.165836152864831</v>
      </c>
      <c r="J191" s="130">
        <f t="shared" si="198"/>
        <v>10.777568794292097</v>
      </c>
      <c r="K191" s="130">
        <f t="shared" si="198"/>
        <v>11.545986250528307</v>
      </c>
      <c r="L191" s="130">
        <f t="shared" si="198"/>
        <v>11.628827736504233</v>
      </c>
      <c r="M191" s="130">
        <f t="shared" si="198"/>
        <v>12.030661435334615</v>
      </c>
      <c r="N191" s="130">
        <f t="shared" si="198"/>
        <v>11.65401443596849</v>
      </c>
      <c r="O191" s="130">
        <f t="shared" si="198"/>
        <v>11.512217349668211</v>
      </c>
      <c r="P191" s="130">
        <f t="shared" si="198"/>
        <v>11.46708887919217</v>
      </c>
      <c r="Q191" s="130">
        <f t="shared" si="198"/>
        <v>11.212325293556066</v>
      </c>
      <c r="R191" s="130">
        <f t="shared" si="198"/>
        <v>11.083268159843778</v>
      </c>
      <c r="S191" s="130">
        <f t="shared" si="198"/>
        <v>10.545657648061534</v>
      </c>
      <c r="T191" s="130">
        <f t="shared" si="198"/>
        <v>10.328270599920721</v>
      </c>
      <c r="U191" s="130">
        <f t="shared" si="198"/>
        <v>9.753988225059004</v>
      </c>
      <c r="V191" s="130">
        <f t="shared" si="198"/>
        <v>12.901299273313571</v>
      </c>
      <c r="W191" s="130">
        <f t="shared" si="198"/>
        <v>13.063674056916087</v>
      </c>
      <c r="X191" s="130">
        <f t="shared" si="198"/>
        <v>9.2221159830253434</v>
      </c>
      <c r="Y191" s="130">
        <f t="shared" si="198"/>
        <v>8.238807883216392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5.5195841876341278</v>
      </c>
      <c r="C192" s="97">
        <f t="shared" si="199"/>
        <v>5.5786729282870908</v>
      </c>
      <c r="D192" s="97">
        <f t="shared" si="199"/>
        <v>5.6036013529413875</v>
      </c>
      <c r="E192" s="97">
        <f t="shared" si="199"/>
        <v>5.5812511769135664</v>
      </c>
      <c r="F192" s="97">
        <f t="shared" si="199"/>
        <v>5.5326214531394333</v>
      </c>
      <c r="G192" s="97">
        <f t="shared" si="199"/>
        <v>5.4391558086348528</v>
      </c>
      <c r="H192" s="97">
        <f t="shared" si="199"/>
        <v>5.415643624297636</v>
      </c>
      <c r="I192" s="97">
        <f t="shared" si="199"/>
        <v>5.3674313273014294</v>
      </c>
      <c r="J192" s="97">
        <f t="shared" si="199"/>
        <v>5.2495809352628502</v>
      </c>
      <c r="K192" s="97">
        <f t="shared" si="199"/>
        <v>5.2770998046508266</v>
      </c>
      <c r="L192" s="97">
        <f t="shared" si="199"/>
        <v>5.218426776613085</v>
      </c>
      <c r="M192" s="97">
        <f t="shared" si="199"/>
        <v>5.2447559796530223</v>
      </c>
      <c r="N192" s="97">
        <f t="shared" si="199"/>
        <v>5.1880850344892417</v>
      </c>
      <c r="O192" s="97">
        <f t="shared" si="199"/>
        <v>5.1563099846797922</v>
      </c>
      <c r="P192" s="97">
        <f t="shared" si="199"/>
        <v>5.1469214403160537</v>
      </c>
      <c r="Q192" s="97">
        <f t="shared" si="199"/>
        <v>4.9607697227879513</v>
      </c>
      <c r="R192" s="97">
        <f t="shared" si="199"/>
        <v>4.8670767892773048</v>
      </c>
      <c r="S192" s="97">
        <f t="shared" si="199"/>
        <v>4.6985190752258026</v>
      </c>
      <c r="T192" s="97">
        <f t="shared" si="199"/>
        <v>4.620783404909659</v>
      </c>
      <c r="U192" s="97">
        <f t="shared" si="199"/>
        <v>4.5487743788062378</v>
      </c>
      <c r="V192" s="97">
        <f t="shared" si="199"/>
        <v>5.1884690070852031</v>
      </c>
      <c r="W192" s="97">
        <f t="shared" si="199"/>
        <v>5.7326054156417889</v>
      </c>
      <c r="X192" s="97">
        <f t="shared" si="199"/>
        <v>4.5725529143039161</v>
      </c>
      <c r="Y192" s="97">
        <f t="shared" si="199"/>
        <v>4.2931006863752366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11.133926540833045</v>
      </c>
      <c r="C193" s="97">
        <f t="shared" si="200"/>
        <v>11.724058081132462</v>
      </c>
      <c r="D193" s="97">
        <f t="shared" si="200"/>
        <v>12.197056622303112</v>
      </c>
      <c r="E193" s="97">
        <f t="shared" si="200"/>
        <v>13.088664833812693</v>
      </c>
      <c r="F193" s="97">
        <f t="shared" si="200"/>
        <v>12.802673659139208</v>
      </c>
      <c r="G193" s="97">
        <f t="shared" si="200"/>
        <v>12.437599946116453</v>
      </c>
      <c r="H193" s="97">
        <f t="shared" si="200"/>
        <v>12.25224690304527</v>
      </c>
      <c r="I193" s="97">
        <f t="shared" si="200"/>
        <v>11.739320231155999</v>
      </c>
      <c r="J193" s="97">
        <f t="shared" si="200"/>
        <v>11.173538596254048</v>
      </c>
      <c r="K193" s="97">
        <f t="shared" si="200"/>
        <v>12.246081235460938</v>
      </c>
      <c r="L193" s="97">
        <f t="shared" si="200"/>
        <v>12.395319377021279</v>
      </c>
      <c r="M193" s="97">
        <f t="shared" si="200"/>
        <v>12.962714924877075</v>
      </c>
      <c r="N193" s="97">
        <f t="shared" si="200"/>
        <v>12.522076262704584</v>
      </c>
      <c r="O193" s="97">
        <f t="shared" si="200"/>
        <v>12.348535915277758</v>
      </c>
      <c r="P193" s="97">
        <f t="shared" si="200"/>
        <v>12.32562991818083</v>
      </c>
      <c r="Q193" s="97">
        <f t="shared" si="200"/>
        <v>12.003570231568837</v>
      </c>
      <c r="R193" s="97">
        <f t="shared" si="200"/>
        <v>11.924619068466235</v>
      </c>
      <c r="S193" s="97">
        <f t="shared" si="200"/>
        <v>11.21447216457039</v>
      </c>
      <c r="T193" s="97">
        <f t="shared" si="200"/>
        <v>11.027617737518414</v>
      </c>
      <c r="U193" s="97">
        <f t="shared" si="200"/>
        <v>10.206005669871038</v>
      </c>
      <c r="V193" s="97">
        <f t="shared" si="200"/>
        <v>13.494239484625744</v>
      </c>
      <c r="W193" s="97">
        <f t="shared" si="200"/>
        <v>13.13688828370864</v>
      </c>
      <c r="X193" s="97">
        <f t="shared" si="200"/>
        <v>8.972475190701811</v>
      </c>
      <c r="Y193" s="97">
        <f t="shared" si="200"/>
        <v>8.145149567027703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15.032786157526274</v>
      </c>
      <c r="C194" s="97">
        <f t="shared" si="201"/>
        <v>14.801991891152277</v>
      </c>
      <c r="D194" s="97">
        <f t="shared" si="201"/>
        <v>14.674990885459282</v>
      </c>
      <c r="E194" s="97">
        <f t="shared" si="201"/>
        <v>14.421411985798516</v>
      </c>
      <c r="F194" s="97">
        <f t="shared" si="201"/>
        <v>13.980608967655003</v>
      </c>
      <c r="G194" s="97">
        <f t="shared" si="201"/>
        <v>13.77441040362833</v>
      </c>
      <c r="H194" s="97">
        <f t="shared" si="201"/>
        <v>13.394596592368648</v>
      </c>
      <c r="I194" s="97">
        <f t="shared" si="201"/>
        <v>13.202333440654163</v>
      </c>
      <c r="J194" s="97">
        <f t="shared" si="201"/>
        <v>13.322123650038188</v>
      </c>
      <c r="K194" s="97">
        <f t="shared" si="201"/>
        <v>13.275020685142957</v>
      </c>
      <c r="L194" s="97">
        <f t="shared" si="201"/>
        <v>12.952880212559414</v>
      </c>
      <c r="M194" s="97">
        <f t="shared" si="201"/>
        <v>12.788539555726436</v>
      </c>
      <c r="N194" s="97">
        <f t="shared" si="201"/>
        <v>12.378643203803376</v>
      </c>
      <c r="O194" s="97">
        <f t="shared" si="201"/>
        <v>12.278855889126417</v>
      </c>
      <c r="P194" s="97">
        <f t="shared" si="201"/>
        <v>12.203245334807953</v>
      </c>
      <c r="Q194" s="97">
        <f t="shared" si="201"/>
        <v>11.950232929515462</v>
      </c>
      <c r="R194" s="97">
        <f t="shared" si="201"/>
        <v>11.961699734257897</v>
      </c>
      <c r="S194" s="97">
        <f t="shared" si="201"/>
        <v>11.811494217395548</v>
      </c>
      <c r="T194" s="97">
        <f t="shared" si="201"/>
        <v>11.7386544100968</v>
      </c>
      <c r="U194" s="97">
        <f t="shared" si="201"/>
        <v>11.644412312573939</v>
      </c>
      <c r="V194" s="97">
        <f t="shared" si="201"/>
        <v>21.67895978174818</v>
      </c>
      <c r="W194" s="97">
        <f t="shared" si="201"/>
        <v>23.197836669212872</v>
      </c>
      <c r="X194" s="97">
        <f t="shared" si="201"/>
        <v>18.679275680360856</v>
      </c>
      <c r="Y194" s="97">
        <f t="shared" si="201"/>
        <v>14.589148337860333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45.169659006012488</v>
      </c>
      <c r="C195" s="130">
        <f t="shared" si="202"/>
        <v>45.74074657098906</v>
      </c>
      <c r="D195" s="130">
        <f t="shared" si="202"/>
        <v>44.054758813203023</v>
      </c>
      <c r="E195" s="130">
        <f t="shared" si="202"/>
        <v>45.777697391316678</v>
      </c>
      <c r="F195" s="130">
        <f t="shared" si="202"/>
        <v>45.034016773219747</v>
      </c>
      <c r="G195" s="130">
        <f t="shared" si="202"/>
        <v>41.432536104816577</v>
      </c>
      <c r="H195" s="130">
        <f t="shared" si="202"/>
        <v>40.412659109522203</v>
      </c>
      <c r="I195" s="130">
        <f t="shared" si="202"/>
        <v>38.818865976771256</v>
      </c>
      <c r="J195" s="130">
        <f t="shared" si="202"/>
        <v>39.958866874446954</v>
      </c>
      <c r="K195" s="130">
        <f t="shared" si="202"/>
        <v>37.146385224952532</v>
      </c>
      <c r="L195" s="130">
        <f t="shared" si="202"/>
        <v>36.740176319689425</v>
      </c>
      <c r="M195" s="130">
        <f t="shared" si="202"/>
        <v>37.762057236974421</v>
      </c>
      <c r="N195" s="130">
        <f t="shared" si="202"/>
        <v>34.128284776324215</v>
      </c>
      <c r="O195" s="130">
        <f t="shared" si="202"/>
        <v>33.980917778997963</v>
      </c>
      <c r="P195" s="130">
        <f t="shared" si="202"/>
        <v>32.525187563448512</v>
      </c>
      <c r="Q195" s="130">
        <f t="shared" si="202"/>
        <v>33.233894739853348</v>
      </c>
      <c r="R195" s="130">
        <f t="shared" si="202"/>
        <v>31.888370995226435</v>
      </c>
      <c r="S195" s="130">
        <f t="shared" si="202"/>
        <v>29.375679505513698</v>
      </c>
      <c r="T195" s="130">
        <f t="shared" si="202"/>
        <v>30.23569470362866</v>
      </c>
      <c r="U195" s="130">
        <f t="shared" si="202"/>
        <v>29.926465749944771</v>
      </c>
      <c r="V195" s="130">
        <f t="shared" si="202"/>
        <v>42.484087707759386</v>
      </c>
      <c r="W195" s="130">
        <f t="shared" si="202"/>
        <v>59.942510004826524</v>
      </c>
      <c r="X195" s="130">
        <f t="shared" si="202"/>
        <v>32.146220393537817</v>
      </c>
      <c r="Y195" s="130">
        <f t="shared" si="202"/>
        <v>27.007061472943967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77.4884618768656</v>
      </c>
      <c r="C196" s="97">
        <f t="shared" si="203"/>
        <v>77.720012326408636</v>
      </c>
      <c r="D196" s="97">
        <f t="shared" si="203"/>
        <v>67.599768153477783</v>
      </c>
      <c r="E196" s="97">
        <f t="shared" si="203"/>
        <v>78.30289983338902</v>
      </c>
      <c r="F196" s="97">
        <f t="shared" si="203"/>
        <v>75.456484478103292</v>
      </c>
      <c r="G196" s="97">
        <f t="shared" si="203"/>
        <v>72.432097670723721</v>
      </c>
      <c r="H196" s="97">
        <f t="shared" si="203"/>
        <v>70.474312848883699</v>
      </c>
      <c r="I196" s="97">
        <f t="shared" si="203"/>
        <v>62.835721335254242</v>
      </c>
      <c r="J196" s="97">
        <f t="shared" si="203"/>
        <v>65.580343089479811</v>
      </c>
      <c r="K196" s="97">
        <f t="shared" si="203"/>
        <v>65.298070408109126</v>
      </c>
      <c r="L196" s="97">
        <f t="shared" si="203"/>
        <v>65.574517381777497</v>
      </c>
      <c r="M196" s="97">
        <f t="shared" si="203"/>
        <v>61.878995387885254</v>
      </c>
      <c r="N196" s="97">
        <f t="shared" si="203"/>
        <v>51.672012640005711</v>
      </c>
      <c r="O196" s="97">
        <f t="shared" si="203"/>
        <v>49.197423543167623</v>
      </c>
      <c r="P196" s="97">
        <f t="shared" si="203"/>
        <v>47.267519569141257</v>
      </c>
      <c r="Q196" s="97">
        <f t="shared" si="203"/>
        <v>45.39106943583446</v>
      </c>
      <c r="R196" s="97">
        <f t="shared" si="203"/>
        <v>43.844225363476298</v>
      </c>
      <c r="S196" s="97">
        <f t="shared" si="203"/>
        <v>42.336947315221536</v>
      </c>
      <c r="T196" s="97">
        <f t="shared" si="203"/>
        <v>41.525629951173293</v>
      </c>
      <c r="U196" s="97">
        <f t="shared" si="203"/>
        <v>39.587780550075664</v>
      </c>
      <c r="V196" s="97">
        <f t="shared" si="203"/>
        <v>43.857546888386601</v>
      </c>
      <c r="W196" s="97">
        <f t="shared" si="203"/>
        <v>43.806847150278749</v>
      </c>
      <c r="X196" s="97">
        <f t="shared" si="203"/>
        <v>39.984072810385719</v>
      </c>
      <c r="Y196" s="97">
        <f t="shared" si="203"/>
        <v>41.394720908408608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38.197839310562934</v>
      </c>
      <c r="C197" s="97">
        <f t="shared" si="204"/>
        <v>38.745286571326922</v>
      </c>
      <c r="D197" s="97">
        <f t="shared" si="204"/>
        <v>37.677972837916442</v>
      </c>
      <c r="E197" s="97">
        <f t="shared" si="204"/>
        <v>38.837989672685801</v>
      </c>
      <c r="F197" s="97">
        <f t="shared" si="204"/>
        <v>40.397175388543417</v>
      </c>
      <c r="G197" s="97">
        <f t="shared" si="204"/>
        <v>38.243840349027366</v>
      </c>
      <c r="H197" s="97">
        <f t="shared" si="204"/>
        <v>39.982472335700322</v>
      </c>
      <c r="I197" s="97">
        <f t="shared" si="204"/>
        <v>44.36488755275527</v>
      </c>
      <c r="J197" s="97">
        <f t="shared" si="204"/>
        <v>49.742179784504152</v>
      </c>
      <c r="K197" s="97">
        <f t="shared" si="204"/>
        <v>45.199632473998584</v>
      </c>
      <c r="L197" s="97">
        <f t="shared" si="204"/>
        <v>46.930394699157972</v>
      </c>
      <c r="M197" s="97">
        <f t="shared" si="204"/>
        <v>49.03663657874894</v>
      </c>
      <c r="N197" s="97">
        <f t="shared" si="204"/>
        <v>46.350471221942513</v>
      </c>
      <c r="O197" s="97">
        <f t="shared" si="204"/>
        <v>45.024907256981521</v>
      </c>
      <c r="P197" s="97">
        <f t="shared" si="204"/>
        <v>40.410195452669512</v>
      </c>
      <c r="Q197" s="97">
        <f t="shared" si="204"/>
        <v>42.603823373768144</v>
      </c>
      <c r="R197" s="97">
        <f t="shared" si="204"/>
        <v>41.968141722479352</v>
      </c>
      <c r="S197" s="97">
        <f t="shared" si="204"/>
        <v>39.883959471152345</v>
      </c>
      <c r="T197" s="97">
        <f t="shared" si="204"/>
        <v>42.149622970565751</v>
      </c>
      <c r="U197" s="97">
        <f t="shared" si="204"/>
        <v>43.552364652693676</v>
      </c>
      <c r="V197" s="97">
        <f t="shared" si="204"/>
        <v>59.096743948037947</v>
      </c>
      <c r="W197" s="97">
        <f t="shared" si="204"/>
        <v>67.276998826327684</v>
      </c>
      <c r="X197" s="97">
        <f t="shared" si="204"/>
        <v>40.651418228550618</v>
      </c>
      <c r="Y197" s="97">
        <f t="shared" si="204"/>
        <v>39.405180950087569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41.624146567628237</v>
      </c>
      <c r="C198" s="97">
        <f t="shared" si="205"/>
        <v>43.14941172808448</v>
      </c>
      <c r="D198" s="97">
        <f t="shared" si="205"/>
        <v>44.516968643607697</v>
      </c>
      <c r="E198" s="97">
        <f t="shared" si="205"/>
        <v>45.093373324462661</v>
      </c>
      <c r="F198" s="97">
        <f t="shared" si="205"/>
        <v>41.236214033455546</v>
      </c>
      <c r="G198" s="97">
        <f t="shared" si="205"/>
        <v>35.920663784586843</v>
      </c>
      <c r="H198" s="97">
        <f t="shared" si="205"/>
        <v>32.28536432152471</v>
      </c>
      <c r="I198" s="97">
        <f t="shared" si="205"/>
        <v>26.58574125934345</v>
      </c>
      <c r="J198" s="97">
        <f t="shared" si="205"/>
        <v>25.251910337469816</v>
      </c>
      <c r="K198" s="97">
        <f t="shared" si="205"/>
        <v>24.056527478240209</v>
      </c>
      <c r="L198" s="97">
        <f t="shared" si="205"/>
        <v>22.827968593471958</v>
      </c>
      <c r="M198" s="97">
        <f t="shared" si="205"/>
        <v>23.469859807254981</v>
      </c>
      <c r="N198" s="97">
        <f t="shared" si="205"/>
        <v>21.296341495292591</v>
      </c>
      <c r="O198" s="97">
        <f t="shared" si="205"/>
        <v>22.068068409760937</v>
      </c>
      <c r="P198" s="97">
        <f t="shared" si="205"/>
        <v>22.283025169003647</v>
      </c>
      <c r="Q198" s="97">
        <f t="shared" si="205"/>
        <v>22.166918264154106</v>
      </c>
      <c r="R198" s="97">
        <f t="shared" si="205"/>
        <v>20.303710456642513</v>
      </c>
      <c r="S198" s="97">
        <f t="shared" si="205"/>
        <v>17.763496977456239</v>
      </c>
      <c r="T198" s="97">
        <f t="shared" si="205"/>
        <v>18.027309140138417</v>
      </c>
      <c r="U198" s="97">
        <f t="shared" si="205"/>
        <v>17.520337389164204</v>
      </c>
      <c r="V198" s="97">
        <f t="shared" si="205"/>
        <v>29.469741041749266</v>
      </c>
      <c r="W198" s="97">
        <f t="shared" si="205"/>
        <v>54.751697902896098</v>
      </c>
      <c r="X198" s="97">
        <f t="shared" si="205"/>
        <v>21.214611262480251</v>
      </c>
      <c r="Y198" s="97">
        <f t="shared" si="205"/>
        <v>15.409004545328139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35.009745522554468</v>
      </c>
      <c r="C199" s="32">
        <f t="shared" si="206"/>
        <v>36.606226710810915</v>
      </c>
      <c r="D199" s="32">
        <f t="shared" si="206"/>
        <v>35.905952763009161</v>
      </c>
      <c r="E199" s="32">
        <f t="shared" si="206"/>
        <v>37.057137882004909</v>
      </c>
      <c r="F199" s="32">
        <f t="shared" si="206"/>
        <v>37.566910634156564</v>
      </c>
      <c r="G199" s="32">
        <f t="shared" si="206"/>
        <v>37.304578101155442</v>
      </c>
      <c r="H199" s="32">
        <f t="shared" si="206"/>
        <v>38.319026977173706</v>
      </c>
      <c r="I199" s="32">
        <f t="shared" si="206"/>
        <v>39.199831490592878</v>
      </c>
      <c r="J199" s="32">
        <f t="shared" si="206"/>
        <v>35.674439378814327</v>
      </c>
      <c r="K199" s="32">
        <f t="shared" si="206"/>
        <v>37.076038705406987</v>
      </c>
      <c r="L199" s="32">
        <f t="shared" si="206"/>
        <v>37.785442293839395</v>
      </c>
      <c r="M199" s="32">
        <f t="shared" si="206"/>
        <v>38.539989735521218</v>
      </c>
      <c r="N199" s="32">
        <f t="shared" si="206"/>
        <v>38.414655295393196</v>
      </c>
      <c r="O199" s="32">
        <f t="shared" si="206"/>
        <v>40.014052843445505</v>
      </c>
      <c r="P199" s="32">
        <f t="shared" si="206"/>
        <v>38.043201725718106</v>
      </c>
      <c r="Q199" s="32">
        <f t="shared" si="206"/>
        <v>36.54016714182211</v>
      </c>
      <c r="R199" s="32">
        <f t="shared" si="206"/>
        <v>35.052404584841156</v>
      </c>
      <c r="S199" s="32">
        <f t="shared" si="206"/>
        <v>32.588152491462232</v>
      </c>
      <c r="T199" s="32">
        <f t="shared" si="206"/>
        <v>32.460044588519658</v>
      </c>
      <c r="U199" s="32">
        <f t="shared" si="206"/>
        <v>31.988615808121708</v>
      </c>
      <c r="V199" s="32">
        <f t="shared" si="206"/>
        <v>30.488913107431614</v>
      </c>
      <c r="W199" s="32">
        <f t="shared" si="206"/>
        <v>32.708999158200605</v>
      </c>
      <c r="X199" s="32">
        <f t="shared" si="206"/>
        <v>31.363922828980101</v>
      </c>
      <c r="Y199" s="32">
        <f t="shared" si="206"/>
        <v>32.02448135309875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40.615399151885576</v>
      </c>
      <c r="C200" s="141">
        <f t="shared" si="207"/>
        <v>43.154145935564046</v>
      </c>
      <c r="D200" s="141">
        <f t="shared" si="207"/>
        <v>41.595872145606748</v>
      </c>
      <c r="E200" s="141">
        <f t="shared" si="207"/>
        <v>43.58272854014114</v>
      </c>
      <c r="F200" s="141">
        <f t="shared" si="207"/>
        <v>44.235432267056318</v>
      </c>
      <c r="G200" s="141">
        <f t="shared" si="207"/>
        <v>43.11132198279887</v>
      </c>
      <c r="H200" s="141">
        <f t="shared" si="207"/>
        <v>46.373261639294519</v>
      </c>
      <c r="I200" s="141">
        <f t="shared" si="207"/>
        <v>46.729693111718483</v>
      </c>
      <c r="J200" s="141">
        <f t="shared" si="207"/>
        <v>42.757569284312865</v>
      </c>
      <c r="K200" s="141">
        <f t="shared" si="207"/>
        <v>43.076303324387112</v>
      </c>
      <c r="L200" s="141">
        <f t="shared" si="207"/>
        <v>44.623705143340921</v>
      </c>
      <c r="M200" s="141">
        <f t="shared" si="207"/>
        <v>46.127738138905336</v>
      </c>
      <c r="N200" s="141">
        <f t="shared" si="207"/>
        <v>46.196537552439722</v>
      </c>
      <c r="O200" s="141">
        <f t="shared" si="207"/>
        <v>48.906997768490129</v>
      </c>
      <c r="P200" s="141">
        <f t="shared" si="207"/>
        <v>47.381005709101295</v>
      </c>
      <c r="Q200" s="141">
        <f t="shared" si="207"/>
        <v>43.412619241165459</v>
      </c>
      <c r="R200" s="141">
        <f t="shared" si="207"/>
        <v>42.272988676756526</v>
      </c>
      <c r="S200" s="141">
        <f t="shared" si="207"/>
        <v>39.286950029407336</v>
      </c>
      <c r="T200" s="141">
        <f t="shared" si="207"/>
        <v>40.127554481402818</v>
      </c>
      <c r="U200" s="141">
        <f t="shared" si="207"/>
        <v>38.891744104336496</v>
      </c>
      <c r="V200" s="141">
        <f t="shared" si="207"/>
        <v>36.472180155634511</v>
      </c>
      <c r="W200" s="141">
        <f t="shared" si="207"/>
        <v>39.514626990837314</v>
      </c>
      <c r="X200" s="141">
        <f t="shared" si="207"/>
        <v>36.207296016026945</v>
      </c>
      <c r="Y200" s="141">
        <f t="shared" si="207"/>
        <v>36.543499824637244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329.1433697046503</v>
      </c>
      <c r="C201" s="97">
        <f t="shared" si="208"/>
        <v>319.61295493361553</v>
      </c>
      <c r="D201" s="97">
        <f t="shared" si="208"/>
        <v>314.04368855276346</v>
      </c>
      <c r="E201" s="97">
        <f t="shared" si="208"/>
        <v>309.89596890708452</v>
      </c>
      <c r="F201" s="97">
        <f t="shared" si="208"/>
        <v>305.78689835465838</v>
      </c>
      <c r="G201" s="97">
        <f t="shared" si="208"/>
        <v>297.00530166831652</v>
      </c>
      <c r="H201" s="97">
        <f t="shared" si="208"/>
        <v>299.07211804937208</v>
      </c>
      <c r="I201" s="97">
        <f t="shared" si="208"/>
        <v>301.81685869692518</v>
      </c>
      <c r="J201" s="97">
        <f t="shared" si="208"/>
        <v>286.3910083114755</v>
      </c>
      <c r="K201" s="97">
        <f t="shared" si="208"/>
        <v>280.03448244439591</v>
      </c>
      <c r="L201" s="97">
        <f t="shared" si="208"/>
        <v>282.25078650575296</v>
      </c>
      <c r="M201" s="97">
        <f t="shared" si="208"/>
        <v>282.29832453092627</v>
      </c>
      <c r="N201" s="97">
        <f t="shared" si="208"/>
        <v>279.41107816111406</v>
      </c>
      <c r="O201" s="97">
        <f t="shared" si="208"/>
        <v>278.32251841909869</v>
      </c>
      <c r="P201" s="97">
        <f t="shared" si="208"/>
        <v>273.7503302965867</v>
      </c>
      <c r="Q201" s="97">
        <f t="shared" si="208"/>
        <v>272.67139048730462</v>
      </c>
      <c r="R201" s="97">
        <f t="shared" si="208"/>
        <v>273.4796772245366</v>
      </c>
      <c r="S201" s="97">
        <f t="shared" si="208"/>
        <v>263.91960128958016</v>
      </c>
      <c r="T201" s="97">
        <f t="shared" si="208"/>
        <v>265.09005756748212</v>
      </c>
      <c r="U201" s="97">
        <f t="shared" si="208"/>
        <v>260.35177902331708</v>
      </c>
      <c r="V201" s="97">
        <f t="shared" si="208"/>
        <v>256.15915045990596</v>
      </c>
      <c r="W201" s="97">
        <f t="shared" si="208"/>
        <v>265.89778198521736</v>
      </c>
      <c r="X201" s="97">
        <f t="shared" si="208"/>
        <v>254.17690005990491</v>
      </c>
      <c r="Y201" s="97">
        <f t="shared" si="208"/>
        <v>246.80568803367376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28.086306642779199</v>
      </c>
      <c r="C202" s="97">
        <f t="shared" si="209"/>
        <v>30.39250037356955</v>
      </c>
      <c r="D202" s="97">
        <f t="shared" si="209"/>
        <v>29.435574896407889</v>
      </c>
      <c r="E202" s="97">
        <f t="shared" si="209"/>
        <v>31.02252849404994</v>
      </c>
      <c r="F202" s="97">
        <f t="shared" si="209"/>
        <v>31.170882817631025</v>
      </c>
      <c r="G202" s="97">
        <f t="shared" si="209"/>
        <v>30.273193874236444</v>
      </c>
      <c r="H202" s="97">
        <f t="shared" si="209"/>
        <v>32.280320831029513</v>
      </c>
      <c r="I202" s="97">
        <f t="shared" si="209"/>
        <v>32.135351646439894</v>
      </c>
      <c r="J202" s="97">
        <f t="shared" si="209"/>
        <v>28.551341994123458</v>
      </c>
      <c r="K202" s="97">
        <f t="shared" si="209"/>
        <v>27.147515182525808</v>
      </c>
      <c r="L202" s="97">
        <f t="shared" si="209"/>
        <v>28.561479912471064</v>
      </c>
      <c r="M202" s="97">
        <f t="shared" si="209"/>
        <v>28.042536954148591</v>
      </c>
      <c r="N202" s="97">
        <f t="shared" si="209"/>
        <v>26.642959048036474</v>
      </c>
      <c r="O202" s="97">
        <f t="shared" si="209"/>
        <v>27.857096095986854</v>
      </c>
      <c r="P202" s="97">
        <f t="shared" si="209"/>
        <v>25.779262740402121</v>
      </c>
      <c r="Q202" s="97">
        <f t="shared" si="209"/>
        <v>22.179816989287179</v>
      </c>
      <c r="R202" s="97">
        <f t="shared" si="209"/>
        <v>22.635781816084545</v>
      </c>
      <c r="S202" s="97">
        <f t="shared" si="209"/>
        <v>20.764025497709959</v>
      </c>
      <c r="T202" s="97">
        <f t="shared" si="209"/>
        <v>20.794723264534756</v>
      </c>
      <c r="U202" s="97">
        <f t="shared" si="209"/>
        <v>19.64620308295973</v>
      </c>
      <c r="V202" s="97">
        <f t="shared" si="209"/>
        <v>17.824510702691615</v>
      </c>
      <c r="W202" s="97">
        <f t="shared" si="209"/>
        <v>19.793860274378368</v>
      </c>
      <c r="X202" s="97">
        <f t="shared" si="209"/>
        <v>17.869066105710484</v>
      </c>
      <c r="Y202" s="97">
        <f t="shared" si="209"/>
        <v>16.929435544783463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5.3031924681399323</v>
      </c>
      <c r="C203" s="130">
        <f t="shared" si="210"/>
        <v>5.3051541260836723</v>
      </c>
      <c r="D203" s="130">
        <f t="shared" si="210"/>
        <v>5.2173221136171577</v>
      </c>
      <c r="E203" s="130">
        <f t="shared" si="210"/>
        <v>4.9941567874814226</v>
      </c>
      <c r="F203" s="130">
        <f t="shared" si="210"/>
        <v>5.1586818819755171</v>
      </c>
      <c r="G203" s="130">
        <f t="shared" si="210"/>
        <v>5.2643616185751725</v>
      </c>
      <c r="H203" s="130">
        <f t="shared" si="210"/>
        <v>4.9965074286644828</v>
      </c>
      <c r="I203" s="130">
        <f t="shared" si="210"/>
        <v>4.7940485028878088</v>
      </c>
      <c r="J203" s="130">
        <f t="shared" si="210"/>
        <v>4.6849646176058615</v>
      </c>
      <c r="K203" s="130">
        <f t="shared" si="210"/>
        <v>4.6578427831074931</v>
      </c>
      <c r="L203" s="130">
        <f t="shared" si="210"/>
        <v>4.421174031284095</v>
      </c>
      <c r="M203" s="130">
        <f t="shared" si="210"/>
        <v>4.5308099870957825</v>
      </c>
      <c r="N203" s="130">
        <f t="shared" si="210"/>
        <v>4.6268150918577042</v>
      </c>
      <c r="O203" s="130">
        <f t="shared" si="210"/>
        <v>4.2498773077904159</v>
      </c>
      <c r="P203" s="130">
        <f t="shared" si="210"/>
        <v>4.1200712131426869</v>
      </c>
      <c r="Q203" s="130">
        <f t="shared" si="210"/>
        <v>3.6649176405725044</v>
      </c>
      <c r="R203" s="130">
        <f t="shared" si="210"/>
        <v>3.4818257169061368</v>
      </c>
      <c r="S203" s="130">
        <f t="shared" si="210"/>
        <v>3.4146540601450894</v>
      </c>
      <c r="T203" s="130">
        <f t="shared" si="210"/>
        <v>3.4480075416855329</v>
      </c>
      <c r="U203" s="130">
        <f t="shared" si="210"/>
        <v>3.4913920606275477</v>
      </c>
      <c r="V203" s="130">
        <f t="shared" si="210"/>
        <v>3.5743752256490917</v>
      </c>
      <c r="W203" s="130">
        <f t="shared" si="210"/>
        <v>3.5939546790217713</v>
      </c>
      <c r="X203" s="130">
        <f t="shared" si="210"/>
        <v>3.5711342371824073</v>
      </c>
      <c r="Y203" s="130">
        <f t="shared" si="210"/>
        <v>3.5914677864851186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85.56893293423245</v>
      </c>
      <c r="C204" s="130">
        <f t="shared" si="211"/>
        <v>84.412816061185907</v>
      </c>
      <c r="D204" s="130">
        <f t="shared" si="211"/>
        <v>85.714731707099205</v>
      </c>
      <c r="E204" s="130">
        <f t="shared" si="211"/>
        <v>89.03089713498052</v>
      </c>
      <c r="F204" s="130">
        <f t="shared" si="211"/>
        <v>95.122113106155595</v>
      </c>
      <c r="G204" s="130">
        <f t="shared" si="211"/>
        <v>90.994497934690131</v>
      </c>
      <c r="H204" s="130">
        <f t="shared" si="211"/>
        <v>101.25863675129236</v>
      </c>
      <c r="I204" s="130">
        <f t="shared" si="211"/>
        <v>96.982903121421899</v>
      </c>
      <c r="J204" s="130">
        <f t="shared" si="211"/>
        <v>100.13523792877024</v>
      </c>
      <c r="K204" s="130">
        <f t="shared" si="211"/>
        <v>110.00832478962403</v>
      </c>
      <c r="L204" s="130">
        <f t="shared" si="211"/>
        <v>118.67417254014562</v>
      </c>
      <c r="M204" s="130">
        <f t="shared" si="211"/>
        <v>89.408066123347339</v>
      </c>
      <c r="N204" s="130">
        <f t="shared" si="211"/>
        <v>75.014093890625958</v>
      </c>
      <c r="O204" s="130">
        <f t="shared" si="211"/>
        <v>85.220447781615007</v>
      </c>
      <c r="P204" s="130">
        <f t="shared" si="211"/>
        <v>83.311993665703</v>
      </c>
      <c r="Q204" s="130">
        <f t="shared" si="211"/>
        <v>94.778233109491694</v>
      </c>
      <c r="R204" s="130">
        <f t="shared" si="211"/>
        <v>81.939757955389851</v>
      </c>
      <c r="S204" s="130">
        <f t="shared" si="211"/>
        <v>88.125451401549782</v>
      </c>
      <c r="T204" s="130">
        <f t="shared" si="211"/>
        <v>89.777008246738347</v>
      </c>
      <c r="U204" s="130">
        <f t="shared" si="211"/>
        <v>108.5604544761424</v>
      </c>
      <c r="V204" s="130">
        <f t="shared" si="211"/>
        <v>104.85803490797888</v>
      </c>
      <c r="W204" s="130">
        <f t="shared" si="211"/>
        <v>108.7294369220858</v>
      </c>
      <c r="X204" s="130">
        <f t="shared" si="211"/>
        <v>67.138140822447298</v>
      </c>
      <c r="Y204" s="130">
        <f t="shared" si="211"/>
        <v>56.455205717727935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531.49811054635097</v>
      </c>
      <c r="C205" s="97">
        <f t="shared" si="212"/>
        <v>541.94258820290213</v>
      </c>
      <c r="D205" s="97">
        <f t="shared" si="212"/>
        <v>491.30808183164299</v>
      </c>
      <c r="E205" s="97">
        <f t="shared" si="212"/>
        <v>457.34581014108068</v>
      </c>
      <c r="F205" s="97">
        <f t="shared" si="212"/>
        <v>487.28150371510333</v>
      </c>
      <c r="G205" s="97">
        <f t="shared" si="212"/>
        <v>458.23646819309482</v>
      </c>
      <c r="H205" s="97">
        <f t="shared" si="212"/>
        <v>525.76158046227704</v>
      </c>
      <c r="I205" s="97">
        <f t="shared" si="212"/>
        <v>528.97441198617059</v>
      </c>
      <c r="J205" s="97">
        <f t="shared" si="212"/>
        <v>620.6817047898104</v>
      </c>
      <c r="K205" s="97">
        <f t="shared" si="212"/>
        <v>598.13099235873494</v>
      </c>
      <c r="L205" s="97">
        <f t="shared" si="212"/>
        <v>629.32103232374811</v>
      </c>
      <c r="M205" s="97">
        <f t="shared" si="212"/>
        <v>458.80535791018821</v>
      </c>
      <c r="N205" s="97">
        <f t="shared" si="212"/>
        <v>358.49012366081229</v>
      </c>
      <c r="O205" s="97">
        <f t="shared" si="212"/>
        <v>342.04131080964055</v>
      </c>
      <c r="P205" s="97">
        <f t="shared" si="212"/>
        <v>315.24486203660865</v>
      </c>
      <c r="Q205" s="97">
        <f t="shared" si="212"/>
        <v>313.3645238410125</v>
      </c>
      <c r="R205" s="97">
        <f t="shared" si="212"/>
        <v>282.64573744616303</v>
      </c>
      <c r="S205" s="97">
        <f t="shared" si="212"/>
        <v>303.64835044476678</v>
      </c>
      <c r="T205" s="97">
        <f t="shared" si="212"/>
        <v>302.54455312574811</v>
      </c>
      <c r="U205" s="97">
        <f t="shared" si="212"/>
        <v>282.44827951387066</v>
      </c>
      <c r="V205" s="97">
        <f t="shared" si="212"/>
        <v>344.88729818187738</v>
      </c>
      <c r="W205" s="97">
        <f t="shared" si="212"/>
        <v>255.36036827277007</v>
      </c>
      <c r="X205" s="97">
        <f t="shared" si="212"/>
        <v>307.75624577111091</v>
      </c>
      <c r="Y205" s="97">
        <f t="shared" si="212"/>
        <v>402.75309087716431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133.04851680911247</v>
      </c>
      <c r="C206" s="97">
        <f t="shared" si="213"/>
        <v>124.63738525048895</v>
      </c>
      <c r="D206" s="97">
        <f t="shared" si="213"/>
        <v>137.25901761497494</v>
      </c>
      <c r="E206" s="97">
        <f t="shared" si="213"/>
        <v>122.91931637863922</v>
      </c>
      <c r="F206" s="97">
        <f t="shared" si="213"/>
        <v>139.33405124416936</v>
      </c>
      <c r="G206" s="97">
        <f t="shared" si="213"/>
        <v>144.53756466383973</v>
      </c>
      <c r="H206" s="97">
        <f t="shared" si="213"/>
        <v>182.37898529347527</v>
      </c>
      <c r="I206" s="97">
        <f t="shared" si="213"/>
        <v>202.35728289235684</v>
      </c>
      <c r="J206" s="97">
        <f t="shared" si="213"/>
        <v>222.73497047208636</v>
      </c>
      <c r="K206" s="97">
        <f t="shared" si="213"/>
        <v>203.22219605108302</v>
      </c>
      <c r="L206" s="97">
        <f t="shared" si="213"/>
        <v>217.92933874909804</v>
      </c>
      <c r="M206" s="97">
        <f t="shared" si="213"/>
        <v>218.76123819901724</v>
      </c>
      <c r="N206" s="97">
        <f t="shared" si="213"/>
        <v>204.17632959200975</v>
      </c>
      <c r="O206" s="97">
        <f t="shared" si="213"/>
        <v>203.32662107195989</v>
      </c>
      <c r="P206" s="97">
        <f t="shared" si="213"/>
        <v>161.42188627683527</v>
      </c>
      <c r="Q206" s="97">
        <f t="shared" si="213"/>
        <v>174.35053758782163</v>
      </c>
      <c r="R206" s="97">
        <f t="shared" si="213"/>
        <v>173.04450791741644</v>
      </c>
      <c r="S206" s="97">
        <f t="shared" si="213"/>
        <v>202.24052510137079</v>
      </c>
      <c r="T206" s="97">
        <f t="shared" si="213"/>
        <v>222.26988393655586</v>
      </c>
      <c r="U206" s="97">
        <f t="shared" si="213"/>
        <v>255.05819461410033</v>
      </c>
      <c r="V206" s="97">
        <f t="shared" si="213"/>
        <v>205.83010715801322</v>
      </c>
      <c r="W206" s="97">
        <f t="shared" si="213"/>
        <v>246.96121561415328</v>
      </c>
      <c r="X206" s="97">
        <f t="shared" si="213"/>
        <v>219.73143043629307</v>
      </c>
      <c r="Y206" s="97">
        <f t="shared" si="213"/>
        <v>254.9821737167623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47.670528063534718</v>
      </c>
      <c r="C207" s="97">
        <f t="shared" si="214"/>
        <v>45.846810119344887</v>
      </c>
      <c r="D207" s="97">
        <f t="shared" si="214"/>
        <v>49.989187849986443</v>
      </c>
      <c r="E207" s="97">
        <f t="shared" si="214"/>
        <v>52.774463260112704</v>
      </c>
      <c r="F207" s="97">
        <f t="shared" si="214"/>
        <v>56.146404221535157</v>
      </c>
      <c r="G207" s="97">
        <f t="shared" si="214"/>
        <v>53.002772786739506</v>
      </c>
      <c r="H207" s="97">
        <f t="shared" si="214"/>
        <v>45.822880006336128</v>
      </c>
      <c r="I207" s="97">
        <f t="shared" si="214"/>
        <v>38.436943647165037</v>
      </c>
      <c r="J207" s="97">
        <f t="shared" si="214"/>
        <v>38.986589357492988</v>
      </c>
      <c r="K207" s="97">
        <f t="shared" si="214"/>
        <v>37.928954245688679</v>
      </c>
      <c r="L207" s="97">
        <f t="shared" si="214"/>
        <v>43.001417292388183</v>
      </c>
      <c r="M207" s="97">
        <f t="shared" si="214"/>
        <v>38.322261883038863</v>
      </c>
      <c r="N207" s="97">
        <f t="shared" si="214"/>
        <v>36.21658577860849</v>
      </c>
      <c r="O207" s="97">
        <f t="shared" si="214"/>
        <v>36.822466207007871</v>
      </c>
      <c r="P207" s="97">
        <f t="shared" si="214"/>
        <v>31.380606672860718</v>
      </c>
      <c r="Q207" s="97">
        <f t="shared" si="214"/>
        <v>30.875472841336251</v>
      </c>
      <c r="R207" s="97">
        <f t="shared" si="214"/>
        <v>24.868952771228226</v>
      </c>
      <c r="S207" s="97">
        <f t="shared" si="214"/>
        <v>23.242936884681846</v>
      </c>
      <c r="T207" s="97">
        <f t="shared" si="214"/>
        <v>23.731901617221638</v>
      </c>
      <c r="U207" s="97">
        <f t="shared" si="214"/>
        <v>19.908086492588641</v>
      </c>
      <c r="V207" s="97">
        <f t="shared" si="214"/>
        <v>39.152215215043327</v>
      </c>
      <c r="W207" s="97">
        <f t="shared" si="214"/>
        <v>39.89280040122874</v>
      </c>
      <c r="X207" s="97">
        <f t="shared" si="214"/>
        <v>22.731997381913182</v>
      </c>
      <c r="Y207" s="97">
        <f t="shared" si="214"/>
        <v>28.412692083693923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165.67499885011168</v>
      </c>
      <c r="C208" s="130">
        <f t="shared" si="215"/>
        <v>166.8413090804365</v>
      </c>
      <c r="D208" s="130">
        <f t="shared" si="215"/>
        <v>162.48755746368045</v>
      </c>
      <c r="E208" s="130">
        <f t="shared" si="215"/>
        <v>183.17526369511208</v>
      </c>
      <c r="F208" s="130">
        <f t="shared" si="215"/>
        <v>180.88677912766678</v>
      </c>
      <c r="G208" s="130">
        <f t="shared" si="215"/>
        <v>205.58716172625731</v>
      </c>
      <c r="H208" s="130">
        <f t="shared" si="215"/>
        <v>195.88863417070135</v>
      </c>
      <c r="I208" s="130">
        <f t="shared" si="215"/>
        <v>180.07164867170178</v>
      </c>
      <c r="J208" s="130">
        <f t="shared" si="215"/>
        <v>153.84310334019634</v>
      </c>
      <c r="K208" s="130">
        <f t="shared" si="215"/>
        <v>184.50135602628077</v>
      </c>
      <c r="L208" s="130">
        <f t="shared" si="215"/>
        <v>142.3298705471519</v>
      </c>
      <c r="M208" s="130">
        <f t="shared" si="215"/>
        <v>127.01558759696266</v>
      </c>
      <c r="N208" s="130">
        <f t="shared" si="215"/>
        <v>157.61771369309403</v>
      </c>
      <c r="O208" s="130">
        <f t="shared" si="215"/>
        <v>203.02566872642197</v>
      </c>
      <c r="P208" s="130">
        <f t="shared" si="215"/>
        <v>160.68089939627228</v>
      </c>
      <c r="Q208" s="130">
        <f t="shared" si="215"/>
        <v>149.76772855187505</v>
      </c>
      <c r="R208" s="130">
        <f t="shared" si="215"/>
        <v>129.54261362369496</v>
      </c>
      <c r="S208" s="130">
        <f t="shared" si="215"/>
        <v>126.11313536464652</v>
      </c>
      <c r="T208" s="130">
        <f t="shared" si="215"/>
        <v>107.3155373940178</v>
      </c>
      <c r="U208" s="130">
        <f t="shared" si="215"/>
        <v>70.084750138232607</v>
      </c>
      <c r="V208" s="130">
        <f t="shared" si="215"/>
        <v>99.523406117472121</v>
      </c>
      <c r="W208" s="130">
        <f t="shared" si="215"/>
        <v>148.52680230321454</v>
      </c>
      <c r="X208" s="130">
        <f t="shared" si="215"/>
        <v>107.98207925628276</v>
      </c>
      <c r="Y208" s="130">
        <f t="shared" si="215"/>
        <v>123.01033628120149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161.5798602029752</v>
      </c>
      <c r="C209" s="97">
        <f t="shared" si="216"/>
        <v>163.72825456333416</v>
      </c>
      <c r="D209" s="97">
        <f t="shared" si="216"/>
        <v>160.66712291533258</v>
      </c>
      <c r="E209" s="97">
        <f t="shared" si="216"/>
        <v>177.33324664637072</v>
      </c>
      <c r="F209" s="97">
        <f t="shared" si="216"/>
        <v>173.64486692260195</v>
      </c>
      <c r="G209" s="97">
        <f t="shared" si="216"/>
        <v>197.43938042316944</v>
      </c>
      <c r="H209" s="97">
        <f t="shared" si="216"/>
        <v>190.97814897836111</v>
      </c>
      <c r="I209" s="97">
        <f t="shared" si="216"/>
        <v>173.29439350155872</v>
      </c>
      <c r="J209" s="97">
        <f t="shared" si="216"/>
        <v>152.72597215844755</v>
      </c>
      <c r="K209" s="97">
        <f t="shared" si="216"/>
        <v>182.13937657005903</v>
      </c>
      <c r="L209" s="97">
        <f t="shared" si="216"/>
        <v>144.07018379977788</v>
      </c>
      <c r="M209" s="97">
        <f t="shared" si="216"/>
        <v>129.07323525027607</v>
      </c>
      <c r="N209" s="97">
        <f t="shared" si="216"/>
        <v>160.55566536137434</v>
      </c>
      <c r="O209" s="97">
        <f t="shared" si="216"/>
        <v>206.65994743001164</v>
      </c>
      <c r="P209" s="97">
        <f t="shared" si="216"/>
        <v>168.03676493487492</v>
      </c>
      <c r="Q209" s="97">
        <f t="shared" si="216"/>
        <v>155.8427316226705</v>
      </c>
      <c r="R209" s="97">
        <f t="shared" si="216"/>
        <v>133.39653373551883</v>
      </c>
      <c r="S209" s="97">
        <f t="shared" si="216"/>
        <v>131.16505438619944</v>
      </c>
      <c r="T209" s="97">
        <f t="shared" si="216"/>
        <v>110.76226006667812</v>
      </c>
      <c r="U209" s="97">
        <f t="shared" si="216"/>
        <v>71.525868381625642</v>
      </c>
      <c r="V209" s="97">
        <f t="shared" si="216"/>
        <v>102.05361188729535</v>
      </c>
      <c r="W209" s="97">
        <f t="shared" si="216"/>
        <v>155.44433808937211</v>
      </c>
      <c r="X209" s="97">
        <f t="shared" si="216"/>
        <v>114.90326495646428</v>
      </c>
      <c r="Y209" s="97">
        <f t="shared" si="216"/>
        <v>134.00948629599432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195.4885105199501</v>
      </c>
      <c r="C210" s="98">
        <f t="shared" si="217"/>
        <v>191.0858701265953</v>
      </c>
      <c r="D210" s="98">
        <f t="shared" si="217"/>
        <v>176.06965709010507</v>
      </c>
      <c r="E210" s="98">
        <f t="shared" si="217"/>
        <v>223.8225176186271</v>
      </c>
      <c r="F210" s="98">
        <f t="shared" si="217"/>
        <v>225.50450708375786</v>
      </c>
      <c r="G210" s="98">
        <f t="shared" si="217"/>
        <v>279.30035644946145</v>
      </c>
      <c r="H210" s="98">
        <f t="shared" si="217"/>
        <v>254.02959726220831</v>
      </c>
      <c r="I210" s="98">
        <f t="shared" si="217"/>
        <v>236.39641973558881</v>
      </c>
      <c r="J210" s="98">
        <f t="shared" si="217"/>
        <v>165.6883524713536</v>
      </c>
      <c r="K210" s="98">
        <f t="shared" si="217"/>
        <v>213.09261397117371</v>
      </c>
      <c r="L210" s="98">
        <f t="shared" si="217"/>
        <v>116.85603531183932</v>
      </c>
      <c r="M210" s="98">
        <f t="shared" si="217"/>
        <v>100.17192784136674</v>
      </c>
      <c r="N210" s="98">
        <f t="shared" si="217"/>
        <v>138.06600073806777</v>
      </c>
      <c r="O210" s="98">
        <f t="shared" si="217"/>
        <v>184.76104544735</v>
      </c>
      <c r="P210" s="98">
        <f t="shared" si="217"/>
        <v>124.266768792352</v>
      </c>
      <c r="Q210" s="98">
        <f t="shared" si="217"/>
        <v>114.10983357438032</v>
      </c>
      <c r="R210" s="98">
        <f t="shared" si="217"/>
        <v>97.720271426563727</v>
      </c>
      <c r="S210" s="98">
        <f t="shared" si="217"/>
        <v>89.281878842693885</v>
      </c>
      <c r="T210" s="98">
        <f t="shared" si="217"/>
        <v>75.898263534448958</v>
      </c>
      <c r="U210" s="98">
        <f t="shared" si="217"/>
        <v>49.288256266498507</v>
      </c>
      <c r="V210" s="98">
        <f t="shared" si="217"/>
        <v>79.515913568435252</v>
      </c>
      <c r="W210" s="98">
        <f t="shared" si="217"/>
        <v>118.50684703619727</v>
      </c>
      <c r="X210" s="98">
        <f t="shared" si="217"/>
        <v>77.392222272227784</v>
      </c>
      <c r="Y210" s="98">
        <f t="shared" si="217"/>
        <v>91.362447104701403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5.9313256436176349</v>
      </c>
      <c r="C211" s="32">
        <f t="shared" si="218"/>
        <v>4.3904373524801317</v>
      </c>
      <c r="D211" s="32">
        <f t="shared" si="218"/>
        <v>4.3545004229573241</v>
      </c>
      <c r="E211" s="32">
        <f t="shared" si="218"/>
        <v>3.9802376949245901</v>
      </c>
      <c r="F211" s="32">
        <f t="shared" si="218"/>
        <v>3.1102015743401448</v>
      </c>
      <c r="G211" s="32">
        <f t="shared" si="218"/>
        <v>3.3384282813231714</v>
      </c>
      <c r="H211" s="32">
        <f t="shared" si="218"/>
        <v>3.4337230044749489</v>
      </c>
      <c r="I211" s="32">
        <f t="shared" si="218"/>
        <v>2.7310047331712486</v>
      </c>
      <c r="J211" s="32">
        <f t="shared" si="218"/>
        <v>2.1922431520965264</v>
      </c>
      <c r="K211" s="32">
        <f t="shared" si="218"/>
        <v>1.5883538480809478</v>
      </c>
      <c r="L211" s="32">
        <f t="shared" si="218"/>
        <v>1.1996481210753009</v>
      </c>
      <c r="M211" s="32">
        <f t="shared" si="218"/>
        <v>1.0456181233543989</v>
      </c>
      <c r="N211" s="32">
        <f t="shared" si="218"/>
        <v>0.67474380105718723</v>
      </c>
      <c r="O211" s="32">
        <f t="shared" si="218"/>
        <v>0.69132372899833139</v>
      </c>
      <c r="P211" s="32">
        <f t="shared" si="218"/>
        <v>0.51869260726336897</v>
      </c>
      <c r="Q211" s="32">
        <f t="shared" si="218"/>
        <v>1.9227809316929951</v>
      </c>
      <c r="R211" s="32">
        <f t="shared" si="218"/>
        <v>1.6311236210035405</v>
      </c>
      <c r="S211" s="32">
        <f t="shared" si="218"/>
        <v>1.98367376922209</v>
      </c>
      <c r="T211" s="32">
        <f t="shared" si="218"/>
        <v>1.7381071283898797</v>
      </c>
      <c r="U211" s="32">
        <f t="shared" si="218"/>
        <v>1.7232062001912403</v>
      </c>
      <c r="V211" s="32">
        <f t="shared" si="218"/>
        <v>1.7345054231588191</v>
      </c>
      <c r="W211" s="32">
        <f t="shared" si="218"/>
        <v>1.6743917673732898</v>
      </c>
      <c r="X211" s="32">
        <f t="shared" si="218"/>
        <v>2.0533768248240851</v>
      </c>
      <c r="Y211" s="32">
        <f t="shared" si="218"/>
        <v>2.1063073465096398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7.1292235511484305</v>
      </c>
      <c r="C212" s="97">
        <f t="shared" si="219"/>
        <v>6.0579589785973287</v>
      </c>
      <c r="D212" s="97">
        <f t="shared" si="219"/>
        <v>6.5174803389044396</v>
      </c>
      <c r="E212" s="97">
        <f t="shared" si="219"/>
        <v>6.1457840096857108</v>
      </c>
      <c r="F212" s="97">
        <f t="shared" si="219"/>
        <v>4.8160285785498571</v>
      </c>
      <c r="G212" s="97">
        <f t="shared" si="219"/>
        <v>5.1078751365530959</v>
      </c>
      <c r="H212" s="97">
        <f t="shared" si="219"/>
        <v>4.9845061040998555</v>
      </c>
      <c r="I212" s="97">
        <f t="shared" si="219"/>
        <v>4.0625992765060888</v>
      </c>
      <c r="J212" s="97">
        <f t="shared" si="219"/>
        <v>3.467002312085119</v>
      </c>
      <c r="K212" s="97">
        <f t="shared" si="219"/>
        <v>2.7800511865238651</v>
      </c>
      <c r="L212" s="97">
        <f t="shared" si="219"/>
        <v>2.0544897745906026</v>
      </c>
      <c r="M212" s="97">
        <f t="shared" si="219"/>
        <v>1.8928120556723744</v>
      </c>
      <c r="N212" s="97">
        <f t="shared" si="219"/>
        <v>1.2085197237850367</v>
      </c>
      <c r="O212" s="97">
        <f t="shared" si="219"/>
        <v>1.2427298960418132</v>
      </c>
      <c r="P212" s="97">
        <f t="shared" si="219"/>
        <v>0.93678826793623649</v>
      </c>
      <c r="Q212" s="97">
        <f t="shared" si="219"/>
        <v>3.1508356385435778</v>
      </c>
      <c r="R212" s="97">
        <f t="shared" si="219"/>
        <v>2.751672435164223</v>
      </c>
      <c r="S212" s="97">
        <f t="shared" si="219"/>
        <v>3.3091280068549165</v>
      </c>
      <c r="T212" s="97">
        <f t="shared" si="219"/>
        <v>2.971477493399326</v>
      </c>
      <c r="U212" s="97">
        <f t="shared" si="219"/>
        <v>3.0928787777753044</v>
      </c>
      <c r="V212" s="97">
        <f t="shared" si="219"/>
        <v>2.7390578406375177</v>
      </c>
      <c r="W212" s="97">
        <f t="shared" si="219"/>
        <v>2.5217750174620281</v>
      </c>
      <c r="X212" s="97">
        <f t="shared" si="219"/>
        <v>3.1774137844642332</v>
      </c>
      <c r="Y212" s="97">
        <f t="shared" si="219"/>
        <v>2.894655402242682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4.7599725363994425</v>
      </c>
      <c r="C213" s="98">
        <f t="shared" si="220"/>
        <v>3.2204466167877719</v>
      </c>
      <c r="D213" s="98">
        <f t="shared" si="220"/>
        <v>3.0602730359876764</v>
      </c>
      <c r="E213" s="98">
        <f t="shared" si="220"/>
        <v>2.7931308620620046</v>
      </c>
      <c r="F213" s="98">
        <f t="shared" si="220"/>
        <v>2.1697318960180669</v>
      </c>
      <c r="G213" s="98">
        <f t="shared" si="220"/>
        <v>2.3303437145072317</v>
      </c>
      <c r="H213" s="98">
        <f t="shared" si="220"/>
        <v>2.4427415475723344</v>
      </c>
      <c r="I213" s="98">
        <f t="shared" si="220"/>
        <v>1.9190605064864754</v>
      </c>
      <c r="J213" s="98">
        <f t="shared" si="220"/>
        <v>1.4911001617058386</v>
      </c>
      <c r="K213" s="98">
        <f t="shared" si="220"/>
        <v>1.0595042298332944</v>
      </c>
      <c r="L213" s="98">
        <f t="shared" si="220"/>
        <v>0.79094067234310605</v>
      </c>
      <c r="M213" s="98">
        <f t="shared" si="220"/>
        <v>0.6814435971635161</v>
      </c>
      <c r="N213" s="98">
        <f t="shared" si="220"/>
        <v>0.43646095680636965</v>
      </c>
      <c r="O213" s="98">
        <f t="shared" si="220"/>
        <v>0.45042909782771956</v>
      </c>
      <c r="P213" s="98">
        <f t="shared" si="220"/>
        <v>0.34138715335912373</v>
      </c>
      <c r="Q213" s="98">
        <f t="shared" si="220"/>
        <v>1.2709046818440557</v>
      </c>
      <c r="R213" s="98">
        <f t="shared" si="220"/>
        <v>1.0795251660264888</v>
      </c>
      <c r="S213" s="98">
        <f t="shared" si="220"/>
        <v>1.3057730420088203</v>
      </c>
      <c r="T213" s="98">
        <f t="shared" si="220"/>
        <v>1.1380951204538854</v>
      </c>
      <c r="U213" s="98">
        <f t="shared" si="220"/>
        <v>1.1120184153267527</v>
      </c>
      <c r="V213" s="98">
        <f t="shared" si="220"/>
        <v>1.2402675284705542</v>
      </c>
      <c r="W213" s="98">
        <f t="shared" si="220"/>
        <v>1.2223020021661508</v>
      </c>
      <c r="X213" s="98">
        <f t="shared" si="220"/>
        <v>1.3765608087480468</v>
      </c>
      <c r="Y213" s="98">
        <f t="shared" si="220"/>
        <v>1.457645122634339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106.43540771135326</v>
      </c>
      <c r="C216" s="32">
        <f t="shared" si="221"/>
        <v>105.98580713327557</v>
      </c>
      <c r="D216" s="32">
        <f t="shared" si="221"/>
        <v>105.64992963576834</v>
      </c>
      <c r="E216" s="32">
        <f t="shared" si="221"/>
        <v>106.28837106183208</v>
      </c>
      <c r="F216" s="32">
        <f t="shared" si="221"/>
        <v>106.96852360079991</v>
      </c>
      <c r="G216" s="32">
        <f t="shared" si="221"/>
        <v>105.14986174351219</v>
      </c>
      <c r="H216" s="32">
        <f t="shared" si="221"/>
        <v>106.25313310440906</v>
      </c>
      <c r="I216" s="32">
        <f t="shared" si="221"/>
        <v>106.7890992094592</v>
      </c>
      <c r="J216" s="32">
        <f t="shared" si="221"/>
        <v>103.59210074114533</v>
      </c>
      <c r="K216" s="32">
        <f t="shared" si="221"/>
        <v>100.60085046116023</v>
      </c>
      <c r="L216" s="32">
        <f t="shared" si="221"/>
        <v>101.387142894219</v>
      </c>
      <c r="M216" s="32">
        <f t="shared" si="221"/>
        <v>101.77320726214434</v>
      </c>
      <c r="N216" s="32">
        <f t="shared" si="221"/>
        <v>99.478065795137098</v>
      </c>
      <c r="O216" s="32">
        <f t="shared" si="221"/>
        <v>99.678059224009814</v>
      </c>
      <c r="P216" s="32">
        <f t="shared" si="221"/>
        <v>93.237051221588302</v>
      </c>
      <c r="Q216" s="32">
        <f t="shared" si="221"/>
        <v>93.698459170272599</v>
      </c>
      <c r="R216" s="32">
        <f t="shared" si="221"/>
        <v>107.1770621634893</v>
      </c>
      <c r="S216" s="32">
        <f t="shared" si="221"/>
        <v>91.858937524941084</v>
      </c>
      <c r="T216" s="32">
        <f t="shared" si="221"/>
        <v>92.820543369469746</v>
      </c>
      <c r="U216" s="32">
        <f t="shared" si="221"/>
        <v>89.734249997084902</v>
      </c>
      <c r="V216" s="32">
        <f t="shared" si="221"/>
        <v>92.914799029679088</v>
      </c>
      <c r="W216" s="32">
        <f t="shared" si="221"/>
        <v>91.93819734480951</v>
      </c>
      <c r="X216" s="32">
        <f t="shared" si="221"/>
        <v>86.213577421719066</v>
      </c>
      <c r="Y216" s="32">
        <f t="shared" si="221"/>
        <v>80.514529754833333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107.42198772012239</v>
      </c>
      <c r="C217" s="141">
        <f t="shared" si="222"/>
        <v>106.46803658224067</v>
      </c>
      <c r="D217" s="141">
        <f t="shared" si="222"/>
        <v>106.9225037706301</v>
      </c>
      <c r="E217" s="141">
        <f t="shared" si="222"/>
        <v>106.9890175577551</v>
      </c>
      <c r="F217" s="141">
        <f t="shared" si="222"/>
        <v>107.59571707939826</v>
      </c>
      <c r="G217" s="141">
        <f t="shared" si="222"/>
        <v>107.15779391789933</v>
      </c>
      <c r="H217" s="141">
        <f t="shared" si="222"/>
        <v>108.81898723529659</v>
      </c>
      <c r="I217" s="141">
        <f t="shared" si="222"/>
        <v>110.4868498723699</v>
      </c>
      <c r="J217" s="141">
        <f t="shared" si="222"/>
        <v>105.90570460054855</v>
      </c>
      <c r="K217" s="141">
        <f t="shared" si="222"/>
        <v>103.89953007327054</v>
      </c>
      <c r="L217" s="141">
        <f t="shared" si="222"/>
        <v>105.08971371397669</v>
      </c>
      <c r="M217" s="141">
        <f t="shared" si="222"/>
        <v>104.31106346335648</v>
      </c>
      <c r="N217" s="141">
        <f t="shared" si="222"/>
        <v>104.33198121529972</v>
      </c>
      <c r="O217" s="141">
        <f t="shared" si="222"/>
        <v>104.80481428942788</v>
      </c>
      <c r="P217" s="141">
        <f t="shared" si="222"/>
        <v>97.049406312138174</v>
      </c>
      <c r="Q217" s="141">
        <f t="shared" si="222"/>
        <v>97.338578820457656</v>
      </c>
      <c r="R217" s="141">
        <f t="shared" si="222"/>
        <v>117.53386970118962</v>
      </c>
      <c r="S217" s="141">
        <f t="shared" si="222"/>
        <v>98.462616609270228</v>
      </c>
      <c r="T217" s="141">
        <f t="shared" si="222"/>
        <v>99.553278283216244</v>
      </c>
      <c r="U217" s="141">
        <f t="shared" si="222"/>
        <v>96.000863342383326</v>
      </c>
      <c r="V217" s="141">
        <f t="shared" si="222"/>
        <v>93.637472296736632</v>
      </c>
      <c r="W217" s="141">
        <f t="shared" si="222"/>
        <v>90.064952125979829</v>
      </c>
      <c r="X217" s="141">
        <f t="shared" si="222"/>
        <v>89.760869746583566</v>
      </c>
      <c r="Y217" s="141">
        <f t="shared" si="222"/>
        <v>86.918460273357255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126.71911603068911</v>
      </c>
      <c r="C218" s="97">
        <f t="shared" si="223"/>
        <v>125.07434241603923</v>
      </c>
      <c r="D218" s="97">
        <f t="shared" si="223"/>
        <v>123.24801204109919</v>
      </c>
      <c r="E218" s="97">
        <f t="shared" si="223"/>
        <v>121.08810727724273</v>
      </c>
      <c r="F218" s="97">
        <f t="shared" si="223"/>
        <v>119.47432971644463</v>
      </c>
      <c r="G218" s="97">
        <f t="shared" si="223"/>
        <v>118.394800092911</v>
      </c>
      <c r="H218" s="97">
        <f t="shared" si="223"/>
        <v>117.02238904722292</v>
      </c>
      <c r="I218" s="97">
        <f t="shared" si="223"/>
        <v>116.06454770066101</v>
      </c>
      <c r="J218" s="97">
        <f t="shared" si="223"/>
        <v>110.16050525546184</v>
      </c>
      <c r="K218" s="97">
        <f t="shared" si="223"/>
        <v>107.63092094876086</v>
      </c>
      <c r="L218" s="97">
        <f t="shared" si="223"/>
        <v>105.679098717267</v>
      </c>
      <c r="M218" s="97">
        <f t="shared" si="223"/>
        <v>103.08385703419863</v>
      </c>
      <c r="N218" s="97">
        <f t="shared" si="223"/>
        <v>101.74728664156831</v>
      </c>
      <c r="O218" s="97">
        <f t="shared" si="223"/>
        <v>102.72777207676521</v>
      </c>
      <c r="P218" s="97">
        <f t="shared" si="223"/>
        <v>100.9419677845184</v>
      </c>
      <c r="Q218" s="97">
        <f t="shared" si="223"/>
        <v>99.960296484172019</v>
      </c>
      <c r="R218" s="97">
        <f t="shared" si="223"/>
        <v>99.026664808328448</v>
      </c>
      <c r="S218" s="97">
        <f t="shared" si="223"/>
        <v>97.14499447786136</v>
      </c>
      <c r="T218" s="97">
        <f t="shared" si="223"/>
        <v>96.10635758748991</v>
      </c>
      <c r="U218" s="97">
        <f t="shared" si="223"/>
        <v>94.86045327999993</v>
      </c>
      <c r="V218" s="97">
        <f t="shared" si="223"/>
        <v>93.446265804520166</v>
      </c>
      <c r="W218" s="97">
        <f t="shared" si="223"/>
        <v>91.469948115278882</v>
      </c>
      <c r="X218" s="97">
        <f t="shared" si="223"/>
        <v>89.827953370940193</v>
      </c>
      <c r="Y218" s="97">
        <f t="shared" si="223"/>
        <v>88.15463068883156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109.83935351182042</v>
      </c>
      <c r="C219" s="97">
        <f t="shared" si="224"/>
        <v>108.95409359404373</v>
      </c>
      <c r="D219" s="97">
        <f t="shared" si="224"/>
        <v>109.34639528311268</v>
      </c>
      <c r="E219" s="97">
        <f t="shared" si="224"/>
        <v>109.03694112593395</v>
      </c>
      <c r="F219" s="97">
        <f t="shared" si="224"/>
        <v>109.16539728687461</v>
      </c>
      <c r="G219" s="97">
        <f t="shared" si="224"/>
        <v>108.69888509230127</v>
      </c>
      <c r="H219" s="97">
        <f t="shared" si="224"/>
        <v>110.18768557986158</v>
      </c>
      <c r="I219" s="97">
        <f t="shared" si="224"/>
        <v>111.62425405410553</v>
      </c>
      <c r="J219" s="97">
        <f t="shared" si="224"/>
        <v>106.5441937342497</v>
      </c>
      <c r="K219" s="97">
        <f t="shared" si="224"/>
        <v>104.11286509657558</v>
      </c>
      <c r="L219" s="97">
        <f t="shared" si="224"/>
        <v>104.9265031889523</v>
      </c>
      <c r="M219" s="97">
        <f t="shared" si="224"/>
        <v>104.01069928983819</v>
      </c>
      <c r="N219" s="97">
        <f t="shared" si="224"/>
        <v>103.5188430984152</v>
      </c>
      <c r="O219" s="97">
        <f t="shared" si="224"/>
        <v>103.90610982800524</v>
      </c>
      <c r="P219" s="97">
        <f t="shared" si="224"/>
        <v>96.353250999584063</v>
      </c>
      <c r="Q219" s="97">
        <f t="shared" si="224"/>
        <v>96.258913787184355</v>
      </c>
      <c r="R219" s="97">
        <f t="shared" si="224"/>
        <v>117.39935570534746</v>
      </c>
      <c r="S219" s="97">
        <f t="shared" si="224"/>
        <v>96.861399271858602</v>
      </c>
      <c r="T219" s="97">
        <f t="shared" si="224"/>
        <v>97.707702157065356</v>
      </c>
      <c r="U219" s="97">
        <f t="shared" si="224"/>
        <v>94.393290298277094</v>
      </c>
      <c r="V219" s="97">
        <f t="shared" si="224"/>
        <v>91.820854239244184</v>
      </c>
      <c r="W219" s="97">
        <f t="shared" si="224"/>
        <v>89.011957357829331</v>
      </c>
      <c r="X219" s="97">
        <f t="shared" si="224"/>
        <v>88.603987758289747</v>
      </c>
      <c r="Y219" s="97">
        <f t="shared" si="224"/>
        <v>85.916709918566113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87.670117041690276</v>
      </c>
      <c r="C220" s="97">
        <f t="shared" si="225"/>
        <v>85.88068050523384</v>
      </c>
      <c r="D220" s="97">
        <f t="shared" si="225"/>
        <v>86.654166852795058</v>
      </c>
      <c r="E220" s="97">
        <f t="shared" si="225"/>
        <v>89.416341304425259</v>
      </c>
      <c r="F220" s="97">
        <f t="shared" si="225"/>
        <v>93.60532531133552</v>
      </c>
      <c r="G220" s="97">
        <f t="shared" si="225"/>
        <v>93.157763107636441</v>
      </c>
      <c r="H220" s="97">
        <f t="shared" si="225"/>
        <v>96.498708068893379</v>
      </c>
      <c r="I220" s="97">
        <f t="shared" si="225"/>
        <v>100.19539133975232</v>
      </c>
      <c r="J220" s="97">
        <f t="shared" si="225"/>
        <v>100.02597257603055</v>
      </c>
      <c r="K220" s="97">
        <f t="shared" si="225"/>
        <v>101.63103483216845</v>
      </c>
      <c r="L220" s="97">
        <f t="shared" si="225"/>
        <v>106.39691761710927</v>
      </c>
      <c r="M220" s="97">
        <f t="shared" si="225"/>
        <v>107.11603157219061</v>
      </c>
      <c r="N220" s="97">
        <f t="shared" si="225"/>
        <v>111.78138378443863</v>
      </c>
      <c r="O220" s="97">
        <f t="shared" si="225"/>
        <v>112.89565750691591</v>
      </c>
      <c r="P220" s="97">
        <f t="shared" si="225"/>
        <v>102.47955743144067</v>
      </c>
      <c r="Q220" s="97">
        <f t="shared" si="225"/>
        <v>106.41370588909636</v>
      </c>
      <c r="R220" s="97">
        <f t="shared" si="225"/>
        <v>121.22807452856249</v>
      </c>
      <c r="S220" s="97">
        <f t="shared" si="225"/>
        <v>111.60159559985102</v>
      </c>
      <c r="T220" s="97">
        <f t="shared" si="225"/>
        <v>115.44157491871709</v>
      </c>
      <c r="U220" s="97">
        <f t="shared" si="225"/>
        <v>109.76396854416556</v>
      </c>
      <c r="V220" s="97">
        <f t="shared" si="225"/>
        <v>110.79138508851251</v>
      </c>
      <c r="W220" s="97">
        <f t="shared" si="225"/>
        <v>100.97096765619435</v>
      </c>
      <c r="X220" s="97">
        <f t="shared" si="225"/>
        <v>100.05985210859369</v>
      </c>
      <c r="Y220" s="97">
        <f t="shared" si="225"/>
        <v>95.088346415052271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13.120138503022769</v>
      </c>
      <c r="C221" s="130">
        <f t="shared" si="226"/>
        <v>11.78405784415976</v>
      </c>
      <c r="D221" s="130">
        <f t="shared" si="226"/>
        <v>11.718679435431987</v>
      </c>
      <c r="E221" s="130">
        <f t="shared" si="226"/>
        <v>12.008914374912951</v>
      </c>
      <c r="F221" s="130">
        <f t="shared" si="226"/>
        <v>11.55236794952557</v>
      </c>
      <c r="G221" s="130">
        <f t="shared" si="226"/>
        <v>9.685529147924429</v>
      </c>
      <c r="H221" s="130">
        <f t="shared" si="226"/>
        <v>9.7921709956348462</v>
      </c>
      <c r="I221" s="130">
        <f t="shared" si="226"/>
        <v>7.5343496524011275</v>
      </c>
      <c r="J221" s="130">
        <f t="shared" si="226"/>
        <v>7.2577114838577508</v>
      </c>
      <c r="K221" s="130">
        <f t="shared" si="226"/>
        <v>6.2838695394544501</v>
      </c>
      <c r="L221" s="130">
        <f t="shared" si="226"/>
        <v>6.873592231683805</v>
      </c>
      <c r="M221" s="130">
        <f t="shared" si="226"/>
        <v>7.7533644513276556</v>
      </c>
      <c r="N221" s="130">
        <f t="shared" si="226"/>
        <v>6.5649335713320358</v>
      </c>
      <c r="O221" s="130">
        <f t="shared" si="226"/>
        <v>5.4700956598402328</v>
      </c>
      <c r="P221" s="130">
        <f t="shared" si="226"/>
        <v>6.535167754501825</v>
      </c>
      <c r="Q221" s="130">
        <f t="shared" si="226"/>
        <v>6.3245011509651325</v>
      </c>
      <c r="R221" s="130">
        <f t="shared" si="226"/>
        <v>5.7293432387821062</v>
      </c>
      <c r="S221" s="130">
        <f t="shared" si="226"/>
        <v>5.6160142866814464</v>
      </c>
      <c r="T221" s="130">
        <f t="shared" si="226"/>
        <v>3.9625784399984365</v>
      </c>
      <c r="U221" s="130">
        <f t="shared" si="226"/>
        <v>2.5977364752547647</v>
      </c>
      <c r="V221" s="130">
        <f t="shared" si="226"/>
        <v>3.8831008187108358</v>
      </c>
      <c r="W221" s="130">
        <f t="shared" si="226"/>
        <v>3.4480000200433083</v>
      </c>
      <c r="X221" s="130">
        <f t="shared" si="226"/>
        <v>2.7573997405364539</v>
      </c>
      <c r="Y221" s="130">
        <f t="shared" si="226"/>
        <v>2.5728092851307767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15.355363059026649</v>
      </c>
      <c r="C223" s="97">
        <f t="shared" si="228"/>
        <v>13.849010997112149</v>
      </c>
      <c r="D223" s="97">
        <f t="shared" si="228"/>
        <v>14.120953495004519</v>
      </c>
      <c r="E223" s="97">
        <f t="shared" si="228"/>
        <v>14.773107763376823</v>
      </c>
      <c r="F223" s="97">
        <f t="shared" si="228"/>
        <v>14.033048841508334</v>
      </c>
      <c r="G223" s="97">
        <f t="shared" si="228"/>
        <v>12.245297981777522</v>
      </c>
      <c r="H223" s="97">
        <f t="shared" si="228"/>
        <v>12.816548446460553</v>
      </c>
      <c r="I223" s="97">
        <f t="shared" si="228"/>
        <v>10.125902065672308</v>
      </c>
      <c r="J223" s="97">
        <f t="shared" si="228"/>
        <v>9.699518787756249</v>
      </c>
      <c r="K223" s="97">
        <f t="shared" si="228"/>
        <v>8.465555296428855</v>
      </c>
      <c r="L223" s="97">
        <f t="shared" si="228"/>
        <v>9.3275560846519348</v>
      </c>
      <c r="M223" s="97">
        <f t="shared" si="228"/>
        <v>10.744262052470123</v>
      </c>
      <c r="N223" s="97">
        <f t="shared" si="228"/>
        <v>8.9998984126376342</v>
      </c>
      <c r="O223" s="97">
        <f t="shared" si="228"/>
        <v>7.5977238867562455</v>
      </c>
      <c r="P223" s="97">
        <f t="shared" si="228"/>
        <v>8.8966767324186105</v>
      </c>
      <c r="Q223" s="97">
        <f t="shared" si="228"/>
        <v>8.2645642584783126</v>
      </c>
      <c r="R223" s="97">
        <f t="shared" si="228"/>
        <v>7.7362571222211569</v>
      </c>
      <c r="S223" s="97">
        <f t="shared" si="228"/>
        <v>7.5475572983437926</v>
      </c>
      <c r="T223" s="97">
        <f t="shared" si="228"/>
        <v>5.4985769316602555</v>
      </c>
      <c r="U223" s="97">
        <f t="shared" si="228"/>
        <v>3.5246653789021014</v>
      </c>
      <c r="V223" s="97">
        <f t="shared" si="228"/>
        <v>5.263084493797562</v>
      </c>
      <c r="W223" s="97">
        <f t="shared" si="228"/>
        <v>4.5721288169665035</v>
      </c>
      <c r="X223" s="97">
        <f t="shared" si="228"/>
        <v>3.3821604003671384</v>
      </c>
      <c r="Y223" s="97">
        <f t="shared" si="228"/>
        <v>3.1319104143337273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135.95853926460964</v>
      </c>
      <c r="C225" s="130">
        <f t="shared" si="230"/>
        <v>137.67775861047562</v>
      </c>
      <c r="D225" s="130">
        <f t="shared" si="230"/>
        <v>132.60233886871518</v>
      </c>
      <c r="E225" s="130">
        <f t="shared" si="230"/>
        <v>137.79681736011733</v>
      </c>
      <c r="F225" s="130">
        <f t="shared" si="230"/>
        <v>135.5590958518562</v>
      </c>
      <c r="G225" s="130">
        <f t="shared" si="230"/>
        <v>124.72474461566154</v>
      </c>
      <c r="H225" s="130">
        <f t="shared" si="230"/>
        <v>121.64856327528268</v>
      </c>
      <c r="I225" s="130">
        <f t="shared" si="230"/>
        <v>116.85158732379787</v>
      </c>
      <c r="J225" s="130">
        <f t="shared" si="230"/>
        <v>120.28354035662143</v>
      </c>
      <c r="K225" s="130">
        <f t="shared" si="230"/>
        <v>111.81683666948994</v>
      </c>
      <c r="L225" s="130">
        <f t="shared" si="230"/>
        <v>110.59429096523218</v>
      </c>
      <c r="M225" s="130">
        <f t="shared" si="230"/>
        <v>113.67109517558242</v>
      </c>
      <c r="N225" s="130">
        <f t="shared" si="230"/>
        <v>102.73252506297442</v>
      </c>
      <c r="O225" s="130">
        <f t="shared" si="230"/>
        <v>102.28897348470497</v>
      </c>
      <c r="P225" s="130">
        <f t="shared" si="230"/>
        <v>97.90690260663159</v>
      </c>
      <c r="Q225" s="130">
        <f t="shared" si="230"/>
        <v>100.04030691570746</v>
      </c>
      <c r="R225" s="130">
        <f t="shared" si="230"/>
        <v>95.990046947986613</v>
      </c>
      <c r="S225" s="130">
        <f t="shared" si="230"/>
        <v>88.426554564438987</v>
      </c>
      <c r="T225" s="130">
        <f t="shared" si="230"/>
        <v>91.015794529994807</v>
      </c>
      <c r="U225" s="130">
        <f t="shared" si="230"/>
        <v>90.085127091006456</v>
      </c>
      <c r="V225" s="130">
        <f t="shared" si="230"/>
        <v>127.87864670780571</v>
      </c>
      <c r="W225" s="130">
        <f t="shared" si="230"/>
        <v>180.42860124911627</v>
      </c>
      <c r="X225" s="130">
        <f t="shared" si="230"/>
        <v>96.765354122608443</v>
      </c>
      <c r="Y225" s="130">
        <f t="shared" si="230"/>
        <v>80.785327190797531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233.16055991351877</v>
      </c>
      <c r="C226" s="97">
        <f t="shared" si="231"/>
        <v>233.85552645483466</v>
      </c>
      <c r="D226" s="97">
        <f t="shared" si="231"/>
        <v>203.39083976435171</v>
      </c>
      <c r="E226" s="97">
        <f t="shared" si="231"/>
        <v>235.65491091980016</v>
      </c>
      <c r="F226" s="97">
        <f t="shared" si="231"/>
        <v>227.08965918791779</v>
      </c>
      <c r="G226" s="97">
        <f t="shared" si="231"/>
        <v>218.04300999347822</v>
      </c>
      <c r="H226" s="97">
        <f t="shared" si="231"/>
        <v>212.0899200589069</v>
      </c>
      <c r="I226" s="97">
        <f t="shared" si="231"/>
        <v>189.09827326744738</v>
      </c>
      <c r="J226" s="97">
        <f t="shared" si="231"/>
        <v>197.35589456866347</v>
      </c>
      <c r="K226" s="97">
        <f t="shared" si="231"/>
        <v>196.50017926485796</v>
      </c>
      <c r="L226" s="97">
        <f t="shared" si="231"/>
        <v>197.33030982205165</v>
      </c>
      <c r="M226" s="97">
        <f t="shared" si="231"/>
        <v>186.21646905567448</v>
      </c>
      <c r="N226" s="97">
        <f t="shared" si="231"/>
        <v>155.49031335454544</v>
      </c>
      <c r="O226" s="97">
        <f t="shared" si="231"/>
        <v>148.03471564485332</v>
      </c>
      <c r="P226" s="97">
        <f t="shared" si="231"/>
        <v>142.22764760263789</v>
      </c>
      <c r="Q226" s="97">
        <f t="shared" si="231"/>
        <v>136.57939726880545</v>
      </c>
      <c r="R226" s="97">
        <f t="shared" si="231"/>
        <v>131.92601694646186</v>
      </c>
      <c r="S226" s="97">
        <f t="shared" si="231"/>
        <v>127.39248734945518</v>
      </c>
      <c r="T226" s="97">
        <f t="shared" si="231"/>
        <v>124.9559649356798</v>
      </c>
      <c r="U226" s="97">
        <f t="shared" si="231"/>
        <v>119.12257008873381</v>
      </c>
      <c r="V226" s="97">
        <f t="shared" si="231"/>
        <v>131.89906503294827</v>
      </c>
      <c r="W226" s="97">
        <f t="shared" si="231"/>
        <v>131.7315262125035</v>
      </c>
      <c r="X226" s="97">
        <f t="shared" si="231"/>
        <v>120.28978453561564</v>
      </c>
      <c r="Y226" s="97">
        <f t="shared" si="231"/>
        <v>113.9371442080233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114.98730709670929</v>
      </c>
      <c r="C227" s="97">
        <f t="shared" si="232"/>
        <v>116.63529262230189</v>
      </c>
      <c r="D227" s="97">
        <f t="shared" si="232"/>
        <v>113.42234827132999</v>
      </c>
      <c r="E227" s="97">
        <f t="shared" si="232"/>
        <v>116.91435762119107</v>
      </c>
      <c r="F227" s="97">
        <f t="shared" si="232"/>
        <v>121.60798872614592</v>
      </c>
      <c r="G227" s="97">
        <f t="shared" si="232"/>
        <v>115.12578444600828</v>
      </c>
      <c r="H227" s="97">
        <f t="shared" si="232"/>
        <v>120.35960431090419</v>
      </c>
      <c r="I227" s="97">
        <f t="shared" si="232"/>
        <v>133.55202915702466</v>
      </c>
      <c r="J227" s="97">
        <f t="shared" si="232"/>
        <v>149.73934143334682</v>
      </c>
      <c r="K227" s="97">
        <f t="shared" si="232"/>
        <v>136.06486947309679</v>
      </c>
      <c r="L227" s="97">
        <f t="shared" si="232"/>
        <v>141.27499892250657</v>
      </c>
      <c r="M227" s="97">
        <f t="shared" si="232"/>
        <v>147.61543823006451</v>
      </c>
      <c r="N227" s="97">
        <f t="shared" si="232"/>
        <v>139.52924994374888</v>
      </c>
      <c r="O227" s="97">
        <f t="shared" si="232"/>
        <v>135.53889254483823</v>
      </c>
      <c r="P227" s="97">
        <f t="shared" si="232"/>
        <v>121.64718314496926</v>
      </c>
      <c r="Q227" s="97">
        <f t="shared" si="232"/>
        <v>128.25068145722932</v>
      </c>
      <c r="R227" s="97">
        <f t="shared" si="232"/>
        <v>126.33708313408351</v>
      </c>
      <c r="S227" s="97">
        <f t="shared" si="232"/>
        <v>120.06305012843701</v>
      </c>
      <c r="T227" s="97">
        <f t="shared" si="232"/>
        <v>126.88339780482544</v>
      </c>
      <c r="U227" s="97">
        <f t="shared" si="232"/>
        <v>131.10608399575858</v>
      </c>
      <c r="V227" s="97">
        <f t="shared" si="232"/>
        <v>177.899471996823</v>
      </c>
      <c r="W227" s="97">
        <f t="shared" si="232"/>
        <v>202.52456851528348</v>
      </c>
      <c r="X227" s="97">
        <f t="shared" si="232"/>
        <v>122.37333828645365</v>
      </c>
      <c r="Y227" s="97">
        <f t="shared" si="232"/>
        <v>118.62177874171338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125.30155135467975</v>
      </c>
      <c r="C228" s="97">
        <f t="shared" si="233"/>
        <v>129.89307109964062</v>
      </c>
      <c r="D228" s="97">
        <f t="shared" si="233"/>
        <v>134.00984026396381</v>
      </c>
      <c r="E228" s="97">
        <f t="shared" si="233"/>
        <v>135.74499657766455</v>
      </c>
      <c r="F228" s="97">
        <f t="shared" si="233"/>
        <v>124.13375447808041</v>
      </c>
      <c r="G228" s="97">
        <f t="shared" si="233"/>
        <v>108.13230466084862</v>
      </c>
      <c r="H228" s="97">
        <f t="shared" si="233"/>
        <v>97.188929242437624</v>
      </c>
      <c r="I228" s="97">
        <f t="shared" si="233"/>
        <v>80.031301501821162</v>
      </c>
      <c r="J228" s="97">
        <f t="shared" si="233"/>
        <v>76.016058006460469</v>
      </c>
      <c r="K228" s="97">
        <f t="shared" si="233"/>
        <v>72.417585987799328</v>
      </c>
      <c r="L228" s="97">
        <f t="shared" si="233"/>
        <v>68.719243874239709</v>
      </c>
      <c r="M228" s="97">
        <f t="shared" si="233"/>
        <v>70.651534900489906</v>
      </c>
      <c r="N228" s="97">
        <f t="shared" si="233"/>
        <v>64.108572729621059</v>
      </c>
      <c r="O228" s="97">
        <f t="shared" si="233"/>
        <v>66.431709360132729</v>
      </c>
      <c r="P228" s="97">
        <f t="shared" si="233"/>
        <v>67.078795670083252</v>
      </c>
      <c r="Q228" s="97">
        <f t="shared" si="233"/>
        <v>66.729277986231139</v>
      </c>
      <c r="R228" s="97">
        <f t="shared" si="233"/>
        <v>61.120446381767167</v>
      </c>
      <c r="S228" s="97">
        <f t="shared" si="233"/>
        <v>53.473618375408705</v>
      </c>
      <c r="T228" s="97">
        <f t="shared" si="233"/>
        <v>54.26777455580276</v>
      </c>
      <c r="U228" s="97">
        <f t="shared" si="233"/>
        <v>52.741632829704997</v>
      </c>
      <c r="V228" s="97">
        <f t="shared" si="233"/>
        <v>88.713032579595392</v>
      </c>
      <c r="W228" s="97">
        <f t="shared" si="233"/>
        <v>164.8195399127089</v>
      </c>
      <c r="X228" s="97">
        <f t="shared" si="233"/>
        <v>63.862539457867918</v>
      </c>
      <c r="Y228" s="97">
        <f t="shared" si="233"/>
        <v>46.385868145643116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106.69472643062355</v>
      </c>
      <c r="C229" s="32">
        <f t="shared" si="234"/>
        <v>111.58221621584653</v>
      </c>
      <c r="D229" s="32">
        <f t="shared" si="234"/>
        <v>109.48264147509333</v>
      </c>
      <c r="E229" s="32">
        <f t="shared" si="234"/>
        <v>113.02057160306671</v>
      </c>
      <c r="F229" s="32">
        <f t="shared" si="234"/>
        <v>114.56605842834333</v>
      </c>
      <c r="G229" s="32">
        <f t="shared" si="234"/>
        <v>113.82956651677152</v>
      </c>
      <c r="H229" s="32">
        <f t="shared" si="234"/>
        <v>116.76041253615443</v>
      </c>
      <c r="I229" s="32">
        <f t="shared" si="234"/>
        <v>119.46539020495652</v>
      </c>
      <c r="J229" s="32">
        <f t="shared" si="234"/>
        <v>108.06500774124591</v>
      </c>
      <c r="K229" s="32">
        <f t="shared" si="234"/>
        <v>110.35391879983635</v>
      </c>
      <c r="L229" s="32">
        <f t="shared" si="234"/>
        <v>112.51577066736503</v>
      </c>
      <c r="M229" s="32">
        <f t="shared" si="234"/>
        <v>112.96668043423109</v>
      </c>
      <c r="N229" s="32">
        <f t="shared" si="234"/>
        <v>112.75793020435873</v>
      </c>
      <c r="O229" s="32">
        <f t="shared" si="234"/>
        <v>115.40075746996284</v>
      </c>
      <c r="P229" s="32">
        <f t="shared" si="234"/>
        <v>98.004176703444898</v>
      </c>
      <c r="Q229" s="32">
        <f t="shared" si="234"/>
        <v>94.298800886696114</v>
      </c>
      <c r="R229" s="32">
        <f t="shared" si="234"/>
        <v>102.67278286059532</v>
      </c>
      <c r="S229" s="32">
        <f t="shared" si="234"/>
        <v>88.447535416183555</v>
      </c>
      <c r="T229" s="32">
        <f t="shared" si="234"/>
        <v>89.318984801128948</v>
      </c>
      <c r="U229" s="32">
        <f t="shared" si="234"/>
        <v>86.256265756222234</v>
      </c>
      <c r="V229" s="32">
        <f t="shared" si="234"/>
        <v>82.314625968251136</v>
      </c>
      <c r="W229" s="32">
        <f t="shared" si="234"/>
        <v>79.62598612762028</v>
      </c>
      <c r="X229" s="32">
        <f t="shared" si="234"/>
        <v>80.096056124900173</v>
      </c>
      <c r="Y229" s="32">
        <f t="shared" si="234"/>
        <v>81.066364374060214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125.74199591642862</v>
      </c>
      <c r="C230" s="141">
        <f t="shared" si="235"/>
        <v>133.6253885811908</v>
      </c>
      <c r="D230" s="141">
        <f t="shared" si="235"/>
        <v>128.81702799182099</v>
      </c>
      <c r="E230" s="141">
        <f t="shared" si="235"/>
        <v>134.98466580992701</v>
      </c>
      <c r="F230" s="141">
        <f t="shared" si="235"/>
        <v>137.0291979610648</v>
      </c>
      <c r="G230" s="141">
        <f t="shared" si="235"/>
        <v>133.56117846748074</v>
      </c>
      <c r="H230" s="141">
        <f t="shared" si="235"/>
        <v>143.68250276266997</v>
      </c>
      <c r="I230" s="141">
        <f t="shared" si="235"/>
        <v>144.80258083352638</v>
      </c>
      <c r="J230" s="141">
        <f t="shared" si="235"/>
        <v>131.76774140770004</v>
      </c>
      <c r="K230" s="141">
        <f t="shared" si="235"/>
        <v>129.86045885949207</v>
      </c>
      <c r="L230" s="141">
        <f t="shared" si="235"/>
        <v>134.59219227777959</v>
      </c>
      <c r="M230" s="141">
        <f t="shared" si="235"/>
        <v>136.52765147551173</v>
      </c>
      <c r="N230" s="141">
        <f t="shared" si="235"/>
        <v>137.01184560808016</v>
      </c>
      <c r="O230" s="141">
        <f t="shared" si="235"/>
        <v>141.93359992748313</v>
      </c>
      <c r="P230" s="141">
        <f t="shared" si="235"/>
        <v>121.25741396801179</v>
      </c>
      <c r="Q230" s="141">
        <f t="shared" si="235"/>
        <v>111.00914583830318</v>
      </c>
      <c r="R230" s="141">
        <f t="shared" si="235"/>
        <v>125.32463310133174</v>
      </c>
      <c r="S230" s="141">
        <f t="shared" si="235"/>
        <v>107.09630746671283</v>
      </c>
      <c r="T230" s="141">
        <f t="shared" si="235"/>
        <v>110.97052005582809</v>
      </c>
      <c r="U230" s="141">
        <f t="shared" si="235"/>
        <v>104.63962728179264</v>
      </c>
      <c r="V230" s="141">
        <f t="shared" si="235"/>
        <v>98.919050473836862</v>
      </c>
      <c r="W230" s="141">
        <f t="shared" si="235"/>
        <v>95.48516057162081</v>
      </c>
      <c r="X230" s="141">
        <f t="shared" si="235"/>
        <v>92.285963361758647</v>
      </c>
      <c r="Y230" s="141">
        <f t="shared" si="235"/>
        <v>92.218762541610218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1014.7974498548701</v>
      </c>
      <c r="C231" s="97">
        <f t="shared" si="236"/>
        <v>985.75229431231139</v>
      </c>
      <c r="D231" s="97">
        <f t="shared" si="236"/>
        <v>968.89352512768039</v>
      </c>
      <c r="E231" s="97">
        <f t="shared" si="236"/>
        <v>956.38233605642142</v>
      </c>
      <c r="F231" s="97">
        <f t="shared" si="236"/>
        <v>944.31446907204065</v>
      </c>
      <c r="G231" s="97">
        <f t="shared" si="236"/>
        <v>917.52473862572333</v>
      </c>
      <c r="H231" s="97">
        <f t="shared" si="236"/>
        <v>924.3111278796689</v>
      </c>
      <c r="I231" s="97">
        <f t="shared" si="236"/>
        <v>933.17480015318756</v>
      </c>
      <c r="J231" s="97">
        <f t="shared" si="236"/>
        <v>879.94581641733646</v>
      </c>
      <c r="K231" s="97">
        <f t="shared" si="236"/>
        <v>842.24554632395359</v>
      </c>
      <c r="L231" s="97">
        <f t="shared" si="236"/>
        <v>849.34939898471453</v>
      </c>
      <c r="M231" s="97">
        <f t="shared" si="236"/>
        <v>834.00506016276142</v>
      </c>
      <c r="N231" s="97">
        <f t="shared" si="236"/>
        <v>827.19452021266216</v>
      </c>
      <c r="O231" s="97">
        <f t="shared" si="236"/>
        <v>806.97967113823813</v>
      </c>
      <c r="P231" s="97">
        <f t="shared" si="236"/>
        <v>701.52903447399808</v>
      </c>
      <c r="Q231" s="97">
        <f t="shared" si="236"/>
        <v>698.1175490463371</v>
      </c>
      <c r="R231" s="97">
        <f t="shared" si="236"/>
        <v>809.8309069205435</v>
      </c>
      <c r="S231" s="97">
        <f t="shared" si="236"/>
        <v>719.39427490534206</v>
      </c>
      <c r="T231" s="97">
        <f t="shared" si="236"/>
        <v>732.79960154239768</v>
      </c>
      <c r="U231" s="97">
        <f t="shared" si="236"/>
        <v>700.3785069390126</v>
      </c>
      <c r="V231" s="97">
        <f t="shared" si="236"/>
        <v>694.33214150317019</v>
      </c>
      <c r="W231" s="97">
        <f t="shared" si="236"/>
        <v>642.89883839105028</v>
      </c>
      <c r="X231" s="97">
        <f t="shared" si="236"/>
        <v>647.4849301398491</v>
      </c>
      <c r="Y231" s="97">
        <f t="shared" si="236"/>
        <v>622.26974534106262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87.135485751123056</v>
      </c>
      <c r="C232" s="97">
        <f t="shared" si="237"/>
        <v>94.290264537969193</v>
      </c>
      <c r="D232" s="97">
        <f t="shared" si="237"/>
        <v>91.321480947423879</v>
      </c>
      <c r="E232" s="97">
        <f t="shared" si="237"/>
        <v>96.244875623476219</v>
      </c>
      <c r="F232" s="97">
        <f t="shared" si="237"/>
        <v>96.705132866015461</v>
      </c>
      <c r="G232" s="97">
        <f t="shared" si="237"/>
        <v>93.920125811475984</v>
      </c>
      <c r="H232" s="97">
        <f t="shared" si="237"/>
        <v>100.14707421621758</v>
      </c>
      <c r="I232" s="97">
        <f t="shared" si="237"/>
        <v>99.697319092526087</v>
      </c>
      <c r="J232" s="97">
        <f t="shared" si="237"/>
        <v>88.14159620544693</v>
      </c>
      <c r="K232" s="97">
        <f t="shared" si="237"/>
        <v>81.972552327699489</v>
      </c>
      <c r="L232" s="97">
        <f t="shared" si="237"/>
        <v>86.278712291864977</v>
      </c>
      <c r="M232" s="97">
        <f t="shared" si="237"/>
        <v>83.117023798982913</v>
      </c>
      <c r="N232" s="97">
        <f t="shared" si="237"/>
        <v>79.144351261298681</v>
      </c>
      <c r="O232" s="97">
        <f t="shared" si="237"/>
        <v>80.91264386064752</v>
      </c>
      <c r="P232" s="97">
        <f t="shared" si="237"/>
        <v>65.883840622580493</v>
      </c>
      <c r="Q232" s="97">
        <f t="shared" si="237"/>
        <v>56.634098122687668</v>
      </c>
      <c r="R232" s="97">
        <f t="shared" si="237"/>
        <v>67.187079292468553</v>
      </c>
      <c r="S232" s="97">
        <f t="shared" si="237"/>
        <v>56.606990895180736</v>
      </c>
      <c r="T232" s="97">
        <f t="shared" si="237"/>
        <v>57.531762426428969</v>
      </c>
      <c r="U232" s="97">
        <f t="shared" si="237"/>
        <v>52.868132480635623</v>
      </c>
      <c r="V232" s="97">
        <f t="shared" si="237"/>
        <v>48.378654317924614</v>
      </c>
      <c r="W232" s="97">
        <f t="shared" si="237"/>
        <v>47.798673306507013</v>
      </c>
      <c r="X232" s="97">
        <f t="shared" si="237"/>
        <v>45.575935404386982</v>
      </c>
      <c r="Y232" s="97">
        <f t="shared" si="237"/>
        <v>42.773571578923772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9.7517907589992223</v>
      </c>
      <c r="C233" s="130">
        <f t="shared" si="238"/>
        <v>9.6962366975047818</v>
      </c>
      <c r="D233" s="130">
        <f t="shared" si="238"/>
        <v>9.1967812443502286</v>
      </c>
      <c r="E233" s="130">
        <f t="shared" si="238"/>
        <v>8.7057506478076583</v>
      </c>
      <c r="F233" s="130">
        <f t="shared" si="238"/>
        <v>9.065626414209639</v>
      </c>
      <c r="G233" s="130">
        <f t="shared" si="238"/>
        <v>9.4013705678663317</v>
      </c>
      <c r="H233" s="130">
        <f t="shared" si="238"/>
        <v>8.7244395184213364</v>
      </c>
      <c r="I233" s="130">
        <f t="shared" si="238"/>
        <v>7.5289419660705335</v>
      </c>
      <c r="J233" s="130">
        <f t="shared" si="238"/>
        <v>7.5013988826200295</v>
      </c>
      <c r="K233" s="130">
        <f t="shared" si="238"/>
        <v>7.5972471990627568</v>
      </c>
      <c r="L233" s="130">
        <f t="shared" si="238"/>
        <v>6.915709238150912</v>
      </c>
      <c r="M233" s="130">
        <f t="shared" si="238"/>
        <v>7.1685451226729393</v>
      </c>
      <c r="N233" s="130">
        <f t="shared" si="238"/>
        <v>7.7086105553805435</v>
      </c>
      <c r="O233" s="130">
        <f t="shared" si="238"/>
        <v>7.1584352765840995</v>
      </c>
      <c r="P233" s="130">
        <f t="shared" si="238"/>
        <v>6.0181568085250428</v>
      </c>
      <c r="Q233" s="130">
        <f t="shared" si="238"/>
        <v>4.8479046896801314</v>
      </c>
      <c r="R233" s="130">
        <f t="shared" si="238"/>
        <v>4.4302683446668931</v>
      </c>
      <c r="S233" s="130">
        <f t="shared" si="238"/>
        <v>3.8376595162179852</v>
      </c>
      <c r="T233" s="130">
        <f t="shared" si="238"/>
        <v>4.7123646993817125</v>
      </c>
      <c r="U233" s="130">
        <f t="shared" si="238"/>
        <v>5.4111452178670376</v>
      </c>
      <c r="V233" s="130">
        <f t="shared" si="238"/>
        <v>4.9884539634975891</v>
      </c>
      <c r="W233" s="130">
        <f t="shared" si="238"/>
        <v>5.5088918253130075</v>
      </c>
      <c r="X233" s="130">
        <f t="shared" si="238"/>
        <v>4.9808189893421702</v>
      </c>
      <c r="Y233" s="130">
        <f t="shared" si="238"/>
        <v>5.0838502703266109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257.57204765745195</v>
      </c>
      <c r="C234" s="130">
        <f t="shared" si="239"/>
        <v>254.09283921122866</v>
      </c>
      <c r="D234" s="130">
        <f t="shared" si="239"/>
        <v>258.01121422028052</v>
      </c>
      <c r="E234" s="130">
        <f t="shared" si="239"/>
        <v>268.00456120286265</v>
      </c>
      <c r="F234" s="130">
        <f t="shared" si="239"/>
        <v>286.34231182752075</v>
      </c>
      <c r="G234" s="130">
        <f t="shared" si="239"/>
        <v>273.92157428217871</v>
      </c>
      <c r="H234" s="130">
        <f t="shared" si="239"/>
        <v>304.81546001919111</v>
      </c>
      <c r="I234" s="130">
        <f t="shared" si="239"/>
        <v>291.94519328903533</v>
      </c>
      <c r="J234" s="130">
        <f t="shared" si="239"/>
        <v>301.4346649234019</v>
      </c>
      <c r="K234" s="130">
        <f t="shared" si="239"/>
        <v>331.15389776106048</v>
      </c>
      <c r="L234" s="130">
        <f t="shared" si="239"/>
        <v>357.24174786773079</v>
      </c>
      <c r="M234" s="130">
        <f t="shared" si="239"/>
        <v>269.143456536195</v>
      </c>
      <c r="N234" s="130">
        <f t="shared" si="239"/>
        <v>225.8131292456066</v>
      </c>
      <c r="O234" s="130">
        <f t="shared" si="239"/>
        <v>256.53733096603924</v>
      </c>
      <c r="P234" s="130">
        <f t="shared" si="239"/>
        <v>250.79259741101751</v>
      </c>
      <c r="Q234" s="130">
        <f t="shared" si="239"/>
        <v>285.3093627096128</v>
      </c>
      <c r="R234" s="130">
        <f t="shared" si="239"/>
        <v>246.66165454342161</v>
      </c>
      <c r="S234" s="130">
        <f t="shared" si="239"/>
        <v>265.28305897385121</v>
      </c>
      <c r="T234" s="130">
        <f t="shared" si="239"/>
        <v>270.25536708525192</v>
      </c>
      <c r="U234" s="130">
        <f t="shared" si="239"/>
        <v>326.79940471552823</v>
      </c>
      <c r="V234" s="130">
        <f t="shared" si="239"/>
        <v>315.65033271409573</v>
      </c>
      <c r="W234" s="130">
        <f t="shared" si="239"/>
        <v>327.3051225263759</v>
      </c>
      <c r="X234" s="130">
        <f t="shared" si="239"/>
        <v>202.10489389136896</v>
      </c>
      <c r="Y234" s="130">
        <f t="shared" si="239"/>
        <v>169.82664548397076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1599.2625746641963</v>
      </c>
      <c r="C235" s="97">
        <f t="shared" si="240"/>
        <v>1630.6774211540028</v>
      </c>
      <c r="D235" s="97">
        <f t="shared" si="240"/>
        <v>1478.22346254023</v>
      </c>
      <c r="E235" s="97">
        <f t="shared" si="240"/>
        <v>1376.3958471226847</v>
      </c>
      <c r="F235" s="97">
        <f t="shared" si="240"/>
        <v>1466.4954426726617</v>
      </c>
      <c r="G235" s="97">
        <f t="shared" si="240"/>
        <v>1379.4334559771808</v>
      </c>
      <c r="H235" s="97">
        <f t="shared" si="240"/>
        <v>1582.2606430997671</v>
      </c>
      <c r="I235" s="97">
        <f t="shared" si="240"/>
        <v>1591.8994130035869</v>
      </c>
      <c r="J235" s="97">
        <f t="shared" si="240"/>
        <v>1867.8644746347236</v>
      </c>
      <c r="K235" s="97">
        <f t="shared" si="240"/>
        <v>1799.9436505211461</v>
      </c>
      <c r="L235" s="97">
        <f t="shared" si="240"/>
        <v>1893.7861725001139</v>
      </c>
      <c r="M235" s="97">
        <f t="shared" si="240"/>
        <v>1380.7126828466126</v>
      </c>
      <c r="N235" s="97">
        <f t="shared" si="240"/>
        <v>1078.7607994075474</v>
      </c>
      <c r="O235" s="97">
        <f t="shared" si="240"/>
        <v>1029.1999974362461</v>
      </c>
      <c r="P235" s="97">
        <f t="shared" si="240"/>
        <v>948.56966379840753</v>
      </c>
      <c r="Q235" s="97">
        <f t="shared" si="240"/>
        <v>942.89776212770767</v>
      </c>
      <c r="R235" s="97">
        <f t="shared" si="240"/>
        <v>850.47291950173519</v>
      </c>
      <c r="S235" s="97">
        <f t="shared" si="240"/>
        <v>913.6822821613838</v>
      </c>
      <c r="T235" s="97">
        <f t="shared" si="240"/>
        <v>910.39549830582951</v>
      </c>
      <c r="U235" s="97">
        <f t="shared" si="240"/>
        <v>849.90783785601809</v>
      </c>
      <c r="V235" s="97">
        <f t="shared" si="240"/>
        <v>1037.2288328779059</v>
      </c>
      <c r="W235" s="97">
        <f t="shared" si="240"/>
        <v>767.89390780306167</v>
      </c>
      <c r="X235" s="97">
        <f t="shared" si="240"/>
        <v>925.86697380365706</v>
      </c>
      <c r="Y235" s="97">
        <f t="shared" si="240"/>
        <v>1108.5601252641161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400.51717419682603</v>
      </c>
      <c r="C236" s="97">
        <f t="shared" si="241"/>
        <v>375.19706748349137</v>
      </c>
      <c r="D236" s="97">
        <f t="shared" si="241"/>
        <v>413.19208350932109</v>
      </c>
      <c r="E236" s="97">
        <f t="shared" si="241"/>
        <v>370.02514895232838</v>
      </c>
      <c r="F236" s="97">
        <f t="shared" si="241"/>
        <v>419.43857633359471</v>
      </c>
      <c r="G236" s="97">
        <f t="shared" si="241"/>
        <v>435.10276065315179</v>
      </c>
      <c r="H236" s="97">
        <f t="shared" si="241"/>
        <v>549.01713731561347</v>
      </c>
      <c r="I236" s="97">
        <f t="shared" si="241"/>
        <v>609.15799037786428</v>
      </c>
      <c r="J236" s="97">
        <f t="shared" si="241"/>
        <v>670.5011307738497</v>
      </c>
      <c r="K236" s="97">
        <f t="shared" si="241"/>
        <v>611.76164641677917</v>
      </c>
      <c r="L236" s="97">
        <f t="shared" si="241"/>
        <v>656.03469338632658</v>
      </c>
      <c r="M236" s="97">
        <f t="shared" si="241"/>
        <v>658.53896795389323</v>
      </c>
      <c r="N236" s="97">
        <f t="shared" si="241"/>
        <v>614.63388339305925</v>
      </c>
      <c r="O236" s="97">
        <f t="shared" si="241"/>
        <v>612.07599801783476</v>
      </c>
      <c r="P236" s="97">
        <f t="shared" si="241"/>
        <v>485.92978934051115</v>
      </c>
      <c r="Q236" s="97">
        <f t="shared" si="241"/>
        <v>524.84902732556532</v>
      </c>
      <c r="R236" s="97">
        <f t="shared" si="241"/>
        <v>520.91747419327157</v>
      </c>
      <c r="S236" s="97">
        <f t="shared" si="241"/>
        <v>608.80651332548769</v>
      </c>
      <c r="T236" s="97">
        <f t="shared" si="241"/>
        <v>669.10107649714632</v>
      </c>
      <c r="U236" s="97">
        <f t="shared" si="241"/>
        <v>767.80402978221673</v>
      </c>
      <c r="V236" s="97">
        <f t="shared" si="241"/>
        <v>619.61226521475305</v>
      </c>
      <c r="W236" s="97">
        <f t="shared" si="241"/>
        <v>743.42961940646967</v>
      </c>
      <c r="X236" s="97">
        <f t="shared" si="241"/>
        <v>661.45954657153311</v>
      </c>
      <c r="Y236" s="97">
        <f t="shared" si="241"/>
        <v>767.57518337556769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143.5030291985168</v>
      </c>
      <c r="C237" s="97">
        <f t="shared" si="242"/>
        <v>138.01307429291705</v>
      </c>
      <c r="D237" s="97">
        <f t="shared" si="242"/>
        <v>150.48291208534246</v>
      </c>
      <c r="E237" s="97">
        <f t="shared" si="242"/>
        <v>158.86745227697926</v>
      </c>
      <c r="F237" s="97">
        <f t="shared" si="242"/>
        <v>169.01803717500619</v>
      </c>
      <c r="G237" s="97">
        <f t="shared" si="242"/>
        <v>159.55473454543159</v>
      </c>
      <c r="H237" s="97">
        <f t="shared" si="242"/>
        <v>137.9410372535697</v>
      </c>
      <c r="I237" s="97">
        <f t="shared" si="242"/>
        <v>115.70708508094248</v>
      </c>
      <c r="J237" s="97">
        <f t="shared" si="242"/>
        <v>117.3616886194832</v>
      </c>
      <c r="K237" s="97">
        <f t="shared" si="242"/>
        <v>114.17787991217573</v>
      </c>
      <c r="L237" s="97">
        <f t="shared" si="242"/>
        <v>129.44756208831529</v>
      </c>
      <c r="M237" s="97">
        <f t="shared" si="242"/>
        <v>115.36185751132123</v>
      </c>
      <c r="N237" s="97">
        <f t="shared" si="242"/>
        <v>109.02312136193436</v>
      </c>
      <c r="O237" s="97">
        <f t="shared" si="242"/>
        <v>110.84700878964492</v>
      </c>
      <c r="P237" s="97">
        <f t="shared" si="242"/>
        <v>94.465328968894042</v>
      </c>
      <c r="Q237" s="97">
        <f t="shared" si="242"/>
        <v>92.94471994862468</v>
      </c>
      <c r="R237" s="97">
        <f t="shared" si="242"/>
        <v>74.863237321593829</v>
      </c>
      <c r="S237" s="97">
        <f t="shared" si="242"/>
        <v>69.968426738977115</v>
      </c>
      <c r="T237" s="97">
        <f t="shared" si="242"/>
        <v>71.44036177181718</v>
      </c>
      <c r="U237" s="97">
        <f t="shared" si="242"/>
        <v>59.929495923035319</v>
      </c>
      <c r="V237" s="97">
        <f t="shared" si="242"/>
        <v>117.8602736622249</v>
      </c>
      <c r="W237" s="97">
        <f t="shared" si="242"/>
        <v>120.08966406158262</v>
      </c>
      <c r="X237" s="97">
        <f t="shared" si="242"/>
        <v>68.430340853149175</v>
      </c>
      <c r="Y237" s="97">
        <f t="shared" si="242"/>
        <v>85.530988376311015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511.98315196721609</v>
      </c>
      <c r="C238" s="130">
        <f t="shared" si="243"/>
        <v>513.41241184284195</v>
      </c>
      <c r="D238" s="130">
        <f t="shared" si="243"/>
        <v>501.03002678283116</v>
      </c>
      <c r="E238" s="130">
        <f t="shared" si="243"/>
        <v>565.70942593561881</v>
      </c>
      <c r="F238" s="130">
        <f t="shared" si="243"/>
        <v>557.24291331510062</v>
      </c>
      <c r="G238" s="130">
        <f t="shared" si="243"/>
        <v>633.05116992489991</v>
      </c>
      <c r="H238" s="130">
        <f t="shared" si="243"/>
        <v>603.72477521414226</v>
      </c>
      <c r="I238" s="130">
        <f t="shared" si="243"/>
        <v>555.29386996199889</v>
      </c>
      <c r="J238" s="130">
        <f t="shared" si="243"/>
        <v>470.43654080421277</v>
      </c>
      <c r="K238" s="130">
        <f t="shared" si="243"/>
        <v>562.39533055121888</v>
      </c>
      <c r="L238" s="130">
        <f t="shared" si="243"/>
        <v>434.00677076864827</v>
      </c>
      <c r="M238" s="130">
        <f t="shared" si="243"/>
        <v>389.33177860997597</v>
      </c>
      <c r="N238" s="130">
        <f t="shared" si="243"/>
        <v>481.94504007037466</v>
      </c>
      <c r="O238" s="130">
        <f t="shared" si="243"/>
        <v>620.3405192674843</v>
      </c>
      <c r="P238" s="130">
        <f t="shared" si="243"/>
        <v>485.30601170469367</v>
      </c>
      <c r="Q238" s="130">
        <f t="shared" si="243"/>
        <v>453.71926169382812</v>
      </c>
      <c r="R238" s="130">
        <f t="shared" si="243"/>
        <v>391.66969519184892</v>
      </c>
      <c r="S238" s="130">
        <f t="shared" si="243"/>
        <v>380.21192473224659</v>
      </c>
      <c r="T238" s="130">
        <f t="shared" si="243"/>
        <v>323.59723244365659</v>
      </c>
      <c r="U238" s="130">
        <f t="shared" si="243"/>
        <v>211.56223400288329</v>
      </c>
      <c r="V238" s="130">
        <f t="shared" si="243"/>
        <v>295.30139727221382</v>
      </c>
      <c r="W238" s="130">
        <f t="shared" si="243"/>
        <v>426.92288730237857</v>
      </c>
      <c r="X238" s="130">
        <f t="shared" si="243"/>
        <v>311.34561361193806</v>
      </c>
      <c r="Y238" s="130">
        <f t="shared" si="243"/>
        <v>347.02244541851633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499.32800178248277</v>
      </c>
      <c r="C239" s="97">
        <f t="shared" si="244"/>
        <v>503.83276495183594</v>
      </c>
      <c r="D239" s="97">
        <f t="shared" si="244"/>
        <v>495.41672084881213</v>
      </c>
      <c r="E239" s="97">
        <f t="shared" si="244"/>
        <v>547.66722938417615</v>
      </c>
      <c r="F239" s="97">
        <f t="shared" si="244"/>
        <v>534.93335440436169</v>
      </c>
      <c r="G239" s="97">
        <f t="shared" si="244"/>
        <v>607.96223711945595</v>
      </c>
      <c r="H239" s="97">
        <f t="shared" si="244"/>
        <v>588.59076000448704</v>
      </c>
      <c r="I239" s="97">
        <f t="shared" si="244"/>
        <v>534.39458748799927</v>
      </c>
      <c r="J239" s="97">
        <f t="shared" si="244"/>
        <v>467.02046743234189</v>
      </c>
      <c r="K239" s="97">
        <f t="shared" si="244"/>
        <v>555.19556657307351</v>
      </c>
      <c r="L239" s="97">
        <f t="shared" si="244"/>
        <v>439.31351159539446</v>
      </c>
      <c r="M239" s="97">
        <f t="shared" si="244"/>
        <v>395.63893850880009</v>
      </c>
      <c r="N239" s="97">
        <f t="shared" si="244"/>
        <v>490.92836562000934</v>
      </c>
      <c r="O239" s="97">
        <f t="shared" si="244"/>
        <v>631.44497887739465</v>
      </c>
      <c r="P239" s="97">
        <f t="shared" si="244"/>
        <v>507.52300065974856</v>
      </c>
      <c r="Q239" s="97">
        <f t="shared" si="244"/>
        <v>472.12339945247965</v>
      </c>
      <c r="R239" s="97">
        <f t="shared" si="244"/>
        <v>403.32195133573515</v>
      </c>
      <c r="S239" s="97">
        <f t="shared" si="244"/>
        <v>395.44269232217471</v>
      </c>
      <c r="T239" s="97">
        <f t="shared" si="244"/>
        <v>333.9904145024538</v>
      </c>
      <c r="U239" s="97">
        <f t="shared" si="244"/>
        <v>215.9124841562076</v>
      </c>
      <c r="V239" s="97">
        <f t="shared" si="244"/>
        <v>302.80891061367936</v>
      </c>
      <c r="W239" s="97">
        <f t="shared" si="244"/>
        <v>446.80653325077049</v>
      </c>
      <c r="X239" s="97">
        <f t="shared" si="244"/>
        <v>331.30152503341418</v>
      </c>
      <c r="Y239" s="97">
        <f t="shared" si="244"/>
        <v>378.05196741683824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604.11543373499671</v>
      </c>
      <c r="C240" s="98">
        <f t="shared" si="245"/>
        <v>588.01898637396312</v>
      </c>
      <c r="D240" s="98">
        <f t="shared" si="245"/>
        <v>542.91040116851718</v>
      </c>
      <c r="E240" s="98">
        <f t="shared" si="245"/>
        <v>691.24239484786472</v>
      </c>
      <c r="F240" s="98">
        <f t="shared" si="245"/>
        <v>694.69305108445644</v>
      </c>
      <c r="G240" s="98">
        <f t="shared" si="245"/>
        <v>860.03141405395957</v>
      </c>
      <c r="H240" s="98">
        <f t="shared" si="245"/>
        <v>782.91403763232802</v>
      </c>
      <c r="I240" s="98">
        <f t="shared" si="245"/>
        <v>728.98473317951652</v>
      </c>
      <c r="J240" s="98">
        <f t="shared" si="245"/>
        <v>506.65810618633657</v>
      </c>
      <c r="K240" s="98">
        <f t="shared" si="245"/>
        <v>649.5469391307397</v>
      </c>
      <c r="L240" s="98">
        <f t="shared" si="245"/>
        <v>356.32935191715006</v>
      </c>
      <c r="M240" s="98">
        <f t="shared" si="245"/>
        <v>307.04983200189594</v>
      </c>
      <c r="N240" s="98">
        <f t="shared" si="245"/>
        <v>422.16209523016249</v>
      </c>
      <c r="O240" s="98">
        <f t="shared" si="245"/>
        <v>564.53335970860087</v>
      </c>
      <c r="P240" s="98">
        <f t="shared" si="245"/>
        <v>375.32407508695309</v>
      </c>
      <c r="Q240" s="98">
        <f t="shared" si="245"/>
        <v>345.69416216685505</v>
      </c>
      <c r="R240" s="98">
        <f t="shared" si="245"/>
        <v>295.45543240997381</v>
      </c>
      <c r="S240" s="98">
        <f t="shared" si="245"/>
        <v>269.17128735511579</v>
      </c>
      <c r="T240" s="98">
        <f t="shared" si="245"/>
        <v>228.86218178129431</v>
      </c>
      <c r="U240" s="98">
        <f t="shared" si="245"/>
        <v>148.78462982717568</v>
      </c>
      <c r="V240" s="98">
        <f t="shared" si="245"/>
        <v>235.93606065310513</v>
      </c>
      <c r="W240" s="98">
        <f t="shared" si="245"/>
        <v>340.63404393847696</v>
      </c>
      <c r="X240" s="98">
        <f t="shared" si="245"/>
        <v>223.1456284051531</v>
      </c>
      <c r="Y240" s="98">
        <f t="shared" si="245"/>
        <v>257.74110348919089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18.987582265042196</v>
      </c>
      <c r="C241" s="32">
        <f t="shared" si="246"/>
        <v>14.074978571661193</v>
      </c>
      <c r="D241" s="32">
        <f t="shared" si="246"/>
        <v>14.014240907643535</v>
      </c>
      <c r="E241" s="32">
        <f t="shared" si="246"/>
        <v>12.816141726782014</v>
      </c>
      <c r="F241" s="32">
        <f t="shared" si="246"/>
        <v>10.037418801347204</v>
      </c>
      <c r="G241" s="32">
        <f t="shared" si="246"/>
        <v>10.773194992380736</v>
      </c>
      <c r="H241" s="32">
        <f t="shared" si="246"/>
        <v>11.074656489305051</v>
      </c>
      <c r="I241" s="32">
        <f t="shared" si="246"/>
        <v>8.7865586782841163</v>
      </c>
      <c r="J241" s="32">
        <f t="shared" si="246"/>
        <v>7.0473412261524313</v>
      </c>
      <c r="K241" s="32">
        <f t="shared" si="246"/>
        <v>5.1042172482462309</v>
      </c>
      <c r="L241" s="32">
        <f t="shared" si="246"/>
        <v>3.8374590110189479</v>
      </c>
      <c r="M241" s="32">
        <f t="shared" si="246"/>
        <v>3.3436636647368281</v>
      </c>
      <c r="N241" s="32">
        <f t="shared" si="246"/>
        <v>2.1540972165200398</v>
      </c>
      <c r="O241" s="32">
        <f t="shared" si="246"/>
        <v>2.2047873861329124</v>
      </c>
      <c r="P241" s="32">
        <f t="shared" si="246"/>
        <v>1.6556411711068824</v>
      </c>
      <c r="Q241" s="32">
        <f t="shared" si="246"/>
        <v>6.190232226481875</v>
      </c>
      <c r="R241" s="32">
        <f t="shared" si="246"/>
        <v>5.2514922387981073</v>
      </c>
      <c r="S241" s="32">
        <f t="shared" si="246"/>
        <v>6.3489009549725397</v>
      </c>
      <c r="T241" s="32">
        <f t="shared" si="246"/>
        <v>5.583391209003806</v>
      </c>
      <c r="U241" s="32">
        <f t="shared" si="246"/>
        <v>5.5305195347353493</v>
      </c>
      <c r="V241" s="32">
        <f t="shared" si="246"/>
        <v>5.5561466646639142</v>
      </c>
      <c r="W241" s="32">
        <f t="shared" si="246"/>
        <v>5.3342453940302779</v>
      </c>
      <c r="X241" s="32">
        <f t="shared" si="246"/>
        <v>6.5263841120494703</v>
      </c>
      <c r="Y241" s="32">
        <f t="shared" si="246"/>
        <v>6.5994389042534127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22.68480413013663</v>
      </c>
      <c r="C242" s="97">
        <f t="shared" si="247"/>
        <v>19.307621470104056</v>
      </c>
      <c r="D242" s="97">
        <f t="shared" si="247"/>
        <v>20.894908056443377</v>
      </c>
      <c r="E242" s="97">
        <f t="shared" si="247"/>
        <v>19.715628750061114</v>
      </c>
      <c r="F242" s="97">
        <f t="shared" si="247"/>
        <v>15.50590995256214</v>
      </c>
      <c r="G242" s="97">
        <f t="shared" si="247"/>
        <v>16.444454347159439</v>
      </c>
      <c r="H242" s="97">
        <f t="shared" si="247"/>
        <v>16.035040871180275</v>
      </c>
      <c r="I242" s="97">
        <f t="shared" si="247"/>
        <v>13.019382813033971</v>
      </c>
      <c r="J242" s="97">
        <f t="shared" si="247"/>
        <v>11.095718901722078</v>
      </c>
      <c r="K242" s="97">
        <f t="shared" si="247"/>
        <v>8.8887292405726548</v>
      </c>
      <c r="L242" s="97">
        <f t="shared" si="247"/>
        <v>6.5231449906524732</v>
      </c>
      <c r="M242" s="97">
        <f t="shared" si="247"/>
        <v>6.0050904406597994</v>
      </c>
      <c r="N242" s="97">
        <f t="shared" si="247"/>
        <v>3.8248007011837308</v>
      </c>
      <c r="O242" s="97">
        <f t="shared" si="247"/>
        <v>3.9263969923694977</v>
      </c>
      <c r="P242" s="97">
        <f t="shared" si="247"/>
        <v>2.9628231072218574</v>
      </c>
      <c r="Q242" s="97">
        <f t="shared" si="247"/>
        <v>10.107987176316071</v>
      </c>
      <c r="R242" s="97">
        <f t="shared" si="247"/>
        <v>8.8277208831764895</v>
      </c>
      <c r="S242" s="97">
        <f t="shared" si="247"/>
        <v>10.540264054518856</v>
      </c>
      <c r="T242" s="97">
        <f t="shared" si="247"/>
        <v>9.5041021836156112</v>
      </c>
      <c r="U242" s="97">
        <f t="shared" si="247"/>
        <v>9.8736931135264285</v>
      </c>
      <c r="V242" s="97">
        <f t="shared" si="247"/>
        <v>8.7162943439078902</v>
      </c>
      <c r="W242" s="97">
        <f t="shared" si="247"/>
        <v>7.9536043215807739</v>
      </c>
      <c r="X242" s="97">
        <f t="shared" si="247"/>
        <v>10.001569603711404</v>
      </c>
      <c r="Y242" s="97">
        <f t="shared" si="247"/>
        <v>9.0220045242967117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15.372288931171779</v>
      </c>
      <c r="C243" s="98">
        <f t="shared" si="248"/>
        <v>10.403575683400065</v>
      </c>
      <c r="D243" s="98">
        <f t="shared" si="248"/>
        <v>9.8971671433687671</v>
      </c>
      <c r="E243" s="98">
        <f t="shared" si="248"/>
        <v>9.0339884046606933</v>
      </c>
      <c r="F243" s="98">
        <f t="shared" si="248"/>
        <v>7.0224881541020556</v>
      </c>
      <c r="G243" s="98">
        <f t="shared" si="248"/>
        <v>7.5421801624834854</v>
      </c>
      <c r="H243" s="98">
        <f t="shared" si="248"/>
        <v>7.9048715317976725</v>
      </c>
      <c r="I243" s="98">
        <f t="shared" si="248"/>
        <v>6.2055800042690041</v>
      </c>
      <c r="J243" s="98">
        <f t="shared" si="248"/>
        <v>4.8206526729160641</v>
      </c>
      <c r="K243" s="98">
        <f t="shared" si="248"/>
        <v>3.4247323171054163</v>
      </c>
      <c r="L243" s="98">
        <f t="shared" si="248"/>
        <v>2.5534084967301096</v>
      </c>
      <c r="M243" s="98">
        <f t="shared" si="248"/>
        <v>2.1996235599386029</v>
      </c>
      <c r="N243" s="98">
        <f t="shared" si="248"/>
        <v>1.4082786786756654</v>
      </c>
      <c r="O243" s="98">
        <f t="shared" si="248"/>
        <v>1.45266211822411</v>
      </c>
      <c r="P243" s="98">
        <f t="shared" si="248"/>
        <v>1.1012931873337595</v>
      </c>
      <c r="Q243" s="98">
        <f t="shared" si="248"/>
        <v>4.1106087453141358</v>
      </c>
      <c r="R243" s="98">
        <f t="shared" si="248"/>
        <v>3.4910671953239008</v>
      </c>
      <c r="S243" s="98">
        <f t="shared" si="248"/>
        <v>4.2052372866804255</v>
      </c>
      <c r="T243" s="98">
        <f t="shared" si="248"/>
        <v>3.6760373993510966</v>
      </c>
      <c r="U243" s="98">
        <f t="shared" si="248"/>
        <v>3.5924690237252714</v>
      </c>
      <c r="V243" s="98">
        <f t="shared" si="248"/>
        <v>4.0013599669088737</v>
      </c>
      <c r="W243" s="98">
        <f t="shared" si="248"/>
        <v>3.9367840181705134</v>
      </c>
      <c r="X243" s="98">
        <f t="shared" si="248"/>
        <v>4.433871780119679</v>
      </c>
      <c r="Y243" s="98">
        <f t="shared" si="248"/>
        <v>4.6061228921780755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64303.87177540797</v>
      </c>
      <c r="C4" s="29">
        <f t="shared" si="0"/>
        <v>65603.854438941315</v>
      </c>
      <c r="D4" s="29">
        <f t="shared" si="0"/>
        <v>66903.697382352315</v>
      </c>
      <c r="E4" s="29">
        <f t="shared" si="0"/>
        <v>68164.076907720009</v>
      </c>
      <c r="F4" s="29">
        <f t="shared" si="0"/>
        <v>69449.197980074779</v>
      </c>
      <c r="G4" s="29">
        <f t="shared" si="0"/>
        <v>70353.379204750439</v>
      </c>
      <c r="H4" s="29">
        <f t="shared" si="0"/>
        <v>70898.631197742623</v>
      </c>
      <c r="I4" s="29">
        <f t="shared" si="0"/>
        <v>72230.08158730327</v>
      </c>
      <c r="J4" s="29">
        <f t="shared" si="0"/>
        <v>71845.557909925425</v>
      </c>
      <c r="K4" s="29">
        <f t="shared" si="0"/>
        <v>72775.992478810906</v>
      </c>
      <c r="L4" s="29">
        <f t="shared" ref="L4" si="1">L5+L6+L13</f>
        <v>73490.914655306537</v>
      </c>
      <c r="M4" s="29">
        <f t="shared" ref="M4:V4" si="2">M5+M6+M13</f>
        <v>74234.85827140999</v>
      </c>
      <c r="N4" s="29">
        <f t="shared" si="2"/>
        <v>74007.42213014602</v>
      </c>
      <c r="O4" s="29">
        <f t="shared" si="2"/>
        <v>73851.806130935103</v>
      </c>
      <c r="P4" s="29">
        <f t="shared" si="2"/>
        <v>74259.404729284754</v>
      </c>
      <c r="Q4" s="29">
        <f t="shared" si="2"/>
        <v>75036.477690338012</v>
      </c>
      <c r="R4" s="29">
        <f t="shared" si="2"/>
        <v>66494.441577760343</v>
      </c>
      <c r="S4" s="29">
        <f t="shared" si="2"/>
        <v>76005.271439358592</v>
      </c>
      <c r="T4" s="29">
        <f t="shared" si="2"/>
        <v>75908.783228423534</v>
      </c>
      <c r="U4" s="29">
        <f t="shared" si="2"/>
        <v>75877.34119688299</v>
      </c>
      <c r="V4" s="29">
        <f t="shared" si="2"/>
        <v>71953.256594355524</v>
      </c>
      <c r="W4" s="29">
        <f t="shared" ref="W4:Y4" si="3">W5+W6+W13</f>
        <v>70692.084308262201</v>
      </c>
      <c r="X4" s="29">
        <f t="shared" si="3"/>
        <v>68502.630182038381</v>
      </c>
      <c r="Y4" s="29">
        <f t="shared" si="3"/>
        <v>69486.408273105248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903.87177540797063</v>
      </c>
      <c r="C5" s="152">
        <f t="shared" si="4"/>
        <v>903.85443894131481</v>
      </c>
      <c r="D5" s="152">
        <f t="shared" si="4"/>
        <v>903.69738235231682</v>
      </c>
      <c r="E5" s="152">
        <f t="shared" si="4"/>
        <v>904.07690772001263</v>
      </c>
      <c r="F5" s="152">
        <f t="shared" si="4"/>
        <v>904.19798007477993</v>
      </c>
      <c r="G5" s="152">
        <f t="shared" si="4"/>
        <v>903.37920475043745</v>
      </c>
      <c r="H5" s="152">
        <f t="shared" si="4"/>
        <v>903.631197742616</v>
      </c>
      <c r="I5" s="152">
        <f t="shared" si="4"/>
        <v>905.08158730327898</v>
      </c>
      <c r="J5" s="152">
        <f t="shared" si="4"/>
        <v>905.55790992542154</v>
      </c>
      <c r="K5" s="152">
        <f t="shared" si="4"/>
        <v>905.9924788108948</v>
      </c>
      <c r="L5" s="152">
        <f t="shared" ref="L5:L7" si="5">IF(L32=0,0,L32*L142)</f>
        <v>1205.9146553065257</v>
      </c>
      <c r="M5" s="152">
        <f t="shared" ref="M5:V5" si="6">IF(M32=0,0,M32*M142)</f>
        <v>1204.8582714100037</v>
      </c>
      <c r="N5" s="152">
        <f t="shared" si="6"/>
        <v>1197.4221301460341</v>
      </c>
      <c r="O5" s="152">
        <f t="shared" si="6"/>
        <v>1196.8061309351144</v>
      </c>
      <c r="P5" s="152">
        <f t="shared" si="6"/>
        <v>1199.4047292847661</v>
      </c>
      <c r="Q5" s="152">
        <f t="shared" si="6"/>
        <v>1201.4776903379957</v>
      </c>
      <c r="R5" s="152">
        <f t="shared" si="6"/>
        <v>1233.4415777603363</v>
      </c>
      <c r="S5" s="152">
        <f t="shared" si="6"/>
        <v>1164.2714393585809</v>
      </c>
      <c r="T5" s="152">
        <f t="shared" si="6"/>
        <v>1108.7832284235301</v>
      </c>
      <c r="U5" s="152">
        <f t="shared" si="6"/>
        <v>1177.3411968829935</v>
      </c>
      <c r="V5" s="152">
        <f t="shared" si="6"/>
        <v>1053.2565943555396</v>
      </c>
      <c r="W5" s="152">
        <f t="shared" ref="W5:Y5" si="7">IF(W32=0,0,W32*W142)</f>
        <v>1092.0843082622</v>
      </c>
      <c r="X5" s="152">
        <f t="shared" si="7"/>
        <v>1102.6301820383978</v>
      </c>
      <c r="Y5" s="152">
        <f t="shared" si="7"/>
        <v>1186.4082731052504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55700</v>
      </c>
      <c r="C6" s="116">
        <f t="shared" si="8"/>
        <v>57000</v>
      </c>
      <c r="D6" s="116">
        <f t="shared" si="8"/>
        <v>58300</v>
      </c>
      <c r="E6" s="116">
        <f t="shared" si="8"/>
        <v>59590</v>
      </c>
      <c r="F6" s="116">
        <f t="shared" si="8"/>
        <v>60940</v>
      </c>
      <c r="G6" s="116">
        <f t="shared" si="8"/>
        <v>61910</v>
      </c>
      <c r="H6" s="116">
        <f t="shared" si="8"/>
        <v>62455</v>
      </c>
      <c r="I6" s="116">
        <f t="shared" si="8"/>
        <v>63785</v>
      </c>
      <c r="J6" s="116">
        <f t="shared" si="8"/>
        <v>63400</v>
      </c>
      <c r="K6" s="116">
        <f t="shared" si="8"/>
        <v>64330</v>
      </c>
      <c r="L6" s="116">
        <f t="shared" ref="L6" si="9">SUM(L7:L12)</f>
        <v>64745.000000000007</v>
      </c>
      <c r="M6" s="116">
        <f t="shared" ref="M6:V6" si="10">SUM(M7:M12)</f>
        <v>65489.999999999993</v>
      </c>
      <c r="N6" s="116">
        <f t="shared" si="10"/>
        <v>65269.999999999993</v>
      </c>
      <c r="O6" s="116">
        <f t="shared" si="10"/>
        <v>65114.999999999993</v>
      </c>
      <c r="P6" s="116">
        <f t="shared" si="10"/>
        <v>65519.999999999993</v>
      </c>
      <c r="Q6" s="116">
        <f t="shared" si="10"/>
        <v>66295.000000000015</v>
      </c>
      <c r="R6" s="116">
        <f t="shared" si="10"/>
        <v>57006</v>
      </c>
      <c r="S6" s="116">
        <f t="shared" si="10"/>
        <v>66607.000000000015</v>
      </c>
      <c r="T6" s="116">
        <f t="shared" si="10"/>
        <v>66800</v>
      </c>
      <c r="U6" s="116">
        <f t="shared" si="10"/>
        <v>66800</v>
      </c>
      <c r="V6" s="116">
        <f t="shared" si="10"/>
        <v>64099.999999999993</v>
      </c>
      <c r="W6" s="116">
        <f t="shared" ref="W6:Y6" si="11">SUM(W7:W12)</f>
        <v>63600</v>
      </c>
      <c r="X6" s="116">
        <f t="shared" si="11"/>
        <v>60599.999999999993</v>
      </c>
      <c r="Y6" s="116">
        <f t="shared" si="11"/>
        <v>61000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45796.245201469406</v>
      </c>
      <c r="C7" s="87">
        <f t="shared" si="12"/>
        <v>46505.707975777863</v>
      </c>
      <c r="D7" s="87">
        <f t="shared" si="12"/>
        <v>47216.282771984253</v>
      </c>
      <c r="E7" s="87">
        <f t="shared" si="12"/>
        <v>47736.119513307996</v>
      </c>
      <c r="F7" s="87">
        <f t="shared" si="12"/>
        <v>48778.497931085883</v>
      </c>
      <c r="G7" s="87">
        <f t="shared" si="12"/>
        <v>48804.305481344876</v>
      </c>
      <c r="H7" s="87">
        <f t="shared" si="12"/>
        <v>48290.167362718341</v>
      </c>
      <c r="I7" s="87">
        <f t="shared" si="12"/>
        <v>48142.274161831592</v>
      </c>
      <c r="J7" s="87">
        <f t="shared" si="12"/>
        <v>45356.31671284468</v>
      </c>
      <c r="K7" s="87">
        <f t="shared" si="12"/>
        <v>44672.907520111541</v>
      </c>
      <c r="L7" s="87">
        <f t="shared" si="5"/>
        <v>43244.558611827793</v>
      </c>
      <c r="M7" s="87">
        <f t="shared" ref="M7:V7" si="13">IF(M34=0,0,M34*M144)</f>
        <v>41286.496673696267</v>
      </c>
      <c r="N7" s="87">
        <f t="shared" si="13"/>
        <v>39888.151854101394</v>
      </c>
      <c r="O7" s="87">
        <f t="shared" si="13"/>
        <v>39579.180705391409</v>
      </c>
      <c r="P7" s="87">
        <f t="shared" si="13"/>
        <v>38884.351126146859</v>
      </c>
      <c r="Q7" s="87">
        <f t="shared" si="13"/>
        <v>38544.596802294531</v>
      </c>
      <c r="R7" s="87">
        <f t="shared" si="13"/>
        <v>32692.578722530718</v>
      </c>
      <c r="S7" s="87">
        <f t="shared" si="13"/>
        <v>37217.144584319081</v>
      </c>
      <c r="T7" s="87">
        <f t="shared" si="13"/>
        <v>36785.976243170553</v>
      </c>
      <c r="U7" s="87">
        <f t="shared" si="13"/>
        <v>36537.480744163971</v>
      </c>
      <c r="V7" s="87">
        <f t="shared" si="13"/>
        <v>35048.67369065449</v>
      </c>
      <c r="W7" s="87">
        <f t="shared" ref="W7:Y7" si="14">IF(W34=0,0,W34*W144)</f>
        <v>34399.225437934263</v>
      </c>
      <c r="X7" s="87">
        <f t="shared" si="14"/>
        <v>32505.312343334572</v>
      </c>
      <c r="Y7" s="87">
        <f t="shared" si="14"/>
        <v>32631.18004567099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9903.7547985305937</v>
      </c>
      <c r="C8" s="87">
        <f t="shared" si="15"/>
        <v>10494.292024222137</v>
      </c>
      <c r="D8" s="87">
        <f t="shared" si="15"/>
        <v>11083.717228015747</v>
      </c>
      <c r="E8" s="87">
        <f t="shared" si="15"/>
        <v>11853.880486692004</v>
      </c>
      <c r="F8" s="87">
        <f t="shared" si="15"/>
        <v>12161.502068914117</v>
      </c>
      <c r="G8" s="87">
        <f t="shared" si="15"/>
        <v>13105.694518655124</v>
      </c>
      <c r="H8" s="87">
        <f t="shared" si="15"/>
        <v>14164.769396092306</v>
      </c>
      <c r="I8" s="87">
        <f t="shared" si="15"/>
        <v>15640.448591964625</v>
      </c>
      <c r="J8" s="87">
        <f t="shared" si="15"/>
        <v>18039.263654592352</v>
      </c>
      <c r="K8" s="87">
        <f t="shared" si="15"/>
        <v>19649.442189084177</v>
      </c>
      <c r="L8" s="87">
        <f t="shared" ref="L8" si="16">IF(L35=0,0,L35*L145)</f>
        <v>21490.358695492978</v>
      </c>
      <c r="M8" s="87">
        <f t="shared" ref="M8:V8" si="17">IF(M35=0,0,M35*M145)</f>
        <v>24190.202736516891</v>
      </c>
      <c r="N8" s="87">
        <f t="shared" si="17"/>
        <v>25361.508817385547</v>
      </c>
      <c r="O8" s="87">
        <f t="shared" si="17"/>
        <v>25508.286997988056</v>
      </c>
      <c r="P8" s="87">
        <f t="shared" si="17"/>
        <v>26595.653769146149</v>
      </c>
      <c r="Q8" s="87">
        <f t="shared" si="17"/>
        <v>27693.490415974607</v>
      </c>
      <c r="R8" s="87">
        <f t="shared" si="17"/>
        <v>24239.570888022445</v>
      </c>
      <c r="S8" s="87">
        <f t="shared" si="17"/>
        <v>29221.125048787188</v>
      </c>
      <c r="T8" s="87">
        <f t="shared" si="17"/>
        <v>29682.536479557231</v>
      </c>
      <c r="U8" s="87">
        <f t="shared" si="17"/>
        <v>29672.298513213398</v>
      </c>
      <c r="V8" s="87">
        <f t="shared" si="17"/>
        <v>28099.085206573451</v>
      </c>
      <c r="W8" s="87">
        <f t="shared" ref="W8:Y8" si="18">IF(W35=0,0,W35*W145)</f>
        <v>27590.642387398104</v>
      </c>
      <c r="X8" s="87">
        <f t="shared" si="18"/>
        <v>25728.044274513122</v>
      </c>
      <c r="Y8" s="87">
        <f t="shared" si="18"/>
        <v>25397.807628391107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0</v>
      </c>
      <c r="D9" s="87">
        <f t="shared" si="19"/>
        <v>0</v>
      </c>
      <c r="E9" s="87">
        <f t="shared" si="19"/>
        <v>0</v>
      </c>
      <c r="F9" s="87">
        <f t="shared" si="19"/>
        <v>0</v>
      </c>
      <c r="G9" s="87">
        <f t="shared" si="19"/>
        <v>0</v>
      </c>
      <c r="H9" s="87">
        <f t="shared" si="19"/>
        <v>0</v>
      </c>
      <c r="I9" s="87">
        <f t="shared" si="19"/>
        <v>0</v>
      </c>
      <c r="J9" s="87">
        <f t="shared" si="19"/>
        <v>0</v>
      </c>
      <c r="K9" s="87">
        <f t="shared" si="19"/>
        <v>0</v>
      </c>
      <c r="L9" s="87">
        <f t="shared" ref="L9" si="20">IF(L36=0,0,L36*L146)</f>
        <v>0</v>
      </c>
      <c r="M9" s="87">
        <f t="shared" ref="M9:V9" si="21">IF(M36=0,0,M36*M146)</f>
        <v>0</v>
      </c>
      <c r="N9" s="87">
        <f t="shared" si="21"/>
        <v>0</v>
      </c>
      <c r="O9" s="87">
        <f t="shared" si="21"/>
        <v>0</v>
      </c>
      <c r="P9" s="87">
        <f t="shared" si="21"/>
        <v>0</v>
      </c>
      <c r="Q9" s="87">
        <f t="shared" si="21"/>
        <v>0</v>
      </c>
      <c r="R9" s="87">
        <f t="shared" si="21"/>
        <v>0</v>
      </c>
      <c r="S9" s="87">
        <f t="shared" si="21"/>
        <v>0</v>
      </c>
      <c r="T9" s="87">
        <f t="shared" si="21"/>
        <v>0</v>
      </c>
      <c r="U9" s="87">
        <f t="shared" si="21"/>
        <v>0</v>
      </c>
      <c r="V9" s="87">
        <f t="shared" si="21"/>
        <v>0</v>
      </c>
      <c r="W9" s="87">
        <f t="shared" ref="W9:Y9" si="22">IF(W36=0,0,W36*W146)</f>
        <v>0</v>
      </c>
      <c r="X9" s="87">
        <f t="shared" si="22"/>
        <v>0</v>
      </c>
      <c r="Y9" s="87">
        <f t="shared" si="22"/>
        <v>0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6.3241189351456895E-2</v>
      </c>
      <c r="I10" s="87">
        <f t="shared" si="23"/>
        <v>2.2209170185360838</v>
      </c>
      <c r="J10" s="87">
        <f t="shared" si="23"/>
        <v>4.284354054335914</v>
      </c>
      <c r="K10" s="87">
        <f t="shared" si="23"/>
        <v>7.3980622518374695</v>
      </c>
      <c r="L10" s="87">
        <f t="shared" ref="L10" si="24">IF(L37=0,0,L37*L147)</f>
        <v>9.630368604528563</v>
      </c>
      <c r="M10" s="87">
        <f t="shared" ref="M10:V10" si="25">IF(M37=0,0,M37*M147)</f>
        <v>12.188945559436373</v>
      </c>
      <c r="N10" s="87">
        <f t="shared" si="25"/>
        <v>16.082513214693066</v>
      </c>
      <c r="O10" s="87">
        <f t="shared" si="25"/>
        <v>19.50317976739186</v>
      </c>
      <c r="P10" s="87">
        <f t="shared" si="25"/>
        <v>23.69416654729477</v>
      </c>
      <c r="Q10" s="87">
        <f t="shared" si="25"/>
        <v>28.322228760396168</v>
      </c>
      <c r="R10" s="87">
        <f t="shared" si="25"/>
        <v>27.619921624938705</v>
      </c>
      <c r="S10" s="87">
        <f t="shared" si="25"/>
        <v>55.637124522714096</v>
      </c>
      <c r="T10" s="87">
        <f t="shared" si="25"/>
        <v>96.132026322751187</v>
      </c>
      <c r="U10" s="87">
        <f t="shared" si="25"/>
        <v>155.62822755908076</v>
      </c>
      <c r="V10" s="87">
        <f t="shared" si="25"/>
        <v>188.34582770307389</v>
      </c>
      <c r="W10" s="87">
        <f t="shared" ref="W10:Y10" si="26">IF(W37=0,0,W37*W147)</f>
        <v>199.86590975210169</v>
      </c>
      <c r="X10" s="87">
        <f t="shared" si="26"/>
        <v>218.6070736258828</v>
      </c>
      <c r="Y10" s="87">
        <f t="shared" si="26"/>
        <v>220.11692613824829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2.0592364538023502</v>
      </c>
      <c r="O11" s="87">
        <f t="shared" si="29"/>
        <v>4.577634301754097</v>
      </c>
      <c r="P11" s="87">
        <f t="shared" si="29"/>
        <v>8.9184875412221913</v>
      </c>
      <c r="Q11" s="87">
        <f t="shared" si="29"/>
        <v>15.930622760782366</v>
      </c>
      <c r="R11" s="87">
        <f t="shared" si="29"/>
        <v>30.709514701687073</v>
      </c>
      <c r="S11" s="87">
        <f t="shared" si="29"/>
        <v>83.835655490206378</v>
      </c>
      <c r="T11" s="87">
        <f t="shared" si="29"/>
        <v>186.83205115246312</v>
      </c>
      <c r="U11" s="87">
        <f t="shared" si="29"/>
        <v>340.70506214215766</v>
      </c>
      <c r="V11" s="87">
        <f t="shared" si="29"/>
        <v>578.01830651861724</v>
      </c>
      <c r="W11" s="87">
        <f t="shared" ref="W11:Y11" si="30">IF(W38=0,0,W38*W148)</f>
        <v>949.47672950560343</v>
      </c>
      <c r="X11" s="87">
        <f t="shared" si="30"/>
        <v>1223.7649650570768</v>
      </c>
      <c r="Y11" s="87">
        <f t="shared" si="30"/>
        <v>1318.8237968508784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5.6329185246880131E-2</v>
      </c>
      <c r="J12" s="87">
        <f t="shared" si="31"/>
        <v>0.13527850863209712</v>
      </c>
      <c r="K12" s="87">
        <f t="shared" si="31"/>
        <v>0.25222855244377962</v>
      </c>
      <c r="L12" s="87">
        <f t="shared" ref="L12" si="32">IF(L39=0,0,L39*L149)</f>
        <v>0.45232407470689612</v>
      </c>
      <c r="M12" s="87">
        <f t="shared" ref="M12:V12" si="33">IF(M39=0,0,M39*M149)</f>
        <v>1.1116442273996898</v>
      </c>
      <c r="N12" s="87">
        <f t="shared" si="33"/>
        <v>2.1975788445561744</v>
      </c>
      <c r="O12" s="87">
        <f t="shared" si="33"/>
        <v>3.451482551378156</v>
      </c>
      <c r="P12" s="87">
        <f t="shared" si="33"/>
        <v>7.3824506184653069</v>
      </c>
      <c r="Q12" s="87">
        <f t="shared" si="33"/>
        <v>12.659930209686559</v>
      </c>
      <c r="R12" s="87">
        <f t="shared" si="33"/>
        <v>15.52095312021344</v>
      </c>
      <c r="S12" s="87">
        <f t="shared" si="33"/>
        <v>29.25758688080932</v>
      </c>
      <c r="T12" s="87">
        <f t="shared" si="33"/>
        <v>48.523199796999634</v>
      </c>
      <c r="U12" s="87">
        <f t="shared" si="33"/>
        <v>93.887452921392537</v>
      </c>
      <c r="V12" s="87">
        <f t="shared" si="33"/>
        <v>185.87696855036182</v>
      </c>
      <c r="W12" s="87">
        <f t="shared" ref="W12:Y12" si="34">IF(W39=0,0,W39*W149)</f>
        <v>460.7895354099287</v>
      </c>
      <c r="X12" s="87">
        <f t="shared" si="34"/>
        <v>924.27134346933997</v>
      </c>
      <c r="Y12" s="87">
        <f t="shared" si="34"/>
        <v>1432.0716029487785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7699.9999999999991</v>
      </c>
      <c r="C13" s="116">
        <f t="shared" si="35"/>
        <v>7700.0000000000009</v>
      </c>
      <c r="D13" s="116">
        <f t="shared" si="35"/>
        <v>7700</v>
      </c>
      <c r="E13" s="116">
        <f t="shared" si="35"/>
        <v>7670</v>
      </c>
      <c r="F13" s="116">
        <f t="shared" si="35"/>
        <v>7605</v>
      </c>
      <c r="G13" s="116">
        <f t="shared" si="35"/>
        <v>7540</v>
      </c>
      <c r="H13" s="116">
        <f t="shared" si="35"/>
        <v>7540</v>
      </c>
      <c r="I13" s="116">
        <f t="shared" si="35"/>
        <v>7539.9999999999991</v>
      </c>
      <c r="J13" s="116">
        <f t="shared" si="35"/>
        <v>7539.9999999999991</v>
      </c>
      <c r="K13" s="116">
        <f t="shared" si="35"/>
        <v>7540.0000000000009</v>
      </c>
      <c r="L13" s="116">
        <f t="shared" ref="L13" si="36">SUM(L14:L18)</f>
        <v>7540</v>
      </c>
      <c r="M13" s="116">
        <f t="shared" ref="M13:V13" si="37">SUM(M14:M18)</f>
        <v>7540</v>
      </c>
      <c r="N13" s="116">
        <f t="shared" si="37"/>
        <v>7540</v>
      </c>
      <c r="O13" s="116">
        <f t="shared" si="37"/>
        <v>7540</v>
      </c>
      <c r="P13" s="116">
        <f t="shared" si="37"/>
        <v>7540</v>
      </c>
      <c r="Q13" s="116">
        <f t="shared" si="37"/>
        <v>7540.0000000000009</v>
      </c>
      <c r="R13" s="116">
        <f t="shared" si="37"/>
        <v>8255.0000000000018</v>
      </c>
      <c r="S13" s="116">
        <f t="shared" si="37"/>
        <v>8234</v>
      </c>
      <c r="T13" s="116">
        <f t="shared" si="37"/>
        <v>7999.9999999999991</v>
      </c>
      <c r="U13" s="116">
        <f t="shared" si="37"/>
        <v>7900</v>
      </c>
      <c r="V13" s="116">
        <f t="shared" si="37"/>
        <v>6799.9999999999991</v>
      </c>
      <c r="W13" s="116">
        <f t="shared" ref="W13:Y13" si="38">SUM(W14:W18)</f>
        <v>6000</v>
      </c>
      <c r="X13" s="116">
        <f t="shared" si="38"/>
        <v>6799.9999999999991</v>
      </c>
      <c r="Y13" s="116">
        <f t="shared" si="38"/>
        <v>7300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3.9283139514303049</v>
      </c>
      <c r="C14" s="101">
        <f t="shared" si="39"/>
        <v>4.4237736224868378</v>
      </c>
      <c r="D14" s="101">
        <f t="shared" si="39"/>
        <v>4.1901056357458346</v>
      </c>
      <c r="E14" s="101">
        <f t="shared" si="39"/>
        <v>4.0438653220969174</v>
      </c>
      <c r="F14" s="101">
        <f t="shared" si="39"/>
        <v>4.0212853545856868</v>
      </c>
      <c r="G14" s="101">
        <f t="shared" si="39"/>
        <v>4.320761563266597</v>
      </c>
      <c r="H14" s="101">
        <f t="shared" si="39"/>
        <v>3.9751446979567699</v>
      </c>
      <c r="I14" s="101">
        <f t="shared" si="39"/>
        <v>3.9903960643185017</v>
      </c>
      <c r="J14" s="101">
        <f t="shared" si="39"/>
        <v>3.6415581694220203</v>
      </c>
      <c r="K14" s="101">
        <f t="shared" si="39"/>
        <v>3.5834835122991651</v>
      </c>
      <c r="L14" s="101">
        <f t="shared" ref="L14" si="40">IF(L41=0,0,L41*L151)</f>
        <v>3.6829669535362459</v>
      </c>
      <c r="M14" s="101">
        <f t="shared" ref="M14:V14" si="41">IF(M41=0,0,M41*M151)</f>
        <v>3.5548799678672136</v>
      </c>
      <c r="N14" s="101">
        <f t="shared" si="41"/>
        <v>3.5403303654123914</v>
      </c>
      <c r="O14" s="101">
        <f t="shared" si="41"/>
        <v>3.5289694781062928</v>
      </c>
      <c r="P14" s="101">
        <f t="shared" si="41"/>
        <v>3.5163621208792533</v>
      </c>
      <c r="Q14" s="101">
        <f t="shared" si="41"/>
        <v>3.506532160712458</v>
      </c>
      <c r="R14" s="101">
        <f t="shared" si="41"/>
        <v>3.5144180249868913</v>
      </c>
      <c r="S14" s="101">
        <f t="shared" si="41"/>
        <v>3.517028518838178</v>
      </c>
      <c r="T14" s="101">
        <f t="shared" si="41"/>
        <v>3.2777909178505422</v>
      </c>
      <c r="U14" s="101">
        <f t="shared" si="41"/>
        <v>3.0360627352813188</v>
      </c>
      <c r="V14" s="101">
        <f t="shared" si="41"/>
        <v>2.4690112272703288</v>
      </c>
      <c r="W14" s="101">
        <f t="shared" ref="W14:Y14" si="42">IF(W41=0,0,W41*W151)</f>
        <v>2.0980598727280415</v>
      </c>
      <c r="X14" s="101">
        <f t="shared" si="42"/>
        <v>2.3271459679429238</v>
      </c>
      <c r="Y14" s="101">
        <f t="shared" si="42"/>
        <v>2.3763604697655931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7608.8525028283075</v>
      </c>
      <c r="C15" s="101">
        <f t="shared" si="43"/>
        <v>7608.8532938706012</v>
      </c>
      <c r="D15" s="101">
        <f t="shared" si="43"/>
        <v>7567.1167141084125</v>
      </c>
      <c r="E15" s="101">
        <f t="shared" si="43"/>
        <v>7540.1656065090856</v>
      </c>
      <c r="F15" s="101">
        <f t="shared" si="43"/>
        <v>7482.3558045522068</v>
      </c>
      <c r="G15" s="101">
        <f t="shared" si="43"/>
        <v>7420.5485376991564</v>
      </c>
      <c r="H15" s="101">
        <f t="shared" si="43"/>
        <v>7387.4041090726951</v>
      </c>
      <c r="I15" s="101">
        <f t="shared" si="43"/>
        <v>7388.632529747325</v>
      </c>
      <c r="J15" s="101">
        <f t="shared" si="43"/>
        <v>7401.5605909367505</v>
      </c>
      <c r="K15" s="101">
        <f t="shared" si="43"/>
        <v>7408.4773902991783</v>
      </c>
      <c r="L15" s="101">
        <f t="shared" ref="L15" si="44">IF(L42=0,0,L42*L152)</f>
        <v>7420.0846344265856</v>
      </c>
      <c r="M15" s="101">
        <f t="shared" ref="M15:V15" si="45">IF(M42=0,0,M42*M152)</f>
        <v>7431.0525790929978</v>
      </c>
      <c r="N15" s="101">
        <f t="shared" si="45"/>
        <v>7437.0355237132298</v>
      </c>
      <c r="O15" s="101">
        <f t="shared" si="45"/>
        <v>7446.8801544282032</v>
      </c>
      <c r="P15" s="101">
        <f t="shared" si="45"/>
        <v>7444.4518326923762</v>
      </c>
      <c r="Q15" s="101">
        <f t="shared" si="45"/>
        <v>7446.9990044286451</v>
      </c>
      <c r="R15" s="101">
        <f t="shared" si="45"/>
        <v>8159.4623138461693</v>
      </c>
      <c r="S15" s="101">
        <f t="shared" si="45"/>
        <v>8144.3243648582375</v>
      </c>
      <c r="T15" s="101">
        <f t="shared" si="45"/>
        <v>7913.734849257823</v>
      </c>
      <c r="U15" s="101">
        <f t="shared" si="45"/>
        <v>7800.8569251305325</v>
      </c>
      <c r="V15" s="101">
        <f t="shared" si="45"/>
        <v>6718.2667669117809</v>
      </c>
      <c r="W15" s="101">
        <f t="shared" ref="W15:Y15" si="46">IF(W42=0,0,W42*W152)</f>
        <v>5842.6528828121773</v>
      </c>
      <c r="X15" s="101">
        <f t="shared" si="46"/>
        <v>6501.5309301544148</v>
      </c>
      <c r="Y15" s="101">
        <f t="shared" si="46"/>
        <v>6935.0648062982709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:Y16" si="50">IF(W43=0,0,W43*W153)</f>
        <v>0</v>
      </c>
      <c r="X16" s="101">
        <f t="shared" si="50"/>
        <v>0</v>
      </c>
      <c r="Y16" s="101">
        <f t="shared" si="50"/>
        <v>0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87.219183220261201</v>
      </c>
      <c r="C17" s="101">
        <f t="shared" si="51"/>
        <v>86.722932506913168</v>
      </c>
      <c r="D17" s="101">
        <f t="shared" si="51"/>
        <v>128.69318025584212</v>
      </c>
      <c r="E17" s="101">
        <f t="shared" si="51"/>
        <v>125.79052816881718</v>
      </c>
      <c r="F17" s="101">
        <f t="shared" si="51"/>
        <v>118.62291009320738</v>
      </c>
      <c r="G17" s="101">
        <f t="shared" si="51"/>
        <v>115.13070073757673</v>
      </c>
      <c r="H17" s="101">
        <f t="shared" si="51"/>
        <v>148.6207462293479</v>
      </c>
      <c r="I17" s="101">
        <f t="shared" si="51"/>
        <v>147.37707418835558</v>
      </c>
      <c r="J17" s="101">
        <f t="shared" si="51"/>
        <v>134.79785089382688</v>
      </c>
      <c r="K17" s="101">
        <f t="shared" si="51"/>
        <v>127.93912618852298</v>
      </c>
      <c r="L17" s="101">
        <f t="shared" ref="L17" si="52">IF(L44=0,0,L44*L154)</f>
        <v>116.23239861987838</v>
      </c>
      <c r="M17" s="101">
        <f t="shared" ref="M17:V17" si="53">IF(M44=0,0,M44*M154)</f>
        <v>105.3925409391349</v>
      </c>
      <c r="N17" s="101">
        <f t="shared" si="53"/>
        <v>95.796918524106331</v>
      </c>
      <c r="O17" s="101">
        <f t="shared" si="53"/>
        <v>87.842601646769879</v>
      </c>
      <c r="P17" s="101">
        <f t="shared" si="53"/>
        <v>89.23985818520579</v>
      </c>
      <c r="Q17" s="101">
        <f t="shared" si="53"/>
        <v>86.256147878984763</v>
      </c>
      <c r="R17" s="101">
        <f t="shared" si="53"/>
        <v>83.191359781618104</v>
      </c>
      <c r="S17" s="101">
        <f t="shared" si="53"/>
        <v>73.312765489306003</v>
      </c>
      <c r="T17" s="101">
        <f t="shared" si="53"/>
        <v>70.48292873615371</v>
      </c>
      <c r="U17" s="101">
        <f t="shared" si="53"/>
        <v>62.857715602164028</v>
      </c>
      <c r="V17" s="101">
        <f t="shared" si="53"/>
        <v>38.018102839027442</v>
      </c>
      <c r="W17" s="101">
        <f t="shared" ref="W17:Y17" si="54">IF(W44=0,0,W44*W154)</f>
        <v>31.841237682996855</v>
      </c>
      <c r="X17" s="101">
        <f t="shared" si="54"/>
        <v>35.975783686330068</v>
      </c>
      <c r="Y17" s="101">
        <f t="shared" si="54"/>
        <v>41.119945620321602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3.6272273972514815</v>
      </c>
      <c r="O18" s="101">
        <f t="shared" si="57"/>
        <v>1.7482744469208797</v>
      </c>
      <c r="P18" s="101">
        <f t="shared" si="57"/>
        <v>2.7919470015386865</v>
      </c>
      <c r="Q18" s="101">
        <f t="shared" si="57"/>
        <v>3.2383155316585603</v>
      </c>
      <c r="R18" s="101">
        <f t="shared" si="57"/>
        <v>8.8319083472261006</v>
      </c>
      <c r="S18" s="101">
        <f t="shared" si="57"/>
        <v>12.845841133618354</v>
      </c>
      <c r="T18" s="101">
        <f t="shared" si="57"/>
        <v>12.504431088172391</v>
      </c>
      <c r="U18" s="101">
        <f t="shared" si="57"/>
        <v>33.249296532022157</v>
      </c>
      <c r="V18" s="101">
        <f t="shared" si="57"/>
        <v>41.24611902192099</v>
      </c>
      <c r="W18" s="101">
        <f t="shared" ref="W18:Y18" si="58">IF(W45=0,0,W45*W155)</f>
        <v>123.4078196320982</v>
      </c>
      <c r="X18" s="101">
        <f t="shared" si="58"/>
        <v>260.1661401913118</v>
      </c>
      <c r="Y18" s="101">
        <f t="shared" si="58"/>
        <v>321.43888761164209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29673.365104731136</v>
      </c>
      <c r="C19" s="29">
        <f t="shared" si="59"/>
        <v>28717.364555368276</v>
      </c>
      <c r="D19" s="29">
        <f t="shared" si="59"/>
        <v>30177.998253873466</v>
      </c>
      <c r="E19" s="29">
        <f t="shared" si="59"/>
        <v>29034.197630347076</v>
      </c>
      <c r="F19" s="29">
        <f t="shared" si="59"/>
        <v>29707.404326057713</v>
      </c>
      <c r="G19" s="29">
        <f t="shared" si="59"/>
        <v>30265.686719541362</v>
      </c>
      <c r="H19" s="29">
        <f t="shared" si="59"/>
        <v>28002.873791659691</v>
      </c>
      <c r="I19" s="29">
        <f t="shared" si="59"/>
        <v>28597.637155620479</v>
      </c>
      <c r="J19" s="29">
        <f t="shared" si="59"/>
        <v>30388.648402345927</v>
      </c>
      <c r="K19" s="29">
        <f t="shared" si="59"/>
        <v>27104.310419571553</v>
      </c>
      <c r="L19" s="29">
        <f t="shared" ref="L19" si="60">L20+L26</f>
        <v>28279.252187824852</v>
      </c>
      <c r="M19" s="29">
        <f t="shared" ref="M19:V19" si="61">M20+M26</f>
        <v>26478.660789144324</v>
      </c>
      <c r="N19" s="29">
        <f t="shared" si="61"/>
        <v>24921.977704232224</v>
      </c>
      <c r="O19" s="29">
        <f t="shared" si="61"/>
        <v>23902.152555786968</v>
      </c>
      <c r="P19" s="29">
        <f t="shared" si="61"/>
        <v>23535.973532673983</v>
      </c>
      <c r="Q19" s="29">
        <f t="shared" si="61"/>
        <v>24886.060189721615</v>
      </c>
      <c r="R19" s="29">
        <f t="shared" si="61"/>
        <v>27897.215638651694</v>
      </c>
      <c r="S19" s="29">
        <f t="shared" si="61"/>
        <v>29728.492446624728</v>
      </c>
      <c r="T19" s="29">
        <f t="shared" si="61"/>
        <v>29598.326567398344</v>
      </c>
      <c r="U19" s="29">
        <f t="shared" si="61"/>
        <v>30196.339096674925</v>
      </c>
      <c r="V19" s="29">
        <f t="shared" si="61"/>
        <v>31398.681197613019</v>
      </c>
      <c r="W19" s="29">
        <f t="shared" ref="W19:Y19" si="62">W20+W26</f>
        <v>31553.435713158211</v>
      </c>
      <c r="X19" s="29">
        <f t="shared" si="62"/>
        <v>32893.650568640325</v>
      </c>
      <c r="Y19" s="29">
        <f t="shared" si="62"/>
        <v>30310.201174478676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1234.9165061019005</v>
      </c>
      <c r="C20" s="152">
        <f t="shared" si="63"/>
        <v>1267.1331579492676</v>
      </c>
      <c r="D20" s="152">
        <f t="shared" si="63"/>
        <v>1289.3990422072097</v>
      </c>
      <c r="E20" s="152">
        <f t="shared" si="63"/>
        <v>1307.6732222143214</v>
      </c>
      <c r="F20" s="152">
        <f t="shared" si="63"/>
        <v>1413.2964971939939</v>
      </c>
      <c r="G20" s="152">
        <f t="shared" si="63"/>
        <v>1456.7228767938839</v>
      </c>
      <c r="H20" s="152">
        <f t="shared" si="63"/>
        <v>1479.2165535891631</v>
      </c>
      <c r="I20" s="152">
        <f t="shared" si="63"/>
        <v>1547.6169883281302</v>
      </c>
      <c r="J20" s="152">
        <f t="shared" si="63"/>
        <v>1674.327509073124</v>
      </c>
      <c r="K20" s="152">
        <f t="shared" si="63"/>
        <v>1707.2402863589411</v>
      </c>
      <c r="L20" s="152">
        <f t="shared" ref="L20" si="64">SUM(L21:L25)</f>
        <v>1790.4882318498189</v>
      </c>
      <c r="M20" s="152">
        <f t="shared" ref="M20:V20" si="65">SUM(M21:M25)</f>
        <v>1883.4257895899416</v>
      </c>
      <c r="N20" s="152">
        <f t="shared" si="65"/>
        <v>1927.9086667836027</v>
      </c>
      <c r="O20" s="152">
        <f t="shared" si="65"/>
        <v>2008.8120603386824</v>
      </c>
      <c r="P20" s="152">
        <f t="shared" si="65"/>
        <v>2050.3119810771241</v>
      </c>
      <c r="Q20" s="152">
        <f t="shared" si="65"/>
        <v>2109.4553699263715</v>
      </c>
      <c r="R20" s="152">
        <f t="shared" si="65"/>
        <v>2183.9215717845127</v>
      </c>
      <c r="S20" s="152">
        <f t="shared" si="65"/>
        <v>2264.6349779834113</v>
      </c>
      <c r="T20" s="152">
        <f t="shared" si="65"/>
        <v>2342.3265673983451</v>
      </c>
      <c r="U20" s="152">
        <f t="shared" si="65"/>
        <v>2414.3390966749257</v>
      </c>
      <c r="V20" s="152">
        <f t="shared" si="65"/>
        <v>2456.6811976130189</v>
      </c>
      <c r="W20" s="152">
        <f t="shared" ref="W20:Y20" si="66">SUM(W21:W25)</f>
        <v>2528.4357131582096</v>
      </c>
      <c r="X20" s="152">
        <f t="shared" si="66"/>
        <v>2552.6505686403252</v>
      </c>
      <c r="Y20" s="152">
        <f t="shared" si="66"/>
        <v>2586.2011744786746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113.01254163493702</v>
      </c>
      <c r="C21" s="87">
        <f t="shared" si="67"/>
        <v>106.7228829520588</v>
      </c>
      <c r="D21" s="87">
        <f t="shared" si="67"/>
        <v>100.65850454245141</v>
      </c>
      <c r="E21" s="87">
        <f t="shared" si="67"/>
        <v>93.168392781944064</v>
      </c>
      <c r="F21" s="87">
        <f t="shared" si="67"/>
        <v>87.577962876737317</v>
      </c>
      <c r="G21" s="87">
        <f t="shared" si="67"/>
        <v>84.374646512444741</v>
      </c>
      <c r="H21" s="87">
        <f t="shared" si="67"/>
        <v>78.204978190645818</v>
      </c>
      <c r="I21" s="87">
        <f t="shared" si="67"/>
        <v>74.207382127986946</v>
      </c>
      <c r="J21" s="87">
        <f t="shared" si="67"/>
        <v>74.776794987957231</v>
      </c>
      <c r="K21" s="87">
        <f t="shared" si="67"/>
        <v>72.332564516373594</v>
      </c>
      <c r="L21" s="87">
        <f t="shared" ref="L21" si="68">IF(L48=0,0,L48*L158)</f>
        <v>72.062137014861676</v>
      </c>
      <c r="M21" s="87">
        <f t="shared" ref="M21:V21" si="69">IF(M48=0,0,M48*M158)</f>
        <v>71.548800879160254</v>
      </c>
      <c r="N21" s="87">
        <f t="shared" si="69"/>
        <v>70.112606070625759</v>
      </c>
      <c r="O21" s="87">
        <f t="shared" si="69"/>
        <v>68.173465217498787</v>
      </c>
      <c r="P21" s="87">
        <f t="shared" si="69"/>
        <v>66.817194148091943</v>
      </c>
      <c r="Q21" s="87">
        <f t="shared" si="69"/>
        <v>65.942984635857499</v>
      </c>
      <c r="R21" s="87">
        <f t="shared" si="69"/>
        <v>65.482144609548357</v>
      </c>
      <c r="S21" s="87">
        <f t="shared" si="69"/>
        <v>65.010131706834841</v>
      </c>
      <c r="T21" s="87">
        <f t="shared" si="69"/>
        <v>64.639120241172876</v>
      </c>
      <c r="U21" s="87">
        <f t="shared" si="69"/>
        <v>64.424496112778314</v>
      </c>
      <c r="V21" s="87">
        <f t="shared" si="69"/>
        <v>63.504195808579098</v>
      </c>
      <c r="W21" s="87">
        <f t="shared" ref="W21:Y21" si="70">IF(W48=0,0,W48*W158)</f>
        <v>64.949442310775098</v>
      </c>
      <c r="X21" s="87">
        <f t="shared" si="70"/>
        <v>64.513063016685038</v>
      </c>
      <c r="Y21" s="87">
        <f t="shared" si="70"/>
        <v>64.33090419527349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1121.5337512863243</v>
      </c>
      <c r="C22" s="87">
        <f t="shared" si="71"/>
        <v>1160.0376079565167</v>
      </c>
      <c r="D22" s="87">
        <f t="shared" si="71"/>
        <v>1188.4078886986933</v>
      </c>
      <c r="E22" s="87">
        <f t="shared" si="71"/>
        <v>1214.1955874106739</v>
      </c>
      <c r="F22" s="87">
        <f t="shared" si="71"/>
        <v>1325.430834217568</v>
      </c>
      <c r="G22" s="87">
        <f t="shared" si="71"/>
        <v>1372.0779023108132</v>
      </c>
      <c r="H22" s="87">
        <f t="shared" si="71"/>
        <v>1400.7516687147477</v>
      </c>
      <c r="I22" s="87">
        <f t="shared" si="71"/>
        <v>1473.1346710271982</v>
      </c>
      <c r="J22" s="87">
        <f t="shared" si="71"/>
        <v>1599.2295259079028</v>
      </c>
      <c r="K22" s="87">
        <f t="shared" si="71"/>
        <v>1634.5253082321308</v>
      </c>
      <c r="L22" s="87">
        <f t="shared" ref="L22" si="72">IF(L49=0,0,L49*L159)</f>
        <v>1717.9729967185042</v>
      </c>
      <c r="M22" s="87">
        <f t="shared" ref="M22:V22" si="73">IF(M49=0,0,M49*M159)</f>
        <v>1811.3391090323412</v>
      </c>
      <c r="N22" s="87">
        <f t="shared" si="73"/>
        <v>1857.1681027052991</v>
      </c>
      <c r="O22" s="87">
        <f t="shared" si="73"/>
        <v>1939.8469155087557</v>
      </c>
      <c r="P22" s="87">
        <f t="shared" si="73"/>
        <v>1982.58225439749</v>
      </c>
      <c r="Q22" s="87">
        <f t="shared" si="73"/>
        <v>2042.4202274747886</v>
      </c>
      <c r="R22" s="87">
        <f t="shared" si="73"/>
        <v>2117.0693709558445</v>
      </c>
      <c r="S22" s="87">
        <f t="shared" si="73"/>
        <v>2197.7903660273714</v>
      </c>
      <c r="T22" s="87">
        <f t="shared" si="73"/>
        <v>2275.2586921079201</v>
      </c>
      <c r="U22" s="87">
        <f t="shared" si="73"/>
        <v>2346.7854209063125</v>
      </c>
      <c r="V22" s="87">
        <f t="shared" si="73"/>
        <v>2389.4951419800418</v>
      </c>
      <c r="W22" s="87">
        <f t="shared" ref="W22:Y22" si="74">IF(W49=0,0,W49*W159)</f>
        <v>2458.7426865307348</v>
      </c>
      <c r="X22" s="87">
        <f t="shared" si="74"/>
        <v>2482.3305190104425</v>
      </c>
      <c r="Y22" s="87">
        <f t="shared" si="74"/>
        <v>2512.2435552873003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:Y23" si="78">IF(W50=0,0,W50*W160)</f>
        <v>0</v>
      </c>
      <c r="X23" s="87">
        <f t="shared" si="78"/>
        <v>0</v>
      </c>
      <c r="Y23" s="87">
        <f t="shared" si="78"/>
        <v>0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1.1709245843966333E-2</v>
      </c>
      <c r="D24" s="87">
        <f t="shared" si="79"/>
        <v>1.1656668547843984E-2</v>
      </c>
      <c r="E24" s="87">
        <f t="shared" si="79"/>
        <v>1.1517021559262637E-2</v>
      </c>
      <c r="F24" s="87">
        <f t="shared" si="79"/>
        <v>1.0901674195392022E-2</v>
      </c>
      <c r="G24" s="87">
        <f t="shared" si="79"/>
        <v>1.5100601422063728E-2</v>
      </c>
      <c r="H24" s="87">
        <f t="shared" si="79"/>
        <v>1.4266307889488083E-2</v>
      </c>
      <c r="I24" s="87">
        <f t="shared" si="79"/>
        <v>3.8749958124976669E-2</v>
      </c>
      <c r="J24" s="87">
        <f t="shared" si="79"/>
        <v>7.1786308985856501E-2</v>
      </c>
      <c r="K24" s="87">
        <f t="shared" si="79"/>
        <v>0.12310130436740299</v>
      </c>
      <c r="L24" s="87">
        <f t="shared" ref="L24" si="80">IF(L51=0,0,L51*L161)</f>
        <v>0.1744250563478569</v>
      </c>
      <c r="M24" s="87">
        <f t="shared" ref="M24:V24" si="81">IF(M51=0,0,M51*M161)</f>
        <v>0.25583466484713657</v>
      </c>
      <c r="N24" s="87">
        <f t="shared" si="81"/>
        <v>0.31438570152827755</v>
      </c>
      <c r="O24" s="87">
        <f t="shared" si="81"/>
        <v>0.46796776176097998</v>
      </c>
      <c r="P24" s="87">
        <f t="shared" si="81"/>
        <v>0.53655688310857752</v>
      </c>
      <c r="Q24" s="87">
        <f t="shared" si="81"/>
        <v>0.61637620109102542</v>
      </c>
      <c r="R24" s="87">
        <f t="shared" si="81"/>
        <v>0.73776065491781018</v>
      </c>
      <c r="S24" s="87">
        <f t="shared" si="81"/>
        <v>1.0995832913399761</v>
      </c>
      <c r="T24" s="87">
        <f t="shared" si="81"/>
        <v>1.5791903045293523</v>
      </c>
      <c r="U24" s="87">
        <f t="shared" si="81"/>
        <v>2.1284824378133163</v>
      </c>
      <c r="V24" s="87">
        <f t="shared" si="81"/>
        <v>2.5870591425810825</v>
      </c>
      <c r="W24" s="87">
        <f t="shared" ref="W24:Y24" si="82">IF(W51=0,0,W51*W161)</f>
        <v>2.7431500033372447</v>
      </c>
      <c r="X24" s="87">
        <f t="shared" si="82"/>
        <v>2.5549791376831315</v>
      </c>
      <c r="Y24" s="87">
        <f t="shared" si="82"/>
        <v>2.5432431975829126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0.37021318063928449</v>
      </c>
      <c r="C25" s="87">
        <f t="shared" si="83"/>
        <v>0.36095779484804347</v>
      </c>
      <c r="D25" s="87">
        <f t="shared" si="83"/>
        <v>0.32099229751699293</v>
      </c>
      <c r="E25" s="87">
        <f t="shared" si="83"/>
        <v>0.29772500014439357</v>
      </c>
      <c r="F25" s="87">
        <f t="shared" si="83"/>
        <v>0.27679842549324368</v>
      </c>
      <c r="G25" s="87">
        <f t="shared" si="83"/>
        <v>0.25522736920377775</v>
      </c>
      <c r="H25" s="87">
        <f t="shared" si="83"/>
        <v>0.24564037588006893</v>
      </c>
      <c r="I25" s="87">
        <f t="shared" si="83"/>
        <v>0.23618521482009025</v>
      </c>
      <c r="J25" s="87">
        <f t="shared" si="83"/>
        <v>0.24940186827832578</v>
      </c>
      <c r="K25" s="87">
        <f t="shared" si="83"/>
        <v>0.25931230606945321</v>
      </c>
      <c r="L25" s="87">
        <f t="shared" ref="L25" si="84">IF(L52=0,0,L52*L162)</f>
        <v>0.27867306010516507</v>
      </c>
      <c r="M25" s="87">
        <f t="shared" ref="M25:V25" si="85">IF(M52=0,0,M52*M162)</f>
        <v>0.28204501359306605</v>
      </c>
      <c r="N25" s="87">
        <f t="shared" si="85"/>
        <v>0.31357230614956211</v>
      </c>
      <c r="O25" s="87">
        <f t="shared" si="85"/>
        <v>0.32371185066700536</v>
      </c>
      <c r="P25" s="87">
        <f t="shared" si="85"/>
        <v>0.37597564843371267</v>
      </c>
      <c r="Q25" s="87">
        <f t="shared" si="85"/>
        <v>0.47578161463449709</v>
      </c>
      <c r="R25" s="87">
        <f t="shared" si="85"/>
        <v>0.63229556420160349</v>
      </c>
      <c r="S25" s="87">
        <f t="shared" si="85"/>
        <v>0.73489695786506015</v>
      </c>
      <c r="T25" s="87">
        <f t="shared" si="85"/>
        <v>0.84956474472282462</v>
      </c>
      <c r="U25" s="87">
        <f t="shared" si="85"/>
        <v>1.0006972180215628</v>
      </c>
      <c r="V25" s="87">
        <f t="shared" si="85"/>
        <v>1.0948006818172398</v>
      </c>
      <c r="W25" s="87">
        <f t="shared" ref="W25:Y25" si="86">IF(W52=0,0,W52*W162)</f>
        <v>2.0004343133626565</v>
      </c>
      <c r="X25" s="87">
        <f t="shared" si="86"/>
        <v>3.2520074755145916</v>
      </c>
      <c r="Y25" s="87">
        <f t="shared" si="86"/>
        <v>7.0834717985182474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28438.448598629235</v>
      </c>
      <c r="C26" s="116">
        <f t="shared" si="87"/>
        <v>27450.231397419007</v>
      </c>
      <c r="D26" s="116">
        <f t="shared" si="87"/>
        <v>28888.599211666256</v>
      </c>
      <c r="E26" s="116">
        <f t="shared" si="87"/>
        <v>27726.524408132755</v>
      </c>
      <c r="F26" s="116">
        <f t="shared" si="87"/>
        <v>28294.107828863718</v>
      </c>
      <c r="G26" s="116">
        <f t="shared" si="87"/>
        <v>28808.963842747478</v>
      </c>
      <c r="H26" s="116">
        <f t="shared" si="87"/>
        <v>26523.657238070529</v>
      </c>
      <c r="I26" s="116">
        <f t="shared" si="87"/>
        <v>27050.02016729235</v>
      </c>
      <c r="J26" s="116">
        <f t="shared" si="87"/>
        <v>28714.320893272801</v>
      </c>
      <c r="K26" s="116">
        <f t="shared" si="87"/>
        <v>25397.070133212612</v>
      </c>
      <c r="L26" s="116">
        <f t="shared" ref="L26" si="88">SUM(L27:L28)</f>
        <v>26488.763955975031</v>
      </c>
      <c r="M26" s="116">
        <f t="shared" ref="M26:V26" si="89">SUM(M27:M28)</f>
        <v>24595.234999554381</v>
      </c>
      <c r="N26" s="116">
        <f t="shared" si="89"/>
        <v>22994.069037448622</v>
      </c>
      <c r="O26" s="116">
        <f t="shared" si="89"/>
        <v>21893.340495448287</v>
      </c>
      <c r="P26" s="116">
        <f t="shared" si="89"/>
        <v>21485.661551596859</v>
      </c>
      <c r="Q26" s="116">
        <f t="shared" si="89"/>
        <v>22776.604819795244</v>
      </c>
      <c r="R26" s="116">
        <f t="shared" si="89"/>
        <v>25713.294066867184</v>
      </c>
      <c r="S26" s="116">
        <f t="shared" si="89"/>
        <v>27463.857468641316</v>
      </c>
      <c r="T26" s="116">
        <f t="shared" si="89"/>
        <v>27256</v>
      </c>
      <c r="U26" s="116">
        <f t="shared" si="89"/>
        <v>27782</v>
      </c>
      <c r="V26" s="116">
        <f t="shared" si="89"/>
        <v>28942</v>
      </c>
      <c r="W26" s="116">
        <f t="shared" ref="W26:Y26" si="90">SUM(W27:W28)</f>
        <v>29025</v>
      </c>
      <c r="X26" s="116">
        <f t="shared" si="90"/>
        <v>30341</v>
      </c>
      <c r="Y26" s="116">
        <f t="shared" si="90"/>
        <v>27724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27716.999999999996</v>
      </c>
      <c r="C27" s="101">
        <f t="shared" si="91"/>
        <v>26678</v>
      </c>
      <c r="D27" s="101">
        <f t="shared" si="91"/>
        <v>28070.999999999996</v>
      </c>
      <c r="E27" s="101">
        <f t="shared" si="91"/>
        <v>26896</v>
      </c>
      <c r="F27" s="101">
        <f t="shared" si="91"/>
        <v>27331</v>
      </c>
      <c r="G27" s="101">
        <f t="shared" si="91"/>
        <v>27815</v>
      </c>
      <c r="H27" s="101">
        <f t="shared" si="91"/>
        <v>25465</v>
      </c>
      <c r="I27" s="101">
        <f t="shared" si="91"/>
        <v>25964</v>
      </c>
      <c r="J27" s="101">
        <f t="shared" si="91"/>
        <v>27615</v>
      </c>
      <c r="K27" s="101">
        <f t="shared" si="91"/>
        <v>24394</v>
      </c>
      <c r="L27" s="101">
        <f t="shared" ref="L27:V27" si="92">IF(L54=0,0,L54*L164)</f>
        <v>25156</v>
      </c>
      <c r="M27" s="101">
        <f t="shared" si="92"/>
        <v>23732</v>
      </c>
      <c r="N27" s="101">
        <f t="shared" si="92"/>
        <v>21928</v>
      </c>
      <c r="O27" s="101">
        <f t="shared" si="92"/>
        <v>20968</v>
      </c>
      <c r="P27" s="101">
        <f t="shared" si="92"/>
        <v>20298</v>
      </c>
      <c r="Q27" s="101">
        <f t="shared" si="92"/>
        <v>21434</v>
      </c>
      <c r="R27" s="101">
        <f t="shared" si="92"/>
        <v>24586</v>
      </c>
      <c r="S27" s="101">
        <f t="shared" si="92"/>
        <v>26330</v>
      </c>
      <c r="T27" s="101">
        <f t="shared" si="92"/>
        <v>25970</v>
      </c>
      <c r="U27" s="101">
        <f t="shared" si="92"/>
        <v>26711</v>
      </c>
      <c r="V27" s="101">
        <f t="shared" si="92"/>
        <v>27862</v>
      </c>
      <c r="W27" s="101">
        <f t="shared" ref="W27:Y27" si="93">IF(W54=0,0,W54*W164)</f>
        <v>27652</v>
      </c>
      <c r="X27" s="101">
        <f t="shared" si="93"/>
        <v>29005</v>
      </c>
      <c r="Y27" s="101">
        <f t="shared" si="93"/>
        <v>26472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721.4485986292384</v>
      </c>
      <c r="C28" s="88">
        <f t="shared" si="94"/>
        <v>772.23139741900741</v>
      </c>
      <c r="D28" s="88">
        <f t="shared" si="94"/>
        <v>817.59921166626009</v>
      </c>
      <c r="E28" s="88">
        <f t="shared" si="94"/>
        <v>830.52440813275462</v>
      </c>
      <c r="F28" s="88">
        <f t="shared" si="94"/>
        <v>963.10782886371828</v>
      </c>
      <c r="G28" s="88">
        <f t="shared" si="94"/>
        <v>993.96384274747834</v>
      </c>
      <c r="H28" s="88">
        <f t="shared" si="94"/>
        <v>1058.6572380705293</v>
      </c>
      <c r="I28" s="88">
        <f t="shared" si="94"/>
        <v>1086.0201672923504</v>
      </c>
      <c r="J28" s="88">
        <f t="shared" si="94"/>
        <v>1099.3208932728012</v>
      </c>
      <c r="K28" s="88">
        <f t="shared" si="94"/>
        <v>1003.0701332126117</v>
      </c>
      <c r="L28" s="88">
        <f t="shared" ref="L28:V28" si="95">IF(L55=0,0,L55*L165)</f>
        <v>1332.7639559750314</v>
      </c>
      <c r="M28" s="88">
        <f t="shared" si="95"/>
        <v>863.23499955438092</v>
      </c>
      <c r="N28" s="88">
        <f t="shared" si="95"/>
        <v>1066.0690374486221</v>
      </c>
      <c r="O28" s="88">
        <f t="shared" si="95"/>
        <v>925.34049544828667</v>
      </c>
      <c r="P28" s="88">
        <f t="shared" si="95"/>
        <v>1187.6615515968588</v>
      </c>
      <c r="Q28" s="88">
        <f t="shared" si="95"/>
        <v>1342.6048197952441</v>
      </c>
      <c r="R28" s="88">
        <f t="shared" si="95"/>
        <v>1127.2940668671836</v>
      </c>
      <c r="S28" s="88">
        <f t="shared" si="95"/>
        <v>1133.8574686413158</v>
      </c>
      <c r="T28" s="88">
        <f t="shared" si="95"/>
        <v>1286</v>
      </c>
      <c r="U28" s="88">
        <f t="shared" si="95"/>
        <v>1071</v>
      </c>
      <c r="V28" s="88">
        <f t="shared" si="95"/>
        <v>1080</v>
      </c>
      <c r="W28" s="88">
        <f t="shared" ref="W28:Y28" si="96">IF(W55=0,0,W55*W165)</f>
        <v>1373</v>
      </c>
      <c r="X28" s="88">
        <f t="shared" si="96"/>
        <v>1336</v>
      </c>
      <c r="Y28" s="88">
        <f t="shared" si="96"/>
        <v>1252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40006.807362056563</v>
      </c>
      <c r="C30" s="62">
        <f t="shared" ref="C30:V30" si="98">C31+C46</f>
        <v>41028.904180032499</v>
      </c>
      <c r="D30" s="62">
        <f t="shared" si="98"/>
        <v>42146.357108114331</v>
      </c>
      <c r="E30" s="62">
        <f t="shared" si="98"/>
        <v>43114.459318271489</v>
      </c>
      <c r="F30" s="62">
        <f t="shared" si="98"/>
        <v>44408.547102802855</v>
      </c>
      <c r="G30" s="62">
        <f t="shared" si="98"/>
        <v>45315.372389405617</v>
      </c>
      <c r="H30" s="62">
        <f t="shared" si="98"/>
        <v>45644.358924194661</v>
      </c>
      <c r="I30" s="62">
        <f t="shared" si="98"/>
        <v>46802.685620783537</v>
      </c>
      <c r="J30" s="62">
        <f t="shared" si="98"/>
        <v>47028.492574393313</v>
      </c>
      <c r="K30" s="62">
        <f t="shared" si="98"/>
        <v>47465.313887079647</v>
      </c>
      <c r="L30" s="62">
        <f t="shared" si="98"/>
        <v>48524.597832754545</v>
      </c>
      <c r="M30" s="62">
        <f t="shared" si="98"/>
        <v>49186.956989946913</v>
      </c>
      <c r="N30" s="62">
        <f t="shared" si="98"/>
        <v>48954.617795185157</v>
      </c>
      <c r="O30" s="62">
        <f t="shared" si="98"/>
        <v>49116.936835450411</v>
      </c>
      <c r="P30" s="62">
        <f t="shared" si="98"/>
        <v>49404.79628963273</v>
      </c>
      <c r="Q30" s="62">
        <f t="shared" si="98"/>
        <v>49972.357184152766</v>
      </c>
      <c r="R30" s="62">
        <f t="shared" si="98"/>
        <v>48416.237735296578</v>
      </c>
      <c r="S30" s="62">
        <f t="shared" si="98"/>
        <v>51016.269670320908</v>
      </c>
      <c r="T30" s="62">
        <f t="shared" si="98"/>
        <v>51212.404896625158</v>
      </c>
      <c r="U30" s="62">
        <f t="shared" si="98"/>
        <v>51453.439399533461</v>
      </c>
      <c r="V30" s="62">
        <f t="shared" si="98"/>
        <v>49721.099709129092</v>
      </c>
      <c r="W30" s="62">
        <f t="shared" ref="W30:Y30" si="99">W31+W46</f>
        <v>49582.885164275438</v>
      </c>
      <c r="X30" s="62">
        <f t="shared" si="99"/>
        <v>49359.074622984845</v>
      </c>
      <c r="Y30" s="62">
        <f t="shared" si="99"/>
        <v>49602.469198323655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34014.812862153492</v>
      </c>
      <c r="C31" s="29">
        <f t="shared" ref="C31:V31" si="101">C32+C33+C40</f>
        <v>34874.968005260889</v>
      </c>
      <c r="D31" s="29">
        <f t="shared" si="101"/>
        <v>35876.959567279337</v>
      </c>
      <c r="E31" s="29">
        <f t="shared" si="101"/>
        <v>36778.735741468874</v>
      </c>
      <c r="F31" s="29">
        <f t="shared" si="101"/>
        <v>37755.394749465413</v>
      </c>
      <c r="G31" s="29">
        <f t="shared" si="101"/>
        <v>38450.259600521014</v>
      </c>
      <c r="H31" s="29">
        <f t="shared" si="101"/>
        <v>38848.553132706438</v>
      </c>
      <c r="I31" s="29">
        <f t="shared" si="101"/>
        <v>39810.995479602745</v>
      </c>
      <c r="J31" s="29">
        <f t="shared" si="101"/>
        <v>39561.335012031712</v>
      </c>
      <c r="K31" s="29">
        <f t="shared" si="101"/>
        <v>40251.973669821455</v>
      </c>
      <c r="L31" s="29">
        <f t="shared" si="101"/>
        <v>40848.243947296636</v>
      </c>
      <c r="M31" s="29">
        <f t="shared" si="101"/>
        <v>41401.044314263119</v>
      </c>
      <c r="N31" s="29">
        <f t="shared" si="101"/>
        <v>41262.059620139771</v>
      </c>
      <c r="O31" s="29">
        <f t="shared" si="101"/>
        <v>41170.764597830734</v>
      </c>
      <c r="P31" s="29">
        <f t="shared" si="101"/>
        <v>41484.52523328871</v>
      </c>
      <c r="Q31" s="29">
        <f t="shared" si="101"/>
        <v>42058.836217321063</v>
      </c>
      <c r="R31" s="29">
        <f t="shared" si="101"/>
        <v>40044.291659779803</v>
      </c>
      <c r="S31" s="29">
        <f t="shared" si="101"/>
        <v>42333.376923772914</v>
      </c>
      <c r="T31" s="29">
        <f t="shared" si="101"/>
        <v>42369.964861635839</v>
      </c>
      <c r="U31" s="29">
        <f t="shared" si="101"/>
        <v>42420.482971092286</v>
      </c>
      <c r="V31" s="29">
        <f t="shared" si="101"/>
        <v>40679.675425839348</v>
      </c>
      <c r="W31" s="29">
        <f t="shared" ref="W31:Y31" si="102">W32+W33+W40</f>
        <v>40254.487659457729</v>
      </c>
      <c r="X31" s="29">
        <f t="shared" si="102"/>
        <v>39939.403565395856</v>
      </c>
      <c r="Y31" s="29">
        <f t="shared" si="102"/>
        <v>40260.59950251213</v>
      </c>
      <c r="DA31" s="173" t="s">
        <v>475</v>
      </c>
    </row>
    <row r="32" spans="1:105" ht="11.45" customHeight="1" x14ac:dyDescent="0.25">
      <c r="A32" s="136" t="s">
        <v>173</v>
      </c>
      <c r="B32" s="152">
        <v>844.73997701679491</v>
      </c>
      <c r="C32" s="152">
        <v>844.72377471150946</v>
      </c>
      <c r="D32" s="152">
        <v>844.57699285263232</v>
      </c>
      <c r="E32" s="152">
        <v>844.93168945795537</v>
      </c>
      <c r="F32" s="152">
        <v>845.04484119138294</v>
      </c>
      <c r="G32" s="152">
        <v>844.27963060788579</v>
      </c>
      <c r="H32" s="152">
        <v>844.5151380772113</v>
      </c>
      <c r="I32" s="152">
        <v>845.87064233951355</v>
      </c>
      <c r="J32" s="152">
        <v>846.31580366861806</v>
      </c>
      <c r="K32" s="152">
        <v>846.72194281392035</v>
      </c>
      <c r="L32" s="152">
        <v>1127.0230423425471</v>
      </c>
      <c r="M32" s="152">
        <v>1126.0357676729006</v>
      </c>
      <c r="N32" s="152">
        <v>1123.9613892182472</v>
      </c>
      <c r="O32" s="152">
        <v>1123.4031111145816</v>
      </c>
      <c r="P32" s="152">
        <v>1123.8120539360646</v>
      </c>
      <c r="Q32" s="152">
        <v>1123.8362173210592</v>
      </c>
      <c r="R32" s="152">
        <v>1153.4316597798042</v>
      </c>
      <c r="S32" s="152">
        <v>1089.3769237729164</v>
      </c>
      <c r="T32" s="152">
        <v>1037.9648616358481</v>
      </c>
      <c r="U32" s="152">
        <v>1101.4829710922936</v>
      </c>
      <c r="V32" s="152">
        <v>986.49142583935657</v>
      </c>
      <c r="W32" s="152">
        <v>1022.4876594577297</v>
      </c>
      <c r="X32" s="152">
        <v>1032.4035653958531</v>
      </c>
      <c r="Y32" s="152">
        <v>1109.599502512129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32815</v>
      </c>
      <c r="C33" s="116">
        <f t="shared" ref="C33:V33" si="104">SUM(C34:C39)</f>
        <v>33680</v>
      </c>
      <c r="D33" s="116">
        <f t="shared" si="104"/>
        <v>34675</v>
      </c>
      <c r="E33" s="116">
        <f t="shared" si="104"/>
        <v>35565</v>
      </c>
      <c r="F33" s="116">
        <f t="shared" si="104"/>
        <v>36530</v>
      </c>
      <c r="G33" s="116">
        <f t="shared" si="104"/>
        <v>37220</v>
      </c>
      <c r="H33" s="116">
        <f t="shared" si="104"/>
        <v>37610.000000000007</v>
      </c>
      <c r="I33" s="116">
        <f t="shared" si="104"/>
        <v>38560</v>
      </c>
      <c r="J33" s="116">
        <f t="shared" si="104"/>
        <v>38285</v>
      </c>
      <c r="K33" s="116">
        <f t="shared" si="104"/>
        <v>38950.000000000007</v>
      </c>
      <c r="L33" s="116">
        <f t="shared" si="104"/>
        <v>39245</v>
      </c>
      <c r="M33" s="116">
        <f t="shared" si="104"/>
        <v>39780</v>
      </c>
      <c r="N33" s="116">
        <f t="shared" si="104"/>
        <v>39619.999999999993</v>
      </c>
      <c r="O33" s="116">
        <f t="shared" si="104"/>
        <v>39510</v>
      </c>
      <c r="P33" s="116">
        <f t="shared" si="104"/>
        <v>39800</v>
      </c>
      <c r="Q33" s="116">
        <f t="shared" si="104"/>
        <v>40355</v>
      </c>
      <c r="R33" s="116">
        <f t="shared" si="104"/>
        <v>38275.86</v>
      </c>
      <c r="S33" s="116">
        <f t="shared" si="104"/>
        <v>40614</v>
      </c>
      <c r="T33" s="116">
        <f t="shared" si="104"/>
        <v>40717.999999999993</v>
      </c>
      <c r="U33" s="116">
        <f t="shared" si="104"/>
        <v>40717.999999999993</v>
      </c>
      <c r="V33" s="116">
        <f t="shared" si="104"/>
        <v>39170.183999999994</v>
      </c>
      <c r="W33" s="116">
        <f t="shared" ref="W33:Y33" si="105">SUM(W34:W39)</f>
        <v>38771</v>
      </c>
      <c r="X33" s="116">
        <f t="shared" si="105"/>
        <v>38385</v>
      </c>
      <c r="Y33" s="116">
        <f t="shared" si="105"/>
        <v>38592</v>
      </c>
      <c r="DA33" s="176" t="s">
        <v>477</v>
      </c>
    </row>
    <row r="34" spans="1:105" ht="11.45" customHeight="1" x14ac:dyDescent="0.25">
      <c r="A34" s="111" t="s">
        <v>110</v>
      </c>
      <c r="B34" s="87">
        <v>27366.32973116904</v>
      </c>
      <c r="C34" s="87">
        <v>27886.457499872755</v>
      </c>
      <c r="D34" s="87">
        <v>28512.780321211234</v>
      </c>
      <c r="E34" s="87">
        <v>28947.072002659843</v>
      </c>
      <c r="F34" s="87">
        <v>29710.242192067148</v>
      </c>
      <c r="G34" s="87">
        <v>29842.066152659743</v>
      </c>
      <c r="H34" s="87">
        <v>29612.823045411016</v>
      </c>
      <c r="I34" s="87">
        <v>29680.833232251396</v>
      </c>
      <c r="J34" s="87">
        <v>28021.541490344061</v>
      </c>
      <c r="K34" s="87">
        <v>27719.84128233204</v>
      </c>
      <c r="L34" s="87">
        <v>26921.417934666755</v>
      </c>
      <c r="M34" s="87">
        <v>25835.280524577822</v>
      </c>
      <c r="N34" s="87">
        <v>24982.816268416325</v>
      </c>
      <c r="O34" s="87">
        <v>24785.737700974376</v>
      </c>
      <c r="P34" s="87">
        <v>24405.951241232942</v>
      </c>
      <c r="Q34" s="87">
        <v>24266.68613296231</v>
      </c>
      <c r="R34" s="87">
        <v>22716.881917553612</v>
      </c>
      <c r="S34" s="87">
        <v>23511.115379580118</v>
      </c>
      <c r="T34" s="87">
        <v>23241.508820529674</v>
      </c>
      <c r="U34" s="87">
        <v>23083.449648270773</v>
      </c>
      <c r="V34" s="87">
        <v>22185.623452393698</v>
      </c>
      <c r="W34" s="87">
        <v>21707.106099219702</v>
      </c>
      <c r="X34" s="87">
        <v>21283.248770979797</v>
      </c>
      <c r="Y34" s="87">
        <v>21310.685445878651</v>
      </c>
      <c r="DA34" s="171" t="s">
        <v>478</v>
      </c>
    </row>
    <row r="35" spans="1:105" ht="11.45" customHeight="1" x14ac:dyDescent="0.25">
      <c r="A35" s="111" t="s">
        <v>111</v>
      </c>
      <c r="B35" s="87">
        <v>5448.6702688309579</v>
      </c>
      <c r="C35" s="87">
        <v>5793.5425001272451</v>
      </c>
      <c r="D35" s="87">
        <v>6162.219678788766</v>
      </c>
      <c r="E35" s="87">
        <v>6617.9279973401581</v>
      </c>
      <c r="F35" s="87">
        <v>6819.7578079328505</v>
      </c>
      <c r="G35" s="87">
        <v>7377.9338473402559</v>
      </c>
      <c r="H35" s="87">
        <v>7997.1376933125121</v>
      </c>
      <c r="I35" s="87">
        <v>8877.7447944296764</v>
      </c>
      <c r="J35" s="87">
        <v>10260.70055891779</v>
      </c>
      <c r="K35" s="87">
        <v>11225.371178237516</v>
      </c>
      <c r="L35" s="87">
        <v>12317.259466793592</v>
      </c>
      <c r="M35" s="87">
        <v>13936.336407747413</v>
      </c>
      <c r="N35" s="87">
        <v>14624.348606481057</v>
      </c>
      <c r="O35" s="87">
        <v>14706.871854279458</v>
      </c>
      <c r="P35" s="87">
        <v>15368.642839533088</v>
      </c>
      <c r="Q35" s="87">
        <v>16051.980618802023</v>
      </c>
      <c r="R35" s="87">
        <v>15507.023102472211</v>
      </c>
      <c r="S35" s="87">
        <v>16995.387855088622</v>
      </c>
      <c r="T35" s="87">
        <v>17265.811974378335</v>
      </c>
      <c r="U35" s="87">
        <v>17259.065050341258</v>
      </c>
      <c r="V35" s="87">
        <v>16375.561297413511</v>
      </c>
      <c r="W35" s="87">
        <v>16029.46552063644</v>
      </c>
      <c r="X35" s="87">
        <v>15509.375700459694</v>
      </c>
      <c r="Y35" s="87">
        <v>15270.90701979641</v>
      </c>
      <c r="DA35" s="171" t="s">
        <v>479</v>
      </c>
    </row>
    <row r="36" spans="1:105" ht="11.45" customHeight="1" x14ac:dyDescent="0.25">
      <c r="A36" s="111" t="s">
        <v>112</v>
      </c>
      <c r="B36" s="87">
        <v>0</v>
      </c>
      <c r="C36" s="87">
        <v>0</v>
      </c>
      <c r="D36" s="87">
        <v>0</v>
      </c>
      <c r="E36" s="87">
        <v>0</v>
      </c>
      <c r="F36" s="87">
        <v>0</v>
      </c>
      <c r="G36" s="87">
        <v>0</v>
      </c>
      <c r="H36" s="87">
        <v>0</v>
      </c>
      <c r="I36" s="87">
        <v>0</v>
      </c>
      <c r="J36" s="87">
        <v>0</v>
      </c>
      <c r="K36" s="87">
        <v>0</v>
      </c>
      <c r="L36" s="87">
        <v>0</v>
      </c>
      <c r="M36" s="87">
        <v>0</v>
      </c>
      <c r="N36" s="87">
        <v>0</v>
      </c>
      <c r="O36" s="87">
        <v>0</v>
      </c>
      <c r="P36" s="87">
        <v>0</v>
      </c>
      <c r="Q36" s="87">
        <v>0</v>
      </c>
      <c r="R36" s="87">
        <v>0</v>
      </c>
      <c r="S36" s="87">
        <v>0</v>
      </c>
      <c r="T36" s="87">
        <v>0</v>
      </c>
      <c r="U36" s="87">
        <v>0</v>
      </c>
      <c r="V36" s="87">
        <v>0</v>
      </c>
      <c r="W36" s="87">
        <v>0</v>
      </c>
      <c r="X36" s="87">
        <v>0</v>
      </c>
      <c r="Y36" s="87">
        <v>0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3.9261276473837148E-2</v>
      </c>
      <c r="I37" s="87">
        <v>1.3841369522574856</v>
      </c>
      <c r="J37" s="87">
        <v>2.6671842168891744</v>
      </c>
      <c r="K37" s="87">
        <v>4.6178535724953882</v>
      </c>
      <c r="L37" s="87">
        <v>6.0179596861712596</v>
      </c>
      <c r="M37" s="87">
        <v>7.6328054232625258</v>
      </c>
      <c r="N37" s="87">
        <v>10.064287654708505</v>
      </c>
      <c r="O37" s="87">
        <v>12.199995608240338</v>
      </c>
      <c r="P37" s="87">
        <v>14.838120233726256</v>
      </c>
      <c r="Q37" s="87">
        <v>17.773471769430877</v>
      </c>
      <c r="R37" s="87">
        <v>19.118556399509519</v>
      </c>
      <c r="S37" s="87">
        <v>34.974284077530484</v>
      </c>
      <c r="T37" s="87">
        <v>60.409652568210738</v>
      </c>
      <c r="U37" s="87">
        <v>97.797243190176076</v>
      </c>
      <c r="V37" s="87">
        <v>118.65385474953281</v>
      </c>
      <c r="W37" s="87">
        <v>125.60787763403253</v>
      </c>
      <c r="X37" s="87">
        <v>142.75173558452437</v>
      </c>
      <c r="Y37" s="87">
        <v>143.56519204879635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1.2886510798072577</v>
      </c>
      <c r="O38" s="87">
        <v>2.8634878539602719</v>
      </c>
      <c r="P38" s="87">
        <v>5.5850704930050989</v>
      </c>
      <c r="Q38" s="87">
        <v>9.9971819415619247</v>
      </c>
      <c r="R38" s="87">
        <v>21.257177945633437</v>
      </c>
      <c r="S38" s="87">
        <v>52.70027982383268</v>
      </c>
      <c r="T38" s="87">
        <v>117.40581916825103</v>
      </c>
      <c r="U38" s="87">
        <v>214.10007902192072</v>
      </c>
      <c r="V38" s="87">
        <v>364.13920616470136</v>
      </c>
      <c r="W38" s="87">
        <v>596.7088484675769</v>
      </c>
      <c r="X38" s="87">
        <v>799.12589200292416</v>
      </c>
      <c r="Y38" s="87">
        <v>860.16643515411715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3.7836366667880775E-2</v>
      </c>
      <c r="J39" s="87">
        <v>9.0766521257971217E-2</v>
      </c>
      <c r="K39" s="87">
        <v>0.16968585794920665</v>
      </c>
      <c r="L39" s="87">
        <v>0.30463885348284531</v>
      </c>
      <c r="M39" s="87">
        <v>0.75026225150505854</v>
      </c>
      <c r="N39" s="87">
        <v>1.4821863681002949</v>
      </c>
      <c r="O39" s="87">
        <v>2.3269612839668441</v>
      </c>
      <c r="P39" s="87">
        <v>4.9827285072398464</v>
      </c>
      <c r="Q39" s="87">
        <v>8.5625945246734059</v>
      </c>
      <c r="R39" s="87">
        <v>11.579245629034231</v>
      </c>
      <c r="S39" s="87">
        <v>19.822201429899593</v>
      </c>
      <c r="T39" s="87">
        <v>32.863733355526129</v>
      </c>
      <c r="U39" s="87">
        <v>63.587979175869265</v>
      </c>
      <c r="V39" s="87">
        <v>126.20618927855583</v>
      </c>
      <c r="W39" s="87">
        <v>312.1116540422492</v>
      </c>
      <c r="X39" s="87">
        <v>650.49790097305856</v>
      </c>
      <c r="Y39" s="87">
        <v>1006.6759071220268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355.07288513669135</v>
      </c>
      <c r="C40" s="116">
        <f t="shared" ref="C40:V40" si="107">SUM(C41:C45)</f>
        <v>350.24423054938177</v>
      </c>
      <c r="D40" s="116">
        <f t="shared" si="107"/>
        <v>357.3825744267001</v>
      </c>
      <c r="E40" s="116">
        <f t="shared" si="107"/>
        <v>368.80405201091742</v>
      </c>
      <c r="F40" s="116">
        <f t="shared" si="107"/>
        <v>380.3499082740297</v>
      </c>
      <c r="G40" s="116">
        <f t="shared" si="107"/>
        <v>385.97996991312436</v>
      </c>
      <c r="H40" s="116">
        <f t="shared" si="107"/>
        <v>394.03799462922484</v>
      </c>
      <c r="I40" s="116">
        <f t="shared" si="107"/>
        <v>405.12483726323086</v>
      </c>
      <c r="J40" s="116">
        <f t="shared" si="107"/>
        <v>430.01920836309677</v>
      </c>
      <c r="K40" s="116">
        <f t="shared" si="107"/>
        <v>455.25172700752341</v>
      </c>
      <c r="L40" s="116">
        <f t="shared" si="107"/>
        <v>476.22090495408929</v>
      </c>
      <c r="M40" s="116">
        <f t="shared" si="107"/>
        <v>495.00854659021843</v>
      </c>
      <c r="N40" s="116">
        <f t="shared" si="107"/>
        <v>518.09823092153192</v>
      </c>
      <c r="O40" s="116">
        <f t="shared" si="107"/>
        <v>537.36148671615376</v>
      </c>
      <c r="P40" s="116">
        <f t="shared" si="107"/>
        <v>560.71317935264301</v>
      </c>
      <c r="Q40" s="116">
        <f t="shared" si="107"/>
        <v>580</v>
      </c>
      <c r="R40" s="116">
        <f t="shared" si="107"/>
        <v>614.99999999999989</v>
      </c>
      <c r="S40" s="116">
        <f t="shared" si="107"/>
        <v>630</v>
      </c>
      <c r="T40" s="116">
        <f t="shared" si="107"/>
        <v>613.99999999999989</v>
      </c>
      <c r="U40" s="116">
        <f t="shared" si="107"/>
        <v>601</v>
      </c>
      <c r="V40" s="116">
        <f t="shared" si="107"/>
        <v>523</v>
      </c>
      <c r="W40" s="116">
        <f t="shared" ref="W40:Y40" si="108">SUM(W41:W45)</f>
        <v>461</v>
      </c>
      <c r="X40" s="116">
        <f t="shared" si="108"/>
        <v>522</v>
      </c>
      <c r="Y40" s="116">
        <f t="shared" si="108"/>
        <v>559</v>
      </c>
      <c r="DA40" s="176" t="s">
        <v>484</v>
      </c>
    </row>
    <row r="41" spans="1:105" ht="11.45" customHeight="1" x14ac:dyDescent="0.25">
      <c r="A41" s="111" t="s">
        <v>110</v>
      </c>
      <c r="B41" s="101">
        <v>0.47098418155693422</v>
      </c>
      <c r="C41" s="101">
        <v>0.52317442729670649</v>
      </c>
      <c r="D41" s="101">
        <v>0.50563947038687584</v>
      </c>
      <c r="E41" s="101">
        <v>0.50555725985619548</v>
      </c>
      <c r="F41" s="101">
        <v>0.52290444983260342</v>
      </c>
      <c r="G41" s="101">
        <v>0.57507842006600862</v>
      </c>
      <c r="H41" s="101">
        <v>0.5401234638427177</v>
      </c>
      <c r="I41" s="101">
        <v>0.55745122626650689</v>
      </c>
      <c r="J41" s="101">
        <v>0.53997929697345681</v>
      </c>
      <c r="K41" s="101">
        <v>0.53992436305032543</v>
      </c>
      <c r="L41" s="101">
        <v>0.55726866976146916</v>
      </c>
      <c r="M41" s="101">
        <v>0.53977554808408446</v>
      </c>
      <c r="N41" s="101">
        <v>0.53970594594566856</v>
      </c>
      <c r="O41" s="101">
        <v>0.53962468177850142</v>
      </c>
      <c r="P41" s="101">
        <v>0.53955117917515549</v>
      </c>
      <c r="Q41" s="101">
        <v>0.53946648626345506</v>
      </c>
      <c r="R41" s="101">
        <v>0.53933052660435132</v>
      </c>
      <c r="S41" s="101">
        <v>0.54085779464267003</v>
      </c>
      <c r="T41" s="101">
        <v>0.50418806571885899</v>
      </c>
      <c r="U41" s="101">
        <v>0.46668682912475301</v>
      </c>
      <c r="V41" s="101">
        <v>0.37984358361340831</v>
      </c>
      <c r="W41" s="101">
        <v>0.32274944343290601</v>
      </c>
      <c r="X41" s="101">
        <v>0.35796564825597699</v>
      </c>
      <c r="Y41" s="101">
        <v>0.36546625611162625</v>
      </c>
      <c r="DA41" s="175" t="s">
        <v>485</v>
      </c>
    </row>
    <row r="42" spans="1:105" ht="11.45" customHeight="1" x14ac:dyDescent="0.25">
      <c r="A42" s="111" t="s">
        <v>111</v>
      </c>
      <c r="B42" s="101">
        <v>350.58321591277371</v>
      </c>
      <c r="C42" s="101">
        <v>345.77998210057564</v>
      </c>
      <c r="D42" s="101">
        <v>350.90906044409081</v>
      </c>
      <c r="E42" s="101">
        <v>362.25509176719288</v>
      </c>
      <c r="F42" s="101">
        <v>373.89932184834885</v>
      </c>
      <c r="G42" s="101">
        <v>379.51664521540886</v>
      </c>
      <c r="H42" s="101">
        <v>385.73755344149441</v>
      </c>
      <c r="I42" s="101">
        <v>396.65551214086156</v>
      </c>
      <c r="J42" s="101">
        <v>421.79741860972086</v>
      </c>
      <c r="K42" s="101">
        <v>446.99255961024465</v>
      </c>
      <c r="L42" s="101">
        <v>468.32748984314878</v>
      </c>
      <c r="M42" s="101">
        <v>487.55392997778915</v>
      </c>
      <c r="N42" s="101">
        <v>510.73067522043584</v>
      </c>
      <c r="O42" s="101">
        <v>530.44031545493124</v>
      </c>
      <c r="P42" s="101">
        <v>553.33306529349318</v>
      </c>
      <c r="Q42" s="101">
        <v>572.57954705289046</v>
      </c>
      <c r="R42" s="101">
        <v>607.60800295900469</v>
      </c>
      <c r="S42" s="101">
        <v>622.86981776274627</v>
      </c>
      <c r="T42" s="101">
        <v>607.12915365048025</v>
      </c>
      <c r="U42" s="101">
        <v>593.22474966793902</v>
      </c>
      <c r="V42" s="101">
        <v>516.52602016373658</v>
      </c>
      <c r="W42" s="101">
        <v>448.75312949067666</v>
      </c>
      <c r="X42" s="101">
        <v>498.916598905591</v>
      </c>
      <c r="Y42" s="101">
        <v>530.88058331266222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X43" s="101">
        <v>0</v>
      </c>
      <c r="Y43" s="101">
        <v>0</v>
      </c>
      <c r="DA43" s="175" t="s">
        <v>487</v>
      </c>
    </row>
    <row r="44" spans="1:105" ht="11.45" customHeight="1" x14ac:dyDescent="0.25">
      <c r="A44" s="111" t="s">
        <v>113</v>
      </c>
      <c r="B44" s="101">
        <v>4.0186850423606604</v>
      </c>
      <c r="C44" s="101">
        <v>3.9410740215094284</v>
      </c>
      <c r="D44" s="101">
        <v>5.9678745122223811</v>
      </c>
      <c r="E44" s="101">
        <v>6.0434029838683516</v>
      </c>
      <c r="F44" s="101">
        <v>5.9276819758482828</v>
      </c>
      <c r="G44" s="101">
        <v>5.8882462776494764</v>
      </c>
      <c r="H44" s="101">
        <v>7.7603177238877281</v>
      </c>
      <c r="I44" s="101">
        <v>7.9118738961028097</v>
      </c>
      <c r="J44" s="101">
        <v>7.6818104564024505</v>
      </c>
      <c r="K44" s="101">
        <v>7.7192430342284597</v>
      </c>
      <c r="L44" s="101">
        <v>7.3361464411790456</v>
      </c>
      <c r="M44" s="101">
        <v>6.9148410643451577</v>
      </c>
      <c r="N44" s="101">
        <v>6.5787536883278834</v>
      </c>
      <c r="O44" s="101">
        <v>6.2570172154827999</v>
      </c>
      <c r="P44" s="101">
        <v>6.6330423496229276</v>
      </c>
      <c r="Q44" s="101">
        <v>6.6320011663363276</v>
      </c>
      <c r="R44" s="101">
        <v>6.1949836932975648</v>
      </c>
      <c r="S44" s="101">
        <v>5.6068873038803426</v>
      </c>
      <c r="T44" s="101">
        <v>5.4073382145727713</v>
      </c>
      <c r="U44" s="101">
        <v>4.7800841575066189</v>
      </c>
      <c r="V44" s="101">
        <v>2.9229770169792304</v>
      </c>
      <c r="W44" s="101">
        <v>2.4456108113381214</v>
      </c>
      <c r="X44" s="101">
        <v>2.7607214104756621</v>
      </c>
      <c r="Y44" s="101">
        <v>3.1477399745242414</v>
      </c>
      <c r="DA44" s="175" t="s">
        <v>488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0.24909606682251831</v>
      </c>
      <c r="O45" s="101">
        <v>0.12452936396123759</v>
      </c>
      <c r="P45" s="101">
        <v>0.20752053035174992</v>
      </c>
      <c r="Q45" s="101">
        <v>0.24898529450973897</v>
      </c>
      <c r="R45" s="101">
        <v>0.65768282109332465</v>
      </c>
      <c r="S45" s="101">
        <v>0.98243713873070015</v>
      </c>
      <c r="T45" s="101">
        <v>0.95932006922810187</v>
      </c>
      <c r="U45" s="101">
        <v>2.5284793454295875</v>
      </c>
      <c r="V45" s="101">
        <v>3.1711592356708205</v>
      </c>
      <c r="W45" s="101">
        <v>9.4785102545523436</v>
      </c>
      <c r="X45" s="101">
        <v>19.964714035677375</v>
      </c>
      <c r="Y45" s="101">
        <v>24.606210456701898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5991.9944999030704</v>
      </c>
      <c r="C46" s="29">
        <f t="shared" ref="C46:V46" si="110">C47+C53</f>
        <v>6153.9361747716121</v>
      </c>
      <c r="D46" s="29">
        <f t="shared" si="110"/>
        <v>6269.3975408349979</v>
      </c>
      <c r="E46" s="29">
        <f t="shared" si="110"/>
        <v>6335.7235768026185</v>
      </c>
      <c r="F46" s="29">
        <f t="shared" si="110"/>
        <v>6653.1523533374402</v>
      </c>
      <c r="G46" s="29">
        <f t="shared" si="110"/>
        <v>6865.1127888845986</v>
      </c>
      <c r="H46" s="29">
        <f t="shared" si="110"/>
        <v>6795.8057914882265</v>
      </c>
      <c r="I46" s="29">
        <f t="shared" si="110"/>
        <v>6991.6901411807885</v>
      </c>
      <c r="J46" s="29">
        <f t="shared" si="110"/>
        <v>7467.157562361599</v>
      </c>
      <c r="K46" s="29">
        <f t="shared" si="110"/>
        <v>7213.3402172581937</v>
      </c>
      <c r="L46" s="29">
        <f t="shared" si="110"/>
        <v>7676.3538854579074</v>
      </c>
      <c r="M46" s="29">
        <f t="shared" si="110"/>
        <v>7785.9126756837941</v>
      </c>
      <c r="N46" s="29">
        <f t="shared" si="110"/>
        <v>7692.5581750453875</v>
      </c>
      <c r="O46" s="29">
        <f t="shared" si="110"/>
        <v>7946.1722376196794</v>
      </c>
      <c r="P46" s="29">
        <f t="shared" si="110"/>
        <v>7920.2710563440205</v>
      </c>
      <c r="Q46" s="29">
        <f t="shared" si="110"/>
        <v>7913.5209668317038</v>
      </c>
      <c r="R46" s="29">
        <f t="shared" si="110"/>
        <v>8371.9460755167747</v>
      </c>
      <c r="S46" s="29">
        <f t="shared" si="110"/>
        <v>8682.8927465479974</v>
      </c>
      <c r="T46" s="29">
        <f t="shared" si="110"/>
        <v>8842.4400349893203</v>
      </c>
      <c r="U46" s="29">
        <f t="shared" si="110"/>
        <v>9032.9564284411754</v>
      </c>
      <c r="V46" s="29">
        <f t="shared" si="110"/>
        <v>9041.4242832897398</v>
      </c>
      <c r="W46" s="29">
        <f t="shared" ref="W46:Y46" si="111">W47+W53</f>
        <v>9328.3975048177108</v>
      </c>
      <c r="X46" s="29">
        <f t="shared" si="111"/>
        <v>9419.6710575889865</v>
      </c>
      <c r="Y46" s="29">
        <f t="shared" si="111"/>
        <v>9341.8696958115288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3773.3928834226772</v>
      </c>
      <c r="C47" s="152">
        <f t="shared" ref="C47:V47" si="113">SUM(C48:C52)</f>
        <v>3862.725698661513</v>
      </c>
      <c r="D47" s="152">
        <f t="shared" si="113"/>
        <v>3922.3767018912058</v>
      </c>
      <c r="E47" s="152">
        <f t="shared" si="113"/>
        <v>3966.4581409255657</v>
      </c>
      <c r="F47" s="152">
        <f t="shared" si="113"/>
        <v>4256.3252013857964</v>
      </c>
      <c r="G47" s="152">
        <f t="shared" si="113"/>
        <v>4396.1123475065424</v>
      </c>
      <c r="H47" s="152">
        <f t="shared" si="113"/>
        <v>4436.6642924455673</v>
      </c>
      <c r="I47" s="152">
        <f t="shared" si="113"/>
        <v>4630.7507148354398</v>
      </c>
      <c r="J47" s="152">
        <f t="shared" si="113"/>
        <v>5013.1575264128705</v>
      </c>
      <c r="K47" s="152">
        <f t="shared" si="113"/>
        <v>5076.2929824044713</v>
      </c>
      <c r="L47" s="152">
        <f t="shared" si="113"/>
        <v>5324.3562736317663</v>
      </c>
      <c r="M47" s="152">
        <f t="shared" si="113"/>
        <v>5592.8341672519919</v>
      </c>
      <c r="N47" s="152">
        <f t="shared" si="113"/>
        <v>5700.8775855352878</v>
      </c>
      <c r="O47" s="152">
        <f t="shared" si="113"/>
        <v>5944.5692891839071</v>
      </c>
      <c r="P47" s="152">
        <f t="shared" si="113"/>
        <v>6045.2673939586293</v>
      </c>
      <c r="Q47" s="152">
        <f t="shared" si="113"/>
        <v>6206.6586683741452</v>
      </c>
      <c r="R47" s="152">
        <f t="shared" si="113"/>
        <v>6415.0395026489014</v>
      </c>
      <c r="S47" s="152">
        <f t="shared" si="113"/>
        <v>6642.9725078628699</v>
      </c>
      <c r="T47" s="152">
        <f t="shared" si="113"/>
        <v>6861.5338631770001</v>
      </c>
      <c r="U47" s="152">
        <f t="shared" si="113"/>
        <v>7060.793924387619</v>
      </c>
      <c r="V47" s="152">
        <f t="shared" si="113"/>
        <v>7139.5129475848344</v>
      </c>
      <c r="W47" s="152">
        <f t="shared" ref="W47:Y47" si="114">SUM(W48:W52)</f>
        <v>7376.6493651381461</v>
      </c>
      <c r="X47" s="152">
        <f t="shared" si="114"/>
        <v>7428.1977046758893</v>
      </c>
      <c r="Y47" s="152">
        <f t="shared" si="114"/>
        <v>7522.3896409649642</v>
      </c>
      <c r="DA47" s="174" t="s">
        <v>491</v>
      </c>
    </row>
    <row r="48" spans="1:105" ht="11.45" customHeight="1" x14ac:dyDescent="0.25">
      <c r="A48" s="111" t="s">
        <v>110</v>
      </c>
      <c r="B48" s="87">
        <v>424.83291770994049</v>
      </c>
      <c r="C48" s="87">
        <v>400.98645710682945</v>
      </c>
      <c r="D48" s="87">
        <v>378.00573169085988</v>
      </c>
      <c r="E48" s="87">
        <v>349.47267421519695</v>
      </c>
      <c r="F48" s="87">
        <v>326.940448680109</v>
      </c>
      <c r="G48" s="87">
        <v>315.95546237321719</v>
      </c>
      <c r="H48" s="87">
        <v>291.4373890518093</v>
      </c>
      <c r="I48" s="87">
        <v>276.22609795323677</v>
      </c>
      <c r="J48" s="87">
        <v>278.76328987905316</v>
      </c>
      <c r="K48" s="87">
        <v>267.94006192702705</v>
      </c>
      <c r="L48" s="87">
        <v>267.10883993933339</v>
      </c>
      <c r="M48" s="87">
        <v>264.97982662443934</v>
      </c>
      <c r="N48" s="87">
        <v>258.68045663243538</v>
      </c>
      <c r="O48" s="87">
        <v>251.86282536670515</v>
      </c>
      <c r="P48" s="87">
        <v>246.03541289678125</v>
      </c>
      <c r="Q48" s="87">
        <v>242.38742074052931</v>
      </c>
      <c r="R48" s="87">
        <v>240.36437389636743</v>
      </c>
      <c r="S48" s="87">
        <v>238.37094222385508</v>
      </c>
      <c r="T48" s="87">
        <v>236.74309217935144</v>
      </c>
      <c r="U48" s="87">
        <v>235.60771420454731</v>
      </c>
      <c r="V48" s="87">
        <v>230.8219160361129</v>
      </c>
      <c r="W48" s="87">
        <v>236.98205014370438</v>
      </c>
      <c r="X48" s="87">
        <v>234.7874647148692</v>
      </c>
      <c r="Y48" s="87">
        <v>233.95260920835116</v>
      </c>
      <c r="DA48" s="171" t="s">
        <v>492</v>
      </c>
    </row>
    <row r="49" spans="1:105" ht="11.45" customHeight="1" x14ac:dyDescent="0.25">
      <c r="A49" s="111" t="s">
        <v>111</v>
      </c>
      <c r="B49" s="87">
        <v>3347.2265740583707</v>
      </c>
      <c r="C49" s="87">
        <v>3460.393197235881</v>
      </c>
      <c r="D49" s="87">
        <v>3543.1690168270698</v>
      </c>
      <c r="E49" s="87">
        <v>3615.8677137166715</v>
      </c>
      <c r="F49" s="87">
        <v>3928.3429376445833</v>
      </c>
      <c r="G49" s="87">
        <v>4079.1742133074022</v>
      </c>
      <c r="H49" s="87">
        <v>4144.2807276985168</v>
      </c>
      <c r="I49" s="87">
        <v>4353.5192798259995</v>
      </c>
      <c r="J49" s="87">
        <v>4733.2104174829119</v>
      </c>
      <c r="K49" s="87">
        <v>4806.9428890747704</v>
      </c>
      <c r="L49" s="87">
        <v>5055.570589152926</v>
      </c>
      <c r="M49" s="87">
        <v>5325.8598804748626</v>
      </c>
      <c r="N49" s="87">
        <v>5439.8792049497115</v>
      </c>
      <c r="O49" s="87">
        <v>5689.7710928239767</v>
      </c>
      <c r="P49" s="87">
        <v>5795.8673207330457</v>
      </c>
      <c r="Q49" s="87">
        <v>5960.2567900312315</v>
      </c>
      <c r="R49" s="87">
        <v>6169.6522134001207</v>
      </c>
      <c r="S49" s="87">
        <v>6397.8922736097711</v>
      </c>
      <c r="T49" s="87">
        <v>6615.9322878616795</v>
      </c>
      <c r="U49" s="87">
        <v>6813.8135829549419</v>
      </c>
      <c r="V49" s="87">
        <v>6895.3952230239529</v>
      </c>
      <c r="W49" s="87">
        <v>7122.4842525743052</v>
      </c>
      <c r="X49" s="87">
        <v>7172.4122132517596</v>
      </c>
      <c r="Y49" s="87">
        <v>7253.5125861904844</v>
      </c>
      <c r="DA49" s="171" t="s">
        <v>493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0</v>
      </c>
      <c r="S50" s="87">
        <v>0</v>
      </c>
      <c r="T50" s="87">
        <v>0</v>
      </c>
      <c r="U50" s="87">
        <v>0</v>
      </c>
      <c r="V50" s="87">
        <v>0</v>
      </c>
      <c r="W50" s="87">
        <v>0</v>
      </c>
      <c r="X50" s="87">
        <v>0</v>
      </c>
      <c r="Y50" s="87">
        <v>0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4.5828417768045873E-2</v>
      </c>
      <c r="D51" s="87">
        <v>4.5571336699370892E-2</v>
      </c>
      <c r="E51" s="87">
        <v>4.4889930465047183E-2</v>
      </c>
      <c r="F51" s="87">
        <v>4.1912175719308331E-2</v>
      </c>
      <c r="G51" s="87">
        <v>5.8611364150009879E-2</v>
      </c>
      <c r="H51" s="87">
        <v>5.459193831628488E-2</v>
      </c>
      <c r="I51" s="87">
        <v>0.14782398210885725</v>
      </c>
      <c r="J51" s="87">
        <v>0.27513671808498358</v>
      </c>
      <c r="K51" s="87">
        <v>0.46294767669931569</v>
      </c>
      <c r="L51" s="87">
        <v>0.65730097368212503</v>
      </c>
      <c r="M51" s="87">
        <v>0.96179070914545106</v>
      </c>
      <c r="N51" s="87">
        <v>1.1686210509459645</v>
      </c>
      <c r="O51" s="87">
        <v>1.746553689681704</v>
      </c>
      <c r="P51" s="87">
        <v>1.9827237505535831</v>
      </c>
      <c r="Q51" s="87">
        <v>2.2656214063301578</v>
      </c>
      <c r="R51" s="87">
        <v>2.7006863306073128</v>
      </c>
      <c r="S51" s="87">
        <v>4.0120097385916891</v>
      </c>
      <c r="T51" s="87">
        <v>5.7424490474966099</v>
      </c>
      <c r="U51" s="87">
        <v>7.7055304739127655</v>
      </c>
      <c r="V51" s="87">
        <v>9.3083986400288641</v>
      </c>
      <c r="W51" s="87">
        <v>9.8624923494917862</v>
      </c>
      <c r="X51" s="87">
        <v>9.1156183745791122</v>
      </c>
      <c r="Y51" s="87">
        <v>9.0537739894714679</v>
      </c>
      <c r="DA51" s="171" t="s">
        <v>495</v>
      </c>
    </row>
    <row r="52" spans="1:105" ht="11.45" customHeight="1" x14ac:dyDescent="0.25">
      <c r="A52" s="111" t="s">
        <v>115</v>
      </c>
      <c r="B52" s="87">
        <v>1.3333916543661237</v>
      </c>
      <c r="C52" s="87">
        <v>1.3002159010341381</v>
      </c>
      <c r="D52" s="87">
        <v>1.1563820365765982</v>
      </c>
      <c r="E52" s="87">
        <v>1.0728630632319234</v>
      </c>
      <c r="F52" s="87">
        <v>0.99990288538474237</v>
      </c>
      <c r="G52" s="87">
        <v>0.92406046177251389</v>
      </c>
      <c r="H52" s="87">
        <v>0.89158375692470515</v>
      </c>
      <c r="I52" s="87">
        <v>0.85751307409454547</v>
      </c>
      <c r="J52" s="87">
        <v>0.90868233281988253</v>
      </c>
      <c r="K52" s="87">
        <v>0.94708372597406554</v>
      </c>
      <c r="L52" s="87">
        <v>1.0195435658251744</v>
      </c>
      <c r="M52" s="87">
        <v>1.0326694435444785</v>
      </c>
      <c r="N52" s="87">
        <v>1.1493029021952692</v>
      </c>
      <c r="O52" s="87">
        <v>1.1888173035440071</v>
      </c>
      <c r="P52" s="87">
        <v>1.381936578249048</v>
      </c>
      <c r="Q52" s="87">
        <v>1.7488361960539971</v>
      </c>
      <c r="R52" s="87">
        <v>2.3222290218061938</v>
      </c>
      <c r="S52" s="87">
        <v>2.6972822906519305</v>
      </c>
      <c r="T52" s="87">
        <v>3.1160340884725537</v>
      </c>
      <c r="U52" s="87">
        <v>3.6670967542180213</v>
      </c>
      <c r="V52" s="87">
        <v>3.9874098847392059</v>
      </c>
      <c r="W52" s="87">
        <v>7.3205700706446608</v>
      </c>
      <c r="X52" s="87">
        <v>11.882408334681731</v>
      </c>
      <c r="Y52" s="87">
        <v>25.870671576656623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2218.6016164803937</v>
      </c>
      <c r="C53" s="116">
        <f t="shared" ref="C53:V53" si="116">SUM(C54:C55)</f>
        <v>2291.2104761100995</v>
      </c>
      <c r="D53" s="116">
        <f t="shared" si="116"/>
        <v>2347.0208389437921</v>
      </c>
      <c r="E53" s="116">
        <f t="shared" si="116"/>
        <v>2369.2654358770533</v>
      </c>
      <c r="F53" s="116">
        <f t="shared" si="116"/>
        <v>2396.8271519516434</v>
      </c>
      <c r="G53" s="116">
        <f t="shared" si="116"/>
        <v>2469.0004413780562</v>
      </c>
      <c r="H53" s="116">
        <f t="shared" si="116"/>
        <v>2359.1414990426592</v>
      </c>
      <c r="I53" s="116">
        <f t="shared" si="116"/>
        <v>2360.9394263453482</v>
      </c>
      <c r="J53" s="116">
        <f t="shared" si="116"/>
        <v>2454.0000359487281</v>
      </c>
      <c r="K53" s="116">
        <f t="shared" si="116"/>
        <v>2137.0472348537223</v>
      </c>
      <c r="L53" s="116">
        <f t="shared" si="116"/>
        <v>2351.9976118261416</v>
      </c>
      <c r="M53" s="116">
        <f t="shared" si="116"/>
        <v>2193.0785084318027</v>
      </c>
      <c r="N53" s="116">
        <f t="shared" si="116"/>
        <v>1991.6805895100993</v>
      </c>
      <c r="O53" s="116">
        <f t="shared" si="116"/>
        <v>2001.6029484357723</v>
      </c>
      <c r="P53" s="116">
        <f t="shared" si="116"/>
        <v>1875.003662385391</v>
      </c>
      <c r="Q53" s="116">
        <f t="shared" si="116"/>
        <v>1706.8622984575584</v>
      </c>
      <c r="R53" s="116">
        <f t="shared" si="116"/>
        <v>1956.9065728678731</v>
      </c>
      <c r="S53" s="116">
        <f t="shared" si="116"/>
        <v>2039.920238685128</v>
      </c>
      <c r="T53" s="116">
        <f t="shared" si="116"/>
        <v>1980.9061718123198</v>
      </c>
      <c r="U53" s="116">
        <f t="shared" si="116"/>
        <v>1972.1625040535573</v>
      </c>
      <c r="V53" s="116">
        <f t="shared" si="116"/>
        <v>1901.9113357049046</v>
      </c>
      <c r="W53" s="116">
        <f t="shared" ref="W53:Y53" si="117">SUM(W54:W55)</f>
        <v>1951.7481396795642</v>
      </c>
      <c r="X53" s="116">
        <f t="shared" si="117"/>
        <v>1991.4733529130965</v>
      </c>
      <c r="Y53" s="116">
        <f t="shared" si="117"/>
        <v>1819.4800548465646</v>
      </c>
      <c r="DA53" s="176" t="s">
        <v>497</v>
      </c>
    </row>
    <row r="54" spans="1:105" ht="11.45" customHeight="1" x14ac:dyDescent="0.25">
      <c r="A54" s="128" t="s">
        <v>27</v>
      </c>
      <c r="B54" s="101">
        <v>2168</v>
      </c>
      <c r="C54" s="101">
        <v>2237</v>
      </c>
      <c r="D54" s="101">
        <v>2290</v>
      </c>
      <c r="E54" s="101">
        <v>2311</v>
      </c>
      <c r="F54" s="101">
        <v>2328</v>
      </c>
      <c r="G54" s="101">
        <v>2398</v>
      </c>
      <c r="H54" s="101">
        <v>2284</v>
      </c>
      <c r="I54" s="101">
        <v>2284</v>
      </c>
      <c r="J54" s="101">
        <v>2375</v>
      </c>
      <c r="K54" s="101">
        <v>2064</v>
      </c>
      <c r="L54" s="101">
        <v>2258</v>
      </c>
      <c r="M54" s="101">
        <v>2132</v>
      </c>
      <c r="N54" s="101">
        <v>1916</v>
      </c>
      <c r="O54" s="101">
        <v>1936</v>
      </c>
      <c r="P54" s="101">
        <v>1791</v>
      </c>
      <c r="Q54" s="101">
        <v>1611</v>
      </c>
      <c r="R54" s="101">
        <v>1876</v>
      </c>
      <c r="S54" s="101">
        <v>1959</v>
      </c>
      <c r="T54" s="101">
        <v>1890</v>
      </c>
      <c r="U54" s="101">
        <v>1896</v>
      </c>
      <c r="V54" s="101">
        <v>1824</v>
      </c>
      <c r="W54" s="101">
        <v>1854</v>
      </c>
      <c r="X54" s="101">
        <v>1896</v>
      </c>
      <c r="Y54" s="101">
        <v>1729</v>
      </c>
      <c r="DA54" s="175" t="s">
        <v>498</v>
      </c>
    </row>
    <row r="55" spans="1:105" ht="11.45" customHeight="1" x14ac:dyDescent="0.25">
      <c r="A55" s="138" t="s">
        <v>116</v>
      </c>
      <c r="B55" s="88">
        <v>50.601616480393766</v>
      </c>
      <c r="C55" s="88">
        <v>54.210476110099485</v>
      </c>
      <c r="D55" s="88">
        <v>57.02083894379215</v>
      </c>
      <c r="E55" s="88">
        <v>58.265435877053207</v>
      </c>
      <c r="F55" s="88">
        <v>68.82715195164343</v>
      </c>
      <c r="G55" s="88">
        <v>71.000441378055967</v>
      </c>
      <c r="H55" s="88">
        <v>75.141499042659149</v>
      </c>
      <c r="I55" s="88">
        <v>76.939426345348366</v>
      </c>
      <c r="J55" s="88">
        <v>79.000035948728183</v>
      </c>
      <c r="K55" s="88">
        <v>73.047234853722443</v>
      </c>
      <c r="L55" s="88">
        <v>93.997611826141394</v>
      </c>
      <c r="M55" s="88">
        <v>61.078508431802675</v>
      </c>
      <c r="N55" s="88">
        <v>75.680589510099281</v>
      </c>
      <c r="O55" s="88">
        <v>65.602948435772362</v>
      </c>
      <c r="P55" s="88">
        <v>84.003662385391038</v>
      </c>
      <c r="Q55" s="88">
        <v>95.862298457558396</v>
      </c>
      <c r="R55" s="88">
        <v>80.906572867873109</v>
      </c>
      <c r="S55" s="88">
        <v>80.920238685127984</v>
      </c>
      <c r="T55" s="88">
        <v>90.906171812319855</v>
      </c>
      <c r="U55" s="88">
        <v>76.162504053557413</v>
      </c>
      <c r="V55" s="88">
        <v>77.91133570490463</v>
      </c>
      <c r="W55" s="88">
        <v>97.748139679564346</v>
      </c>
      <c r="X55" s="88">
        <v>95.473352913096605</v>
      </c>
      <c r="Y55" s="88">
        <v>90.480054846564514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2628149</v>
      </c>
      <c r="C57" s="54">
        <f t="shared" si="118"/>
        <v>2674787</v>
      </c>
      <c r="D57" s="54">
        <f t="shared" si="118"/>
        <v>2733177</v>
      </c>
      <c r="E57" s="54">
        <f t="shared" si="118"/>
        <v>2842229</v>
      </c>
      <c r="F57" s="54">
        <f t="shared" si="118"/>
        <v>2968449</v>
      </c>
      <c r="G57" s="54">
        <f t="shared" si="118"/>
        <v>3091062</v>
      </c>
      <c r="H57" s="54">
        <f t="shared" si="118"/>
        <v>3215294</v>
      </c>
      <c r="I57" s="54">
        <f t="shared" si="118"/>
        <v>3337446</v>
      </c>
      <c r="J57" s="54">
        <f t="shared" si="118"/>
        <v>3543457</v>
      </c>
      <c r="K57" s="54">
        <f t="shared" si="118"/>
        <v>3674228</v>
      </c>
      <c r="L57" s="54">
        <f t="shared" ref="L57" si="119">L58+L73</f>
        <v>3826049</v>
      </c>
      <c r="M57" s="54">
        <f t="shared" ref="M57:V57" si="120">M58+M73</f>
        <v>3981592</v>
      </c>
      <c r="N57" s="54">
        <f t="shared" si="120"/>
        <v>4102142</v>
      </c>
      <c r="O57" s="54">
        <f t="shared" si="120"/>
        <v>4206957</v>
      </c>
      <c r="P57" s="54">
        <f t="shared" si="120"/>
        <v>4306071</v>
      </c>
      <c r="Q57" s="54">
        <f t="shared" si="120"/>
        <v>4400439</v>
      </c>
      <c r="R57" s="54">
        <f t="shared" si="120"/>
        <v>4521544</v>
      </c>
      <c r="S57" s="54">
        <f t="shared" si="120"/>
        <v>4633993</v>
      </c>
      <c r="T57" s="54">
        <f t="shared" si="120"/>
        <v>4738496</v>
      </c>
      <c r="U57" s="54">
        <f t="shared" si="120"/>
        <v>4851702</v>
      </c>
      <c r="V57" s="54">
        <f t="shared" si="120"/>
        <v>4947533</v>
      </c>
      <c r="W57" s="54">
        <f t="shared" ref="W57:Y57" si="121">W58+W73</f>
        <v>5002650</v>
      </c>
      <c r="X57" s="54">
        <f t="shared" si="121"/>
        <v>5058623</v>
      </c>
      <c r="Y57" s="54">
        <f t="shared" si="121"/>
        <v>5119883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2323982</v>
      </c>
      <c r="C58" s="28">
        <f t="shared" si="122"/>
        <v>2362208</v>
      </c>
      <c r="D58" s="28">
        <f t="shared" si="122"/>
        <v>2413568</v>
      </c>
      <c r="E58" s="28">
        <f t="shared" si="122"/>
        <v>2515083</v>
      </c>
      <c r="F58" s="28">
        <f t="shared" si="122"/>
        <v>2613586</v>
      </c>
      <c r="G58" s="28">
        <f t="shared" si="122"/>
        <v>2727160</v>
      </c>
      <c r="H58" s="28">
        <f t="shared" si="122"/>
        <v>2838877</v>
      </c>
      <c r="I58" s="28">
        <f t="shared" si="122"/>
        <v>2941588</v>
      </c>
      <c r="J58" s="28">
        <f t="shared" si="122"/>
        <v>3116605</v>
      </c>
      <c r="K58" s="28">
        <f t="shared" si="122"/>
        <v>3227462</v>
      </c>
      <c r="L58" s="28">
        <f t="shared" ref="L58" si="123">L59+L60+L67</f>
        <v>3358617</v>
      </c>
      <c r="M58" s="28">
        <f t="shared" ref="M58:V58" si="124">M59+M60+M67</f>
        <v>3488270</v>
      </c>
      <c r="N58" s="28">
        <f t="shared" si="124"/>
        <v>3589522</v>
      </c>
      <c r="O58" s="28">
        <f t="shared" si="124"/>
        <v>3675571</v>
      </c>
      <c r="P58" s="28">
        <f t="shared" si="124"/>
        <v>3757128</v>
      </c>
      <c r="Q58" s="28">
        <f t="shared" si="124"/>
        <v>3832819</v>
      </c>
      <c r="R58" s="28">
        <f t="shared" si="124"/>
        <v>3931958</v>
      </c>
      <c r="S58" s="28">
        <f t="shared" si="124"/>
        <v>4020760</v>
      </c>
      <c r="T58" s="28">
        <f t="shared" si="124"/>
        <v>4102715</v>
      </c>
      <c r="U58" s="28">
        <f t="shared" si="124"/>
        <v>4192886</v>
      </c>
      <c r="V58" s="28">
        <f t="shared" si="124"/>
        <v>4263270</v>
      </c>
      <c r="W58" s="28">
        <f t="shared" ref="W58:Y58" si="125">W59+W60+W67</f>
        <v>4307065</v>
      </c>
      <c r="X58" s="28">
        <f t="shared" si="125"/>
        <v>4349045</v>
      </c>
      <c r="Y58" s="28">
        <f t="shared" si="125"/>
        <v>4397451</v>
      </c>
      <c r="DA58" s="173" t="s">
        <v>501</v>
      </c>
    </row>
    <row r="59" spans="1:105" ht="11.45" customHeight="1" x14ac:dyDescent="0.25">
      <c r="A59" s="136" t="s">
        <v>173</v>
      </c>
      <c r="B59" s="137">
        <v>193422</v>
      </c>
      <c r="C59" s="137">
        <v>206235</v>
      </c>
      <c r="D59" s="137">
        <v>223577</v>
      </c>
      <c r="E59" s="137">
        <v>245382</v>
      </c>
      <c r="F59" s="137">
        <v>271720</v>
      </c>
      <c r="G59" s="137">
        <v>301805</v>
      </c>
      <c r="H59" s="137">
        <v>338443</v>
      </c>
      <c r="I59" s="137">
        <v>376532</v>
      </c>
      <c r="J59" s="137">
        <v>421544</v>
      </c>
      <c r="K59" s="137">
        <v>456197</v>
      </c>
      <c r="L59" s="137">
        <v>486766</v>
      </c>
      <c r="M59" s="137">
        <v>515517</v>
      </c>
      <c r="N59" s="137">
        <v>538019</v>
      </c>
      <c r="O59" s="137">
        <v>554252</v>
      </c>
      <c r="P59" s="137">
        <v>568191</v>
      </c>
      <c r="Q59" s="137">
        <v>581147</v>
      </c>
      <c r="R59" s="137">
        <v>591795</v>
      </c>
      <c r="S59" s="137">
        <v>603756</v>
      </c>
      <c r="T59" s="137">
        <v>613741</v>
      </c>
      <c r="U59" s="137">
        <v>623997</v>
      </c>
      <c r="V59" s="137">
        <v>636457</v>
      </c>
      <c r="W59" s="137">
        <v>646063</v>
      </c>
      <c r="X59" s="137">
        <v>655700</v>
      </c>
      <c r="Y59" s="137">
        <v>659611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2120749</v>
      </c>
      <c r="C60" s="110">
        <f t="shared" si="126"/>
        <v>2146243</v>
      </c>
      <c r="D60" s="110">
        <f t="shared" si="126"/>
        <v>2180025</v>
      </c>
      <c r="E60" s="110">
        <f t="shared" si="126"/>
        <v>2259383</v>
      </c>
      <c r="F60" s="110">
        <f t="shared" si="126"/>
        <v>2331190</v>
      </c>
      <c r="G60" s="110">
        <f t="shared" si="126"/>
        <v>2414477</v>
      </c>
      <c r="H60" s="110">
        <f t="shared" si="126"/>
        <v>2489287</v>
      </c>
      <c r="I60" s="110">
        <f t="shared" si="126"/>
        <v>2553556</v>
      </c>
      <c r="J60" s="110">
        <f t="shared" si="126"/>
        <v>2682831</v>
      </c>
      <c r="K60" s="110">
        <f t="shared" si="126"/>
        <v>2758291</v>
      </c>
      <c r="L60" s="110">
        <f t="shared" ref="L60" si="127">SUM(L61:L66)</f>
        <v>2858244</v>
      </c>
      <c r="M60" s="110">
        <f t="shared" ref="M60:V60" si="128">SUM(M61:M66)</f>
        <v>2958568</v>
      </c>
      <c r="N60" s="110">
        <f t="shared" si="128"/>
        <v>3036618</v>
      </c>
      <c r="O60" s="110">
        <f t="shared" si="128"/>
        <v>3105834</v>
      </c>
      <c r="P60" s="110">
        <f t="shared" si="128"/>
        <v>3172735</v>
      </c>
      <c r="Q60" s="110">
        <f t="shared" si="128"/>
        <v>3234860</v>
      </c>
      <c r="R60" s="110">
        <f t="shared" si="128"/>
        <v>3322672</v>
      </c>
      <c r="S60" s="110">
        <f t="shared" si="128"/>
        <v>3398937</v>
      </c>
      <c r="T60" s="110">
        <f t="shared" si="128"/>
        <v>3470507</v>
      </c>
      <c r="U60" s="110">
        <f t="shared" si="128"/>
        <v>3549803</v>
      </c>
      <c r="V60" s="110">
        <f t="shared" si="128"/>
        <v>3607531</v>
      </c>
      <c r="W60" s="110">
        <f t="shared" ref="W60:Y60" si="129">SUM(W61:W66)</f>
        <v>3641532</v>
      </c>
      <c r="X60" s="110">
        <f t="shared" si="129"/>
        <v>3673750</v>
      </c>
      <c r="Y60" s="110">
        <f t="shared" si="129"/>
        <v>3718279</v>
      </c>
      <c r="DA60" s="176" t="s">
        <v>503</v>
      </c>
    </row>
    <row r="61" spans="1:105" ht="11.45" customHeight="1" x14ac:dyDescent="0.25">
      <c r="A61" s="111" t="s">
        <v>110</v>
      </c>
      <c r="B61" s="84">
        <v>1902775</v>
      </c>
      <c r="C61" s="84">
        <v>1916217</v>
      </c>
      <c r="D61" s="84">
        <v>1937022</v>
      </c>
      <c r="E61" s="84">
        <v>1995338</v>
      </c>
      <c r="F61" s="84">
        <v>2057168</v>
      </c>
      <c r="G61" s="84">
        <v>2113418</v>
      </c>
      <c r="H61" s="84">
        <v>2157246</v>
      </c>
      <c r="I61" s="84">
        <v>2183527</v>
      </c>
      <c r="J61" s="84">
        <v>2235678</v>
      </c>
      <c r="K61" s="84">
        <v>2263751</v>
      </c>
      <c r="L61" s="84">
        <v>2302664</v>
      </c>
      <c r="M61" s="84">
        <v>2340949</v>
      </c>
      <c r="N61" s="84">
        <v>2371525</v>
      </c>
      <c r="O61" s="84">
        <v>2399165</v>
      </c>
      <c r="P61" s="84">
        <v>2424647</v>
      </c>
      <c r="Q61" s="84">
        <v>2447882</v>
      </c>
      <c r="R61" s="84">
        <v>2489315</v>
      </c>
      <c r="S61" s="84">
        <v>2521458</v>
      </c>
      <c r="T61" s="84">
        <v>2548091</v>
      </c>
      <c r="U61" s="84">
        <v>2584290</v>
      </c>
      <c r="V61" s="84">
        <v>2598084</v>
      </c>
      <c r="W61" s="84">
        <v>2583387</v>
      </c>
      <c r="X61" s="84">
        <v>2568097</v>
      </c>
      <c r="Y61" s="84">
        <v>2583669</v>
      </c>
      <c r="DA61" s="171" t="s">
        <v>504</v>
      </c>
    </row>
    <row r="62" spans="1:105" ht="11.45" customHeight="1" x14ac:dyDescent="0.25">
      <c r="A62" s="111" t="s">
        <v>111</v>
      </c>
      <c r="B62" s="84">
        <v>217974</v>
      </c>
      <c r="C62" s="84">
        <v>230026</v>
      </c>
      <c r="D62" s="84">
        <v>243003</v>
      </c>
      <c r="E62" s="84">
        <v>264045</v>
      </c>
      <c r="F62" s="84">
        <v>274022</v>
      </c>
      <c r="G62" s="84">
        <v>301059</v>
      </c>
      <c r="H62" s="84">
        <v>332038</v>
      </c>
      <c r="I62" s="84">
        <v>369920</v>
      </c>
      <c r="J62" s="84">
        <v>446936</v>
      </c>
      <c r="K62" s="84">
        <v>494161</v>
      </c>
      <c r="L62" s="84">
        <v>555073</v>
      </c>
      <c r="M62" s="84">
        <v>616942</v>
      </c>
      <c r="N62" s="84">
        <v>664025</v>
      </c>
      <c r="O62" s="84">
        <v>705192</v>
      </c>
      <c r="P62" s="84">
        <v>745912</v>
      </c>
      <c r="Q62" s="84">
        <v>783844</v>
      </c>
      <c r="R62" s="84">
        <v>828254</v>
      </c>
      <c r="S62" s="84">
        <v>867156</v>
      </c>
      <c r="T62" s="84">
        <v>901316</v>
      </c>
      <c r="U62" s="84">
        <v>926769</v>
      </c>
      <c r="V62" s="84">
        <v>941773</v>
      </c>
      <c r="W62" s="84">
        <v>944762</v>
      </c>
      <c r="X62" s="84">
        <v>935861</v>
      </c>
      <c r="Y62" s="84">
        <v>929186</v>
      </c>
      <c r="DA62" s="171" t="s">
        <v>505</v>
      </c>
    </row>
    <row r="63" spans="1:105" ht="11.45" customHeight="1" x14ac:dyDescent="0.25">
      <c r="A63" s="111" t="s">
        <v>112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  <c r="J63" s="84">
        <v>0</v>
      </c>
      <c r="K63" s="84">
        <v>0</v>
      </c>
      <c r="L63" s="84">
        <v>0</v>
      </c>
      <c r="M63" s="84">
        <v>0</v>
      </c>
      <c r="N63" s="84">
        <v>0</v>
      </c>
      <c r="O63" s="84">
        <v>0</v>
      </c>
      <c r="P63" s="84">
        <v>0</v>
      </c>
      <c r="Q63" s="84">
        <v>0</v>
      </c>
      <c r="R63" s="84">
        <v>0</v>
      </c>
      <c r="S63" s="84">
        <v>0</v>
      </c>
      <c r="T63" s="84">
        <v>0</v>
      </c>
      <c r="U63" s="84">
        <v>0</v>
      </c>
      <c r="V63" s="84">
        <v>0</v>
      </c>
      <c r="W63" s="84">
        <v>0</v>
      </c>
      <c r="X63" s="84">
        <v>0</v>
      </c>
      <c r="Y63" s="84">
        <v>0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3</v>
      </c>
      <c r="I64" s="84">
        <v>106</v>
      </c>
      <c r="J64" s="84">
        <v>210</v>
      </c>
      <c r="K64" s="84">
        <v>366</v>
      </c>
      <c r="L64" s="84">
        <v>484</v>
      </c>
      <c r="M64" s="84">
        <v>621</v>
      </c>
      <c r="N64" s="84">
        <v>831</v>
      </c>
      <c r="O64" s="84">
        <v>1020</v>
      </c>
      <c r="P64" s="84">
        <v>1250</v>
      </c>
      <c r="Q64" s="84">
        <v>1503</v>
      </c>
      <c r="R64" s="84">
        <v>1822</v>
      </c>
      <c r="S64" s="84">
        <v>3155</v>
      </c>
      <c r="T64" s="84">
        <v>5601</v>
      </c>
      <c r="U64" s="84">
        <v>9380</v>
      </c>
      <c r="V64" s="84">
        <v>12357</v>
      </c>
      <c r="W64" s="84">
        <v>13472</v>
      </c>
      <c r="X64" s="84">
        <v>15749</v>
      </c>
      <c r="Y64" s="84">
        <v>15998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128</v>
      </c>
      <c r="O65" s="84">
        <v>288</v>
      </c>
      <c r="P65" s="84">
        <v>566</v>
      </c>
      <c r="Q65" s="84">
        <v>1017</v>
      </c>
      <c r="R65" s="84">
        <v>2437</v>
      </c>
      <c r="S65" s="84">
        <v>5719</v>
      </c>
      <c r="T65" s="84">
        <v>13095</v>
      </c>
      <c r="U65" s="84">
        <v>24703</v>
      </c>
      <c r="V65" s="84">
        <v>45620</v>
      </c>
      <c r="W65" s="84">
        <v>76990</v>
      </c>
      <c r="X65" s="84">
        <v>106058</v>
      </c>
      <c r="Y65" s="84">
        <v>115307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3</v>
      </c>
      <c r="J66" s="84">
        <v>7</v>
      </c>
      <c r="K66" s="84">
        <v>13</v>
      </c>
      <c r="L66" s="84">
        <v>23</v>
      </c>
      <c r="M66" s="84">
        <v>56</v>
      </c>
      <c r="N66" s="84">
        <v>109</v>
      </c>
      <c r="O66" s="84">
        <v>169</v>
      </c>
      <c r="P66" s="84">
        <v>360</v>
      </c>
      <c r="Q66" s="84">
        <v>614</v>
      </c>
      <c r="R66" s="84">
        <v>844</v>
      </c>
      <c r="S66" s="84">
        <v>1449</v>
      </c>
      <c r="T66" s="84">
        <v>2404</v>
      </c>
      <c r="U66" s="84">
        <v>4661</v>
      </c>
      <c r="V66" s="84">
        <v>9697</v>
      </c>
      <c r="W66" s="84">
        <v>22921</v>
      </c>
      <c r="X66" s="84">
        <v>47985</v>
      </c>
      <c r="Y66" s="84">
        <v>74119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9811</v>
      </c>
      <c r="C67" s="110">
        <f t="shared" si="130"/>
        <v>9730</v>
      </c>
      <c r="D67" s="110">
        <f t="shared" si="130"/>
        <v>9966</v>
      </c>
      <c r="E67" s="110">
        <f t="shared" si="130"/>
        <v>10318</v>
      </c>
      <c r="F67" s="110">
        <f t="shared" si="130"/>
        <v>10676</v>
      </c>
      <c r="G67" s="110">
        <f t="shared" si="130"/>
        <v>10878</v>
      </c>
      <c r="H67" s="110">
        <f t="shared" si="130"/>
        <v>11147</v>
      </c>
      <c r="I67" s="110">
        <f t="shared" si="130"/>
        <v>11500</v>
      </c>
      <c r="J67" s="110">
        <f t="shared" si="130"/>
        <v>12230</v>
      </c>
      <c r="K67" s="110">
        <f t="shared" si="130"/>
        <v>12974</v>
      </c>
      <c r="L67" s="110">
        <f t="shared" ref="L67" si="131">SUM(L68:L72)</f>
        <v>13607</v>
      </c>
      <c r="M67" s="110">
        <f t="shared" ref="M67:V67" si="132">SUM(M68:M72)</f>
        <v>14185</v>
      </c>
      <c r="N67" s="110">
        <f t="shared" si="132"/>
        <v>14885</v>
      </c>
      <c r="O67" s="110">
        <f t="shared" si="132"/>
        <v>15485</v>
      </c>
      <c r="P67" s="110">
        <f t="shared" si="132"/>
        <v>16202</v>
      </c>
      <c r="Q67" s="110">
        <f t="shared" si="132"/>
        <v>16812</v>
      </c>
      <c r="R67" s="110">
        <f t="shared" si="132"/>
        <v>17491</v>
      </c>
      <c r="S67" s="110">
        <f t="shared" si="132"/>
        <v>18067</v>
      </c>
      <c r="T67" s="110">
        <f t="shared" si="132"/>
        <v>18467</v>
      </c>
      <c r="U67" s="110">
        <f t="shared" si="132"/>
        <v>19086</v>
      </c>
      <c r="V67" s="110">
        <f t="shared" si="132"/>
        <v>19282</v>
      </c>
      <c r="W67" s="110">
        <f t="shared" ref="W67:Y67" si="133">SUM(W68:W72)</f>
        <v>19470</v>
      </c>
      <c r="X67" s="110">
        <f t="shared" si="133"/>
        <v>19595</v>
      </c>
      <c r="Y67" s="110">
        <f t="shared" si="133"/>
        <v>19561</v>
      </c>
      <c r="DA67" s="176" t="s">
        <v>510</v>
      </c>
    </row>
    <row r="68" spans="1:105" ht="11.45" customHeight="1" x14ac:dyDescent="0.25">
      <c r="A68" s="111" t="s">
        <v>110</v>
      </c>
      <c r="B68" s="102">
        <v>27</v>
      </c>
      <c r="C68" s="102">
        <v>30</v>
      </c>
      <c r="D68" s="102">
        <v>29</v>
      </c>
      <c r="E68" s="102">
        <v>29</v>
      </c>
      <c r="F68" s="102">
        <v>30</v>
      </c>
      <c r="G68" s="102">
        <v>33</v>
      </c>
      <c r="H68" s="102">
        <v>31</v>
      </c>
      <c r="I68" s="102">
        <v>32</v>
      </c>
      <c r="J68" s="102">
        <v>31</v>
      </c>
      <c r="K68" s="102">
        <v>31</v>
      </c>
      <c r="L68" s="102">
        <v>32</v>
      </c>
      <c r="M68" s="102">
        <v>31</v>
      </c>
      <c r="N68" s="102">
        <v>31</v>
      </c>
      <c r="O68" s="102">
        <v>31</v>
      </c>
      <c r="P68" s="102">
        <v>31</v>
      </c>
      <c r="Q68" s="102">
        <v>31</v>
      </c>
      <c r="R68" s="102">
        <v>31</v>
      </c>
      <c r="S68" s="102">
        <v>32</v>
      </c>
      <c r="T68" s="102">
        <v>32</v>
      </c>
      <c r="U68" s="102">
        <v>32</v>
      </c>
      <c r="V68" s="102">
        <v>31</v>
      </c>
      <c r="W68" s="102">
        <v>31</v>
      </c>
      <c r="X68" s="102">
        <v>31</v>
      </c>
      <c r="Y68" s="102">
        <v>30</v>
      </c>
      <c r="DA68" s="175" t="s">
        <v>511</v>
      </c>
    </row>
    <row r="69" spans="1:105" ht="11.45" customHeight="1" x14ac:dyDescent="0.25">
      <c r="A69" s="111" t="s">
        <v>111</v>
      </c>
      <c r="B69" s="102">
        <v>9679</v>
      </c>
      <c r="C69" s="102">
        <v>9597</v>
      </c>
      <c r="D69" s="102">
        <v>9781</v>
      </c>
      <c r="E69" s="102">
        <v>10131</v>
      </c>
      <c r="F69" s="102">
        <v>10491</v>
      </c>
      <c r="G69" s="102">
        <v>10691</v>
      </c>
      <c r="H69" s="102">
        <v>10913</v>
      </c>
      <c r="I69" s="102">
        <v>11261</v>
      </c>
      <c r="J69" s="102">
        <v>11998</v>
      </c>
      <c r="K69" s="102">
        <v>12741</v>
      </c>
      <c r="L69" s="102">
        <v>13383</v>
      </c>
      <c r="M69" s="102">
        <v>13973</v>
      </c>
      <c r="N69" s="102">
        <v>14678</v>
      </c>
      <c r="O69" s="102">
        <v>15285</v>
      </c>
      <c r="P69" s="102">
        <v>15990</v>
      </c>
      <c r="Q69" s="102">
        <v>16599</v>
      </c>
      <c r="R69" s="102">
        <v>17277</v>
      </c>
      <c r="S69" s="102">
        <v>17853</v>
      </c>
      <c r="T69" s="102">
        <v>18245</v>
      </c>
      <c r="U69" s="102">
        <v>18828</v>
      </c>
      <c r="V69" s="102">
        <v>19041</v>
      </c>
      <c r="W69" s="102">
        <v>19039</v>
      </c>
      <c r="X69" s="102">
        <v>18883</v>
      </c>
      <c r="Y69" s="102">
        <v>18732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0</v>
      </c>
      <c r="DA70" s="175" t="s">
        <v>513</v>
      </c>
    </row>
    <row r="71" spans="1:105" ht="11.45" customHeight="1" x14ac:dyDescent="0.25">
      <c r="A71" s="111" t="s">
        <v>113</v>
      </c>
      <c r="B71" s="102">
        <v>105</v>
      </c>
      <c r="C71" s="102">
        <v>103</v>
      </c>
      <c r="D71" s="102">
        <v>156</v>
      </c>
      <c r="E71" s="102">
        <v>158</v>
      </c>
      <c r="F71" s="102">
        <v>155</v>
      </c>
      <c r="G71" s="102">
        <v>154</v>
      </c>
      <c r="H71" s="102">
        <v>203</v>
      </c>
      <c r="I71" s="102">
        <v>207</v>
      </c>
      <c r="J71" s="102">
        <v>201</v>
      </c>
      <c r="K71" s="102">
        <v>202</v>
      </c>
      <c r="L71" s="102">
        <v>192</v>
      </c>
      <c r="M71" s="102">
        <v>181</v>
      </c>
      <c r="N71" s="102">
        <v>170</v>
      </c>
      <c r="O71" s="102">
        <v>166</v>
      </c>
      <c r="P71" s="102">
        <v>176</v>
      </c>
      <c r="Q71" s="102">
        <v>176</v>
      </c>
      <c r="R71" s="102">
        <v>167</v>
      </c>
      <c r="S71" s="102">
        <v>158</v>
      </c>
      <c r="T71" s="102">
        <v>166</v>
      </c>
      <c r="U71" s="102">
        <v>161</v>
      </c>
      <c r="V71" s="102">
        <v>119</v>
      </c>
      <c r="W71" s="102">
        <v>119</v>
      </c>
      <c r="X71" s="102">
        <v>123</v>
      </c>
      <c r="Y71" s="102">
        <v>135</v>
      </c>
      <c r="DA71" s="175" t="s">
        <v>514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6</v>
      </c>
      <c r="O72" s="102">
        <v>3</v>
      </c>
      <c r="P72" s="102">
        <v>5</v>
      </c>
      <c r="Q72" s="102">
        <v>6</v>
      </c>
      <c r="R72" s="102">
        <v>16</v>
      </c>
      <c r="S72" s="102">
        <v>24</v>
      </c>
      <c r="T72" s="102">
        <v>24</v>
      </c>
      <c r="U72" s="102">
        <v>65</v>
      </c>
      <c r="V72" s="102">
        <v>91</v>
      </c>
      <c r="W72" s="102">
        <v>281</v>
      </c>
      <c r="X72" s="102">
        <v>558</v>
      </c>
      <c r="Y72" s="102">
        <v>664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304167</v>
      </c>
      <c r="C73" s="28">
        <f t="shared" si="134"/>
        <v>312579</v>
      </c>
      <c r="D73" s="28">
        <f t="shared" si="134"/>
        <v>319609</v>
      </c>
      <c r="E73" s="28">
        <f t="shared" si="134"/>
        <v>327146</v>
      </c>
      <c r="F73" s="28">
        <f t="shared" si="134"/>
        <v>354863</v>
      </c>
      <c r="G73" s="28">
        <f t="shared" si="134"/>
        <v>363902</v>
      </c>
      <c r="H73" s="28">
        <f t="shared" si="134"/>
        <v>376417</v>
      </c>
      <c r="I73" s="28">
        <f t="shared" si="134"/>
        <v>395858</v>
      </c>
      <c r="J73" s="28">
        <f t="shared" si="134"/>
        <v>426852</v>
      </c>
      <c r="K73" s="28">
        <f t="shared" si="134"/>
        <v>446766</v>
      </c>
      <c r="L73" s="28">
        <f t="shared" ref="L73" si="135">L74+L80</f>
        <v>467432</v>
      </c>
      <c r="M73" s="28">
        <f t="shared" ref="M73:V73" si="136">M74+M80</f>
        <v>493322</v>
      </c>
      <c r="N73" s="28">
        <f t="shared" si="136"/>
        <v>512620</v>
      </c>
      <c r="O73" s="28">
        <f t="shared" si="136"/>
        <v>531386</v>
      </c>
      <c r="P73" s="28">
        <f t="shared" si="136"/>
        <v>548943</v>
      </c>
      <c r="Q73" s="28">
        <f t="shared" si="136"/>
        <v>567620</v>
      </c>
      <c r="R73" s="28">
        <f t="shared" si="136"/>
        <v>589586</v>
      </c>
      <c r="S73" s="28">
        <f t="shared" si="136"/>
        <v>613233</v>
      </c>
      <c r="T73" s="28">
        <f t="shared" si="136"/>
        <v>635781</v>
      </c>
      <c r="U73" s="28">
        <f t="shared" si="136"/>
        <v>658816</v>
      </c>
      <c r="V73" s="28">
        <f t="shared" si="136"/>
        <v>684263</v>
      </c>
      <c r="W73" s="28">
        <f t="shared" ref="W73:Y73" si="137">W74+W80</f>
        <v>695585</v>
      </c>
      <c r="X73" s="28">
        <f t="shared" si="137"/>
        <v>709578</v>
      </c>
      <c r="Y73" s="28">
        <f t="shared" si="137"/>
        <v>722432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236290</v>
      </c>
      <c r="C74" s="137">
        <f t="shared" si="138"/>
        <v>241125</v>
      </c>
      <c r="D74" s="137">
        <f t="shared" si="138"/>
        <v>244299</v>
      </c>
      <c r="E74" s="137">
        <f t="shared" si="138"/>
        <v>247139</v>
      </c>
      <c r="F74" s="137">
        <f t="shared" si="138"/>
        <v>269586</v>
      </c>
      <c r="G74" s="137">
        <f t="shared" si="138"/>
        <v>273278</v>
      </c>
      <c r="H74" s="137">
        <f t="shared" si="138"/>
        <v>281407</v>
      </c>
      <c r="I74" s="137">
        <f t="shared" si="138"/>
        <v>294196</v>
      </c>
      <c r="J74" s="137">
        <f t="shared" si="138"/>
        <v>315275</v>
      </c>
      <c r="K74" s="137">
        <f t="shared" si="138"/>
        <v>328962</v>
      </c>
      <c r="L74" s="137">
        <f t="shared" ref="L74" si="139">SUM(L75:L79)</f>
        <v>343343</v>
      </c>
      <c r="M74" s="137">
        <f t="shared" ref="M74:V74" si="140">SUM(M75:M79)</f>
        <v>361499</v>
      </c>
      <c r="N74" s="137">
        <f t="shared" si="140"/>
        <v>375059</v>
      </c>
      <c r="O74" s="137">
        <f t="shared" si="140"/>
        <v>387674</v>
      </c>
      <c r="P74" s="137">
        <f t="shared" si="140"/>
        <v>400396</v>
      </c>
      <c r="Q74" s="137">
        <f t="shared" si="140"/>
        <v>414295</v>
      </c>
      <c r="R74" s="137">
        <f t="shared" si="140"/>
        <v>430717</v>
      </c>
      <c r="S74" s="137">
        <f t="shared" si="140"/>
        <v>448034</v>
      </c>
      <c r="T74" s="137">
        <f t="shared" si="140"/>
        <v>465024</v>
      </c>
      <c r="U74" s="137">
        <f t="shared" si="140"/>
        <v>481797</v>
      </c>
      <c r="V74" s="137">
        <f t="shared" si="140"/>
        <v>502047</v>
      </c>
      <c r="W74" s="137">
        <f t="shared" ref="W74:Y74" si="141">SUM(W75:W79)</f>
        <v>508961</v>
      </c>
      <c r="X74" s="137">
        <f t="shared" si="141"/>
        <v>519123</v>
      </c>
      <c r="Y74" s="137">
        <f t="shared" si="141"/>
        <v>528029</v>
      </c>
      <c r="DA74" s="174" t="s">
        <v>517</v>
      </c>
    </row>
    <row r="75" spans="1:105" ht="11.45" customHeight="1" x14ac:dyDescent="0.25">
      <c r="A75" s="111" t="s">
        <v>110</v>
      </c>
      <c r="B75" s="84">
        <v>41753</v>
      </c>
      <c r="C75" s="84">
        <v>39509</v>
      </c>
      <c r="D75" s="84">
        <v>37341</v>
      </c>
      <c r="E75" s="84">
        <v>34723</v>
      </c>
      <c r="F75" s="84">
        <v>33268</v>
      </c>
      <c r="G75" s="84">
        <v>31658</v>
      </c>
      <c r="H75" s="84">
        <v>29917</v>
      </c>
      <c r="I75" s="84">
        <v>28517</v>
      </c>
      <c r="J75" s="84">
        <v>28564</v>
      </c>
      <c r="K75" s="84">
        <v>28343</v>
      </c>
      <c r="L75" s="84">
        <v>28165</v>
      </c>
      <c r="M75" s="84">
        <v>28060</v>
      </c>
      <c r="N75" s="84">
        <v>27916</v>
      </c>
      <c r="O75" s="84">
        <v>26999</v>
      </c>
      <c r="P75" s="84">
        <v>26815</v>
      </c>
      <c r="Q75" s="84">
        <v>26652</v>
      </c>
      <c r="R75" s="84">
        <v>26611</v>
      </c>
      <c r="S75" s="84">
        <v>26535</v>
      </c>
      <c r="T75" s="84">
        <v>26503</v>
      </c>
      <c r="U75" s="84">
        <v>26572</v>
      </c>
      <c r="V75" s="84">
        <v>26843</v>
      </c>
      <c r="W75" s="84">
        <v>27036</v>
      </c>
      <c r="X75" s="84">
        <v>27131</v>
      </c>
      <c r="Y75" s="84">
        <v>27134</v>
      </c>
      <c r="DA75" s="171" t="s">
        <v>518</v>
      </c>
    </row>
    <row r="76" spans="1:105" ht="11.45" customHeight="1" x14ac:dyDescent="0.25">
      <c r="A76" s="111" t="s">
        <v>111</v>
      </c>
      <c r="B76" s="84">
        <v>194380</v>
      </c>
      <c r="C76" s="84">
        <v>201460</v>
      </c>
      <c r="D76" s="84">
        <v>206819</v>
      </c>
      <c r="E76" s="84">
        <v>212287</v>
      </c>
      <c r="F76" s="84">
        <v>236199</v>
      </c>
      <c r="G76" s="84">
        <v>241510</v>
      </c>
      <c r="H76" s="84">
        <v>251385</v>
      </c>
      <c r="I76" s="84">
        <v>265571</v>
      </c>
      <c r="J76" s="84">
        <v>286590</v>
      </c>
      <c r="K76" s="84">
        <v>300478</v>
      </c>
      <c r="L76" s="84">
        <v>315015</v>
      </c>
      <c r="M76" s="84">
        <v>333250</v>
      </c>
      <c r="N76" s="84">
        <v>346920</v>
      </c>
      <c r="O76" s="84">
        <v>360403</v>
      </c>
      <c r="P76" s="84">
        <v>373261</v>
      </c>
      <c r="Q76" s="84">
        <v>387254</v>
      </c>
      <c r="R76" s="84">
        <v>403611</v>
      </c>
      <c r="S76" s="84">
        <v>420837</v>
      </c>
      <c r="T76" s="84">
        <v>437643</v>
      </c>
      <c r="U76" s="84">
        <v>454084</v>
      </c>
      <c r="V76" s="84">
        <v>473832</v>
      </c>
      <c r="W76" s="84">
        <v>480142</v>
      </c>
      <c r="X76" s="84">
        <v>489742</v>
      </c>
      <c r="Y76" s="84">
        <v>497102</v>
      </c>
      <c r="DA76" s="171" t="s">
        <v>519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3</v>
      </c>
      <c r="D78" s="84">
        <v>3</v>
      </c>
      <c r="E78" s="84">
        <v>3</v>
      </c>
      <c r="F78" s="84">
        <v>3</v>
      </c>
      <c r="G78" s="84">
        <v>4</v>
      </c>
      <c r="H78" s="84">
        <v>4</v>
      </c>
      <c r="I78" s="84">
        <v>11</v>
      </c>
      <c r="J78" s="84">
        <v>20</v>
      </c>
      <c r="K78" s="84">
        <v>37</v>
      </c>
      <c r="L78" s="84">
        <v>52</v>
      </c>
      <c r="M78" s="84">
        <v>77</v>
      </c>
      <c r="N78" s="84">
        <v>99</v>
      </c>
      <c r="O78" s="84">
        <v>145</v>
      </c>
      <c r="P78" s="84">
        <v>173</v>
      </c>
      <c r="Q78" s="84">
        <v>203</v>
      </c>
      <c r="R78" s="84">
        <v>247</v>
      </c>
      <c r="S78" s="84">
        <v>373</v>
      </c>
      <c r="T78" s="84">
        <v>543</v>
      </c>
      <c r="U78" s="84">
        <v>745</v>
      </c>
      <c r="V78" s="84">
        <v>928</v>
      </c>
      <c r="W78" s="84">
        <v>987</v>
      </c>
      <c r="X78" s="84">
        <v>948</v>
      </c>
      <c r="Y78" s="84">
        <v>952</v>
      </c>
      <c r="DA78" s="171" t="s">
        <v>521</v>
      </c>
    </row>
    <row r="79" spans="1:105" ht="11.45" customHeight="1" x14ac:dyDescent="0.25">
      <c r="A79" s="111" t="s">
        <v>115</v>
      </c>
      <c r="B79" s="84">
        <v>157</v>
      </c>
      <c r="C79" s="84">
        <v>153</v>
      </c>
      <c r="D79" s="84">
        <v>136</v>
      </c>
      <c r="E79" s="84">
        <v>126</v>
      </c>
      <c r="F79" s="84">
        <v>116</v>
      </c>
      <c r="G79" s="84">
        <v>106</v>
      </c>
      <c r="H79" s="84">
        <v>101</v>
      </c>
      <c r="I79" s="84">
        <v>97</v>
      </c>
      <c r="J79" s="84">
        <v>101</v>
      </c>
      <c r="K79" s="84">
        <v>104</v>
      </c>
      <c r="L79" s="84">
        <v>111</v>
      </c>
      <c r="M79" s="84">
        <v>112</v>
      </c>
      <c r="N79" s="84">
        <v>124</v>
      </c>
      <c r="O79" s="84">
        <v>127</v>
      </c>
      <c r="P79" s="84">
        <v>147</v>
      </c>
      <c r="Q79" s="84">
        <v>186</v>
      </c>
      <c r="R79" s="84">
        <v>248</v>
      </c>
      <c r="S79" s="84">
        <v>289</v>
      </c>
      <c r="T79" s="84">
        <v>335</v>
      </c>
      <c r="U79" s="84">
        <v>396</v>
      </c>
      <c r="V79" s="84">
        <v>444</v>
      </c>
      <c r="W79" s="84">
        <v>796</v>
      </c>
      <c r="X79" s="84">
        <v>1302</v>
      </c>
      <c r="Y79" s="84">
        <v>2841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67877</v>
      </c>
      <c r="C80" s="110">
        <f t="shared" si="142"/>
        <v>71454</v>
      </c>
      <c r="D80" s="110">
        <f t="shared" si="142"/>
        <v>75310</v>
      </c>
      <c r="E80" s="110">
        <f t="shared" si="142"/>
        <v>80007</v>
      </c>
      <c r="F80" s="110">
        <f t="shared" si="142"/>
        <v>85277</v>
      </c>
      <c r="G80" s="110">
        <f t="shared" si="142"/>
        <v>90624</v>
      </c>
      <c r="H80" s="110">
        <f t="shared" si="142"/>
        <v>95010</v>
      </c>
      <c r="I80" s="110">
        <f t="shared" si="142"/>
        <v>101662</v>
      </c>
      <c r="J80" s="110">
        <f t="shared" si="142"/>
        <v>111577</v>
      </c>
      <c r="K80" s="110">
        <f t="shared" si="142"/>
        <v>117804</v>
      </c>
      <c r="L80" s="110">
        <f t="shared" ref="L80" si="143">SUM(L81:L82)</f>
        <v>124089</v>
      </c>
      <c r="M80" s="110">
        <f t="shared" ref="M80:V80" si="144">SUM(M81:M82)</f>
        <v>131823</v>
      </c>
      <c r="N80" s="110">
        <f t="shared" si="144"/>
        <v>137561</v>
      </c>
      <c r="O80" s="110">
        <f t="shared" si="144"/>
        <v>143712</v>
      </c>
      <c r="P80" s="110">
        <f t="shared" si="144"/>
        <v>148547</v>
      </c>
      <c r="Q80" s="110">
        <f t="shared" si="144"/>
        <v>153325</v>
      </c>
      <c r="R80" s="110">
        <f t="shared" si="144"/>
        <v>158869</v>
      </c>
      <c r="S80" s="110">
        <f t="shared" si="144"/>
        <v>165199</v>
      </c>
      <c r="T80" s="110">
        <f t="shared" si="144"/>
        <v>170757</v>
      </c>
      <c r="U80" s="110">
        <f t="shared" si="144"/>
        <v>177019</v>
      </c>
      <c r="V80" s="110">
        <f t="shared" si="144"/>
        <v>182216</v>
      </c>
      <c r="W80" s="110">
        <f t="shared" ref="W80:Y80" si="145">SUM(W81:W82)</f>
        <v>186624</v>
      </c>
      <c r="X80" s="110">
        <f t="shared" si="145"/>
        <v>190455</v>
      </c>
      <c r="Y80" s="110">
        <f t="shared" si="145"/>
        <v>194403</v>
      </c>
      <c r="DA80" s="176" t="s">
        <v>523</v>
      </c>
    </row>
    <row r="81" spans="1:105" ht="11.45" customHeight="1" x14ac:dyDescent="0.25">
      <c r="A81" s="128" t="s">
        <v>27</v>
      </c>
      <c r="B81" s="102">
        <v>67282</v>
      </c>
      <c r="C81" s="102">
        <v>70816</v>
      </c>
      <c r="D81" s="102">
        <v>74639</v>
      </c>
      <c r="E81" s="102">
        <v>79322</v>
      </c>
      <c r="F81" s="102">
        <v>84467</v>
      </c>
      <c r="G81" s="102">
        <v>89789</v>
      </c>
      <c r="H81" s="102">
        <v>94126</v>
      </c>
      <c r="I81" s="102">
        <v>100757</v>
      </c>
      <c r="J81" s="102">
        <v>110648</v>
      </c>
      <c r="K81" s="102">
        <v>116945</v>
      </c>
      <c r="L81" s="102">
        <v>122983</v>
      </c>
      <c r="M81" s="102">
        <v>131104</v>
      </c>
      <c r="N81" s="102">
        <v>136671</v>
      </c>
      <c r="O81" s="102">
        <v>142940</v>
      </c>
      <c r="P81" s="102">
        <v>147559</v>
      </c>
      <c r="Q81" s="102">
        <v>152197</v>
      </c>
      <c r="R81" s="102">
        <v>157917</v>
      </c>
      <c r="S81" s="102">
        <v>164247</v>
      </c>
      <c r="T81" s="102">
        <v>169688</v>
      </c>
      <c r="U81" s="102">
        <v>176123</v>
      </c>
      <c r="V81" s="102">
        <v>181299</v>
      </c>
      <c r="W81" s="102">
        <v>185474</v>
      </c>
      <c r="X81" s="102">
        <v>189332</v>
      </c>
      <c r="Y81" s="102">
        <v>193339</v>
      </c>
      <c r="DA81" s="175" t="s">
        <v>524</v>
      </c>
    </row>
    <row r="82" spans="1:105" ht="11.45" customHeight="1" x14ac:dyDescent="0.25">
      <c r="A82" s="138" t="s">
        <v>116</v>
      </c>
      <c r="B82" s="86">
        <v>595</v>
      </c>
      <c r="C82" s="86">
        <v>638</v>
      </c>
      <c r="D82" s="86">
        <v>671</v>
      </c>
      <c r="E82" s="86">
        <v>685</v>
      </c>
      <c r="F82" s="86">
        <v>810</v>
      </c>
      <c r="G82" s="86">
        <v>835</v>
      </c>
      <c r="H82" s="86">
        <v>884</v>
      </c>
      <c r="I82" s="86">
        <v>905</v>
      </c>
      <c r="J82" s="86">
        <v>929</v>
      </c>
      <c r="K82" s="86">
        <v>859</v>
      </c>
      <c r="L82" s="86">
        <v>1106</v>
      </c>
      <c r="M82" s="86">
        <v>719</v>
      </c>
      <c r="N82" s="86">
        <v>890</v>
      </c>
      <c r="O82" s="86">
        <v>772</v>
      </c>
      <c r="P82" s="86">
        <v>988</v>
      </c>
      <c r="Q82" s="86">
        <v>1128</v>
      </c>
      <c r="R82" s="86">
        <v>952</v>
      </c>
      <c r="S82" s="86">
        <v>952</v>
      </c>
      <c r="T82" s="86">
        <v>1069</v>
      </c>
      <c r="U82" s="86">
        <v>896</v>
      </c>
      <c r="V82" s="86">
        <v>917</v>
      </c>
      <c r="W82" s="86">
        <v>1150</v>
      </c>
      <c r="X82" s="86">
        <v>1123</v>
      </c>
      <c r="Y82" s="86">
        <v>1064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2628149</v>
      </c>
      <c r="C84" s="54">
        <f t="shared" si="146"/>
        <v>2674787</v>
      </c>
      <c r="D84" s="54">
        <f t="shared" ref="D84:V84" si="147">D85+D100</f>
        <v>2733177</v>
      </c>
      <c r="E84" s="54">
        <f t="shared" si="147"/>
        <v>2842229</v>
      </c>
      <c r="F84" s="54">
        <f t="shared" si="147"/>
        <v>2968449</v>
      </c>
      <c r="G84" s="54">
        <f t="shared" si="147"/>
        <v>3091062</v>
      </c>
      <c r="H84" s="54">
        <f t="shared" si="147"/>
        <v>3215294</v>
      </c>
      <c r="I84" s="54">
        <f t="shared" si="147"/>
        <v>3337446</v>
      </c>
      <c r="J84" s="54">
        <f t="shared" si="147"/>
        <v>3543457</v>
      </c>
      <c r="K84" s="54">
        <f t="shared" si="147"/>
        <v>3674228</v>
      </c>
      <c r="L84" s="54">
        <f t="shared" si="147"/>
        <v>3826049</v>
      </c>
      <c r="M84" s="54">
        <f t="shared" si="147"/>
        <v>3981592</v>
      </c>
      <c r="N84" s="54">
        <f t="shared" si="147"/>
        <v>4102142</v>
      </c>
      <c r="O84" s="54">
        <f t="shared" si="147"/>
        <v>4206957</v>
      </c>
      <c r="P84" s="54">
        <f t="shared" si="147"/>
        <v>4306071</v>
      </c>
      <c r="Q84" s="54">
        <f t="shared" si="147"/>
        <v>4400439</v>
      </c>
      <c r="R84" s="54">
        <f t="shared" si="147"/>
        <v>4521544</v>
      </c>
      <c r="S84" s="54">
        <f t="shared" si="147"/>
        <v>4633993</v>
      </c>
      <c r="T84" s="54">
        <f t="shared" si="147"/>
        <v>4738496</v>
      </c>
      <c r="U84" s="54">
        <f t="shared" si="147"/>
        <v>4851702</v>
      </c>
      <c r="V84" s="54">
        <f t="shared" si="147"/>
        <v>4947533</v>
      </c>
      <c r="W84" s="54">
        <f t="shared" ref="W84:Y84" si="148">W85+W100</f>
        <v>5002650</v>
      </c>
      <c r="X84" s="54">
        <f t="shared" si="148"/>
        <v>5058623</v>
      </c>
      <c r="Y84" s="54">
        <f t="shared" si="148"/>
        <v>5119883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2323982</v>
      </c>
      <c r="C85" s="28">
        <f t="shared" si="149"/>
        <v>2362208</v>
      </c>
      <c r="D85" s="28">
        <f t="shared" ref="D85:V85" si="150">D86+D87+D94</f>
        <v>2413568</v>
      </c>
      <c r="E85" s="28">
        <f t="shared" si="150"/>
        <v>2515083</v>
      </c>
      <c r="F85" s="28">
        <f t="shared" si="150"/>
        <v>2613586</v>
      </c>
      <c r="G85" s="28">
        <f t="shared" si="150"/>
        <v>2727160</v>
      </c>
      <c r="H85" s="28">
        <f t="shared" si="150"/>
        <v>2838877</v>
      </c>
      <c r="I85" s="28">
        <f t="shared" si="150"/>
        <v>2941588</v>
      </c>
      <c r="J85" s="28">
        <f t="shared" si="150"/>
        <v>3116605</v>
      </c>
      <c r="K85" s="28">
        <f t="shared" si="150"/>
        <v>3227462</v>
      </c>
      <c r="L85" s="28">
        <f t="shared" si="150"/>
        <v>3358617</v>
      </c>
      <c r="M85" s="28">
        <f t="shared" si="150"/>
        <v>3488270</v>
      </c>
      <c r="N85" s="28">
        <f t="shared" si="150"/>
        <v>3589522</v>
      </c>
      <c r="O85" s="28">
        <f t="shared" si="150"/>
        <v>3675571</v>
      </c>
      <c r="P85" s="28">
        <f t="shared" si="150"/>
        <v>3757128</v>
      </c>
      <c r="Q85" s="28">
        <f t="shared" si="150"/>
        <v>3832819</v>
      </c>
      <c r="R85" s="28">
        <f t="shared" si="150"/>
        <v>3931958</v>
      </c>
      <c r="S85" s="28">
        <f t="shared" si="150"/>
        <v>4020760</v>
      </c>
      <c r="T85" s="28">
        <f t="shared" si="150"/>
        <v>4102715</v>
      </c>
      <c r="U85" s="28">
        <f t="shared" si="150"/>
        <v>4192886</v>
      </c>
      <c r="V85" s="28">
        <f t="shared" si="150"/>
        <v>4263270</v>
      </c>
      <c r="W85" s="28">
        <f t="shared" ref="W85:Y85" si="151">W86+W87+W94</f>
        <v>4307065</v>
      </c>
      <c r="X85" s="28">
        <f t="shared" si="151"/>
        <v>4349045</v>
      </c>
      <c r="Y85" s="28">
        <f t="shared" si="151"/>
        <v>4397451</v>
      </c>
      <c r="DA85" s="173"/>
    </row>
    <row r="86" spans="1:105" ht="11.45" hidden="1" customHeight="1" x14ac:dyDescent="0.25">
      <c r="A86" s="136" t="s">
        <v>173</v>
      </c>
      <c r="B86" s="137">
        <v>193422</v>
      </c>
      <c r="C86" s="137">
        <v>206235</v>
      </c>
      <c r="D86" s="137">
        <v>223577</v>
      </c>
      <c r="E86" s="137">
        <v>245382</v>
      </c>
      <c r="F86" s="137">
        <v>271720</v>
      </c>
      <c r="G86" s="137">
        <v>301805</v>
      </c>
      <c r="H86" s="137">
        <v>338443</v>
      </c>
      <c r="I86" s="137">
        <v>376532</v>
      </c>
      <c r="J86" s="137">
        <v>421544</v>
      </c>
      <c r="K86" s="137">
        <v>456197</v>
      </c>
      <c r="L86" s="137">
        <v>486766</v>
      </c>
      <c r="M86" s="137">
        <v>515517</v>
      </c>
      <c r="N86" s="137">
        <v>538019</v>
      </c>
      <c r="O86" s="137">
        <v>554252</v>
      </c>
      <c r="P86" s="137">
        <v>568191</v>
      </c>
      <c r="Q86" s="137">
        <v>581147</v>
      </c>
      <c r="R86" s="137">
        <v>591795</v>
      </c>
      <c r="S86" s="137">
        <v>603756</v>
      </c>
      <c r="T86" s="137">
        <v>613741</v>
      </c>
      <c r="U86" s="137">
        <v>623997</v>
      </c>
      <c r="V86" s="137">
        <v>636457</v>
      </c>
      <c r="W86" s="137">
        <v>646063</v>
      </c>
      <c r="X86" s="137">
        <v>655700</v>
      </c>
      <c r="Y86" s="137">
        <v>659611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2120749</v>
      </c>
      <c r="C87" s="110">
        <f t="shared" si="152"/>
        <v>2146243</v>
      </c>
      <c r="D87" s="110">
        <f t="shared" ref="D87:V87" si="153">SUM(D88:D93)</f>
        <v>2180025</v>
      </c>
      <c r="E87" s="110">
        <f t="shared" si="153"/>
        <v>2259383</v>
      </c>
      <c r="F87" s="110">
        <f t="shared" si="153"/>
        <v>2331190</v>
      </c>
      <c r="G87" s="110">
        <f t="shared" si="153"/>
        <v>2414477</v>
      </c>
      <c r="H87" s="110">
        <f t="shared" si="153"/>
        <v>2489287</v>
      </c>
      <c r="I87" s="110">
        <f t="shared" si="153"/>
        <v>2553556</v>
      </c>
      <c r="J87" s="110">
        <f t="shared" si="153"/>
        <v>2682831</v>
      </c>
      <c r="K87" s="110">
        <f t="shared" si="153"/>
        <v>2758291</v>
      </c>
      <c r="L87" s="110">
        <f t="shared" si="153"/>
        <v>2858244</v>
      </c>
      <c r="M87" s="110">
        <f t="shared" si="153"/>
        <v>2958568</v>
      </c>
      <c r="N87" s="110">
        <f t="shared" si="153"/>
        <v>3036618</v>
      </c>
      <c r="O87" s="110">
        <f t="shared" si="153"/>
        <v>3105834</v>
      </c>
      <c r="P87" s="110">
        <f t="shared" si="153"/>
        <v>3172735</v>
      </c>
      <c r="Q87" s="110">
        <f t="shared" si="153"/>
        <v>3234860</v>
      </c>
      <c r="R87" s="110">
        <f t="shared" si="153"/>
        <v>3322672</v>
      </c>
      <c r="S87" s="110">
        <f t="shared" si="153"/>
        <v>3398937</v>
      </c>
      <c r="T87" s="110">
        <f t="shared" si="153"/>
        <v>3470507</v>
      </c>
      <c r="U87" s="110">
        <f t="shared" si="153"/>
        <v>3549803</v>
      </c>
      <c r="V87" s="110">
        <f t="shared" si="153"/>
        <v>3607531</v>
      </c>
      <c r="W87" s="110">
        <f t="shared" ref="W87:Y87" si="154">SUM(W88:W93)</f>
        <v>3641532</v>
      </c>
      <c r="X87" s="110">
        <f t="shared" si="154"/>
        <v>3673750</v>
      </c>
      <c r="Y87" s="110">
        <f t="shared" si="154"/>
        <v>3718279</v>
      </c>
      <c r="DA87" s="176"/>
    </row>
    <row r="88" spans="1:105" ht="11.45" hidden="1" customHeight="1" x14ac:dyDescent="0.25">
      <c r="A88" s="111" t="s">
        <v>110</v>
      </c>
      <c r="B88" s="84">
        <v>1902775</v>
      </c>
      <c r="C88" s="84">
        <v>1916217</v>
      </c>
      <c r="D88" s="84">
        <v>1937022</v>
      </c>
      <c r="E88" s="84">
        <v>1995338</v>
      </c>
      <c r="F88" s="84">
        <v>2057168</v>
      </c>
      <c r="G88" s="84">
        <v>2113418</v>
      </c>
      <c r="H88" s="84">
        <v>2157246</v>
      </c>
      <c r="I88" s="84">
        <v>2183527</v>
      </c>
      <c r="J88" s="84">
        <v>2235678</v>
      </c>
      <c r="K88" s="84">
        <v>2263751</v>
      </c>
      <c r="L88" s="84">
        <v>2302664</v>
      </c>
      <c r="M88" s="84">
        <v>2340949</v>
      </c>
      <c r="N88" s="84">
        <v>2371525</v>
      </c>
      <c r="O88" s="84">
        <v>2399165</v>
      </c>
      <c r="P88" s="84">
        <v>2424647</v>
      </c>
      <c r="Q88" s="84">
        <v>2447882</v>
      </c>
      <c r="R88" s="84">
        <v>2489315</v>
      </c>
      <c r="S88" s="84">
        <v>2521458</v>
      </c>
      <c r="T88" s="84">
        <v>2548091</v>
      </c>
      <c r="U88" s="84">
        <v>2584290</v>
      </c>
      <c r="V88" s="84">
        <v>2598084</v>
      </c>
      <c r="W88" s="84">
        <v>2583387</v>
      </c>
      <c r="X88" s="84">
        <v>2568097</v>
      </c>
      <c r="Y88" s="84">
        <v>2583669</v>
      </c>
      <c r="DA88" s="171"/>
    </row>
    <row r="89" spans="1:105" ht="11.45" hidden="1" customHeight="1" x14ac:dyDescent="0.25">
      <c r="A89" s="111" t="s">
        <v>111</v>
      </c>
      <c r="B89" s="84">
        <v>217974</v>
      </c>
      <c r="C89" s="84">
        <v>230026</v>
      </c>
      <c r="D89" s="84">
        <v>243003</v>
      </c>
      <c r="E89" s="84">
        <v>264045</v>
      </c>
      <c r="F89" s="84">
        <v>274022</v>
      </c>
      <c r="G89" s="84">
        <v>301059</v>
      </c>
      <c r="H89" s="84">
        <v>332038</v>
      </c>
      <c r="I89" s="84">
        <v>369920</v>
      </c>
      <c r="J89" s="84">
        <v>446936</v>
      </c>
      <c r="K89" s="84">
        <v>494161</v>
      </c>
      <c r="L89" s="84">
        <v>555073</v>
      </c>
      <c r="M89" s="84">
        <v>616942</v>
      </c>
      <c r="N89" s="84">
        <v>664025</v>
      </c>
      <c r="O89" s="84">
        <v>705192</v>
      </c>
      <c r="P89" s="84">
        <v>745912</v>
      </c>
      <c r="Q89" s="84">
        <v>783844</v>
      </c>
      <c r="R89" s="84">
        <v>828254</v>
      </c>
      <c r="S89" s="84">
        <v>867156</v>
      </c>
      <c r="T89" s="84">
        <v>901316</v>
      </c>
      <c r="U89" s="84">
        <v>926769</v>
      </c>
      <c r="V89" s="84">
        <v>941773</v>
      </c>
      <c r="W89" s="84">
        <v>944762</v>
      </c>
      <c r="X89" s="84">
        <v>935861</v>
      </c>
      <c r="Y89" s="84">
        <v>929186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0</v>
      </c>
      <c r="D90" s="84">
        <v>0</v>
      </c>
      <c r="E90" s="84">
        <v>0</v>
      </c>
      <c r="F90" s="84">
        <v>0</v>
      </c>
      <c r="G90" s="84">
        <v>0</v>
      </c>
      <c r="H90" s="84">
        <v>0</v>
      </c>
      <c r="I90" s="84">
        <v>0</v>
      </c>
      <c r="J90" s="84">
        <v>0</v>
      </c>
      <c r="K90" s="84">
        <v>0</v>
      </c>
      <c r="L90" s="84">
        <v>0</v>
      </c>
      <c r="M90" s="84">
        <v>0</v>
      </c>
      <c r="N90" s="84">
        <v>0</v>
      </c>
      <c r="O90" s="84">
        <v>0</v>
      </c>
      <c r="P90" s="84">
        <v>0</v>
      </c>
      <c r="Q90" s="84">
        <v>0</v>
      </c>
      <c r="R90" s="84">
        <v>0</v>
      </c>
      <c r="S90" s="84">
        <v>0</v>
      </c>
      <c r="T90" s="84">
        <v>0</v>
      </c>
      <c r="U90" s="84">
        <v>0</v>
      </c>
      <c r="V90" s="84">
        <v>0</v>
      </c>
      <c r="W90" s="84">
        <v>0</v>
      </c>
      <c r="X90" s="84">
        <v>0</v>
      </c>
      <c r="Y90" s="84">
        <v>0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3</v>
      </c>
      <c r="I91" s="84">
        <v>106</v>
      </c>
      <c r="J91" s="84">
        <v>210</v>
      </c>
      <c r="K91" s="84">
        <v>366</v>
      </c>
      <c r="L91" s="84">
        <v>484</v>
      </c>
      <c r="M91" s="84">
        <v>621</v>
      </c>
      <c r="N91" s="84">
        <v>831</v>
      </c>
      <c r="O91" s="84">
        <v>1020</v>
      </c>
      <c r="P91" s="84">
        <v>1250</v>
      </c>
      <c r="Q91" s="84">
        <v>1503</v>
      </c>
      <c r="R91" s="84">
        <v>1822</v>
      </c>
      <c r="S91" s="84">
        <v>3155</v>
      </c>
      <c r="T91" s="84">
        <v>5601</v>
      </c>
      <c r="U91" s="84">
        <v>9380</v>
      </c>
      <c r="V91" s="84">
        <v>12357</v>
      </c>
      <c r="W91" s="84">
        <v>13472</v>
      </c>
      <c r="X91" s="84">
        <v>15749</v>
      </c>
      <c r="Y91" s="84">
        <v>15998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128</v>
      </c>
      <c r="O92" s="84">
        <v>288</v>
      </c>
      <c r="P92" s="84">
        <v>566</v>
      </c>
      <c r="Q92" s="84">
        <v>1017</v>
      </c>
      <c r="R92" s="84">
        <v>2437</v>
      </c>
      <c r="S92" s="84">
        <v>5719</v>
      </c>
      <c r="T92" s="84">
        <v>13095</v>
      </c>
      <c r="U92" s="84">
        <v>24703</v>
      </c>
      <c r="V92" s="84">
        <v>45620</v>
      </c>
      <c r="W92" s="84">
        <v>76990</v>
      </c>
      <c r="X92" s="84">
        <v>106058</v>
      </c>
      <c r="Y92" s="84">
        <v>115307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3</v>
      </c>
      <c r="J93" s="84">
        <v>7</v>
      </c>
      <c r="K93" s="84">
        <v>13</v>
      </c>
      <c r="L93" s="84">
        <v>23</v>
      </c>
      <c r="M93" s="84">
        <v>56</v>
      </c>
      <c r="N93" s="84">
        <v>109</v>
      </c>
      <c r="O93" s="84">
        <v>169</v>
      </c>
      <c r="P93" s="84">
        <v>360</v>
      </c>
      <c r="Q93" s="84">
        <v>614</v>
      </c>
      <c r="R93" s="84">
        <v>844</v>
      </c>
      <c r="S93" s="84">
        <v>1449</v>
      </c>
      <c r="T93" s="84">
        <v>2404</v>
      </c>
      <c r="U93" s="84">
        <v>4661</v>
      </c>
      <c r="V93" s="84">
        <v>9697</v>
      </c>
      <c r="W93" s="84">
        <v>22921</v>
      </c>
      <c r="X93" s="84">
        <v>47985</v>
      </c>
      <c r="Y93" s="84">
        <v>74119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9811</v>
      </c>
      <c r="C94" s="110">
        <f t="shared" si="155"/>
        <v>9730</v>
      </c>
      <c r="D94" s="110">
        <f t="shared" ref="D94:V94" si="156">SUM(D95:D99)</f>
        <v>9966</v>
      </c>
      <c r="E94" s="110">
        <f t="shared" si="156"/>
        <v>10318</v>
      </c>
      <c r="F94" s="110">
        <f t="shared" si="156"/>
        <v>10676</v>
      </c>
      <c r="G94" s="110">
        <f t="shared" si="156"/>
        <v>10878</v>
      </c>
      <c r="H94" s="110">
        <f t="shared" si="156"/>
        <v>11147</v>
      </c>
      <c r="I94" s="110">
        <f t="shared" si="156"/>
        <v>11500</v>
      </c>
      <c r="J94" s="110">
        <f t="shared" si="156"/>
        <v>12230</v>
      </c>
      <c r="K94" s="110">
        <f t="shared" si="156"/>
        <v>12974</v>
      </c>
      <c r="L94" s="110">
        <f t="shared" si="156"/>
        <v>13607</v>
      </c>
      <c r="M94" s="110">
        <f t="shared" si="156"/>
        <v>14185</v>
      </c>
      <c r="N94" s="110">
        <f t="shared" si="156"/>
        <v>14885</v>
      </c>
      <c r="O94" s="110">
        <f t="shared" si="156"/>
        <v>15485</v>
      </c>
      <c r="P94" s="110">
        <f t="shared" si="156"/>
        <v>16202</v>
      </c>
      <c r="Q94" s="110">
        <f t="shared" si="156"/>
        <v>16812</v>
      </c>
      <c r="R94" s="110">
        <f t="shared" si="156"/>
        <v>17491</v>
      </c>
      <c r="S94" s="110">
        <f t="shared" si="156"/>
        <v>18067</v>
      </c>
      <c r="T94" s="110">
        <f t="shared" si="156"/>
        <v>18467</v>
      </c>
      <c r="U94" s="110">
        <f t="shared" si="156"/>
        <v>19086</v>
      </c>
      <c r="V94" s="110">
        <f t="shared" si="156"/>
        <v>19282</v>
      </c>
      <c r="W94" s="110">
        <f t="shared" ref="W94:Y94" si="157">SUM(W95:W99)</f>
        <v>19470</v>
      </c>
      <c r="X94" s="110">
        <f t="shared" si="157"/>
        <v>19595</v>
      </c>
      <c r="Y94" s="110">
        <f t="shared" si="157"/>
        <v>19561</v>
      </c>
      <c r="DA94" s="176"/>
    </row>
    <row r="95" spans="1:105" ht="11.45" hidden="1" customHeight="1" x14ac:dyDescent="0.25">
      <c r="A95" s="111" t="s">
        <v>110</v>
      </c>
      <c r="B95" s="102">
        <v>27</v>
      </c>
      <c r="C95" s="102">
        <v>30</v>
      </c>
      <c r="D95" s="102">
        <v>29</v>
      </c>
      <c r="E95" s="102">
        <v>29</v>
      </c>
      <c r="F95" s="102">
        <v>30</v>
      </c>
      <c r="G95" s="102">
        <v>33</v>
      </c>
      <c r="H95" s="102">
        <v>31</v>
      </c>
      <c r="I95" s="102">
        <v>32</v>
      </c>
      <c r="J95" s="102">
        <v>31</v>
      </c>
      <c r="K95" s="102">
        <v>31</v>
      </c>
      <c r="L95" s="102">
        <v>32</v>
      </c>
      <c r="M95" s="102">
        <v>31</v>
      </c>
      <c r="N95" s="102">
        <v>31</v>
      </c>
      <c r="O95" s="102">
        <v>31</v>
      </c>
      <c r="P95" s="102">
        <v>31</v>
      </c>
      <c r="Q95" s="102">
        <v>31</v>
      </c>
      <c r="R95" s="102">
        <v>31</v>
      </c>
      <c r="S95" s="102">
        <v>32</v>
      </c>
      <c r="T95" s="102">
        <v>32</v>
      </c>
      <c r="U95" s="102">
        <v>32</v>
      </c>
      <c r="V95" s="102">
        <v>31</v>
      </c>
      <c r="W95" s="102">
        <v>31</v>
      </c>
      <c r="X95" s="102">
        <v>31</v>
      </c>
      <c r="Y95" s="102">
        <v>30</v>
      </c>
      <c r="DA95" s="175"/>
    </row>
    <row r="96" spans="1:105" ht="11.45" hidden="1" customHeight="1" x14ac:dyDescent="0.25">
      <c r="A96" s="111" t="s">
        <v>111</v>
      </c>
      <c r="B96" s="102">
        <v>9679</v>
      </c>
      <c r="C96" s="102">
        <v>9597</v>
      </c>
      <c r="D96" s="102">
        <v>9781</v>
      </c>
      <c r="E96" s="102">
        <v>10131</v>
      </c>
      <c r="F96" s="102">
        <v>10491</v>
      </c>
      <c r="G96" s="102">
        <v>10691</v>
      </c>
      <c r="H96" s="102">
        <v>10913</v>
      </c>
      <c r="I96" s="102">
        <v>11261</v>
      </c>
      <c r="J96" s="102">
        <v>11998</v>
      </c>
      <c r="K96" s="102">
        <v>12741</v>
      </c>
      <c r="L96" s="102">
        <v>13383</v>
      </c>
      <c r="M96" s="102">
        <v>13973</v>
      </c>
      <c r="N96" s="102">
        <v>14678</v>
      </c>
      <c r="O96" s="102">
        <v>15285</v>
      </c>
      <c r="P96" s="102">
        <v>15990</v>
      </c>
      <c r="Q96" s="102">
        <v>16599</v>
      </c>
      <c r="R96" s="102">
        <v>17277</v>
      </c>
      <c r="S96" s="102">
        <v>17853</v>
      </c>
      <c r="T96" s="102">
        <v>18245</v>
      </c>
      <c r="U96" s="102">
        <v>18828</v>
      </c>
      <c r="V96" s="102">
        <v>19041</v>
      </c>
      <c r="W96" s="102">
        <v>19039</v>
      </c>
      <c r="X96" s="102">
        <v>18883</v>
      </c>
      <c r="Y96" s="102">
        <v>18732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X97" s="102">
        <v>0</v>
      </c>
      <c r="Y97" s="102">
        <v>0</v>
      </c>
      <c r="DA97" s="175"/>
    </row>
    <row r="98" spans="1:105" ht="11.45" hidden="1" customHeight="1" x14ac:dyDescent="0.25">
      <c r="A98" s="111" t="s">
        <v>113</v>
      </c>
      <c r="B98" s="102">
        <v>105</v>
      </c>
      <c r="C98" s="102">
        <v>103</v>
      </c>
      <c r="D98" s="102">
        <v>156</v>
      </c>
      <c r="E98" s="102">
        <v>158</v>
      </c>
      <c r="F98" s="102">
        <v>155</v>
      </c>
      <c r="G98" s="102">
        <v>154</v>
      </c>
      <c r="H98" s="102">
        <v>203</v>
      </c>
      <c r="I98" s="102">
        <v>207</v>
      </c>
      <c r="J98" s="102">
        <v>201</v>
      </c>
      <c r="K98" s="102">
        <v>202</v>
      </c>
      <c r="L98" s="102">
        <v>192</v>
      </c>
      <c r="M98" s="102">
        <v>181</v>
      </c>
      <c r="N98" s="102">
        <v>170</v>
      </c>
      <c r="O98" s="102">
        <v>166</v>
      </c>
      <c r="P98" s="102">
        <v>176</v>
      </c>
      <c r="Q98" s="102">
        <v>176</v>
      </c>
      <c r="R98" s="102">
        <v>167</v>
      </c>
      <c r="S98" s="102">
        <v>158</v>
      </c>
      <c r="T98" s="102">
        <v>166</v>
      </c>
      <c r="U98" s="102">
        <v>161</v>
      </c>
      <c r="V98" s="102">
        <v>119</v>
      </c>
      <c r="W98" s="102">
        <v>119</v>
      </c>
      <c r="X98" s="102">
        <v>123</v>
      </c>
      <c r="Y98" s="102">
        <v>135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6</v>
      </c>
      <c r="O99" s="102">
        <v>3</v>
      </c>
      <c r="P99" s="102">
        <v>5</v>
      </c>
      <c r="Q99" s="102">
        <v>6</v>
      </c>
      <c r="R99" s="102">
        <v>16</v>
      </c>
      <c r="S99" s="102">
        <v>24</v>
      </c>
      <c r="T99" s="102">
        <v>24</v>
      </c>
      <c r="U99" s="102">
        <v>65</v>
      </c>
      <c r="V99" s="102">
        <v>91</v>
      </c>
      <c r="W99" s="102">
        <v>281</v>
      </c>
      <c r="X99" s="102">
        <v>558</v>
      </c>
      <c r="Y99" s="102">
        <v>664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304167</v>
      </c>
      <c r="C100" s="28">
        <f t="shared" si="158"/>
        <v>312579</v>
      </c>
      <c r="D100" s="28">
        <f t="shared" ref="D100:V100" si="159">D101+D107</f>
        <v>319609</v>
      </c>
      <c r="E100" s="28">
        <f t="shared" si="159"/>
        <v>327146</v>
      </c>
      <c r="F100" s="28">
        <f t="shared" si="159"/>
        <v>354863</v>
      </c>
      <c r="G100" s="28">
        <f t="shared" si="159"/>
        <v>363902</v>
      </c>
      <c r="H100" s="28">
        <f t="shared" si="159"/>
        <v>376417</v>
      </c>
      <c r="I100" s="28">
        <f t="shared" si="159"/>
        <v>395858</v>
      </c>
      <c r="J100" s="28">
        <f t="shared" si="159"/>
        <v>426852</v>
      </c>
      <c r="K100" s="28">
        <f t="shared" si="159"/>
        <v>446766</v>
      </c>
      <c r="L100" s="28">
        <f t="shared" si="159"/>
        <v>467432</v>
      </c>
      <c r="M100" s="28">
        <f t="shared" si="159"/>
        <v>493322</v>
      </c>
      <c r="N100" s="28">
        <f t="shared" si="159"/>
        <v>512620</v>
      </c>
      <c r="O100" s="28">
        <f t="shared" si="159"/>
        <v>531386</v>
      </c>
      <c r="P100" s="28">
        <f t="shared" si="159"/>
        <v>548943</v>
      </c>
      <c r="Q100" s="28">
        <f t="shared" si="159"/>
        <v>567620</v>
      </c>
      <c r="R100" s="28">
        <f t="shared" si="159"/>
        <v>589586</v>
      </c>
      <c r="S100" s="28">
        <f t="shared" si="159"/>
        <v>613233</v>
      </c>
      <c r="T100" s="28">
        <f t="shared" si="159"/>
        <v>635781</v>
      </c>
      <c r="U100" s="28">
        <f t="shared" si="159"/>
        <v>658816</v>
      </c>
      <c r="V100" s="28">
        <f t="shared" si="159"/>
        <v>684263</v>
      </c>
      <c r="W100" s="28">
        <f t="shared" ref="W100:Y100" si="160">W101+W107</f>
        <v>695585</v>
      </c>
      <c r="X100" s="28">
        <f t="shared" si="160"/>
        <v>709578</v>
      </c>
      <c r="Y100" s="28">
        <f t="shared" si="160"/>
        <v>722432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236290</v>
      </c>
      <c r="C101" s="137">
        <f t="shared" si="161"/>
        <v>241125</v>
      </c>
      <c r="D101" s="137">
        <f t="shared" ref="D101:V101" si="162">SUM(D102:D106)</f>
        <v>244299</v>
      </c>
      <c r="E101" s="137">
        <f t="shared" si="162"/>
        <v>247139</v>
      </c>
      <c r="F101" s="137">
        <f t="shared" si="162"/>
        <v>269586</v>
      </c>
      <c r="G101" s="137">
        <f t="shared" si="162"/>
        <v>273278</v>
      </c>
      <c r="H101" s="137">
        <f t="shared" si="162"/>
        <v>281407</v>
      </c>
      <c r="I101" s="137">
        <f t="shared" si="162"/>
        <v>294196</v>
      </c>
      <c r="J101" s="137">
        <f t="shared" si="162"/>
        <v>315275</v>
      </c>
      <c r="K101" s="137">
        <f t="shared" si="162"/>
        <v>328962</v>
      </c>
      <c r="L101" s="137">
        <f t="shared" si="162"/>
        <v>343343</v>
      </c>
      <c r="M101" s="137">
        <f t="shared" si="162"/>
        <v>361499</v>
      </c>
      <c r="N101" s="137">
        <f t="shared" si="162"/>
        <v>375059</v>
      </c>
      <c r="O101" s="137">
        <f t="shared" si="162"/>
        <v>387674</v>
      </c>
      <c r="P101" s="137">
        <f t="shared" si="162"/>
        <v>400396</v>
      </c>
      <c r="Q101" s="137">
        <f t="shared" si="162"/>
        <v>414295</v>
      </c>
      <c r="R101" s="137">
        <f t="shared" si="162"/>
        <v>430717</v>
      </c>
      <c r="S101" s="137">
        <f t="shared" si="162"/>
        <v>448034</v>
      </c>
      <c r="T101" s="137">
        <f t="shared" si="162"/>
        <v>465024</v>
      </c>
      <c r="U101" s="137">
        <f t="shared" si="162"/>
        <v>481797</v>
      </c>
      <c r="V101" s="137">
        <f t="shared" si="162"/>
        <v>502047</v>
      </c>
      <c r="W101" s="137">
        <f t="shared" ref="W101:Y101" si="163">SUM(W102:W106)</f>
        <v>508961</v>
      </c>
      <c r="X101" s="137">
        <f t="shared" si="163"/>
        <v>519123</v>
      </c>
      <c r="Y101" s="137">
        <f t="shared" si="163"/>
        <v>528029</v>
      </c>
      <c r="DA101" s="174"/>
    </row>
    <row r="102" spans="1:105" ht="11.45" hidden="1" customHeight="1" x14ac:dyDescent="0.25">
      <c r="A102" s="111" t="s">
        <v>110</v>
      </c>
      <c r="B102" s="84">
        <v>41753</v>
      </c>
      <c r="C102" s="84">
        <v>39509</v>
      </c>
      <c r="D102" s="84">
        <v>37341</v>
      </c>
      <c r="E102" s="84">
        <v>34723</v>
      </c>
      <c r="F102" s="84">
        <v>33268</v>
      </c>
      <c r="G102" s="84">
        <v>31658</v>
      </c>
      <c r="H102" s="84">
        <v>29917</v>
      </c>
      <c r="I102" s="84">
        <v>28517</v>
      </c>
      <c r="J102" s="84">
        <v>28564</v>
      </c>
      <c r="K102" s="84">
        <v>28343</v>
      </c>
      <c r="L102" s="84">
        <v>28165</v>
      </c>
      <c r="M102" s="84">
        <v>28060</v>
      </c>
      <c r="N102" s="84">
        <v>27916</v>
      </c>
      <c r="O102" s="84">
        <v>26999</v>
      </c>
      <c r="P102" s="84">
        <v>26815</v>
      </c>
      <c r="Q102" s="84">
        <v>26652</v>
      </c>
      <c r="R102" s="84">
        <v>26611</v>
      </c>
      <c r="S102" s="84">
        <v>26535</v>
      </c>
      <c r="T102" s="84">
        <v>26503</v>
      </c>
      <c r="U102" s="84">
        <v>26572</v>
      </c>
      <c r="V102" s="84">
        <v>26843</v>
      </c>
      <c r="W102" s="84">
        <v>27036</v>
      </c>
      <c r="X102" s="84">
        <v>27131</v>
      </c>
      <c r="Y102" s="84">
        <v>27134</v>
      </c>
      <c r="DA102" s="171"/>
    </row>
    <row r="103" spans="1:105" ht="11.45" hidden="1" customHeight="1" x14ac:dyDescent="0.25">
      <c r="A103" s="111" t="s">
        <v>111</v>
      </c>
      <c r="B103" s="84">
        <v>194380</v>
      </c>
      <c r="C103" s="84">
        <v>201460</v>
      </c>
      <c r="D103" s="84">
        <v>206819</v>
      </c>
      <c r="E103" s="84">
        <v>212287</v>
      </c>
      <c r="F103" s="84">
        <v>236199</v>
      </c>
      <c r="G103" s="84">
        <v>241510</v>
      </c>
      <c r="H103" s="84">
        <v>251385</v>
      </c>
      <c r="I103" s="84">
        <v>265571</v>
      </c>
      <c r="J103" s="84">
        <v>286590</v>
      </c>
      <c r="K103" s="84">
        <v>300478</v>
      </c>
      <c r="L103" s="84">
        <v>315015</v>
      </c>
      <c r="M103" s="84">
        <v>333250</v>
      </c>
      <c r="N103" s="84">
        <v>346920</v>
      </c>
      <c r="O103" s="84">
        <v>360403</v>
      </c>
      <c r="P103" s="84">
        <v>373261</v>
      </c>
      <c r="Q103" s="84">
        <v>387254</v>
      </c>
      <c r="R103" s="84">
        <v>403611</v>
      </c>
      <c r="S103" s="84">
        <v>420837</v>
      </c>
      <c r="T103" s="84">
        <v>437643</v>
      </c>
      <c r="U103" s="84">
        <v>454084</v>
      </c>
      <c r="V103" s="84">
        <v>473832</v>
      </c>
      <c r="W103" s="84">
        <v>480142</v>
      </c>
      <c r="X103" s="84">
        <v>489742</v>
      </c>
      <c r="Y103" s="84">
        <v>497102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0</v>
      </c>
      <c r="T104" s="84">
        <v>0</v>
      </c>
      <c r="U104" s="84">
        <v>0</v>
      </c>
      <c r="V104" s="84">
        <v>0</v>
      </c>
      <c r="W104" s="84">
        <v>0</v>
      </c>
      <c r="X104" s="84">
        <v>0</v>
      </c>
      <c r="Y104" s="84">
        <v>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3</v>
      </c>
      <c r="D105" s="84">
        <v>3</v>
      </c>
      <c r="E105" s="84">
        <v>3</v>
      </c>
      <c r="F105" s="84">
        <v>3</v>
      </c>
      <c r="G105" s="84">
        <v>4</v>
      </c>
      <c r="H105" s="84">
        <v>4</v>
      </c>
      <c r="I105" s="84">
        <v>11</v>
      </c>
      <c r="J105" s="84">
        <v>20</v>
      </c>
      <c r="K105" s="84">
        <v>37</v>
      </c>
      <c r="L105" s="84">
        <v>52</v>
      </c>
      <c r="M105" s="84">
        <v>77</v>
      </c>
      <c r="N105" s="84">
        <v>99</v>
      </c>
      <c r="O105" s="84">
        <v>145</v>
      </c>
      <c r="P105" s="84">
        <v>173</v>
      </c>
      <c r="Q105" s="84">
        <v>203</v>
      </c>
      <c r="R105" s="84">
        <v>247</v>
      </c>
      <c r="S105" s="84">
        <v>373</v>
      </c>
      <c r="T105" s="84">
        <v>543</v>
      </c>
      <c r="U105" s="84">
        <v>745</v>
      </c>
      <c r="V105" s="84">
        <v>928</v>
      </c>
      <c r="W105" s="84">
        <v>987</v>
      </c>
      <c r="X105" s="84">
        <v>948</v>
      </c>
      <c r="Y105" s="84">
        <v>952</v>
      </c>
      <c r="DA105" s="171"/>
    </row>
    <row r="106" spans="1:105" ht="11.45" hidden="1" customHeight="1" x14ac:dyDescent="0.25">
      <c r="A106" s="111" t="s">
        <v>115</v>
      </c>
      <c r="B106" s="84">
        <v>157</v>
      </c>
      <c r="C106" s="84">
        <v>153</v>
      </c>
      <c r="D106" s="84">
        <v>136</v>
      </c>
      <c r="E106" s="84">
        <v>126</v>
      </c>
      <c r="F106" s="84">
        <v>116</v>
      </c>
      <c r="G106" s="84">
        <v>106</v>
      </c>
      <c r="H106" s="84">
        <v>101</v>
      </c>
      <c r="I106" s="84">
        <v>97</v>
      </c>
      <c r="J106" s="84">
        <v>101</v>
      </c>
      <c r="K106" s="84">
        <v>104</v>
      </c>
      <c r="L106" s="84">
        <v>111</v>
      </c>
      <c r="M106" s="84">
        <v>112</v>
      </c>
      <c r="N106" s="84">
        <v>124</v>
      </c>
      <c r="O106" s="84">
        <v>127</v>
      </c>
      <c r="P106" s="84">
        <v>147</v>
      </c>
      <c r="Q106" s="84">
        <v>186</v>
      </c>
      <c r="R106" s="84">
        <v>248</v>
      </c>
      <c r="S106" s="84">
        <v>289</v>
      </c>
      <c r="T106" s="84">
        <v>335</v>
      </c>
      <c r="U106" s="84">
        <v>396</v>
      </c>
      <c r="V106" s="84">
        <v>444</v>
      </c>
      <c r="W106" s="84">
        <v>796</v>
      </c>
      <c r="X106" s="84">
        <v>1302</v>
      </c>
      <c r="Y106" s="84">
        <v>2841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67877</v>
      </c>
      <c r="C107" s="110">
        <f t="shared" si="164"/>
        <v>71454</v>
      </c>
      <c r="D107" s="110">
        <f t="shared" ref="D107:V107" si="165">SUM(D108:D109)</f>
        <v>75310</v>
      </c>
      <c r="E107" s="110">
        <f t="shared" si="165"/>
        <v>80007</v>
      </c>
      <c r="F107" s="110">
        <f t="shared" si="165"/>
        <v>85277</v>
      </c>
      <c r="G107" s="110">
        <f t="shared" si="165"/>
        <v>90624</v>
      </c>
      <c r="H107" s="110">
        <f t="shared" si="165"/>
        <v>95010</v>
      </c>
      <c r="I107" s="110">
        <f t="shared" si="165"/>
        <v>101662</v>
      </c>
      <c r="J107" s="110">
        <f t="shared" si="165"/>
        <v>111577</v>
      </c>
      <c r="K107" s="110">
        <f t="shared" si="165"/>
        <v>117804</v>
      </c>
      <c r="L107" s="110">
        <f t="shared" si="165"/>
        <v>124089</v>
      </c>
      <c r="M107" s="110">
        <f t="shared" si="165"/>
        <v>131823</v>
      </c>
      <c r="N107" s="110">
        <f t="shared" si="165"/>
        <v>137561</v>
      </c>
      <c r="O107" s="110">
        <f t="shared" si="165"/>
        <v>143712</v>
      </c>
      <c r="P107" s="110">
        <f t="shared" si="165"/>
        <v>148547</v>
      </c>
      <c r="Q107" s="110">
        <f t="shared" si="165"/>
        <v>153325</v>
      </c>
      <c r="R107" s="110">
        <f t="shared" si="165"/>
        <v>158869</v>
      </c>
      <c r="S107" s="110">
        <f t="shared" si="165"/>
        <v>165199</v>
      </c>
      <c r="T107" s="110">
        <f t="shared" si="165"/>
        <v>170757</v>
      </c>
      <c r="U107" s="110">
        <f t="shared" si="165"/>
        <v>177019</v>
      </c>
      <c r="V107" s="110">
        <f t="shared" si="165"/>
        <v>182216</v>
      </c>
      <c r="W107" s="110">
        <f t="shared" ref="W107:Y107" si="166">SUM(W108:W109)</f>
        <v>186624</v>
      </c>
      <c r="X107" s="110">
        <f t="shared" si="166"/>
        <v>190455</v>
      </c>
      <c r="Y107" s="110">
        <f t="shared" si="166"/>
        <v>194403</v>
      </c>
      <c r="DA107" s="176"/>
    </row>
    <row r="108" spans="1:105" ht="11.45" hidden="1" customHeight="1" x14ac:dyDescent="0.25">
      <c r="A108" s="128" t="s">
        <v>27</v>
      </c>
      <c r="B108" s="102">
        <v>67282</v>
      </c>
      <c r="C108" s="102">
        <v>70816</v>
      </c>
      <c r="D108" s="102">
        <v>74639</v>
      </c>
      <c r="E108" s="102">
        <v>79322</v>
      </c>
      <c r="F108" s="102">
        <v>84467</v>
      </c>
      <c r="G108" s="102">
        <v>89789</v>
      </c>
      <c r="H108" s="102">
        <v>94126</v>
      </c>
      <c r="I108" s="102">
        <v>100757</v>
      </c>
      <c r="J108" s="102">
        <v>110648</v>
      </c>
      <c r="K108" s="102">
        <v>116945</v>
      </c>
      <c r="L108" s="102">
        <v>122983</v>
      </c>
      <c r="M108" s="102">
        <v>131104</v>
      </c>
      <c r="N108" s="102">
        <v>136671</v>
      </c>
      <c r="O108" s="102">
        <v>142940</v>
      </c>
      <c r="P108" s="102">
        <v>147559</v>
      </c>
      <c r="Q108" s="102">
        <v>152197</v>
      </c>
      <c r="R108" s="102">
        <v>157917</v>
      </c>
      <c r="S108" s="102">
        <v>164247</v>
      </c>
      <c r="T108" s="102">
        <v>169688</v>
      </c>
      <c r="U108" s="102">
        <v>176123</v>
      </c>
      <c r="V108" s="102">
        <v>181299</v>
      </c>
      <c r="W108" s="102">
        <v>185474</v>
      </c>
      <c r="X108" s="102">
        <v>189332</v>
      </c>
      <c r="Y108" s="102">
        <v>193339</v>
      </c>
      <c r="DA108" s="175"/>
    </row>
    <row r="109" spans="1:105" ht="11.45" hidden="1" customHeight="1" x14ac:dyDescent="0.25">
      <c r="A109" s="138" t="s">
        <v>116</v>
      </c>
      <c r="B109" s="86">
        <v>595</v>
      </c>
      <c r="C109" s="86">
        <v>638</v>
      </c>
      <c r="D109" s="86">
        <v>671</v>
      </c>
      <c r="E109" s="86">
        <v>685</v>
      </c>
      <c r="F109" s="86">
        <v>810</v>
      </c>
      <c r="G109" s="86">
        <v>835</v>
      </c>
      <c r="H109" s="86">
        <v>884</v>
      </c>
      <c r="I109" s="86">
        <v>905</v>
      </c>
      <c r="J109" s="86">
        <v>929</v>
      </c>
      <c r="K109" s="86">
        <v>859</v>
      </c>
      <c r="L109" s="86">
        <v>1106</v>
      </c>
      <c r="M109" s="86">
        <v>719</v>
      </c>
      <c r="N109" s="86">
        <v>890</v>
      </c>
      <c r="O109" s="86">
        <v>772</v>
      </c>
      <c r="P109" s="86">
        <v>988</v>
      </c>
      <c r="Q109" s="86">
        <v>1128</v>
      </c>
      <c r="R109" s="86">
        <v>952</v>
      </c>
      <c r="S109" s="86">
        <v>952</v>
      </c>
      <c r="T109" s="86">
        <v>1069</v>
      </c>
      <c r="U109" s="86">
        <v>896</v>
      </c>
      <c r="V109" s="86">
        <v>917</v>
      </c>
      <c r="W109" s="86">
        <v>1150</v>
      </c>
      <c r="X109" s="86">
        <v>1123</v>
      </c>
      <c r="Y109" s="86">
        <v>1064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236460</v>
      </c>
      <c r="C111" s="54">
        <f t="shared" si="167"/>
        <v>221162</v>
      </c>
      <c r="D111" s="54">
        <f t="shared" si="167"/>
        <v>239221</v>
      </c>
      <c r="E111" s="54">
        <f t="shared" si="167"/>
        <v>280994</v>
      </c>
      <c r="F111" s="54">
        <f t="shared" si="167"/>
        <v>302958</v>
      </c>
      <c r="G111" s="54">
        <f t="shared" si="167"/>
        <v>295483</v>
      </c>
      <c r="H111" s="54">
        <f t="shared" si="167"/>
        <v>318490</v>
      </c>
      <c r="I111" s="54">
        <f t="shared" si="167"/>
        <v>311464</v>
      </c>
      <c r="J111" s="54">
        <f t="shared" si="167"/>
        <v>356844</v>
      </c>
      <c r="K111" s="54">
        <f t="shared" si="167"/>
        <v>288795</v>
      </c>
      <c r="L111" s="54">
        <f t="shared" ref="L111" si="168">L112+L127</f>
        <v>318992</v>
      </c>
      <c r="M111" s="54">
        <f t="shared" ref="M111:V111" si="169">M112+M127</f>
        <v>334016</v>
      </c>
      <c r="N111" s="54">
        <f t="shared" si="169"/>
        <v>305903</v>
      </c>
      <c r="O111" s="54">
        <f t="shared" si="169"/>
        <v>290881</v>
      </c>
      <c r="P111" s="54">
        <f t="shared" si="169"/>
        <v>291553</v>
      </c>
      <c r="Q111" s="54">
        <f t="shared" si="169"/>
        <v>303660</v>
      </c>
      <c r="R111" s="54">
        <f t="shared" si="169"/>
        <v>319812</v>
      </c>
      <c r="S111" s="54">
        <f t="shared" si="169"/>
        <v>329894</v>
      </c>
      <c r="T111" s="54">
        <f t="shared" si="169"/>
        <v>341285</v>
      </c>
      <c r="U111" s="54">
        <f t="shared" si="169"/>
        <v>343796</v>
      </c>
      <c r="V111" s="54">
        <f t="shared" si="169"/>
        <v>333606</v>
      </c>
      <c r="W111" s="54">
        <f t="shared" ref="W111:Y111" si="170">W112+W127</f>
        <v>338221</v>
      </c>
      <c r="X111" s="54">
        <f t="shared" si="170"/>
        <v>331998</v>
      </c>
      <c r="Y111" s="54">
        <f t="shared" si="170"/>
        <v>297746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221650</v>
      </c>
      <c r="C112" s="28">
        <f t="shared" si="171"/>
        <v>201188</v>
      </c>
      <c r="D112" s="28">
        <f t="shared" si="171"/>
        <v>216177</v>
      </c>
      <c r="E112" s="28">
        <f t="shared" si="171"/>
        <v>255224</v>
      </c>
      <c r="F112" s="28">
        <f t="shared" si="171"/>
        <v>258961</v>
      </c>
      <c r="G112" s="28">
        <f t="shared" si="171"/>
        <v>262037</v>
      </c>
      <c r="H112" s="28">
        <f t="shared" si="171"/>
        <v>282563</v>
      </c>
      <c r="I112" s="28">
        <f t="shared" si="171"/>
        <v>268010</v>
      </c>
      <c r="J112" s="28">
        <f t="shared" si="171"/>
        <v>301703</v>
      </c>
      <c r="K112" s="28">
        <f t="shared" si="171"/>
        <v>240602</v>
      </c>
      <c r="L112" s="28">
        <f t="shared" ref="L112" si="172">L113+L114+L121</f>
        <v>269626</v>
      </c>
      <c r="M112" s="28">
        <f t="shared" ref="M112:V112" si="173">M113+M114+M121</f>
        <v>280540</v>
      </c>
      <c r="N112" s="28">
        <f t="shared" si="173"/>
        <v>255420</v>
      </c>
      <c r="O112" s="28">
        <f t="shared" si="173"/>
        <v>241327</v>
      </c>
      <c r="P112" s="28">
        <f t="shared" si="173"/>
        <v>242630</v>
      </c>
      <c r="Q112" s="28">
        <f t="shared" si="173"/>
        <v>252974</v>
      </c>
      <c r="R112" s="28">
        <f t="shared" si="173"/>
        <v>264984</v>
      </c>
      <c r="S112" s="28">
        <f t="shared" si="173"/>
        <v>272051</v>
      </c>
      <c r="T112" s="28">
        <f t="shared" si="173"/>
        <v>281938</v>
      </c>
      <c r="U112" s="28">
        <f t="shared" si="173"/>
        <v>282873</v>
      </c>
      <c r="V112" s="28">
        <f t="shared" si="173"/>
        <v>271470</v>
      </c>
      <c r="W112" s="28">
        <f t="shared" ref="W112:Y112" si="174">W113+W114+W121</f>
        <v>284553</v>
      </c>
      <c r="X112" s="28">
        <f t="shared" si="174"/>
        <v>273903</v>
      </c>
      <c r="Y112" s="28">
        <f t="shared" si="174"/>
        <v>238275</v>
      </c>
      <c r="DA112" s="173" t="s">
        <v>527</v>
      </c>
    </row>
    <row r="113" spans="1:105" ht="11.45" customHeight="1" x14ac:dyDescent="0.25">
      <c r="A113" s="136" t="s">
        <v>173</v>
      </c>
      <c r="B113" s="137">
        <v>15501</v>
      </c>
      <c r="C113" s="137">
        <v>19643</v>
      </c>
      <c r="D113" s="137">
        <v>25545</v>
      </c>
      <c r="E113" s="137">
        <v>31449</v>
      </c>
      <c r="F113" s="137">
        <v>37524</v>
      </c>
      <c r="G113" s="137">
        <v>42701</v>
      </c>
      <c r="H113" s="137">
        <v>51456</v>
      </c>
      <c r="I113" s="137">
        <v>53958</v>
      </c>
      <c r="J113" s="137">
        <v>63325</v>
      </c>
      <c r="K113" s="137">
        <v>51220</v>
      </c>
      <c r="L113" s="137">
        <v>46765</v>
      </c>
      <c r="M113" s="137">
        <v>45669</v>
      </c>
      <c r="N113" s="137">
        <v>37199</v>
      </c>
      <c r="O113" s="137">
        <v>30379</v>
      </c>
      <c r="P113" s="137">
        <v>27816</v>
      </c>
      <c r="Q113" s="137">
        <v>26849</v>
      </c>
      <c r="R113" s="137">
        <v>24206</v>
      </c>
      <c r="S113" s="137">
        <v>26103</v>
      </c>
      <c r="T113" s="137">
        <v>23748</v>
      </c>
      <c r="U113" s="137">
        <v>24328</v>
      </c>
      <c r="V113" s="137">
        <v>27275</v>
      </c>
      <c r="W113" s="137">
        <v>23941</v>
      </c>
      <c r="X113" s="137">
        <v>24160</v>
      </c>
      <c r="Y113" s="137">
        <v>17184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205303</v>
      </c>
      <c r="C114" s="110">
        <f t="shared" si="175"/>
        <v>180962</v>
      </c>
      <c r="D114" s="110">
        <f t="shared" si="175"/>
        <v>189700</v>
      </c>
      <c r="E114" s="110">
        <f t="shared" si="175"/>
        <v>222704</v>
      </c>
      <c r="F114" s="110">
        <f t="shared" si="175"/>
        <v>220339</v>
      </c>
      <c r="G114" s="110">
        <f t="shared" si="175"/>
        <v>218382</v>
      </c>
      <c r="H114" s="110">
        <f t="shared" si="175"/>
        <v>230077</v>
      </c>
      <c r="I114" s="110">
        <f t="shared" si="175"/>
        <v>212938</v>
      </c>
      <c r="J114" s="110">
        <f t="shared" si="175"/>
        <v>236889</v>
      </c>
      <c r="K114" s="110">
        <f t="shared" si="175"/>
        <v>187882</v>
      </c>
      <c r="L114" s="110">
        <f t="shared" ref="L114" si="176">SUM(L115:L120)</f>
        <v>221480</v>
      </c>
      <c r="M114" s="110">
        <f t="shared" ref="M114:V114" si="177">SUM(M115:M120)</f>
        <v>233546</v>
      </c>
      <c r="N114" s="110">
        <f t="shared" si="177"/>
        <v>216775</v>
      </c>
      <c r="O114" s="110">
        <f t="shared" si="177"/>
        <v>209594</v>
      </c>
      <c r="P114" s="110">
        <f t="shared" si="177"/>
        <v>213337</v>
      </c>
      <c r="Q114" s="110">
        <f t="shared" si="177"/>
        <v>224738</v>
      </c>
      <c r="R114" s="110">
        <f t="shared" si="177"/>
        <v>239482</v>
      </c>
      <c r="S114" s="110">
        <f t="shared" si="177"/>
        <v>244681</v>
      </c>
      <c r="T114" s="110">
        <f t="shared" si="177"/>
        <v>257039</v>
      </c>
      <c r="U114" s="110">
        <f t="shared" si="177"/>
        <v>257084</v>
      </c>
      <c r="V114" s="110">
        <f t="shared" si="177"/>
        <v>243064</v>
      </c>
      <c r="W114" s="110">
        <f t="shared" ref="W114:Y114" si="178">SUM(W115:W120)</f>
        <v>259475</v>
      </c>
      <c r="X114" s="110">
        <f t="shared" si="178"/>
        <v>248423</v>
      </c>
      <c r="Y114" s="110">
        <f t="shared" si="178"/>
        <v>219928</v>
      </c>
      <c r="DA114" s="176" t="s">
        <v>529</v>
      </c>
    </row>
    <row r="115" spans="1:105" ht="11.45" customHeight="1" x14ac:dyDescent="0.25">
      <c r="A115" s="111" t="s">
        <v>110</v>
      </c>
      <c r="B115" s="84">
        <v>171706</v>
      </c>
      <c r="C115" s="84">
        <v>155279</v>
      </c>
      <c r="D115" s="84">
        <v>163404</v>
      </c>
      <c r="E115" s="84">
        <v>191542</v>
      </c>
      <c r="F115" s="84">
        <v>189103</v>
      </c>
      <c r="G115" s="84">
        <v>186376</v>
      </c>
      <c r="H115" s="84">
        <v>188028</v>
      </c>
      <c r="I115" s="84">
        <v>162617</v>
      </c>
      <c r="J115" s="84">
        <v>144864</v>
      </c>
      <c r="K115" s="84">
        <v>124028</v>
      </c>
      <c r="L115" s="84">
        <v>141934</v>
      </c>
      <c r="M115" s="84">
        <v>150939</v>
      </c>
      <c r="N115" s="84">
        <v>147166</v>
      </c>
      <c r="O115" s="84">
        <v>144514</v>
      </c>
      <c r="P115" s="84">
        <v>146358</v>
      </c>
      <c r="Q115" s="84">
        <v>158520</v>
      </c>
      <c r="R115" s="84">
        <v>165509</v>
      </c>
      <c r="S115" s="84">
        <v>171677</v>
      </c>
      <c r="T115" s="84">
        <v>182100</v>
      </c>
      <c r="U115" s="84">
        <v>183188</v>
      </c>
      <c r="V115" s="84">
        <v>166350</v>
      </c>
      <c r="W115" s="84">
        <v>167815</v>
      </c>
      <c r="X115" s="84">
        <v>151150</v>
      </c>
      <c r="Y115" s="84">
        <v>134359</v>
      </c>
      <c r="DA115" s="171" t="s">
        <v>530</v>
      </c>
    </row>
    <row r="116" spans="1:105" ht="11.45" customHeight="1" x14ac:dyDescent="0.25">
      <c r="A116" s="111" t="s">
        <v>111</v>
      </c>
      <c r="B116" s="84">
        <v>33597</v>
      </c>
      <c r="C116" s="84">
        <v>25683</v>
      </c>
      <c r="D116" s="84">
        <v>26296</v>
      </c>
      <c r="E116" s="84">
        <v>31162</v>
      </c>
      <c r="F116" s="84">
        <v>31236</v>
      </c>
      <c r="G116" s="84">
        <v>32006</v>
      </c>
      <c r="H116" s="84">
        <v>42046</v>
      </c>
      <c r="I116" s="84">
        <v>50215</v>
      </c>
      <c r="J116" s="84">
        <v>91916</v>
      </c>
      <c r="K116" s="84">
        <v>63692</v>
      </c>
      <c r="L116" s="84">
        <v>79412</v>
      </c>
      <c r="M116" s="84">
        <v>82436</v>
      </c>
      <c r="N116" s="84">
        <v>69216</v>
      </c>
      <c r="O116" s="84">
        <v>64669</v>
      </c>
      <c r="P116" s="84">
        <v>66277</v>
      </c>
      <c r="Q116" s="84">
        <v>65254</v>
      </c>
      <c r="R116" s="84">
        <v>71995</v>
      </c>
      <c r="S116" s="84">
        <v>67772</v>
      </c>
      <c r="T116" s="84">
        <v>64142</v>
      </c>
      <c r="U116" s="84">
        <v>56217</v>
      </c>
      <c r="V116" s="84">
        <v>47721</v>
      </c>
      <c r="W116" s="84">
        <v>45836</v>
      </c>
      <c r="X116" s="84">
        <v>40661</v>
      </c>
      <c r="Y116" s="84">
        <v>37343</v>
      </c>
      <c r="DA116" s="171" t="s">
        <v>531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0</v>
      </c>
      <c r="L117" s="84">
        <v>0</v>
      </c>
      <c r="M117" s="84">
        <v>0</v>
      </c>
      <c r="N117" s="84">
        <v>0</v>
      </c>
      <c r="O117" s="84">
        <v>0</v>
      </c>
      <c r="P117" s="84">
        <v>0</v>
      </c>
      <c r="Q117" s="84">
        <v>0</v>
      </c>
      <c r="R117" s="84">
        <v>0</v>
      </c>
      <c r="S117" s="84">
        <v>0</v>
      </c>
      <c r="T117" s="84">
        <v>0</v>
      </c>
      <c r="U117" s="84">
        <v>0</v>
      </c>
      <c r="V117" s="84">
        <v>0</v>
      </c>
      <c r="W117" s="84">
        <v>0</v>
      </c>
      <c r="X117" s="84">
        <v>0</v>
      </c>
      <c r="Y117" s="84">
        <v>0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3</v>
      </c>
      <c r="I118" s="84">
        <v>103</v>
      </c>
      <c r="J118" s="84">
        <v>104</v>
      </c>
      <c r="K118" s="84">
        <v>156</v>
      </c>
      <c r="L118" s="84">
        <v>119</v>
      </c>
      <c r="M118" s="84">
        <v>138</v>
      </c>
      <c r="N118" s="84">
        <v>212</v>
      </c>
      <c r="O118" s="84">
        <v>191</v>
      </c>
      <c r="P118" s="84">
        <v>233</v>
      </c>
      <c r="Q118" s="84">
        <v>257</v>
      </c>
      <c r="R118" s="84">
        <v>325</v>
      </c>
      <c r="S118" s="84">
        <v>1340</v>
      </c>
      <c r="T118" s="84">
        <v>2456</v>
      </c>
      <c r="U118" s="84">
        <v>3793</v>
      </c>
      <c r="V118" s="84">
        <v>2998</v>
      </c>
      <c r="W118" s="84">
        <v>1147</v>
      </c>
      <c r="X118" s="84">
        <v>2321</v>
      </c>
      <c r="Y118" s="84">
        <v>470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128</v>
      </c>
      <c r="O119" s="84">
        <v>160</v>
      </c>
      <c r="P119" s="84">
        <v>278</v>
      </c>
      <c r="Q119" s="84">
        <v>452</v>
      </c>
      <c r="R119" s="84">
        <v>1422</v>
      </c>
      <c r="S119" s="84">
        <v>3285</v>
      </c>
      <c r="T119" s="84">
        <v>7383</v>
      </c>
      <c r="U119" s="84">
        <v>11624</v>
      </c>
      <c r="V119" s="84">
        <v>20951</v>
      </c>
      <c r="W119" s="84">
        <v>31438</v>
      </c>
      <c r="X119" s="84">
        <v>29196</v>
      </c>
      <c r="Y119" s="84">
        <v>18085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3</v>
      </c>
      <c r="J120" s="84">
        <v>5</v>
      </c>
      <c r="K120" s="84">
        <v>6</v>
      </c>
      <c r="L120" s="84">
        <v>15</v>
      </c>
      <c r="M120" s="84">
        <v>33</v>
      </c>
      <c r="N120" s="84">
        <v>53</v>
      </c>
      <c r="O120" s="84">
        <v>60</v>
      </c>
      <c r="P120" s="84">
        <v>191</v>
      </c>
      <c r="Q120" s="84">
        <v>255</v>
      </c>
      <c r="R120" s="84">
        <v>231</v>
      </c>
      <c r="S120" s="84">
        <v>607</v>
      </c>
      <c r="T120" s="84">
        <v>958</v>
      </c>
      <c r="U120" s="84">
        <v>2262</v>
      </c>
      <c r="V120" s="84">
        <v>5044</v>
      </c>
      <c r="W120" s="84">
        <v>13239</v>
      </c>
      <c r="X120" s="84">
        <v>25095</v>
      </c>
      <c r="Y120" s="84">
        <v>29671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846</v>
      </c>
      <c r="C121" s="110">
        <f t="shared" si="179"/>
        <v>583</v>
      </c>
      <c r="D121" s="110">
        <f t="shared" si="179"/>
        <v>932</v>
      </c>
      <c r="E121" s="110">
        <f t="shared" si="179"/>
        <v>1071</v>
      </c>
      <c r="F121" s="110">
        <f t="shared" si="179"/>
        <v>1098</v>
      </c>
      <c r="G121" s="110">
        <f t="shared" si="179"/>
        <v>954</v>
      </c>
      <c r="H121" s="110">
        <f t="shared" si="179"/>
        <v>1030</v>
      </c>
      <c r="I121" s="110">
        <f t="shared" si="179"/>
        <v>1114</v>
      </c>
      <c r="J121" s="110">
        <f t="shared" si="179"/>
        <v>1489</v>
      </c>
      <c r="K121" s="110">
        <f t="shared" si="179"/>
        <v>1500</v>
      </c>
      <c r="L121" s="110">
        <f t="shared" ref="L121" si="180">SUM(L122:L126)</f>
        <v>1381</v>
      </c>
      <c r="M121" s="110">
        <f t="shared" ref="M121:V121" si="181">SUM(M122:M126)</f>
        <v>1325</v>
      </c>
      <c r="N121" s="110">
        <f t="shared" si="181"/>
        <v>1446</v>
      </c>
      <c r="O121" s="110">
        <f t="shared" si="181"/>
        <v>1354</v>
      </c>
      <c r="P121" s="110">
        <f t="shared" si="181"/>
        <v>1477</v>
      </c>
      <c r="Q121" s="110">
        <f t="shared" si="181"/>
        <v>1387</v>
      </c>
      <c r="R121" s="110">
        <f t="shared" si="181"/>
        <v>1296</v>
      </c>
      <c r="S121" s="110">
        <f t="shared" si="181"/>
        <v>1267</v>
      </c>
      <c r="T121" s="110">
        <f t="shared" si="181"/>
        <v>1151</v>
      </c>
      <c r="U121" s="110">
        <f t="shared" si="181"/>
        <v>1461</v>
      </c>
      <c r="V121" s="110">
        <f t="shared" si="181"/>
        <v>1131</v>
      </c>
      <c r="W121" s="110">
        <f t="shared" ref="W121:Y121" si="182">SUM(W122:W126)</f>
        <v>1137</v>
      </c>
      <c r="X121" s="110">
        <f t="shared" si="182"/>
        <v>1320</v>
      </c>
      <c r="Y121" s="110">
        <f t="shared" si="182"/>
        <v>1163</v>
      </c>
      <c r="DA121" s="176" t="s">
        <v>536</v>
      </c>
    </row>
    <row r="122" spans="1:105" ht="11.45" customHeight="1" x14ac:dyDescent="0.25">
      <c r="A122" s="111" t="s">
        <v>110</v>
      </c>
      <c r="B122" s="102">
        <v>1</v>
      </c>
      <c r="C122" s="102">
        <v>3</v>
      </c>
      <c r="D122" s="102">
        <v>0</v>
      </c>
      <c r="E122" s="102">
        <v>0</v>
      </c>
      <c r="F122" s="102">
        <v>1</v>
      </c>
      <c r="G122" s="102">
        <v>3</v>
      </c>
      <c r="H122" s="102">
        <v>0</v>
      </c>
      <c r="I122" s="102">
        <v>1</v>
      </c>
      <c r="J122" s="102">
        <v>0</v>
      </c>
      <c r="K122" s="102">
        <v>2</v>
      </c>
      <c r="L122" s="102">
        <v>1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1</v>
      </c>
      <c r="T122" s="102">
        <v>0</v>
      </c>
      <c r="U122" s="102">
        <v>0</v>
      </c>
      <c r="V122" s="102">
        <v>0</v>
      </c>
      <c r="W122" s="102">
        <v>0</v>
      </c>
      <c r="X122" s="102">
        <v>1</v>
      </c>
      <c r="Y122" s="102">
        <v>0</v>
      </c>
      <c r="DA122" s="175" t="s">
        <v>537</v>
      </c>
    </row>
    <row r="123" spans="1:105" ht="11.45" customHeight="1" x14ac:dyDescent="0.25">
      <c r="A123" s="111" t="s">
        <v>111</v>
      </c>
      <c r="B123" s="102">
        <v>845</v>
      </c>
      <c r="C123" s="102">
        <v>574</v>
      </c>
      <c r="D123" s="102">
        <v>871</v>
      </c>
      <c r="E123" s="102">
        <v>1061</v>
      </c>
      <c r="F123" s="102">
        <v>1091</v>
      </c>
      <c r="G123" s="102">
        <v>943</v>
      </c>
      <c r="H123" s="102">
        <v>971</v>
      </c>
      <c r="I123" s="102">
        <v>1100</v>
      </c>
      <c r="J123" s="102">
        <v>1485</v>
      </c>
      <c r="K123" s="102">
        <v>1486</v>
      </c>
      <c r="L123" s="102">
        <v>1380</v>
      </c>
      <c r="M123" s="102">
        <v>1325</v>
      </c>
      <c r="N123" s="102">
        <v>1440</v>
      </c>
      <c r="O123" s="102">
        <v>1347</v>
      </c>
      <c r="P123" s="102">
        <v>1454</v>
      </c>
      <c r="Q123" s="102">
        <v>1375</v>
      </c>
      <c r="R123" s="102">
        <v>1281</v>
      </c>
      <c r="S123" s="102">
        <v>1251</v>
      </c>
      <c r="T123" s="102">
        <v>1138</v>
      </c>
      <c r="U123" s="102">
        <v>1398</v>
      </c>
      <c r="V123" s="102">
        <v>1093</v>
      </c>
      <c r="W123" s="102">
        <v>941</v>
      </c>
      <c r="X123" s="102">
        <v>1028</v>
      </c>
      <c r="Y123" s="102">
        <v>1041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X124" s="102">
        <v>0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6</v>
      </c>
      <c r="D125" s="102">
        <v>61</v>
      </c>
      <c r="E125" s="102">
        <v>10</v>
      </c>
      <c r="F125" s="102">
        <v>6</v>
      </c>
      <c r="G125" s="102">
        <v>8</v>
      </c>
      <c r="H125" s="102">
        <v>59</v>
      </c>
      <c r="I125" s="102">
        <v>13</v>
      </c>
      <c r="J125" s="102">
        <v>4</v>
      </c>
      <c r="K125" s="102">
        <v>12</v>
      </c>
      <c r="L125" s="102">
        <v>0</v>
      </c>
      <c r="M125" s="102">
        <v>0</v>
      </c>
      <c r="N125" s="102">
        <v>0</v>
      </c>
      <c r="O125" s="102">
        <v>7</v>
      </c>
      <c r="P125" s="102">
        <v>21</v>
      </c>
      <c r="Q125" s="102">
        <v>11</v>
      </c>
      <c r="R125" s="102">
        <v>0</v>
      </c>
      <c r="S125" s="102">
        <v>6</v>
      </c>
      <c r="T125" s="102">
        <v>11</v>
      </c>
      <c r="U125" s="102">
        <v>15</v>
      </c>
      <c r="V125" s="102">
        <v>10</v>
      </c>
      <c r="W125" s="102">
        <v>5</v>
      </c>
      <c r="X125" s="102">
        <v>12</v>
      </c>
      <c r="Y125" s="102">
        <v>15</v>
      </c>
      <c r="DA125" s="175" t="s">
        <v>540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6</v>
      </c>
      <c r="O126" s="102">
        <v>0</v>
      </c>
      <c r="P126" s="102">
        <v>2</v>
      </c>
      <c r="Q126" s="102">
        <v>1</v>
      </c>
      <c r="R126" s="102">
        <v>15</v>
      </c>
      <c r="S126" s="102">
        <v>9</v>
      </c>
      <c r="T126" s="102">
        <v>2</v>
      </c>
      <c r="U126" s="102">
        <v>48</v>
      </c>
      <c r="V126" s="102">
        <v>28</v>
      </c>
      <c r="W126" s="102">
        <v>191</v>
      </c>
      <c r="X126" s="102">
        <v>279</v>
      </c>
      <c r="Y126" s="102">
        <v>107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14810</v>
      </c>
      <c r="C127" s="28">
        <f t="shared" si="183"/>
        <v>19974</v>
      </c>
      <c r="D127" s="28">
        <f t="shared" si="183"/>
        <v>23044</v>
      </c>
      <c r="E127" s="28">
        <f t="shared" si="183"/>
        <v>25770</v>
      </c>
      <c r="F127" s="28">
        <f t="shared" si="183"/>
        <v>43997</v>
      </c>
      <c r="G127" s="28">
        <f t="shared" si="183"/>
        <v>33446</v>
      </c>
      <c r="H127" s="28">
        <f t="shared" si="183"/>
        <v>35927</v>
      </c>
      <c r="I127" s="28">
        <f t="shared" si="183"/>
        <v>43454</v>
      </c>
      <c r="J127" s="28">
        <f t="shared" si="183"/>
        <v>55141</v>
      </c>
      <c r="K127" s="28">
        <f t="shared" si="183"/>
        <v>48193</v>
      </c>
      <c r="L127" s="28">
        <f t="shared" ref="L127" si="184">L128+L134</f>
        <v>49366</v>
      </c>
      <c r="M127" s="28">
        <f t="shared" ref="M127:V127" si="185">M128+M134</f>
        <v>53476</v>
      </c>
      <c r="N127" s="28">
        <f t="shared" si="185"/>
        <v>50483</v>
      </c>
      <c r="O127" s="28">
        <f t="shared" si="185"/>
        <v>49554</v>
      </c>
      <c r="P127" s="28">
        <f t="shared" si="185"/>
        <v>48923</v>
      </c>
      <c r="Q127" s="28">
        <f t="shared" si="185"/>
        <v>50686</v>
      </c>
      <c r="R127" s="28">
        <f t="shared" si="185"/>
        <v>54828</v>
      </c>
      <c r="S127" s="28">
        <f t="shared" si="185"/>
        <v>57843</v>
      </c>
      <c r="T127" s="28">
        <f t="shared" si="185"/>
        <v>59347</v>
      </c>
      <c r="U127" s="28">
        <f t="shared" si="185"/>
        <v>60923</v>
      </c>
      <c r="V127" s="28">
        <f t="shared" si="185"/>
        <v>62136</v>
      </c>
      <c r="W127" s="28">
        <f t="shared" ref="W127:Y127" si="186">W128+W134</f>
        <v>53668</v>
      </c>
      <c r="X127" s="28">
        <f t="shared" si="186"/>
        <v>58095</v>
      </c>
      <c r="Y127" s="28">
        <f t="shared" si="186"/>
        <v>59471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14750</v>
      </c>
      <c r="C128" s="137">
        <f t="shared" si="187"/>
        <v>14591</v>
      </c>
      <c r="D128" s="137">
        <f t="shared" si="187"/>
        <v>16584</v>
      </c>
      <c r="E128" s="137">
        <f t="shared" si="187"/>
        <v>18202</v>
      </c>
      <c r="F128" s="137">
        <f t="shared" si="187"/>
        <v>34888</v>
      </c>
      <c r="G128" s="137">
        <f t="shared" si="187"/>
        <v>24845</v>
      </c>
      <c r="H128" s="137">
        <f t="shared" si="187"/>
        <v>27304</v>
      </c>
      <c r="I128" s="137">
        <f t="shared" si="187"/>
        <v>32265</v>
      </c>
      <c r="J128" s="137">
        <f t="shared" si="187"/>
        <v>40464</v>
      </c>
      <c r="K128" s="137">
        <f t="shared" si="187"/>
        <v>36643</v>
      </c>
      <c r="L128" s="137">
        <f t="shared" ref="L128" si="188">SUM(L129:L133)</f>
        <v>36804</v>
      </c>
      <c r="M128" s="137">
        <f t="shared" ref="M128:V128" si="189">SUM(M129:M133)</f>
        <v>40171</v>
      </c>
      <c r="N128" s="137">
        <f t="shared" si="189"/>
        <v>37477</v>
      </c>
      <c r="O128" s="137">
        <f t="shared" si="189"/>
        <v>36530</v>
      </c>
      <c r="P128" s="137">
        <f t="shared" si="189"/>
        <v>36847</v>
      </c>
      <c r="Q128" s="137">
        <f t="shared" si="189"/>
        <v>38382</v>
      </c>
      <c r="R128" s="137">
        <f t="shared" si="189"/>
        <v>41350</v>
      </c>
      <c r="S128" s="137">
        <f t="shared" si="189"/>
        <v>43447</v>
      </c>
      <c r="T128" s="137">
        <f t="shared" si="189"/>
        <v>44514</v>
      </c>
      <c r="U128" s="137">
        <f t="shared" si="189"/>
        <v>45583</v>
      </c>
      <c r="V128" s="137">
        <f t="shared" si="189"/>
        <v>48934</v>
      </c>
      <c r="W128" s="137">
        <f t="shared" ref="W128:Y128" si="190">SUM(W129:W133)</f>
        <v>40357</v>
      </c>
      <c r="X128" s="137">
        <f t="shared" si="190"/>
        <v>43641</v>
      </c>
      <c r="Y128" s="137">
        <f t="shared" si="190"/>
        <v>44150</v>
      </c>
      <c r="DA128" s="174" t="s">
        <v>543</v>
      </c>
    </row>
    <row r="129" spans="1:105" ht="11.45" customHeight="1" x14ac:dyDescent="0.25">
      <c r="A129" s="111" t="s">
        <v>110</v>
      </c>
      <c r="B129" s="84">
        <v>144</v>
      </c>
      <c r="C129" s="84">
        <v>528</v>
      </c>
      <c r="D129" s="84">
        <v>612</v>
      </c>
      <c r="E129" s="84">
        <v>293</v>
      </c>
      <c r="F129" s="84">
        <v>818</v>
      </c>
      <c r="G129" s="84">
        <v>1482</v>
      </c>
      <c r="H129" s="84">
        <v>1578</v>
      </c>
      <c r="I129" s="84">
        <v>1884</v>
      </c>
      <c r="J129" s="84">
        <v>3063</v>
      </c>
      <c r="K129" s="84">
        <v>3002</v>
      </c>
      <c r="L129" s="84">
        <v>2906</v>
      </c>
      <c r="M129" s="84">
        <v>2804</v>
      </c>
      <c r="N129" s="84">
        <v>2598</v>
      </c>
      <c r="O129" s="84">
        <v>1782</v>
      </c>
      <c r="P129" s="84">
        <v>2063</v>
      </c>
      <c r="Q129" s="84">
        <v>2008</v>
      </c>
      <c r="R129" s="84">
        <v>1995</v>
      </c>
      <c r="S129" s="84">
        <v>1894</v>
      </c>
      <c r="T129" s="84">
        <v>1874</v>
      </c>
      <c r="U129" s="84">
        <v>1945</v>
      </c>
      <c r="V129" s="84">
        <v>1994</v>
      </c>
      <c r="W129" s="84">
        <v>2003</v>
      </c>
      <c r="X129" s="84">
        <v>2152</v>
      </c>
      <c r="Y129" s="84">
        <v>2108</v>
      </c>
      <c r="DA129" s="171" t="s">
        <v>544</v>
      </c>
    </row>
    <row r="130" spans="1:105" ht="11.45" customHeight="1" x14ac:dyDescent="0.25">
      <c r="A130" s="111" t="s">
        <v>111</v>
      </c>
      <c r="B130" s="84">
        <v>14600</v>
      </c>
      <c r="C130" s="84">
        <v>14058</v>
      </c>
      <c r="D130" s="84">
        <v>15970</v>
      </c>
      <c r="E130" s="84">
        <v>17908</v>
      </c>
      <c r="F130" s="84">
        <v>34070</v>
      </c>
      <c r="G130" s="84">
        <v>23361</v>
      </c>
      <c r="H130" s="84">
        <v>25724</v>
      </c>
      <c r="I130" s="84">
        <v>30374</v>
      </c>
      <c r="J130" s="84">
        <v>37385</v>
      </c>
      <c r="K130" s="84">
        <v>33621</v>
      </c>
      <c r="L130" s="84">
        <v>33876</v>
      </c>
      <c r="M130" s="84">
        <v>37341</v>
      </c>
      <c r="N130" s="84">
        <v>34844</v>
      </c>
      <c r="O130" s="84">
        <v>34698</v>
      </c>
      <c r="P130" s="84">
        <v>34735</v>
      </c>
      <c r="Q130" s="84">
        <v>36300</v>
      </c>
      <c r="R130" s="84">
        <v>39248</v>
      </c>
      <c r="S130" s="84">
        <v>41381</v>
      </c>
      <c r="T130" s="84">
        <v>42422</v>
      </c>
      <c r="U130" s="84">
        <v>43372</v>
      </c>
      <c r="V130" s="84">
        <v>46629</v>
      </c>
      <c r="W130" s="84">
        <v>37934</v>
      </c>
      <c r="X130" s="84">
        <v>40796</v>
      </c>
      <c r="Y130" s="84">
        <v>40442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0</v>
      </c>
      <c r="S131" s="84">
        <v>0</v>
      </c>
      <c r="T131" s="84">
        <v>0</v>
      </c>
      <c r="U131" s="84">
        <v>0</v>
      </c>
      <c r="V131" s="84">
        <v>0</v>
      </c>
      <c r="W131" s="84">
        <v>0</v>
      </c>
      <c r="X131" s="84">
        <v>0</v>
      </c>
      <c r="Y131" s="84">
        <v>0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3</v>
      </c>
      <c r="D132" s="84">
        <v>0</v>
      </c>
      <c r="E132" s="84">
        <v>0</v>
      </c>
      <c r="F132" s="84">
        <v>0</v>
      </c>
      <c r="G132" s="84">
        <v>1</v>
      </c>
      <c r="H132" s="84">
        <v>0</v>
      </c>
      <c r="I132" s="84">
        <v>7</v>
      </c>
      <c r="J132" s="84">
        <v>12</v>
      </c>
      <c r="K132" s="84">
        <v>17</v>
      </c>
      <c r="L132" s="84">
        <v>15</v>
      </c>
      <c r="M132" s="84">
        <v>25</v>
      </c>
      <c r="N132" s="84">
        <v>23</v>
      </c>
      <c r="O132" s="84">
        <v>47</v>
      </c>
      <c r="P132" s="84">
        <v>29</v>
      </c>
      <c r="Q132" s="84">
        <v>31</v>
      </c>
      <c r="R132" s="84">
        <v>45</v>
      </c>
      <c r="S132" s="84">
        <v>128</v>
      </c>
      <c r="T132" s="84">
        <v>172</v>
      </c>
      <c r="U132" s="84">
        <v>205</v>
      </c>
      <c r="V132" s="84">
        <v>187</v>
      </c>
      <c r="W132" s="84">
        <v>65</v>
      </c>
      <c r="X132" s="84">
        <v>10</v>
      </c>
      <c r="Y132" s="84">
        <v>14</v>
      </c>
      <c r="DA132" s="171" t="s">
        <v>547</v>
      </c>
    </row>
    <row r="133" spans="1:105" ht="11.45" customHeight="1" x14ac:dyDescent="0.25">
      <c r="A133" s="111" t="s">
        <v>115</v>
      </c>
      <c r="B133" s="84">
        <v>6</v>
      </c>
      <c r="C133" s="84">
        <v>2</v>
      </c>
      <c r="D133" s="84">
        <v>2</v>
      </c>
      <c r="E133" s="84">
        <v>1</v>
      </c>
      <c r="F133" s="84">
        <v>0</v>
      </c>
      <c r="G133" s="84">
        <v>1</v>
      </c>
      <c r="H133" s="84">
        <v>2</v>
      </c>
      <c r="I133" s="84">
        <v>0</v>
      </c>
      <c r="J133" s="84">
        <v>4</v>
      </c>
      <c r="K133" s="84">
        <v>3</v>
      </c>
      <c r="L133" s="84">
        <v>7</v>
      </c>
      <c r="M133" s="84">
        <v>1</v>
      </c>
      <c r="N133" s="84">
        <v>12</v>
      </c>
      <c r="O133" s="84">
        <v>3</v>
      </c>
      <c r="P133" s="84">
        <v>20</v>
      </c>
      <c r="Q133" s="84">
        <v>43</v>
      </c>
      <c r="R133" s="84">
        <v>62</v>
      </c>
      <c r="S133" s="84">
        <v>44</v>
      </c>
      <c r="T133" s="84">
        <v>46</v>
      </c>
      <c r="U133" s="84">
        <v>61</v>
      </c>
      <c r="V133" s="84">
        <v>124</v>
      </c>
      <c r="W133" s="84">
        <v>355</v>
      </c>
      <c r="X133" s="84">
        <v>683</v>
      </c>
      <c r="Y133" s="84">
        <v>1586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60</v>
      </c>
      <c r="C134" s="110">
        <f t="shared" si="191"/>
        <v>5383</v>
      </c>
      <c r="D134" s="110">
        <f t="shared" si="191"/>
        <v>6460</v>
      </c>
      <c r="E134" s="110">
        <f t="shared" si="191"/>
        <v>7568</v>
      </c>
      <c r="F134" s="110">
        <f t="shared" si="191"/>
        <v>9109</v>
      </c>
      <c r="G134" s="110">
        <f t="shared" si="191"/>
        <v>8601</v>
      </c>
      <c r="H134" s="110">
        <f t="shared" si="191"/>
        <v>8623</v>
      </c>
      <c r="I134" s="110">
        <f t="shared" si="191"/>
        <v>11189</v>
      </c>
      <c r="J134" s="110">
        <f t="shared" si="191"/>
        <v>14677</v>
      </c>
      <c r="K134" s="110">
        <f t="shared" si="191"/>
        <v>11550</v>
      </c>
      <c r="L134" s="110">
        <f t="shared" ref="L134" si="192">SUM(L135:L136)</f>
        <v>12562</v>
      </c>
      <c r="M134" s="110">
        <f t="shared" ref="M134:V134" si="193">SUM(M135:M136)</f>
        <v>13305</v>
      </c>
      <c r="N134" s="110">
        <f t="shared" si="193"/>
        <v>13006</v>
      </c>
      <c r="O134" s="110">
        <f t="shared" si="193"/>
        <v>13024</v>
      </c>
      <c r="P134" s="110">
        <f t="shared" si="193"/>
        <v>12076</v>
      </c>
      <c r="Q134" s="110">
        <f t="shared" si="193"/>
        <v>12304</v>
      </c>
      <c r="R134" s="110">
        <f t="shared" si="193"/>
        <v>13478</v>
      </c>
      <c r="S134" s="110">
        <f t="shared" si="193"/>
        <v>14396</v>
      </c>
      <c r="T134" s="110">
        <f t="shared" si="193"/>
        <v>14833</v>
      </c>
      <c r="U134" s="110">
        <f t="shared" si="193"/>
        <v>15340</v>
      </c>
      <c r="V134" s="110">
        <f t="shared" si="193"/>
        <v>13202</v>
      </c>
      <c r="W134" s="110">
        <f t="shared" ref="W134:Y134" si="194">SUM(W135:W136)</f>
        <v>13311</v>
      </c>
      <c r="X134" s="110">
        <f t="shared" si="194"/>
        <v>14454</v>
      </c>
      <c r="Y134" s="110">
        <f t="shared" si="194"/>
        <v>15321</v>
      </c>
      <c r="DA134" s="176" t="s">
        <v>549</v>
      </c>
    </row>
    <row r="135" spans="1:105" ht="11.45" customHeight="1" x14ac:dyDescent="0.25">
      <c r="A135" s="128" t="s">
        <v>27</v>
      </c>
      <c r="B135" s="102">
        <v>0</v>
      </c>
      <c r="C135" s="102">
        <v>5314</v>
      </c>
      <c r="D135" s="102">
        <v>6395</v>
      </c>
      <c r="E135" s="102">
        <v>7516</v>
      </c>
      <c r="F135" s="102">
        <v>8941</v>
      </c>
      <c r="G135" s="102">
        <v>8527</v>
      </c>
      <c r="H135" s="102">
        <v>8520</v>
      </c>
      <c r="I135" s="102">
        <v>11108</v>
      </c>
      <c r="J135" s="102">
        <v>14587</v>
      </c>
      <c r="K135" s="102">
        <v>11550</v>
      </c>
      <c r="L135" s="102">
        <v>12243</v>
      </c>
      <c r="M135" s="102">
        <v>13305</v>
      </c>
      <c r="N135" s="102">
        <v>12797</v>
      </c>
      <c r="O135" s="102">
        <v>13024</v>
      </c>
      <c r="P135" s="102">
        <v>11816</v>
      </c>
      <c r="Q135" s="102">
        <v>12117</v>
      </c>
      <c r="R135" s="102">
        <v>13478</v>
      </c>
      <c r="S135" s="102">
        <v>14346</v>
      </c>
      <c r="T135" s="102">
        <v>14659</v>
      </c>
      <c r="U135" s="102">
        <v>15340</v>
      </c>
      <c r="V135" s="102">
        <v>13126</v>
      </c>
      <c r="W135" s="102">
        <v>13016</v>
      </c>
      <c r="X135" s="102">
        <v>14411</v>
      </c>
      <c r="Y135" s="102">
        <v>15307</v>
      </c>
      <c r="DA135" s="175" t="s">
        <v>550</v>
      </c>
    </row>
    <row r="136" spans="1:105" ht="11.45" customHeight="1" x14ac:dyDescent="0.25">
      <c r="A136" s="138" t="s">
        <v>116</v>
      </c>
      <c r="B136" s="86">
        <v>60</v>
      </c>
      <c r="C136" s="86">
        <v>69</v>
      </c>
      <c r="D136" s="86">
        <v>65</v>
      </c>
      <c r="E136" s="86">
        <v>52</v>
      </c>
      <c r="F136" s="86">
        <v>168</v>
      </c>
      <c r="G136" s="86">
        <v>74</v>
      </c>
      <c r="H136" s="86">
        <v>103</v>
      </c>
      <c r="I136" s="86">
        <v>81</v>
      </c>
      <c r="J136" s="86">
        <v>90</v>
      </c>
      <c r="K136" s="86">
        <v>0</v>
      </c>
      <c r="L136" s="86">
        <v>319</v>
      </c>
      <c r="M136" s="86">
        <v>0</v>
      </c>
      <c r="N136" s="86">
        <v>209</v>
      </c>
      <c r="O136" s="86">
        <v>0</v>
      </c>
      <c r="P136" s="86">
        <v>260</v>
      </c>
      <c r="Q136" s="86">
        <v>187</v>
      </c>
      <c r="R136" s="86">
        <v>0</v>
      </c>
      <c r="S136" s="86">
        <v>50</v>
      </c>
      <c r="T136" s="86">
        <v>174</v>
      </c>
      <c r="U136" s="86">
        <v>0</v>
      </c>
      <c r="V136" s="86">
        <v>76</v>
      </c>
      <c r="W136" s="86">
        <v>295</v>
      </c>
      <c r="X136" s="86">
        <v>43</v>
      </c>
      <c r="Y136" s="86">
        <v>14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1.8904667221308025</v>
      </c>
      <c r="C141" s="32">
        <f t="shared" si="195"/>
        <v>1.8811158315340955</v>
      </c>
      <c r="D141" s="32">
        <f t="shared" si="195"/>
        <v>1.8648095655064962</v>
      </c>
      <c r="E141" s="32">
        <f t="shared" si="195"/>
        <v>1.8533556288304778</v>
      </c>
      <c r="F141" s="32">
        <f t="shared" si="195"/>
        <v>1.8394509828574399</v>
      </c>
      <c r="G141" s="32">
        <f t="shared" si="195"/>
        <v>1.8297244267187502</v>
      </c>
      <c r="H141" s="32">
        <f t="shared" si="195"/>
        <v>1.8250005593658354</v>
      </c>
      <c r="I141" s="32">
        <f t="shared" si="195"/>
        <v>1.8143249300136319</v>
      </c>
      <c r="J141" s="32">
        <f t="shared" si="195"/>
        <v>1.8160549407161102</v>
      </c>
      <c r="K141" s="32">
        <f t="shared" si="195"/>
        <v>1.8080105357262031</v>
      </c>
      <c r="L141" s="32">
        <f t="shared" ref="L141" si="196">IF(L4=0,0,L4/L31)</f>
        <v>1.7991205386974833</v>
      </c>
      <c r="M141" s="32">
        <f t="shared" ref="M141:V141" si="197">IF(M4=0,0,M4/M31)</f>
        <v>1.7930672885426528</v>
      </c>
      <c r="N141" s="32">
        <f t="shared" si="197"/>
        <v>1.7935949589395539</v>
      </c>
      <c r="O141" s="32">
        <f t="shared" si="197"/>
        <v>1.7937924362674167</v>
      </c>
      <c r="P141" s="32">
        <f t="shared" si="197"/>
        <v>1.7900507312470404</v>
      </c>
      <c r="Q141" s="32">
        <f t="shared" si="197"/>
        <v>1.7840835467395979</v>
      </c>
      <c r="R141" s="32">
        <f t="shared" si="197"/>
        <v>1.6605223571615046</v>
      </c>
      <c r="S141" s="32">
        <f t="shared" si="197"/>
        <v>1.7953982640273789</v>
      </c>
      <c r="T141" s="32">
        <f t="shared" si="197"/>
        <v>1.7915705966788666</v>
      </c>
      <c r="U141" s="32">
        <f t="shared" si="197"/>
        <v>1.7886958347124453</v>
      </c>
      <c r="V141" s="32">
        <f t="shared" si="197"/>
        <v>1.7687765657208634</v>
      </c>
      <c r="W141" s="32">
        <f t="shared" ref="W141:Y141" si="198">IF(W4=0,0,W4/W31)</f>
        <v>1.7561292769715131</v>
      </c>
      <c r="X141" s="32">
        <f t="shared" si="198"/>
        <v>1.7151640752439821</v>
      </c>
      <c r="Y141" s="32">
        <f t="shared" si="198"/>
        <v>1.7259158862939814</v>
      </c>
      <c r="DA141" s="173" t="s">
        <v>552</v>
      </c>
    </row>
    <row r="142" spans="1:105" ht="11.45" customHeight="1" x14ac:dyDescent="0.25">
      <c r="A142" s="136" t="s">
        <v>173</v>
      </c>
      <c r="B142" s="141">
        <v>1.07</v>
      </c>
      <c r="C142" s="141">
        <v>1.0699999999999996</v>
      </c>
      <c r="D142" s="141">
        <v>1.0700000000000003</v>
      </c>
      <c r="E142" s="141">
        <v>1.0700000000000005</v>
      </c>
      <c r="F142" s="141">
        <v>1.0700000000000003</v>
      </c>
      <c r="G142" s="141">
        <v>1.0699999999999996</v>
      </c>
      <c r="H142" s="141">
        <v>1.0699999999999998</v>
      </c>
      <c r="I142" s="141">
        <v>1.0699999999999994</v>
      </c>
      <c r="J142" s="141">
        <v>1.0700000000000003</v>
      </c>
      <c r="K142" s="141">
        <v>1.07</v>
      </c>
      <c r="L142" s="141">
        <v>1.0700000000000003</v>
      </c>
      <c r="M142" s="141">
        <v>1.07</v>
      </c>
      <c r="N142" s="141">
        <v>1.0653587762288537</v>
      </c>
      <c r="O142" s="141">
        <v>1.0653398758596158</v>
      </c>
      <c r="P142" s="141">
        <v>1.067264517304245</v>
      </c>
      <c r="Q142" s="141">
        <v>1.0690861104316554</v>
      </c>
      <c r="R142" s="141">
        <v>1.0693668474435722</v>
      </c>
      <c r="S142" s="141">
        <v>1.0687498642125419</v>
      </c>
      <c r="T142" s="141">
        <v>1.0682280965427589</v>
      </c>
      <c r="U142" s="141">
        <v>1.0688691770835772</v>
      </c>
      <c r="V142" s="141">
        <v>1.0676794209938276</v>
      </c>
      <c r="W142" s="141">
        <v>1.0680660036927785</v>
      </c>
      <c r="X142" s="141">
        <v>1.0680224468380424</v>
      </c>
      <c r="Y142" s="141">
        <v>1.0692220665377252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1.697394484229773</v>
      </c>
      <c r="C143" s="130">
        <f t="shared" si="199"/>
        <v>1.6923990498812351</v>
      </c>
      <c r="D143" s="130">
        <f t="shared" si="199"/>
        <v>1.681326604181687</v>
      </c>
      <c r="E143" s="130">
        <f t="shared" si="199"/>
        <v>1.675523689020104</v>
      </c>
      <c r="F143" s="130">
        <f t="shared" si="199"/>
        <v>1.6682179030933479</v>
      </c>
      <c r="G143" s="130">
        <f t="shared" si="199"/>
        <v>1.6633530360021493</v>
      </c>
      <c r="H143" s="130">
        <f t="shared" si="199"/>
        <v>1.6605955862802444</v>
      </c>
      <c r="I143" s="130">
        <f t="shared" si="199"/>
        <v>1.6541753112033195</v>
      </c>
      <c r="J143" s="130">
        <f t="shared" si="199"/>
        <v>1.6560010447956119</v>
      </c>
      <c r="K143" s="130">
        <f t="shared" si="199"/>
        <v>1.6516046213093707</v>
      </c>
      <c r="L143" s="130">
        <f t="shared" ref="L143" si="200">IF(L6=0,0,L6/L33)</f>
        <v>1.6497643011848644</v>
      </c>
      <c r="M143" s="130">
        <f t="shared" ref="M143:V143" si="201">IF(M6=0,0,M6/M33)</f>
        <v>1.6463046757164403</v>
      </c>
      <c r="N143" s="130">
        <f t="shared" si="201"/>
        <v>1.6474003028773347</v>
      </c>
      <c r="O143" s="130">
        <f t="shared" si="201"/>
        <v>1.6480637813211843</v>
      </c>
      <c r="P143" s="130">
        <f t="shared" si="201"/>
        <v>1.6462311557788942</v>
      </c>
      <c r="Q143" s="130">
        <f t="shared" si="201"/>
        <v>1.6427951926650977</v>
      </c>
      <c r="R143" s="130">
        <f t="shared" si="201"/>
        <v>1.4893460264511365</v>
      </c>
      <c r="S143" s="130">
        <f t="shared" si="201"/>
        <v>1.6400009848820607</v>
      </c>
      <c r="T143" s="130">
        <f t="shared" si="201"/>
        <v>1.6405520899847736</v>
      </c>
      <c r="U143" s="130">
        <f t="shared" si="201"/>
        <v>1.6405520899847736</v>
      </c>
      <c r="V143" s="130">
        <f t="shared" si="201"/>
        <v>1.6364487846163807</v>
      </c>
      <c r="W143" s="130">
        <f t="shared" ref="W143:Y143" si="202">IF(W6=0,0,W6/W33)</f>
        <v>1.6404013308916459</v>
      </c>
      <c r="X143" s="130">
        <f t="shared" si="202"/>
        <v>1.57874169597499</v>
      </c>
      <c r="Y143" s="130">
        <f t="shared" si="202"/>
        <v>1.5806384742951907</v>
      </c>
      <c r="DA143" s="176" t="s">
        <v>554</v>
      </c>
    </row>
    <row r="144" spans="1:105" ht="11.45" customHeight="1" x14ac:dyDescent="0.25">
      <c r="A144" s="111" t="s">
        <v>110</v>
      </c>
      <c r="B144" s="96">
        <v>1.6734522185234619</v>
      </c>
      <c r="C144" s="96">
        <v>1.6676807362853481</v>
      </c>
      <c r="D144" s="96">
        <v>1.6559690861455243</v>
      </c>
      <c r="E144" s="96">
        <v>1.6490828332800531</v>
      </c>
      <c r="F144" s="96">
        <v>1.6418074822732378</v>
      </c>
      <c r="G144" s="96">
        <v>1.6354197873458933</v>
      </c>
      <c r="H144" s="96">
        <v>1.6307181280442522</v>
      </c>
      <c r="I144" s="96">
        <v>1.6219987419194104</v>
      </c>
      <c r="J144" s="96">
        <v>1.6186231841839966</v>
      </c>
      <c r="K144" s="96">
        <v>1.6115859778960919</v>
      </c>
      <c r="L144" s="96">
        <v>1.6063254438073895</v>
      </c>
      <c r="M144" s="96">
        <v>1.598066513518956</v>
      </c>
      <c r="N144" s="96">
        <v>1.5966235121589807</v>
      </c>
      <c r="O144" s="96">
        <v>1.5968530443955871</v>
      </c>
      <c r="P144" s="96">
        <v>1.5932323531177592</v>
      </c>
      <c r="Q144" s="96">
        <v>1.5883749676861738</v>
      </c>
      <c r="R144" s="96">
        <v>1.4391314283880114</v>
      </c>
      <c r="S144" s="96">
        <v>1.5829595484288648</v>
      </c>
      <c r="T144" s="96">
        <v>1.5827705734266611</v>
      </c>
      <c r="U144" s="96">
        <v>1.58284317556068</v>
      </c>
      <c r="V144" s="96">
        <v>1.5797921462907072</v>
      </c>
      <c r="W144" s="96">
        <v>1.5846988207779018</v>
      </c>
      <c r="X144" s="96">
        <v>1.5272721140043393</v>
      </c>
      <c r="Y144" s="96">
        <v>1.5312121296399526</v>
      </c>
      <c r="DA144" s="171" t="s">
        <v>555</v>
      </c>
    </row>
    <row r="145" spans="1:105" ht="11.45" customHeight="1" x14ac:dyDescent="0.25">
      <c r="A145" s="111" t="s">
        <v>111</v>
      </c>
      <c r="B145" s="96">
        <v>1.8176461980430132</v>
      </c>
      <c r="C145" s="96">
        <v>1.8113774126955395</v>
      </c>
      <c r="D145" s="96">
        <v>1.7986566214391013</v>
      </c>
      <c r="E145" s="96">
        <v>1.7911770106075877</v>
      </c>
      <c r="F145" s="96">
        <v>1.7832747747680517</v>
      </c>
      <c r="G145" s="96">
        <v>1.7763366804081233</v>
      </c>
      <c r="H145" s="96">
        <v>1.7712298999099871</v>
      </c>
      <c r="I145" s="96">
        <v>1.7617592028302271</v>
      </c>
      <c r="J145" s="96">
        <v>1.7580927882077262</v>
      </c>
      <c r="K145" s="96">
        <v>1.7504492169647183</v>
      </c>
      <c r="L145" s="96">
        <v>1.7447354059098432</v>
      </c>
      <c r="M145" s="96">
        <v>1.7357648401102892</v>
      </c>
      <c r="N145" s="96">
        <v>1.7341975017024769</v>
      </c>
      <c r="O145" s="96">
        <v>1.7344468117171745</v>
      </c>
      <c r="P145" s="96">
        <v>1.7305141414786205</v>
      </c>
      <c r="Q145" s="96">
        <v>1.725238216618368</v>
      </c>
      <c r="R145" s="96">
        <v>1.5631350213283712</v>
      </c>
      <c r="S145" s="96">
        <v>1.7193561746246371</v>
      </c>
      <c r="T145" s="96">
        <v>1.7191509164819321</v>
      </c>
      <c r="U145" s="96">
        <v>1.7192297744208744</v>
      </c>
      <c r="V145" s="96">
        <v>1.7159158514469759</v>
      </c>
      <c r="W145" s="96">
        <v>1.7212453123828568</v>
      </c>
      <c r="X145" s="96">
        <v>1.6588704001638539</v>
      </c>
      <c r="Y145" s="96">
        <v>1.6631499095284066</v>
      </c>
      <c r="DA145" s="171" t="s">
        <v>556</v>
      </c>
    </row>
    <row r="146" spans="1:105" ht="11.45" customHeight="1" x14ac:dyDescent="0.25">
      <c r="A146" s="111" t="s">
        <v>112</v>
      </c>
      <c r="B146" s="96">
        <v>0</v>
      </c>
      <c r="C146" s="96">
        <v>0</v>
      </c>
      <c r="D146" s="96">
        <v>0</v>
      </c>
      <c r="E146" s="96">
        <v>0</v>
      </c>
      <c r="F146" s="96">
        <v>0</v>
      </c>
      <c r="G146" s="96">
        <v>0</v>
      </c>
      <c r="H146" s="96">
        <v>0</v>
      </c>
      <c r="I146" s="96">
        <v>0</v>
      </c>
      <c r="J146" s="96">
        <v>0</v>
      </c>
      <c r="K146" s="96">
        <v>0</v>
      </c>
      <c r="L146" s="96">
        <v>0</v>
      </c>
      <c r="M146" s="96">
        <v>0</v>
      </c>
      <c r="N146" s="96">
        <v>0</v>
      </c>
      <c r="O146" s="96">
        <v>0</v>
      </c>
      <c r="P146" s="96">
        <v>0</v>
      </c>
      <c r="Q146" s="96">
        <v>0</v>
      </c>
      <c r="R146" s="96">
        <v>0</v>
      </c>
      <c r="S146" s="96">
        <v>0</v>
      </c>
      <c r="T146" s="96">
        <v>0</v>
      </c>
      <c r="U146" s="96">
        <v>0</v>
      </c>
      <c r="V146" s="96">
        <v>0</v>
      </c>
      <c r="W146" s="96">
        <v>0</v>
      </c>
      <c r="X146" s="96">
        <v>0</v>
      </c>
      <c r="Y146" s="96">
        <v>0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1.6107777186918371</v>
      </c>
      <c r="I147" s="96">
        <v>1.6045500518672198</v>
      </c>
      <c r="J147" s="96">
        <v>1.6063210134517436</v>
      </c>
      <c r="K147" s="96">
        <v>1.6020564826700896</v>
      </c>
      <c r="L147" s="96">
        <v>1.6002713721493185</v>
      </c>
      <c r="M147" s="96">
        <v>1.5969155354449471</v>
      </c>
      <c r="N147" s="96">
        <v>1.5979782937910143</v>
      </c>
      <c r="O147" s="96">
        <v>1.5986218678815487</v>
      </c>
      <c r="P147" s="96">
        <v>1.5968442211055274</v>
      </c>
      <c r="Q147" s="96">
        <v>1.5935113368851443</v>
      </c>
      <c r="R147" s="96">
        <v>1.4446656456576024</v>
      </c>
      <c r="S147" s="96">
        <v>1.5908009553355982</v>
      </c>
      <c r="T147" s="96">
        <v>1.5913355272852301</v>
      </c>
      <c r="U147" s="96">
        <v>1.5913355272852305</v>
      </c>
      <c r="V147" s="96">
        <v>1.5873553210778892</v>
      </c>
      <c r="W147" s="96">
        <v>1.5911892909648964</v>
      </c>
      <c r="X147" s="96">
        <v>1.5313794450957405</v>
      </c>
      <c r="Y147" s="96">
        <v>1.5332193200663347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1.5979782937910145</v>
      </c>
      <c r="O148" s="96">
        <v>1.5986218678815487</v>
      </c>
      <c r="P148" s="96">
        <v>1.5968442211055274</v>
      </c>
      <c r="Q148" s="96">
        <v>1.5935113368851443</v>
      </c>
      <c r="R148" s="96">
        <v>1.4446656456576024</v>
      </c>
      <c r="S148" s="96">
        <v>1.5908009553355982</v>
      </c>
      <c r="T148" s="96">
        <v>1.5913355272852301</v>
      </c>
      <c r="U148" s="96">
        <v>1.5913355272852301</v>
      </c>
      <c r="V148" s="96">
        <v>1.5873553210778892</v>
      </c>
      <c r="W148" s="96">
        <v>1.5911892909648964</v>
      </c>
      <c r="X148" s="96">
        <v>1.5313794450957408</v>
      </c>
      <c r="Y148" s="96">
        <v>1.5332193200663347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1.4887577800829876</v>
      </c>
      <c r="J149" s="96">
        <v>1.4904009403160507</v>
      </c>
      <c r="K149" s="96">
        <v>1.4864441591784336</v>
      </c>
      <c r="L149" s="96">
        <v>1.484787871066378</v>
      </c>
      <c r="M149" s="96">
        <v>1.4816742081447967</v>
      </c>
      <c r="N149" s="96">
        <v>1.4826602725896012</v>
      </c>
      <c r="O149" s="96">
        <v>1.483257403189066</v>
      </c>
      <c r="P149" s="96">
        <v>1.4816080402010048</v>
      </c>
      <c r="Q149" s="96">
        <v>1.4785156733985876</v>
      </c>
      <c r="R149" s="96">
        <v>1.3404114238060227</v>
      </c>
      <c r="S149" s="96">
        <v>1.4760008863938541</v>
      </c>
      <c r="T149" s="96">
        <v>1.4764968809862962</v>
      </c>
      <c r="U149" s="96">
        <v>1.4764968809862964</v>
      </c>
      <c r="V149" s="96">
        <v>1.4728039061547427</v>
      </c>
      <c r="W149" s="96">
        <v>1.4763611978024813</v>
      </c>
      <c r="X149" s="96">
        <v>1.4208675263774913</v>
      </c>
      <c r="Y149" s="96">
        <v>1.4225746268656714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21.685688551058334</v>
      </c>
      <c r="C150" s="130">
        <f t="shared" si="203"/>
        <v>21.984659070392194</v>
      </c>
      <c r="D150" s="130">
        <f t="shared" si="203"/>
        <v>21.545538453720233</v>
      </c>
      <c r="E150" s="130">
        <f t="shared" si="203"/>
        <v>20.796951546977446</v>
      </c>
      <c r="F150" s="130">
        <f t="shared" si="203"/>
        <v>19.994746507263113</v>
      </c>
      <c r="G150" s="130">
        <f t="shared" si="203"/>
        <v>19.534692439343651</v>
      </c>
      <c r="H150" s="130">
        <f t="shared" si="203"/>
        <v>19.135210570480293</v>
      </c>
      <c r="I150" s="130">
        <f t="shared" si="203"/>
        <v>18.611547124425911</v>
      </c>
      <c r="J150" s="130">
        <f t="shared" si="203"/>
        <v>17.534100461934305</v>
      </c>
      <c r="K150" s="130">
        <f t="shared" si="203"/>
        <v>16.562265561433875</v>
      </c>
      <c r="L150" s="130">
        <f t="shared" ref="L150" si="204">IF(L13=0,0,L13/L40)</f>
        <v>15.832988265659829</v>
      </c>
      <c r="M150" s="130">
        <f t="shared" ref="M150:V150" si="205">IF(M13=0,0,M13/M40)</f>
        <v>15.232060238026188</v>
      </c>
      <c r="N150" s="130">
        <f t="shared" si="205"/>
        <v>14.553224755445967</v>
      </c>
      <c r="O150" s="130">
        <f t="shared" si="205"/>
        <v>14.031522888023412</v>
      </c>
      <c r="P150" s="130">
        <f t="shared" si="205"/>
        <v>13.447160290944318</v>
      </c>
      <c r="Q150" s="130">
        <f t="shared" si="205"/>
        <v>13.000000000000002</v>
      </c>
      <c r="R150" s="130">
        <f t="shared" si="205"/>
        <v>13.422764227642283</v>
      </c>
      <c r="S150" s="130">
        <f t="shared" si="205"/>
        <v>13.06984126984127</v>
      </c>
      <c r="T150" s="130">
        <f t="shared" si="205"/>
        <v>13.029315960912053</v>
      </c>
      <c r="U150" s="130">
        <f t="shared" si="205"/>
        <v>13.144758735440933</v>
      </c>
      <c r="V150" s="130">
        <f t="shared" si="205"/>
        <v>13.0019120458891</v>
      </c>
      <c r="W150" s="130">
        <f t="shared" ref="W150:Y150" si="206">IF(W13=0,0,W13/W40)</f>
        <v>13.015184381778742</v>
      </c>
      <c r="X150" s="130">
        <f t="shared" si="206"/>
        <v>13.026819923371646</v>
      </c>
      <c r="Y150" s="130">
        <f t="shared" si="206"/>
        <v>13.059033989266547</v>
      </c>
      <c r="DA150" s="176" t="s">
        <v>561</v>
      </c>
    </row>
    <row r="151" spans="1:105" ht="11.45" customHeight="1" x14ac:dyDescent="0.25">
      <c r="A151" s="111" t="s">
        <v>110</v>
      </c>
      <c r="B151" s="97">
        <v>8.3406494427147475</v>
      </c>
      <c r="C151" s="97">
        <v>8.4556381039969963</v>
      </c>
      <c r="D151" s="97">
        <v>8.2867455591231689</v>
      </c>
      <c r="E151" s="97">
        <v>7.99882751806825</v>
      </c>
      <c r="F151" s="97">
        <v>7.6902871181781194</v>
      </c>
      <c r="G151" s="97">
        <v>7.5133432459014049</v>
      </c>
      <c r="H151" s="97">
        <v>7.3596963732616514</v>
      </c>
      <c r="I151" s="97">
        <v>7.1582873555484277</v>
      </c>
      <c r="J151" s="97">
        <v>6.7438847930516577</v>
      </c>
      <c r="K151" s="97">
        <v>6.637010213901303</v>
      </c>
      <c r="L151" s="97">
        <v>6.6089610871407629</v>
      </c>
      <c r="M151" s="97">
        <v>6.5858484706933149</v>
      </c>
      <c r="N151" s="97">
        <v>6.5597394136709983</v>
      </c>
      <c r="O151" s="97">
        <v>6.5396739572316696</v>
      </c>
      <c r="P151" s="97">
        <v>6.5171984727286274</v>
      </c>
      <c r="Q151" s="97">
        <v>6.5</v>
      </c>
      <c r="R151" s="97">
        <v>6.5162601626016263</v>
      </c>
      <c r="S151" s="97">
        <v>6.5026862026862027</v>
      </c>
      <c r="T151" s="97">
        <v>6.5011275369581556</v>
      </c>
      <c r="U151" s="97">
        <v>6.5055676436708048</v>
      </c>
      <c r="V151" s="97">
        <v>6.5000735402265031</v>
      </c>
      <c r="W151" s="97">
        <v>6.5005840146837981</v>
      </c>
      <c r="X151" s="97">
        <v>6.5010315355142945</v>
      </c>
      <c r="Y151" s="97">
        <v>6.5022705380487142</v>
      </c>
      <c r="DA151" s="175" t="s">
        <v>562</v>
      </c>
    </row>
    <row r="152" spans="1:105" ht="11.45" customHeight="1" x14ac:dyDescent="0.25">
      <c r="A152" s="111" t="s">
        <v>111</v>
      </c>
      <c r="B152" s="97">
        <v>21.703413504887855</v>
      </c>
      <c r="C152" s="97">
        <v>22.00489816572853</v>
      </c>
      <c r="D152" s="97">
        <v>21.5643241144355</v>
      </c>
      <c r="E152" s="97">
        <v>20.81451932042091</v>
      </c>
      <c r="F152" s="97">
        <v>20.011685946804157</v>
      </c>
      <c r="G152" s="97">
        <v>19.552629986722575</v>
      </c>
      <c r="H152" s="97">
        <v>19.151373889224288</v>
      </c>
      <c r="I152" s="97">
        <v>18.627328509488734</v>
      </c>
      <c r="J152" s="97">
        <v>17.547666876039465</v>
      </c>
      <c r="K152" s="97">
        <v>16.574050800216906</v>
      </c>
      <c r="L152" s="97">
        <v>15.843794770432341</v>
      </c>
      <c r="M152" s="97">
        <v>15.241498677759656</v>
      </c>
      <c r="N152" s="97">
        <v>14.56156029888618</v>
      </c>
      <c r="O152" s="97">
        <v>14.039053852913497</v>
      </c>
      <c r="P152" s="97">
        <v>13.453835130463002</v>
      </c>
      <c r="Q152" s="97">
        <v>13.006051373575781</v>
      </c>
      <c r="R152" s="97">
        <v>13.428826273041516</v>
      </c>
      <c r="S152" s="97">
        <v>13.075484045946251</v>
      </c>
      <c r="T152" s="97">
        <v>13.034681009262984</v>
      </c>
      <c r="U152" s="97">
        <v>13.149918187832027</v>
      </c>
      <c r="V152" s="97">
        <v>13.006637622596667</v>
      </c>
      <c r="W152" s="97">
        <v>13.019748496112861</v>
      </c>
      <c r="X152" s="97">
        <v>13.031298105567112</v>
      </c>
      <c r="Y152" s="97">
        <v>13.063323512462807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0</v>
      </c>
      <c r="DA153" s="175" t="s">
        <v>564</v>
      </c>
    </row>
    <row r="154" spans="1:105" ht="11.45" customHeight="1" x14ac:dyDescent="0.25">
      <c r="A154" s="111" t="s">
        <v>113</v>
      </c>
      <c r="B154" s="97">
        <v>21.703413504887859</v>
      </c>
      <c r="C154" s="97">
        <v>22.004898165728527</v>
      </c>
      <c r="D154" s="97">
        <v>21.564324114435504</v>
      </c>
      <c r="E154" s="97">
        <v>20.81451932042091</v>
      </c>
      <c r="F154" s="97">
        <v>20.011685946804157</v>
      </c>
      <c r="G154" s="97">
        <v>19.552629986722575</v>
      </c>
      <c r="H154" s="97">
        <v>19.151373889224288</v>
      </c>
      <c r="I154" s="97">
        <v>18.627328509488734</v>
      </c>
      <c r="J154" s="97">
        <v>17.547666876039465</v>
      </c>
      <c r="K154" s="97">
        <v>16.574050800216906</v>
      </c>
      <c r="L154" s="97">
        <v>15.843794770432339</v>
      </c>
      <c r="M154" s="97">
        <v>15.241498677759658</v>
      </c>
      <c r="N154" s="97">
        <v>14.56156029888618</v>
      </c>
      <c r="O154" s="97">
        <v>14.039053852913497</v>
      </c>
      <c r="P154" s="97">
        <v>13.453835130463</v>
      </c>
      <c r="Q154" s="97">
        <v>13.006051373575779</v>
      </c>
      <c r="R154" s="97">
        <v>13.428826273041516</v>
      </c>
      <c r="S154" s="97">
        <v>13.075484045946251</v>
      </c>
      <c r="T154" s="97">
        <v>13.034681009262984</v>
      </c>
      <c r="U154" s="97">
        <v>13.149918187832029</v>
      </c>
      <c r="V154" s="97">
        <v>13.006637622596669</v>
      </c>
      <c r="W154" s="97">
        <v>13.019748496112859</v>
      </c>
      <c r="X154" s="97">
        <v>13.031298105567114</v>
      </c>
      <c r="Y154" s="97">
        <v>13.063323512462807</v>
      </c>
      <c r="DA154" s="175" t="s">
        <v>565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14.56156029888618</v>
      </c>
      <c r="O155" s="97">
        <v>14.039053852913497</v>
      </c>
      <c r="P155" s="97">
        <v>13.453835130463</v>
      </c>
      <c r="Q155" s="97">
        <v>13.006051373575779</v>
      </c>
      <c r="R155" s="97">
        <v>13.428826273041516</v>
      </c>
      <c r="S155" s="97">
        <v>13.075484045946251</v>
      </c>
      <c r="T155" s="97">
        <v>13.034681009262984</v>
      </c>
      <c r="U155" s="97">
        <v>13.149918187832029</v>
      </c>
      <c r="V155" s="97">
        <v>13.006637622596669</v>
      </c>
      <c r="W155" s="97">
        <v>13.019748496112859</v>
      </c>
      <c r="X155" s="97">
        <v>13.031298105567117</v>
      </c>
      <c r="Y155" s="97">
        <v>13.063323512462807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4.9521682813979799</v>
      </c>
      <c r="C156" s="32">
        <f t="shared" si="207"/>
        <v>4.6665034767660796</v>
      </c>
      <c r="D156" s="32">
        <f t="shared" si="207"/>
        <v>4.8135403852304073</v>
      </c>
      <c r="E156" s="32">
        <f t="shared" si="207"/>
        <v>4.5826174829741317</v>
      </c>
      <c r="F156" s="32">
        <f t="shared" si="207"/>
        <v>4.4651621890419362</v>
      </c>
      <c r="G156" s="32">
        <f t="shared" si="207"/>
        <v>4.408621919299704</v>
      </c>
      <c r="H156" s="32">
        <f t="shared" si="207"/>
        <v>4.1206112491815761</v>
      </c>
      <c r="I156" s="32">
        <f t="shared" si="207"/>
        <v>4.0902323441340007</v>
      </c>
      <c r="J156" s="32">
        <f t="shared" si="207"/>
        <v>4.0696407098091374</v>
      </c>
      <c r="K156" s="32">
        <f t="shared" si="207"/>
        <v>3.7575255849881377</v>
      </c>
      <c r="L156" s="32">
        <f t="shared" ref="L156" si="208">IF(L19=0,0,L19/L46)</f>
        <v>3.6839432639233967</v>
      </c>
      <c r="M156" s="32">
        <f t="shared" ref="M156:V156" si="209">IF(M19=0,0,M19/M46)</f>
        <v>3.4008422508821483</v>
      </c>
      <c r="N156" s="32">
        <f t="shared" si="209"/>
        <v>3.2397516063094551</v>
      </c>
      <c r="O156" s="32">
        <f t="shared" si="209"/>
        <v>3.0080083644080426</v>
      </c>
      <c r="P156" s="32">
        <f t="shared" si="209"/>
        <v>2.9716121285801216</v>
      </c>
      <c r="Q156" s="32">
        <f t="shared" si="209"/>
        <v>3.144751911826313</v>
      </c>
      <c r="R156" s="32">
        <f t="shared" si="209"/>
        <v>3.3322259110382153</v>
      </c>
      <c r="S156" s="32">
        <f t="shared" si="209"/>
        <v>3.423800490734346</v>
      </c>
      <c r="T156" s="32">
        <f t="shared" si="209"/>
        <v>3.3473030577847838</v>
      </c>
      <c r="U156" s="32">
        <f t="shared" si="209"/>
        <v>3.3429076444561057</v>
      </c>
      <c r="V156" s="32">
        <f t="shared" si="209"/>
        <v>3.4727582971240176</v>
      </c>
      <c r="W156" s="32">
        <f t="shared" ref="W156:Y156" si="210">IF(W19=0,0,W19/W46)</f>
        <v>3.382514059554413</v>
      </c>
      <c r="X156" s="32">
        <f t="shared" si="210"/>
        <v>3.4920169045753946</v>
      </c>
      <c r="Y156" s="32">
        <f t="shared" si="210"/>
        <v>3.2445540519654643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0.32726952751916005</v>
      </c>
      <c r="C157" s="141">
        <f t="shared" si="211"/>
        <v>0.32804119598457288</v>
      </c>
      <c r="D157" s="141">
        <f t="shared" si="211"/>
        <v>0.32872901819591055</v>
      </c>
      <c r="E157" s="141">
        <f t="shared" si="211"/>
        <v>0.32968284947264775</v>
      </c>
      <c r="F157" s="141">
        <f t="shared" si="211"/>
        <v>0.33204617371197237</v>
      </c>
      <c r="G157" s="141">
        <f t="shared" si="211"/>
        <v>0.33136616210914888</v>
      </c>
      <c r="H157" s="141">
        <f t="shared" si="211"/>
        <v>0.33340736555341061</v>
      </c>
      <c r="I157" s="141">
        <f t="shared" si="211"/>
        <v>0.33420434042585401</v>
      </c>
      <c r="J157" s="141">
        <f t="shared" si="211"/>
        <v>0.33398661427485149</v>
      </c>
      <c r="K157" s="141">
        <f t="shared" si="211"/>
        <v>0.33631634192049298</v>
      </c>
      <c r="L157" s="141">
        <f t="shared" ref="L157" si="212">IF(L20=0,0,L20/L47)</f>
        <v>0.33628257386099358</v>
      </c>
      <c r="M157" s="141">
        <f t="shared" ref="M157:V157" si="213">IF(M20=0,0,M20/M47)</f>
        <v>0.33675695242638537</v>
      </c>
      <c r="N157" s="141">
        <f t="shared" si="213"/>
        <v>0.33817752404914697</v>
      </c>
      <c r="O157" s="141">
        <f t="shared" si="213"/>
        <v>0.33792390375425496</v>
      </c>
      <c r="P157" s="141">
        <f t="shared" si="213"/>
        <v>0.33915984975720254</v>
      </c>
      <c r="Q157" s="141">
        <f t="shared" si="213"/>
        <v>0.3398697242165164</v>
      </c>
      <c r="R157" s="141">
        <f t="shared" si="213"/>
        <v>0.34043774335025168</v>
      </c>
      <c r="S157" s="141">
        <f t="shared" si="213"/>
        <v>0.34090687193163977</v>
      </c>
      <c r="T157" s="141">
        <f t="shared" si="213"/>
        <v>0.3413706926331207</v>
      </c>
      <c r="U157" s="141">
        <f t="shared" si="213"/>
        <v>0.34193592427841901</v>
      </c>
      <c r="V157" s="141">
        <f t="shared" si="213"/>
        <v>0.34409646927583049</v>
      </c>
      <c r="W157" s="141">
        <f t="shared" ref="W157:Y157" si="214">IF(W20=0,0,W20/W47)</f>
        <v>0.34276208451868828</v>
      </c>
      <c r="X157" s="141">
        <f t="shared" si="214"/>
        <v>0.34364332643347484</v>
      </c>
      <c r="Y157" s="141">
        <f t="shared" si="214"/>
        <v>0.34380048068700142</v>
      </c>
      <c r="DA157" s="174" t="s">
        <v>568</v>
      </c>
    </row>
    <row r="158" spans="1:105" ht="11.45" customHeight="1" x14ac:dyDescent="0.25">
      <c r="A158" s="111" t="s">
        <v>110</v>
      </c>
      <c r="B158" s="96">
        <v>0.2660164429915895</v>
      </c>
      <c r="C158" s="96">
        <v>0.26615084140765893</v>
      </c>
      <c r="D158" s="96">
        <v>0.26628830227572264</v>
      </c>
      <c r="E158" s="96">
        <v>0.26659707512517328</v>
      </c>
      <c r="F158" s="96">
        <v>0.26787129959079164</v>
      </c>
      <c r="G158" s="96">
        <v>0.26704601300033415</v>
      </c>
      <c r="H158" s="96">
        <v>0.26834229624786815</v>
      </c>
      <c r="I158" s="96">
        <v>0.26864725193544081</v>
      </c>
      <c r="J158" s="96">
        <v>0.26824477147044934</v>
      </c>
      <c r="K158" s="96">
        <v>0.26995800477225101</v>
      </c>
      <c r="L158" s="96">
        <v>0.26978566876045235</v>
      </c>
      <c r="M158" s="96">
        <v>0.27001603024130455</v>
      </c>
      <c r="N158" s="96">
        <v>0.27103943986866497</v>
      </c>
      <c r="O158" s="96">
        <v>0.27067696520214984</v>
      </c>
      <c r="P158" s="96">
        <v>0.27157551574140115</v>
      </c>
      <c r="Q158" s="96">
        <v>0.27205613407821233</v>
      </c>
      <c r="R158" s="96">
        <v>0.27242866131975463</v>
      </c>
      <c r="S158" s="96">
        <v>0.27272674722988499</v>
      </c>
      <c r="T158" s="96">
        <v>0.27303487356751965</v>
      </c>
      <c r="U158" s="96">
        <v>0.27343967208495967</v>
      </c>
      <c r="V158" s="96">
        <v>0.27512203736599972</v>
      </c>
      <c r="W158" s="96">
        <v>0.27406903717555897</v>
      </c>
      <c r="X158" s="96">
        <v>0.27477217787172348</v>
      </c>
      <c r="Y158" s="96">
        <v>0.27497408305449722</v>
      </c>
      <c r="DA158" s="171" t="s">
        <v>569</v>
      </c>
    </row>
    <row r="159" spans="1:105" ht="11.45" customHeight="1" x14ac:dyDescent="0.25">
      <c r="A159" s="111" t="s">
        <v>111</v>
      </c>
      <c r="B159" s="96">
        <v>0.33506358965312349</v>
      </c>
      <c r="C159" s="96">
        <v>0.33523288881828234</v>
      </c>
      <c r="D159" s="96">
        <v>0.33540818489176116</v>
      </c>
      <c r="E159" s="96">
        <v>0.3357964625765108</v>
      </c>
      <c r="F159" s="96">
        <v>0.33740201791350993</v>
      </c>
      <c r="G159" s="96">
        <v>0.33636168267457495</v>
      </c>
      <c r="H159" s="96">
        <v>0.3379963281330704</v>
      </c>
      <c r="I159" s="96">
        <v>0.33837789069951613</v>
      </c>
      <c r="J159" s="96">
        <v>0.33787416676023496</v>
      </c>
      <c r="K159" s="96">
        <v>0.34003426833863226</v>
      </c>
      <c r="L159" s="96">
        <v>0.3398178240067567</v>
      </c>
      <c r="M159" s="96">
        <v>0.34010265941710038</v>
      </c>
      <c r="N159" s="96">
        <v>0.34139877610066666</v>
      </c>
      <c r="O159" s="96">
        <v>0.34093584502113261</v>
      </c>
      <c r="P159" s="96">
        <v>0.34206826082877589</v>
      </c>
      <c r="Q159" s="96">
        <v>0.34267319335818186</v>
      </c>
      <c r="R159" s="96">
        <v>0.34314241674071916</v>
      </c>
      <c r="S159" s="96">
        <v>0.34351787620633856</v>
      </c>
      <c r="T159" s="96">
        <v>0.343905982272878</v>
      </c>
      <c r="U159" s="96">
        <v>0.34441585352098575</v>
      </c>
      <c r="V159" s="96">
        <v>0.34653490694796413</v>
      </c>
      <c r="W159" s="96">
        <v>0.34520858163246376</v>
      </c>
      <c r="X159" s="96">
        <v>0.34609423513390447</v>
      </c>
      <c r="Y159" s="96">
        <v>0.3463485484357201</v>
      </c>
      <c r="DA159" s="171" t="s">
        <v>570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X160" s="96">
        <v>0</v>
      </c>
      <c r="Y160" s="96">
        <v>0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0.25550185701873984</v>
      </c>
      <c r="D161" s="96">
        <v>0.25578948067162804</v>
      </c>
      <c r="E161" s="96">
        <v>0.25656135886042813</v>
      </c>
      <c r="F161" s="96">
        <v>0.26010757037291621</v>
      </c>
      <c r="G161" s="96">
        <v>0.25763948068868114</v>
      </c>
      <c r="H161" s="96">
        <v>0.26132627507809914</v>
      </c>
      <c r="I161" s="96">
        <v>0.26213580213555121</v>
      </c>
      <c r="J161" s="96">
        <v>0.26091140973660709</v>
      </c>
      <c r="K161" s="96">
        <v>0.26590759725824747</v>
      </c>
      <c r="L161" s="96">
        <v>0.26536558339591015</v>
      </c>
      <c r="M161" s="96">
        <v>0.26599827011683769</v>
      </c>
      <c r="N161" s="96">
        <v>0.26902279509152394</v>
      </c>
      <c r="O161" s="96">
        <v>0.26793780490439062</v>
      </c>
      <c r="P161" s="96">
        <v>0.27061605680507383</v>
      </c>
      <c r="Q161" s="96">
        <v>0.27205613407821233</v>
      </c>
      <c r="R161" s="96">
        <v>0.27317524680917216</v>
      </c>
      <c r="S161" s="96">
        <v>0.27407293675362715</v>
      </c>
      <c r="T161" s="96">
        <v>0.27500292844875862</v>
      </c>
      <c r="U161" s="96">
        <v>0.27622789177452972</v>
      </c>
      <c r="V161" s="96">
        <v>0.27792741185964726</v>
      </c>
      <c r="W161" s="96">
        <v>0.27813963307952266</v>
      </c>
      <c r="X161" s="96">
        <v>0.28028588217429629</v>
      </c>
      <c r="Y161" s="96">
        <v>0.28090420641606711</v>
      </c>
      <c r="DA161" s="171" t="s">
        <v>572</v>
      </c>
    </row>
    <row r="162" spans="1:105" ht="11.45" customHeight="1" x14ac:dyDescent="0.25">
      <c r="A162" s="111" t="s">
        <v>115</v>
      </c>
      <c r="B162" s="96">
        <v>0.27764774095221018</v>
      </c>
      <c r="C162" s="96">
        <v>0.27761373673476269</v>
      </c>
      <c r="D162" s="96">
        <v>0.27758326172834019</v>
      </c>
      <c r="E162" s="96">
        <v>0.27750512656062393</v>
      </c>
      <c r="F162" s="96">
        <v>0.27682530927664767</v>
      </c>
      <c r="G162" s="96">
        <v>0.27620202331155458</v>
      </c>
      <c r="H162" s="96">
        <v>0.27551015142687646</v>
      </c>
      <c r="I162" s="96">
        <v>0.27543045343008909</v>
      </c>
      <c r="J162" s="96">
        <v>0.27446540916490098</v>
      </c>
      <c r="K162" s="96">
        <v>0.27380082558461583</v>
      </c>
      <c r="L162" s="96">
        <v>0.27333119392462563</v>
      </c>
      <c r="M162" s="96">
        <v>0.2731222612968871</v>
      </c>
      <c r="N162" s="96">
        <v>0.27283695668966951</v>
      </c>
      <c r="O162" s="96">
        <v>0.27229739145113507</v>
      </c>
      <c r="P162" s="96">
        <v>0.27206432939931602</v>
      </c>
      <c r="Q162" s="96">
        <v>0.27205613407821233</v>
      </c>
      <c r="R162" s="96">
        <v>0.27227958924990686</v>
      </c>
      <c r="S162" s="96">
        <v>0.27245830383123759</v>
      </c>
      <c r="T162" s="96">
        <v>0.27264295595022586</v>
      </c>
      <c r="U162" s="96">
        <v>0.27288541456413068</v>
      </c>
      <c r="V162" s="96">
        <v>0.27456436971962928</v>
      </c>
      <c r="W162" s="96">
        <v>0.27326209489946118</v>
      </c>
      <c r="X162" s="96">
        <v>0.27368252158300332</v>
      </c>
      <c r="Y162" s="96">
        <v>0.27380316655210984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12.818186188714765</v>
      </c>
      <c r="C163" s="130">
        <f t="shared" si="215"/>
        <v>11.980667722863512</v>
      </c>
      <c r="D163" s="130">
        <f t="shared" si="215"/>
        <v>12.308624930942974</v>
      </c>
      <c r="E163" s="130">
        <f t="shared" si="215"/>
        <v>11.702582576134601</v>
      </c>
      <c r="F163" s="130">
        <f t="shared" si="215"/>
        <v>11.804817800826783</v>
      </c>
      <c r="G163" s="130">
        <f t="shared" si="215"/>
        <v>11.668270025366196</v>
      </c>
      <c r="H163" s="130">
        <f t="shared" si="215"/>
        <v>11.242927670440219</v>
      </c>
      <c r="I163" s="130">
        <f t="shared" si="215"/>
        <v>11.457312231497966</v>
      </c>
      <c r="J163" s="130">
        <f t="shared" si="215"/>
        <v>11.701027087463634</v>
      </c>
      <c r="K163" s="130">
        <f t="shared" si="215"/>
        <v>11.884187545789555</v>
      </c>
      <c r="L163" s="130">
        <f t="shared" ref="L163" si="216">IF(L26=0,0,L26/L53)</f>
        <v>11.262241008573383</v>
      </c>
      <c r="M163" s="130">
        <f t="shared" ref="M163:V163" si="217">IF(M26=0,0,M26/M53)</f>
        <v>11.214935947341719</v>
      </c>
      <c r="N163" s="130">
        <f t="shared" si="217"/>
        <v>11.54505855936697</v>
      </c>
      <c r="O163" s="130">
        <f t="shared" si="217"/>
        <v>10.93790379983086</v>
      </c>
      <c r="P163" s="130">
        <f t="shared" si="217"/>
        <v>11.458997111644395</v>
      </c>
      <c r="Q163" s="130">
        <f t="shared" si="217"/>
        <v>13.344137274798205</v>
      </c>
      <c r="R163" s="130">
        <f t="shared" si="217"/>
        <v>13.13976580352735</v>
      </c>
      <c r="S163" s="130">
        <f t="shared" si="217"/>
        <v>13.463201623188809</v>
      </c>
      <c r="T163" s="130">
        <f t="shared" si="217"/>
        <v>13.759359422391844</v>
      </c>
      <c r="U163" s="130">
        <f t="shared" si="217"/>
        <v>14.087074438793577</v>
      </c>
      <c r="V163" s="130">
        <f t="shared" si="217"/>
        <v>15.217323466487064</v>
      </c>
      <c r="W163" s="130">
        <f t="shared" ref="W163:Y163" si="218">IF(W26=0,0,W26/W53)</f>
        <v>14.871283548278566</v>
      </c>
      <c r="X163" s="130">
        <f t="shared" si="218"/>
        <v>15.235453668319314</v>
      </c>
      <c r="Y163" s="130">
        <f t="shared" si="218"/>
        <v>15.237320093809956</v>
      </c>
      <c r="DA163" s="176" t="s">
        <v>574</v>
      </c>
    </row>
    <row r="164" spans="1:105" ht="11.45" customHeight="1" x14ac:dyDescent="0.25">
      <c r="A164" s="128" t="s">
        <v>27</v>
      </c>
      <c r="B164" s="97">
        <v>12.784594095940959</v>
      </c>
      <c r="C164" s="97">
        <v>11.925793473401878</v>
      </c>
      <c r="D164" s="97">
        <v>12.258078602620087</v>
      </c>
      <c r="E164" s="97">
        <v>11.638251839030723</v>
      </c>
      <c r="F164" s="97">
        <v>11.740120274914089</v>
      </c>
      <c r="G164" s="97">
        <v>11.599249374478733</v>
      </c>
      <c r="H164" s="97">
        <v>11.149299474605954</v>
      </c>
      <c r="I164" s="97">
        <v>11.367775831873905</v>
      </c>
      <c r="J164" s="97">
        <v>11.627368421052632</v>
      </c>
      <c r="K164" s="97">
        <v>11.818798449612403</v>
      </c>
      <c r="L164" s="97">
        <v>11.140832595217006</v>
      </c>
      <c r="M164" s="97">
        <v>11.131332082551594</v>
      </c>
      <c r="N164" s="97">
        <v>11.444676409185805</v>
      </c>
      <c r="O164" s="97">
        <v>10.830578512396695</v>
      </c>
      <c r="P164" s="97">
        <v>11.333333333333334</v>
      </c>
      <c r="Q164" s="97">
        <v>13.304779639975171</v>
      </c>
      <c r="R164" s="97">
        <v>13.105543710021323</v>
      </c>
      <c r="S164" s="97">
        <v>13.440530883103625</v>
      </c>
      <c r="T164" s="97">
        <v>13.74074074074074</v>
      </c>
      <c r="U164" s="97">
        <v>14.088080168776372</v>
      </c>
      <c r="V164" s="97">
        <v>15.275219298245615</v>
      </c>
      <c r="W164" s="97">
        <v>14.914778856526429</v>
      </c>
      <c r="X164" s="97">
        <v>15.297995780590718</v>
      </c>
      <c r="Y164" s="97">
        <v>15.310584152689415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13.731801555818864</v>
      </c>
      <c r="L165" s="98">
        <v>14.178700182725072</v>
      </c>
      <c r="M165" s="98">
        <v>14.133203670456812</v>
      </c>
      <c r="N165" s="98">
        <v>14.086426180736334</v>
      </c>
      <c r="O165" s="98">
        <v>14.105166269382362</v>
      </c>
      <c r="P165" s="98">
        <v>14.13821157163504</v>
      </c>
      <c r="Q165" s="98">
        <v>14.005556317739059</v>
      </c>
      <c r="R165" s="98">
        <v>13.933281647068956</v>
      </c>
      <c r="S165" s="98">
        <v>14.012038113892798</v>
      </c>
      <c r="T165" s="98">
        <v>14.146454243557947</v>
      </c>
      <c r="U165" s="98">
        <v>14.062037656310165</v>
      </c>
      <c r="V165" s="98">
        <v>13.861910981613583</v>
      </c>
      <c r="W165" s="98">
        <v>14.046303126595927</v>
      </c>
      <c r="X165" s="98">
        <v>13.993433342768185</v>
      </c>
      <c r="Y165" s="98">
        <v>13.837303725369457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15222.427405012641</v>
      </c>
      <c r="C167" s="54">
        <f t="shared" si="219"/>
        <v>15339.129500791092</v>
      </c>
      <c r="D167" s="54">
        <f t="shared" si="219"/>
        <v>15420.280906840038</v>
      </c>
      <c r="E167" s="54">
        <f t="shared" si="219"/>
        <v>15169.241928877473</v>
      </c>
      <c r="F167" s="54">
        <f t="shared" si="219"/>
        <v>14960.185303100325</v>
      </c>
      <c r="G167" s="54">
        <f t="shared" si="219"/>
        <v>14660.13052776218</v>
      </c>
      <c r="H167" s="54">
        <f t="shared" si="219"/>
        <v>14196.014088974342</v>
      </c>
      <c r="I167" s="54">
        <f t="shared" si="219"/>
        <v>14023.503487632021</v>
      </c>
      <c r="J167" s="54">
        <f t="shared" si="219"/>
        <v>13271.924161741856</v>
      </c>
      <c r="K167" s="54">
        <f t="shared" si="219"/>
        <v>12918.445422298139</v>
      </c>
      <c r="L167" s="54">
        <f t="shared" si="219"/>
        <v>12682.691160712931</v>
      </c>
      <c r="M167" s="54">
        <f>IF(M30=0,0,M30*1000000/M57)</f>
        <v>12353.590470833504</v>
      </c>
      <c r="N167" s="54">
        <f t="shared" ref="N167:V167" si="220">IF(N30=0,0,N30*1000000/N57)</f>
        <v>11933.915938352489</v>
      </c>
      <c r="O167" s="54">
        <f t="shared" si="220"/>
        <v>11675.169685701663</v>
      </c>
      <c r="P167" s="54">
        <f t="shared" si="220"/>
        <v>11473.288826318174</v>
      </c>
      <c r="Q167" s="54">
        <f t="shared" si="220"/>
        <v>11356.220864362116</v>
      </c>
      <c r="R167" s="54">
        <f t="shared" si="220"/>
        <v>10707.899278497915</v>
      </c>
      <c r="S167" s="54">
        <f t="shared" si="220"/>
        <v>11009.138268081309</v>
      </c>
      <c r="T167" s="54">
        <f t="shared" si="220"/>
        <v>10807.734119987685</v>
      </c>
      <c r="U167" s="54">
        <f t="shared" si="220"/>
        <v>10605.234905097936</v>
      </c>
      <c r="V167" s="54">
        <f t="shared" si="220"/>
        <v>10049.675203607352</v>
      </c>
      <c r="W167" s="54">
        <f t="shared" ref="W167:Y191" si="221">IF(W30=0,0,W30*1000000/W57)</f>
        <v>9911.3240311185946</v>
      </c>
      <c r="X167" s="54">
        <f t="shared" si="221"/>
        <v>9757.4131582813843</v>
      </c>
      <c r="Y167" s="54">
        <f t="shared" si="221"/>
        <v>9688.2036558889431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14636.43559294069</v>
      </c>
      <c r="C168" s="28">
        <f t="shared" si="219"/>
        <v>14763.715983207612</v>
      </c>
      <c r="D168" s="28">
        <f t="shared" si="219"/>
        <v>14864.698060000521</v>
      </c>
      <c r="E168" s="28">
        <f t="shared" si="219"/>
        <v>14623.269188916975</v>
      </c>
      <c r="F168" s="28">
        <f t="shared" si="219"/>
        <v>14445.820703610065</v>
      </c>
      <c r="G168" s="28">
        <f t="shared" si="219"/>
        <v>14099.011279323917</v>
      </c>
      <c r="H168" s="28">
        <f t="shared" si="219"/>
        <v>13684.479155914974</v>
      </c>
      <c r="I168" s="28">
        <f t="shared" si="219"/>
        <v>13533.844807499469</v>
      </c>
      <c r="J168" s="28">
        <f t="shared" si="219"/>
        <v>12693.727633765497</v>
      </c>
      <c r="K168" s="28">
        <f t="shared" si="219"/>
        <v>12471.711106070794</v>
      </c>
      <c r="L168" s="28">
        <f t="shared" si="219"/>
        <v>12162.221517754671</v>
      </c>
      <c r="M168" s="28">
        <f t="shared" ref="M168:M192" si="222">IF(M31=0,0,M31*1000000/M58)</f>
        <v>11868.64672581627</v>
      </c>
      <c r="N168" s="28">
        <f t="shared" si="219"/>
        <v>11495.140472781548</v>
      </c>
      <c r="O168" s="28">
        <f t="shared" si="219"/>
        <v>11201.188767087</v>
      </c>
      <c r="P168" s="28">
        <f t="shared" si="219"/>
        <v>11041.552279637188</v>
      </c>
      <c r="Q168" s="28">
        <f t="shared" si="219"/>
        <v>10973.342653885054</v>
      </c>
      <c r="R168" s="28">
        <f t="shared" si="219"/>
        <v>10184.313174194587</v>
      </c>
      <c r="S168" s="28">
        <f t="shared" si="219"/>
        <v>10528.700276508151</v>
      </c>
      <c r="T168" s="28">
        <f t="shared" si="219"/>
        <v>10327.299084054301</v>
      </c>
      <c r="U168" s="28">
        <f t="shared" si="219"/>
        <v>10117.251690385163</v>
      </c>
      <c r="V168" s="28">
        <f t="shared" si="219"/>
        <v>9541.8951710399178</v>
      </c>
      <c r="W168" s="28">
        <f t="shared" si="221"/>
        <v>9346.152811591588</v>
      </c>
      <c r="X168" s="28">
        <f t="shared" si="221"/>
        <v>9183.4882291160156</v>
      </c>
      <c r="Y168" s="28">
        <f t="shared" si="221"/>
        <v>9155.4401635202139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4367.3417554197295</v>
      </c>
      <c r="C169" s="137">
        <f t="shared" si="219"/>
        <v>4095.9283085388488</v>
      </c>
      <c r="D169" s="137">
        <f t="shared" si="219"/>
        <v>3777.5665334655723</v>
      </c>
      <c r="E169" s="137">
        <f t="shared" si="219"/>
        <v>3443.3319862824305</v>
      </c>
      <c r="F169" s="137">
        <f t="shared" si="219"/>
        <v>3109.9839584549641</v>
      </c>
      <c r="G169" s="137">
        <f t="shared" si="219"/>
        <v>2797.4342062188693</v>
      </c>
      <c r="H169" s="137">
        <f t="shared" si="219"/>
        <v>2495.2950366153568</v>
      </c>
      <c r="I169" s="137">
        <f t="shared" si="219"/>
        <v>2246.4774370824089</v>
      </c>
      <c r="J169" s="137">
        <f t="shared" si="219"/>
        <v>2007.6570978797422</v>
      </c>
      <c r="K169" s="137">
        <f t="shared" si="219"/>
        <v>1856.0445220243018</v>
      </c>
      <c r="L169" s="137">
        <f t="shared" si="219"/>
        <v>2315.3281912511293</v>
      </c>
      <c r="M169" s="137">
        <f t="shared" si="222"/>
        <v>2184.2844516725941</v>
      </c>
      <c r="N169" s="137">
        <f t="shared" si="219"/>
        <v>2089.0737859039314</v>
      </c>
      <c r="O169" s="137">
        <f t="shared" si="219"/>
        <v>2026.8814746984795</v>
      </c>
      <c r="P169" s="137">
        <f t="shared" si="219"/>
        <v>1977.8772524310741</v>
      </c>
      <c r="Q169" s="137">
        <f t="shared" si="219"/>
        <v>1933.8243461999446</v>
      </c>
      <c r="R169" s="137">
        <f t="shared" si="219"/>
        <v>1949.0392108412614</v>
      </c>
      <c r="S169" s="137">
        <f t="shared" si="219"/>
        <v>1804.3330811998826</v>
      </c>
      <c r="T169" s="137">
        <f t="shared" si="219"/>
        <v>1691.209910427767</v>
      </c>
      <c r="U169" s="137">
        <f t="shared" si="219"/>
        <v>1765.205555623334</v>
      </c>
      <c r="V169" s="137">
        <f t="shared" si="219"/>
        <v>1549.9734087917275</v>
      </c>
      <c r="W169" s="137">
        <f t="shared" si="221"/>
        <v>1582.643889926725</v>
      </c>
      <c r="X169" s="137">
        <f t="shared" si="221"/>
        <v>1574.5059713220269</v>
      </c>
      <c r="Y169" s="137">
        <f t="shared" si="221"/>
        <v>1682.2028476058299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15473.30683640544</v>
      </c>
      <c r="C170" s="110">
        <f t="shared" si="219"/>
        <v>15692.538077002464</v>
      </c>
      <c r="D170" s="110">
        <f t="shared" si="219"/>
        <v>15905.780897008062</v>
      </c>
      <c r="E170" s="110">
        <f t="shared" si="219"/>
        <v>15741.023102324838</v>
      </c>
      <c r="F170" s="110">
        <f t="shared" si="219"/>
        <v>15670.108399572751</v>
      </c>
      <c r="G170" s="110">
        <f t="shared" si="219"/>
        <v>15415.346677562056</v>
      </c>
      <c r="H170" s="110">
        <f t="shared" si="219"/>
        <v>15108.743989744858</v>
      </c>
      <c r="I170" s="110">
        <f t="shared" si="219"/>
        <v>15100.510817072349</v>
      </c>
      <c r="J170" s="110">
        <f t="shared" si="219"/>
        <v>14270.373348153498</v>
      </c>
      <c r="K170" s="110">
        <f t="shared" si="219"/>
        <v>14121.062643499185</v>
      </c>
      <c r="L170" s="110">
        <f t="shared" si="219"/>
        <v>13730.458281378356</v>
      </c>
      <c r="M170" s="110">
        <f t="shared" si="222"/>
        <v>13445.693997907096</v>
      </c>
      <c r="N170" s="110">
        <f t="shared" si="219"/>
        <v>13047.409980445349</v>
      </c>
      <c r="O170" s="110">
        <f t="shared" si="219"/>
        <v>12721.22077355068</v>
      </c>
      <c r="P170" s="110">
        <f t="shared" si="219"/>
        <v>12544.382055229951</v>
      </c>
      <c r="Q170" s="110">
        <f t="shared" si="219"/>
        <v>12475.037559585267</v>
      </c>
      <c r="R170" s="110">
        <f t="shared" si="219"/>
        <v>11519.602295983474</v>
      </c>
      <c r="S170" s="110">
        <f t="shared" si="219"/>
        <v>11949.029946715693</v>
      </c>
      <c r="T170" s="110">
        <f t="shared" si="219"/>
        <v>11732.579706653809</v>
      </c>
      <c r="U170" s="110">
        <f t="shared" si="219"/>
        <v>11470.495686662047</v>
      </c>
      <c r="V170" s="110">
        <f t="shared" si="219"/>
        <v>10857.892558650221</v>
      </c>
      <c r="W170" s="110">
        <f t="shared" si="221"/>
        <v>10646.892571588001</v>
      </c>
      <c r="X170" s="110">
        <f t="shared" si="221"/>
        <v>10448.451854372235</v>
      </c>
      <c r="Y170" s="110">
        <f t="shared" si="221"/>
        <v>10378.995228706613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14382.325672330697</v>
      </c>
      <c r="C171" s="84">
        <f t="shared" si="219"/>
        <v>14552.870316813154</v>
      </c>
      <c r="D171" s="84">
        <f t="shared" si="219"/>
        <v>14719.905257251201</v>
      </c>
      <c r="E171" s="84">
        <f t="shared" si="219"/>
        <v>14507.352640334542</v>
      </c>
      <c r="F171" s="84">
        <f t="shared" si="219"/>
        <v>14442.302326337542</v>
      </c>
      <c r="G171" s="84">
        <f t="shared" si="219"/>
        <v>14120.285789493486</v>
      </c>
      <c r="H171" s="84">
        <f t="shared" si="219"/>
        <v>13727.14240536824</v>
      </c>
      <c r="I171" s="84">
        <f t="shared" si="219"/>
        <v>13593.069026511417</v>
      </c>
      <c r="J171" s="84">
        <f t="shared" si="219"/>
        <v>12533.80025672036</v>
      </c>
      <c r="K171" s="84">
        <f t="shared" si="219"/>
        <v>12245.092893313813</v>
      </c>
      <c r="L171" s="84">
        <f t="shared" si="219"/>
        <v>11691.422602110753</v>
      </c>
      <c r="M171" s="84">
        <f t="shared" si="222"/>
        <v>11036.242363493533</v>
      </c>
      <c r="N171" s="84">
        <f t="shared" si="219"/>
        <v>10534.494162370764</v>
      </c>
      <c r="O171" s="84">
        <f t="shared" si="219"/>
        <v>10330.985030614558</v>
      </c>
      <c r="P171" s="84">
        <f t="shared" si="219"/>
        <v>10065.775034977438</v>
      </c>
      <c r="Q171" s="84">
        <f t="shared" si="219"/>
        <v>9913.3398313163416</v>
      </c>
      <c r="R171" s="84">
        <f t="shared" si="219"/>
        <v>9125.756249230657</v>
      </c>
      <c r="S171" s="84">
        <f t="shared" si="219"/>
        <v>9324.4128514455206</v>
      </c>
      <c r="T171" s="84">
        <f t="shared" si="219"/>
        <v>9121.1455244454282</v>
      </c>
      <c r="U171" s="84">
        <f t="shared" si="219"/>
        <v>8932.2210929387838</v>
      </c>
      <c r="V171" s="84">
        <f t="shared" si="219"/>
        <v>8539.2248489247067</v>
      </c>
      <c r="W171" s="84">
        <f t="shared" si="221"/>
        <v>8402.5761913409406</v>
      </c>
      <c r="X171" s="84">
        <f t="shared" si="221"/>
        <v>8287.5564166695403</v>
      </c>
      <c r="Y171" s="84">
        <f t="shared" si="221"/>
        <v>8248.2258547355141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24996.881595194645</v>
      </c>
      <c r="C172" s="84">
        <f t="shared" si="219"/>
        <v>25186.46805199084</v>
      </c>
      <c r="D172" s="84">
        <f t="shared" si="219"/>
        <v>25358.615649966319</v>
      </c>
      <c r="E172" s="84">
        <f t="shared" si="219"/>
        <v>25063.636870003818</v>
      </c>
      <c r="F172" s="84">
        <f t="shared" si="219"/>
        <v>24887.628759489569</v>
      </c>
      <c r="G172" s="84">
        <f t="shared" si="219"/>
        <v>24506.604510545294</v>
      </c>
      <c r="H172" s="84">
        <f t="shared" si="219"/>
        <v>24085.007418766865</v>
      </c>
      <c r="I172" s="84">
        <f t="shared" si="219"/>
        <v>23999.093843073304</v>
      </c>
      <c r="J172" s="84">
        <f t="shared" si="219"/>
        <v>22957.874413602371</v>
      </c>
      <c r="K172" s="84">
        <f t="shared" si="219"/>
        <v>22716.020038484454</v>
      </c>
      <c r="L172" s="84">
        <f t="shared" si="219"/>
        <v>22190.341570916964</v>
      </c>
      <c r="M172" s="84">
        <f t="shared" si="222"/>
        <v>22589.378592716028</v>
      </c>
      <c r="N172" s="84">
        <f t="shared" si="219"/>
        <v>22023.792186259638</v>
      </c>
      <c r="O172" s="84">
        <f t="shared" si="219"/>
        <v>20855.131445449548</v>
      </c>
      <c r="P172" s="84">
        <f t="shared" si="219"/>
        <v>20603.828386636877</v>
      </c>
      <c r="Q172" s="84">
        <f t="shared" si="219"/>
        <v>20478.539886510611</v>
      </c>
      <c r="R172" s="84">
        <f t="shared" si="219"/>
        <v>18722.545381576438</v>
      </c>
      <c r="S172" s="84">
        <f t="shared" si="219"/>
        <v>19598.997014480232</v>
      </c>
      <c r="T172" s="84">
        <f t="shared" si="219"/>
        <v>19156.224869389131</v>
      </c>
      <c r="U172" s="84">
        <f t="shared" si="219"/>
        <v>18622.833791744499</v>
      </c>
      <c r="V172" s="84">
        <f t="shared" si="219"/>
        <v>17388.013138424558</v>
      </c>
      <c r="W172" s="84">
        <f t="shared" si="221"/>
        <v>16966.670463710903</v>
      </c>
      <c r="X172" s="84">
        <f t="shared" si="221"/>
        <v>16572.306892219778</v>
      </c>
      <c r="Y172" s="84">
        <f t="shared" si="221"/>
        <v>16434.71492230448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0</v>
      </c>
      <c r="D173" s="84">
        <f t="shared" si="219"/>
        <v>0</v>
      </c>
      <c r="E173" s="84">
        <f t="shared" si="219"/>
        <v>0</v>
      </c>
      <c r="F173" s="84">
        <f t="shared" si="219"/>
        <v>0</v>
      </c>
      <c r="G173" s="84">
        <f t="shared" si="219"/>
        <v>0</v>
      </c>
      <c r="H173" s="84">
        <f t="shared" si="219"/>
        <v>0</v>
      </c>
      <c r="I173" s="84">
        <f t="shared" si="219"/>
        <v>0</v>
      </c>
      <c r="J173" s="84">
        <f t="shared" si="219"/>
        <v>0</v>
      </c>
      <c r="K173" s="84">
        <f t="shared" si="219"/>
        <v>0</v>
      </c>
      <c r="L173" s="84">
        <f t="shared" si="219"/>
        <v>0</v>
      </c>
      <c r="M173" s="84">
        <f t="shared" si="222"/>
        <v>0</v>
      </c>
      <c r="N173" s="84">
        <f t="shared" si="219"/>
        <v>0</v>
      </c>
      <c r="O173" s="84">
        <f t="shared" si="219"/>
        <v>0</v>
      </c>
      <c r="P173" s="84">
        <f t="shared" si="219"/>
        <v>0</v>
      </c>
      <c r="Q173" s="84">
        <f t="shared" si="219"/>
        <v>0</v>
      </c>
      <c r="R173" s="84">
        <f t="shared" si="219"/>
        <v>0</v>
      </c>
      <c r="S173" s="84">
        <f t="shared" si="219"/>
        <v>0</v>
      </c>
      <c r="T173" s="84">
        <f t="shared" si="219"/>
        <v>0</v>
      </c>
      <c r="U173" s="84">
        <f t="shared" si="219"/>
        <v>0</v>
      </c>
      <c r="V173" s="84">
        <f t="shared" si="219"/>
        <v>0</v>
      </c>
      <c r="W173" s="84">
        <f t="shared" si="221"/>
        <v>0</v>
      </c>
      <c r="X173" s="84">
        <f t="shared" si="221"/>
        <v>0</v>
      </c>
      <c r="Y173" s="84">
        <f t="shared" si="221"/>
        <v>0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13087.092157945715</v>
      </c>
      <c r="I174" s="84">
        <f t="shared" si="219"/>
        <v>13057.895776014015</v>
      </c>
      <c r="J174" s="84">
        <f t="shared" si="219"/>
        <v>12700.877223281781</v>
      </c>
      <c r="K174" s="84">
        <f t="shared" si="219"/>
        <v>12617.0862636486</v>
      </c>
      <c r="L174" s="84">
        <f t="shared" si="219"/>
        <v>12433.801004486073</v>
      </c>
      <c r="M174" s="84">
        <f t="shared" si="222"/>
        <v>12291.152050342231</v>
      </c>
      <c r="N174" s="84">
        <f t="shared" si="219"/>
        <v>12111.056142850186</v>
      </c>
      <c r="O174" s="84">
        <f t="shared" si="219"/>
        <v>11960.780008078762</v>
      </c>
      <c r="P174" s="84">
        <f t="shared" si="219"/>
        <v>11870.496186981005</v>
      </c>
      <c r="Q174" s="84">
        <f t="shared" si="219"/>
        <v>11825.330518583418</v>
      </c>
      <c r="R174" s="84">
        <f t="shared" si="219"/>
        <v>10493.170361970098</v>
      </c>
      <c r="S174" s="84">
        <f t="shared" si="219"/>
        <v>11085.351530120595</v>
      </c>
      <c r="T174" s="84">
        <f t="shared" si="219"/>
        <v>10785.51197432793</v>
      </c>
      <c r="U174" s="84">
        <f t="shared" si="219"/>
        <v>10426.145329443078</v>
      </c>
      <c r="V174" s="84">
        <f t="shared" si="219"/>
        <v>9602.1570566911723</v>
      </c>
      <c r="W174" s="84">
        <f t="shared" si="221"/>
        <v>9323.6251212910138</v>
      </c>
      <c r="X174" s="84">
        <f t="shared" si="221"/>
        <v>9064.1777626848925</v>
      </c>
      <c r="Y174" s="84">
        <f t="shared" si="221"/>
        <v>8973.9462463305626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10067.586560994201</v>
      </c>
      <c r="O175" s="84">
        <f t="shared" si="219"/>
        <v>9942.6661595842779</v>
      </c>
      <c r="P175" s="84">
        <f t="shared" si="219"/>
        <v>9867.6157120231419</v>
      </c>
      <c r="Q175" s="84">
        <f t="shared" si="219"/>
        <v>9830.070738998942</v>
      </c>
      <c r="R175" s="84">
        <f t="shared" si="219"/>
        <v>8722.6827844207783</v>
      </c>
      <c r="S175" s="84">
        <f t="shared" si="219"/>
        <v>9214.9466381942093</v>
      </c>
      <c r="T175" s="84">
        <f t="shared" si="219"/>
        <v>8965.6982946354346</v>
      </c>
      <c r="U175" s="84">
        <f t="shared" si="219"/>
        <v>8666.9667255766799</v>
      </c>
      <c r="V175" s="84">
        <f t="shared" si="219"/>
        <v>7982.0080264073067</v>
      </c>
      <c r="W175" s="84">
        <f t="shared" si="221"/>
        <v>7750.4721193346777</v>
      </c>
      <c r="X175" s="84">
        <f t="shared" si="221"/>
        <v>7534.8006939874804</v>
      </c>
      <c r="Y175" s="84">
        <f t="shared" si="221"/>
        <v>7459.7937259153141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12612.122222626924</v>
      </c>
      <c r="J176" s="84">
        <f t="shared" si="219"/>
        <v>12966.645893995887</v>
      </c>
      <c r="K176" s="84">
        <f t="shared" si="219"/>
        <v>13052.758303785127</v>
      </c>
      <c r="L176" s="84">
        <f t="shared" si="219"/>
        <v>13245.167542732404</v>
      </c>
      <c r="M176" s="84">
        <f t="shared" si="222"/>
        <v>13397.540205447473</v>
      </c>
      <c r="N176" s="84">
        <f t="shared" si="219"/>
        <v>13598.040074314631</v>
      </c>
      <c r="O176" s="84">
        <f t="shared" si="219"/>
        <v>13769.001680277182</v>
      </c>
      <c r="P176" s="84">
        <f t="shared" si="219"/>
        <v>13840.912520110685</v>
      </c>
      <c r="Q176" s="84">
        <f t="shared" si="219"/>
        <v>13945.59368839317</v>
      </c>
      <c r="R176" s="84">
        <f t="shared" si="219"/>
        <v>13719.485342457619</v>
      </c>
      <c r="S176" s="84">
        <f t="shared" si="219"/>
        <v>13679.918171083224</v>
      </c>
      <c r="T176" s="84">
        <f t="shared" si="219"/>
        <v>13670.438167856128</v>
      </c>
      <c r="U176" s="84">
        <f t="shared" si="219"/>
        <v>13642.561505228334</v>
      </c>
      <c r="V176" s="84">
        <f t="shared" si="219"/>
        <v>13014.972597561702</v>
      </c>
      <c r="W176" s="84">
        <f t="shared" si="221"/>
        <v>13616.842809748667</v>
      </c>
      <c r="X176" s="84">
        <f t="shared" si="221"/>
        <v>13556.275939836585</v>
      </c>
      <c r="Y176" s="84">
        <f t="shared" si="221"/>
        <v>13581.887331480819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36191.304162337306</v>
      </c>
      <c r="C177" s="110">
        <f t="shared" si="219"/>
        <v>35996.323797469864</v>
      </c>
      <c r="D177" s="110">
        <f t="shared" si="219"/>
        <v>35860.182061679719</v>
      </c>
      <c r="E177" s="110">
        <f t="shared" si="219"/>
        <v>35743.753829319387</v>
      </c>
      <c r="F177" s="110">
        <f t="shared" si="219"/>
        <v>35626.630598916228</v>
      </c>
      <c r="G177" s="110">
        <f t="shared" si="219"/>
        <v>35482.622716779224</v>
      </c>
      <c r="H177" s="110">
        <f t="shared" si="219"/>
        <v>35349.241466692816</v>
      </c>
      <c r="I177" s="110">
        <f t="shared" si="219"/>
        <v>35228.246718541814</v>
      </c>
      <c r="J177" s="110">
        <f t="shared" si="219"/>
        <v>35161.014584063516</v>
      </c>
      <c r="K177" s="110">
        <f t="shared" si="219"/>
        <v>35089.542701366074</v>
      </c>
      <c r="L177" s="110">
        <f t="shared" si="219"/>
        <v>34998.229216880231</v>
      </c>
      <c r="M177" s="110">
        <f t="shared" si="222"/>
        <v>34896.619428284699</v>
      </c>
      <c r="N177" s="110">
        <f t="shared" si="219"/>
        <v>34806.733686364256</v>
      </c>
      <c r="O177" s="110">
        <f t="shared" si="219"/>
        <v>34702.06565813069</v>
      </c>
      <c r="P177" s="110">
        <f t="shared" si="219"/>
        <v>34607.652101755528</v>
      </c>
      <c r="Q177" s="110">
        <f t="shared" si="219"/>
        <v>34499.167261479895</v>
      </c>
      <c r="R177" s="110">
        <f t="shared" si="219"/>
        <v>35160.939911954716</v>
      </c>
      <c r="S177" s="110">
        <f t="shared" si="219"/>
        <v>34870.205346764822</v>
      </c>
      <c r="T177" s="110">
        <f t="shared" si="219"/>
        <v>33248.497319542963</v>
      </c>
      <c r="U177" s="110">
        <f t="shared" si="219"/>
        <v>31489.049565126272</v>
      </c>
      <c r="V177" s="110">
        <f t="shared" si="219"/>
        <v>27123.74235037859</v>
      </c>
      <c r="W177" s="110">
        <f t="shared" si="221"/>
        <v>23677.452491011813</v>
      </c>
      <c r="X177" s="110">
        <f t="shared" si="221"/>
        <v>26639.448838989538</v>
      </c>
      <c r="Y177" s="110">
        <f t="shared" si="221"/>
        <v>28577.271100659476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17443.858576182749</v>
      </c>
      <c r="C178" s="102">
        <f t="shared" si="219"/>
        <v>17439.147576556883</v>
      </c>
      <c r="D178" s="102">
        <f t="shared" si="219"/>
        <v>17435.843806443994</v>
      </c>
      <c r="E178" s="102">
        <f t="shared" si="219"/>
        <v>17433.008960558465</v>
      </c>
      <c r="F178" s="102">
        <f t="shared" si="219"/>
        <v>17430.14832775345</v>
      </c>
      <c r="G178" s="102">
        <f t="shared" si="219"/>
        <v>17426.618789879049</v>
      </c>
      <c r="H178" s="102">
        <f t="shared" si="219"/>
        <v>17423.337543313475</v>
      </c>
      <c r="I178" s="102">
        <f t="shared" si="219"/>
        <v>17420.350820828342</v>
      </c>
      <c r="J178" s="102">
        <f t="shared" si="219"/>
        <v>17418.686999143771</v>
      </c>
      <c r="K178" s="102">
        <f t="shared" si="219"/>
        <v>17416.914937107271</v>
      </c>
      <c r="L178" s="102">
        <f t="shared" si="219"/>
        <v>17414.64593004591</v>
      </c>
      <c r="M178" s="102">
        <f t="shared" si="222"/>
        <v>17412.114454325303</v>
      </c>
      <c r="N178" s="102">
        <f t="shared" si="219"/>
        <v>17409.869224053826</v>
      </c>
      <c r="O178" s="102">
        <f t="shared" si="219"/>
        <v>17407.247799306497</v>
      </c>
      <c r="P178" s="102">
        <f t="shared" si="219"/>
        <v>17404.876747585662</v>
      </c>
      <c r="Q178" s="102">
        <f t="shared" si="219"/>
        <v>17402.144718175969</v>
      </c>
      <c r="R178" s="102">
        <f t="shared" si="219"/>
        <v>17397.758922721012</v>
      </c>
      <c r="S178" s="102">
        <f t="shared" si="219"/>
        <v>16901.80608258344</v>
      </c>
      <c r="T178" s="102">
        <f t="shared" si="219"/>
        <v>15755.877053714343</v>
      </c>
      <c r="U178" s="102">
        <f t="shared" si="219"/>
        <v>14583.963410148532</v>
      </c>
      <c r="V178" s="102">
        <f t="shared" si="219"/>
        <v>12253.018826238978</v>
      </c>
      <c r="W178" s="102">
        <f t="shared" si="221"/>
        <v>10411.27236880342</v>
      </c>
      <c r="X178" s="102">
        <f t="shared" si="221"/>
        <v>11547.278975999257</v>
      </c>
      <c r="Y178" s="102">
        <f t="shared" si="221"/>
        <v>12182.20853705421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36221.016211672046</v>
      </c>
      <c r="C179" s="102">
        <f t="shared" si="219"/>
        <v>36030.007512824384</v>
      </c>
      <c r="D179" s="102">
        <f t="shared" si="219"/>
        <v>35876.60366466525</v>
      </c>
      <c r="E179" s="102">
        <f t="shared" si="219"/>
        <v>35757.091280938992</v>
      </c>
      <c r="F179" s="102">
        <f t="shared" si="219"/>
        <v>35640.007801768072</v>
      </c>
      <c r="G179" s="102">
        <f t="shared" si="219"/>
        <v>35498.704070284242</v>
      </c>
      <c r="H179" s="102">
        <f t="shared" si="219"/>
        <v>35346.609863602527</v>
      </c>
      <c r="I179" s="102">
        <f t="shared" si="219"/>
        <v>35223.826670887269</v>
      </c>
      <c r="J179" s="102">
        <f t="shared" si="219"/>
        <v>35155.644158169765</v>
      </c>
      <c r="K179" s="102">
        <f t="shared" si="219"/>
        <v>35083.004443155529</v>
      </c>
      <c r="L179" s="102">
        <f t="shared" si="219"/>
        <v>34994.208312272938</v>
      </c>
      <c r="M179" s="102">
        <f t="shared" si="222"/>
        <v>34892.573533084462</v>
      </c>
      <c r="N179" s="102">
        <f t="shared" si="219"/>
        <v>34795.658483474304</v>
      </c>
      <c r="O179" s="102">
        <f t="shared" si="219"/>
        <v>34703.324530908161</v>
      </c>
      <c r="P179" s="102">
        <f t="shared" si="219"/>
        <v>34604.944671262863</v>
      </c>
      <c r="Q179" s="102">
        <f t="shared" si="219"/>
        <v>34494.821799680125</v>
      </c>
      <c r="R179" s="102">
        <f t="shared" si="219"/>
        <v>35168.605831973415</v>
      </c>
      <c r="S179" s="102">
        <f t="shared" si="219"/>
        <v>34888.80399724115</v>
      </c>
      <c r="T179" s="102">
        <f t="shared" si="219"/>
        <v>33276.467725430542</v>
      </c>
      <c r="U179" s="102">
        <f t="shared" si="219"/>
        <v>31507.581775437597</v>
      </c>
      <c r="V179" s="102">
        <f t="shared" si="219"/>
        <v>27127.042705936485</v>
      </c>
      <c r="W179" s="102">
        <f t="shared" si="221"/>
        <v>23570.204815939738</v>
      </c>
      <c r="X179" s="102">
        <f t="shared" si="221"/>
        <v>26421.468988274693</v>
      </c>
      <c r="Y179" s="102">
        <f t="shared" si="221"/>
        <v>28340.838314790853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X180" s="102">
        <f t="shared" si="221"/>
        <v>0</v>
      </c>
      <c r="Y180" s="102">
        <f t="shared" si="221"/>
        <v>0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38273.190879625334</v>
      </c>
      <c r="C181" s="102">
        <f t="shared" si="223"/>
        <v>38262.854577761442</v>
      </c>
      <c r="D181" s="102">
        <f t="shared" si="223"/>
        <v>38255.605847579369</v>
      </c>
      <c r="E181" s="102">
        <f t="shared" si="223"/>
        <v>38249.385973850323</v>
      </c>
      <c r="F181" s="102">
        <f t="shared" si="223"/>
        <v>38243.109521601822</v>
      </c>
      <c r="G181" s="102">
        <f t="shared" si="223"/>
        <v>38235.365439282315</v>
      </c>
      <c r="H181" s="102">
        <f t="shared" si="223"/>
        <v>38228.166127525757</v>
      </c>
      <c r="I181" s="102">
        <f t="shared" si="223"/>
        <v>38221.613024651255</v>
      </c>
      <c r="J181" s="102">
        <f t="shared" si="223"/>
        <v>38217.962469663937</v>
      </c>
      <c r="K181" s="102">
        <f t="shared" si="223"/>
        <v>38214.074426873565</v>
      </c>
      <c r="L181" s="102">
        <f t="shared" si="223"/>
        <v>38209.096047807529</v>
      </c>
      <c r="M181" s="102">
        <f t="shared" si="222"/>
        <v>38203.541791962198</v>
      </c>
      <c r="N181" s="102">
        <f t="shared" si="223"/>
        <v>38698.551107811079</v>
      </c>
      <c r="O181" s="102">
        <f t="shared" si="223"/>
        <v>37692.874792065064</v>
      </c>
      <c r="P181" s="102">
        <f t="shared" si="223"/>
        <v>37687.740622857542</v>
      </c>
      <c r="Q181" s="102">
        <f t="shared" si="223"/>
        <v>37681.824808729136</v>
      </c>
      <c r="R181" s="102">
        <f t="shared" si="223"/>
        <v>37095.710738308771</v>
      </c>
      <c r="S181" s="102">
        <f t="shared" si="223"/>
        <v>35486.628505571789</v>
      </c>
      <c r="T181" s="102">
        <f t="shared" si="223"/>
        <v>32574.326593811875</v>
      </c>
      <c r="U181" s="102">
        <f t="shared" si="223"/>
        <v>29689.963711221233</v>
      </c>
      <c r="V181" s="102">
        <f t="shared" si="223"/>
        <v>24562.832075455721</v>
      </c>
      <c r="W181" s="102">
        <f t="shared" si="221"/>
        <v>20551.351355782535</v>
      </c>
      <c r="X181" s="102">
        <f t="shared" si="221"/>
        <v>22444.889516062292</v>
      </c>
      <c r="Y181" s="102">
        <f t="shared" si="221"/>
        <v>23316.592403883271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41516.011137086381</v>
      </c>
      <c r="O182" s="102">
        <f t="shared" si="223"/>
        <v>41509.787987079202</v>
      </c>
      <c r="P182" s="102">
        <f t="shared" si="223"/>
        <v>41504.106070349982</v>
      </c>
      <c r="Q182" s="102">
        <f t="shared" si="223"/>
        <v>41497.549084956496</v>
      </c>
      <c r="R182" s="102">
        <f t="shared" si="223"/>
        <v>41105.176318332793</v>
      </c>
      <c r="S182" s="102">
        <f t="shared" si="223"/>
        <v>40934.880780445841</v>
      </c>
      <c r="T182" s="102">
        <f t="shared" si="223"/>
        <v>39971.669551170911</v>
      </c>
      <c r="U182" s="102">
        <f t="shared" si="223"/>
        <v>38899.682237378271</v>
      </c>
      <c r="V182" s="102">
        <f t="shared" si="223"/>
        <v>34847.903688690334</v>
      </c>
      <c r="W182" s="102">
        <f t="shared" si="221"/>
        <v>33731.353219047487</v>
      </c>
      <c r="X182" s="102">
        <f t="shared" si="221"/>
        <v>35779.057411608199</v>
      </c>
      <c r="Y182" s="102">
        <f t="shared" si="221"/>
        <v>37057.545868526955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19699.686356189432</v>
      </c>
      <c r="C183" s="28">
        <f t="shared" si="223"/>
        <v>19687.618729254402</v>
      </c>
      <c r="D183" s="28">
        <f t="shared" si="223"/>
        <v>19615.835414005858</v>
      </c>
      <c r="E183" s="28">
        <f t="shared" si="223"/>
        <v>19366.654572584161</v>
      </c>
      <c r="F183" s="28">
        <f t="shared" si="223"/>
        <v>18748.509575068238</v>
      </c>
      <c r="G183" s="28">
        <f t="shared" si="223"/>
        <v>18865.279083062469</v>
      </c>
      <c r="H183" s="28">
        <f t="shared" si="223"/>
        <v>18053.928997596355</v>
      </c>
      <c r="I183" s="28">
        <f t="shared" si="223"/>
        <v>17662.116570034679</v>
      </c>
      <c r="J183" s="28">
        <f t="shared" si="223"/>
        <v>17493.55177523263</v>
      </c>
      <c r="K183" s="28">
        <f t="shared" si="223"/>
        <v>16145.678536992953</v>
      </c>
      <c r="L183" s="28">
        <f t="shared" si="223"/>
        <v>16422.397023434227</v>
      </c>
      <c r="M183" s="28">
        <f t="shared" si="222"/>
        <v>15782.617997340061</v>
      </c>
      <c r="N183" s="28">
        <f t="shared" si="223"/>
        <v>15006.355926505768</v>
      </c>
      <c r="O183" s="28">
        <f t="shared" si="223"/>
        <v>14953.672542407365</v>
      </c>
      <c r="P183" s="28">
        <f t="shared" si="223"/>
        <v>14428.221247641413</v>
      </c>
      <c r="Q183" s="28">
        <f t="shared" si="223"/>
        <v>13941.58233823985</v>
      </c>
      <c r="R183" s="28">
        <f t="shared" si="223"/>
        <v>14199.702970417844</v>
      </c>
      <c r="S183" s="28">
        <f t="shared" si="223"/>
        <v>14159.206609148556</v>
      </c>
      <c r="T183" s="28">
        <f t="shared" si="223"/>
        <v>13907.996676511755</v>
      </c>
      <c r="U183" s="28">
        <f t="shared" si="223"/>
        <v>13710.894131959722</v>
      </c>
      <c r="V183" s="28">
        <f t="shared" si="223"/>
        <v>13213.375972820011</v>
      </c>
      <c r="W183" s="28">
        <f t="shared" si="221"/>
        <v>13410.866399962206</v>
      </c>
      <c r="X183" s="28">
        <f t="shared" si="221"/>
        <v>13275.032565255669</v>
      </c>
      <c r="Y183" s="28">
        <f t="shared" si="221"/>
        <v>12931.140502928343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15969.329567153402</v>
      </c>
      <c r="C184" s="137">
        <f t="shared" si="223"/>
        <v>16019.598542919701</v>
      </c>
      <c r="D184" s="137">
        <f t="shared" si="223"/>
        <v>16055.639613306668</v>
      </c>
      <c r="E184" s="137">
        <f t="shared" si="223"/>
        <v>16049.503076914472</v>
      </c>
      <c r="F184" s="137">
        <f t="shared" si="223"/>
        <v>15788.376256132724</v>
      </c>
      <c r="G184" s="137">
        <f t="shared" si="223"/>
        <v>16086.594411209619</v>
      </c>
      <c r="H184" s="137">
        <f t="shared" si="223"/>
        <v>15766.00543854832</v>
      </c>
      <c r="I184" s="137">
        <f t="shared" si="223"/>
        <v>15740.359198749948</v>
      </c>
      <c r="J184" s="137">
        <f t="shared" si="223"/>
        <v>15900.90405649947</v>
      </c>
      <c r="K184" s="137">
        <f t="shared" si="223"/>
        <v>15431.244284763807</v>
      </c>
      <c r="L184" s="137">
        <f t="shared" si="223"/>
        <v>15507.397190657059</v>
      </c>
      <c r="M184" s="137">
        <f t="shared" si="222"/>
        <v>15471.2299819695</v>
      </c>
      <c r="N184" s="137">
        <f t="shared" si="223"/>
        <v>15199.948769487701</v>
      </c>
      <c r="O184" s="137">
        <f t="shared" si="223"/>
        <v>15333.938539040295</v>
      </c>
      <c r="P184" s="137">
        <f t="shared" si="223"/>
        <v>15098.221245863169</v>
      </c>
      <c r="Q184" s="137">
        <f t="shared" si="223"/>
        <v>14981.254102449089</v>
      </c>
      <c r="R184" s="137">
        <f t="shared" si="223"/>
        <v>14893.861869043712</v>
      </c>
      <c r="S184" s="137">
        <f t="shared" si="223"/>
        <v>14826.938374906525</v>
      </c>
      <c r="T184" s="137">
        <f t="shared" si="223"/>
        <v>14755.225242518665</v>
      </c>
      <c r="U184" s="137">
        <f t="shared" si="223"/>
        <v>14655.122228630769</v>
      </c>
      <c r="V184" s="137">
        <f t="shared" si="223"/>
        <v>14220.805915750585</v>
      </c>
      <c r="W184" s="137">
        <f t="shared" si="221"/>
        <v>14493.545409448163</v>
      </c>
      <c r="X184" s="137">
        <f t="shared" si="221"/>
        <v>14309.128481450232</v>
      </c>
      <c r="Y184" s="137">
        <f t="shared" si="221"/>
        <v>14246.167617621313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10174.907616457273</v>
      </c>
      <c r="C185" s="84">
        <f t="shared" si="223"/>
        <v>10149.243390286503</v>
      </c>
      <c r="D185" s="84">
        <f t="shared" si="223"/>
        <v>10123.074681740174</v>
      </c>
      <c r="E185" s="84">
        <f t="shared" si="223"/>
        <v>10064.587570636091</v>
      </c>
      <c r="F185" s="84">
        <f t="shared" si="223"/>
        <v>9827.4753120148198</v>
      </c>
      <c r="G185" s="84">
        <f t="shared" si="223"/>
        <v>9980.272360010651</v>
      </c>
      <c r="H185" s="84">
        <f t="shared" si="223"/>
        <v>9741.5312047267216</v>
      </c>
      <c r="I185" s="84">
        <f t="shared" si="223"/>
        <v>9686.3659555085305</v>
      </c>
      <c r="J185" s="84">
        <f t="shared" si="223"/>
        <v>9759.2525514302324</v>
      </c>
      <c r="K185" s="84">
        <f t="shared" si="223"/>
        <v>9453.4827621291697</v>
      </c>
      <c r="L185" s="84">
        <f t="shared" si="223"/>
        <v>9483.7152472690705</v>
      </c>
      <c r="M185" s="84">
        <f t="shared" si="222"/>
        <v>9443.3295304504391</v>
      </c>
      <c r="N185" s="84">
        <f t="shared" si="223"/>
        <v>9266.3868975653877</v>
      </c>
      <c r="O185" s="84">
        <f t="shared" si="223"/>
        <v>9328.5982950000052</v>
      </c>
      <c r="P185" s="84">
        <f t="shared" si="223"/>
        <v>9175.290430609035</v>
      </c>
      <c r="Q185" s="84">
        <f t="shared" si="223"/>
        <v>9094.5302694180282</v>
      </c>
      <c r="R185" s="84">
        <f t="shared" si="223"/>
        <v>9032.5194053724936</v>
      </c>
      <c r="S185" s="84">
        <f t="shared" si="223"/>
        <v>8983.2652053459606</v>
      </c>
      <c r="T185" s="84">
        <f t="shared" si="223"/>
        <v>8932.690343710201</v>
      </c>
      <c r="U185" s="84">
        <f t="shared" si="223"/>
        <v>8866.7663030463391</v>
      </c>
      <c r="V185" s="84">
        <f t="shared" si="223"/>
        <v>8598.9612202850985</v>
      </c>
      <c r="W185" s="84">
        <f t="shared" si="221"/>
        <v>8765.4257339733831</v>
      </c>
      <c r="X185" s="84">
        <f t="shared" si="221"/>
        <v>8653.8448532995171</v>
      </c>
      <c r="Y185" s="84">
        <f t="shared" si="221"/>
        <v>8622.120189000927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17220.015300228268</v>
      </c>
      <c r="C186" s="84">
        <f t="shared" si="223"/>
        <v>17176.576974267253</v>
      </c>
      <c r="D186" s="84">
        <f t="shared" si="223"/>
        <v>17131.738461297413</v>
      </c>
      <c r="E186" s="84">
        <f t="shared" si="223"/>
        <v>17032.921063073441</v>
      </c>
      <c r="F186" s="84">
        <f t="shared" si="223"/>
        <v>16631.496905764136</v>
      </c>
      <c r="G186" s="84">
        <f t="shared" si="223"/>
        <v>16890.291140356101</v>
      </c>
      <c r="H186" s="84">
        <f t="shared" si="223"/>
        <v>16485.791625190512</v>
      </c>
      <c r="I186" s="84">
        <f t="shared" si="223"/>
        <v>16393.052252791153</v>
      </c>
      <c r="J186" s="84">
        <f t="shared" si="223"/>
        <v>16515.616097850281</v>
      </c>
      <c r="K186" s="84">
        <f t="shared" si="223"/>
        <v>15997.653369214286</v>
      </c>
      <c r="L186" s="84">
        <f t="shared" si="223"/>
        <v>16048.66621955439</v>
      </c>
      <c r="M186" s="84">
        <f t="shared" si="222"/>
        <v>15981.575035183385</v>
      </c>
      <c r="N186" s="84">
        <f t="shared" si="223"/>
        <v>15680.500417818839</v>
      </c>
      <c r="O186" s="84">
        <f t="shared" si="223"/>
        <v>15787.246756614059</v>
      </c>
      <c r="P186" s="84">
        <f t="shared" si="223"/>
        <v>15527.653091892926</v>
      </c>
      <c r="Q186" s="84">
        <f t="shared" si="223"/>
        <v>15391.078697782932</v>
      </c>
      <c r="R186" s="84">
        <f t="shared" si="223"/>
        <v>15286.134950237038</v>
      </c>
      <c r="S186" s="84">
        <f t="shared" si="223"/>
        <v>15202.779873465905</v>
      </c>
      <c r="T186" s="84">
        <f t="shared" si="223"/>
        <v>15117.189782223591</v>
      </c>
      <c r="U186" s="84">
        <f t="shared" si="223"/>
        <v>15005.623591571035</v>
      </c>
      <c r="V186" s="84">
        <f t="shared" si="223"/>
        <v>14552.405120430769</v>
      </c>
      <c r="W186" s="84">
        <f t="shared" si="221"/>
        <v>14834.120432235268</v>
      </c>
      <c r="X186" s="84">
        <f t="shared" si="221"/>
        <v>14645.28713741472</v>
      </c>
      <c r="Y186" s="84">
        <f t="shared" si="221"/>
        <v>14591.598074822639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0</v>
      </c>
      <c r="S187" s="84">
        <f t="shared" si="223"/>
        <v>0</v>
      </c>
      <c r="T187" s="84">
        <f t="shared" si="223"/>
        <v>0</v>
      </c>
      <c r="U187" s="84">
        <f t="shared" si="223"/>
        <v>0</v>
      </c>
      <c r="V187" s="84">
        <f t="shared" si="223"/>
        <v>0</v>
      </c>
      <c r="W187" s="84">
        <f t="shared" si="221"/>
        <v>0</v>
      </c>
      <c r="X187" s="84">
        <f t="shared" si="221"/>
        <v>0</v>
      </c>
      <c r="Y187" s="84">
        <f t="shared" si="221"/>
        <v>0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15276.139256015291</v>
      </c>
      <c r="D188" s="84">
        <f t="shared" si="223"/>
        <v>15190.445566456963</v>
      </c>
      <c r="E188" s="84">
        <f t="shared" si="223"/>
        <v>14963.310155015728</v>
      </c>
      <c r="F188" s="84">
        <f t="shared" si="223"/>
        <v>13970.725239769445</v>
      </c>
      <c r="G188" s="84">
        <f t="shared" si="223"/>
        <v>14652.84103750247</v>
      </c>
      <c r="H188" s="84">
        <f t="shared" si="223"/>
        <v>13647.984579071221</v>
      </c>
      <c r="I188" s="84">
        <f t="shared" si="223"/>
        <v>13438.543828077933</v>
      </c>
      <c r="J188" s="84">
        <f t="shared" si="223"/>
        <v>13756.835904249179</v>
      </c>
      <c r="K188" s="84">
        <f t="shared" si="223"/>
        <v>12512.099370251775</v>
      </c>
      <c r="L188" s="84">
        <f t="shared" si="223"/>
        <v>12640.403340040864</v>
      </c>
      <c r="M188" s="84">
        <f t="shared" si="222"/>
        <v>12490.788430460403</v>
      </c>
      <c r="N188" s="84">
        <f t="shared" si="223"/>
        <v>11804.253039858226</v>
      </c>
      <c r="O188" s="84">
        <f t="shared" si="223"/>
        <v>12045.197859873821</v>
      </c>
      <c r="P188" s="84">
        <f t="shared" si="223"/>
        <v>11460.830928055393</v>
      </c>
      <c r="Q188" s="84">
        <f t="shared" si="223"/>
        <v>11160.696582907181</v>
      </c>
      <c r="R188" s="84">
        <f t="shared" si="223"/>
        <v>10933.952755495193</v>
      </c>
      <c r="S188" s="84">
        <f t="shared" si="223"/>
        <v>10756.058280406673</v>
      </c>
      <c r="T188" s="84">
        <f t="shared" si="223"/>
        <v>10575.412610490996</v>
      </c>
      <c r="U188" s="84">
        <f t="shared" si="223"/>
        <v>10342.993924715121</v>
      </c>
      <c r="V188" s="84">
        <f t="shared" si="223"/>
        <v>10030.601982789723</v>
      </c>
      <c r="W188" s="84">
        <f t="shared" si="221"/>
        <v>9992.3934645306854</v>
      </c>
      <c r="X188" s="84">
        <f t="shared" si="221"/>
        <v>9615.6311968134105</v>
      </c>
      <c r="Y188" s="84">
        <f t="shared" si="221"/>
        <v>9510.2667956633068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8492.9404736695778</v>
      </c>
      <c r="C189" s="84">
        <f t="shared" si="223"/>
        <v>8498.143144013975</v>
      </c>
      <c r="D189" s="84">
        <f t="shared" si="223"/>
        <v>8502.8090924749868</v>
      </c>
      <c r="E189" s="84">
        <f t="shared" si="223"/>
        <v>8514.7862161263765</v>
      </c>
      <c r="F189" s="84">
        <f t="shared" si="223"/>
        <v>8619.8524602132966</v>
      </c>
      <c r="G189" s="84">
        <f t="shared" si="223"/>
        <v>8717.5515261557921</v>
      </c>
      <c r="H189" s="84">
        <f t="shared" si="223"/>
        <v>8827.5619497495554</v>
      </c>
      <c r="I189" s="84">
        <f t="shared" si="223"/>
        <v>8840.3409700468601</v>
      </c>
      <c r="J189" s="84">
        <f t="shared" si="223"/>
        <v>8996.8547803948768</v>
      </c>
      <c r="K189" s="84">
        <f t="shared" si="223"/>
        <v>9106.5742882121685</v>
      </c>
      <c r="L189" s="84">
        <f t="shared" si="223"/>
        <v>9185.0771695961648</v>
      </c>
      <c r="M189" s="84">
        <f t="shared" si="222"/>
        <v>9220.2628887899864</v>
      </c>
      <c r="N189" s="84">
        <f t="shared" si="223"/>
        <v>9268.5717918973332</v>
      </c>
      <c r="O189" s="84">
        <f t="shared" si="223"/>
        <v>9360.7661696378509</v>
      </c>
      <c r="P189" s="84">
        <f t="shared" si="223"/>
        <v>9400.9291037350195</v>
      </c>
      <c r="Q189" s="84">
        <f t="shared" si="223"/>
        <v>9402.3451400752529</v>
      </c>
      <c r="R189" s="84">
        <f t="shared" si="223"/>
        <v>9363.8267008314269</v>
      </c>
      <c r="S189" s="84">
        <f t="shared" si="223"/>
        <v>9333.1567150585834</v>
      </c>
      <c r="T189" s="84">
        <f t="shared" si="223"/>
        <v>9301.594293947921</v>
      </c>
      <c r="U189" s="84">
        <f t="shared" si="223"/>
        <v>9260.3453389343977</v>
      </c>
      <c r="V189" s="84">
        <f t="shared" si="223"/>
        <v>8980.6528935567694</v>
      </c>
      <c r="W189" s="84">
        <f t="shared" si="221"/>
        <v>9196.6960686490711</v>
      </c>
      <c r="X189" s="84">
        <f t="shared" si="221"/>
        <v>9126.2736825512529</v>
      </c>
      <c r="Y189" s="84">
        <f t="shared" si="221"/>
        <v>9106.1849970632247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32685.616872878792</v>
      </c>
      <c r="C190" s="110">
        <f t="shared" si="223"/>
        <v>32065.531336385637</v>
      </c>
      <c r="D190" s="110">
        <f t="shared" si="223"/>
        <v>31164.79669291983</v>
      </c>
      <c r="E190" s="110">
        <f t="shared" si="223"/>
        <v>29613.226791118941</v>
      </c>
      <c r="F190" s="110">
        <f t="shared" si="223"/>
        <v>28106.372784591898</v>
      </c>
      <c r="G190" s="110">
        <f t="shared" si="223"/>
        <v>27244.443429754327</v>
      </c>
      <c r="H190" s="110">
        <f t="shared" si="223"/>
        <v>24830.454678903898</v>
      </c>
      <c r="I190" s="110">
        <f t="shared" si="223"/>
        <v>23223.421006328306</v>
      </c>
      <c r="J190" s="110">
        <f t="shared" si="223"/>
        <v>21993.780402311659</v>
      </c>
      <c r="K190" s="110">
        <f t="shared" si="223"/>
        <v>18140.701800055365</v>
      </c>
      <c r="L190" s="110">
        <f t="shared" si="223"/>
        <v>18954.118510312288</v>
      </c>
      <c r="M190" s="110">
        <f t="shared" si="222"/>
        <v>16636.539211152856</v>
      </c>
      <c r="N190" s="110">
        <f t="shared" si="223"/>
        <v>14478.526541026156</v>
      </c>
      <c r="O190" s="110">
        <f t="shared" si="223"/>
        <v>13927.876227703828</v>
      </c>
      <c r="P190" s="110">
        <f t="shared" si="223"/>
        <v>12622.29235450996</v>
      </c>
      <c r="Q190" s="110">
        <f t="shared" si="223"/>
        <v>11132.315659269907</v>
      </c>
      <c r="R190" s="110">
        <f t="shared" si="223"/>
        <v>12317.737084439841</v>
      </c>
      <c r="S190" s="110">
        <f t="shared" si="223"/>
        <v>12348.260211533532</v>
      </c>
      <c r="T190" s="110">
        <f t="shared" si="223"/>
        <v>11600.731869336658</v>
      </c>
      <c r="U190" s="110">
        <f t="shared" si="223"/>
        <v>11140.965117041433</v>
      </c>
      <c r="V190" s="110">
        <f t="shared" si="223"/>
        <v>10437.674714102519</v>
      </c>
      <c r="W190" s="110">
        <f t="shared" si="221"/>
        <v>10458.184047494236</v>
      </c>
      <c r="X190" s="110">
        <f t="shared" si="221"/>
        <v>10456.39837711321</v>
      </c>
      <c r="Y190" s="110">
        <f t="shared" si="221"/>
        <v>9359.3208687446422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32222.585535507267</v>
      </c>
      <c r="C191" s="102">
        <f t="shared" si="223"/>
        <v>31588.906461816539</v>
      </c>
      <c r="D191" s="102">
        <f t="shared" si="223"/>
        <v>30681.011267567894</v>
      </c>
      <c r="E191" s="102">
        <f t="shared" si="223"/>
        <v>29134.41416000605</v>
      </c>
      <c r="F191" s="102">
        <f t="shared" si="223"/>
        <v>27561.059348621355</v>
      </c>
      <c r="G191" s="102">
        <f t="shared" si="223"/>
        <v>26707.057657396785</v>
      </c>
      <c r="H191" s="102">
        <f t="shared" si="223"/>
        <v>24265.346450502519</v>
      </c>
      <c r="I191" s="102">
        <f t="shared" si="223"/>
        <v>22668.400210407217</v>
      </c>
      <c r="J191" s="102">
        <f t="shared" si="223"/>
        <v>21464.463885474659</v>
      </c>
      <c r="K191" s="102">
        <f t="shared" si="223"/>
        <v>17649.322331010306</v>
      </c>
      <c r="L191" s="102">
        <f t="shared" si="223"/>
        <v>18360.261174308645</v>
      </c>
      <c r="M191" s="102">
        <f t="shared" si="222"/>
        <v>16261.89895045155</v>
      </c>
      <c r="N191" s="102">
        <f t="shared" si="223"/>
        <v>14019.067688097695</v>
      </c>
      <c r="O191" s="102">
        <f t="shared" si="223"/>
        <v>13544.144396250174</v>
      </c>
      <c r="P191" s="102">
        <f t="shared" si="223"/>
        <v>12137.517874206249</v>
      </c>
      <c r="Q191" s="102">
        <f t="shared" si="223"/>
        <v>10584.965538085507</v>
      </c>
      <c r="R191" s="102">
        <f t="shared" si="223"/>
        <v>11879.65830151282</v>
      </c>
      <c r="S191" s="102">
        <f t="shared" si="223"/>
        <v>11927.158486913004</v>
      </c>
      <c r="T191" s="102">
        <f t="shared" si="223"/>
        <v>11138.088727547027</v>
      </c>
      <c r="U191" s="102">
        <f t="shared" si="223"/>
        <v>10765.203863209235</v>
      </c>
      <c r="V191" s="102">
        <f t="shared" si="223"/>
        <v>10060.728409974683</v>
      </c>
      <c r="W191" s="102">
        <f t="shared" si="221"/>
        <v>9996.0102224570564</v>
      </c>
      <c r="X191" s="102">
        <f t="shared" si="221"/>
        <v>10014.15502926077</v>
      </c>
      <c r="Y191" s="102">
        <f t="shared" si="221"/>
        <v>8942.8413305127269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85044.733580493732</v>
      </c>
      <c r="C192" s="86">
        <f t="shared" si="223"/>
        <v>84969.398291691992</v>
      </c>
      <c r="D192" s="86">
        <f t="shared" si="223"/>
        <v>84978.895594325106</v>
      </c>
      <c r="E192" s="86">
        <f t="shared" si="223"/>
        <v>85059.030477449938</v>
      </c>
      <c r="F192" s="86">
        <f t="shared" si="223"/>
        <v>84971.792532893116</v>
      </c>
      <c r="G192" s="86">
        <f t="shared" si="223"/>
        <v>85030.468716234682</v>
      </c>
      <c r="H192" s="86">
        <f t="shared" si="223"/>
        <v>85001.695749614417</v>
      </c>
      <c r="I192" s="86">
        <f t="shared" si="223"/>
        <v>85015.940713092132</v>
      </c>
      <c r="J192" s="86">
        <f t="shared" si="223"/>
        <v>85037.713615423243</v>
      </c>
      <c r="K192" s="86">
        <f t="shared" si="223"/>
        <v>85037.526022959762</v>
      </c>
      <c r="L192" s="86">
        <f t="shared" si="223"/>
        <v>84988.79911947684</v>
      </c>
      <c r="M192" s="86">
        <f t="shared" si="222"/>
        <v>84949.246775803447</v>
      </c>
      <c r="N192" s="86">
        <f t="shared" si="223"/>
        <v>85034.370236066607</v>
      </c>
      <c r="O192" s="86">
        <f t="shared" si="223"/>
        <v>84977.912481570413</v>
      </c>
      <c r="P192" s="86">
        <f t="shared" si="223"/>
        <v>85023.949782784461</v>
      </c>
      <c r="Q192" s="86">
        <f t="shared" si="223"/>
        <v>84984.307143225524</v>
      </c>
      <c r="R192" s="86">
        <f t="shared" si="223"/>
        <v>84985.8958696146</v>
      </c>
      <c r="S192" s="86">
        <f t="shared" si="223"/>
        <v>85000.250719672258</v>
      </c>
      <c r="T192" s="86">
        <f t="shared" si="223"/>
        <v>85038.514323966199</v>
      </c>
      <c r="U192" s="86">
        <f t="shared" si="223"/>
        <v>85002.794702631043</v>
      </c>
      <c r="V192" s="86">
        <f t="shared" ref="V192:W192" si="224">IF(V55=0,0,V55*1000000/V82)</f>
        <v>84963.288664018139</v>
      </c>
      <c r="W192" s="86">
        <f t="shared" si="224"/>
        <v>84998.382330055945</v>
      </c>
      <c r="X192" s="86">
        <f t="shared" ref="X192:Y192" si="225">IF(X55=0,0,X55*1000000/X82)</f>
        <v>85016.342754315774</v>
      </c>
      <c r="Y192" s="86">
        <f t="shared" si="225"/>
        <v>85037.645532485447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27669.694419065192</v>
      </c>
      <c r="C195" s="28">
        <f t="shared" si="226"/>
        <v>27772.259868284807</v>
      </c>
      <c r="D195" s="28">
        <f t="shared" si="226"/>
        <v>27719.831130654831</v>
      </c>
      <c r="E195" s="28">
        <f t="shared" si="226"/>
        <v>27102.118263182572</v>
      </c>
      <c r="F195" s="28">
        <f t="shared" si="226"/>
        <v>26572.379091437888</v>
      </c>
      <c r="G195" s="28">
        <f t="shared" si="226"/>
        <v>25797.305330362149</v>
      </c>
      <c r="H195" s="28">
        <f t="shared" si="226"/>
        <v>24974.182114174946</v>
      </c>
      <c r="I195" s="28">
        <f t="shared" si="226"/>
        <v>24554.792033181828</v>
      </c>
      <c r="J195" s="28">
        <f t="shared" si="226"/>
        <v>23052.506785404446</v>
      </c>
      <c r="K195" s="28">
        <f t="shared" si="226"/>
        <v>22548.985078309492</v>
      </c>
      <c r="L195" s="28">
        <f t="shared" si="226"/>
        <v>21881.302528780903</v>
      </c>
      <c r="M195" s="28">
        <f>IF(M4=0,0,M4*1000000/M58)</f>
        <v>21281.282203330014</v>
      </c>
      <c r="N195" s="28">
        <f t="shared" ref="N195:V195" si="227">IF(N4=0,0,N4*1000000/N58)</f>
        <v>20617.626004283029</v>
      </c>
      <c r="O195" s="28">
        <f t="shared" si="227"/>
        <v>20092.607687604213</v>
      </c>
      <c r="P195" s="28">
        <f t="shared" si="227"/>
        <v>19764.938732266975</v>
      </c>
      <c r="Q195" s="28">
        <f t="shared" si="227"/>
        <v>19577.360081532159</v>
      </c>
      <c r="R195" s="28">
        <f t="shared" si="227"/>
        <v>16911.279718084563</v>
      </c>
      <c r="S195" s="28">
        <f t="shared" si="227"/>
        <v>18903.21019890732</v>
      </c>
      <c r="T195" s="28">
        <f t="shared" si="227"/>
        <v>18502.085382100278</v>
      </c>
      <c r="U195" s="28">
        <f t="shared" si="227"/>
        <v>18096.685957329391</v>
      </c>
      <c r="V195" s="28">
        <f t="shared" si="227"/>
        <v>16877.480571100477</v>
      </c>
      <c r="W195" s="28">
        <f t="shared" ref="W195:Y195" si="228">IF(W4=0,0,W4*1000000/W58)</f>
        <v>16413.052579485615</v>
      </c>
      <c r="X195" s="28">
        <f t="shared" si="228"/>
        <v>15751.189096005763</v>
      </c>
      <c r="Y195" s="28">
        <f t="shared" si="228"/>
        <v>15801.519624233506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4673.0556782991107</v>
      </c>
      <c r="C196" s="137">
        <f t="shared" si="229"/>
        <v>4382.643290136567</v>
      </c>
      <c r="D196" s="137">
        <f t="shared" si="229"/>
        <v>4041.9961908081641</v>
      </c>
      <c r="E196" s="137">
        <f t="shared" si="229"/>
        <v>3684.3652253222026</v>
      </c>
      <c r="F196" s="137">
        <f t="shared" si="229"/>
        <v>3327.6828355468128</v>
      </c>
      <c r="G196" s="137">
        <f t="shared" si="229"/>
        <v>2993.2546006541888</v>
      </c>
      <c r="H196" s="137">
        <f t="shared" si="229"/>
        <v>2669.9656891784316</v>
      </c>
      <c r="I196" s="137">
        <f t="shared" si="229"/>
        <v>2403.7308576781761</v>
      </c>
      <c r="J196" s="137">
        <f t="shared" si="229"/>
        <v>2148.1930947313249</v>
      </c>
      <c r="K196" s="137">
        <f t="shared" si="229"/>
        <v>1985.967638566003</v>
      </c>
      <c r="L196" s="137">
        <f t="shared" si="229"/>
        <v>2477.4011646387089</v>
      </c>
      <c r="M196" s="137">
        <f>IF(M5=0,0,M5*1000000/M59)</f>
        <v>2337.1843632896757</v>
      </c>
      <c r="N196" s="137">
        <f t="shared" ref="N196:V196" si="230">IF(N5=0,0,N5*1000000/N59)</f>
        <v>2225.6130920023902</v>
      </c>
      <c r="O196" s="137">
        <f t="shared" si="230"/>
        <v>2159.3176586374329</v>
      </c>
      <c r="P196" s="137">
        <f t="shared" si="230"/>
        <v>2110.9182111028967</v>
      </c>
      <c r="Q196" s="137">
        <f t="shared" si="230"/>
        <v>2067.4247485369378</v>
      </c>
      <c r="R196" s="137">
        <f t="shared" si="230"/>
        <v>2084.2379164412273</v>
      </c>
      <c r="S196" s="137">
        <f t="shared" si="230"/>
        <v>1928.3807355265717</v>
      </c>
      <c r="T196" s="137">
        <f t="shared" si="230"/>
        <v>1806.5979434705032</v>
      </c>
      <c r="U196" s="137">
        <f t="shared" si="230"/>
        <v>1886.7738096224716</v>
      </c>
      <c r="V196" s="137">
        <f t="shared" si="230"/>
        <v>1654.8747116545808</v>
      </c>
      <c r="W196" s="137">
        <f t="shared" ref="W196:Y196" si="231">IF(W5=0,0,W5*1000000/W59)</f>
        <v>1690.368134782831</v>
      </c>
      <c r="X196" s="137">
        <f t="shared" si="231"/>
        <v>1681.6077200524596</v>
      </c>
      <c r="Y196" s="137">
        <f t="shared" si="231"/>
        <v>1798.6484050527513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26264.305676909433</v>
      </c>
      <c r="C197" s="110">
        <f t="shared" si="232"/>
        <v>26558.036531744077</v>
      </c>
      <c r="D197" s="110">
        <f t="shared" si="232"/>
        <v>26742.812582424514</v>
      </c>
      <c r="E197" s="110">
        <f t="shared" si="232"/>
        <v>26374.457097357994</v>
      </c>
      <c r="F197" s="110">
        <f t="shared" si="232"/>
        <v>26141.155375580711</v>
      </c>
      <c r="G197" s="110">
        <f t="shared" si="232"/>
        <v>25641.163697148491</v>
      </c>
      <c r="H197" s="110">
        <f t="shared" si="232"/>
        <v>25089.513583608477</v>
      </c>
      <c r="I197" s="110">
        <f t="shared" si="232"/>
        <v>24978.892180159746</v>
      </c>
      <c r="J197" s="110">
        <f t="shared" si="232"/>
        <v>23631.753174165649</v>
      </c>
      <c r="K197" s="110">
        <f t="shared" si="232"/>
        <v>23322.41231980237</v>
      </c>
      <c r="L197" s="110">
        <f t="shared" si="232"/>
        <v>22652.019911526102</v>
      </c>
      <c r="M197" s="110">
        <f>IF(M6=0,0,M6*1000000/M60)</f>
        <v>22135.708897006927</v>
      </c>
      <c r="N197" s="110">
        <f t="shared" ref="N197:V197" si="233">IF(N6=0,0,N6*1000000/N60)</f>
        <v>21494.307153550428</v>
      </c>
      <c r="O197" s="110">
        <f t="shared" si="233"/>
        <v>20965.383211079534</v>
      </c>
      <c r="P197" s="110">
        <f t="shared" si="233"/>
        <v>20650.952569313224</v>
      </c>
      <c r="Q197" s="110">
        <f t="shared" si="233"/>
        <v>20493.931731203211</v>
      </c>
      <c r="R197" s="110">
        <f t="shared" si="233"/>
        <v>17156.673905820375</v>
      </c>
      <c r="S197" s="110">
        <f t="shared" si="233"/>
        <v>19596.420880998976</v>
      </c>
      <c r="T197" s="110">
        <f t="shared" si="233"/>
        <v>19247.908158663849</v>
      </c>
      <c r="U197" s="110">
        <f t="shared" si="233"/>
        <v>18817.945671914753</v>
      </c>
      <c r="V197" s="110">
        <f t="shared" si="233"/>
        <v>17768.3850810984</v>
      </c>
      <c r="W197" s="110">
        <f t="shared" ref="W197:Y209" si="234">IF(W6=0,0,W6*1000000/W60)</f>
        <v>17465.176744293334</v>
      </c>
      <c r="X197" s="110">
        <f t="shared" si="234"/>
        <v>16495.406600884653</v>
      </c>
      <c r="Y197" s="110">
        <f t="shared" si="234"/>
        <v>16405.439183019887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24068.134803888745</v>
      </c>
      <c r="C198" s="84">
        <f t="shared" si="232"/>
        <v>24269.541485008151</v>
      </c>
      <c r="D198" s="84">
        <f t="shared" si="232"/>
        <v>24375.708056998967</v>
      </c>
      <c r="E198" s="84">
        <f t="shared" si="232"/>
        <v>23923.826195515747</v>
      </c>
      <c r="F198" s="84">
        <f t="shared" si="232"/>
        <v>23711.480020633164</v>
      </c>
      <c r="G198" s="84">
        <f t="shared" si="232"/>
        <v>23092.594783116678</v>
      </c>
      <c r="H198" s="84">
        <f t="shared" si="232"/>
        <v>22385.099966678968</v>
      </c>
      <c r="I198" s="84">
        <f t="shared" si="232"/>
        <v>22047.940859825223</v>
      </c>
      <c r="J198" s="84">
        <f t="shared" si="232"/>
        <v>20287.499681458903</v>
      </c>
      <c r="K198" s="84">
        <f t="shared" si="232"/>
        <v>19734.02000489963</v>
      </c>
      <c r="L198" s="84">
        <f t="shared" si="232"/>
        <v>18780.229600075301</v>
      </c>
      <c r="M198" s="84">
        <f t="shared" ref="M198:M219" si="235">IF(M7=0,0,M7*1000000/M61)</f>
        <v>17636.649356178314</v>
      </c>
      <c r="N198" s="84">
        <f t="shared" si="232"/>
        <v>16819.621068342687</v>
      </c>
      <c r="O198" s="84">
        <f t="shared" si="232"/>
        <v>16497.064897742093</v>
      </c>
      <c r="P198" s="84">
        <f t="shared" si="232"/>
        <v>16037.1184449311</v>
      </c>
      <c r="Q198" s="84">
        <f t="shared" si="232"/>
        <v>15746.100834229155</v>
      </c>
      <c r="R198" s="84">
        <f t="shared" si="232"/>
        <v>13133.162626076135</v>
      </c>
      <c r="S198" s="84">
        <f t="shared" si="232"/>
        <v>14760.168356688504</v>
      </c>
      <c r="T198" s="84">
        <f t="shared" si="232"/>
        <v>14436.680732034514</v>
      </c>
      <c r="U198" s="84">
        <f t="shared" si="232"/>
        <v>14138.305199557313</v>
      </c>
      <c r="V198" s="84">
        <f t="shared" si="232"/>
        <v>13490.200351741702</v>
      </c>
      <c r="W198" s="84">
        <f t="shared" si="234"/>
        <v>13315.552581914466</v>
      </c>
      <c r="X198" s="84">
        <f t="shared" si="234"/>
        <v>12657.353808417116</v>
      </c>
      <c r="Y198" s="84">
        <f t="shared" si="234"/>
        <v>12629.783476780884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45435.486794436925</v>
      </c>
      <c r="C199" s="84">
        <f t="shared" si="232"/>
        <v>45622.199334954035</v>
      </c>
      <c r="D199" s="84">
        <f t="shared" si="232"/>
        <v>45611.441949341148</v>
      </c>
      <c r="E199" s="84">
        <f t="shared" si="232"/>
        <v>44893.410163767549</v>
      </c>
      <c r="F199" s="84">
        <f t="shared" si="232"/>
        <v>44381.480570589643</v>
      </c>
      <c r="G199" s="84">
        <f t="shared" si="232"/>
        <v>43531.980504336774</v>
      </c>
      <c r="H199" s="84">
        <f t="shared" si="232"/>
        <v>42660.085279673731</v>
      </c>
      <c r="I199" s="84">
        <f t="shared" si="232"/>
        <v>42280.62443762063</v>
      </c>
      <c r="J199" s="84">
        <f t="shared" si="232"/>
        <v>40362.073439133019</v>
      </c>
      <c r="K199" s="84">
        <f t="shared" si="232"/>
        <v>39763.239488919957</v>
      </c>
      <c r="L199" s="84">
        <f t="shared" si="232"/>
        <v>38716.274608011881</v>
      </c>
      <c r="M199" s="84">
        <f t="shared" si="235"/>
        <v>39209.849121176529</v>
      </c>
      <c r="N199" s="84">
        <f t="shared" si="232"/>
        <v>38193.605387425996</v>
      </c>
      <c r="O199" s="84">
        <f t="shared" si="232"/>
        <v>36172.116243502562</v>
      </c>
      <c r="P199" s="84">
        <f t="shared" si="232"/>
        <v>35655.216391673748</v>
      </c>
      <c r="Q199" s="84">
        <f t="shared" si="232"/>
        <v>35330.359632751679</v>
      </c>
      <c r="R199" s="84">
        <f t="shared" si="232"/>
        <v>29265.866374351885</v>
      </c>
      <c r="S199" s="84">
        <f t="shared" si="232"/>
        <v>33697.656533296416</v>
      </c>
      <c r="T199" s="84">
        <f t="shared" si="232"/>
        <v>32932.441540544307</v>
      </c>
      <c r="U199" s="84">
        <f t="shared" si="232"/>
        <v>32016.930338858332</v>
      </c>
      <c r="V199" s="84">
        <f t="shared" si="232"/>
        <v>29836.36736939098</v>
      </c>
      <c r="W199" s="84">
        <f t="shared" si="234"/>
        <v>29203.802002407068</v>
      </c>
      <c r="X199" s="84">
        <f t="shared" si="234"/>
        <v>27491.309365934816</v>
      </c>
      <c r="Y199" s="84">
        <f t="shared" si="234"/>
        <v>27333.394636155845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0</v>
      </c>
      <c r="C200" s="84">
        <f t="shared" si="232"/>
        <v>0</v>
      </c>
      <c r="D200" s="84">
        <f t="shared" si="232"/>
        <v>0</v>
      </c>
      <c r="E200" s="84">
        <f t="shared" si="232"/>
        <v>0</v>
      </c>
      <c r="F200" s="84">
        <f t="shared" si="232"/>
        <v>0</v>
      </c>
      <c r="G200" s="84">
        <f t="shared" si="232"/>
        <v>0</v>
      </c>
      <c r="H200" s="84">
        <f t="shared" si="232"/>
        <v>0</v>
      </c>
      <c r="I200" s="84">
        <f t="shared" si="232"/>
        <v>0</v>
      </c>
      <c r="J200" s="84">
        <f t="shared" si="232"/>
        <v>0</v>
      </c>
      <c r="K200" s="84">
        <f t="shared" si="232"/>
        <v>0</v>
      </c>
      <c r="L200" s="84">
        <f t="shared" si="232"/>
        <v>0</v>
      </c>
      <c r="M200" s="84">
        <f t="shared" si="235"/>
        <v>0</v>
      </c>
      <c r="N200" s="84">
        <f t="shared" si="232"/>
        <v>0</v>
      </c>
      <c r="O200" s="84">
        <f t="shared" si="232"/>
        <v>0</v>
      </c>
      <c r="P200" s="84">
        <f t="shared" si="232"/>
        <v>0</v>
      </c>
      <c r="Q200" s="84">
        <f t="shared" si="232"/>
        <v>0</v>
      </c>
      <c r="R200" s="84">
        <f t="shared" si="232"/>
        <v>0</v>
      </c>
      <c r="S200" s="84">
        <f t="shared" si="232"/>
        <v>0</v>
      </c>
      <c r="T200" s="84">
        <f t="shared" si="232"/>
        <v>0</v>
      </c>
      <c r="U200" s="84">
        <f t="shared" si="232"/>
        <v>0</v>
      </c>
      <c r="V200" s="84">
        <f t="shared" si="232"/>
        <v>0</v>
      </c>
      <c r="W200" s="84">
        <f t="shared" si="234"/>
        <v>0</v>
      </c>
      <c r="X200" s="84">
        <f t="shared" si="234"/>
        <v>0</v>
      </c>
      <c r="Y200" s="84">
        <f t="shared" si="234"/>
        <v>0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0</v>
      </c>
      <c r="E201" s="84">
        <f t="shared" si="232"/>
        <v>0</v>
      </c>
      <c r="F201" s="84">
        <f t="shared" si="232"/>
        <v>0</v>
      </c>
      <c r="G201" s="84">
        <f t="shared" si="232"/>
        <v>0</v>
      </c>
      <c r="H201" s="84">
        <f t="shared" si="232"/>
        <v>21080.39645048563</v>
      </c>
      <c r="I201" s="84">
        <f t="shared" si="232"/>
        <v>20952.047344680035</v>
      </c>
      <c r="J201" s="84">
        <f t="shared" si="232"/>
        <v>20401.685973028161</v>
      </c>
      <c r="K201" s="84">
        <f t="shared" si="232"/>
        <v>20213.284841085984</v>
      </c>
      <c r="L201" s="84">
        <f t="shared" si="232"/>
        <v>19897.455794480502</v>
      </c>
      <c r="M201" s="84">
        <f t="shared" si="235"/>
        <v>19627.931657707526</v>
      </c>
      <c r="N201" s="84">
        <f t="shared" si="232"/>
        <v>19353.204831158924</v>
      </c>
      <c r="O201" s="84">
        <f t="shared" si="232"/>
        <v>19120.764477835157</v>
      </c>
      <c r="P201" s="84">
        <f t="shared" si="232"/>
        <v>18955.333237835817</v>
      </c>
      <c r="Q201" s="84">
        <f t="shared" si="232"/>
        <v>18843.79824377656</v>
      </c>
      <c r="R201" s="84">
        <f t="shared" si="232"/>
        <v>15159.122735970748</v>
      </c>
      <c r="S201" s="84">
        <f t="shared" si="232"/>
        <v>17634.587804346782</v>
      </c>
      <c r="T201" s="84">
        <f t="shared" si="232"/>
        <v>17163.368384708301</v>
      </c>
      <c r="U201" s="84">
        <f t="shared" si="232"/>
        <v>16591.495475381744</v>
      </c>
      <c r="V201" s="84">
        <f t="shared" si="232"/>
        <v>15242.035097764336</v>
      </c>
      <c r="W201" s="84">
        <f t="shared" si="234"/>
        <v>14835.652445969543</v>
      </c>
      <c r="X201" s="84">
        <f t="shared" si="234"/>
        <v>13880.695512469541</v>
      </c>
      <c r="Y201" s="84">
        <f t="shared" si="234"/>
        <v>13759.027762110782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0</v>
      </c>
      <c r="N202" s="84">
        <f t="shared" si="232"/>
        <v>16087.784795330861</v>
      </c>
      <c r="O202" s="84">
        <f t="shared" si="232"/>
        <v>15894.563547757283</v>
      </c>
      <c r="P202" s="84">
        <f t="shared" si="232"/>
        <v>15757.045125834258</v>
      </c>
      <c r="Q202" s="84">
        <f t="shared" si="232"/>
        <v>15664.329164977746</v>
      </c>
      <c r="R202" s="84">
        <f t="shared" si="232"/>
        <v>12601.360156621695</v>
      </c>
      <c r="S202" s="84">
        <f t="shared" si="232"/>
        <v>14659.145915405907</v>
      </c>
      <c r="T202" s="84">
        <f t="shared" si="232"/>
        <v>14267.434223173968</v>
      </c>
      <c r="U202" s="84">
        <f t="shared" si="232"/>
        <v>13792.052064209111</v>
      </c>
      <c r="V202" s="84">
        <f t="shared" si="232"/>
        <v>12670.282913604062</v>
      </c>
      <c r="W202" s="84">
        <f t="shared" si="234"/>
        <v>12332.468236207344</v>
      </c>
      <c r="X202" s="84">
        <f t="shared" si="234"/>
        <v>11538.638905665548</v>
      </c>
      <c r="Y202" s="84">
        <f t="shared" si="234"/>
        <v>11437.499864282985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18776.395082293377</v>
      </c>
      <c r="J203" s="84">
        <f t="shared" si="232"/>
        <v>19325.50123315673</v>
      </c>
      <c r="K203" s="84">
        <f t="shared" si="232"/>
        <v>19402.196341829203</v>
      </c>
      <c r="L203" s="84">
        <f t="shared" si="232"/>
        <v>19666.264117691135</v>
      </c>
      <c r="M203" s="84">
        <f t="shared" si="235"/>
        <v>19850.78977499446</v>
      </c>
      <c r="N203" s="84">
        <f t="shared" si="232"/>
        <v>20161.273803267653</v>
      </c>
      <c r="O203" s="84">
        <f t="shared" si="232"/>
        <v>20422.973676793823</v>
      </c>
      <c r="P203" s="84">
        <f t="shared" si="232"/>
        <v>20506.807273514743</v>
      </c>
      <c r="Q203" s="84">
        <f t="shared" si="232"/>
        <v>20618.778843137719</v>
      </c>
      <c r="R203" s="84">
        <f t="shared" si="232"/>
        <v>18389.754881769477</v>
      </c>
      <c r="S203" s="84">
        <f t="shared" si="232"/>
        <v>20191.571346314231</v>
      </c>
      <c r="T203" s="84">
        <f t="shared" si="232"/>
        <v>20184.359316555587</v>
      </c>
      <c r="U203" s="84">
        <f t="shared" si="232"/>
        <v>20143.199511133345</v>
      </c>
      <c r="V203" s="84">
        <f t="shared" si="232"/>
        <v>19168.502480185813</v>
      </c>
      <c r="W203" s="84">
        <f t="shared" si="234"/>
        <v>20103.378360888648</v>
      </c>
      <c r="X203" s="84">
        <f t="shared" si="234"/>
        <v>19261.67226152631</v>
      </c>
      <c r="Y203" s="84">
        <f t="shared" si="234"/>
        <v>19321.248302712913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784833.35032106808</v>
      </c>
      <c r="C204" s="110">
        <f t="shared" si="232"/>
        <v>791366.90647482022</v>
      </c>
      <c r="D204" s="110">
        <f t="shared" si="232"/>
        <v>772626.93156732887</v>
      </c>
      <c r="E204" s="110">
        <f t="shared" si="232"/>
        <v>743361.11649544491</v>
      </c>
      <c r="F204" s="110">
        <f t="shared" si="232"/>
        <v>712345.44773323345</v>
      </c>
      <c r="G204" s="110">
        <f t="shared" si="232"/>
        <v>693142.1217135503</v>
      </c>
      <c r="H204" s="110">
        <f t="shared" si="232"/>
        <v>676415.17897192074</v>
      </c>
      <c r="I204" s="110">
        <f t="shared" si="232"/>
        <v>655652.17391304334</v>
      </c>
      <c r="J204" s="110">
        <f t="shared" si="232"/>
        <v>616516.76206050685</v>
      </c>
      <c r="K204" s="110">
        <f t="shared" si="232"/>
        <v>581162.32464929868</v>
      </c>
      <c r="L204" s="110">
        <f t="shared" si="232"/>
        <v>554126.55250973767</v>
      </c>
      <c r="M204" s="110">
        <f t="shared" si="235"/>
        <v>531547.40923510748</v>
      </c>
      <c r="N204" s="110">
        <f t="shared" si="232"/>
        <v>506550.21834061138</v>
      </c>
      <c r="O204" s="110">
        <f t="shared" si="232"/>
        <v>486922.82854375202</v>
      </c>
      <c r="P204" s="110">
        <f t="shared" si="232"/>
        <v>465374.6451055425</v>
      </c>
      <c r="Q204" s="110">
        <f t="shared" si="232"/>
        <v>448489.17439923872</v>
      </c>
      <c r="R204" s="110">
        <f t="shared" si="232"/>
        <v>471957.00646046549</v>
      </c>
      <c r="S204" s="110">
        <f t="shared" si="232"/>
        <v>455748.04892898654</v>
      </c>
      <c r="T204" s="110">
        <f t="shared" si="232"/>
        <v>433205.17680186272</v>
      </c>
      <c r="U204" s="110">
        <f t="shared" si="232"/>
        <v>413915.95934192603</v>
      </c>
      <c r="V204" s="110">
        <f t="shared" si="232"/>
        <v>352660.51239497971</v>
      </c>
      <c r="W204" s="110">
        <f t="shared" si="234"/>
        <v>308166.40986132511</v>
      </c>
      <c r="X204" s="110">
        <f t="shared" si="234"/>
        <v>347027.30288338859</v>
      </c>
      <c r="Y204" s="110">
        <f t="shared" si="234"/>
        <v>373191.55462399672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145493.10931223352</v>
      </c>
      <c r="C205" s="102">
        <f t="shared" si="232"/>
        <v>147459.12074956126</v>
      </c>
      <c r="D205" s="102">
        <f t="shared" si="232"/>
        <v>144486.401232615</v>
      </c>
      <c r="E205" s="102">
        <f t="shared" si="232"/>
        <v>139443.63179644544</v>
      </c>
      <c r="F205" s="102">
        <f t="shared" si="232"/>
        <v>134042.84515285623</v>
      </c>
      <c r="G205" s="102">
        <f t="shared" si="232"/>
        <v>130932.16858383626</v>
      </c>
      <c r="H205" s="102">
        <f t="shared" si="232"/>
        <v>128230.47412763773</v>
      </c>
      <c r="I205" s="102">
        <f t="shared" si="232"/>
        <v>124699.87700995318</v>
      </c>
      <c r="J205" s="102">
        <f t="shared" si="232"/>
        <v>117469.61836845227</v>
      </c>
      <c r="K205" s="102">
        <f t="shared" si="232"/>
        <v>115596.24233223114</v>
      </c>
      <c r="L205" s="102">
        <f t="shared" si="232"/>
        <v>115092.71729800769</v>
      </c>
      <c r="M205" s="102">
        <f t="shared" si="235"/>
        <v>114673.54735055528</v>
      </c>
      <c r="N205" s="102">
        <f t="shared" si="232"/>
        <v>114204.20533588358</v>
      </c>
      <c r="O205" s="102">
        <f t="shared" si="232"/>
        <v>113837.725100203</v>
      </c>
      <c r="P205" s="102">
        <f t="shared" si="232"/>
        <v>113431.03615739527</v>
      </c>
      <c r="Q205" s="102">
        <f t="shared" si="232"/>
        <v>113113.94066814381</v>
      </c>
      <c r="R205" s="102">
        <f t="shared" si="232"/>
        <v>113368.3233866739</v>
      </c>
      <c r="S205" s="102">
        <f t="shared" si="232"/>
        <v>109907.14121369306</v>
      </c>
      <c r="T205" s="102">
        <f t="shared" si="232"/>
        <v>102430.96618282945</v>
      </c>
      <c r="U205" s="102">
        <f t="shared" si="232"/>
        <v>94876.960477541215</v>
      </c>
      <c r="V205" s="102">
        <f t="shared" si="232"/>
        <v>79645.523460333192</v>
      </c>
      <c r="W205" s="102">
        <f t="shared" si="234"/>
        <v>67679.350733162632</v>
      </c>
      <c r="X205" s="102">
        <f t="shared" si="234"/>
        <v>75069.224772352376</v>
      </c>
      <c r="Y205" s="102">
        <f t="shared" si="234"/>
        <v>79212.01565885311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786119.69240916485</v>
      </c>
      <c r="C206" s="102">
        <f t="shared" si="232"/>
        <v>792836.64623013465</v>
      </c>
      <c r="D206" s="102">
        <f t="shared" si="232"/>
        <v>773654.70954998594</v>
      </c>
      <c r="E206" s="102">
        <f t="shared" si="232"/>
        <v>744266.6673091586</v>
      </c>
      <c r="F206" s="102">
        <f t="shared" si="232"/>
        <v>713216.6432706326</v>
      </c>
      <c r="G206" s="102">
        <f t="shared" si="232"/>
        <v>694093.02569443057</v>
      </c>
      <c r="H206" s="102">
        <f t="shared" si="232"/>
        <v>676936.14121439517</v>
      </c>
      <c r="I206" s="102">
        <f t="shared" si="232"/>
        <v>656125.79075990804</v>
      </c>
      <c r="J206" s="102">
        <f t="shared" si="232"/>
        <v>616899.53250014584</v>
      </c>
      <c r="K206" s="102">
        <f t="shared" si="232"/>
        <v>581467.49786509527</v>
      </c>
      <c r="L206" s="102">
        <f t="shared" si="232"/>
        <v>554441.05465340998</v>
      </c>
      <c r="M206" s="102">
        <f t="shared" si="235"/>
        <v>531815.11336813832</v>
      </c>
      <c r="N206" s="102">
        <f t="shared" si="232"/>
        <v>506679.0791465615</v>
      </c>
      <c r="O206" s="102">
        <f t="shared" si="232"/>
        <v>487201.84196455369</v>
      </c>
      <c r="P206" s="102">
        <f t="shared" si="232"/>
        <v>465569.22030596476</v>
      </c>
      <c r="Q206" s="102">
        <f t="shared" si="232"/>
        <v>448641.42444898159</v>
      </c>
      <c r="R206" s="102">
        <f t="shared" si="232"/>
        <v>472273.09798264568</v>
      </c>
      <c r="S206" s="102">
        <f t="shared" si="232"/>
        <v>456188.00004807243</v>
      </c>
      <c r="T206" s="102">
        <f t="shared" si="232"/>
        <v>433748.14191602211</v>
      </c>
      <c r="U206" s="102">
        <f t="shared" si="232"/>
        <v>414322.12264343171</v>
      </c>
      <c r="V206" s="102">
        <f t="shared" si="232"/>
        <v>352831.61424882</v>
      </c>
      <c r="W206" s="102">
        <f t="shared" si="234"/>
        <v>306878.13870540354</v>
      </c>
      <c r="X206" s="102">
        <f t="shared" si="234"/>
        <v>344306.0387732042</v>
      </c>
      <c r="Y206" s="102">
        <f t="shared" si="234"/>
        <v>370225.53952051414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0</v>
      </c>
      <c r="D207" s="102">
        <f t="shared" si="232"/>
        <v>0</v>
      </c>
      <c r="E207" s="102">
        <f t="shared" si="232"/>
        <v>0</v>
      </c>
      <c r="F207" s="102">
        <f t="shared" si="232"/>
        <v>0</v>
      </c>
      <c r="G207" s="102">
        <f t="shared" si="232"/>
        <v>0</v>
      </c>
      <c r="H207" s="102">
        <f t="shared" si="232"/>
        <v>0</v>
      </c>
      <c r="I207" s="102">
        <f t="shared" si="232"/>
        <v>0</v>
      </c>
      <c r="J207" s="102">
        <f t="shared" si="232"/>
        <v>0</v>
      </c>
      <c r="K207" s="102">
        <f t="shared" si="232"/>
        <v>0</v>
      </c>
      <c r="L207" s="102">
        <f t="shared" si="232"/>
        <v>0</v>
      </c>
      <c r="M207" s="102">
        <f t="shared" si="235"/>
        <v>0</v>
      </c>
      <c r="N207" s="102">
        <f t="shared" si="232"/>
        <v>0</v>
      </c>
      <c r="O207" s="102">
        <f t="shared" si="232"/>
        <v>0</v>
      </c>
      <c r="P207" s="102">
        <f t="shared" si="232"/>
        <v>0</v>
      </c>
      <c r="Q207" s="102">
        <f t="shared" si="232"/>
        <v>0</v>
      </c>
      <c r="R207" s="102">
        <f t="shared" si="232"/>
        <v>0</v>
      </c>
      <c r="S207" s="102">
        <f t="shared" si="232"/>
        <v>0</v>
      </c>
      <c r="T207" s="102">
        <f t="shared" si="232"/>
        <v>0</v>
      </c>
      <c r="U207" s="102">
        <f t="shared" si="232"/>
        <v>0</v>
      </c>
      <c r="V207" s="102">
        <f t="shared" si="232"/>
        <v>0</v>
      </c>
      <c r="W207" s="102">
        <f t="shared" si="234"/>
        <v>0</v>
      </c>
      <c r="X207" s="102">
        <f t="shared" si="234"/>
        <v>0</v>
      </c>
      <c r="Y207" s="102">
        <f t="shared" si="234"/>
        <v>0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830658.88781201141</v>
      </c>
      <c r="C208" s="102">
        <f t="shared" si="232"/>
        <v>841970.21851372009</v>
      </c>
      <c r="D208" s="102">
        <f t="shared" si="232"/>
        <v>824956.28369129566</v>
      </c>
      <c r="E208" s="102">
        <f t="shared" si="232"/>
        <v>796142.58334694419</v>
      </c>
      <c r="F208" s="102">
        <f t="shared" si="232"/>
        <v>765309.09737553145</v>
      </c>
      <c r="G208" s="102">
        <f t="shared" si="232"/>
        <v>747601.95284140739</v>
      </c>
      <c r="H208" s="102">
        <f t="shared" si="232"/>
        <v>732121.90260762523</v>
      </c>
      <c r="I208" s="102">
        <f t="shared" si="232"/>
        <v>711966.54197273217</v>
      </c>
      <c r="J208" s="102">
        <f t="shared" si="232"/>
        <v>670636.07409864117</v>
      </c>
      <c r="K208" s="102">
        <f t="shared" si="232"/>
        <v>633362.01083427214</v>
      </c>
      <c r="L208" s="102">
        <f t="shared" si="232"/>
        <v>605377.07614519994</v>
      </c>
      <c r="M208" s="102">
        <f t="shared" si="235"/>
        <v>582279.23170792765</v>
      </c>
      <c r="N208" s="102">
        <f t="shared" si="232"/>
        <v>563511.28543591965</v>
      </c>
      <c r="O208" s="102">
        <f t="shared" si="232"/>
        <v>529172.29907692701</v>
      </c>
      <c r="P208" s="102">
        <f t="shared" si="232"/>
        <v>507044.64877957833</v>
      </c>
      <c r="Q208" s="102">
        <f t="shared" si="232"/>
        <v>490091.74931241345</v>
      </c>
      <c r="R208" s="102">
        <f t="shared" si="232"/>
        <v>498151.85497974913</v>
      </c>
      <c r="S208" s="102">
        <f t="shared" si="232"/>
        <v>464004.84486902534</v>
      </c>
      <c r="T208" s="102">
        <f t="shared" si="232"/>
        <v>424595.9562418898</v>
      </c>
      <c r="U208" s="102">
        <f t="shared" si="232"/>
        <v>390420.59380226105</v>
      </c>
      <c r="V208" s="102">
        <f t="shared" si="232"/>
        <v>319479.85579014657</v>
      </c>
      <c r="W208" s="102">
        <f t="shared" si="234"/>
        <v>267573.42590753658</v>
      </c>
      <c r="X208" s="102">
        <f t="shared" si="234"/>
        <v>292486.04623032571</v>
      </c>
      <c r="Y208" s="102">
        <f t="shared" si="234"/>
        <v>304592.18978016003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0</v>
      </c>
      <c r="C209" s="102">
        <f t="shared" si="232"/>
        <v>0</v>
      </c>
      <c r="D209" s="102">
        <f t="shared" si="232"/>
        <v>0</v>
      </c>
      <c r="E209" s="102">
        <f t="shared" si="232"/>
        <v>0</v>
      </c>
      <c r="F209" s="102">
        <f t="shared" si="232"/>
        <v>0</v>
      </c>
      <c r="G209" s="102">
        <f t="shared" si="232"/>
        <v>0</v>
      </c>
      <c r="H209" s="102">
        <f t="shared" si="232"/>
        <v>0</v>
      </c>
      <c r="I209" s="102">
        <f t="shared" si="232"/>
        <v>0</v>
      </c>
      <c r="J209" s="102">
        <f t="shared" si="232"/>
        <v>0</v>
      </c>
      <c r="K209" s="102">
        <f t="shared" si="232"/>
        <v>0</v>
      </c>
      <c r="L209" s="102">
        <f t="shared" si="232"/>
        <v>0</v>
      </c>
      <c r="M209" s="102">
        <f t="shared" si="235"/>
        <v>0</v>
      </c>
      <c r="N209" s="102">
        <f t="shared" si="232"/>
        <v>604537.89954191365</v>
      </c>
      <c r="O209" s="102">
        <f t="shared" si="232"/>
        <v>582758.14897362655</v>
      </c>
      <c r="P209" s="102">
        <f t="shared" si="232"/>
        <v>558389.40030773729</v>
      </c>
      <c r="Q209" s="102">
        <f t="shared" si="232"/>
        <v>539719.25527642679</v>
      </c>
      <c r="R209" s="102">
        <f t="shared" si="232"/>
        <v>551994.27170163125</v>
      </c>
      <c r="S209" s="102">
        <f t="shared" si="232"/>
        <v>535243.38056743133</v>
      </c>
      <c r="T209" s="102">
        <f t="shared" si="232"/>
        <v>521017.96200718294</v>
      </c>
      <c r="U209" s="102">
        <f t="shared" si="232"/>
        <v>511527.63895418699</v>
      </c>
      <c r="V209" s="102">
        <f t="shared" si="232"/>
        <v>453254.05518594489</v>
      </c>
      <c r="W209" s="102">
        <f t="shared" si="234"/>
        <v>439173.73534554517</v>
      </c>
      <c r="X209" s="102">
        <f t="shared" si="234"/>
        <v>466247.56306686706</v>
      </c>
      <c r="Y209" s="102">
        <f t="shared" si="234"/>
        <v>484094.7102584971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97556.161926609842</v>
      </c>
      <c r="C210" s="28">
        <f t="shared" si="232"/>
        <v>91872.341249310659</v>
      </c>
      <c r="D210" s="28">
        <f t="shared" si="232"/>
        <v>94421.615955350033</v>
      </c>
      <c r="E210" s="28">
        <f t="shared" si="232"/>
        <v>88749.969831045091</v>
      </c>
      <c r="F210" s="28">
        <f t="shared" ref="B210:V219" si="236">IF(F19=0,0,F19*1000000/F73)</f>
        <v>83715.136055485389</v>
      </c>
      <c r="G210" s="28">
        <f t="shared" si="236"/>
        <v>83169.882879295415</v>
      </c>
      <c r="H210" s="28">
        <f t="shared" si="236"/>
        <v>74393.222919420994</v>
      </c>
      <c r="I210" s="28">
        <f t="shared" si="236"/>
        <v>72242.160460620929</v>
      </c>
      <c r="J210" s="28">
        <f t="shared" si="236"/>
        <v>71192.470463640624</v>
      </c>
      <c r="K210" s="28">
        <f t="shared" si="236"/>
        <v>60667.800189744863</v>
      </c>
      <c r="L210" s="28">
        <f t="shared" si="236"/>
        <v>60499.178891956159</v>
      </c>
      <c r="M210" s="28">
        <f t="shared" si="235"/>
        <v>53674.194114887083</v>
      </c>
      <c r="N210" s="28">
        <f t="shared" si="236"/>
        <v>48616.865717748478</v>
      </c>
      <c r="O210" s="28">
        <f t="shared" si="236"/>
        <v>44980.77208618023</v>
      </c>
      <c r="P210" s="28">
        <f t="shared" si="236"/>
        <v>42875.077253328644</v>
      </c>
      <c r="Q210" s="28">
        <f t="shared" si="236"/>
        <v>43842.817712063734</v>
      </c>
      <c r="R210" s="28">
        <f t="shared" si="236"/>
        <v>47316.618167072651</v>
      </c>
      <c r="S210" s="28">
        <f t="shared" si="236"/>
        <v>48478.298536811832</v>
      </c>
      <c r="T210" s="28">
        <f t="shared" si="236"/>
        <v>46554.279802948411</v>
      </c>
      <c r="U210" s="28">
        <f t="shared" si="236"/>
        <v>45834.252806056509</v>
      </c>
      <c r="V210" s="28">
        <f t="shared" si="236"/>
        <v>45886.861042629833</v>
      </c>
      <c r="W210" s="28">
        <f t="shared" ref="W210:Y210" si="237">IF(W19=0,0,W19*1000000/W73)</f>
        <v>45362.444148678034</v>
      </c>
      <c r="X210" s="28">
        <f t="shared" si="237"/>
        <v>46356.638126661652</v>
      </c>
      <c r="Y210" s="28">
        <f t="shared" si="237"/>
        <v>41955.784315310892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5226.2749422400466</v>
      </c>
      <c r="C211" s="137">
        <f t="shared" si="236"/>
        <v>5255.0882652120999</v>
      </c>
      <c r="D211" s="137">
        <f t="shared" si="236"/>
        <v>5277.9546465896701</v>
      </c>
      <c r="E211" s="137">
        <f t="shared" si="236"/>
        <v>5291.2459070171899</v>
      </c>
      <c r="F211" s="137">
        <f t="shared" si="236"/>
        <v>5242.469924973826</v>
      </c>
      <c r="G211" s="137">
        <f t="shared" si="236"/>
        <v>5330.5530514490147</v>
      </c>
      <c r="H211" s="137">
        <f t="shared" si="236"/>
        <v>5256.5023385671393</v>
      </c>
      <c r="I211" s="137">
        <f t="shared" si="236"/>
        <v>5260.4963640842507</v>
      </c>
      <c r="J211" s="137">
        <f t="shared" si="236"/>
        <v>5310.6891097395101</v>
      </c>
      <c r="K211" s="137">
        <f t="shared" si="236"/>
        <v>5189.779629133277</v>
      </c>
      <c r="L211" s="137">
        <f t="shared" si="236"/>
        <v>5214.8674411588963</v>
      </c>
      <c r="M211" s="137">
        <f t="shared" si="235"/>
        <v>5210.0442590157691</v>
      </c>
      <c r="N211" s="137">
        <f t="shared" si="236"/>
        <v>5140.2810405392293</v>
      </c>
      <c r="O211" s="137">
        <f t="shared" si="236"/>
        <v>5181.7043710403132</v>
      </c>
      <c r="P211" s="137">
        <f t="shared" si="236"/>
        <v>5120.7104493479555</v>
      </c>
      <c r="Q211" s="137">
        <f t="shared" si="236"/>
        <v>5091.6747002169268</v>
      </c>
      <c r="R211" s="137">
        <f t="shared" si="236"/>
        <v>5070.4327244676033</v>
      </c>
      <c r="S211" s="137">
        <f t="shared" si="236"/>
        <v>5054.6051817125735</v>
      </c>
      <c r="T211" s="137">
        <f t="shared" si="236"/>
        <v>5037.0014609963036</v>
      </c>
      <c r="U211" s="137">
        <f t="shared" si="236"/>
        <v>5011.1127646600662</v>
      </c>
      <c r="V211" s="137">
        <f t="shared" si="236"/>
        <v>4893.32910586662</v>
      </c>
      <c r="W211" s="137">
        <f t="shared" ref="W211:Y211" si="238">IF(W20=0,0,W20*1000000/W74)</f>
        <v>4967.8378366087181</v>
      </c>
      <c r="X211" s="137">
        <f t="shared" si="238"/>
        <v>4917.2365097295342</v>
      </c>
      <c r="Y211" s="137">
        <f t="shared" si="238"/>
        <v>4897.8392748858005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2706.6927318979956</v>
      </c>
      <c r="C212" s="84">
        <f t="shared" si="236"/>
        <v>2701.2296679758738</v>
      </c>
      <c r="D212" s="84">
        <f t="shared" si="236"/>
        <v>2695.6563708109429</v>
      </c>
      <c r="E212" s="84">
        <f t="shared" si="236"/>
        <v>2683.1896086727547</v>
      </c>
      <c r="F212" s="84">
        <f t="shared" si="236"/>
        <v>2632.4985835258299</v>
      </c>
      <c r="G212" s="84">
        <f t="shared" si="236"/>
        <v>2665.1919423982795</v>
      </c>
      <c r="H212" s="84">
        <f t="shared" si="236"/>
        <v>2614.0648524466296</v>
      </c>
      <c r="I212" s="84">
        <f t="shared" si="236"/>
        <v>2602.2155951883774</v>
      </c>
      <c r="J212" s="84">
        <f t="shared" si="236"/>
        <v>2617.8684703808017</v>
      </c>
      <c r="K212" s="84">
        <f t="shared" si="236"/>
        <v>2552.0433446132588</v>
      </c>
      <c r="L212" s="84">
        <f t="shared" si="236"/>
        <v>2558.5704603181848</v>
      </c>
      <c r="M212" s="84">
        <f t="shared" si="235"/>
        <v>2549.8503520727104</v>
      </c>
      <c r="N212" s="84">
        <f t="shared" si="236"/>
        <v>2511.5563143224585</v>
      </c>
      <c r="O212" s="84">
        <f t="shared" si="236"/>
        <v>2525.0366760805509</v>
      </c>
      <c r="P212" s="84">
        <f t="shared" si="236"/>
        <v>2491.7842307697911</v>
      </c>
      <c r="Q212" s="84">
        <f t="shared" si="236"/>
        <v>2474.2227463551517</v>
      </c>
      <c r="R212" s="84">
        <f t="shared" si="236"/>
        <v>2460.7171699503347</v>
      </c>
      <c r="S212" s="84">
        <f t="shared" si="236"/>
        <v>2449.9766989574086</v>
      </c>
      <c r="T212" s="84">
        <f t="shared" si="236"/>
        <v>2438.9359786127184</v>
      </c>
      <c r="U212" s="84">
        <f t="shared" si="236"/>
        <v>2424.5256703589612</v>
      </c>
      <c r="V212" s="84">
        <f t="shared" si="236"/>
        <v>2365.763730156059</v>
      </c>
      <c r="W212" s="84">
        <f t="shared" ref="W212:Y212" si="239">IF(W21=0,0,W21*1000000/W75)</f>
        <v>2402.3317913439528</v>
      </c>
      <c r="X212" s="84">
        <f t="shared" si="239"/>
        <v>2377.8357973051138</v>
      </c>
      <c r="Y212" s="84">
        <f t="shared" si="239"/>
        <v>2370.8595929561984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5769.8001403761928</v>
      </c>
      <c r="C213" s="84">
        <f t="shared" si="236"/>
        <v>5758.1535190932036</v>
      </c>
      <c r="D213" s="84">
        <f t="shared" si="236"/>
        <v>5746.1253013441383</v>
      </c>
      <c r="E213" s="84">
        <f t="shared" si="236"/>
        <v>5719.5946403250027</v>
      </c>
      <c r="F213" s="84">
        <f t="shared" si="236"/>
        <v>5611.5006169271164</v>
      </c>
      <c r="G213" s="84">
        <f t="shared" si="236"/>
        <v>5681.2467488336433</v>
      </c>
      <c r="H213" s="84">
        <f t="shared" si="236"/>
        <v>5572.1370356813159</v>
      </c>
      <c r="I213" s="84">
        <f t="shared" si="236"/>
        <v>5547.0464434264222</v>
      </c>
      <c r="J213" s="84">
        <f t="shared" si="236"/>
        <v>5580.2000275930868</v>
      </c>
      <c r="K213" s="84">
        <f t="shared" si="236"/>
        <v>5439.7503585358354</v>
      </c>
      <c r="L213" s="84">
        <f t="shared" si="236"/>
        <v>5453.6228329397145</v>
      </c>
      <c r="M213" s="84">
        <f t="shared" si="235"/>
        <v>5435.3761711398083</v>
      </c>
      <c r="N213" s="84">
        <f t="shared" si="236"/>
        <v>5353.3036512893441</v>
      </c>
      <c r="O213" s="84">
        <f t="shared" si="236"/>
        <v>5382.4383135233493</v>
      </c>
      <c r="P213" s="84">
        <f t="shared" si="236"/>
        <v>5311.5172878963785</v>
      </c>
      <c r="Q213" s="84">
        <f t="shared" si="236"/>
        <v>5274.1100865963645</v>
      </c>
      <c r="R213" s="84">
        <f t="shared" si="236"/>
        <v>5245.3212894491098</v>
      </c>
      <c r="S213" s="84">
        <f t="shared" si="236"/>
        <v>5222.4266545654764</v>
      </c>
      <c r="T213" s="84">
        <f t="shared" si="236"/>
        <v>5198.8920012611197</v>
      </c>
      <c r="U213" s="84">
        <f t="shared" si="236"/>
        <v>5168.1746569055776</v>
      </c>
      <c r="V213" s="84">
        <f t="shared" si="236"/>
        <v>5042.9163542775541</v>
      </c>
      <c r="W213" s="84">
        <f t="shared" ref="W213:Y213" si="240">IF(W22=0,0,W22*1000000/W76)</f>
        <v>5120.8656741770865</v>
      </c>
      <c r="X213" s="84">
        <f t="shared" si="240"/>
        <v>5068.6494501399557</v>
      </c>
      <c r="Y213" s="84">
        <f t="shared" si="240"/>
        <v>5053.7788125722691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0</v>
      </c>
      <c r="C214" s="84">
        <f t="shared" si="236"/>
        <v>0</v>
      </c>
      <c r="D214" s="84">
        <f t="shared" si="236"/>
        <v>0</v>
      </c>
      <c r="E214" s="84">
        <f t="shared" si="236"/>
        <v>0</v>
      </c>
      <c r="F214" s="84">
        <f t="shared" si="236"/>
        <v>0</v>
      </c>
      <c r="G214" s="84">
        <f t="shared" si="236"/>
        <v>0</v>
      </c>
      <c r="H214" s="84">
        <f t="shared" si="236"/>
        <v>0</v>
      </c>
      <c r="I214" s="84">
        <f t="shared" si="236"/>
        <v>0</v>
      </c>
      <c r="J214" s="84">
        <f t="shared" si="236"/>
        <v>0</v>
      </c>
      <c r="K214" s="84">
        <f t="shared" si="236"/>
        <v>0</v>
      </c>
      <c r="L214" s="84">
        <f t="shared" si="236"/>
        <v>0</v>
      </c>
      <c r="M214" s="84">
        <f t="shared" si="235"/>
        <v>0</v>
      </c>
      <c r="N214" s="84">
        <f t="shared" si="236"/>
        <v>0</v>
      </c>
      <c r="O214" s="84">
        <f t="shared" si="236"/>
        <v>0</v>
      </c>
      <c r="P214" s="84">
        <f t="shared" si="236"/>
        <v>0</v>
      </c>
      <c r="Q214" s="84">
        <f t="shared" si="236"/>
        <v>0</v>
      </c>
      <c r="R214" s="84">
        <f t="shared" si="236"/>
        <v>0</v>
      </c>
      <c r="S214" s="84">
        <f t="shared" si="236"/>
        <v>0</v>
      </c>
      <c r="T214" s="84">
        <f t="shared" si="236"/>
        <v>0</v>
      </c>
      <c r="U214" s="84">
        <f t="shared" si="236"/>
        <v>0</v>
      </c>
      <c r="V214" s="84">
        <f t="shared" si="236"/>
        <v>0</v>
      </c>
      <c r="W214" s="84">
        <f t="shared" ref="W214:Y214" si="241">IF(W23=0,0,W23*1000000/W77)</f>
        <v>0</v>
      </c>
      <c r="X214" s="84">
        <f t="shared" si="241"/>
        <v>0</v>
      </c>
      <c r="Y214" s="84">
        <f t="shared" si="241"/>
        <v>0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3903.0819479887778</v>
      </c>
      <c r="D215" s="84">
        <f t="shared" si="236"/>
        <v>3885.5561826146609</v>
      </c>
      <c r="E215" s="84">
        <f t="shared" si="236"/>
        <v>3839.007186420879</v>
      </c>
      <c r="F215" s="84">
        <f t="shared" si="236"/>
        <v>3633.8913984640076</v>
      </c>
      <c r="G215" s="84">
        <f t="shared" si="236"/>
        <v>3775.150355515932</v>
      </c>
      <c r="H215" s="84">
        <f t="shared" si="236"/>
        <v>3566.5769723720209</v>
      </c>
      <c r="I215" s="84">
        <f t="shared" si="236"/>
        <v>3522.72346590697</v>
      </c>
      <c r="J215" s="84">
        <f t="shared" si="236"/>
        <v>3589.3154492928252</v>
      </c>
      <c r="K215" s="84">
        <f t="shared" si="236"/>
        <v>3327.0622802000807</v>
      </c>
      <c r="L215" s="84">
        <f t="shared" si="236"/>
        <v>3354.3280066895559</v>
      </c>
      <c r="M215" s="84">
        <f t="shared" si="235"/>
        <v>3322.5281148978775</v>
      </c>
      <c r="N215" s="84">
        <f t="shared" si="236"/>
        <v>3175.6131467502782</v>
      </c>
      <c r="O215" s="84">
        <f t="shared" si="236"/>
        <v>3227.3638742136554</v>
      </c>
      <c r="P215" s="84">
        <f t="shared" si="236"/>
        <v>3101.4848734599859</v>
      </c>
      <c r="Q215" s="84">
        <f t="shared" si="236"/>
        <v>3036.3359659656421</v>
      </c>
      <c r="R215" s="84">
        <f t="shared" si="236"/>
        <v>2986.8852425822274</v>
      </c>
      <c r="S215" s="84">
        <f t="shared" si="236"/>
        <v>2947.9444808042253</v>
      </c>
      <c r="T215" s="84">
        <f t="shared" si="236"/>
        <v>2908.2694374389548</v>
      </c>
      <c r="U215" s="84">
        <f t="shared" si="236"/>
        <v>2857.0234064608276</v>
      </c>
      <c r="V215" s="84">
        <f t="shared" si="236"/>
        <v>2787.7792484709939</v>
      </c>
      <c r="W215" s="84">
        <f t="shared" ref="W215:Y215" si="242">IF(W24=0,0,W24*1000000/W78)</f>
        <v>2779.2806518107845</v>
      </c>
      <c r="X215" s="84">
        <f t="shared" si="242"/>
        <v>2695.1256726615311</v>
      </c>
      <c r="Y215" s="84">
        <f t="shared" si="242"/>
        <v>2671.4739470408745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2358.0457365559523</v>
      </c>
      <c r="C216" s="84">
        <f t="shared" si="236"/>
        <v>2359.201273516624</v>
      </c>
      <c r="D216" s="84">
        <f t="shared" si="236"/>
        <v>2360.2374817425953</v>
      </c>
      <c r="E216" s="84">
        <f t="shared" si="236"/>
        <v>2362.8968265428061</v>
      </c>
      <c r="F216" s="84">
        <f t="shared" si="236"/>
        <v>2386.1933232176179</v>
      </c>
      <c r="G216" s="84">
        <f t="shared" si="236"/>
        <v>2407.8053698469598</v>
      </c>
      <c r="H216" s="84">
        <f t="shared" si="236"/>
        <v>2432.0829295056328</v>
      </c>
      <c r="I216" s="84">
        <f t="shared" si="236"/>
        <v>2434.8991218566007</v>
      </c>
      <c r="J216" s="84">
        <f t="shared" si="236"/>
        <v>2469.325428498275</v>
      </c>
      <c r="K216" s="84">
        <f t="shared" si="236"/>
        <v>2493.3875583601271</v>
      </c>
      <c r="L216" s="84">
        <f t="shared" si="236"/>
        <v>2510.5681090555413</v>
      </c>
      <c r="M216" s="84">
        <f t="shared" si="235"/>
        <v>2518.2590499380899</v>
      </c>
      <c r="N216" s="84">
        <f t="shared" si="236"/>
        <v>2528.8089205609849</v>
      </c>
      <c r="O216" s="84">
        <f t="shared" si="236"/>
        <v>2548.9122099764199</v>
      </c>
      <c r="P216" s="84">
        <f t="shared" si="236"/>
        <v>2557.6574723381814</v>
      </c>
      <c r="Q216" s="84">
        <f t="shared" si="236"/>
        <v>2557.9656700779415</v>
      </c>
      <c r="R216" s="84">
        <f t="shared" si="236"/>
        <v>2549.5788879096917</v>
      </c>
      <c r="S216" s="84">
        <f t="shared" si="236"/>
        <v>2542.8960479759867</v>
      </c>
      <c r="T216" s="84">
        <f t="shared" si="236"/>
        <v>2536.0141633517155</v>
      </c>
      <c r="U216" s="84">
        <f t="shared" si="236"/>
        <v>2527.0131768221281</v>
      </c>
      <c r="V216" s="84">
        <f t="shared" si="236"/>
        <v>2465.7673013901799</v>
      </c>
      <c r="W216" s="84">
        <f t="shared" ref="W216:Y216" si="243">IF(W25=0,0,W25*1000000/W79)</f>
        <v>2513.1084338726841</v>
      </c>
      <c r="X216" s="84">
        <f t="shared" si="243"/>
        <v>2497.7015940972287</v>
      </c>
      <c r="Y216" s="84">
        <f t="shared" si="243"/>
        <v>2493.3022874052258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418970.32276955718</v>
      </c>
      <c r="C217" s="110">
        <f t="shared" si="236"/>
        <v>384166.47629830387</v>
      </c>
      <c r="D217" s="110">
        <f t="shared" si="236"/>
        <v>383595.79354224214</v>
      </c>
      <c r="E217" s="110">
        <f t="shared" si="236"/>
        <v>346551.23186887091</v>
      </c>
      <c r="F217" s="110">
        <f t="shared" si="236"/>
        <v>331790.60976422386</v>
      </c>
      <c r="G217" s="110">
        <f t="shared" si="236"/>
        <v>317895.52262918738</v>
      </c>
      <c r="H217" s="110">
        <f t="shared" si="236"/>
        <v>279167.00597906043</v>
      </c>
      <c r="I217" s="110">
        <f t="shared" si="236"/>
        <v>266077.98555303214</v>
      </c>
      <c r="J217" s="110">
        <f t="shared" si="236"/>
        <v>257349.82024317558</v>
      </c>
      <c r="K217" s="110">
        <f t="shared" si="236"/>
        <v>215587.50240410015</v>
      </c>
      <c r="L217" s="110">
        <f t="shared" si="236"/>
        <v>213465.8507681989</v>
      </c>
      <c r="M217" s="110">
        <f t="shared" si="235"/>
        <v>186577.72163851818</v>
      </c>
      <c r="N217" s="110">
        <f t="shared" si="236"/>
        <v>167155.43676949589</v>
      </c>
      <c r="O217" s="110">
        <f t="shared" si="236"/>
        <v>152341.77031457561</v>
      </c>
      <c r="P217" s="110">
        <f t="shared" si="236"/>
        <v>144638.81163266077</v>
      </c>
      <c r="Q217" s="110">
        <f t="shared" si="236"/>
        <v>148551.14834368331</v>
      </c>
      <c r="R217" s="110">
        <f t="shared" si="236"/>
        <v>161852.18051896332</v>
      </c>
      <c r="S217" s="110">
        <f t="shared" si="236"/>
        <v>166247.11692347602</v>
      </c>
      <c r="T217" s="110">
        <f t="shared" si="236"/>
        <v>159618.6393529987</v>
      </c>
      <c r="U217" s="110">
        <f t="shared" si="236"/>
        <v>156943.60492376523</v>
      </c>
      <c r="V217" s="110">
        <f t="shared" si="236"/>
        <v>158833.4723624709</v>
      </c>
      <c r="W217" s="110">
        <f t="shared" ref="W217:Y217" si="244">IF(W26=0,0,W26*1000000/W80)</f>
        <v>155526.62037037036</v>
      </c>
      <c r="X217" s="110">
        <f t="shared" si="244"/>
        <v>159307.97301199759</v>
      </c>
      <c r="Y217" s="110">
        <f t="shared" si="244"/>
        <v>142610.96793773759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411952.67679319874</v>
      </c>
      <c r="C218" s="163">
        <f t="shared" si="236"/>
        <v>376722.77451423404</v>
      </c>
      <c r="D218" s="163">
        <f t="shared" si="236"/>
        <v>376090.24772571976</v>
      </c>
      <c r="E218" s="163">
        <f t="shared" si="236"/>
        <v>339073.64917677315</v>
      </c>
      <c r="F218" s="163">
        <f t="shared" si="236"/>
        <v>323570.15165686008</v>
      </c>
      <c r="G218" s="163">
        <f t="shared" si="236"/>
        <v>309781.82182672713</v>
      </c>
      <c r="H218" s="163">
        <f t="shared" si="236"/>
        <v>270541.61443171918</v>
      </c>
      <c r="I218" s="163">
        <f t="shared" si="236"/>
        <v>257689.29205911251</v>
      </c>
      <c r="J218" s="163">
        <f t="shared" si="236"/>
        <v>249575.22955679271</v>
      </c>
      <c r="K218" s="163">
        <f t="shared" si="236"/>
        <v>208593.78340245414</v>
      </c>
      <c r="L218" s="163">
        <f t="shared" si="236"/>
        <v>204548.59614743502</v>
      </c>
      <c r="M218" s="163">
        <f t="shared" si="235"/>
        <v>181016.59751037345</v>
      </c>
      <c r="N218" s="163">
        <f t="shared" si="236"/>
        <v>160443.69324875064</v>
      </c>
      <c r="O218" s="163">
        <f t="shared" si="236"/>
        <v>146690.91926682525</v>
      </c>
      <c r="P218" s="163">
        <f t="shared" si="236"/>
        <v>137558.53590767083</v>
      </c>
      <c r="Q218" s="163">
        <f t="shared" si="236"/>
        <v>140830.6339809589</v>
      </c>
      <c r="R218" s="163">
        <f t="shared" si="236"/>
        <v>155689.38113059392</v>
      </c>
      <c r="S218" s="163">
        <f t="shared" si="236"/>
        <v>160307.34199102572</v>
      </c>
      <c r="T218" s="163">
        <f t="shared" si="236"/>
        <v>153045.58955259062</v>
      </c>
      <c r="U218" s="163">
        <f t="shared" si="236"/>
        <v>151661.0550581128</v>
      </c>
      <c r="V218" s="163">
        <f t="shared" si="236"/>
        <v>153679.83276245318</v>
      </c>
      <c r="W218" s="163">
        <f t="shared" ref="W218:Y218" si="245">IF(W27=0,0,W27*1000000/W81)</f>
        <v>149088.28191552454</v>
      </c>
      <c r="X218" s="163">
        <f t="shared" si="245"/>
        <v>153196.50138381257</v>
      </c>
      <c r="Y218" s="163">
        <f t="shared" si="245"/>
        <v>136920.12475496408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1212518.6531583839</v>
      </c>
      <c r="C219" s="86">
        <f t="shared" si="236"/>
        <v>1210394.0398417045</v>
      </c>
      <c r="D219" s="86">
        <f t="shared" si="236"/>
        <v>1218478.7059109688</v>
      </c>
      <c r="E219" s="86">
        <f t="shared" si="236"/>
        <v>1212444.3914346781</v>
      </c>
      <c r="F219" s="86">
        <f t="shared" si="236"/>
        <v>1189022.0109428621</v>
      </c>
      <c r="G219" s="86">
        <f t="shared" si="236"/>
        <v>1190375.8595778183</v>
      </c>
      <c r="H219" s="86">
        <f t="shared" si="236"/>
        <v>1197576.061165757</v>
      </c>
      <c r="I219" s="86">
        <f t="shared" si="236"/>
        <v>1200022.2843009396</v>
      </c>
      <c r="J219" s="86">
        <f t="shared" si="236"/>
        <v>1183337.8829631875</v>
      </c>
      <c r="K219" s="86">
        <f t="shared" si="236"/>
        <v>1167718.4321450661</v>
      </c>
      <c r="L219" s="86">
        <f t="shared" si="236"/>
        <v>1205030.7016049109</v>
      </c>
      <c r="M219" s="86">
        <f t="shared" si="235"/>
        <v>1200605.0063343267</v>
      </c>
      <c r="N219" s="86">
        <f t="shared" si="236"/>
        <v>1197830.3791557553</v>
      </c>
      <c r="O219" s="86">
        <f t="shared" si="236"/>
        <v>1198627.5847775734</v>
      </c>
      <c r="P219" s="86">
        <f t="shared" si="236"/>
        <v>1202086.5906850798</v>
      </c>
      <c r="Q219" s="86">
        <f t="shared" si="236"/>
        <v>1190252.4998184789</v>
      </c>
      <c r="R219" s="86">
        <f t="shared" si="236"/>
        <v>1184132.4231798148</v>
      </c>
      <c r="S219" s="86">
        <f t="shared" si="236"/>
        <v>1191026.7527744912</v>
      </c>
      <c r="T219" s="86">
        <f t="shared" si="236"/>
        <v>1202993.4518241347</v>
      </c>
      <c r="U219" s="86">
        <f t="shared" si="236"/>
        <v>1195312.5</v>
      </c>
      <c r="V219" s="86">
        <f t="shared" si="236"/>
        <v>1177753.544165758</v>
      </c>
      <c r="W219" s="86">
        <f t="shared" ref="W219:Y219" si="246">IF(W28=0,0,W28*1000000/W82)</f>
        <v>1193913.043478261</v>
      </c>
      <c r="X219" s="86">
        <f t="shared" si="246"/>
        <v>1189670.5253784505</v>
      </c>
      <c r="Y219" s="86">
        <f t="shared" si="246"/>
        <v>1176691.7293233082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1.405625742979978E-2</v>
      </c>
      <c r="C223" s="154">
        <f t="shared" si="251"/>
        <v>1.3777459368375197E-2</v>
      </c>
      <c r="D223" s="154">
        <f t="shared" si="251"/>
        <v>1.3507435578451181E-2</v>
      </c>
      <c r="E223" s="154">
        <f t="shared" si="251"/>
        <v>1.3263245814125009E-2</v>
      </c>
      <c r="F223" s="154">
        <f t="shared" si="251"/>
        <v>1.3019559712326665E-2</v>
      </c>
      <c r="G223" s="154">
        <f t="shared" si="251"/>
        <v>1.2840594367490439E-2</v>
      </c>
      <c r="H223" s="154">
        <f t="shared" si="251"/>
        <v>1.2745396948811435E-2</v>
      </c>
      <c r="I223" s="154">
        <f t="shared" si="251"/>
        <v>1.2530535303484632E-2</v>
      </c>
      <c r="J223" s="154">
        <f t="shared" si="251"/>
        <v>1.2604229631854792E-2</v>
      </c>
      <c r="K223" s="154">
        <f t="shared" si="251"/>
        <v>1.2449057002893902E-2</v>
      </c>
      <c r="L223" s="154">
        <f t="shared" ref="L223" si="252">IF(L5=0,0,L5/L$4)</f>
        <v>1.6409030435430166E-2</v>
      </c>
      <c r="M223" s="154">
        <f t="shared" ref="M223:V223" si="253">IF(M5=0,0,M5/M$4)</f>
        <v>1.6230357266998782E-2</v>
      </c>
      <c r="N223" s="154">
        <f t="shared" si="253"/>
        <v>1.6179757322722348E-2</v>
      </c>
      <c r="O223" s="154">
        <f t="shared" si="253"/>
        <v>1.6205509298083304E-2</v>
      </c>
      <c r="P223" s="154">
        <f t="shared" si="253"/>
        <v>1.6151553243083993E-2</v>
      </c>
      <c r="Q223" s="154">
        <f t="shared" si="253"/>
        <v>1.6011914835558742E-2</v>
      </c>
      <c r="R223" s="154">
        <f t="shared" si="253"/>
        <v>1.8549544119682806E-2</v>
      </c>
      <c r="S223" s="154">
        <f t="shared" si="253"/>
        <v>1.5318298551009111E-2</v>
      </c>
      <c r="T223" s="154">
        <f t="shared" si="253"/>
        <v>1.4606784370222307E-2</v>
      </c>
      <c r="U223" s="154">
        <f t="shared" si="253"/>
        <v>1.5516373904405576E-2</v>
      </c>
      <c r="V223" s="154">
        <f t="shared" si="253"/>
        <v>1.4638067048075262E-2</v>
      </c>
      <c r="W223" s="154">
        <f t="shared" ref="W223:Y223" si="254">IF(W5=0,0,W5/W$4)</f>
        <v>1.5448466669903545E-2</v>
      </c>
      <c r="X223" s="154">
        <f t="shared" si="254"/>
        <v>1.6096172936838724E-2</v>
      </c>
      <c r="Y223" s="154">
        <f t="shared" si="254"/>
        <v>1.7073961693951166E-2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0.86619978645363016</v>
      </c>
      <c r="C224" s="156">
        <f t="shared" si="255"/>
        <v>0.86885138819169416</v>
      </c>
      <c r="D224" s="156">
        <f t="shared" si="255"/>
        <v>0.87140176523903479</v>
      </c>
      <c r="E224" s="156">
        <f t="shared" si="255"/>
        <v>0.8742141418664332</v>
      </c>
      <c r="F224" s="156">
        <f t="shared" si="255"/>
        <v>0.87747593597097984</v>
      </c>
      <c r="G224" s="156">
        <f t="shared" si="255"/>
        <v>0.87998615986621553</v>
      </c>
      <c r="H224" s="156">
        <f t="shared" si="255"/>
        <v>0.88090558230676441</v>
      </c>
      <c r="I224" s="156">
        <f t="shared" si="255"/>
        <v>0.88308082447482983</v>
      </c>
      <c r="J224" s="156">
        <f t="shared" si="255"/>
        <v>0.88244843306090226</v>
      </c>
      <c r="K224" s="156">
        <f t="shared" si="255"/>
        <v>0.8839453480312206</v>
      </c>
      <c r="L224" s="156">
        <f t="shared" ref="L224" si="256">IF(L6=0,0,L6/L$4)</f>
        <v>0.88099325343374246</v>
      </c>
      <c r="M224" s="156">
        <f t="shared" ref="M224:V224" si="257">IF(M6=0,0,M6/M$4)</f>
        <v>0.88220010821010897</v>
      </c>
      <c r="N224" s="156">
        <f t="shared" si="257"/>
        <v>0.88193856942103999</v>
      </c>
      <c r="O224" s="156">
        <f t="shared" si="257"/>
        <v>0.88169813862852253</v>
      </c>
      <c r="P224" s="156">
        <f t="shared" si="257"/>
        <v>0.88231248605958312</v>
      </c>
      <c r="Q224" s="156">
        <f t="shared" si="257"/>
        <v>0.88350362437836572</v>
      </c>
      <c r="R224" s="156">
        <f t="shared" si="257"/>
        <v>0.85730474077800456</v>
      </c>
      <c r="S224" s="156">
        <f t="shared" si="257"/>
        <v>0.87634711038619129</v>
      </c>
      <c r="T224" s="156">
        <f t="shared" si="257"/>
        <v>0.88000356689932013</v>
      </c>
      <c r="U224" s="156">
        <f t="shared" si="257"/>
        <v>0.8803682225326066</v>
      </c>
      <c r="V224" s="156">
        <f t="shared" si="257"/>
        <v>0.89085613402282626</v>
      </c>
      <c r="W224" s="156">
        <f t="shared" ref="W224:Y224" si="258">IF(W6=0,0,W6/W$4)</f>
        <v>0.89967640114646741</v>
      </c>
      <c r="X224" s="156">
        <f t="shared" si="258"/>
        <v>0.88463756557904427</v>
      </c>
      <c r="Y224" s="156">
        <f t="shared" si="258"/>
        <v>0.87786952176674937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0.71218487996213442</v>
      </c>
      <c r="C225" s="103">
        <f t="shared" si="259"/>
        <v>0.70888682339635334</v>
      </c>
      <c r="D225" s="103">
        <f t="shared" si="259"/>
        <v>0.70573502839678404</v>
      </c>
      <c r="E225" s="103">
        <f t="shared" si="259"/>
        <v>0.70031197778754894</v>
      </c>
      <c r="F225" s="103">
        <f t="shared" si="259"/>
        <v>0.70236229286737917</v>
      </c>
      <c r="G225" s="103">
        <f t="shared" si="259"/>
        <v>0.69370236416518116</v>
      </c>
      <c r="H225" s="103">
        <f t="shared" si="259"/>
        <v>0.68111565127446183</v>
      </c>
      <c r="I225" s="103">
        <f t="shared" si="259"/>
        <v>0.66651280330678908</v>
      </c>
      <c r="J225" s="103">
        <f t="shared" si="259"/>
        <v>0.63130300650889271</v>
      </c>
      <c r="K225" s="103">
        <f t="shared" si="259"/>
        <v>0.61384126823304097</v>
      </c>
      <c r="L225" s="103">
        <f t="shared" ref="L225" si="260">IF(L7=0,0,L7/L$4)</f>
        <v>0.58843407807151638</v>
      </c>
      <c r="M225" s="103">
        <f t="shared" ref="M225:V225" si="261">IF(M7=0,0,M7/M$4)</f>
        <v>0.55616051050772874</v>
      </c>
      <c r="N225" s="103">
        <f t="shared" si="261"/>
        <v>0.53897502042370748</v>
      </c>
      <c r="O225" s="103">
        <f t="shared" si="261"/>
        <v>0.53592705146871755</v>
      </c>
      <c r="P225" s="103">
        <f t="shared" si="261"/>
        <v>0.52362864027662381</v>
      </c>
      <c r="Q225" s="103">
        <f t="shared" si="261"/>
        <v>0.51367812014525949</v>
      </c>
      <c r="R225" s="103">
        <f t="shared" si="261"/>
        <v>0.49165882059930016</v>
      </c>
      <c r="S225" s="103">
        <f t="shared" si="261"/>
        <v>0.48966530714929524</v>
      </c>
      <c r="T225" s="103">
        <f t="shared" si="261"/>
        <v>0.48460763930933742</v>
      </c>
      <c r="U225" s="103">
        <f t="shared" si="261"/>
        <v>0.48153348770297866</v>
      </c>
      <c r="V225" s="103">
        <f t="shared" si="261"/>
        <v>0.48710336890302658</v>
      </c>
      <c r="W225" s="103">
        <f t="shared" ref="W225:Y225" si="262">IF(W7=0,0,W7/W$4)</f>
        <v>0.48660646767652066</v>
      </c>
      <c r="X225" s="103">
        <f t="shared" si="262"/>
        <v>0.47451188745534584</v>
      </c>
      <c r="Y225" s="103">
        <f t="shared" si="262"/>
        <v>0.46960522002258831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0.1540149064914958</v>
      </c>
      <c r="C226" s="103">
        <f t="shared" si="263"/>
        <v>0.15996456479534085</v>
      </c>
      <c r="D226" s="103">
        <f t="shared" si="263"/>
        <v>0.16566673684225083</v>
      </c>
      <c r="E226" s="103">
        <f t="shared" si="263"/>
        <v>0.17390216407888415</v>
      </c>
      <c r="F226" s="103">
        <f t="shared" si="263"/>
        <v>0.17511364310360064</v>
      </c>
      <c r="G226" s="103">
        <f t="shared" si="263"/>
        <v>0.18628379570103426</v>
      </c>
      <c r="H226" s="103">
        <f t="shared" si="263"/>
        <v>0.19978903903779888</v>
      </c>
      <c r="I226" s="103">
        <f t="shared" si="263"/>
        <v>0.2165364934976611</v>
      </c>
      <c r="J226" s="103">
        <f t="shared" si="263"/>
        <v>0.25108391081336762</v>
      </c>
      <c r="K226" s="103">
        <f t="shared" si="263"/>
        <v>0.26999895871987195</v>
      </c>
      <c r="L226" s="103">
        <f t="shared" ref="L226" si="264">IF(L8=0,0,L8/L$4)</f>
        <v>0.29242197891112015</v>
      </c>
      <c r="M226" s="103">
        <f t="shared" ref="M226:V226" si="265">IF(M8=0,0,M8/M$4)</f>
        <v>0.32586042864223053</v>
      </c>
      <c r="N226" s="103">
        <f t="shared" si="265"/>
        <v>0.3426887207716271</v>
      </c>
      <c r="O226" s="103">
        <f t="shared" si="265"/>
        <v>0.3453982825113755</v>
      </c>
      <c r="P226" s="103">
        <f t="shared" si="265"/>
        <v>0.35814525939309011</v>
      </c>
      <c r="Q226" s="103">
        <f t="shared" si="265"/>
        <v>0.36906703603893348</v>
      </c>
      <c r="R226" s="103">
        <f t="shared" si="265"/>
        <v>0.36453529517465089</v>
      </c>
      <c r="S226" s="103">
        <f t="shared" si="265"/>
        <v>0.38446182081069857</v>
      </c>
      <c r="T226" s="103">
        <f t="shared" si="265"/>
        <v>0.39102901162619091</v>
      </c>
      <c r="U226" s="103">
        <f t="shared" si="265"/>
        <v>0.39105611827147579</v>
      </c>
      <c r="V226" s="103">
        <f t="shared" si="265"/>
        <v>0.39051860244471165</v>
      </c>
      <c r="W226" s="103">
        <f t="shared" ref="W226:Y226" si="266">IF(W8=0,0,W8/W$4)</f>
        <v>0.39029323661027521</v>
      </c>
      <c r="X226" s="103">
        <f t="shared" si="266"/>
        <v>0.37557746623952404</v>
      </c>
      <c r="Y226" s="103">
        <f t="shared" si="266"/>
        <v>0.36550756125671474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0</v>
      </c>
      <c r="C227" s="103">
        <f t="shared" si="267"/>
        <v>0</v>
      </c>
      <c r="D227" s="103">
        <f t="shared" si="267"/>
        <v>0</v>
      </c>
      <c r="E227" s="103">
        <f t="shared" si="267"/>
        <v>0</v>
      </c>
      <c r="F227" s="103">
        <f t="shared" si="267"/>
        <v>0</v>
      </c>
      <c r="G227" s="103">
        <f t="shared" si="267"/>
        <v>0</v>
      </c>
      <c r="H227" s="103">
        <f t="shared" si="267"/>
        <v>0</v>
      </c>
      <c r="I227" s="103">
        <f t="shared" si="267"/>
        <v>0</v>
      </c>
      <c r="J227" s="103">
        <f t="shared" si="267"/>
        <v>0</v>
      </c>
      <c r="K227" s="103">
        <f t="shared" si="267"/>
        <v>0</v>
      </c>
      <c r="L227" s="103">
        <f t="shared" ref="L227" si="268">IF(L9=0,0,L9/L$4)</f>
        <v>0</v>
      </c>
      <c r="M227" s="103">
        <f t="shared" ref="M227:V227" si="269">IF(M9=0,0,M9/M$4)</f>
        <v>0</v>
      </c>
      <c r="N227" s="103">
        <f t="shared" si="269"/>
        <v>0</v>
      </c>
      <c r="O227" s="103">
        <f t="shared" si="269"/>
        <v>0</v>
      </c>
      <c r="P227" s="103">
        <f t="shared" si="269"/>
        <v>0</v>
      </c>
      <c r="Q227" s="103">
        <f t="shared" si="269"/>
        <v>0</v>
      </c>
      <c r="R227" s="103">
        <f t="shared" si="269"/>
        <v>0</v>
      </c>
      <c r="S227" s="103">
        <f t="shared" si="269"/>
        <v>0</v>
      </c>
      <c r="T227" s="103">
        <f t="shared" si="269"/>
        <v>0</v>
      </c>
      <c r="U227" s="103">
        <f t="shared" si="269"/>
        <v>0</v>
      </c>
      <c r="V227" s="103">
        <f t="shared" si="269"/>
        <v>0</v>
      </c>
      <c r="W227" s="103">
        <f t="shared" ref="W227:Y227" si="270">IF(W9=0,0,W9/W$4)</f>
        <v>0</v>
      </c>
      <c r="X227" s="103">
        <f t="shared" si="270"/>
        <v>0</v>
      </c>
      <c r="Y227" s="103">
        <f t="shared" si="270"/>
        <v>0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0</v>
      </c>
      <c r="E228" s="103">
        <f t="shared" si="271"/>
        <v>0</v>
      </c>
      <c r="F228" s="103">
        <f t="shared" si="271"/>
        <v>0</v>
      </c>
      <c r="G228" s="103">
        <f t="shared" si="271"/>
        <v>0</v>
      </c>
      <c r="H228" s="103">
        <f t="shared" si="271"/>
        <v>8.9199450374537646E-7</v>
      </c>
      <c r="I228" s="103">
        <f t="shared" si="271"/>
        <v>3.0747812680395481E-5</v>
      </c>
      <c r="J228" s="103">
        <f t="shared" si="271"/>
        <v>5.9632831576133292E-5</v>
      </c>
      <c r="K228" s="103">
        <f t="shared" si="271"/>
        <v>1.0165525745308732E-4</v>
      </c>
      <c r="L228" s="103">
        <f t="shared" ref="L228" si="272">IF(L10=0,0,L10/L$4)</f>
        <v>1.3104162126295138E-4</v>
      </c>
      <c r="M228" s="103">
        <f t="shared" ref="M228:V228" si="273">IF(M10=0,0,M10/M$4)</f>
        <v>1.6419436694918148E-4</v>
      </c>
      <c r="N228" s="103">
        <f t="shared" si="273"/>
        <v>2.173094637239371E-4</v>
      </c>
      <c r="O228" s="103">
        <f t="shared" si="273"/>
        <v>2.6408534589951417E-4</v>
      </c>
      <c r="P228" s="103">
        <f t="shared" si="273"/>
        <v>3.1907293942999787E-4</v>
      </c>
      <c r="Q228" s="103">
        <f t="shared" si="273"/>
        <v>3.7744613862709399E-4</v>
      </c>
      <c r="R228" s="103">
        <f t="shared" si="273"/>
        <v>4.1537188627472336E-4</v>
      </c>
      <c r="S228" s="103">
        <f t="shared" si="273"/>
        <v>7.3201665449092721E-4</v>
      </c>
      <c r="T228" s="103">
        <f t="shared" si="273"/>
        <v>1.2664150607377303E-3</v>
      </c>
      <c r="U228" s="103">
        <f t="shared" si="273"/>
        <v>2.0510500908995201E-3</v>
      </c>
      <c r="V228" s="103">
        <f t="shared" si="273"/>
        <v>2.6176136650060806E-3</v>
      </c>
      <c r="W228" s="103">
        <f t="shared" ref="W228:Y228" si="274">IF(W10=0,0,W10/W$4)</f>
        <v>2.8272742515351493E-3</v>
      </c>
      <c r="X228" s="103">
        <f t="shared" si="274"/>
        <v>3.1912216077683146E-3</v>
      </c>
      <c r="Y228" s="103">
        <f t="shared" si="274"/>
        <v>3.167769519372966E-3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0</v>
      </c>
      <c r="N229" s="103">
        <f t="shared" si="277"/>
        <v>2.7824728851939641E-5</v>
      </c>
      <c r="O229" s="103">
        <f t="shared" si="277"/>
        <v>6.1984053492723104E-5</v>
      </c>
      <c r="P229" s="103">
        <f t="shared" si="277"/>
        <v>1.200990982049324E-4</v>
      </c>
      <c r="Q229" s="103">
        <f t="shared" si="277"/>
        <v>2.1230504484132597E-4</v>
      </c>
      <c r="R229" s="103">
        <f t="shared" si="277"/>
        <v>4.618358162429947E-4</v>
      </c>
      <c r="S229" s="103">
        <f t="shared" si="277"/>
        <v>1.1030242232224026E-3</v>
      </c>
      <c r="T229" s="103">
        <f t="shared" si="277"/>
        <v>2.4612705303186195E-3</v>
      </c>
      <c r="U229" s="103">
        <f t="shared" si="277"/>
        <v>4.4902082330232429E-3</v>
      </c>
      <c r="V229" s="103">
        <f t="shared" si="277"/>
        <v>8.0332473313509574E-3</v>
      </c>
      <c r="W229" s="103">
        <f t="shared" ref="W229:Y229" si="278">IF(W11=0,0,W11/W$4)</f>
        <v>1.3431160487011309E-2</v>
      </c>
      <c r="X229" s="103">
        <f t="shared" si="278"/>
        <v>1.7864496031831958E-2</v>
      </c>
      <c r="Y229" s="103">
        <f t="shared" si="278"/>
        <v>1.8979593702230971E-2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7.7985769929937026E-7</v>
      </c>
      <c r="J230" s="103">
        <f t="shared" si="279"/>
        <v>1.8829070657604074E-6</v>
      </c>
      <c r="K230" s="103">
        <f t="shared" si="279"/>
        <v>3.4658208545519626E-6</v>
      </c>
      <c r="L230" s="103">
        <f t="shared" ref="L230" si="280">IF(L12=0,0,L12/L$4)</f>
        <v>6.1548298429598505E-6</v>
      </c>
      <c r="M230" s="103">
        <f t="shared" ref="M230:V230" si="281">IF(M12=0,0,M12/M$4)</f>
        <v>1.4974693200536714E-5</v>
      </c>
      <c r="N230" s="103">
        <f t="shared" si="281"/>
        <v>2.9694033129428749E-5</v>
      </c>
      <c r="O230" s="103">
        <f t="shared" si="281"/>
        <v>4.6735249037225594E-5</v>
      </c>
      <c r="P230" s="103">
        <f t="shared" si="281"/>
        <v>9.9414352234283157E-5</v>
      </c>
      <c r="Q230" s="103">
        <f t="shared" si="281"/>
        <v>1.6871701070420448E-4</v>
      </c>
      <c r="R230" s="103">
        <f t="shared" si="281"/>
        <v>2.3341730153584087E-4</v>
      </c>
      <c r="S230" s="103">
        <f t="shared" si="281"/>
        <v>3.8494154848394584E-4</v>
      </c>
      <c r="T230" s="103">
        <f t="shared" si="281"/>
        <v>6.3923037273544978E-4</v>
      </c>
      <c r="U230" s="103">
        <f t="shared" si="281"/>
        <v>1.2373582342293432E-3</v>
      </c>
      <c r="V230" s="103">
        <f t="shared" si="281"/>
        <v>2.5833016787310112E-3</v>
      </c>
      <c r="W230" s="103">
        <f t="shared" ref="W230:Y230" si="282">IF(W12=0,0,W12/W$4)</f>
        <v>6.5182621211251164E-3</v>
      </c>
      <c r="X230" s="103">
        <f t="shared" si="282"/>
        <v>1.3492494244574086E-2</v>
      </c>
      <c r="Y230" s="103">
        <f t="shared" si="282"/>
        <v>2.0609377265842398E-2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0.11974395611657004</v>
      </c>
      <c r="C231" s="156">
        <f t="shared" si="283"/>
        <v>0.11737115243993063</v>
      </c>
      <c r="D231" s="156">
        <f t="shared" si="283"/>
        <v>0.11509079918251403</v>
      </c>
      <c r="E231" s="156">
        <f t="shared" si="283"/>
        <v>0.11252261231944188</v>
      </c>
      <c r="F231" s="156">
        <f t="shared" si="283"/>
        <v>0.10950450431669349</v>
      </c>
      <c r="G231" s="156">
        <f t="shared" si="283"/>
        <v>0.10717324576629406</v>
      </c>
      <c r="H231" s="156">
        <f t="shared" si="283"/>
        <v>0.10634902074442404</v>
      </c>
      <c r="I231" s="156">
        <f t="shared" si="283"/>
        <v>0.10438864022168561</v>
      </c>
      <c r="J231" s="156">
        <f t="shared" si="283"/>
        <v>0.10494733730724293</v>
      </c>
      <c r="K231" s="156">
        <f t="shared" si="283"/>
        <v>0.10360559496588534</v>
      </c>
      <c r="L231" s="156">
        <f t="shared" ref="L231" si="284">IF(L13=0,0,L13/L$4)</f>
        <v>0.10259771613082735</v>
      </c>
      <c r="M231" s="156">
        <f t="shared" ref="M231:V231" si="285">IF(M13=0,0,M13/M$4)</f>
        <v>0.10156953452289239</v>
      </c>
      <c r="N231" s="156">
        <f t="shared" si="285"/>
        <v>0.10188167325623781</v>
      </c>
      <c r="O231" s="156">
        <f t="shared" si="285"/>
        <v>0.10209635207339417</v>
      </c>
      <c r="P231" s="156">
        <f t="shared" si="285"/>
        <v>0.10153596069733299</v>
      </c>
      <c r="Q231" s="156">
        <f t="shared" si="285"/>
        <v>0.10048446078607552</v>
      </c>
      <c r="R231" s="156">
        <f t="shared" si="285"/>
        <v>0.12414571510231255</v>
      </c>
      <c r="S231" s="156">
        <f t="shared" si="285"/>
        <v>0.10833459106279966</v>
      </c>
      <c r="T231" s="156">
        <f t="shared" si="285"/>
        <v>0.10538964873045749</v>
      </c>
      <c r="U231" s="156">
        <f t="shared" si="285"/>
        <v>0.1041154035629879</v>
      </c>
      <c r="V231" s="156">
        <f t="shared" si="285"/>
        <v>9.4505798929098578E-2</v>
      </c>
      <c r="W231" s="156">
        <f t="shared" ref="W231:Y231" si="286">IF(W13=0,0,W13/W$4)</f>
        <v>8.4875132183629007E-2</v>
      </c>
      <c r="X231" s="156">
        <f t="shared" si="286"/>
        <v>9.9266261484117171E-2</v>
      </c>
      <c r="Y231" s="156">
        <f t="shared" si="286"/>
        <v>0.10505651653929951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6.1089851092490955E-5</v>
      </c>
      <c r="C232" s="103">
        <f t="shared" si="287"/>
        <v>6.7431611455148922E-5</v>
      </c>
      <c r="D232" s="103">
        <f t="shared" si="287"/>
        <v>6.2628909906122613E-5</v>
      </c>
      <c r="E232" s="103">
        <f t="shared" si="287"/>
        <v>5.9325461526772676E-5</v>
      </c>
      <c r="F232" s="103">
        <f t="shared" si="287"/>
        <v>5.7902545623916459E-5</v>
      </c>
      <c r="G232" s="103">
        <f t="shared" si="287"/>
        <v>6.1415124790123067E-5</v>
      </c>
      <c r="H232" s="103">
        <f t="shared" si="287"/>
        <v>5.6068003440993603E-5</v>
      </c>
      <c r="I232" s="103">
        <f t="shared" si="287"/>
        <v>5.5245625875354687E-5</v>
      </c>
      <c r="J232" s="103">
        <f t="shared" si="287"/>
        <v>5.0685919566349987E-5</v>
      </c>
      <c r="K232" s="103">
        <f t="shared" si="287"/>
        <v>4.923991264485351E-5</v>
      </c>
      <c r="L232" s="103">
        <f t="shared" ref="L232" si="288">IF(L14=0,0,L14/L$4)</f>
        <v>5.011458859656894E-5</v>
      </c>
      <c r="M232" s="103">
        <f t="shared" ref="M232:V232" si="289">IF(M14=0,0,M14/M$4)</f>
        <v>4.7886936819764919E-5</v>
      </c>
      <c r="N232" s="103">
        <f t="shared" si="289"/>
        <v>4.7837504178790754E-5</v>
      </c>
      <c r="O232" s="103">
        <f t="shared" si="289"/>
        <v>4.7784470861140865E-5</v>
      </c>
      <c r="P232" s="103">
        <f t="shared" si="289"/>
        <v>4.7352414602544608E-5</v>
      </c>
      <c r="Q232" s="103">
        <f t="shared" si="289"/>
        <v>4.6731033607191462E-5</v>
      </c>
      <c r="R232" s="103">
        <f t="shared" si="289"/>
        <v>5.2852809070921196E-5</v>
      </c>
      <c r="S232" s="103">
        <f t="shared" si="289"/>
        <v>4.6273481460351956E-5</v>
      </c>
      <c r="T232" s="103">
        <f t="shared" si="289"/>
        <v>4.3180654180519064E-5</v>
      </c>
      <c r="U232" s="103">
        <f t="shared" si="289"/>
        <v>4.001277176283081E-5</v>
      </c>
      <c r="V232" s="103">
        <f t="shared" si="289"/>
        <v>3.4314099793837741E-5</v>
      </c>
      <c r="W232" s="103">
        <f t="shared" ref="W232:Y232" si="290">IF(W14=0,0,W14/W$4)</f>
        <v>2.9678851504493393E-5</v>
      </c>
      <c r="X232" s="103">
        <f t="shared" si="290"/>
        <v>3.3971629436107542E-5</v>
      </c>
      <c r="Y232" s="103">
        <f t="shared" si="290"/>
        <v>3.4198925067844741E-5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0.11832650651897755</v>
      </c>
      <c r="C233" s="103">
        <f t="shared" si="291"/>
        <v>0.11598180257765643</v>
      </c>
      <c r="D233" s="103">
        <f t="shared" si="291"/>
        <v>0.11310461170572685</v>
      </c>
      <c r="E233" s="103">
        <f t="shared" si="291"/>
        <v>0.11061787892641607</v>
      </c>
      <c r="F233" s="103">
        <f t="shared" si="291"/>
        <v>0.10773854878351398</v>
      </c>
      <c r="G233" s="103">
        <f t="shared" si="291"/>
        <v>0.10547536765935618</v>
      </c>
      <c r="H233" s="103">
        <f t="shared" si="291"/>
        <v>0.1041967099261559</v>
      </c>
      <c r="I233" s="103">
        <f t="shared" si="291"/>
        <v>0.10229301099178201</v>
      </c>
      <c r="J233" s="103">
        <f t="shared" si="291"/>
        <v>0.1030204344744079</v>
      </c>
      <c r="K233" s="103">
        <f t="shared" si="291"/>
        <v>0.10179836973650608</v>
      </c>
      <c r="L233" s="103">
        <f t="shared" ref="L233" si="292">IF(L15=0,0,L15/L$4)</f>
        <v>0.10096601286334386</v>
      </c>
      <c r="M233" s="103">
        <f t="shared" ref="M233:V233" si="293">IF(M15=0,0,M15/M$4)</f>
        <v>0.10010192990366243</v>
      </c>
      <c r="N233" s="103">
        <f t="shared" si="293"/>
        <v>0.10049040095782291</v>
      </c>
      <c r="O233" s="103">
        <f t="shared" si="293"/>
        <v>0.1008354506757127</v>
      </c>
      <c r="P233" s="103">
        <f t="shared" si="293"/>
        <v>0.1002492796680957</v>
      </c>
      <c r="Q233" s="103">
        <f t="shared" si="293"/>
        <v>9.9245050322871828E-2</v>
      </c>
      <c r="R233" s="103">
        <f t="shared" si="293"/>
        <v>0.12270893807423407</v>
      </c>
      <c r="S233" s="103">
        <f t="shared" si="293"/>
        <v>0.10715473033151722</v>
      </c>
      <c r="T233" s="103">
        <f t="shared" si="293"/>
        <v>0.10425321698865775</v>
      </c>
      <c r="U233" s="103">
        <f t="shared" si="293"/>
        <v>0.10280878061988535</v>
      </c>
      <c r="V233" s="103">
        <f t="shared" si="293"/>
        <v>9.3369877680266181E-2</v>
      </c>
      <c r="W233" s="103">
        <f t="shared" ref="W233:Y233" si="294">IF(W15=0,0,W15/W$4)</f>
        <v>8.2649322621957427E-2</v>
      </c>
      <c r="X233" s="103">
        <f t="shared" si="294"/>
        <v>9.4909216082321141E-2</v>
      </c>
      <c r="Y233" s="103">
        <f t="shared" si="294"/>
        <v>9.9804623359450451E-2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0</v>
      </c>
      <c r="D234" s="103">
        <f t="shared" si="295"/>
        <v>0</v>
      </c>
      <c r="E234" s="103">
        <f t="shared" si="295"/>
        <v>0</v>
      </c>
      <c r="F234" s="103">
        <f t="shared" si="295"/>
        <v>0</v>
      </c>
      <c r="G234" s="103">
        <f t="shared" si="295"/>
        <v>0</v>
      </c>
      <c r="H234" s="103">
        <f t="shared" si="295"/>
        <v>0</v>
      </c>
      <c r="I234" s="103">
        <f t="shared" si="295"/>
        <v>0</v>
      </c>
      <c r="J234" s="103">
        <f t="shared" si="295"/>
        <v>0</v>
      </c>
      <c r="K234" s="103">
        <f t="shared" si="295"/>
        <v>0</v>
      </c>
      <c r="L234" s="103">
        <f t="shared" ref="L234" si="296">IF(L16=0,0,L16/L$4)</f>
        <v>0</v>
      </c>
      <c r="M234" s="103">
        <f t="shared" ref="M234:V234" si="297">IF(M16=0,0,M16/M$4)</f>
        <v>0</v>
      </c>
      <c r="N234" s="103">
        <f t="shared" si="297"/>
        <v>0</v>
      </c>
      <c r="O234" s="103">
        <f t="shared" si="297"/>
        <v>0</v>
      </c>
      <c r="P234" s="103">
        <f t="shared" si="297"/>
        <v>0</v>
      </c>
      <c r="Q234" s="103">
        <f t="shared" si="297"/>
        <v>0</v>
      </c>
      <c r="R234" s="103">
        <f t="shared" si="297"/>
        <v>0</v>
      </c>
      <c r="S234" s="103">
        <f t="shared" si="297"/>
        <v>0</v>
      </c>
      <c r="T234" s="103">
        <f t="shared" si="297"/>
        <v>0</v>
      </c>
      <c r="U234" s="103">
        <f t="shared" si="297"/>
        <v>0</v>
      </c>
      <c r="V234" s="103">
        <f t="shared" si="297"/>
        <v>0</v>
      </c>
      <c r="W234" s="103">
        <f t="shared" ref="W234:Y234" si="298">IF(W16=0,0,W16/W$4)</f>
        <v>0</v>
      </c>
      <c r="X234" s="103">
        <f t="shared" si="298"/>
        <v>0</v>
      </c>
      <c r="Y234" s="103">
        <f t="shared" si="298"/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1.3563597465000054E-3</v>
      </c>
      <c r="C235" s="103">
        <f t="shared" si="299"/>
        <v>1.3219182508190546E-3</v>
      </c>
      <c r="D235" s="103">
        <f t="shared" si="299"/>
        <v>1.9235585668810657E-3</v>
      </c>
      <c r="E235" s="103">
        <f t="shared" si="299"/>
        <v>1.8454079314990416E-3</v>
      </c>
      <c r="F235" s="103">
        <f t="shared" si="299"/>
        <v>1.7080529875556044E-3</v>
      </c>
      <c r="G235" s="103">
        <f t="shared" si="299"/>
        <v>1.6364629821477405E-3</v>
      </c>
      <c r="H235" s="103">
        <f t="shared" si="299"/>
        <v>2.0962428148271488E-3</v>
      </c>
      <c r="I235" s="103">
        <f t="shared" si="299"/>
        <v>2.0403836040282387E-3</v>
      </c>
      <c r="J235" s="103">
        <f t="shared" si="299"/>
        <v>1.8762169132686855E-3</v>
      </c>
      <c r="K235" s="103">
        <f t="shared" si="299"/>
        <v>1.7579853167344038E-3</v>
      </c>
      <c r="L235" s="103">
        <f t="shared" ref="L235" si="300">IF(L17=0,0,L17/L$4)</f>
        <v>1.5815886788869298E-3</v>
      </c>
      <c r="M235" s="103">
        <f t="shared" ref="M235:V235" si="301">IF(M17=0,0,M17/M$4)</f>
        <v>1.4197176824101872E-3</v>
      </c>
      <c r="N235" s="103">
        <f t="shared" si="301"/>
        <v>1.2944231236110659E-3</v>
      </c>
      <c r="O235" s="103">
        <f t="shared" si="301"/>
        <v>1.1894441889617417E-3</v>
      </c>
      <c r="P235" s="103">
        <f t="shared" si="301"/>
        <v>1.2017313969931863E-3</v>
      </c>
      <c r="Q235" s="103">
        <f t="shared" si="301"/>
        <v>1.149522879191482E-3</v>
      </c>
      <c r="R235" s="103">
        <f t="shared" si="301"/>
        <v>1.251102465223833E-3</v>
      </c>
      <c r="S235" s="103">
        <f t="shared" si="301"/>
        <v>9.6457474726340756E-4</v>
      </c>
      <c r="T235" s="103">
        <f t="shared" si="301"/>
        <v>9.2852138762463852E-4</v>
      </c>
      <c r="U235" s="103">
        <f t="shared" si="301"/>
        <v>8.284122059451682E-4</v>
      </c>
      <c r="V235" s="103">
        <f t="shared" si="301"/>
        <v>5.2837223273101755E-4</v>
      </c>
      <c r="W235" s="103">
        <f t="shared" ref="W235:Y235" si="302">IF(W17=0,0,W17/W$4)</f>
        <v>4.5042154287245115E-4</v>
      </c>
      <c r="X235" s="103">
        <f t="shared" si="302"/>
        <v>5.2517375742695263E-4</v>
      </c>
      <c r="Y235" s="103">
        <f t="shared" si="302"/>
        <v>5.917696228981388E-4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0</v>
      </c>
      <c r="C236" s="103">
        <f t="shared" si="303"/>
        <v>0</v>
      </c>
      <c r="D236" s="103">
        <f t="shared" si="303"/>
        <v>0</v>
      </c>
      <c r="E236" s="103">
        <f t="shared" si="303"/>
        <v>0</v>
      </c>
      <c r="F236" s="103">
        <f t="shared" si="303"/>
        <v>0</v>
      </c>
      <c r="G236" s="103">
        <f t="shared" si="303"/>
        <v>0</v>
      </c>
      <c r="H236" s="103">
        <f t="shared" si="303"/>
        <v>0</v>
      </c>
      <c r="I236" s="103">
        <f t="shared" si="303"/>
        <v>0</v>
      </c>
      <c r="J236" s="103">
        <f t="shared" si="303"/>
        <v>0</v>
      </c>
      <c r="K236" s="103">
        <f t="shared" si="303"/>
        <v>0</v>
      </c>
      <c r="L236" s="103">
        <f t="shared" ref="L236" si="304">IF(L18=0,0,L18/L$4)</f>
        <v>0</v>
      </c>
      <c r="M236" s="103">
        <f t="shared" ref="M236:V236" si="305">IF(M18=0,0,M18/M$4)</f>
        <v>0</v>
      </c>
      <c r="N236" s="103">
        <f t="shared" si="305"/>
        <v>4.9011670625046328E-5</v>
      </c>
      <c r="O236" s="103">
        <f t="shared" si="305"/>
        <v>2.3672737858587878E-5</v>
      </c>
      <c r="P236" s="103">
        <f t="shared" si="305"/>
        <v>3.7597217641547579E-5</v>
      </c>
      <c r="Q236" s="103">
        <f t="shared" si="305"/>
        <v>4.3156550405024385E-5</v>
      </c>
      <c r="R236" s="103">
        <f t="shared" si="305"/>
        <v>1.3282175378370289E-4</v>
      </c>
      <c r="S236" s="103">
        <f t="shared" si="305"/>
        <v>1.6901250255868779E-4</v>
      </c>
      <c r="T236" s="103">
        <f t="shared" si="305"/>
        <v>1.6472969999458759E-4</v>
      </c>
      <c r="U236" s="103">
        <f t="shared" si="305"/>
        <v>4.3819796539454949E-4</v>
      </c>
      <c r="V236" s="103">
        <f t="shared" si="305"/>
        <v>5.7323491630754909E-4</v>
      </c>
      <c r="W236" s="103">
        <f t="shared" ref="W236:Y236" si="306">IF(W18=0,0,W18/W$4)</f>
        <v>1.7457091672946302E-3</v>
      </c>
      <c r="X236" s="103">
        <f t="shared" si="306"/>
        <v>3.7979000149329775E-3</v>
      </c>
      <c r="Y236" s="103">
        <f t="shared" si="306"/>
        <v>4.6259246318830841E-3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4.1617002377158929E-2</v>
      </c>
      <c r="C238" s="154">
        <f t="shared" si="311"/>
        <v>4.4124284298657772E-2</v>
      </c>
      <c r="D238" s="154">
        <f t="shared" si="311"/>
        <v>4.272646022973741E-2</v>
      </c>
      <c r="E238" s="154">
        <f t="shared" si="311"/>
        <v>4.5039068716936657E-2</v>
      </c>
      <c r="F238" s="154">
        <f t="shared" si="311"/>
        <v>4.757388029200274E-2</v>
      </c>
      <c r="G238" s="154">
        <f t="shared" si="311"/>
        <v>4.8131168814792999E-2</v>
      </c>
      <c r="H238" s="154">
        <f t="shared" si="311"/>
        <v>5.2823741041525867E-2</v>
      </c>
      <c r="I238" s="154">
        <f t="shared" si="311"/>
        <v>5.4116953086243598E-2</v>
      </c>
      <c r="J238" s="154">
        <f t="shared" si="311"/>
        <v>5.509713649995273E-2</v>
      </c>
      <c r="K238" s="154">
        <f t="shared" si="311"/>
        <v>6.2987777956017371E-2</v>
      </c>
      <c r="L238" s="154">
        <f t="shared" ref="L238" si="312">IF(L20=0,0,L20/L$19)</f>
        <v>6.3314553721497732E-2</v>
      </c>
      <c r="M238" s="154">
        <f t="shared" ref="M238:V238" si="313">IF(M20=0,0,M20/M$19)</f>
        <v>7.1129948927103795E-2</v>
      </c>
      <c r="N238" s="154">
        <f t="shared" si="313"/>
        <v>7.735777190973922E-2</v>
      </c>
      <c r="O238" s="154">
        <f t="shared" si="313"/>
        <v>8.4043144467853687E-2</v>
      </c>
      <c r="P238" s="154">
        <f t="shared" si="313"/>
        <v>8.7113965276633398E-2</v>
      </c>
      <c r="Q238" s="154">
        <f t="shared" si="313"/>
        <v>8.476453700765435E-2</v>
      </c>
      <c r="R238" s="154">
        <f t="shared" si="313"/>
        <v>7.8284571480986123E-2</v>
      </c>
      <c r="S238" s="154">
        <f t="shared" si="313"/>
        <v>7.6177255945601444E-2</v>
      </c>
      <c r="T238" s="154">
        <f t="shared" si="313"/>
        <v>7.9137128312461641E-2</v>
      </c>
      <c r="U238" s="154">
        <f t="shared" si="313"/>
        <v>7.9954695466404435E-2</v>
      </c>
      <c r="V238" s="154">
        <f t="shared" si="313"/>
        <v>7.8241540851715127E-2</v>
      </c>
      <c r="W238" s="154">
        <f t="shared" ref="W238:Y238" si="314">IF(W20=0,0,W20/W$19)</f>
        <v>8.0131866974594387E-2</v>
      </c>
      <c r="X238" s="154">
        <f t="shared" si="314"/>
        <v>7.7603139952910377E-2</v>
      </c>
      <c r="Y238" s="154">
        <f t="shared" si="314"/>
        <v>8.5324447686486074E-2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3.8085515827430793E-3</v>
      </c>
      <c r="C239" s="103">
        <f t="shared" si="315"/>
        <v>3.7163188406893199E-3</v>
      </c>
      <c r="D239" s="103">
        <f t="shared" si="315"/>
        <v>3.3354930865744713E-3</v>
      </c>
      <c r="E239" s="103">
        <f t="shared" si="315"/>
        <v>3.2089191500357752E-3</v>
      </c>
      <c r="F239" s="103">
        <f t="shared" si="315"/>
        <v>2.9480180064038347E-3</v>
      </c>
      <c r="G239" s="103">
        <f t="shared" si="315"/>
        <v>2.7877988460763177E-3</v>
      </c>
      <c r="H239" s="103">
        <f t="shared" si="315"/>
        <v>2.792748300495437E-3</v>
      </c>
      <c r="I239" s="103">
        <f t="shared" si="315"/>
        <v>2.5948780916468998E-3</v>
      </c>
      <c r="J239" s="103">
        <f t="shared" si="315"/>
        <v>2.460681830857099E-3</v>
      </c>
      <c r="K239" s="103">
        <f t="shared" si="315"/>
        <v>2.6686738528549133E-3</v>
      </c>
      <c r="L239" s="103">
        <f t="shared" ref="L239" si="316">IF(L21=0,0,L21/L$19)</f>
        <v>2.5482334729447619E-3</v>
      </c>
      <c r="M239" s="103">
        <f t="shared" ref="M239:V239" si="317">IF(M21=0,0,M21/M$19)</f>
        <v>2.7021306496170573E-3</v>
      </c>
      <c r="N239" s="103">
        <f t="shared" si="317"/>
        <v>2.81328419849759E-3</v>
      </c>
      <c r="O239" s="103">
        <f t="shared" si="317"/>
        <v>2.8521893607022964E-3</v>
      </c>
      <c r="P239" s="103">
        <f t="shared" si="317"/>
        <v>2.83893904177503E-3</v>
      </c>
      <c r="Q239" s="103">
        <f t="shared" si="317"/>
        <v>2.6497960759209738E-3</v>
      </c>
      <c r="R239" s="103">
        <f t="shared" si="317"/>
        <v>2.3472645248087988E-3</v>
      </c>
      <c r="S239" s="103">
        <f t="shared" si="317"/>
        <v>2.1867954395452661E-3</v>
      </c>
      <c r="T239" s="103">
        <f t="shared" si="317"/>
        <v>2.1838775274670729E-3</v>
      </c>
      <c r="U239" s="103">
        <f t="shared" si="317"/>
        <v>2.1335200901844566E-3</v>
      </c>
      <c r="V239" s="103">
        <f t="shared" si="317"/>
        <v>2.0225115637470402E-3</v>
      </c>
      <c r="W239" s="103">
        <f t="shared" ref="W239:Y239" si="318">IF(W21=0,0,W21/W$19)</f>
        <v>2.0583952537279577E-3</v>
      </c>
      <c r="X239" s="103">
        <f t="shared" si="318"/>
        <v>1.961261881896124E-3</v>
      </c>
      <c r="Y239" s="103">
        <f t="shared" si="318"/>
        <v>2.1224175921814863E-3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3.7795974515458866E-2</v>
      </c>
      <c r="C240" s="103">
        <f t="shared" si="319"/>
        <v>4.0394988395258756E-2</v>
      </c>
      <c r="D240" s="103">
        <f t="shared" si="319"/>
        <v>3.9379944246174664E-2</v>
      </c>
      <c r="E240" s="103">
        <f t="shared" si="319"/>
        <v>4.1819498608825834E-2</v>
      </c>
      <c r="F240" s="103">
        <f t="shared" si="319"/>
        <v>4.4616177827928656E-2</v>
      </c>
      <c r="G240" s="103">
        <f t="shared" si="319"/>
        <v>4.5334438138650152E-2</v>
      </c>
      <c r="H240" s="103">
        <f t="shared" si="319"/>
        <v>5.0021711312070553E-2</v>
      </c>
      <c r="I240" s="103">
        <f t="shared" si="319"/>
        <v>5.1512461082389584E-2</v>
      </c>
      <c r="J240" s="103">
        <f t="shared" si="319"/>
        <v>5.2625885321850849E-2</v>
      </c>
      <c r="K240" s="103">
        <f t="shared" si="319"/>
        <v>6.0304995143940957E-2</v>
      </c>
      <c r="L240" s="103">
        <f t="shared" ref="L240" si="320">IF(L22=0,0,L22/L$19)</f>
        <v>6.0750297967856026E-2</v>
      </c>
      <c r="M240" s="103">
        <f t="shared" ref="M240:V240" si="321">IF(M22=0,0,M22/M$19)</f>
        <v>6.8407504573454514E-2</v>
      </c>
      <c r="N240" s="103">
        <f t="shared" si="321"/>
        <v>7.4519290753956371E-2</v>
      </c>
      <c r="O240" s="103">
        <f t="shared" si="321"/>
        <v>8.1157833420283224E-2</v>
      </c>
      <c r="P240" s="103">
        <f t="shared" si="321"/>
        <v>8.4236254414764539E-2</v>
      </c>
      <c r="Q240" s="103">
        <f t="shared" si="321"/>
        <v>8.2070854603106064E-2</v>
      </c>
      <c r="R240" s="103">
        <f t="shared" si="321"/>
        <v>7.588819609734232E-2</v>
      </c>
      <c r="S240" s="103">
        <f t="shared" si="321"/>
        <v>7.3928752693172672E-2</v>
      </c>
      <c r="T240" s="103">
        <f t="shared" si="321"/>
        <v>7.6871193610453914E-2</v>
      </c>
      <c r="U240" s="103">
        <f t="shared" si="321"/>
        <v>7.7717547593864761E-2</v>
      </c>
      <c r="V240" s="103">
        <f t="shared" si="321"/>
        <v>7.610176768066601E-2</v>
      </c>
      <c r="W240" s="103">
        <f t="shared" ref="W240:Y240" si="322">IF(W22=0,0,W22/W$19)</f>
        <v>7.7923136766542528E-2</v>
      </c>
      <c r="X240" s="103">
        <f t="shared" si="322"/>
        <v>7.5465339848201918E-2</v>
      </c>
      <c r="Y240" s="103">
        <f t="shared" si="322"/>
        <v>8.288442365742596E-2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0</v>
      </c>
      <c r="C241" s="103">
        <f t="shared" si="323"/>
        <v>0</v>
      </c>
      <c r="D241" s="103">
        <f t="shared" si="323"/>
        <v>0</v>
      </c>
      <c r="E241" s="103">
        <f t="shared" si="323"/>
        <v>0</v>
      </c>
      <c r="F241" s="103">
        <f t="shared" si="323"/>
        <v>0</v>
      </c>
      <c r="G241" s="103">
        <f t="shared" si="323"/>
        <v>0</v>
      </c>
      <c r="H241" s="103">
        <f t="shared" si="323"/>
        <v>0</v>
      </c>
      <c r="I241" s="103">
        <f t="shared" si="323"/>
        <v>0</v>
      </c>
      <c r="J241" s="103">
        <f t="shared" si="323"/>
        <v>0</v>
      </c>
      <c r="K241" s="103">
        <f t="shared" si="323"/>
        <v>0</v>
      </c>
      <c r="L241" s="103">
        <f t="shared" ref="L241" si="324">IF(L23=0,0,L23/L$19)</f>
        <v>0</v>
      </c>
      <c r="M241" s="103">
        <f t="shared" ref="M241:V241" si="325">IF(M23=0,0,M23/M$19)</f>
        <v>0</v>
      </c>
      <c r="N241" s="103">
        <f t="shared" si="325"/>
        <v>0</v>
      </c>
      <c r="O241" s="103">
        <f t="shared" si="325"/>
        <v>0</v>
      </c>
      <c r="P241" s="103">
        <f t="shared" si="325"/>
        <v>0</v>
      </c>
      <c r="Q241" s="103">
        <f t="shared" si="325"/>
        <v>0</v>
      </c>
      <c r="R241" s="103">
        <f t="shared" si="325"/>
        <v>0</v>
      </c>
      <c r="S241" s="103">
        <f t="shared" si="325"/>
        <v>0</v>
      </c>
      <c r="T241" s="103">
        <f t="shared" si="325"/>
        <v>0</v>
      </c>
      <c r="U241" s="103">
        <f t="shared" si="325"/>
        <v>0</v>
      </c>
      <c r="V241" s="103">
        <f t="shared" si="325"/>
        <v>0</v>
      </c>
      <c r="W241" s="103">
        <f t="shared" ref="W241:Y241" si="326">IF(W23=0,0,W23/W$19)</f>
        <v>0</v>
      </c>
      <c r="X241" s="103">
        <f t="shared" si="326"/>
        <v>0</v>
      </c>
      <c r="Y241" s="103">
        <f t="shared" si="326"/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4.077409617930092E-7</v>
      </c>
      <c r="D242" s="103">
        <f t="shared" si="327"/>
        <v>3.8626380881136822E-7</v>
      </c>
      <c r="E242" s="103">
        <f t="shared" si="327"/>
        <v>3.9667090876397541E-7</v>
      </c>
      <c r="F242" s="103">
        <f t="shared" si="327"/>
        <v>3.6696825059972232E-7</v>
      </c>
      <c r="G242" s="103">
        <f t="shared" si="327"/>
        <v>4.989347032497321E-7</v>
      </c>
      <c r="H242" s="103">
        <f t="shared" si="327"/>
        <v>5.0945870754654926E-7</v>
      </c>
      <c r="I242" s="103">
        <f t="shared" si="327"/>
        <v>1.3550055871437927E-6</v>
      </c>
      <c r="J242" s="103">
        <f t="shared" si="327"/>
        <v>2.3622738344728349E-6</v>
      </c>
      <c r="K242" s="103">
        <f t="shared" si="327"/>
        <v>4.5417611612990411E-6</v>
      </c>
      <c r="L242" s="103">
        <f t="shared" ref="L242" si="328">IF(L24=0,0,L24/L$19)</f>
        <v>6.1679515140415429E-6</v>
      </c>
      <c r="M242" s="103">
        <f t="shared" ref="M242:V242" si="329">IF(M24=0,0,M24/M$19)</f>
        <v>9.6619185873638764E-6</v>
      </c>
      <c r="N242" s="103">
        <f t="shared" si="329"/>
        <v>1.2614797479531045E-5</v>
      </c>
      <c r="O242" s="103">
        <f t="shared" si="329"/>
        <v>1.9578477740394138E-5</v>
      </c>
      <c r="P242" s="103">
        <f t="shared" si="329"/>
        <v>2.2797309929147337E-5</v>
      </c>
      <c r="Q242" s="103">
        <f t="shared" si="329"/>
        <v>2.4767930174242676E-5</v>
      </c>
      <c r="R242" s="103">
        <f t="shared" si="329"/>
        <v>2.6445673449060632E-5</v>
      </c>
      <c r="S242" s="103">
        <f t="shared" si="329"/>
        <v>3.6987522771771737E-5</v>
      </c>
      <c r="T242" s="103">
        <f t="shared" si="329"/>
        <v>5.3354040166202583E-5</v>
      </c>
      <c r="U242" s="103">
        <f t="shared" si="329"/>
        <v>7.0488095626389843E-5</v>
      </c>
      <c r="V242" s="103">
        <f t="shared" si="329"/>
        <v>8.2393879102723433E-5</v>
      </c>
      <c r="W242" s="103">
        <f t="shared" ref="W242:Y242" si="330">IF(W24=0,0,W24/W$19)</f>
        <v>8.6936650204253796E-5</v>
      </c>
      <c r="X242" s="103">
        <f t="shared" si="330"/>
        <v>7.7673930789517198E-5</v>
      </c>
      <c r="Y242" s="103">
        <f t="shared" si="330"/>
        <v>8.3907169831796922E-5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1.2476278956991552E-5</v>
      </c>
      <c r="C243" s="103">
        <f t="shared" si="331"/>
        <v>1.2569321747895834E-5</v>
      </c>
      <c r="D243" s="103">
        <f t="shared" si="331"/>
        <v>1.0636633179465185E-5</v>
      </c>
      <c r="E243" s="103">
        <f t="shared" si="331"/>
        <v>1.0254287166289932E-5</v>
      </c>
      <c r="F243" s="103">
        <f t="shared" si="331"/>
        <v>9.3174894196478557E-6</v>
      </c>
      <c r="G243" s="103">
        <f t="shared" si="331"/>
        <v>8.4328953632823902E-6</v>
      </c>
      <c r="H243" s="103">
        <f t="shared" si="331"/>
        <v>8.7719702523256699E-6</v>
      </c>
      <c r="I243" s="103">
        <f t="shared" si="331"/>
        <v>8.2589066199712675E-6</v>
      </c>
      <c r="J243" s="103">
        <f t="shared" si="331"/>
        <v>8.2070734103156947E-6</v>
      </c>
      <c r="K243" s="103">
        <f t="shared" si="331"/>
        <v>9.5671980602099462E-6</v>
      </c>
      <c r="L243" s="103">
        <f t="shared" ref="L243" si="332">IF(L25=0,0,L25/L$19)</f>
        <v>9.8543291829033234E-6</v>
      </c>
      <c r="M243" s="103">
        <f t="shared" ref="M243:V243" si="333">IF(M25=0,0,M25/M$19)</f>
        <v>1.0651785444855217E-5</v>
      </c>
      <c r="N243" s="103">
        <f t="shared" si="333"/>
        <v>1.2582159805732897E-5</v>
      </c>
      <c r="O243" s="103">
        <f t="shared" si="333"/>
        <v>1.3543209127775031E-5</v>
      </c>
      <c r="P243" s="103">
        <f t="shared" si="333"/>
        <v>1.5974510164695834E-5</v>
      </c>
      <c r="Q243" s="103">
        <f t="shared" si="333"/>
        <v>1.9118398453082715E-5</v>
      </c>
      <c r="R243" s="103">
        <f t="shared" si="333"/>
        <v>2.2665185385940656E-5</v>
      </c>
      <c r="S243" s="103">
        <f t="shared" si="333"/>
        <v>2.4720290111734132E-5</v>
      </c>
      <c r="T243" s="103">
        <f t="shared" si="333"/>
        <v>2.8703134374447854E-5</v>
      </c>
      <c r="U243" s="103">
        <f t="shared" si="333"/>
        <v>3.3139686728837759E-5</v>
      </c>
      <c r="V243" s="103">
        <f t="shared" si="333"/>
        <v>3.4867728199376358E-5</v>
      </c>
      <c r="W243" s="103">
        <f t="shared" ref="W243:Y243" si="334">IF(W25=0,0,W25/W$19)</f>
        <v>6.3398304119650854E-5</v>
      </c>
      <c r="X243" s="103">
        <f t="shared" si="334"/>
        <v>9.886429202281803E-5</v>
      </c>
      <c r="Y243" s="103">
        <f t="shared" si="334"/>
        <v>2.3369926704685029E-4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0.95838299762284107</v>
      </c>
      <c r="C244" s="156">
        <f t="shared" si="335"/>
        <v>0.95587571570134222</v>
      </c>
      <c r="D244" s="156">
        <f t="shared" si="335"/>
        <v>0.95727353977026264</v>
      </c>
      <c r="E244" s="156">
        <f t="shared" si="335"/>
        <v>0.95496093128306336</v>
      </c>
      <c r="F244" s="156">
        <f t="shared" si="335"/>
        <v>0.95242611970799729</v>
      </c>
      <c r="G244" s="156">
        <f t="shared" si="335"/>
        <v>0.95186883118520704</v>
      </c>
      <c r="H244" s="156">
        <f t="shared" si="335"/>
        <v>0.94717625895847413</v>
      </c>
      <c r="I244" s="156">
        <f t="shared" si="335"/>
        <v>0.94588304691375646</v>
      </c>
      <c r="J244" s="156">
        <f t="shared" si="335"/>
        <v>0.94490286350004726</v>
      </c>
      <c r="K244" s="156">
        <f t="shared" si="335"/>
        <v>0.9370122220439826</v>
      </c>
      <c r="L244" s="156">
        <f t="shared" ref="L244" si="336">IF(L26=0,0,L26/L$19)</f>
        <v>0.93668544627850225</v>
      </c>
      <c r="M244" s="156">
        <f t="shared" ref="M244:V244" si="337">IF(M26=0,0,M26/M$19)</f>
        <v>0.92887005107289611</v>
      </c>
      <c r="N244" s="156">
        <f t="shared" si="337"/>
        <v>0.92264222809026086</v>
      </c>
      <c r="O244" s="156">
        <f t="shared" si="337"/>
        <v>0.91595685553214634</v>
      </c>
      <c r="P244" s="156">
        <f t="shared" si="337"/>
        <v>0.9128860347233666</v>
      </c>
      <c r="Q244" s="156">
        <f t="shared" si="337"/>
        <v>0.91523546299234571</v>
      </c>
      <c r="R244" s="156">
        <f t="shared" si="337"/>
        <v>0.92171542851901389</v>
      </c>
      <c r="S244" s="156">
        <f t="shared" si="337"/>
        <v>0.92382274405439846</v>
      </c>
      <c r="T244" s="156">
        <f t="shared" si="337"/>
        <v>0.92086287168753844</v>
      </c>
      <c r="U244" s="156">
        <f t="shared" si="337"/>
        <v>0.92004530453359556</v>
      </c>
      <c r="V244" s="156">
        <f t="shared" si="337"/>
        <v>0.9217584591482848</v>
      </c>
      <c r="W244" s="156">
        <f t="shared" ref="W244:Y244" si="338">IF(W26=0,0,W26/W$19)</f>
        <v>0.9198681330254056</v>
      </c>
      <c r="X244" s="156">
        <f t="shared" si="338"/>
        <v>0.92239686004708965</v>
      </c>
      <c r="Y244" s="156">
        <f t="shared" si="338"/>
        <v>0.91467555231351383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0.93406999516818479</v>
      </c>
      <c r="C245" s="103">
        <f t="shared" si="339"/>
        <v>0.92898496826070875</v>
      </c>
      <c r="D245" s="103">
        <f t="shared" si="339"/>
        <v>0.93018098032386798</v>
      </c>
      <c r="E245" s="103">
        <f t="shared" si="339"/>
        <v>0.92635589047199318</v>
      </c>
      <c r="F245" s="103">
        <f t="shared" si="339"/>
        <v>0.92000632906277646</v>
      </c>
      <c r="G245" s="103">
        <f t="shared" si="339"/>
        <v>0.91902755281085202</v>
      </c>
      <c r="H245" s="103">
        <f t="shared" si="339"/>
        <v>0.90937095204794427</v>
      </c>
      <c r="I245" s="103">
        <f t="shared" si="339"/>
        <v>0.90790717634156448</v>
      </c>
      <c r="J245" s="103">
        <f t="shared" si="339"/>
        <v>0.90872748384124225</v>
      </c>
      <c r="K245" s="103">
        <f t="shared" si="339"/>
        <v>0.90000445030269116</v>
      </c>
      <c r="L245" s="103">
        <f t="shared" ref="L245" si="340">IF(L27=0,0,L27/L$19)</f>
        <v>0.88955676171771214</v>
      </c>
      <c r="M245" s="103">
        <f t="shared" ref="M245:V245" si="341">IF(M27=0,0,M27/M$19)</f>
        <v>0.89626889324136838</v>
      </c>
      <c r="N245" s="103">
        <f t="shared" si="341"/>
        <v>0.87986596650699234</v>
      </c>
      <c r="O245" s="103">
        <f t="shared" si="341"/>
        <v>0.87724316674246239</v>
      </c>
      <c r="P245" s="103">
        <f t="shared" si="341"/>
        <v>0.8624244912504323</v>
      </c>
      <c r="Q245" s="103">
        <f t="shared" si="341"/>
        <v>0.86128538774701757</v>
      </c>
      <c r="R245" s="103">
        <f t="shared" si="341"/>
        <v>0.88130659053787452</v>
      </c>
      <c r="S245" s="103">
        <f t="shared" si="341"/>
        <v>0.8856823146102526</v>
      </c>
      <c r="T245" s="103">
        <f t="shared" si="341"/>
        <v>0.87741446939115686</v>
      </c>
      <c r="U245" s="103">
        <f t="shared" si="341"/>
        <v>0.8845774288890963</v>
      </c>
      <c r="V245" s="103">
        <f t="shared" si="341"/>
        <v>0.88736211004040888</v>
      </c>
      <c r="W245" s="103">
        <f t="shared" ref="W245:Y245" si="342">IF(W27=0,0,W27/W$19)</f>
        <v>0.876354646491594</v>
      </c>
      <c r="X245" s="103">
        <f t="shared" si="342"/>
        <v>0.88178111880510979</v>
      </c>
      <c r="Y245" s="103">
        <f t="shared" si="342"/>
        <v>0.87336932696736902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2.4313002454656223E-2</v>
      </c>
      <c r="C246" s="105">
        <f t="shared" si="343"/>
        <v>2.6890747440633456E-2</v>
      </c>
      <c r="D246" s="105">
        <f t="shared" si="343"/>
        <v>2.7092559446394625E-2</v>
      </c>
      <c r="E246" s="105">
        <f t="shared" si="343"/>
        <v>2.8605040811070157E-2</v>
      </c>
      <c r="F246" s="105">
        <f t="shared" si="343"/>
        <v>3.2419790645220818E-2</v>
      </c>
      <c r="G246" s="105">
        <f t="shared" si="343"/>
        <v>3.2841278374355042E-2</v>
      </c>
      <c r="H246" s="105">
        <f t="shared" si="343"/>
        <v>3.7805306910529919E-2</v>
      </c>
      <c r="I246" s="105">
        <f t="shared" si="343"/>
        <v>3.7975870572191935E-2</v>
      </c>
      <c r="J246" s="105">
        <f t="shared" si="343"/>
        <v>3.6175379658804976E-2</v>
      </c>
      <c r="K246" s="105">
        <f t="shared" si="343"/>
        <v>3.7007771741291454E-2</v>
      </c>
      <c r="L246" s="105">
        <f t="shared" ref="L246" si="344">IF(L28=0,0,L28/L$19)</f>
        <v>4.7128684560790127E-2</v>
      </c>
      <c r="M246" s="105">
        <f t="shared" ref="M246:V246" si="345">IF(M28=0,0,M28/M$19)</f>
        <v>3.2601157831527817E-2</v>
      </c>
      <c r="N246" s="105">
        <f t="shared" si="345"/>
        <v>4.2776261583268464E-2</v>
      </c>
      <c r="O246" s="105">
        <f t="shared" si="345"/>
        <v>3.8713688789683995E-2</v>
      </c>
      <c r="P246" s="105">
        <f t="shared" si="345"/>
        <v>5.046154347293428E-2</v>
      </c>
      <c r="Q246" s="105">
        <f t="shared" si="345"/>
        <v>5.3950075245328057E-2</v>
      </c>
      <c r="R246" s="105">
        <f t="shared" si="345"/>
        <v>4.040883798113936E-2</v>
      </c>
      <c r="S246" s="105">
        <f t="shared" si="345"/>
        <v>3.8140429444145932E-2</v>
      </c>
      <c r="T246" s="105">
        <f t="shared" si="345"/>
        <v>4.3448402296381507E-2</v>
      </c>
      <c r="U246" s="105">
        <f t="shared" si="345"/>
        <v>3.5467875644499346E-2</v>
      </c>
      <c r="V246" s="105">
        <f t="shared" si="345"/>
        <v>3.4396349107876013E-2</v>
      </c>
      <c r="W246" s="105">
        <f t="shared" ref="W246:Y246" si="346">IF(W28=0,0,W28/W$19)</f>
        <v>4.3513486533811603E-2</v>
      </c>
      <c r="X246" s="105">
        <f t="shared" si="346"/>
        <v>4.0615741241979884E-2</v>
      </c>
      <c r="Y246" s="105">
        <f t="shared" si="346"/>
        <v>4.1306225346144837E-2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2.4834473746486285E-2</v>
      </c>
      <c r="C250" s="154">
        <f t="shared" si="351"/>
        <v>2.4221492463708721E-2</v>
      </c>
      <c r="D250" s="154">
        <f t="shared" si="351"/>
        <v>2.3540929973979934E-2</v>
      </c>
      <c r="E250" s="154">
        <f t="shared" si="351"/>
        <v>2.2973375033804529E-2</v>
      </c>
      <c r="F250" s="154">
        <f t="shared" si="351"/>
        <v>2.2382095242252716E-2</v>
      </c>
      <c r="G250" s="154">
        <f t="shared" si="351"/>
        <v>2.1957709502602306E-2</v>
      </c>
      <c r="H250" s="154">
        <f t="shared" si="351"/>
        <v>2.1738650991514469E-2</v>
      </c>
      <c r="I250" s="154">
        <f t="shared" si="351"/>
        <v>2.1247161296755246E-2</v>
      </c>
      <c r="J250" s="154">
        <f t="shared" si="351"/>
        <v>2.1392498595187187E-2</v>
      </c>
      <c r="K250" s="154">
        <f t="shared" si="351"/>
        <v>2.1035538524381534E-2</v>
      </c>
      <c r="L250" s="154">
        <f t="shared" ref="L250" si="352">IF(L32=0,0,L32/L$31)</f>
        <v>2.7590489417284588E-2</v>
      </c>
      <c r="M250" s="154">
        <f t="shared" ref="M250:V250" si="353">IF(M32=0,0,M32/M$31)</f>
        <v>2.7198245511043034E-2</v>
      </c>
      <c r="N250" s="154">
        <f t="shared" si="353"/>
        <v>2.7239585216188484E-2</v>
      </c>
      <c r="O250" s="154">
        <f t="shared" si="353"/>
        <v>2.7286428175146718E-2</v>
      </c>
      <c r="P250" s="154">
        <f t="shared" si="353"/>
        <v>2.7089909975256905E-2</v>
      </c>
      <c r="Q250" s="154">
        <f t="shared" si="353"/>
        <v>2.672057333003975E-2</v>
      </c>
      <c r="R250" s="154">
        <f t="shared" si="353"/>
        <v>2.8803897184134803E-2</v>
      </c>
      <c r="S250" s="154">
        <f t="shared" si="353"/>
        <v>2.573328666254265E-2</v>
      </c>
      <c r="T250" s="154">
        <f t="shared" si="353"/>
        <v>2.4497656890333657E-2</v>
      </c>
      <c r="U250" s="154">
        <f t="shared" si="353"/>
        <v>2.5965828155301917E-2</v>
      </c>
      <c r="V250" s="154">
        <f t="shared" si="353"/>
        <v>2.4250228535814385E-2</v>
      </c>
      <c r="W250" s="154">
        <f t="shared" ref="W250:Y250" si="354">IF(W32=0,0,W32/W$31)</f>
        <v>2.5400588081202366E-2</v>
      </c>
      <c r="X250" s="154">
        <f t="shared" si="354"/>
        <v>2.5849248442216203E-2</v>
      </c>
      <c r="Y250" s="154">
        <f t="shared" si="354"/>
        <v>2.7560431693097208E-2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0.96472675398757046</v>
      </c>
      <c r="C251" s="156">
        <f t="shared" si="355"/>
        <v>0.9657356530024449</v>
      </c>
      <c r="D251" s="156">
        <f t="shared" si="355"/>
        <v>0.96649773052743426</v>
      </c>
      <c r="E251" s="156">
        <f t="shared" si="355"/>
        <v>0.96699898142229068</v>
      </c>
      <c r="F251" s="156">
        <f t="shared" si="355"/>
        <v>0.96754385015447986</v>
      </c>
      <c r="G251" s="156">
        <f t="shared" si="355"/>
        <v>0.96800386750823542</v>
      </c>
      <c r="H251" s="156">
        <f t="shared" si="355"/>
        <v>0.96811842313726482</v>
      </c>
      <c r="I251" s="156">
        <f t="shared" si="355"/>
        <v>0.9685766340546873</v>
      </c>
      <c r="J251" s="156">
        <f t="shared" si="355"/>
        <v>0.96773781745121734</v>
      </c>
      <c r="K251" s="156">
        <f t="shared" si="355"/>
        <v>0.96765441415366948</v>
      </c>
      <c r="L251" s="156">
        <f t="shared" ref="L251" si="356">IF(L33=0,0,L33/L$31)</f>
        <v>0.96075121492700688</v>
      </c>
      <c r="M251" s="156">
        <f t="shared" ref="M251:V251" si="357">IF(M33=0,0,M33/M$31)</f>
        <v>0.96084532791109689</v>
      </c>
      <c r="N251" s="156">
        <f t="shared" si="357"/>
        <v>0.96020412855643544</v>
      </c>
      <c r="O251" s="156">
        <f t="shared" si="357"/>
        <v>0.95966155561953692</v>
      </c>
      <c r="P251" s="156">
        <f t="shared" si="357"/>
        <v>0.95939388907512468</v>
      </c>
      <c r="Q251" s="156">
        <f t="shared" si="357"/>
        <v>0.95948922103984957</v>
      </c>
      <c r="R251" s="156">
        <f t="shared" si="357"/>
        <v>0.95583810859224161</v>
      </c>
      <c r="S251" s="156">
        <f t="shared" si="357"/>
        <v>0.95938483889747583</v>
      </c>
      <c r="T251" s="156">
        <f t="shared" si="357"/>
        <v>0.96101094567742662</v>
      </c>
      <c r="U251" s="156">
        <f t="shared" si="357"/>
        <v>0.95986648779429362</v>
      </c>
      <c r="V251" s="156">
        <f t="shared" si="357"/>
        <v>0.96289322837417379</v>
      </c>
      <c r="W251" s="156">
        <f t="shared" ref="W251:Y251" si="358">IF(W33=0,0,W33/W$31)</f>
        <v>0.96314727262193367</v>
      </c>
      <c r="X251" s="156">
        <f t="shared" si="358"/>
        <v>0.96108095197639309</v>
      </c>
      <c r="Y251" s="156">
        <f t="shared" si="358"/>
        <v>0.95855502592781772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0.80454153436246378</v>
      </c>
      <c r="C252" s="103">
        <f t="shared" si="359"/>
        <v>0.79961241815809214</v>
      </c>
      <c r="D252" s="103">
        <f t="shared" si="359"/>
        <v>0.79473792275350963</v>
      </c>
      <c r="E252" s="103">
        <f t="shared" si="359"/>
        <v>0.78706000679684462</v>
      </c>
      <c r="F252" s="103">
        <f t="shared" si="359"/>
        <v>0.78691382752627215</v>
      </c>
      <c r="G252" s="103">
        <f t="shared" si="359"/>
        <v>0.77612131784554639</v>
      </c>
      <c r="H252" s="103">
        <f t="shared" si="359"/>
        <v>0.76226321593635105</v>
      </c>
      <c r="I252" s="103">
        <f t="shared" si="359"/>
        <v>0.74554360861080304</v>
      </c>
      <c r="J252" s="103">
        <f t="shared" si="359"/>
        <v>0.70830626625269155</v>
      </c>
      <c r="K252" s="103">
        <f t="shared" si="359"/>
        <v>0.68865794034628258</v>
      </c>
      <c r="L252" s="103">
        <f t="shared" ref="L252" si="360">IF(L34=0,0,L34/L$31)</f>
        <v>0.65905937032204864</v>
      </c>
      <c r="M252" s="103">
        <f t="shared" ref="M252:V252" si="361">IF(M34=0,0,M34/M$31)</f>
        <v>0.62402485136533814</v>
      </c>
      <c r="N252" s="103">
        <f t="shared" si="361"/>
        <v>0.60546701978546791</v>
      </c>
      <c r="O252" s="103">
        <f t="shared" si="361"/>
        <v>0.60202276890141415</v>
      </c>
      <c r="P252" s="103">
        <f t="shared" si="361"/>
        <v>0.5883145848719683</v>
      </c>
      <c r="Q252" s="103">
        <f t="shared" si="361"/>
        <v>0.57696998574983338</v>
      </c>
      <c r="R252" s="103">
        <f t="shared" si="361"/>
        <v>0.56729388824151139</v>
      </c>
      <c r="S252" s="103">
        <f t="shared" si="361"/>
        <v>0.55538010638544444</v>
      </c>
      <c r="T252" s="103">
        <f t="shared" si="361"/>
        <v>0.54853736358827732</v>
      </c>
      <c r="U252" s="103">
        <f t="shared" si="361"/>
        <v>0.54415810550768928</v>
      </c>
      <c r="V252" s="103">
        <f t="shared" si="361"/>
        <v>0.54537365945406724</v>
      </c>
      <c r="W252" s="103">
        <f t="shared" ref="W252:Y252" si="362">IF(W34=0,0,W34/W$31)</f>
        <v>0.53924686069429206</v>
      </c>
      <c r="X252" s="103">
        <f t="shared" si="362"/>
        <v>0.53288849784977632</v>
      </c>
      <c r="Y252" s="103">
        <f t="shared" si="362"/>
        <v>0.52931863184374428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0.1601852196251066</v>
      </c>
      <c r="C253" s="103">
        <f t="shared" si="363"/>
        <v>0.16612323484435282</v>
      </c>
      <c r="D253" s="103">
        <f t="shared" si="363"/>
        <v>0.17175980777392466</v>
      </c>
      <c r="E253" s="103">
        <f t="shared" si="363"/>
        <v>0.17993897462544617</v>
      </c>
      <c r="F253" s="103">
        <f t="shared" si="363"/>
        <v>0.18063002262820765</v>
      </c>
      <c r="G253" s="103">
        <f t="shared" si="363"/>
        <v>0.19188254966268894</v>
      </c>
      <c r="H253" s="103">
        <f t="shared" si="363"/>
        <v>0.20585419657700854</v>
      </c>
      <c r="I253" s="103">
        <f t="shared" si="363"/>
        <v>0.22299730733882828</v>
      </c>
      <c r="J253" s="103">
        <f t="shared" si="363"/>
        <v>0.25936183791060696</v>
      </c>
      <c r="K253" s="103">
        <f t="shared" si="363"/>
        <v>0.27887753456058811</v>
      </c>
      <c r="L253" s="103">
        <f t="shared" ref="L253" si="364">IF(L35=0,0,L35/L$31)</f>
        <v>0.30153706197714664</v>
      </c>
      <c r="M253" s="103">
        <f t="shared" ref="M253:V253" si="365">IF(M35=0,0,M35/M$31)</f>
        <v>0.33661799209606386</v>
      </c>
      <c r="N253" s="103">
        <f t="shared" si="365"/>
        <v>0.35442604516384824</v>
      </c>
      <c r="O253" s="103">
        <f t="shared" si="365"/>
        <v>0.3572163888123262</v>
      </c>
      <c r="P253" s="103">
        <f t="shared" si="365"/>
        <v>0.3704668850157341</v>
      </c>
      <c r="Q253" s="103">
        <f t="shared" si="365"/>
        <v>0.38165536811005119</v>
      </c>
      <c r="R253" s="103">
        <f t="shared" si="365"/>
        <v>0.38724678249327987</v>
      </c>
      <c r="S253" s="103">
        <f t="shared" si="365"/>
        <v>0.40146544145748547</v>
      </c>
      <c r="T253" s="103">
        <f t="shared" si="365"/>
        <v>0.40750121060430183</v>
      </c>
      <c r="U253" s="103">
        <f t="shared" si="365"/>
        <v>0.40685687294278472</v>
      </c>
      <c r="V253" s="103">
        <f t="shared" si="365"/>
        <v>0.4025489664308361</v>
      </c>
      <c r="W253" s="103">
        <f t="shared" ref="W253:Y253" si="366">IF(W35=0,0,W35/W$31)</f>
        <v>0.39820319305120611</v>
      </c>
      <c r="X253" s="103">
        <f t="shared" si="366"/>
        <v>0.38832266673850052</v>
      </c>
      <c r="Y253" s="103">
        <f t="shared" si="366"/>
        <v>0.37930153073958961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0</v>
      </c>
      <c r="C254" s="103">
        <f t="shared" si="367"/>
        <v>0</v>
      </c>
      <c r="D254" s="103">
        <f t="shared" si="367"/>
        <v>0</v>
      </c>
      <c r="E254" s="103">
        <f t="shared" si="367"/>
        <v>0</v>
      </c>
      <c r="F254" s="103">
        <f t="shared" si="367"/>
        <v>0</v>
      </c>
      <c r="G254" s="103">
        <f t="shared" si="367"/>
        <v>0</v>
      </c>
      <c r="H254" s="103">
        <f t="shared" si="367"/>
        <v>0</v>
      </c>
      <c r="I254" s="103">
        <f t="shared" si="367"/>
        <v>0</v>
      </c>
      <c r="J254" s="103">
        <f t="shared" si="367"/>
        <v>0</v>
      </c>
      <c r="K254" s="103">
        <f t="shared" si="367"/>
        <v>0</v>
      </c>
      <c r="L254" s="103">
        <f t="shared" ref="L254" si="368">IF(L36=0,0,L36/L$31)</f>
        <v>0</v>
      </c>
      <c r="M254" s="103">
        <f t="shared" ref="M254:V254" si="369">IF(M36=0,0,M36/M$31)</f>
        <v>0</v>
      </c>
      <c r="N254" s="103">
        <f t="shared" si="369"/>
        <v>0</v>
      </c>
      <c r="O254" s="103">
        <f t="shared" si="369"/>
        <v>0</v>
      </c>
      <c r="P254" s="103">
        <f t="shared" si="369"/>
        <v>0</v>
      </c>
      <c r="Q254" s="103">
        <f t="shared" si="369"/>
        <v>0</v>
      </c>
      <c r="R254" s="103">
        <f t="shared" si="369"/>
        <v>0</v>
      </c>
      <c r="S254" s="103">
        <f t="shared" si="369"/>
        <v>0</v>
      </c>
      <c r="T254" s="103">
        <f t="shared" si="369"/>
        <v>0</v>
      </c>
      <c r="U254" s="103">
        <f t="shared" si="369"/>
        <v>0</v>
      </c>
      <c r="V254" s="103">
        <f t="shared" si="369"/>
        <v>0</v>
      </c>
      <c r="W254" s="103">
        <f t="shared" ref="W254:Y254" si="370">IF(W36=0,0,W36/W$31)</f>
        <v>0</v>
      </c>
      <c r="X254" s="103">
        <f t="shared" si="370"/>
        <v>0</v>
      </c>
      <c r="Y254" s="103">
        <f t="shared" si="370"/>
        <v>0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0</v>
      </c>
      <c r="E255" s="103">
        <f t="shared" si="371"/>
        <v>0</v>
      </c>
      <c r="F255" s="103">
        <f t="shared" si="371"/>
        <v>0</v>
      </c>
      <c r="G255" s="103">
        <f t="shared" si="371"/>
        <v>0</v>
      </c>
      <c r="H255" s="103">
        <f t="shared" si="371"/>
        <v>1.0106239050839512E-6</v>
      </c>
      <c r="I255" s="103">
        <f t="shared" si="371"/>
        <v>3.4767705142330622E-5</v>
      </c>
      <c r="J255" s="103">
        <f t="shared" si="371"/>
        <v>6.7418963896896013E-5</v>
      </c>
      <c r="K255" s="103">
        <f t="shared" si="371"/>
        <v>1.1472365579821447E-4</v>
      </c>
      <c r="L255" s="103">
        <f t="shared" ref="L255" si="372">IF(L37=0,0,L37/L$31)</f>
        <v>1.4732480774291723E-4</v>
      </c>
      <c r="M255" s="103">
        <f t="shared" ref="M255:V255" si="373">IF(M37=0,0,M37/M$31)</f>
        <v>1.8436263021106788E-4</v>
      </c>
      <c r="N255" s="103">
        <f t="shared" si="373"/>
        <v>2.4391142243893673E-4</v>
      </c>
      <c r="O255" s="103">
        <f t="shared" si="373"/>
        <v>2.9632667081638678E-4</v>
      </c>
      <c r="P255" s="103">
        <f t="shared" si="373"/>
        <v>3.5767843913565151E-4</v>
      </c>
      <c r="Q255" s="103">
        <f t="shared" si="373"/>
        <v>4.2258591458865048E-4</v>
      </c>
      <c r="R255" s="103">
        <f t="shared" si="373"/>
        <v>4.7743524999624502E-4</v>
      </c>
      <c r="S255" s="103">
        <f t="shared" si="373"/>
        <v>8.2616334011119657E-4</v>
      </c>
      <c r="T255" s="103">
        <f t="shared" si="373"/>
        <v>1.4257659350317058E-3</v>
      </c>
      <c r="U255" s="103">
        <f t="shared" si="373"/>
        <v>2.3054250291497302E-3</v>
      </c>
      <c r="V255" s="103">
        <f t="shared" si="373"/>
        <v>2.9167846967177373E-3</v>
      </c>
      <c r="W255" s="103">
        <f t="shared" ref="W255:Y255" si="374">IF(W37=0,0,W37/W$31)</f>
        <v>3.1203447103001734E-3</v>
      </c>
      <c r="X255" s="103">
        <f t="shared" si="374"/>
        <v>3.5742079961406025E-3</v>
      </c>
      <c r="Y255" s="103">
        <f t="shared" si="374"/>
        <v>3.565898019969582E-3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0</v>
      </c>
      <c r="N256" s="103">
        <f t="shared" si="377"/>
        <v>3.123089568651281E-5</v>
      </c>
      <c r="O256" s="103">
        <f t="shared" si="377"/>
        <v>6.9551485913165375E-5</v>
      </c>
      <c r="P256" s="103">
        <f t="shared" si="377"/>
        <v>1.3463021359404236E-4</v>
      </c>
      <c r="Q256" s="103">
        <f t="shared" si="377"/>
        <v>2.3769516326856404E-4</v>
      </c>
      <c r="R256" s="103">
        <f t="shared" si="377"/>
        <v>5.3084165219443734E-4</v>
      </c>
      <c r="S256" s="103">
        <f t="shared" si="377"/>
        <v>1.2448872179209045E-3</v>
      </c>
      <c r="T256" s="103">
        <f t="shared" si="377"/>
        <v>2.770968056066454E-3</v>
      </c>
      <c r="U256" s="103">
        <f t="shared" si="377"/>
        <v>5.0470919712965225E-3</v>
      </c>
      <c r="V256" s="103">
        <f t="shared" si="377"/>
        <v>8.9513793399984588E-3</v>
      </c>
      <c r="W256" s="103">
        <f t="shared" ref="W256:Y256" si="378">IF(W38=0,0,W38/W$31)</f>
        <v>1.4823411827162607E-2</v>
      </c>
      <c r="X256" s="103">
        <f t="shared" si="378"/>
        <v>2.0008458330992698E-2</v>
      </c>
      <c r="Y256" s="103">
        <f t="shared" si="378"/>
        <v>2.1364968375606169E-2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9.5039991369385185E-7</v>
      </c>
      <c r="J257" s="103">
        <f t="shared" si="379"/>
        <v>2.2943240219362306E-6</v>
      </c>
      <c r="K257" s="103">
        <f t="shared" si="379"/>
        <v>4.2155910003594946E-6</v>
      </c>
      <c r="L257" s="103">
        <f t="shared" ref="L257" si="380">IF(L39=0,0,L39/L$31)</f>
        <v>7.4578200687377779E-6</v>
      </c>
      <c r="M257" s="103">
        <f t="shared" ref="M257:V257" si="381">IF(M39=0,0,M39/M$31)</f>
        <v>1.812181948382845E-5</v>
      </c>
      <c r="N257" s="103">
        <f t="shared" si="381"/>
        <v>3.5921288993941744E-5</v>
      </c>
      <c r="O257" s="103">
        <f t="shared" si="381"/>
        <v>5.6519749067022438E-5</v>
      </c>
      <c r="P257" s="103">
        <f t="shared" si="381"/>
        <v>1.2011053469262127E-4</v>
      </c>
      <c r="Q257" s="103">
        <f t="shared" si="381"/>
        <v>2.0358610210776776E-4</v>
      </c>
      <c r="R257" s="103">
        <f t="shared" si="381"/>
        <v>2.8916095525955679E-4</v>
      </c>
      <c r="S257" s="103">
        <f t="shared" si="381"/>
        <v>4.6824049651394929E-4</v>
      </c>
      <c r="T257" s="103">
        <f t="shared" si="381"/>
        <v>7.7563749374932357E-4</v>
      </c>
      <c r="U257" s="103">
        <f t="shared" si="381"/>
        <v>1.4989923433734054E-3</v>
      </c>
      <c r="V257" s="103">
        <f t="shared" si="381"/>
        <v>3.1024384525543888E-3</v>
      </c>
      <c r="W257" s="103">
        <f t="shared" ref="W257:Y257" si="382">IF(W39=0,0,W39/W$31)</f>
        <v>7.7534623389727596E-3</v>
      </c>
      <c r="X257" s="103">
        <f t="shared" si="382"/>
        <v>1.6287121060983005E-2</v>
      </c>
      <c r="Y257" s="103">
        <f t="shared" si="382"/>
        <v>2.5003996948908164E-2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1.0438772265943065E-2</v>
      </c>
      <c r="C258" s="156">
        <f t="shared" si="383"/>
        <v>1.0042854533846381E-2</v>
      </c>
      <c r="D258" s="156">
        <f t="shared" si="383"/>
        <v>9.9613394985856533E-3</v>
      </c>
      <c r="E258" s="156">
        <f t="shared" si="383"/>
        <v>1.00276435439047E-2</v>
      </c>
      <c r="F258" s="156">
        <f t="shared" si="383"/>
        <v>1.0074054603267395E-2</v>
      </c>
      <c r="G258" s="156">
        <f t="shared" si="383"/>
        <v>1.003842298916219E-2</v>
      </c>
      <c r="H258" s="156">
        <f t="shared" si="383"/>
        <v>1.0142925871220822E-2</v>
      </c>
      <c r="I258" s="156">
        <f t="shared" si="383"/>
        <v>1.0176204648557395E-2</v>
      </c>
      <c r="J258" s="156">
        <f t="shared" si="383"/>
        <v>1.0869683953595496E-2</v>
      </c>
      <c r="K258" s="156">
        <f t="shared" si="383"/>
        <v>1.131004732194894E-2</v>
      </c>
      <c r="L258" s="156">
        <f t="shared" ref="L258" si="384">IF(L40=0,0,L40/L$31)</f>
        <v>1.1658295655708497E-2</v>
      </c>
      <c r="M258" s="156">
        <f t="shared" ref="M258:V258" si="385">IF(M40=0,0,M40/M$31)</f>
        <v>1.1956426577860078E-2</v>
      </c>
      <c r="N258" s="156">
        <f t="shared" si="385"/>
        <v>1.2556286227376085E-2</v>
      </c>
      <c r="O258" s="156">
        <f t="shared" si="385"/>
        <v>1.3052016205316408E-2</v>
      </c>
      <c r="P258" s="156">
        <f t="shared" si="385"/>
        <v>1.3516200949618343E-2</v>
      </c>
      <c r="Q258" s="156">
        <f t="shared" si="385"/>
        <v>1.3790205630110587E-2</v>
      </c>
      <c r="R258" s="156">
        <f t="shared" si="385"/>
        <v>1.5357994223623675E-2</v>
      </c>
      <c r="S258" s="156">
        <f t="shared" si="385"/>
        <v>1.4881874439981528E-2</v>
      </c>
      <c r="T258" s="156">
        <f t="shared" si="385"/>
        <v>1.4491397432239794E-2</v>
      </c>
      <c r="U258" s="156">
        <f t="shared" si="385"/>
        <v>1.4167684050404503E-2</v>
      </c>
      <c r="V258" s="156">
        <f t="shared" si="385"/>
        <v>1.2856543090011857E-2</v>
      </c>
      <c r="W258" s="156">
        <f t="shared" ref="W258:Y258" si="386">IF(W40=0,0,W40/W$31)</f>
        <v>1.1452139296863931E-2</v>
      </c>
      <c r="X258" s="156">
        <f t="shared" si="386"/>
        <v>1.3069799581390575E-2</v>
      </c>
      <c r="Y258" s="156">
        <f t="shared" si="386"/>
        <v>1.3884542379085046E-2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1.3846443414685775E-5</v>
      </c>
      <c r="C259" s="103">
        <f t="shared" si="387"/>
        <v>1.5001431032647418E-5</v>
      </c>
      <c r="D259" s="103">
        <f t="shared" si="387"/>
        <v>1.4093710182956288E-5</v>
      </c>
      <c r="E259" s="103">
        <f t="shared" si="387"/>
        <v>1.3745911860862798E-5</v>
      </c>
      <c r="F259" s="103">
        <f t="shared" si="387"/>
        <v>1.3849794269201949E-5</v>
      </c>
      <c r="G259" s="103">
        <f t="shared" si="387"/>
        <v>1.4956424899097849E-5</v>
      </c>
      <c r="H259" s="103">
        <f t="shared" si="387"/>
        <v>1.3903309654742069E-5</v>
      </c>
      <c r="I259" s="103">
        <f t="shared" si="387"/>
        <v>1.4002443785966575E-5</v>
      </c>
      <c r="J259" s="103">
        <f t="shared" si="387"/>
        <v>1.3649167724224523E-5</v>
      </c>
      <c r="K259" s="103">
        <f t="shared" si="387"/>
        <v>1.3413612149287694E-5</v>
      </c>
      <c r="L259" s="103">
        <f t="shared" ref="L259" si="388">IF(L41=0,0,L41/L$31)</f>
        <v>1.3642414358875996E-5</v>
      </c>
      <c r="M259" s="103">
        <f t="shared" ref="M259:V259" si="389">IF(M41=0,0,M41/M$31)</f>
        <v>1.3037727840554153E-5</v>
      </c>
      <c r="N259" s="103">
        <f t="shared" si="389"/>
        <v>1.3079956524570606E-5</v>
      </c>
      <c r="O259" s="103">
        <f t="shared" si="389"/>
        <v>1.3106987131517445E-5</v>
      </c>
      <c r="P259" s="103">
        <f t="shared" si="389"/>
        <v>1.3006083018691504E-5</v>
      </c>
      <c r="Q259" s="103">
        <f t="shared" si="389"/>
        <v>1.2826472027803921E-5</v>
      </c>
      <c r="R259" s="103">
        <f t="shared" si="389"/>
        <v>1.3468349775956981E-5</v>
      </c>
      <c r="S259" s="103">
        <f t="shared" si="389"/>
        <v>1.277615522183735E-5</v>
      </c>
      <c r="T259" s="103">
        <f t="shared" si="389"/>
        <v>1.1899657395642057E-5</v>
      </c>
      <c r="U259" s="103">
        <f t="shared" si="389"/>
        <v>1.1001450158942786E-5</v>
      </c>
      <c r="V259" s="103">
        <f t="shared" si="389"/>
        <v>9.3374290634613863E-6</v>
      </c>
      <c r="W259" s="103">
        <f t="shared" ref="W259:Y259" si="390">IF(W41=0,0,W41/W$31)</f>
        <v>8.0177257791300322E-6</v>
      </c>
      <c r="X259" s="103">
        <f t="shared" si="390"/>
        <v>8.9627189266823257E-6</v>
      </c>
      <c r="Y259" s="103">
        <f t="shared" si="390"/>
        <v>9.0775164957198994E-6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1.0306780676216784E-2</v>
      </c>
      <c r="C260" s="103">
        <f t="shared" si="391"/>
        <v>9.914847292430912E-3</v>
      </c>
      <c r="D260" s="103">
        <f t="shared" si="391"/>
        <v>9.7809029716143629E-3</v>
      </c>
      <c r="E260" s="103">
        <f t="shared" si="391"/>
        <v>9.8495797765756777E-3</v>
      </c>
      <c r="F260" s="103">
        <f t="shared" si="391"/>
        <v>9.9032025576594705E-3</v>
      </c>
      <c r="G260" s="103">
        <f t="shared" si="391"/>
        <v>9.8703272528819618E-3</v>
      </c>
      <c r="H260" s="103">
        <f t="shared" si="391"/>
        <v>9.9292643441267203E-3</v>
      </c>
      <c r="I260" s="103">
        <f t="shared" si="391"/>
        <v>9.9634663077965216E-3</v>
      </c>
      <c r="J260" s="103">
        <f t="shared" si="391"/>
        <v>1.066186008337283E-2</v>
      </c>
      <c r="K260" s="103">
        <f t="shared" si="391"/>
        <v>1.1104860677810023E-2</v>
      </c>
      <c r="L260" s="103">
        <f t="shared" ref="L260" si="392">IF(L42=0,0,L42/L$31)</f>
        <v>1.1465058092763936E-2</v>
      </c>
      <c r="M260" s="103">
        <f t="shared" ref="M260:V260" si="393">IF(M42=0,0,M42/M$31)</f>
        <v>1.1776367916637828E-2</v>
      </c>
      <c r="N260" s="103">
        <f t="shared" si="393"/>
        <v>1.2377731017846505E-2</v>
      </c>
      <c r="O260" s="103">
        <f t="shared" si="393"/>
        <v>1.2883907322014609E-2</v>
      </c>
      <c r="P260" s="103">
        <f t="shared" si="393"/>
        <v>1.3338300539341314E-2</v>
      </c>
      <c r="Q260" s="103">
        <f t="shared" si="393"/>
        <v>1.3613775333543E-2</v>
      </c>
      <c r="R260" s="103">
        <f t="shared" si="393"/>
        <v>1.5173398698653516E-2</v>
      </c>
      <c r="S260" s="103">
        <f t="shared" si="393"/>
        <v>1.4713445111745027E-2</v>
      </c>
      <c r="T260" s="103">
        <f t="shared" si="393"/>
        <v>1.4329234296821645E-2</v>
      </c>
      <c r="U260" s="103">
        <f t="shared" si="393"/>
        <v>1.3984394050209091E-2</v>
      </c>
      <c r="V260" s="103">
        <f t="shared" si="393"/>
        <v>1.2697397773130807E-2</v>
      </c>
      <c r="W260" s="103">
        <f t="shared" ref="W260:Y260" si="394">IF(W42=0,0,W42/W$31)</f>
        <v>1.1147903142800101E-2</v>
      </c>
      <c r="X260" s="103">
        <f t="shared" si="394"/>
        <v>1.2491838995258818E-2</v>
      </c>
      <c r="Y260" s="103">
        <f t="shared" si="394"/>
        <v>1.3186107258028709E-2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0</v>
      </c>
      <c r="D261" s="103">
        <f t="shared" si="395"/>
        <v>0</v>
      </c>
      <c r="E261" s="103">
        <f t="shared" si="395"/>
        <v>0</v>
      </c>
      <c r="F261" s="103">
        <f t="shared" si="395"/>
        <v>0</v>
      </c>
      <c r="G261" s="103">
        <f t="shared" si="395"/>
        <v>0</v>
      </c>
      <c r="H261" s="103">
        <f t="shared" si="395"/>
        <v>0</v>
      </c>
      <c r="I261" s="103">
        <f t="shared" si="395"/>
        <v>0</v>
      </c>
      <c r="J261" s="103">
        <f t="shared" si="395"/>
        <v>0</v>
      </c>
      <c r="K261" s="103">
        <f t="shared" si="395"/>
        <v>0</v>
      </c>
      <c r="L261" s="103">
        <f t="shared" ref="L261" si="396">IF(L43=0,0,L43/L$31)</f>
        <v>0</v>
      </c>
      <c r="M261" s="103">
        <f t="shared" ref="M261:V261" si="397">IF(M43=0,0,M43/M$31)</f>
        <v>0</v>
      </c>
      <c r="N261" s="103">
        <f t="shared" si="397"/>
        <v>0</v>
      </c>
      <c r="O261" s="103">
        <f t="shared" si="397"/>
        <v>0</v>
      </c>
      <c r="P261" s="103">
        <f t="shared" si="397"/>
        <v>0</v>
      </c>
      <c r="Q261" s="103">
        <f t="shared" si="397"/>
        <v>0</v>
      </c>
      <c r="R261" s="103">
        <f t="shared" si="397"/>
        <v>0</v>
      </c>
      <c r="S261" s="103">
        <f t="shared" si="397"/>
        <v>0</v>
      </c>
      <c r="T261" s="103">
        <f t="shared" si="397"/>
        <v>0</v>
      </c>
      <c r="U261" s="103">
        <f t="shared" si="397"/>
        <v>0</v>
      </c>
      <c r="V261" s="103">
        <f t="shared" si="397"/>
        <v>0</v>
      </c>
      <c r="W261" s="103">
        <f t="shared" ref="W261:Y261" si="398">IF(W43=0,0,W43/W$31)</f>
        <v>0</v>
      </c>
      <c r="X261" s="103">
        <f t="shared" si="398"/>
        <v>0</v>
      </c>
      <c r="Y261" s="103">
        <f t="shared" si="398"/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1.1814514631159537E-4</v>
      </c>
      <c r="C262" s="103">
        <f t="shared" si="399"/>
        <v>1.1300581038282006E-4</v>
      </c>
      <c r="D262" s="103">
        <f t="shared" si="399"/>
        <v>1.6634281678833311E-4</v>
      </c>
      <c r="E262" s="103">
        <f t="shared" si="399"/>
        <v>1.6431785546816051E-4</v>
      </c>
      <c r="F262" s="103">
        <f t="shared" si="399"/>
        <v>1.570022513387233E-4</v>
      </c>
      <c r="G262" s="103">
        <f t="shared" si="399"/>
        <v>1.5313931138113013E-4</v>
      </c>
      <c r="H262" s="103">
        <f t="shared" si="399"/>
        <v>1.9975821743936065E-4</v>
      </c>
      <c r="I262" s="103">
        <f t="shared" si="399"/>
        <v>1.9873589697490674E-4</v>
      </c>
      <c r="J262" s="103">
        <f t="shared" si="399"/>
        <v>1.9417470249844188E-4</v>
      </c>
      <c r="K262" s="103">
        <f t="shared" si="399"/>
        <v>1.9177303198963114E-4</v>
      </c>
      <c r="L262" s="103">
        <f t="shared" ref="L262" si="400">IF(L44=0,0,L44/L$31)</f>
        <v>1.7959514858568497E-4</v>
      </c>
      <c r="M262" s="103">
        <f t="shared" ref="M262:V262" si="401">IF(M44=0,0,M44/M$31)</f>
        <v>1.6702093338169535E-4</v>
      </c>
      <c r="N262" s="103">
        <f t="shared" si="401"/>
        <v>1.594383253984935E-4</v>
      </c>
      <c r="O262" s="103">
        <f t="shared" si="401"/>
        <v>1.5197719247148688E-4</v>
      </c>
      <c r="P262" s="103">
        <f t="shared" si="401"/>
        <v>1.5989196724132521E-4</v>
      </c>
      <c r="Q262" s="103">
        <f t="shared" si="401"/>
        <v>1.5768389624639864E-4</v>
      </c>
      <c r="R262" s="103">
        <f t="shared" si="401"/>
        <v>1.5470329069448271E-4</v>
      </c>
      <c r="S262" s="103">
        <f t="shared" si="401"/>
        <v>1.3244602040551399E-4</v>
      </c>
      <c r="T262" s="103">
        <f t="shared" si="401"/>
        <v>1.2762196599008465E-4</v>
      </c>
      <c r="U262" s="103">
        <f t="shared" si="401"/>
        <v>1.1268339780016267E-4</v>
      </c>
      <c r="V262" s="103">
        <f t="shared" si="401"/>
        <v>7.1853498986439372E-5</v>
      </c>
      <c r="W262" s="103">
        <f t="shared" ref="W262:Y262" si="402">IF(W44=0,0,W44/W$31)</f>
        <v>6.0753743334838567E-5</v>
      </c>
      <c r="X262" s="103">
        <f t="shared" si="402"/>
        <v>6.9122750066993887E-5</v>
      </c>
      <c r="Y262" s="103">
        <f t="shared" si="402"/>
        <v>7.8184130723831684E-5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0</v>
      </c>
      <c r="C263" s="103">
        <f t="shared" si="403"/>
        <v>0</v>
      </c>
      <c r="D263" s="103">
        <f t="shared" si="403"/>
        <v>0</v>
      </c>
      <c r="E263" s="103">
        <f t="shared" si="403"/>
        <v>0</v>
      </c>
      <c r="F263" s="103">
        <f t="shared" si="403"/>
        <v>0</v>
      </c>
      <c r="G263" s="103">
        <f t="shared" si="403"/>
        <v>0</v>
      </c>
      <c r="H263" s="103">
        <f t="shared" si="403"/>
        <v>0</v>
      </c>
      <c r="I263" s="103">
        <f t="shared" si="403"/>
        <v>0</v>
      </c>
      <c r="J263" s="103">
        <f t="shared" si="403"/>
        <v>0</v>
      </c>
      <c r="K263" s="103">
        <f t="shared" si="403"/>
        <v>0</v>
      </c>
      <c r="L263" s="103">
        <f t="shared" ref="L263" si="404">IF(L45=0,0,L45/L$31)</f>
        <v>0</v>
      </c>
      <c r="M263" s="103">
        <f t="shared" ref="M263:V263" si="405">IF(M45=0,0,M45/M$31)</f>
        <v>0</v>
      </c>
      <c r="N263" s="103">
        <f t="shared" si="405"/>
        <v>6.036927606515695E-6</v>
      </c>
      <c r="O263" s="103">
        <f t="shared" si="405"/>
        <v>3.0247036987940461E-6</v>
      </c>
      <c r="P263" s="103">
        <f t="shared" si="405"/>
        <v>5.002360017012508E-6</v>
      </c>
      <c r="Q263" s="103">
        <f t="shared" si="405"/>
        <v>5.9199282933843877E-6</v>
      </c>
      <c r="R263" s="103">
        <f t="shared" si="405"/>
        <v>1.6423884499720006E-5</v>
      </c>
      <c r="S263" s="103">
        <f t="shared" si="405"/>
        <v>2.3207152609150784E-5</v>
      </c>
      <c r="T263" s="103">
        <f t="shared" si="405"/>
        <v>2.2641512032423811E-5</v>
      </c>
      <c r="U263" s="103">
        <f t="shared" si="405"/>
        <v>5.9605152236306131E-5</v>
      </c>
      <c r="V263" s="103">
        <f t="shared" si="405"/>
        <v>7.7954388831149074E-5</v>
      </c>
      <c r="W263" s="103">
        <f t="shared" ref="W263:Y263" si="406">IF(W45=0,0,W45/W$31)</f>
        <v>2.3546468494986254E-4</v>
      </c>
      <c r="X263" s="103">
        <f t="shared" si="406"/>
        <v>4.9987511713808178E-4</v>
      </c>
      <c r="Y263" s="103">
        <f t="shared" si="406"/>
        <v>6.1117347383678557E-4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0.62973904323238572</v>
      </c>
      <c r="C265" s="154">
        <f t="shared" si="411"/>
        <v>0.6276837440233719</v>
      </c>
      <c r="D265" s="154">
        <f t="shared" si="411"/>
        <v>0.62563853645318512</v>
      </c>
      <c r="E265" s="154">
        <f t="shared" si="411"/>
        <v>0.62604659007665786</v>
      </c>
      <c r="F265" s="154">
        <f t="shared" si="411"/>
        <v>0.6397456386596474</v>
      </c>
      <c r="G265" s="154">
        <f t="shared" si="411"/>
        <v>0.64035544392283694</v>
      </c>
      <c r="H265" s="154">
        <f t="shared" si="411"/>
        <v>0.65285330813933895</v>
      </c>
      <c r="I265" s="154">
        <f t="shared" si="411"/>
        <v>0.66232207396613507</v>
      </c>
      <c r="J265" s="154">
        <f t="shared" si="411"/>
        <v>0.6713608872647634</v>
      </c>
      <c r="K265" s="154">
        <f t="shared" si="411"/>
        <v>0.70373680285580398</v>
      </c>
      <c r="L265" s="154">
        <f t="shared" ref="L265" si="412">IF(L47=0,0,L47/L$46)</f>
        <v>0.69360484848389181</v>
      </c>
      <c r="M265" s="154">
        <f t="shared" ref="M265:V265" si="413">IF(M47=0,0,M47/M$46)</f>
        <v>0.71832736895688387</v>
      </c>
      <c r="N265" s="154">
        <f t="shared" si="413"/>
        <v>0.74108995418830892</v>
      </c>
      <c r="O265" s="154">
        <f t="shared" si="413"/>
        <v>0.74810476181732455</v>
      </c>
      <c r="P265" s="154">
        <f t="shared" si="413"/>
        <v>0.76326521541411885</v>
      </c>
      <c r="Q265" s="154">
        <f t="shared" si="413"/>
        <v>0.78431063674291035</v>
      </c>
      <c r="R265" s="154">
        <f t="shared" si="413"/>
        <v>0.76625427884793451</v>
      </c>
      <c r="S265" s="154">
        <f t="shared" si="413"/>
        <v>0.7650644435869457</v>
      </c>
      <c r="T265" s="154">
        <f t="shared" si="413"/>
        <v>0.77597742659560909</v>
      </c>
      <c r="U265" s="154">
        <f t="shared" si="413"/>
        <v>0.78167031805400899</v>
      </c>
      <c r="V265" s="154">
        <f t="shared" si="413"/>
        <v>0.78964472011118902</v>
      </c>
      <c r="W265" s="154">
        <f t="shared" ref="W265:Y265" si="414">IF(W47=0,0,W47/W$46)</f>
        <v>0.79077348079650633</v>
      </c>
      <c r="X265" s="154">
        <f t="shared" si="414"/>
        <v>0.78858355660852286</v>
      </c>
      <c r="Y265" s="154">
        <f t="shared" si="414"/>
        <v>0.8052338435353753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7.0900084724178705E-2</v>
      </c>
      <c r="C266" s="103">
        <f t="shared" si="415"/>
        <v>6.5159346102856036E-2</v>
      </c>
      <c r="D266" s="103">
        <f t="shared" si="415"/>
        <v>6.0293788873454449E-2</v>
      </c>
      <c r="E266" s="103">
        <f t="shared" si="415"/>
        <v>5.5159078513895891E-2</v>
      </c>
      <c r="F266" s="103">
        <f t="shared" si="415"/>
        <v>4.9140682689478007E-2</v>
      </c>
      <c r="G266" s="103">
        <f t="shared" si="415"/>
        <v>4.6023346169167846E-2</v>
      </c>
      <c r="H266" s="103">
        <f t="shared" si="415"/>
        <v>4.2884890768484847E-2</v>
      </c>
      <c r="I266" s="103">
        <f t="shared" si="415"/>
        <v>3.9507771708342104E-2</v>
      </c>
      <c r="J266" s="103">
        <f t="shared" si="415"/>
        <v>3.7331914795017414E-2</v>
      </c>
      <c r="K266" s="103">
        <f t="shared" si="415"/>
        <v>3.7145074799878448E-2</v>
      </c>
      <c r="L266" s="103">
        <f t="shared" ref="L266" si="416">IF(L48=0,0,L48/L$46)</f>
        <v>3.4796316574896922E-2</v>
      </c>
      <c r="M266" s="103">
        <f t="shared" ref="M266:V266" si="417">IF(M48=0,0,M48/M$46)</f>
        <v>3.4033238961438471E-2</v>
      </c>
      <c r="N266" s="103">
        <f t="shared" si="417"/>
        <v>3.3627364362559288E-2</v>
      </c>
      <c r="O266" s="103">
        <f t="shared" si="417"/>
        <v>3.1696119569911571E-2</v>
      </c>
      <c r="P266" s="103">
        <f t="shared" si="417"/>
        <v>3.1064014242253805E-2</v>
      </c>
      <c r="Q266" s="103">
        <f t="shared" si="417"/>
        <v>3.0629529100441966E-2</v>
      </c>
      <c r="R266" s="103">
        <f t="shared" si="417"/>
        <v>2.871069303698668E-2</v>
      </c>
      <c r="S266" s="103">
        <f t="shared" si="417"/>
        <v>2.745294099349813E-2</v>
      </c>
      <c r="T266" s="103">
        <f t="shared" si="417"/>
        <v>2.6773502703163921E-2</v>
      </c>
      <c r="U266" s="103">
        <f t="shared" si="417"/>
        <v>2.6083123069509405E-2</v>
      </c>
      <c r="V266" s="103">
        <f t="shared" si="417"/>
        <v>2.5529375550123821E-2</v>
      </c>
      <c r="W266" s="103">
        <f t="shared" ref="W266:Y266" si="418">IF(W48=0,0,W48/W$46)</f>
        <v>2.5404368759083591E-2</v>
      </c>
      <c r="X266" s="103">
        <f t="shared" si="418"/>
        <v>2.4925229690023195E-2</v>
      </c>
      <c r="Y266" s="103">
        <f t="shared" si="418"/>
        <v>2.5043445993819087E-2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0.55861642965668901</v>
      </c>
      <c r="C267" s="103">
        <f t="shared" si="419"/>
        <v>0.56230566891836586</v>
      </c>
      <c r="D267" s="103">
        <f t="shared" si="419"/>
        <v>0.56515303005576645</v>
      </c>
      <c r="E267" s="103">
        <f t="shared" si="419"/>
        <v>0.57071109083036298</v>
      </c>
      <c r="F267" s="103">
        <f t="shared" si="419"/>
        <v>0.59044836628068453</v>
      </c>
      <c r="G267" s="103">
        <f t="shared" si="419"/>
        <v>0.59418895781465542</v>
      </c>
      <c r="H267" s="103">
        <f t="shared" si="419"/>
        <v>0.60982918801023489</v>
      </c>
      <c r="I267" s="103">
        <f t="shared" si="419"/>
        <v>0.62267051198163614</v>
      </c>
      <c r="J267" s="103">
        <f t="shared" si="419"/>
        <v>0.63387043569842183</v>
      </c>
      <c r="K267" s="103">
        <f t="shared" si="419"/>
        <v>0.6663962525397007</v>
      </c>
      <c r="L267" s="103">
        <f t="shared" ref="L267" si="420">IF(L49=0,0,L49/L$46)</f>
        <v>0.6585900890695261</v>
      </c>
      <c r="M267" s="103">
        <f t="shared" ref="M267:V267" si="421">IF(M49=0,0,M49/M$46)</f>
        <v>0.68403796732887467</v>
      </c>
      <c r="N267" s="103">
        <f t="shared" si="421"/>
        <v>0.70716126952366076</v>
      </c>
      <c r="O267" s="103">
        <f t="shared" si="421"/>
        <v>0.71603923532978686</v>
      </c>
      <c r="P267" s="103">
        <f t="shared" si="421"/>
        <v>0.73177638486130359</v>
      </c>
      <c r="Q267" s="103">
        <f t="shared" si="421"/>
        <v>0.75317381668826355</v>
      </c>
      <c r="R267" s="103">
        <f t="shared" si="421"/>
        <v>0.73694361594646163</v>
      </c>
      <c r="S267" s="103">
        <f t="shared" si="421"/>
        <v>0.73683880019747339</v>
      </c>
      <c r="T267" s="103">
        <f t="shared" si="421"/>
        <v>0.74820210956281252</v>
      </c>
      <c r="U267" s="103">
        <f t="shared" si="421"/>
        <v>0.75432818002984736</v>
      </c>
      <c r="V267" s="103">
        <f t="shared" si="421"/>
        <v>0.76264480097100917</v>
      </c>
      <c r="W267" s="103">
        <f t="shared" ref="W267:Y267" si="422">IF(W49=0,0,W49/W$46)</f>
        <v>0.76352709550550912</v>
      </c>
      <c r="X267" s="103">
        <f t="shared" si="422"/>
        <v>0.76142915919269638</v>
      </c>
      <c r="Y267" s="103">
        <f t="shared" si="422"/>
        <v>0.77645191191680085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0</v>
      </c>
      <c r="C268" s="103">
        <f t="shared" si="423"/>
        <v>0</v>
      </c>
      <c r="D268" s="103">
        <f t="shared" si="423"/>
        <v>0</v>
      </c>
      <c r="E268" s="103">
        <f t="shared" si="423"/>
        <v>0</v>
      </c>
      <c r="F268" s="103">
        <f t="shared" si="423"/>
        <v>0</v>
      </c>
      <c r="G268" s="103">
        <f t="shared" si="423"/>
        <v>0</v>
      </c>
      <c r="H268" s="103">
        <f t="shared" si="423"/>
        <v>0</v>
      </c>
      <c r="I268" s="103">
        <f t="shared" si="423"/>
        <v>0</v>
      </c>
      <c r="J268" s="103">
        <f t="shared" si="423"/>
        <v>0</v>
      </c>
      <c r="K268" s="103">
        <f t="shared" si="423"/>
        <v>0</v>
      </c>
      <c r="L268" s="103">
        <f t="shared" ref="L268" si="424">IF(L50=0,0,L50/L$46)</f>
        <v>0</v>
      </c>
      <c r="M268" s="103">
        <f t="shared" ref="M268:V268" si="425">IF(M50=0,0,M50/M$46)</f>
        <v>0</v>
      </c>
      <c r="N268" s="103">
        <f t="shared" si="425"/>
        <v>0</v>
      </c>
      <c r="O268" s="103">
        <f t="shared" si="425"/>
        <v>0</v>
      </c>
      <c r="P268" s="103">
        <f t="shared" si="425"/>
        <v>0</v>
      </c>
      <c r="Q268" s="103">
        <f t="shared" si="425"/>
        <v>0</v>
      </c>
      <c r="R268" s="103">
        <f t="shared" si="425"/>
        <v>0</v>
      </c>
      <c r="S268" s="103">
        <f t="shared" si="425"/>
        <v>0</v>
      </c>
      <c r="T268" s="103">
        <f t="shared" si="425"/>
        <v>0</v>
      </c>
      <c r="U268" s="103">
        <f t="shared" si="425"/>
        <v>0</v>
      </c>
      <c r="V268" s="103">
        <f t="shared" si="425"/>
        <v>0</v>
      </c>
      <c r="W268" s="103">
        <f t="shared" ref="W268:Y268" si="426">IF(W50=0,0,W50/W$46)</f>
        <v>0</v>
      </c>
      <c r="X268" s="103">
        <f t="shared" si="426"/>
        <v>0</v>
      </c>
      <c r="Y268" s="103">
        <f t="shared" si="426"/>
        <v>0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7.4470089494788559E-6</v>
      </c>
      <c r="D269" s="103">
        <f t="shared" si="427"/>
        <v>7.2688542084861019E-6</v>
      </c>
      <c r="E269" s="103">
        <f t="shared" si="427"/>
        <v>7.0852097508492161E-6</v>
      </c>
      <c r="F269" s="103">
        <f t="shared" si="427"/>
        <v>6.2995965661726959E-6</v>
      </c>
      <c r="G269" s="103">
        <f t="shared" si="427"/>
        <v>8.5375675465825368E-6</v>
      </c>
      <c r="H269" s="103">
        <f t="shared" si="427"/>
        <v>8.033181051857235E-6</v>
      </c>
      <c r="I269" s="103">
        <f t="shared" si="427"/>
        <v>2.1142810840283041E-5</v>
      </c>
      <c r="J269" s="103">
        <f t="shared" si="427"/>
        <v>3.6846245145785771E-5</v>
      </c>
      <c r="K269" s="103">
        <f t="shared" si="427"/>
        <v>6.4179376371531119E-5</v>
      </c>
      <c r="L269" s="103">
        <f t="shared" ref="L269" si="428">IF(L51=0,0,L51/L$46)</f>
        <v>8.5626715950044553E-5</v>
      </c>
      <c r="M269" s="103">
        <f t="shared" ref="M269:V269" si="429">IF(M51=0,0,M51/M$46)</f>
        <v>1.2352960394087419E-4</v>
      </c>
      <c r="N269" s="103">
        <f t="shared" si="429"/>
        <v>1.5191578982619387E-4</v>
      </c>
      <c r="O269" s="103">
        <f t="shared" si="429"/>
        <v>2.1979811630724153E-4</v>
      </c>
      <c r="P269" s="103">
        <f t="shared" si="429"/>
        <v>2.5033534034993039E-4</v>
      </c>
      <c r="Q269" s="103">
        <f t="shared" si="429"/>
        <v>2.8629751735367338E-4</v>
      </c>
      <c r="R269" s="103">
        <f t="shared" si="429"/>
        <v>3.2258764046573339E-4</v>
      </c>
      <c r="S269" s="103">
        <f t="shared" si="429"/>
        <v>4.6205911505548864E-4</v>
      </c>
      <c r="T269" s="103">
        <f t="shared" si="429"/>
        <v>6.4941905455664711E-4</v>
      </c>
      <c r="U269" s="103">
        <f t="shared" si="429"/>
        <v>8.5304634589525134E-4</v>
      </c>
      <c r="V269" s="103">
        <f t="shared" si="429"/>
        <v>1.0295279093618626E-3</v>
      </c>
      <c r="W269" s="103">
        <f t="shared" ref="W269:Y269" si="430">IF(W51=0,0,W51/W$46)</f>
        <v>1.0572547261625846E-3</v>
      </c>
      <c r="X269" s="103">
        <f t="shared" si="430"/>
        <v>9.6772151796480055E-4</v>
      </c>
      <c r="Y269" s="103">
        <f t="shared" si="430"/>
        <v>9.6916080873304944E-4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2.2252885151808691E-4</v>
      </c>
      <c r="C270" s="103">
        <f t="shared" si="431"/>
        <v>2.1128199320045635E-4</v>
      </c>
      <c r="D270" s="103">
        <f t="shared" si="431"/>
        <v>1.844486697556882E-4</v>
      </c>
      <c r="E270" s="103">
        <f t="shared" si="431"/>
        <v>1.6933552264812563E-4</v>
      </c>
      <c r="F270" s="103">
        <f t="shared" si="431"/>
        <v>1.5029009291860846E-4</v>
      </c>
      <c r="G270" s="103">
        <f t="shared" si="431"/>
        <v>1.3460237146703158E-4</v>
      </c>
      <c r="H270" s="103">
        <f t="shared" si="431"/>
        <v>1.3119617956731743E-4</v>
      </c>
      <c r="I270" s="103">
        <f t="shared" si="431"/>
        <v>1.2264746531655144E-4</v>
      </c>
      <c r="J270" s="103">
        <f t="shared" si="431"/>
        <v>1.216905261782769E-4</v>
      </c>
      <c r="K270" s="103">
        <f t="shared" si="431"/>
        <v>1.3129613985323073E-4</v>
      </c>
      <c r="L270" s="103">
        <f t="shared" ref="L270" si="432">IF(L52=0,0,L52/L$46)</f>
        <v>1.32816123518823E-4</v>
      </c>
      <c r="M270" s="103">
        <f t="shared" ref="M270:V270" si="433">IF(M52=0,0,M52/M$46)</f>
        <v>1.3263306262984576E-4</v>
      </c>
      <c r="N270" s="103">
        <f t="shared" si="433"/>
        <v>1.4940451226272178E-4</v>
      </c>
      <c r="O270" s="103">
        <f t="shared" si="433"/>
        <v>1.4960880131892584E-4</v>
      </c>
      <c r="P270" s="103">
        <f t="shared" si="433"/>
        <v>1.7448097021151028E-4</v>
      </c>
      <c r="Q270" s="103">
        <f t="shared" si="433"/>
        <v>2.2099343685117823E-4</v>
      </c>
      <c r="R270" s="103">
        <f t="shared" si="433"/>
        <v>2.7738222402045866E-4</v>
      </c>
      <c r="S270" s="103">
        <f t="shared" si="433"/>
        <v>3.1064328091859387E-4</v>
      </c>
      <c r="T270" s="103">
        <f t="shared" si="433"/>
        <v>3.5239527507593862E-4</v>
      </c>
      <c r="U270" s="103">
        <f t="shared" si="433"/>
        <v>4.0596860875712819E-4</v>
      </c>
      <c r="V270" s="103">
        <f t="shared" si="433"/>
        <v>4.4101568069410178E-4</v>
      </c>
      <c r="W270" s="103">
        <f t="shared" ref="W270:Y270" si="434">IF(W52=0,0,W52/W$46)</f>
        <v>7.8476180575108481E-4</v>
      </c>
      <c r="X270" s="103">
        <f t="shared" si="434"/>
        <v>1.2614462078385034E-3</v>
      </c>
      <c r="Y270" s="103">
        <f t="shared" si="434"/>
        <v>2.7693248160221996E-3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0.37026095676761434</v>
      </c>
      <c r="C271" s="156">
        <f t="shared" si="435"/>
        <v>0.37231625597662815</v>
      </c>
      <c r="D271" s="156">
        <f t="shared" si="435"/>
        <v>0.37436146354681493</v>
      </c>
      <c r="E271" s="156">
        <f t="shared" si="435"/>
        <v>0.37395340992334219</v>
      </c>
      <c r="F271" s="156">
        <f t="shared" si="435"/>
        <v>0.3602543613403526</v>
      </c>
      <c r="G271" s="156">
        <f t="shared" si="435"/>
        <v>0.35964455607716306</v>
      </c>
      <c r="H271" s="156">
        <f t="shared" si="435"/>
        <v>0.34714669186066105</v>
      </c>
      <c r="I271" s="156">
        <f t="shared" si="435"/>
        <v>0.33767792603386482</v>
      </c>
      <c r="J271" s="156">
        <f t="shared" si="435"/>
        <v>0.3286391127352366</v>
      </c>
      <c r="K271" s="156">
        <f t="shared" si="435"/>
        <v>0.29626319714419608</v>
      </c>
      <c r="L271" s="156">
        <f t="shared" ref="L271" si="436">IF(L53=0,0,L53/L$46)</f>
        <v>0.30639515151610824</v>
      </c>
      <c r="M271" s="156">
        <f t="shared" ref="M271:V271" si="437">IF(M53=0,0,M53/M$46)</f>
        <v>0.28167263104311618</v>
      </c>
      <c r="N271" s="156">
        <f t="shared" si="437"/>
        <v>0.25891004581169097</v>
      </c>
      <c r="O271" s="156">
        <f t="shared" si="437"/>
        <v>0.25189523818267545</v>
      </c>
      <c r="P271" s="156">
        <f t="shared" si="437"/>
        <v>0.23673478458588115</v>
      </c>
      <c r="Q271" s="156">
        <f t="shared" si="437"/>
        <v>0.21568936325708962</v>
      </c>
      <c r="R271" s="156">
        <f t="shared" si="437"/>
        <v>0.23374572115206549</v>
      </c>
      <c r="S271" s="156">
        <f t="shared" si="437"/>
        <v>0.23493555641305441</v>
      </c>
      <c r="T271" s="156">
        <f t="shared" si="437"/>
        <v>0.22402257340439088</v>
      </c>
      <c r="U271" s="156">
        <f t="shared" si="437"/>
        <v>0.21832968194599109</v>
      </c>
      <c r="V271" s="156">
        <f t="shared" si="437"/>
        <v>0.21035527988881089</v>
      </c>
      <c r="W271" s="156">
        <f t="shared" ref="W271:Y271" si="438">IF(W53=0,0,W53/W$46)</f>
        <v>0.20922651920349356</v>
      </c>
      <c r="X271" s="156">
        <f t="shared" si="438"/>
        <v>0.21141644339147703</v>
      </c>
      <c r="Y271" s="156">
        <f t="shared" si="438"/>
        <v>0.19476615646462475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0.36181608645252772</v>
      </c>
      <c r="C272" s="104">
        <f t="shared" si="439"/>
        <v>0.3635071824713913</v>
      </c>
      <c r="D272" s="104">
        <f t="shared" si="439"/>
        <v>0.3652663569480718</v>
      </c>
      <c r="E272" s="104">
        <f t="shared" si="439"/>
        <v>0.36475707501845711</v>
      </c>
      <c r="F272" s="104">
        <f t="shared" si="439"/>
        <v>0.34990931762327654</v>
      </c>
      <c r="G272" s="104">
        <f t="shared" si="439"/>
        <v>0.34930234560496015</v>
      </c>
      <c r="H272" s="104">
        <f t="shared" si="439"/>
        <v>0.3360896514819065</v>
      </c>
      <c r="I272" s="104">
        <f t="shared" si="439"/>
        <v>0.32667351582807241</v>
      </c>
      <c r="J272" s="104">
        <f t="shared" si="439"/>
        <v>0.31805944633755273</v>
      </c>
      <c r="K272" s="104">
        <f t="shared" si="439"/>
        <v>0.28613651066419976</v>
      </c>
      <c r="L272" s="104">
        <f t="shared" ref="L272" si="440">IF(L54=0,0,L54/L$46)</f>
        <v>0.294150065733363</v>
      </c>
      <c r="M272" s="104">
        <f t="shared" ref="M272:V272" si="441">IF(M54=0,0,M54/M$46)</f>
        <v>0.27382788490018073</v>
      </c>
      <c r="N272" s="104">
        <f t="shared" si="441"/>
        <v>0.2490718895328595</v>
      </c>
      <c r="O272" s="104">
        <f t="shared" si="441"/>
        <v>0.24363931992744467</v>
      </c>
      <c r="P272" s="104">
        <f t="shared" si="441"/>
        <v>0.22612862454567578</v>
      </c>
      <c r="Q272" s="104">
        <f t="shared" si="441"/>
        <v>0.20357562793505657</v>
      </c>
      <c r="R272" s="104">
        <f t="shared" si="441"/>
        <v>0.22408171088037021</v>
      </c>
      <c r="S272" s="104">
        <f t="shared" si="441"/>
        <v>0.22561605414034708</v>
      </c>
      <c r="T272" s="104">
        <f t="shared" si="441"/>
        <v>0.21374190749626981</v>
      </c>
      <c r="U272" s="104">
        <f t="shared" si="441"/>
        <v>0.20989805663517347</v>
      </c>
      <c r="V272" s="104">
        <f t="shared" si="441"/>
        <v>0.20173812696425458</v>
      </c>
      <c r="W272" s="104">
        <f t="shared" ref="W272:Y272" si="442">IF(W54=0,0,W54/W$46)</f>
        <v>0.1987479627709357</v>
      </c>
      <c r="X272" s="104">
        <f t="shared" si="442"/>
        <v>0.20128091399460088</v>
      </c>
      <c r="Y272" s="104">
        <f t="shared" si="442"/>
        <v>0.18508072327054673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8.4448703150866253E-3</v>
      </c>
      <c r="C273" s="105">
        <f t="shared" si="443"/>
        <v>8.8090735052368929E-3</v>
      </c>
      <c r="D273" s="105">
        <f t="shared" si="443"/>
        <v>9.0951065987430989E-3</v>
      </c>
      <c r="E273" s="105">
        <f t="shared" si="443"/>
        <v>9.1963349048850701E-3</v>
      </c>
      <c r="F273" s="105">
        <f t="shared" si="443"/>
        <v>1.0345043717076081E-2</v>
      </c>
      <c r="G273" s="105">
        <f t="shared" si="443"/>
        <v>1.0342210472202844E-2</v>
      </c>
      <c r="H273" s="105">
        <f t="shared" si="443"/>
        <v>1.1057040378754521E-2</v>
      </c>
      <c r="I273" s="105">
        <f t="shared" si="443"/>
        <v>1.1004410205792455E-2</v>
      </c>
      <c r="J273" s="105">
        <f t="shared" si="443"/>
        <v>1.0579666397683894E-2</v>
      </c>
      <c r="K273" s="105">
        <f t="shared" si="443"/>
        <v>1.0126686479996344E-2</v>
      </c>
      <c r="L273" s="105">
        <f t="shared" ref="L273" si="444">IF(L55=0,0,L55/L$46)</f>
        <v>1.2245085782745187E-2</v>
      </c>
      <c r="M273" s="105">
        <f t="shared" ref="M273:V273" si="445">IF(M55=0,0,M55/M$46)</f>
        <v>7.8447461429354496E-3</v>
      </c>
      <c r="N273" s="105">
        <f t="shared" si="445"/>
        <v>9.8381562788314898E-3</v>
      </c>
      <c r="O273" s="105">
        <f t="shared" si="445"/>
        <v>8.2559182552307837E-3</v>
      </c>
      <c r="P273" s="105">
        <f t="shared" si="445"/>
        <v>1.060616004020536E-2</v>
      </c>
      <c r="Q273" s="105">
        <f t="shared" si="445"/>
        <v>1.2113735322033057E-2</v>
      </c>
      <c r="R273" s="105">
        <f t="shared" si="445"/>
        <v>9.6640102716952815E-3</v>
      </c>
      <c r="S273" s="105">
        <f t="shared" si="445"/>
        <v>9.3195022727073223E-3</v>
      </c>
      <c r="T273" s="105">
        <f t="shared" si="445"/>
        <v>1.02806659081211E-2</v>
      </c>
      <c r="U273" s="105">
        <f t="shared" si="445"/>
        <v>8.4316253108176285E-3</v>
      </c>
      <c r="V273" s="105">
        <f t="shared" si="445"/>
        <v>8.6171529245563112E-3</v>
      </c>
      <c r="W273" s="105">
        <f t="shared" ref="W273:Y273" si="446">IF(W55=0,0,W55/W$46)</f>
        <v>1.0478556432557863E-2</v>
      </c>
      <c r="X273" s="105">
        <f t="shared" si="446"/>
        <v>1.0135529396876147E-2</v>
      </c>
      <c r="Y273" s="105">
        <f t="shared" si="446"/>
        <v>9.6854331940780195E-3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3539.8852551423688</v>
      </c>
      <c r="C4" s="145">
        <f t="shared" si="0"/>
        <v>3600.4799092307858</v>
      </c>
      <c r="D4" s="145">
        <f t="shared" si="0"/>
        <v>3673.8878470822633</v>
      </c>
      <c r="E4" s="145">
        <f t="shared" si="0"/>
        <v>3732.6363373727036</v>
      </c>
      <c r="F4" s="145">
        <f t="shared" si="0"/>
        <v>3842.1415873200772</v>
      </c>
      <c r="G4" s="145">
        <f t="shared" si="0"/>
        <v>3849.5038615234907</v>
      </c>
      <c r="H4" s="145">
        <f t="shared" si="0"/>
        <v>3900.1011273562685</v>
      </c>
      <c r="I4" s="145">
        <f t="shared" si="0"/>
        <v>4023.8873394395514</v>
      </c>
      <c r="J4" s="145">
        <f t="shared" si="0"/>
        <v>3917.9952677254487</v>
      </c>
      <c r="K4" s="145">
        <f t="shared" si="0"/>
        <v>3802.2969812537576</v>
      </c>
      <c r="L4" s="145">
        <f t="shared" ref="L4" si="1">L5+L9+L10+L15</f>
        <v>3952.2312213209893</v>
      </c>
      <c r="M4" s="145">
        <f t="shared" ref="M4:V4" si="2">M5+M9+M10+M15</f>
        <v>3948.8536742197093</v>
      </c>
      <c r="N4" s="145">
        <f t="shared" si="2"/>
        <v>3871.1120934291589</v>
      </c>
      <c r="O4" s="145">
        <f t="shared" si="2"/>
        <v>3900.1005524650673</v>
      </c>
      <c r="P4" s="145">
        <f t="shared" si="2"/>
        <v>3824.7950894943046</v>
      </c>
      <c r="Q4" s="145">
        <f t="shared" si="2"/>
        <v>3826.6115414471951</v>
      </c>
      <c r="R4" s="145">
        <f t="shared" si="2"/>
        <v>3908.6504334736414</v>
      </c>
      <c r="S4" s="145">
        <f t="shared" si="2"/>
        <v>3912.502584087601</v>
      </c>
      <c r="T4" s="145">
        <f t="shared" si="2"/>
        <v>3944.7111849984958</v>
      </c>
      <c r="U4" s="145">
        <f t="shared" si="2"/>
        <v>3880.6488586925802</v>
      </c>
      <c r="V4" s="145">
        <f t="shared" si="2"/>
        <v>3654.4276927862011</v>
      </c>
      <c r="W4" s="145">
        <f t="shared" ref="W4:Y4" si="3">W5+W9+W10+W15</f>
        <v>3788.7152432666521</v>
      </c>
      <c r="X4" s="145">
        <f t="shared" si="3"/>
        <v>3612.5257682503275</v>
      </c>
      <c r="Y4" s="145">
        <f t="shared" si="3"/>
        <v>3524.2584251327521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3538.1436801375748</v>
      </c>
      <c r="C5" s="97">
        <f t="shared" si="4"/>
        <v>3598.7389509888217</v>
      </c>
      <c r="D5" s="97">
        <f t="shared" si="4"/>
        <v>3670.6314703353401</v>
      </c>
      <c r="E5" s="97">
        <f t="shared" si="4"/>
        <v>3726.0914875322442</v>
      </c>
      <c r="F5" s="97">
        <f t="shared" si="4"/>
        <v>3834.9398968185724</v>
      </c>
      <c r="G5" s="97">
        <f t="shared" si="4"/>
        <v>3846.90928632846</v>
      </c>
      <c r="H5" s="97">
        <f t="shared" si="4"/>
        <v>3895.9546001719677</v>
      </c>
      <c r="I5" s="97">
        <f t="shared" si="4"/>
        <v>4019.0481513327591</v>
      </c>
      <c r="J5" s="97">
        <f t="shared" si="4"/>
        <v>3842.705503009458</v>
      </c>
      <c r="K5" s="97">
        <f t="shared" si="4"/>
        <v>3666.8728288907987</v>
      </c>
      <c r="L5" s="97">
        <f t="shared" ref="L5" si="5">SUM(L6:L8)</f>
        <v>3808.9916595012892</v>
      </c>
      <c r="M5" s="97">
        <f t="shared" ref="M5:V5" si="6">SUM(M6:M8)</f>
        <v>3750.0100601891663</v>
      </c>
      <c r="N5" s="97">
        <f t="shared" si="6"/>
        <v>3673.0926053310404</v>
      </c>
      <c r="O5" s="97">
        <f t="shared" si="6"/>
        <v>3675.5183147033531</v>
      </c>
      <c r="P5" s="97">
        <f t="shared" si="6"/>
        <v>3326.52622527945</v>
      </c>
      <c r="Q5" s="97">
        <f t="shared" si="6"/>
        <v>3328.0225279449701</v>
      </c>
      <c r="R5" s="97">
        <f t="shared" si="6"/>
        <v>3728.6746345657775</v>
      </c>
      <c r="S5" s="97">
        <f t="shared" si="6"/>
        <v>3517.0679277730014</v>
      </c>
      <c r="T5" s="97">
        <f t="shared" si="6"/>
        <v>3570.3807394668956</v>
      </c>
      <c r="U5" s="97">
        <f t="shared" si="6"/>
        <v>3437.4153052450561</v>
      </c>
      <c r="V5" s="97">
        <f t="shared" si="6"/>
        <v>3235.4361994840929</v>
      </c>
      <c r="W5" s="97">
        <f t="shared" ref="W5:Y5" si="7">SUM(W6:W8)</f>
        <v>3084.6955288048148</v>
      </c>
      <c r="X5" s="97">
        <f t="shared" si="7"/>
        <v>3014.4822871883061</v>
      </c>
      <c r="Y5" s="97">
        <f t="shared" si="7"/>
        <v>2899.8877901977639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0</v>
      </c>
      <c r="D6" s="97">
        <v>0</v>
      </c>
      <c r="E6" s="97">
        <v>0</v>
      </c>
      <c r="F6" s="97">
        <v>0</v>
      </c>
      <c r="G6" s="97">
        <v>0</v>
      </c>
      <c r="H6" s="97">
        <v>0</v>
      </c>
      <c r="I6" s="97">
        <v>0</v>
      </c>
      <c r="J6" s="97">
        <v>0</v>
      </c>
      <c r="K6" s="97">
        <v>0</v>
      </c>
      <c r="L6" s="97">
        <v>0</v>
      </c>
      <c r="M6" s="97">
        <v>0</v>
      </c>
      <c r="N6" s="97">
        <v>0</v>
      </c>
      <c r="O6" s="97">
        <v>0</v>
      </c>
      <c r="P6" s="97">
        <v>0</v>
      </c>
      <c r="Q6" s="97">
        <v>0</v>
      </c>
      <c r="R6" s="97">
        <v>0</v>
      </c>
      <c r="S6" s="97">
        <v>0</v>
      </c>
      <c r="T6" s="97">
        <v>0</v>
      </c>
      <c r="U6" s="97">
        <v>0</v>
      </c>
      <c r="V6" s="97">
        <v>0</v>
      </c>
      <c r="W6" s="97">
        <v>0</v>
      </c>
      <c r="X6" s="97">
        <v>0</v>
      </c>
      <c r="Y6" s="97">
        <v>0</v>
      </c>
      <c r="DA6" s="175" t="s">
        <v>630</v>
      </c>
    </row>
    <row r="7" spans="1:105" ht="11.45" customHeight="1" x14ac:dyDescent="0.25">
      <c r="A7" s="128" t="s">
        <v>53</v>
      </c>
      <c r="B7" s="97">
        <v>1701.8008598452279</v>
      </c>
      <c r="C7" s="97">
        <v>1725.422785898538</v>
      </c>
      <c r="D7" s="97">
        <v>1756.2338779019781</v>
      </c>
      <c r="E7" s="97">
        <v>1761.369045571797</v>
      </c>
      <c r="F7" s="97">
        <v>1793.4858125537401</v>
      </c>
      <c r="G7" s="97">
        <v>1789.099054170249</v>
      </c>
      <c r="H7" s="97">
        <v>1773.0374892519339</v>
      </c>
      <c r="I7" s="97">
        <v>1768.271195184866</v>
      </c>
      <c r="J7" s="97">
        <v>1585.745657781599</v>
      </c>
      <c r="K7" s="97">
        <v>1528.231556319862</v>
      </c>
      <c r="L7" s="97">
        <v>1492.285296646603</v>
      </c>
      <c r="M7" s="97">
        <v>1411.1493551160791</v>
      </c>
      <c r="N7" s="97">
        <v>1355.689337919174</v>
      </c>
      <c r="O7" s="97">
        <v>1385.922441960447</v>
      </c>
      <c r="P7" s="97">
        <v>1334.0928632846089</v>
      </c>
      <c r="Q7" s="97">
        <v>1326.83671539123</v>
      </c>
      <c r="R7" s="97">
        <v>1321.6537403267409</v>
      </c>
      <c r="S7" s="97">
        <v>1269.824247635426</v>
      </c>
      <c r="T7" s="97">
        <v>1251.1656061908859</v>
      </c>
      <c r="U7" s="97">
        <v>1223.177644024076</v>
      </c>
      <c r="V7" s="97">
        <v>1127.8111779879621</v>
      </c>
      <c r="W7" s="97">
        <v>1136.1039552880479</v>
      </c>
      <c r="X7" s="97">
        <v>1056.2864144453999</v>
      </c>
      <c r="Y7" s="97">
        <v>1056.2864144453999</v>
      </c>
      <c r="DA7" s="175" t="s">
        <v>631</v>
      </c>
    </row>
    <row r="8" spans="1:105" ht="11.45" customHeight="1" x14ac:dyDescent="0.25">
      <c r="A8" s="128" t="s">
        <v>54</v>
      </c>
      <c r="B8" s="97">
        <v>1836.3428202923469</v>
      </c>
      <c r="C8" s="97">
        <v>1873.3161650902839</v>
      </c>
      <c r="D8" s="97">
        <v>1914.397592433362</v>
      </c>
      <c r="E8" s="97">
        <v>1964.722441960447</v>
      </c>
      <c r="F8" s="97">
        <v>2041.4540842648321</v>
      </c>
      <c r="G8" s="97">
        <v>2057.810232158211</v>
      </c>
      <c r="H8" s="97">
        <v>2122.9171109200338</v>
      </c>
      <c r="I8" s="97">
        <v>2250.7769561478931</v>
      </c>
      <c r="J8" s="97">
        <v>2256.9598452278592</v>
      </c>
      <c r="K8" s="97">
        <v>2138.641272570937</v>
      </c>
      <c r="L8" s="97">
        <v>2316.7063628546862</v>
      </c>
      <c r="M8" s="97">
        <v>2338.860705073087</v>
      </c>
      <c r="N8" s="97">
        <v>2317.4032674118662</v>
      </c>
      <c r="O8" s="97">
        <v>2289.5958727429061</v>
      </c>
      <c r="P8" s="97">
        <v>1992.4333619948411</v>
      </c>
      <c r="Q8" s="97">
        <v>2001.1858125537401</v>
      </c>
      <c r="R8" s="97">
        <v>2407.0208942390368</v>
      </c>
      <c r="S8" s="97">
        <v>2247.2436801375752</v>
      </c>
      <c r="T8" s="97">
        <v>2319.21513327601</v>
      </c>
      <c r="U8" s="97">
        <v>2214.23766122098</v>
      </c>
      <c r="V8" s="97">
        <v>2107.625021496131</v>
      </c>
      <c r="W8" s="97">
        <v>1948.5915735167671</v>
      </c>
      <c r="X8" s="97">
        <v>1958.195872742906</v>
      </c>
      <c r="Y8" s="97">
        <v>1843.601375752364</v>
      </c>
      <c r="DA8" s="175" t="s">
        <v>632</v>
      </c>
    </row>
    <row r="9" spans="1:105" ht="11.45" customHeight="1" x14ac:dyDescent="0.25">
      <c r="A9" s="92" t="s">
        <v>55</v>
      </c>
      <c r="B9" s="97">
        <v>1.7196904557179711</v>
      </c>
      <c r="C9" s="97">
        <v>1.7196904557179711</v>
      </c>
      <c r="D9" s="97">
        <v>2.5795356835769558</v>
      </c>
      <c r="E9" s="97">
        <v>2.5795356835769558</v>
      </c>
      <c r="F9" s="97">
        <v>2.5795356835769558</v>
      </c>
      <c r="G9" s="97">
        <v>2.5795356835769558</v>
      </c>
      <c r="H9" s="97">
        <v>3.4393809114359408</v>
      </c>
      <c r="I9" s="97">
        <v>3.4393809114359408</v>
      </c>
      <c r="J9" s="97">
        <v>4.2991401547721413</v>
      </c>
      <c r="K9" s="97">
        <v>5.1590713671539117</v>
      </c>
      <c r="L9" s="97">
        <v>5.1590713671539117</v>
      </c>
      <c r="M9" s="97">
        <v>3.439329370498208</v>
      </c>
      <c r="N9" s="97">
        <v>5.5022217247042686</v>
      </c>
      <c r="O9" s="97">
        <v>3.4358511480957215</v>
      </c>
      <c r="P9" s="97">
        <v>3.6498581576761806</v>
      </c>
      <c r="Q9" s="97">
        <v>3.5142804182279312</v>
      </c>
      <c r="R9" s="97">
        <v>3.9403423392321359</v>
      </c>
      <c r="S9" s="97">
        <v>4.7956583021434342</v>
      </c>
      <c r="T9" s="97">
        <v>6.8698343703818257</v>
      </c>
      <c r="U9" s="97">
        <v>10.87352230856594</v>
      </c>
      <c r="V9" s="97">
        <v>13.804041993170786</v>
      </c>
      <c r="W9" s="97">
        <v>16.206347888113669</v>
      </c>
      <c r="X9" s="97">
        <v>18.975456825928418</v>
      </c>
      <c r="Y9" s="97">
        <v>21.471667768452349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0.65795356835769558</v>
      </c>
      <c r="E10" s="97">
        <f t="shared" si="8"/>
        <v>3.9478073946689589</v>
      </c>
      <c r="F10" s="97">
        <f t="shared" si="8"/>
        <v>4.6058469475494412</v>
      </c>
      <c r="G10" s="97">
        <f t="shared" si="8"/>
        <v>0</v>
      </c>
      <c r="H10" s="97">
        <f t="shared" si="8"/>
        <v>0.69269131556319852</v>
      </c>
      <c r="I10" s="97">
        <f t="shared" si="8"/>
        <v>1.385296646603611</v>
      </c>
      <c r="J10" s="97">
        <f t="shared" si="8"/>
        <v>70.974548581255362</v>
      </c>
      <c r="K10" s="97">
        <f t="shared" si="8"/>
        <v>130.24720550300944</v>
      </c>
      <c r="L10" s="97">
        <f t="shared" si="8"/>
        <v>138.05950128976784</v>
      </c>
      <c r="M10" s="97">
        <f t="shared" si="8"/>
        <v>195.37597587455764</v>
      </c>
      <c r="N10" s="97">
        <f t="shared" si="8"/>
        <v>192.37241284107392</v>
      </c>
      <c r="O10" s="97">
        <f t="shared" si="8"/>
        <v>221.01788917864545</v>
      </c>
      <c r="P10" s="97">
        <f t="shared" si="8"/>
        <v>494.37920461102544</v>
      </c>
      <c r="Q10" s="97">
        <f t="shared" si="8"/>
        <v>494.68356996870239</v>
      </c>
      <c r="R10" s="97">
        <f t="shared" si="8"/>
        <v>175.26842808209202</v>
      </c>
      <c r="S10" s="97">
        <f t="shared" si="8"/>
        <v>389.19849475030708</v>
      </c>
      <c r="T10" s="97">
        <f t="shared" si="8"/>
        <v>364.88614155395175</v>
      </c>
      <c r="U10" s="97">
        <f t="shared" si="8"/>
        <v>427.27978809556129</v>
      </c>
      <c r="V10" s="97">
        <f t="shared" si="8"/>
        <v>396.36096230605523</v>
      </c>
      <c r="W10" s="97">
        <f t="shared" si="8"/>
        <v>669.44988598978819</v>
      </c>
      <c r="X10" s="97">
        <f t="shared" ref="X10:Y10" si="9">SUM(X11:X13)</f>
        <v>547.48567816977231</v>
      </c>
      <c r="Y10" s="97">
        <f t="shared" si="9"/>
        <v>562.18955321177111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2.3903697334479789E-2</v>
      </c>
      <c r="L11" s="97">
        <v>4.7807394668959592E-2</v>
      </c>
      <c r="M11" s="97">
        <v>7.1676648418386293E-2</v>
      </c>
      <c r="N11" s="97">
        <v>7.2412841073891232E-2</v>
      </c>
      <c r="O11" s="97">
        <v>9.9058568155352716E-2</v>
      </c>
      <c r="P11" s="97">
        <v>0.17163797302029385</v>
      </c>
      <c r="Q11" s="97">
        <v>0.17823892828969576</v>
      </c>
      <c r="R11" s="97">
        <v>0.20608930307224885</v>
      </c>
      <c r="S11" s="97">
        <v>0.35791005555217897</v>
      </c>
      <c r="T11" s="97">
        <v>1.0103891893774166</v>
      </c>
      <c r="U11" s="97">
        <v>1.6001664274615739</v>
      </c>
      <c r="V11" s="97">
        <v>4.1466028907501036</v>
      </c>
      <c r="W11" s="97">
        <v>5.4025085177332768</v>
      </c>
      <c r="X11" s="97">
        <v>8.7419120476743331</v>
      </c>
      <c r="Y11" s="97">
        <v>9.1288481386843632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0.65795356835769558</v>
      </c>
      <c r="E12" s="97">
        <v>3.9478073946689589</v>
      </c>
      <c r="F12" s="97">
        <v>4.6058469475494412</v>
      </c>
      <c r="G12" s="97">
        <v>0</v>
      </c>
      <c r="H12" s="97">
        <v>0.69269131556319852</v>
      </c>
      <c r="I12" s="97">
        <v>1.385296646603611</v>
      </c>
      <c r="J12" s="97">
        <v>59.794325021496128</v>
      </c>
      <c r="K12" s="97">
        <v>71.510748065348224</v>
      </c>
      <c r="L12" s="97">
        <v>75.422098022355968</v>
      </c>
      <c r="M12" s="97">
        <v>86.048409286328464</v>
      </c>
      <c r="N12" s="97">
        <v>89.429062768701627</v>
      </c>
      <c r="O12" s="97">
        <v>64.952536543422184</v>
      </c>
      <c r="P12" s="97">
        <v>67.975408426483227</v>
      </c>
      <c r="Q12" s="97">
        <v>64.227343078245923</v>
      </c>
      <c r="R12" s="97">
        <v>66.202665520206367</v>
      </c>
      <c r="S12" s="97">
        <v>78.723043852106613</v>
      </c>
      <c r="T12" s="97">
        <v>82.410834049871013</v>
      </c>
      <c r="U12" s="97">
        <v>87.161220980223547</v>
      </c>
      <c r="V12" s="97">
        <v>90.723989681857248</v>
      </c>
      <c r="W12" s="97">
        <v>109.20636285468611</v>
      </c>
      <c r="X12" s="97">
        <v>115.0435081685297</v>
      </c>
      <c r="Y12" s="97">
        <v>132.88108340498709</v>
      </c>
      <c r="DA12" s="175" t="s">
        <v>635</v>
      </c>
    </row>
    <row r="13" spans="1:105" ht="11.45" customHeight="1" x14ac:dyDescent="0.25">
      <c r="A13" s="128" t="s">
        <v>177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11.18022355975924</v>
      </c>
      <c r="K13" s="97">
        <v>58.71255374032674</v>
      </c>
      <c r="L13" s="97">
        <v>62.589595872742898</v>
      </c>
      <c r="M13" s="97">
        <v>109.2558899398108</v>
      </c>
      <c r="N13" s="97">
        <v>102.8709372312984</v>
      </c>
      <c r="O13" s="97">
        <v>155.96629406706791</v>
      </c>
      <c r="P13" s="97">
        <v>426.23215821152189</v>
      </c>
      <c r="Q13" s="97">
        <v>430.27798796216678</v>
      </c>
      <c r="R13" s="97">
        <v>108.8596732588134</v>
      </c>
      <c r="S13" s="97">
        <v>310.11754084264828</v>
      </c>
      <c r="T13" s="97">
        <v>281.46491831470331</v>
      </c>
      <c r="U13" s="97">
        <v>338.51840068787618</v>
      </c>
      <c r="V13" s="97">
        <v>301.49036973344789</v>
      </c>
      <c r="W13" s="97">
        <v>554.84101461736884</v>
      </c>
      <c r="X13" s="97">
        <v>423.70025795356833</v>
      </c>
      <c r="Y13" s="97">
        <v>420.17962166809968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2.1884549075601042E-2</v>
      </c>
      <c r="C15" s="98">
        <v>2.1267786245874384E-2</v>
      </c>
      <c r="D15" s="98">
        <v>1.8887494988427896E-2</v>
      </c>
      <c r="E15" s="98">
        <v>1.7506762213483195E-2</v>
      </c>
      <c r="F15" s="98">
        <v>1.6307870378386255E-2</v>
      </c>
      <c r="G15" s="98">
        <v>1.5039511453579291E-2</v>
      </c>
      <c r="H15" s="98">
        <v>1.4454957301759285E-2</v>
      </c>
      <c r="I15" s="98">
        <v>1.4510548752726666E-2</v>
      </c>
      <c r="J15" s="98">
        <v>1.6075979963066197E-2</v>
      </c>
      <c r="K15" s="98">
        <v>1.7875492795800738E-2</v>
      </c>
      <c r="L15" s="98">
        <v>2.0989162778086268E-2</v>
      </c>
      <c r="M15" s="98">
        <v>2.8308785486865828E-2</v>
      </c>
      <c r="N15" s="98">
        <v>0.14485353234007667</v>
      </c>
      <c r="O15" s="98">
        <v>0.12849743497262256</v>
      </c>
      <c r="P15" s="98">
        <v>0.23980144615277135</v>
      </c>
      <c r="Q15" s="98">
        <v>0.39116311529497894</v>
      </c>
      <c r="R15" s="98">
        <v>0.76702848653960043</v>
      </c>
      <c r="S15" s="98">
        <v>1.4405032621494729</v>
      </c>
      <c r="T15" s="98">
        <v>2.5744696072667819</v>
      </c>
      <c r="U15" s="98">
        <v>5.0802430433967771</v>
      </c>
      <c r="V15" s="98">
        <v>8.8264890028821519</v>
      </c>
      <c r="W15" s="98">
        <v>18.363480583935541</v>
      </c>
      <c r="X15" s="98">
        <v>31.582346066320397</v>
      </c>
      <c r="Y15" s="98">
        <v>40.709413954764742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3539.8852551423684</v>
      </c>
      <c r="C17" s="79">
        <f t="shared" si="10"/>
        <v>3600.4799092307858</v>
      </c>
      <c r="D17" s="79">
        <f t="shared" si="10"/>
        <v>3673.8878470822638</v>
      </c>
      <c r="E17" s="79">
        <f t="shared" si="10"/>
        <v>3732.6363373727031</v>
      </c>
      <c r="F17" s="79">
        <f t="shared" si="10"/>
        <v>3842.1415873200767</v>
      </c>
      <c r="G17" s="79">
        <f t="shared" si="10"/>
        <v>3849.5038615234907</v>
      </c>
      <c r="H17" s="79">
        <f t="shared" si="10"/>
        <v>3900.1011273562685</v>
      </c>
      <c r="I17" s="79">
        <f t="shared" si="10"/>
        <v>4023.8873394395519</v>
      </c>
      <c r="J17" s="79">
        <f t="shared" si="10"/>
        <v>3917.9952677254491</v>
      </c>
      <c r="K17" s="79">
        <f t="shared" si="10"/>
        <v>3802.2969812537576</v>
      </c>
      <c r="L17" s="79">
        <f t="shared" ref="L17" si="11">L18+L42</f>
        <v>3952.2312213209898</v>
      </c>
      <c r="M17" s="79">
        <f t="shared" ref="M17:V17" si="12">M18+M42</f>
        <v>3948.8536742197089</v>
      </c>
      <c r="N17" s="79">
        <f t="shared" si="12"/>
        <v>3871.1120934291594</v>
      </c>
      <c r="O17" s="79">
        <f t="shared" si="12"/>
        <v>3900.1005524650664</v>
      </c>
      <c r="P17" s="79">
        <f t="shared" si="12"/>
        <v>3824.7950894943046</v>
      </c>
      <c r="Q17" s="79">
        <f t="shared" si="12"/>
        <v>3826.6115414471956</v>
      </c>
      <c r="R17" s="79">
        <f t="shared" si="12"/>
        <v>3908.6504334736419</v>
      </c>
      <c r="S17" s="79">
        <f t="shared" si="12"/>
        <v>3912.502584087601</v>
      </c>
      <c r="T17" s="79">
        <f t="shared" si="12"/>
        <v>3944.7111849984958</v>
      </c>
      <c r="U17" s="79">
        <f t="shared" si="12"/>
        <v>3880.6488586925798</v>
      </c>
      <c r="V17" s="79">
        <f t="shared" si="12"/>
        <v>3654.4276927862015</v>
      </c>
      <c r="W17" s="79">
        <f t="shared" ref="W17:Y17" si="13">W18+W42</f>
        <v>3788.7152432666521</v>
      </c>
      <c r="X17" s="79">
        <f t="shared" si="13"/>
        <v>3612.525768250327</v>
      </c>
      <c r="Y17" s="79">
        <f t="shared" si="13"/>
        <v>3524.2584251327526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2334.6896872340803</v>
      </c>
      <c r="C18" s="32">
        <f t="shared" si="14"/>
        <v>2361.2065683236287</v>
      </c>
      <c r="D18" s="32">
        <f t="shared" si="14"/>
        <v>2418.6076901037991</v>
      </c>
      <c r="E18" s="32">
        <f t="shared" si="14"/>
        <v>2467.2467836684773</v>
      </c>
      <c r="F18" s="32">
        <f t="shared" si="14"/>
        <v>2528.0217154246948</v>
      </c>
      <c r="G18" s="32">
        <f t="shared" si="14"/>
        <v>2544.7100963268231</v>
      </c>
      <c r="H18" s="32">
        <f t="shared" si="14"/>
        <v>2601.5165343634903</v>
      </c>
      <c r="I18" s="32">
        <f t="shared" si="14"/>
        <v>2687.528531437129</v>
      </c>
      <c r="J18" s="32">
        <f t="shared" si="14"/>
        <v>2618.6505282055195</v>
      </c>
      <c r="K18" s="32">
        <f t="shared" si="14"/>
        <v>2634.7434842219473</v>
      </c>
      <c r="L18" s="32">
        <f t="shared" ref="L18" si="15">L19+L21+L33</f>
        <v>2690.3062100173147</v>
      </c>
      <c r="M18" s="32">
        <f t="shared" ref="M18:V18" si="16">M19+M21+M33</f>
        <v>2727.4529430691591</v>
      </c>
      <c r="N18" s="32">
        <f t="shared" si="16"/>
        <v>2719.8030145345297</v>
      </c>
      <c r="O18" s="32">
        <f t="shared" si="16"/>
        <v>2731.1180307570826</v>
      </c>
      <c r="P18" s="32">
        <f t="shared" si="16"/>
        <v>2709.6369931734216</v>
      </c>
      <c r="Q18" s="32">
        <f t="shared" si="16"/>
        <v>2746.2424860180854</v>
      </c>
      <c r="R18" s="32">
        <f t="shared" si="16"/>
        <v>2729.3517526678838</v>
      </c>
      <c r="S18" s="32">
        <f t="shared" si="16"/>
        <v>2744.5607868874417</v>
      </c>
      <c r="T18" s="32">
        <f t="shared" si="16"/>
        <v>2757.0027231068661</v>
      </c>
      <c r="U18" s="32">
        <f t="shared" si="16"/>
        <v>2706.2605656569272</v>
      </c>
      <c r="V18" s="32">
        <f t="shared" si="16"/>
        <v>2509.2493354975254</v>
      </c>
      <c r="W18" s="32">
        <f t="shared" ref="W18:Y18" si="17">W19+W21+W33</f>
        <v>2541.8930007818408</v>
      </c>
      <c r="X18" s="32">
        <f t="shared" si="17"/>
        <v>2421.5356250638138</v>
      </c>
      <c r="Y18" s="32">
        <f t="shared" si="17"/>
        <v>2416.6175938284714</v>
      </c>
      <c r="DA18" s="173" t="s">
        <v>391</v>
      </c>
    </row>
    <row r="19" spans="1:105" ht="11.45" customHeight="1" x14ac:dyDescent="0.25">
      <c r="A19" s="107" t="s">
        <v>174</v>
      </c>
      <c r="B19" s="129">
        <v>39.47603358400351</v>
      </c>
      <c r="C19" s="129">
        <v>38.962899956726176</v>
      </c>
      <c r="D19" s="129">
        <v>38.401675221345243</v>
      </c>
      <c r="E19" s="129">
        <v>37.814966912611879</v>
      </c>
      <c r="F19" s="129">
        <v>37.328158551797117</v>
      </c>
      <c r="G19" s="129">
        <v>36.862710673633984</v>
      </c>
      <c r="H19" s="129">
        <v>36.459806863383648</v>
      </c>
      <c r="I19" s="129">
        <v>36.233639930017944</v>
      </c>
      <c r="J19" s="129">
        <v>35.678090743092959</v>
      </c>
      <c r="K19" s="129">
        <v>35.180909695937714</v>
      </c>
      <c r="L19" s="129">
        <v>46.142739032311866</v>
      </c>
      <c r="M19" s="129">
        <v>45.416886840916369</v>
      </c>
      <c r="N19" s="129">
        <v>44.760807949170186</v>
      </c>
      <c r="O19" s="129">
        <v>44.359565983900644</v>
      </c>
      <c r="P19" s="129">
        <v>43.853592239222337</v>
      </c>
      <c r="Q19" s="129">
        <v>43.396773922751308</v>
      </c>
      <c r="R19" s="129">
        <v>44.206092799982628</v>
      </c>
      <c r="S19" s="129">
        <v>41.398231336092664</v>
      </c>
      <c r="T19" s="129">
        <v>39.145913571847501</v>
      </c>
      <c r="U19" s="129">
        <v>41.235016618996951</v>
      </c>
      <c r="V19" s="129">
        <v>36.650707371645325</v>
      </c>
      <c r="W19" s="129">
        <v>37.737981240636053</v>
      </c>
      <c r="X19" s="129">
        <v>37.855019538213263</v>
      </c>
      <c r="Y19" s="129">
        <v>40.581227857268281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1.4381374419421115E-2</v>
      </c>
      <c r="E20" s="97">
        <v>8.4566238494754253E-2</v>
      </c>
      <c r="F20" s="97">
        <v>9.561680808369992E-2</v>
      </c>
      <c r="G20" s="97">
        <v>0</v>
      </c>
      <c r="H20" s="97">
        <v>1.4238575775542705E-2</v>
      </c>
      <c r="I20" s="97">
        <v>2.8363888766541896E-2</v>
      </c>
      <c r="J20" s="97">
        <v>1.2964421261918426</v>
      </c>
      <c r="K20" s="97">
        <v>1.5726365196942198</v>
      </c>
      <c r="L20" s="97">
        <v>2.2199182054951652</v>
      </c>
      <c r="M20" s="97">
        <v>2.6102435899360956</v>
      </c>
      <c r="N20" s="97">
        <v>2.7699578814848338</v>
      </c>
      <c r="O20" s="97">
        <v>1.9858818804572624</v>
      </c>
      <c r="P20" s="97">
        <v>2.12612032065429</v>
      </c>
      <c r="Q20" s="97">
        <v>2.0036888094803618</v>
      </c>
      <c r="R20" s="97">
        <v>2.1086916220316771</v>
      </c>
      <c r="S20" s="97">
        <v>2.4166707400198035</v>
      </c>
      <c r="T20" s="97">
        <v>2.4190944663942204</v>
      </c>
      <c r="U20" s="97">
        <v>2.74287399362133</v>
      </c>
      <c r="V20" s="97">
        <v>2.7287668716007922</v>
      </c>
      <c r="W20" s="97">
        <v>3.3093981578139258</v>
      </c>
      <c r="X20" s="97">
        <v>3.7179740441922338</v>
      </c>
      <c r="Y20" s="97">
        <v>4.5346660864228365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2077.1986449950405</v>
      </c>
      <c r="C21" s="130">
        <f t="shared" si="18"/>
        <v>2108.6704751926741</v>
      </c>
      <c r="D21" s="130">
        <f t="shared" si="18"/>
        <v>2164.5043857651922</v>
      </c>
      <c r="E21" s="130">
        <f t="shared" si="18"/>
        <v>2207.7391183659611</v>
      </c>
      <c r="F21" s="130">
        <f t="shared" si="18"/>
        <v>2260.6054550256176</v>
      </c>
      <c r="G21" s="130">
        <f t="shared" si="18"/>
        <v>2280.8082479671252</v>
      </c>
      <c r="H21" s="130">
        <f t="shared" si="18"/>
        <v>2329.6901340161103</v>
      </c>
      <c r="I21" s="130">
        <f t="shared" si="18"/>
        <v>2406.9743564914147</v>
      </c>
      <c r="J21" s="130">
        <f t="shared" si="18"/>
        <v>2337.7005868304364</v>
      </c>
      <c r="K21" s="130">
        <f t="shared" si="18"/>
        <v>2344.7292268067322</v>
      </c>
      <c r="L21" s="130">
        <f t="shared" ref="L21" si="19">L22+L24+L26+L27+L29+L32</f>
        <v>2377.5582629787746</v>
      </c>
      <c r="M21" s="130">
        <f t="shared" ref="M21:V21" si="20">M22+M24+M26+M27+M29+M32</f>
        <v>2408.9100507303265</v>
      </c>
      <c r="N21" s="130">
        <f t="shared" si="20"/>
        <v>2390.2841730659393</v>
      </c>
      <c r="O21" s="130">
        <f t="shared" si="20"/>
        <v>2393.122402054049</v>
      </c>
      <c r="P21" s="130">
        <f t="shared" si="20"/>
        <v>2363.0597411198873</v>
      </c>
      <c r="Q21" s="130">
        <f t="shared" si="20"/>
        <v>2388.2515805687749</v>
      </c>
      <c r="R21" s="130">
        <f t="shared" si="20"/>
        <v>2347.0902161606368</v>
      </c>
      <c r="S21" s="130">
        <f t="shared" si="20"/>
        <v>2365.209565886104</v>
      </c>
      <c r="T21" s="130">
        <f t="shared" si="20"/>
        <v>2382.9277998153166</v>
      </c>
      <c r="U21" s="130">
        <f t="shared" si="20"/>
        <v>2341.0970660639568</v>
      </c>
      <c r="V21" s="130">
        <f t="shared" si="20"/>
        <v>2192.9522886430723</v>
      </c>
      <c r="W21" s="130">
        <f t="shared" ref="W21:Y21" si="21">W22+W24+W26+W27+W29+W32</f>
        <v>2249.2252058616091</v>
      </c>
      <c r="X21" s="130">
        <f t="shared" si="21"/>
        <v>2108.7414045018854</v>
      </c>
      <c r="Y21" s="130">
        <f t="shared" si="21"/>
        <v>2091.3919848725609</v>
      </c>
      <c r="DA21" s="176" t="s">
        <v>393</v>
      </c>
    </row>
    <row r="22" spans="1:105" ht="11.45" customHeight="1" x14ac:dyDescent="0.25">
      <c r="A22" s="111" t="s">
        <v>110</v>
      </c>
      <c r="B22" s="96">
        <v>1623.5954714755392</v>
      </c>
      <c r="C22" s="96">
        <v>1650.0051271366333</v>
      </c>
      <c r="D22" s="96">
        <v>1684.2327065018085</v>
      </c>
      <c r="E22" s="96">
        <v>1695.8862498567028</v>
      </c>
      <c r="F22" s="96">
        <v>1731.3248681790888</v>
      </c>
      <c r="G22" s="96">
        <v>1724.0414896415459</v>
      </c>
      <c r="H22" s="96">
        <v>1711.5332710067203</v>
      </c>
      <c r="I22" s="96">
        <v>1709.3145116231269</v>
      </c>
      <c r="J22" s="96">
        <v>1585.956831973944</v>
      </c>
      <c r="K22" s="96">
        <v>1541.8947495200068</v>
      </c>
      <c r="L22" s="96">
        <v>1499.2205454948182</v>
      </c>
      <c r="M22" s="96">
        <v>1429.8412901219006</v>
      </c>
      <c r="N22" s="96">
        <v>1379.0787287911598</v>
      </c>
      <c r="O22" s="96">
        <v>1386.0031121301924</v>
      </c>
      <c r="P22" s="96">
        <v>1338.3795812359972</v>
      </c>
      <c r="Q22" s="96">
        <v>1328.1976258786783</v>
      </c>
      <c r="R22" s="96">
        <v>1324.352802521749</v>
      </c>
      <c r="S22" s="96">
        <v>1287.6173639259589</v>
      </c>
      <c r="T22" s="96">
        <v>1273.8757413302856</v>
      </c>
      <c r="U22" s="96">
        <v>1247.2579376440826</v>
      </c>
      <c r="V22" s="96">
        <v>1158.6834502356512</v>
      </c>
      <c r="W22" s="96">
        <v>1180.8812984055905</v>
      </c>
      <c r="X22" s="96">
        <v>1105.4145259062668</v>
      </c>
      <c r="Y22" s="96">
        <v>1120.6299453598058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0.63074282624457334</v>
      </c>
      <c r="E23" s="96">
        <v>3.7925385839098884</v>
      </c>
      <c r="F23" s="96">
        <v>4.4348225059509971</v>
      </c>
      <c r="G23" s="96">
        <v>0</v>
      </c>
      <c r="H23" s="96">
        <v>0.66840168031899494</v>
      </c>
      <c r="I23" s="96">
        <v>1.3380606190367428</v>
      </c>
      <c r="J23" s="96">
        <v>57.629239807088794</v>
      </c>
      <c r="K23" s="96">
        <v>68.924880384770944</v>
      </c>
      <c r="L23" s="96">
        <v>72.127209021245477</v>
      </c>
      <c r="M23" s="96">
        <v>82.177232341787331</v>
      </c>
      <c r="N23" s="96">
        <v>85.342293158360576</v>
      </c>
      <c r="O23" s="96">
        <v>62.048363314367499</v>
      </c>
      <c r="P23" s="96">
        <v>64.88763814129662</v>
      </c>
      <c r="Q23" s="96">
        <v>61.324713318292872</v>
      </c>
      <c r="R23" s="96">
        <v>63.173456019458065</v>
      </c>
      <c r="S23" s="96">
        <v>75.166187233422889</v>
      </c>
      <c r="T23" s="96">
        <v>78.721518430524952</v>
      </c>
      <c r="U23" s="96">
        <v>82.965199022755883</v>
      </c>
      <c r="V23" s="96">
        <v>86.267830566382074</v>
      </c>
      <c r="W23" s="96">
        <v>103.55631819892523</v>
      </c>
      <c r="X23" s="96">
        <v>108.56955208393876</v>
      </c>
      <c r="Y23" s="96">
        <v>125.22249515283791</v>
      </c>
      <c r="DA23" s="171" t="s">
        <v>642</v>
      </c>
    </row>
    <row r="24" spans="1:105" ht="11.45" customHeight="1" x14ac:dyDescent="0.25">
      <c r="A24" s="111" t="s">
        <v>111</v>
      </c>
      <c r="B24" s="96">
        <v>453.60317351950118</v>
      </c>
      <c r="C24" s="96">
        <v>458.66534805604073</v>
      </c>
      <c r="D24" s="96">
        <v>480.27167926338359</v>
      </c>
      <c r="E24" s="96">
        <v>511.85286850925854</v>
      </c>
      <c r="F24" s="96">
        <v>529.28058684652876</v>
      </c>
      <c r="G24" s="96">
        <v>556.76675832557919</v>
      </c>
      <c r="H24" s="96">
        <v>618.15347744593225</v>
      </c>
      <c r="I24" s="96">
        <v>697.53922254425652</v>
      </c>
      <c r="J24" s="96">
        <v>751.4833281257429</v>
      </c>
      <c r="K24" s="96">
        <v>802.33223989297096</v>
      </c>
      <c r="L24" s="96">
        <v>877.68293113613959</v>
      </c>
      <c r="M24" s="96">
        <v>978.43878400142603</v>
      </c>
      <c r="N24" s="96">
        <v>1009.967031989957</v>
      </c>
      <c r="O24" s="96">
        <v>1006.0518678161045</v>
      </c>
      <c r="P24" s="96">
        <v>1023.3513724616325</v>
      </c>
      <c r="Q24" s="96">
        <v>1058.3543897247296</v>
      </c>
      <c r="R24" s="96">
        <v>1020.5129174221523</v>
      </c>
      <c r="S24" s="96">
        <v>1073.2725737791329</v>
      </c>
      <c r="T24" s="96">
        <v>1100.0542768147313</v>
      </c>
      <c r="U24" s="96">
        <v>1077.3671890200294</v>
      </c>
      <c r="V24" s="96">
        <v>1006.9514433040496</v>
      </c>
      <c r="W24" s="96">
        <v>1027.2217340250152</v>
      </c>
      <c r="X24" s="96">
        <v>945.825405711955</v>
      </c>
      <c r="Y24" s="96">
        <v>904.19604143382514</v>
      </c>
      <c r="DA24" s="171" t="s">
        <v>643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3.7042472488785383</v>
      </c>
      <c r="K25" s="96">
        <v>21.438047067454807</v>
      </c>
      <c r="L25" s="96">
        <v>23.088266830662317</v>
      </c>
      <c r="M25" s="96">
        <v>43.666302624421739</v>
      </c>
      <c r="N25" s="96">
        <v>42.927472826921971</v>
      </c>
      <c r="O25" s="96">
        <v>64.161191071746657</v>
      </c>
      <c r="P25" s="96">
        <v>180.34129169535973</v>
      </c>
      <c r="Q25" s="96">
        <v>187.28907140836719</v>
      </c>
      <c r="R25" s="96">
        <v>44.156588425602543</v>
      </c>
      <c r="S25" s="96">
        <v>130.15003453703281</v>
      </c>
      <c r="T25" s="96">
        <v>119.05604727348693</v>
      </c>
      <c r="U25" s="96">
        <v>142.86857378293229</v>
      </c>
      <c r="V25" s="96">
        <v>126.01561720562529</v>
      </c>
      <c r="W25" s="96">
        <v>227.66530716460991</v>
      </c>
      <c r="X25" s="96">
        <v>168.24682790093544</v>
      </c>
      <c r="Y25" s="96">
        <v>167.82751999260319</v>
      </c>
      <c r="DA25" s="171" t="s">
        <v>644</v>
      </c>
    </row>
    <row r="26" spans="1:105" ht="11.45" customHeight="1" x14ac:dyDescent="0.25">
      <c r="A26" s="111" t="s">
        <v>112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3.3855634580350845E-3</v>
      </c>
      <c r="I27" s="96">
        <v>0.12000800288548065</v>
      </c>
      <c r="J27" s="96">
        <v>0.25895992003364093</v>
      </c>
      <c r="K27" s="96">
        <v>0.49950554337338476</v>
      </c>
      <c r="L27" s="96">
        <v>0.64991877436367551</v>
      </c>
      <c r="M27" s="96">
        <v>0.61797383338550149</v>
      </c>
      <c r="N27" s="96">
        <v>1.1820598040797397</v>
      </c>
      <c r="O27" s="96">
        <v>0.95290098395853451</v>
      </c>
      <c r="P27" s="96">
        <v>1.0860665367454552</v>
      </c>
      <c r="Q27" s="96">
        <v>1.231253699886663</v>
      </c>
      <c r="R27" s="96">
        <v>1.2683842635479137</v>
      </c>
      <c r="S27" s="96">
        <v>2.1729777554861123</v>
      </c>
      <c r="T27" s="96">
        <v>4.3010444877310956</v>
      </c>
      <c r="U27" s="96">
        <v>8.2153782672931825</v>
      </c>
      <c r="V27" s="96">
        <v>13.500020506262672</v>
      </c>
      <c r="W27" s="96">
        <v>16.675915235369484</v>
      </c>
      <c r="X27" s="96">
        <v>21.712175468253236</v>
      </c>
      <c r="Y27" s="96">
        <v>23.550999791915707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2.3037018656524928E-3</v>
      </c>
      <c r="L28" s="96">
        <v>5.9672838124414365E-3</v>
      </c>
      <c r="M28" s="96">
        <v>1.2615840858342674E-2</v>
      </c>
      <c r="N28" s="96">
        <v>1.5354604453917751E-2</v>
      </c>
      <c r="O28" s="96">
        <v>2.6703088520423957E-2</v>
      </c>
      <c r="P28" s="96">
        <v>4.8779392299996067E-2</v>
      </c>
      <c r="Q28" s="96">
        <v>5.943295601890055E-2</v>
      </c>
      <c r="R28" s="96">
        <v>6.3042261745119121E-2</v>
      </c>
      <c r="S28" s="96">
        <v>0.15091108435931197</v>
      </c>
      <c r="T28" s="96">
        <v>0.55147278760294449</v>
      </c>
      <c r="U28" s="96">
        <v>1.0538961465545258</v>
      </c>
      <c r="V28" s="96">
        <v>3.1185076869632296</v>
      </c>
      <c r="W28" s="96">
        <v>4.1692060147942227</v>
      </c>
      <c r="X28" s="96">
        <v>6.8479057003101014</v>
      </c>
      <c r="Y28" s="96">
        <v>7.0258129394623809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3.3496187392288337E-2</v>
      </c>
      <c r="O29" s="96">
        <v>7.8536373044112942E-2</v>
      </c>
      <c r="P29" s="96">
        <v>0.16614466496442432</v>
      </c>
      <c r="Q29" s="96">
        <v>0.32785671430703722</v>
      </c>
      <c r="R29" s="96">
        <v>0.76593825089047707</v>
      </c>
      <c r="S29" s="96">
        <v>1.8292055230133237</v>
      </c>
      <c r="T29" s="96">
        <v>4.1670382102352557</v>
      </c>
      <c r="U29" s="96">
        <v>7.2786881372827823</v>
      </c>
      <c r="V29" s="96">
        <v>11.787761771349381</v>
      </c>
      <c r="W29" s="96">
        <v>19.103723945205246</v>
      </c>
      <c r="X29" s="96">
        <v>24.53540265544494</v>
      </c>
      <c r="Y29" s="96">
        <v>25.792241053588043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1.3219080532557159E-3</v>
      </c>
      <c r="O30" s="96">
        <v>2.2591980186791841E-3</v>
      </c>
      <c r="P30" s="96">
        <v>4.9531451353923717E-3</v>
      </c>
      <c r="Q30" s="96">
        <v>9.2001270596864526E-3</v>
      </c>
      <c r="R30" s="96">
        <v>2.2762597038689238E-2</v>
      </c>
      <c r="S30" s="96">
        <v>6.5539500369838424E-2</v>
      </c>
      <c r="T30" s="96">
        <v>0.15702816527459862</v>
      </c>
      <c r="U30" s="96">
        <v>0.27764208856426675</v>
      </c>
      <c r="V30" s="96">
        <v>0.46405891284560957</v>
      </c>
      <c r="W30" s="96">
        <v>0.84210973872920314</v>
      </c>
      <c r="X30" s="96">
        <v>1.1192133337647625</v>
      </c>
      <c r="Y30" s="96">
        <v>1.2770636418607213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1.2134969991205443E-2</v>
      </c>
      <c r="O31" s="96">
        <v>2.8071617528431816E-2</v>
      </c>
      <c r="P31" s="96">
        <v>6.3980547083109032E-2</v>
      </c>
      <c r="Q31" s="96">
        <v>0.12859631409881167</v>
      </c>
      <c r="R31" s="96">
        <v>0.28874876213469042</v>
      </c>
      <c r="S31" s="96">
        <v>0.70649594034991592</v>
      </c>
      <c r="T31" s="96">
        <v>1.6260002013526818</v>
      </c>
      <c r="U31" s="96">
        <v>3.1047537302685662</v>
      </c>
      <c r="V31" s="96">
        <v>5.5548777551597732</v>
      </c>
      <c r="W31" s="96">
        <v>9.50091400597689</v>
      </c>
      <c r="X31" s="96">
        <v>13.139991575780259</v>
      </c>
      <c r="Y31" s="96">
        <v>14.363657415698906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6.1432114519648204E-4</v>
      </c>
      <c r="J32" s="96">
        <v>1.4668107154671664E-3</v>
      </c>
      <c r="K32" s="96">
        <v>2.7318503812816378E-3</v>
      </c>
      <c r="L32" s="96">
        <v>4.8675734527243927E-3</v>
      </c>
      <c r="M32" s="96">
        <v>1.2002773614382491E-2</v>
      </c>
      <c r="N32" s="96">
        <v>2.2856293350189429E-2</v>
      </c>
      <c r="O32" s="96">
        <v>3.5984750749474055E-2</v>
      </c>
      <c r="P32" s="96">
        <v>7.6576220547490997E-2</v>
      </c>
      <c r="Q32" s="96">
        <v>0.14045455117328301</v>
      </c>
      <c r="R32" s="96">
        <v>0.19017370229715408</v>
      </c>
      <c r="S32" s="96">
        <v>0.31744490251285251</v>
      </c>
      <c r="T32" s="96">
        <v>0.52969897233347252</v>
      </c>
      <c r="U32" s="96">
        <v>0.97787299526913474</v>
      </c>
      <c r="V32" s="96">
        <v>2.0296128257594326</v>
      </c>
      <c r="W32" s="96">
        <v>5.3425342504289475</v>
      </c>
      <c r="X32" s="96">
        <v>11.253894759965474</v>
      </c>
      <c r="Y32" s="96">
        <v>17.222757233426304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218.01500865503658</v>
      </c>
      <c r="C33" s="130">
        <f t="shared" si="22"/>
        <v>213.57319317422824</v>
      </c>
      <c r="D33" s="130">
        <f t="shared" si="22"/>
        <v>215.70162911726166</v>
      </c>
      <c r="E33" s="130">
        <f t="shared" si="22"/>
        <v>221.69269838990428</v>
      </c>
      <c r="F33" s="130">
        <f t="shared" si="22"/>
        <v>230.08810184728006</v>
      </c>
      <c r="G33" s="130">
        <f t="shared" si="22"/>
        <v>227.03913768606378</v>
      </c>
      <c r="H33" s="130">
        <f t="shared" si="22"/>
        <v>235.36659348399644</v>
      </c>
      <c r="I33" s="130">
        <f t="shared" si="22"/>
        <v>244.32053501569644</v>
      </c>
      <c r="J33" s="130">
        <f t="shared" si="22"/>
        <v>245.27185063199039</v>
      </c>
      <c r="K33" s="130">
        <f t="shared" si="22"/>
        <v>254.8333477192773</v>
      </c>
      <c r="L33" s="130">
        <f t="shared" ref="L33" si="23">L34+L36+L38+L39+L41</f>
        <v>266.60520800622794</v>
      </c>
      <c r="M33" s="130">
        <f t="shared" ref="M33:V33" si="24">M34+M36+M38+M39+M41</f>
        <v>273.12600549791637</v>
      </c>
      <c r="N33" s="130">
        <f t="shared" si="24"/>
        <v>284.75803351942028</v>
      </c>
      <c r="O33" s="130">
        <f t="shared" si="24"/>
        <v>293.63606271913289</v>
      </c>
      <c r="P33" s="130">
        <f t="shared" si="24"/>
        <v>302.72365981431187</v>
      </c>
      <c r="Q33" s="130">
        <f t="shared" si="24"/>
        <v>314.59413152655901</v>
      </c>
      <c r="R33" s="130">
        <f t="shared" si="24"/>
        <v>338.05544370726409</v>
      </c>
      <c r="S33" s="130">
        <f t="shared" si="24"/>
        <v>337.95298966524513</v>
      </c>
      <c r="T33" s="130">
        <f t="shared" si="24"/>
        <v>334.92900971970232</v>
      </c>
      <c r="U33" s="130">
        <f t="shared" si="24"/>
        <v>323.9284829739733</v>
      </c>
      <c r="V33" s="130">
        <f t="shared" si="24"/>
        <v>279.64633948280795</v>
      </c>
      <c r="W33" s="130">
        <f t="shared" ref="W33:Y33" si="25">W34+W36+W38+W39+W41</f>
        <v>254.9298136795957</v>
      </c>
      <c r="X33" s="130">
        <f t="shared" si="25"/>
        <v>274.93920102371516</v>
      </c>
      <c r="Y33" s="130">
        <f t="shared" si="25"/>
        <v>284.64438109864187</v>
      </c>
      <c r="DA33" s="176" t="s">
        <v>394</v>
      </c>
    </row>
    <row r="34" spans="1:105" ht="11.45" customHeight="1" x14ac:dyDescent="0.25">
      <c r="A34" s="111" t="s">
        <v>110</v>
      </c>
      <c r="B34" s="97">
        <v>8.9369728138766952E-2</v>
      </c>
      <c r="C34" s="97">
        <v>9.7207383364915995E-2</v>
      </c>
      <c r="D34" s="97">
        <v>9.3895144703654496E-2</v>
      </c>
      <c r="E34" s="97">
        <v>9.3879878550344728E-2</v>
      </c>
      <c r="F34" s="97">
        <v>9.6731448963086566E-2</v>
      </c>
      <c r="G34" s="97">
        <v>0.10540946067951061</v>
      </c>
      <c r="H34" s="97">
        <v>9.8840608008420427E-2</v>
      </c>
      <c r="I34" s="97">
        <v>0.10179155766808</v>
      </c>
      <c r="J34" s="97">
        <v>9.8514118780472198E-2</v>
      </c>
      <c r="K34" s="97">
        <v>9.7082254972081436E-2</v>
      </c>
      <c r="L34" s="97">
        <v>9.9493972865373745E-2</v>
      </c>
      <c r="M34" s="97">
        <v>9.6246497670277667E-2</v>
      </c>
      <c r="N34" s="97">
        <v>9.6234087026489376E-2</v>
      </c>
      <c r="O34" s="97">
        <v>9.6219596945373825E-2</v>
      </c>
      <c r="P34" s="97">
        <v>9.620649081604507E-2</v>
      </c>
      <c r="Q34" s="97">
        <v>9.6191389361083637E-2</v>
      </c>
      <c r="R34" s="97">
        <v>9.6167146616002619E-2</v>
      </c>
      <c r="S34" s="97">
        <v>9.5073861262280096E-2</v>
      </c>
      <c r="T34" s="97">
        <v>8.8627928977008816E-2</v>
      </c>
      <c r="U34" s="97">
        <v>8.2035831386056024E-2</v>
      </c>
      <c r="V34" s="97">
        <v>6.6666079852693225E-2</v>
      </c>
      <c r="W34" s="97">
        <v>5.6645527518530088E-2</v>
      </c>
      <c r="X34" s="97">
        <v>6.1487054220732265E-2</v>
      </c>
      <c r="Y34" s="97">
        <v>6.2651047976484464E-2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3.5163602222186529E-5</v>
      </c>
      <c r="E35" s="97">
        <v>2.0994513145267924E-4</v>
      </c>
      <c r="F35" s="97">
        <v>2.4777949810536192E-4</v>
      </c>
      <c r="G35" s="97">
        <v>0</v>
      </c>
      <c r="H35" s="97">
        <v>3.8600025833982119E-5</v>
      </c>
      <c r="I35" s="97">
        <v>7.9682980364292256E-5</v>
      </c>
      <c r="J35" s="97">
        <v>3.5797278091848684E-3</v>
      </c>
      <c r="K35" s="97">
        <v>4.3397143764304135E-3</v>
      </c>
      <c r="L35" s="97">
        <v>4.7866356946478627E-3</v>
      </c>
      <c r="M35" s="97">
        <v>5.5315725289059176E-3</v>
      </c>
      <c r="N35" s="97">
        <v>5.9553073333535175E-3</v>
      </c>
      <c r="O35" s="97">
        <v>4.3075433647855686E-3</v>
      </c>
      <c r="P35" s="97">
        <v>4.6643060387625158E-3</v>
      </c>
      <c r="Q35" s="97">
        <v>4.4412889025865236E-3</v>
      </c>
      <c r="R35" s="97">
        <v>4.5873055848069961E-3</v>
      </c>
      <c r="S35" s="97">
        <v>5.5500491503591969E-3</v>
      </c>
      <c r="T35" s="97">
        <v>5.4769275511416648E-3</v>
      </c>
      <c r="U35" s="97">
        <v>5.4568657152002618E-3</v>
      </c>
      <c r="V35" s="97">
        <v>4.9635110263181719E-3</v>
      </c>
      <c r="W35" s="97">
        <v>4.9674783402659283E-3</v>
      </c>
      <c r="X35" s="97">
        <v>6.0390213619029411E-3</v>
      </c>
      <c r="Y35" s="97">
        <v>7.0008128767579999E-3</v>
      </c>
      <c r="DA35" s="175" t="s">
        <v>653</v>
      </c>
    </row>
    <row r="36" spans="1:105" ht="11.45" customHeight="1" x14ac:dyDescent="0.25">
      <c r="A36" s="111" t="s">
        <v>111</v>
      </c>
      <c r="B36" s="97">
        <v>216.20594847117985</v>
      </c>
      <c r="C36" s="97">
        <v>211.7606551066383</v>
      </c>
      <c r="D36" s="97">
        <v>213.03253360371181</v>
      </c>
      <c r="E36" s="97">
        <v>219.023553318636</v>
      </c>
      <c r="F36" s="97">
        <v>227.41582192437562</v>
      </c>
      <c r="G36" s="97">
        <v>224.35980342785209</v>
      </c>
      <c r="H36" s="97">
        <v>231.83698363303765</v>
      </c>
      <c r="I36" s="97">
        <v>240.9138029601767</v>
      </c>
      <c r="J36" s="97">
        <v>241.1634196438194</v>
      </c>
      <c r="K36" s="97">
        <v>250.10989619012483</v>
      </c>
      <c r="L36" s="97">
        <v>262.02993678094009</v>
      </c>
      <c r="M36" s="97">
        <v>270.22746105190083</v>
      </c>
      <c r="N36" s="97">
        <v>280.33786273492336</v>
      </c>
      <c r="O36" s="97">
        <v>291.07368629643037</v>
      </c>
      <c r="P36" s="97">
        <v>300.00468927276933</v>
      </c>
      <c r="Q36" s="97">
        <v>312.16790921380039</v>
      </c>
      <c r="R36" s="97">
        <v>335.10744096889636</v>
      </c>
      <c r="S36" s="97">
        <v>334.90493647746183</v>
      </c>
      <c r="T36" s="97">
        <v>331.55880405121621</v>
      </c>
      <c r="U36" s="97">
        <v>319.69443795807905</v>
      </c>
      <c r="V36" s="97">
        <v>275.66502729942806</v>
      </c>
      <c r="W36" s="97">
        <v>248.81597737690225</v>
      </c>
      <c r="X36" s="97">
        <v>264.42057374210435</v>
      </c>
      <c r="Y36" s="97">
        <v>271.7441809849123</v>
      </c>
      <c r="DA36" s="175" t="s">
        <v>654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1.1887541616841844</v>
      </c>
      <c r="K37" s="97">
        <v>6.6828521402497678</v>
      </c>
      <c r="L37" s="97">
        <v>6.8929414978921608</v>
      </c>
      <c r="M37" s="97">
        <v>12.059859323508013</v>
      </c>
      <c r="N37" s="97">
        <v>11.915434468390123</v>
      </c>
      <c r="O37" s="97">
        <v>18.563291814132011</v>
      </c>
      <c r="P37" s="97">
        <v>52.86867700970879</v>
      </c>
      <c r="Q37" s="97">
        <v>55.242023284233404</v>
      </c>
      <c r="R37" s="97">
        <v>14.499768789403126</v>
      </c>
      <c r="S37" s="97">
        <v>40.612133500892305</v>
      </c>
      <c r="T37" s="97">
        <v>35.883757266379426</v>
      </c>
      <c r="U37" s="97">
        <v>42.394356225895564</v>
      </c>
      <c r="V37" s="97">
        <v>34.498285680150509</v>
      </c>
      <c r="W37" s="97">
        <v>55.145606874002922</v>
      </c>
      <c r="X37" s="97">
        <v>47.036083504615597</v>
      </c>
      <c r="Y37" s="97">
        <v>50.438345090296103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X38" s="97">
        <v>0</v>
      </c>
      <c r="Y38" s="97">
        <v>0</v>
      </c>
      <c r="DA38" s="175" t="s">
        <v>656</v>
      </c>
    </row>
    <row r="39" spans="1:105" ht="11.45" customHeight="1" x14ac:dyDescent="0.25">
      <c r="A39" s="111" t="s">
        <v>113</v>
      </c>
      <c r="B39" s="97">
        <v>1.7196904557179711</v>
      </c>
      <c r="C39" s="97">
        <v>1.7153306842250189</v>
      </c>
      <c r="D39" s="97">
        <v>2.5752003688461871</v>
      </c>
      <c r="E39" s="97">
        <v>2.5752651927179286</v>
      </c>
      <c r="F39" s="97">
        <v>2.5755484739413648</v>
      </c>
      <c r="G39" s="97">
        <v>2.5739247975321962</v>
      </c>
      <c r="H39" s="97">
        <v>3.4307692429503676</v>
      </c>
      <c r="I39" s="97">
        <v>3.3049404978516415</v>
      </c>
      <c r="J39" s="97">
        <v>4.0099168693905112</v>
      </c>
      <c r="K39" s="97">
        <v>4.6263692741803757</v>
      </c>
      <c r="L39" s="97">
        <v>4.4757772524224526</v>
      </c>
      <c r="M39" s="97">
        <v>2.8022979483452559</v>
      </c>
      <c r="N39" s="97">
        <v>4.2319679477006833</v>
      </c>
      <c r="O39" s="97">
        <v>2.4201793438192465</v>
      </c>
      <c r="P39" s="97">
        <v>2.5457332566089792</v>
      </c>
      <c r="Q39" s="97">
        <v>2.2373603183582276</v>
      </c>
      <c r="R39" s="97">
        <v>2.6042261685815475</v>
      </c>
      <c r="S39" s="97">
        <v>2.5842216071119086</v>
      </c>
      <c r="T39" s="97">
        <v>2.9221581250584219</v>
      </c>
      <c r="U39" s="97">
        <v>3.2294151647636169</v>
      </c>
      <c r="V39" s="97">
        <v>2.7694029282656176</v>
      </c>
      <c r="W39" s="97">
        <v>2.741464867083315</v>
      </c>
      <c r="X39" s="97">
        <v>3.6246237279809117</v>
      </c>
      <c r="Y39" s="97">
        <v>4.4900802384895675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2.1336651153358512E-2</v>
      </c>
      <c r="L40" s="97">
        <v>4.1094724756372353E-2</v>
      </c>
      <c r="M40" s="97">
        <v>5.7208482048996354E-2</v>
      </c>
      <c r="N40" s="97">
        <v>5.4972001986981218E-2</v>
      </c>
      <c r="O40" s="97">
        <v>6.7820544150176992E-2</v>
      </c>
      <c r="P40" s="97">
        <v>0.11433859438059482</v>
      </c>
      <c r="Q40" s="97">
        <v>0.10799800025913264</v>
      </c>
      <c r="R40" s="97">
        <v>0.12943735781140489</v>
      </c>
      <c r="S40" s="97">
        <v>0.17947154956806213</v>
      </c>
      <c r="T40" s="97">
        <v>0.3746742661321929</v>
      </c>
      <c r="U40" s="97">
        <v>0.41428015692459441</v>
      </c>
      <c r="V40" s="97">
        <v>0.63973268159765961</v>
      </c>
      <c r="W40" s="97">
        <v>0.68540356867180652</v>
      </c>
      <c r="X40" s="97">
        <v>1.143187218830847</v>
      </c>
      <c r="Y40" s="97">
        <v>1.3394957376558265</v>
      </c>
      <c r="DA40" s="175" t="s">
        <v>658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9.1968749769720082E-2</v>
      </c>
      <c r="O41" s="97">
        <v>4.5977481937896761E-2</v>
      </c>
      <c r="P41" s="97">
        <v>7.7030794117523504E-2</v>
      </c>
      <c r="Q41" s="97">
        <v>9.2670605039329015E-2</v>
      </c>
      <c r="R41" s="97">
        <v>0.24760942317020163</v>
      </c>
      <c r="S41" s="97">
        <v>0.36875771940914304</v>
      </c>
      <c r="T41" s="97">
        <v>0.35941961445062637</v>
      </c>
      <c r="U41" s="97">
        <v>0.9225940197445639</v>
      </c>
      <c r="V41" s="97">
        <v>1.1452431752616221</v>
      </c>
      <c r="W41" s="97">
        <v>3.3157259080915975</v>
      </c>
      <c r="X41" s="97">
        <v>6.8325164994091425</v>
      </c>
      <c r="Y41" s="97">
        <v>8.3474688272635031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1205.195567908288</v>
      </c>
      <c r="C42" s="32">
        <f t="shared" si="26"/>
        <v>1239.273340907157</v>
      </c>
      <c r="D42" s="32">
        <f t="shared" si="26"/>
        <v>1255.2801569784644</v>
      </c>
      <c r="E42" s="32">
        <f t="shared" si="26"/>
        <v>1265.3895537042258</v>
      </c>
      <c r="F42" s="32">
        <f t="shared" si="26"/>
        <v>1314.1198718953819</v>
      </c>
      <c r="G42" s="32">
        <f t="shared" si="26"/>
        <v>1304.7937651966674</v>
      </c>
      <c r="H42" s="32">
        <f t="shared" si="26"/>
        <v>1298.5845929927782</v>
      </c>
      <c r="I42" s="32">
        <f t="shared" si="26"/>
        <v>1336.3588080024228</v>
      </c>
      <c r="J42" s="32">
        <f t="shared" si="26"/>
        <v>1299.3447395199296</v>
      </c>
      <c r="K42" s="32">
        <f t="shared" si="26"/>
        <v>1167.5534970318104</v>
      </c>
      <c r="L42" s="32">
        <f t="shared" ref="L42" si="27">L43+L52</f>
        <v>1261.9250113036749</v>
      </c>
      <c r="M42" s="32">
        <f t="shared" ref="M42:V42" si="28">M43+M52</f>
        <v>1221.4007311505497</v>
      </c>
      <c r="N42" s="32">
        <f t="shared" si="28"/>
        <v>1151.3090788946295</v>
      </c>
      <c r="O42" s="32">
        <f t="shared" si="28"/>
        <v>1168.9825217079838</v>
      </c>
      <c r="P42" s="32">
        <f t="shared" si="28"/>
        <v>1115.158096320883</v>
      </c>
      <c r="Q42" s="32">
        <f t="shared" si="28"/>
        <v>1080.3690554291102</v>
      </c>
      <c r="R42" s="32">
        <f t="shared" si="28"/>
        <v>1179.2986808057581</v>
      </c>
      <c r="S42" s="32">
        <f t="shared" si="28"/>
        <v>1167.9417972001593</v>
      </c>
      <c r="T42" s="32">
        <f t="shared" si="28"/>
        <v>1187.7084618916294</v>
      </c>
      <c r="U42" s="32">
        <f t="shared" si="28"/>
        <v>1174.3882930356526</v>
      </c>
      <c r="V42" s="32">
        <f t="shared" si="28"/>
        <v>1145.1783572886761</v>
      </c>
      <c r="W42" s="32">
        <f t="shared" ref="W42:Y42" si="29">W43+W52</f>
        <v>1246.8222424848113</v>
      </c>
      <c r="X42" s="32">
        <f t="shared" si="29"/>
        <v>1190.9901431865133</v>
      </c>
      <c r="Y42" s="32">
        <f t="shared" si="29"/>
        <v>1107.6408313042812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406.46458012227288</v>
      </c>
      <c r="C43" s="141">
        <f t="shared" si="30"/>
        <v>404.99217290652916</v>
      </c>
      <c r="D43" s="141">
        <f t="shared" si="30"/>
        <v>404.92763123115247</v>
      </c>
      <c r="E43" s="141">
        <f t="shared" si="30"/>
        <v>405.24266021195638</v>
      </c>
      <c r="F43" s="141">
        <f t="shared" si="30"/>
        <v>432.16755233245453</v>
      </c>
      <c r="G43" s="141">
        <f t="shared" si="30"/>
        <v>432.65441746930532</v>
      </c>
      <c r="H43" s="141">
        <f t="shared" si="30"/>
        <v>442.39242773560352</v>
      </c>
      <c r="I43" s="141">
        <f t="shared" si="30"/>
        <v>467.09689788319218</v>
      </c>
      <c r="J43" s="141">
        <f t="shared" si="30"/>
        <v>479.51234356709318</v>
      </c>
      <c r="K43" s="141">
        <f t="shared" si="30"/>
        <v>478.08614999874828</v>
      </c>
      <c r="L43" s="141">
        <f t="shared" ref="L43" si="31">L44+L46+L48+L49+L51</f>
        <v>505.36671166890642</v>
      </c>
      <c r="M43" s="141">
        <f t="shared" ref="M43:V43" si="32">M44+M46+M48+M49+M51</f>
        <v>531.68794477957738</v>
      </c>
      <c r="N43" s="141">
        <f t="shared" si="32"/>
        <v>538.67903918216234</v>
      </c>
      <c r="O43" s="141">
        <f t="shared" si="32"/>
        <v>559.09763166412051</v>
      </c>
      <c r="P43" s="141">
        <f t="shared" si="32"/>
        <v>561.27358203091171</v>
      </c>
      <c r="Q43" s="141">
        <f t="shared" si="32"/>
        <v>575.18812888873526</v>
      </c>
      <c r="R43" s="141">
        <f t="shared" si="32"/>
        <v>597.25816653533116</v>
      </c>
      <c r="S43" s="141">
        <f t="shared" si="32"/>
        <v>597.68156045581907</v>
      </c>
      <c r="T43" s="141">
        <f t="shared" si="32"/>
        <v>620.92748459347013</v>
      </c>
      <c r="U43" s="141">
        <f t="shared" si="32"/>
        <v>628.57747898486525</v>
      </c>
      <c r="V43" s="141">
        <f t="shared" si="32"/>
        <v>629.30136853137526</v>
      </c>
      <c r="W43" s="141">
        <f t="shared" ref="W43:Y43" si="33">W44+W46+W48+W49+W51</f>
        <v>672.30544802097916</v>
      </c>
      <c r="X43" s="141">
        <f t="shared" si="33"/>
        <v>648.82480847315139</v>
      </c>
      <c r="Y43" s="141">
        <f t="shared" si="33"/>
        <v>638.28916026070442</v>
      </c>
      <c r="DA43" s="174" t="s">
        <v>400</v>
      </c>
    </row>
    <row r="44" spans="1:105" ht="11.45" customHeight="1" x14ac:dyDescent="0.25">
      <c r="A44" s="111" t="s">
        <v>110</v>
      </c>
      <c r="B44" s="96">
        <v>38.639985057546454</v>
      </c>
      <c r="C44" s="96">
        <v>36.357551421813376</v>
      </c>
      <c r="D44" s="96">
        <v>34.163554602478527</v>
      </c>
      <c r="E44" s="96">
        <v>31.521756318600911</v>
      </c>
      <c r="F44" s="96">
        <v>29.341901321440513</v>
      </c>
      <c r="G44" s="96">
        <v>28.089444394389574</v>
      </c>
      <c r="H44" s="96">
        <v>25.638262089384934</v>
      </c>
      <c r="I44" s="96">
        <v>24.006548720656728</v>
      </c>
      <c r="J44" s="96">
        <v>23.806545967277653</v>
      </c>
      <c r="K44" s="96">
        <v>22.569562914293439</v>
      </c>
      <c r="L44" s="96">
        <v>22.244616168963507</v>
      </c>
      <c r="M44" s="96">
        <v>21.843340941920516</v>
      </c>
      <c r="N44" s="96">
        <v>21.161268643118202</v>
      </c>
      <c r="O44" s="96">
        <v>20.365616037314762</v>
      </c>
      <c r="P44" s="96">
        <v>19.636727627175187</v>
      </c>
      <c r="Q44" s="96">
        <v>19.174206878477033</v>
      </c>
      <c r="R44" s="96">
        <v>18.724153889843834</v>
      </c>
      <c r="S44" s="96">
        <v>18.313912781555466</v>
      </c>
      <c r="T44" s="96">
        <v>17.925119400763965</v>
      </c>
      <c r="U44" s="96">
        <v>17.589940502819623</v>
      </c>
      <c r="V44" s="96">
        <v>16.901459966480637</v>
      </c>
      <c r="W44" s="96">
        <v>17.031583029760647</v>
      </c>
      <c r="X44" s="96">
        <v>16.60347903556417</v>
      </c>
      <c r="Y44" s="96">
        <v>16.465089947447336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1.2794204091478953E-2</v>
      </c>
      <c r="E45" s="96">
        <v>7.0492627132863819E-2</v>
      </c>
      <c r="F45" s="96">
        <v>7.5159854016639355E-2</v>
      </c>
      <c r="G45" s="96">
        <v>0</v>
      </c>
      <c r="H45" s="96">
        <v>1.0012459442826915E-2</v>
      </c>
      <c r="I45" s="96">
        <v>1.8792455819962077E-2</v>
      </c>
      <c r="J45" s="96">
        <v>0.86506336040631049</v>
      </c>
      <c r="K45" s="96">
        <v>1.0088914465066425</v>
      </c>
      <c r="L45" s="96">
        <v>1.0701841599206878</v>
      </c>
      <c r="M45" s="96">
        <v>1.2554017820761378</v>
      </c>
      <c r="N45" s="96">
        <v>1.3095345134696079</v>
      </c>
      <c r="O45" s="96">
        <v>0.91172460721395243</v>
      </c>
      <c r="P45" s="96">
        <v>0.95203251335815819</v>
      </c>
      <c r="Q45" s="96">
        <v>0.88529953451042331</v>
      </c>
      <c r="R45" s="96">
        <v>0.89316797609312903</v>
      </c>
      <c r="S45" s="96">
        <v>1.0690963291437343</v>
      </c>
      <c r="T45" s="96">
        <v>1.1077160601261014</v>
      </c>
      <c r="U45" s="96">
        <v>1.170049009566861</v>
      </c>
      <c r="V45" s="96">
        <v>1.2583698200024389</v>
      </c>
      <c r="W45" s="96">
        <v>1.4935692808774848</v>
      </c>
      <c r="X45" s="96">
        <v>1.6307296852720412</v>
      </c>
      <c r="Y45" s="96">
        <v>1.8398577109888608</v>
      </c>
      <c r="DA45" s="171" t="s">
        <v>661</v>
      </c>
    </row>
    <row r="46" spans="1:105" ht="11.45" customHeight="1" x14ac:dyDescent="0.25">
      <c r="A46" s="111" t="s">
        <v>111</v>
      </c>
      <c r="B46" s="96">
        <v>367.8027105156508</v>
      </c>
      <c r="C46" s="96">
        <v>368.60899392697701</v>
      </c>
      <c r="D46" s="96">
        <v>370.74085381895475</v>
      </c>
      <c r="E46" s="96">
        <v>373.69912664028294</v>
      </c>
      <c r="F46" s="96">
        <v>402.80535593100007</v>
      </c>
      <c r="G46" s="96">
        <v>404.54432267741748</v>
      </c>
      <c r="H46" s="96">
        <v>416.7344845838893</v>
      </c>
      <c r="I46" s="96">
        <v>443.06202052422913</v>
      </c>
      <c r="J46" s="96">
        <v>455.66092506521994</v>
      </c>
      <c r="K46" s="96">
        <v>455.44434319510572</v>
      </c>
      <c r="L46" s="96">
        <v>483.02479117558084</v>
      </c>
      <c r="M46" s="96">
        <v>509.73756358859845</v>
      </c>
      <c r="N46" s="96">
        <v>517.33927020581734</v>
      </c>
      <c r="O46" s="96">
        <v>538.55172265357567</v>
      </c>
      <c r="P46" s="96">
        <v>541.42494418198976</v>
      </c>
      <c r="Q46" s="96">
        <v>555.76057503700201</v>
      </c>
      <c r="R46" s="96">
        <v>578.21969483637486</v>
      </c>
      <c r="S46" s="96">
        <v>578.92347397928836</v>
      </c>
      <c r="T46" s="96">
        <v>602.28599342660641</v>
      </c>
      <c r="U46" s="96">
        <v>609.8836208799604</v>
      </c>
      <c r="V46" s="96">
        <v>610.62193186880063</v>
      </c>
      <c r="W46" s="96">
        <v>652.87808226838627</v>
      </c>
      <c r="X46" s="96">
        <v>629.48481652905309</v>
      </c>
      <c r="Y46" s="96">
        <v>618.4891039581496</v>
      </c>
      <c r="DA46" s="171" t="s">
        <v>662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0</v>
      </c>
      <c r="J47" s="96">
        <v>2.2460654347502227</v>
      </c>
      <c r="K47" s="96">
        <v>12.169319367404688</v>
      </c>
      <c r="L47" s="96">
        <v>12.706416940398389</v>
      </c>
      <c r="M47" s="96">
        <v>22.748847525920148</v>
      </c>
      <c r="N47" s="96">
        <v>21.988903360838314</v>
      </c>
      <c r="O47" s="96">
        <v>34.346260947959884</v>
      </c>
      <c r="P47" s="96">
        <v>95.41324360077391</v>
      </c>
      <c r="Q47" s="96">
        <v>98.348797940104731</v>
      </c>
      <c r="R47" s="96">
        <v>25.018996475774617</v>
      </c>
      <c r="S47" s="96">
        <v>70.202958664449142</v>
      </c>
      <c r="T47" s="96">
        <v>65.18386521180139</v>
      </c>
      <c r="U47" s="96">
        <v>80.876050409467808</v>
      </c>
      <c r="V47" s="96">
        <v>76.416693312692075</v>
      </c>
      <c r="W47" s="96">
        <v>144.69873856568339</v>
      </c>
      <c r="X47" s="96">
        <v>111.97502515075108</v>
      </c>
      <c r="Y47" s="96">
        <v>114.79755241478824</v>
      </c>
      <c r="DA47" s="171" t="s">
        <v>663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0</v>
      </c>
      <c r="T48" s="96">
        <v>0</v>
      </c>
      <c r="U48" s="96">
        <v>0</v>
      </c>
      <c r="V48" s="96">
        <v>0</v>
      </c>
      <c r="W48" s="96">
        <v>0</v>
      </c>
      <c r="X48" s="96">
        <v>0</v>
      </c>
      <c r="Y48" s="96">
        <v>0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4.3597714929521211E-3</v>
      </c>
      <c r="D49" s="96">
        <v>4.3353147307688905E-3</v>
      </c>
      <c r="E49" s="96">
        <v>4.2704908590271151E-3</v>
      </c>
      <c r="F49" s="96">
        <v>3.987209635590962E-3</v>
      </c>
      <c r="G49" s="96">
        <v>5.6108860447598771E-3</v>
      </c>
      <c r="H49" s="96">
        <v>5.2261050275381324E-3</v>
      </c>
      <c r="I49" s="96">
        <v>1.4432410698818527E-2</v>
      </c>
      <c r="J49" s="96">
        <v>3.02633653479891E-2</v>
      </c>
      <c r="K49" s="96">
        <v>5.7100246934630706E-2</v>
      </c>
      <c r="L49" s="96">
        <v>8.1182735036743198E-2</v>
      </c>
      <c r="M49" s="96">
        <v>9.0734237185836869E-2</v>
      </c>
      <c r="N49" s="96">
        <v>0.16060681399773744</v>
      </c>
      <c r="O49" s="96">
        <v>0.16182938847329353</v>
      </c>
      <c r="P49" s="96">
        <v>0.18969633734204056</v>
      </c>
      <c r="Q49" s="96">
        <v>0.22390532827273638</v>
      </c>
      <c r="R49" s="96">
        <v>0.27382121017492383</v>
      </c>
      <c r="S49" s="96">
        <v>0.39636899509759199</v>
      </c>
      <c r="T49" s="96">
        <v>0.65702094696972457</v>
      </c>
      <c r="U49" s="96">
        <v>1.0288953039707143</v>
      </c>
      <c r="V49" s="96">
        <v>1.6812214493926005</v>
      </c>
      <c r="W49" s="96">
        <v>2.1914763033941478</v>
      </c>
      <c r="X49" s="96">
        <v>2.3805696773686025</v>
      </c>
      <c r="Y49" s="96">
        <v>2.5594358767314351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2.6334431546878357E-4</v>
      </c>
      <c r="L50" s="96">
        <v>7.4538610014580279E-4</v>
      </c>
      <c r="M50" s="96">
        <v>1.8523255110472643E-3</v>
      </c>
      <c r="N50" s="96">
        <v>2.0862346329922608E-3</v>
      </c>
      <c r="O50" s="96">
        <v>4.5349354847517677E-3</v>
      </c>
      <c r="P50" s="96">
        <v>8.5199863397029691E-3</v>
      </c>
      <c r="Q50" s="96">
        <v>1.0807972011662562E-2</v>
      </c>
      <c r="R50" s="96">
        <v>1.3609683515724832E-2</v>
      </c>
      <c r="S50" s="96">
        <v>2.7527421624804899E-2</v>
      </c>
      <c r="T50" s="96">
        <v>8.4242135642279226E-2</v>
      </c>
      <c r="U50" s="96">
        <v>0.13199012398245372</v>
      </c>
      <c r="V50" s="96">
        <v>0.38836252218921447</v>
      </c>
      <c r="W50" s="96">
        <v>0.54789893426724723</v>
      </c>
      <c r="X50" s="96">
        <v>0.75081912853338484</v>
      </c>
      <c r="Y50" s="96">
        <v>0.7635394615661556</v>
      </c>
      <c r="DA50" s="171" t="s">
        <v>666</v>
      </c>
    </row>
    <row r="51" spans="1:105" ht="11.45" customHeight="1" x14ac:dyDescent="0.25">
      <c r="A51" s="111" t="s">
        <v>115</v>
      </c>
      <c r="B51" s="96">
        <v>2.1884549075601042E-2</v>
      </c>
      <c r="C51" s="96">
        <v>2.1267786245874384E-2</v>
      </c>
      <c r="D51" s="96">
        <v>1.8887494988427896E-2</v>
      </c>
      <c r="E51" s="96">
        <v>1.7506762213483195E-2</v>
      </c>
      <c r="F51" s="96">
        <v>1.6307870378386255E-2</v>
      </c>
      <c r="G51" s="96">
        <v>1.5039511453579291E-2</v>
      </c>
      <c r="H51" s="96">
        <v>1.4454957301759285E-2</v>
      </c>
      <c r="I51" s="96">
        <v>1.3896227607530183E-2</v>
      </c>
      <c r="J51" s="96">
        <v>1.4609169247599032E-2</v>
      </c>
      <c r="K51" s="96">
        <v>1.5143642414519098E-2</v>
      </c>
      <c r="L51" s="96">
        <v>1.6121589325361875E-2</v>
      </c>
      <c r="M51" s="96">
        <v>1.6306011872483338E-2</v>
      </c>
      <c r="N51" s="96">
        <v>1.7893519228961711E-2</v>
      </c>
      <c r="O51" s="96">
        <v>1.8463584756819924E-2</v>
      </c>
      <c r="P51" s="96">
        <v>2.2213884404647808E-2</v>
      </c>
      <c r="Q51" s="96">
        <v>2.9441644983555299E-2</v>
      </c>
      <c r="R51" s="96">
        <v>4.0496598937554341E-2</v>
      </c>
      <c r="S51" s="96">
        <v>4.7804699877561398E-2</v>
      </c>
      <c r="T51" s="96">
        <v>5.93508191300013E-2</v>
      </c>
      <c r="U51" s="96">
        <v>7.5022298114512193E-2</v>
      </c>
      <c r="V51" s="96">
        <v>9.6755246701323849E-2</v>
      </c>
      <c r="W51" s="96">
        <v>0.20430641943810621</v>
      </c>
      <c r="X51" s="96">
        <v>0.35594323116552135</v>
      </c>
      <c r="Y51" s="96">
        <v>0.77553047837602551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798.73098778601513</v>
      </c>
      <c r="C52" s="130">
        <f t="shared" si="34"/>
        <v>834.28116800062776</v>
      </c>
      <c r="D52" s="130">
        <f t="shared" si="34"/>
        <v>850.35252574731192</v>
      </c>
      <c r="E52" s="130">
        <f t="shared" si="34"/>
        <v>860.14689349226956</v>
      </c>
      <c r="F52" s="130">
        <f t="shared" si="34"/>
        <v>881.95231956292753</v>
      </c>
      <c r="G52" s="130">
        <f t="shared" si="34"/>
        <v>872.13934772736218</v>
      </c>
      <c r="H52" s="130">
        <f t="shared" si="34"/>
        <v>856.19216525717468</v>
      </c>
      <c r="I52" s="130">
        <f t="shared" si="34"/>
        <v>869.26191011923061</v>
      </c>
      <c r="J52" s="130">
        <f t="shared" si="34"/>
        <v>819.83239595283635</v>
      </c>
      <c r="K52" s="130">
        <f t="shared" si="34"/>
        <v>689.46734703306208</v>
      </c>
      <c r="L52" s="130">
        <f t="shared" ref="L52" si="35">L53+L55</f>
        <v>756.55829963476845</v>
      </c>
      <c r="M52" s="130">
        <f t="shared" ref="M52:V52" si="36">M53+M55</f>
        <v>689.71278637097248</v>
      </c>
      <c r="N52" s="130">
        <f t="shared" si="36"/>
        <v>612.63003971246712</v>
      </c>
      <c r="O52" s="130">
        <f t="shared" si="36"/>
        <v>609.88489004386338</v>
      </c>
      <c r="P52" s="130">
        <f t="shared" si="36"/>
        <v>553.88451428997132</v>
      </c>
      <c r="Q52" s="130">
        <f t="shared" si="36"/>
        <v>505.1809265403748</v>
      </c>
      <c r="R52" s="130">
        <f t="shared" si="36"/>
        <v>582.0405142704268</v>
      </c>
      <c r="S52" s="130">
        <f t="shared" si="36"/>
        <v>570.26023674434032</v>
      </c>
      <c r="T52" s="130">
        <f t="shared" si="36"/>
        <v>566.78097729815931</v>
      </c>
      <c r="U52" s="130">
        <f t="shared" si="36"/>
        <v>545.81081405078726</v>
      </c>
      <c r="V52" s="130">
        <f t="shared" si="36"/>
        <v>515.87698875730075</v>
      </c>
      <c r="W52" s="130">
        <f t="shared" ref="W52:Y52" si="37">W53+W55</f>
        <v>574.51679446383207</v>
      </c>
      <c r="X52" s="130">
        <f t="shared" si="37"/>
        <v>542.16533471336186</v>
      </c>
      <c r="Y52" s="130">
        <f t="shared" si="37"/>
        <v>469.35167104357669</v>
      </c>
      <c r="DA52" s="176" t="s">
        <v>401</v>
      </c>
    </row>
    <row r="53" spans="1:105" ht="11.45" customHeight="1" x14ac:dyDescent="0.25">
      <c r="A53" s="128" t="s">
        <v>27</v>
      </c>
      <c r="B53" s="97">
        <v>768.06958615308531</v>
      </c>
      <c r="C53" s="97">
        <v>800.28930593246821</v>
      </c>
      <c r="D53" s="97">
        <v>815.04114648471102</v>
      </c>
      <c r="E53" s="97">
        <v>823.50959850473271</v>
      </c>
      <c r="F53" s="97">
        <v>838.75233040964531</v>
      </c>
      <c r="G53" s="97">
        <v>831.96246279375509</v>
      </c>
      <c r="H53" s="97">
        <v>811.29653103701185</v>
      </c>
      <c r="I53" s="97">
        <v>821.4227962362603</v>
      </c>
      <c r="J53" s="97">
        <v>781.33082919637627</v>
      </c>
      <c r="K53" s="97">
        <v>657.20110178917651</v>
      </c>
      <c r="L53" s="97">
        <v>715.92424112793185</v>
      </c>
      <c r="M53" s="97">
        <v>663.89232870257138</v>
      </c>
      <c r="N53" s="97">
        <v>583.09961846762258</v>
      </c>
      <c r="O53" s="97">
        <v>584.29894606693972</v>
      </c>
      <c r="P53" s="97">
        <v>523.89163185565405</v>
      </c>
      <c r="Q53" s="97">
        <v>470.70596407768357</v>
      </c>
      <c r="R53" s="97">
        <v>551.55828484059555</v>
      </c>
      <c r="S53" s="97">
        <v>544.22447572465296</v>
      </c>
      <c r="T53" s="97">
        <v>534.64110591638018</v>
      </c>
      <c r="U53" s="97">
        <v>520.6055315622915</v>
      </c>
      <c r="V53" s="97">
        <v>490.80720644373531</v>
      </c>
      <c r="W53" s="97">
        <v>534.91214713241095</v>
      </c>
      <c r="X53" s="97">
        <v>509.36460512966852</v>
      </c>
      <c r="Y53" s="97">
        <v>441.63427616072056</v>
      </c>
      <c r="DA53" s="175" t="s">
        <v>668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</v>
      </c>
      <c r="J54" s="97">
        <v>3.8513729662281735</v>
      </c>
      <c r="K54" s="97">
        <v>17.560191965885569</v>
      </c>
      <c r="L54" s="97">
        <v>18.833053854999953</v>
      </c>
      <c r="M54" s="97">
        <v>29.628550921297396</v>
      </c>
      <c r="N54" s="97">
        <v>24.783970401329213</v>
      </c>
      <c r="O54" s="97">
        <v>37.263800725305899</v>
      </c>
      <c r="P54" s="97">
        <v>92.32341514329741</v>
      </c>
      <c r="Q54" s="97">
        <v>83.29731871893955</v>
      </c>
      <c r="R54" s="97">
        <v>23.865383534741291</v>
      </c>
      <c r="S54" s="97">
        <v>65.995196413207083</v>
      </c>
      <c r="T54" s="97">
        <v>57.862832881881566</v>
      </c>
      <c r="U54" s="97">
        <v>69.036973239795969</v>
      </c>
      <c r="V54" s="97">
        <v>61.422398726629204</v>
      </c>
      <c r="W54" s="97">
        <v>118.55370096756126</v>
      </c>
      <c r="X54" s="97">
        <v>90.607609544565733</v>
      </c>
      <c r="Y54" s="97">
        <v>81.971587924947357</v>
      </c>
      <c r="DA54" s="175" t="s">
        <v>669</v>
      </c>
    </row>
    <row r="55" spans="1:105" ht="11.45" customHeight="1" x14ac:dyDescent="0.25">
      <c r="A55" s="128" t="s">
        <v>116</v>
      </c>
      <c r="B55" s="97">
        <v>30.661401632929778</v>
      </c>
      <c r="C55" s="97">
        <v>33.991862068159506</v>
      </c>
      <c r="D55" s="97">
        <v>35.311379262600937</v>
      </c>
      <c r="E55" s="97">
        <v>36.637294987536876</v>
      </c>
      <c r="F55" s="97">
        <v>43.199989153282225</v>
      </c>
      <c r="G55" s="97">
        <v>40.176884933607042</v>
      </c>
      <c r="H55" s="97">
        <v>44.895634220162876</v>
      </c>
      <c r="I55" s="97">
        <v>47.839113882970324</v>
      </c>
      <c r="J55" s="97">
        <v>38.501566756460093</v>
      </c>
      <c r="K55" s="97">
        <v>32.266245243885585</v>
      </c>
      <c r="L55" s="97">
        <v>40.63405850683656</v>
      </c>
      <c r="M55" s="97">
        <v>25.820457668401112</v>
      </c>
      <c r="N55" s="97">
        <v>29.530421244844494</v>
      </c>
      <c r="O55" s="97">
        <v>25.585943976923712</v>
      </c>
      <c r="P55" s="97">
        <v>29.992882434317305</v>
      </c>
      <c r="Q55" s="97">
        <v>34.474962462691224</v>
      </c>
      <c r="R55" s="97">
        <v>30.482229429831278</v>
      </c>
      <c r="S55" s="97">
        <v>26.035761019687392</v>
      </c>
      <c r="T55" s="97">
        <v>32.139871381779116</v>
      </c>
      <c r="U55" s="97">
        <v>25.205282488495698</v>
      </c>
      <c r="V55" s="97">
        <v>25.069782313565465</v>
      </c>
      <c r="W55" s="97">
        <v>39.60464733142117</v>
      </c>
      <c r="X55" s="97">
        <v>32.80072958369329</v>
      </c>
      <c r="Y55" s="97">
        <v>27.717394882856137</v>
      </c>
      <c r="DA55" s="175" t="s">
        <v>670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0.18978374821811975</v>
      </c>
      <c r="K56" s="98">
        <v>0.86214319933190409</v>
      </c>
      <c r="L56" s="98">
        <v>1.0689167487900761</v>
      </c>
      <c r="M56" s="98">
        <v>1.1523295446635022</v>
      </c>
      <c r="N56" s="98">
        <v>1.2551561738187769</v>
      </c>
      <c r="O56" s="98">
        <v>1.6317495079234616</v>
      </c>
      <c r="P56" s="98">
        <v>5.2855307623820469</v>
      </c>
      <c r="Q56" s="98">
        <v>6.1007766105218479</v>
      </c>
      <c r="R56" s="98">
        <v>1.318936033291833</v>
      </c>
      <c r="S56" s="98">
        <v>3.1572177270669477</v>
      </c>
      <c r="T56" s="98">
        <v>3.4784156811539964</v>
      </c>
      <c r="U56" s="98">
        <v>3.3424470297845241</v>
      </c>
      <c r="V56" s="98">
        <v>3.1373748083508182</v>
      </c>
      <c r="W56" s="98">
        <v>8.7776610455114046</v>
      </c>
      <c r="X56" s="98">
        <v>5.8347118527004609</v>
      </c>
      <c r="Y56" s="98">
        <v>5.1446162454647943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8.8482073140874586</v>
      </c>
      <c r="C60" s="79">
        <f>IF(C17=0,0,C17/TrRoad_act!C30*100)</f>
        <v>8.7754717830924385</v>
      </c>
      <c r="D60" s="79">
        <f>IF(D17=0,0,D17/TrRoad_act!D30*100)</f>
        <v>8.7169760310670821</v>
      </c>
      <c r="E60" s="79">
        <f>IF(E17=0,0,E17/TrRoad_act!E30*100)</f>
        <v>8.6575046895945835</v>
      </c>
      <c r="F60" s="79">
        <f>IF(F17=0,0,F17/TrRoad_act!F30*100)</f>
        <v>8.6518065507204565</v>
      </c>
      <c r="G60" s="79">
        <f>IF(G17=0,0,G17/TrRoad_act!G30*100)</f>
        <v>8.494918299343988</v>
      </c>
      <c r="H60" s="79">
        <f>IF(H17=0,0,H17/TrRoad_act!H30*100)</f>
        <v>8.5445413612522998</v>
      </c>
      <c r="I60" s="79">
        <f>IF(I17=0,0,I17/TrRoad_act!I30*100)</f>
        <v>8.5975564993062612</v>
      </c>
      <c r="J60" s="79">
        <f>IF(J17=0,0,J17/TrRoad_act!J30*100)</f>
        <v>8.3311096172765069</v>
      </c>
      <c r="K60" s="79">
        <f>IF(K17=0,0,K17/TrRoad_act!K30*100)</f>
        <v>8.0106854245174741</v>
      </c>
      <c r="L60" s="79">
        <f>IF(L17=0,0,L17/TrRoad_act!L30*100)</f>
        <v>8.144799540519216</v>
      </c>
      <c r="M60" s="79">
        <f>IF(M17=0,0,M17/TrRoad_act!M30*100)</f>
        <v>8.0282536588445517</v>
      </c>
      <c r="N60" s="79">
        <f>IF(N17=0,0,N17/TrRoad_act!N30*100)</f>
        <v>7.9075524797783139</v>
      </c>
      <c r="O60" s="79">
        <f>IF(O17=0,0,O17/TrRoad_act!O30*100)</f>
        <v>7.9404392939466621</v>
      </c>
      <c r="P60" s="79">
        <f>IF(P17=0,0,P17/TrRoad_act!P30*100)</f>
        <v>7.7417485279600529</v>
      </c>
      <c r="Q60" s="79">
        <f>IF(Q17=0,0,Q17/TrRoad_act!Q30*100)</f>
        <v>7.657456556123174</v>
      </c>
      <c r="R60" s="79">
        <f>IF(R17=0,0,R17/TrRoad_act!R30*100)</f>
        <v>8.073015616874633</v>
      </c>
      <c r="S60" s="79">
        <f>IF(S17=0,0,S17/TrRoad_act!S30*100)</f>
        <v>7.6691271419316029</v>
      </c>
      <c r="T60" s="79">
        <f>IF(T17=0,0,T17/TrRoad_act!T30*100)</f>
        <v>7.7026478115235868</v>
      </c>
      <c r="U60" s="79">
        <f>IF(U17=0,0,U17/TrRoad_act!U30*100)</f>
        <v>7.5420591975582614</v>
      </c>
      <c r="V60" s="79">
        <f>IF(V17=0,0,V17/TrRoad_act!V30*100)</f>
        <v>7.3498529078495549</v>
      </c>
      <c r="W60" s="79">
        <f>IF(W17=0,0,W17/TrRoad_act!W30*100)</f>
        <v>7.641175439295389</v>
      </c>
      <c r="X60" s="79">
        <f>IF(X17=0,0,X17/TrRoad_act!X30*100)</f>
        <v>7.3188685076524846</v>
      </c>
      <c r="Y60" s="79">
        <f>IF(Y17=0,0,Y17/TrRoad_act!Y30*100)</f>
        <v>7.1050060250868654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6.8637440302714934</v>
      </c>
      <c r="C61" s="32">
        <f>IF(C18=0,0,C18/TrRoad_act!C31*100)</f>
        <v>6.7704909950524996</v>
      </c>
      <c r="D61" s="32">
        <f>IF(D18=0,0,D18/TrRoad_act!D31*100)</f>
        <v>6.741395367041159</v>
      </c>
      <c r="E61" s="32">
        <f>IF(E18=0,0,E18/TrRoad_act!E31*100)</f>
        <v>6.7083512631093507</v>
      </c>
      <c r="F61" s="32">
        <f>IF(F18=0,0,F18/TrRoad_act!F31*100)</f>
        <v>6.6957893890395344</v>
      </c>
      <c r="G61" s="32">
        <f>IF(G18=0,0,G18/TrRoad_act!G31*100)</f>
        <v>6.6181870363557742</v>
      </c>
      <c r="H61" s="32">
        <f>IF(H18=0,0,H18/TrRoad_act!H31*100)</f>
        <v>6.6965596517242858</v>
      </c>
      <c r="I61" s="32">
        <f>IF(I18=0,0,I18/TrRoad_act!I31*100)</f>
        <v>6.7507192398996665</v>
      </c>
      <c r="J61" s="32">
        <f>IF(J18=0,0,J18/TrRoad_act!J31*100)</f>
        <v>6.6192167868175193</v>
      </c>
      <c r="K61" s="32">
        <f>IF(K18=0,0,K18/TrRoad_act!K31*100)</f>
        <v>6.5456255781000925</v>
      </c>
      <c r="L61" s="32">
        <f>IF(L18=0,0,L18/TrRoad_act!L31*100)</f>
        <v>6.5861000377113177</v>
      </c>
      <c r="M61" s="32">
        <f>IF(M18=0,0,M18/TrRoad_act!M31*100)</f>
        <v>6.5878844078566425</v>
      </c>
      <c r="N61" s="32">
        <f>IF(N18=0,0,N18/TrRoad_act!N31*100)</f>
        <v>6.5915347890365839</v>
      </c>
      <c r="O61" s="32">
        <f>IF(O18=0,0,O18/TrRoad_act!O31*100)</f>
        <v>6.6336344671650425</v>
      </c>
      <c r="P61" s="32">
        <f>IF(P18=0,0,P18/TrRoad_act!P31*100)</f>
        <v>6.5316813388504427</v>
      </c>
      <c r="Q61" s="32">
        <f>IF(Q18=0,0,Q18/TrRoad_act!Q31*100)</f>
        <v>6.5295256193681883</v>
      </c>
      <c r="R61" s="32">
        <f>IF(R18=0,0,R18/TrRoad_act!R31*100)</f>
        <v>6.8158322685708166</v>
      </c>
      <c r="S61" s="32">
        <f>IF(S18=0,0,S18/TrRoad_act!S31*100)</f>
        <v>6.4832077814850493</v>
      </c>
      <c r="T61" s="32">
        <f>IF(T18=0,0,T18/TrRoad_act!T31*100)</f>
        <v>6.5069742967929916</v>
      </c>
      <c r="U61" s="32">
        <f>IF(U18=0,0,U18/TrRoad_act!U31*100)</f>
        <v>6.3796080952240128</v>
      </c>
      <c r="V61" s="32">
        <f>IF(V18=0,0,V18/TrRoad_act!V31*100)</f>
        <v>6.1683120851639686</v>
      </c>
      <c r="W61" s="32">
        <f>IF(W18=0,0,W18/TrRoad_act!W31*100)</f>
        <v>6.3145580743334264</v>
      </c>
      <c r="X61" s="32">
        <f>IF(X18=0,0,X18/TrRoad_act!X31*100)</f>
        <v>6.0630240035979686</v>
      </c>
      <c r="Y61" s="32">
        <f>IF(Y18=0,0,Y18/TrRoad_act!Y31*100)</f>
        <v>6.0024381745177005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4.6731579726359582</v>
      </c>
      <c r="C62" s="141">
        <f>IF(C19=0,0,C19/TrRoad_act!C32*100)</f>
        <v>4.6125018761349299</v>
      </c>
      <c r="D62" s="141">
        <f>IF(D19=0,0,D19/TrRoad_act!D32*100)</f>
        <v>4.5468531047288225</v>
      </c>
      <c r="E62" s="141">
        <f>IF(E19=0,0,E19/TrRoad_act!E32*100)</f>
        <v>4.4755058171473152</v>
      </c>
      <c r="F62" s="141">
        <f>IF(F19=0,0,F19/TrRoad_act!F32*100)</f>
        <v>4.4172991458264113</v>
      </c>
      <c r="G62" s="141">
        <f>IF(G19=0,0,G19/TrRoad_act!G32*100)</f>
        <v>4.366173165529605</v>
      </c>
      <c r="H62" s="141">
        <f>IF(H19=0,0,H19/TrRoad_act!H32*100)</f>
        <v>4.3172472842103442</v>
      </c>
      <c r="I62" s="141">
        <f>IF(I19=0,0,I19/TrRoad_act!I32*100)</f>
        <v>4.2835911445989838</v>
      </c>
      <c r="J62" s="141">
        <f>IF(J19=0,0,J19/TrRoad_act!J32*100)</f>
        <v>4.215694731025371</v>
      </c>
      <c r="K62" s="141">
        <f>IF(K19=0,0,K19/TrRoad_act!K32*100)</f>
        <v>4.1549542910179715</v>
      </c>
      <c r="L62" s="141">
        <f>IF(L19=0,0,L19/TrRoad_act!L32*100)</f>
        <v>4.0942143415633252</v>
      </c>
      <c r="M62" s="141">
        <f>IF(M19=0,0,M19/TrRoad_act!M32*100)</f>
        <v>4.0333431800995339</v>
      </c>
      <c r="N62" s="141">
        <f>IF(N19=0,0,N19/TrRoad_act!N32*100)</f>
        <v>3.9824150881466513</v>
      </c>
      <c r="O62" s="141">
        <f>IF(O19=0,0,O19/TrRoad_act!O32*100)</f>
        <v>3.9486775089922452</v>
      </c>
      <c r="P62" s="141">
        <f>IF(P19=0,0,P19/TrRoad_act!P32*100)</f>
        <v>3.9022176426768631</v>
      </c>
      <c r="Q62" s="141">
        <f>IF(Q19=0,0,Q19/TrRoad_act!Q32*100)</f>
        <v>3.8614856198706802</v>
      </c>
      <c r="R62" s="141">
        <f>IF(R19=0,0,R19/TrRoad_act!R32*100)</f>
        <v>3.8325714770497794</v>
      </c>
      <c r="S62" s="141">
        <f>IF(S19=0,0,S19/TrRoad_act!S32*100)</f>
        <v>3.8001751673530251</v>
      </c>
      <c r="T62" s="141">
        <f>IF(T19=0,0,T19/TrRoad_act!T32*100)</f>
        <v>3.771410287449708</v>
      </c>
      <c r="U62" s="141">
        <f>IF(U19=0,0,U19/TrRoad_act!U32*100)</f>
        <v>3.7435909316061369</v>
      </c>
      <c r="V62" s="141">
        <f>IF(V19=0,0,V19/TrRoad_act!V32*100)</f>
        <v>3.7152585832625014</v>
      </c>
      <c r="W62" s="141">
        <f>IF(W19=0,0,W19/TrRoad_act!W32*100)</f>
        <v>3.6908006557898378</v>
      </c>
      <c r="X62" s="141">
        <f>IF(X19=0,0,X19/TrRoad_act!X32*100)</f>
        <v>3.6666881834816762</v>
      </c>
      <c r="Y62" s="141">
        <f>IF(Y19=0,0,Y19/TrRoad_act!Y32*100)</f>
        <v>3.6572860536970806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6.3300278683377744</v>
      </c>
      <c r="C63" s="130">
        <f>IF(C21=0,0,C21/TrRoad_act!C33*100)</f>
        <v>6.2608980854889378</v>
      </c>
      <c r="D63" s="130">
        <f>IF(D21=0,0,D21/TrRoad_act!D33*100)</f>
        <v>6.2422621074699123</v>
      </c>
      <c r="E63" s="130">
        <f>IF(E21=0,0,E21/TrRoad_act!E33*100)</f>
        <v>6.2076173720398176</v>
      </c>
      <c r="F63" s="130">
        <f>IF(F21=0,0,F21/TrRoad_act!F33*100)</f>
        <v>6.1883532850413845</v>
      </c>
      <c r="G63" s="130">
        <f>IF(G21=0,0,G21/TrRoad_act!G33*100)</f>
        <v>6.1279103921738995</v>
      </c>
      <c r="H63" s="130">
        <f>IF(H21=0,0,H21/TrRoad_act!H33*100)</f>
        <v>6.1943369689340857</v>
      </c>
      <c r="I63" s="130">
        <f>IF(I21=0,0,I21/TrRoad_act!I33*100)</f>
        <v>6.2421534141374861</v>
      </c>
      <c r="J63" s="130">
        <f>IF(J21=0,0,J21/TrRoad_act!J33*100)</f>
        <v>6.1060482873982931</v>
      </c>
      <c r="K63" s="130">
        <f>IF(K21=0,0,K21/TrRoad_act!K33*100)</f>
        <v>6.0198439712624694</v>
      </c>
      <c r="L63" s="130">
        <f>IF(L21=0,0,L21/TrRoad_act!L33*100)</f>
        <v>6.0582450324341304</v>
      </c>
      <c r="M63" s="130">
        <f>IF(M21=0,0,M21/TrRoad_act!M33*100)</f>
        <v>6.0555808213432041</v>
      </c>
      <c r="N63" s="130">
        <f>IF(N21=0,0,N21/TrRoad_act!N33*100)</f>
        <v>6.0330241622058045</v>
      </c>
      <c r="O63" s="130">
        <f>IF(O21=0,0,O21/TrRoad_act!O33*100)</f>
        <v>6.0570043079069835</v>
      </c>
      <c r="P63" s="130">
        <f>IF(P21=0,0,P21/TrRoad_act!P33*100)</f>
        <v>5.9373360329645406</v>
      </c>
      <c r="Q63" s="130">
        <f>IF(Q21=0,0,Q21/TrRoad_act!Q33*100)</f>
        <v>5.9181057627772891</v>
      </c>
      <c r="R63" s="130">
        <f>IF(R21=0,0,R21/TrRoad_act!R33*100)</f>
        <v>6.132037833142447</v>
      </c>
      <c r="S63" s="130">
        <f>IF(S21=0,0,S21/TrRoad_act!S33*100)</f>
        <v>5.8236311761611859</v>
      </c>
      <c r="T63" s="130">
        <f>IF(T21=0,0,T21/TrRoad_act!T33*100)</f>
        <v>5.8522712309428684</v>
      </c>
      <c r="U63" s="130">
        <f>IF(U21=0,0,U21/TrRoad_act!U33*100)</f>
        <v>5.7495384499827038</v>
      </c>
      <c r="V63" s="130">
        <f>IF(V21=0,0,V21/TrRoad_act!V33*100)</f>
        <v>5.5985243486297449</v>
      </c>
      <c r="W63" s="130">
        <f>IF(W21=0,0,W21/TrRoad_act!W33*100)</f>
        <v>5.801308209387452</v>
      </c>
      <c r="X63" s="130">
        <f>IF(X21=0,0,X21/TrRoad_act!X33*100)</f>
        <v>5.4936600351748996</v>
      </c>
      <c r="Y63" s="130">
        <f>IF(Y21=0,0,Y21/TrRoad_act!Y33*100)</f>
        <v>5.4192371083969757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5.9328214175039182</v>
      </c>
      <c r="C64" s="96">
        <f>IF(C22=0,0,C22/TrRoad_act!C34*100)</f>
        <v>5.9168688857097109</v>
      </c>
      <c r="D64" s="96">
        <f>IF(D22=0,0,D22/TrRoad_act!D34*100)</f>
        <v>5.9069395812265757</v>
      </c>
      <c r="E64" s="96">
        <f>IF(E22=0,0,E22/TrRoad_act!E34*100)</f>
        <v>5.858576127149834</v>
      </c>
      <c r="F64" s="96">
        <f>IF(F22=0,0,F22/TrRoad_act!F34*100)</f>
        <v>5.8273670641478823</v>
      </c>
      <c r="G64" s="96">
        <f>IF(G22=0,0,G22/TrRoad_act!G34*100)</f>
        <v>5.7772189124642317</v>
      </c>
      <c r="H64" s="96">
        <f>IF(H22=0,0,H22/TrRoad_act!H34*100)</f>
        <v>5.779703165693113</v>
      </c>
      <c r="I64" s="96">
        <f>IF(I22=0,0,I22/TrRoad_act!I34*100)</f>
        <v>5.7589842517149226</v>
      </c>
      <c r="J64" s="96">
        <f>IF(J22=0,0,J22/TrRoad_act!J34*100)</f>
        <v>5.6597772557246664</v>
      </c>
      <c r="K64" s="96">
        <f>IF(K22=0,0,K22/TrRoad_act!K34*100)</f>
        <v>5.562422720301698</v>
      </c>
      <c r="L64" s="96">
        <f>IF(L22=0,0,L22/TrRoad_act!L34*100)</f>
        <v>5.5688766064742428</v>
      </c>
      <c r="M64" s="96">
        <f>IF(M22=0,0,M22/TrRoad_act!M34*100)</f>
        <v>5.5344523500012039</v>
      </c>
      <c r="N64" s="96">
        <f>IF(N22=0,0,N22/TrRoad_act!N34*100)</f>
        <v>5.5201091581280739</v>
      </c>
      <c r="O64" s="96">
        <f>IF(O22=0,0,O22/TrRoad_act!O34*100)</f>
        <v>5.5919381091316316</v>
      </c>
      <c r="P64" s="96">
        <f>IF(P22=0,0,P22/TrRoad_act!P34*100)</f>
        <v>5.4838246950803331</v>
      </c>
      <c r="Q64" s="96">
        <f>IF(Q22=0,0,Q22/TrRoad_act!Q34*100)</f>
        <v>5.473337474269055</v>
      </c>
      <c r="R64" s="96">
        <f>IF(R22=0,0,R22/TrRoad_act!R34*100)</f>
        <v>5.8298176982572834</v>
      </c>
      <c r="S64" s="96">
        <f>IF(S22=0,0,S22/TrRoad_act!S34*100)</f>
        <v>5.4766324061523717</v>
      </c>
      <c r="T64" s="96">
        <f>IF(T22=0,0,T22/TrRoad_act!T34*100)</f>
        <v>5.4810371872459784</v>
      </c>
      <c r="U64" s="96">
        <f>IF(U22=0,0,U22/TrRoad_act!U34*100)</f>
        <v>5.4032562578337036</v>
      </c>
      <c r="V64" s="96">
        <f>IF(V22=0,0,V22/TrRoad_act!V34*100)</f>
        <v>5.2226769859408035</v>
      </c>
      <c r="W64" s="96">
        <f>IF(W22=0,0,W22/TrRoad_act!W34*100)</f>
        <v>5.4400678423368429</v>
      </c>
      <c r="X64" s="96">
        <f>IF(X22=0,0,X22/TrRoad_act!X34*100)</f>
        <v>5.1938242032556845</v>
      </c>
      <c r="Y64" s="96">
        <f>IF(Y22=0,0,Y22/TrRoad_act!Y34*100)</f>
        <v>5.2585354338122823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8.3250252105423197</v>
      </c>
      <c r="C65" s="96">
        <f>IF(C24=0,0,C24/TrRoad_act!C35*100)</f>
        <v>7.9168375488048444</v>
      </c>
      <c r="D65" s="96">
        <f>IF(D24=0,0,D24/TrRoad_act!D35*100)</f>
        <v>7.7938097682000347</v>
      </c>
      <c r="E65" s="96">
        <f>IF(E24=0,0,E24/TrRoad_act!E35*100)</f>
        <v>7.734337223296774</v>
      </c>
      <c r="F65" s="96">
        <f>IF(F24=0,0,F24/TrRoad_act!F35*100)</f>
        <v>7.7609880255697821</v>
      </c>
      <c r="G65" s="96">
        <f>IF(G24=0,0,G24/TrRoad_act!G35*100)</f>
        <v>7.5463777508156094</v>
      </c>
      <c r="H65" s="96">
        <f>IF(H24=0,0,H24/TrRoad_act!H35*100)</f>
        <v>7.7296840588708875</v>
      </c>
      <c r="I65" s="96">
        <f>IF(I24=0,0,I24/TrRoad_act!I35*100)</f>
        <v>7.857166867219771</v>
      </c>
      <c r="J65" s="96">
        <f>IF(J24=0,0,J24/TrRoad_act!J35*100)</f>
        <v>7.3238988294284937</v>
      </c>
      <c r="K65" s="96">
        <f>IF(K24=0,0,K24/TrRoad_act!K35*100)</f>
        <v>7.1474896210865824</v>
      </c>
      <c r="L65" s="96">
        <f>IF(L24=0,0,L24/TrRoad_act!L35*100)</f>
        <v>7.1256348338062301</v>
      </c>
      <c r="M65" s="96">
        <f>IF(M24=0,0,M24/TrRoad_act!M35*100)</f>
        <v>7.0207747242488887</v>
      </c>
      <c r="N65" s="96">
        <f>IF(N24=0,0,N24/TrRoad_act!N35*100)</f>
        <v>6.9060650779506929</v>
      </c>
      <c r="O65" s="96">
        <f>IF(O24=0,0,O24/TrRoad_act!O35*100)</f>
        <v>6.8406924176969692</v>
      </c>
      <c r="P65" s="96">
        <f>IF(P24=0,0,P24/TrRoad_act!P35*100)</f>
        <v>6.6586970830582644</v>
      </c>
      <c r="Q65" s="96">
        <f>IF(Q24=0,0,Q24/TrRoad_act!Q35*100)</f>
        <v>6.5932947145790646</v>
      </c>
      <c r="R65" s="96">
        <f>IF(R24=0,0,R24/TrRoad_act!R35*100)</f>
        <v>6.5809724450559228</v>
      </c>
      <c r="S65" s="96">
        <f>IF(S24=0,0,S24/TrRoad_act!S35*100)</f>
        <v>6.3150813793154033</v>
      </c>
      <c r="T65" s="96">
        <f>IF(T24=0,0,T24/TrRoad_act!T35*100)</f>
        <v>6.3712860909591784</v>
      </c>
      <c r="U65" s="96">
        <f>IF(U24=0,0,U24/TrRoad_act!U35*100)</f>
        <v>6.2423264868494543</v>
      </c>
      <c r="V65" s="96">
        <f>IF(V24=0,0,V24/TrRoad_act!V35*100)</f>
        <v>6.1491110137586285</v>
      </c>
      <c r="W65" s="96">
        <f>IF(W24=0,0,W24/TrRoad_act!W35*100)</f>
        <v>6.408334281031161</v>
      </c>
      <c r="X65" s="96">
        <f>IF(X24=0,0,X24/TrRoad_act!X35*100)</f>
        <v>6.0984105613220843</v>
      </c>
      <c r="Y65" s="96">
        <f>IF(Y24=0,0,Y24/TrRoad_act!Y35*100)</f>
        <v>5.9210369119638564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0</v>
      </c>
      <c r="D66" s="96">
        <f>IF(D26=0,0,D26/TrRoad_act!D36*100)</f>
        <v>0</v>
      </c>
      <c r="E66" s="96">
        <f>IF(E26=0,0,E26/TrRoad_act!E36*100)</f>
        <v>0</v>
      </c>
      <c r="F66" s="96">
        <f>IF(F26=0,0,F26/TrRoad_act!F36*100)</f>
        <v>0</v>
      </c>
      <c r="G66" s="96">
        <f>IF(G26=0,0,G26/TrRoad_act!G36*100)</f>
        <v>0</v>
      </c>
      <c r="H66" s="96">
        <f>IF(H26=0,0,H26/TrRoad_act!H36*100)</f>
        <v>0</v>
      </c>
      <c r="I66" s="96">
        <f>IF(I26=0,0,I26/TrRoad_act!I36*100)</f>
        <v>0</v>
      </c>
      <c r="J66" s="96">
        <f>IF(J26=0,0,J26/TrRoad_act!J36*100)</f>
        <v>0</v>
      </c>
      <c r="K66" s="96">
        <f>IF(K26=0,0,K26/TrRoad_act!K36*100)</f>
        <v>0</v>
      </c>
      <c r="L66" s="96">
        <f>IF(L26=0,0,L26/TrRoad_act!L36*100)</f>
        <v>0</v>
      </c>
      <c r="M66" s="96">
        <f>IF(M26=0,0,M26/TrRoad_act!M36*100)</f>
        <v>0</v>
      </c>
      <c r="N66" s="96">
        <f>IF(N26=0,0,N26/TrRoad_act!N36*100)</f>
        <v>0</v>
      </c>
      <c r="O66" s="96">
        <f>IF(O26=0,0,O26/TrRoad_act!O36*100)</f>
        <v>0</v>
      </c>
      <c r="P66" s="96">
        <f>IF(P26=0,0,P26/TrRoad_act!P36*100)</f>
        <v>0</v>
      </c>
      <c r="Q66" s="96">
        <f>IF(Q26=0,0,Q26/TrRoad_act!Q36*100)</f>
        <v>0</v>
      </c>
      <c r="R66" s="96">
        <f>IF(R26=0,0,R26/TrRoad_act!R36*100)</f>
        <v>0</v>
      </c>
      <c r="S66" s="96">
        <f>IF(S26=0,0,S26/TrRoad_act!S36*100)</f>
        <v>0</v>
      </c>
      <c r="T66" s="96">
        <f>IF(T26=0,0,T26/TrRoad_act!T36*100)</f>
        <v>0</v>
      </c>
      <c r="U66" s="96">
        <f>IF(U26=0,0,U26/TrRoad_act!U36*100)</f>
        <v>0</v>
      </c>
      <c r="V66" s="96">
        <f>IF(V26=0,0,V26/TrRoad_act!V36*100)</f>
        <v>0</v>
      </c>
      <c r="W66" s="96">
        <f>IF(W26=0,0,W26/TrRoad_act!W36*100)</f>
        <v>0</v>
      </c>
      <c r="X66" s="96">
        <f>IF(X26=0,0,X26/TrRoad_act!X36*100)</f>
        <v>0</v>
      </c>
      <c r="Y66" s="96">
        <f>IF(Y26=0,0,Y26/TrRoad_act!Y36*100)</f>
        <v>0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8.6231619603380683</v>
      </c>
      <c r="I67" s="96">
        <f>IF(I27=0,0,I27/TrRoad_act!I37*100)</f>
        <v>8.6702405198958967</v>
      </c>
      <c r="J67" s="96">
        <f>IF(J27=0,0,J27/TrRoad_act!J37*100)</f>
        <v>9.7091126437331159</v>
      </c>
      <c r="K67" s="96">
        <f>IF(K27=0,0,K27/TrRoad_act!K37*100)</f>
        <v>10.81683374173042</v>
      </c>
      <c r="L67" s="96">
        <f>IF(L27=0,0,L27/TrRoad_act!L37*100)</f>
        <v>10.799653175762069</v>
      </c>
      <c r="M67" s="96">
        <f>IF(M27=0,0,M27/TrRoad_act!M37*100)</f>
        <v>8.0962870021827182</v>
      </c>
      <c r="N67" s="96">
        <f>IF(N27=0,0,N27/TrRoad_act!N37*100)</f>
        <v>11.745091601457966</v>
      </c>
      <c r="O67" s="96">
        <f>IF(O27=0,0,O27/TrRoad_act!O37*100)</f>
        <v>7.8106666146249202</v>
      </c>
      <c r="P67" s="96">
        <f>IF(P27=0,0,P27/TrRoad_act!P37*100)</f>
        <v>7.3194348046653772</v>
      </c>
      <c r="Q67" s="96">
        <f>IF(Q27=0,0,Q27/TrRoad_act!Q37*100)</f>
        <v>6.927479987361461</v>
      </c>
      <c r="R67" s="96">
        <f>IF(R27=0,0,R27/TrRoad_act!R37*100)</f>
        <v>6.6343098142098933</v>
      </c>
      <c r="S67" s="96">
        <f>IF(S27=0,0,S27/TrRoad_act!S37*100)</f>
        <v>6.2130728699666493</v>
      </c>
      <c r="T67" s="96">
        <f>IF(T27=0,0,T27/TrRoad_act!T37*100)</f>
        <v>7.1197967624042029</v>
      </c>
      <c r="U67" s="96">
        <f>IF(U27=0,0,U27/TrRoad_act!U37*100)</f>
        <v>8.4004190704206199</v>
      </c>
      <c r="V67" s="96">
        <f>IF(V27=0,0,V27/TrRoad_act!V37*100)</f>
        <v>11.377650169697354</v>
      </c>
      <c r="W67" s="96">
        <f>IF(W27=0,0,W27/TrRoad_act!W37*100)</f>
        <v>13.2761698943405</v>
      </c>
      <c r="X67" s="96">
        <f>IF(X27=0,0,X27/TrRoad_act!X37*100)</f>
        <v>15.209745352200846</v>
      </c>
      <c r="Y67" s="96">
        <f>IF(Y27=0,0,Y27/TrRoad_act!Y37*100)</f>
        <v>16.404394028819301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2.5993217184358648</v>
      </c>
      <c r="O68" s="96">
        <f>IF(O29=0,0,O29/TrRoad_act!O38*100)</f>
        <v>2.7426822479968012</v>
      </c>
      <c r="P68" s="96">
        <f>IF(P29=0,0,P29/TrRoad_act!P38*100)</f>
        <v>2.974799784040481</v>
      </c>
      <c r="Q68" s="96">
        <f>IF(Q29=0,0,Q29/TrRoad_act!Q38*100)</f>
        <v>3.2794913228898785</v>
      </c>
      <c r="R68" s="96">
        <f>IF(R29=0,0,R29/TrRoad_act!R38*100)</f>
        <v>3.6031981895687757</v>
      </c>
      <c r="S68" s="96">
        <f>IF(S29=0,0,S29/TrRoad_act!S38*100)</f>
        <v>3.4709597921074051</v>
      </c>
      <c r="T68" s="96">
        <f>IF(T29=0,0,T29/TrRoad_act!T38*100)</f>
        <v>3.5492603686565047</v>
      </c>
      <c r="U68" s="96">
        <f>IF(U29=0,0,U29/TrRoad_act!U38*100)</f>
        <v>3.3996662544610978</v>
      </c>
      <c r="V68" s="96">
        <f>IF(V29=0,0,V29/TrRoad_act!V38*100)</f>
        <v>3.2371580900348689</v>
      </c>
      <c r="W68" s="96">
        <f>IF(W29=0,0,W29/TrRoad_act!W38*100)</f>
        <v>3.2015151098003667</v>
      </c>
      <c r="X68" s="96">
        <f>IF(X29=0,0,X29/TrRoad_act!X38*100)</f>
        <v>3.0702800273370645</v>
      </c>
      <c r="Y68" s="96">
        <f>IF(Y29=0,0,Y29/TrRoad_act!Y38*100)</f>
        <v>2.9985174960897902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1.6236261546698092</v>
      </c>
      <c r="J69" s="96">
        <f>IF(J32=0,0,J32/TrRoad_act!J39*100)</f>
        <v>1.6160261461362877</v>
      </c>
      <c r="K69" s="96">
        <f>IF(K32=0,0,K32/TrRoad_act!K39*100)</f>
        <v>1.6099458224146077</v>
      </c>
      <c r="L69" s="96">
        <f>IF(L32=0,0,L32/TrRoad_act!L39*100)</f>
        <v>1.5978176772512354</v>
      </c>
      <c r="M69" s="96">
        <f>IF(M32=0,0,M32/TrRoad_act!M39*100)</f>
        <v>1.5998104116666416</v>
      </c>
      <c r="N69" s="96">
        <f>IF(N32=0,0,N32/TrRoad_act!N39*100)</f>
        <v>1.5420660884558086</v>
      </c>
      <c r="O69" s="96">
        <f>IF(O32=0,0,O32/TrRoad_act!O39*100)</f>
        <v>1.546426706684596</v>
      </c>
      <c r="P69" s="96">
        <f>IF(P32=0,0,P32/TrRoad_act!P39*100)</f>
        <v>1.5368330912717127</v>
      </c>
      <c r="Q69" s="96">
        <f>IF(Q32=0,0,Q32/TrRoad_act!Q39*100)</f>
        <v>1.6403270150018019</v>
      </c>
      <c r="R69" s="96">
        <f>IF(R32=0,0,R32/TrRoad_act!R39*100)</f>
        <v>1.642366941593375</v>
      </c>
      <c r="S69" s="96">
        <f>IF(S32=0,0,S32/TrRoad_act!S39*100)</f>
        <v>1.6014613898233425</v>
      </c>
      <c r="T69" s="96">
        <f>IF(T32=0,0,T32/TrRoad_act!T39*100)</f>
        <v>1.6118040108319041</v>
      </c>
      <c r="U69" s="96">
        <f>IF(U32=0,0,U32/TrRoad_act!U39*100)</f>
        <v>1.5378268156070347</v>
      </c>
      <c r="V69" s="96">
        <f>IF(V32=0,0,V32/TrRoad_act!V39*100)</f>
        <v>1.6081721802722173</v>
      </c>
      <c r="W69" s="96">
        <f>IF(W32=0,0,W32/TrRoad_act!W39*100)</f>
        <v>1.7117381492284014</v>
      </c>
      <c r="X69" s="96">
        <f>IF(X32=0,0,X32/TrRoad_act!X39*100)</f>
        <v>1.7300432089221411</v>
      </c>
      <c r="Y69" s="96">
        <f>IF(Y32=0,0,Y32/TrRoad_act!Y39*100)</f>
        <v>1.7108542194740937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61.400072430511834</v>
      </c>
      <c r="C70" s="130">
        <f>IF(C33=0,0,C33/TrRoad_act!C40*100)</f>
        <v>60.978361539096369</v>
      </c>
      <c r="D70" s="130">
        <f>IF(D33=0,0,D33/TrRoad_act!D40*100)</f>
        <v>60.355944736052734</v>
      </c>
      <c r="E70" s="130">
        <f>IF(E33=0,0,E33/TrRoad_act!E40*100)</f>
        <v>60.111242591049866</v>
      </c>
      <c r="F70" s="130">
        <f>IF(F33=0,0,F33/TrRoad_act!F40*100)</f>
        <v>60.49379711733993</v>
      </c>
      <c r="G70" s="130">
        <f>IF(G33=0,0,G33/TrRoad_act!G40*100)</f>
        <v>58.821481782374697</v>
      </c>
      <c r="H70" s="130">
        <f>IF(H33=0,0,H33/TrRoad_act!H40*100)</f>
        <v>59.731953946590281</v>
      </c>
      <c r="I70" s="130">
        <f>IF(I33=0,0,I33/TrRoad_act!I40*100)</f>
        <v>60.307468844954712</v>
      </c>
      <c r="J70" s="130">
        <f>IF(J33=0,0,J33/TrRoad_act!J40*100)</f>
        <v>57.037417366921282</v>
      </c>
      <c r="K70" s="130">
        <f>IF(K33=0,0,K33/TrRoad_act!K40*100)</f>
        <v>55.976360462014455</v>
      </c>
      <c r="L70" s="130">
        <f>IF(L33=0,0,L33/TrRoad_act!L40*100)</f>
        <v>55.983516312021287</v>
      </c>
      <c r="M70" s="130">
        <f>IF(M33=0,0,M33/TrRoad_act!M40*100)</f>
        <v>55.17601814742352</v>
      </c>
      <c r="N70" s="130">
        <f>IF(N33=0,0,N33/TrRoad_act!N40*100)</f>
        <v>54.962170593195495</v>
      </c>
      <c r="O70" s="130">
        <f>IF(O33=0,0,O33/TrRoad_act!O40*100)</f>
        <v>54.64404688053834</v>
      </c>
      <c r="P70" s="130">
        <f>IF(P33=0,0,P33/TrRoad_act!P40*100)</f>
        <v>53.989039487856104</v>
      </c>
      <c r="Q70" s="130">
        <f>IF(Q33=0,0,Q33/TrRoad_act!Q40*100)</f>
        <v>54.240367504579133</v>
      </c>
      <c r="R70" s="130">
        <f>IF(R33=0,0,R33/TrRoad_act!R40*100)</f>
        <v>54.96836483044946</v>
      </c>
      <c r="S70" s="130">
        <f>IF(S33=0,0,S33/TrRoad_act!S40*100)</f>
        <v>53.643331692896055</v>
      </c>
      <c r="T70" s="130">
        <f>IF(T33=0,0,T33/TrRoad_act!T40*100)</f>
        <v>54.548698651417325</v>
      </c>
      <c r="U70" s="130">
        <f>IF(U33=0,0,U33/TrRoad_act!U40*100)</f>
        <v>53.898250078864109</v>
      </c>
      <c r="V70" s="130">
        <f>IF(V33=0,0,V33/TrRoad_act!V40*100)</f>
        <v>53.469663381034024</v>
      </c>
      <c r="W70" s="130">
        <f>IF(W33=0,0,W33/TrRoad_act!W40*100)</f>
        <v>55.299308824207301</v>
      </c>
      <c r="X70" s="130">
        <f>IF(X33=0,0,X33/TrRoad_act!X40*100)</f>
        <v>52.670345023700229</v>
      </c>
      <c r="Y70" s="130">
        <f>IF(Y33=0,0,Y33/TrRoad_act!Y40*100)</f>
        <v>50.920282844121978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18.975101848078442</v>
      </c>
      <c r="C71" s="97">
        <f>IF(C34=0,0,C34/TrRoad_act!C41*100)</f>
        <v>18.580301003471455</v>
      </c>
      <c r="D71" s="97">
        <f>IF(D34=0,0,D34/TrRoad_act!D41*100)</f>
        <v>18.569583705918618</v>
      </c>
      <c r="E71" s="97">
        <f>IF(E34=0,0,E34/TrRoad_act!E41*100)</f>
        <v>18.569583705918618</v>
      </c>
      <c r="F71" s="97">
        <f>IF(F34=0,0,F34/TrRoad_act!F41*100)</f>
        <v>18.498876610067679</v>
      </c>
      <c r="G71" s="97">
        <f>IF(G34=0,0,G34/TrRoad_act!G41*100)</f>
        <v>18.329580280096671</v>
      </c>
      <c r="H71" s="97">
        <f>IF(H34=0,0,H34/TrRoad_act!H41*100)</f>
        <v>18.29963232947097</v>
      </c>
      <c r="I71" s="97">
        <f>IF(I34=0,0,I34/TrRoad_act!I41*100)</f>
        <v>18.260172885406011</v>
      </c>
      <c r="J71" s="97">
        <f>IF(J34=0,0,J34/TrRoad_act!J41*100)</f>
        <v>18.244054787403218</v>
      </c>
      <c r="K71" s="97">
        <f>IF(K34=0,0,K34/TrRoad_act!K41*100)</f>
        <v>17.980713895481795</v>
      </c>
      <c r="L71" s="97">
        <f>IF(L34=0,0,L34/TrRoad_act!L41*100)</f>
        <v>17.853860850989651</v>
      </c>
      <c r="M71" s="97">
        <f>IF(M34=0,0,M34/TrRoad_act!M41*100)</f>
        <v>17.830836912101976</v>
      </c>
      <c r="N71" s="97">
        <f>IF(N34=0,0,N34/TrRoad_act!N41*100)</f>
        <v>17.830836912101969</v>
      </c>
      <c r="O71" s="97">
        <f>IF(O34=0,0,O34/TrRoad_act!O41*100)</f>
        <v>17.830836912101969</v>
      </c>
      <c r="P71" s="97">
        <f>IF(P34=0,0,P34/TrRoad_act!P41*100)</f>
        <v>17.830836912101972</v>
      </c>
      <c r="Q71" s="97">
        <f>IF(Q34=0,0,Q34/TrRoad_act!Q41*100)</f>
        <v>17.830836912101969</v>
      </c>
      <c r="R71" s="97">
        <f>IF(R34=0,0,R34/TrRoad_act!R41*100)</f>
        <v>17.830836912101972</v>
      </c>
      <c r="S71" s="97">
        <f>IF(S34=0,0,S34/TrRoad_act!S41*100)</f>
        <v>17.578347248391381</v>
      </c>
      <c r="T71" s="97">
        <f>IF(T34=0,0,T34/TrRoad_act!T41*100)</f>
        <v>17.578347248391388</v>
      </c>
      <c r="U71" s="97">
        <f>IF(U34=0,0,U34/TrRoad_act!U41*100)</f>
        <v>17.578347248391385</v>
      </c>
      <c r="V71" s="97">
        <f>IF(V34=0,0,V34/TrRoad_act!V41*100)</f>
        <v>17.550929574354392</v>
      </c>
      <c r="W71" s="97">
        <f>IF(W34=0,0,W34/TrRoad_act!W41*100)</f>
        <v>17.550929574354388</v>
      </c>
      <c r="X71" s="97">
        <f>IF(X34=0,0,X34/TrRoad_act!X41*100)</f>
        <v>17.176803003388638</v>
      </c>
      <c r="Y71" s="97">
        <f>IF(Y34=0,0,Y34/TrRoad_act!Y41*100)</f>
        <v>17.142772261127341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61.670364882776539</v>
      </c>
      <c r="C72" s="97">
        <f>IF(C36=0,0,C36/TrRoad_act!C42*100)</f>
        <v>61.241444290735238</v>
      </c>
      <c r="D72" s="97">
        <f>IF(D36=0,0,D36/TrRoad_act!D42*100)</f>
        <v>60.708758370077362</v>
      </c>
      <c r="E72" s="97">
        <f>IF(E36=0,0,E36/TrRoad_act!E42*100)</f>
        <v>60.461138655131407</v>
      </c>
      <c r="F72" s="97">
        <f>IF(F36=0,0,F36/TrRoad_act!F42*100)</f>
        <v>60.822742550095874</v>
      </c>
      <c r="G72" s="97">
        <f>IF(G36=0,0,G36/TrRoad_act!G42*100)</f>
        <v>59.117249864102348</v>
      </c>
      <c r="H72" s="97">
        <f>IF(H36=0,0,H36/TrRoad_act!H42*100)</f>
        <v>60.102259052721664</v>
      </c>
      <c r="I72" s="97">
        <f>IF(I36=0,0,I36/TrRoad_act!I42*100)</f>
        <v>60.736280118709814</v>
      </c>
      <c r="J72" s="97">
        <f>IF(J36=0,0,J36/TrRoad_act!J42*100)</f>
        <v>57.175176756347625</v>
      </c>
      <c r="K72" s="97">
        <f>IF(K36=0,0,K36/TrRoad_act!K42*100)</f>
        <v>55.95392827303619</v>
      </c>
      <c r="L72" s="97">
        <f>IF(L36=0,0,L36/TrRoad_act!L42*100)</f>
        <v>55.950150794842003</v>
      </c>
      <c r="M72" s="97">
        <f>IF(M36=0,0,M36/TrRoad_act!M42*100)</f>
        <v>55.425142622522031</v>
      </c>
      <c r="N72" s="97">
        <f>IF(N36=0,0,N36/TrRoad_act!N42*100)</f>
        <v>54.889568286441204</v>
      </c>
      <c r="O72" s="97">
        <f>IF(O36=0,0,O36/TrRoad_act!O42*100)</f>
        <v>54.873975038415303</v>
      </c>
      <c r="P72" s="97">
        <f>IF(P36=0,0,P36/TrRoad_act!P42*100)</f>
        <v>54.217741192394485</v>
      </c>
      <c r="Q72" s="97">
        <f>IF(Q36=0,0,Q36/TrRoad_act!Q42*100)</f>
        <v>54.519570393415528</v>
      </c>
      <c r="R72" s="97">
        <f>IF(R36=0,0,R36/TrRoad_act!R42*100)</f>
        <v>55.151913624729865</v>
      </c>
      <c r="S72" s="97">
        <f>IF(S36=0,0,S36/TrRoad_act!S42*100)</f>
        <v>53.768047018298212</v>
      </c>
      <c r="T72" s="97">
        <f>IF(T36=0,0,T36/TrRoad_act!T42*100)</f>
        <v>54.610917966573581</v>
      </c>
      <c r="U72" s="97">
        <f>IF(U36=0,0,U36/TrRoad_act!U42*100)</f>
        <v>53.890947425411674</v>
      </c>
      <c r="V72" s="97">
        <f>IF(V36=0,0,V36/TrRoad_act!V42*100)</f>
        <v>53.369049484098284</v>
      </c>
      <c r="W72" s="97">
        <f>IF(W36=0,0,W36/TrRoad_act!W42*100)</f>
        <v>55.446070684632787</v>
      </c>
      <c r="X72" s="97">
        <f>IF(X36=0,0,X36/TrRoad_act!X42*100)</f>
        <v>52.998952995777181</v>
      </c>
      <c r="Y72" s="97">
        <f>IF(Y36=0,0,Y36/TrRoad_act!Y42*100)</f>
        <v>51.187440175198219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X73" s="97">
        <f>IF(X38=0,0,X38/TrRoad_act!X43*100)</f>
        <v>0</v>
      </c>
      <c r="Y73" s="97">
        <f>IF(Y38=0,0,Y38/TrRoad_act!Y43*100)</f>
        <v>0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42.79236709497863</v>
      </c>
      <c r="C74" s="97">
        <f>IF(C39=0,0,C39/TrRoad_act!C44*100)</f>
        <v>43.524447266485204</v>
      </c>
      <c r="D74" s="97">
        <f>IF(D39=0,0,D39/TrRoad_act!D44*100)</f>
        <v>43.151047555911262</v>
      </c>
      <c r="E74" s="97">
        <f>IF(E39=0,0,E39/TrRoad_act!E44*100)</f>
        <v>42.612832531474091</v>
      </c>
      <c r="F74" s="97">
        <f>IF(F39=0,0,F39/TrRoad_act!F44*100)</f>
        <v>43.449504957168188</v>
      </c>
      <c r="G74" s="97">
        <f>IF(G39=0,0,G39/TrRoad_act!G44*100)</f>
        <v>43.712927010241813</v>
      </c>
      <c r="H74" s="97">
        <f>IF(H39=0,0,H39/TrRoad_act!H44*100)</f>
        <v>44.209133762523791</v>
      </c>
      <c r="I74" s="97">
        <f>IF(I39=0,0,I39/TrRoad_act!I44*100)</f>
        <v>41.77190563514381</v>
      </c>
      <c r="J74" s="97">
        <f>IF(J39=0,0,J39/TrRoad_act!J44*100)</f>
        <v>52.2001537547496</v>
      </c>
      <c r="K74" s="97">
        <f>IF(K39=0,0,K39/TrRoad_act!K44*100)</f>
        <v>59.932939715283659</v>
      </c>
      <c r="L74" s="97">
        <f>IF(L39=0,0,L39/TrRoad_act!L44*100)</f>
        <v>61.009922420566042</v>
      </c>
      <c r="M74" s="97">
        <f>IF(M39=0,0,M39/TrRoad_act!M44*100)</f>
        <v>40.525847554106235</v>
      </c>
      <c r="N74" s="97">
        <f>IF(N39=0,0,N39/TrRoad_act!N44*100)</f>
        <v>64.327806575417171</v>
      </c>
      <c r="O74" s="97">
        <f>IF(O39=0,0,O39/TrRoad_act!O44*100)</f>
        <v>38.679441984442455</v>
      </c>
      <c r="P74" s="97">
        <f>IF(P39=0,0,P39/TrRoad_act!P44*100)</f>
        <v>38.379571883084665</v>
      </c>
      <c r="Q74" s="97">
        <f>IF(Q39=0,0,Q39/TrRoad_act!Q44*100)</f>
        <v>33.735825164129118</v>
      </c>
      <c r="R74" s="97">
        <f>IF(R39=0,0,R39/TrRoad_act!R44*100)</f>
        <v>42.037659782689893</v>
      </c>
      <c r="S74" s="97">
        <f>IF(S39=0,0,S39/TrRoad_act!S44*100)</f>
        <v>46.090129283023998</v>
      </c>
      <c r="T74" s="97">
        <f>IF(T39=0,0,T39/TrRoad_act!T44*100)</f>
        <v>54.040602031942598</v>
      </c>
      <c r="U74" s="97">
        <f>IF(U39=0,0,U39/TrRoad_act!U44*100)</f>
        <v>67.559797241062398</v>
      </c>
      <c r="V74" s="97">
        <f>IF(V39=0,0,V39/TrRoad_act!V44*100)</f>
        <v>94.745970022291687</v>
      </c>
      <c r="W74" s="97">
        <f>IF(W39=0,0,W39/TrRoad_act!W44*100)</f>
        <v>112.09734821148081</v>
      </c>
      <c r="X74" s="97">
        <f>IF(X39=0,0,X39/TrRoad_act!X44*100)</f>
        <v>131.2926293188128</v>
      </c>
      <c r="Y74" s="97">
        <f>IF(Y39=0,0,Y39/TrRoad_act!Y44*100)</f>
        <v>142.64457276742536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36.920996362117634</v>
      </c>
      <c r="O75" s="97">
        <f>IF(O41=0,0,O41/TrRoad_act!O45*100)</f>
        <v>36.920996362117634</v>
      </c>
      <c r="P75" s="97">
        <f>IF(P41=0,0,P41/TrRoad_act!P45*100)</f>
        <v>37.119601606142453</v>
      </c>
      <c r="Q75" s="97">
        <f>IF(Q41=0,0,Q41/TrRoad_act!Q45*100)</f>
        <v>37.219308562700775</v>
      </c>
      <c r="R75" s="97">
        <f>IF(R41=0,0,R41/TrRoad_act!R45*100)</f>
        <v>37.648759436741628</v>
      </c>
      <c r="S75" s="97">
        <f>IF(S41=0,0,S41/TrRoad_act!S45*100)</f>
        <v>37.534993830299882</v>
      </c>
      <c r="T75" s="97">
        <f>IF(T41=0,0,T41/TrRoad_act!T45*100)</f>
        <v>37.466078942748098</v>
      </c>
      <c r="U75" s="97">
        <f>IF(U41=0,0,U41/TrRoad_act!U45*100)</f>
        <v>36.488097931755718</v>
      </c>
      <c r="V75" s="97">
        <f>IF(V41=0,0,V41/TrRoad_act!V45*100)</f>
        <v>36.114338327112094</v>
      </c>
      <c r="W75" s="97">
        <f>IF(W41=0,0,W41/TrRoad_act!W45*100)</f>
        <v>34.981508897973903</v>
      </c>
      <c r="X75" s="97">
        <f>IF(X41=0,0,X41/TrRoad_act!X45*100)</f>
        <v>34.222962007866919</v>
      </c>
      <c r="Y75" s="97">
        <f>IF(Y41=0,0,Y41/TrRoad_act!Y45*100)</f>
        <v>33.924235680061557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20.113429141628618</v>
      </c>
      <c r="C76" s="32">
        <f>IF(C42=0,0,C42/TrRoad_act!C46*100)</f>
        <v>20.137897204518044</v>
      </c>
      <c r="D76" s="32">
        <f>IF(D42=0,0,D42/TrRoad_act!D46*100)</f>
        <v>20.022341043175871</v>
      </c>
      <c r="E76" s="32">
        <f>IF(E42=0,0,E42/TrRoad_act!E46*100)</f>
        <v>19.972297376376645</v>
      </c>
      <c r="F76" s="32">
        <f>IF(F42=0,0,F42/TrRoad_act!F46*100)</f>
        <v>19.75183795747855</v>
      </c>
      <c r="G76" s="32">
        <f>IF(G42=0,0,G42/TrRoad_act!G46*100)</f>
        <v>19.006151906335429</v>
      </c>
      <c r="H76" s="32">
        <f>IF(H42=0,0,H42/TrRoad_act!H46*100)</f>
        <v>19.108618357211746</v>
      </c>
      <c r="I76" s="32">
        <f>IF(I42=0,0,I42/TrRoad_act!I46*100)</f>
        <v>19.113530219700674</v>
      </c>
      <c r="J76" s="32">
        <f>IF(J42=0,0,J42/TrRoad_act!J46*100)</f>
        <v>17.40079446119244</v>
      </c>
      <c r="K76" s="32">
        <f>IF(K42=0,0,K42/TrRoad_act!K46*100)</f>
        <v>16.186031184809412</v>
      </c>
      <c r="L76" s="32">
        <f>IF(L42=0,0,L42/TrRoad_act!L46*100)</f>
        <v>16.439119797411461</v>
      </c>
      <c r="M76" s="32">
        <f>IF(M42=0,0,M42/TrRoad_act!M46*100)</f>
        <v>15.687316080041713</v>
      </c>
      <c r="N76" s="32">
        <f>IF(N42=0,0,N42/TrRoad_act!N46*100)</f>
        <v>14.966530674145165</v>
      </c>
      <c r="O76" s="32">
        <f>IF(O42=0,0,O42/TrRoad_act!O46*100)</f>
        <v>14.711265836570378</v>
      </c>
      <c r="P76" s="32">
        <f>IF(P42=0,0,P42/TrRoad_act!P46*100)</f>
        <v>14.079797122948939</v>
      </c>
      <c r="Q76" s="32">
        <f>IF(Q42=0,0,Q42/TrRoad_act!Q46*100)</f>
        <v>13.652191735604285</v>
      </c>
      <c r="R76" s="32">
        <f>IF(R42=0,0,R42/TrRoad_act!R46*100)</f>
        <v>14.086314820571316</v>
      </c>
      <c r="S76" s="32">
        <f>IF(S42=0,0,S42/TrRoad_act!S46*100)</f>
        <v>13.451067879014058</v>
      </c>
      <c r="T76" s="32">
        <f>IF(T42=0,0,T42/TrRoad_act!T46*100)</f>
        <v>13.431908581702515</v>
      </c>
      <c r="U76" s="32">
        <f>IF(U42=0,0,U42/TrRoad_act!U46*100)</f>
        <v>13.001150867261716</v>
      </c>
      <c r="V76" s="32">
        <f>IF(V42=0,0,V42/TrRoad_act!V46*100)</f>
        <v>12.665906624968171</v>
      </c>
      <c r="W76" s="32">
        <f>IF(W42=0,0,W42/TrRoad_act!W46*100)</f>
        <v>13.365878135455548</v>
      </c>
      <c r="X76" s="32">
        <f>IF(X42=0,0,X42/TrRoad_act!X46*100)</f>
        <v>12.643648975693141</v>
      </c>
      <c r="Y76" s="32">
        <f>IF(Y42=0,0,Y42/TrRoad_act!Y46*100)</f>
        <v>11.856736042902602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10.771859508930511</v>
      </c>
      <c r="C77" s="141">
        <f>IF(C43=0,0,C43/TrRoad_act!C47*100)</f>
        <v>10.484621598858663</v>
      </c>
      <c r="D77" s="141">
        <f>IF(D43=0,0,D43/TrRoad_act!D47*100)</f>
        <v>10.323527340857224</v>
      </c>
      <c r="E77" s="141">
        <f>IF(E43=0,0,E43/TrRoad_act!E47*100)</f>
        <v>10.216738606937467</v>
      </c>
      <c r="F77" s="141">
        <f>IF(F43=0,0,F43/TrRoad_act!F47*100)</f>
        <v>10.153536956991612</v>
      </c>
      <c r="G77" s="141">
        <f>IF(G43=0,0,G43/TrRoad_act!G47*100)</f>
        <v>9.8417506939900026</v>
      </c>
      <c r="H77" s="141">
        <f>IF(H43=0,0,H43/TrRoad_act!H47*100)</f>
        <v>9.9712846989319779</v>
      </c>
      <c r="I77" s="141">
        <f>IF(I43=0,0,I43/TrRoad_act!I47*100)</f>
        <v>10.086850419020907</v>
      </c>
      <c r="J77" s="141">
        <f>IF(J43=0,0,J43/TrRoad_act!J47*100)</f>
        <v>9.5650763224710573</v>
      </c>
      <c r="K77" s="141">
        <f>IF(K43=0,0,K43/TrRoad_act!K47*100)</f>
        <v>9.4180172747297739</v>
      </c>
      <c r="L77" s="141">
        <f>IF(L43=0,0,L43/TrRoad_act!L47*100)</f>
        <v>9.4916020960444403</v>
      </c>
      <c r="M77" s="141">
        <f>IF(M43=0,0,M43/TrRoad_act!M47*100)</f>
        <v>9.5065923444109419</v>
      </c>
      <c r="N77" s="141">
        <f>IF(N43=0,0,N43/TrRoad_act!N47*100)</f>
        <v>9.4490546604428225</v>
      </c>
      <c r="O77" s="141">
        <f>IF(O43=0,0,O43/TrRoad_act!O47*100)</f>
        <v>9.4051831926897353</v>
      </c>
      <c r="P77" s="141">
        <f>IF(P43=0,0,P43/TrRoad_act!P47*100)</f>
        <v>9.2845120894374915</v>
      </c>
      <c r="Q77" s="141">
        <f>IF(Q43=0,0,Q43/TrRoad_act!Q47*100)</f>
        <v>9.2672750286654271</v>
      </c>
      <c r="R77" s="141">
        <f>IF(R43=0,0,R43/TrRoad_act!R47*100)</f>
        <v>9.3102804166476449</v>
      </c>
      <c r="S77" s="141">
        <f>IF(S43=0,0,S43/TrRoad_act!S47*100)</f>
        <v>8.9972005717076335</v>
      </c>
      <c r="T77" s="141">
        <f>IF(T43=0,0,T43/TrRoad_act!T47*100)</f>
        <v>9.0493976561965219</v>
      </c>
      <c r="U77" s="141">
        <f>IF(U43=0,0,U43/TrRoad_act!U47*100)</f>
        <v>8.9023626197868619</v>
      </c>
      <c r="V77" s="141">
        <f>IF(V43=0,0,V43/TrRoad_act!V47*100)</f>
        <v>8.8143459245949867</v>
      </c>
      <c r="W77" s="141">
        <f>IF(W43=0,0,W43/TrRoad_act!W47*100)</f>
        <v>9.1139678022148818</v>
      </c>
      <c r="X77" s="141">
        <f>IF(X43=0,0,X43/TrRoad_act!X47*100)</f>
        <v>8.7346195439134622</v>
      </c>
      <c r="Y77" s="141">
        <f>IF(Y43=0,0,Y43/TrRoad_act!Y47*100)</f>
        <v>8.4851914182263144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9.0953368834588151</v>
      </c>
      <c r="C78" s="96">
        <f>IF(C44=0,0,C44/TrRoad_act!C48*100)</f>
        <v>9.0670272717283122</v>
      </c>
      <c r="D78" s="96">
        <f>IF(D44=0,0,D44/TrRoad_act!D48*100)</f>
        <v>9.0378403654519506</v>
      </c>
      <c r="E78" s="96">
        <f>IF(E44=0,0,E44/TrRoad_act!E48*100)</f>
        <v>9.0198057371405707</v>
      </c>
      <c r="F78" s="96">
        <f>IF(F44=0,0,F44/TrRoad_act!F48*100)</f>
        <v>8.9746929264631152</v>
      </c>
      <c r="G78" s="96">
        <f>IF(G44=0,0,G44/TrRoad_act!G48*100)</f>
        <v>8.8903176996539415</v>
      </c>
      <c r="H78" s="96">
        <f>IF(H44=0,0,H44/TrRoad_act!H48*100)</f>
        <v>8.7971767015889579</v>
      </c>
      <c r="I78" s="96">
        <f>IF(I44=0,0,I44/TrRoad_act!I48*100)</f>
        <v>8.6909053483863339</v>
      </c>
      <c r="J78" s="96">
        <f>IF(J44=0,0,J44/TrRoad_act!J48*100)</f>
        <v>8.5400577592575342</v>
      </c>
      <c r="K78" s="96">
        <f>IF(K44=0,0,K44/TrRoad_act!K48*100)</f>
        <v>8.4233625804118137</v>
      </c>
      <c r="L78" s="96">
        <f>IF(L44=0,0,L44/TrRoad_act!L48*100)</f>
        <v>8.3279221211906638</v>
      </c>
      <c r="M78" s="96">
        <f>IF(M44=0,0,M44/TrRoad_act!M48*100)</f>
        <v>8.2433977032068473</v>
      </c>
      <c r="N78" s="96">
        <f>IF(N44=0,0,N44/TrRoad_act!N48*100)</f>
        <v>8.1804667111697213</v>
      </c>
      <c r="O78" s="96">
        <f>IF(O44=0,0,O44/TrRoad_act!O48*100)</f>
        <v>8.0859952268315105</v>
      </c>
      <c r="P78" s="96">
        <f>IF(P44=0,0,P44/TrRoad_act!P48*100)</f>
        <v>7.981260663241736</v>
      </c>
      <c r="Q78" s="96">
        <f>IF(Q44=0,0,Q44/TrRoad_act!Q48*100)</f>
        <v>7.9105618682260834</v>
      </c>
      <c r="R78" s="96">
        <f>IF(R44=0,0,R44/TrRoad_act!R48*100)</f>
        <v>7.7899039638531091</v>
      </c>
      <c r="S78" s="96">
        <f>IF(S44=0,0,S44/TrRoad_act!S48*100)</f>
        <v>7.6829468435614929</v>
      </c>
      <c r="T78" s="96">
        <f>IF(T44=0,0,T44/TrRoad_act!T48*100)</f>
        <v>7.5715490727747543</v>
      </c>
      <c r="U78" s="96">
        <f>IF(U44=0,0,U44/TrRoad_act!U48*100)</f>
        <v>7.4657744387556777</v>
      </c>
      <c r="V78" s="96">
        <f>IF(V44=0,0,V44/TrRoad_act!V48*100)</f>
        <v>7.322294285017696</v>
      </c>
      <c r="W78" s="96">
        <f>IF(W44=0,0,W44/TrRoad_act!W48*100)</f>
        <v>7.1868662708558757</v>
      </c>
      <c r="X78" s="96">
        <f>IF(X44=0,0,X44/TrRoad_act!X48*100)</f>
        <v>7.0717059174039729</v>
      </c>
      <c r="Y78" s="96">
        <f>IF(Y44=0,0,Y44/TrRoad_act!Y48*100)</f>
        <v>7.0377885517763223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10.988282459460327</v>
      </c>
      <c r="C79" s="96">
        <f>IF(C46=0,0,C46/TrRoad_act!C49*100)</f>
        <v>10.652228602848291</v>
      </c>
      <c r="D79" s="96">
        <f>IF(D46=0,0,D46/TrRoad_act!D49*100)</f>
        <v>10.463538489364968</v>
      </c>
      <c r="E79" s="96">
        <f>IF(E46=0,0,E46/TrRoad_act!E49*100)</f>
        <v>10.334977831812484</v>
      </c>
      <c r="F79" s="96">
        <f>IF(F46=0,0,F46/TrRoad_act!F49*100)</f>
        <v>10.253823617866733</v>
      </c>
      <c r="G79" s="96">
        <f>IF(G46=0,0,G46/TrRoad_act!G49*100)</f>
        <v>9.9173092769041649</v>
      </c>
      <c r="H79" s="96">
        <f>IF(H46=0,0,H46/TrRoad_act!H49*100)</f>
        <v>10.05565288564123</v>
      </c>
      <c r="I79" s="96">
        <f>IF(I46=0,0,I46/TrRoad_act!I49*100)</f>
        <v>10.177100227334639</v>
      </c>
      <c r="J79" s="96">
        <f>IF(J46=0,0,J46/TrRoad_act!J49*100)</f>
        <v>9.6268892543242828</v>
      </c>
      <c r="K79" s="96">
        <f>IF(K46=0,0,K46/TrRoad_act!K49*100)</f>
        <v>9.4747192489064211</v>
      </c>
      <c r="L79" s="96">
        <f>IF(L46=0,0,L46/TrRoad_act!L49*100)</f>
        <v>9.5543081173061601</v>
      </c>
      <c r="M79" s="96">
        <f>IF(M46=0,0,M46/TrRoad_act!M49*100)</f>
        <v>9.5709908827558081</v>
      </c>
      <c r="N79" s="96">
        <f>IF(N46=0,0,N46/TrRoad_act!N49*100)</f>
        <v>9.5101242273007394</v>
      </c>
      <c r="O79" s="96">
        <f>IF(O46=0,0,O46/TrRoad_act!O49*100)</f>
        <v>9.4652616751630845</v>
      </c>
      <c r="P79" s="96">
        <f>IF(P46=0,0,P46/TrRoad_act!P49*100)</f>
        <v>9.3415689873575616</v>
      </c>
      <c r="Q79" s="96">
        <f>IF(Q46=0,0,Q46/TrRoad_act!Q49*100)</f>
        <v>9.324440114166455</v>
      </c>
      <c r="R79" s="96">
        <f>IF(R46=0,0,R46/TrRoad_act!R49*100)</f>
        <v>9.3719982072979064</v>
      </c>
      <c r="S79" s="96">
        <f>IF(S46=0,0,S46/TrRoad_act!S49*100)</f>
        <v>9.0486592962380783</v>
      </c>
      <c r="T79" s="96">
        <f>IF(T46=0,0,T46/TrRoad_act!T49*100)</f>
        <v>9.1035694928684041</v>
      </c>
      <c r="U79" s="96">
        <f>IF(U46=0,0,U46/TrRoad_act!U49*100)</f>
        <v>8.950694254471701</v>
      </c>
      <c r="V79" s="96">
        <f>IF(V46=0,0,V46/TrRoad_act!V49*100)</f>
        <v>8.855503014967347</v>
      </c>
      <c r="W79" s="96">
        <f>IF(W46=0,0,W46/TrRoad_act!W49*100)</f>
        <v>9.166437707916506</v>
      </c>
      <c r="X79" s="96">
        <f>IF(X46=0,0,X46/TrRoad_act!X49*100)</f>
        <v>8.7764729328581534</v>
      </c>
      <c r="Y79" s="96">
        <f>IF(Y46=0,0,Y46/TrRoad_act!Y49*100)</f>
        <v>8.5267530263289668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0</v>
      </c>
      <c r="S80" s="96">
        <f>IF(S48=0,0,S48/TrRoad_act!S50*100)</f>
        <v>0</v>
      </c>
      <c r="T80" s="96">
        <f>IF(T48=0,0,T48/TrRoad_act!T50*100)</f>
        <v>0</v>
      </c>
      <c r="U80" s="96">
        <f>IF(U48=0,0,U48/TrRoad_act!U50*100)</f>
        <v>0</v>
      </c>
      <c r="V80" s="96">
        <f>IF(V48=0,0,V48/TrRoad_act!V50*100)</f>
        <v>0</v>
      </c>
      <c r="W80" s="96">
        <f>IF(W48=0,0,W48/TrRoad_act!W50*100)</f>
        <v>0</v>
      </c>
      <c r="X80" s="96">
        <f>IF(X48=0,0,X48/TrRoad_act!X50*100)</f>
        <v>0</v>
      </c>
      <c r="Y80" s="96">
        <f>IF(Y48=0,0,Y48/TrRoad_act!Y50*100)</f>
        <v>0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9.5132489954562587</v>
      </c>
      <c r="D81" s="96">
        <f>IF(D49=0,0,D49/TrRoad_act!D51*100)</f>
        <v>9.5132489954562587</v>
      </c>
      <c r="E81" s="96">
        <f>IF(E49=0,0,E49/TrRoad_act!E51*100)</f>
        <v>9.5132489954562605</v>
      </c>
      <c r="F81" s="96">
        <f>IF(F49=0,0,F49/TrRoad_act!F51*100)</f>
        <v>9.5132489954562605</v>
      </c>
      <c r="G81" s="96">
        <f>IF(G49=0,0,G49/TrRoad_act!G51*100)</f>
        <v>9.5730343869823269</v>
      </c>
      <c r="H81" s="96">
        <f>IF(H49=0,0,H49/TrRoad_act!H51*100)</f>
        <v>9.5730343869823269</v>
      </c>
      <c r="I81" s="96">
        <f>IF(I49=0,0,I49/TrRoad_act!I51*100)</f>
        <v>9.7632403706933903</v>
      </c>
      <c r="J81" s="96">
        <f>IF(J49=0,0,J49/TrRoad_act!J51*100)</f>
        <v>10.999391705559788</v>
      </c>
      <c r="K81" s="96">
        <f>IF(K49=0,0,K49/TrRoad_act!K51*100)</f>
        <v>12.334060587956529</v>
      </c>
      <c r="L81" s="96">
        <f>IF(L49=0,0,L49/TrRoad_act!L51*100)</f>
        <v>12.350922680361599</v>
      </c>
      <c r="M81" s="96">
        <f>IF(M49=0,0,M49/TrRoad_act!M51*100)</f>
        <v>9.4338858052032997</v>
      </c>
      <c r="N81" s="96">
        <f>IF(N49=0,0,N49/TrRoad_act!N51*100)</f>
        <v>13.743275792245136</v>
      </c>
      <c r="O81" s="96">
        <f>IF(O49=0,0,O49/TrRoad_act!O51*100)</f>
        <v>9.265640640156084</v>
      </c>
      <c r="P81" s="96">
        <f>IF(P49=0,0,P49/TrRoad_act!P51*100)</f>
        <v>9.5674617953750101</v>
      </c>
      <c r="Q81" s="96">
        <f>IF(Q49=0,0,Q49/TrRoad_act!Q51*100)</f>
        <v>9.8827336132658239</v>
      </c>
      <c r="R81" s="96">
        <f>IF(R49=0,0,R49/TrRoad_act!R51*100)</f>
        <v>10.138949017205885</v>
      </c>
      <c r="S81" s="96">
        <f>IF(S49=0,0,S49/TrRoad_act!S51*100)</f>
        <v>9.879562137771055</v>
      </c>
      <c r="T81" s="96">
        <f>IF(T49=0,0,T49/TrRoad_act!T51*100)</f>
        <v>11.441476302800622</v>
      </c>
      <c r="U81" s="96">
        <f>IF(U49=0,0,U49/TrRoad_act!U51*100)</f>
        <v>13.352686196674723</v>
      </c>
      <c r="V81" s="96">
        <f>IF(V49=0,0,V49/TrRoad_act!V51*100)</f>
        <v>18.061339167006143</v>
      </c>
      <c r="W81" s="96">
        <f>IF(W49=0,0,W49/TrRoad_act!W51*100)</f>
        <v>22.22030928629389</v>
      </c>
      <c r="X81" s="96">
        <f>IF(X49=0,0,X49/TrRoad_act!X51*100)</f>
        <v>26.115284553896416</v>
      </c>
      <c r="Y81" s="96">
        <f>IF(Y49=0,0,Y49/TrRoad_act!Y51*100)</f>
        <v>28.269270689855681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1.6412693902756321</v>
      </c>
      <c r="C82" s="96">
        <f>IF(C51=0,0,C51/TrRoad_act!C52*100)</f>
        <v>1.6357119020740218</v>
      </c>
      <c r="D82" s="96">
        <f>IF(D51=0,0,D51/TrRoad_act!D52*100)</f>
        <v>1.6333265643198012</v>
      </c>
      <c r="E82" s="96">
        <f>IF(E51=0,0,E51/TrRoad_act!E52*100)</f>
        <v>1.6317797502269602</v>
      </c>
      <c r="F82" s="96">
        <f>IF(F51=0,0,F51/TrRoad_act!F52*100)</f>
        <v>1.6309454264762242</v>
      </c>
      <c r="G82" s="96">
        <f>IF(G51=0,0,G51/TrRoad_act!G52*100)</f>
        <v>1.6275462565220902</v>
      </c>
      <c r="H82" s="96">
        <f>IF(H51=0,0,H51/TrRoad_act!H52*100)</f>
        <v>1.6212674568700129</v>
      </c>
      <c r="I82" s="96">
        <f>IF(I51=0,0,I51/TrRoad_act!I52*100)</f>
        <v>1.6205266167169889</v>
      </c>
      <c r="J82" s="96">
        <f>IF(J51=0,0,J51/TrRoad_act!J52*100)</f>
        <v>1.6077311861300199</v>
      </c>
      <c r="K82" s="96">
        <f>IF(K51=0,0,K51/TrRoad_act!K52*100)</f>
        <v>1.5989760988601114</v>
      </c>
      <c r="L82" s="96">
        <f>IF(L51=0,0,L51/TrRoad_act!L52*100)</f>
        <v>1.5812555604049896</v>
      </c>
      <c r="M82" s="96">
        <f>IF(M51=0,0,M51/TrRoad_act!M52*100)</f>
        <v>1.5790156254178944</v>
      </c>
      <c r="N82" s="96">
        <f>IF(N51=0,0,N51/TrRoad_act!N52*100)</f>
        <v>1.5569019441944785</v>
      </c>
      <c r="O82" s="96">
        <f>IF(O51=0,0,O51/TrRoad_act!O52*100)</f>
        <v>1.5531053175099119</v>
      </c>
      <c r="P82" s="96">
        <f>IF(P51=0,0,P51/TrRoad_act!P52*100)</f>
        <v>1.6074460112195175</v>
      </c>
      <c r="Q82" s="96">
        <f>IF(Q51=0,0,Q51/TrRoad_act!Q52*100)</f>
        <v>1.6834992922714107</v>
      </c>
      <c r="R82" s="96">
        <f>IF(R51=0,0,R51/TrRoad_act!R52*100)</f>
        <v>1.7438675753891284</v>
      </c>
      <c r="S82" s="96">
        <f>IF(S51=0,0,S51/TrRoad_act!S52*100)</f>
        <v>1.7723283930362013</v>
      </c>
      <c r="T82" s="96">
        <f>IF(T51=0,0,T51/TrRoad_act!T52*100)</f>
        <v>1.9046909451203864</v>
      </c>
      <c r="U82" s="96">
        <f>IF(U51=0,0,U51/TrRoad_act!U52*100)</f>
        <v>2.0458227077924507</v>
      </c>
      <c r="V82" s="96">
        <f>IF(V51=0,0,V51/TrRoad_act!V52*100)</f>
        <v>2.4265187050779473</v>
      </c>
      <c r="W82" s="96">
        <f>IF(W51=0,0,W51/TrRoad_act!W52*100)</f>
        <v>2.7908539562700296</v>
      </c>
      <c r="X82" s="96">
        <f>IF(X51=0,0,X51/TrRoad_act!X52*100)</f>
        <v>2.9955478817085717</v>
      </c>
      <c r="Y82" s="96">
        <f>IF(Y51=0,0,Y51/TrRoad_act!Y52*100)</f>
        <v>2.9977207050001549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36.001550790048015</v>
      </c>
      <c r="C83" s="130">
        <f>IF(C52=0,0,C52/TrRoad_act!C53*100)</f>
        <v>36.41224482427419</v>
      </c>
      <c r="D83" s="130">
        <f>IF(D52=0,0,D52/TrRoad_act!D53*100)</f>
        <v>36.231145102656534</v>
      </c>
      <c r="E83" s="130">
        <f>IF(E52=0,0,E52/TrRoad_act!E53*100)</f>
        <v>36.3043701422108</v>
      </c>
      <c r="F83" s="130">
        <f>IF(F52=0,0,F52/TrRoad_act!F53*100)</f>
        <v>36.79665923530564</v>
      </c>
      <c r="G83" s="130">
        <f>IF(G52=0,0,G52/TrRoad_act!G53*100)</f>
        <v>35.32358006548526</v>
      </c>
      <c r="H83" s="130">
        <f>IF(H52=0,0,H52/TrRoad_act!H53*100)</f>
        <v>36.292531228186945</v>
      </c>
      <c r="I83" s="130">
        <f>IF(I52=0,0,I52/TrRoad_act!I53*100)</f>
        <v>36.818475748224408</v>
      </c>
      <c r="J83" s="130">
        <f>IF(J52=0,0,J52/TrRoad_act!J53*100)</f>
        <v>33.408002605667662</v>
      </c>
      <c r="K83" s="130">
        <f>IF(K52=0,0,K52/TrRoad_act!K53*100)</f>
        <v>32.262616183130604</v>
      </c>
      <c r="L83" s="130">
        <f>IF(L52=0,0,L52/TrRoad_act!L53*100)</f>
        <v>32.166627033577655</v>
      </c>
      <c r="M83" s="130">
        <f>IF(M52=0,0,M52/TrRoad_act!M53*100)</f>
        <v>31.449525574173954</v>
      </c>
      <c r="N83" s="130">
        <f>IF(N52=0,0,N52/TrRoad_act!N53*100)</f>
        <v>30.759452240439717</v>
      </c>
      <c r="O83" s="130">
        <f>IF(O52=0,0,O52/TrRoad_act!O53*100)</f>
        <v>30.469823724054802</v>
      </c>
      <c r="P83" s="130">
        <f>IF(P52=0,0,P52/TrRoad_act!P53*100)</f>
        <v>29.540449728258988</v>
      </c>
      <c r="Q83" s="130">
        <f>IF(Q52=0,0,Q52/TrRoad_act!Q53*100)</f>
        <v>29.597052263494955</v>
      </c>
      <c r="R83" s="130">
        <f>IF(R52=0,0,R52/TrRoad_act!R53*100)</f>
        <v>29.742887184309392</v>
      </c>
      <c r="S83" s="130">
        <f>IF(S52=0,0,S52/TrRoad_act!S53*100)</f>
        <v>27.955026178470249</v>
      </c>
      <c r="T83" s="130">
        <f>IF(T52=0,0,T52/TrRoad_act!T53*100)</f>
        <v>28.61220714859072</v>
      </c>
      <c r="U83" s="130">
        <f>IF(U52=0,0,U52/TrRoad_act!U53*100)</f>
        <v>27.675752526930957</v>
      </c>
      <c r="V83" s="130">
        <f>IF(V52=0,0,V52/TrRoad_act!V53*100)</f>
        <v>27.124134499471896</v>
      </c>
      <c r="W83" s="130">
        <f>IF(W52=0,0,W52/TrRoad_act!W53*100)</f>
        <v>29.436010865528768</v>
      </c>
      <c r="X83" s="130">
        <f>IF(X52=0,0,X52/TrRoad_act!X53*100)</f>
        <v>27.224332874968717</v>
      </c>
      <c r="Y83" s="130">
        <f>IF(Y52=0,0,Y52/TrRoad_act!Y53*100)</f>
        <v>25.795922840338953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35.427563936950428</v>
      </c>
      <c r="C84" s="97">
        <f>IF(C53=0,0,C53/TrRoad_act!C54*100)</f>
        <v>35.775114257151017</v>
      </c>
      <c r="D84" s="97">
        <f>IF(D53=0,0,D53/TrRoad_act!D54*100)</f>
        <v>35.591316440380396</v>
      </c>
      <c r="E84" s="97">
        <f>IF(E53=0,0,E53/TrRoad_act!E54*100)</f>
        <v>35.634340047803228</v>
      </c>
      <c r="F84" s="97">
        <f>IF(F53=0,0,F53/TrRoad_act!F54*100)</f>
        <v>36.028880172235624</v>
      </c>
      <c r="G84" s="97">
        <f>IF(G53=0,0,G53/TrRoad_act!G54*100)</f>
        <v>34.694014294985614</v>
      </c>
      <c r="H84" s="97">
        <f>IF(H53=0,0,H53/TrRoad_act!H54*100)</f>
        <v>35.520863880779849</v>
      </c>
      <c r="I84" s="97">
        <f>IF(I53=0,0,I53/TrRoad_act!I54*100)</f>
        <v>35.964220500711924</v>
      </c>
      <c r="J84" s="97">
        <f>IF(J53=0,0,J53/TrRoad_act!J54*100)</f>
        <v>32.89814017668953</v>
      </c>
      <c r="K84" s="97">
        <f>IF(K53=0,0,K53/TrRoad_act!K54*100)</f>
        <v>31.84113865257638</v>
      </c>
      <c r="L84" s="97">
        <f>IF(L53=0,0,L53/TrRoad_act!L54*100)</f>
        <v>31.706122282016469</v>
      </c>
      <c r="M84" s="97">
        <f>IF(M53=0,0,M53/TrRoad_act!M54*100)</f>
        <v>31.139415042334495</v>
      </c>
      <c r="N84" s="97">
        <f>IF(N53=0,0,N53/TrRoad_act!N54*100)</f>
        <v>30.433174241525187</v>
      </c>
      <c r="O84" s="97">
        <f>IF(O53=0,0,O53/TrRoad_act!O54*100)</f>
        <v>30.180730685275815</v>
      </c>
      <c r="P84" s="97">
        <f>IF(P53=0,0,P53/TrRoad_act!P54*100)</f>
        <v>29.251347395625576</v>
      </c>
      <c r="Q84" s="97">
        <f>IF(Q53=0,0,Q53/TrRoad_act!Q54*100)</f>
        <v>29.218247304635852</v>
      </c>
      <c r="R84" s="97">
        <f>IF(R53=0,0,R53/TrRoad_act!R54*100)</f>
        <v>29.400761452057335</v>
      </c>
      <c r="S84" s="97">
        <f>IF(S53=0,0,S53/TrRoad_act!S54*100)</f>
        <v>27.780728725097138</v>
      </c>
      <c r="T84" s="97">
        <f>IF(T53=0,0,T53/TrRoad_act!T54*100)</f>
        <v>28.287889201924877</v>
      </c>
      <c r="U84" s="97">
        <f>IF(U53=0,0,U53/TrRoad_act!U54*100)</f>
        <v>27.458097656239005</v>
      </c>
      <c r="V84" s="97">
        <f>IF(V53=0,0,V53/TrRoad_act!V54*100)</f>
        <v>26.908289826959177</v>
      </c>
      <c r="W84" s="97">
        <f>IF(W53=0,0,W53/TrRoad_act!W54*100)</f>
        <v>28.851787871219575</v>
      </c>
      <c r="X84" s="97">
        <f>IF(X53=0,0,X53/TrRoad_act!X54*100)</f>
        <v>26.865221789539479</v>
      </c>
      <c r="Y84" s="97">
        <f>IF(Y53=0,0,Y53/TrRoad_act!Y54*100)</f>
        <v>25.542757441337223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60.593719658758182</v>
      </c>
      <c r="C85" s="98">
        <f>IF(C55=0,0,C55/TrRoad_act!C55*100)</f>
        <v>62.703492954246123</v>
      </c>
      <c r="D85" s="98">
        <f>IF(D55=0,0,D55/TrRoad_act!D55*100)</f>
        <v>61.927147893086698</v>
      </c>
      <c r="E85" s="98">
        <f>IF(E55=0,0,E55/TrRoad_act!E55*100)</f>
        <v>62.87998096306324</v>
      </c>
      <c r="F85" s="98">
        <f>IF(F55=0,0,F55/TrRoad_act!F55*100)</f>
        <v>62.765911313072586</v>
      </c>
      <c r="G85" s="98">
        <f>IF(G55=0,0,G55/TrRoad_act!G55*100)</f>
        <v>56.586810101189698</v>
      </c>
      <c r="H85" s="98">
        <f>IF(H55=0,0,H55/TrRoad_act!H55*100)</f>
        <v>59.748121600122502</v>
      </c>
      <c r="I85" s="98">
        <f>IF(I55=0,0,I55/TrRoad_act!I55*100)</f>
        <v>62.177632659023061</v>
      </c>
      <c r="J85" s="98">
        <f>IF(J55=0,0,J55/TrRoad_act!J55*100)</f>
        <v>48.736138273972429</v>
      </c>
      <c r="K85" s="98">
        <f>IF(K55=0,0,K55/TrRoad_act!K55*100)</f>
        <v>44.171754493512246</v>
      </c>
      <c r="L85" s="98">
        <f>IF(L55=0,0,L55/TrRoad_act!L55*100)</f>
        <v>43.228820091720607</v>
      </c>
      <c r="M85" s="98">
        <f>IF(M55=0,0,M55/TrRoad_act!M55*100)</f>
        <v>42.274211226410344</v>
      </c>
      <c r="N85" s="98">
        <f>IF(N55=0,0,N55/TrRoad_act!N55*100)</f>
        <v>39.019808693355614</v>
      </c>
      <c r="O85" s="98">
        <f>IF(O55=0,0,O55/TrRoad_act!O55*100)</f>
        <v>39.001210444029461</v>
      </c>
      <c r="P85" s="98">
        <f>IF(P55=0,0,P55/TrRoad_act!P55*100)</f>
        <v>35.704255722466364</v>
      </c>
      <c r="Q85" s="98">
        <f>IF(Q55=0,0,Q55/TrRoad_act!Q55*100)</f>
        <v>35.963004244003706</v>
      </c>
      <c r="R85" s="98">
        <f>IF(R55=0,0,R55/TrRoad_act!R55*100)</f>
        <v>37.675838129506722</v>
      </c>
      <c r="S85" s="98">
        <f>IF(S55=0,0,S55/TrRoad_act!S55*100)</f>
        <v>32.174597409427072</v>
      </c>
      <c r="T85" s="98">
        <f>IF(T55=0,0,T55/TrRoad_act!T55*100)</f>
        <v>35.354993771086761</v>
      </c>
      <c r="U85" s="98">
        <f>IF(U55=0,0,U55/TrRoad_act!U55*100)</f>
        <v>33.094083239137412</v>
      </c>
      <c r="V85" s="98">
        <f>IF(V55=0,0,V55/TrRoad_act!V55*100)</f>
        <v>32.177323218432882</v>
      </c>
      <c r="W85" s="98">
        <f>IF(W55=0,0,W55/TrRoad_act!W55*100)</f>
        <v>40.517034350988361</v>
      </c>
      <c r="X85" s="98">
        <f>IF(X55=0,0,X55/TrRoad_act!X55*100)</f>
        <v>34.355899926914404</v>
      </c>
      <c r="Y85" s="98">
        <f>IF(Y55=0,0,Y55/TrRoad_act!Y55*100)</f>
        <v>30.633706986428237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36.3071401888268</v>
      </c>
      <c r="C88" s="29">
        <f>IF(TrRoad_act!C4=0,0,C18/TrRoad_act!C4*1000)</f>
        <v>35.991887801672476</v>
      </c>
      <c r="D88" s="29">
        <f>IF(TrRoad_act!D4=0,0,D18/TrRoad_act!D4*1000)</f>
        <v>36.150583371820836</v>
      </c>
      <c r="E88" s="29">
        <f>IF(TrRoad_act!E4=0,0,E18/TrRoad_act!E4*1000)</f>
        <v>36.195704476547327</v>
      </c>
      <c r="F88" s="29">
        <f>IF(TrRoad_act!F4=0,0,F18/TrRoad_act!F4*1000)</f>
        <v>36.40102101898993</v>
      </c>
      <c r="G88" s="29">
        <f>IF(TrRoad_act!G4=0,0,G18/TrRoad_act!G4*1000)</f>
        <v>36.170403256976712</v>
      </c>
      <c r="H88" s="29">
        <f>IF(TrRoad_act!H4=0,0,H18/TrRoad_act!H4*1000)</f>
        <v>36.693466297080235</v>
      </c>
      <c r="I88" s="29">
        <f>IF(TrRoad_act!I4=0,0,I18/TrRoad_act!I4*1000)</f>
        <v>37.207884476618773</v>
      </c>
      <c r="J88" s="29">
        <f>IF(TrRoad_act!J4=0,0,J18/TrRoad_act!J4*1000)</f>
        <v>36.448328948723415</v>
      </c>
      <c r="K88" s="29">
        <f>IF(TrRoad_act!K4=0,0,K18/TrRoad_act!K4*1000)</f>
        <v>36.203470326963469</v>
      </c>
      <c r="L88" s="29">
        <f>IF(TrRoad_act!L4=0,0,L18/TrRoad_act!L4*1000)</f>
        <v>36.607330615432154</v>
      </c>
      <c r="M88" s="29">
        <f>IF(TrRoad_act!M4=0,0,M18/TrRoad_act!M4*1000)</f>
        <v>36.740865498756953</v>
      </c>
      <c r="N88" s="29">
        <f>IF(TrRoad_act!N4=0,0,N18/TrRoad_act!N4*1000)</f>
        <v>36.750408759699937</v>
      </c>
      <c r="O88" s="29">
        <f>IF(TrRoad_act!O4=0,0,O18/TrRoad_act!O4*1000)</f>
        <v>36.981059419385943</v>
      </c>
      <c r="P88" s="29">
        <f>IF(TrRoad_act!P4=0,0,P18/TrRoad_act!P4*1000)</f>
        <v>36.488805735132104</v>
      </c>
      <c r="Q88" s="29">
        <f>IF(TrRoad_act!Q4=0,0,Q18/TrRoad_act!Q4*1000)</f>
        <v>36.598765967551572</v>
      </c>
      <c r="R88" s="29">
        <f>IF(TrRoad_act!R4=0,0,R18/TrRoad_act!R4*1000)</f>
        <v>41.046314367135608</v>
      </c>
      <c r="S88" s="29">
        <f>IF(TrRoad_act!S4=0,0,S18/TrRoad_act!S4*1000)</f>
        <v>36.110137295900735</v>
      </c>
      <c r="T88" s="29">
        <f>IF(TrRoad_act!T4=0,0,T18/TrRoad_act!T4*1000)</f>
        <v>36.319943567143433</v>
      </c>
      <c r="U88" s="29">
        <f>IF(TrRoad_act!U4=0,0,U18/TrRoad_act!U4*1000)</f>
        <v>35.666254549363401</v>
      </c>
      <c r="V88" s="29">
        <f>IF(TrRoad_act!V4=0,0,V18/TrRoad_act!V4*1000)</f>
        <v>34.873325465221086</v>
      </c>
      <c r="W88" s="29">
        <f>IF(TrRoad_act!W4=0,0,W18/TrRoad_act!W4*1000)</f>
        <v>35.957250739666684</v>
      </c>
      <c r="X88" s="29">
        <f>IF(TrRoad_act!X4=0,0,X18/TrRoad_act!X4*1000)</f>
        <v>35.349527728042602</v>
      </c>
      <c r="Y88" s="29">
        <f>IF(TrRoad_act!Y4=0,0,Y18/TrRoad_act!Y4*1000)</f>
        <v>34.778277563726434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43.674373576036984</v>
      </c>
      <c r="C89" s="152">
        <f>IF(TrRoad_act!C5=0,0,C19/TrRoad_act!C5*1000)</f>
        <v>43.107494169485342</v>
      </c>
      <c r="D89" s="152">
        <f>IF(TrRoad_act!D5=0,0,D19/TrRoad_act!D5*1000)</f>
        <v>42.493954249802073</v>
      </c>
      <c r="E89" s="152">
        <f>IF(TrRoad_act!E5=0,0,E19/TrRoad_act!E5*1000)</f>
        <v>41.827157169601058</v>
      </c>
      <c r="F89" s="152">
        <f>IF(TrRoad_act!F5=0,0,F19/TrRoad_act!F5*1000)</f>
        <v>41.283169587162718</v>
      </c>
      <c r="G89" s="152">
        <f>IF(TrRoad_act!G5=0,0,G19/TrRoad_act!G5*1000)</f>
        <v>40.805356687192585</v>
      </c>
      <c r="H89" s="152">
        <f>IF(TrRoad_act!H5=0,0,H19/TrRoad_act!H5*1000)</f>
        <v>40.348105459909767</v>
      </c>
      <c r="I89" s="152">
        <f>IF(TrRoad_act!I5=0,0,I19/TrRoad_act!I5*1000)</f>
        <v>40.033562099055949</v>
      </c>
      <c r="J89" s="152">
        <f>IF(TrRoad_act!J5=0,0,J19/TrRoad_act!J5*1000)</f>
        <v>39.399016177807205</v>
      </c>
      <c r="K89" s="152">
        <f>IF(TrRoad_act!K5=0,0,K19/TrRoad_act!K5*1000)</f>
        <v>38.831348514186644</v>
      </c>
      <c r="L89" s="152">
        <f>IF(TrRoad_act!L5=0,0,L19/TrRoad_act!L5*1000)</f>
        <v>38.263685435171254</v>
      </c>
      <c r="M89" s="152">
        <f>IF(TrRoad_act!M5=0,0,M19/TrRoad_act!M5*1000)</f>
        <v>37.69479607569658</v>
      </c>
      <c r="N89" s="152">
        <f>IF(TrRoad_act!N5=0,0,N19/TrRoad_act!N5*1000)</f>
        <v>37.380976033665995</v>
      </c>
      <c r="O89" s="152">
        <f>IF(TrRoad_act!O5=0,0,O19/TrRoad_act!O5*1000)</f>
        <v>37.064955498883236</v>
      </c>
      <c r="P89" s="152">
        <f>IF(TrRoad_act!P5=0,0,P19/TrRoad_act!P5*1000)</f>
        <v>36.562797501535023</v>
      </c>
      <c r="Q89" s="152">
        <f>IF(TrRoad_act!Q5=0,0,Q19/TrRoad_act!Q5*1000)</f>
        <v>36.119500404991349</v>
      </c>
      <c r="R89" s="152">
        <f>IF(TrRoad_act!R5=0,0,R19/TrRoad_act!R5*1000)</f>
        <v>35.839632453651639</v>
      </c>
      <c r="S89" s="152">
        <f>IF(TrRoad_act!S5=0,0,S19/TrRoad_act!S5*1000)</f>
        <v>35.557199065966721</v>
      </c>
      <c r="T89" s="152">
        <f>IF(TrRoad_act!T5=0,0,T19/TrRoad_act!T5*1000)</f>
        <v>35.305290130971073</v>
      </c>
      <c r="U89" s="152">
        <f>IF(TrRoad_act!U5=0,0,U19/TrRoad_act!U5*1000)</f>
        <v>35.023845872518947</v>
      </c>
      <c r="V89" s="152">
        <f>IF(TrRoad_act!V5=0,0,V19/TrRoad_act!V5*1000)</f>
        <v>34.797510471862694</v>
      </c>
      <c r="W89" s="152">
        <f>IF(TrRoad_act!W5=0,0,W19/TrRoad_act!W5*1000)</f>
        <v>34.555922976942448</v>
      </c>
      <c r="X89" s="152">
        <f>IF(TrRoad_act!X5=0,0,X19/TrRoad_act!X5*1000)</f>
        <v>34.331564793766006</v>
      </c>
      <c r="Y89" s="152">
        <f>IF(TrRoad_act!Y5=0,0,Y19/TrRoad_act!Y5*1000)</f>
        <v>34.20511199829452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37.292614811401087</v>
      </c>
      <c r="C90" s="116">
        <f>IF(TrRoad_act!C6=0,0,C21/TrRoad_act!C6*1000)</f>
        <v>36.994218863029374</v>
      </c>
      <c r="D90" s="116">
        <f>IF(TrRoad_act!D6=0,0,D21/TrRoad_act!D6*1000)</f>
        <v>37.127004901632802</v>
      </c>
      <c r="E90" s="116">
        <f>IF(TrRoad_act!E6=0,0,E21/TrRoad_act!E6*1000)</f>
        <v>37.048818901929202</v>
      </c>
      <c r="F90" s="116">
        <f>IF(TrRoad_act!F6=0,0,F21/TrRoad_act!F6*1000)</f>
        <v>37.095593288900844</v>
      </c>
      <c r="G90" s="116">
        <f>IF(TrRoad_act!G6=0,0,G21/TrRoad_act!G6*1000)</f>
        <v>36.840708253385962</v>
      </c>
      <c r="H90" s="116">
        <f>IF(TrRoad_act!H6=0,0,H21/TrRoad_act!H6*1000)</f>
        <v>37.301899511906335</v>
      </c>
      <c r="I90" s="116">
        <f>IF(TrRoad_act!I6=0,0,I21/TrRoad_act!I6*1000)</f>
        <v>37.73574283125209</v>
      </c>
      <c r="J90" s="116">
        <f>IF(TrRoad_act!J6=0,0,J21/TrRoad_act!J6*1000)</f>
        <v>36.872249003634643</v>
      </c>
      <c r="K90" s="116">
        <f>IF(TrRoad_act!K6=0,0,K21/TrRoad_act!K6*1000)</f>
        <v>36.448456813411035</v>
      </c>
      <c r="L90" s="116">
        <f>IF(TrRoad_act!L6=0,0,L21/TrRoad_act!L6*1000)</f>
        <v>36.721882199069796</v>
      </c>
      <c r="M90" s="116">
        <f>IF(TrRoad_act!M6=0,0,M21/TrRoad_act!M6*1000)</f>
        <v>36.782868388003152</v>
      </c>
      <c r="N90" s="116">
        <f>IF(TrRoad_act!N6=0,0,N21/TrRoad_act!N6*1000)</f>
        <v>36.621482657667222</v>
      </c>
      <c r="O90" s="116">
        <f>IF(TrRoad_act!O6=0,0,O21/TrRoad_act!O6*1000)</f>
        <v>36.752244522061723</v>
      </c>
      <c r="P90" s="116">
        <f>IF(TrRoad_act!P6=0,0,P21/TrRoad_act!P6*1000)</f>
        <v>36.066235365077652</v>
      </c>
      <c r="Q90" s="116">
        <f>IF(TrRoad_act!Q6=0,0,Q21/TrRoad_act!Q6*1000)</f>
        <v>36.024610914379281</v>
      </c>
      <c r="R90" s="116">
        <f>IF(TrRoad_act!R6=0,0,R21/TrRoad_act!R6*1000)</f>
        <v>41.172687369060043</v>
      </c>
      <c r="S90" s="116">
        <f>IF(TrRoad_act!S6=0,0,S21/TrRoad_act!S6*1000)</f>
        <v>35.50992487105114</v>
      </c>
      <c r="T90" s="116">
        <f>IF(TrRoad_act!T6=0,0,T21/TrRoad_act!T6*1000)</f>
        <v>35.672571853522705</v>
      </c>
      <c r="U90" s="116">
        <f>IF(TrRoad_act!U6=0,0,U21/TrRoad_act!U6*1000)</f>
        <v>35.046363264430489</v>
      </c>
      <c r="V90" s="116">
        <f>IF(TrRoad_act!V6=0,0,V21/TrRoad_act!V6*1000)</f>
        <v>34.211424159798327</v>
      </c>
      <c r="W90" s="116">
        <f>IF(TrRoad_act!W6=0,0,W21/TrRoad_act!W6*1000)</f>
        <v>35.365176192792596</v>
      </c>
      <c r="X90" s="116">
        <f>IF(TrRoad_act!X6=0,0,X21/TrRoad_act!X6*1000)</f>
        <v>34.797712945575668</v>
      </c>
      <c r="Y90" s="116">
        <f>IF(TrRoad_act!Y6=0,0,Y21/TrRoad_act!Y6*1000)</f>
        <v>34.285114506107554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35.452589275232654</v>
      </c>
      <c r="C91" s="87">
        <f>IF(TrRoad_act!C7=0,0,C22/TrRoad_act!C7*1000)</f>
        <v>35.479626027756112</v>
      </c>
      <c r="D91" s="87">
        <f>IF(TrRoad_act!D7=0,0,D22/TrRoad_act!D7*1000)</f>
        <v>35.670590898382763</v>
      </c>
      <c r="E91" s="87">
        <f>IF(TrRoad_act!E7=0,0,E22/TrRoad_act!E7*1000)</f>
        <v>35.526269565835143</v>
      </c>
      <c r="F91" s="87">
        <f>IF(TrRoad_act!F7=0,0,F22/TrRoad_act!F7*1000)</f>
        <v>35.493607667564902</v>
      </c>
      <c r="G91" s="87">
        <f>IF(TrRoad_act!G7=0,0,G22/TrRoad_act!G7*1000)</f>
        <v>35.325602375400045</v>
      </c>
      <c r="H91" s="87">
        <f>IF(TrRoad_act!H7=0,0,H22/TrRoad_act!H7*1000)</f>
        <v>35.442686668509715</v>
      </c>
      <c r="I91" s="87">
        <f>IF(TrRoad_act!I7=0,0,I22/TrRoad_act!I7*1000)</f>
        <v>35.505479152838085</v>
      </c>
      <c r="J91" s="87">
        <f>IF(TrRoad_act!J7=0,0,J22/TrRoad_act!J7*1000)</f>
        <v>34.966614286931488</v>
      </c>
      <c r="K91" s="87">
        <f>IF(TrRoad_act!K7=0,0,K22/TrRoad_act!K7*1000)</f>
        <v>34.515209219947295</v>
      </c>
      <c r="L91" s="87">
        <f>IF(TrRoad_act!L7=0,0,L22/TrRoad_act!L7*1000)</f>
        <v>34.668420574068882</v>
      </c>
      <c r="M91" s="87">
        <f>IF(TrRoad_act!M7=0,0,M22/TrRoad_act!M7*1000)</f>
        <v>34.632177717148288</v>
      </c>
      <c r="N91" s="87">
        <f>IF(TrRoad_act!N7=0,0,N22/TrRoad_act!N7*1000)</f>
        <v>34.573643166908468</v>
      </c>
      <c r="O91" s="87">
        <f>IF(TrRoad_act!O7=0,0,O22/TrRoad_act!O7*1000)</f>
        <v>35.018489201354122</v>
      </c>
      <c r="P91" s="87">
        <f>IF(TrRoad_act!P7=0,0,P22/TrRoad_act!P7*1000)</f>
        <v>34.419491195676294</v>
      </c>
      <c r="Q91" s="87">
        <f>IF(TrRoad_act!Q7=0,0,Q22/TrRoad_act!Q7*1000)</f>
        <v>34.458724077238543</v>
      </c>
      <c r="R91" s="87">
        <f>IF(TrRoad_act!R7=0,0,R22/TrRoad_act!R7*1000)</f>
        <v>40.509279300413397</v>
      </c>
      <c r="S91" s="87">
        <f>IF(TrRoad_act!S7=0,0,S22/TrRoad_act!S7*1000)</f>
        <v>34.597424877900984</v>
      </c>
      <c r="T91" s="87">
        <f>IF(TrRoad_act!T7=0,0,T22/TrRoad_act!T7*1000)</f>
        <v>34.629385201290809</v>
      </c>
      <c r="U91" s="87">
        <f>IF(TrRoad_act!U7=0,0,U22/TrRoad_act!U7*1000)</f>
        <v>34.136396714852971</v>
      </c>
      <c r="V91" s="87">
        <f>IF(TrRoad_act!V7=0,0,V22/TrRoad_act!V7*1000)</f>
        <v>33.05926667760346</v>
      </c>
      <c r="W91" s="87">
        <f>IF(TrRoad_act!W7=0,0,W22/TrRoad_act!W7*1000)</f>
        <v>34.328717678141551</v>
      </c>
      <c r="X91" s="87">
        <f>IF(TrRoad_act!X7=0,0,X22/TrRoad_act!X7*1000)</f>
        <v>34.007195938633679</v>
      </c>
      <c r="Y91" s="87">
        <f>IF(TrRoad_act!Y7=0,0,Y22/TrRoad_act!Y7*1000)</f>
        <v>34.342305236628242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45.801131262539094</v>
      </c>
      <c r="C92" s="87">
        <f>IF(TrRoad_act!C8=0,0,C24/TrRoad_act!C8*1000)</f>
        <v>43.706173508168419</v>
      </c>
      <c r="D92" s="87">
        <f>IF(TrRoad_act!D8=0,0,D24/TrRoad_act!D8*1000)</f>
        <v>43.331282220862271</v>
      </c>
      <c r="E92" s="87">
        <f>IF(TrRoad_act!E8=0,0,E24/TrRoad_act!E8*1000)</f>
        <v>43.180194796455091</v>
      </c>
      <c r="F92" s="87">
        <f>IF(TrRoad_act!F8=0,0,F24/TrRoad_act!F8*1000)</f>
        <v>43.520988102235918</v>
      </c>
      <c r="G92" s="87">
        <f>IF(TrRoad_act!G8=0,0,G24/TrRoad_act!G8*1000)</f>
        <v>42.482812149562704</v>
      </c>
      <c r="H92" s="87">
        <f>IF(TrRoad_act!H8=0,0,H24/TrRoad_act!H8*1000)</f>
        <v>43.64020762783931</v>
      </c>
      <c r="I92" s="87">
        <f>IF(TrRoad_act!I8=0,0,I24/TrRoad_act!I8*1000)</f>
        <v>44.598415348689009</v>
      </c>
      <c r="J92" s="87">
        <f>IF(TrRoad_act!J8=0,0,J24/TrRoad_act!J8*1000)</f>
        <v>41.658204154826116</v>
      </c>
      <c r="K92" s="87">
        <f>IF(TrRoad_act!K8=0,0,K24/TrRoad_act!K8*1000)</f>
        <v>40.832316366654382</v>
      </c>
      <c r="L92" s="87">
        <f>IF(TrRoad_act!L8=0,0,L24/TrRoad_act!L8*1000)</f>
        <v>40.840776255642943</v>
      </c>
      <c r="M92" s="87">
        <f>IF(TrRoad_act!M8=0,0,M24/TrRoad_act!M8*1000)</f>
        <v>40.44772979617904</v>
      </c>
      <c r="N92" s="87">
        <f>IF(TrRoad_act!N8=0,0,N24/TrRoad_act!N8*1000)</f>
        <v>39.82282912511954</v>
      </c>
      <c r="O92" s="87">
        <f>IF(TrRoad_act!O8=0,0,O24/TrRoad_act!O8*1000)</f>
        <v>39.440197136540611</v>
      </c>
      <c r="P92" s="87">
        <f>IF(TrRoad_act!P8=0,0,P24/TrRoad_act!P8*1000)</f>
        <v>38.478143133628521</v>
      </c>
      <c r="Q92" s="87">
        <f>IF(TrRoad_act!Q8=0,0,Q24/TrRoad_act!Q8*1000)</f>
        <v>38.216720746556113</v>
      </c>
      <c r="R92" s="87">
        <f>IF(TrRoad_act!R8=0,0,R24/TrRoad_act!R8*1000)</f>
        <v>42.101113181274208</v>
      </c>
      <c r="S92" s="87">
        <f>IF(TrRoad_act!S8=0,0,S24/TrRoad_act!S8*1000)</f>
        <v>36.729337833064669</v>
      </c>
      <c r="T92" s="87">
        <f>IF(TrRoad_act!T8=0,0,T24/TrRoad_act!T8*1000)</f>
        <v>37.060656105732534</v>
      </c>
      <c r="U92" s="87">
        <f>IF(TrRoad_act!U8=0,0,U24/TrRoad_act!U8*1000)</f>
        <v>36.308855161330563</v>
      </c>
      <c r="V92" s="87">
        <f>IF(TrRoad_act!V8=0,0,V24/TrRoad_act!V8*1000)</f>
        <v>35.83573756587937</v>
      </c>
      <c r="W92" s="87">
        <f>IF(TrRoad_act!W8=0,0,W24/TrRoad_act!W8*1000)</f>
        <v>37.230801646510194</v>
      </c>
      <c r="X92" s="87">
        <f>IF(TrRoad_act!X8=0,0,X24/TrRoad_act!X8*1000)</f>
        <v>36.762429185063034</v>
      </c>
      <c r="Y92" s="87">
        <f>IF(TrRoad_act!Y8=0,0,Y24/TrRoad_act!Y8*1000)</f>
        <v>35.60134223644814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0</v>
      </c>
      <c r="D93" s="87">
        <f>IF(TrRoad_act!D9=0,0,D26/TrRoad_act!D9*1000)</f>
        <v>0</v>
      </c>
      <c r="E93" s="87">
        <f>IF(TrRoad_act!E9=0,0,E26/TrRoad_act!E9*1000)</f>
        <v>0</v>
      </c>
      <c r="F93" s="87">
        <f>IF(TrRoad_act!F9=0,0,F26/TrRoad_act!F9*1000)</f>
        <v>0</v>
      </c>
      <c r="G93" s="87">
        <f>IF(TrRoad_act!G9=0,0,G26/TrRoad_act!G9*1000)</f>
        <v>0</v>
      </c>
      <c r="H93" s="87">
        <f>IF(TrRoad_act!H9=0,0,H26/TrRoad_act!H9*1000)</f>
        <v>0</v>
      </c>
      <c r="I93" s="87">
        <f>IF(TrRoad_act!I9=0,0,I26/TrRoad_act!I9*1000)</f>
        <v>0</v>
      </c>
      <c r="J93" s="87">
        <f>IF(TrRoad_act!J9=0,0,J26/TrRoad_act!J9*1000)</f>
        <v>0</v>
      </c>
      <c r="K93" s="87">
        <f>IF(TrRoad_act!K9=0,0,K26/TrRoad_act!K9*1000)</f>
        <v>0</v>
      </c>
      <c r="L93" s="87">
        <f>IF(TrRoad_act!L9=0,0,L26/TrRoad_act!L9*1000)</f>
        <v>0</v>
      </c>
      <c r="M93" s="87">
        <f>IF(TrRoad_act!M9=0,0,M26/TrRoad_act!M9*1000)</f>
        <v>0</v>
      </c>
      <c r="N93" s="87">
        <f>IF(TrRoad_act!N9=0,0,N26/TrRoad_act!N9*1000)</f>
        <v>0</v>
      </c>
      <c r="O93" s="87">
        <f>IF(TrRoad_act!O9=0,0,O26/TrRoad_act!O9*1000)</f>
        <v>0</v>
      </c>
      <c r="P93" s="87">
        <f>IF(TrRoad_act!P9=0,0,P26/TrRoad_act!P9*1000)</f>
        <v>0</v>
      </c>
      <c r="Q93" s="87">
        <f>IF(TrRoad_act!Q9=0,0,Q26/TrRoad_act!Q9*1000)</f>
        <v>0</v>
      </c>
      <c r="R93" s="87">
        <f>IF(TrRoad_act!R9=0,0,R26/TrRoad_act!R9*1000)</f>
        <v>0</v>
      </c>
      <c r="S93" s="87">
        <f>IF(TrRoad_act!S9=0,0,S26/TrRoad_act!S9*1000)</f>
        <v>0</v>
      </c>
      <c r="T93" s="87">
        <f>IF(TrRoad_act!T9=0,0,T26/TrRoad_act!T9*1000)</f>
        <v>0</v>
      </c>
      <c r="U93" s="87">
        <f>IF(TrRoad_act!U9=0,0,U26/TrRoad_act!U9*1000)</f>
        <v>0</v>
      </c>
      <c r="V93" s="87">
        <f>IF(TrRoad_act!V9=0,0,V26/TrRoad_act!V9*1000)</f>
        <v>0</v>
      </c>
      <c r="W93" s="87">
        <f>IF(TrRoad_act!W9=0,0,W26/TrRoad_act!W9*1000)</f>
        <v>0</v>
      </c>
      <c r="X93" s="87">
        <f>IF(TrRoad_act!X9=0,0,X26/TrRoad_act!X9*1000)</f>
        <v>0</v>
      </c>
      <c r="Y93" s="87">
        <f>IF(TrRoad_act!Y9=0,0,Y26/TrRoad_act!Y9*1000)</f>
        <v>0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53.534152231390493</v>
      </c>
      <c r="I94" s="87">
        <f>IF(TrRoad_act!I10=0,0,I27/TrRoad_act!I10*1000)</f>
        <v>54.035338503814899</v>
      </c>
      <c r="J94" s="87">
        <f>IF(TrRoad_act!J10=0,0,J27/TrRoad_act!J10*1000)</f>
        <v>60.443165235507216</v>
      </c>
      <c r="K94" s="87">
        <f>IF(TrRoad_act!K10=0,0,K27/TrRoad_act!K10*1000)</f>
        <v>67.518429335914504</v>
      </c>
      <c r="L94" s="87">
        <f>IF(TrRoad_act!L10=0,0,L27/TrRoad_act!L10*1000)</f>
        <v>67.486386144976748</v>
      </c>
      <c r="M94" s="87">
        <f>IF(TrRoad_act!M10=0,0,M27/TrRoad_act!M10*1000)</f>
        <v>50.699531831699893</v>
      </c>
      <c r="N94" s="87">
        <f>IF(TrRoad_act!N10=0,0,N27/TrRoad_act!N10*1000)</f>
        <v>73.499694251754377</v>
      </c>
      <c r="O94" s="87">
        <f>IF(TrRoad_act!O10=0,0,O27/TrRoad_act!O10*1000)</f>
        <v>48.858749974285089</v>
      </c>
      <c r="P94" s="87">
        <f>IF(TrRoad_act!P10=0,0,P27/TrRoad_act!P10*1000)</f>
        <v>45.836874429729811</v>
      </c>
      <c r="Q94" s="87">
        <f>IF(TrRoad_act!Q10=0,0,Q27/TrRoad_act!Q10*1000)</f>
        <v>43.473051160732183</v>
      </c>
      <c r="R94" s="87">
        <f>IF(TrRoad_act!R10=0,0,R27/TrRoad_act!R10*1000)</f>
        <v>45.922804589085381</v>
      </c>
      <c r="S94" s="87">
        <f>IF(TrRoad_act!S10=0,0,S27/TrRoad_act!S10*1000)</f>
        <v>39.056255587022378</v>
      </c>
      <c r="T94" s="87">
        <f>IF(TrRoad_act!T10=0,0,T27/TrRoad_act!T10*1000)</f>
        <v>44.741015582994997</v>
      </c>
      <c r="U94" s="87">
        <f>IF(TrRoad_act!U10=0,0,U27/TrRoad_act!U10*1000)</f>
        <v>52.788484429499782</v>
      </c>
      <c r="V94" s="87">
        <f>IF(TrRoad_act!V10=0,0,V27/TrRoad_act!V10*1000)</f>
        <v>71.676769647084384</v>
      </c>
      <c r="W94" s="87">
        <f>IF(TrRoad_act!W10=0,0,W27/TrRoad_act!W10*1000)</f>
        <v>83.43551562171362</v>
      </c>
      <c r="X94" s="87">
        <f>IF(TrRoad_act!X10=0,0,X27/TrRoad_act!X10*1000)</f>
        <v>99.320553119021028</v>
      </c>
      <c r="Y94" s="87">
        <f>IF(TrRoad_act!Y10=0,0,Y27/TrRoad_act!Y10*1000)</f>
        <v>106.99313408149308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16.266314308120425</v>
      </c>
      <c r="O95" s="87">
        <f>IF(TrRoad_act!O11=0,0,O29/TrRoad_act!O11*1000)</f>
        <v>17.156541538064477</v>
      </c>
      <c r="P95" s="87">
        <f>IF(TrRoad_act!P11=0,0,P29/TrRoad_act!P11*1000)</f>
        <v>18.62924225621061</v>
      </c>
      <c r="Q95" s="87">
        <f>IF(TrRoad_act!Q11=0,0,Q29/TrRoad_act!Q11*1000)</f>
        <v>20.580282342391989</v>
      </c>
      <c r="R95" s="87">
        <f>IF(TrRoad_act!R11=0,0,R29/TrRoad_act!R11*1000)</f>
        <v>24.941398727098708</v>
      </c>
      <c r="S95" s="87">
        <f>IF(TrRoad_act!S11=0,0,S29/TrRoad_act!S11*1000)</f>
        <v>21.818944604387454</v>
      </c>
      <c r="T95" s="87">
        <f>IF(TrRoad_act!T11=0,0,T29/TrRoad_act!T11*1000)</f>
        <v>22.303658202814304</v>
      </c>
      <c r="U95" s="87">
        <f>IF(TrRoad_act!U11=0,0,U29/TrRoad_act!U11*1000)</f>
        <v>21.363604319579444</v>
      </c>
      <c r="V95" s="87">
        <f>IF(TrRoad_act!V11=0,0,V29/TrRoad_act!V11*1000)</f>
        <v>20.393405603961977</v>
      </c>
      <c r="W95" s="87">
        <f>IF(TrRoad_act!W11=0,0,W29/TrRoad_act!W11*1000)</f>
        <v>20.120265564752319</v>
      </c>
      <c r="X95" s="87">
        <f>IF(TrRoad_act!X11=0,0,X29/TrRoad_act!X11*1000)</f>
        <v>20.049113478502466</v>
      </c>
      <c r="Y95" s="87">
        <f>IF(TrRoad_act!Y11=0,0,Y29/TrRoad_act!Y11*1000)</f>
        <v>19.557003077420521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10.905912139577895</v>
      </c>
      <c r="J96" s="87">
        <f>IF(TrRoad_act!J12=0,0,J32/TrRoad_act!J12*1000)</f>
        <v>10.842895374137358</v>
      </c>
      <c r="K96" s="87">
        <f>IF(TrRoad_act!K12=0,0,K32/TrRoad_act!K12*1000)</f>
        <v>10.830853029180954</v>
      </c>
      <c r="L96" s="87">
        <f>IF(TrRoad_act!L12=0,0,L32/TrRoad_act!L12*1000)</f>
        <v>10.761252219171748</v>
      </c>
      <c r="M96" s="87">
        <f>IF(TrRoad_act!M12=0,0,M32/TrRoad_act!M12*1000)</f>
        <v>10.797315650582616</v>
      </c>
      <c r="N96" s="87">
        <f>IF(TrRoad_act!N12=0,0,N32/TrRoad_act!N12*1000)</f>
        <v>10.400670450031345</v>
      </c>
      <c r="O96" s="87">
        <f>IF(TrRoad_act!O12=0,0,O32/TrRoad_act!O12*1000)</f>
        <v>10.425882273432199</v>
      </c>
      <c r="P96" s="87">
        <f>IF(TrRoad_act!P12=0,0,P32/TrRoad_act!P12*1000)</f>
        <v>10.372737252851406</v>
      </c>
      <c r="Q96" s="87">
        <f>IF(TrRoad_act!Q12=0,0,Q32/TrRoad_act!Q12*1000)</f>
        <v>11.094417492587461</v>
      </c>
      <c r="R96" s="87">
        <f>IF(TrRoad_act!R12=0,0,R32/TrRoad_act!R12*1000)</f>
        <v>12.252707731555784</v>
      </c>
      <c r="S96" s="87">
        <f>IF(TrRoad_act!S12=0,0,S32/TrRoad_act!S12*1000)</f>
        <v>10.850002900309985</v>
      </c>
      <c r="T96" s="87">
        <f>IF(TrRoad_act!T12=0,0,T32/TrRoad_act!T12*1000)</f>
        <v>10.916406472563786</v>
      </c>
      <c r="U96" s="87">
        <f>IF(TrRoad_act!U12=0,0,U32/TrRoad_act!U12*1000)</f>
        <v>10.415374630387097</v>
      </c>
      <c r="V96" s="87">
        <f>IF(TrRoad_act!V12=0,0,V32/TrRoad_act!V12*1000)</f>
        <v>10.919119466968958</v>
      </c>
      <c r="W96" s="87">
        <f>IF(TrRoad_act!W12=0,0,W32/TrRoad_act!W12*1000)</f>
        <v>11.594304644258271</v>
      </c>
      <c r="X96" s="87">
        <f>IF(TrRoad_act!X12=0,0,X32/TrRoad_act!X12*1000)</f>
        <v>12.175964168404178</v>
      </c>
      <c r="Y96" s="87">
        <f>IF(TrRoad_act!Y12=0,0,Y32/TrRoad_act!Y12*1000)</f>
        <v>12.026463759188385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28.313637487667094</v>
      </c>
      <c r="C97" s="116">
        <f>IF(TrRoad_act!C13=0,0,C33/TrRoad_act!C13*1000)</f>
        <v>27.736778334315353</v>
      </c>
      <c r="D97" s="116">
        <f>IF(TrRoad_act!D13=0,0,D33/TrRoad_act!D13*1000)</f>
        <v>28.013198586657357</v>
      </c>
      <c r="E97" s="116">
        <f>IF(TrRoad_act!E13=0,0,E33/TrRoad_act!E13*1000)</f>
        <v>28.903872019544234</v>
      </c>
      <c r="F97" s="116">
        <f>IF(TrRoad_act!F13=0,0,F33/TrRoad_act!F13*1000)</f>
        <v>30.254845739287319</v>
      </c>
      <c r="G97" s="116">
        <f>IF(TrRoad_act!G13=0,0,G33/TrRoad_act!G13*1000)</f>
        <v>30.111291470300234</v>
      </c>
      <c r="H97" s="116">
        <f>IF(TrRoad_act!H13=0,0,H33/TrRoad_act!H13*1000)</f>
        <v>31.21572857877937</v>
      </c>
      <c r="I97" s="116">
        <f>IF(TrRoad_act!I13=0,0,I33/TrRoad_act!I13*1000)</f>
        <v>32.403253980861599</v>
      </c>
      <c r="J97" s="116">
        <f>IF(TrRoad_act!J13=0,0,J33/TrRoad_act!J13*1000)</f>
        <v>32.529423160741437</v>
      </c>
      <c r="K97" s="116">
        <f>IF(TrRoad_act!K13=0,0,K33/TrRoad_act!K13*1000)</f>
        <v>33.797526222715817</v>
      </c>
      <c r="L97" s="116">
        <f>IF(TrRoad_act!L13=0,0,L33/TrRoad_act!L13*1000)</f>
        <v>35.358780902682746</v>
      </c>
      <c r="M97" s="116">
        <f>IF(TrRoad_act!M13=0,0,M33/TrRoad_act!M13*1000)</f>
        <v>36.223608156222333</v>
      </c>
      <c r="N97" s="116">
        <f>IF(TrRoad_act!N13=0,0,N33/TrRoad_act!N13*1000)</f>
        <v>37.766317442893936</v>
      </c>
      <c r="O97" s="116">
        <f>IF(TrRoad_act!O13=0,0,O33/TrRoad_act!O13*1000)</f>
        <v>38.943774896436722</v>
      </c>
      <c r="P97" s="116">
        <f>IF(TrRoad_act!P13=0,0,P33/TrRoad_act!P13*1000)</f>
        <v>40.149026500571864</v>
      </c>
      <c r="Q97" s="116">
        <f>IF(TrRoad_act!Q13=0,0,Q33/TrRoad_act!Q13*1000)</f>
        <v>41.723359618907025</v>
      </c>
      <c r="R97" s="116">
        <f>IF(TrRoad_act!R13=0,0,R33/TrRoad_act!R13*1000)</f>
        <v>40.951598268596491</v>
      </c>
      <c r="S97" s="116">
        <f>IF(TrRoad_act!S13=0,0,S33/TrRoad_act!S13*1000)</f>
        <v>41.043598453393869</v>
      </c>
      <c r="T97" s="116">
        <f>IF(TrRoad_act!T13=0,0,T33/TrRoad_act!T13*1000)</f>
        <v>41.866126214962797</v>
      </c>
      <c r="U97" s="116">
        <f>IF(TrRoad_act!U13=0,0,U33/TrRoad_act!U13*1000)</f>
        <v>41.003605439743453</v>
      </c>
      <c r="V97" s="116">
        <f>IF(TrRoad_act!V13=0,0,V33/TrRoad_act!V13*1000)</f>
        <v>41.124461688648232</v>
      </c>
      <c r="W97" s="116">
        <f>IF(TrRoad_act!W13=0,0,W33/TrRoad_act!W13*1000)</f>
        <v>42.488302279932618</v>
      </c>
      <c r="X97" s="116">
        <f>IF(TrRoad_act!X13=0,0,X33/TrRoad_act!X13*1000)</f>
        <v>40.432235444663995</v>
      </c>
      <c r="Y97" s="116">
        <f>IF(TrRoad_act!Y13=0,0,Y33/TrRoad_act!Y13*1000)</f>
        <v>38.992380972416697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22.750149108175862</v>
      </c>
      <c r="C98" s="101">
        <f>IF(TrRoad_act!C14=0,0,C34/TrRoad_act!C14*1000)</f>
        <v>21.973860251526741</v>
      </c>
      <c r="D98" s="101">
        <f>IF(TrRoad_act!D14=0,0,D34/TrRoad_act!D14*1000)</f>
        <v>22.408777454829313</v>
      </c>
      <c r="E98" s="101">
        <f>IF(TrRoad_act!E14=0,0,E34/TrRoad_act!E14*1000)</f>
        <v>23.215382084402354</v>
      </c>
      <c r="F98" s="101">
        <f>IF(TrRoad_act!F14=0,0,F34/TrRoad_act!F14*1000)</f>
        <v>24.054858194228501</v>
      </c>
      <c r="G98" s="101">
        <f>IF(TrRoad_act!G14=0,0,G34/TrRoad_act!G14*1000)</f>
        <v>24.396037396661757</v>
      </c>
      <c r="H98" s="101">
        <f>IF(TrRoad_act!H14=0,0,H34/TrRoad_act!H14*1000)</f>
        <v>24.864656639851287</v>
      </c>
      <c r="I98" s="101">
        <f>IF(TrRoad_act!I14=0,0,I34/TrRoad_act!I14*1000)</f>
        <v>25.509136443443349</v>
      </c>
      <c r="J98" s="101">
        <f>IF(TrRoad_act!J14=0,0,J34/TrRoad_act!J14*1000)</f>
        <v>27.052737920731371</v>
      </c>
      <c r="K98" s="101">
        <f>IF(TrRoad_act!K14=0,0,K34/TrRoad_act!K14*1000)</f>
        <v>27.091586898300925</v>
      </c>
      <c r="L98" s="101">
        <f>IF(TrRoad_act!L14=0,0,L34/TrRoad_act!L14*1000)</f>
        <v>27.014625469241146</v>
      </c>
      <c r="M98" s="101">
        <f>IF(TrRoad_act!M14=0,0,M34/TrRoad_act!M14*1000)</f>
        <v>27.074471864101149</v>
      </c>
      <c r="N98" s="101">
        <f>IF(TrRoad_act!N14=0,0,N34/TrRoad_act!N14*1000)</f>
        <v>27.182233603580567</v>
      </c>
      <c r="O98" s="101">
        <f>IF(TrRoad_act!O14=0,0,O34/TrRoad_act!O14*1000)</f>
        <v>27.265635915051032</v>
      </c>
      <c r="P98" s="101">
        <f>IF(TrRoad_act!P14=0,0,P34/TrRoad_act!P14*1000)</f>
        <v>27.359665332758446</v>
      </c>
      <c r="Q98" s="101">
        <f>IF(TrRoad_act!Q14=0,0,Q34/TrRoad_act!Q14*1000)</f>
        <v>27.432056787849181</v>
      </c>
      <c r="R98" s="101">
        <f>IF(TrRoad_act!R14=0,0,R34/TrRoad_act!R14*1000)</f>
        <v>27.363604992994912</v>
      </c>
      <c r="S98" s="101">
        <f>IF(TrRoad_act!S14=0,0,S34/TrRoad_act!S14*1000)</f>
        <v>27.032439672592414</v>
      </c>
      <c r="T98" s="101">
        <f>IF(TrRoad_act!T14=0,0,T34/TrRoad_act!T14*1000)</f>
        <v>27.038920784833902</v>
      </c>
      <c r="U98" s="101">
        <f>IF(TrRoad_act!U14=0,0,U34/TrRoad_act!U14*1000)</f>
        <v>27.020466485339163</v>
      </c>
      <c r="V98" s="101">
        <f>IF(TrRoad_act!V14=0,0,V34/TrRoad_act!V14*1000)</f>
        <v>27.001124626880458</v>
      </c>
      <c r="W98" s="101">
        <f>IF(TrRoad_act!W14=0,0,W34/TrRoad_act!W14*1000)</f>
        <v>26.999004296705643</v>
      </c>
      <c r="X98" s="101">
        <f>IF(TrRoad_act!X14=0,0,X34/TrRoad_act!X14*1000)</f>
        <v>26.421657716247008</v>
      </c>
      <c r="Y98" s="101">
        <f>IF(TrRoad_act!Y14=0,0,Y34/TrRoad_act!Y14*1000)</f>
        <v>26.364286383986364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28.415053175339299</v>
      </c>
      <c r="C99" s="101">
        <f>IF(TrRoad_act!C15=0,0,C36/TrRoad_act!C15*1000)</f>
        <v>27.830823769098625</v>
      </c>
      <c r="D99" s="101">
        <f>IF(TrRoad_act!D15=0,0,D36/TrRoad_act!D15*1000)</f>
        <v>28.152404892411145</v>
      </c>
      <c r="E99" s="101">
        <f>IF(TrRoad_act!E15=0,0,E36/TrRoad_act!E15*1000)</f>
        <v>29.047578627392859</v>
      </c>
      <c r="F99" s="101">
        <f>IF(TrRoad_act!F15=0,0,F36/TrRoad_act!F15*1000)</f>
        <v>30.393612368181905</v>
      </c>
      <c r="G99" s="101">
        <f>IF(TrRoad_act!G15=0,0,G36/TrRoad_act!G15*1000)</f>
        <v>30.234935097859754</v>
      </c>
      <c r="H99" s="101">
        <f>IF(TrRoad_act!H15=0,0,H36/TrRoad_act!H15*1000)</f>
        <v>31.382740162855264</v>
      </c>
      <c r="I99" s="101">
        <f>IF(TrRoad_act!I15=0,0,I36/TrRoad_act!I15*1000)</f>
        <v>32.606006861247359</v>
      </c>
      <c r="J99" s="101">
        <f>IF(TrRoad_act!J15=0,0,J36/TrRoad_act!J15*1000)</f>
        <v>32.582779899029028</v>
      </c>
      <c r="K99" s="101">
        <f>IF(TrRoad_act!K15=0,0,K36/TrRoad_act!K15*1000)</f>
        <v>33.759959437498473</v>
      </c>
      <c r="L99" s="101">
        <f>IF(TrRoad_act!L15=0,0,L36/TrRoad_act!L15*1000)</f>
        <v>35.313604856366901</v>
      </c>
      <c r="M99" s="101">
        <f>IF(TrRoad_act!M15=0,0,M36/TrRoad_act!M15*1000)</f>
        <v>36.364627779942801</v>
      </c>
      <c r="N99" s="101">
        <f>IF(TrRoad_act!N15=0,0,N36/TrRoad_act!N15*1000)</f>
        <v>37.694839810978038</v>
      </c>
      <c r="O99" s="101">
        <f>IF(TrRoad_act!O15=0,0,O36/TrRoad_act!O15*1000)</f>
        <v>39.086661831578787</v>
      </c>
      <c r="P99" s="101">
        <f>IF(TrRoad_act!P15=0,0,P36/TrRoad_act!P15*1000)</f>
        <v>40.299097370110729</v>
      </c>
      <c r="Q99" s="101">
        <f>IF(TrRoad_act!Q15=0,0,Q36/TrRoad_act!Q15*1000)</f>
        <v>41.918618362666315</v>
      </c>
      <c r="R99" s="101">
        <f>IF(TrRoad_act!R15=0,0,R36/TrRoad_act!R15*1000)</f>
        <v>41.069794562349657</v>
      </c>
      <c r="S99" s="101">
        <f>IF(TrRoad_act!S15=0,0,S36/TrRoad_act!S15*1000)</f>
        <v>41.121266967525955</v>
      </c>
      <c r="T99" s="101">
        <f>IF(TrRoad_act!T15=0,0,T36/TrRoad_act!T15*1000)</f>
        <v>41.896627871264975</v>
      </c>
      <c r="U99" s="101">
        <f>IF(TrRoad_act!U15=0,0,U36/TrRoad_act!U15*1000)</f>
        <v>40.981964036307403</v>
      </c>
      <c r="V99" s="101">
        <f>IF(TrRoad_act!V15=0,0,V36/TrRoad_act!V15*1000)</f>
        <v>41.03216452450345</v>
      </c>
      <c r="W99" s="101">
        <f>IF(TrRoad_act!W15=0,0,W36/TrRoad_act!W15*1000)</f>
        <v>42.586130370480355</v>
      </c>
      <c r="X99" s="101">
        <f>IF(TrRoad_act!X15=0,0,X36/TrRoad_act!X15*1000)</f>
        <v>40.670509235864579</v>
      </c>
      <c r="Y99" s="101">
        <f>IF(TrRoad_act!Y15=0,0,Y36/TrRoad_act!Y15*1000)</f>
        <v>39.184086749718659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X100" s="101">
        <f>IF(TrRoad_act!X16=0,0,X38/TrRoad_act!X16*1000)</f>
        <v>0</v>
      </c>
      <c r="Y100" s="101">
        <f>IF(TrRoad_act!Y16=0,0,Y38/TrRoad_act!Y16*1000)</f>
        <v>0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19.716883284438776</v>
      </c>
      <c r="C101" s="101">
        <f>IF(TrRoad_act!C17=0,0,C39/TrRoad_act!C17*1000)</f>
        <v>19.779435895900779</v>
      </c>
      <c r="D101" s="101">
        <f>IF(TrRoad_act!D17=0,0,D39/TrRoad_act!D17*1000)</f>
        <v>20.010387214976639</v>
      </c>
      <c r="E101" s="101">
        <f>IF(TrRoad_act!E17=0,0,E39/TrRoad_act!E17*1000)</f>
        <v>20.472647902883388</v>
      </c>
      <c r="F101" s="101">
        <f>IF(TrRoad_act!F17=0,0,F39/TrRoad_act!F17*1000)</f>
        <v>21.712066176067001</v>
      </c>
      <c r="G101" s="101">
        <f>IF(TrRoad_act!G17=0,0,G39/TrRoad_act!G17*1000)</f>
        <v>22.356545917314218</v>
      </c>
      <c r="H101" s="101">
        <f>IF(TrRoad_act!H17=0,0,H39/TrRoad_act!H17*1000)</f>
        <v>23.08405340433487</v>
      </c>
      <c r="I101" s="101">
        <f>IF(TrRoad_act!I17=0,0,I39/TrRoad_act!I17*1000)</f>
        <v>22.425065201306378</v>
      </c>
      <c r="J101" s="101">
        <f>IF(TrRoad_act!J17=0,0,J39/TrRoad_act!J17*1000)</f>
        <v>29.747632049036969</v>
      </c>
      <c r="K101" s="101">
        <f>IF(TrRoad_act!K17=0,0,K39/TrRoad_act!K17*1000)</f>
        <v>36.160707142576946</v>
      </c>
      <c r="L101" s="101">
        <f>IF(TrRoad_act!L17=0,0,L39/TrRoad_act!L17*1000)</f>
        <v>38.507140053608026</v>
      </c>
      <c r="M101" s="101">
        <f>IF(TrRoad_act!M17=0,0,M39/TrRoad_act!M17*1000)</f>
        <v>26.589148751652235</v>
      </c>
      <c r="N101" s="101">
        <f>IF(TrRoad_act!N17=0,0,N39/TrRoad_act!N17*1000)</f>
        <v>44.176451736657384</v>
      </c>
      <c r="O101" s="101">
        <f>IF(TrRoad_act!O17=0,0,O39/TrRoad_act!O17*1000)</f>
        <v>27.551316769409919</v>
      </c>
      <c r="P101" s="101">
        <f>IF(TrRoad_act!P17=0,0,P39/TrRoad_act!P17*1000)</f>
        <v>28.526863538102432</v>
      </c>
      <c r="Q101" s="101">
        <f>IF(TrRoad_act!Q17=0,0,Q39/TrRoad_act!Q17*1000)</f>
        <v>25.938560593932255</v>
      </c>
      <c r="R101" s="101">
        <f>IF(TrRoad_act!R17=0,0,R39/TrRoad_act!R17*1000)</f>
        <v>31.304046182413469</v>
      </c>
      <c r="S101" s="101">
        <f>IF(TrRoad_act!S17=0,0,S39/TrRoad_act!S17*1000)</f>
        <v>35.24927193598861</v>
      </c>
      <c r="T101" s="101">
        <f>IF(TrRoad_act!T17=0,0,T39/TrRoad_act!T17*1000)</f>
        <v>41.459090555065458</v>
      </c>
      <c r="U101" s="101">
        <f>IF(TrRoad_act!U17=0,0,U39/TrRoad_act!U17*1000)</f>
        <v>51.37659130349364</v>
      </c>
      <c r="V101" s="101">
        <f>IF(TrRoad_act!V17=0,0,V39/TrRoad_act!V17*1000)</f>
        <v>72.844322084969747</v>
      </c>
      <c r="W101" s="101">
        <f>IF(TrRoad_act!W17=0,0,W39/TrRoad_act!W17*1000)</f>
        <v>86.097936718937618</v>
      </c>
      <c r="X101" s="101">
        <f>IF(TrRoad_act!X17=0,0,X39/TrRoad_act!X17*1000)</f>
        <v>100.75176567614791</v>
      </c>
      <c r="Y101" s="101">
        <f>IF(TrRoad_act!Y17=0,0,Y39/TrRoad_act!Y17*1000)</f>
        <v>109.19470273498018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25.355110032364962</v>
      </c>
      <c r="O102" s="101">
        <f>IF(TrRoad_act!O18=0,0,O41/TrRoad_act!O18*1000)</f>
        <v>26.298778214641221</v>
      </c>
      <c r="P102" s="101">
        <f>IF(TrRoad_act!P18=0,0,P41/TrRoad_act!P18*1000)</f>
        <v>27.590349700431496</v>
      </c>
      <c r="Q102" s="101">
        <f>IF(TrRoad_act!Q18=0,0,Q41/TrRoad_act!Q18*1000)</f>
        <v>28.616916459609524</v>
      </c>
      <c r="R102" s="101">
        <f>IF(TrRoad_act!R18=0,0,R41/TrRoad_act!R18*1000)</f>
        <v>28.03577816202883</v>
      </c>
      <c r="S102" s="101">
        <f>IF(TrRoad_act!S18=0,0,S41/TrRoad_act!S18*1000)</f>
        <v>28.706389528987827</v>
      </c>
      <c r="T102" s="101">
        <f>IF(TrRoad_act!T18=0,0,T41/TrRoad_act!T18*1000)</f>
        <v>28.74337999995792</v>
      </c>
      <c r="U102" s="101">
        <f>IF(TrRoad_act!U18=0,0,U41/TrRoad_act!U18*1000)</f>
        <v>27.747775621538949</v>
      </c>
      <c r="V102" s="101">
        <f>IF(TrRoad_act!V18=0,0,V41/TrRoad_act!V18*1000)</f>
        <v>27.766083268415198</v>
      </c>
      <c r="W102" s="101">
        <f>IF(TrRoad_act!W18=0,0,W41/TrRoad_act!W18*1000)</f>
        <v>26.868037357570994</v>
      </c>
      <c r="X102" s="101">
        <f>IF(TrRoad_act!X18=0,0,X41/TrRoad_act!X18*1000)</f>
        <v>26.262128093936003</v>
      </c>
      <c r="Y102" s="101">
        <f>IF(TrRoad_act!Y18=0,0,Y41/TrRoad_act!Y18*1000)</f>
        <v>25.969069546273435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40.615399151885576</v>
      </c>
      <c r="C103" s="29">
        <f>IF(TrRoad_act!C19=0,0,C42/TrRoad_act!C19*1000)</f>
        <v>43.154145935564046</v>
      </c>
      <c r="D103" s="29">
        <f>IF(TrRoad_act!D19=0,0,D42/TrRoad_act!D19*1000)</f>
        <v>41.595872145606748</v>
      </c>
      <c r="E103" s="29">
        <f>IF(TrRoad_act!E19=0,0,E42/TrRoad_act!E19*1000)</f>
        <v>43.58272854014114</v>
      </c>
      <c r="F103" s="29">
        <f>IF(TrRoad_act!F19=0,0,F42/TrRoad_act!F19*1000)</f>
        <v>44.235432267056318</v>
      </c>
      <c r="G103" s="29">
        <f>IF(TrRoad_act!G19=0,0,G42/TrRoad_act!G19*1000)</f>
        <v>43.11132198279887</v>
      </c>
      <c r="H103" s="29">
        <f>IF(TrRoad_act!H19=0,0,H42/TrRoad_act!H19*1000)</f>
        <v>46.373261639294519</v>
      </c>
      <c r="I103" s="29">
        <f>IF(TrRoad_act!I19=0,0,I42/TrRoad_act!I19*1000)</f>
        <v>46.729693111718483</v>
      </c>
      <c r="J103" s="29">
        <f>IF(TrRoad_act!J19=0,0,J42/TrRoad_act!J19*1000)</f>
        <v>42.757569284312865</v>
      </c>
      <c r="K103" s="29">
        <f>IF(TrRoad_act!K19=0,0,K42/TrRoad_act!K19*1000)</f>
        <v>43.076303324387112</v>
      </c>
      <c r="L103" s="29">
        <f>IF(TrRoad_act!L19=0,0,L42/TrRoad_act!L19*1000)</f>
        <v>44.623705143340921</v>
      </c>
      <c r="M103" s="29">
        <f>IF(TrRoad_act!M19=0,0,M42/TrRoad_act!M19*1000)</f>
        <v>46.127738138905336</v>
      </c>
      <c r="N103" s="29">
        <f>IF(TrRoad_act!N19=0,0,N42/TrRoad_act!N19*1000)</f>
        <v>46.196537552439722</v>
      </c>
      <c r="O103" s="29">
        <f>IF(TrRoad_act!O19=0,0,O42/TrRoad_act!O19*1000)</f>
        <v>48.906997768490129</v>
      </c>
      <c r="P103" s="29">
        <f>IF(TrRoad_act!P19=0,0,P42/TrRoad_act!P19*1000)</f>
        <v>47.381005709101295</v>
      </c>
      <c r="Q103" s="29">
        <f>IF(TrRoad_act!Q19=0,0,Q42/TrRoad_act!Q19*1000)</f>
        <v>43.412619241165459</v>
      </c>
      <c r="R103" s="29">
        <f>IF(TrRoad_act!R19=0,0,R42/TrRoad_act!R19*1000)</f>
        <v>42.272988676756526</v>
      </c>
      <c r="S103" s="29">
        <f>IF(TrRoad_act!S19=0,0,S42/TrRoad_act!S19*1000)</f>
        <v>39.286950029407336</v>
      </c>
      <c r="T103" s="29">
        <f>IF(TrRoad_act!T19=0,0,T42/TrRoad_act!T19*1000)</f>
        <v>40.127554481402818</v>
      </c>
      <c r="U103" s="29">
        <f>IF(TrRoad_act!U19=0,0,U42/TrRoad_act!U19*1000)</f>
        <v>38.891744104336496</v>
      </c>
      <c r="V103" s="29">
        <f>IF(TrRoad_act!V19=0,0,V42/TrRoad_act!V19*1000)</f>
        <v>36.472180155634511</v>
      </c>
      <c r="W103" s="29">
        <f>IF(TrRoad_act!W19=0,0,W42/TrRoad_act!W19*1000)</f>
        <v>39.514626990837314</v>
      </c>
      <c r="X103" s="29">
        <f>IF(TrRoad_act!X19=0,0,X42/TrRoad_act!X19*1000)</f>
        <v>36.207296016026945</v>
      </c>
      <c r="Y103" s="29">
        <f>IF(TrRoad_act!Y19=0,0,Y42/TrRoad_act!Y19*1000)</f>
        <v>36.543499824637244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329.1433697046503</v>
      </c>
      <c r="C104" s="152">
        <f>IF(TrRoad_act!C20=0,0,C43/TrRoad_act!C20*1000)</f>
        <v>319.61295493361553</v>
      </c>
      <c r="D104" s="152">
        <f>IF(TrRoad_act!D20=0,0,D43/TrRoad_act!D20*1000)</f>
        <v>314.04368855276346</v>
      </c>
      <c r="E104" s="152">
        <f>IF(TrRoad_act!E20=0,0,E43/TrRoad_act!E20*1000)</f>
        <v>309.89596890708452</v>
      </c>
      <c r="F104" s="152">
        <f>IF(TrRoad_act!F20=0,0,F43/TrRoad_act!F20*1000)</f>
        <v>305.78689835465838</v>
      </c>
      <c r="G104" s="152">
        <f>IF(TrRoad_act!G20=0,0,G43/TrRoad_act!G20*1000)</f>
        <v>297.00530166831652</v>
      </c>
      <c r="H104" s="152">
        <f>IF(TrRoad_act!H20=0,0,H43/TrRoad_act!H20*1000)</f>
        <v>299.07211804937208</v>
      </c>
      <c r="I104" s="152">
        <f>IF(TrRoad_act!I20=0,0,I43/TrRoad_act!I20*1000)</f>
        <v>301.81685869692518</v>
      </c>
      <c r="J104" s="152">
        <f>IF(TrRoad_act!J20=0,0,J43/TrRoad_act!J20*1000)</f>
        <v>286.3910083114755</v>
      </c>
      <c r="K104" s="152">
        <f>IF(TrRoad_act!K20=0,0,K43/TrRoad_act!K20*1000)</f>
        <v>280.03448244439591</v>
      </c>
      <c r="L104" s="152">
        <f>IF(TrRoad_act!L20=0,0,L43/TrRoad_act!L20*1000)</f>
        <v>282.25078650575296</v>
      </c>
      <c r="M104" s="152">
        <f>IF(TrRoad_act!M20=0,0,M43/TrRoad_act!M20*1000)</f>
        <v>282.29832453092627</v>
      </c>
      <c r="N104" s="152">
        <f>IF(TrRoad_act!N20=0,0,N43/TrRoad_act!N20*1000)</f>
        <v>279.41107816111406</v>
      </c>
      <c r="O104" s="152">
        <f>IF(TrRoad_act!O20=0,0,O43/TrRoad_act!O20*1000)</f>
        <v>278.32251841909869</v>
      </c>
      <c r="P104" s="152">
        <f>IF(TrRoad_act!P20=0,0,P43/TrRoad_act!P20*1000)</f>
        <v>273.7503302965867</v>
      </c>
      <c r="Q104" s="152">
        <f>IF(TrRoad_act!Q20=0,0,Q43/TrRoad_act!Q20*1000)</f>
        <v>272.67139048730462</v>
      </c>
      <c r="R104" s="152">
        <f>IF(TrRoad_act!R20=0,0,R43/TrRoad_act!R20*1000)</f>
        <v>273.4796772245366</v>
      </c>
      <c r="S104" s="152">
        <f>IF(TrRoad_act!S20=0,0,S43/TrRoad_act!S20*1000)</f>
        <v>263.91960128958016</v>
      </c>
      <c r="T104" s="152">
        <f>IF(TrRoad_act!T20=0,0,T43/TrRoad_act!T20*1000)</f>
        <v>265.09005756748212</v>
      </c>
      <c r="U104" s="152">
        <f>IF(TrRoad_act!U20=0,0,U43/TrRoad_act!U20*1000)</f>
        <v>260.35177902331708</v>
      </c>
      <c r="V104" s="152">
        <f>IF(TrRoad_act!V20=0,0,V43/TrRoad_act!V20*1000)</f>
        <v>256.15915045990596</v>
      </c>
      <c r="W104" s="152">
        <f>IF(TrRoad_act!W20=0,0,W43/TrRoad_act!W20*1000)</f>
        <v>265.89778198521736</v>
      </c>
      <c r="X104" s="152">
        <f>IF(TrRoad_act!X20=0,0,X43/TrRoad_act!X20*1000)</f>
        <v>254.17690005990491</v>
      </c>
      <c r="Y104" s="152">
        <f>IF(TrRoad_act!Y20=0,0,Y43/TrRoad_act!Y20*1000)</f>
        <v>246.80568803367376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341.90882267177665</v>
      </c>
      <c r="C105" s="87">
        <f>IF(TrRoad_act!C21=0,0,C44/TrRoad_act!C21*1000)</f>
        <v>340.67250074330946</v>
      </c>
      <c r="D105" s="87">
        <f>IF(TrRoad_act!D21=0,0,D44/TrRoad_act!D21*1000)</f>
        <v>339.40057780284724</v>
      </c>
      <c r="E105" s="87">
        <f>IF(TrRoad_act!E21=0,0,E44/TrRoad_act!E21*1000)</f>
        <v>338.33100880441287</v>
      </c>
      <c r="F105" s="87">
        <f>IF(TrRoad_act!F21=0,0,F44/TrRoad_act!F21*1000)</f>
        <v>335.03749525138113</v>
      </c>
      <c r="G105" s="87">
        <f>IF(TrRoad_act!G21=0,0,G44/TrRoad_act!G21*1000)</f>
        <v>332.91332829757761</v>
      </c>
      <c r="H105" s="87">
        <f>IF(TrRoad_act!H21=0,0,H44/TrRoad_act!H21*1000)</f>
        <v>327.83414409866248</v>
      </c>
      <c r="I105" s="87">
        <f>IF(TrRoad_act!I21=0,0,I44/TrRoad_act!I21*1000)</f>
        <v>323.5062069600051</v>
      </c>
      <c r="J105" s="87">
        <f>IF(TrRoad_act!J21=0,0,J44/TrRoad_act!J21*1000)</f>
        <v>318.36809763124626</v>
      </c>
      <c r="K105" s="87">
        <f>IF(TrRoad_act!K21=0,0,K44/TrRoad_act!K21*1000)</f>
        <v>312.02492356239446</v>
      </c>
      <c r="L105" s="87">
        <f>IF(TrRoad_act!L21=0,0,L44/TrRoad_act!L21*1000)</f>
        <v>308.686601458626</v>
      </c>
      <c r="M105" s="87">
        <f>IF(TrRoad_act!M21=0,0,M44/TrRoad_act!M21*1000)</f>
        <v>305.29290041928215</v>
      </c>
      <c r="N105" s="87">
        <f>IF(TrRoad_act!N21=0,0,N44/TrRoad_act!N21*1000)</f>
        <v>301.81831526561791</v>
      </c>
      <c r="O105" s="87">
        <f>IF(TrRoad_act!O21=0,0,O44/TrRoad_act!O21*1000)</f>
        <v>298.73229961746625</v>
      </c>
      <c r="P105" s="87">
        <f>IF(TrRoad_act!P21=0,0,P44/TrRoad_act!P21*1000)</f>
        <v>293.88734258509629</v>
      </c>
      <c r="Q105" s="87">
        <f>IF(TrRoad_act!Q21=0,0,Q44/TrRoad_act!Q21*1000)</f>
        <v>290.76947281592663</v>
      </c>
      <c r="R105" s="87">
        <f>IF(TrRoad_act!R21=0,0,R44/TrRoad_act!R21*1000)</f>
        <v>285.94289331069876</v>
      </c>
      <c r="S105" s="87">
        <f>IF(TrRoad_act!S21=0,0,S44/TrRoad_act!S21*1000)</f>
        <v>281.70859373339852</v>
      </c>
      <c r="T105" s="87">
        <f>IF(TrRoad_act!T21=0,0,T44/TrRoad_act!T21*1000)</f>
        <v>277.31069565743076</v>
      </c>
      <c r="U105" s="87">
        <f>IF(TrRoad_act!U21=0,0,U44/TrRoad_act!U21*1000)</f>
        <v>273.03186775458124</v>
      </c>
      <c r="V105" s="87">
        <f>IF(TrRoad_act!V21=0,0,V44/TrRoad_act!V21*1000)</f>
        <v>266.14713801630938</v>
      </c>
      <c r="W105" s="87">
        <f>IF(TrRoad_act!W21=0,0,W44/TrRoad_act!W21*1000)</f>
        <v>262.22831827048822</v>
      </c>
      <c r="X105" s="87">
        <f>IF(TrRoad_act!X21=0,0,X44/TrRoad_act!X21*1000)</f>
        <v>257.36615592519621</v>
      </c>
      <c r="Y105" s="87">
        <f>IF(TrRoad_act!Y21=0,0,Y44/TrRoad_act!Y21*1000)</f>
        <v>255.94370471567314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327.94618092750721</v>
      </c>
      <c r="C106" s="87">
        <f>IF(TrRoad_act!C22=0,0,C46/TrRoad_act!C22*1000)</f>
        <v>317.75607221588808</v>
      </c>
      <c r="D106" s="87">
        <f>IF(TrRoad_act!D22=0,0,D46/TrRoad_act!D22*1000)</f>
        <v>311.96431574088251</v>
      </c>
      <c r="E106" s="87">
        <f>IF(TrRoad_act!E22=0,0,E46/TrRoad_act!E22*1000)</f>
        <v>307.7750656607252</v>
      </c>
      <c r="F106" s="87">
        <f>IF(TrRoad_act!F22=0,0,F46/TrRoad_act!F22*1000)</f>
        <v>303.90522502729101</v>
      </c>
      <c r="G106" s="87">
        <f>IF(TrRoad_act!G22=0,0,G46/TrRoad_act!G22*1000)</f>
        <v>294.84063696098877</v>
      </c>
      <c r="H106" s="87">
        <f>IF(TrRoad_act!H22=0,0,H46/TrRoad_act!H22*1000)</f>
        <v>297.5077552227811</v>
      </c>
      <c r="I106" s="87">
        <f>IF(TrRoad_act!I22=0,0,I46/TrRoad_act!I22*1000)</f>
        <v>300.76138267473374</v>
      </c>
      <c r="J106" s="87">
        <f>IF(TrRoad_act!J22=0,0,J46/TrRoad_act!J22*1000)</f>
        <v>284.92528288366583</v>
      </c>
      <c r="K106" s="87">
        <f>IF(TrRoad_act!K22=0,0,K46/TrRoad_act!K22*1000)</f>
        <v>278.64012927869868</v>
      </c>
      <c r="L106" s="87">
        <f>IF(TrRoad_act!L22=0,0,L46/TrRoad_act!L22*1000)</f>
        <v>281.15971094901101</v>
      </c>
      <c r="M106" s="87">
        <f>IF(TrRoad_act!M22=0,0,M46/TrRoad_act!M22*1000)</f>
        <v>281.41476162401858</v>
      </c>
      <c r="N106" s="87">
        <f>IF(TrRoad_act!N22=0,0,N46/TrRoad_act!N22*1000)</f>
        <v>278.5635126148353</v>
      </c>
      <c r="O106" s="87">
        <f>IF(TrRoad_act!O22=0,0,O46/TrRoad_act!O22*1000)</f>
        <v>277.62588807804553</v>
      </c>
      <c r="P106" s="87">
        <f>IF(TrRoad_act!P22=0,0,P46/TrRoad_act!P22*1000)</f>
        <v>273.0907850007614</v>
      </c>
      <c r="Q106" s="87">
        <f>IF(TrRoad_act!Q22=0,0,Q46/TrRoad_act!Q22*1000)</f>
        <v>272.10882832086634</v>
      </c>
      <c r="R106" s="87">
        <f>IF(TrRoad_act!R22=0,0,R46/TrRoad_act!R22*1000)</f>
        <v>273.12269629375061</v>
      </c>
      <c r="S106" s="87">
        <f>IF(TrRoad_act!S22=0,0,S46/TrRoad_act!S22*1000)</f>
        <v>263.41159872573508</v>
      </c>
      <c r="T106" s="87">
        <f>IF(TrRoad_act!T22=0,0,T46/TrRoad_act!T22*1000)</f>
        <v>264.71099550821486</v>
      </c>
      <c r="U106" s="87">
        <f>IF(TrRoad_act!U22=0,0,U46/TrRoad_act!U22*1000)</f>
        <v>259.88043706374629</v>
      </c>
      <c r="V106" s="87">
        <f>IF(TrRoad_act!V22=0,0,V46/TrRoad_act!V22*1000)</f>
        <v>255.54432864961262</v>
      </c>
      <c r="W106" s="87">
        <f>IF(TrRoad_act!W22=0,0,W46/TrRoad_act!W22*1000)</f>
        <v>265.53330929866098</v>
      </c>
      <c r="X106" s="87">
        <f>IF(TrRoad_act!X22=0,0,X46/TrRoad_act!X22*1000)</f>
        <v>253.58622137876756</v>
      </c>
      <c r="Y106" s="87">
        <f>IF(TrRoad_act!Y22=0,0,Y46/TrRoad_act!Y22*1000)</f>
        <v>246.18994549969864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X107" s="87">
        <f>IF(TrRoad_act!X23=0,0,X48/TrRoad_act!X23*1000)</f>
        <v>0</v>
      </c>
      <c r="Y107" s="87">
        <f>IF(TrRoad_act!Y23=0,0,Y48/TrRoad_act!Y23*1000)</f>
        <v>0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372.33580634048019</v>
      </c>
      <c r="D108" s="87">
        <f>IF(TrRoad_act!D24=0,0,D49/TrRoad_act!D24*1000)</f>
        <v>371.91713163798846</v>
      </c>
      <c r="E108" s="87">
        <f>IF(TrRoad_act!E24=0,0,E49/TrRoad_act!E24*1000)</f>
        <v>370.79819960852171</v>
      </c>
      <c r="F108" s="87">
        <f>IF(TrRoad_act!F24=0,0,F49/TrRoad_act!F24*1000)</f>
        <v>365.74287252835876</v>
      </c>
      <c r="G108" s="87">
        <f>IF(TrRoad_act!G24=0,0,G49/TrRoad_act!G24*1000)</f>
        <v>371.56705802205488</v>
      </c>
      <c r="H108" s="87">
        <f>IF(TrRoad_act!H24=0,0,H49/TrRoad_act!H24*1000)</f>
        <v>366.32498527449491</v>
      </c>
      <c r="I108" s="87">
        <f>IF(TrRoad_act!I24=0,0,I49/TrRoad_act!I24*1000)</f>
        <v>372.44971084280928</v>
      </c>
      <c r="J108" s="87">
        <f>IF(TrRoad_act!J24=0,0,J49/TrRoad_act!J24*1000)</f>
        <v>421.57572628440408</v>
      </c>
      <c r="K108" s="87">
        <f>IF(TrRoad_act!K24=0,0,K49/TrRoad_act!K24*1000)</f>
        <v>463.84761906512142</v>
      </c>
      <c r="L108" s="87">
        <f>IF(TrRoad_act!L24=0,0,L49/TrRoad_act!L24*1000)</f>
        <v>465.43046473116794</v>
      </c>
      <c r="M108" s="87">
        <f>IF(TrRoad_act!M24=0,0,M49/TrRoad_act!M24*1000)</f>
        <v>354.65966756323411</v>
      </c>
      <c r="N108" s="87">
        <f>IF(TrRoad_act!N24=0,0,N49/TrRoad_act!N24*1000)</f>
        <v>510.85915554366136</v>
      </c>
      <c r="O108" s="87">
        <f>IF(TrRoad_act!O24=0,0,O49/TrRoad_act!O24*1000)</f>
        <v>345.81311298950072</v>
      </c>
      <c r="P108" s="87">
        <f>IF(TrRoad_act!P24=0,0,P49/TrRoad_act!P24*1000)</f>
        <v>353.54375894503931</v>
      </c>
      <c r="Q108" s="87">
        <f>IF(TrRoad_act!Q24=0,0,Q49/TrRoad_act!Q24*1000)</f>
        <v>363.2608265478284</v>
      </c>
      <c r="R108" s="87">
        <f>IF(TrRoad_act!R24=0,0,R49/TrRoad_act!R24*1000)</f>
        <v>371.15182051207205</v>
      </c>
      <c r="S108" s="87">
        <f>IF(TrRoad_act!S24=0,0,S49/TrRoad_act!S24*1000)</f>
        <v>360.47200627663966</v>
      </c>
      <c r="T108" s="87">
        <f>IF(TrRoad_act!T24=0,0,T49/TrRoad_act!T24*1000)</f>
        <v>416.04925326940707</v>
      </c>
      <c r="U108" s="87">
        <f>IF(TrRoad_act!U24=0,0,U49/TrRoad_act!U24*1000)</f>
        <v>483.39384234137435</v>
      </c>
      <c r="V108" s="87">
        <f>IF(TrRoad_act!V24=0,0,V49/TrRoad_act!V24*1000)</f>
        <v>649.85814267673186</v>
      </c>
      <c r="W108" s="87">
        <f>IF(TrRoad_act!W24=0,0,W49/TrRoad_act!W24*1000)</f>
        <v>798.8904364427957</v>
      </c>
      <c r="X108" s="87">
        <f>IF(TrRoad_act!X24=0,0,X49/TrRoad_act!X24*1000)</f>
        <v>931.73742292366262</v>
      </c>
      <c r="Y108" s="87">
        <f>IF(TrRoad_act!Y24=0,0,Y49/TrRoad_act!Y24*1000)</f>
        <v>1006.3669409059708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59.113370944305061</v>
      </c>
      <c r="C109" s="87">
        <f>IF(TrRoad_act!C25=0,0,C51/TrRoad_act!C25*1000)</f>
        <v>58.920423798654156</v>
      </c>
      <c r="D109" s="87">
        <f>IF(TrRoad_act!D25=0,0,D51/TrRoad_act!D25*1000)</f>
        <v>58.840960155525281</v>
      </c>
      <c r="E109" s="87">
        <f>IF(TrRoad_act!E25=0,0,E51/TrRoad_act!E25*1000)</f>
        <v>58.801787572399341</v>
      </c>
      <c r="F109" s="87">
        <f>IF(TrRoad_act!F25=0,0,F51/TrRoad_act!F25*1000)</f>
        <v>58.916051813973596</v>
      </c>
      <c r="G109" s="87">
        <f>IF(TrRoad_act!G25=0,0,G51/TrRoad_act!G25*1000)</f>
        <v>58.925935335608528</v>
      </c>
      <c r="H109" s="87">
        <f>IF(TrRoad_act!H25=0,0,H51/TrRoad_act!H25*1000)</f>
        <v>58.846015236586148</v>
      </c>
      <c r="I109" s="87">
        <f>IF(TrRoad_act!I25=0,0,I51/TrRoad_act!I25*1000)</f>
        <v>58.836145260470175</v>
      </c>
      <c r="J109" s="87">
        <f>IF(TrRoad_act!J25=0,0,J51/TrRoad_act!J25*1000)</f>
        <v>58.576823615834314</v>
      </c>
      <c r="K109" s="87">
        <f>IF(TrRoad_act!K25=0,0,K51/TrRoad_act!K25*1000)</f>
        <v>58.399243152243933</v>
      </c>
      <c r="L109" s="87">
        <f>IF(TrRoad_act!L25=0,0,L51/TrRoad_act!L25*1000)</f>
        <v>57.851265993483345</v>
      </c>
      <c r="M109" s="87">
        <f>IF(TrRoad_act!M25=0,0,M51/TrRoad_act!M25*1000)</f>
        <v>57.8135087898048</v>
      </c>
      <c r="N109" s="87">
        <f>IF(TrRoad_act!N25=0,0,N51/TrRoad_act!N25*1000)</f>
        <v>57.063455152277321</v>
      </c>
      <c r="O109" s="87">
        <f>IF(TrRoad_act!O25=0,0,O51/TrRoad_act!O25*1000)</f>
        <v>57.037098638112489</v>
      </c>
      <c r="P109" s="87">
        <f>IF(TrRoad_act!P25=0,0,P51/TrRoad_act!P25*1000)</f>
        <v>59.08330631834599</v>
      </c>
      <c r="Q109" s="87">
        <f>IF(TrRoad_act!Q25=0,0,Q51/TrRoad_act!Q25*1000)</f>
        <v>61.8805857098384</v>
      </c>
      <c r="R109" s="87">
        <f>IF(TrRoad_act!R25=0,0,R51/TrRoad_act!R25*1000)</f>
        <v>64.046944546715579</v>
      </c>
      <c r="S109" s="87">
        <f>IF(TrRoad_act!S25=0,0,S51/TrRoad_act!S25*1000)</f>
        <v>65.049527509867815</v>
      </c>
      <c r="T109" s="87">
        <f>IF(TrRoad_act!T25=0,0,T51/TrRoad_act!T25*1000)</f>
        <v>69.86026609350985</v>
      </c>
      <c r="U109" s="87">
        <f>IF(TrRoad_act!U25=0,0,U51/TrRoad_act!U25*1000)</f>
        <v>74.970027660150478</v>
      </c>
      <c r="V109" s="87">
        <f>IF(TrRoad_act!V25=0,0,V51/TrRoad_act!V25*1000)</f>
        <v>88.377042788027467</v>
      </c>
      <c r="W109" s="87">
        <f>IF(TrRoad_act!W25=0,0,W51/TrRoad_act!W25*1000)</f>
        <v>102.131031283239</v>
      </c>
      <c r="X109" s="87">
        <f>IF(TrRoad_act!X25=0,0,X51/TrRoad_act!X25*1000)</f>
        <v>109.45338651449366</v>
      </c>
      <c r="Y109" s="87">
        <f>IF(TrRoad_act!Y25=0,0,Y51/TrRoad_act!Y25*1000)</f>
        <v>109.4845155645646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28.086306642779199</v>
      </c>
      <c r="C110" s="116">
        <f>IF(TrRoad_act!C26=0,0,C52/TrRoad_act!C26*1000)</f>
        <v>30.39250037356955</v>
      </c>
      <c r="D110" s="116">
        <f>IF(TrRoad_act!D26=0,0,D52/TrRoad_act!D26*1000)</f>
        <v>29.435574896407889</v>
      </c>
      <c r="E110" s="116">
        <f>IF(TrRoad_act!E26=0,0,E52/TrRoad_act!E26*1000)</f>
        <v>31.02252849404994</v>
      </c>
      <c r="F110" s="116">
        <f>IF(TrRoad_act!F26=0,0,F52/TrRoad_act!F26*1000)</f>
        <v>31.170882817631025</v>
      </c>
      <c r="G110" s="116">
        <f>IF(TrRoad_act!G26=0,0,G52/TrRoad_act!G26*1000)</f>
        <v>30.273193874236444</v>
      </c>
      <c r="H110" s="116">
        <f>IF(TrRoad_act!H26=0,0,H52/TrRoad_act!H26*1000)</f>
        <v>32.280320831029513</v>
      </c>
      <c r="I110" s="116">
        <f>IF(TrRoad_act!I26=0,0,I52/TrRoad_act!I26*1000)</f>
        <v>32.135351646439894</v>
      </c>
      <c r="J110" s="116">
        <f>IF(TrRoad_act!J26=0,0,J52/TrRoad_act!J26*1000)</f>
        <v>28.551341994123458</v>
      </c>
      <c r="K110" s="116">
        <f>IF(TrRoad_act!K26=0,0,K52/TrRoad_act!K26*1000)</f>
        <v>27.147515182525808</v>
      </c>
      <c r="L110" s="116">
        <f>IF(TrRoad_act!L26=0,0,L52/TrRoad_act!L26*1000)</f>
        <v>28.561479912471064</v>
      </c>
      <c r="M110" s="116">
        <f>IF(TrRoad_act!M26=0,0,M52/TrRoad_act!M26*1000)</f>
        <v>28.042536954148591</v>
      </c>
      <c r="N110" s="116">
        <f>IF(TrRoad_act!N26=0,0,N52/TrRoad_act!N26*1000)</f>
        <v>26.642959048036474</v>
      </c>
      <c r="O110" s="116">
        <f>IF(TrRoad_act!O26=0,0,O52/TrRoad_act!O26*1000)</f>
        <v>27.857096095986854</v>
      </c>
      <c r="P110" s="116">
        <f>IF(TrRoad_act!P26=0,0,P52/TrRoad_act!P26*1000)</f>
        <v>25.779262740402121</v>
      </c>
      <c r="Q110" s="116">
        <f>IF(TrRoad_act!Q26=0,0,Q52/TrRoad_act!Q26*1000)</f>
        <v>22.179816989287179</v>
      </c>
      <c r="R110" s="116">
        <f>IF(TrRoad_act!R26=0,0,R52/TrRoad_act!R26*1000)</f>
        <v>22.635781816084545</v>
      </c>
      <c r="S110" s="116">
        <f>IF(TrRoad_act!S26=0,0,S52/TrRoad_act!S26*1000)</f>
        <v>20.764025497709959</v>
      </c>
      <c r="T110" s="116">
        <f>IF(TrRoad_act!T26=0,0,T52/TrRoad_act!T26*1000)</f>
        <v>20.794723264534756</v>
      </c>
      <c r="U110" s="116">
        <f>IF(TrRoad_act!U26=0,0,U52/TrRoad_act!U26*1000)</f>
        <v>19.64620308295973</v>
      </c>
      <c r="V110" s="116">
        <f>IF(TrRoad_act!V26=0,0,V52/TrRoad_act!V26*1000)</f>
        <v>17.824510702691615</v>
      </c>
      <c r="W110" s="116">
        <f>IF(TrRoad_act!W26=0,0,W52/TrRoad_act!W26*1000)</f>
        <v>19.793860274378368</v>
      </c>
      <c r="X110" s="116">
        <f>IF(TrRoad_act!X26=0,0,X52/TrRoad_act!X26*1000)</f>
        <v>17.869066105710484</v>
      </c>
      <c r="Y110" s="116">
        <f>IF(TrRoad_act!Y26=0,0,Y52/TrRoad_act!Y26*1000)</f>
        <v>16.929435544783463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27.711137069418964</v>
      </c>
      <c r="C111" s="101">
        <f>IF(TrRoad_act!C27=0,0,C53/TrRoad_act!C27*1000)</f>
        <v>29.998099780061033</v>
      </c>
      <c r="D111" s="101">
        <f>IF(TrRoad_act!D27=0,0,D53/TrRoad_act!D27*1000)</f>
        <v>29.034987940747076</v>
      </c>
      <c r="E111" s="101">
        <f>IF(TrRoad_act!E27=0,0,E53/TrRoad_act!E27*1000)</f>
        <v>30.618292627332416</v>
      </c>
      <c r="F111" s="101">
        <f>IF(TrRoad_act!F27=0,0,F53/TrRoad_act!F27*1000)</f>
        <v>30.688680634065541</v>
      </c>
      <c r="G111" s="101">
        <f>IF(TrRoad_act!G27=0,0,G53/TrRoad_act!G27*1000)</f>
        <v>29.910568498786809</v>
      </c>
      <c r="H111" s="101">
        <f>IF(TrRoad_act!H27=0,0,H53/TrRoad_act!H27*1000)</f>
        <v>31.85927865843361</v>
      </c>
      <c r="I111" s="101">
        <f>IF(TrRoad_act!I27=0,0,I53/TrRoad_act!I27*1000)</f>
        <v>31.636989533055786</v>
      </c>
      <c r="J111" s="101">
        <f>IF(TrRoad_act!J27=0,0,J53/TrRoad_act!J27*1000)</f>
        <v>28.293710997514985</v>
      </c>
      <c r="K111" s="101">
        <f>IF(TrRoad_act!K27=0,0,K53/TrRoad_act!K27*1000)</f>
        <v>26.941096244534577</v>
      </c>
      <c r="L111" s="101">
        <f>IF(TrRoad_act!L27=0,0,L53/TrRoad_act!L27*1000)</f>
        <v>28.459383094606928</v>
      </c>
      <c r="M111" s="101">
        <f>IF(TrRoad_act!M27=0,0,M53/TrRoad_act!M27*1000)</f>
        <v>27.974562982579275</v>
      </c>
      <c r="N111" s="101">
        <f>IF(TrRoad_act!N27=0,0,N53/TrRoad_act!N27*1000)</f>
        <v>26.591555019501211</v>
      </c>
      <c r="O111" s="101">
        <f>IF(TrRoad_act!O27=0,0,O53/TrRoad_act!O27*1000)</f>
        <v>27.866222151227571</v>
      </c>
      <c r="P111" s="101">
        <f>IF(TrRoad_act!P27=0,0,P53/TrRoad_act!P27*1000)</f>
        <v>25.810012407904917</v>
      </c>
      <c r="Q111" s="101">
        <f>IF(TrRoad_act!Q27=0,0,Q53/TrRoad_act!Q27*1000)</f>
        <v>21.960714942506463</v>
      </c>
      <c r="R111" s="101">
        <f>IF(TrRoad_act!R27=0,0,R53/TrRoad_act!R27*1000)</f>
        <v>22.433835713031627</v>
      </c>
      <c r="S111" s="101">
        <f>IF(TrRoad_act!S27=0,0,S53/TrRoad_act!S27*1000)</f>
        <v>20.669368618482832</v>
      </c>
      <c r="T111" s="101">
        <f>IF(TrRoad_act!T27=0,0,T53/TrRoad_act!T27*1000)</f>
        <v>20.586873543179831</v>
      </c>
      <c r="U111" s="101">
        <f>IF(TrRoad_act!U27=0,0,U53/TrRoad_act!U27*1000)</f>
        <v>19.490304801852851</v>
      </c>
      <c r="V111" s="101">
        <f>IF(TrRoad_act!V27=0,0,V53/TrRoad_act!V27*1000)</f>
        <v>17.615648784858781</v>
      </c>
      <c r="W111" s="101">
        <f>IF(TrRoad_act!W27=0,0,W53/TrRoad_act!W27*1000)</f>
        <v>19.344428870693292</v>
      </c>
      <c r="X111" s="101">
        <f>IF(TrRoad_act!X27=0,0,X53/TrRoad_act!X27*1000)</f>
        <v>17.561268923622425</v>
      </c>
      <c r="Y111" s="101">
        <f>IF(TrRoad_act!Y27=0,0,Y53/TrRoad_act!Y27*1000)</f>
        <v>16.683071780021177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42.499772944582375</v>
      </c>
      <c r="C112" s="88">
        <f>IF(TrRoad_act!C28=0,0,C55/TrRoad_act!C28*1000)</f>
        <v>44.017715650734871</v>
      </c>
      <c r="D112" s="88">
        <f>IF(TrRoad_act!D28=0,0,D55/TrRoad_act!D28*1000)</f>
        <v>43.189106298961136</v>
      </c>
      <c r="E112" s="88">
        <f>IF(TrRoad_act!E28=0,0,E55/TrRoad_act!E28*1000)</f>
        <v>44.113447634739003</v>
      </c>
      <c r="F112" s="88">
        <f>IF(TrRoad_act!F28=0,0,F55/TrRoad_act!F28*1000)</f>
        <v>44.854779349317397</v>
      </c>
      <c r="G112" s="88">
        <f>IF(TrRoad_act!G28=0,0,G55/TrRoad_act!G28*1000)</f>
        <v>40.420871671298997</v>
      </c>
      <c r="H112" s="88">
        <f>IF(TrRoad_act!H28=0,0,H55/TrRoad_act!H28*1000)</f>
        <v>42.408092634390385</v>
      </c>
      <c r="I112" s="88">
        <f>IF(TrRoad_act!I28=0,0,I55/TrRoad_act!I28*1000)</f>
        <v>44.049931413559392</v>
      </c>
      <c r="J112" s="88">
        <f>IF(TrRoad_act!J28=0,0,J55/TrRoad_act!J28*1000)</f>
        <v>35.023046493582619</v>
      </c>
      <c r="K112" s="88">
        <f>IF(TrRoad_act!K28=0,0,K55/TrRoad_act!K28*1000)</f>
        <v>32.16748677437333</v>
      </c>
      <c r="L112" s="88">
        <f>IF(TrRoad_act!L28=0,0,L55/TrRoad_act!L28*1000)</f>
        <v>30.488563503436925</v>
      </c>
      <c r="M112" s="88">
        <f>IF(TrRoad_act!M28=0,0,M55/TrRoad_act!M28*1000)</f>
        <v>29.91127292305125</v>
      </c>
      <c r="N112" s="88">
        <f>IF(TrRoad_act!N28=0,0,N55/TrRoad_act!N28*1000)</f>
        <v>27.700289763145545</v>
      </c>
      <c r="O112" s="88">
        <f>IF(TrRoad_act!O28=0,0,O55/TrRoad_act!O28*1000)</f>
        <v>27.650301810825265</v>
      </c>
      <c r="P112" s="88">
        <f>IF(TrRoad_act!P28=0,0,P55/TrRoad_act!P28*1000)</f>
        <v>25.253728550857495</v>
      </c>
      <c r="Q112" s="88">
        <f>IF(TrRoad_act!Q28=0,0,Q55/TrRoad_act!Q28*1000)</f>
        <v>25.677669225073153</v>
      </c>
      <c r="R112" s="88">
        <f>IF(TrRoad_act!R28=0,0,R55/TrRoad_act!R28*1000)</f>
        <v>27.040175519190999</v>
      </c>
      <c r="S112" s="88">
        <f>IF(TrRoad_act!S28=0,0,S55/TrRoad_act!S28*1000)</f>
        <v>22.962110970513471</v>
      </c>
      <c r="T112" s="88">
        <f>IF(TrRoad_act!T28=0,0,T55/TrRoad_act!T28*1000)</f>
        <v>24.99212393606463</v>
      </c>
      <c r="U112" s="88">
        <f>IF(TrRoad_act!U28=0,0,U55/TrRoad_act!U28*1000)</f>
        <v>23.534344060220075</v>
      </c>
      <c r="V112" s="88">
        <f>IF(TrRoad_act!V28=0,0,V55/TrRoad_act!V28*1000)</f>
        <v>23.212761401449505</v>
      </c>
      <c r="W112" s="88">
        <f>IF(TrRoad_act!W28=0,0,W55/TrRoad_act!W28*1000)</f>
        <v>28.845336730823867</v>
      </c>
      <c r="X112" s="88">
        <f>IF(TrRoad_act!X28=0,0,X55/TrRoad_act!X28*1000)</f>
        <v>24.551444299171624</v>
      </c>
      <c r="Y112" s="88">
        <f>IF(TrRoad_act!Y28=0,0,Y55/TrRoad_act!Y28*1000)</f>
        <v>22.138494315380299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204.09277943565627</v>
      </c>
      <c r="C116" s="152">
        <f>IF(C19=0,0,1000000*C19/TrRoad_act!C59)</f>
        <v>188.92477007649612</v>
      </c>
      <c r="D116" s="152">
        <f>IF(D19=0,0,1000000*D19/TrRoad_act!D59)</f>
        <v>171.76040121007637</v>
      </c>
      <c r="E116" s="152">
        <f>IF(E19=0,0,1000000*E19/TrRoad_act!E59)</f>
        <v>154.10652334976436</v>
      </c>
      <c r="F116" s="152">
        <f>IF(F19=0,0,1000000*F19/TrRoad_act!F59)</f>
        <v>137.37729483216955</v>
      </c>
      <c r="G116" s="152">
        <f>IF(G19=0,0,1000000*G19/TrRoad_act!G59)</f>
        <v>122.14082163527438</v>
      </c>
      <c r="H116" s="152">
        <f>IF(H19=0,0,1000000*H19/TrRoad_act!H59)</f>
        <v>107.72805720131204</v>
      </c>
      <c r="I116" s="152">
        <f>IF(I19=0,0,1000000*I19/TrRoad_act!I59)</f>
        <v>96.229908560276257</v>
      </c>
      <c r="J116" s="152">
        <f>IF(J19=0,0,1000000*J19/TrRoad_act!J59)</f>
        <v>84.636694492373181</v>
      </c>
      <c r="K116" s="152">
        <f>IF(K19=0,0,1000000*K19/TrRoad_act!K59)</f>
        <v>77.117801511052718</v>
      </c>
      <c r="L116" s="152">
        <f>IF(L19=0,0,1000000*L19/TrRoad_act!L59)</f>
        <v>94.794498860462454</v>
      </c>
      <c r="M116" s="152">
        <f>IF(M19=0,0,1000000*M19/TrRoad_act!M59)</f>
        <v>88.09968796551108</v>
      </c>
      <c r="N116" s="152">
        <f>IF(N19=0,0,1000000*N19/TrRoad_act!N59)</f>
        <v>83.195589652354627</v>
      </c>
      <c r="O116" s="152">
        <f>IF(O19=0,0,1000000*O19/TrRoad_act!O59)</f>
        <v>80.035012925349193</v>
      </c>
      <c r="P116" s="152">
        <f>IF(P19=0,0,1000000*P19/TrRoad_act!P59)</f>
        <v>77.181075094857789</v>
      </c>
      <c r="Q116" s="152">
        <f>IF(Q19=0,0,1000000*Q19/TrRoad_act!Q59)</f>
        <v>74.674349042069053</v>
      </c>
      <c r="R116" s="152">
        <f>IF(R19=0,0,1000000*R19/TrRoad_act!R59)</f>
        <v>74.6983208712183</v>
      </c>
      <c r="S116" s="152">
        <f>IF(S19=0,0,1000000*S19/TrRoad_act!S59)</f>
        <v>68.567817688093641</v>
      </c>
      <c r="T116" s="152">
        <f>IF(T19=0,0,1000000*T19/TrRoad_act!T59)</f>
        <v>63.782464544241783</v>
      </c>
      <c r="U116" s="152">
        <f>IF(U19=0,0,1000000*U19/TrRoad_act!U59)</f>
        <v>66.082075104522858</v>
      </c>
      <c r="V116" s="152">
        <f>IF(V19=0,0,1000000*V19/TrRoad_act!V59)</f>
        <v>57.585520108421029</v>
      </c>
      <c r="W116" s="152">
        <f>IF(W19=0,0,1000000*W19/TrRoad_act!W59)</f>
        <v>58.412231068233361</v>
      </c>
      <c r="X116" s="152">
        <f>IF(X19=0,0,1000000*X19/TrRoad_act!X59)</f>
        <v>57.732224398678149</v>
      </c>
      <c r="Y116" s="152">
        <f>IF(Y19=0,0,1000000*Y19/TrRoad_act!Y59)</f>
        <v>61.522970140383165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979.46463489787823</v>
      </c>
      <c r="C117" s="116">
        <f>IF(C21=0,0,1000000*C21/TrRoad_act!C60)</f>
        <v>982.49381602766982</v>
      </c>
      <c r="D117" s="116">
        <f>IF(D21=0,0,1000000*D21/TrRoad_act!D60)</f>
        <v>992.88053383112208</v>
      </c>
      <c r="E117" s="116">
        <f>IF(E21=0,0,1000000*E21/TrRoad_act!E60)</f>
        <v>977.14248463671765</v>
      </c>
      <c r="F117" s="116">
        <f>IF(F21=0,0,1000000*F21/TrRoad_act!F60)</f>
        <v>969.72166791450616</v>
      </c>
      <c r="G117" s="116">
        <f>IF(G21=0,0,1000000*G21/TrRoad_act!G60)</f>
        <v>944.63863104395921</v>
      </c>
      <c r="H117" s="116">
        <f>IF(H21=0,0,1000000*H21/TrRoad_act!H60)</f>
        <v>935.88651449837255</v>
      </c>
      <c r="I117" s="116">
        <f>IF(I21=0,0,1000000*I21/TrRoad_act!I60)</f>
        <v>942.597051520082</v>
      </c>
      <c r="J117" s="116">
        <f>IF(J21=0,0,1000000*J21/TrRoad_act!J60)</f>
        <v>871.35588743026904</v>
      </c>
      <c r="K117" s="116">
        <f>IF(K21=0,0,1000000*K21/TrRoad_act!K60)</f>
        <v>850.06593822288232</v>
      </c>
      <c r="L117" s="116">
        <f>IF(L21=0,0,1000000*L21/TrRoad_act!L60)</f>
        <v>831.824806762045</v>
      </c>
      <c r="M117" s="116">
        <f>IF(M21=0,0,1000000*M21/TrRoad_act!M60)</f>
        <v>814.21486703375638</v>
      </c>
      <c r="N117" s="116">
        <f>IF(N21=0,0,1000000*N21/TrRoad_act!N60)</f>
        <v>787.15339666231955</v>
      </c>
      <c r="O117" s="116">
        <f>IF(O21=0,0,1000000*O21/TrRoad_act!O60)</f>
        <v>770.52489027232264</v>
      </c>
      <c r="P117" s="116">
        <f>IF(P21=0,0,1000000*P21/TrRoad_act!P60)</f>
        <v>744.80211587790575</v>
      </c>
      <c r="Q117" s="116">
        <f>IF(Q21=0,0,1000000*Q21/TrRoad_act!Q60)</f>
        <v>738.28591672244693</v>
      </c>
      <c r="R117" s="116">
        <f>IF(R21=0,0,1000000*R21/TrRoad_act!R60)</f>
        <v>706.3863710172526</v>
      </c>
      <c r="S117" s="116">
        <f>IF(S21=0,0,1000000*S21/TrRoad_act!S60)</f>
        <v>695.86743322577149</v>
      </c>
      <c r="T117" s="116">
        <f>IF(T21=0,0,1000000*T21/TrRoad_act!T60)</f>
        <v>686.62238681994211</v>
      </c>
      <c r="U117" s="116">
        <f>IF(U21=0,0,1000000*U21/TrRoad_act!U60)</f>
        <v>659.50055990824183</v>
      </c>
      <c r="V117" s="116">
        <f>IF(V21=0,0,1000000*V21/TrRoad_act!V60)</f>
        <v>607.88175864408981</v>
      </c>
      <c r="W117" s="116">
        <f>IF(W21=0,0,1000000*W21/TrRoad_act!W60)</f>
        <v>617.65905280019751</v>
      </c>
      <c r="X117" s="116">
        <f>IF(X21=0,0,1000000*X21/TrRoad_act!X60)</f>
        <v>574.00242381813825</v>
      </c>
      <c r="Y117" s="116">
        <f>IF(Y21=0,0,1000000*Y21/TrRoad_act!Y60)</f>
        <v>562.46236091282037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853.2776978231999</v>
      </c>
      <c r="C118" s="87">
        <f>IF(C22=0,0,1000000*C22/TrRoad_act!C61)</f>
        <v>861.07425575320201</v>
      </c>
      <c r="D118" s="87">
        <f>IF(D22=0,0,1000000*D22/TrRoad_act!D61)</f>
        <v>869.49590995962274</v>
      </c>
      <c r="E118" s="87">
        <f>IF(E22=0,0,1000000*E22/TrRoad_act!E61)</f>
        <v>849.92429846808045</v>
      </c>
      <c r="F118" s="87">
        <f>IF(F22=0,0,1000000*F22/TrRoad_act!F61)</f>
        <v>841.60596906965736</v>
      </c>
      <c r="G118" s="87">
        <f>IF(G22=0,0,1000000*G22/TrRoad_act!G61)</f>
        <v>815.75982112461713</v>
      </c>
      <c r="H118" s="87">
        <f>IF(H22=0,0,1000000*H22/TrRoad_act!H61)</f>
        <v>793.38808416227005</v>
      </c>
      <c r="I118" s="87">
        <f>IF(I22=0,0,1000000*I22/TrRoad_act!I61)</f>
        <v>782.8227045615314</v>
      </c>
      <c r="J118" s="87">
        <f>IF(J22=0,0,1000000*J22/TrRoad_act!J61)</f>
        <v>709.38517620781886</v>
      </c>
      <c r="K118" s="87">
        <f>IF(K22=0,0,1000000*K22/TrRoad_act!K61)</f>
        <v>681.12382921973608</v>
      </c>
      <c r="L118" s="87">
        <f>IF(L22=0,0,1000000*L22/TrRoad_act!L61)</f>
        <v>651.08089825298794</v>
      </c>
      <c r="M118" s="87">
        <f>IF(M22=0,0,1000000*M22/TrRoad_act!M61)</f>
        <v>610.79557483819622</v>
      </c>
      <c r="N118" s="87">
        <f>IF(N22=0,0,1000000*N22/TrRoad_act!N61)</f>
        <v>581.51557701949582</v>
      </c>
      <c r="O118" s="87">
        <f>IF(O22=0,0,1000000*O22/TrRoad_act!O61)</f>
        <v>577.70228897561969</v>
      </c>
      <c r="P118" s="87">
        <f>IF(P22=0,0,1000000*P22/TrRoad_act!P61)</f>
        <v>551.98945711932379</v>
      </c>
      <c r="Q118" s="87">
        <f>IF(Q22=0,0,1000000*Q22/TrRoad_act!Q61)</f>
        <v>542.59054393907809</v>
      </c>
      <c r="R118" s="87">
        <f>IF(R22=0,0,1000000*R22/TrRoad_act!R61)</f>
        <v>532.01495291746892</v>
      </c>
      <c r="S118" s="87">
        <f>IF(S22=0,0,1000000*S22/TrRoad_act!S61)</f>
        <v>510.66381590570171</v>
      </c>
      <c r="T118" s="87">
        <f>IF(T22=0,0,1000000*T22/TrRoad_act!T61)</f>
        <v>499.9333780976761</v>
      </c>
      <c r="U118" s="87">
        <f>IF(U22=0,0,1000000*U22/TrRoad_act!U61)</f>
        <v>482.6307951677569</v>
      </c>
      <c r="V118" s="87">
        <f>IF(V22=0,0,1000000*V22/TrRoad_act!V61)</f>
        <v>445.976130962529</v>
      </c>
      <c r="W118" s="87">
        <f>IF(W22=0,0,1000000*W22/TrRoad_act!W61)</f>
        <v>457.10584531299048</v>
      </c>
      <c r="X118" s="87">
        <f>IF(X22=0,0,1000000*X22/TrRoad_act!X61)</f>
        <v>430.44111102745222</v>
      </c>
      <c r="Y118" s="87">
        <f>IF(Y22=0,0,1000000*Y22/TrRoad_act!Y61)</f>
        <v>433.73587923213302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2080.9966946493673</v>
      </c>
      <c r="C119" s="87">
        <f>IF(C24=0,0,1000000*C24/TrRoad_act!C62)</f>
        <v>1993.9717599577471</v>
      </c>
      <c r="D119" s="87">
        <f>IF(D24=0,0,1000000*D24/TrRoad_act!D62)</f>
        <v>1976.4022636073776</v>
      </c>
      <c r="E119" s="87">
        <f>IF(E24=0,0,1000000*E24/TrRoad_act!E62)</f>
        <v>1938.5061959486397</v>
      </c>
      <c r="F119" s="87">
        <f>IF(F24=0,0,1000000*F24/TrRoad_act!F62)</f>
        <v>1931.5258878722466</v>
      </c>
      <c r="G119" s="87">
        <f>IF(G24=0,0,1000000*G24/TrRoad_act!G62)</f>
        <v>1849.3609502641648</v>
      </c>
      <c r="H119" s="87">
        <f>IF(H24=0,0,1000000*H24/TrRoad_act!H62)</f>
        <v>1861.6949790262929</v>
      </c>
      <c r="I119" s="87">
        <f>IF(I24=0,0,1000000*I24/TrRoad_act!I62)</f>
        <v>1885.6488498709357</v>
      </c>
      <c r="J119" s="87">
        <f>IF(J24=0,0,1000000*J24/TrRoad_act!J62)</f>
        <v>1681.4114954394877</v>
      </c>
      <c r="K119" s="87">
        <f>IF(K24=0,0,1000000*K24/TrRoad_act!K62)</f>
        <v>1623.6251745746242</v>
      </c>
      <c r="L119" s="87">
        <f>IF(L24=0,0,1000000*L24/TrRoad_act!L62)</f>
        <v>1581.2027087178437</v>
      </c>
      <c r="M119" s="87">
        <f>IF(M24=0,0,1000000*M24/TrRoad_act!M62)</f>
        <v>1585.9493826022965</v>
      </c>
      <c r="N119" s="87">
        <f>IF(N24=0,0,1000000*N24/TrRoad_act!N62)</f>
        <v>1520.9774210157104</v>
      </c>
      <c r="O119" s="87">
        <f>IF(O24=0,0,1000000*O24/TrRoad_act!O62)</f>
        <v>1426.6353954896035</v>
      </c>
      <c r="P119" s="87">
        <f>IF(P24=0,0,1000000*P24/TrRoad_act!P62)</f>
        <v>1371.9465197793204</v>
      </c>
      <c r="Q119" s="87">
        <f>IF(Q24=0,0,1000000*Q24/TrRoad_act!Q62)</f>
        <v>1350.2104879602696</v>
      </c>
      <c r="R119" s="87">
        <f>IF(R24=0,0,1000000*R24/TrRoad_act!R62)</f>
        <v>1232.1255525746355</v>
      </c>
      <c r="S119" s="87">
        <f>IF(S24=0,0,1000000*S24/TrRoad_act!S62)</f>
        <v>1237.692610994023</v>
      </c>
      <c r="T119" s="87">
        <f>IF(T24=0,0,1000000*T24/TrRoad_act!T62)</f>
        <v>1220.497890656253</v>
      </c>
      <c r="U119" s="87">
        <f>IF(U24=0,0,1000000*U24/TrRoad_act!U62)</f>
        <v>1162.4980863840174</v>
      </c>
      <c r="V119" s="87">
        <f>IF(V24=0,0,1000000*V24/TrRoad_act!V62)</f>
        <v>1069.2082309686618</v>
      </c>
      <c r="W119" s="87">
        <f>IF(W24=0,0,1000000*W24/TrRoad_act!W62)</f>
        <v>1087.2809596755744</v>
      </c>
      <c r="X119" s="87">
        <f>IF(X24=0,0,1000000*X24/TrRoad_act!X62)</f>
        <v>1010.6473137698387</v>
      </c>
      <c r="Y119" s="87">
        <f>IF(Y24=0,0,1000000*Y24/TrRoad_act!Y62)</f>
        <v>973.10553692568021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0</v>
      </c>
      <c r="D120" s="87">
        <f>IF(D26=0,0,1000000*D26/TrRoad_act!D63)</f>
        <v>0</v>
      </c>
      <c r="E120" s="87">
        <f>IF(E26=0,0,1000000*E26/TrRoad_act!E63)</f>
        <v>0</v>
      </c>
      <c r="F120" s="87">
        <f>IF(F26=0,0,1000000*F26/TrRoad_act!F63)</f>
        <v>0</v>
      </c>
      <c r="G120" s="87">
        <f>IF(G26=0,0,1000000*G26/TrRoad_act!G63)</f>
        <v>0</v>
      </c>
      <c r="H120" s="87">
        <f>IF(H26=0,0,1000000*H26/TrRoad_act!H63)</f>
        <v>0</v>
      </c>
      <c r="I120" s="87">
        <f>IF(I26=0,0,1000000*I26/TrRoad_act!I63)</f>
        <v>0</v>
      </c>
      <c r="J120" s="87">
        <f>IF(J26=0,0,1000000*J26/TrRoad_act!J63)</f>
        <v>0</v>
      </c>
      <c r="K120" s="87">
        <f>IF(K26=0,0,1000000*K26/TrRoad_act!K63)</f>
        <v>0</v>
      </c>
      <c r="L120" s="87">
        <f>IF(L26=0,0,1000000*L26/TrRoad_act!L63)</f>
        <v>0</v>
      </c>
      <c r="M120" s="87">
        <f>IF(M26=0,0,1000000*M26/TrRoad_act!M63)</f>
        <v>0</v>
      </c>
      <c r="N120" s="87">
        <f>IF(N26=0,0,1000000*N26/TrRoad_act!N63)</f>
        <v>0</v>
      </c>
      <c r="O120" s="87">
        <f>IF(O26=0,0,1000000*O26/TrRoad_act!O63)</f>
        <v>0</v>
      </c>
      <c r="P120" s="87">
        <f>IF(P26=0,0,1000000*P26/TrRoad_act!P63)</f>
        <v>0</v>
      </c>
      <c r="Q120" s="87">
        <f>IF(Q26=0,0,1000000*Q26/TrRoad_act!Q63)</f>
        <v>0</v>
      </c>
      <c r="R120" s="87">
        <f>IF(R26=0,0,1000000*R26/TrRoad_act!R63)</f>
        <v>0</v>
      </c>
      <c r="S120" s="87">
        <f>IF(S26=0,0,1000000*S26/TrRoad_act!S63)</f>
        <v>0</v>
      </c>
      <c r="T120" s="87">
        <f>IF(T26=0,0,1000000*T26/TrRoad_act!T63)</f>
        <v>0</v>
      </c>
      <c r="U120" s="87">
        <f>IF(U26=0,0,1000000*U26/TrRoad_act!U63)</f>
        <v>0</v>
      </c>
      <c r="V120" s="87">
        <f>IF(V26=0,0,1000000*V26/TrRoad_act!V63)</f>
        <v>0</v>
      </c>
      <c r="W120" s="87">
        <f>IF(W26=0,0,1000000*W26/TrRoad_act!W63)</f>
        <v>0</v>
      </c>
      <c r="X120" s="87">
        <f>IF(X26=0,0,1000000*X26/TrRoad_act!X63)</f>
        <v>0</v>
      </c>
      <c r="Y120" s="87">
        <f>IF(Y26=0,0,1000000*Y26/TrRoad_act!Y63)</f>
        <v>0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1128.5211526783617</v>
      </c>
      <c r="I121" s="87">
        <f>IF(I27=0,0,1000000*I27/TrRoad_act!I64)</f>
        <v>1132.1509706177419</v>
      </c>
      <c r="J121" s="87">
        <f>IF(J27=0,0,1000000*J27/TrRoad_act!J64)</f>
        <v>1233.1424763506711</v>
      </c>
      <c r="K121" s="87">
        <f>IF(K27=0,0,1000000*K27/TrRoad_act!K64)</f>
        <v>1364.7692441895758</v>
      </c>
      <c r="L121" s="87">
        <f>IF(L27=0,0,1000000*L27/TrRoad_act!L64)</f>
        <v>1342.8073850489163</v>
      </c>
      <c r="M121" s="87">
        <f>IF(M27=0,0,1000000*M27/TrRoad_act!M64)</f>
        <v>995.12694587037288</v>
      </c>
      <c r="N121" s="87">
        <f>IF(N27=0,0,1000000*N27/TrRoad_act!N64)</f>
        <v>1422.4546378817565</v>
      </c>
      <c r="O121" s="87">
        <f>IF(O27=0,0,1000000*O27/TrRoad_act!O64)</f>
        <v>934.21665093973979</v>
      </c>
      <c r="P121" s="87">
        <f>IF(P27=0,0,1000000*P27/TrRoad_act!P64)</f>
        <v>868.8532293963641</v>
      </c>
      <c r="Q121" s="87">
        <f>IF(Q27=0,0,1000000*Q27/TrRoad_act!Q64)</f>
        <v>819.19740511421355</v>
      </c>
      <c r="R121" s="87">
        <f>IF(R27=0,0,1000000*R27/TrRoad_act!R64)</f>
        <v>696.14943114594598</v>
      </c>
      <c r="S121" s="87">
        <f>IF(S27=0,0,1000000*S27/TrRoad_act!S64)</f>
        <v>688.74096845835561</v>
      </c>
      <c r="T121" s="87">
        <f>IF(T27=0,0,1000000*T27/TrRoad_act!T64)</f>
        <v>767.90653235691764</v>
      </c>
      <c r="U121" s="87">
        <f>IF(U27=0,0,1000000*U27/TrRoad_act!U64)</f>
        <v>875.83990056430514</v>
      </c>
      <c r="V121" s="87">
        <f>IF(V27=0,0,1000000*V27/TrRoad_act!V64)</f>
        <v>1092.4998386552295</v>
      </c>
      <c r="W121" s="87">
        <f>IF(W27=0,0,1000000*W27/TrRoad_act!W64)</f>
        <v>1237.8203114140056</v>
      </c>
      <c r="X121" s="87">
        <f>IF(X27=0,0,1000000*X27/TrRoad_act!X64)</f>
        <v>1378.638355975188</v>
      </c>
      <c r="Y121" s="87">
        <f>IF(Y27=0,0,1000000*Y27/TrRoad_act!Y64)</f>
        <v>1472.1215021825046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261.68896400225265</v>
      </c>
      <c r="O122" s="87">
        <f>IF(O29=0,0,1000000*O29/TrRoad_act!O65)</f>
        <v>272.6957397365033</v>
      </c>
      <c r="P122" s="87">
        <f>IF(P29=0,0,1000000*P29/TrRoad_act!P65)</f>
        <v>293.54181089120908</v>
      </c>
      <c r="Q122" s="87">
        <f>IF(Q29=0,0,1000000*Q29/TrRoad_act!Q65)</f>
        <v>322.37631691940732</v>
      </c>
      <c r="R122" s="87">
        <f>IF(R29=0,0,1000000*R29/TrRoad_act!R65)</f>
        <v>314.29554817007676</v>
      </c>
      <c r="S122" s="87">
        <f>IF(S29=0,0,1000000*S29/TrRoad_act!S65)</f>
        <v>319.84709267587408</v>
      </c>
      <c r="T122" s="87">
        <f>IF(T29=0,0,1000000*T29/TrRoad_act!T65)</f>
        <v>318.21597634480764</v>
      </c>
      <c r="U122" s="87">
        <f>IF(U29=0,0,1000000*U29/TrRoad_act!U65)</f>
        <v>294.64794305480234</v>
      </c>
      <c r="V122" s="87">
        <f>IF(V29=0,0,1000000*V29/TrRoad_act!V65)</f>
        <v>258.3902185740767</v>
      </c>
      <c r="W122" s="87">
        <f>IF(W29=0,0,1000000*W29/TrRoad_act!W65)</f>
        <v>248.13253598136441</v>
      </c>
      <c r="X122" s="87">
        <f>IF(X29=0,0,1000000*X29/TrRoad_act!X65)</f>
        <v>231.33948080715211</v>
      </c>
      <c r="Y122" s="87">
        <f>IF(Y29=0,0,1000000*Y29/TrRoad_act!Y65)</f>
        <v>223.68322004377916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204.773715065494</v>
      </c>
      <c r="J123" s="87">
        <f>IF(J32=0,0,1000000*J32/TrRoad_act!J66)</f>
        <v>209.54438792388092</v>
      </c>
      <c r="K123" s="87">
        <f>IF(K32=0,0,1000000*K32/TrRoad_act!K66)</f>
        <v>210.14233702166445</v>
      </c>
      <c r="L123" s="87">
        <f>IF(L32=0,0,1000000*L32/TrRoad_act!L66)</f>
        <v>211.63362837932144</v>
      </c>
      <c r="M123" s="87">
        <f>IF(M32=0,0,1000000*M32/TrRoad_act!M66)</f>
        <v>214.33524311397306</v>
      </c>
      <c r="N123" s="87">
        <f>IF(N32=0,0,1000000*N32/TrRoad_act!N66)</f>
        <v>209.69076468063696</v>
      </c>
      <c r="O123" s="87">
        <f>IF(O32=0,0,1000000*O32/TrRoad_act!O66)</f>
        <v>212.92751922765714</v>
      </c>
      <c r="P123" s="87">
        <f>IF(P32=0,0,1000000*P32/TrRoad_act!P66)</f>
        <v>212.71172374303055</v>
      </c>
      <c r="Q123" s="87">
        <f>IF(Q32=0,0,1000000*Q32/TrRoad_act!Q66)</f>
        <v>228.75334067309939</v>
      </c>
      <c r="R123" s="87">
        <f>IF(R32=0,0,1000000*R32/TrRoad_act!R66)</f>
        <v>225.32429182127262</v>
      </c>
      <c r="S123" s="87">
        <f>IF(S32=0,0,1000000*S32/TrRoad_act!S66)</f>
        <v>219.07860766932541</v>
      </c>
      <c r="T123" s="87">
        <f>IF(T32=0,0,1000000*T32/TrRoad_act!T66)</f>
        <v>220.34067068780058</v>
      </c>
      <c r="U123" s="87">
        <f>IF(U32=0,0,1000000*U32/TrRoad_act!U66)</f>
        <v>209.79896916308405</v>
      </c>
      <c r="V123" s="87">
        <f>IF(V32=0,0,1000000*V32/TrRoad_act!V66)</f>
        <v>209.30316858403964</v>
      </c>
      <c r="W123" s="87">
        <f>IF(W32=0,0,1000000*W32/TrRoad_act!W66)</f>
        <v>233.0846930949325</v>
      </c>
      <c r="X123" s="87">
        <f>IF(X32=0,0,1000000*X32/TrRoad_act!X66)</f>
        <v>234.529431279889</v>
      </c>
      <c r="Y123" s="87">
        <f>IF(Y32=0,0,1000000*Y32/TrRoad_act!Y66)</f>
        <v>232.36629249485696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22221.486969221951</v>
      </c>
      <c r="C124" s="116">
        <f>IF(C33=0,0,1000000*C33/TrRoad_act!C67)</f>
        <v>21949.968466004961</v>
      </c>
      <c r="D124" s="116">
        <f>IF(D33=0,0,1000000*D33/TrRoad_act!D67)</f>
        <v>21643.751667395311</v>
      </c>
      <c r="E124" s="116">
        <f>IF(E33=0,0,1000000*E33/TrRoad_act!E67)</f>
        <v>21486.014575489851</v>
      </c>
      <c r="F124" s="116">
        <f>IF(F33=0,0,1000000*F33/TrRoad_act!F67)</f>
        <v>21551.901634252536</v>
      </c>
      <c r="G124" s="116">
        <f>IF(G33=0,0,1000000*G33/TrRoad_act!G67)</f>
        <v>20871.404457259036</v>
      </c>
      <c r="H124" s="116">
        <f>IF(H33=0,0,1000000*H33/TrRoad_act!H67)</f>
        <v>21114.792633353947</v>
      </c>
      <c r="I124" s="116">
        <f>IF(I33=0,0,1000000*I33/TrRoad_act!I67)</f>
        <v>21245.263914408384</v>
      </c>
      <c r="J124" s="116">
        <f>IF(J33=0,0,1000000*J33/TrRoad_act!J67)</f>
        <v>20054.934638756371</v>
      </c>
      <c r="K124" s="116">
        <f>IF(K33=0,0,1000000*K33/TrRoad_act!K67)</f>
        <v>19641.848906989155</v>
      </c>
      <c r="L124" s="116">
        <f>IF(L33=0,0,1000000*L33/TrRoad_act!L67)</f>
        <v>19593.239362550743</v>
      </c>
      <c r="M124" s="116">
        <f>IF(M33=0,0,1000000*M33/TrRoad_act!M67)</f>
        <v>19254.565068587686</v>
      </c>
      <c r="N124" s="116">
        <f>IF(N33=0,0,1000000*N33/TrRoad_act!N67)</f>
        <v>19130.536346618763</v>
      </c>
      <c r="O124" s="116">
        <f>IF(O33=0,0,1000000*O33/TrRoad_act!O67)</f>
        <v>18962.613026744133</v>
      </c>
      <c r="P124" s="116">
        <f>IF(P33=0,0,1000000*P33/TrRoad_act!P67)</f>
        <v>18684.338959036653</v>
      </c>
      <c r="Q124" s="116">
        <f>IF(Q33=0,0,1000000*Q33/TrRoad_act!Q67)</f>
        <v>18712.475108646144</v>
      </c>
      <c r="R124" s="116">
        <f>IF(R33=0,0,1000000*R33/TrRoad_act!R67)</f>
        <v>19327.393728618379</v>
      </c>
      <c r="S124" s="116">
        <f>IF(S33=0,0,1000000*S33/TrRoad_act!S67)</f>
        <v>18705.539916159025</v>
      </c>
      <c r="T124" s="116">
        <f>IF(T33=0,0,1000000*T33/TrRoad_act!T67)</f>
        <v>18136.622608962058</v>
      </c>
      <c r="U124" s="116">
        <f>IF(U33=0,0,1000000*U33/TrRoad_act!U67)</f>
        <v>16972.046682069227</v>
      </c>
      <c r="V124" s="116">
        <f>IF(V33=0,0,1000000*V33/TrRoad_act!V67)</f>
        <v>14502.973731086398</v>
      </c>
      <c r="W124" s="116">
        <f>IF(W33=0,0,1000000*W33/TrRoad_act!W67)</f>
        <v>13093.46757470959</v>
      </c>
      <c r="X124" s="116">
        <f>IF(X33=0,0,1000000*X33/TrRoad_act!X67)</f>
        <v>14031.089615907891</v>
      </c>
      <c r="Y124" s="116">
        <f>IF(Y33=0,0,1000000*Y33/TrRoad_act!Y67)</f>
        <v>14551.627273587335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3309.9899310654428</v>
      </c>
      <c r="C125" s="101">
        <f>IF(C34=0,0,1000000*C34/TrRoad_act!C68)</f>
        <v>3240.2461121638667</v>
      </c>
      <c r="D125" s="101">
        <f>IF(D34=0,0,1000000*D34/TrRoad_act!D68)</f>
        <v>3237.7636104708449</v>
      </c>
      <c r="E125" s="101">
        <f>IF(E34=0,0,1000000*E34/TrRoad_act!E68)</f>
        <v>3237.2371913911975</v>
      </c>
      <c r="F125" s="101">
        <f>IF(F34=0,0,1000000*F34/TrRoad_act!F68)</f>
        <v>3224.3816321028858</v>
      </c>
      <c r="G125" s="101">
        <f>IF(G34=0,0,1000000*G34/TrRoad_act!G68)</f>
        <v>3194.226081197291</v>
      </c>
      <c r="H125" s="101">
        <f>IF(H34=0,0,1000000*H34/TrRoad_act!H68)</f>
        <v>3188.4067099490462</v>
      </c>
      <c r="I125" s="101">
        <f>IF(I34=0,0,1000000*I34/TrRoad_act!I68)</f>
        <v>3180.9861771275</v>
      </c>
      <c r="J125" s="101">
        <f>IF(J34=0,0,1000000*J34/TrRoad_act!J68)</f>
        <v>3177.8747993700708</v>
      </c>
      <c r="K125" s="101">
        <f>IF(K34=0,0,1000000*K34/TrRoad_act!K68)</f>
        <v>3131.6856442606918</v>
      </c>
      <c r="L125" s="101">
        <f>IF(L34=0,0,1000000*L34/TrRoad_act!L68)</f>
        <v>3109.1866520429294</v>
      </c>
      <c r="M125" s="101">
        <f>IF(M34=0,0,1000000*M34/TrRoad_act!M68)</f>
        <v>3104.7257312992792</v>
      </c>
      <c r="N125" s="101">
        <f>IF(N34=0,0,1000000*N34/TrRoad_act!N68)</f>
        <v>3104.3253879512699</v>
      </c>
      <c r="O125" s="101">
        <f>IF(O34=0,0,1000000*O34/TrRoad_act!O68)</f>
        <v>3103.8579659798006</v>
      </c>
      <c r="P125" s="101">
        <f>IF(P34=0,0,1000000*P34/TrRoad_act!P68)</f>
        <v>3103.4351876143573</v>
      </c>
      <c r="Q125" s="101">
        <f>IF(Q34=0,0,1000000*Q34/TrRoad_act!Q68)</f>
        <v>3102.9480439059239</v>
      </c>
      <c r="R125" s="101">
        <f>IF(R34=0,0,1000000*R34/TrRoad_act!R68)</f>
        <v>3102.166019871052</v>
      </c>
      <c r="S125" s="101">
        <f>IF(S34=0,0,1000000*S34/TrRoad_act!S68)</f>
        <v>2971.0581644462532</v>
      </c>
      <c r="T125" s="101">
        <f>IF(T34=0,0,1000000*T34/TrRoad_act!T68)</f>
        <v>2769.6227805315257</v>
      </c>
      <c r="U125" s="101">
        <f>IF(U34=0,0,1000000*U34/TrRoad_act!U68)</f>
        <v>2563.6197308142509</v>
      </c>
      <c r="V125" s="101">
        <f>IF(V34=0,0,1000000*V34/TrRoad_act!V68)</f>
        <v>2150.5187049255878</v>
      </c>
      <c r="W125" s="101">
        <f>IF(W34=0,0,1000000*W34/TrRoad_act!W68)</f>
        <v>1827.275081242906</v>
      </c>
      <c r="X125" s="101">
        <f>IF(X34=0,0,1000000*X34/TrRoad_act!X68)</f>
        <v>1983.4533619591052</v>
      </c>
      <c r="Y125" s="101">
        <f>IF(Y34=0,0,1000000*Y34/TrRoad_act!Y68)</f>
        <v>2088.3682658828156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22337.632861987793</v>
      </c>
      <c r="C126" s="101">
        <f>IF(C36=0,0,1000000*C36/TrRoad_act!C69)</f>
        <v>22065.296978914066</v>
      </c>
      <c r="D126" s="101">
        <f>IF(D36=0,0,1000000*D36/TrRoad_act!D69)</f>
        <v>21780.240630171946</v>
      </c>
      <c r="E126" s="101">
        <f>IF(E36=0,0,1000000*E36/TrRoad_act!E69)</f>
        <v>21619.144538410423</v>
      </c>
      <c r="F126" s="101">
        <f>IF(F36=0,0,1000000*F36/TrRoad_act!F69)</f>
        <v>21677.230190103481</v>
      </c>
      <c r="G126" s="101">
        <f>IF(G36=0,0,1000000*G36/TrRoad_act!G69)</f>
        <v>20985.857583748209</v>
      </c>
      <c r="H126" s="101">
        <f>IF(H36=0,0,1000000*H36/TrRoad_act!H69)</f>
        <v>21244.111026577262</v>
      </c>
      <c r="I126" s="101">
        <f>IF(I36=0,0,1000000*I36/TrRoad_act!I69)</f>
        <v>21393.642035358913</v>
      </c>
      <c r="J126" s="101">
        <f>IF(J36=0,0,1000000*J36/TrRoad_act!J69)</f>
        <v>20100.301687266161</v>
      </c>
      <c r="K126" s="101">
        <f>IF(K36=0,0,1000000*K36/TrRoad_act!K69)</f>
        <v>19630.319142149347</v>
      </c>
      <c r="L126" s="101">
        <f>IF(L36=0,0,1000000*L36/TrRoad_act!L69)</f>
        <v>19579.312320177844</v>
      </c>
      <c r="M126" s="101">
        <f>IF(M36=0,0,1000000*M36/TrRoad_act!M69)</f>
        <v>19339.258645380432</v>
      </c>
      <c r="N126" s="101">
        <f>IF(N36=0,0,1000000*N36/TrRoad_act!N69)</f>
        <v>19099.186724003499</v>
      </c>
      <c r="O126" s="101">
        <f>IF(O36=0,0,1000000*O36/TrRoad_act!O69)</f>
        <v>19043.0936405908</v>
      </c>
      <c r="P126" s="101">
        <f>IF(P36=0,0,1000000*P36/TrRoad_act!P69)</f>
        <v>18762.019341636606</v>
      </c>
      <c r="Q126" s="101">
        <f>IF(Q36=0,0,1000000*Q36/TrRoad_act!Q69)</f>
        <v>18806.428653159852</v>
      </c>
      <c r="R126" s="101">
        <f>IF(R36=0,0,1000000*R36/TrRoad_act!R69)</f>
        <v>19396.159111471687</v>
      </c>
      <c r="S126" s="101">
        <f>IF(S36=0,0,1000000*S36/TrRoad_act!S69)</f>
        <v>18759.028537358528</v>
      </c>
      <c r="T126" s="101">
        <f>IF(T36=0,0,1000000*T36/TrRoad_act!T69)</f>
        <v>18172.584491708203</v>
      </c>
      <c r="U126" s="101">
        <f>IF(U36=0,0,1000000*U36/TrRoad_act!U69)</f>
        <v>16979.734329619663</v>
      </c>
      <c r="V126" s="101">
        <f>IF(V36=0,0,1000000*V36/TrRoad_act!V69)</f>
        <v>14477.444845303715</v>
      </c>
      <c r="W126" s="101">
        <f>IF(W36=0,0,1000000*W36/TrRoad_act!W69)</f>
        <v>13068.752422758667</v>
      </c>
      <c r="X126" s="101">
        <f>IF(X36=0,0,1000000*X36/TrRoad_act!X69)</f>
        <v>14003.101929889548</v>
      </c>
      <c r="Y126" s="101">
        <f>IF(Y36=0,0,1000000*Y36/TrRoad_act!Y69)</f>
        <v>14506.94965753322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X127" s="101">
        <f>IF(X38=0,0,1000000*X38/TrRoad_act!X70)</f>
        <v>0</v>
      </c>
      <c r="Y127" s="101">
        <f>IF(Y38=0,0,1000000*Y38/TrRoad_act!Y70)</f>
        <v>0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16378.004340171154</v>
      </c>
      <c r="C128" s="101">
        <f>IF(C39=0,0,1000000*C39/TrRoad_act!C71)</f>
        <v>16653.695963349699</v>
      </c>
      <c r="D128" s="101">
        <f>IF(D39=0,0,1000000*D39/TrRoad_act!D71)</f>
        <v>16507.69467209094</v>
      </c>
      <c r="E128" s="101">
        <f>IF(E39=0,0,1000000*E39/TrRoad_act!E71)</f>
        <v>16299.146789353978</v>
      </c>
      <c r="F128" s="101">
        <f>IF(F39=0,0,1000000*F39/TrRoad_act!F71)</f>
        <v>16616.441767363645</v>
      </c>
      <c r="G128" s="101">
        <f>IF(G39=0,0,1000000*G39/TrRoad_act!G71)</f>
        <v>16713.797386572704</v>
      </c>
      <c r="H128" s="101">
        <f>IF(H39=0,0,1000000*H39/TrRoad_act!H71)</f>
        <v>16900.341098277673</v>
      </c>
      <c r="I128" s="101">
        <f>IF(I39=0,0,1000000*I39/TrRoad_act!I71)</f>
        <v>15965.896124887156</v>
      </c>
      <c r="J128" s="101">
        <f>IF(J39=0,0,1000000*J39/TrRoad_act!J71)</f>
        <v>19949.835171097071</v>
      </c>
      <c r="K128" s="101">
        <f>IF(K39=0,0,1000000*K39/TrRoad_act!K71)</f>
        <v>22902.818189011763</v>
      </c>
      <c r="L128" s="101">
        <f>IF(L39=0,0,1000000*L39/TrRoad_act!L71)</f>
        <v>23311.339856366943</v>
      </c>
      <c r="M128" s="101">
        <f>IF(M39=0,0,1000000*M39/TrRoad_act!M71)</f>
        <v>15482.309106879868</v>
      </c>
      <c r="N128" s="101">
        <f>IF(N39=0,0,1000000*N39/TrRoad_act!N71)</f>
        <v>24893.929104121664</v>
      </c>
      <c r="O128" s="101">
        <f>IF(O39=0,0,1000000*O39/TrRoad_act!O71)</f>
        <v>14579.39363746534</v>
      </c>
      <c r="P128" s="101">
        <f>IF(P39=0,0,1000000*P39/TrRoad_act!P71)</f>
        <v>14464.393503460109</v>
      </c>
      <c r="Q128" s="101">
        <f>IF(Q39=0,0,1000000*Q39/TrRoad_act!Q71)</f>
        <v>12712.274536126293</v>
      </c>
      <c r="R128" s="101">
        <f>IF(R39=0,0,1000000*R39/TrRoad_act!R71)</f>
        <v>15594.168674141005</v>
      </c>
      <c r="S128" s="101">
        <f>IF(S39=0,0,1000000*S39/TrRoad_act!S71)</f>
        <v>16355.832956404483</v>
      </c>
      <c r="T128" s="101">
        <f>IF(T39=0,0,1000000*T39/TrRoad_act!T71)</f>
        <v>17603.362199147119</v>
      </c>
      <c r="U128" s="101">
        <f>IF(U39=0,0,1000000*U39/TrRoad_act!U71)</f>
        <v>20058.479284246067</v>
      </c>
      <c r="V128" s="101">
        <f>IF(V39=0,0,1000000*V39/TrRoad_act!V71)</f>
        <v>23272.293514837125</v>
      </c>
      <c r="W128" s="101">
        <f>IF(W39=0,0,1000000*W39/TrRoad_act!W71)</f>
        <v>23037.519891456432</v>
      </c>
      <c r="X128" s="101">
        <f>IF(X39=0,0,1000000*X39/TrRoad_act!X71)</f>
        <v>29468.485593340745</v>
      </c>
      <c r="Y128" s="101">
        <f>IF(Y39=0,0,1000000*Y39/TrRoad_act!Y71)</f>
        <v>33259.853618441237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15328.124961620015</v>
      </c>
      <c r="O129" s="101">
        <f>IF(O41=0,0,1000000*O41/TrRoad_act!O72)</f>
        <v>15325.827312632253</v>
      </c>
      <c r="P129" s="101">
        <f>IF(P41=0,0,1000000*P41/TrRoad_act!P72)</f>
        <v>15406.1588235047</v>
      </c>
      <c r="Q129" s="101">
        <f>IF(Q41=0,0,1000000*Q41/TrRoad_act!Q72)</f>
        <v>15445.10083988817</v>
      </c>
      <c r="R129" s="101">
        <f>IF(R41=0,0,1000000*R41/TrRoad_act!R72)</f>
        <v>15475.588948137602</v>
      </c>
      <c r="S129" s="101">
        <f>IF(S41=0,0,1000000*S41/TrRoad_act!S72)</f>
        <v>15364.90497538096</v>
      </c>
      <c r="T129" s="101">
        <f>IF(T41=0,0,1000000*T41/TrRoad_act!T72)</f>
        <v>14975.817268776098</v>
      </c>
      <c r="U129" s="101">
        <f>IF(U41=0,0,1000000*U41/TrRoad_act!U72)</f>
        <v>14193.754149916367</v>
      </c>
      <c r="V129" s="101">
        <f>IF(V41=0,0,1000000*V41/TrRoad_act!V72)</f>
        <v>12585.089838039803</v>
      </c>
      <c r="W129" s="101">
        <f>IF(W41=0,0,1000000*W41/TrRoad_act!W72)</f>
        <v>11799.736327728106</v>
      </c>
      <c r="X129" s="101">
        <f>IF(X41=0,0,1000000*X41/TrRoad_act!X72)</f>
        <v>12244.653224747568</v>
      </c>
      <c r="Y129" s="101">
        <f>IF(Y41=0,0,1000000*Y41/TrRoad_act!Y72)</f>
        <v>12571.489197686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1720.1937454918652</v>
      </c>
      <c r="C131" s="152">
        <f>IF(C43=0,0,1000000*C43/TrRoad_act!C74)</f>
        <v>1679.5942888814068</v>
      </c>
      <c r="D131" s="152">
        <f>IF(D43=0,0,1000000*D43/TrRoad_act!D74)</f>
        <v>1657.508345229217</v>
      </c>
      <c r="E131" s="152">
        <f>IF(E43=0,0,1000000*E43/TrRoad_act!E74)</f>
        <v>1639.7357770807375</v>
      </c>
      <c r="F131" s="152">
        <f>IF(F43=0,0,1000000*F43/TrRoad_act!F74)</f>
        <v>1603.078618075325</v>
      </c>
      <c r="G131" s="152">
        <f>IF(G43=0,0,1000000*G43/TrRoad_act!G74)</f>
        <v>1583.2025171045798</v>
      </c>
      <c r="H131" s="152">
        <f>IF(H43=0,0,1000000*H43/TrRoad_act!H74)</f>
        <v>1572.0732879267521</v>
      </c>
      <c r="I131" s="152">
        <f>IF(I43=0,0,1000000*I43/TrRoad_act!I74)</f>
        <v>1587.7064877945049</v>
      </c>
      <c r="J131" s="152">
        <f>IF(J43=0,0,1000000*J43/TrRoad_act!J74)</f>
        <v>1520.9336089670705</v>
      </c>
      <c r="K131" s="152">
        <f>IF(K43=0,0,1000000*K43/TrRoad_act!K74)</f>
        <v>1453.3172524448062</v>
      </c>
      <c r="L131" s="152">
        <f>IF(L43=0,0,1000000*L43/TrRoad_act!L74)</f>
        <v>1471.9004367903419</v>
      </c>
      <c r="M131" s="152">
        <f>IF(M43=0,0,1000000*M43/TrRoad_act!M74)</f>
        <v>1470.786765052123</v>
      </c>
      <c r="N131" s="152">
        <f>IF(N43=0,0,1000000*N43/TrRoad_act!N74)</f>
        <v>1436.2514675881989</v>
      </c>
      <c r="O131" s="152">
        <f>IF(O43=0,0,1000000*O43/TrRoad_act!O74)</f>
        <v>1442.1850102511919</v>
      </c>
      <c r="P131" s="152">
        <f>IF(P43=0,0,1000000*P43/TrRoad_act!P74)</f>
        <v>1401.7961768621856</v>
      </c>
      <c r="Q131" s="152">
        <f>IF(Q43=0,0,1000000*Q43/TrRoad_act!Q74)</f>
        <v>1388.3540204171793</v>
      </c>
      <c r="R131" s="152">
        <f>IF(R43=0,0,1000000*R43/TrRoad_act!R74)</f>
        <v>1386.6603048761278</v>
      </c>
      <c r="S131" s="152">
        <f>IF(S43=0,0,1000000*S43/TrRoad_act!S74)</f>
        <v>1334.0093842338283</v>
      </c>
      <c r="T131" s="152">
        <f>IF(T43=0,0,1000000*T43/TrRoad_act!T74)</f>
        <v>1335.2590072630016</v>
      </c>
      <c r="U131" s="152">
        <f>IF(U43=0,0,1000000*U43/TrRoad_act!U74)</f>
        <v>1304.6521231657011</v>
      </c>
      <c r="V131" s="152">
        <f>IF(V43=0,0,1000000*V43/TrRoad_act!V74)</f>
        <v>1253.4710266795246</v>
      </c>
      <c r="W131" s="152">
        <f>IF(W43=0,0,1000000*W43/TrRoad_act!W74)</f>
        <v>1320.9370620164987</v>
      </c>
      <c r="X131" s="152">
        <f>IF(X43=0,0,1000000*X43/TrRoad_act!X74)</f>
        <v>1249.8479329044396</v>
      </c>
      <c r="Y131" s="152">
        <f>IF(Y43=0,0,1000000*Y43/TrRoad_act!Y74)</f>
        <v>1208.8145921165399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925.44212529749848</v>
      </c>
      <c r="C132" s="87">
        <f>IF(C44=0,0,1000000*C44/TrRoad_act!C75)</f>
        <v>920.23466607136038</v>
      </c>
      <c r="D132" s="87">
        <f>IF(D44=0,0,1000000*D44/TrRoad_act!D75)</f>
        <v>914.90732981116003</v>
      </c>
      <c r="E132" s="87">
        <f>IF(E44=0,0,1000000*E44/TrRoad_act!E75)</f>
        <v>907.80624711577082</v>
      </c>
      <c r="F132" s="87">
        <f>IF(F44=0,0,1000000*F44/TrRoad_act!F75)</f>
        <v>881.98573167730297</v>
      </c>
      <c r="G132" s="87">
        <f>IF(G44=0,0,1000000*G44/TrRoad_act!G75)</f>
        <v>887.27792009569691</v>
      </c>
      <c r="H132" s="87">
        <f>IF(H44=0,0,1000000*H44/TrRoad_act!H75)</f>
        <v>856.97971352023717</v>
      </c>
      <c r="I132" s="87">
        <f>IF(I44=0,0,1000000*I44/TrRoad_act!I75)</f>
        <v>841.83289689156391</v>
      </c>
      <c r="J132" s="87">
        <f>IF(J44=0,0,1000000*J44/TrRoad_act!J75)</f>
        <v>833.44580476395652</v>
      </c>
      <c r="K132" s="87">
        <f>IF(K44=0,0,1000000*K44/TrRoad_act!K75)</f>
        <v>796.30112953086962</v>
      </c>
      <c r="L132" s="87">
        <f>IF(L44=0,0,1000000*L44/TrRoad_act!L75)</f>
        <v>789.79641998805278</v>
      </c>
      <c r="M132" s="87">
        <f>IF(M44=0,0,1000000*M44/TrRoad_act!M75)</f>
        <v>778.4512096194054</v>
      </c>
      <c r="N132" s="87">
        <f>IF(N44=0,0,1000000*N44/TrRoad_act!N75)</f>
        <v>758.0336954835293</v>
      </c>
      <c r="O132" s="87">
        <f>IF(O44=0,0,1000000*O44/TrRoad_act!O75)</f>
        <v>754.31001286398612</v>
      </c>
      <c r="P132" s="87">
        <f>IF(P44=0,0,1000000*P44/TrRoad_act!P75)</f>
        <v>732.30384587638207</v>
      </c>
      <c r="Q132" s="87">
        <f>IF(Q44=0,0,1000000*Q44/TrRoad_act!Q75)</f>
        <v>719.42844358686148</v>
      </c>
      <c r="R132" s="87">
        <f>IF(R44=0,0,1000000*R44/TrRoad_act!R75)</f>
        <v>703.62458719491315</v>
      </c>
      <c r="S132" s="87">
        <f>IF(S44=0,0,1000000*S44/TrRoad_act!S75)</f>
        <v>690.17949054288545</v>
      </c>
      <c r="T132" s="87">
        <f>IF(T44=0,0,1000000*T44/TrRoad_act!T75)</f>
        <v>676.34303289302966</v>
      </c>
      <c r="U132" s="87">
        <f>IF(U44=0,0,1000000*U44/TrRoad_act!U75)</f>
        <v>661.9727721970354</v>
      </c>
      <c r="V132" s="87">
        <f>IF(V44=0,0,1000000*V44/TrRoad_act!V75)</f>
        <v>629.64124600382354</v>
      </c>
      <c r="W132" s="87">
        <f>IF(W44=0,0,1000000*W44/TrRoad_act!W75)</f>
        <v>629.95942557185413</v>
      </c>
      <c r="X132" s="87">
        <f>IF(X44=0,0,1000000*X44/TrRoad_act!X75)</f>
        <v>611.97445857374112</v>
      </c>
      <c r="Y132" s="87">
        <f>IF(Y44=0,0,1000000*Y44/TrRoad_act!Y75)</f>
        <v>606.80658758190225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1892.1839207513674</v>
      </c>
      <c r="C133" s="87">
        <f>IF(C46=0,0,1000000*C46/TrRoad_act!C76)</f>
        <v>1829.68824544315</v>
      </c>
      <c r="D133" s="87">
        <f>IF(D46=0,0,1000000*D46/TrRoad_act!D76)</f>
        <v>1792.5860477951967</v>
      </c>
      <c r="E133" s="87">
        <f>IF(E46=0,0,1000000*E46/TrRoad_act!E76)</f>
        <v>1760.3486159787597</v>
      </c>
      <c r="F133" s="87">
        <f>IF(F46=0,0,1000000*F46/TrRoad_act!F76)</f>
        <v>1705.3643577280177</v>
      </c>
      <c r="G133" s="87">
        <f>IF(G46=0,0,1000000*G46/TrRoad_act!G76)</f>
        <v>1675.0624101586579</v>
      </c>
      <c r="H133" s="87">
        <f>IF(H46=0,0,1000000*H46/TrRoad_act!H76)</f>
        <v>1657.75398127927</v>
      </c>
      <c r="I133" s="87">
        <f>IF(I46=0,0,1000000*I46/TrRoad_act!I76)</f>
        <v>1668.3373580858945</v>
      </c>
      <c r="J133" s="87">
        <f>IF(J46=0,0,1000000*J46/TrRoad_act!J76)</f>
        <v>1589.9400714093999</v>
      </c>
      <c r="K133" s="87">
        <f>IF(K46=0,0,1000000*K46/TrRoad_act!K76)</f>
        <v>1515.7327431462727</v>
      </c>
      <c r="L133" s="87">
        <f>IF(L46=0,0,1000000*L46/TrRoad_act!L76)</f>
        <v>1533.3390193342566</v>
      </c>
      <c r="M133" s="87">
        <f>IF(M46=0,0,1000000*M46/TrRoad_act!M76)</f>
        <v>1529.5950895381798</v>
      </c>
      <c r="N133" s="87">
        <f>IF(N46=0,0,1000000*N46/TrRoad_act!N76)</f>
        <v>1491.235069196983</v>
      </c>
      <c r="O133" s="87">
        <f>IF(O46=0,0,1000000*O46/TrRoad_act!O76)</f>
        <v>1494.3042168172176</v>
      </c>
      <c r="P133" s="87">
        <f>IF(P46=0,0,1000000*P46/TrRoad_act!P76)</f>
        <v>1450.5264256967371</v>
      </c>
      <c r="Q133" s="87">
        <f>IF(Q46=0,0,1000000*Q46/TrRoad_act!Q76)</f>
        <v>1435.1319160989995</v>
      </c>
      <c r="R133" s="87">
        <f>IF(R46=0,0,1000000*R46/TrRoad_act!R76)</f>
        <v>1432.6162935013538</v>
      </c>
      <c r="S133" s="87">
        <f>IF(S46=0,0,1000000*S46/TrRoad_act!S76)</f>
        <v>1375.6477543069843</v>
      </c>
      <c r="T133" s="87">
        <f>IF(T46=0,0,1000000*T46/TrRoad_act!T76)</f>
        <v>1376.2038771935263</v>
      </c>
      <c r="U133" s="87">
        <f>IF(U46=0,0,1000000*U46/TrRoad_act!U76)</f>
        <v>1343.107488658399</v>
      </c>
      <c r="V133" s="87">
        <f>IF(V46=0,0,1000000*V46/TrRoad_act!V76)</f>
        <v>1288.6886741900096</v>
      </c>
      <c r="W133" s="87">
        <f>IF(W46=0,0,1000000*W46/TrRoad_act!W76)</f>
        <v>1359.7604089381605</v>
      </c>
      <c r="X133" s="87">
        <f>IF(X46=0,0,1000000*X46/TrRoad_act!X76)</f>
        <v>1285.3396615545596</v>
      </c>
      <c r="Y133" s="87">
        <f>IF(Y46=0,0,1000000*Y46/TrRoad_act!Y76)</f>
        <v>1244.1895304346986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0</v>
      </c>
      <c r="S134" s="87">
        <f>IF(S48=0,0,1000000*S48/TrRoad_act!S77)</f>
        <v>0</v>
      </c>
      <c r="T134" s="87">
        <f>IF(T48=0,0,1000000*T48/TrRoad_act!T77)</f>
        <v>0</v>
      </c>
      <c r="U134" s="87">
        <f>IF(U48=0,0,1000000*U48/TrRoad_act!U77)</f>
        <v>0</v>
      </c>
      <c r="V134" s="87">
        <f>IF(V48=0,0,1000000*V48/TrRoad_act!V77)</f>
        <v>0</v>
      </c>
      <c r="W134" s="87">
        <f>IF(W48=0,0,1000000*W48/TrRoad_act!W77)</f>
        <v>0</v>
      </c>
      <c r="X134" s="87">
        <f>IF(X48=0,0,1000000*X48/TrRoad_act!X77)</f>
        <v>0</v>
      </c>
      <c r="Y134" s="87">
        <f>IF(Y48=0,0,1000000*Y48/TrRoad_act!Y77)</f>
        <v>0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1453.2571643173735</v>
      </c>
      <c r="D135" s="87">
        <f>IF(D49=0,0,1000000*D49/TrRoad_act!D78)</f>
        <v>1445.1049102562968</v>
      </c>
      <c r="E135" s="87">
        <f>IF(E49=0,0,1000000*E49/TrRoad_act!E78)</f>
        <v>1423.4969530090384</v>
      </c>
      <c r="F135" s="87">
        <f>IF(F49=0,0,1000000*F49/TrRoad_act!F78)</f>
        <v>1329.0698785303207</v>
      </c>
      <c r="G135" s="87">
        <f>IF(G49=0,0,1000000*G49/TrRoad_act!G78)</f>
        <v>1402.7215111899693</v>
      </c>
      <c r="H135" s="87">
        <f>IF(H49=0,0,1000000*H49/TrRoad_act!H78)</f>
        <v>1306.526256884533</v>
      </c>
      <c r="I135" s="87">
        <f>IF(I49=0,0,1000000*I49/TrRoad_act!I78)</f>
        <v>1312.0373362562298</v>
      </c>
      <c r="J135" s="87">
        <f>IF(J49=0,0,1000000*J49/TrRoad_act!J78)</f>
        <v>1513.1682673994551</v>
      </c>
      <c r="K135" s="87">
        <f>IF(K49=0,0,1000000*K49/TrRoad_act!K78)</f>
        <v>1543.2499171521813</v>
      </c>
      <c r="L135" s="87">
        <f>IF(L49=0,0,1000000*L49/TrRoad_act!L78)</f>
        <v>1561.2064430142923</v>
      </c>
      <c r="M135" s="87">
        <f>IF(M49=0,0,1000000*M49/TrRoad_act!M78)</f>
        <v>1178.3667166991802</v>
      </c>
      <c r="N135" s="87">
        <f>IF(N49=0,0,1000000*N49/TrRoad_act!N78)</f>
        <v>1622.2910504821962</v>
      </c>
      <c r="O135" s="87">
        <f>IF(O49=0,0,1000000*O49/TrRoad_act!O78)</f>
        <v>1116.0647480916796</v>
      </c>
      <c r="P135" s="87">
        <f>IF(P49=0,0,1000000*P49/TrRoad_act!P78)</f>
        <v>1096.5106204742228</v>
      </c>
      <c r="Q135" s="87">
        <f>IF(Q49=0,0,1000000*Q49/TrRoad_act!Q78)</f>
        <v>1102.9819126735781</v>
      </c>
      <c r="R135" s="87">
        <f>IF(R49=0,0,1000000*R49/TrRoad_act!R78)</f>
        <v>1108.5878954450357</v>
      </c>
      <c r="S135" s="87">
        <f>IF(S49=0,0,1000000*S49/TrRoad_act!S78)</f>
        <v>1062.6514613876461</v>
      </c>
      <c r="T135" s="87">
        <f>IF(T49=0,0,1000000*T49/TrRoad_act!T78)</f>
        <v>1209.9833277527157</v>
      </c>
      <c r="U135" s="87">
        <f>IF(U49=0,0,1000000*U49/TrRoad_act!U78)</f>
        <v>1381.0675221083413</v>
      </c>
      <c r="V135" s="87">
        <f>IF(V49=0,0,1000000*V49/TrRoad_act!V78)</f>
        <v>1811.6610446040954</v>
      </c>
      <c r="W135" s="87">
        <f>IF(W49=0,0,1000000*W49/TrRoad_act!W78)</f>
        <v>2220.3407329221354</v>
      </c>
      <c r="X135" s="87">
        <f>IF(X49=0,0,1000000*X49/TrRoad_act!X78)</f>
        <v>2511.1494487010573</v>
      </c>
      <c r="Y135" s="87">
        <f>IF(Y49=0,0,1000000*Y49/TrRoad_act!Y78)</f>
        <v>2688.4830637935243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139.39203232866907</v>
      </c>
      <c r="C136" s="87">
        <f>IF(C51=0,0,1000000*C51/TrRoad_act!C79)</f>
        <v>139.00513886192408</v>
      </c>
      <c r="D136" s="87">
        <f>IF(D51=0,0,1000000*D51/TrRoad_act!D79)</f>
        <v>138.87863962079336</v>
      </c>
      <c r="E136" s="87">
        <f>IF(E51=0,0,1000000*E51/TrRoad_act!E79)</f>
        <v>138.94255724986661</v>
      </c>
      <c r="F136" s="87">
        <f>IF(F51=0,0,1000000*F51/TrRoad_act!F79)</f>
        <v>140.58508946884703</v>
      </c>
      <c r="G136" s="87">
        <f>IF(G51=0,0,1000000*G51/TrRoad_act!G79)</f>
        <v>141.88218352433293</v>
      </c>
      <c r="H136" s="87">
        <f>IF(H51=0,0,1000000*H51/TrRoad_act!H79)</f>
        <v>143.11838912632956</v>
      </c>
      <c r="I136" s="87">
        <f>IF(I51=0,0,1000000*I51/TrRoad_act!I79)</f>
        <v>143.26007842814622</v>
      </c>
      <c r="J136" s="87">
        <f>IF(J51=0,0,1000000*J51/TrRoad_act!J79)</f>
        <v>144.64524007523792</v>
      </c>
      <c r="K136" s="87">
        <f>IF(K51=0,0,1000000*K51/TrRoad_act!K79)</f>
        <v>145.61194629345286</v>
      </c>
      <c r="L136" s="87">
        <f>IF(L51=0,0,1000000*L51/TrRoad_act!L79)</f>
        <v>145.23954347172861</v>
      </c>
      <c r="M136" s="87">
        <f>IF(M51=0,0,1000000*M51/TrRoad_act!M79)</f>
        <v>145.58939171860123</v>
      </c>
      <c r="N136" s="87">
        <f>IF(N51=0,0,1000000*N51/TrRoad_act!N79)</f>
        <v>144.30257442711059</v>
      </c>
      <c r="O136" s="87">
        <f>IF(O51=0,0,1000000*O51/TrRoad_act!O79)</f>
        <v>145.38255714031436</v>
      </c>
      <c r="P136" s="87">
        <f>IF(P51=0,0,1000000*P51/TrRoad_act!P79)</f>
        <v>151.11485989556331</v>
      </c>
      <c r="Q136" s="87">
        <f>IF(Q51=0,0,1000000*Q51/TrRoad_act!Q79)</f>
        <v>158.28841389008227</v>
      </c>
      <c r="R136" s="87">
        <f>IF(R51=0,0,1000000*R51/TrRoad_act!R79)</f>
        <v>163.29273765142881</v>
      </c>
      <c r="S136" s="87">
        <f>IF(S51=0,0,1000000*S51/TrRoad_act!S79)</f>
        <v>165.41418642754809</v>
      </c>
      <c r="T136" s="87">
        <f>IF(T51=0,0,1000000*T51/TrRoad_act!T79)</f>
        <v>177.1666242686606</v>
      </c>
      <c r="U136" s="87">
        <f>IF(U51=0,0,1000000*U51/TrRoad_act!U79)</f>
        <v>189.45024776391966</v>
      </c>
      <c r="V136" s="87">
        <f>IF(V51=0,0,1000000*V51/TrRoad_act!V79)</f>
        <v>217.91722230027895</v>
      </c>
      <c r="W136" s="87">
        <f>IF(W51=0,0,1000000*W51/TrRoad_act!W79)</f>
        <v>256.66635607802289</v>
      </c>
      <c r="X136" s="87">
        <f>IF(X51=0,0,1000000*X51/TrRoad_act!X79)</f>
        <v>273.38189797659089</v>
      </c>
      <c r="Y136" s="87">
        <f>IF(Y51=0,0,1000000*Y51/TrRoad_act!Y79)</f>
        <v>272.97799309258204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11767.328959529961</v>
      </c>
      <c r="C137" s="116">
        <f>IF(C52=0,0,1000000*C52/TrRoad_act!C80)</f>
        <v>11675.779774409099</v>
      </c>
      <c r="D137" s="116">
        <f>IF(D52=0,0,1000000*D52/TrRoad_act!D80)</f>
        <v>11291.362710759686</v>
      </c>
      <c r="E137" s="116">
        <f>IF(E52=0,0,1000000*E52/TrRoad_act!E80)</f>
        <v>10750.895465300155</v>
      </c>
      <c r="F137" s="116">
        <f>IF(F52=0,0,1000000*F52/TrRoad_act!F80)</f>
        <v>10342.206216950966</v>
      </c>
      <c r="G137" s="116">
        <f>IF(G52=0,0,1000000*G52/TrRoad_act!G80)</f>
        <v>9623.7127883051089</v>
      </c>
      <c r="H137" s="116">
        <f>IF(H52=0,0,1000000*H52/TrRoad_act!H80)</f>
        <v>9011.6005184420028</v>
      </c>
      <c r="I137" s="116">
        <f>IF(I52=0,0,1000000*I52/TrRoad_act!I80)</f>
        <v>8550.5096311230409</v>
      </c>
      <c r="J137" s="116">
        <f>IF(J52=0,0,1000000*J52/TrRoad_act!J80)</f>
        <v>7347.6827298891021</v>
      </c>
      <c r="K137" s="116">
        <f>IF(K52=0,0,1000000*K52/TrRoad_act!K80)</f>
        <v>5852.6649946781272</v>
      </c>
      <c r="L137" s="116">
        <f>IF(L52=0,0,1000000*L52/TrRoad_act!L80)</f>
        <v>6096.9006087144589</v>
      </c>
      <c r="M137" s="116">
        <f>IF(M52=0,0,1000000*M52/TrRoad_act!M80)</f>
        <v>5232.112653868995</v>
      </c>
      <c r="N137" s="116">
        <f>IF(N52=0,0,1000000*N52/TrRoad_act!N80)</f>
        <v>4453.5154565063285</v>
      </c>
      <c r="O137" s="116">
        <f>IF(O52=0,0,1000000*O52/TrRoad_act!O80)</f>
        <v>4243.7993350858897</v>
      </c>
      <c r="P137" s="116">
        <f>IF(P52=0,0,1000000*P52/TrRoad_act!P80)</f>
        <v>3728.6819275378925</v>
      </c>
      <c r="Q137" s="116">
        <f>IF(Q52=0,0,1000000*Q52/TrRoad_act!Q80)</f>
        <v>3294.8372838113473</v>
      </c>
      <c r="R137" s="116">
        <f>IF(R52=0,0,1000000*R52/TrRoad_act!R80)</f>
        <v>3663.6506446847829</v>
      </c>
      <c r="S137" s="116">
        <f>IF(S52=0,0,1000000*S52/TrRoad_act!S80)</f>
        <v>3451.9593747198246</v>
      </c>
      <c r="T137" s="116">
        <f>IF(T52=0,0,1000000*T52/TrRoad_act!T80)</f>
        <v>3319.2254332071852</v>
      </c>
      <c r="U137" s="116">
        <f>IF(U52=0,0,1000000*U52/TrRoad_act!U80)</f>
        <v>3083.3459349040904</v>
      </c>
      <c r="V137" s="116">
        <f>IF(V52=0,0,1000000*V52/TrRoad_act!V80)</f>
        <v>2831.1289280705355</v>
      </c>
      <c r="W137" s="116">
        <f>IF(W52=0,0,1000000*W52/TrRoad_act!W80)</f>
        <v>3078.472192557399</v>
      </c>
      <c r="X137" s="116">
        <f>IF(X52=0,0,1000000*X52/TrRoad_act!X80)</f>
        <v>2846.684700918127</v>
      </c>
      <c r="Y137" s="116">
        <f>IF(Y52=0,0,1000000*Y52/TrRoad_act!Y80)</f>
        <v>2414.3231896811089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11415.677092730379</v>
      </c>
      <c r="C138" s="101">
        <f>IF(C53=0,0,1000000*C53/TrRoad_act!C81)</f>
        <v>11300.967379299427</v>
      </c>
      <c r="D138" s="101">
        <f>IF(D53=0,0,1000000*D53/TrRoad_act!D81)</f>
        <v>10919.775807348853</v>
      </c>
      <c r="E138" s="101">
        <f>IF(E53=0,0,1000000*E53/TrRoad_act!E81)</f>
        <v>10381.856212711893</v>
      </c>
      <c r="F138" s="101">
        <f>IF(F53=0,0,1000000*F53/TrRoad_act!F81)</f>
        <v>9929.9410469135328</v>
      </c>
      <c r="G138" s="101">
        <f>IF(G53=0,0,1000000*G53/TrRoad_act!G81)</f>
        <v>9265.7504014272909</v>
      </c>
      <c r="H138" s="101">
        <f>IF(H53=0,0,1000000*H53/TrRoad_act!H81)</f>
        <v>8619.2606828826447</v>
      </c>
      <c r="I138" s="101">
        <f>IF(I53=0,0,1000000*I53/TrRoad_act!I81)</f>
        <v>8152.5134356546969</v>
      </c>
      <c r="J138" s="101">
        <f>IF(J53=0,0,1000000*J53/TrRoad_act!J81)</f>
        <v>7061.4094172183532</v>
      </c>
      <c r="K138" s="101">
        <f>IF(K53=0,0,1000000*K53/TrRoad_act!K81)</f>
        <v>5619.7451946571164</v>
      </c>
      <c r="L138" s="101">
        <f>IF(L53=0,0,1000000*L53/TrRoad_act!L81)</f>
        <v>5821.326859223891</v>
      </c>
      <c r="M138" s="101">
        <f>IF(M53=0,0,1000000*M53/TrRoad_act!M81)</f>
        <v>5063.8602079461452</v>
      </c>
      <c r="N138" s="101">
        <f>IF(N53=0,0,1000000*N53/TrRoad_act!N81)</f>
        <v>4266.4472965561272</v>
      </c>
      <c r="O138" s="101">
        <f>IF(O53=0,0,1000000*O53/TrRoad_act!O81)</f>
        <v>4087.7217438571411</v>
      </c>
      <c r="P138" s="101">
        <f>IF(P53=0,0,1000000*P53/TrRoad_act!P81)</f>
        <v>3550.3875185902184</v>
      </c>
      <c r="Q138" s="101">
        <f>IF(Q53=0,0,1000000*Q53/TrRoad_act!Q81)</f>
        <v>3092.7414080283024</v>
      </c>
      <c r="R138" s="101">
        <f>IF(R53=0,0,1000000*R53/TrRoad_act!R81)</f>
        <v>3492.7099985473105</v>
      </c>
      <c r="S138" s="101">
        <f>IF(S53=0,0,1000000*S53/TrRoad_act!S81)</f>
        <v>3313.4515438617022</v>
      </c>
      <c r="T138" s="101">
        <f>IF(T53=0,0,1000000*T53/TrRoad_act!T81)</f>
        <v>3150.7301984605874</v>
      </c>
      <c r="U138" s="101">
        <f>IF(U53=0,0,1000000*U53/TrRoad_act!U81)</f>
        <v>2955.9201896532054</v>
      </c>
      <c r="V138" s="101">
        <f>IF(V53=0,0,1000000*V53/TrRoad_act!V81)</f>
        <v>2707.169959259209</v>
      </c>
      <c r="W138" s="101">
        <f>IF(W53=0,0,1000000*W53/TrRoad_act!W81)</f>
        <v>2884.0276649687339</v>
      </c>
      <c r="X138" s="101">
        <f>IF(X53=0,0,1000000*X53/TrRoad_act!X81)</f>
        <v>2690.3249589592278</v>
      </c>
      <c r="Y138" s="101">
        <f>IF(Y53=0,0,1000000*Y53/TrRoad_act!Y81)</f>
        <v>2284.2482694165201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51531.767450302141</v>
      </c>
      <c r="C139" s="88">
        <f>IF(C55=0,0,1000000*C55/TrRoad_act!C82)</f>
        <v>53278.780671096407</v>
      </c>
      <c r="D139" s="88">
        <f>IF(D55=0,0,1000000*D55/TrRoad_act!D82)</f>
        <v>52625.006352609445</v>
      </c>
      <c r="E139" s="88">
        <f>IF(E55=0,0,1000000*E55/TrRoad_act!E82)</f>
        <v>53485.102171586681</v>
      </c>
      <c r="F139" s="88">
        <f>IF(F55=0,0,1000000*F55/TrRoad_act!F82)</f>
        <v>53333.319942323738</v>
      </c>
      <c r="G139" s="88">
        <f>IF(G55=0,0,1000000*G55/TrRoad_act!G82)</f>
        <v>48116.029860607239</v>
      </c>
      <c r="H139" s="88">
        <f>IF(H55=0,0,1000000*H55/TrRoad_act!H82)</f>
        <v>50786.91653864579</v>
      </c>
      <c r="I139" s="88">
        <f>IF(I55=0,0,1000000*I55/TrRoad_act!I82)</f>
        <v>52860.899318199256</v>
      </c>
      <c r="J139" s="88">
        <f>IF(J55=0,0,1000000*J55/TrRoad_act!J82)</f>
        <v>41444.097692637348</v>
      </c>
      <c r="K139" s="88">
        <f>IF(K55=0,0,1000000*K55/TrRoad_act!K82)</f>
        <v>37562.567222218378</v>
      </c>
      <c r="L139" s="88">
        <f>IF(L55=0,0,1000000*L55/TrRoad_act!L82)</f>
        <v>36739.655069472479</v>
      </c>
      <c r="M139" s="88">
        <f>IF(M55=0,0,1000000*M55/TrRoad_act!M82)</f>
        <v>35911.624017247719</v>
      </c>
      <c r="N139" s="88">
        <f>IF(N55=0,0,1000000*N55/TrRoad_act!N82)</f>
        <v>33180.248589712915</v>
      </c>
      <c r="O139" s="88">
        <f>IF(O55=0,0,1000000*O55/TrRoad_act!O82)</f>
        <v>33142.414477880455</v>
      </c>
      <c r="P139" s="88">
        <f>IF(P55=0,0,1000000*P55/TrRoad_act!P82)</f>
        <v>30357.168455786748</v>
      </c>
      <c r="Q139" s="88">
        <f>IF(Q55=0,0,1000000*Q55/TrRoad_act!Q82)</f>
        <v>30562.90998465534</v>
      </c>
      <c r="R139" s="88">
        <f>IF(R55=0,0,1000000*R55/TrRoad_act!R82)</f>
        <v>32019.14856074714</v>
      </c>
      <c r="S139" s="88">
        <f>IF(S55=0,0,1000000*S55/TrRoad_act!S82)</f>
        <v>27348.488466058185</v>
      </c>
      <c r="T139" s="88">
        <f>IF(T55=0,0,1000000*T55/TrRoad_act!T82)</f>
        <v>30065.361442262969</v>
      </c>
      <c r="U139" s="88">
        <f>IF(U55=0,0,1000000*U55/TrRoad_act!U82)</f>
        <v>28130.895634481803</v>
      </c>
      <c r="V139" s="88">
        <f>IF(V55=0,0,1000000*V55/TrRoad_act!V82)</f>
        <v>27338.912010431261</v>
      </c>
      <c r="W139" s="88">
        <f>IF(W55=0,0,1000000*W55/TrRoad_act!W82)</f>
        <v>34438.823766453192</v>
      </c>
      <c r="X139" s="88">
        <f>IF(X55=0,0,1000000*X55/TrRoad_act!X82)</f>
        <v>29208.129638195271</v>
      </c>
      <c r="Y139" s="88">
        <f>IF(Y55=0,0,1000000*Y55/TrRoad_act!Y82)</f>
        <v>26050.183160579076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0.65953823894220631</v>
      </c>
      <c r="C142" s="46">
        <f t="shared" si="42"/>
        <v>0.65580328951983569</v>
      </c>
      <c r="D142" s="46">
        <f t="shared" si="42"/>
        <v>0.65832376783755508</v>
      </c>
      <c r="E142" s="46">
        <f t="shared" si="42"/>
        <v>0.66099307852880795</v>
      </c>
      <c r="F142" s="46">
        <f t="shared" si="42"/>
        <v>0.65797203407800731</v>
      </c>
      <c r="G142" s="46">
        <f t="shared" si="42"/>
        <v>0.66104884885599813</v>
      </c>
      <c r="H142" s="46">
        <f t="shared" si="42"/>
        <v>0.66703822526954837</v>
      </c>
      <c r="I142" s="46">
        <f t="shared" si="42"/>
        <v>0.66789358267954113</v>
      </c>
      <c r="J142" s="46">
        <f t="shared" si="42"/>
        <v>0.66836490329038845</v>
      </c>
      <c r="K142" s="46">
        <f t="shared" si="42"/>
        <v>0.6929346911122064</v>
      </c>
      <c r="L142" s="46">
        <f t="shared" ref="L142" si="43">IF(L18=0,0,L18/L$17)</f>
        <v>0.68070567215399647</v>
      </c>
      <c r="M142" s="46">
        <f t="shared" ref="M142:V142" si="44">IF(M18=0,0,M18/M$17)</f>
        <v>0.69069486187231344</v>
      </c>
      <c r="N142" s="46">
        <f t="shared" si="44"/>
        <v>0.7025895786255153</v>
      </c>
      <c r="O142" s="46">
        <f t="shared" si="44"/>
        <v>0.70026861974901489</v>
      </c>
      <c r="P142" s="46">
        <f t="shared" si="44"/>
        <v>0.70843978037309085</v>
      </c>
      <c r="Q142" s="46">
        <f t="shared" si="44"/>
        <v>0.71766952466240597</v>
      </c>
      <c r="R142" s="46">
        <f t="shared" si="44"/>
        <v>0.69828494492465831</v>
      </c>
      <c r="S142" s="46">
        <f t="shared" si="44"/>
        <v>0.70148472183756416</v>
      </c>
      <c r="T142" s="46">
        <f t="shared" si="44"/>
        <v>0.69891117341913012</v>
      </c>
      <c r="U142" s="46">
        <f t="shared" si="44"/>
        <v>0.69737321365599847</v>
      </c>
      <c r="V142" s="46">
        <f t="shared" si="44"/>
        <v>0.68663264030391269</v>
      </c>
      <c r="W142" s="46">
        <f t="shared" ref="W142:Y142" si="45">IF(W18=0,0,W18/W$17)</f>
        <v>0.67091159867433214</v>
      </c>
      <c r="X142" s="46">
        <f t="shared" si="45"/>
        <v>0.67031649887348721</v>
      </c>
      <c r="Y142" s="46">
        <f t="shared" si="45"/>
        <v>0.68570953156973491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1.1151783388079298E-2</v>
      </c>
      <c r="C143" s="154">
        <f t="shared" si="46"/>
        <v>1.0821585160587743E-2</v>
      </c>
      <c r="D143" s="154">
        <f t="shared" si="46"/>
        <v>1.0452598669238956E-2</v>
      </c>
      <c r="E143" s="154">
        <f t="shared" si="46"/>
        <v>1.0130900386408594E-2</v>
      </c>
      <c r="F143" s="154">
        <f t="shared" si="46"/>
        <v>9.7154562640243032E-3</v>
      </c>
      <c r="G143" s="154">
        <f t="shared" si="46"/>
        <v>9.5759640721713914E-3</v>
      </c>
      <c r="H143" s="154">
        <f t="shared" si="46"/>
        <v>9.3484260209679166E-3</v>
      </c>
      <c r="I143" s="154">
        <f t="shared" si="46"/>
        <v>9.0046357846252662E-3</v>
      </c>
      <c r="J143" s="154">
        <f t="shared" si="46"/>
        <v>9.1062107800363671E-3</v>
      </c>
      <c r="K143" s="154">
        <f t="shared" si="46"/>
        <v>9.2525412584519556E-3</v>
      </c>
      <c r="L143" s="154">
        <f t="shared" ref="L143" si="47">IF(L19=0,0,L19/L$17)</f>
        <v>1.167511120892597E-2</v>
      </c>
      <c r="M143" s="154">
        <f t="shared" ref="M143:V143" si="48">IF(M19=0,0,M19/M$17)</f>
        <v>1.1501283812419492E-2</v>
      </c>
      <c r="N143" s="154">
        <f t="shared" si="48"/>
        <v>1.1562777534948511E-2</v>
      </c>
      <c r="O143" s="154">
        <f t="shared" si="48"/>
        <v>1.1373954437113958E-2</v>
      </c>
      <c r="P143" s="154">
        <f t="shared" si="48"/>
        <v>1.1465605663340371E-2</v>
      </c>
      <c r="Q143" s="154">
        <f t="shared" si="48"/>
        <v>1.1340783733260517E-2</v>
      </c>
      <c r="R143" s="154">
        <f t="shared" si="48"/>
        <v>1.130980975464117E-2</v>
      </c>
      <c r="S143" s="154">
        <f t="shared" si="48"/>
        <v>1.058101060545287E-2</v>
      </c>
      <c r="T143" s="154">
        <f t="shared" si="48"/>
        <v>9.9236450366042266E-3</v>
      </c>
      <c r="U143" s="154">
        <f t="shared" si="48"/>
        <v>1.062580463229269E-2</v>
      </c>
      <c r="V143" s="154">
        <f t="shared" si="48"/>
        <v>1.002912369671273E-2</v>
      </c>
      <c r="W143" s="154">
        <f t="shared" ref="W143:Y143" si="49">IF(W19=0,0,W19/W$17)</f>
        <v>9.9606274997057175E-3</v>
      </c>
      <c r="X143" s="154">
        <f t="shared" si="49"/>
        <v>1.047882339578377E-2</v>
      </c>
      <c r="Y143" s="154">
        <f t="shared" si="49"/>
        <v>1.151482750750313E-2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0.58679829861081156</v>
      </c>
      <c r="C144" s="156">
        <f t="shared" si="50"/>
        <v>0.58566372493470598</v>
      </c>
      <c r="D144" s="156">
        <f t="shared" si="50"/>
        <v>0.58915908047770238</v>
      </c>
      <c r="E144" s="156">
        <f t="shared" si="50"/>
        <v>0.59146911695124471</v>
      </c>
      <c r="F144" s="156">
        <f t="shared" si="50"/>
        <v>0.58837119966794538</v>
      </c>
      <c r="G144" s="156">
        <f t="shared" si="50"/>
        <v>0.59249407976031121</v>
      </c>
      <c r="H144" s="156">
        <f t="shared" si="50"/>
        <v>0.59734095551397137</v>
      </c>
      <c r="I144" s="156">
        <f t="shared" si="50"/>
        <v>0.59817140825484905</v>
      </c>
      <c r="J144" s="156">
        <f t="shared" si="50"/>
        <v>0.59665732781437575</v>
      </c>
      <c r="K144" s="156">
        <f t="shared" si="50"/>
        <v>0.61666125459605436</v>
      </c>
      <c r="L144" s="156">
        <f t="shared" ref="L144" si="51">IF(L21=0,0,L21/L$17)</f>
        <v>0.60157367568795783</v>
      </c>
      <c r="M144" s="156">
        <f t="shared" ref="M144:V144" si="52">IF(M21=0,0,M21/M$17)</f>
        <v>0.61002768131344487</v>
      </c>
      <c r="N144" s="156">
        <f t="shared" si="52"/>
        <v>0.61746705220012021</v>
      </c>
      <c r="O144" s="156">
        <f t="shared" si="52"/>
        <v>0.61360530834044036</v>
      </c>
      <c r="P144" s="156">
        <f t="shared" si="52"/>
        <v>0.61782649418542301</v>
      </c>
      <c r="Q144" s="156">
        <f t="shared" si="52"/>
        <v>0.62411654663685989</v>
      </c>
      <c r="R144" s="156">
        <f t="shared" si="52"/>
        <v>0.6004860900479051</v>
      </c>
      <c r="S144" s="156">
        <f t="shared" si="52"/>
        <v>0.60452600734516138</v>
      </c>
      <c r="T144" s="156">
        <f t="shared" si="52"/>
        <v>0.60408169015705149</v>
      </c>
      <c r="U144" s="156">
        <f t="shared" si="52"/>
        <v>0.60327464589328761</v>
      </c>
      <c r="V144" s="156">
        <f t="shared" si="52"/>
        <v>0.60008090814655735</v>
      </c>
      <c r="W144" s="156">
        <f t="shared" ref="W144:Y144" si="53">IF(W21=0,0,W21/W$17)</f>
        <v>0.59366435887705149</v>
      </c>
      <c r="X144" s="156">
        <f t="shared" si="53"/>
        <v>0.58373048104878233</v>
      </c>
      <c r="Y144" s="156">
        <f t="shared" si="53"/>
        <v>0.59342753356510225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0.45865765539065217</v>
      </c>
      <c r="C145" s="103">
        <f t="shared" si="54"/>
        <v>0.45827366593725666</v>
      </c>
      <c r="D145" s="103">
        <f t="shared" si="54"/>
        <v>0.45843334815987813</v>
      </c>
      <c r="E145" s="103">
        <f t="shared" si="54"/>
        <v>0.45434006867392523</v>
      </c>
      <c r="F145" s="103">
        <f t="shared" si="54"/>
        <v>0.45061454109157417</v>
      </c>
      <c r="G145" s="103">
        <f t="shared" si="54"/>
        <v>0.44786069884840546</v>
      </c>
      <c r="H145" s="103">
        <f t="shared" si="54"/>
        <v>0.43884330562651441</v>
      </c>
      <c r="I145" s="103">
        <f t="shared" si="54"/>
        <v>0.42479184118042446</v>
      </c>
      <c r="J145" s="103">
        <f t="shared" si="54"/>
        <v>0.40478783755516234</v>
      </c>
      <c r="K145" s="103">
        <f t="shared" si="54"/>
        <v>0.40551665404410026</v>
      </c>
      <c r="L145" s="103">
        <f t="shared" ref="L145" si="55">IF(L22=0,0,L22/L$17)</f>
        <v>0.37933523155401833</v>
      </c>
      <c r="M145" s="103">
        <f t="shared" ref="M145:V145" si="56">IF(M22=0,0,M22/M$17)</f>
        <v>0.36209021860108209</v>
      </c>
      <c r="N145" s="103">
        <f t="shared" si="56"/>
        <v>0.35624872013704106</v>
      </c>
      <c r="O145" s="103">
        <f t="shared" si="56"/>
        <v>0.35537625081337104</v>
      </c>
      <c r="P145" s="103">
        <f t="shared" si="56"/>
        <v>0.34992190429028996</v>
      </c>
      <c r="Q145" s="103">
        <f t="shared" si="56"/>
        <v>0.34709497201180867</v>
      </c>
      <c r="R145" s="103">
        <f t="shared" si="56"/>
        <v>0.33882610508732253</v>
      </c>
      <c r="S145" s="103">
        <f t="shared" si="56"/>
        <v>0.32910326223496472</v>
      </c>
      <c r="T145" s="103">
        <f t="shared" si="56"/>
        <v>0.32293257518440388</v>
      </c>
      <c r="U145" s="103">
        <f t="shared" si="56"/>
        <v>0.32140448235872937</v>
      </c>
      <c r="V145" s="103">
        <f t="shared" si="56"/>
        <v>0.31706290222211242</v>
      </c>
      <c r="W145" s="103">
        <f t="shared" ref="W145:Y145" si="57">IF(W22=0,0,W22/W$17)</f>
        <v>0.31168383543848177</v>
      </c>
      <c r="X145" s="103">
        <f t="shared" si="57"/>
        <v>0.30599491791076078</v>
      </c>
      <c r="Y145" s="103">
        <f t="shared" si="57"/>
        <v>0.31797609884910571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0.12814064322015942</v>
      </c>
      <c r="C146" s="103">
        <f t="shared" si="58"/>
        <v>0.12739005899744932</v>
      </c>
      <c r="D146" s="103">
        <f t="shared" si="58"/>
        <v>0.13072573231782422</v>
      </c>
      <c r="E146" s="103">
        <f t="shared" si="58"/>
        <v>0.13712904827731953</v>
      </c>
      <c r="F146" s="103">
        <f t="shared" si="58"/>
        <v>0.1377566585763712</v>
      </c>
      <c r="G146" s="103">
        <f t="shared" si="58"/>
        <v>0.14463338091190578</v>
      </c>
      <c r="H146" s="103">
        <f t="shared" si="58"/>
        <v>0.15849678181677182</v>
      </c>
      <c r="I146" s="103">
        <f t="shared" si="58"/>
        <v>0.17334959050851806</v>
      </c>
      <c r="J146" s="103">
        <f t="shared" si="58"/>
        <v>0.19180302087552256</v>
      </c>
      <c r="K146" s="103">
        <f t="shared" si="58"/>
        <v>0.21101251265975873</v>
      </c>
      <c r="L146" s="103">
        <f t="shared" ref="L146" si="59">IF(L24=0,0,L24/L$17)</f>
        <v>0.22207276902255321</v>
      </c>
      <c r="M146" s="103">
        <f t="shared" ref="M146:V146" si="60">IF(M24=0,0,M24/M$17)</f>
        <v>0.24777792866552975</v>
      </c>
      <c r="N146" s="103">
        <f t="shared" si="60"/>
        <v>0.26089842081924702</v>
      </c>
      <c r="O146" s="103">
        <f t="shared" si="60"/>
        <v>0.25795536660720897</v>
      </c>
      <c r="P146" s="103">
        <f t="shared" si="60"/>
        <v>0.26755717587917499</v>
      </c>
      <c r="Q146" s="103">
        <f t="shared" si="60"/>
        <v>0.27657743104084925</v>
      </c>
      <c r="R146" s="103">
        <f t="shared" si="60"/>
        <v>0.26109086366038015</v>
      </c>
      <c r="S146" s="103">
        <f t="shared" si="60"/>
        <v>0.27431868751836774</v>
      </c>
      <c r="T146" s="103">
        <f t="shared" si="60"/>
        <v>0.2788681414746339</v>
      </c>
      <c r="U146" s="103">
        <f t="shared" si="60"/>
        <v>0.27762552816566932</v>
      </c>
      <c r="V146" s="103">
        <f t="shared" si="60"/>
        <v>0.2755428559420563</v>
      </c>
      <c r="W146" s="103">
        <f t="shared" ref="W146:Y146" si="61">IF(W24=0,0,W24/W$17)</f>
        <v>0.27112666644731492</v>
      </c>
      <c r="X146" s="103">
        <f t="shared" si="61"/>
        <v>0.26181831394106608</v>
      </c>
      <c r="Y146" s="103">
        <f t="shared" si="61"/>
        <v>0.25656349006238544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0</v>
      </c>
      <c r="C147" s="103">
        <f t="shared" si="62"/>
        <v>0</v>
      </c>
      <c r="D147" s="103">
        <f t="shared" si="62"/>
        <v>0</v>
      </c>
      <c r="E147" s="103">
        <f t="shared" si="62"/>
        <v>0</v>
      </c>
      <c r="F147" s="103">
        <f t="shared" si="62"/>
        <v>0</v>
      </c>
      <c r="G147" s="103">
        <f t="shared" si="62"/>
        <v>0</v>
      </c>
      <c r="H147" s="103">
        <f t="shared" si="62"/>
        <v>0</v>
      </c>
      <c r="I147" s="103">
        <f t="shared" si="62"/>
        <v>0</v>
      </c>
      <c r="J147" s="103">
        <f t="shared" si="62"/>
        <v>0</v>
      </c>
      <c r="K147" s="103">
        <f t="shared" si="62"/>
        <v>0</v>
      </c>
      <c r="L147" s="103">
        <f t="shared" ref="L147" si="63">IF(L26=0,0,L26/L$17)</f>
        <v>0</v>
      </c>
      <c r="M147" s="103">
        <f t="shared" ref="M147:V147" si="64">IF(M26=0,0,M26/M$17)</f>
        <v>0</v>
      </c>
      <c r="N147" s="103">
        <f t="shared" si="64"/>
        <v>0</v>
      </c>
      <c r="O147" s="103">
        <f t="shared" si="64"/>
        <v>0</v>
      </c>
      <c r="P147" s="103">
        <f t="shared" si="64"/>
        <v>0</v>
      </c>
      <c r="Q147" s="103">
        <f t="shared" si="64"/>
        <v>0</v>
      </c>
      <c r="R147" s="103">
        <f t="shared" si="64"/>
        <v>0</v>
      </c>
      <c r="S147" s="103">
        <f t="shared" si="64"/>
        <v>0</v>
      </c>
      <c r="T147" s="103">
        <f t="shared" si="64"/>
        <v>0</v>
      </c>
      <c r="U147" s="103">
        <f t="shared" si="64"/>
        <v>0</v>
      </c>
      <c r="V147" s="103">
        <f t="shared" si="64"/>
        <v>0</v>
      </c>
      <c r="W147" s="103">
        <f t="shared" ref="W147:Y147" si="65">IF(W26=0,0,W26/W$17)</f>
        <v>0</v>
      </c>
      <c r="X147" s="103">
        <f t="shared" si="65"/>
        <v>0</v>
      </c>
      <c r="Y147" s="103">
        <f t="shared" si="65"/>
        <v>0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0</v>
      </c>
      <c r="E148" s="103">
        <f t="shared" si="66"/>
        <v>0</v>
      </c>
      <c r="F148" s="103">
        <f t="shared" si="66"/>
        <v>0</v>
      </c>
      <c r="G148" s="103">
        <f t="shared" si="66"/>
        <v>0</v>
      </c>
      <c r="H148" s="103">
        <f t="shared" si="66"/>
        <v>8.6807068521580373E-7</v>
      </c>
      <c r="I148" s="103">
        <f t="shared" si="66"/>
        <v>2.9823897331627432E-5</v>
      </c>
      <c r="J148" s="103">
        <f t="shared" si="66"/>
        <v>6.6095005822704172E-5</v>
      </c>
      <c r="K148" s="103">
        <f t="shared" si="66"/>
        <v>1.3136941849520637E-4</v>
      </c>
      <c r="L148" s="103">
        <f t="shared" ref="L148" si="67">IF(L27=0,0,L27/L$17)</f>
        <v>1.6444350999951043E-4</v>
      </c>
      <c r="M148" s="103">
        <f t="shared" ref="M148:V148" si="68">IF(M27=0,0,M27/M$17)</f>
        <v>1.5649448786111649E-4</v>
      </c>
      <c r="N148" s="103">
        <f t="shared" si="68"/>
        <v>3.0535406248921918E-4</v>
      </c>
      <c r="O148" s="103">
        <f t="shared" si="68"/>
        <v>2.4432728621733908E-4</v>
      </c>
      <c r="P148" s="103">
        <f t="shared" si="68"/>
        <v>2.8395417567037543E-4</v>
      </c>
      <c r="Q148" s="103">
        <f t="shared" si="68"/>
        <v>3.2176082849031816E-4</v>
      </c>
      <c r="R148" s="103">
        <f t="shared" si="68"/>
        <v>3.2450695838274102E-4</v>
      </c>
      <c r="S148" s="103">
        <f t="shared" si="68"/>
        <v>5.553933087031692E-4</v>
      </c>
      <c r="T148" s="103">
        <f t="shared" si="68"/>
        <v>1.0903319117728351E-3</v>
      </c>
      <c r="U148" s="103">
        <f t="shared" si="68"/>
        <v>2.1170115015407519E-3</v>
      </c>
      <c r="V148" s="103">
        <f t="shared" si="68"/>
        <v>3.6941545000087313E-3</v>
      </c>
      <c r="W148" s="103">
        <f t="shared" ref="W148:Y148" si="69">IF(W27=0,0,W27/W$17)</f>
        <v>4.4014696710200406E-3</v>
      </c>
      <c r="X148" s="103">
        <f t="shared" si="69"/>
        <v>6.01024791548247E-3</v>
      </c>
      <c r="Y148" s="103">
        <f t="shared" si="69"/>
        <v>6.6825405378802731E-3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0</v>
      </c>
      <c r="N149" s="103">
        <f t="shared" si="72"/>
        <v>8.6528590709488613E-6</v>
      </c>
      <c r="O149" s="103">
        <f t="shared" si="72"/>
        <v>2.0137012363559158E-5</v>
      </c>
      <c r="P149" s="103">
        <f t="shared" si="72"/>
        <v>4.3438840794577346E-5</v>
      </c>
      <c r="Q149" s="103">
        <f t="shared" si="72"/>
        <v>8.5678075957259121E-5</v>
      </c>
      <c r="R149" s="103">
        <f t="shared" si="72"/>
        <v>1.9595977279804553E-4</v>
      </c>
      <c r="S149" s="103">
        <f t="shared" si="72"/>
        <v>4.6752825939408194E-4</v>
      </c>
      <c r="T149" s="103">
        <f t="shared" si="72"/>
        <v>1.0563607865848978E-3</v>
      </c>
      <c r="U149" s="103">
        <f t="shared" si="72"/>
        <v>1.8756368850478854E-3</v>
      </c>
      <c r="V149" s="103">
        <f t="shared" si="72"/>
        <v>3.2256108924027388E-3</v>
      </c>
      <c r="W149" s="103">
        <f t="shared" ref="W149:Y149" si="73">IF(W29=0,0,W29/W$17)</f>
        <v>5.042269666256022E-3</v>
      </c>
      <c r="X149" s="103">
        <f t="shared" si="73"/>
        <v>6.7917585172903271E-3</v>
      </c>
      <c r="Y149" s="103">
        <f t="shared" si="73"/>
        <v>7.3184874496303419E-3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1.5266857478222661E-7</v>
      </c>
      <c r="J150" s="103">
        <f t="shared" si="74"/>
        <v>3.7437786807708624E-7</v>
      </c>
      <c r="K150" s="103">
        <f t="shared" si="74"/>
        <v>7.184737001739527E-7</v>
      </c>
      <c r="L150" s="103">
        <f t="shared" ref="L150" si="75">IF(L32=0,0,L32/L$17)</f>
        <v>1.2316013866965657E-6</v>
      </c>
      <c r="M150" s="103">
        <f t="shared" ref="M150:V150" si="76">IF(M32=0,0,M32/M$17)</f>
        <v>3.0395589719475313E-6</v>
      </c>
      <c r="N150" s="103">
        <f t="shared" si="76"/>
        <v>5.9043222718830051E-6</v>
      </c>
      <c r="O150" s="103">
        <f t="shared" si="76"/>
        <v>9.2266212794769673E-6</v>
      </c>
      <c r="P150" s="103">
        <f t="shared" si="76"/>
        <v>2.0020999492972976E-5</v>
      </c>
      <c r="Q150" s="103">
        <f t="shared" si="76"/>
        <v>3.6704679754392883E-5</v>
      </c>
      <c r="R150" s="103">
        <f t="shared" si="76"/>
        <v>4.8654569021703364E-5</v>
      </c>
      <c r="S150" s="103">
        <f t="shared" si="76"/>
        <v>8.1136023731695744E-5</v>
      </c>
      <c r="T150" s="103">
        <f t="shared" si="76"/>
        <v>1.3428079965597647E-4</v>
      </c>
      <c r="U150" s="103">
        <f t="shared" si="76"/>
        <v>2.5198698230032273E-4</v>
      </c>
      <c r="V150" s="103">
        <f t="shared" si="76"/>
        <v>5.5538458997721175E-4</v>
      </c>
      <c r="W150" s="103">
        <f t="shared" ref="W150:Y150" si="77">IF(W32=0,0,W32/W$17)</f>
        <v>1.4101176539788151E-3</v>
      </c>
      <c r="X150" s="103">
        <f t="shared" si="77"/>
        <v>3.1152427641827261E-3</v>
      </c>
      <c r="Y150" s="103">
        <f t="shared" si="77"/>
        <v>4.8869166661004871E-3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6.1588156943315493E-2</v>
      </c>
      <c r="C151" s="156">
        <f t="shared" si="78"/>
        <v>5.9317979424541901E-2</v>
      </c>
      <c r="D151" s="156">
        <f t="shared" si="78"/>
        <v>5.8712088690613694E-2</v>
      </c>
      <c r="E151" s="156">
        <f t="shared" si="78"/>
        <v>5.9393061191154638E-2</v>
      </c>
      <c r="F151" s="156">
        <f t="shared" si="78"/>
        <v>5.9885378146037629E-2</v>
      </c>
      <c r="G151" s="156">
        <f t="shared" si="78"/>
        <v>5.8978805023515449E-2</v>
      </c>
      <c r="H151" s="156">
        <f t="shared" si="78"/>
        <v>6.0348843734609151E-2</v>
      </c>
      <c r="I151" s="156">
        <f t="shared" si="78"/>
        <v>6.0717538640066765E-2</v>
      </c>
      <c r="J151" s="156">
        <f t="shared" si="78"/>
        <v>6.2601364695976366E-2</v>
      </c>
      <c r="K151" s="156">
        <f t="shared" si="78"/>
        <v>6.702089525770008E-2</v>
      </c>
      <c r="L151" s="156">
        <f t="shared" ref="L151" si="79">IF(L33=0,0,L33/L$17)</f>
        <v>6.7456885257112589E-2</v>
      </c>
      <c r="M151" s="156">
        <f t="shared" ref="M151:V151" si="80">IF(M33=0,0,M33/M$17)</f>
        <v>6.916589674644906E-2</v>
      </c>
      <c r="N151" s="156">
        <f t="shared" si="80"/>
        <v>7.3559748890446669E-2</v>
      </c>
      <c r="O151" s="156">
        <f t="shared" si="80"/>
        <v>7.5289356971460553E-2</v>
      </c>
      <c r="P151" s="156">
        <f t="shared" si="80"/>
        <v>7.914768052432751E-2</v>
      </c>
      <c r="Q151" s="156">
        <f t="shared" si="80"/>
        <v>8.2212194292285518E-2</v>
      </c>
      <c r="R151" s="156">
        <f t="shared" si="80"/>
        <v>8.6489045122111904E-2</v>
      </c>
      <c r="S151" s="156">
        <f t="shared" si="80"/>
        <v>8.6377703886949903E-2</v>
      </c>
      <c r="T151" s="156">
        <f t="shared" si="80"/>
        <v>8.4905838225474553E-2</v>
      </c>
      <c r="U151" s="156">
        <f t="shared" si="80"/>
        <v>8.3472763130418168E-2</v>
      </c>
      <c r="V151" s="156">
        <f t="shared" si="80"/>
        <v>7.6522608460642585E-2</v>
      </c>
      <c r="W151" s="156">
        <f t="shared" ref="W151:Y151" si="81">IF(W33=0,0,W33/W$17)</f>
        <v>6.7286612297574974E-2</v>
      </c>
      <c r="X151" s="156">
        <f t="shared" si="81"/>
        <v>7.6107194428921082E-2</v>
      </c>
      <c r="Y151" s="156">
        <f t="shared" si="81"/>
        <v>8.0767170497129434E-2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2.5246504250085543E-5</v>
      </c>
      <c r="C152" s="103">
        <f t="shared" si="82"/>
        <v>2.6998451821852713E-5</v>
      </c>
      <c r="D152" s="103">
        <f t="shared" si="82"/>
        <v>2.555743359945632E-5</v>
      </c>
      <c r="E152" s="103">
        <f t="shared" si="82"/>
        <v>2.5151091632040457E-5</v>
      </c>
      <c r="F152" s="103">
        <f t="shared" si="82"/>
        <v>2.5176440473282374E-5</v>
      </c>
      <c r="G152" s="103">
        <f t="shared" si="82"/>
        <v>2.7382609414448921E-5</v>
      </c>
      <c r="H152" s="103">
        <f t="shared" si="82"/>
        <v>2.5343088494584945E-5</v>
      </c>
      <c r="I152" s="103">
        <f t="shared" si="82"/>
        <v>2.5296820979649385E-5</v>
      </c>
      <c r="J152" s="103">
        <f t="shared" si="82"/>
        <v>2.5144011681684224E-5</v>
      </c>
      <c r="K152" s="103">
        <f t="shared" si="82"/>
        <v>2.5532528219315956E-5</v>
      </c>
      <c r="L152" s="103">
        <f t="shared" ref="L152" si="83">IF(L34=0,0,L34/L$17)</f>
        <v>2.5174127548164799E-5</v>
      </c>
      <c r="M152" s="103">
        <f t="shared" ref="M152:V152" si="84">IF(M34=0,0,M34/M$17)</f>
        <v>2.4373275287111244E-5</v>
      </c>
      <c r="N152" s="103">
        <f t="shared" si="84"/>
        <v>2.4859545449442676E-5</v>
      </c>
      <c r="O152" s="103">
        <f t="shared" si="84"/>
        <v>2.467105543844454E-5</v>
      </c>
      <c r="P152" s="103">
        <f t="shared" si="84"/>
        <v>2.5153371243416079E-5</v>
      </c>
      <c r="Q152" s="103">
        <f t="shared" si="84"/>
        <v>2.513748477450752E-5</v>
      </c>
      <c r="R152" s="103">
        <f t="shared" si="84"/>
        <v>2.4603670308408285E-5</v>
      </c>
      <c r="S152" s="103">
        <f t="shared" si="84"/>
        <v>2.4300012388222207E-5</v>
      </c>
      <c r="T152" s="103">
        <f t="shared" si="84"/>
        <v>2.2467533064031559E-5</v>
      </c>
      <c r="U152" s="103">
        <f t="shared" si="84"/>
        <v>2.1139720282162946E-5</v>
      </c>
      <c r="V152" s="103">
        <f t="shared" si="84"/>
        <v>1.8242549985129354E-5</v>
      </c>
      <c r="W152" s="103">
        <f t="shared" ref="W152:Y152" si="85">IF(W34=0,0,W34/W$17)</f>
        <v>1.4951117695952781E-5</v>
      </c>
      <c r="X152" s="103">
        <f t="shared" si="85"/>
        <v>1.7020516437869618E-5</v>
      </c>
      <c r="Y152" s="103">
        <f t="shared" si="85"/>
        <v>1.7777086813412246E-5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6.1077106427983467E-2</v>
      </c>
      <c r="C153" s="103">
        <f t="shared" si="86"/>
        <v>5.8814563737387804E-2</v>
      </c>
      <c r="D153" s="103">
        <f t="shared" si="86"/>
        <v>5.7985584337556316E-2</v>
      </c>
      <c r="E153" s="103">
        <f t="shared" si="86"/>
        <v>5.8677978115810894E-2</v>
      </c>
      <c r="F153" s="103">
        <f t="shared" si="86"/>
        <v>5.9189859810189843E-2</v>
      </c>
      <c r="G153" s="103">
        <f t="shared" si="86"/>
        <v>5.8282784353165661E-2</v>
      </c>
      <c r="H153" s="103">
        <f t="shared" si="86"/>
        <v>5.9443839034551187E-2</v>
      </c>
      <c r="I153" s="103">
        <f t="shared" si="86"/>
        <v>5.9870911543396056E-2</v>
      </c>
      <c r="J153" s="103">
        <f t="shared" si="86"/>
        <v>6.155275929769672E-2</v>
      </c>
      <c r="K153" s="103">
        <f t="shared" si="86"/>
        <v>6.5778632606350057E-2</v>
      </c>
      <c r="L153" s="103">
        <f t="shared" ref="L153" si="87">IF(L36=0,0,L36/L$17)</f>
        <v>6.6299242657508153E-2</v>
      </c>
      <c r="M153" s="103">
        <f t="shared" ref="M153:V153" si="88">IF(M36=0,0,M36/M$17)</f>
        <v>6.8431875006180781E-2</v>
      </c>
      <c r="N153" s="103">
        <f t="shared" si="88"/>
        <v>7.2417914017723725E-2</v>
      </c>
      <c r="O153" s="103">
        <f t="shared" si="88"/>
        <v>7.4632354315187249E-2</v>
      </c>
      <c r="P153" s="103">
        <f t="shared" si="88"/>
        <v>7.8436800469861109E-2</v>
      </c>
      <c r="Q153" s="103">
        <f t="shared" si="88"/>
        <v>8.1578154937498787E-2</v>
      </c>
      <c r="R153" s="103">
        <f t="shared" si="88"/>
        <v>8.573481990076158E-2</v>
      </c>
      <c r="S153" s="103">
        <f t="shared" si="88"/>
        <v>8.5598649273623914E-2</v>
      </c>
      <c r="T153" s="103">
        <f t="shared" si="88"/>
        <v>8.4051477662576368E-2</v>
      </c>
      <c r="U153" s="103">
        <f t="shared" si="88"/>
        <v>8.238169687576076E-2</v>
      </c>
      <c r="V153" s="103">
        <f t="shared" si="88"/>
        <v>7.5433159573409445E-2</v>
      </c>
      <c r="W153" s="103">
        <f t="shared" ref="W153:Y153" si="89">IF(W36=0,0,W36/W$17)</f>
        <v>6.5672915856925598E-2</v>
      </c>
      <c r="X153" s="103">
        <f t="shared" si="89"/>
        <v>7.3195484462986266E-2</v>
      </c>
      <c r="Y153" s="103">
        <f t="shared" si="89"/>
        <v>7.710676919916172E-2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0</v>
      </c>
      <c r="D154" s="103">
        <f t="shared" si="90"/>
        <v>0</v>
      </c>
      <c r="E154" s="103">
        <f t="shared" si="90"/>
        <v>0</v>
      </c>
      <c r="F154" s="103">
        <f t="shared" si="90"/>
        <v>0</v>
      </c>
      <c r="G154" s="103">
        <f t="shared" si="90"/>
        <v>0</v>
      </c>
      <c r="H154" s="103">
        <f t="shared" si="90"/>
        <v>0</v>
      </c>
      <c r="I154" s="103">
        <f t="shared" si="90"/>
        <v>0</v>
      </c>
      <c r="J154" s="103">
        <f t="shared" si="90"/>
        <v>0</v>
      </c>
      <c r="K154" s="103">
        <f t="shared" si="90"/>
        <v>0</v>
      </c>
      <c r="L154" s="103">
        <f t="shared" ref="L154" si="91">IF(L38=0,0,L38/L$17)</f>
        <v>0</v>
      </c>
      <c r="M154" s="103">
        <f t="shared" ref="M154:V154" si="92">IF(M38=0,0,M38/M$17)</f>
        <v>0</v>
      </c>
      <c r="N154" s="103">
        <f t="shared" si="92"/>
        <v>0</v>
      </c>
      <c r="O154" s="103">
        <f t="shared" si="92"/>
        <v>0</v>
      </c>
      <c r="P154" s="103">
        <f t="shared" si="92"/>
        <v>0</v>
      </c>
      <c r="Q154" s="103">
        <f t="shared" si="92"/>
        <v>0</v>
      </c>
      <c r="R154" s="103">
        <f t="shared" si="92"/>
        <v>0</v>
      </c>
      <c r="S154" s="103">
        <f t="shared" si="92"/>
        <v>0</v>
      </c>
      <c r="T154" s="103">
        <f t="shared" si="92"/>
        <v>0</v>
      </c>
      <c r="U154" s="103">
        <f t="shared" si="92"/>
        <v>0</v>
      </c>
      <c r="V154" s="103">
        <f t="shared" si="92"/>
        <v>0</v>
      </c>
      <c r="W154" s="103">
        <f t="shared" ref="W154:Y154" si="93">IF(W38=0,0,W38/W$17)</f>
        <v>0</v>
      </c>
      <c r="X154" s="103">
        <f t="shared" si="93"/>
        <v>0</v>
      </c>
      <c r="Y154" s="103">
        <f t="shared" si="93"/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4.8580401108193772E-4</v>
      </c>
      <c r="C155" s="103">
        <f t="shared" si="94"/>
        <v>4.7641723533224374E-4</v>
      </c>
      <c r="D155" s="103">
        <f t="shared" si="94"/>
        <v>7.0094691945791576E-4</v>
      </c>
      <c r="E155" s="103">
        <f t="shared" si="94"/>
        <v>6.8993198371170147E-4</v>
      </c>
      <c r="F155" s="103">
        <f t="shared" si="94"/>
        <v>6.7034189537450899E-4</v>
      </c>
      <c r="G155" s="103">
        <f t="shared" si="94"/>
        <v>6.6863806093534666E-4</v>
      </c>
      <c r="H155" s="103">
        <f t="shared" si="94"/>
        <v>8.7966161156337926E-4</v>
      </c>
      <c r="I155" s="103">
        <f t="shared" si="94"/>
        <v>8.2133027569105711E-4</v>
      </c>
      <c r="J155" s="103">
        <f t="shared" si="94"/>
        <v>1.0234613865979542E-3</v>
      </c>
      <c r="K155" s="103">
        <f t="shared" si="94"/>
        <v>1.2167301231307006E-3</v>
      </c>
      <c r="L155" s="103">
        <f t="shared" ref="L155" si="95">IF(L39=0,0,L39/L$17)</f>
        <v>1.1324684720562662E-3</v>
      </c>
      <c r="M155" s="103">
        <f t="shared" ref="M155:V155" si="96">IF(M39=0,0,M39/M$17)</f>
        <v>7.0964846498116653E-4</v>
      </c>
      <c r="N155" s="103">
        <f t="shared" si="96"/>
        <v>1.093217619526968E-3</v>
      </c>
      <c r="O155" s="103">
        <f t="shared" si="96"/>
        <v>6.2054280684880475E-4</v>
      </c>
      <c r="P155" s="103">
        <f t="shared" si="96"/>
        <v>6.6558683459969699E-4</v>
      </c>
      <c r="Q155" s="103">
        <f t="shared" si="96"/>
        <v>5.846844640812626E-4</v>
      </c>
      <c r="R155" s="103">
        <f t="shared" si="96"/>
        <v>6.6627246741713753E-4</v>
      </c>
      <c r="S155" s="103">
        <f t="shared" si="96"/>
        <v>6.605034888978997E-4</v>
      </c>
      <c r="T155" s="103">
        <f t="shared" si="96"/>
        <v>7.4077872574580795E-4</v>
      </c>
      <c r="U155" s="103">
        <f t="shared" si="96"/>
        <v>8.3218432853820004E-4</v>
      </c>
      <c r="V155" s="103">
        <f t="shared" si="96"/>
        <v>7.5782124071913841E-4</v>
      </c>
      <c r="W155" s="103">
        <f t="shared" ref="W155:Y155" si="97">IF(W39=0,0,W39/W$17)</f>
        <v>7.2358693938676902E-4</v>
      </c>
      <c r="X155" s="103">
        <f t="shared" si="97"/>
        <v>1.0033488923004816E-3</v>
      </c>
      <c r="Y155" s="103">
        <f t="shared" si="97"/>
        <v>1.2740496572184357E-3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0</v>
      </c>
      <c r="C156" s="103">
        <f t="shared" si="98"/>
        <v>0</v>
      </c>
      <c r="D156" s="103">
        <f t="shared" si="98"/>
        <v>0</v>
      </c>
      <c r="E156" s="103">
        <f t="shared" si="98"/>
        <v>0</v>
      </c>
      <c r="F156" s="103">
        <f t="shared" si="98"/>
        <v>0</v>
      </c>
      <c r="G156" s="103">
        <f t="shared" si="98"/>
        <v>0</v>
      </c>
      <c r="H156" s="103">
        <f t="shared" si="98"/>
        <v>0</v>
      </c>
      <c r="I156" s="103">
        <f t="shared" si="98"/>
        <v>0</v>
      </c>
      <c r="J156" s="103">
        <f t="shared" si="98"/>
        <v>0</v>
      </c>
      <c r="K156" s="103">
        <f t="shared" si="98"/>
        <v>0</v>
      </c>
      <c r="L156" s="103">
        <f t="shared" ref="L156" si="99">IF(L41=0,0,L41/L$17)</f>
        <v>0</v>
      </c>
      <c r="M156" s="103">
        <f t="shared" ref="M156:V156" si="100">IF(M41=0,0,M41/M$17)</f>
        <v>0</v>
      </c>
      <c r="N156" s="103">
        <f t="shared" si="100"/>
        <v>2.3757707746522812E-5</v>
      </c>
      <c r="O156" s="103">
        <f t="shared" si="100"/>
        <v>1.1788793986051617E-5</v>
      </c>
      <c r="P156" s="103">
        <f t="shared" si="100"/>
        <v>2.0139848623291381E-5</v>
      </c>
      <c r="Q156" s="103">
        <f t="shared" si="100"/>
        <v>2.4217405930961491E-5</v>
      </c>
      <c r="R156" s="103">
        <f t="shared" si="100"/>
        <v>6.3349083624792102E-5</v>
      </c>
      <c r="S156" s="103">
        <f t="shared" si="100"/>
        <v>9.4251112039875535E-5</v>
      </c>
      <c r="T156" s="103">
        <f t="shared" si="100"/>
        <v>9.1114304088339343E-5</v>
      </c>
      <c r="U156" s="103">
        <f t="shared" si="100"/>
        <v>2.3774220583703954E-4</v>
      </c>
      <c r="V156" s="103">
        <f t="shared" si="100"/>
        <v>3.1338509652888169E-4</v>
      </c>
      <c r="W156" s="103">
        <f t="shared" ref="W156:Y156" si="101">IF(W41=0,0,W41/W$17)</f>
        <v>8.7515838356665718E-4</v>
      </c>
      <c r="X156" s="103">
        <f t="shared" si="101"/>
        <v>1.8913405571964598E-3</v>
      </c>
      <c r="Y156" s="103">
        <f t="shared" si="101"/>
        <v>2.368574553935859E-3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0.34046176105779369</v>
      </c>
      <c r="C157" s="46">
        <f t="shared" si="102"/>
        <v>0.34419671048016431</v>
      </c>
      <c r="D157" s="46">
        <f t="shared" si="102"/>
        <v>0.34167623216244492</v>
      </c>
      <c r="E157" s="46">
        <f t="shared" si="102"/>
        <v>0.33900692147119205</v>
      </c>
      <c r="F157" s="46">
        <f t="shared" si="102"/>
        <v>0.34202796592199264</v>
      </c>
      <c r="G157" s="46">
        <f t="shared" si="102"/>
        <v>0.33895115114400182</v>
      </c>
      <c r="H157" s="46">
        <f t="shared" si="102"/>
        <v>0.33296177473045158</v>
      </c>
      <c r="I157" s="46">
        <f t="shared" si="102"/>
        <v>0.33210641732045887</v>
      </c>
      <c r="J157" s="46">
        <f t="shared" si="102"/>
        <v>0.3316350967096115</v>
      </c>
      <c r="K157" s="46">
        <f t="shared" si="102"/>
        <v>0.30706530888779365</v>
      </c>
      <c r="L157" s="46">
        <f t="shared" ref="L157" si="103">IF(L42=0,0,L42/L$17)</f>
        <v>0.31929432784600348</v>
      </c>
      <c r="M157" s="46">
        <f t="shared" ref="M157:V157" si="104">IF(M42=0,0,M42/M$17)</f>
        <v>0.30930513812768656</v>
      </c>
      <c r="N157" s="46">
        <f t="shared" si="104"/>
        <v>0.29741042137448459</v>
      </c>
      <c r="O157" s="46">
        <f t="shared" si="104"/>
        <v>0.29973138025098506</v>
      </c>
      <c r="P157" s="46">
        <f t="shared" si="104"/>
        <v>0.29156021962690915</v>
      </c>
      <c r="Q157" s="46">
        <f t="shared" si="104"/>
        <v>0.28233047533759403</v>
      </c>
      <c r="R157" s="46">
        <f t="shared" si="104"/>
        <v>0.30171505507534169</v>
      </c>
      <c r="S157" s="46">
        <f t="shared" si="104"/>
        <v>0.29851527816243584</v>
      </c>
      <c r="T157" s="46">
        <f t="shared" si="104"/>
        <v>0.30108882658086977</v>
      </c>
      <c r="U157" s="46">
        <f t="shared" si="104"/>
        <v>0.30262678634400153</v>
      </c>
      <c r="V157" s="46">
        <f t="shared" si="104"/>
        <v>0.31336735969608731</v>
      </c>
      <c r="W157" s="46">
        <f t="shared" ref="W157:Y157" si="105">IF(W42=0,0,W42/W$17)</f>
        <v>0.32908840132566786</v>
      </c>
      <c r="X157" s="46">
        <f t="shared" si="105"/>
        <v>0.32968350112651279</v>
      </c>
      <c r="Y157" s="46">
        <f t="shared" si="105"/>
        <v>0.31429046843026509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0.11482422474903796</v>
      </c>
      <c r="C158" s="154">
        <f t="shared" si="106"/>
        <v>0.11248283093268324</v>
      </c>
      <c r="D158" s="154">
        <f t="shared" si="106"/>
        <v>0.11021774427674454</v>
      </c>
      <c r="E158" s="154">
        <f t="shared" si="106"/>
        <v>0.10856741015847132</v>
      </c>
      <c r="F158" s="154">
        <f t="shared" si="106"/>
        <v>0.11248090225480074</v>
      </c>
      <c r="G158" s="154">
        <f t="shared" si="106"/>
        <v>0.11239225443927124</v>
      </c>
      <c r="H158" s="154">
        <f t="shared" si="106"/>
        <v>0.11343101455307254</v>
      </c>
      <c r="I158" s="154">
        <f t="shared" si="106"/>
        <v>0.11608100786147993</v>
      </c>
      <c r="J158" s="154">
        <f t="shared" si="106"/>
        <v>0.12238716762041139</v>
      </c>
      <c r="K158" s="154">
        <f t="shared" si="106"/>
        <v>0.12573614116830653</v>
      </c>
      <c r="L158" s="154">
        <f t="shared" ref="L158" si="107">IF(L43=0,0,L43/L$17)</f>
        <v>0.12786871095562904</v>
      </c>
      <c r="M158" s="154">
        <f t="shared" ref="M158:V158" si="108">IF(M43=0,0,M43/M$17)</f>
        <v>0.13464361777969364</v>
      </c>
      <c r="N158" s="154">
        <f t="shared" si="108"/>
        <v>0.13915356264069909</v>
      </c>
      <c r="O158" s="154">
        <f t="shared" si="108"/>
        <v>0.14335467102527438</v>
      </c>
      <c r="P158" s="154">
        <f t="shared" si="108"/>
        <v>0.14674605276831196</v>
      </c>
      <c r="Q158" s="154">
        <f t="shared" si="108"/>
        <v>0.1503126519790936</v>
      </c>
      <c r="R158" s="154">
        <f t="shared" si="108"/>
        <v>0.15280419078166171</v>
      </c>
      <c r="S158" s="154">
        <f t="shared" si="108"/>
        <v>0.15276195928575953</v>
      </c>
      <c r="T158" s="154">
        <f t="shared" si="108"/>
        <v>0.15740759094222684</v>
      </c>
      <c r="U158" s="154">
        <f t="shared" si="108"/>
        <v>0.16197741714684225</v>
      </c>
      <c r="V158" s="154">
        <f t="shared" si="108"/>
        <v>0.17220244082913694</v>
      </c>
      <c r="W158" s="154">
        <f t="shared" ref="W158:Y158" si="109">IF(W43=0,0,W43/W$17)</f>
        <v>0.17744945314003421</v>
      </c>
      <c r="X158" s="154">
        <f t="shared" si="109"/>
        <v>0.17960420218328296</v>
      </c>
      <c r="Y158" s="154">
        <f t="shared" si="109"/>
        <v>0.18111304089076874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1.091560383247293E-2</v>
      </c>
      <c r="C159" s="103">
        <f t="shared" si="110"/>
        <v>1.0097973697506587E-2</v>
      </c>
      <c r="D159" s="103">
        <f t="shared" si="110"/>
        <v>9.299019465063587E-3</v>
      </c>
      <c r="E159" s="103">
        <f t="shared" si="110"/>
        <v>8.444904209657933E-3</v>
      </c>
      <c r="F159" s="103">
        <f t="shared" si="110"/>
        <v>7.6368610199778492E-3</v>
      </c>
      <c r="G159" s="103">
        <f t="shared" si="110"/>
        <v>7.2968999135573833E-3</v>
      </c>
      <c r="H159" s="103">
        <f t="shared" si="110"/>
        <v>6.5737428984986718E-3</v>
      </c>
      <c r="I159" s="103">
        <f t="shared" si="110"/>
        <v>5.9660091586958711E-3</v>
      </c>
      <c r="J159" s="103">
        <f t="shared" si="110"/>
        <v>6.0762059013660559E-3</v>
      </c>
      <c r="K159" s="103">
        <f t="shared" si="110"/>
        <v>5.9357706737708377E-3</v>
      </c>
      <c r="L159" s="103">
        <f t="shared" ref="L159" si="111">IF(L44=0,0,L44/L$17)</f>
        <v>5.6283691219686507E-3</v>
      </c>
      <c r="M159" s="103">
        <f t="shared" ref="M159:V159" si="112">IF(M44=0,0,M44/M$17)</f>
        <v>5.5315650424136685E-3</v>
      </c>
      <c r="N159" s="103">
        <f t="shared" si="112"/>
        <v>5.4664572175622149E-3</v>
      </c>
      <c r="O159" s="103">
        <f t="shared" si="112"/>
        <v>5.2218181975956061E-3</v>
      </c>
      <c r="P159" s="103">
        <f t="shared" si="112"/>
        <v>5.134060039219371E-3</v>
      </c>
      <c r="Q159" s="103">
        <f t="shared" si="112"/>
        <v>5.0107534226548362E-3</v>
      </c>
      <c r="R159" s="103">
        <f t="shared" si="112"/>
        <v>4.7904396181071536E-3</v>
      </c>
      <c r="S159" s="103">
        <f t="shared" si="112"/>
        <v>4.6808691848637552E-3</v>
      </c>
      <c r="T159" s="103">
        <f t="shared" si="112"/>
        <v>4.544089176650533E-3</v>
      </c>
      <c r="U159" s="103">
        <f t="shared" si="112"/>
        <v>4.5327318042235358E-3</v>
      </c>
      <c r="V159" s="103">
        <f t="shared" si="112"/>
        <v>4.6249266334764064E-3</v>
      </c>
      <c r="W159" s="103">
        <f t="shared" ref="W159:Y159" si="113">IF(W44=0,0,W44/W$17)</f>
        <v>4.4953452387400637E-3</v>
      </c>
      <c r="X159" s="103">
        <f t="shared" si="113"/>
        <v>4.5960859799225231E-3</v>
      </c>
      <c r="Y159" s="103">
        <f t="shared" si="113"/>
        <v>4.6719303641381306E-3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0.10390243864016388</v>
      </c>
      <c r="C160" s="103">
        <f t="shared" si="114"/>
        <v>0.10237773941800092</v>
      </c>
      <c r="D160" s="103">
        <f t="shared" si="114"/>
        <v>0.10091240376686798</v>
      </c>
      <c r="E160" s="103">
        <f t="shared" si="114"/>
        <v>0.10011667166679279</v>
      </c>
      <c r="F160" s="103">
        <f t="shared" si="114"/>
        <v>0.10483875900366282</v>
      </c>
      <c r="G160" s="103">
        <f t="shared" si="114"/>
        <v>0.10508999009480506</v>
      </c>
      <c r="H160" s="103">
        <f t="shared" si="114"/>
        <v>0.1068522253591865</v>
      </c>
      <c r="I160" s="103">
        <f t="shared" si="114"/>
        <v>0.11010795858562455</v>
      </c>
      <c r="J160" s="103">
        <f t="shared" si="114"/>
        <v>0.11629950878673447</v>
      </c>
      <c r="K160" s="103">
        <f t="shared" si="114"/>
        <v>0.11978137042965248</v>
      </c>
      <c r="L160" s="103">
        <f t="shared" ref="L160" si="115">IF(L46=0,0,L46/L$17)</f>
        <v>0.12221572173455356</v>
      </c>
      <c r="M160" s="103">
        <f t="shared" ref="M160:V160" si="116">IF(M46=0,0,M46/M$17)</f>
        <v>0.12908494607345061</v>
      </c>
      <c r="N160" s="103">
        <f t="shared" si="116"/>
        <v>0.1336409945565645</v>
      </c>
      <c r="O160" s="103">
        <f t="shared" si="116"/>
        <v>0.13808662505205999</v>
      </c>
      <c r="P160" s="103">
        <f t="shared" si="116"/>
        <v>0.14155658839584379</v>
      </c>
      <c r="Q160" s="103">
        <f t="shared" si="116"/>
        <v>0.14523569194766436</v>
      </c>
      <c r="R160" s="103">
        <f t="shared" si="116"/>
        <v>0.14793333522090063</v>
      </c>
      <c r="S160" s="103">
        <f t="shared" si="116"/>
        <v>0.14796756335287989</v>
      </c>
      <c r="T160" s="103">
        <f t="shared" si="116"/>
        <v>0.15268189866904947</v>
      </c>
      <c r="U160" s="103">
        <f t="shared" si="116"/>
        <v>0.15716021806864403</v>
      </c>
      <c r="V160" s="103">
        <f t="shared" si="116"/>
        <v>0.16709098748188705</v>
      </c>
      <c r="W160" s="103">
        <f t="shared" ref="W160:Y160" si="117">IF(W46=0,0,W46/W$17)</f>
        <v>0.17232176090000129</v>
      </c>
      <c r="X160" s="103">
        <f t="shared" si="117"/>
        <v>0.17425060938290129</v>
      </c>
      <c r="Y160" s="103">
        <f t="shared" si="117"/>
        <v>0.17549482170418651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0</v>
      </c>
      <c r="C161" s="103">
        <f t="shared" si="118"/>
        <v>0</v>
      </c>
      <c r="D161" s="103">
        <f t="shared" si="118"/>
        <v>0</v>
      </c>
      <c r="E161" s="103">
        <f t="shared" si="118"/>
        <v>0</v>
      </c>
      <c r="F161" s="103">
        <f t="shared" si="118"/>
        <v>0</v>
      </c>
      <c r="G161" s="103">
        <f t="shared" si="118"/>
        <v>0</v>
      </c>
      <c r="H161" s="103">
        <f t="shared" si="118"/>
        <v>0</v>
      </c>
      <c r="I161" s="103">
        <f t="shared" si="118"/>
        <v>0</v>
      </c>
      <c r="J161" s="103">
        <f t="shared" si="118"/>
        <v>0</v>
      </c>
      <c r="K161" s="103">
        <f t="shared" si="118"/>
        <v>0</v>
      </c>
      <c r="L161" s="103">
        <f t="shared" ref="L161" si="119">IF(L48=0,0,L48/L$17)</f>
        <v>0</v>
      </c>
      <c r="M161" s="103">
        <f t="shared" ref="M161:V161" si="120">IF(M48=0,0,M48/M$17)</f>
        <v>0</v>
      </c>
      <c r="N161" s="103">
        <f t="shared" si="120"/>
        <v>0</v>
      </c>
      <c r="O161" s="103">
        <f t="shared" si="120"/>
        <v>0</v>
      </c>
      <c r="P161" s="103">
        <f t="shared" si="120"/>
        <v>0</v>
      </c>
      <c r="Q161" s="103">
        <f t="shared" si="120"/>
        <v>0</v>
      </c>
      <c r="R161" s="103">
        <f t="shared" si="120"/>
        <v>0</v>
      </c>
      <c r="S161" s="103">
        <f t="shared" si="120"/>
        <v>0</v>
      </c>
      <c r="T161" s="103">
        <f t="shared" si="120"/>
        <v>0</v>
      </c>
      <c r="U161" s="103">
        <f t="shared" si="120"/>
        <v>0</v>
      </c>
      <c r="V161" s="103">
        <f t="shared" si="120"/>
        <v>0</v>
      </c>
      <c r="W161" s="103">
        <f t="shared" ref="W161:Y161" si="121">IF(W48=0,0,W48/W$17)</f>
        <v>0</v>
      </c>
      <c r="X161" s="103">
        <f t="shared" si="121"/>
        <v>0</v>
      </c>
      <c r="Y161" s="103">
        <f t="shared" si="121"/>
        <v>0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1.2108862159665688E-6</v>
      </c>
      <c r="D162" s="103">
        <f t="shared" si="122"/>
        <v>1.1800345876676448E-6</v>
      </c>
      <c r="E162" s="103">
        <f t="shared" si="122"/>
        <v>1.1440950773235499E-6</v>
      </c>
      <c r="F162" s="103">
        <f t="shared" si="122"/>
        <v>1.0377570802569178E-6</v>
      </c>
      <c r="G162" s="103">
        <f t="shared" si="122"/>
        <v>1.4575608303297809E-6</v>
      </c>
      <c r="H162" s="103">
        <f t="shared" si="122"/>
        <v>1.3399921840182416E-6</v>
      </c>
      <c r="I162" s="103">
        <f t="shared" si="122"/>
        <v>3.5866835925949848E-6</v>
      </c>
      <c r="J162" s="103">
        <f t="shared" si="122"/>
        <v>7.7241965035752008E-6</v>
      </c>
      <c r="K162" s="103">
        <f t="shared" si="122"/>
        <v>1.501730328171332E-5</v>
      </c>
      <c r="L162" s="103">
        <f t="shared" ref="L162" si="123">IF(L49=0,0,L49/L$17)</f>
        <v>2.0540988239450413E-5</v>
      </c>
      <c r="M162" s="103">
        <f t="shared" ref="M162:V162" si="124">IF(M49=0,0,M49/M$17)</f>
        <v>2.2977361196794889E-5</v>
      </c>
      <c r="N162" s="103">
        <f t="shared" si="124"/>
        <v>4.1488546474888202E-5</v>
      </c>
      <c r="O162" s="103">
        <f t="shared" si="124"/>
        <v>4.1493645175637576E-5</v>
      </c>
      <c r="P162" s="103">
        <f t="shared" si="124"/>
        <v>4.9596470635272979E-5</v>
      </c>
      <c r="Q162" s="103">
        <f t="shared" si="124"/>
        <v>5.8512688274613076E-5</v>
      </c>
      <c r="R162" s="103">
        <f t="shared" si="124"/>
        <v>7.0055180128138811E-5</v>
      </c>
      <c r="S162" s="103">
        <f t="shared" si="124"/>
        <v>1.0130830244295559E-4</v>
      </c>
      <c r="T162" s="103">
        <f t="shared" si="124"/>
        <v>1.6655742744065433E-4</v>
      </c>
      <c r="U162" s="103">
        <f t="shared" si="124"/>
        <v>2.6513486312115261E-4</v>
      </c>
      <c r="V162" s="103">
        <f t="shared" si="124"/>
        <v>4.600505443605609E-4</v>
      </c>
      <c r="W162" s="103">
        <f t="shared" ref="W162:Y162" si="125">IF(W49=0,0,W49/W$17)</f>
        <v>5.7842201450448527E-4</v>
      </c>
      <c r="X162" s="103">
        <f t="shared" si="125"/>
        <v>6.5897652503710605E-4</v>
      </c>
      <c r="Y162" s="103">
        <f t="shared" si="125"/>
        <v>7.2623388185133605E-4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6.1822764011374382E-6</v>
      </c>
      <c r="C163" s="103">
        <f t="shared" si="126"/>
        <v>5.9069309597725486E-6</v>
      </c>
      <c r="D163" s="103">
        <f t="shared" si="126"/>
        <v>5.1410102252925352E-6</v>
      </c>
      <c r="E163" s="103">
        <f t="shared" si="126"/>
        <v>4.6901869432599775E-6</v>
      </c>
      <c r="F163" s="103">
        <f t="shared" si="126"/>
        <v>4.2444740798220085E-6</v>
      </c>
      <c r="G163" s="103">
        <f t="shared" si="126"/>
        <v>3.9068700784799864E-6</v>
      </c>
      <c r="H163" s="103">
        <f t="shared" si="126"/>
        <v>3.7063032033627692E-6</v>
      </c>
      <c r="I163" s="103">
        <f t="shared" si="126"/>
        <v>3.4534335669212981E-6</v>
      </c>
      <c r="J163" s="103">
        <f t="shared" si="126"/>
        <v>3.7287358072997958E-6</v>
      </c>
      <c r="K163" s="103">
        <f t="shared" si="126"/>
        <v>3.9827616015216361E-6</v>
      </c>
      <c r="L163" s="103">
        <f t="shared" ref="L163" si="127">IF(L51=0,0,L51/L$17)</f>
        <v>4.0791108673984445E-6</v>
      </c>
      <c r="M163" s="103">
        <f t="shared" ref="M163:V163" si="128">IF(M51=0,0,M51/M$17)</f>
        <v>4.1293026325432012E-6</v>
      </c>
      <c r="N163" s="103">
        <f t="shared" si="128"/>
        <v>4.6223200974557776E-6</v>
      </c>
      <c r="O163" s="103">
        <f t="shared" si="128"/>
        <v>4.7341304431625436E-6</v>
      </c>
      <c r="P163" s="103">
        <f t="shared" si="128"/>
        <v>5.8078626135197264E-6</v>
      </c>
      <c r="Q163" s="103">
        <f t="shared" si="128"/>
        <v>7.6939204998113526E-6</v>
      </c>
      <c r="R163" s="103">
        <f t="shared" si="128"/>
        <v>1.0360762525791994E-5</v>
      </c>
      <c r="S163" s="103">
        <f t="shared" si="128"/>
        <v>1.2218445572914425E-5</v>
      </c>
      <c r="T163" s="103">
        <f t="shared" si="128"/>
        <v>1.5045669086170103E-5</v>
      </c>
      <c r="U163" s="103">
        <f t="shared" si="128"/>
        <v>1.9332410853526124E-5</v>
      </c>
      <c r="V163" s="103">
        <f t="shared" si="128"/>
        <v>2.6476169412878957E-5</v>
      </c>
      <c r="W163" s="103">
        <f t="shared" ref="W163:Y163" si="129">IF(W51=0,0,W51/W$17)</f>
        <v>5.392498678838477E-5</v>
      </c>
      <c r="X163" s="103">
        <f t="shared" si="129"/>
        <v>9.853029542206342E-5</v>
      </c>
      <c r="Y163" s="103">
        <f t="shared" si="129"/>
        <v>2.2005494059273268E-4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0.22563753630875572</v>
      </c>
      <c r="C164" s="156">
        <f t="shared" si="130"/>
        <v>0.23171387954748104</v>
      </c>
      <c r="D164" s="156">
        <f t="shared" si="130"/>
        <v>0.23145848788570036</v>
      </c>
      <c r="E164" s="156">
        <f t="shared" si="130"/>
        <v>0.23043951131272075</v>
      </c>
      <c r="F164" s="156">
        <f t="shared" si="130"/>
        <v>0.22954706366719194</v>
      </c>
      <c r="G164" s="156">
        <f t="shared" si="130"/>
        <v>0.22655889670473062</v>
      </c>
      <c r="H164" s="156">
        <f t="shared" si="130"/>
        <v>0.21953076017737905</v>
      </c>
      <c r="I164" s="156">
        <f t="shared" si="130"/>
        <v>0.21602540945897894</v>
      </c>
      <c r="J164" s="156">
        <f t="shared" si="130"/>
        <v>0.20924792908920009</v>
      </c>
      <c r="K164" s="156">
        <f t="shared" si="130"/>
        <v>0.18132916771948709</v>
      </c>
      <c r="L164" s="156">
        <f t="shared" ref="L164" si="131">IF(L52=0,0,L52/L$17)</f>
        <v>0.19142561689037443</v>
      </c>
      <c r="M164" s="156">
        <f t="shared" ref="M164:V164" si="132">IF(M52=0,0,M52/M$17)</f>
        <v>0.17466152034799298</v>
      </c>
      <c r="N164" s="156">
        <f t="shared" si="132"/>
        <v>0.1582568587337855</v>
      </c>
      <c r="O164" s="156">
        <f t="shared" si="132"/>
        <v>0.1563767092257107</v>
      </c>
      <c r="P164" s="156">
        <f t="shared" si="132"/>
        <v>0.14481416685859716</v>
      </c>
      <c r="Q164" s="156">
        <f t="shared" si="132"/>
        <v>0.1320178233585004</v>
      </c>
      <c r="R164" s="156">
        <f t="shared" si="132"/>
        <v>0.14891086429367995</v>
      </c>
      <c r="S164" s="156">
        <f t="shared" si="132"/>
        <v>0.14575331887667634</v>
      </c>
      <c r="T164" s="156">
        <f t="shared" si="132"/>
        <v>0.14368123563864293</v>
      </c>
      <c r="U164" s="156">
        <f t="shared" si="132"/>
        <v>0.14064936919715923</v>
      </c>
      <c r="V164" s="156">
        <f t="shared" si="132"/>
        <v>0.14116491886695037</v>
      </c>
      <c r="W164" s="156">
        <f t="shared" ref="W164:Y164" si="133">IF(W52=0,0,W52/W$17)</f>
        <v>0.15163894818563362</v>
      </c>
      <c r="X164" s="156">
        <f t="shared" si="133"/>
        <v>0.15007929894322983</v>
      </c>
      <c r="Y164" s="156">
        <f t="shared" si="133"/>
        <v>0.13317742753949635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0.2169758426596782</v>
      </c>
      <c r="C165" s="104">
        <f t="shared" si="134"/>
        <v>0.22227295419166601</v>
      </c>
      <c r="D165" s="104">
        <f t="shared" si="134"/>
        <v>0.22184704063081354</v>
      </c>
      <c r="E165" s="104">
        <f t="shared" si="134"/>
        <v>0.22062411766702614</v>
      </c>
      <c r="F165" s="104">
        <f t="shared" si="134"/>
        <v>0.21830333717469311</v>
      </c>
      <c r="G165" s="104">
        <f t="shared" si="134"/>
        <v>0.21612199720316561</v>
      </c>
      <c r="H165" s="104">
        <f t="shared" si="134"/>
        <v>0.20801935758700676</v>
      </c>
      <c r="I165" s="104">
        <f t="shared" si="134"/>
        <v>0.20413662882288058</v>
      </c>
      <c r="J165" s="104">
        <f t="shared" si="134"/>
        <v>0.19942107527096878</v>
      </c>
      <c r="K165" s="104">
        <f t="shared" si="134"/>
        <v>0.1728431800644023</v>
      </c>
      <c r="L165" s="104">
        <f t="shared" ref="L165" si="135">IF(L53=0,0,L53/L$17)</f>
        <v>0.18114432102700764</v>
      </c>
      <c r="M165" s="104">
        <f t="shared" ref="M165:V165" si="136">IF(M53=0,0,M53/M$17)</f>
        <v>0.16812279802536773</v>
      </c>
      <c r="N165" s="104">
        <f t="shared" si="136"/>
        <v>0.15062845104831196</v>
      </c>
      <c r="O165" s="104">
        <f t="shared" si="136"/>
        <v>0.14981637991298261</v>
      </c>
      <c r="P165" s="104">
        <f t="shared" si="136"/>
        <v>0.13697247031472223</v>
      </c>
      <c r="Q165" s="104">
        <f t="shared" si="136"/>
        <v>0.12300855704304549</v>
      </c>
      <c r="R165" s="104">
        <f t="shared" si="136"/>
        <v>0.14111220592075877</v>
      </c>
      <c r="S165" s="104">
        <f t="shared" si="136"/>
        <v>0.13909881566290813</v>
      </c>
      <c r="T165" s="104">
        <f t="shared" si="136"/>
        <v>0.13553365020729244</v>
      </c>
      <c r="U165" s="104">
        <f t="shared" si="136"/>
        <v>0.13415424855978531</v>
      </c>
      <c r="V165" s="104">
        <f t="shared" si="136"/>
        <v>0.134304807128236</v>
      </c>
      <c r="W165" s="104">
        <f t="shared" ref="W165:Y165" si="137">IF(W53=0,0,W53/W$17)</f>
        <v>0.14118562963607859</v>
      </c>
      <c r="X165" s="104">
        <f t="shared" si="137"/>
        <v>0.1409995769736396</v>
      </c>
      <c r="Y165" s="104">
        <f t="shared" si="137"/>
        <v>0.12531268224011835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8.661693649077512E-3</v>
      </c>
      <c r="C166" s="105">
        <f t="shared" si="138"/>
        <v>9.4409253558150243E-3</v>
      </c>
      <c r="D166" s="105">
        <f t="shared" si="138"/>
        <v>9.6114472548868377E-3</v>
      </c>
      <c r="E166" s="105">
        <f t="shared" si="138"/>
        <v>9.8153936456946214E-3</v>
      </c>
      <c r="F166" s="105">
        <f t="shared" si="138"/>
        <v>1.1243726492498822E-2</v>
      </c>
      <c r="G166" s="105">
        <f t="shared" si="138"/>
        <v>1.0436899501564994E-2</v>
      </c>
      <c r="H166" s="105">
        <f t="shared" si="138"/>
        <v>1.15114025903723E-2</v>
      </c>
      <c r="I166" s="105">
        <f t="shared" si="138"/>
        <v>1.1888780636098368E-2</v>
      </c>
      <c r="J166" s="105">
        <f t="shared" si="138"/>
        <v>9.8268538182313247E-3</v>
      </c>
      <c r="K166" s="105">
        <f t="shared" si="138"/>
        <v>8.4859876550847993E-3</v>
      </c>
      <c r="L166" s="105">
        <f t="shared" ref="L166" si="139">IF(L55=0,0,L55/L$17)</f>
        <v>1.0281295863366787E-2</v>
      </c>
      <c r="M166" s="105">
        <f t="shared" ref="M166:V166" si="140">IF(M55=0,0,M55/M$17)</f>
        <v>6.538722322625241E-3</v>
      </c>
      <c r="N166" s="105">
        <f t="shared" si="140"/>
        <v>7.6284076854735219E-3</v>
      </c>
      <c r="O166" s="105">
        <f t="shared" si="140"/>
        <v>6.5603293127281205E-3</v>
      </c>
      <c r="P166" s="105">
        <f t="shared" si="140"/>
        <v>7.8416965438749334E-3</v>
      </c>
      <c r="Q166" s="105">
        <f t="shared" si="140"/>
        <v>9.0092663154549141E-3</v>
      </c>
      <c r="R166" s="105">
        <f t="shared" si="140"/>
        <v>7.7986583729211956E-3</v>
      </c>
      <c r="S166" s="105">
        <f t="shared" si="140"/>
        <v>6.6545032137682167E-3</v>
      </c>
      <c r="T166" s="105">
        <f t="shared" si="140"/>
        <v>8.147585431350501E-3</v>
      </c>
      <c r="U166" s="105">
        <f t="shared" si="140"/>
        <v>6.4951206373739133E-3</v>
      </c>
      <c r="V166" s="105">
        <f t="shared" si="140"/>
        <v>6.8601117387143626E-3</v>
      </c>
      <c r="W166" s="105">
        <f t="shared" ref="W166:Y166" si="141">IF(W55=0,0,W55/W$17)</f>
        <v>1.0453318549555024E-2</v>
      </c>
      <c r="X166" s="105">
        <f t="shared" si="141"/>
        <v>9.079721969590223E-3</v>
      </c>
      <c r="Y166" s="105">
        <f t="shared" si="141"/>
        <v>7.8647452993780027E-3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10638.837878039998</v>
      </c>
      <c r="C4" s="146">
        <f t="shared" si="0"/>
        <v>10822.082572079998</v>
      </c>
      <c r="D4" s="146">
        <f t="shared" si="0"/>
        <v>11040.950881440001</v>
      </c>
      <c r="E4" s="146">
        <f t="shared" si="0"/>
        <v>11211.979085280002</v>
      </c>
      <c r="F4" s="146">
        <f t="shared" si="0"/>
        <v>11543.218045560001</v>
      </c>
      <c r="G4" s="146">
        <f t="shared" si="0"/>
        <v>11581.233695639998</v>
      </c>
      <c r="H4" s="146">
        <f t="shared" si="0"/>
        <v>11738.640234239998</v>
      </c>
      <c r="I4" s="146">
        <f t="shared" si="0"/>
        <v>12121.485846479998</v>
      </c>
      <c r="J4" s="146">
        <f t="shared" si="0"/>
        <v>11613.09799728</v>
      </c>
      <c r="K4" s="146">
        <f t="shared" si="0"/>
        <v>11081.169607319998</v>
      </c>
      <c r="L4" s="146">
        <f t="shared" ref="L4" si="1">L5+L9+L10+L15</f>
        <v>11529.305729639998</v>
      </c>
      <c r="M4" s="146">
        <f t="shared" ref="M4:V4" si="2">M5+M9+M10+M15</f>
        <v>11358.586384100914</v>
      </c>
      <c r="N4" s="146">
        <f t="shared" si="2"/>
        <v>11135.947136935431</v>
      </c>
      <c r="O4" s="146">
        <f t="shared" si="2"/>
        <v>11132.543384750221</v>
      </c>
      <c r="P4" s="146">
        <f t="shared" si="2"/>
        <v>10060.742427861489</v>
      </c>
      <c r="Q4" s="146">
        <f t="shared" si="2"/>
        <v>10066.524383012076</v>
      </c>
      <c r="R4" s="146">
        <f t="shared" si="2"/>
        <v>11311.557346716607</v>
      </c>
      <c r="S4" s="146">
        <f t="shared" si="2"/>
        <v>10667.489669602652</v>
      </c>
      <c r="T4" s="146">
        <f t="shared" si="2"/>
        <v>10841.509912846015</v>
      </c>
      <c r="U4" s="146">
        <f t="shared" si="2"/>
        <v>10444.023931376045</v>
      </c>
      <c r="V4" s="146">
        <f t="shared" si="2"/>
        <v>9843.4488012125421</v>
      </c>
      <c r="W4" s="146">
        <f t="shared" ref="W4:Y4" si="3">W5+W9+W10+W15</f>
        <v>9379.7640645665924</v>
      </c>
      <c r="X4" s="146">
        <f t="shared" si="3"/>
        <v>9184.4778962803648</v>
      </c>
      <c r="Y4" s="146">
        <f t="shared" si="3"/>
        <v>8834.8208617218679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10634.798678039999</v>
      </c>
      <c r="C5" s="101">
        <f t="shared" si="4"/>
        <v>10818.043372079999</v>
      </c>
      <c r="D5" s="101">
        <f t="shared" si="4"/>
        <v>11034.892081440001</v>
      </c>
      <c r="E5" s="101">
        <f t="shared" si="4"/>
        <v>11205.920285280001</v>
      </c>
      <c r="F5" s="101">
        <f t="shared" si="4"/>
        <v>11537.15924556</v>
      </c>
      <c r="G5" s="101">
        <f t="shared" si="4"/>
        <v>11575.174895639997</v>
      </c>
      <c r="H5" s="101">
        <f t="shared" si="4"/>
        <v>11730.561834239998</v>
      </c>
      <c r="I5" s="101">
        <f t="shared" si="4"/>
        <v>12113.407446479998</v>
      </c>
      <c r="J5" s="101">
        <f t="shared" si="4"/>
        <v>11603.000199239999</v>
      </c>
      <c r="K5" s="101">
        <f t="shared" si="4"/>
        <v>11069.052007319999</v>
      </c>
      <c r="L5" s="101">
        <f t="shared" ref="L5" si="5">SUM(L6:L8)</f>
        <v>11517.188129639999</v>
      </c>
      <c r="M5" s="101">
        <f t="shared" ref="M5:V5" si="6">SUM(M6:M8)</f>
        <v>11350.508105160001</v>
      </c>
      <c r="N5" s="101">
        <f t="shared" si="6"/>
        <v>11123.023547159999</v>
      </c>
      <c r="O5" s="101">
        <f t="shared" si="6"/>
        <v>11124.473275439999</v>
      </c>
      <c r="P5" s="101">
        <f t="shared" si="6"/>
        <v>10052.169660000001</v>
      </c>
      <c r="Q5" s="101">
        <f t="shared" si="6"/>
        <v>10058.270059440001</v>
      </c>
      <c r="R5" s="101">
        <f t="shared" si="6"/>
        <v>11302.302291119999</v>
      </c>
      <c r="S5" s="101">
        <f t="shared" si="6"/>
        <v>10656.225652320001</v>
      </c>
      <c r="T5" s="101">
        <f t="shared" si="6"/>
        <v>10825.374081600001</v>
      </c>
      <c r="U5" s="101">
        <f t="shared" si="6"/>
        <v>10418.484258720002</v>
      </c>
      <c r="V5" s="101">
        <f t="shared" si="6"/>
        <v>9811.0259391600011</v>
      </c>
      <c r="W5" s="101">
        <f t="shared" ref="W5:Y5" si="7">SUM(W6:W8)</f>
        <v>9341.69867892</v>
      </c>
      <c r="X5" s="101">
        <f t="shared" si="7"/>
        <v>9139.9084419600003</v>
      </c>
      <c r="Y5" s="101">
        <f t="shared" si="7"/>
        <v>8784.3883201199988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0</v>
      </c>
      <c r="D6" s="101">
        <v>0</v>
      </c>
      <c r="E6" s="101">
        <v>0</v>
      </c>
      <c r="F6" s="101">
        <v>0</v>
      </c>
      <c r="G6" s="101">
        <v>0</v>
      </c>
      <c r="H6" s="101">
        <v>0</v>
      </c>
      <c r="I6" s="101">
        <v>0</v>
      </c>
      <c r="J6" s="101">
        <v>0</v>
      </c>
      <c r="K6" s="101">
        <v>0</v>
      </c>
      <c r="L6" s="101">
        <v>0</v>
      </c>
      <c r="M6" s="101">
        <v>0</v>
      </c>
      <c r="N6" s="101">
        <v>0</v>
      </c>
      <c r="O6" s="101">
        <v>0</v>
      </c>
      <c r="P6" s="101">
        <v>0</v>
      </c>
      <c r="Q6" s="101">
        <v>0</v>
      </c>
      <c r="R6" s="101">
        <v>0</v>
      </c>
      <c r="S6" s="101">
        <v>0</v>
      </c>
      <c r="T6" s="101">
        <v>0</v>
      </c>
      <c r="U6" s="101">
        <v>0</v>
      </c>
      <c r="V6" s="101">
        <v>0</v>
      </c>
      <c r="W6" s="101">
        <v>0</v>
      </c>
      <c r="X6" s="101">
        <v>0</v>
      </c>
      <c r="Y6" s="101">
        <v>0</v>
      </c>
      <c r="DA6" s="175" t="s">
        <v>741</v>
      </c>
    </row>
    <row r="7" spans="1:105" ht="11.45" customHeight="1" x14ac:dyDescent="0.25">
      <c r="A7" s="128" t="s">
        <v>53</v>
      </c>
      <c r="B7" s="101">
        <v>4937.6941891200004</v>
      </c>
      <c r="C7" s="101">
        <v>5006.2320831599991</v>
      </c>
      <c r="D7" s="101">
        <v>5095.6290000000017</v>
      </c>
      <c r="E7" s="101">
        <v>5110.52844456</v>
      </c>
      <c r="F7" s="101">
        <v>5203.7137151999996</v>
      </c>
      <c r="G7" s="101">
        <v>5190.9857445599991</v>
      </c>
      <c r="H7" s="101">
        <v>5144.3838784799982</v>
      </c>
      <c r="I7" s="101">
        <v>5130.5547031199985</v>
      </c>
      <c r="J7" s="101">
        <v>4600.9655445599992</v>
      </c>
      <c r="K7" s="101">
        <v>4434.0911168399989</v>
      </c>
      <c r="L7" s="101">
        <v>4329.7947554399989</v>
      </c>
      <c r="M7" s="101">
        <v>4094.3826831599999</v>
      </c>
      <c r="N7" s="101">
        <v>3933.4680831599985</v>
      </c>
      <c r="O7" s="101">
        <v>4021.1879954400001</v>
      </c>
      <c r="P7" s="101">
        <v>3870.8069400000008</v>
      </c>
      <c r="Q7" s="101">
        <v>3849.7535722800012</v>
      </c>
      <c r="R7" s="101">
        <v>3834.7154168399993</v>
      </c>
      <c r="S7" s="101">
        <v>3684.334610880001</v>
      </c>
      <c r="T7" s="101">
        <v>3630.1974508800008</v>
      </c>
      <c r="U7" s="101">
        <v>3548.9917108800014</v>
      </c>
      <c r="V7" s="101">
        <v>3272.2904491199997</v>
      </c>
      <c r="W7" s="101">
        <v>3296.3515477199994</v>
      </c>
      <c r="X7" s="101">
        <v>3064.7647522800003</v>
      </c>
      <c r="Y7" s="101">
        <v>3064.7647522800003</v>
      </c>
      <c r="DA7" s="175" t="s">
        <v>742</v>
      </c>
    </row>
    <row r="8" spans="1:105" ht="11.45" customHeight="1" x14ac:dyDescent="0.25">
      <c r="A8" s="128" t="s">
        <v>54</v>
      </c>
      <c r="B8" s="101">
        <v>5697.1044889199984</v>
      </c>
      <c r="C8" s="101">
        <v>5811.8112889200011</v>
      </c>
      <c r="D8" s="101">
        <v>5939.26308144</v>
      </c>
      <c r="E8" s="101">
        <v>6095.3918407199999</v>
      </c>
      <c r="F8" s="101">
        <v>6333.4455303599998</v>
      </c>
      <c r="G8" s="101">
        <v>6384.1891510799987</v>
      </c>
      <c r="H8" s="101">
        <v>6586.1779557599984</v>
      </c>
      <c r="I8" s="101">
        <v>6982.8527433599993</v>
      </c>
      <c r="J8" s="101">
        <v>7002.034654680001</v>
      </c>
      <c r="K8" s="101">
        <v>6634.9608904799998</v>
      </c>
      <c r="L8" s="101">
        <v>7187.3933742000008</v>
      </c>
      <c r="M8" s="101">
        <v>7256.125422000001</v>
      </c>
      <c r="N8" s="101">
        <v>7189.5554640000009</v>
      </c>
      <c r="O8" s="101">
        <v>7103.2852800000001</v>
      </c>
      <c r="P8" s="101">
        <v>6181.362720000001</v>
      </c>
      <c r="Q8" s="101">
        <v>6208.51648716</v>
      </c>
      <c r="R8" s="101">
        <v>7467.5868742799994</v>
      </c>
      <c r="S8" s="101">
        <v>6971.8910414400007</v>
      </c>
      <c r="T8" s="101">
        <v>7195.1766307199996</v>
      </c>
      <c r="U8" s="101">
        <v>6869.49254784</v>
      </c>
      <c r="V8" s="101">
        <v>6538.7354900400014</v>
      </c>
      <c r="W8" s="101">
        <v>6045.3471312000001</v>
      </c>
      <c r="X8" s="101">
        <v>6075.1436896799996</v>
      </c>
      <c r="Y8" s="101">
        <v>5719.623567839998</v>
      </c>
      <c r="DA8" s="175" t="s">
        <v>743</v>
      </c>
    </row>
    <row r="9" spans="1:105" ht="11.45" customHeight="1" x14ac:dyDescent="0.25">
      <c r="A9" s="92" t="s">
        <v>55</v>
      </c>
      <c r="B9" s="101">
        <v>4.039200000000001</v>
      </c>
      <c r="C9" s="101">
        <v>4.039200000000001</v>
      </c>
      <c r="D9" s="101">
        <v>6.0587999999999997</v>
      </c>
      <c r="E9" s="101">
        <v>6.0587999999999997</v>
      </c>
      <c r="F9" s="101">
        <v>6.0587999999999997</v>
      </c>
      <c r="G9" s="101">
        <v>6.0587999999999997</v>
      </c>
      <c r="H9" s="101">
        <v>8.0783999999999985</v>
      </c>
      <c r="I9" s="101">
        <v>8.0783999999999985</v>
      </c>
      <c r="J9" s="101">
        <v>10.097798040000002</v>
      </c>
      <c r="K9" s="101">
        <v>12.117599999999999</v>
      </c>
      <c r="L9" s="101">
        <v>12.117599999999999</v>
      </c>
      <c r="M9" s="101">
        <v>8.0782789409134654</v>
      </c>
      <c r="N9" s="101">
        <v>12.923589775432418</v>
      </c>
      <c r="O9" s="101">
        <v>8.0701093102212607</v>
      </c>
      <c r="P9" s="101">
        <v>8.5727678614873941</v>
      </c>
      <c r="Q9" s="101">
        <v>8.2543235720755916</v>
      </c>
      <c r="R9" s="101">
        <v>9.2550555966082779</v>
      </c>
      <c r="S9" s="101">
        <v>11.264017282651329</v>
      </c>
      <c r="T9" s="101">
        <v>16.135831246014106</v>
      </c>
      <c r="U9" s="101">
        <v>25.539672656043678</v>
      </c>
      <c r="V9" s="101">
        <v>32.422862052541184</v>
      </c>
      <c r="W9" s="101">
        <v>38.065385646592375</v>
      </c>
      <c r="X9" s="101">
        <v>44.569454320365182</v>
      </c>
      <c r="Y9" s="101">
        <v>50.432541601868486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10638.837878039998</v>
      </c>
      <c r="C17" s="79">
        <f t="shared" si="12"/>
        <v>10822.082572079998</v>
      </c>
      <c r="D17" s="79">
        <f t="shared" si="12"/>
        <v>11040.950881440003</v>
      </c>
      <c r="E17" s="79">
        <f t="shared" si="12"/>
        <v>11211.97908528</v>
      </c>
      <c r="F17" s="79">
        <f t="shared" si="12"/>
        <v>11543.218045559999</v>
      </c>
      <c r="G17" s="79">
        <f t="shared" si="12"/>
        <v>11581.233695639998</v>
      </c>
      <c r="H17" s="79">
        <f t="shared" si="12"/>
        <v>11738.640234239996</v>
      </c>
      <c r="I17" s="79">
        <f t="shared" si="12"/>
        <v>12121.485846479998</v>
      </c>
      <c r="J17" s="79">
        <f t="shared" si="12"/>
        <v>11613.097997280001</v>
      </c>
      <c r="K17" s="79">
        <f t="shared" si="12"/>
        <v>11081.16960732</v>
      </c>
      <c r="L17" s="79">
        <f t="shared" ref="L17" si="13">SUM(L18,L33)</f>
        <v>11529.30572964</v>
      </c>
      <c r="M17" s="79">
        <f t="shared" ref="M17:V17" si="14">SUM(M18,M33)</f>
        <v>11358.586384100916</v>
      </c>
      <c r="N17" s="79">
        <f t="shared" si="14"/>
        <v>11135.947136935432</v>
      </c>
      <c r="O17" s="79">
        <f t="shared" si="14"/>
        <v>11132.543384750221</v>
      </c>
      <c r="P17" s="79">
        <f t="shared" si="14"/>
        <v>10060.742427861489</v>
      </c>
      <c r="Q17" s="79">
        <f t="shared" si="14"/>
        <v>10066.524383012078</v>
      </c>
      <c r="R17" s="79">
        <f t="shared" si="14"/>
        <v>11311.557346716607</v>
      </c>
      <c r="S17" s="79">
        <f t="shared" si="14"/>
        <v>10667.489669602654</v>
      </c>
      <c r="T17" s="79">
        <f t="shared" si="14"/>
        <v>10841.509912846013</v>
      </c>
      <c r="U17" s="79">
        <f t="shared" si="14"/>
        <v>10444.023931376043</v>
      </c>
      <c r="V17" s="79">
        <f t="shared" si="14"/>
        <v>9843.4488012125439</v>
      </c>
      <c r="W17" s="79">
        <f t="shared" ref="W17:Y17" si="15">SUM(W18,W33)</f>
        <v>9379.7640645665906</v>
      </c>
      <c r="X17" s="79">
        <f t="shared" si="15"/>
        <v>9184.4778962803648</v>
      </c>
      <c r="Y17" s="79">
        <f t="shared" si="15"/>
        <v>8834.8208617218661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6907.6497242141995</v>
      </c>
      <c r="C18" s="32">
        <f t="shared" si="16"/>
        <v>6984.7135743411964</v>
      </c>
      <c r="D18" s="32">
        <f t="shared" si="16"/>
        <v>7153.5108356336605</v>
      </c>
      <c r="E18" s="32">
        <f t="shared" si="16"/>
        <v>7292.8076210882255</v>
      </c>
      <c r="F18" s="32">
        <f t="shared" si="16"/>
        <v>7472.4362572552427</v>
      </c>
      <c r="G18" s="32">
        <f t="shared" si="16"/>
        <v>7538.9129102504721</v>
      </c>
      <c r="H18" s="32">
        <f t="shared" si="16"/>
        <v>7715.1172433071551</v>
      </c>
      <c r="I18" s="32">
        <f t="shared" si="16"/>
        <v>7980.4741806054053</v>
      </c>
      <c r="J18" s="32">
        <f t="shared" si="16"/>
        <v>7608.8544328701664</v>
      </c>
      <c r="K18" s="32">
        <f t="shared" si="16"/>
        <v>7561.3914191643253</v>
      </c>
      <c r="L18" s="32">
        <f t="shared" ref="L18" si="17">SUM(L19,L20,L27)</f>
        <v>7723.1391817044587</v>
      </c>
      <c r="M18" s="32">
        <f t="shared" ref="M18:V18" si="18">SUM(M19,M20,M27)</f>
        <v>7743.5170123423204</v>
      </c>
      <c r="N18" s="32">
        <f t="shared" si="18"/>
        <v>7721.3409754751519</v>
      </c>
      <c r="O18" s="32">
        <f t="shared" si="18"/>
        <v>7740.0248264914844</v>
      </c>
      <c r="P18" s="32">
        <f t="shared" si="18"/>
        <v>7206.831142069871</v>
      </c>
      <c r="Q18" s="32">
        <f t="shared" si="18"/>
        <v>7303.9440980704794</v>
      </c>
      <c r="R18" s="32">
        <f t="shared" si="18"/>
        <v>7815.3490322538491</v>
      </c>
      <c r="S18" s="32">
        <f t="shared" si="18"/>
        <v>7483.6779020170816</v>
      </c>
      <c r="T18" s="32">
        <f t="shared" si="18"/>
        <v>7556.9682208795857</v>
      </c>
      <c r="U18" s="32">
        <f t="shared" si="18"/>
        <v>7284.2902630253557</v>
      </c>
      <c r="V18" s="32">
        <f t="shared" si="18"/>
        <v>6737.5210710139481</v>
      </c>
      <c r="W18" s="32">
        <f t="shared" ref="W18:Y18" si="19">SUM(W19,W20,W27)</f>
        <v>6366.8791889093645</v>
      </c>
      <c r="X18" s="32">
        <f t="shared" si="19"/>
        <v>6148.8556650683313</v>
      </c>
      <c r="Y18" s="32">
        <f t="shared" si="19"/>
        <v>6039.6516170241812</v>
      </c>
      <c r="DA18" s="173" t="s">
        <v>403</v>
      </c>
    </row>
    <row r="19" spans="1:105" ht="11.45" customHeight="1" x14ac:dyDescent="0.25">
      <c r="A19" s="136" t="s">
        <v>173</v>
      </c>
      <c r="B19" s="141">
        <v>114.53783238478759</v>
      </c>
      <c r="C19" s="141">
        <v>113.04899959040304</v>
      </c>
      <c r="D19" s="141">
        <v>111.37890586166816</v>
      </c>
      <c r="E19" s="141">
        <v>109.47296158887876</v>
      </c>
      <c r="F19" s="141">
        <v>108.02844760039748</v>
      </c>
      <c r="G19" s="141">
        <v>106.95540035452095</v>
      </c>
      <c r="H19" s="141">
        <v>105.74508157744442</v>
      </c>
      <c r="I19" s="141">
        <v>105.0478850625514</v>
      </c>
      <c r="J19" s="141">
        <v>99.756716895464436</v>
      </c>
      <c r="K19" s="141">
        <v>97.512804867067317</v>
      </c>
      <c r="L19" s="141">
        <v>127.43997390273734</v>
      </c>
      <c r="M19" s="141">
        <v>124.20143779650051</v>
      </c>
      <c r="N19" s="141">
        <v>121.83445270692583</v>
      </c>
      <c r="O19" s="141">
        <v>122.94522743877765</v>
      </c>
      <c r="P19" s="141">
        <v>121.07027354406188</v>
      </c>
      <c r="Q19" s="141">
        <v>120.10006614530427</v>
      </c>
      <c r="R19" s="141">
        <v>122.14360568152861</v>
      </c>
      <c r="S19" s="141">
        <v>113.10314254722104</v>
      </c>
      <c r="T19" s="141">
        <v>106.56111743788328</v>
      </c>
      <c r="U19" s="141">
        <v>111.68311960153841</v>
      </c>
      <c r="V19" s="141">
        <v>98.422895676511416</v>
      </c>
      <c r="W19" s="141">
        <v>99.892895014253668</v>
      </c>
      <c r="X19" s="141">
        <v>99.047012577536506</v>
      </c>
      <c r="Y19" s="141">
        <v>104.58738316176776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6118.0519906083973</v>
      </c>
      <c r="C20" s="130">
        <f t="shared" si="20"/>
        <v>6210.3833348604931</v>
      </c>
      <c r="D20" s="130">
        <f t="shared" si="20"/>
        <v>6374.8948450054695</v>
      </c>
      <c r="E20" s="130">
        <f t="shared" si="20"/>
        <v>6497.5113216944046</v>
      </c>
      <c r="F20" s="130">
        <f t="shared" si="20"/>
        <v>6652.5393106621386</v>
      </c>
      <c r="G20" s="130">
        <f t="shared" si="20"/>
        <v>6729.5479760643721</v>
      </c>
      <c r="H20" s="130">
        <f t="shared" si="20"/>
        <v>6881.7719028902548</v>
      </c>
      <c r="I20" s="130">
        <f t="shared" si="20"/>
        <v>7119.9530448411215</v>
      </c>
      <c r="J20" s="130">
        <f t="shared" si="20"/>
        <v>6754.901882751431</v>
      </c>
      <c r="K20" s="130">
        <f t="shared" si="20"/>
        <v>6697.5806116627073</v>
      </c>
      <c r="L20" s="130">
        <f t="shared" ref="L20" si="21">SUM(L21:L26)</f>
        <v>6793.4664489687175</v>
      </c>
      <c r="M20" s="130">
        <f t="shared" ref="M20:V20" si="22">SUM(M21:M26)</f>
        <v>6811.6606964915027</v>
      </c>
      <c r="N20" s="130">
        <f t="shared" si="22"/>
        <v>6756.6748890335593</v>
      </c>
      <c r="O20" s="130">
        <f t="shared" si="22"/>
        <v>6765.8463414505604</v>
      </c>
      <c r="P20" s="130">
        <f t="shared" si="22"/>
        <v>6313.0650054927464</v>
      </c>
      <c r="Q20" s="130">
        <f t="shared" si="22"/>
        <v>6381.4846895213886</v>
      </c>
      <c r="R20" s="130">
        <f t="shared" si="22"/>
        <v>6692.4676713390372</v>
      </c>
      <c r="S20" s="130">
        <f t="shared" si="22"/>
        <v>6451.6472213006873</v>
      </c>
      <c r="T20" s="130">
        <f t="shared" si="22"/>
        <v>6526.8745040919657</v>
      </c>
      <c r="U20" s="130">
        <f t="shared" si="22"/>
        <v>6305.4717919249097</v>
      </c>
      <c r="V20" s="130">
        <f t="shared" si="22"/>
        <v>5885.7167567355518</v>
      </c>
      <c r="W20" s="130">
        <f t="shared" ref="W20:Y20" si="23">SUM(W21:W26)</f>
        <v>5661.1604879579454</v>
      </c>
      <c r="X20" s="130">
        <f t="shared" si="23"/>
        <v>5369.4016581523583</v>
      </c>
      <c r="Y20" s="130">
        <f t="shared" si="23"/>
        <v>5240.9193050325321</v>
      </c>
      <c r="DA20" s="176" t="s">
        <v>405</v>
      </c>
    </row>
    <row r="21" spans="1:105" ht="11.45" customHeight="1" x14ac:dyDescent="0.25">
      <c r="A21" s="111" t="s">
        <v>110</v>
      </c>
      <c r="B21" s="96">
        <v>4710.7849773418347</v>
      </c>
      <c r="C21" s="96">
        <v>4787.411336142889</v>
      </c>
      <c r="D21" s="96">
        <v>4884.890958151178</v>
      </c>
      <c r="E21" s="96">
        <v>4909.5293595973526</v>
      </c>
      <c r="F21" s="96">
        <v>5010.4892675544352</v>
      </c>
      <c r="G21" s="96">
        <v>5002.2243178200388</v>
      </c>
      <c r="H21" s="96">
        <v>4963.9929811827733</v>
      </c>
      <c r="I21" s="96">
        <v>4955.6123729093006</v>
      </c>
      <c r="J21" s="96">
        <v>4434.3697602787433</v>
      </c>
      <c r="K21" s="96">
        <v>4273.7519619301165</v>
      </c>
      <c r="L21" s="96">
        <v>4140.6433861352562</v>
      </c>
      <c r="M21" s="96">
        <v>3910.1831148398483</v>
      </c>
      <c r="N21" s="96">
        <v>3753.7146861342317</v>
      </c>
      <c r="O21" s="96">
        <v>3841.3916834430729</v>
      </c>
      <c r="P21" s="96">
        <v>3694.9762546727829</v>
      </c>
      <c r="Q21" s="96">
        <v>3675.7714526433206</v>
      </c>
      <c r="R21" s="96">
        <v>3659.2518417395036</v>
      </c>
      <c r="S21" s="96">
        <v>3517.8693764973827</v>
      </c>
      <c r="T21" s="96">
        <v>3467.6830884026454</v>
      </c>
      <c r="U21" s="96">
        <v>3378.1399607754215</v>
      </c>
      <c r="V21" s="96">
        <v>3111.5628734868883</v>
      </c>
      <c r="W21" s="96">
        <v>3125.8071494005817</v>
      </c>
      <c r="X21" s="96">
        <v>2892.2982417247308</v>
      </c>
      <c r="Y21" s="96">
        <v>2888.1273353808874</v>
      </c>
      <c r="DA21" s="171" t="s">
        <v>751</v>
      </c>
    </row>
    <row r="22" spans="1:105" ht="11.45" customHeight="1" x14ac:dyDescent="0.25">
      <c r="A22" s="111" t="s">
        <v>111</v>
      </c>
      <c r="B22" s="96">
        <v>1407.2670132665626</v>
      </c>
      <c r="C22" s="96">
        <v>1422.9719987176043</v>
      </c>
      <c r="D22" s="96">
        <v>1490.0038868542915</v>
      </c>
      <c r="E22" s="96">
        <v>1587.9819620970518</v>
      </c>
      <c r="F22" s="96">
        <v>1642.0500431077037</v>
      </c>
      <c r="G22" s="96">
        <v>1727.3236582443335</v>
      </c>
      <c r="H22" s="96">
        <v>1917.7709697136363</v>
      </c>
      <c r="I22" s="96">
        <v>2164.0587977586852</v>
      </c>
      <c r="J22" s="96">
        <v>2319.9238787591044</v>
      </c>
      <c r="K22" s="96">
        <v>2422.6608246327064</v>
      </c>
      <c r="L22" s="96">
        <v>2651.310552921002</v>
      </c>
      <c r="M22" s="96">
        <v>2900.055719946668</v>
      </c>
      <c r="N22" s="96">
        <v>3000.1617086911124</v>
      </c>
      <c r="O22" s="96">
        <v>2922.1393430764188</v>
      </c>
      <c r="P22" s="96">
        <v>2615.3703231588033</v>
      </c>
      <c r="Q22" s="96">
        <v>2702.4094195726675</v>
      </c>
      <c r="R22" s="96">
        <v>3029.0662305778815</v>
      </c>
      <c r="S22" s="96">
        <v>2925.9610964484295</v>
      </c>
      <c r="T22" s="96">
        <v>3043.4673500954723</v>
      </c>
      <c r="U22" s="96">
        <v>2899.2060724855364</v>
      </c>
      <c r="V22" s="96">
        <v>2733.0318684812823</v>
      </c>
      <c r="W22" s="96">
        <v>2480.5588903525459</v>
      </c>
      <c r="X22" s="96">
        <v>2412.3743982781702</v>
      </c>
      <c r="Y22" s="96">
        <v>2284.5235446474499</v>
      </c>
      <c r="DA22" s="171" t="s">
        <v>752</v>
      </c>
    </row>
    <row r="23" spans="1:105" ht="11.45" customHeight="1" x14ac:dyDescent="0.25">
      <c r="A23" s="111" t="s">
        <v>112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0</v>
      </c>
      <c r="S23" s="96">
        <v>0</v>
      </c>
      <c r="T23" s="96">
        <v>0</v>
      </c>
      <c r="U23" s="96">
        <v>0</v>
      </c>
      <c r="V23" s="96">
        <v>0</v>
      </c>
      <c r="W23" s="96">
        <v>0</v>
      </c>
      <c r="X23" s="96">
        <v>0</v>
      </c>
      <c r="Y23" s="96">
        <v>0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7.9519938453028235E-3</v>
      </c>
      <c r="I24" s="96">
        <v>0.28187417313580193</v>
      </c>
      <c r="J24" s="96">
        <v>0.60824371358343177</v>
      </c>
      <c r="K24" s="96">
        <v>1.1678250998837858</v>
      </c>
      <c r="L24" s="96">
        <v>1.512509912458988</v>
      </c>
      <c r="M24" s="96">
        <v>1.4218617049862297</v>
      </c>
      <c r="N24" s="96">
        <v>2.740351106014093</v>
      </c>
      <c r="O24" s="96">
        <v>2.1754488005759778</v>
      </c>
      <c r="P24" s="96">
        <v>2.4363746509803432</v>
      </c>
      <c r="Q24" s="96">
        <v>2.7523664697287327</v>
      </c>
      <c r="R24" s="96">
        <v>2.8311010260559946</v>
      </c>
      <c r="S24" s="96">
        <v>4.7494196823959394</v>
      </c>
      <c r="T24" s="96">
        <v>8.8069745114881606</v>
      </c>
      <c r="U24" s="96">
        <v>16.820851965483932</v>
      </c>
      <c r="V24" s="96">
        <v>24.384043326103871</v>
      </c>
      <c r="W24" s="96">
        <v>29.375693582399229</v>
      </c>
      <c r="X24" s="96">
        <v>34.913119536742045</v>
      </c>
      <c r="Y24" s="96">
        <v>38.814272948070744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5.8143102201595603E-2</v>
      </c>
      <c r="O25" s="96">
        <v>0.13986613049301427</v>
      </c>
      <c r="P25" s="96">
        <v>0.28205301017999262</v>
      </c>
      <c r="Q25" s="96">
        <v>0.55145083567148445</v>
      </c>
      <c r="R25" s="96">
        <v>1.3184979955971126</v>
      </c>
      <c r="S25" s="96">
        <v>3.0673286724788746</v>
      </c>
      <c r="T25" s="96">
        <v>6.9170910823599847</v>
      </c>
      <c r="U25" s="96">
        <v>11.304906698468171</v>
      </c>
      <c r="V25" s="96">
        <v>16.73797144127769</v>
      </c>
      <c r="W25" s="96">
        <v>25.418754622418749</v>
      </c>
      <c r="X25" s="96">
        <v>29.815898612715912</v>
      </c>
      <c r="Y25" s="96">
        <v>29.454152056124638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675.05990122101514</v>
      </c>
      <c r="C27" s="130">
        <f t="shared" si="24"/>
        <v>661.28123989030064</v>
      </c>
      <c r="D27" s="130">
        <f t="shared" si="24"/>
        <v>667.237084766522</v>
      </c>
      <c r="E27" s="130">
        <f t="shared" si="24"/>
        <v>685.82333780494173</v>
      </c>
      <c r="F27" s="130">
        <f t="shared" si="24"/>
        <v>711.86849899270658</v>
      </c>
      <c r="G27" s="130">
        <f t="shared" si="24"/>
        <v>702.40953383157876</v>
      </c>
      <c r="H27" s="130">
        <f t="shared" si="24"/>
        <v>727.60025883945605</v>
      </c>
      <c r="I27" s="130">
        <f t="shared" si="24"/>
        <v>755.47325070173235</v>
      </c>
      <c r="J27" s="130">
        <f t="shared" si="24"/>
        <v>754.19583322327026</v>
      </c>
      <c r="K27" s="130">
        <f t="shared" si="24"/>
        <v>766.29800263455024</v>
      </c>
      <c r="L27" s="130">
        <f t="shared" ref="L27" si="25">SUM(L28:L32)</f>
        <v>802.2327588330038</v>
      </c>
      <c r="M27" s="130">
        <f t="shared" ref="M27:V27" si="26">SUM(M28:M32)</f>
        <v>807.65487805431712</v>
      </c>
      <c r="N27" s="130">
        <f t="shared" si="26"/>
        <v>842.83163373466732</v>
      </c>
      <c r="O27" s="130">
        <f t="shared" si="26"/>
        <v>851.23325760214595</v>
      </c>
      <c r="P27" s="130">
        <f t="shared" si="26"/>
        <v>772.69586303306266</v>
      </c>
      <c r="Q27" s="130">
        <f t="shared" si="26"/>
        <v>802.35934240378663</v>
      </c>
      <c r="R27" s="130">
        <f t="shared" si="26"/>
        <v>1000.7377552332836</v>
      </c>
      <c r="S27" s="130">
        <f t="shared" si="26"/>
        <v>918.92753816917332</v>
      </c>
      <c r="T27" s="130">
        <f t="shared" si="26"/>
        <v>923.53259934973664</v>
      </c>
      <c r="U27" s="130">
        <f t="shared" si="26"/>
        <v>867.13535149890799</v>
      </c>
      <c r="V27" s="130">
        <f t="shared" si="26"/>
        <v>753.381418601885</v>
      </c>
      <c r="W27" s="130">
        <f t="shared" ref="W27:Y27" si="27">SUM(W28:W32)</f>
        <v>605.82580593716602</v>
      </c>
      <c r="X27" s="130">
        <f t="shared" si="27"/>
        <v>680.40699433843702</v>
      </c>
      <c r="Y27" s="130">
        <f t="shared" si="27"/>
        <v>694.14492882988156</v>
      </c>
      <c r="DA27" s="176" t="s">
        <v>406</v>
      </c>
    </row>
    <row r="28" spans="1:105" ht="11.45" customHeight="1" x14ac:dyDescent="0.25">
      <c r="A28" s="111" t="s">
        <v>110</v>
      </c>
      <c r="B28" s="97">
        <v>0.25930201219557292</v>
      </c>
      <c r="C28" s="97">
        <v>0.28204259576185559</v>
      </c>
      <c r="D28" s="97">
        <v>0.27233026743070543</v>
      </c>
      <c r="E28" s="97">
        <v>0.27177885312608452</v>
      </c>
      <c r="F28" s="97">
        <v>0.27994277432997644</v>
      </c>
      <c r="G28" s="97">
        <v>0.3058405326712717</v>
      </c>
      <c r="H28" s="97">
        <v>0.28666932318589461</v>
      </c>
      <c r="I28" s="97">
        <v>0.29511216292117204</v>
      </c>
      <c r="J28" s="97">
        <v>0.27544761652617999</v>
      </c>
      <c r="K28" s="97">
        <v>0.26908806699334914</v>
      </c>
      <c r="L28" s="97">
        <v>0.27478883073161187</v>
      </c>
      <c r="M28" s="97">
        <v>0.26320503726725342</v>
      </c>
      <c r="N28" s="97">
        <v>0.26193958200972028</v>
      </c>
      <c r="O28" s="97">
        <v>0.2666784484503264</v>
      </c>
      <c r="P28" s="97">
        <v>0.26560529172328995</v>
      </c>
      <c r="Q28" s="97">
        <v>0.26620854917554759</v>
      </c>
      <c r="R28" s="97">
        <v>0.26571454955158103</v>
      </c>
      <c r="S28" s="97">
        <v>0.25974907950928194</v>
      </c>
      <c r="T28" s="97">
        <v>0.24125867264948567</v>
      </c>
      <c r="U28" s="97">
        <v>0.22219022373522207</v>
      </c>
      <c r="V28" s="97">
        <v>0.17902706640745109</v>
      </c>
      <c r="W28" s="97">
        <v>0.14994139981559257</v>
      </c>
      <c r="X28" s="97">
        <v>0.16087982801352921</v>
      </c>
      <c r="Y28" s="97">
        <v>0.1614665081906656</v>
      </c>
      <c r="DA28" s="175" t="s">
        <v>757</v>
      </c>
    </row>
    <row r="29" spans="1:105" ht="11.45" customHeight="1" x14ac:dyDescent="0.25">
      <c r="A29" s="111" t="s">
        <v>111</v>
      </c>
      <c r="B29" s="97">
        <v>670.76139920881951</v>
      </c>
      <c r="C29" s="97">
        <v>656.97023750315066</v>
      </c>
      <c r="D29" s="97">
        <v>660.91613726378728</v>
      </c>
      <c r="E29" s="97">
        <v>679.50278945853881</v>
      </c>
      <c r="F29" s="97">
        <v>705.53912135563519</v>
      </c>
      <c r="G29" s="97">
        <v>696.05807211887281</v>
      </c>
      <c r="H29" s="97">
        <v>719.25541655842835</v>
      </c>
      <c r="I29" s="97">
        <v>747.41551148314784</v>
      </c>
      <c r="J29" s="97">
        <v>744.50191371548738</v>
      </c>
      <c r="K29" s="97">
        <v>755.21263788876058</v>
      </c>
      <c r="L29" s="97">
        <v>791.54181074163921</v>
      </c>
      <c r="M29" s="97">
        <v>800.94402115307844</v>
      </c>
      <c r="N29" s="97">
        <v>832.75878779574418</v>
      </c>
      <c r="O29" s="97">
        <v>845.44137103729872</v>
      </c>
      <c r="P29" s="97">
        <v>766.71941060194956</v>
      </c>
      <c r="Q29" s="97">
        <v>797.09169871454401</v>
      </c>
      <c r="R29" s="97">
        <v>994.65926959389685</v>
      </c>
      <c r="S29" s="97">
        <v>913.01952465920533</v>
      </c>
      <c r="T29" s="97">
        <v>917.30782383615735</v>
      </c>
      <c r="U29" s="97">
        <v>860.30098680746255</v>
      </c>
      <c r="V29" s="97">
        <v>748.20023313438912</v>
      </c>
      <c r="W29" s="97">
        <v>600.84659845116028</v>
      </c>
      <c r="X29" s="97">
        <v>674.41772934120161</v>
      </c>
      <c r="Y29" s="97">
        <v>686.58338582917202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X30" s="97">
        <v>0</v>
      </c>
      <c r="Y30" s="97">
        <v>0</v>
      </c>
      <c r="DA30" s="175" t="s">
        <v>759</v>
      </c>
    </row>
    <row r="31" spans="1:105" ht="11.45" customHeight="1" x14ac:dyDescent="0.25">
      <c r="A31" s="111" t="s">
        <v>113</v>
      </c>
      <c r="B31" s="97">
        <v>4.039200000000001</v>
      </c>
      <c r="C31" s="97">
        <v>4.028959791388167</v>
      </c>
      <c r="D31" s="97">
        <v>6.0486172353040066</v>
      </c>
      <c r="E31" s="97">
        <v>6.0487694932768692</v>
      </c>
      <c r="F31" s="97">
        <v>6.0494348627414141</v>
      </c>
      <c r="G31" s="97">
        <v>6.0456211800346757</v>
      </c>
      <c r="H31" s="97">
        <v>8.0581729578417587</v>
      </c>
      <c r="I31" s="97">
        <v>7.7626270556633461</v>
      </c>
      <c r="J31" s="97">
        <v>9.4184718912567131</v>
      </c>
      <c r="K31" s="97">
        <v>10.816276678796219</v>
      </c>
      <c r="L31" s="97">
        <v>10.416159260632947</v>
      </c>
      <c r="M31" s="97">
        <v>6.44765186397143</v>
      </c>
      <c r="N31" s="97">
        <v>9.8109063569134261</v>
      </c>
      <c r="O31" s="97">
        <v>5.5252081163969518</v>
      </c>
      <c r="P31" s="97">
        <v>5.7108471393897862</v>
      </c>
      <c r="Q31" s="97">
        <v>5.0014351400671009</v>
      </c>
      <c r="R31" s="97">
        <v>5.8127710898350964</v>
      </c>
      <c r="S31" s="97">
        <v>5.6482644304586884</v>
      </c>
      <c r="T31" s="97">
        <v>5.9835168409298598</v>
      </c>
      <c r="U31" s="97">
        <v>6.6121744677102559</v>
      </c>
      <c r="V31" s="97">
        <v>5.0021584010884181</v>
      </c>
      <c r="W31" s="97">
        <v>4.8292660861902004</v>
      </c>
      <c r="X31" s="97">
        <v>5.8283851692218249</v>
      </c>
      <c r="Y31" s="97">
        <v>7.4000764925188873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3731.1881538257981</v>
      </c>
      <c r="C33" s="32">
        <f t="shared" si="28"/>
        <v>3837.3689977388012</v>
      </c>
      <c r="D33" s="32">
        <f t="shared" si="28"/>
        <v>3887.4400458063428</v>
      </c>
      <c r="E33" s="32">
        <f t="shared" si="28"/>
        <v>3919.1714641917752</v>
      </c>
      <c r="F33" s="32">
        <f t="shared" si="28"/>
        <v>4070.7817883047555</v>
      </c>
      <c r="G33" s="32">
        <f t="shared" si="28"/>
        <v>4042.320785389526</v>
      </c>
      <c r="H33" s="32">
        <f t="shared" si="28"/>
        <v>4023.5229909328418</v>
      </c>
      <c r="I33" s="32">
        <f t="shared" si="28"/>
        <v>4141.0116658745919</v>
      </c>
      <c r="J33" s="32">
        <f t="shared" si="28"/>
        <v>4004.243564409835</v>
      </c>
      <c r="K33" s="32">
        <f t="shared" si="28"/>
        <v>3519.7781881556739</v>
      </c>
      <c r="L33" s="32">
        <f t="shared" ref="L33" si="29">L34+L40</f>
        <v>3806.1665479355411</v>
      </c>
      <c r="M33" s="32">
        <f t="shared" ref="M33:V33" si="30">M34+M40</f>
        <v>3615.0693717585946</v>
      </c>
      <c r="N33" s="32">
        <f t="shared" si="30"/>
        <v>3414.6061614602813</v>
      </c>
      <c r="O33" s="32">
        <f t="shared" si="30"/>
        <v>3392.518558258736</v>
      </c>
      <c r="P33" s="32">
        <f t="shared" si="30"/>
        <v>2853.911285791618</v>
      </c>
      <c r="Q33" s="32">
        <f t="shared" si="30"/>
        <v>2762.5802849415977</v>
      </c>
      <c r="R33" s="32">
        <f t="shared" si="30"/>
        <v>3496.2083144627577</v>
      </c>
      <c r="S33" s="32">
        <f t="shared" si="30"/>
        <v>3183.8117675855719</v>
      </c>
      <c r="T33" s="32">
        <f t="shared" si="30"/>
        <v>3284.5416919664276</v>
      </c>
      <c r="U33" s="32">
        <f t="shared" si="30"/>
        <v>3159.7336683506874</v>
      </c>
      <c r="V33" s="32">
        <f t="shared" si="30"/>
        <v>3105.9277301985949</v>
      </c>
      <c r="W33" s="32">
        <f t="shared" ref="W33:Y33" si="31">W34+W40</f>
        <v>3012.8848756572261</v>
      </c>
      <c r="X33" s="32">
        <f t="shared" si="31"/>
        <v>3035.6222312120326</v>
      </c>
      <c r="Y33" s="32">
        <f t="shared" si="31"/>
        <v>2795.1692446976845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1253.190121175895</v>
      </c>
      <c r="C34" s="141">
        <f t="shared" si="32"/>
        <v>1249.079417647695</v>
      </c>
      <c r="D34" s="141">
        <f t="shared" si="32"/>
        <v>1249.2903833003982</v>
      </c>
      <c r="E34" s="141">
        <f t="shared" si="32"/>
        <v>1250.6355710597607</v>
      </c>
      <c r="F34" s="141">
        <f t="shared" si="32"/>
        <v>1334.5963313891211</v>
      </c>
      <c r="G34" s="141">
        <f t="shared" si="32"/>
        <v>1336.5792767804201</v>
      </c>
      <c r="H34" s="141">
        <f t="shared" si="32"/>
        <v>1367.2563210262761</v>
      </c>
      <c r="I34" s="141">
        <f t="shared" si="32"/>
        <v>1444.1971737967808</v>
      </c>
      <c r="J34" s="141">
        <f t="shared" si="32"/>
        <v>1473.3174869213556</v>
      </c>
      <c r="K34" s="141">
        <f t="shared" si="32"/>
        <v>1437.9155276906492</v>
      </c>
      <c r="L34" s="141">
        <f t="shared" ref="L34" si="33">SUM(L35:L39)</f>
        <v>1520.7501036108479</v>
      </c>
      <c r="M34" s="141">
        <f t="shared" ref="M34:V34" si="34">SUM(M35:M39)</f>
        <v>1570.7866389590556</v>
      </c>
      <c r="N34" s="141">
        <f t="shared" si="34"/>
        <v>1594.7554846338953</v>
      </c>
      <c r="O34" s="141">
        <f t="shared" si="34"/>
        <v>1621.0704958306364</v>
      </c>
      <c r="P34" s="141">
        <f t="shared" si="34"/>
        <v>1438.353384455505</v>
      </c>
      <c r="Q34" s="141">
        <f t="shared" si="34"/>
        <v>1472.6478126756328</v>
      </c>
      <c r="R34" s="141">
        <f t="shared" si="34"/>
        <v>1768.6071871215909</v>
      </c>
      <c r="S34" s="141">
        <f t="shared" si="34"/>
        <v>1629.1654379116515</v>
      </c>
      <c r="T34" s="141">
        <f t="shared" si="34"/>
        <v>1716.4559752716793</v>
      </c>
      <c r="U34" s="141">
        <f t="shared" si="34"/>
        <v>1690.9512117736688</v>
      </c>
      <c r="V34" s="141">
        <f t="shared" si="34"/>
        <v>1705.7527169292205</v>
      </c>
      <c r="W34" s="141">
        <f t="shared" ref="W34:Y34" si="35">SUM(W35:W39)</f>
        <v>1625.52838293586</v>
      </c>
      <c r="X34" s="141">
        <f t="shared" si="35"/>
        <v>1652.8027751075269</v>
      </c>
      <c r="Y34" s="141">
        <f t="shared" si="35"/>
        <v>1609.3147462436018</v>
      </c>
      <c r="DA34" s="174" t="s">
        <v>412</v>
      </c>
    </row>
    <row r="35" spans="1:105" ht="11.45" customHeight="1" x14ac:dyDescent="0.25">
      <c r="A35" s="111" t="s">
        <v>110</v>
      </c>
      <c r="B35" s="96">
        <v>112.1120773811823</v>
      </c>
      <c r="C35" s="96">
        <v>105.48970483094382</v>
      </c>
      <c r="D35" s="96">
        <v>99.086805719725064</v>
      </c>
      <c r="E35" s="96">
        <v>91.254344520642832</v>
      </c>
      <c r="F35" s="96">
        <v>84.916057270836518</v>
      </c>
      <c r="G35" s="96">
        <v>81.500185852768183</v>
      </c>
      <c r="H35" s="96">
        <v>74.359146396594639</v>
      </c>
      <c r="I35" s="96">
        <v>69.599332985225686</v>
      </c>
      <c r="J35" s="96">
        <v>66.563619769265117</v>
      </c>
      <c r="K35" s="96">
        <v>62.557261975821525</v>
      </c>
      <c r="L35" s="96">
        <v>61.436606571274119</v>
      </c>
      <c r="M35" s="96">
        <v>59.734925486384455</v>
      </c>
      <c r="N35" s="96">
        <v>57.598861634630829</v>
      </c>
      <c r="O35" s="96">
        <v>56.44453997920543</v>
      </c>
      <c r="P35" s="96">
        <v>54.21275348125269</v>
      </c>
      <c r="Q35" s="96">
        <v>53.064394106529548</v>
      </c>
      <c r="R35" s="96">
        <v>51.735756873818183</v>
      </c>
      <c r="S35" s="96">
        <v>50.035014083409514</v>
      </c>
      <c r="T35" s="96">
        <v>48.794895284461752</v>
      </c>
      <c r="U35" s="96">
        <v>47.641533580837816</v>
      </c>
      <c r="V35" s="96">
        <v>45.387681448915522</v>
      </c>
      <c r="W35" s="96">
        <v>45.082807282930055</v>
      </c>
      <c r="X35" s="96">
        <v>43.442719537003541</v>
      </c>
      <c r="Y35" s="96">
        <v>42.434415173029812</v>
      </c>
      <c r="DA35" s="171" t="s">
        <v>762</v>
      </c>
    </row>
    <row r="36" spans="1:105" ht="11.45" customHeight="1" x14ac:dyDescent="0.25">
      <c r="A36" s="111" t="s">
        <v>111</v>
      </c>
      <c r="B36" s="96">
        <v>1141.0780437947126</v>
      </c>
      <c r="C36" s="96">
        <v>1143.5794726081394</v>
      </c>
      <c r="D36" s="96">
        <v>1150.1933948159769</v>
      </c>
      <c r="E36" s="96">
        <v>1159.3711960323947</v>
      </c>
      <c r="F36" s="96">
        <v>1249.6709089810261</v>
      </c>
      <c r="G36" s="96">
        <v>1255.0659121076865</v>
      </c>
      <c r="H36" s="96">
        <v>1292.8848995813685</v>
      </c>
      <c r="I36" s="96">
        <v>1374.5639420403543</v>
      </c>
      <c r="J36" s="96">
        <v>1406.6827847169304</v>
      </c>
      <c r="K36" s="96">
        <v>1375.2247674935077</v>
      </c>
      <c r="L36" s="96">
        <v>1459.1245662126657</v>
      </c>
      <c r="M36" s="96">
        <v>1510.8429481007151</v>
      </c>
      <c r="N36" s="96">
        <v>1536.7842906867597</v>
      </c>
      <c r="O36" s="96">
        <v>1564.2565034581826</v>
      </c>
      <c r="P36" s="96">
        <v>1383.715084903135</v>
      </c>
      <c r="Q36" s="96">
        <v>1419.0828966068236</v>
      </c>
      <c r="R36" s="96">
        <v>1716.2602467670554</v>
      </c>
      <c r="S36" s="96">
        <v>1578.2640906584452</v>
      </c>
      <c r="T36" s="96">
        <v>1666.3157400936216</v>
      </c>
      <c r="U36" s="96">
        <v>1641.2030319699813</v>
      </c>
      <c r="V36" s="96">
        <v>1657.3283751549559</v>
      </c>
      <c r="W36" s="96">
        <v>1576.5851496749269</v>
      </c>
      <c r="X36" s="96">
        <v>1605.532105956122</v>
      </c>
      <c r="Y36" s="96">
        <v>1562.6621389092932</v>
      </c>
      <c r="DA36" s="171" t="s">
        <v>763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</v>
      </c>
      <c r="S37" s="96">
        <v>0</v>
      </c>
      <c r="T37" s="96">
        <v>0</v>
      </c>
      <c r="U37" s="96">
        <v>0</v>
      </c>
      <c r="V37" s="96">
        <v>0</v>
      </c>
      <c r="W37" s="96">
        <v>0</v>
      </c>
      <c r="X37" s="96">
        <v>0</v>
      </c>
      <c r="Y37" s="96">
        <v>0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1.0240208611834179E-2</v>
      </c>
      <c r="D38" s="96">
        <v>1.0182764695993371E-2</v>
      </c>
      <c r="E38" s="96">
        <v>1.0030506723130422E-2</v>
      </c>
      <c r="F38" s="96">
        <v>9.3651372585859486E-3</v>
      </c>
      <c r="G38" s="96">
        <v>1.3178819965324568E-2</v>
      </c>
      <c r="H38" s="96">
        <v>1.2275048312935421E-2</v>
      </c>
      <c r="I38" s="96">
        <v>3.3898771200849317E-2</v>
      </c>
      <c r="J38" s="96">
        <v>7.1082435159857002E-2</v>
      </c>
      <c r="K38" s="96">
        <v>0.13349822131999392</v>
      </c>
      <c r="L38" s="96">
        <v>0.18893082690806551</v>
      </c>
      <c r="M38" s="96">
        <v>0.20876537195580513</v>
      </c>
      <c r="N38" s="96">
        <v>0.37233231250490079</v>
      </c>
      <c r="O38" s="96">
        <v>0.36945239324833135</v>
      </c>
      <c r="P38" s="96">
        <v>0.42554607111726539</v>
      </c>
      <c r="Q38" s="96">
        <v>0.50052196227975765</v>
      </c>
      <c r="R38" s="96">
        <v>0.61118348071718809</v>
      </c>
      <c r="S38" s="96">
        <v>0.86633316979670039</v>
      </c>
      <c r="T38" s="96">
        <v>1.3453398935960847</v>
      </c>
      <c r="U38" s="96">
        <v>2.1066462228494909</v>
      </c>
      <c r="V38" s="96">
        <v>3.0366603253488922</v>
      </c>
      <c r="W38" s="96">
        <v>3.8604259780029455</v>
      </c>
      <c r="X38" s="96">
        <v>3.8279496144013061</v>
      </c>
      <c r="Y38" s="96">
        <v>4.21819216127885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2477.9980326499031</v>
      </c>
      <c r="C40" s="130">
        <f t="shared" si="36"/>
        <v>2588.289580091106</v>
      </c>
      <c r="D40" s="130">
        <f t="shared" si="36"/>
        <v>2638.1496625059444</v>
      </c>
      <c r="E40" s="130">
        <f t="shared" si="36"/>
        <v>2668.5358931320147</v>
      </c>
      <c r="F40" s="130">
        <f t="shared" si="36"/>
        <v>2736.1854569156344</v>
      </c>
      <c r="G40" s="130">
        <f t="shared" si="36"/>
        <v>2705.7415086091059</v>
      </c>
      <c r="H40" s="130">
        <f t="shared" si="36"/>
        <v>2656.2666699065658</v>
      </c>
      <c r="I40" s="130">
        <f t="shared" si="36"/>
        <v>2696.8144920778113</v>
      </c>
      <c r="J40" s="130">
        <f t="shared" si="36"/>
        <v>2530.9260774884792</v>
      </c>
      <c r="K40" s="130">
        <f t="shared" si="36"/>
        <v>2081.8626604650244</v>
      </c>
      <c r="L40" s="130">
        <f t="shared" ref="L40" si="37">SUM(L41:L42)</f>
        <v>2285.4164443246932</v>
      </c>
      <c r="M40" s="130">
        <f t="shared" ref="M40:V40" si="38">SUM(M41:M42)</f>
        <v>2044.2827327995392</v>
      </c>
      <c r="N40" s="130">
        <f t="shared" si="38"/>
        <v>1819.8506768263858</v>
      </c>
      <c r="O40" s="130">
        <f t="shared" si="38"/>
        <v>1771.4480624280995</v>
      </c>
      <c r="P40" s="130">
        <f t="shared" si="38"/>
        <v>1415.557901336113</v>
      </c>
      <c r="Q40" s="130">
        <f t="shared" si="38"/>
        <v>1289.9324722659646</v>
      </c>
      <c r="R40" s="130">
        <f t="shared" si="38"/>
        <v>1727.6011273411666</v>
      </c>
      <c r="S40" s="130">
        <f t="shared" si="38"/>
        <v>1554.6463296739205</v>
      </c>
      <c r="T40" s="130">
        <f t="shared" si="38"/>
        <v>1568.085716694748</v>
      </c>
      <c r="U40" s="130">
        <f t="shared" si="38"/>
        <v>1468.7824565770188</v>
      </c>
      <c r="V40" s="130">
        <f t="shared" si="38"/>
        <v>1400.1750132693742</v>
      </c>
      <c r="W40" s="130">
        <f t="shared" ref="W40:Y40" si="39">SUM(W41:W42)</f>
        <v>1387.3564927213661</v>
      </c>
      <c r="X40" s="130">
        <f t="shared" si="39"/>
        <v>1382.8194561045054</v>
      </c>
      <c r="Y40" s="130">
        <f t="shared" si="39"/>
        <v>1185.8544984540827</v>
      </c>
      <c r="DA40" s="176" t="s">
        <v>413</v>
      </c>
    </row>
    <row r="41" spans="1:105" ht="11.45" customHeight="1" x14ac:dyDescent="0.25">
      <c r="A41" s="128" t="s">
        <v>27</v>
      </c>
      <c r="B41" s="97">
        <v>2382.8735237895512</v>
      </c>
      <c r="C41" s="97">
        <v>2482.8325881638411</v>
      </c>
      <c r="D41" s="97">
        <v>2528.5989756277213</v>
      </c>
      <c r="E41" s="97">
        <v>2554.8716603815346</v>
      </c>
      <c r="F41" s="97">
        <v>2602.1609984066954</v>
      </c>
      <c r="G41" s="97">
        <v>2581.0959854656467</v>
      </c>
      <c r="H41" s="97">
        <v>2516.9816102640093</v>
      </c>
      <c r="I41" s="97">
        <v>2548.3975257919433</v>
      </c>
      <c r="J41" s="97">
        <v>2412.0668816221887</v>
      </c>
      <c r="K41" s="97">
        <v>1984.4339838848825</v>
      </c>
      <c r="L41" s="97">
        <v>2162.6688047098646</v>
      </c>
      <c r="M41" s="97">
        <v>1967.7518683476469</v>
      </c>
      <c r="N41" s="97">
        <v>1732.1289628950522</v>
      </c>
      <c r="O41" s="97">
        <v>1697.1321191686172</v>
      </c>
      <c r="P41" s="97">
        <v>1338.9053490108895</v>
      </c>
      <c r="Q41" s="97">
        <v>1201.9038646435004</v>
      </c>
      <c r="R41" s="97">
        <v>1637.1243776378267</v>
      </c>
      <c r="S41" s="97">
        <v>1483.667506846281</v>
      </c>
      <c r="T41" s="97">
        <v>1479.1658776937616</v>
      </c>
      <c r="U41" s="97">
        <v>1400.9547848286065</v>
      </c>
      <c r="V41" s="97">
        <v>1332.1314998959351</v>
      </c>
      <c r="W41" s="97">
        <v>1291.7182709206174</v>
      </c>
      <c r="X41" s="97">
        <v>1299.15957573474</v>
      </c>
      <c r="Y41" s="97">
        <v>1115.8242856412014</v>
      </c>
      <c r="DA41" s="175" t="s">
        <v>767</v>
      </c>
    </row>
    <row r="42" spans="1:105" ht="11.45" customHeight="1" x14ac:dyDescent="0.25">
      <c r="A42" s="138" t="s">
        <v>116</v>
      </c>
      <c r="B42" s="98">
        <v>95.124508860352037</v>
      </c>
      <c r="C42" s="98">
        <v>105.45699192726494</v>
      </c>
      <c r="D42" s="98">
        <v>109.55068687822329</v>
      </c>
      <c r="E42" s="98">
        <v>113.66423275048018</v>
      </c>
      <c r="F42" s="98">
        <v>134.02445850893886</v>
      </c>
      <c r="G42" s="98">
        <v>124.64552314345924</v>
      </c>
      <c r="H42" s="98">
        <v>139.28505964255666</v>
      </c>
      <c r="I42" s="98">
        <v>148.41696628586814</v>
      </c>
      <c r="J42" s="98">
        <v>118.85919586629046</v>
      </c>
      <c r="K42" s="98">
        <v>97.428676580141783</v>
      </c>
      <c r="L42" s="98">
        <v>122.74763961482847</v>
      </c>
      <c r="M42" s="98">
        <v>76.530864451892285</v>
      </c>
      <c r="N42" s="98">
        <v>87.721713931333525</v>
      </c>
      <c r="O42" s="98">
        <v>74.315943259482395</v>
      </c>
      <c r="P42" s="98">
        <v>76.652552325223382</v>
      </c>
      <c r="Q42" s="98">
        <v>88.028607622464293</v>
      </c>
      <c r="R42" s="98">
        <v>90.476749703339834</v>
      </c>
      <c r="S42" s="98">
        <v>70.978822827639576</v>
      </c>
      <c r="T42" s="98">
        <v>88.919839000986542</v>
      </c>
      <c r="U42" s="98">
        <v>67.827671748412172</v>
      </c>
      <c r="V42" s="98">
        <v>68.043513373439026</v>
      </c>
      <c r="W42" s="98">
        <v>95.638221800748624</v>
      </c>
      <c r="X42" s="98">
        <v>83.659880369765503</v>
      </c>
      <c r="Y42" s="98">
        <v>70.030212812881288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3.0054188515249263</v>
      </c>
      <c r="C47" s="145">
        <f>IF(C4=0,0,C4/TrRoad_ene!C4)</f>
        <v>3.0057333591376856</v>
      </c>
      <c r="D47" s="145">
        <f>IF(D4=0,0,D4/TrRoad_ene!D4)</f>
        <v>3.0052498445777349</v>
      </c>
      <c r="E47" s="145">
        <f>IF(E4=0,0,E4/TrRoad_ene!E4)</f>
        <v>3.0037694733400668</v>
      </c>
      <c r="F47" s="145">
        <f>IF(F4=0,0,F4/TrRoad_ene!F4)</f>
        <v>3.0043708133128648</v>
      </c>
      <c r="G47" s="145">
        <f>IF(G4=0,0,G4/TrRoad_ene!G4)</f>
        <v>3.0085003450435752</v>
      </c>
      <c r="H47" s="145">
        <f>IF(H4=0,0,H4/TrRoad_ene!H4)</f>
        <v>3.0098297072099718</v>
      </c>
      <c r="I47" s="145">
        <f>IF(I4=0,0,I4/TrRoad_ene!I4)</f>
        <v>3.0123820136992912</v>
      </c>
      <c r="J47" s="145">
        <f>IF(J4=0,0,J4/TrRoad_ene!J4)</f>
        <v>2.9640408432708147</v>
      </c>
      <c r="K47" s="145">
        <f>IF(K4=0,0,K4/TrRoad_ene!K4)</f>
        <v>2.9143356402597798</v>
      </c>
      <c r="L47" s="145">
        <f>IF(L4=0,0,L4/TrRoad_ene!L4)</f>
        <v>2.917163770035311</v>
      </c>
      <c r="M47" s="145">
        <f>IF(M4=0,0,M4/TrRoad_ene!M4)</f>
        <v>2.876426254600422</v>
      </c>
      <c r="N47" s="145">
        <f>IF(N4=0,0,N4/TrRoad_ene!N4)</f>
        <v>2.8766790700371687</v>
      </c>
      <c r="O47" s="145">
        <f>IF(O4=0,0,O4/TrRoad_ene!O4)</f>
        <v>2.8544247090536863</v>
      </c>
      <c r="P47" s="145">
        <f>IF(P4=0,0,P4/TrRoad_ene!P4)</f>
        <v>2.6304003724266627</v>
      </c>
      <c r="Q47" s="145">
        <f>IF(Q4=0,0,Q4/TrRoad_ene!Q4)</f>
        <v>2.6306627348970451</v>
      </c>
      <c r="R47" s="145">
        <f>IF(R4=0,0,R4/TrRoad_ene!R4)</f>
        <v>2.893980298121456</v>
      </c>
      <c r="S47" s="145">
        <f>IF(S4=0,0,S4/TrRoad_ene!S4)</f>
        <v>2.7265131307485948</v>
      </c>
      <c r="T47" s="145">
        <f>IF(T4=0,0,T4/TrRoad_ene!T4)</f>
        <v>2.7483659523859791</v>
      </c>
      <c r="U47" s="145">
        <f>IF(U4=0,0,U4/TrRoad_ene!U4)</f>
        <v>2.6913086732858162</v>
      </c>
      <c r="V47" s="145">
        <f>IF(V4=0,0,V4/TrRoad_ene!V4)</f>
        <v>2.6935678110811709</v>
      </c>
      <c r="W47" s="145">
        <f>IF(W4=0,0,W4/TrRoad_ene!W4)</f>
        <v>2.4757110160855755</v>
      </c>
      <c r="X47" s="145">
        <f>IF(X4=0,0,X4/TrRoad_ene!X4)</f>
        <v>2.5423978915252774</v>
      </c>
      <c r="Y47" s="145">
        <f>IF(Y4=0,0,Y4/TrRoad_ene!Y4)</f>
        <v>2.5068595420578661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2.9014523999999997</v>
      </c>
      <c r="D48" s="97">
        <f>IF(D7=0,0,(D7+D12)/(TrRoad_ene!D7+TrRoad_ene!D12))</f>
        <v>2.9003658100769303</v>
      </c>
      <c r="E48" s="97">
        <f>IF(E7=0,0,(E7+E12)/(TrRoad_ene!E7+TrRoad_ene!E12))</f>
        <v>2.8949638338138497</v>
      </c>
      <c r="F48" s="97">
        <f>IF(F7=0,0,(F7+F12)/(TrRoad_ene!F7+TrRoad_ene!F12))</f>
        <v>2.8940202729394104</v>
      </c>
      <c r="G48" s="97">
        <f>IF(G7=0,0,(G7+G12)/(TrRoad_ene!G7+TrRoad_ene!G12))</f>
        <v>2.9014524000000002</v>
      </c>
      <c r="H48" s="97">
        <f>IF(H7=0,0,(H7+H12)/(TrRoad_ene!H7+TrRoad_ene!H12))</f>
        <v>2.9003193015716038</v>
      </c>
      <c r="I48" s="97">
        <f>IF(I7=0,0,(I7+I12)/(TrRoad_ene!I7+TrRoad_ene!I12))</f>
        <v>2.8991811274120418</v>
      </c>
      <c r="J48" s="97">
        <f>IF(J7=0,0,(J7+J12)/(TrRoad_ene!J7+TrRoad_ene!J12))</f>
        <v>2.7960217269971674</v>
      </c>
      <c r="K48" s="97">
        <f>IF(K7=0,0,(K7+K12)/(TrRoad_ene!K7+TrRoad_ene!K12))</f>
        <v>2.7717533659548028</v>
      </c>
      <c r="L48" s="97">
        <f>IF(L7=0,0,(L7+L12)/(TrRoad_ene!L7+TrRoad_ene!L12))</f>
        <v>2.7618640890280988</v>
      </c>
      <c r="M48" s="97">
        <f>IF(M7=0,0,(M7+M12)/(TrRoad_ene!M7+TrRoad_ene!M12))</f>
        <v>2.7346972995209051</v>
      </c>
      <c r="N48" s="97">
        <f>IF(N7=0,0,(N7+N12)/(TrRoad_ene!N7+TrRoad_ene!N12))</f>
        <v>2.7219002133580679</v>
      </c>
      <c r="O48" s="97">
        <f>IF(O7=0,0,(O7+O12)/(TrRoad_ene!O7+TrRoad_ene!O12))</f>
        <v>2.7715606478971866</v>
      </c>
      <c r="P48" s="97">
        <f>IF(P7=0,0,(P7+P12)/(TrRoad_ene!P7+TrRoad_ene!P12))</f>
        <v>2.760783492572759</v>
      </c>
      <c r="Q48" s="97">
        <f>IF(Q7=0,0,(Q7+Q12)/(TrRoad_ene!Q7+TrRoad_ene!Q12))</f>
        <v>2.7674883473847416</v>
      </c>
      <c r="R48" s="97">
        <f>IF(R7=0,0,(R7+R12)/(TrRoad_ene!R7+TrRoad_ene!R12))</f>
        <v>2.7630491171021703</v>
      </c>
      <c r="S48" s="97">
        <f>IF(S7=0,0,(S7+S12)/(TrRoad_ene!S7+TrRoad_ene!S12))</f>
        <v>2.7320766829140619</v>
      </c>
      <c r="T48" s="97">
        <f>IF(T7=0,0,(T7+T12)/(TrRoad_ene!T7+TrRoad_ene!T12))</f>
        <v>2.7221517577384793</v>
      </c>
      <c r="U48" s="97">
        <f>IF(U7=0,0,(U7+U12)/(TrRoad_ene!U7+TrRoad_ene!U12))</f>
        <v>2.7084533670367446</v>
      </c>
      <c r="V48" s="97">
        <f>IF(V7=0,0,(V7+V12)/(TrRoad_ene!V7+TrRoad_ene!V12))</f>
        <v>2.6854296338262733</v>
      </c>
      <c r="W48" s="97">
        <f>IF(W7=0,0,(W7+W12)/(TrRoad_ene!W7+TrRoad_ene!W12))</f>
        <v>2.6470121540759455</v>
      </c>
      <c r="X48" s="97">
        <f>IF(X7=0,0,(X7+X12)/(TrRoad_ene!X7+TrRoad_ene!X12))</f>
        <v>2.6164829337243409</v>
      </c>
      <c r="Y48" s="97">
        <f>IF(Y7=0,0,(Y7+Y12)/(TrRoad_ene!Y7+TrRoad_ene!Y12))</f>
        <v>2.5772355516107357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3.1024187999999997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3.1024188000000001</v>
      </c>
      <c r="I49" s="97">
        <f>IF(I8=0,0,(I8+I13+I14)/(TrRoad_ene!I8+TrRoad_ene!I13+TrRoad_ene!I14))</f>
        <v>3.1024188000000001</v>
      </c>
      <c r="J49" s="97">
        <f>IF(J8=0,0,(J8+J13+J14)/(TrRoad_ene!J8+TrRoad_ene!J13+TrRoad_ene!J14))</f>
        <v>3.0871262101651316</v>
      </c>
      <c r="K49" s="97">
        <f>IF(K8=0,0,(K8+K13+K14)/(TrRoad_ene!K8+TrRoad_ene!K13+TrRoad_ene!K14))</f>
        <v>3.0195232151656817</v>
      </c>
      <c r="L49" s="97">
        <f>IF(L8=0,0,(L8+L13+L14)/(TrRoad_ene!L8+TrRoad_ene!L13+TrRoad_ene!L14))</f>
        <v>3.0208067843918802</v>
      </c>
      <c r="M49" s="97">
        <f>IF(M8=0,0,(M8+M13+M14)/(TrRoad_ene!M8+TrRoad_ene!M13+TrRoad_ene!M14))</f>
        <v>2.963962352439252</v>
      </c>
      <c r="N49" s="97">
        <f>IF(N8=0,0,(N8+N13+N14)/(TrRoad_ene!N8+TrRoad_ene!N13+TrRoad_ene!N14))</f>
        <v>2.9705541009391538</v>
      </c>
      <c r="O49" s="97">
        <f>IF(O8=0,0,(O8+O13+O14)/(TrRoad_ene!O8+TrRoad_ene!O13+TrRoad_ene!O14))</f>
        <v>2.9045613218925554</v>
      </c>
      <c r="P49" s="97">
        <f>IF(P8=0,0,(P8+P13+P14)/(TrRoad_ene!P8+TrRoad_ene!P13+TrRoad_ene!P14))</f>
        <v>2.555691420892543</v>
      </c>
      <c r="Q49" s="97">
        <f>IF(Q8=0,0,(Q8+Q13+Q14)/(TrRoad_ene!Q8+TrRoad_ene!Q13+TrRoad_ene!Q14))</f>
        <v>2.5534069172005274</v>
      </c>
      <c r="R49" s="97">
        <f>IF(R8=0,0,(R8+R13+R14)/(TrRoad_ene!R8+TrRoad_ene!R13+TrRoad_ene!R14))</f>
        <v>2.9681801953368678</v>
      </c>
      <c r="S49" s="97">
        <f>IF(S8=0,0,(S8+S13+S14)/(TrRoad_ene!S8+TrRoad_ene!S13+TrRoad_ene!S14))</f>
        <v>2.7262050367557031</v>
      </c>
      <c r="T49" s="97">
        <f>IF(T8=0,0,(T8+T13+T14)/(TrRoad_ene!T8+TrRoad_ene!T13+TrRoad_ene!T14))</f>
        <v>2.7666519863983456</v>
      </c>
      <c r="U49" s="97">
        <f>IF(U8=0,0,(U8+U13+U14)/(TrRoad_ene!U8+TrRoad_ene!U13+TrRoad_ene!U14))</f>
        <v>2.6910101792896137</v>
      </c>
      <c r="V49" s="97">
        <f>IF(V8=0,0,(V8+V13+V14)/(TrRoad_ene!V8+TrRoad_ene!V13+TrRoad_ene!V14))</f>
        <v>2.7141645077875336</v>
      </c>
      <c r="W49" s="97">
        <f>IF(W8=0,0,(W8+W13+W14)/(TrRoad_ene!W8+TrRoad_ene!W13+TrRoad_ene!W14))</f>
        <v>2.4148232150743598</v>
      </c>
      <c r="X49" s="97">
        <f>IF(X8=0,0,(X8+X13+X14)/(TrRoad_ene!X8+TrRoad_ene!X13+TrRoad_ene!X14))</f>
        <v>2.5505493759308502</v>
      </c>
      <c r="Y49" s="97">
        <f>IF(Y8=0,0,(Y8+Y13+Y14)/(TrRoad_ene!Y8+TrRoad_ene!Y13+TrRoad_ene!Y14))</f>
        <v>2.5265799007754737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0</v>
      </c>
      <c r="D50" s="97">
        <f>IF(D6=0,0,D6/TrRoad_ene!D6)</f>
        <v>0</v>
      </c>
      <c r="E50" s="97">
        <f>IF(E6=0,0,E6/TrRoad_ene!E6)</f>
        <v>0</v>
      </c>
      <c r="F50" s="97">
        <f>IF(F6=0,0,F6/TrRoad_ene!F6)</f>
        <v>0</v>
      </c>
      <c r="G50" s="97">
        <f>IF(G6=0,0,G6/TrRoad_ene!G6)</f>
        <v>0</v>
      </c>
      <c r="H50" s="97">
        <f>IF(H6=0,0,H6/TrRoad_ene!H6)</f>
        <v>0</v>
      </c>
      <c r="I50" s="97">
        <f>IF(I6=0,0,I6/TrRoad_ene!I6)</f>
        <v>0</v>
      </c>
      <c r="J50" s="97">
        <f>IF(J6=0,0,J6/TrRoad_ene!J6)</f>
        <v>0</v>
      </c>
      <c r="K50" s="97">
        <f>IF(K6=0,0,K6/TrRoad_ene!K6)</f>
        <v>0</v>
      </c>
      <c r="L50" s="97">
        <f>IF(L6=0,0,L6/TrRoad_ene!L6)</f>
        <v>0</v>
      </c>
      <c r="M50" s="97">
        <f>IF(M6=0,0,M6/TrRoad_ene!M6)</f>
        <v>0</v>
      </c>
      <c r="N50" s="97">
        <f>IF(N6=0,0,N6/TrRoad_ene!N6)</f>
        <v>0</v>
      </c>
      <c r="O50" s="97">
        <f>IF(O6=0,0,O6/TrRoad_ene!O6)</f>
        <v>0</v>
      </c>
      <c r="P50" s="97">
        <f>IF(P6=0,0,P6/TrRoad_ene!P6)</f>
        <v>0</v>
      </c>
      <c r="Q50" s="97">
        <f>IF(Q6=0,0,Q6/TrRoad_ene!Q6)</f>
        <v>0</v>
      </c>
      <c r="R50" s="97">
        <f>IF(R6=0,0,R6/TrRoad_ene!R6)</f>
        <v>0</v>
      </c>
      <c r="S50" s="97">
        <f>IF(S6=0,0,S6/TrRoad_ene!S6)</f>
        <v>0</v>
      </c>
      <c r="T50" s="97">
        <f>IF(T6=0,0,T6/TrRoad_ene!T6)</f>
        <v>0</v>
      </c>
      <c r="U50" s="97">
        <f>IF(U6=0,0,U6/TrRoad_ene!U6)</f>
        <v>0</v>
      </c>
      <c r="V50" s="97">
        <f>IF(V6=0,0,V6/TrRoad_ene!V6)</f>
        <v>0</v>
      </c>
      <c r="W50" s="97">
        <f>IF(W6=0,0,W6/TrRoad_ene!W6)</f>
        <v>0</v>
      </c>
      <c r="X50" s="97">
        <f>IF(X6=0,0,X6/TrRoad_ene!X6)</f>
        <v>0</v>
      </c>
      <c r="Y50" s="97">
        <f>IF(Y6=0,0,Y6/TrRoad_ene!Y6)</f>
        <v>0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2.3487947999999998</v>
      </c>
      <c r="I51" s="97">
        <f>IF(I9=0,0,(I9+I11)/(TrRoad_ene!I9+TrRoad_ene!I11))</f>
        <v>2.3487947999999998</v>
      </c>
      <c r="J51" s="97">
        <f>IF(J9=0,0,(J9+J11)/(TrRoad_ene!J9+TrRoad_ene!J11))</f>
        <v>2.3487948000000003</v>
      </c>
      <c r="K51" s="97">
        <f>IF(K9=0,0,(K9+K11)/(TrRoad_ene!K9+TrRoad_ene!K11))</f>
        <v>2.3379622416138561</v>
      </c>
      <c r="L51" s="97">
        <f>IF(L9=0,0,(L9+L11)/(TrRoad_ene!L9+TrRoad_ene!L11))</f>
        <v>2.3272291432723433</v>
      </c>
      <c r="M51" s="97">
        <f>IF(M9=0,0,(M9+M11)/(TrRoad_ene!M9+TrRoad_ene!M11))</f>
        <v>2.3008445150447829</v>
      </c>
      <c r="N51" s="97">
        <f>IF(N9=0,0,(N9+N11)/(TrRoad_ene!N9+TrRoad_ene!N11))</f>
        <v>2.3182846557814543</v>
      </c>
      <c r="O51" s="97">
        <f>IF(O9=0,0,(O9+O11)/(TrRoad_ene!O9+TrRoad_ene!O11))</f>
        <v>2.2829746607446491</v>
      </c>
      <c r="P51" s="97">
        <f>IF(P9=0,0,(P9+P11)/(TrRoad_ene!P9+TrRoad_ene!P11))</f>
        <v>2.2433014631693458</v>
      </c>
      <c r="Q51" s="97">
        <f>IF(Q9=0,0,(Q9+Q11)/(TrRoad_ene!Q9+TrRoad_ene!Q11))</f>
        <v>2.2354178265471107</v>
      </c>
      <c r="R51" s="97">
        <f>IF(R9=0,0,(R9+R11)/(TrRoad_ene!R9+TrRoad_ene!R11))</f>
        <v>2.2320530989062126</v>
      </c>
      <c r="S51" s="97">
        <f>IF(S9=0,0,(S9+S11)/(TrRoad_ene!S9+TrRoad_ene!S11))</f>
        <v>2.185673401582271</v>
      </c>
      <c r="T51" s="97">
        <f>IF(T9=0,0,(T9+T11)/(TrRoad_ene!T9+TrRoad_ene!T11))</f>
        <v>2.0476362280395874</v>
      </c>
      <c r="U51" s="97">
        <f>IF(U9=0,0,(U9+U11)/(TrRoad_ene!U9+TrRoad_ene!U11))</f>
        <v>2.0474835629237673</v>
      </c>
      <c r="V51" s="97">
        <f>IF(V9=0,0,(V9+V11)/(TrRoad_ene!V9+TrRoad_ene!V11))</f>
        <v>1.8062226879427399</v>
      </c>
      <c r="W51" s="97">
        <f>IF(W9=0,0,(W9+W11)/(TrRoad_ene!W9+TrRoad_ene!W11))</f>
        <v>1.7615640981487852</v>
      </c>
      <c r="X51" s="97">
        <f>IF(X9=0,0,(X9+X11)/(TrRoad_ene!X9+TrRoad_ene!X11))</f>
        <v>1.6079973003069525</v>
      </c>
      <c r="Y51" s="97">
        <f>IF(Y9=0,0,(Y9+Y11)/(TrRoad_ene!Y9+TrRoad_ene!Y11))</f>
        <v>1.6480944881751656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265.92569063959183</v>
      </c>
      <c r="C54" s="62">
        <f>IF(TrRoad_act!C30=0,0,C17/TrRoad_act!C30*1000
)</f>
        <v>263.76728280612406</v>
      </c>
      <c r="D54" s="62">
        <f>IF(TrRoad_act!D30=0,0,D17/TrRoad_act!D30*1000
)</f>
        <v>261.96690862552191</v>
      </c>
      <c r="E54" s="62">
        <f>IF(TrRoad_act!E30=0,0,E17/TrRoad_act!E30*1000
)</f>
        <v>260.05148301902682</v>
      </c>
      <c r="F54" s="62">
        <f>IF(TrRoad_act!F30=0,0,F17/TrRoad_act!F30*1000
)</f>
        <v>259.93235083413583</v>
      </c>
      <c r="G54" s="62">
        <f>IF(TrRoad_act!G30=0,0,G17/TrRoad_act!G30*1000
)</f>
        <v>255.56964634693369</v>
      </c>
      <c r="H54" s="62">
        <f>IF(TrRoad_act!H30=0,0,H17/TrRoad_act!H30*1000
)</f>
        <v>257.176144235815</v>
      </c>
      <c r="I54" s="62">
        <f>IF(TrRoad_act!I30=0,0,I17/TrRoad_act!I30*1000
)</f>
        <v>258.99124560273617</v>
      </c>
      <c r="J54" s="62">
        <f>IF(TrRoad_act!J30=0,0,J17/TrRoad_act!J30*1000
)</f>
        <v>246.9374917537385</v>
      </c>
      <c r="K54" s="62">
        <f>IF(TrRoad_act!K30=0,0,K17/TrRoad_act!K30*1000
)</f>
        <v>233.45826035580822</v>
      </c>
      <c r="L54" s="62">
        <f>IF(TrRoad_act!L30=0,0,L17/TrRoad_act!L30*1000
)</f>
        <v>237.59714133802905</v>
      </c>
      <c r="M54" s="62">
        <f>IF(TrRoad_act!M30=0,0,M17/TrRoad_act!M30*1000
)</f>
        <v>230.92679602892375</v>
      </c>
      <c r="N54" s="62">
        <f>IF(TrRoad_act!N30=0,0,N17/TrRoad_act!N30*1000
)</f>
        <v>227.47490713798788</v>
      </c>
      <c r="O54" s="62">
        <f>IF(TrRoad_act!O30=0,0,O17/TrRoad_act!O30*1000
)</f>
        <v>226.65386121382164</v>
      </c>
      <c r="P54" s="62">
        <f>IF(TrRoad_act!P30=0,0,P17/TrRoad_act!P30*1000
)</f>
        <v>203.63898211179691</v>
      </c>
      <c r="Q54" s="62">
        <f>IF(TrRoad_act!Q30=0,0,Q17/TrRoad_act!Q30*1000
)</f>
        <v>201.44185606286297</v>
      </c>
      <c r="R54" s="62">
        <f>IF(TrRoad_act!R30=0,0,R17/TrRoad_act!R30*1000
)</f>
        <v>233.63148141662018</v>
      </c>
      <c r="S54" s="62">
        <f>IF(TrRoad_act!S30=0,0,S17/TrRoad_act!S30*1000
)</f>
        <v>209.0997585385696</v>
      </c>
      <c r="T54" s="62">
        <f>IF(TrRoad_act!T30=0,0,T17/TrRoad_act!T30*1000
)</f>
        <v>211.69694988411797</v>
      </c>
      <c r="U54" s="62">
        <f>IF(TrRoad_act!U30=0,0,U17/TrRoad_act!U30*1000
)</f>
        <v>202.98009332823611</v>
      </c>
      <c r="V54" s="62">
        <f>IF(TrRoad_act!V30=0,0,V17/TrRoad_act!V30*1000
)</f>
        <v>197.97327208764909</v>
      </c>
      <c r="W54" s="62">
        <f>IF(TrRoad_act!W30=0,0,W17/TrRoad_act!W30*1000
)</f>
        <v>189.17342210906131</v>
      </c>
      <c r="X54" s="62">
        <f>IF(TrRoad_act!X30=0,0,X17/TrRoad_act!X30*1000
)</f>
        <v>186.07475862206431</v>
      </c>
      <c r="Y54" s="62">
        <f>IF(TrRoad_act!Y30=0,0,Y17/TrRoad_act!Y30*1000
)</f>
        <v>178.11252150367633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203.07769301003509</v>
      </c>
      <c r="C55" s="29">
        <f>IF(TrRoad_act!C31=0,0,C18/TrRoad_act!C31*1000
)</f>
        <v>200.27870916720417</v>
      </c>
      <c r="D55" s="29">
        <f>IF(TrRoad_act!D31=0,0,D18/TrRoad_act!D31*1000
)</f>
        <v>199.39010779937544</v>
      </c>
      <c r="E55" s="29">
        <f>IF(TrRoad_act!E31=0,0,E18/TrRoad_act!E31*1000
)</f>
        <v>198.28869791370823</v>
      </c>
      <c r="F55" s="29">
        <f>IF(TrRoad_act!F31=0,0,F18/TrRoad_act!F31*1000
)</f>
        <v>197.91704753295014</v>
      </c>
      <c r="G55" s="29">
        <f>IF(TrRoad_act!G31=0,0,G18/TrRoad_act!G31*1000
)</f>
        <v>196.06923304487435</v>
      </c>
      <c r="H55" s="29">
        <f>IF(TrRoad_act!H31=0,0,H18/TrRoad_act!H31*1000
)</f>
        <v>198.59471257403996</v>
      </c>
      <c r="I55" s="29">
        <f>IF(TrRoad_act!I31=0,0,I18/TrRoad_act!I31*1000
)</f>
        <v>200.45904616211419</v>
      </c>
      <c r="J55" s="29">
        <f>IF(TrRoad_act!J31=0,0,J18/TrRoad_act!J31*1000
)</f>
        <v>192.33057808984708</v>
      </c>
      <c r="K55" s="29">
        <f>IF(TrRoad_act!K31=0,0,K18/TrRoad_act!K31*1000
)</f>
        <v>187.85144502947463</v>
      </c>
      <c r="L55" s="29">
        <f>IF(TrRoad_act!L31=0,0,L18/TrRoad_act!L31*1000
)</f>
        <v>189.06906234865406</v>
      </c>
      <c r="M55" s="29">
        <f>IF(TrRoad_act!M31=0,0,M18/TrRoad_act!M31*1000
)</f>
        <v>187.03675572924118</v>
      </c>
      <c r="N55" s="29">
        <f>IF(TrRoad_act!N31=0,0,N18/TrRoad_act!N31*1000
)</f>
        <v>187.12931556393784</v>
      </c>
      <c r="O55" s="29">
        <f>IF(TrRoad_act!O31=0,0,O18/TrRoad_act!O31*1000
)</f>
        <v>187.998083156787</v>
      </c>
      <c r="P55" s="29">
        <f>IF(TrRoad_act!P31=0,0,P18/TrRoad_act!P31*1000
)</f>
        <v>173.72336073613405</v>
      </c>
      <c r="Q55" s="29">
        <f>IF(TrRoad_act!Q31=0,0,Q18/TrRoad_act!Q31*1000
)</f>
        <v>173.66015693659401</v>
      </c>
      <c r="R55" s="29">
        <f>IF(TrRoad_act!R31=0,0,R18/TrRoad_act!R31*1000
)</f>
        <v>195.16761836253255</v>
      </c>
      <c r="S55" s="29">
        <f>IF(TrRoad_act!S31=0,0,S18/TrRoad_act!S31*1000
)</f>
        <v>176.77961093187713</v>
      </c>
      <c r="T55" s="29">
        <f>IF(TrRoad_act!T31=0,0,T18/TrRoad_act!T31*1000
)</f>
        <v>178.35672617519899</v>
      </c>
      <c r="U55" s="29">
        <f>IF(TrRoad_act!U31=0,0,U18/TrRoad_act!U31*1000
)</f>
        <v>171.71634438931974</v>
      </c>
      <c r="V55" s="29">
        <f>IF(TrRoad_act!V31=0,0,V18/TrRoad_act!V31*1000
)</f>
        <v>165.6237666718043</v>
      </c>
      <c r="W55" s="29">
        <f>IF(TrRoad_act!W31=0,0,W18/TrRoad_act!W31*1000
)</f>
        <v>158.16569925747089</v>
      </c>
      <c r="X55" s="29">
        <f>IF(TrRoad_act!X31=0,0,X18/TrRoad_act!X31*1000
)</f>
        <v>153.95461915199451</v>
      </c>
      <c r="Y55" s="29">
        <f>IF(TrRoad_act!Y31=0,0,Y18/TrRoad_act!Y31*1000
)</f>
        <v>150.01395139799959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135.58945415283736</v>
      </c>
      <c r="C56" s="152">
        <f>IF(TrRoad_act!C32=0,0,C19/TrRoad_act!C32*1000
)</f>
        <v>133.82954638516196</v>
      </c>
      <c r="D56" s="152">
        <f>IF(TrRoad_act!D32=0,0,D19/TrRoad_act!D32*1000
)</f>
        <v>131.87537288397615</v>
      </c>
      <c r="E56" s="152">
        <f>IF(TrRoad_act!E32=0,0,E19/TrRoad_act!E32*1000
)</f>
        <v>129.56427478664978</v>
      </c>
      <c r="F56" s="152">
        <f>IF(TrRoad_act!F32=0,0,F19/TrRoad_act!F32*1000
)</f>
        <v>127.83753279659577</v>
      </c>
      <c r="G56" s="152">
        <f>IF(TrRoad_act!G32=0,0,G19/TrRoad_act!G32*1000
)</f>
        <v>126.6824360994147</v>
      </c>
      <c r="H56" s="152">
        <f>IF(TrRoad_act!H32=0,0,H19/TrRoad_act!H32*1000
)</f>
        <v>125.21395628052851</v>
      </c>
      <c r="I56" s="152">
        <f>IF(TrRoad_act!I32=0,0,I19/TrRoad_act!I32*1000
)</f>
        <v>124.18906603970721</v>
      </c>
      <c r="J56" s="152">
        <f>IF(TrRoad_act!J32=0,0,J19/TrRoad_act!J32*1000
)</f>
        <v>117.87174062334419</v>
      </c>
      <c r="K56" s="152">
        <f>IF(TrRoad_act!K32=0,0,K19/TrRoad_act!K32*1000
)</f>
        <v>115.16508541517412</v>
      </c>
      <c r="L56" s="152">
        <f>IF(TrRoad_act!L32=0,0,L19/TrRoad_act!L32*1000
)</f>
        <v>113.07663562747572</v>
      </c>
      <c r="M56" s="152">
        <f>IF(TrRoad_act!M32=0,0,M19/TrRoad_act!M32*1000
)</f>
        <v>110.29972702659254</v>
      </c>
      <c r="N56" s="152">
        <f>IF(TrRoad_act!N32=0,0,N19/TrRoad_act!N32*1000
)</f>
        <v>108.39736478106759</v>
      </c>
      <c r="O56" s="152">
        <f>IF(TrRoad_act!O32=0,0,O19/TrRoad_act!O32*1000
)</f>
        <v>109.43999195159594</v>
      </c>
      <c r="P56" s="152">
        <f>IF(TrRoad_act!P32=0,0,P19/TrRoad_act!P32*1000
)</f>
        <v>107.73178052328468</v>
      </c>
      <c r="Q56" s="152">
        <f>IF(TrRoad_act!Q32=0,0,Q19/TrRoad_act!Q32*1000
)</f>
        <v>106.86616456585854</v>
      </c>
      <c r="R56" s="152">
        <f>IF(TrRoad_act!R32=0,0,R19/TrRoad_act!R32*1000
)</f>
        <v>105.89583235893353</v>
      </c>
      <c r="S56" s="152">
        <f>IF(TrRoad_act!S32=0,0,S19/TrRoad_act!S32*1000
)</f>
        <v>103.82369965714246</v>
      </c>
      <c r="T56" s="152">
        <f>IF(TrRoad_act!T32=0,0,T19/TrRoad_act!T32*1000
)</f>
        <v>102.66351143134207</v>
      </c>
      <c r="U56" s="152">
        <f>IF(TrRoad_act!U32=0,0,U19/TrRoad_act!U32*1000
)</f>
        <v>101.39341463516865</v>
      </c>
      <c r="V56" s="152">
        <f>IF(TrRoad_act!V32=0,0,V19/TrRoad_act!V32*1000
)</f>
        <v>99.770654968205392</v>
      </c>
      <c r="W56" s="152">
        <f>IF(TrRoad_act!W32=0,0,W19/TrRoad_act!W32*1000
)</f>
        <v>97.695941941471716</v>
      </c>
      <c r="X56" s="152">
        <f>IF(TrRoad_act!X32=0,0,X19/TrRoad_act!X32*1000
)</f>
        <v>95.938270553685115</v>
      </c>
      <c r="Y56" s="152">
        <f>IF(TrRoad_act!Y32=0,0,Y19/TrRoad_act!Y32*1000
)</f>
        <v>94.25687639998246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186.44071280232814</v>
      </c>
      <c r="C57" s="116">
        <f>IF(TrRoad_act!C33=0,0,C20/TrRoad_act!C33*1000
)</f>
        <v>184.39380447923079</v>
      </c>
      <c r="D57" s="116">
        <f>IF(TrRoad_act!D33=0,0,D20/TrRoad_act!D33*1000
)</f>
        <v>183.8470034608643</v>
      </c>
      <c r="E57" s="116">
        <f>IF(TrRoad_act!E33=0,0,E20/TrRoad_act!E33*1000
)</f>
        <v>182.69397783479278</v>
      </c>
      <c r="F57" s="116">
        <f>IF(TrRoad_act!F33=0,0,F20/TrRoad_act!F33*1000
)</f>
        <v>182.11167015226221</v>
      </c>
      <c r="G57" s="116">
        <f>IF(TrRoad_act!G33=0,0,G20/TrRoad_act!G33*1000
)</f>
        <v>180.80462052832812</v>
      </c>
      <c r="H57" s="116">
        <f>IF(TrRoad_act!H33=0,0,H20/TrRoad_act!H33*1000
)</f>
        <v>182.97718433635345</v>
      </c>
      <c r="I57" s="116">
        <f>IF(TrRoad_act!I33=0,0,I20/TrRoad_act!I33*1000
)</f>
        <v>184.6460851877884</v>
      </c>
      <c r="J57" s="116">
        <f>IF(TrRoad_act!J33=0,0,J20/TrRoad_act!J33*1000
)</f>
        <v>176.43729614082361</v>
      </c>
      <c r="K57" s="116">
        <f>IF(TrRoad_act!K33=0,0,K20/TrRoad_act!K33*1000
)</f>
        <v>171.95328913126332</v>
      </c>
      <c r="L57" s="116">
        <f>IF(TrRoad_act!L33=0,0,L20/TrRoad_act!L33*1000
)</f>
        <v>173.10399920929333</v>
      </c>
      <c r="M57" s="116">
        <f>IF(TrRoad_act!M33=0,0,M20/TrRoad_act!M33*1000
)</f>
        <v>171.23330056539726</v>
      </c>
      <c r="N57" s="116">
        <f>IF(TrRoad_act!N33=0,0,N20/TrRoad_act!N33*1000
)</f>
        <v>170.5369734738405</v>
      </c>
      <c r="O57" s="116">
        <f>IF(TrRoad_act!O33=0,0,O20/TrRoad_act!O33*1000
)</f>
        <v>171.24389626551658</v>
      </c>
      <c r="P57" s="116">
        <f>IF(TrRoad_act!P33=0,0,P20/TrRoad_act!P33*1000
)</f>
        <v>158.61972375609915</v>
      </c>
      <c r="Q57" s="116">
        <f>IF(TrRoad_act!Q33=0,0,Q20/TrRoad_act!Q33*1000
)</f>
        <v>158.13368082075056</v>
      </c>
      <c r="R57" s="116">
        <f>IF(TrRoad_act!R33=0,0,R20/TrRoad_act!R33*1000
)</f>
        <v>174.84826392768281</v>
      </c>
      <c r="S57" s="116">
        <f>IF(TrRoad_act!S33=0,0,S20/TrRoad_act!S33*1000
)</f>
        <v>158.85279020290264</v>
      </c>
      <c r="T57" s="116">
        <f>IF(TrRoad_act!T33=0,0,T20/TrRoad_act!T33*1000
)</f>
        <v>160.29457498138333</v>
      </c>
      <c r="U57" s="116">
        <f>IF(TrRoad_act!U33=0,0,U20/TrRoad_act!U33*1000
)</f>
        <v>154.85710967937794</v>
      </c>
      <c r="V57" s="116">
        <f>IF(TrRoad_act!V33=0,0,V20/TrRoad_act!V33*1000
)</f>
        <v>150.260125322249</v>
      </c>
      <c r="W57" s="116">
        <f>IF(TrRoad_act!W33=0,0,W20/TrRoad_act!W33*1000
)</f>
        <v>146.01533331505365</v>
      </c>
      <c r="X57" s="116">
        <f>IF(TrRoad_act!X33=0,0,X20/TrRoad_act!X33*1000
)</f>
        <v>139.8828099036696</v>
      </c>
      <c r="Y57" s="116">
        <f>IF(TrRoad_act!Y33=0,0,Y20/TrRoad_act!Y33*1000
)</f>
        <v>135.80325728214478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172.13798940588146</v>
      </c>
      <c r="C58" s="87">
        <f>IF(TrRoad_act!C34=0,0,C21/TrRoad_act!C34*1000
)</f>
        <v>171.67513428927765</v>
      </c>
      <c r="D58" s="87">
        <f>IF(TrRoad_act!D34=0,0,D21/TrRoad_act!D34*1000
)</f>
        <v>171.322856035797</v>
      </c>
      <c r="E58" s="87">
        <f>IF(TrRoad_act!E34=0,0,E21/TrRoad_act!E34*1000
)</f>
        <v>169.60366005743978</v>
      </c>
      <c r="F58" s="87">
        <f>IF(TrRoad_act!F34=0,0,F21/TrRoad_act!F34*1000
)</f>
        <v>168.64518421503385</v>
      </c>
      <c r="G58" s="87">
        <f>IF(TrRoad_act!G34=0,0,G21/TrRoad_act!G34*1000
)</f>
        <v>167.62325678894737</v>
      </c>
      <c r="H58" s="87">
        <f>IF(TrRoad_act!H34=0,0,H21/TrRoad_act!H34*1000
)</f>
        <v>167.62984648814236</v>
      </c>
      <c r="I58" s="87">
        <f>IF(TrRoad_act!I34=0,0,I21/TrRoad_act!I34*1000
)</f>
        <v>166.9633845563506</v>
      </c>
      <c r="J58" s="87">
        <f>IF(TrRoad_act!J34=0,0,J21/TrRoad_act!J34*1000
)</f>
        <v>158.24860176970572</v>
      </c>
      <c r="K58" s="87">
        <f>IF(TrRoad_act!K34=0,0,K21/TrRoad_act!K34*1000
)</f>
        <v>154.17663897859703</v>
      </c>
      <c r="L58" s="87">
        <f>IF(TrRoad_act!L34=0,0,L21/TrRoad_act!L34*1000
)</f>
        <v>153.80480315649876</v>
      </c>
      <c r="M58" s="87">
        <f>IF(TrRoad_act!M34=0,0,M21/TrRoad_act!M34*1000
)</f>
        <v>151.35051895875418</v>
      </c>
      <c r="N58" s="87">
        <f>IF(TrRoad_act!N34=0,0,N21/TrRoad_act!N34*1000
)</f>
        <v>150.25186295268631</v>
      </c>
      <c r="O58" s="87">
        <f>IF(TrRoad_act!O34=0,0,O21/TrRoad_act!O34*1000
)</f>
        <v>154.98395608745832</v>
      </c>
      <c r="P58" s="87">
        <f>IF(TrRoad_act!P34=0,0,P21/TrRoad_act!P34*1000
)</f>
        <v>151.39652694340629</v>
      </c>
      <c r="Q58" s="87">
        <f>IF(TrRoad_act!Q34=0,0,Q21/TrRoad_act!Q34*1000
)</f>
        <v>151.47397681343841</v>
      </c>
      <c r="R58" s="87">
        <f>IF(TrRoad_act!R34=0,0,R21/TrRoad_act!R34*1000
)</f>
        <v>161.08072644036395</v>
      </c>
      <c r="S58" s="87">
        <f>IF(TrRoad_act!S34=0,0,S21/TrRoad_act!S34*1000
)</f>
        <v>149.62579697740429</v>
      </c>
      <c r="T58" s="87">
        <f>IF(TrRoad_act!T34=0,0,T21/TrRoad_act!T34*1000
)</f>
        <v>149.20215013491611</v>
      </c>
      <c r="U58" s="87">
        <f>IF(TrRoad_act!U34=0,0,U21/TrRoad_act!U34*1000
)</f>
        <v>146.34467604492053</v>
      </c>
      <c r="V58" s="87">
        <f>IF(TrRoad_act!V34=0,0,V21/TrRoad_act!V34*1000
)</f>
        <v>140.2513154594792</v>
      </c>
      <c r="W58" s="87">
        <f>IF(TrRoad_act!W34=0,0,W21/TrRoad_act!W34*1000
)</f>
        <v>143.99925697663329</v>
      </c>
      <c r="X58" s="87">
        <f>IF(TrRoad_act!X34=0,0,X21/TrRoad_act!X34*1000
)</f>
        <v>135.89552388582922</v>
      </c>
      <c r="Y58" s="87">
        <f>IF(TrRoad_act!Y34=0,0,Y21/TrRoad_act!Y34*1000
)</f>
        <v>135.52484469425795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258.27714723660449</v>
      </c>
      <c r="C59" s="87">
        <f>IF(TrRoad_act!C35=0,0,C22/TrRoad_act!C35*1000
)</f>
        <v>245.61345647958069</v>
      </c>
      <c r="D59" s="87">
        <f>IF(TrRoad_act!D35=0,0,D22/TrRoad_act!D35*1000
)</f>
        <v>241.7966194848743</v>
      </c>
      <c r="E59" s="87">
        <f>IF(TrRoad_act!E35=0,0,E22/TrRoad_act!E35*1000
)</f>
        <v>239.95153207095709</v>
      </c>
      <c r="F59" s="87">
        <f>IF(TrRoad_act!F35=0,0,F22/TrRoad_act!F35*1000
)</f>
        <v>240.77835157102572</v>
      </c>
      <c r="G59" s="87">
        <f>IF(TrRoad_act!G35=0,0,G22/TrRoad_act!G35*1000
)</f>
        <v>234.12024206032063</v>
      </c>
      <c r="H59" s="87">
        <f>IF(TrRoad_act!H35=0,0,H22/TrRoad_act!H35*1000
)</f>
        <v>239.8071714230135</v>
      </c>
      <c r="I59" s="87">
        <f>IF(TrRoad_act!I35=0,0,I22/TrRoad_act!I35*1000
)</f>
        <v>243.76222203599721</v>
      </c>
      <c r="J59" s="87">
        <f>IF(TrRoad_act!J35=0,0,J22/TrRoad_act!J35*1000
)</f>
        <v>226.09800036926424</v>
      </c>
      <c r="K59" s="87">
        <f>IF(TrRoad_act!K35=0,0,K22/TrRoad_act!K35*1000
)</f>
        <v>215.82010841026693</v>
      </c>
      <c r="L59" s="87">
        <f>IF(TrRoad_act!L35=0,0,L22/TrRoad_act!L35*1000
)</f>
        <v>215.25166049060965</v>
      </c>
      <c r="M59" s="87">
        <f>IF(TrRoad_act!M35=0,0,M22/TrRoad_act!M35*1000
)</f>
        <v>208.09311967630782</v>
      </c>
      <c r="N59" s="87">
        <f>IF(TrRoad_act!N35=0,0,N22/TrRoad_act!N35*1000
)</f>
        <v>205.14839938659108</v>
      </c>
      <c r="O59" s="87">
        <f>IF(TrRoad_act!O35=0,0,O22/TrRoad_act!O35*1000
)</f>
        <v>198.69210611406288</v>
      </c>
      <c r="P59" s="87">
        <f>IF(TrRoad_act!P35=0,0,P22/TrRoad_act!P35*1000
)</f>
        <v>170.17575009494203</v>
      </c>
      <c r="Q59" s="87">
        <f>IF(TrRoad_act!Q35=0,0,Q22/TrRoad_act!Q35*1000
)</f>
        <v>168.35364331347861</v>
      </c>
      <c r="R59" s="87">
        <f>IF(TrRoad_act!R35=0,0,R22/TrRoad_act!R35*1000
)</f>
        <v>195.33512077472639</v>
      </c>
      <c r="S59" s="87">
        <f>IF(TrRoad_act!S35=0,0,S22/TrRoad_act!S35*1000
)</f>
        <v>172.16206663811806</v>
      </c>
      <c r="T59" s="87">
        <f>IF(TrRoad_act!T35=0,0,T22/TrRoad_act!T35*1000
)</f>
        <v>176.27131319464365</v>
      </c>
      <c r="U59" s="87">
        <f>IF(TrRoad_act!U35=0,0,U22/TrRoad_act!U35*1000
)</f>
        <v>167.98164118561056</v>
      </c>
      <c r="V59" s="87">
        <f>IF(TrRoad_act!V35=0,0,V22/TrRoad_act!V35*1000
)</f>
        <v>166.89698867989088</v>
      </c>
      <c r="W59" s="87">
        <f>IF(TrRoad_act!W35=0,0,W22/TrRoad_act!W35*1000
)</f>
        <v>154.74994391790906</v>
      </c>
      <c r="X59" s="87">
        <f>IF(TrRoad_act!X35=0,0,X22/TrRoad_act!X35*1000
)</f>
        <v>155.5429725135015</v>
      </c>
      <c r="Y59" s="87">
        <f>IF(TrRoad_act!Y35=0,0,Y22/TrRoad_act!Y35*1000
)</f>
        <v>149.59972853517556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0</v>
      </c>
      <c r="D60" s="87">
        <f>IF(TrRoad_act!D36=0,0,D23/TrRoad_act!D36*1000
)</f>
        <v>0</v>
      </c>
      <c r="E60" s="87">
        <f>IF(TrRoad_act!E36=0,0,E23/TrRoad_act!E36*1000
)</f>
        <v>0</v>
      </c>
      <c r="F60" s="87">
        <f>IF(TrRoad_act!F36=0,0,F23/TrRoad_act!F36*1000
)</f>
        <v>0</v>
      </c>
      <c r="G60" s="87">
        <f>IF(TrRoad_act!G36=0,0,G23/TrRoad_act!G36*1000
)</f>
        <v>0</v>
      </c>
      <c r="H60" s="87">
        <f>IF(TrRoad_act!H36=0,0,H23/TrRoad_act!H36*1000
)</f>
        <v>0</v>
      </c>
      <c r="I60" s="87">
        <f>IF(TrRoad_act!I36=0,0,I23/TrRoad_act!I36*1000
)</f>
        <v>0</v>
      </c>
      <c r="J60" s="87">
        <f>IF(TrRoad_act!J36=0,0,J23/TrRoad_act!J36*1000
)</f>
        <v>0</v>
      </c>
      <c r="K60" s="87">
        <f>IF(TrRoad_act!K36=0,0,K23/TrRoad_act!K36*1000
)</f>
        <v>0</v>
      </c>
      <c r="L60" s="87">
        <f>IF(TrRoad_act!L36=0,0,L23/TrRoad_act!L36*1000
)</f>
        <v>0</v>
      </c>
      <c r="M60" s="87">
        <f>IF(TrRoad_act!M36=0,0,M23/TrRoad_act!M36*1000
)</f>
        <v>0</v>
      </c>
      <c r="N60" s="87">
        <f>IF(TrRoad_act!N36=0,0,N23/TrRoad_act!N36*1000
)</f>
        <v>0</v>
      </c>
      <c r="O60" s="87">
        <f>IF(TrRoad_act!O36=0,0,O23/TrRoad_act!O36*1000
)</f>
        <v>0</v>
      </c>
      <c r="P60" s="87">
        <f>IF(TrRoad_act!P36=0,0,P23/TrRoad_act!P36*1000
)</f>
        <v>0</v>
      </c>
      <c r="Q60" s="87">
        <f>IF(TrRoad_act!Q36=0,0,Q23/TrRoad_act!Q36*1000
)</f>
        <v>0</v>
      </c>
      <c r="R60" s="87">
        <f>IF(TrRoad_act!R36=0,0,R23/TrRoad_act!R36*1000
)</f>
        <v>0</v>
      </c>
      <c r="S60" s="87">
        <f>IF(TrRoad_act!S36=0,0,S23/TrRoad_act!S36*1000
)</f>
        <v>0</v>
      </c>
      <c r="T60" s="87">
        <f>IF(TrRoad_act!T36=0,0,T23/TrRoad_act!T36*1000
)</f>
        <v>0</v>
      </c>
      <c r="U60" s="87">
        <f>IF(TrRoad_act!U36=0,0,U23/TrRoad_act!U36*1000
)</f>
        <v>0</v>
      </c>
      <c r="V60" s="87">
        <f>IF(TrRoad_act!V36=0,0,V23/TrRoad_act!V36*1000
)</f>
        <v>0</v>
      </c>
      <c r="W60" s="87">
        <f>IF(TrRoad_act!W36=0,0,W23/TrRoad_act!W36*1000
)</f>
        <v>0</v>
      </c>
      <c r="X60" s="87">
        <f>IF(TrRoad_act!X36=0,0,X23/TrRoad_act!X36*1000
)</f>
        <v>0</v>
      </c>
      <c r="Y60" s="87">
        <f>IF(TrRoad_act!Y36=0,0,Y23/TrRoad_act!Y36*1000
)</f>
        <v>0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202.54037971999861</v>
      </c>
      <c r="I61" s="87">
        <f>IF(TrRoad_act!I37=0,0,I24/TrRoad_act!I37*1000
)</f>
        <v>203.64615847880779</v>
      </c>
      <c r="J61" s="87">
        <f>IF(TrRoad_act!J37=0,0,J24/TrRoad_act!J37*1000
)</f>
        <v>228.04713290214602</v>
      </c>
      <c r="K61" s="87">
        <f>IF(TrRoad_act!K37=0,0,K24/TrRoad_act!K37*1000
)</f>
        <v>252.89348861980443</v>
      </c>
      <c r="L61" s="87">
        <f>IF(TrRoad_act!L37=0,0,L24/TrRoad_act!L37*1000
)</f>
        <v>251.33267607867205</v>
      </c>
      <c r="M61" s="87">
        <f>IF(TrRoad_act!M37=0,0,M24/TrRoad_act!M37*1000
)</f>
        <v>186.28297541200476</v>
      </c>
      <c r="N61" s="87">
        <f>IF(TrRoad_act!N37=0,0,N24/TrRoad_act!N37*1000
)</f>
        <v>272.28465640407637</v>
      </c>
      <c r="O61" s="87">
        <f>IF(TrRoad_act!O37=0,0,O24/TrRoad_act!O37*1000
)</f>
        <v>178.31553964712884</v>
      </c>
      <c r="P61" s="87">
        <f>IF(TrRoad_act!P37=0,0,P24/TrRoad_act!P37*1000
)</f>
        <v>164.19698806878472</v>
      </c>
      <c r="Q61" s="87">
        <f>IF(TrRoad_act!Q37=0,0,Q24/TrRoad_act!Q37*1000
)</f>
        <v>154.85812256796163</v>
      </c>
      <c r="R61" s="87">
        <f>IF(TrRoad_act!R37=0,0,R24/TrRoad_act!R37*1000
)</f>
        <v>148.08131779911091</v>
      </c>
      <c r="S61" s="87">
        <f>IF(TrRoad_act!S37=0,0,S24/TrRoad_act!S37*1000
)</f>
        <v>135.7974811397853</v>
      </c>
      <c r="T61" s="87">
        <f>IF(TrRoad_act!T37=0,0,T24/TrRoad_act!T37*1000
)</f>
        <v>145.78753786977811</v>
      </c>
      <c r="U61" s="87">
        <f>IF(TrRoad_act!U37=0,0,U24/TrRoad_act!U37*1000
)</f>
        <v>171.99719968357573</v>
      </c>
      <c r="V61" s="87">
        <f>IF(TrRoad_act!V37=0,0,V24/TrRoad_act!V37*1000
)</f>
        <v>205.50569871982924</v>
      </c>
      <c r="W61" s="87">
        <f>IF(TrRoad_act!W37=0,0,W24/TrRoad_act!W37*1000
)</f>
        <v>233.86824246793978</v>
      </c>
      <c r="X61" s="87">
        <f>IF(TrRoad_act!X37=0,0,X24/TrRoad_act!X37*1000
)</f>
        <v>244.57229464695178</v>
      </c>
      <c r="Y61" s="87">
        <f>IF(TrRoad_act!Y37=0,0,Y24/TrRoad_act!Y37*1000
)</f>
        <v>270.35991380750687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45.119352408638044</v>
      </c>
      <c r="O62" s="87">
        <f>IF(TrRoad_act!O38=0,0,O25/TrRoad_act!O38*1000
)</f>
        <v>48.844673917361334</v>
      </c>
      <c r="P62" s="87">
        <f>IF(TrRoad_act!P38=0,0,P25/TrRoad_act!P38*1000
)</f>
        <v>50.501244439661747</v>
      </c>
      <c r="Q62" s="87">
        <f>IF(TrRoad_act!Q38=0,0,Q25/TrRoad_act!Q38*1000
)</f>
        <v>55.160628154510476</v>
      </c>
      <c r="R62" s="87">
        <f>IF(TrRoad_act!R38=0,0,R25/TrRoad_act!R38*1000
)</f>
        <v>62.026012999903074</v>
      </c>
      <c r="S62" s="87">
        <f>IF(TrRoad_act!S38=0,0,S25/TrRoad_act!S38*1000
)</f>
        <v>58.203271078111705</v>
      </c>
      <c r="T62" s="87">
        <f>IF(TrRoad_act!T38=0,0,T25/TrRoad_act!T38*1000
)</f>
        <v>58.916083813931685</v>
      </c>
      <c r="U62" s="87">
        <f>IF(TrRoad_act!U38=0,0,U25/TrRoad_act!U38*1000
)</f>
        <v>52.801973498154169</v>
      </c>
      <c r="V62" s="87">
        <f>IF(TrRoad_act!V38=0,0,V25/TrRoad_act!V38*1000
)</f>
        <v>45.965859094302111</v>
      </c>
      <c r="W62" s="87">
        <f>IF(TrRoad_act!W38=0,0,W25/TrRoad_act!W38*1000
)</f>
        <v>42.598253214607581</v>
      </c>
      <c r="X62" s="87">
        <f>IF(TrRoad_act!X38=0,0,X25/TrRoad_act!X38*1000
)</f>
        <v>37.310640177088402</v>
      </c>
      <c r="Y62" s="87">
        <f>IF(TrRoad_act!Y38=0,0,Y25/TrRoad_act!Y38*1000
)</f>
        <v>34.242387115288096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1901.1868534009272</v>
      </c>
      <c r="C64" s="116">
        <f>IF(TrRoad_act!C40=0,0,C27/TrRoad_act!C40*1000
)</f>
        <v>1888.0574816408432</v>
      </c>
      <c r="D64" s="116">
        <f>IF(TrRoad_act!D40=0,0,D27/TrRoad_act!D40*1000
)</f>
        <v>1867.0106841019851</v>
      </c>
      <c r="E64" s="116">
        <f>IF(TrRoad_act!E40=0,0,E27/TrRoad_act!E40*1000
)</f>
        <v>1859.5873176161303</v>
      </c>
      <c r="F64" s="116">
        <f>IF(TrRoad_act!F40=0,0,F27/TrRoad_act!F40*1000
)</f>
        <v>1871.614751330053</v>
      </c>
      <c r="G64" s="116">
        <f>IF(TrRoad_act!G40=0,0,G27/TrRoad_act!G40*1000
)</f>
        <v>1819.8082506449125</v>
      </c>
      <c r="H64" s="116">
        <f>IF(TrRoad_act!H40=0,0,H27/TrRoad_act!H40*1000
)</f>
        <v>1846.5230986775805</v>
      </c>
      <c r="I64" s="116">
        <f>IF(TrRoad_act!I40=0,0,I27/TrRoad_act!I40*1000
)</f>
        <v>1864.7912475700959</v>
      </c>
      <c r="J64" s="116">
        <f>IF(TrRoad_act!J40=0,0,J27/TrRoad_act!J40*1000
)</f>
        <v>1753.8654519508054</v>
      </c>
      <c r="K64" s="116">
        <f>IF(TrRoad_act!K40=0,0,K27/TrRoad_act!K40*1000
)</f>
        <v>1683.2401881737103</v>
      </c>
      <c r="L64" s="116">
        <f>IF(TrRoad_act!L40=0,0,L27/TrRoad_act!L40*1000
)</f>
        <v>1684.5811481340663</v>
      </c>
      <c r="M64" s="116">
        <f>IF(TrRoad_act!M40=0,0,M27/TrRoad_act!M40*1000
)</f>
        <v>1631.5978453659222</v>
      </c>
      <c r="N64" s="116">
        <f>IF(TrRoad_act!N40=0,0,N27/TrRoad_act!N40*1000
)</f>
        <v>1626.7796016896989</v>
      </c>
      <c r="O64" s="116">
        <f>IF(TrRoad_act!O40=0,0,O27/TrRoad_act!O40*1000
)</f>
        <v>1584.0980022667425</v>
      </c>
      <c r="P64" s="116">
        <f>IF(TrRoad_act!P40=0,0,P27/TrRoad_act!P40*1000
)</f>
        <v>1378.0590353256166</v>
      </c>
      <c r="Q64" s="116">
        <f>IF(TrRoad_act!Q40=0,0,Q27/TrRoad_act!Q40*1000
)</f>
        <v>1383.378176558253</v>
      </c>
      <c r="R64" s="116">
        <f>IF(TrRoad_act!R40=0,0,R27/TrRoad_act!R40*1000
)</f>
        <v>1627.2158621679412</v>
      </c>
      <c r="S64" s="116">
        <f>IF(TrRoad_act!S40=0,0,S27/TrRoad_act!S40*1000
)</f>
        <v>1458.6151399510688</v>
      </c>
      <c r="T64" s="116">
        <f>IF(TrRoad_act!T40=0,0,T27/TrRoad_act!T40*1000
)</f>
        <v>1504.1247546412653</v>
      </c>
      <c r="U64" s="116">
        <f>IF(TrRoad_act!U40=0,0,U27/TrRoad_act!U40*1000
)</f>
        <v>1442.820884357584</v>
      </c>
      <c r="V64" s="116">
        <f>IF(TrRoad_act!V40=0,0,V27/TrRoad_act!V40*1000
)</f>
        <v>1440.4998443630689</v>
      </c>
      <c r="W64" s="116">
        <f>IF(TrRoad_act!W40=0,0,W27/TrRoad_act!W40*1000
)</f>
        <v>1314.1557612519869</v>
      </c>
      <c r="X64" s="116">
        <f>IF(TrRoad_act!X40=0,0,X27/TrRoad_act!X40*1000
)</f>
        <v>1303.4616749778488</v>
      </c>
      <c r="Y64" s="116">
        <f>IF(TrRoad_act!Y40=0,0,Y27/TrRoad_act!Y40*1000
)</f>
        <v>1241.7619478173194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550.55354797351629</v>
      </c>
      <c r="C65" s="101">
        <f>IF(TrRoad_act!C41=0,0,C28/TrRoad_act!C41*1000
)</f>
        <v>539.09858939244657</v>
      </c>
      <c r="D65" s="101">
        <f>IF(TrRoad_act!D41=0,0,D28/TrRoad_act!D41*1000
)</f>
        <v>538.58585688008009</v>
      </c>
      <c r="E65" s="101">
        <f>IF(TrRoad_act!E41=0,0,E28/TrRoad_act!E41*1000
)</f>
        <v>537.58273237613355</v>
      </c>
      <c r="F65" s="101">
        <f>IF(TrRoad_act!F41=0,0,F28/TrRoad_act!F41*1000
)</f>
        <v>535.36123936140541</v>
      </c>
      <c r="G65" s="101">
        <f>IF(TrRoad_act!G41=0,0,G28/TrRoad_act!G41*1000
)</f>
        <v>531.82404694679167</v>
      </c>
      <c r="H65" s="101">
        <f>IF(TrRoad_act!H41=0,0,H28/TrRoad_act!H41*1000
)</f>
        <v>530.74776856828396</v>
      </c>
      <c r="I65" s="101">
        <f>IF(TrRoad_act!I41=0,0,I28/TrRoad_act!I41*1000
)</f>
        <v>529.39548612650185</v>
      </c>
      <c r="J65" s="101">
        <f>IF(TrRoad_act!J41=0,0,J28/TrRoad_act!J41*1000
)</f>
        <v>510.10773574106094</v>
      </c>
      <c r="K65" s="101">
        <f>IF(TrRoad_act!K41=0,0,K28/TrRoad_act!K41*1000
)</f>
        <v>498.38104262071965</v>
      </c>
      <c r="L65" s="101">
        <f>IF(TrRoad_act!L41=0,0,L28/TrRoad_act!L41*1000
)</f>
        <v>493.0993713485297</v>
      </c>
      <c r="M65" s="101">
        <f>IF(TrRoad_act!M41=0,0,M28/TrRoad_act!M41*1000
)</f>
        <v>487.61941551722941</v>
      </c>
      <c r="N65" s="101">
        <f>IF(TrRoad_act!N41=0,0,N28/TrRoad_act!N41*1000
)</f>
        <v>485.33758795403259</v>
      </c>
      <c r="O65" s="101">
        <f>IF(TrRoad_act!O41=0,0,O28/TrRoad_act!O41*1000
)</f>
        <v>494.192459046544</v>
      </c>
      <c r="P65" s="101">
        <f>IF(TrRoad_act!P41=0,0,P28/TrRoad_act!P41*1000
)</f>
        <v>492.27080205688145</v>
      </c>
      <c r="Q65" s="101">
        <f>IF(TrRoad_act!Q41=0,0,Q28/TrRoad_act!Q41*1000
)</f>
        <v>493.46633378359928</v>
      </c>
      <c r="R65" s="101">
        <f>IF(TrRoad_act!R41=0,0,R28/TrRoad_act!R41*1000
)</f>
        <v>492.67478187176147</v>
      </c>
      <c r="S65" s="101">
        <f>IF(TrRoad_act!S41=0,0,S28/TrRoad_act!S41*1000
)</f>
        <v>480.25392641496654</v>
      </c>
      <c r="T65" s="101">
        <f>IF(TrRoad_act!T41=0,0,T28/TrRoad_act!T41*1000
)</f>
        <v>478.50928860345982</v>
      </c>
      <c r="U65" s="101">
        <f>IF(TrRoad_act!U41=0,0,U28/TrRoad_act!U41*1000
)</f>
        <v>476.10133791846738</v>
      </c>
      <c r="V65" s="101">
        <f>IF(TrRoad_act!V41=0,0,V28/TrRoad_act!V41*1000
)</f>
        <v>471.31786380169228</v>
      </c>
      <c r="W65" s="101">
        <f>IF(TrRoad_act!W41=0,0,W28/TrRoad_act!W41*1000
)</f>
        <v>464.57523898647025</v>
      </c>
      <c r="X65" s="101">
        <f>IF(TrRoad_act!X41=0,0,X28/TrRoad_act!X41*1000
)</f>
        <v>449.42811914311386</v>
      </c>
      <c r="Y65" s="101">
        <f>IF(TrRoad_act!Y41=0,0,Y28/TrRoad_act!Y41*1000
)</f>
        <v>441.80962124543737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1913.2729941518569</v>
      </c>
      <c r="C66" s="101">
        <f>IF(TrRoad_act!C42=0,0,C29/TrRoad_act!C42*1000
)</f>
        <v>1899.9660810672967</v>
      </c>
      <c r="D66" s="101">
        <f>IF(TrRoad_act!D42=0,0,D29/TrRoad_act!D42*1000
)</f>
        <v>1883.4399329198536</v>
      </c>
      <c r="E66" s="101">
        <f>IF(TrRoad_act!E42=0,0,E29/TrRoad_act!E42*1000
)</f>
        <v>1875.757732330864</v>
      </c>
      <c r="F66" s="101">
        <f>IF(TrRoad_act!F42=0,0,F29/TrRoad_act!F42*1000
)</f>
        <v>1886.9761995497743</v>
      </c>
      <c r="G66" s="101">
        <f>IF(TrRoad_act!G42=0,0,G29/TrRoad_act!G42*1000
)</f>
        <v>1834.0646738268861</v>
      </c>
      <c r="H66" s="101">
        <f>IF(TrRoad_act!H42=0,0,H29/TrRoad_act!H42*1000
)</f>
        <v>1864.6237840763388</v>
      </c>
      <c r="I66" s="101">
        <f>IF(TrRoad_act!I42=0,0,I29/TrRoad_act!I42*1000
)</f>
        <v>1884.2937728235156</v>
      </c>
      <c r="J66" s="101">
        <f>IF(TrRoad_act!J42=0,0,J29/TrRoad_act!J42*1000
)</f>
        <v>1765.0698673534496</v>
      </c>
      <c r="K66" s="101">
        <f>IF(TrRoad_act!K42=0,0,K29/TrRoad_act!K42*1000
)</f>
        <v>1689.5418540014816</v>
      </c>
      <c r="L66" s="101">
        <f>IF(TrRoad_act!L42=0,0,L29/TrRoad_act!L42*1000
)</f>
        <v>1690.1459510880743</v>
      </c>
      <c r="M66" s="101">
        <f>IF(TrRoad_act!M42=0,0,M29/TrRoad_act!M42*1000
)</f>
        <v>1642.7803611173147</v>
      </c>
      <c r="N66" s="101">
        <f>IF(TrRoad_act!N42=0,0,N29/TrRoad_act!N42*1000
)</f>
        <v>1630.5243217206764</v>
      </c>
      <c r="O66" s="101">
        <f>IF(TrRoad_act!O42=0,0,O29/TrRoad_act!O42*1000
)</f>
        <v>1593.8482547507865</v>
      </c>
      <c r="P66" s="101">
        <f>IF(TrRoad_act!P42=0,0,P29/TrRoad_act!P42*1000
)</f>
        <v>1385.6381602557478</v>
      </c>
      <c r="Q66" s="101">
        <f>IF(TrRoad_act!Q42=0,0,Q29/TrRoad_act!Q42*1000
)</f>
        <v>1392.1064816534824</v>
      </c>
      <c r="R66" s="101">
        <f>IF(TrRoad_act!R42=0,0,R29/TrRoad_act!R42*1000
)</f>
        <v>1637.0081775585279</v>
      </c>
      <c r="S66" s="101">
        <f>IF(TrRoad_act!S42=0,0,S29/TrRoad_act!S42*1000
)</f>
        <v>1465.8272059780209</v>
      </c>
      <c r="T66" s="101">
        <f>IF(TrRoad_act!T42=0,0,T29/TrRoad_act!T42*1000
)</f>
        <v>1510.894046712579</v>
      </c>
      <c r="U66" s="101">
        <f>IF(TrRoad_act!U42=0,0,U29/TrRoad_act!U42*1000
)</f>
        <v>1450.2108809334422</v>
      </c>
      <c r="V66" s="101">
        <f>IF(TrRoad_act!V42=0,0,V29/TrRoad_act!V42*1000
)</f>
        <v>1448.5237992409614</v>
      </c>
      <c r="W66" s="101">
        <f>IF(TrRoad_act!W42=0,0,W29/TrRoad_act!W42*1000
)</f>
        <v>1338.9245867390514</v>
      </c>
      <c r="X66" s="101">
        <f>IF(TrRoad_act!X42=0,0,X29/TrRoad_act!X42*1000
)</f>
        <v>1351.7644648836795</v>
      </c>
      <c r="Y66" s="101">
        <f>IF(TrRoad_act!Y42=0,0,Y29/TrRoad_act!Y42*1000
)</f>
        <v>1293.2915751880278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X67" s="101">
        <f>IF(TrRoad_act!X43=0,0,X30/TrRoad_act!X43*1000
)</f>
        <v>0</v>
      </c>
      <c r="Y67" s="101">
        <f>IF(TrRoad_act!Y43=0,0,Y30/TrRoad_act!Y43*1000
)</f>
        <v>0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1005.1048931237692</v>
      </c>
      <c r="C68" s="101">
        <f>IF(TrRoad_act!C44=0,0,C31/TrRoad_act!C44*1000
)</f>
        <v>1022.2999541239468</v>
      </c>
      <c r="D68" s="101">
        <f>IF(TrRoad_act!D44=0,0,D31/TrRoad_act!D44*1000
)</f>
        <v>1013.5295611387709</v>
      </c>
      <c r="E68" s="101">
        <f>IF(TrRoad_act!E44=0,0,E31/TrRoad_act!E44*1000
)</f>
        <v>1000.8879946319718</v>
      </c>
      <c r="F68" s="101">
        <f>IF(TrRoad_act!F44=0,0,F31/TrRoad_act!F44*1000
)</f>
        <v>1020.5397130597087</v>
      </c>
      <c r="G68" s="101">
        <f>IF(TrRoad_act!G44=0,0,G31/TrRoad_act!G44*1000
)</f>
        <v>1026.7269565443553</v>
      </c>
      <c r="H68" s="101">
        <f>IF(TrRoad_act!H44=0,0,H31/TrRoad_act!H44*1000
)</f>
        <v>1038.3818349392031</v>
      </c>
      <c r="I68" s="101">
        <f>IF(TrRoad_act!I44=0,0,I31/TrRoad_act!I44*1000
)</f>
        <v>981.13634741916462</v>
      </c>
      <c r="J68" s="101">
        <f>IF(TrRoad_act!J44=0,0,J31/TrRoad_act!J44*1000
)</f>
        <v>1226.0744969835634</v>
      </c>
      <c r="K68" s="101">
        <f>IF(TrRoad_act!K44=0,0,K31/TrRoad_act!K44*1000
)</f>
        <v>1401.2095008325266</v>
      </c>
      <c r="L68" s="101">
        <f>IF(TrRoad_act!L44=0,0,L31/TrRoad_act!L44*1000
)</f>
        <v>1419.8406948592603</v>
      </c>
      <c r="M68" s="101">
        <f>IF(TrRoad_act!M44=0,0,M31/TrRoad_act!M44*1000
)</f>
        <v>932.43674062406365</v>
      </c>
      <c r="N68" s="101">
        <f>IF(TrRoad_act!N44=0,0,N31/TrRoad_act!N44*1000
)</f>
        <v>1491.3016692386695</v>
      </c>
      <c r="O68" s="101">
        <f>IF(TrRoad_act!O44=0,0,O31/TrRoad_act!O44*1000
)</f>
        <v>883.04185942224854</v>
      </c>
      <c r="P68" s="101">
        <f>IF(TrRoad_act!P44=0,0,P31/TrRoad_act!P44*1000
)</f>
        <v>860.96949761136898</v>
      </c>
      <c r="Q68" s="101">
        <f>IF(TrRoad_act!Q44=0,0,Q31/TrRoad_act!Q44*1000
)</f>
        <v>754.13664965170847</v>
      </c>
      <c r="R68" s="101">
        <f>IF(TrRoad_act!R44=0,0,R31/TrRoad_act!R44*1000
)</f>
        <v>938.30288788718053</v>
      </c>
      <c r="S68" s="101">
        <f>IF(TrRoad_act!S44=0,0,S31/TrRoad_act!S44*1000
)</f>
        <v>1007.379696493937</v>
      </c>
      <c r="T68" s="101">
        <f>IF(TrRoad_act!T44=0,0,T31/TrRoad_act!T44*1000
)</f>
        <v>1106.5549450567539</v>
      </c>
      <c r="U68" s="101">
        <f>IF(TrRoad_act!U44=0,0,U31/TrRoad_act!U44*1000
)</f>
        <v>1383.2757436553773</v>
      </c>
      <c r="V68" s="101">
        <f>IF(TrRoad_act!V44=0,0,V31/TrRoad_act!V44*1000
)</f>
        <v>1711.3232064540593</v>
      </c>
      <c r="W68" s="101">
        <f>IF(TrRoad_act!W44=0,0,W31/TrRoad_act!W44*1000
)</f>
        <v>1974.6666410702758</v>
      </c>
      <c r="X68" s="101">
        <f>IF(TrRoad_act!X44=0,0,X31/TrRoad_act!X44*1000
)</f>
        <v>2111.1819349485231</v>
      </c>
      <c r="Y68" s="101">
        <f>IF(TrRoad_act!Y44=0,0,Y31/TrRoad_act!Y44*1000
)</f>
        <v>2350.9173414609495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622.69552381701214</v>
      </c>
      <c r="C70" s="29">
        <f>IF(TrRoad_act!C46=0,0,C33/TrRoad_act!C46*1000
)</f>
        <v>623.5633403983453</v>
      </c>
      <c r="D70" s="29">
        <f>IF(TrRoad_act!D46=0,0,D33/TrRoad_act!D46*1000
)</f>
        <v>620.06596654398618</v>
      </c>
      <c r="E70" s="29">
        <f>IF(TrRoad_act!E46=0,0,E33/TrRoad_act!E46*1000
)</f>
        <v>618.58308947399212</v>
      </c>
      <c r="F70" s="29">
        <f>IF(TrRoad_act!F46=0,0,F33/TrRoad_act!F46*1000
)</f>
        <v>611.857593530489</v>
      </c>
      <c r="G70" s="29">
        <f>IF(TrRoad_act!G46=0,0,G33/TrRoad_act!G46*1000
)</f>
        <v>588.82073895923531</v>
      </c>
      <c r="H70" s="29">
        <f>IF(TrRoad_act!H46=0,0,H33/TrRoad_act!H46*1000
)</f>
        <v>592.05973719442068</v>
      </c>
      <c r="I70" s="29">
        <f>IF(TrRoad_act!I46=0,0,I33/TrRoad_act!I46*1000
)</f>
        <v>592.27619963936775</v>
      </c>
      <c r="J70" s="29">
        <f>IF(TrRoad_act!J46=0,0,J33/TrRoad_act!J46*1000
)</f>
        <v>536.24736467237926</v>
      </c>
      <c r="K70" s="29">
        <f>IF(TrRoad_act!K46=0,0,K33/TrRoad_act!K46*1000
)</f>
        <v>487.95399664284088</v>
      </c>
      <c r="L70" s="29">
        <f>IF(TrRoad_act!L46=0,0,L33/TrRoad_act!L46*1000
)</f>
        <v>495.83000011840869</v>
      </c>
      <c r="M70" s="29">
        <f>IF(TrRoad_act!M46=0,0,M33/TrRoad_act!M46*1000
)</f>
        <v>464.30900555163271</v>
      </c>
      <c r="N70" s="29">
        <f>IF(TrRoad_act!N46=0,0,N33/TrRoad_act!N46*1000
)</f>
        <v>443.88434689220077</v>
      </c>
      <c r="O70" s="29">
        <f>IF(TrRoad_act!O46=0,0,O33/TrRoad_act!O46*1000
)</f>
        <v>426.93745577241401</v>
      </c>
      <c r="P70" s="29">
        <f>IF(TrRoad_act!P46=0,0,P33/TrRoad_act!P46*1000
)</f>
        <v>360.33000202760445</v>
      </c>
      <c r="Q70" s="29">
        <f>IF(TrRoad_act!Q46=0,0,Q33/TrRoad_act!Q46*1000
)</f>
        <v>349.09622360520996</v>
      </c>
      <c r="R70" s="29">
        <f>IF(TrRoad_act!R46=0,0,R33/TrRoad_act!R46*1000
)</f>
        <v>417.60998971161524</v>
      </c>
      <c r="S70" s="29">
        <f>IF(TrRoad_act!S46=0,0,S33/TrRoad_act!S46*1000
)</f>
        <v>366.67639006036785</v>
      </c>
      <c r="T70" s="29">
        <f>IF(TrRoad_act!T46=0,0,T33/TrRoad_act!T46*1000
)</f>
        <v>371.45196110684111</v>
      </c>
      <c r="U70" s="29">
        <f>IF(TrRoad_act!U46=0,0,U33/TrRoad_act!U46*1000
)</f>
        <v>349.8006099533423</v>
      </c>
      <c r="V70" s="29">
        <f>IF(TrRoad_act!V46=0,0,V33/TrRoad_act!V46*1000
)</f>
        <v>343.52195327664646</v>
      </c>
      <c r="W70" s="29">
        <f>IF(TrRoad_act!W46=0,0,W33/TrRoad_act!W46*1000
)</f>
        <v>322.97989811231804</v>
      </c>
      <c r="X70" s="29">
        <f>IF(TrRoad_act!X46=0,0,X33/TrRoad_act!X46*1000
)</f>
        <v>322.26414411428669</v>
      </c>
      <c r="Y70" s="29">
        <f>IF(TrRoad_act!Y46=0,0,Y33/TrRoad_act!Y46*1000
)</f>
        <v>299.20875967162249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332.11228194165187</v>
      </c>
      <c r="C71" s="152">
        <f>IF(TrRoad_act!C47=0,0,C34/TrRoad_act!C47*1000
)</f>
        <v>323.36736157074728</v>
      </c>
      <c r="D71" s="152">
        <f>IF(TrRoad_act!D47=0,0,D34/TrRoad_act!D47*1000
)</f>
        <v>318.50341725159717</v>
      </c>
      <c r="E71" s="152">
        <f>IF(TrRoad_act!E47=0,0,E34/TrRoad_act!E47*1000
)</f>
        <v>315.30285373638839</v>
      </c>
      <c r="F71" s="152">
        <f>IF(TrRoad_act!F47=0,0,F34/TrRoad_act!F47*1000
)</f>
        <v>313.55600623622377</v>
      </c>
      <c r="G71" s="152">
        <f>IF(TrRoad_act!G47=0,0,G34/TrRoad_act!G47*1000
)</f>
        <v>304.03665127860586</v>
      </c>
      <c r="H71" s="152">
        <f>IF(TrRoad_act!H47=0,0,H34/TrRoad_act!H47*1000
)</f>
        <v>308.17213809806202</v>
      </c>
      <c r="I71" s="152">
        <f>IF(TrRoad_act!I47=0,0,I34/TrRoad_act!I47*1000
)</f>
        <v>311.87106858722422</v>
      </c>
      <c r="J71" s="152">
        <f>IF(TrRoad_act!J47=0,0,J34/TrRoad_act!J47*1000
)</f>
        <v>293.89012397054626</v>
      </c>
      <c r="K71" s="152">
        <f>IF(TrRoad_act!K47=0,0,K34/TrRoad_act!K47*1000
)</f>
        <v>283.26094113849916</v>
      </c>
      <c r="L71" s="152">
        <f>IF(TrRoad_act!L47=0,0,L34/TrRoad_act!L47*1000
)</f>
        <v>285.62140199786774</v>
      </c>
      <c r="M71" s="152">
        <f>IF(TrRoad_act!M47=0,0,M34/TrRoad_act!M47*1000
)</f>
        <v>280.85700236859566</v>
      </c>
      <c r="N71" s="152">
        <f>IF(TrRoad_act!N47=0,0,N34/TrRoad_act!N47*1000
)</f>
        <v>279.73859475254017</v>
      </c>
      <c r="O71" s="152">
        <f>IF(TrRoad_act!O47=0,0,O34/TrRoad_act!O47*1000
)</f>
        <v>272.69772072135828</v>
      </c>
      <c r="P71" s="152">
        <f>IF(TrRoad_act!P47=0,0,P34/TrRoad_act!P47*1000
)</f>
        <v>237.93048193251653</v>
      </c>
      <c r="Q71" s="152">
        <f>IF(TrRoad_act!Q47=0,0,Q34/TrRoad_act!Q47*1000
)</f>
        <v>237.26901886508895</v>
      </c>
      <c r="R71" s="152">
        <f>IF(TrRoad_act!R47=0,0,R34/TrRoad_act!R47*1000
)</f>
        <v>275.69700644731756</v>
      </c>
      <c r="S71" s="152">
        <f>IF(TrRoad_act!S47=0,0,S34/TrRoad_act!S47*1000
)</f>
        <v>245.24645194351029</v>
      </c>
      <c r="T71" s="152">
        <f>IF(TrRoad_act!T47=0,0,T34/TrRoad_act!T47*1000
)</f>
        <v>250.15630753980318</v>
      </c>
      <c r="U71" s="152">
        <f>IF(TrRoad_act!U47=0,0,U34/TrRoad_act!U47*1000
)</f>
        <v>239.48457211493036</v>
      </c>
      <c r="V71" s="152">
        <f>IF(TrRoad_act!V47=0,0,V34/TrRoad_act!V47*1000
)</f>
        <v>238.91723839596722</v>
      </c>
      <c r="W71" s="152">
        <f>IF(TrRoad_act!W47=0,0,W34/TrRoad_act!W47*1000
)</f>
        <v>220.36134598155974</v>
      </c>
      <c r="X71" s="152">
        <f>IF(TrRoad_act!X47=0,0,X34/TrRoad_act!X47*1000
)</f>
        <v>222.50387520880381</v>
      </c>
      <c r="Y71" s="152">
        <f>IF(TrRoad_act!Y47=0,0,Y34/TrRoad_act!Y47*1000
)</f>
        <v>213.93663756523526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263.896870293201</v>
      </c>
      <c r="C72" s="87">
        <f>IF(TrRoad_act!C48=0,0,C35/TrRoad_act!C48*1000
)</f>
        <v>263.07548038421555</v>
      </c>
      <c r="D72" s="87">
        <f>IF(TrRoad_act!D48=0,0,D35/TrRoad_act!D48*1000
)</f>
        <v>262.13043192890024</v>
      </c>
      <c r="E72" s="87">
        <f>IF(TrRoad_act!E48=0,0,E35/TrRoad_act!E48*1000
)</f>
        <v>261.12011397048622</v>
      </c>
      <c r="F72" s="87">
        <f>IF(TrRoad_act!F48=0,0,F35/TrRoad_act!F48*1000
)</f>
        <v>259.72943272590175</v>
      </c>
      <c r="G72" s="87">
        <f>IF(TrRoad_act!G48=0,0,G35/TrRoad_act!G48*1000
)</f>
        <v>257.94833626423406</v>
      </c>
      <c r="H72" s="87">
        <f>IF(TrRoad_act!H48=0,0,H35/TrRoad_act!H48*1000
)</f>
        <v>255.14621386954468</v>
      </c>
      <c r="I72" s="87">
        <f>IF(TrRoad_act!I48=0,0,I35/TrRoad_act!I48*1000
)</f>
        <v>251.96508766166036</v>
      </c>
      <c r="J72" s="87">
        <f>IF(TrRoad_act!J48=0,0,J35/TrRoad_act!J48*1000
)</f>
        <v>238.78187044694812</v>
      </c>
      <c r="K72" s="87">
        <f>IF(TrRoad_act!K48=0,0,K35/TrRoad_act!K48*1000
)</f>
        <v>233.47483584914181</v>
      </c>
      <c r="L72" s="87">
        <f>IF(TrRoad_act!L48=0,0,L35/TrRoad_act!L48*1000
)</f>
        <v>230.00589042739205</v>
      </c>
      <c r="M72" s="87">
        <f>IF(TrRoad_act!M48=0,0,M35/TrRoad_act!M48*1000
)</f>
        <v>225.43197437836594</v>
      </c>
      <c r="N72" s="87">
        <f>IF(TrRoad_act!N48=0,0,N35/TrRoad_act!N48*1000
)</f>
        <v>222.66414086501436</v>
      </c>
      <c r="O72" s="87">
        <f>IF(TrRoad_act!O48=0,0,O35/TrRoad_act!O48*1000
)</f>
        <v>224.10826169770698</v>
      </c>
      <c r="P72" s="87">
        <f>IF(TrRoad_act!P48=0,0,P35/TrRoad_act!P48*1000
)</f>
        <v>220.3453268899809</v>
      </c>
      <c r="Q72" s="87">
        <f>IF(TrRoad_act!Q48=0,0,Q35/TrRoad_act!Q48*1000
)</f>
        <v>218.92387791581757</v>
      </c>
      <c r="R72" s="87">
        <f>IF(TrRoad_act!R48=0,0,R35/TrRoad_act!R48*1000
)</f>
        <v>215.23887269635034</v>
      </c>
      <c r="S72" s="87">
        <f>IF(TrRoad_act!S48=0,0,S35/TrRoad_act!S48*1000
)</f>
        <v>209.90399927362554</v>
      </c>
      <c r="T72" s="87">
        <f>IF(TrRoad_act!T48=0,0,T35/TrRoad_act!T48*1000
)</f>
        <v>206.10905617256952</v>
      </c>
      <c r="U72" s="87">
        <f>IF(TrRoad_act!U48=0,0,U35/TrRoad_act!U48*1000
)</f>
        <v>202.20701916184677</v>
      </c>
      <c r="V72" s="87">
        <f>IF(TrRoad_act!V48=0,0,V35/TrRoad_act!V48*1000
)</f>
        <v>196.63506060583285</v>
      </c>
      <c r="W72" s="87">
        <f>IF(TrRoad_act!W48=0,0,W35/TrRoad_act!W48*1000
)</f>
        <v>190.2372236867397</v>
      </c>
      <c r="X72" s="87">
        <f>IF(TrRoad_act!X48=0,0,X35/TrRoad_act!X48*1000
)</f>
        <v>185.02997845204933</v>
      </c>
      <c r="Y72" s="87">
        <f>IF(TrRoad_act!Y48=0,0,Y35/TrRoad_act!Y48*1000
)</f>
        <v>181.38038860356968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340.90254081939952</v>
      </c>
      <c r="C73" s="87">
        <f>IF(TrRoad_act!C49=0,0,C36/TrRoad_act!C49*1000
)</f>
        <v>330.4767427937428</v>
      </c>
      <c r="D73" s="87">
        <f>IF(TrRoad_act!D49=0,0,D36/TrRoad_act!D49*1000
)</f>
        <v>324.62278523929473</v>
      </c>
      <c r="E73" s="87">
        <f>IF(TrRoad_act!E49=0,0,E36/TrRoad_act!E49*1000
)</f>
        <v>320.63429522998291</v>
      </c>
      <c r="F73" s="87">
        <f>IF(TrRoad_act!F49=0,0,F36/TrRoad_act!F49*1000
)</f>
        <v>318.11655163953759</v>
      </c>
      <c r="G73" s="87">
        <f>IF(TrRoad_act!G49=0,0,G36/TrRoad_act!G49*1000
)</f>
        <v>307.67646746081891</v>
      </c>
      <c r="H73" s="87">
        <f>IF(TrRoad_act!H49=0,0,H36/TrRoad_act!H49*1000
)</f>
        <v>311.96846558687605</v>
      </c>
      <c r="I73" s="87">
        <f>IF(TrRoad_act!I49=0,0,I36/TrRoad_act!I49*1000
)</f>
        <v>315.73627074767256</v>
      </c>
      <c r="J73" s="87">
        <f>IF(TrRoad_act!J49=0,0,J36/TrRoad_act!J49*1000
)</f>
        <v>297.1942213938155</v>
      </c>
      <c r="K73" s="87">
        <f>IF(TrRoad_act!K49=0,0,K36/TrRoad_act!K49*1000
)</f>
        <v>286.09134729250087</v>
      </c>
      <c r="L73" s="87">
        <f>IF(TrRoad_act!L49=0,0,L36/TrRoad_act!L49*1000
)</f>
        <v>288.61718780928857</v>
      </c>
      <c r="M73" s="87">
        <f>IF(TrRoad_act!M49=0,0,M36/TrRoad_act!M49*1000
)</f>
        <v>283.68056652027542</v>
      </c>
      <c r="N73" s="87">
        <f>IF(TrRoad_act!N49=0,0,N36/TrRoad_act!N49*1000
)</f>
        <v>282.50338523849013</v>
      </c>
      <c r="O73" s="87">
        <f>IF(TrRoad_act!O49=0,0,O36/TrRoad_act!O49*1000
)</f>
        <v>274.9243296327063</v>
      </c>
      <c r="P73" s="87">
        <f>IF(TrRoad_act!P49=0,0,P36/TrRoad_act!P49*1000
)</f>
        <v>238.74167718665555</v>
      </c>
      <c r="Q73" s="87">
        <f>IF(TrRoad_act!Q49=0,0,Q36/TrRoad_act!Q49*1000
)</f>
        <v>238.09089886534699</v>
      </c>
      <c r="R73" s="87">
        <f>IF(TrRoad_act!R49=0,0,R36/TrRoad_act!R49*1000
)</f>
        <v>278.17779469634274</v>
      </c>
      <c r="S73" s="87">
        <f>IF(TrRoad_act!S49=0,0,S36/TrRoad_act!S49*1000
)</f>
        <v>246.68500549290567</v>
      </c>
      <c r="T73" s="87">
        <f>IF(TrRoad_act!T49=0,0,T36/TrRoad_act!T49*1000
)</f>
        <v>251.8640862075975</v>
      </c>
      <c r="U73" s="87">
        <f>IF(TrRoad_act!U49=0,0,U36/TrRoad_act!U49*1000
)</f>
        <v>240.86409350492414</v>
      </c>
      <c r="V73" s="87">
        <f>IF(TrRoad_act!V49=0,0,V36/TrRoad_act!V49*1000
)</f>
        <v>240.35291981829869</v>
      </c>
      <c r="W73" s="87">
        <f>IF(TrRoad_act!W49=0,0,W36/TrRoad_act!W49*1000
)</f>
        <v>221.35326576609785</v>
      </c>
      <c r="X73" s="87">
        <f>IF(TrRoad_act!X49=0,0,X36/TrRoad_act!X49*1000
)</f>
        <v>223.84827561775361</v>
      </c>
      <c r="Y73" s="87">
        <f>IF(TrRoad_act!Y49=0,0,Y36/TrRoad_act!Y49*1000
)</f>
        <v>215.43522815199208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0</v>
      </c>
      <c r="S74" s="87">
        <f>IF(TrRoad_act!S50=0,0,S37/TrRoad_act!S50*1000
)</f>
        <v>0</v>
      </c>
      <c r="T74" s="87">
        <f>IF(TrRoad_act!T50=0,0,T37/TrRoad_act!T50*1000
)</f>
        <v>0</v>
      </c>
      <c r="U74" s="87">
        <f>IF(TrRoad_act!U50=0,0,U37/TrRoad_act!U50*1000
)</f>
        <v>0</v>
      </c>
      <c r="V74" s="87">
        <f>IF(TrRoad_act!V50=0,0,V37/TrRoad_act!V50*1000
)</f>
        <v>0</v>
      </c>
      <c r="W74" s="87">
        <f>IF(TrRoad_act!W50=0,0,W37/TrRoad_act!W50*1000
)</f>
        <v>0</v>
      </c>
      <c r="X74" s="87">
        <f>IF(TrRoad_act!X50=0,0,X37/TrRoad_act!X50*1000
)</f>
        <v>0</v>
      </c>
      <c r="Y74" s="87">
        <f>IF(TrRoad_act!Y50=0,0,Y37/TrRoad_act!Y50*1000
)</f>
        <v>0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223.44669771632883</v>
      </c>
      <c r="D75" s="87">
        <f>IF(TrRoad_act!D51=0,0,D38/TrRoad_act!D51*1000
)</f>
        <v>223.44669771632886</v>
      </c>
      <c r="E75" s="87">
        <f>IF(TrRoad_act!E51=0,0,E38/TrRoad_act!E51*1000
)</f>
        <v>223.44669771632891</v>
      </c>
      <c r="F75" s="87">
        <f>IF(TrRoad_act!F51=0,0,F38/TrRoad_act!F51*1000
)</f>
        <v>223.44669771632891</v>
      </c>
      <c r="G75" s="87">
        <f>IF(TrRoad_act!G51=0,0,G38/TrRoad_act!G51*1000
)</f>
        <v>224.8509338836528</v>
      </c>
      <c r="H75" s="87">
        <f>IF(TrRoad_act!H51=0,0,H38/TrRoad_act!H51*1000
)</f>
        <v>224.85093388365277</v>
      </c>
      <c r="I75" s="87">
        <f>IF(TrRoad_act!I51=0,0,I38/TrRoad_act!I51*1000
)</f>
        <v>229.31848213834706</v>
      </c>
      <c r="J75" s="87">
        <f>IF(TrRoad_act!J51=0,0,J38/TrRoad_act!J51*1000
)</f>
        <v>258.35314041181965</v>
      </c>
      <c r="K75" s="87">
        <f>IF(TrRoad_act!K51=0,0,K38/TrRoad_act!K51*1000
)</f>
        <v>288.36567940419962</v>
      </c>
      <c r="L75" s="87">
        <f>IF(TrRoad_act!L51=0,0,L38/TrRoad_act!L51*1000
)</f>
        <v>287.43427208040873</v>
      </c>
      <c r="M75" s="87">
        <f>IF(TrRoad_act!M51=0,0,M38/TrRoad_act!M51*1000
)</f>
        <v>217.05904410460849</v>
      </c>
      <c r="N75" s="87">
        <f>IF(TrRoad_act!N51=0,0,N38/TrRoad_act!N51*1000
)</f>
        <v>318.60825389334605</v>
      </c>
      <c r="O75" s="87">
        <f>IF(TrRoad_act!O51=0,0,O38/TrRoad_act!O51*1000
)</f>
        <v>211.53222797042167</v>
      </c>
      <c r="P75" s="87">
        <f>IF(TrRoad_act!P51=0,0,P38/TrRoad_act!P51*1000
)</f>
        <v>214.62701044381575</v>
      </c>
      <c r="Q75" s="87">
        <f>IF(TrRoad_act!Q51=0,0,Q38/TrRoad_act!Q51*1000
)</f>
        <v>220.9203889411076</v>
      </c>
      <c r="R75" s="87">
        <f>IF(TrRoad_act!R51=0,0,R38/TrRoad_act!R51*1000
)</f>
        <v>226.30672573506493</v>
      </c>
      <c r="S75" s="87">
        <f>IF(TrRoad_act!S51=0,0,S38/TrRoad_act!S51*1000
)</f>
        <v>215.93496183805473</v>
      </c>
      <c r="T75" s="87">
        <f>IF(TrRoad_act!T51=0,0,T38/TrRoad_act!T51*1000
)</f>
        <v>234.27981379870988</v>
      </c>
      <c r="U75" s="87">
        <f>IF(TrRoad_act!U51=0,0,U38/TrRoad_act!U51*1000
)</f>
        <v>273.39405508570576</v>
      </c>
      <c r="V75" s="87">
        <f>IF(TrRoad_act!V51=0,0,V38/TrRoad_act!V51*1000
)</f>
        <v>326.22800578075328</v>
      </c>
      <c r="W75" s="87">
        <f>IF(TrRoad_act!W51=0,0,W38/TrRoad_act!W51*1000
)</f>
        <v>391.42499088497374</v>
      </c>
      <c r="X75" s="87">
        <f>IF(TrRoad_act!X51=0,0,X38/TrRoad_act!X51*1000
)</f>
        <v>419.93307059413297</v>
      </c>
      <c r="Y75" s="87">
        <f>IF(TrRoad_act!Y51=0,0,Y38/TrRoad_act!Y51*1000
)</f>
        <v>465.90429208682906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1116.9188800019979</v>
      </c>
      <c r="C77" s="116">
        <f>IF(TrRoad_act!C53=0,0,C40/TrRoad_act!C53*1000
)</f>
        <v>1129.6603289303096</v>
      </c>
      <c r="D77" s="116">
        <f>IF(TrRoad_act!D53=0,0,D40/TrRoad_act!D53*1000
)</f>
        <v>1124.0418571200953</v>
      </c>
      <c r="E77" s="116">
        <f>IF(TrRoad_act!E53=0,0,E40/TrRoad_act!E53*1000
)</f>
        <v>1126.3136045135348</v>
      </c>
      <c r="F77" s="116">
        <f>IF(TrRoad_act!F53=0,0,F40/TrRoad_act!F53*1000
)</f>
        <v>1141.5864738880587</v>
      </c>
      <c r="G77" s="116">
        <f>IF(TrRoad_act!G53=0,0,G40/TrRoad_act!G53*1000
)</f>
        <v>1095.8853887846672</v>
      </c>
      <c r="H77" s="116">
        <f>IF(TrRoad_act!H53=0,0,H40/TrRoad_act!H53*1000
)</f>
        <v>1125.9463118191427</v>
      </c>
      <c r="I77" s="116">
        <f>IF(TrRoad_act!I53=0,0,I40/TrRoad_act!I53*1000
)</f>
        <v>1142.2633134863549</v>
      </c>
      <c r="J77" s="116">
        <f>IF(TrRoad_act!J53=0,0,J40/TrRoad_act!J53*1000
)</f>
        <v>1031.3472047322164</v>
      </c>
      <c r="K77" s="116">
        <f>IF(TrRoad_act!K53=0,0,K40/TrRoad_act!K53*1000
)</f>
        <v>974.17718546942865</v>
      </c>
      <c r="L77" s="116">
        <f>IF(TrRoad_act!L53=0,0,L40/TrRoad_act!L53*1000
)</f>
        <v>971.69165174034617</v>
      </c>
      <c r="M77" s="116">
        <f>IF(TrRoad_act!M53=0,0,M40/TrRoad_act!M53*1000
)</f>
        <v>932.15209803927064</v>
      </c>
      <c r="N77" s="116">
        <f>IF(TrRoad_act!N53=0,0,N40/TrRoad_act!N53*1000
)</f>
        <v>913.72616995480223</v>
      </c>
      <c r="O77" s="116">
        <f>IF(TrRoad_act!O53=0,0,O40/TrRoad_act!O53*1000
)</f>
        <v>885.01471473773768</v>
      </c>
      <c r="P77" s="116">
        <f>IF(TrRoad_act!P53=0,0,P40/TrRoad_act!P53*1000
)</f>
        <v>754.96273939818957</v>
      </c>
      <c r="Q77" s="116">
        <f>IF(TrRoad_act!Q53=0,0,Q40/TrRoad_act!Q53*1000
)</f>
        <v>755.73317978353555</v>
      </c>
      <c r="R77" s="116">
        <f>IF(TrRoad_act!R53=0,0,R40/TrRoad_act!R53*1000
)</f>
        <v>882.8224869260589</v>
      </c>
      <c r="S77" s="116">
        <f>IF(TrRoad_act!S53=0,0,S40/TrRoad_act!S53*1000
)</f>
        <v>762.11133170383141</v>
      </c>
      <c r="T77" s="116">
        <f>IF(TrRoad_act!T53=0,0,T40/TrRoad_act!T53*1000
)</f>
        <v>791.60019742889449</v>
      </c>
      <c r="U77" s="116">
        <f>IF(TrRoad_act!U53=0,0,U40/TrRoad_act!U53*1000
)</f>
        <v>744.7573176947144</v>
      </c>
      <c r="V77" s="116">
        <f>IF(TrRoad_act!V53=0,0,V40/TrRoad_act!V53*1000
)</f>
        <v>736.19363162921991</v>
      </c>
      <c r="W77" s="116">
        <f>IF(TrRoad_act!W53=0,0,W40/TrRoad_act!W53*1000
)</f>
        <v>710.82762397259955</v>
      </c>
      <c r="X77" s="116">
        <f>IF(TrRoad_act!X53=0,0,X40/TrRoad_act!X53*1000
)</f>
        <v>694.37005224385177</v>
      </c>
      <c r="Y77" s="116">
        <f>IF(TrRoad_act!Y53=0,0,Y40/TrRoad_act!Y53*1000
)</f>
        <v>651.7546017035537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1099.1114039619702</v>
      </c>
      <c r="C78" s="101">
        <f>IF(TrRoad_act!C54=0,0,C41/TrRoad_act!C54*1000
)</f>
        <v>1109.8938704353336</v>
      </c>
      <c r="D78" s="101">
        <f>IF(TrRoad_act!D54=0,0,D41/TrRoad_act!D54*1000
)</f>
        <v>1104.1916924138523</v>
      </c>
      <c r="E78" s="101">
        <f>IF(TrRoad_act!E54=0,0,E41/TrRoad_act!E54*1000
)</f>
        <v>1105.5264648989764</v>
      </c>
      <c r="F78" s="101">
        <f>IF(TrRoad_act!F54=0,0,F41/TrRoad_act!F54*1000
)</f>
        <v>1117.7667518929104</v>
      </c>
      <c r="G78" s="101">
        <f>IF(TrRoad_act!G54=0,0,G41/TrRoad_act!G54*1000
)</f>
        <v>1076.3536219623213</v>
      </c>
      <c r="H78" s="101">
        <f>IF(TrRoad_act!H54=0,0,H41/TrRoad_act!H54*1000
)</f>
        <v>1102.005958959724</v>
      </c>
      <c r="I78" s="101">
        <f>IF(TrRoad_act!I54=0,0,I41/TrRoad_act!I54*1000
)</f>
        <v>1115.7607380875409</v>
      </c>
      <c r="J78" s="101">
        <f>IF(TrRoad_act!J54=0,0,J41/TrRoad_act!J54*1000
)</f>
        <v>1015.607108051448</v>
      </c>
      <c r="K78" s="101">
        <f>IF(TrRoad_act!K54=0,0,K41/TrRoad_act!K54*1000
)</f>
        <v>961.45057358763688</v>
      </c>
      <c r="L78" s="101">
        <f>IF(TrRoad_act!L54=0,0,L41/TrRoad_act!L54*1000
)</f>
        <v>957.78069296273895</v>
      </c>
      <c r="M78" s="101">
        <f>IF(TrRoad_act!M54=0,0,M41/TrRoad_act!M54*1000
)</f>
        <v>922.96053862459985</v>
      </c>
      <c r="N78" s="101">
        <f>IF(TrRoad_act!N54=0,0,N41/TrRoad_act!N54*1000
)</f>
        <v>904.03390547758465</v>
      </c>
      <c r="O78" s="101">
        <f>IF(TrRoad_act!O54=0,0,O41/TrRoad_act!O54*1000
)</f>
        <v>876.61783014907917</v>
      </c>
      <c r="P78" s="101">
        <f>IF(TrRoad_act!P54=0,0,P41/TrRoad_act!P54*1000
)</f>
        <v>747.57417588547719</v>
      </c>
      <c r="Q78" s="101">
        <f>IF(TrRoad_act!Q54=0,0,Q41/TrRoad_act!Q54*1000
)</f>
        <v>746.06074776132857</v>
      </c>
      <c r="R78" s="101">
        <f>IF(TrRoad_act!R54=0,0,R41/TrRoad_act!R54*1000
)</f>
        <v>872.66757869820185</v>
      </c>
      <c r="S78" s="101">
        <f>IF(TrRoad_act!S54=0,0,S41/TrRoad_act!S54*1000
)</f>
        <v>757.35962575103679</v>
      </c>
      <c r="T78" s="101">
        <f>IF(TrRoad_act!T54=0,0,T41/TrRoad_act!T54*1000
)</f>
        <v>782.62744851521768</v>
      </c>
      <c r="U78" s="101">
        <f>IF(TrRoad_act!U54=0,0,U41/TrRoad_act!U54*1000
)</f>
        <v>738.90020296867431</v>
      </c>
      <c r="V78" s="101">
        <f>IF(TrRoad_act!V54=0,0,V41/TrRoad_act!V54*1000
)</f>
        <v>730.3352521359293</v>
      </c>
      <c r="W78" s="101">
        <f>IF(TrRoad_act!W54=0,0,W41/TrRoad_act!W54*1000
)</f>
        <v>696.71967147821863</v>
      </c>
      <c r="X78" s="101">
        <f>IF(TrRoad_act!X54=0,0,X41/TrRoad_act!X54*1000
)</f>
        <v>685.21074669553798</v>
      </c>
      <c r="Y78" s="101">
        <f>IF(TrRoad_act!Y54=0,0,Y41/TrRoad_act!Y54*1000
)</f>
        <v>645.35817561665783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1879.8709503126097</v>
      </c>
      <c r="C79" s="88">
        <f>IF(TrRoad_act!C55=0,0,C42/TrRoad_act!C55*1000
)</f>
        <v>1945.3249536692069</v>
      </c>
      <c r="D79" s="88">
        <f>IF(TrRoad_act!D55=0,0,D42/TrRoad_act!D55*1000
)</f>
        <v>1921.2394785389256</v>
      </c>
      <c r="E79" s="88">
        <f>IF(TrRoad_act!E55=0,0,E42/TrRoad_act!E55*1000
)</f>
        <v>1950.8003508344952</v>
      </c>
      <c r="F79" s="88">
        <f>IF(TrRoad_act!F55=0,0,F42/TrRoad_act!F55*1000
)</f>
        <v>1947.2614325680911</v>
      </c>
      <c r="G79" s="88">
        <f>IF(TrRoad_act!G55=0,0,G42/TrRoad_act!G55*1000
)</f>
        <v>1755.5598348996082</v>
      </c>
      <c r="H79" s="88">
        <f>IF(TrRoad_act!H55=0,0,H42/TrRoad_act!H55*1000
)</f>
        <v>1853.6369571690616</v>
      </c>
      <c r="I79" s="88">
        <f>IF(TrRoad_act!I55=0,0,I42/TrRoad_act!I55*1000
)</f>
        <v>1929.0105650084718</v>
      </c>
      <c r="J79" s="88">
        <f>IF(TrRoad_act!J55=0,0,J42/TrRoad_act!J55*1000
)</f>
        <v>1504.5460984781232</v>
      </c>
      <c r="K79" s="88">
        <f>IF(TrRoad_act!K55=0,0,K42/TrRoad_act!K55*1000
)</f>
        <v>1333.7763814775922</v>
      </c>
      <c r="L79" s="88">
        <f>IF(TrRoad_act!L55=0,0,L42/TrRoad_act!L55*1000
)</f>
        <v>1305.8591301432566</v>
      </c>
      <c r="M79" s="88">
        <f>IF(TrRoad_act!M55=0,0,M42/TrRoad_act!M55*1000
)</f>
        <v>1252.9917055414503</v>
      </c>
      <c r="N79" s="88">
        <f>IF(TrRoad_act!N55=0,0,N42/TrRoad_act!N55*1000
)</f>
        <v>1159.1045273190875</v>
      </c>
      <c r="O79" s="88">
        <f>IF(TrRoad_act!O55=0,0,O42/TrRoad_act!O55*1000
)</f>
        <v>1132.8140736271994</v>
      </c>
      <c r="P79" s="88">
        <f>IF(TrRoad_act!P55=0,0,P42/TrRoad_act!P55*1000
)</f>
        <v>912.49060039260769</v>
      </c>
      <c r="Q79" s="88">
        <f>IF(TrRoad_act!Q55=0,0,Q42/TrRoad_act!Q55*1000
)</f>
        <v>918.28183799950978</v>
      </c>
      <c r="R79" s="88">
        <f>IF(TrRoad_act!R55=0,0,R42/TrRoad_act!R55*1000
)</f>
        <v>1118.2867657871948</v>
      </c>
      <c r="S79" s="88">
        <f>IF(TrRoad_act!S55=0,0,S42/TrRoad_act!S55*1000
)</f>
        <v>877.14549513167094</v>
      </c>
      <c r="T79" s="88">
        <f>IF(TrRoad_act!T55=0,0,T42/TrRoad_act!T55*1000
)</f>
        <v>978.14963745878345</v>
      </c>
      <c r="U79" s="88">
        <f>IF(TrRoad_act!U55=0,0,U42/TrRoad_act!U55*1000
)</f>
        <v>890.56514870776584</v>
      </c>
      <c r="V79" s="88">
        <f>IF(TrRoad_act!V55=0,0,V42/TrRoad_act!V55*1000
)</f>
        <v>873.34548635078261</v>
      </c>
      <c r="W79" s="88">
        <f>IF(TrRoad_act!W55=0,0,W42/TrRoad_act!W55*1000
)</f>
        <v>978.41475156731985</v>
      </c>
      <c r="X79" s="88">
        <f>IF(TrRoad_act!X55=0,0,X42/TrRoad_act!X55*1000
)</f>
        <v>876.26419118134288</v>
      </c>
      <c r="Y79" s="88">
        <f>IF(TrRoad_act!Y55=0,0,Y42/TrRoad_act!Y55*1000
)</f>
        <v>773.985083581548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107.42198772012239</v>
      </c>
      <c r="C82" s="29">
        <f>IF(TrRoad_act!C4=0,0,C18/TrRoad_act!C4*1000)</f>
        <v>106.46803658224067</v>
      </c>
      <c r="D82" s="29">
        <f>IF(TrRoad_act!D4=0,0,D18/TrRoad_act!D4*1000)</f>
        <v>106.9225037706301</v>
      </c>
      <c r="E82" s="29">
        <f>IF(TrRoad_act!E4=0,0,E18/TrRoad_act!E4*1000)</f>
        <v>106.9890175577551</v>
      </c>
      <c r="F82" s="29">
        <f>IF(TrRoad_act!F4=0,0,F18/TrRoad_act!F4*1000)</f>
        <v>107.59571707939826</v>
      </c>
      <c r="G82" s="29">
        <f>IF(TrRoad_act!G4=0,0,G18/TrRoad_act!G4*1000)</f>
        <v>107.15779391789933</v>
      </c>
      <c r="H82" s="29">
        <f>IF(TrRoad_act!H4=0,0,H18/TrRoad_act!H4*1000)</f>
        <v>108.81898723529659</v>
      </c>
      <c r="I82" s="29">
        <f>IF(TrRoad_act!I4=0,0,I18/TrRoad_act!I4*1000)</f>
        <v>110.4868498723699</v>
      </c>
      <c r="J82" s="29">
        <f>IF(TrRoad_act!J4=0,0,J18/TrRoad_act!J4*1000)</f>
        <v>105.90570460054855</v>
      </c>
      <c r="K82" s="29">
        <f>IF(TrRoad_act!K4=0,0,K18/TrRoad_act!K4*1000)</f>
        <v>103.89953007327054</v>
      </c>
      <c r="L82" s="29">
        <f>IF(TrRoad_act!L4=0,0,L18/TrRoad_act!L4*1000)</f>
        <v>105.08971371397669</v>
      </c>
      <c r="M82" s="29">
        <f>IF(TrRoad_act!M4=0,0,M18/TrRoad_act!M4*1000)</f>
        <v>104.31106346335648</v>
      </c>
      <c r="N82" s="29">
        <f>IF(TrRoad_act!N4=0,0,N18/TrRoad_act!N4*1000)</f>
        <v>104.33198121529972</v>
      </c>
      <c r="O82" s="29">
        <f>IF(TrRoad_act!O4=0,0,O18/TrRoad_act!O4*1000)</f>
        <v>104.80481428942788</v>
      </c>
      <c r="P82" s="29">
        <f>IF(TrRoad_act!P4=0,0,P18/TrRoad_act!P4*1000)</f>
        <v>97.049406312138174</v>
      </c>
      <c r="Q82" s="29">
        <f>IF(TrRoad_act!Q4=0,0,Q18/TrRoad_act!Q4*1000)</f>
        <v>97.338578820457656</v>
      </c>
      <c r="R82" s="29">
        <f>IF(TrRoad_act!R4=0,0,R18/TrRoad_act!R4*1000)</f>
        <v>117.53386970118962</v>
      </c>
      <c r="S82" s="29">
        <f>IF(TrRoad_act!S4=0,0,S18/TrRoad_act!S4*1000)</f>
        <v>98.462616609270228</v>
      </c>
      <c r="T82" s="29">
        <f>IF(TrRoad_act!T4=0,0,T18/TrRoad_act!T4*1000)</f>
        <v>99.553278283216244</v>
      </c>
      <c r="U82" s="29">
        <f>IF(TrRoad_act!U4=0,0,U18/TrRoad_act!U4*1000)</f>
        <v>96.000863342383326</v>
      </c>
      <c r="V82" s="29">
        <f>IF(TrRoad_act!V4=0,0,V18/TrRoad_act!V4*1000)</f>
        <v>93.637472296736632</v>
      </c>
      <c r="W82" s="29">
        <f>IF(TrRoad_act!W4=0,0,W18/TrRoad_act!W4*1000)</f>
        <v>90.064952125979829</v>
      </c>
      <c r="X82" s="29">
        <f>IF(TrRoad_act!X4=0,0,X18/TrRoad_act!X4*1000)</f>
        <v>89.760869746583566</v>
      </c>
      <c r="Y82" s="29">
        <f>IF(TrRoad_act!Y4=0,0,Y18/TrRoad_act!Y4*1000)</f>
        <v>86.918460273357255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126.71911603068911</v>
      </c>
      <c r="C83" s="152">
        <f>IF(TrRoad_act!C5=0,0,C19/TrRoad_act!C5*1000)</f>
        <v>125.07434241603923</v>
      </c>
      <c r="D83" s="152">
        <f>IF(TrRoad_act!D5=0,0,D19/TrRoad_act!D5*1000)</f>
        <v>123.24801204109919</v>
      </c>
      <c r="E83" s="152">
        <f>IF(TrRoad_act!E5=0,0,E19/TrRoad_act!E5*1000)</f>
        <v>121.08810727724273</v>
      </c>
      <c r="F83" s="152">
        <f>IF(TrRoad_act!F5=0,0,F19/TrRoad_act!F5*1000)</f>
        <v>119.47432971644463</v>
      </c>
      <c r="G83" s="152">
        <f>IF(TrRoad_act!G5=0,0,G19/TrRoad_act!G5*1000)</f>
        <v>118.394800092911</v>
      </c>
      <c r="H83" s="152">
        <f>IF(TrRoad_act!H5=0,0,H19/TrRoad_act!H5*1000)</f>
        <v>117.02238904722292</v>
      </c>
      <c r="I83" s="152">
        <f>IF(TrRoad_act!I5=0,0,I19/TrRoad_act!I5*1000)</f>
        <v>116.06454770066101</v>
      </c>
      <c r="J83" s="152">
        <f>IF(TrRoad_act!J5=0,0,J19/TrRoad_act!J5*1000)</f>
        <v>110.16050525546184</v>
      </c>
      <c r="K83" s="152">
        <f>IF(TrRoad_act!K5=0,0,K19/TrRoad_act!K5*1000)</f>
        <v>107.63092094876086</v>
      </c>
      <c r="L83" s="152">
        <f>IF(TrRoad_act!L5=0,0,L19/TrRoad_act!L5*1000)</f>
        <v>105.679098717267</v>
      </c>
      <c r="M83" s="152">
        <f>IF(TrRoad_act!M5=0,0,M19/TrRoad_act!M5*1000)</f>
        <v>103.08385703419863</v>
      </c>
      <c r="N83" s="152">
        <f>IF(TrRoad_act!N5=0,0,N19/TrRoad_act!N5*1000)</f>
        <v>101.74728664156831</v>
      </c>
      <c r="O83" s="152">
        <f>IF(TrRoad_act!O5=0,0,O19/TrRoad_act!O5*1000)</f>
        <v>102.72777207676521</v>
      </c>
      <c r="P83" s="152">
        <f>IF(TrRoad_act!P5=0,0,P19/TrRoad_act!P5*1000)</f>
        <v>100.9419677845184</v>
      </c>
      <c r="Q83" s="152">
        <f>IF(TrRoad_act!Q5=0,0,Q19/TrRoad_act!Q5*1000)</f>
        <v>99.960296484172019</v>
      </c>
      <c r="R83" s="152">
        <f>IF(TrRoad_act!R5=0,0,R19/TrRoad_act!R5*1000)</f>
        <v>99.026664808328448</v>
      </c>
      <c r="S83" s="152">
        <f>IF(TrRoad_act!S5=0,0,S19/TrRoad_act!S5*1000)</f>
        <v>97.14499447786136</v>
      </c>
      <c r="T83" s="152">
        <f>IF(TrRoad_act!T5=0,0,T19/TrRoad_act!T5*1000)</f>
        <v>96.10635758748991</v>
      </c>
      <c r="U83" s="152">
        <f>IF(TrRoad_act!U5=0,0,U19/TrRoad_act!U5*1000)</f>
        <v>94.86045327999993</v>
      </c>
      <c r="V83" s="152">
        <f>IF(TrRoad_act!V5=0,0,V19/TrRoad_act!V5*1000)</f>
        <v>93.446265804520166</v>
      </c>
      <c r="W83" s="152">
        <f>IF(TrRoad_act!W5=0,0,W19/TrRoad_act!W5*1000)</f>
        <v>91.469948115278882</v>
      </c>
      <c r="X83" s="152">
        <f>IF(TrRoad_act!X5=0,0,X19/TrRoad_act!X5*1000)</f>
        <v>89.827953370940193</v>
      </c>
      <c r="Y83" s="152">
        <f>IF(TrRoad_act!Y5=0,0,Y19/TrRoad_act!Y5*1000)</f>
        <v>88.15463068883156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109.83935351182042</v>
      </c>
      <c r="C84" s="116">
        <f>IF(TrRoad_act!C6=0,0,C20/TrRoad_act!C6*1000)</f>
        <v>108.95409359404373</v>
      </c>
      <c r="D84" s="116">
        <f>IF(TrRoad_act!D6=0,0,D20/TrRoad_act!D6*1000)</f>
        <v>109.34639528311268</v>
      </c>
      <c r="E84" s="116">
        <f>IF(TrRoad_act!E6=0,0,E20/TrRoad_act!E6*1000)</f>
        <v>109.03694112593395</v>
      </c>
      <c r="F84" s="116">
        <f>IF(TrRoad_act!F6=0,0,F20/TrRoad_act!F6*1000)</f>
        <v>109.16539728687461</v>
      </c>
      <c r="G84" s="116">
        <f>IF(TrRoad_act!G6=0,0,G20/TrRoad_act!G6*1000)</f>
        <v>108.69888509230127</v>
      </c>
      <c r="H84" s="116">
        <f>IF(TrRoad_act!H6=0,0,H20/TrRoad_act!H6*1000)</f>
        <v>110.18768557986158</v>
      </c>
      <c r="I84" s="116">
        <f>IF(TrRoad_act!I6=0,0,I20/TrRoad_act!I6*1000)</f>
        <v>111.62425405410553</v>
      </c>
      <c r="J84" s="116">
        <f>IF(TrRoad_act!J6=0,0,J20/TrRoad_act!J6*1000)</f>
        <v>106.5441937342497</v>
      </c>
      <c r="K84" s="116">
        <f>IF(TrRoad_act!K6=0,0,K20/TrRoad_act!K6*1000)</f>
        <v>104.11286509657558</v>
      </c>
      <c r="L84" s="116">
        <f>IF(TrRoad_act!L6=0,0,L20/TrRoad_act!L6*1000)</f>
        <v>104.9265031889523</v>
      </c>
      <c r="M84" s="116">
        <f>IF(TrRoad_act!M6=0,0,M20/TrRoad_act!M6*1000)</f>
        <v>104.01069928983819</v>
      </c>
      <c r="N84" s="116">
        <f>IF(TrRoad_act!N6=0,0,N20/TrRoad_act!N6*1000)</f>
        <v>103.5188430984152</v>
      </c>
      <c r="O84" s="116">
        <f>IF(TrRoad_act!O6=0,0,O20/TrRoad_act!O6*1000)</f>
        <v>103.90610982800524</v>
      </c>
      <c r="P84" s="116">
        <f>IF(TrRoad_act!P6=0,0,P20/TrRoad_act!P6*1000)</f>
        <v>96.353250999584063</v>
      </c>
      <c r="Q84" s="116">
        <f>IF(TrRoad_act!Q6=0,0,Q20/TrRoad_act!Q6*1000)</f>
        <v>96.258913787184355</v>
      </c>
      <c r="R84" s="116">
        <f>IF(TrRoad_act!R6=0,0,R20/TrRoad_act!R6*1000)</f>
        <v>117.39935570534746</v>
      </c>
      <c r="S84" s="116">
        <f>IF(TrRoad_act!S6=0,0,S20/TrRoad_act!S6*1000)</f>
        <v>96.861399271858602</v>
      </c>
      <c r="T84" s="116">
        <f>IF(TrRoad_act!T6=0,0,T20/TrRoad_act!T6*1000)</f>
        <v>97.707702157065356</v>
      </c>
      <c r="U84" s="116">
        <f>IF(TrRoad_act!U6=0,0,U20/TrRoad_act!U6*1000)</f>
        <v>94.393290298277094</v>
      </c>
      <c r="V84" s="116">
        <f>IF(TrRoad_act!V6=0,0,V20/TrRoad_act!V6*1000)</f>
        <v>91.820854239244184</v>
      </c>
      <c r="W84" s="116">
        <f>IF(TrRoad_act!W6=0,0,W20/TrRoad_act!W6*1000)</f>
        <v>89.011957357829331</v>
      </c>
      <c r="X84" s="116">
        <f>IF(TrRoad_act!X6=0,0,X20/TrRoad_act!X6*1000)</f>
        <v>88.603987758289747</v>
      </c>
      <c r="Y84" s="116">
        <f>IF(TrRoad_act!Y6=0,0,Y20/TrRoad_act!Y6*1000)</f>
        <v>85.916709918566113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102.86400023883805</v>
      </c>
      <c r="C85" s="87">
        <f>IF(TrRoad_act!C7=0,0,C21/TrRoad_act!C7*1000)</f>
        <v>102.94244608933542</v>
      </c>
      <c r="D85" s="87">
        <f>IF(TrRoad_act!D7=0,0,D21/TrRoad_act!D7*1000)</f>
        <v>103.45776226691069</v>
      </c>
      <c r="E85" s="87">
        <f>IF(TrRoad_act!E7=0,0,E21/TrRoad_act!E7*1000)</f>
        <v>102.84726554341439</v>
      </c>
      <c r="F85" s="87">
        <f>IF(TrRoad_act!F7=0,0,F21/TrRoad_act!F7*1000)</f>
        <v>102.71922014969054</v>
      </c>
      <c r="G85" s="87">
        <f>IF(TrRoad_act!G7=0,0,G21/TrRoad_act!G7*1000)</f>
        <v>102.49555379355016</v>
      </c>
      <c r="H85" s="87">
        <f>IF(TrRoad_act!H7=0,0,H21/TrRoad_act!H7*1000)</f>
        <v>102.79510824423328</v>
      </c>
      <c r="I85" s="87">
        <f>IF(TrRoad_act!I7=0,0,I21/TrRoad_act!I7*1000)</f>
        <v>102.93681507962985</v>
      </c>
      <c r="J85" s="87">
        <f>IF(TrRoad_act!J7=0,0,J21/TrRoad_act!J7*1000)</f>
        <v>97.767413265789997</v>
      </c>
      <c r="K85" s="87">
        <f>IF(TrRoad_act!K7=0,0,K21/TrRoad_act!K7*1000)</f>
        <v>95.667647332023165</v>
      </c>
      <c r="L85" s="87">
        <f>IF(TrRoad_act!L7=0,0,L21/TrRoad_act!L7*1000)</f>
        <v>95.749465806843759</v>
      </c>
      <c r="M85" s="87">
        <f>IF(TrRoad_act!M7=0,0,M21/TrRoad_act!M7*1000)</f>
        <v>94.708522879613469</v>
      </c>
      <c r="N85" s="87">
        <f>IF(TrRoad_act!N7=0,0,N21/TrRoad_act!N7*1000)</f>
        <v>94.106006712573873</v>
      </c>
      <c r="O85" s="87">
        <f>IF(TrRoad_act!O7=0,0,O21/TrRoad_act!O7*1000)</f>
        <v>97.055866619285652</v>
      </c>
      <c r="P85" s="87">
        <f>IF(TrRoad_act!P7=0,0,P21/TrRoad_act!P7*1000)</f>
        <v>95.024763115776508</v>
      </c>
      <c r="Q85" s="87">
        <f>IF(TrRoad_act!Q7=0,0,Q21/TrRoad_act!Q7*1000)</f>
        <v>95.364117349503701</v>
      </c>
      <c r="R85" s="87">
        <f>IF(TrRoad_act!R7=0,0,R21/TrRoad_act!R7*1000)</f>
        <v>111.92912840545245</v>
      </c>
      <c r="S85" s="87">
        <f>IF(TrRoad_act!S7=0,0,S21/TrRoad_act!S7*1000)</f>
        <v>94.522817797784185</v>
      </c>
      <c r="T85" s="87">
        <f>IF(TrRoad_act!T7=0,0,T21/TrRoad_act!T7*1000)</f>
        <v>94.266441795096668</v>
      </c>
      <c r="U85" s="87">
        <f>IF(TrRoad_act!U7=0,0,U21/TrRoad_act!U7*1000)</f>
        <v>92.456838620845588</v>
      </c>
      <c r="V85" s="87">
        <f>IF(TrRoad_act!V7=0,0,V21/TrRoad_act!V7*1000)</f>
        <v>88.778334408601808</v>
      </c>
      <c r="W85" s="87">
        <f>IF(TrRoad_act!W7=0,0,W21/TrRoad_act!W7*1000)</f>
        <v>90.86853292788247</v>
      </c>
      <c r="X85" s="87">
        <f>IF(TrRoad_act!X7=0,0,X21/TrRoad_act!X7*1000)</f>
        <v>88.979247797254757</v>
      </c>
      <c r="Y85" s="87">
        <f>IF(TrRoad_act!Y7=0,0,Y21/TrRoad_act!Y7*1000)</f>
        <v>88.508209980105832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142.094290690169</v>
      </c>
      <c r="C86" s="87">
        <f>IF(TrRoad_act!C8=0,0,C22/TrRoad_act!C8*1000)</f>
        <v>135.59485436780366</v>
      </c>
      <c r="D86" s="87">
        <f>IF(TrRoad_act!D8=0,0,D22/TrRoad_act!D8*1000)</f>
        <v>134.43178459010889</v>
      </c>
      <c r="E86" s="87">
        <f>IF(TrRoad_act!E8=0,0,E22/TrRoad_act!E8*1000)</f>
        <v>133.96304812418444</v>
      </c>
      <c r="F86" s="87">
        <f>IF(TrRoad_act!F8=0,0,F22/TrRoad_act!F8*1000)</f>
        <v>135.02033168295304</v>
      </c>
      <c r="G86" s="87">
        <f>IF(TrRoad_act!G8=0,0,G22/TrRoad_act!G8*1000)</f>
        <v>131.79947508967174</v>
      </c>
      <c r="H86" s="87">
        <f>IF(TrRoad_act!H8=0,0,H22/TrRoad_act!H8*1000)</f>
        <v>135.39020058051207</v>
      </c>
      <c r="I86" s="87">
        <f>IF(TrRoad_act!I8=0,0,I22/TrRoad_act!I8*1000)</f>
        <v>138.36296222798134</v>
      </c>
      <c r="J86" s="87">
        <f>IF(TrRoad_act!J8=0,0,J22/TrRoad_act!J8*1000)</f>
        <v>128.60413391477368</v>
      </c>
      <c r="K86" s="87">
        <f>IF(TrRoad_act!K8=0,0,K22/TrRoad_act!K8*1000)</f>
        <v>123.29412719810252</v>
      </c>
      <c r="L86" s="87">
        <f>IF(TrRoad_act!L8=0,0,L22/TrRoad_act!L8*1000)</f>
        <v>123.37209399287703</v>
      </c>
      <c r="M86" s="87">
        <f>IF(TrRoad_act!M8=0,0,M22/TrRoad_act!M8*1000)</f>
        <v>119.88554835751006</v>
      </c>
      <c r="N86" s="87">
        <f>IF(TrRoad_act!N8=0,0,N22/TrRoad_act!N8*1000)</f>
        <v>118.295868368623</v>
      </c>
      <c r="O86" s="87">
        <f>IF(TrRoad_act!O8=0,0,O22/TrRoad_act!O8*1000)</f>
        <v>114.55647113061336</v>
      </c>
      <c r="P86" s="87">
        <f>IF(TrRoad_act!P8=0,0,P22/TrRoad_act!P8*1000)</f>
        <v>98.338260298489729</v>
      </c>
      <c r="Q86" s="87">
        <f>IF(TrRoad_act!Q8=0,0,Q22/TrRoad_act!Q8*1000)</f>
        <v>97.582839106977275</v>
      </c>
      <c r="R86" s="87">
        <f>IF(TrRoad_act!R8=0,0,R22/TrRoad_act!R8*1000)</f>
        <v>124.96369034629407</v>
      </c>
      <c r="S86" s="87">
        <f>IF(TrRoad_act!S8=0,0,S22/TrRoad_act!S8*1000)</f>
        <v>100.13170579720273</v>
      </c>
      <c r="T86" s="87">
        <f>IF(TrRoad_act!T8=0,0,T22/TrRoad_act!T8*1000)</f>
        <v>102.5339378321509</v>
      </c>
      <c r="U86" s="87">
        <f>IF(TrRoad_act!U8=0,0,U22/TrRoad_act!U8*1000)</f>
        <v>97.707498837492764</v>
      </c>
      <c r="V86" s="87">
        <f>IF(TrRoad_act!V8=0,0,V22/TrRoad_act!V8*1000)</f>
        <v>97.264087011698223</v>
      </c>
      <c r="W86" s="87">
        <f>IF(TrRoad_act!W8=0,0,W22/TrRoad_act!W8*1000)</f>
        <v>89.905804131821498</v>
      </c>
      <c r="X86" s="87">
        <f>IF(TrRoad_act!X8=0,0,X22/TrRoad_act!X8*1000)</f>
        <v>93.764390815664598</v>
      </c>
      <c r="Y86" s="87">
        <f>IF(TrRoad_act!Y8=0,0,Y22/TrRoad_act!Y8*1000)</f>
        <v>89.949635735238829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0</v>
      </c>
      <c r="D87" s="87">
        <f>IF(TrRoad_act!D9=0,0,D23/TrRoad_act!D9*1000)</f>
        <v>0</v>
      </c>
      <c r="E87" s="87">
        <f>IF(TrRoad_act!E9=0,0,E23/TrRoad_act!E9*1000)</f>
        <v>0</v>
      </c>
      <c r="F87" s="87">
        <f>IF(TrRoad_act!F9=0,0,F23/TrRoad_act!F9*1000)</f>
        <v>0</v>
      </c>
      <c r="G87" s="87">
        <f>IF(TrRoad_act!G9=0,0,G23/TrRoad_act!G9*1000)</f>
        <v>0</v>
      </c>
      <c r="H87" s="87">
        <f>IF(TrRoad_act!H9=0,0,H23/TrRoad_act!H9*1000)</f>
        <v>0</v>
      </c>
      <c r="I87" s="87">
        <f>IF(TrRoad_act!I9=0,0,I23/TrRoad_act!I9*1000)</f>
        <v>0</v>
      </c>
      <c r="J87" s="87">
        <f>IF(TrRoad_act!J9=0,0,J23/TrRoad_act!J9*1000)</f>
        <v>0</v>
      </c>
      <c r="K87" s="87">
        <f>IF(TrRoad_act!K9=0,0,K23/TrRoad_act!K9*1000)</f>
        <v>0</v>
      </c>
      <c r="L87" s="87">
        <f>IF(TrRoad_act!L9=0,0,L23/TrRoad_act!L9*1000)</f>
        <v>0</v>
      </c>
      <c r="M87" s="87">
        <f>IF(TrRoad_act!M9=0,0,M23/TrRoad_act!M9*1000)</f>
        <v>0</v>
      </c>
      <c r="N87" s="87">
        <f>IF(TrRoad_act!N9=0,0,N23/TrRoad_act!N9*1000)</f>
        <v>0</v>
      </c>
      <c r="O87" s="87">
        <f>IF(TrRoad_act!O9=0,0,O23/TrRoad_act!O9*1000)</f>
        <v>0</v>
      </c>
      <c r="P87" s="87">
        <f>IF(TrRoad_act!P9=0,0,P23/TrRoad_act!P9*1000)</f>
        <v>0</v>
      </c>
      <c r="Q87" s="87">
        <f>IF(TrRoad_act!Q9=0,0,Q23/TrRoad_act!Q9*1000)</f>
        <v>0</v>
      </c>
      <c r="R87" s="87">
        <f>IF(TrRoad_act!R9=0,0,R23/TrRoad_act!R9*1000)</f>
        <v>0</v>
      </c>
      <c r="S87" s="87">
        <f>IF(TrRoad_act!S9=0,0,S23/TrRoad_act!S9*1000)</f>
        <v>0</v>
      </c>
      <c r="T87" s="87">
        <f>IF(TrRoad_act!T9=0,0,T23/TrRoad_act!T9*1000)</f>
        <v>0</v>
      </c>
      <c r="U87" s="87">
        <f>IF(TrRoad_act!U9=0,0,U23/TrRoad_act!U9*1000)</f>
        <v>0</v>
      </c>
      <c r="V87" s="87">
        <f>IF(TrRoad_act!V9=0,0,V23/TrRoad_act!V9*1000)</f>
        <v>0</v>
      </c>
      <c r="W87" s="87">
        <f>IF(TrRoad_act!W9=0,0,W23/TrRoad_act!W9*1000)</f>
        <v>0</v>
      </c>
      <c r="X87" s="87">
        <f>IF(TrRoad_act!X9=0,0,X23/TrRoad_act!X9*1000)</f>
        <v>0</v>
      </c>
      <c r="Y87" s="87">
        <f>IF(TrRoad_act!Y9=0,0,Y23/TrRoad_act!Y9*1000)</f>
        <v>0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125.74073838349837</v>
      </c>
      <c r="I88" s="87">
        <f>IF(TrRoad_act!I10=0,0,I24/TrRoad_act!I10*1000)</f>
        <v>126.91792209400022</v>
      </c>
      <c r="J88" s="87">
        <f>IF(TrRoad_act!J10=0,0,J24/TrRoad_act!J10*1000)</f>
        <v>141.96859220070016</v>
      </c>
      <c r="K88" s="87">
        <f>IF(TrRoad_act!K10=0,0,K24/TrRoad_act!K10*1000)</f>
        <v>157.85553840044142</v>
      </c>
      <c r="L88" s="87">
        <f>IF(TrRoad_act!L10=0,0,L24/TrRoad_act!L10*1000)</f>
        <v>157.05628461072081</v>
      </c>
      <c r="M88" s="87">
        <f>IF(TrRoad_act!M10=0,0,M24/TrRoad_act!M10*1000)</f>
        <v>116.65173973030508</v>
      </c>
      <c r="N88" s="87">
        <f>IF(TrRoad_act!N10=0,0,N24/TrRoad_act!N10*1000)</f>
        <v>170.39321338847054</v>
      </c>
      <c r="O88" s="87">
        <f>IF(TrRoad_act!O10=0,0,O24/TrRoad_act!O10*1000)</f>
        <v>111.54328814695116</v>
      </c>
      <c r="P88" s="87">
        <f>IF(TrRoad_act!P10=0,0,P24/TrRoad_act!P10*1000)</f>
        <v>102.82592747532244</v>
      </c>
      <c r="Q88" s="87">
        <f>IF(TrRoad_act!Q10=0,0,Q24/TrRoad_act!Q10*1000)</f>
        <v>97.180433539095276</v>
      </c>
      <c r="R88" s="87">
        <f>IF(TrRoad_act!R10=0,0,R24/TrRoad_act!R10*1000)</f>
        <v>102.50213829353244</v>
      </c>
      <c r="S88" s="87">
        <f>IF(TrRoad_act!S10=0,0,S24/TrRoad_act!S10*1000)</f>
        <v>85.364219001953771</v>
      </c>
      <c r="T88" s="87">
        <f>IF(TrRoad_act!T10=0,0,T24/TrRoad_act!T10*1000)</f>
        <v>91.613324387024264</v>
      </c>
      <c r="U88" s="87">
        <f>IF(TrRoad_act!U10=0,0,U24/TrRoad_act!U10*1000)</f>
        <v>108.08355418105803</v>
      </c>
      <c r="V88" s="87">
        <f>IF(TrRoad_act!V10=0,0,V24/TrRoad_act!V10*1000)</f>
        <v>129.46420753500934</v>
      </c>
      <c r="W88" s="87">
        <f>IF(TrRoad_act!W10=0,0,W24/TrRoad_act!W10*1000)</f>
        <v>146.97700882974283</v>
      </c>
      <c r="X88" s="87">
        <f>IF(TrRoad_act!X10=0,0,X24/TrRoad_act!X10*1000)</f>
        <v>159.70718128037907</v>
      </c>
      <c r="Y88" s="87">
        <f>IF(TrRoad_act!Y10=0,0,Y24/TrRoad_act!Y10*1000)</f>
        <v>176.33479455229516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28.235272396346328</v>
      </c>
      <c r="O89" s="87">
        <f>IF(TrRoad_act!O11=0,0,O25/TrRoad_act!O11*1000)</f>
        <v>30.554238559296703</v>
      </c>
      <c r="P89" s="87">
        <f>IF(TrRoad_act!P11=0,0,P25/TrRoad_act!P11*1000)</f>
        <v>31.625655008914219</v>
      </c>
      <c r="Q89" s="87">
        <f>IF(TrRoad_act!Q11=0,0,Q25/TrRoad_act!Q11*1000)</f>
        <v>34.615773906154701</v>
      </c>
      <c r="R89" s="87">
        <f>IF(TrRoad_act!R11=0,0,R25/TrRoad_act!R11*1000)</f>
        <v>42.934510961994427</v>
      </c>
      <c r="S89" s="87">
        <f>IF(TrRoad_act!S11=0,0,S25/TrRoad_act!S11*1000)</f>
        <v>36.587400128781695</v>
      </c>
      <c r="T89" s="87">
        <f>IF(TrRoad_act!T11=0,0,T25/TrRoad_act!T11*1000)</f>
        <v>37.023043100433206</v>
      </c>
      <c r="U89" s="87">
        <f>IF(TrRoad_act!U11=0,0,U25/TrRoad_act!U11*1000)</f>
        <v>33.180917910022863</v>
      </c>
      <c r="V89" s="87">
        <f>IF(TrRoad_act!V11=0,0,V25/TrRoad_act!V11*1000)</f>
        <v>28.957510951668418</v>
      </c>
      <c r="W89" s="87">
        <f>IF(TrRoad_act!W11=0,0,W25/TrRoad_act!W11*1000)</f>
        <v>26.771329757238394</v>
      </c>
      <c r="X89" s="87">
        <f>IF(TrRoad_act!X11=0,0,X25/TrRoad_act!X11*1000)</f>
        <v>24.364072729705324</v>
      </c>
      <c r="Y89" s="87">
        <f>IF(TrRoad_act!Y11=0,0,Y25/TrRoad_act!Y11*1000)</f>
        <v>22.333652248659771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87.670117041690276</v>
      </c>
      <c r="C91" s="116">
        <f>IF(TrRoad_act!C13=0,0,C27/TrRoad_act!C13*1000)</f>
        <v>85.88068050523384</v>
      </c>
      <c r="D91" s="116">
        <f>IF(TrRoad_act!D13=0,0,D27/TrRoad_act!D13*1000)</f>
        <v>86.654166852795058</v>
      </c>
      <c r="E91" s="116">
        <f>IF(TrRoad_act!E13=0,0,E27/TrRoad_act!E13*1000)</f>
        <v>89.416341304425259</v>
      </c>
      <c r="F91" s="116">
        <f>IF(TrRoad_act!F13=0,0,F27/TrRoad_act!F13*1000)</f>
        <v>93.60532531133552</v>
      </c>
      <c r="G91" s="116">
        <f>IF(TrRoad_act!G13=0,0,G27/TrRoad_act!G13*1000)</f>
        <v>93.157763107636441</v>
      </c>
      <c r="H91" s="116">
        <f>IF(TrRoad_act!H13=0,0,H27/TrRoad_act!H13*1000)</f>
        <v>96.498708068893379</v>
      </c>
      <c r="I91" s="116">
        <f>IF(TrRoad_act!I13=0,0,I27/TrRoad_act!I13*1000)</f>
        <v>100.19539133975232</v>
      </c>
      <c r="J91" s="116">
        <f>IF(TrRoad_act!J13=0,0,J27/TrRoad_act!J13*1000)</f>
        <v>100.02597257603055</v>
      </c>
      <c r="K91" s="116">
        <f>IF(TrRoad_act!K13=0,0,K27/TrRoad_act!K13*1000)</f>
        <v>101.63103483216845</v>
      </c>
      <c r="L91" s="116">
        <f>IF(TrRoad_act!L13=0,0,L27/TrRoad_act!L13*1000)</f>
        <v>106.39691761710927</v>
      </c>
      <c r="M91" s="116">
        <f>IF(TrRoad_act!M13=0,0,M27/TrRoad_act!M13*1000)</f>
        <v>107.11603157219061</v>
      </c>
      <c r="N91" s="116">
        <f>IF(TrRoad_act!N13=0,0,N27/TrRoad_act!N13*1000)</f>
        <v>111.78138378443863</v>
      </c>
      <c r="O91" s="116">
        <f>IF(TrRoad_act!O13=0,0,O27/TrRoad_act!O13*1000)</f>
        <v>112.89565750691591</v>
      </c>
      <c r="P91" s="116">
        <f>IF(TrRoad_act!P13=0,0,P27/TrRoad_act!P13*1000)</f>
        <v>102.47955743144067</v>
      </c>
      <c r="Q91" s="116">
        <f>IF(TrRoad_act!Q13=0,0,Q27/TrRoad_act!Q13*1000)</f>
        <v>106.41370588909636</v>
      </c>
      <c r="R91" s="116">
        <f>IF(TrRoad_act!R13=0,0,R27/TrRoad_act!R13*1000)</f>
        <v>121.22807452856249</v>
      </c>
      <c r="S91" s="116">
        <f>IF(TrRoad_act!S13=0,0,S27/TrRoad_act!S13*1000)</f>
        <v>111.60159559985102</v>
      </c>
      <c r="T91" s="116">
        <f>IF(TrRoad_act!T13=0,0,T27/TrRoad_act!T13*1000)</f>
        <v>115.44157491871709</v>
      </c>
      <c r="U91" s="116">
        <f>IF(TrRoad_act!U13=0,0,U27/TrRoad_act!U13*1000)</f>
        <v>109.76396854416556</v>
      </c>
      <c r="V91" s="116">
        <f>IF(TrRoad_act!V13=0,0,V27/TrRoad_act!V13*1000)</f>
        <v>110.79138508851251</v>
      </c>
      <c r="W91" s="116">
        <f>IF(TrRoad_act!W13=0,0,W27/TrRoad_act!W13*1000)</f>
        <v>100.97096765619435</v>
      </c>
      <c r="X91" s="116">
        <f>IF(TrRoad_act!X13=0,0,X27/TrRoad_act!X13*1000)</f>
        <v>100.05985210859369</v>
      </c>
      <c r="Y91" s="116">
        <f>IF(TrRoad_act!Y13=0,0,Y27/TrRoad_act!Y13*1000)</f>
        <v>95.088346415052271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66.008474730274727</v>
      </c>
      <c r="C92" s="101">
        <f>IF(TrRoad_act!C14=0,0,C28/TrRoad_act!C14*1000)</f>
        <v>63.756109564056878</v>
      </c>
      <c r="D92" s="101">
        <f>IF(TrRoad_act!D14=0,0,D28/TrRoad_act!D14*1000)</f>
        <v>64.993651975609666</v>
      </c>
      <c r="E92" s="101">
        <f>IF(TrRoad_act!E14=0,0,E28/TrRoad_act!E14*1000)</f>
        <v>67.207691522514779</v>
      </c>
      <c r="F92" s="101">
        <f>IF(TrRoad_act!F14=0,0,F28/TrRoad_act!F14*1000)</f>
        <v>69.615247276779982</v>
      </c>
      <c r="G92" s="101">
        <f>IF(TrRoad_act!G14=0,0,G28/TrRoad_act!G14*1000)</f>
        <v>70.783941255034009</v>
      </c>
      <c r="H92" s="101">
        <f>IF(TrRoad_act!H14=0,0,H28/TrRoad_act!H14*1000)</f>
        <v>72.115443579511222</v>
      </c>
      <c r="I92" s="101">
        <f>IF(TrRoad_act!I14=0,0,I28/TrRoad_act!I14*1000)</f>
        <v>73.955606953409685</v>
      </c>
      <c r="J92" s="101">
        <f>IF(TrRoad_act!J14=0,0,J28/TrRoad_act!J14*1000)</f>
        <v>75.640043001125093</v>
      </c>
      <c r="K92" s="101">
        <f>IF(TrRoad_act!K14=0,0,K28/TrRoad_act!K14*1000)</f>
        <v>75.091197174422632</v>
      </c>
      <c r="L92" s="101">
        <f>IF(TrRoad_act!L14=0,0,L28/TrRoad_act!L14*1000)</f>
        <v>74.610723962040979</v>
      </c>
      <c r="M92" s="101">
        <f>IF(TrRoad_act!M14=0,0,M28/TrRoad_act!M14*1000)</f>
        <v>74.040485092712132</v>
      </c>
      <c r="N92" s="101">
        <f>IF(TrRoad_act!N14=0,0,N28/TrRoad_act!N14*1000)</f>
        <v>73.987327445134781</v>
      </c>
      <c r="O92" s="101">
        <f>IF(TrRoad_act!O14=0,0,O28/TrRoad_act!O14*1000)</f>
        <v>75.568363542047635</v>
      </c>
      <c r="P92" s="101">
        <f>IF(TrRoad_act!P14=0,0,P28/TrRoad_act!P14*1000)</f>
        <v>75.534112412994688</v>
      </c>
      <c r="Q92" s="101">
        <f>IF(TrRoad_act!Q14=0,0,Q28/TrRoad_act!Q14*1000)</f>
        <v>75.917897505169108</v>
      </c>
      <c r="R92" s="101">
        <f>IF(TrRoad_act!R14=0,0,R28/TrRoad_act!R14*1000)</f>
        <v>75.606984616627145</v>
      </c>
      <c r="S92" s="101">
        <f>IF(TrRoad_act!S14=0,0,S28/TrRoad_act!S14*1000)</f>
        <v>73.854698111770773</v>
      </c>
      <c r="T92" s="101">
        <f>IF(TrRoad_act!T14=0,0,T28/TrRoad_act!T14*1000)</f>
        <v>73.604045741787104</v>
      </c>
      <c r="U92" s="101">
        <f>IF(TrRoad_act!U14=0,0,U28/TrRoad_act!U14*1000)</f>
        <v>73.183673431120368</v>
      </c>
      <c r="V92" s="101">
        <f>IF(TrRoad_act!V14=0,0,V28/TrRoad_act!V14*1000)</f>
        <v>72.509620219661173</v>
      </c>
      <c r="W92" s="101">
        <f>IF(TrRoad_act!W14=0,0,W28/TrRoad_act!W14*1000)</f>
        <v>71.466692521328511</v>
      </c>
      <c r="X92" s="101">
        <f>IF(TrRoad_act!X14=0,0,X28/TrRoad_act!X14*1000)</f>
        <v>69.131816495266349</v>
      </c>
      <c r="Y92" s="101">
        <f>IF(TrRoad_act!Y14=0,0,Y28/TrRoad_act!Y14*1000)</f>
        <v>67.946976161656494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88.155395174172313</v>
      </c>
      <c r="C93" s="101">
        <f>IF(TrRoad_act!C15=0,0,C29/TrRoad_act!C15*1000)</f>
        <v>86.342870880738431</v>
      </c>
      <c r="D93" s="101">
        <f>IF(TrRoad_act!D15=0,0,D29/TrRoad_act!D15*1000)</f>
        <v>87.340550203428307</v>
      </c>
      <c r="E93" s="101">
        <f>IF(TrRoad_act!E15=0,0,E29/TrRoad_act!E15*1000)</f>
        <v>90.117754028101814</v>
      </c>
      <c r="F93" s="101">
        <f>IF(TrRoad_act!F15=0,0,F29/TrRoad_act!F15*1000)</f>
        <v>94.293714410960078</v>
      </c>
      <c r="G93" s="101">
        <f>IF(TrRoad_act!G15=0,0,G29/TrRoad_act!G15*1000)</f>
        <v>93.80143106437994</v>
      </c>
      <c r="H93" s="101">
        <f>IF(TrRoad_act!H15=0,0,H29/TrRoad_act!H15*1000)</f>
        <v>97.362403076757232</v>
      </c>
      <c r="I93" s="101">
        <f>IF(TrRoad_act!I15=0,0,I29/TrRoad_act!I15*1000)</f>
        <v>101.15748867926278</v>
      </c>
      <c r="J93" s="101">
        <f>IF(TrRoad_act!J15=0,0,J29/TrRoad_act!J15*1000)</f>
        <v>100.58715382633413</v>
      </c>
      <c r="K93" s="101">
        <f>IF(TrRoad_act!K15=0,0,K29/TrRoad_act!K15*1000)</f>
        <v>101.9389812645784</v>
      </c>
      <c r="L93" s="101">
        <f>IF(TrRoad_act!L15=0,0,L29/TrRoad_act!L15*1000)</f>
        <v>106.67557713144717</v>
      </c>
      <c r="M93" s="101">
        <f>IF(TrRoad_act!M15=0,0,M29/TrRoad_act!M15*1000)</f>
        <v>107.78338770021706</v>
      </c>
      <c r="N93" s="101">
        <f>IF(TrRoad_act!N15=0,0,N29/TrRoad_act!N15*1000)</f>
        <v>111.97456098474528</v>
      </c>
      <c r="O93" s="101">
        <f>IF(TrRoad_act!O15=0,0,O29/TrRoad_act!O15*1000)</f>
        <v>113.52960615789776</v>
      </c>
      <c r="P93" s="101">
        <f>IF(TrRoad_act!P15=0,0,P29/TrRoad_act!P15*1000)</f>
        <v>102.99205741850521</v>
      </c>
      <c r="Q93" s="101">
        <f>IF(TrRoad_act!Q15=0,0,Q29/TrRoad_act!Q15*1000)</f>
        <v>107.0352900867212</v>
      </c>
      <c r="R93" s="101">
        <f>IF(TrRoad_act!R15=0,0,R29/TrRoad_act!R15*1000)</f>
        <v>121.90255084652006</v>
      </c>
      <c r="S93" s="101">
        <f>IF(TrRoad_act!S15=0,0,S29/TrRoad_act!S15*1000)</f>
        <v>112.10500512464517</v>
      </c>
      <c r="T93" s="101">
        <f>IF(TrRoad_act!T15=0,0,T29/TrRoad_act!T15*1000)</f>
        <v>115.91338872342754</v>
      </c>
      <c r="U93" s="101">
        <f>IF(TrRoad_act!U15=0,0,U29/TrRoad_act!U15*1000)</f>
        <v>110.28288238898408</v>
      </c>
      <c r="V93" s="101">
        <f>IF(TrRoad_act!V15=0,0,V29/TrRoad_act!V15*1000)</f>
        <v>111.368044630106</v>
      </c>
      <c r="W93" s="101">
        <f>IF(TrRoad_act!W15=0,0,W29/TrRoad_act!W15*1000)</f>
        <v>102.8379762588192</v>
      </c>
      <c r="X93" s="101">
        <f>IF(TrRoad_act!X15=0,0,X29/TrRoad_act!X15*1000)</f>
        <v>103.73214195032428</v>
      </c>
      <c r="Y93" s="101">
        <f>IF(TrRoad_act!Y15=0,0,Y29/TrRoad_act!Y15*1000)</f>
        <v>99.001726012081718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X94" s="101">
        <f>IF(TrRoad_act!X16=0,0,X30/TrRoad_act!X16*1000)</f>
        <v>0</v>
      </c>
      <c r="Y94" s="101">
        <f>IF(TrRoad_act!Y16=0,0,Y30/TrRoad_act!Y16*1000)</f>
        <v>0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46.310912930696723</v>
      </c>
      <c r="C95" s="101">
        <f>IF(TrRoad_act!C17=0,0,C31/TrRoad_act!C17*1000)</f>
        <v>46.457836179225097</v>
      </c>
      <c r="D95" s="101">
        <f>IF(TrRoad_act!D17=0,0,D31/TrRoad_act!D17*1000)</f>
        <v>47.000293436523613</v>
      </c>
      <c r="E95" s="101">
        <f>IF(TrRoad_act!E17=0,0,E31/TrRoad_act!E17*1000)</f>
        <v>48.086048936523405</v>
      </c>
      <c r="F95" s="101">
        <f>IF(TrRoad_act!F17=0,0,F31/TrRoad_act!F17*1000)</f>
        <v>50.997188131602059</v>
      </c>
      <c r="G95" s="101">
        <f>IF(TrRoad_act!G17=0,0,G31/TrRoad_act!G17*1000)</f>
        <v>52.510938796548871</v>
      </c>
      <c r="H95" s="101">
        <f>IF(TrRoad_act!H17=0,0,H31/TrRoad_act!H17*1000)</f>
        <v>54.219704599024041</v>
      </c>
      <c r="I95" s="101">
        <f>IF(TrRoad_act!I17=0,0,I31/TrRoad_act!I17*1000)</f>
        <v>52.671876534489378</v>
      </c>
      <c r="J95" s="101">
        <f>IF(TrRoad_act!J17=0,0,J31/TrRoad_act!J17*1000)</f>
        <v>69.871083469091388</v>
      </c>
      <c r="K95" s="101">
        <f>IF(TrRoad_act!K17=0,0,K31/TrRoad_act!K17*1000)</f>
        <v>84.542367929401365</v>
      </c>
      <c r="L95" s="101">
        <f>IF(TrRoad_act!L17=0,0,L31/TrRoad_act!L17*1000)</f>
        <v>89.614938556826331</v>
      </c>
      <c r="M95" s="101">
        <f>IF(TrRoad_act!M17=0,0,M31/TrRoad_act!M17*1000)</f>
        <v>61.177497064948874</v>
      </c>
      <c r="N95" s="101">
        <f>IF(TrRoad_act!N17=0,0,N31/TrRoad_act!N17*1000)</f>
        <v>102.4135902079628</v>
      </c>
      <c r="O95" s="101">
        <f>IF(TrRoad_act!O17=0,0,O31/TrRoad_act!O17*1000)</f>
        <v>62.898958054711976</v>
      </c>
      <c r="P95" s="101">
        <f>IF(TrRoad_act!P17=0,0,P31/TrRoad_act!P17*1000)</f>
        <v>63.994354714657447</v>
      </c>
      <c r="Q95" s="101">
        <f>IF(TrRoad_act!Q17=0,0,Q31/TrRoad_act!Q17*1000)</f>
        <v>57.98352074664858</v>
      </c>
      <c r="R95" s="101">
        <f>IF(TrRoad_act!R17=0,0,R31/TrRoad_act!R17*1000)</f>
        <v>69.87229328975917</v>
      </c>
      <c r="S95" s="101">
        <f>IF(TrRoad_act!S17=0,0,S31/TrRoad_act!S17*1000)</f>
        <v>77.043396095630712</v>
      </c>
      <c r="T95" s="101">
        <f>IF(TrRoad_act!T17=0,0,T31/TrRoad_act!T17*1000)</f>
        <v>84.893135802125911</v>
      </c>
      <c r="U95" s="101">
        <f>IF(TrRoad_act!U17=0,0,U31/TrRoad_act!U17*1000)</f>
        <v>105.19272621295541</v>
      </c>
      <c r="V95" s="101">
        <f>IF(TrRoad_act!V17=0,0,V31/TrRoad_act!V17*1000)</f>
        <v>131.57306723768073</v>
      </c>
      <c r="W95" s="101">
        <f>IF(TrRoad_act!W17=0,0,W31/TrRoad_act!W17*1000)</f>
        <v>151.66703424876656</v>
      </c>
      <c r="X95" s="101">
        <f>IF(TrRoad_act!X17=0,0,X31/TrRoad_act!X17*1000)</f>
        <v>162.00856720840446</v>
      </c>
      <c r="Y95" s="101">
        <f>IF(TrRoad_act!Y17=0,0,Y31/TrRoad_act!Y17*1000)</f>
        <v>179.96318771544648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125.74199591642862</v>
      </c>
      <c r="C97" s="29">
        <f>IF(TrRoad_act!C19=0,0,C33/TrRoad_act!C19*1000)</f>
        <v>133.6253885811908</v>
      </c>
      <c r="D97" s="29">
        <f>IF(TrRoad_act!D19=0,0,D33/TrRoad_act!D19*1000)</f>
        <v>128.81702799182099</v>
      </c>
      <c r="E97" s="29">
        <f>IF(TrRoad_act!E19=0,0,E33/TrRoad_act!E19*1000)</f>
        <v>134.98466580992701</v>
      </c>
      <c r="F97" s="29">
        <f>IF(TrRoad_act!F19=0,0,F33/TrRoad_act!F19*1000)</f>
        <v>137.0291979610648</v>
      </c>
      <c r="G97" s="29">
        <f>IF(TrRoad_act!G19=0,0,G33/TrRoad_act!G19*1000)</f>
        <v>133.56117846748074</v>
      </c>
      <c r="H97" s="29">
        <f>IF(TrRoad_act!H19=0,0,H33/TrRoad_act!H19*1000)</f>
        <v>143.68250276266997</v>
      </c>
      <c r="I97" s="29">
        <f>IF(TrRoad_act!I19=0,0,I33/TrRoad_act!I19*1000)</f>
        <v>144.80258083352638</v>
      </c>
      <c r="J97" s="29">
        <f>IF(TrRoad_act!J19=0,0,J33/TrRoad_act!J19*1000)</f>
        <v>131.76774140770004</v>
      </c>
      <c r="K97" s="29">
        <f>IF(TrRoad_act!K19=0,0,K33/TrRoad_act!K19*1000)</f>
        <v>129.86045885949207</v>
      </c>
      <c r="L97" s="29">
        <f>IF(TrRoad_act!L19=0,0,L33/TrRoad_act!L19*1000)</f>
        <v>134.59219227777959</v>
      </c>
      <c r="M97" s="29">
        <f>IF(TrRoad_act!M19=0,0,M33/TrRoad_act!M19*1000)</f>
        <v>136.52765147551173</v>
      </c>
      <c r="N97" s="29">
        <f>IF(TrRoad_act!N19=0,0,N33/TrRoad_act!N19*1000)</f>
        <v>137.01184560808016</v>
      </c>
      <c r="O97" s="29">
        <f>IF(TrRoad_act!O19=0,0,O33/TrRoad_act!O19*1000)</f>
        <v>141.93359992748313</v>
      </c>
      <c r="P97" s="29">
        <f>IF(TrRoad_act!P19=0,0,P33/TrRoad_act!P19*1000)</f>
        <v>121.25741396801179</v>
      </c>
      <c r="Q97" s="29">
        <f>IF(TrRoad_act!Q19=0,0,Q33/TrRoad_act!Q19*1000)</f>
        <v>111.00914583830318</v>
      </c>
      <c r="R97" s="29">
        <f>IF(TrRoad_act!R19=0,0,R33/TrRoad_act!R19*1000)</f>
        <v>125.32463310133174</v>
      </c>
      <c r="S97" s="29">
        <f>IF(TrRoad_act!S19=0,0,S33/TrRoad_act!S19*1000)</f>
        <v>107.09630746671283</v>
      </c>
      <c r="T97" s="29">
        <f>IF(TrRoad_act!T19=0,0,T33/TrRoad_act!T19*1000)</f>
        <v>110.97052005582809</v>
      </c>
      <c r="U97" s="29">
        <f>IF(TrRoad_act!U19=0,0,U33/TrRoad_act!U19*1000)</f>
        <v>104.63962728179264</v>
      </c>
      <c r="V97" s="29">
        <f>IF(TrRoad_act!V19=0,0,V33/TrRoad_act!V19*1000)</f>
        <v>98.919050473836862</v>
      </c>
      <c r="W97" s="29">
        <f>IF(TrRoad_act!W19=0,0,W33/TrRoad_act!W19*1000)</f>
        <v>95.48516057162081</v>
      </c>
      <c r="X97" s="29">
        <f>IF(TrRoad_act!X19=0,0,X33/TrRoad_act!X19*1000)</f>
        <v>92.285963361758647</v>
      </c>
      <c r="Y97" s="29">
        <f>IF(TrRoad_act!Y19=0,0,Y33/TrRoad_act!Y19*1000)</f>
        <v>92.218762541610218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1014.7974498548701</v>
      </c>
      <c r="C98" s="152">
        <f>IF(TrRoad_act!C20=0,0,C34/TrRoad_act!C20*1000)</f>
        <v>985.75229431231139</v>
      </c>
      <c r="D98" s="152">
        <f>IF(TrRoad_act!D20=0,0,D34/TrRoad_act!D20*1000)</f>
        <v>968.89352512768039</v>
      </c>
      <c r="E98" s="152">
        <f>IF(TrRoad_act!E20=0,0,E34/TrRoad_act!E20*1000)</f>
        <v>956.38233605642142</v>
      </c>
      <c r="F98" s="152">
        <f>IF(TrRoad_act!F20=0,0,F34/TrRoad_act!F20*1000)</f>
        <v>944.31446907204065</v>
      </c>
      <c r="G98" s="152">
        <f>IF(TrRoad_act!G20=0,0,G34/TrRoad_act!G20*1000)</f>
        <v>917.52473862572333</v>
      </c>
      <c r="H98" s="152">
        <f>IF(TrRoad_act!H20=0,0,H34/TrRoad_act!H20*1000)</f>
        <v>924.3111278796689</v>
      </c>
      <c r="I98" s="152">
        <f>IF(TrRoad_act!I20=0,0,I34/TrRoad_act!I20*1000)</f>
        <v>933.17480015318756</v>
      </c>
      <c r="J98" s="152">
        <f>IF(TrRoad_act!J20=0,0,J34/TrRoad_act!J20*1000)</f>
        <v>879.94581641733646</v>
      </c>
      <c r="K98" s="152">
        <f>IF(TrRoad_act!K20=0,0,K34/TrRoad_act!K20*1000)</f>
        <v>842.24554632395359</v>
      </c>
      <c r="L98" s="152">
        <f>IF(TrRoad_act!L20=0,0,L34/TrRoad_act!L20*1000)</f>
        <v>849.34939898471453</v>
      </c>
      <c r="M98" s="152">
        <f>IF(TrRoad_act!M20=0,0,M34/TrRoad_act!M20*1000)</f>
        <v>834.00506016276142</v>
      </c>
      <c r="N98" s="152">
        <f>IF(TrRoad_act!N20=0,0,N34/TrRoad_act!N20*1000)</f>
        <v>827.19452021266216</v>
      </c>
      <c r="O98" s="152">
        <f>IF(TrRoad_act!O20=0,0,O34/TrRoad_act!O20*1000)</f>
        <v>806.97967113823813</v>
      </c>
      <c r="P98" s="152">
        <f>IF(TrRoad_act!P20=0,0,P34/TrRoad_act!P20*1000)</f>
        <v>701.52903447399808</v>
      </c>
      <c r="Q98" s="152">
        <f>IF(TrRoad_act!Q20=0,0,Q34/TrRoad_act!Q20*1000)</f>
        <v>698.1175490463371</v>
      </c>
      <c r="R98" s="152">
        <f>IF(TrRoad_act!R20=0,0,R34/TrRoad_act!R20*1000)</f>
        <v>809.8309069205435</v>
      </c>
      <c r="S98" s="152">
        <f>IF(TrRoad_act!S20=0,0,S34/TrRoad_act!S20*1000)</f>
        <v>719.39427490534206</v>
      </c>
      <c r="T98" s="152">
        <f>IF(TrRoad_act!T20=0,0,T34/TrRoad_act!T20*1000)</f>
        <v>732.79960154239768</v>
      </c>
      <c r="U98" s="152">
        <f>IF(TrRoad_act!U20=0,0,U34/TrRoad_act!U20*1000)</f>
        <v>700.3785069390126</v>
      </c>
      <c r="V98" s="152">
        <f>IF(TrRoad_act!V20=0,0,V34/TrRoad_act!V20*1000)</f>
        <v>694.33214150317019</v>
      </c>
      <c r="W98" s="152">
        <f>IF(TrRoad_act!W20=0,0,W34/TrRoad_act!W20*1000)</f>
        <v>642.89883839105028</v>
      </c>
      <c r="X98" s="152">
        <f>IF(TrRoad_act!X20=0,0,X34/TrRoad_act!X20*1000)</f>
        <v>647.4849301398491</v>
      </c>
      <c r="Y98" s="152">
        <f>IF(TrRoad_act!Y20=0,0,Y34/TrRoad_act!Y20*1000)</f>
        <v>622.26974534106262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992.03217412220067</v>
      </c>
      <c r="C99" s="87">
        <f>IF(TrRoad_act!C21=0,0,C35/TrRoad_act!C21*1000)</f>
        <v>988.44504489567692</v>
      </c>
      <c r="D99" s="87">
        <f>IF(TrRoad_act!D21=0,0,D35/TrRoad_act!D21*1000)</f>
        <v>984.38583177973305</v>
      </c>
      <c r="E99" s="87">
        <f>IF(TrRoad_act!E21=0,0,E35/TrRoad_act!E21*1000)</f>
        <v>979.45603434653026</v>
      </c>
      <c r="F99" s="87">
        <f>IF(TrRoad_act!F21=0,0,F35/TrRoad_act!F21*1000)</f>
        <v>969.60530345233838</v>
      </c>
      <c r="G99" s="87">
        <f>IF(TrRoad_act!G21=0,0,G35/TrRoad_act!G21*1000)</f>
        <v>965.93217538099441</v>
      </c>
      <c r="H99" s="87">
        <f>IF(TrRoad_act!H21=0,0,H35/TrRoad_act!H21*1000)</f>
        <v>950.82369584355718</v>
      </c>
      <c r="I99" s="87">
        <f>IF(TrRoad_act!I21=0,0,I35/TrRoad_act!I21*1000)</f>
        <v>937.90308981910096</v>
      </c>
      <c r="J99" s="87">
        <f>IF(TrRoad_act!J21=0,0,J35/TrRoad_act!J21*1000)</f>
        <v>890.16411815971992</v>
      </c>
      <c r="K99" s="87">
        <f>IF(TrRoad_act!K21=0,0,K35/TrRoad_act!K21*1000)</f>
        <v>864.85613214585703</v>
      </c>
      <c r="L99" s="87">
        <f>IF(TrRoad_act!L21=0,0,L35/TrRoad_act!L21*1000)</f>
        <v>852.55043933270804</v>
      </c>
      <c r="M99" s="87">
        <f>IF(TrRoad_act!M21=0,0,M35/TrRoad_act!M21*1000)</f>
        <v>834.88367033951533</v>
      </c>
      <c r="N99" s="87">
        <f>IF(TrRoad_act!N21=0,0,N35/TrRoad_act!N21*1000)</f>
        <v>821.51933671685811</v>
      </c>
      <c r="O99" s="87">
        <f>IF(TrRoad_act!O21=0,0,O35/TrRoad_act!O21*1000)</f>
        <v>827.95468587560117</v>
      </c>
      <c r="P99" s="87">
        <f>IF(TrRoad_act!P21=0,0,P35/TrRoad_act!P21*1000)</f>
        <v>811.35932408500889</v>
      </c>
      <c r="Q99" s="87">
        <f>IF(TrRoad_act!Q21=0,0,Q35/TrRoad_act!Q21*1000)</f>
        <v>804.70112779328133</v>
      </c>
      <c r="R99" s="87">
        <f>IF(TrRoad_act!R21=0,0,R35/TrRoad_act!R21*1000)</f>
        <v>790.07425890376646</v>
      </c>
      <c r="S99" s="87">
        <f>IF(TrRoad_act!S21=0,0,S35/TrRoad_act!S21*1000)</f>
        <v>769.64948031552876</v>
      </c>
      <c r="T99" s="87">
        <f>IF(TrRoad_act!T21=0,0,T35/TrRoad_act!T21*1000)</f>
        <v>754.88179762355583</v>
      </c>
      <c r="U99" s="87">
        <f>IF(TrRoad_act!U21=0,0,U35/TrRoad_act!U21*1000)</f>
        <v>739.49408152822684</v>
      </c>
      <c r="V99" s="87">
        <f>IF(TrRoad_act!V21=0,0,V35/TrRoad_act!V21*1000)</f>
        <v>714.71941138704847</v>
      </c>
      <c r="W99" s="87">
        <f>IF(TrRoad_act!W21=0,0,W35/TrRoad_act!W21*1000)</f>
        <v>694.12154560487784</v>
      </c>
      <c r="X99" s="87">
        <f>IF(TrRoad_act!X21=0,0,X35/TrRoad_act!X21*1000)</f>
        <v>673.39415469651362</v>
      </c>
      <c r="Y99" s="87">
        <f>IF(TrRoad_act!Y21=0,0,Y35/TrRoad_act!Y21*1000)</f>
        <v>659.62721500419309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1017.4263970976998</v>
      </c>
      <c r="C100" s="87">
        <f>IF(TrRoad_act!C22=0,0,C36/TrRoad_act!C22*1000)</f>
        <v>985.81241225672898</v>
      </c>
      <c r="D100" s="87">
        <f>IF(TrRoad_act!D22=0,0,D36/TrRoad_act!D22*1000)</f>
        <v>967.84395808364991</v>
      </c>
      <c r="E100" s="87">
        <f>IF(TrRoad_act!E22=0,0,E36/TrRoad_act!E22*1000)</f>
        <v>954.84714987706832</v>
      </c>
      <c r="F100" s="87">
        <f>IF(TrRoad_act!F22=0,0,F36/TrRoad_act!F22*1000)</f>
        <v>942.84128354289817</v>
      </c>
      <c r="G100" s="87">
        <f>IF(TrRoad_act!G22=0,0,G36/TrRoad_act!G22*1000)</f>
        <v>914.71913511174648</v>
      </c>
      <c r="H100" s="87">
        <f>IF(TrRoad_act!H22=0,0,H36/TrRoad_act!H22*1000)</f>
        <v>922.99365294895426</v>
      </c>
      <c r="I100" s="87">
        <f>IF(TrRoad_act!I22=0,0,I36/TrRoad_act!I22*1000)</f>
        <v>933.0877679240881</v>
      </c>
      <c r="J100" s="87">
        <f>IF(TrRoad_act!J22=0,0,J36/TrRoad_act!J22*1000)</f>
        <v>879.60030872887921</v>
      </c>
      <c r="K100" s="87">
        <f>IF(TrRoad_act!K22=0,0,K36/TrRoad_act!K22*1000)</f>
        <v>841.36033903379735</v>
      </c>
      <c r="L100" s="87">
        <f>IF(TrRoad_act!L22=0,0,L36/TrRoad_act!L22*1000)</f>
        <v>849.32916233243236</v>
      </c>
      <c r="M100" s="87">
        <f>IF(TrRoad_act!M22=0,0,M36/TrRoad_act!M22*1000)</f>
        <v>834.10275887425746</v>
      </c>
      <c r="N100" s="87">
        <f>IF(TrRoad_act!N22=0,0,N36/TrRoad_act!N22*1000)</f>
        <v>827.48798477001469</v>
      </c>
      <c r="O100" s="87">
        <f>IF(TrRoad_act!O22=0,0,O36/TrRoad_act!O22*1000)</f>
        <v>806.38141646756253</v>
      </c>
      <c r="P100" s="87">
        <f>IF(TrRoad_act!P22=0,0,P36/TrRoad_act!P22*1000)</f>
        <v>697.93577635125575</v>
      </c>
      <c r="Q100" s="87">
        <f>IF(TrRoad_act!Q22=0,0,Q36/TrRoad_act!Q22*1000)</f>
        <v>694.80456446583082</v>
      </c>
      <c r="R100" s="87">
        <f>IF(TrRoad_act!R22=0,0,R36/TrRoad_act!R22*1000)</f>
        <v>810.67737803611692</v>
      </c>
      <c r="S100" s="87">
        <f>IF(TrRoad_act!S22=0,0,S36/TrRoad_act!S22*1000)</f>
        <v>718.11402718597105</v>
      </c>
      <c r="T100" s="87">
        <f>IF(TrRoad_act!T22=0,0,T36/TrRoad_act!T22*1000)</f>
        <v>732.36320154428608</v>
      </c>
      <c r="U100" s="87">
        <f>IF(TrRoad_act!U22=0,0,U36/TrRoad_act!U22*1000)</f>
        <v>699.34090153677528</v>
      </c>
      <c r="V100" s="87">
        <f>IF(TrRoad_act!V22=0,0,V36/TrRoad_act!V22*1000)</f>
        <v>693.58934698717155</v>
      </c>
      <c r="W100" s="87">
        <f>IF(TrRoad_act!W22=0,0,W36/TrRoad_act!W22*1000)</f>
        <v>641.21599966992687</v>
      </c>
      <c r="X100" s="87">
        <f>IF(TrRoad_act!X22=0,0,X36/TrRoad_act!X22*1000)</f>
        <v>646.78417868227803</v>
      </c>
      <c r="Y100" s="87">
        <f>IF(TrRoad_act!Y22=0,0,Y36/TrRoad_act!Y22*1000)</f>
        <v>622.01856807254785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X101" s="87">
        <f>IF(TrRoad_act!X23=0,0,X37/TrRoad_act!X23*1000)</f>
        <v>0</v>
      </c>
      <c r="Y101" s="87">
        <f>IF(TrRoad_act!Y23=0,0,Y37/TrRoad_act!Y23*1000)</f>
        <v>0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874.54040578632691</v>
      </c>
      <c r="D102" s="87">
        <f>IF(TrRoad_act!D24=0,0,D38/TrRoad_act!D24*1000)</f>
        <v>873.55702482222284</v>
      </c>
      <c r="E102" s="87">
        <f>IF(TrRoad_act!E24=0,0,E38/TrRoad_act!E24*1000)</f>
        <v>870.92888308985778</v>
      </c>
      <c r="F102" s="87">
        <f>IF(TrRoad_act!F24=0,0,F38/TrRoad_act!F24*1000)</f>
        <v>859.05495713167204</v>
      </c>
      <c r="G102" s="87">
        <f>IF(TrRoad_act!G24=0,0,G38/TrRoad_act!G24*1000)</f>
        <v>872.73477373350079</v>
      </c>
      <c r="H102" s="87">
        <f>IF(TrRoad_act!H24=0,0,H38/TrRoad_act!H24*1000)</f>
        <v>860.42222052281011</v>
      </c>
      <c r="I102" s="87">
        <f>IF(TrRoad_act!I24=0,0,I38/TrRoad_act!I24*1000)</f>
        <v>874.80794408909378</v>
      </c>
      <c r="J102" s="87">
        <f>IF(TrRoad_act!J24=0,0,J38/TrRoad_act!J24*1000)</f>
        <v>990.19487370303193</v>
      </c>
      <c r="K102" s="87">
        <f>IF(TrRoad_act!K24=0,0,K38/TrRoad_act!K24*1000)</f>
        <v>1084.4582192367411</v>
      </c>
      <c r="L102" s="87">
        <f>IF(TrRoad_act!L24=0,0,L38/TrRoad_act!L24*1000)</f>
        <v>1083.1633416891646</v>
      </c>
      <c r="M102" s="87">
        <f>IF(TrRoad_act!M24=0,0,M38/TrRoad_act!M24*1000)</f>
        <v>816.01675082047336</v>
      </c>
      <c r="N102" s="87">
        <f>IF(TrRoad_act!N24=0,0,N38/TrRoad_act!N24*1000)</f>
        <v>1184.3169415623413</v>
      </c>
      <c r="O102" s="87">
        <f>IF(TrRoad_act!O24=0,0,O38/TrRoad_act!O24*1000)</f>
        <v>789.48257430825652</v>
      </c>
      <c r="P102" s="87">
        <f>IF(TrRoad_act!P24=0,0,P38/TrRoad_act!P24*1000)</f>
        <v>793.10523173579713</v>
      </c>
      <c r="Q102" s="87">
        <f>IF(TrRoad_act!Q24=0,0,Q38/TrRoad_act!Q24*1000)</f>
        <v>812.03972735125342</v>
      </c>
      <c r="R102" s="87">
        <f>IF(TrRoad_act!R24=0,0,R38/TrRoad_act!R24*1000)</f>
        <v>828.43057113865291</v>
      </c>
      <c r="S102" s="87">
        <f>IF(TrRoad_act!S24=0,0,S38/TrRoad_act!S24*1000)</f>
        <v>787.87407613384869</v>
      </c>
      <c r="T102" s="87">
        <f>IF(TrRoad_act!T24=0,0,T38/TrRoad_act!T24*1000)</f>
        <v>851.91752364325578</v>
      </c>
      <c r="U102" s="87">
        <f>IF(TrRoad_act!U24=0,0,U38/TrRoad_act!U24*1000)</f>
        <v>989.74094661252707</v>
      </c>
      <c r="V102" s="87">
        <f>IF(TrRoad_act!V24=0,0,V38/TrRoad_act!V24*1000)</f>
        <v>1173.788521247043</v>
      </c>
      <c r="W102" s="87">
        <f>IF(TrRoad_act!W24=0,0,W38/TrRoad_act!W24*1000)</f>
        <v>1407.2967111920427</v>
      </c>
      <c r="X102" s="87">
        <f>IF(TrRoad_act!X24=0,0,X38/TrRoad_act!X24*1000)</f>
        <v>1498.2312606562068</v>
      </c>
      <c r="Y102" s="87">
        <f>IF(TrRoad_act!Y24=0,0,Y38/TrRoad_act!Y24*1000)</f>
        <v>1658.5878083888326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87.135485751123056</v>
      </c>
      <c r="C104" s="116">
        <f>IF(TrRoad_act!C26=0,0,C40/TrRoad_act!C26*1000)</f>
        <v>94.290264537969193</v>
      </c>
      <c r="D104" s="116">
        <f>IF(TrRoad_act!D26=0,0,D40/TrRoad_act!D26*1000)</f>
        <v>91.321480947423879</v>
      </c>
      <c r="E104" s="116">
        <f>IF(TrRoad_act!E26=0,0,E40/TrRoad_act!E26*1000)</f>
        <v>96.244875623476219</v>
      </c>
      <c r="F104" s="116">
        <f>IF(TrRoad_act!F26=0,0,F40/TrRoad_act!F26*1000)</f>
        <v>96.705132866015461</v>
      </c>
      <c r="G104" s="116">
        <f>IF(TrRoad_act!G26=0,0,G40/TrRoad_act!G26*1000)</f>
        <v>93.920125811475984</v>
      </c>
      <c r="H104" s="116">
        <f>IF(TrRoad_act!H26=0,0,H40/TrRoad_act!H26*1000)</f>
        <v>100.14707421621758</v>
      </c>
      <c r="I104" s="116">
        <f>IF(TrRoad_act!I26=0,0,I40/TrRoad_act!I26*1000)</f>
        <v>99.697319092526087</v>
      </c>
      <c r="J104" s="116">
        <f>IF(TrRoad_act!J26=0,0,J40/TrRoad_act!J26*1000)</f>
        <v>88.14159620544693</v>
      </c>
      <c r="K104" s="116">
        <f>IF(TrRoad_act!K26=0,0,K40/TrRoad_act!K26*1000)</f>
        <v>81.972552327699489</v>
      </c>
      <c r="L104" s="116">
        <f>IF(TrRoad_act!L26=0,0,L40/TrRoad_act!L26*1000)</f>
        <v>86.278712291864977</v>
      </c>
      <c r="M104" s="116">
        <f>IF(TrRoad_act!M26=0,0,M40/TrRoad_act!M26*1000)</f>
        <v>83.117023798982913</v>
      </c>
      <c r="N104" s="116">
        <f>IF(TrRoad_act!N26=0,0,N40/TrRoad_act!N26*1000)</f>
        <v>79.144351261298681</v>
      </c>
      <c r="O104" s="116">
        <f>IF(TrRoad_act!O26=0,0,O40/TrRoad_act!O26*1000)</f>
        <v>80.91264386064752</v>
      </c>
      <c r="P104" s="116">
        <f>IF(TrRoad_act!P26=0,0,P40/TrRoad_act!P26*1000)</f>
        <v>65.883840622580493</v>
      </c>
      <c r="Q104" s="116">
        <f>IF(TrRoad_act!Q26=0,0,Q40/TrRoad_act!Q26*1000)</f>
        <v>56.634098122687668</v>
      </c>
      <c r="R104" s="116">
        <f>IF(TrRoad_act!R26=0,0,R40/TrRoad_act!R26*1000)</f>
        <v>67.187079292468553</v>
      </c>
      <c r="S104" s="116">
        <f>IF(TrRoad_act!S26=0,0,S40/TrRoad_act!S26*1000)</f>
        <v>56.606990895180736</v>
      </c>
      <c r="T104" s="116">
        <f>IF(TrRoad_act!T26=0,0,T40/TrRoad_act!T26*1000)</f>
        <v>57.531762426428969</v>
      </c>
      <c r="U104" s="116">
        <f>IF(TrRoad_act!U26=0,0,U40/TrRoad_act!U26*1000)</f>
        <v>52.868132480635623</v>
      </c>
      <c r="V104" s="116">
        <f>IF(TrRoad_act!V26=0,0,V40/TrRoad_act!V26*1000)</f>
        <v>48.378654317924614</v>
      </c>
      <c r="W104" s="116">
        <f>IF(TrRoad_act!W26=0,0,W40/TrRoad_act!W26*1000)</f>
        <v>47.798673306507013</v>
      </c>
      <c r="X104" s="116">
        <f>IF(TrRoad_act!X26=0,0,X40/TrRoad_act!X26*1000)</f>
        <v>45.575935404386982</v>
      </c>
      <c r="Y104" s="116">
        <f>IF(TrRoad_act!Y26=0,0,Y40/TrRoad_act!Y26*1000)</f>
        <v>42.773571578923772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85.971552613542286</v>
      </c>
      <c r="C105" s="101">
        <f>IF(TrRoad_act!C27=0,0,C41/TrRoad_act!C27*1000)</f>
        <v>93.066668721937219</v>
      </c>
      <c r="D105" s="101">
        <f>IF(TrRoad_act!D27=0,0,D41/TrRoad_act!D27*1000)</f>
        <v>90.078692445146999</v>
      </c>
      <c r="E105" s="101">
        <f>IF(TrRoad_act!E27=0,0,E41/TrRoad_act!E27*1000)</f>
        <v>94.990766670937489</v>
      </c>
      <c r="F105" s="101">
        <f>IF(TrRoad_act!F27=0,0,F41/TrRoad_act!F27*1000)</f>
        <v>95.209139746320858</v>
      </c>
      <c r="G105" s="101">
        <f>IF(TrRoad_act!G27=0,0,G41/TrRoad_act!G27*1000)</f>
        <v>92.795110029323993</v>
      </c>
      <c r="H105" s="101">
        <f>IF(TrRoad_act!H27=0,0,H41/TrRoad_act!H27*1000)</f>
        <v>98.840825064363216</v>
      </c>
      <c r="I105" s="101">
        <f>IF(TrRoad_act!I27=0,0,I41/TrRoad_act!I27*1000)</f>
        <v>98.15119110275549</v>
      </c>
      <c r="J105" s="101">
        <f>IF(TrRoad_act!J27=0,0,J41/TrRoad_act!J27*1000)</f>
        <v>87.346256803265931</v>
      </c>
      <c r="K105" s="101">
        <f>IF(TrRoad_act!K27=0,0,K41/TrRoad_act!K27*1000)</f>
        <v>81.34926555238512</v>
      </c>
      <c r="L105" s="101">
        <f>IF(TrRoad_act!L27=0,0,L41/TrRoad_act!L27*1000)</f>
        <v>85.970297531796177</v>
      </c>
      <c r="M105" s="101">
        <f>IF(TrRoad_act!M27=0,0,M41/TrRoad_act!M27*1000)</f>
        <v>82.91555150630569</v>
      </c>
      <c r="N105" s="101">
        <f>IF(TrRoad_act!N27=0,0,N41/TrRoad_act!N27*1000)</f>
        <v>78.991652813528461</v>
      </c>
      <c r="O105" s="101">
        <f>IF(TrRoad_act!O27=0,0,O41/TrRoad_act!O27*1000)</f>
        <v>80.939151047721168</v>
      </c>
      <c r="P105" s="101">
        <f>IF(TrRoad_act!P27=0,0,P41/TrRoad_act!P27*1000)</f>
        <v>65.962427284012691</v>
      </c>
      <c r="Q105" s="101">
        <f>IF(TrRoad_act!Q27=0,0,Q41/TrRoad_act!Q27*1000)</f>
        <v>56.074641440865001</v>
      </c>
      <c r="R105" s="101">
        <f>IF(TrRoad_act!R27=0,0,R41/TrRoad_act!R27*1000)</f>
        <v>66.587666868861419</v>
      </c>
      <c r="S105" s="101">
        <f>IF(TrRoad_act!S27=0,0,S41/TrRoad_act!S27*1000)</f>
        <v>56.348936834268173</v>
      </c>
      <c r="T105" s="101">
        <f>IF(TrRoad_act!T27=0,0,T41/TrRoad_act!T27*1000)</f>
        <v>56.956714581970026</v>
      </c>
      <c r="U105" s="101">
        <f>IF(TrRoad_act!U27=0,0,U41/TrRoad_act!U27*1000)</f>
        <v>52.448608619243252</v>
      </c>
      <c r="V105" s="101">
        <f>IF(TrRoad_act!V27=0,0,V41/TrRoad_act!V27*1000)</f>
        <v>47.81176871351429</v>
      </c>
      <c r="W105" s="101">
        <f>IF(TrRoad_act!W27=0,0,W41/TrRoad_act!W27*1000)</f>
        <v>46.713375919304845</v>
      </c>
      <c r="X105" s="101">
        <f>IF(TrRoad_act!X27=0,0,X41/TrRoad_act!X27*1000)</f>
        <v>44.790883493699013</v>
      </c>
      <c r="Y105" s="101">
        <f>IF(TrRoad_act!Y27=0,0,Y41/TrRoad_act!Y27*1000)</f>
        <v>42.151113842596004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131.8520945790037</v>
      </c>
      <c r="C106" s="88">
        <f>IF(TrRoad_act!C28=0,0,C42/TrRoad_act!C28*1000)</f>
        <v>136.56138856789411</v>
      </c>
      <c r="D106" s="88">
        <f>IF(TrRoad_act!D28=0,0,D42/TrRoad_act!D28*1000)</f>
        <v>133.99069533709547</v>
      </c>
      <c r="E106" s="88">
        <f>IF(TrRoad_act!E28=0,0,E42/TrRoad_act!E28*1000)</f>
        <v>136.85838927482982</v>
      </c>
      <c r="F106" s="88">
        <f>IF(TrRoad_act!F28=0,0,F42/TrRoad_act!F28*1000)</f>
        <v>139.15831072317405</v>
      </c>
      <c r="G106" s="88">
        <f>IF(TrRoad_act!G28=0,0,G42/TrRoad_act!G28*1000)</f>
        <v>125.40247218542544</v>
      </c>
      <c r="H106" s="88">
        <f>IF(TrRoad_act!H28=0,0,H42/TrRoad_act!H28*1000)</f>
        <v>131.56766386107427</v>
      </c>
      <c r="I106" s="88">
        <f>IF(TrRoad_act!I28=0,0,I42/TrRoad_act!I28*1000)</f>
        <v>136.66133535613722</v>
      </c>
      <c r="J106" s="88">
        <f>IF(TrRoad_act!J28=0,0,J42/TrRoad_act!J28*1000)</f>
        <v>108.12056479017092</v>
      </c>
      <c r="K106" s="88">
        <f>IF(TrRoad_act!K28=0,0,K42/TrRoad_act!K28*1000)</f>
        <v>97.130473088755309</v>
      </c>
      <c r="L106" s="88">
        <f>IF(TrRoad_act!L28=0,0,L42/TrRoad_act!L28*1000)</f>
        <v>92.100059477544931</v>
      </c>
      <c r="M106" s="88">
        <f>IF(TrRoad_act!M28=0,0,M42/TrRoad_act!M28*1000)</f>
        <v>88.655886857459478</v>
      </c>
      <c r="N106" s="88">
        <f>IF(TrRoad_act!N28=0,0,N42/TrRoad_act!N28*1000)</f>
        <v>82.285209353114865</v>
      </c>
      <c r="O106" s="88">
        <f>IF(TrRoad_act!O28=0,0,O42/TrRoad_act!O28*1000)</f>
        <v>80.311997178378746</v>
      </c>
      <c r="P106" s="88">
        <f>IF(TrRoad_act!P28=0,0,P42/TrRoad_act!P28*1000)</f>
        <v>64.540737402975566</v>
      </c>
      <c r="Q106" s="88">
        <f>IF(TrRoad_act!Q28=0,0,Q42/TrRoad_act!Q28*1000)</f>
        <v>65.565538216888882</v>
      </c>
      <c r="R106" s="88">
        <f>IF(TrRoad_act!R28=0,0,R42/TrRoad_act!R28*1000)</f>
        <v>80.260113454495539</v>
      </c>
      <c r="S106" s="88">
        <f>IF(TrRoad_act!S28=0,0,S42/TrRoad_act!S28*1000)</f>
        <v>62.599422582357221</v>
      </c>
      <c r="T106" s="88">
        <f>IF(TrRoad_act!T28=0,0,T42/TrRoad_act!T28*1000)</f>
        <v>69.144509332026857</v>
      </c>
      <c r="U106" s="88">
        <f>IF(TrRoad_act!U28=0,0,U42/TrRoad_act!U28*1000)</f>
        <v>63.331159428956269</v>
      </c>
      <c r="V106" s="88">
        <f>IF(TrRoad_act!V28=0,0,V42/TrRoad_act!V28*1000)</f>
        <v>63.00325312355465</v>
      </c>
      <c r="W106" s="88">
        <f>IF(TrRoad_act!W28=0,0,W42/TrRoad_act!W28*1000)</f>
        <v>69.656388784230614</v>
      </c>
      <c r="X106" s="88">
        <f>IF(TrRoad_act!X28=0,0,X42/TrRoad_act!X28*1000)</f>
        <v>62.619670935453215</v>
      </c>
      <c r="Y106" s="88">
        <f>IF(TrRoad_act!Y28=0,0,Y42/TrRoad_act!Y28*1000)</f>
        <v>55.934674770671954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592.16548471625561</v>
      </c>
      <c r="C110" s="152">
        <f>IF(C19=0,0,1000000*C19/TrRoad_act!C59)</f>
        <v>548.15622755789775</v>
      </c>
      <c r="D110" s="152">
        <f>IF(D19=0,0,1000000*D19/TrRoad_act!D59)</f>
        <v>498.16799519480156</v>
      </c>
      <c r="E110" s="152">
        <f>IF(E19=0,0,1000000*E19/TrRoad_act!E59)</f>
        <v>446.13281165235742</v>
      </c>
      <c r="F110" s="152">
        <f>IF(F19=0,0,1000000*F19/TrRoad_act!F59)</f>
        <v>397.57267628587329</v>
      </c>
      <c r="G110" s="152">
        <f>IF(G19=0,0,1000000*G19/TrRoad_act!G59)</f>
        <v>354.38578007163881</v>
      </c>
      <c r="H110" s="152">
        <f>IF(H19=0,0,1000000*H19/TrRoad_act!H59)</f>
        <v>312.44576362177509</v>
      </c>
      <c r="I110" s="152">
        <f>IF(I19=0,0,1000000*I19/TrRoad_act!I59)</f>
        <v>278.98793479053944</v>
      </c>
      <c r="J110" s="152">
        <f>IF(J19=0,0,1000000*J19/TrRoad_act!J59)</f>
        <v>236.64603670189692</v>
      </c>
      <c r="K110" s="152">
        <f>IF(K19=0,0,1000000*K19/TrRoad_act!K59)</f>
        <v>213.75152591329476</v>
      </c>
      <c r="L110" s="152">
        <f>IF(L19=0,0,1000000*L19/TrRoad_act!L59)</f>
        <v>261.80952224012634</v>
      </c>
      <c r="M110" s="152">
        <f>IF(M19=0,0,1000000*M19/TrRoad_act!M59)</f>
        <v>240.92597876791748</v>
      </c>
      <c r="N110" s="152">
        <f>IF(N19=0,0,1000000*N19/TrRoad_act!N59)</f>
        <v>226.45009322519434</v>
      </c>
      <c r="O110" s="152">
        <f>IF(O19=0,0,1000000*O19/TrRoad_act!O59)</f>
        <v>221.8218922778405</v>
      </c>
      <c r="P110" s="152">
        <f>IF(P19=0,0,1000000*P19/TrRoad_act!P59)</f>
        <v>213.08023806090182</v>
      </c>
      <c r="Q110" s="152">
        <f>IF(Q19=0,0,1000000*Q19/TrRoad_act!Q59)</f>
        <v>206.66039082246706</v>
      </c>
      <c r="R110" s="152">
        <f>IF(R19=0,0,1000000*R19/TrRoad_act!R59)</f>
        <v>206.39512953223434</v>
      </c>
      <c r="S110" s="152">
        <f>IF(S19=0,0,1000000*S19/TrRoad_act!S59)</f>
        <v>187.33253590394304</v>
      </c>
      <c r="T110" s="152">
        <f>IF(T19=0,0,1000000*T19/TrRoad_act!T59)</f>
        <v>173.62554797200005</v>
      </c>
      <c r="U110" s="152">
        <f>IF(U19=0,0,1000000*U19/TrRoad_act!U59)</f>
        <v>178.98021881761997</v>
      </c>
      <c r="V110" s="152">
        <f>IF(V19=0,0,1000000*V19/TrRoad_act!V59)</f>
        <v>154.64186217845261</v>
      </c>
      <c r="W110" s="152">
        <f>IF(W19=0,0,1000000*W19/TrRoad_act!W59)</f>
        <v>154.61788558430626</v>
      </c>
      <c r="X110" s="152">
        <f>IF(X19=0,0,1000000*X19/TrRoad_act!X59)</f>
        <v>151.05537986508543</v>
      </c>
      <c r="Y110" s="152">
        <f>IF(Y19=0,0,1000000*Y19/TrRoad_act!Y59)</f>
        <v>158.55918588648123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2884.854355988567</v>
      </c>
      <c r="C111" s="116">
        <f>IF(C20=0,0,1000000*C20/TrRoad_act!C60)</f>
        <v>2893.6067979536765</v>
      </c>
      <c r="D111" s="116">
        <f>IF(D20=0,0,1000000*D20/TrRoad_act!D60)</f>
        <v>2924.2301556199905</v>
      </c>
      <c r="E111" s="116">
        <f>IF(E20=0,0,1000000*E20/TrRoad_act!E60)</f>
        <v>2875.7901257530948</v>
      </c>
      <c r="F111" s="116">
        <f>IF(F20=0,0,1000000*F20/TrRoad_act!F60)</f>
        <v>2853.7096121131863</v>
      </c>
      <c r="G111" s="116">
        <f>IF(G20=0,0,1000000*G20/TrRoad_act!G60)</f>
        <v>2787.1659063492311</v>
      </c>
      <c r="H111" s="116">
        <f>IF(H20=0,0,1000000*H20/TrRoad_act!H60)</f>
        <v>2764.5554341023171</v>
      </c>
      <c r="I111" s="116">
        <f>IF(I20=0,0,1000000*I20/TrRoad_act!I60)</f>
        <v>2788.2502067082614</v>
      </c>
      <c r="J111" s="116">
        <f>IF(J20=0,0,1000000*J20/TrRoad_act!J60)</f>
        <v>2517.8260884682754</v>
      </c>
      <c r="K111" s="116">
        <f>IF(K20=0,0,1000000*K20/TrRoad_act!K60)</f>
        <v>2428.1631675782965</v>
      </c>
      <c r="L111" s="116">
        <f>IF(L20=0,0,1000000*L20/TrRoad_act!L60)</f>
        <v>2376.7972394829544</v>
      </c>
      <c r="M111" s="116">
        <f>IF(M20=0,0,1000000*M20/TrRoad_act!M60)</f>
        <v>2302.3505616539837</v>
      </c>
      <c r="N111" s="116">
        <f>IF(N20=0,0,1000000*N20/TrRoad_act!N60)</f>
        <v>2225.0658097375303</v>
      </c>
      <c r="O111" s="116">
        <f>IF(O20=0,0,1000000*O20/TrRoad_act!O60)</f>
        <v>2178.4314105166472</v>
      </c>
      <c r="P111" s="116">
        <f>IF(P20=0,0,1000000*P20/TrRoad_act!P60)</f>
        <v>1989.7864162915423</v>
      </c>
      <c r="Q111" s="116">
        <f>IF(Q20=0,0,1000000*Q20/TrRoad_act!Q60)</f>
        <v>1972.7236076743318</v>
      </c>
      <c r="R111" s="116">
        <f>IF(R20=0,0,1000000*R20/TrRoad_act!R60)</f>
        <v>2014.1824625900592</v>
      </c>
      <c r="S111" s="116">
        <f>IF(S20=0,0,1000000*S20/TrRoad_act!S60)</f>
        <v>1898.1367472538286</v>
      </c>
      <c r="T111" s="116">
        <f>IF(T20=0,0,1000000*T20/TrRoad_act!T60)</f>
        <v>1880.6688775132757</v>
      </c>
      <c r="U111" s="116">
        <f>IF(U20=0,0,1000000*U20/TrRoad_act!U60)</f>
        <v>1776.287808626256</v>
      </c>
      <c r="V111" s="116">
        <f>IF(V20=0,0,1000000*V20/TrRoad_act!V60)</f>
        <v>1631.5082965982972</v>
      </c>
      <c r="W111" s="116">
        <f>IF(W20=0,0,1000000*W20/TrRoad_act!W60)</f>
        <v>1554.609567609991</v>
      </c>
      <c r="X111" s="116">
        <f>IF(X20=0,0,1000000*X20/TrRoad_act!X60)</f>
        <v>1461.5588045327956</v>
      </c>
      <c r="Y111" s="116">
        <f>IF(Y20=0,0,1000000*Y20/TrRoad_act!Y60)</f>
        <v>1409.5013593741976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2475.7446242155984</v>
      </c>
      <c r="C112" s="87">
        <f>IF(C21=0,0,1000000*C21/TrRoad_act!C61)</f>
        <v>2498.3659659333412</v>
      </c>
      <c r="D112" s="87">
        <f>IF(D21=0,0,1000000*D21/TrRoad_act!D61)</f>
        <v>2521.8562092486191</v>
      </c>
      <c r="E112" s="87">
        <f>IF(E21=0,0,1000000*E21/TrRoad_act!E61)</f>
        <v>2460.500105544701</v>
      </c>
      <c r="F112" s="87">
        <f>IF(F21=0,0,1000000*F21/TrRoad_act!F61)</f>
        <v>2435.6247363144066</v>
      </c>
      <c r="G112" s="87">
        <f>IF(G21=0,0,1000000*G21/TrRoad_act!G61)</f>
        <v>2366.888290825591</v>
      </c>
      <c r="H112" s="87">
        <f>IF(H21=0,0,1000000*H21/TrRoad_act!H61)</f>
        <v>2301.0787741327476</v>
      </c>
      <c r="I112" s="87">
        <f>IF(I21=0,0,1000000*I21/TrRoad_act!I61)</f>
        <v>2269.5448111744445</v>
      </c>
      <c r="J112" s="87">
        <f>IF(J21=0,0,1000000*J21/TrRoad_act!J61)</f>
        <v>1983.4563654867757</v>
      </c>
      <c r="K112" s="87">
        <f>IF(K21=0,0,1000000*K21/TrRoad_act!K61)</f>
        <v>1887.9072662718279</v>
      </c>
      <c r="L112" s="87">
        <f>IF(L21=0,0,1000000*L21/TrRoad_act!L61)</f>
        <v>1798.1969519370853</v>
      </c>
      <c r="M112" s="87">
        <f>IF(M21=0,0,1000000*M21/TrRoad_act!M61)</f>
        <v>1670.3410090693339</v>
      </c>
      <c r="N112" s="87">
        <f>IF(N21=0,0,1000000*N21/TrRoad_act!N61)</f>
        <v>1582.8273731604058</v>
      </c>
      <c r="O112" s="87">
        <f>IF(O21=0,0,1000000*O21/TrRoad_act!O61)</f>
        <v>1601.136930324956</v>
      </c>
      <c r="P112" s="87">
        <f>IF(P21=0,0,1000000*P21/TrRoad_act!P61)</f>
        <v>1523.923381289228</v>
      </c>
      <c r="Q112" s="87">
        <f>IF(Q21=0,0,1000000*Q21/TrRoad_act!Q61)</f>
        <v>1501.6130077525472</v>
      </c>
      <c r="R112" s="87">
        <f>IF(R21=0,0,1000000*R21/TrRoad_act!R61)</f>
        <v>1469.983445943765</v>
      </c>
      <c r="S112" s="87">
        <f>IF(S21=0,0,1000000*S21/TrRoad_act!S61)</f>
        <v>1395.172704243887</v>
      </c>
      <c r="T112" s="87">
        <f>IF(T21=0,0,1000000*T21/TrRoad_act!T61)</f>
        <v>1360.8945239407249</v>
      </c>
      <c r="U112" s="87">
        <f>IF(U21=0,0,1000000*U21/TrRoad_act!U61)</f>
        <v>1307.1830022077327</v>
      </c>
      <c r="V112" s="87">
        <f>IF(V21=0,0,1000000*V21/TrRoad_act!V61)</f>
        <v>1197.6375180659627</v>
      </c>
      <c r="W112" s="87">
        <f>IF(W21=0,0,1000000*W21/TrRoad_act!W61)</f>
        <v>1209.9647282426449</v>
      </c>
      <c r="X112" s="87">
        <f>IF(X21=0,0,1000000*X21/TrRoad_act!X61)</f>
        <v>1126.2418209766729</v>
      </c>
      <c r="Y112" s="87">
        <f>IF(Y21=0,0,1000000*Y21/TrRoad_act!Y61)</f>
        <v>1117.8395279661936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6456.1232682180553</v>
      </c>
      <c r="C113" s="87">
        <f>IF(C22=0,0,1000000*C22/TrRoad_act!C62)</f>
        <v>6186.1354747620016</v>
      </c>
      <c r="D113" s="87">
        <f>IF(D22=0,0,1000000*D22/TrRoad_act!D62)</f>
        <v>6131.627538978084</v>
      </c>
      <c r="E113" s="87">
        <f>IF(E22=0,0,1000000*E22/TrRoad_act!E62)</f>
        <v>6014.0580662275443</v>
      </c>
      <c r="F113" s="87">
        <f>IF(F22=0,0,1000000*F22/TrRoad_act!F62)</f>
        <v>5992.4022272215507</v>
      </c>
      <c r="G113" s="87">
        <f>IF(G22=0,0,1000000*G22/TrRoad_act!G62)</f>
        <v>5737.4921800854099</v>
      </c>
      <c r="H113" s="87">
        <f>IF(H22=0,0,1000000*H22/TrRoad_act!H62)</f>
        <v>5775.7575027967778</v>
      </c>
      <c r="I113" s="87">
        <f>IF(I22=0,0,1000000*I22/TrRoad_act!I62)</f>
        <v>5850.0724420379684</v>
      </c>
      <c r="J113" s="87">
        <f>IF(J22=0,0,1000000*J22/TrRoad_act!J62)</f>
        <v>5190.7294976441908</v>
      </c>
      <c r="K113" s="87">
        <f>IF(K22=0,0,1000000*K22/TrRoad_act!K62)</f>
        <v>4902.5739073555105</v>
      </c>
      <c r="L113" s="87">
        <f>IF(L22=0,0,1000000*L22/TrRoad_act!L62)</f>
        <v>4776.5078699936803</v>
      </c>
      <c r="M113" s="87">
        <f>IF(M22=0,0,1000000*M22/TrRoad_act!M62)</f>
        <v>4700.6942629074829</v>
      </c>
      <c r="N113" s="87">
        <f>IF(N22=0,0,1000000*N22/TrRoad_act!N62)</f>
        <v>4518.145715434076</v>
      </c>
      <c r="O113" s="87">
        <f>IF(O22=0,0,1000000*O22/TrRoad_act!O62)</f>
        <v>4143.7499901819911</v>
      </c>
      <c r="P113" s="87">
        <f>IF(P22=0,0,1000000*P22/TrRoad_act!P62)</f>
        <v>3506.2719505233908</v>
      </c>
      <c r="Q113" s="87">
        <f>IF(Q22=0,0,1000000*Q22/TrRoad_act!Q62)</f>
        <v>3447.6367996344525</v>
      </c>
      <c r="R113" s="87">
        <f>IF(R22=0,0,1000000*R22/TrRoad_act!R62)</f>
        <v>3657.170663320529</v>
      </c>
      <c r="S113" s="87">
        <f>IF(S22=0,0,1000000*S22/TrRoad_act!S62)</f>
        <v>3374.2038300472227</v>
      </c>
      <c r="T113" s="87">
        <f>IF(T22=0,0,1000000*T22/TrRoad_act!T62)</f>
        <v>3376.6929135791138</v>
      </c>
      <c r="U113" s="87">
        <f>IF(U22=0,0,1000000*U22/TrRoad_act!U62)</f>
        <v>3128.2941838640877</v>
      </c>
      <c r="V113" s="87">
        <f>IF(V22=0,0,1000000*V22/TrRoad_act!V62)</f>
        <v>2902.0070319294377</v>
      </c>
      <c r="W113" s="87">
        <f>IF(W22=0,0,1000000*W22/TrRoad_act!W62)</f>
        <v>2625.5913027329061</v>
      </c>
      <c r="X113" s="87">
        <f>IF(X22=0,0,1000000*X22/TrRoad_act!X62)</f>
        <v>2577.7058754218524</v>
      </c>
      <c r="Y113" s="87">
        <f>IF(Y22=0,0,1000000*Y22/TrRoad_act!Y62)</f>
        <v>2458.6288909297491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0</v>
      </c>
      <c r="D114" s="87">
        <f>IF(D23=0,0,1000000*D23/TrRoad_act!D63)</f>
        <v>0</v>
      </c>
      <c r="E114" s="87">
        <f>IF(E23=0,0,1000000*E23/TrRoad_act!E63)</f>
        <v>0</v>
      </c>
      <c r="F114" s="87">
        <f>IF(F23=0,0,1000000*F23/TrRoad_act!F63)</f>
        <v>0</v>
      </c>
      <c r="G114" s="87">
        <f>IF(G23=0,0,1000000*G23/TrRoad_act!G63)</f>
        <v>0</v>
      </c>
      <c r="H114" s="87">
        <f>IF(H23=0,0,1000000*H23/TrRoad_act!H63)</f>
        <v>0</v>
      </c>
      <c r="I114" s="87">
        <f>IF(I23=0,0,1000000*I23/TrRoad_act!I63)</f>
        <v>0</v>
      </c>
      <c r="J114" s="87">
        <f>IF(J23=0,0,1000000*J23/TrRoad_act!J63)</f>
        <v>0</v>
      </c>
      <c r="K114" s="87">
        <f>IF(K23=0,0,1000000*K23/TrRoad_act!K63)</f>
        <v>0</v>
      </c>
      <c r="L114" s="87">
        <f>IF(L23=0,0,1000000*L23/TrRoad_act!L63)</f>
        <v>0</v>
      </c>
      <c r="M114" s="87">
        <f>IF(M23=0,0,1000000*M23/TrRoad_act!M63)</f>
        <v>0</v>
      </c>
      <c r="N114" s="87">
        <f>IF(N23=0,0,1000000*N23/TrRoad_act!N63)</f>
        <v>0</v>
      </c>
      <c r="O114" s="87">
        <f>IF(O23=0,0,1000000*O23/TrRoad_act!O63)</f>
        <v>0</v>
      </c>
      <c r="P114" s="87">
        <f>IF(P23=0,0,1000000*P23/TrRoad_act!P63)</f>
        <v>0</v>
      </c>
      <c r="Q114" s="87">
        <f>IF(Q23=0,0,1000000*Q23/TrRoad_act!Q63)</f>
        <v>0</v>
      </c>
      <c r="R114" s="87">
        <f>IF(R23=0,0,1000000*R23/TrRoad_act!R63)</f>
        <v>0</v>
      </c>
      <c r="S114" s="87">
        <f>IF(S23=0,0,1000000*S23/TrRoad_act!S63)</f>
        <v>0</v>
      </c>
      <c r="T114" s="87">
        <f>IF(T23=0,0,1000000*T23/TrRoad_act!T63)</f>
        <v>0</v>
      </c>
      <c r="U114" s="87">
        <f>IF(U23=0,0,1000000*U23/TrRoad_act!U63)</f>
        <v>0</v>
      </c>
      <c r="V114" s="87">
        <f>IF(V23=0,0,1000000*V23/TrRoad_act!V63)</f>
        <v>0</v>
      </c>
      <c r="W114" s="87">
        <f>IF(W23=0,0,1000000*W23/TrRoad_act!W63)</f>
        <v>0</v>
      </c>
      <c r="X114" s="87">
        <f>IF(X23=0,0,1000000*X23/TrRoad_act!X63)</f>
        <v>0</v>
      </c>
      <c r="Y114" s="87">
        <f>IF(Y23=0,0,1000000*Y23/TrRoad_act!Y63)</f>
        <v>0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2650.6646151009413</v>
      </c>
      <c r="I115" s="87">
        <f>IF(I24=0,0,1000000*I24/TrRoad_act!I64)</f>
        <v>2659.1903126019047</v>
      </c>
      <c r="J115" s="87">
        <f>IF(J24=0,0,1000000*J24/TrRoad_act!J64)</f>
        <v>2896.3986361115799</v>
      </c>
      <c r="K115" s="87">
        <f>IF(K24=0,0,1000000*K24/TrRoad_act!K64)</f>
        <v>3190.7789614311087</v>
      </c>
      <c r="L115" s="87">
        <f>IF(L24=0,0,1000000*L24/TrRoad_act!L64)</f>
        <v>3125.0204802871654</v>
      </c>
      <c r="M115" s="87">
        <f>IF(M24=0,0,1000000*M24/TrRoad_act!M64)</f>
        <v>2289.6323751791138</v>
      </c>
      <c r="N115" s="87">
        <f>IF(N24=0,0,1000000*N24/TrRoad_act!N64)</f>
        <v>3297.6547605464416</v>
      </c>
      <c r="O115" s="87">
        <f>IF(O24=0,0,1000000*O24/TrRoad_act!O64)</f>
        <v>2132.7929417411547</v>
      </c>
      <c r="P115" s="87">
        <f>IF(P24=0,0,1000000*P24/TrRoad_act!P64)</f>
        <v>1949.0997207842745</v>
      </c>
      <c r="Q115" s="87">
        <f>IF(Q24=0,0,1000000*Q24/TrRoad_act!Q64)</f>
        <v>1831.2484828534482</v>
      </c>
      <c r="R115" s="87">
        <f>IF(R24=0,0,1000000*R24/TrRoad_act!R64)</f>
        <v>1553.8424950911055</v>
      </c>
      <c r="S115" s="87">
        <f>IF(S24=0,0,1000000*S24/TrRoad_act!S64)</f>
        <v>1505.362815339442</v>
      </c>
      <c r="T115" s="87">
        <f>IF(T24=0,0,1000000*T24/TrRoad_act!T64)</f>
        <v>1572.3932354022782</v>
      </c>
      <c r="U115" s="87">
        <f>IF(U24=0,0,1000000*U24/TrRoad_act!U64)</f>
        <v>1793.2678001582019</v>
      </c>
      <c r="V115" s="87">
        <f>IF(V24=0,0,1000000*V24/TrRoad_act!V64)</f>
        <v>1973.2979951528582</v>
      </c>
      <c r="W115" s="87">
        <f>IF(W24=0,0,1000000*W24/TrRoad_act!W64)</f>
        <v>2180.4998205462612</v>
      </c>
      <c r="X115" s="87">
        <f>IF(X24=0,0,1000000*X24/TrRoad_act!X64)</f>
        <v>2216.8467545077178</v>
      </c>
      <c r="Y115" s="87">
        <f>IF(Y24=0,0,1000000*Y24/TrRoad_act!Y64)</f>
        <v>2426.1953336711304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454.24298594996566</v>
      </c>
      <c r="O116" s="87">
        <f>IF(O25=0,0,1000000*O25/TrRoad_act!O65)</f>
        <v>485.6462864340773</v>
      </c>
      <c r="P116" s="87">
        <f>IF(P25=0,0,1000000*P25/TrRoad_act!P65)</f>
        <v>498.32687310952764</v>
      </c>
      <c r="Q116" s="87">
        <f>IF(Q25=0,0,1000000*Q25/TrRoad_act!Q65)</f>
        <v>542.23287676645475</v>
      </c>
      <c r="R116" s="87">
        <f>IF(R25=0,0,1000000*R25/TrRoad_act!R65)</f>
        <v>541.03323578051391</v>
      </c>
      <c r="S116" s="87">
        <f>IF(S25=0,0,1000000*S25/TrRoad_act!S65)</f>
        <v>536.34003715315168</v>
      </c>
      <c r="T116" s="87">
        <f>IF(T25=0,0,1000000*T25/TrRoad_act!T65)</f>
        <v>528.22383217716572</v>
      </c>
      <c r="U116" s="87">
        <f>IF(U25=0,0,1000000*U25/TrRoad_act!U65)</f>
        <v>457.63294735328384</v>
      </c>
      <c r="V116" s="87">
        <f>IF(V25=0,0,1000000*V25/TrRoad_act!V65)</f>
        <v>366.89985623142678</v>
      </c>
      <c r="W116" s="87">
        <f>IF(W25=0,0,1000000*W25/TrRoad_act!W65)</f>
        <v>330.15657387217493</v>
      </c>
      <c r="X116" s="87">
        <f>IF(X25=0,0,1000000*X25/TrRoad_act!X65)</f>
        <v>281.12823749944289</v>
      </c>
      <c r="Y116" s="87">
        <f>IF(Y25=0,0,1000000*Y25/TrRoad_act!Y65)</f>
        <v>255.44114456298956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68806.431680869951</v>
      </c>
      <c r="C118" s="116">
        <f>IF(C27=0,0,1000000*C27/TrRoad_act!C67)</f>
        <v>67963.128457379309</v>
      </c>
      <c r="D118" s="116">
        <f>IF(D27=0,0,1000000*D27/TrRoad_act!D67)</f>
        <v>66951.3430429984</v>
      </c>
      <c r="E118" s="116">
        <f>IF(E27=0,0,1000000*E27/TrRoad_act!E67)</f>
        <v>66468.631304995331</v>
      </c>
      <c r="F118" s="116">
        <f>IF(F27=0,0,1000000*F27/TrRoad_act!F67)</f>
        <v>66679.327369118255</v>
      </c>
      <c r="G118" s="116">
        <f>IF(G27=0,0,1000000*G27/TrRoad_act!G67)</f>
        <v>64571.569574515423</v>
      </c>
      <c r="H118" s="116">
        <f>IF(H27=0,0,1000000*H27/TrRoad_act!H67)</f>
        <v>65273.19088897964</v>
      </c>
      <c r="I118" s="116">
        <f>IF(I27=0,0,1000000*I27/TrRoad_act!I67)</f>
        <v>65693.326147976724</v>
      </c>
      <c r="J118" s="116">
        <f>IF(J27=0,0,1000000*J27/TrRoad_act!J67)</f>
        <v>61667.688734527415</v>
      </c>
      <c r="K118" s="116">
        <f>IF(K27=0,0,1000000*K27/TrRoad_act!K67)</f>
        <v>59064.128459576859</v>
      </c>
      <c r="L118" s="116">
        <f>IF(L27=0,0,1000000*L27/TrRoad_act!L67)</f>
        <v>58957.35715683132</v>
      </c>
      <c r="M118" s="116">
        <f>IF(M27=0,0,1000000*M27/TrRoad_act!M67)</f>
        <v>56937.249069743892</v>
      </c>
      <c r="N118" s="116">
        <f>IF(N27=0,0,1000000*N27/TrRoad_act!N67)</f>
        <v>56622.884362423065</v>
      </c>
      <c r="O118" s="116">
        <f>IF(O27=0,0,1000000*O27/TrRoad_act!O67)</f>
        <v>54971.472883574163</v>
      </c>
      <c r="P118" s="116">
        <f>IF(P27=0,0,1000000*P27/TrRoad_act!P67)</f>
        <v>47691.387670229771</v>
      </c>
      <c r="Q118" s="116">
        <f>IF(Q27=0,0,1000000*Q27/TrRoad_act!Q67)</f>
        <v>47725.395098964233</v>
      </c>
      <c r="R118" s="116">
        <f>IF(R27=0,0,1000000*R27/TrRoad_act!R67)</f>
        <v>57214.439153466556</v>
      </c>
      <c r="S118" s="116">
        <f>IF(S27=0,0,1000000*S27/TrRoad_act!S67)</f>
        <v>50862.209451993876</v>
      </c>
      <c r="T118" s="116">
        <f>IF(T27=0,0,1000000*T27/TrRoad_act!T67)</f>
        <v>50009.887872948326</v>
      </c>
      <c r="U118" s="116">
        <f>IF(U27=0,0,1000000*U27/TrRoad_act!U67)</f>
        <v>45433.058341135285</v>
      </c>
      <c r="V118" s="116">
        <f>IF(V27=0,0,1000000*V27/TrRoad_act!V67)</f>
        <v>39071.746634264338</v>
      </c>
      <c r="W118" s="116">
        <f>IF(W27=0,0,1000000*W27/TrRoad_act!W67)</f>
        <v>31115.860602833385</v>
      </c>
      <c r="X118" s="116">
        <f>IF(X27=0,0,1000000*X27/TrRoad_act!X67)</f>
        <v>34723.500604156005</v>
      </c>
      <c r="Y118" s="116">
        <f>IF(Y27=0,0,1000000*Y27/TrRoad_act!Y67)</f>
        <v>35486.167825258504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9603.7782294656645</v>
      </c>
      <c r="C119" s="101">
        <f>IF(C28=0,0,1000000*C28/TrRoad_act!C68)</f>
        <v>9401.4198587285191</v>
      </c>
      <c r="D119" s="101">
        <f>IF(D28=0,0,1000000*D28/TrRoad_act!D68)</f>
        <v>9390.6988769208765</v>
      </c>
      <c r="E119" s="101">
        <f>IF(E28=0,0,1000000*E28/TrRoad_act!E68)</f>
        <v>9371.6845905546379</v>
      </c>
      <c r="F119" s="101">
        <f>IF(F28=0,0,1000000*F28/TrRoad_act!F68)</f>
        <v>9331.4258109992134</v>
      </c>
      <c r="G119" s="101">
        <f>IF(G28=0,0,1000000*G28/TrRoad_act!G68)</f>
        <v>9267.8949294324757</v>
      </c>
      <c r="H119" s="101">
        <f>IF(H28=0,0,1000000*H28/TrRoad_act!H68)</f>
        <v>9247.3975221256314</v>
      </c>
      <c r="I119" s="101">
        <f>IF(I28=0,0,1000000*I28/TrRoad_act!I68)</f>
        <v>9222.2550912866263</v>
      </c>
      <c r="J119" s="101">
        <f>IF(J28=0,0,1000000*J28/TrRoad_act!J68)</f>
        <v>8885.4069847154842</v>
      </c>
      <c r="K119" s="101">
        <f>IF(K28=0,0,1000000*K28/TrRoad_act!K68)</f>
        <v>8680.2602255919064</v>
      </c>
      <c r="L119" s="101">
        <f>IF(L28=0,0,1000000*L28/TrRoad_act!L68)</f>
        <v>8587.150960362871</v>
      </c>
      <c r="M119" s="101">
        <f>IF(M28=0,0,1000000*M28/TrRoad_act!M68)</f>
        <v>8490.485073137208</v>
      </c>
      <c r="N119" s="101">
        <f>IF(N28=0,0,1000000*N28/TrRoad_act!N68)</f>
        <v>8449.6639357974291</v>
      </c>
      <c r="O119" s="101">
        <f>IF(O28=0,0,1000000*O28/TrRoad_act!O68)</f>
        <v>8602.5305951718201</v>
      </c>
      <c r="P119" s="101">
        <f>IF(P28=0,0,1000000*P28/TrRoad_act!P68)</f>
        <v>8567.9126362351599</v>
      </c>
      <c r="Q119" s="101">
        <f>IF(Q28=0,0,1000000*Q28/TrRoad_act!Q68)</f>
        <v>8587.3725540499236</v>
      </c>
      <c r="R119" s="101">
        <f>IF(R28=0,0,1000000*R28/TrRoad_act!R68)</f>
        <v>8571.4370823090649</v>
      </c>
      <c r="S119" s="101">
        <f>IF(S28=0,0,1000000*S28/TrRoad_act!S68)</f>
        <v>8117.1587346650604</v>
      </c>
      <c r="T119" s="101">
        <f>IF(T28=0,0,1000000*T28/TrRoad_act!T68)</f>
        <v>7539.3335202964272</v>
      </c>
      <c r="U119" s="101">
        <f>IF(U28=0,0,1000000*U28/TrRoad_act!U68)</f>
        <v>6943.4444917256897</v>
      </c>
      <c r="V119" s="101">
        <f>IF(V28=0,0,1000000*V28/TrRoad_act!V68)</f>
        <v>5775.0666583048742</v>
      </c>
      <c r="W119" s="101">
        <f>IF(W28=0,0,1000000*W28/TrRoad_act!W68)</f>
        <v>4836.8193488900824</v>
      </c>
      <c r="X119" s="101">
        <f>IF(X28=0,0,1000000*X28/TrRoad_act!X68)</f>
        <v>5189.6718714041681</v>
      </c>
      <c r="Y119" s="101">
        <f>IF(Y28=0,0,1000000*Y28/TrRoad_act!Y68)</f>
        <v>5382.216939688853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69300.692138528728</v>
      </c>
      <c r="C120" s="101">
        <f>IF(C29=0,0,1000000*C29/TrRoad_act!C69)</f>
        <v>68455.792174966205</v>
      </c>
      <c r="D120" s="101">
        <f>IF(D29=0,0,1000000*D29/TrRoad_act!D69)</f>
        <v>67571.427999569292</v>
      </c>
      <c r="E120" s="101">
        <f>IF(E29=0,0,1000000*E29/TrRoad_act!E69)</f>
        <v>67071.640455881832</v>
      </c>
      <c r="F120" s="101">
        <f>IF(F29=0,0,1000000*F29/TrRoad_act!F69)</f>
        <v>67251.846473704616</v>
      </c>
      <c r="G120" s="101">
        <f>IF(G29=0,0,1000000*G29/TrRoad_act!G69)</f>
        <v>65106.919101943015</v>
      </c>
      <c r="H120" s="101">
        <f>IF(H29=0,0,1000000*H29/TrRoad_act!H69)</f>
        <v>65908.129438140604</v>
      </c>
      <c r="I120" s="101">
        <f>IF(I29=0,0,1000000*I29/TrRoad_act!I69)</f>
        <v>66372.037250967755</v>
      </c>
      <c r="J120" s="101">
        <f>IF(J29=0,0,1000000*J29/TrRoad_act!J69)</f>
        <v>62052.16817098578</v>
      </c>
      <c r="K120" s="101">
        <f>IF(K29=0,0,1000000*K29/TrRoad_act!K69)</f>
        <v>59274.204370831219</v>
      </c>
      <c r="L120" s="101">
        <f>IF(L29=0,0,1000000*L29/TrRoad_act!L69)</f>
        <v>59145.319490520757</v>
      </c>
      <c r="M120" s="101">
        <f>IF(M29=0,0,1000000*M29/TrRoad_act!M69)</f>
        <v>57320.834548992949</v>
      </c>
      <c r="N120" s="101">
        <f>IF(N29=0,0,1000000*N29/TrRoad_act!N69)</f>
        <v>56735.167447591237</v>
      </c>
      <c r="O120" s="101">
        <f>IF(O29=0,0,1000000*O29/TrRoad_act!O69)</f>
        <v>55311.833237638122</v>
      </c>
      <c r="P120" s="101">
        <f>IF(P29=0,0,1000000*P29/TrRoad_act!P69)</f>
        <v>47949.931870040622</v>
      </c>
      <c r="Q120" s="101">
        <f>IF(Q29=0,0,1000000*Q29/TrRoad_act!Q69)</f>
        <v>48020.465010816559</v>
      </c>
      <c r="R120" s="101">
        <f>IF(R29=0,0,1000000*R29/TrRoad_act!R69)</f>
        <v>57571.295340273013</v>
      </c>
      <c r="S120" s="101">
        <f>IF(S29=0,0,1000000*S29/TrRoad_act!S69)</f>
        <v>51140.958083190795</v>
      </c>
      <c r="T120" s="101">
        <f>IF(T29=0,0,1000000*T29/TrRoad_act!T69)</f>
        <v>50277.216981976286</v>
      </c>
      <c r="U120" s="101">
        <f>IF(U29=0,0,1000000*U29/TrRoad_act!U69)</f>
        <v>45692.63792263982</v>
      </c>
      <c r="V120" s="101">
        <f>IF(V29=0,0,1000000*V29/TrRoad_act!V69)</f>
        <v>39294.166962574927</v>
      </c>
      <c r="W120" s="101">
        <f>IF(W29=0,0,1000000*W29/TrRoad_act!W69)</f>
        <v>31558.726742536914</v>
      </c>
      <c r="X120" s="101">
        <f>IF(X29=0,0,1000000*X29/TrRoad_act!X69)</f>
        <v>35715.602888375877</v>
      </c>
      <c r="Y120" s="101">
        <f>IF(Y29=0,0,1000000*Y29/TrRoad_act!Y69)</f>
        <v>36652.967426285075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X121" s="101">
        <f>IF(X30=0,0,1000000*X30/TrRoad_act!X70)</f>
        <v>0</v>
      </c>
      <c r="Y121" s="101">
        <f>IF(Y30=0,0,1000000*Y30/TrRoad_act!Y70)</f>
        <v>0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38468.571428571435</v>
      </c>
      <c r="C122" s="101">
        <f>IF(C31=0,0,1000000*C31/TrRoad_act!C71)</f>
        <v>39116.114479496769</v>
      </c>
      <c r="D122" s="101">
        <f>IF(D31=0,0,1000000*D31/TrRoad_act!D71)</f>
        <v>38773.18740579491</v>
      </c>
      <c r="E122" s="101">
        <f>IF(E31=0,0,1000000*E31/TrRoad_act!E71)</f>
        <v>38283.351223271326</v>
      </c>
      <c r="F122" s="101">
        <f>IF(F31=0,0,1000000*F31/TrRoad_act!F71)</f>
        <v>39028.612017686544</v>
      </c>
      <c r="G122" s="101">
        <f>IF(G31=0,0,1000000*G31/TrRoad_act!G71)</f>
        <v>39257.280389835556</v>
      </c>
      <c r="H122" s="101">
        <f>IF(H31=0,0,1000000*H31/TrRoad_act!H71)</f>
        <v>39695.433289860877</v>
      </c>
      <c r="I122" s="101">
        <f>IF(I31=0,0,1000000*I31/TrRoad_act!I71)</f>
        <v>37500.613795475103</v>
      </c>
      <c r="J122" s="101">
        <f>IF(J31=0,0,1000000*J31/TrRoad_act!J71)</f>
        <v>46858.069110729914</v>
      </c>
      <c r="K122" s="101">
        <f>IF(K31=0,0,1000000*K31/TrRoad_act!K71)</f>
        <v>53545.92415245653</v>
      </c>
      <c r="L122" s="101">
        <f>IF(L31=0,0,1000000*L31/TrRoad_act!L71)</f>
        <v>54250.829482463269</v>
      </c>
      <c r="M122" s="101">
        <f>IF(M31=0,0,1000000*M31/TrRoad_act!M71)</f>
        <v>35622.385988792434</v>
      </c>
      <c r="N122" s="101">
        <f>IF(N31=0,0,1000000*N31/TrRoad_act!N71)</f>
        <v>57711.21386419663</v>
      </c>
      <c r="O122" s="101">
        <f>IF(O31=0,0,1000000*O31/TrRoad_act!O71)</f>
        <v>33284.386243355133</v>
      </c>
      <c r="P122" s="101">
        <f>IF(P31=0,0,1000000*P31/TrRoad_act!P71)</f>
        <v>32447.995110169239</v>
      </c>
      <c r="Q122" s="101">
        <f>IF(Q31=0,0,1000000*Q31/TrRoad_act!Q71)</f>
        <v>28417.245114017616</v>
      </c>
      <c r="R122" s="101">
        <f>IF(R31=0,0,1000000*R31/TrRoad_act!R71)</f>
        <v>34807.012513982612</v>
      </c>
      <c r="S122" s="101">
        <f>IF(S31=0,0,1000000*S31/TrRoad_act!S71)</f>
        <v>35748.509053536</v>
      </c>
      <c r="T122" s="101">
        <f>IF(T31=0,0,1000000*T31/TrRoad_act!T71)</f>
        <v>36045.282174276268</v>
      </c>
      <c r="U122" s="101">
        <f>IF(U31=0,0,1000000*U31/TrRoad_act!U71)</f>
        <v>41069.40663174072</v>
      </c>
      <c r="V122" s="101">
        <f>IF(V31=0,0,1000000*V31/TrRoad_act!V71)</f>
        <v>42034.944546961502</v>
      </c>
      <c r="W122" s="101">
        <f>IF(W31=0,0,1000000*W31/TrRoad_act!W71)</f>
        <v>40582.067951178156</v>
      </c>
      <c r="X122" s="101">
        <f>IF(X31=0,0,1000000*X31/TrRoad_act!X71)</f>
        <v>47385.245278226219</v>
      </c>
      <c r="Y122" s="101">
        <f>IF(Y31=0,0,1000000*Y31/TrRoad_act!Y71)</f>
        <v>54815.381426065826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5303.6104836256081</v>
      </c>
      <c r="C125" s="152">
        <f>IF(C34=0,0,1000000*C34/TrRoad_act!C74)</f>
        <v>5180.2153142465322</v>
      </c>
      <c r="D125" s="152">
        <f>IF(D34=0,0,1000000*D34/TrRoad_act!D74)</f>
        <v>5113.7760829982853</v>
      </c>
      <c r="E125" s="152">
        <f>IF(E34=0,0,1000000*E34/TrRoad_act!E74)</f>
        <v>5060.4541212020786</v>
      </c>
      <c r="F125" s="152">
        <f>IF(F34=0,0,1000000*F34/TrRoad_act!F74)</f>
        <v>4950.5402038277989</v>
      </c>
      <c r="G125" s="152">
        <f>IF(G34=0,0,1000000*G34/TrRoad_act!G74)</f>
        <v>4890.9142952613092</v>
      </c>
      <c r="H125" s="152">
        <f>IF(H34=0,0,1000000*H34/TrRoad_act!H74)</f>
        <v>4858.6436052631107</v>
      </c>
      <c r="I125" s="152">
        <f>IF(I34=0,0,1000000*I34/TrRoad_act!I74)</f>
        <v>4908.9626432608902</v>
      </c>
      <c r="J125" s="152">
        <f>IF(J34=0,0,1000000*J34/TrRoad_act!J74)</f>
        <v>4673.1186644083909</v>
      </c>
      <c r="K125" s="152">
        <f>IF(K34=0,0,1000000*K34/TrRoad_act!K74)</f>
        <v>4371.0687790402817</v>
      </c>
      <c r="L125" s="152">
        <f>IF(L34=0,0,1000000*L34/TrRoad_act!L74)</f>
        <v>4429.2445269332648</v>
      </c>
      <c r="M125" s="152">
        <f>IF(M34=0,0,1000000*M34/TrRoad_act!M74)</f>
        <v>4345.2032756910967</v>
      </c>
      <c r="N125" s="152">
        <f>IF(N34=0,0,1000000*N34/TrRoad_act!N74)</f>
        <v>4252.0123090870911</v>
      </c>
      <c r="O125" s="152">
        <f>IF(O34=0,0,1000000*O34/TrRoad_act!O74)</f>
        <v>4181.5300892776831</v>
      </c>
      <c r="P125" s="152">
        <f>IF(P34=0,0,1000000*P34/TrRoad_act!P74)</f>
        <v>3592.327057351984</v>
      </c>
      <c r="Q125" s="152">
        <f>IF(Q34=0,0,1000000*Q34/TrRoad_act!Q74)</f>
        <v>3554.5874622566839</v>
      </c>
      <c r="R125" s="152">
        <f>IF(R34=0,0,1000000*R34/TrRoad_act!R74)</f>
        <v>4106.1931317352019</v>
      </c>
      <c r="S125" s="152">
        <f>IF(S34=0,0,1000000*S34/TrRoad_act!S74)</f>
        <v>3636.2540296309016</v>
      </c>
      <c r="T125" s="152">
        <f>IF(T34=0,0,1000000*T34/TrRoad_act!T74)</f>
        <v>3691.1126635865662</v>
      </c>
      <c r="U125" s="152">
        <f>IF(U34=0,0,1000000*U34/TrRoad_act!U74)</f>
        <v>3509.6756762156442</v>
      </c>
      <c r="V125" s="152">
        <f>IF(V34=0,0,1000000*V34/TrRoad_act!V74)</f>
        <v>3397.5956771561637</v>
      </c>
      <c r="W125" s="152">
        <f>IF(W34=0,0,1000000*W34/TrRoad_act!W74)</f>
        <v>3193.8171744708534</v>
      </c>
      <c r="X125" s="152">
        <f>IF(X34=0,0,1000000*X34/TrRoad_act!X74)</f>
        <v>3183.8365379833431</v>
      </c>
      <c r="Y125" s="152">
        <f>IF(Y34=0,0,1000000*Y34/TrRoad_act!Y74)</f>
        <v>3047.7771983046418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2685.1262755055277</v>
      </c>
      <c r="C126" s="87">
        <f>IF(C35=0,0,1000000*C35/TrRoad_act!C75)</f>
        <v>2670.0170804359468</v>
      </c>
      <c r="D126" s="87">
        <f>IF(D35=0,0,1000000*D35/TrRoad_act!D75)</f>
        <v>2653.5659387730661</v>
      </c>
      <c r="E126" s="87">
        <f>IF(E35=0,0,1000000*E35/TrRoad_act!E75)</f>
        <v>2628.0662535104348</v>
      </c>
      <c r="F126" s="87">
        <f>IF(F35=0,0,1000000*F35/TrRoad_act!F75)</f>
        <v>2552.4845879174136</v>
      </c>
      <c r="G126" s="87">
        <f>IF(G35=0,0,1000000*G35/TrRoad_act!G75)</f>
        <v>2574.3946507286682</v>
      </c>
      <c r="H126" s="87">
        <f>IF(H35=0,0,1000000*H35/TrRoad_act!H75)</f>
        <v>2485.5148041780476</v>
      </c>
      <c r="I126" s="87">
        <f>IF(I35=0,0,1000000*I35/TrRoad_act!I75)</f>
        <v>2440.6260471026299</v>
      </c>
      <c r="J126" s="87">
        <f>IF(J35=0,0,1000000*J35/TrRoad_act!J75)</f>
        <v>2330.3325783946616</v>
      </c>
      <c r="K126" s="87">
        <f>IF(K35=0,0,1000000*K35/TrRoad_act!K75)</f>
        <v>2207.1503360907991</v>
      </c>
      <c r="L126" s="87">
        <f>IF(L35=0,0,1000000*L35/TrRoad_act!L75)</f>
        <v>2181.3103700079573</v>
      </c>
      <c r="M126" s="87">
        <f>IF(M35=0,0,1000000*M35/TrRoad_act!M75)</f>
        <v>2128.8284207549696</v>
      </c>
      <c r="N126" s="87">
        <f>IF(N35=0,0,1000000*N35/TrRoad_act!N75)</f>
        <v>2063.2920774692229</v>
      </c>
      <c r="O126" s="87">
        <f>IF(O35=0,0,1000000*O35/TrRoad_act!O75)</f>
        <v>2090.6159479686444</v>
      </c>
      <c r="P126" s="87">
        <f>IF(P35=0,0,1000000*P35/TrRoad_act!P75)</f>
        <v>2021.7323692430614</v>
      </c>
      <c r="Q126" s="87">
        <f>IF(Q35=0,0,1000000*Q35/TrRoad_act!Q75)</f>
        <v>1991.0098344037801</v>
      </c>
      <c r="R126" s="87">
        <f>IF(R35=0,0,1000000*R35/TrRoad_act!R75)</f>
        <v>1944.1492944202841</v>
      </c>
      <c r="S126" s="87">
        <f>IF(S35=0,0,1000000*S35/TrRoad_act!S75)</f>
        <v>1885.6232931377244</v>
      </c>
      <c r="T126" s="87">
        <f>IF(T35=0,0,1000000*T35/TrRoad_act!T75)</f>
        <v>1841.1083758239351</v>
      </c>
      <c r="U126" s="87">
        <f>IF(U35=0,0,1000000*U35/TrRoad_act!U75)</f>
        <v>1792.9223837437082</v>
      </c>
      <c r="V126" s="87">
        <f>IF(V35=0,0,1000000*V35/TrRoad_act!V75)</f>
        <v>1690.8572606979667</v>
      </c>
      <c r="W126" s="87">
        <f>IF(W35=0,0,1000000*W35/TrRoad_act!W75)</f>
        <v>1667.5102560633989</v>
      </c>
      <c r="X126" s="87">
        <f>IF(X35=0,0,1000000*X35/TrRoad_act!X75)</f>
        <v>1601.2207267333877</v>
      </c>
      <c r="Y126" s="87">
        <f>IF(Y35=0,0,1000000*Y35/TrRoad_act!Y75)</f>
        <v>1563.8835104676718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5870.3469687967518</v>
      </c>
      <c r="C127" s="87">
        <f>IF(C36=0,0,1000000*C36/TrRoad_act!C76)</f>
        <v>5676.4592108018442</v>
      </c>
      <c r="D127" s="87">
        <f>IF(D36=0,0,1000000*D36/TrRoad_act!D76)</f>
        <v>5561.3526552975154</v>
      </c>
      <c r="E127" s="87">
        <f>IF(E36=0,0,1000000*E36/TrRoad_act!E76)</f>
        <v>5461.3386407664839</v>
      </c>
      <c r="F127" s="87">
        <f>IF(F36=0,0,1000000*F36/TrRoad_act!F76)</f>
        <v>5290.7544442653279</v>
      </c>
      <c r="G127" s="87">
        <f>IF(G36=0,0,1000000*G36/TrRoad_act!G76)</f>
        <v>5196.7451124495319</v>
      </c>
      <c r="H127" s="87">
        <f>IF(H36=0,0,1000000*H36/TrRoad_act!H76)</f>
        <v>5143.0471172956559</v>
      </c>
      <c r="I127" s="87">
        <f>IF(I36=0,0,1000000*I36/TrRoad_act!I76)</f>
        <v>5175.8811844680113</v>
      </c>
      <c r="J127" s="87">
        <f>IF(J36=0,0,1000000*J36/TrRoad_act!J76)</f>
        <v>4908.3456670397791</v>
      </c>
      <c r="K127" s="87">
        <f>IF(K36=0,0,1000000*K36/TrRoad_act!K76)</f>
        <v>4576.790205916931</v>
      </c>
      <c r="L127" s="87">
        <f>IF(L36=0,0,1000000*L36/TrRoad_act!L76)</f>
        <v>4631.9209123777146</v>
      </c>
      <c r="M127" s="87">
        <f>IF(M36=0,0,1000000*M36/TrRoad_act!M76)</f>
        <v>4533.662259867112</v>
      </c>
      <c r="N127" s="87">
        <f>IF(N36=0,0,1000000*N36/TrRoad_act!N76)</f>
        <v>4429.7944502673809</v>
      </c>
      <c r="O127" s="87">
        <f>IF(O36=0,0,1000000*O36/TrRoad_act!O76)</f>
        <v>4340.2982313082375</v>
      </c>
      <c r="P127" s="87">
        <f>IF(P36=0,0,1000000*P36/TrRoad_act!P76)</f>
        <v>3707.0979419310752</v>
      </c>
      <c r="Q127" s="87">
        <f>IF(Q36=0,0,1000000*Q36/TrRoad_act!Q76)</f>
        <v>3664.4757616624324</v>
      </c>
      <c r="R127" s="87">
        <f>IF(R36=0,0,1000000*R36/TrRoad_act!R76)</f>
        <v>4252.2633098876277</v>
      </c>
      <c r="S127" s="87">
        <f>IF(S36=0,0,1000000*S36/TrRoad_act!S76)</f>
        <v>3750.2978365933727</v>
      </c>
      <c r="T127" s="87">
        <f>IF(T36=0,0,1000000*T36/TrRoad_act!T76)</f>
        <v>3807.4771905265743</v>
      </c>
      <c r="U127" s="87">
        <f>IF(U36=0,0,1000000*U36/TrRoad_act!U76)</f>
        <v>3614.3159238598619</v>
      </c>
      <c r="V127" s="87">
        <f>IF(V36=0,0,1000000*V36/TrRoad_act!V76)</f>
        <v>3497.7130610742961</v>
      </c>
      <c r="W127" s="87">
        <f>IF(W36=0,0,1000000*W36/TrRoad_act!W76)</f>
        <v>3283.5810024428752</v>
      </c>
      <c r="X127" s="87">
        <f>IF(X36=0,0,1000000*X36/TrRoad_act!X76)</f>
        <v>3278.3222716371515</v>
      </c>
      <c r="Y127" s="87">
        <f>IF(Y36=0,0,1000000*Y36/TrRoad_act!Y76)</f>
        <v>3143.5442603515839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0</v>
      </c>
      <c r="S128" s="87">
        <f>IF(S37=0,0,1000000*S37/TrRoad_act!S77)</f>
        <v>0</v>
      </c>
      <c r="T128" s="87">
        <f>IF(T37=0,0,1000000*T37/TrRoad_act!T77)</f>
        <v>0</v>
      </c>
      <c r="U128" s="87">
        <f>IF(U37=0,0,1000000*U37/TrRoad_act!U77)</f>
        <v>0</v>
      </c>
      <c r="V128" s="87">
        <f>IF(V37=0,0,1000000*V37/TrRoad_act!V77)</f>
        <v>0</v>
      </c>
      <c r="W128" s="87">
        <f>IF(W37=0,0,1000000*W37/TrRoad_act!W77)</f>
        <v>0</v>
      </c>
      <c r="X128" s="87">
        <f>IF(X37=0,0,1000000*X37/TrRoad_act!X77)</f>
        <v>0</v>
      </c>
      <c r="Y128" s="87">
        <f>IF(Y37=0,0,1000000*Y37/TrRoad_act!Y77)</f>
        <v>0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3413.4028706113932</v>
      </c>
      <c r="D129" s="87">
        <f>IF(D38=0,0,1000000*D38/TrRoad_act!D78)</f>
        <v>3394.2548986644574</v>
      </c>
      <c r="E129" s="87">
        <f>IF(E38=0,0,1000000*E38/TrRoad_act!E78)</f>
        <v>3343.502241043474</v>
      </c>
      <c r="F129" s="87">
        <f>IF(F38=0,0,1000000*F38/TrRoad_act!F78)</f>
        <v>3121.7124195286492</v>
      </c>
      <c r="G129" s="87">
        <f>IF(G38=0,0,1000000*G38/TrRoad_act!G78)</f>
        <v>3294.7049913311421</v>
      </c>
      <c r="H129" s="87">
        <f>IF(H38=0,0,1000000*H38/TrRoad_act!H78)</f>
        <v>3068.7620782338554</v>
      </c>
      <c r="I129" s="87">
        <f>IF(I38=0,0,1000000*I38/TrRoad_act!I78)</f>
        <v>3081.7064728044834</v>
      </c>
      <c r="J129" s="87">
        <f>IF(J38=0,0,1000000*J38/TrRoad_act!J78)</f>
        <v>3554.1217579928502</v>
      </c>
      <c r="K129" s="87">
        <f>IF(K38=0,0,1000000*K38/TrRoad_act!K78)</f>
        <v>3608.0600356755117</v>
      </c>
      <c r="L129" s="87">
        <f>IF(L38=0,0,1000000*L38/TrRoad_act!L78)</f>
        <v>3633.2851328474135</v>
      </c>
      <c r="M129" s="87">
        <f>IF(M38=0,0,1000000*M38/TrRoad_act!M78)</f>
        <v>2711.238596828638</v>
      </c>
      <c r="N129" s="87">
        <f>IF(N38=0,0,1000000*N38/TrRoad_act!N78)</f>
        <v>3760.9324495444525</v>
      </c>
      <c r="O129" s="87">
        <f>IF(O38=0,0,1000000*O38/TrRoad_act!O78)</f>
        <v>2547.9475396436642</v>
      </c>
      <c r="P129" s="87">
        <f>IF(P38=0,0,1000000*P38/TrRoad_act!P78)</f>
        <v>2459.8038792905513</v>
      </c>
      <c r="Q129" s="87">
        <f>IF(Q38=0,0,1000000*Q38/TrRoad_act!Q78)</f>
        <v>2465.6254299495449</v>
      </c>
      <c r="R129" s="87">
        <f>IF(R38=0,0,1000000*R38/TrRoad_act!R78)</f>
        <v>2474.4270474380087</v>
      </c>
      <c r="S129" s="87">
        <f>IF(S38=0,0,1000000*S38/TrRoad_act!S78)</f>
        <v>2322.6090343075075</v>
      </c>
      <c r="T129" s="87">
        <f>IF(T38=0,0,1000000*T38/TrRoad_act!T78)</f>
        <v>2477.6056972303586</v>
      </c>
      <c r="U129" s="87">
        <f>IF(U38=0,0,1000000*U38/TrRoad_act!U78)</f>
        <v>2827.7130508046862</v>
      </c>
      <c r="V129" s="87">
        <f>IF(V38=0,0,1000000*V38/TrRoad_act!V78)</f>
        <v>3272.2632816259616</v>
      </c>
      <c r="W129" s="87">
        <f>IF(W38=0,0,1000000*W38/TrRoad_act!W78)</f>
        <v>3911.2725207729945</v>
      </c>
      <c r="X129" s="87">
        <f>IF(X38=0,0,1000000*X38/TrRoad_act!X78)</f>
        <v>4037.921534178593</v>
      </c>
      <c r="Y129" s="87">
        <f>IF(Y38=0,0,1000000*Y38/TrRoad_act!Y78)</f>
        <v>4430.8741189903894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36507.182589830176</v>
      </c>
      <c r="C131" s="116">
        <f>IF(C40=0,0,1000000*C40/TrRoad_act!C80)</f>
        <v>36223.158676786545</v>
      </c>
      <c r="D131" s="116">
        <f>IF(D40=0,0,1000000*D40/TrRoad_act!D80)</f>
        <v>35030.535951479804</v>
      </c>
      <c r="E131" s="116">
        <f>IF(E40=0,0,1000000*E40/TrRoad_act!E80)</f>
        <v>33353.780208381948</v>
      </c>
      <c r="F131" s="116">
        <f>IF(F40=0,0,1000000*F40/TrRoad_act!F80)</f>
        <v>32085.855000945561</v>
      </c>
      <c r="G131" s="116">
        <f>IF(G40=0,0,1000000*G40/TrRoad_act!G80)</f>
        <v>29856.787480238192</v>
      </c>
      <c r="H131" s="116">
        <f>IF(H40=0,0,1000000*H40/TrRoad_act!H80)</f>
        <v>27957.758866504217</v>
      </c>
      <c r="I131" s="116">
        <f>IF(I40=0,0,1000000*I40/TrRoad_act!I80)</f>
        <v>26527.261829177187</v>
      </c>
      <c r="J131" s="116">
        <f>IF(J40=0,0,1000000*J40/TrRoad_act!J80)</f>
        <v>22683.223939418331</v>
      </c>
      <c r="K131" s="116">
        <f>IF(K40=0,0,1000000*K40/TrRoad_act!K80)</f>
        <v>17672.257822018135</v>
      </c>
      <c r="L131" s="116">
        <f>IF(L40=0,0,1000000*L40/TrRoad_act!L80)</f>
        <v>18417.558722567617</v>
      </c>
      <c r="M131" s="116">
        <f>IF(M40=0,0,1000000*M40/TrRoad_act!M80)</f>
        <v>15507.784929788724</v>
      </c>
      <c r="N131" s="116">
        <f>IF(N40=0,0,1000000*N40/TrRoad_act!N80)</f>
        <v>13229.408602920783</v>
      </c>
      <c r="O131" s="116">
        <f>IF(O40=0,0,1000000*O40/TrRoad_act!O80)</f>
        <v>12326.37540656382</v>
      </c>
      <c r="P131" s="116">
        <f>IF(P40=0,0,1000000*P40/TrRoad_act!P80)</f>
        <v>9529.3604134456637</v>
      </c>
      <c r="Q131" s="116">
        <f>IF(Q40=0,0,1000000*Q40/TrRoad_act!Q80)</f>
        <v>8413.0603115340928</v>
      </c>
      <c r="R131" s="116">
        <f>IF(R40=0,0,1000000*R40/TrRoad_act!R80)</f>
        <v>10874.375286186521</v>
      </c>
      <c r="S131" s="116">
        <f>IF(S40=0,0,1000000*S40/TrRoad_act!S80)</f>
        <v>9410.7490340372551</v>
      </c>
      <c r="T131" s="116">
        <f>IF(T40=0,0,1000000*T40/TrRoad_act!T80)</f>
        <v>9183.1416380865667</v>
      </c>
      <c r="U131" s="116">
        <f>IF(U40=0,0,1000000*U40/TrRoad_act!U80)</f>
        <v>8297.3152970981573</v>
      </c>
      <c r="V131" s="116">
        <f>IF(V40=0,0,1000000*V40/TrRoad_act!V80)</f>
        <v>7684.1496535396127</v>
      </c>
      <c r="W131" s="116">
        <f>IF(W40=0,0,1000000*W40/TrRoad_act!W80)</f>
        <v>7433.9661175484725</v>
      </c>
      <c r="X131" s="116">
        <f>IF(X40=0,0,1000000*X40/TrRoad_act!X80)</f>
        <v>7260.6098873986275</v>
      </c>
      <c r="Y131" s="116">
        <f>IF(Y40=0,0,1000000*Y40/TrRoad_act!Y80)</f>
        <v>6099.9804450244219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35416.211227216067</v>
      </c>
      <c r="C132" s="101">
        <f>IF(C41=0,0,1000000*C41/TrRoad_act!C81)</f>
        <v>35060.333655725277</v>
      </c>
      <c r="D132" s="101">
        <f>IF(D41=0,0,1000000*D41/TrRoad_act!D81)</f>
        <v>33877.717756504258</v>
      </c>
      <c r="E132" s="101">
        <f>IF(E41=0,0,1000000*E41/TrRoad_act!E81)</f>
        <v>32208.865893214173</v>
      </c>
      <c r="F132" s="101">
        <f>IF(F41=0,0,1000000*F41/TrRoad_act!F81)</f>
        <v>30806.835786836225</v>
      </c>
      <c r="G132" s="101">
        <f>IF(G41=0,0,1000000*G41/TrRoad_act!G81)</f>
        <v>28746.238241495583</v>
      </c>
      <c r="H132" s="101">
        <f>IF(H41=0,0,1000000*H41/TrRoad_act!H81)</f>
        <v>26740.556384675961</v>
      </c>
      <c r="I132" s="101">
        <f>IF(I41=0,0,1000000*I41/TrRoad_act!I81)</f>
        <v>25292.510950027721</v>
      </c>
      <c r="J132" s="101">
        <f>IF(J41=0,0,1000000*J41/TrRoad_act!J81)</f>
        <v>21799.462092601661</v>
      </c>
      <c r="K132" s="101">
        <f>IF(K41=0,0,1000000*K41/TrRoad_act!K81)</f>
        <v>16968.951078582944</v>
      </c>
      <c r="L132" s="101">
        <f>IF(L41=0,0,1000000*L41/TrRoad_act!L81)</f>
        <v>17585.103670506203</v>
      </c>
      <c r="M132" s="101">
        <f>IF(M41=0,0,1000000*M41/TrRoad_act!M81)</f>
        <v>15009.091014367577</v>
      </c>
      <c r="N132" s="101">
        <f>IF(N41=0,0,1000000*N41/TrRoad_act!N81)</f>
        <v>12673.712513225571</v>
      </c>
      <c r="O132" s="101">
        <f>IF(O41=0,0,1000000*O41/TrRoad_act!O81)</f>
        <v>11873.038471866637</v>
      </c>
      <c r="P132" s="101">
        <f>IF(P41=0,0,1000000*P41/TrRoad_act!P81)</f>
        <v>9073.6949221049854</v>
      </c>
      <c r="Q132" s="101">
        <f>IF(Q41=0,0,1000000*Q41/TrRoad_act!Q81)</f>
        <v>7897.0273043719671</v>
      </c>
      <c r="R132" s="101">
        <f>IF(R41=0,0,1000000*R41/TrRoad_act!R81)</f>
        <v>10366.992645743187</v>
      </c>
      <c r="S132" s="101">
        <f>IF(S41=0,0,1000000*S41/TrRoad_act!S81)</f>
        <v>9033.1482879217347</v>
      </c>
      <c r="T132" s="101">
        <f>IF(T41=0,0,1000000*T41/TrRoad_act!T81)</f>
        <v>8716.9739621762383</v>
      </c>
      <c r="U132" s="101">
        <f>IF(U41=0,0,1000000*U41/TrRoad_act!U81)</f>
        <v>7954.4113195244609</v>
      </c>
      <c r="V132" s="101">
        <f>IF(V41=0,0,1000000*V41/TrRoad_act!V81)</f>
        <v>7347.7046199699671</v>
      </c>
      <c r="W132" s="101">
        <f>IF(W41=0,0,1000000*W41/TrRoad_act!W81)</f>
        <v>6964.4169582831955</v>
      </c>
      <c r="X132" s="101">
        <f>IF(X41=0,0,1000000*X41/TrRoad_act!X81)</f>
        <v>6861.8066451246486</v>
      </c>
      <c r="Y132" s="101">
        <f>IF(Y41=0,0,1000000*Y41/TrRoad_act!Y81)</f>
        <v>5771.335765888939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159873.12413504545</v>
      </c>
      <c r="C133" s="88">
        <f>IF(C42=0,0,1000000*C42/TrRoad_act!C82)</f>
        <v>165293.09079508611</v>
      </c>
      <c r="D133" s="88">
        <f>IF(D42=0,0,1000000*D42/TrRoad_act!D82)</f>
        <v>163264.80905845496</v>
      </c>
      <c r="E133" s="88">
        <f>IF(E42=0,0,1000000*E42/TrRoad_act!E82)</f>
        <v>165933.18649705136</v>
      </c>
      <c r="F133" s="88">
        <f>IF(F42=0,0,1000000*F42/TrRoad_act!F82)</f>
        <v>165462.29445548009</v>
      </c>
      <c r="G133" s="88">
        <f>IF(G42=0,0,1000000*G42/TrRoad_act!G82)</f>
        <v>149276.07562090928</v>
      </c>
      <c r="H133" s="88">
        <f>IF(H42=0,0,1000000*H42/TrRoad_act!H82)</f>
        <v>157562.28466352564</v>
      </c>
      <c r="I133" s="88">
        <f>IF(I42=0,0,1000000*I42/TrRoad_act!I82)</f>
        <v>163996.64782968856</v>
      </c>
      <c r="J133" s="88">
        <f>IF(J42=0,0,1000000*J42/TrRoad_act!J82)</f>
        <v>127943.16024358501</v>
      </c>
      <c r="K133" s="88">
        <f>IF(K42=0,0,1000000*K42/TrRoad_act!K82)</f>
        <v>113421.04374870987</v>
      </c>
      <c r="L133" s="88">
        <f>IF(L42=0,0,1000000*L42/TrRoad_act!L82)</f>
        <v>110983.39929007999</v>
      </c>
      <c r="M133" s="88">
        <f>IF(M42=0,0,1000000*M42/TrRoad_act!M82)</f>
        <v>106440.7016020755</v>
      </c>
      <c r="N133" s="88">
        <f>IF(N42=0,0,1000000*N42/TrRoad_act!N82)</f>
        <v>98563.723518352272</v>
      </c>
      <c r="O133" s="88">
        <f>IF(O42=0,0,1000000*O42/TrRoad_act!O82)</f>
        <v>96264.175206583415</v>
      </c>
      <c r="P133" s="88">
        <f>IF(P42=0,0,1000000*P42/TrRoad_act!P82)</f>
        <v>77583.554985043913</v>
      </c>
      <c r="Q133" s="88">
        <f>IF(Q42=0,0,1000000*Q42/TrRoad_act!Q82)</f>
        <v>78039.545764596012</v>
      </c>
      <c r="R133" s="88">
        <f>IF(R42=0,0,1000000*R42/TrRoad_act!R82)</f>
        <v>95038.602629558649</v>
      </c>
      <c r="S133" s="88">
        <f>IF(S42=0,0,1000000*S42/TrRoad_act!S82)</f>
        <v>74557.587003823093</v>
      </c>
      <c r="T133" s="88">
        <f>IF(T42=0,0,1000000*T42/TrRoad_act!T82)</f>
        <v>83180.391956021092</v>
      </c>
      <c r="U133" s="88">
        <f>IF(U42=0,0,1000000*U42/TrRoad_act!U82)</f>
        <v>75700.526504924303</v>
      </c>
      <c r="V133" s="88">
        <f>IF(V42=0,0,1000000*V42/TrRoad_act!V82)</f>
        <v>74202.304660238849</v>
      </c>
      <c r="W133" s="88">
        <f>IF(W42=0,0,1000000*W42/TrRoad_act!W82)</f>
        <v>83163.671131085765</v>
      </c>
      <c r="X133" s="88">
        <f>IF(X42=0,0,1000000*X42/TrRoad_act!X82)</f>
        <v>74496.776820806321</v>
      </c>
      <c r="Y133" s="88">
        <f>IF(Y42=0,0,1000000*Y42/TrRoad_act!Y82)</f>
        <v>65817.869185038813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0.64928611596502694</v>
      </c>
      <c r="C136" s="46">
        <f t="shared" si="40"/>
        <v>0.64541307348376087</v>
      </c>
      <c r="D136" s="46">
        <f t="shared" si="40"/>
        <v>0.6479071334026868</v>
      </c>
      <c r="E136" s="46">
        <f t="shared" si="40"/>
        <v>0.65044784383007082</v>
      </c>
      <c r="F136" s="46">
        <f t="shared" si="40"/>
        <v>0.64734428716171155</v>
      </c>
      <c r="G136" s="46">
        <f t="shared" si="40"/>
        <v>0.65095939762347221</v>
      </c>
      <c r="H136" s="46">
        <f t="shared" si="40"/>
        <v>0.6572411360562207</v>
      </c>
      <c r="I136" s="46">
        <f t="shared" si="40"/>
        <v>0.65837425227228918</v>
      </c>
      <c r="J136" s="46">
        <f t="shared" si="40"/>
        <v>0.65519592055903586</v>
      </c>
      <c r="K136" s="46">
        <f t="shared" si="40"/>
        <v>0.68236401816008851</v>
      </c>
      <c r="L136" s="46">
        <f t="shared" si="41"/>
        <v>0.66987027344148775</v>
      </c>
      <c r="M136" s="46">
        <f t="shared" si="40"/>
        <v>0.68173245776263514</v>
      </c>
      <c r="N136" s="46">
        <f t="shared" si="40"/>
        <v>0.69337083595388127</v>
      </c>
      <c r="O136" s="46">
        <f t="shared" si="40"/>
        <v>0.69526114195019106</v>
      </c>
      <c r="P136" s="46">
        <f t="shared" si="40"/>
        <v>0.71633194008742307</v>
      </c>
      <c r="Q136" s="46">
        <f t="shared" si="40"/>
        <v>0.72556761600819897</v>
      </c>
      <c r="R136" s="46">
        <f t="shared" si="40"/>
        <v>0.69091715602912995</v>
      </c>
      <c r="S136" s="46">
        <f t="shared" si="40"/>
        <v>0.70154067487330751</v>
      </c>
      <c r="T136" s="46">
        <f t="shared" si="40"/>
        <v>0.69704019842525788</v>
      </c>
      <c r="U136" s="46">
        <f t="shared" si="40"/>
        <v>0.69746012752247888</v>
      </c>
      <c r="V136" s="46">
        <f t="shared" si="40"/>
        <v>0.68446752831019975</v>
      </c>
      <c r="W136" s="46">
        <f t="shared" si="42"/>
        <v>0.67878884213742297</v>
      </c>
      <c r="X136" s="46">
        <f t="shared" si="42"/>
        <v>0.66948341914553089</v>
      </c>
      <c r="Y136" s="46">
        <f t="shared" si="42"/>
        <v>0.68361902426248866</v>
      </c>
      <c r="DA136" s="211"/>
    </row>
    <row r="137" spans="1:105" ht="11.45" customHeight="1" x14ac:dyDescent="0.25">
      <c r="A137" s="153" t="s">
        <v>173</v>
      </c>
      <c r="B137" s="154">
        <f t="shared" si="40"/>
        <v>1.0766009755746837E-2</v>
      </c>
      <c r="C137" s="154">
        <f t="shared" si="40"/>
        <v>1.044614091949911E-2</v>
      </c>
      <c r="D137" s="154">
        <f t="shared" si="40"/>
        <v>1.0087800141281101E-2</v>
      </c>
      <c r="E137" s="154">
        <f t="shared" si="40"/>
        <v>9.7639284515437415E-3</v>
      </c>
      <c r="F137" s="154">
        <f t="shared" si="40"/>
        <v>9.3586075541516531E-3</v>
      </c>
      <c r="G137" s="154">
        <f t="shared" si="40"/>
        <v>9.2352337553456496E-3</v>
      </c>
      <c r="H137" s="154">
        <f t="shared" si="40"/>
        <v>9.0082905232073303E-3</v>
      </c>
      <c r="I137" s="154">
        <f t="shared" si="40"/>
        <v>8.6662548133945669E-3</v>
      </c>
      <c r="J137" s="154">
        <f t="shared" si="40"/>
        <v>8.5900176609918621E-3</v>
      </c>
      <c r="K137" s="154">
        <f t="shared" si="40"/>
        <v>8.7998657472630228E-3</v>
      </c>
      <c r="L137" s="154">
        <f t="shared" si="41"/>
        <v>1.1053568782993546E-2</v>
      </c>
      <c r="M137" s="154">
        <f t="shared" si="40"/>
        <v>1.0934585836345833E-2</v>
      </c>
      <c r="N137" s="154">
        <f t="shared" si="40"/>
        <v>1.0940645749190776E-2</v>
      </c>
      <c r="O137" s="154">
        <f t="shared" si="40"/>
        <v>1.1043768094108007E-2</v>
      </c>
      <c r="P137" s="154">
        <f t="shared" si="40"/>
        <v>1.2033930339850334E-2</v>
      </c>
      <c r="Q137" s="154">
        <f t="shared" si="40"/>
        <v>1.1930638776177905E-2</v>
      </c>
      <c r="R137" s="154">
        <f t="shared" si="40"/>
        <v>1.07981246027969E-2</v>
      </c>
      <c r="S137" s="154">
        <f t="shared" si="40"/>
        <v>1.0602601553907475E-2</v>
      </c>
      <c r="T137" s="154">
        <f t="shared" si="40"/>
        <v>9.828992298537672E-3</v>
      </c>
      <c r="U137" s="154">
        <f t="shared" si="40"/>
        <v>1.0693495183022211E-2</v>
      </c>
      <c r="V137" s="154">
        <f t="shared" si="40"/>
        <v>9.9988223298715598E-3</v>
      </c>
      <c r="W137" s="154">
        <f t="shared" si="42"/>
        <v>1.0649830243770572E-2</v>
      </c>
      <c r="X137" s="154">
        <f t="shared" si="42"/>
        <v>1.0784174527509039E-2</v>
      </c>
      <c r="Y137" s="154">
        <f t="shared" si="42"/>
        <v>1.1838087585330413E-2</v>
      </c>
      <c r="DA137" s="212"/>
    </row>
    <row r="138" spans="1:105" ht="11.45" customHeight="1" x14ac:dyDescent="0.25">
      <c r="A138" s="155" t="s">
        <v>20</v>
      </c>
      <c r="B138" s="156">
        <f t="shared" si="40"/>
        <v>0.57506769637282329</v>
      </c>
      <c r="C138" s="156">
        <f t="shared" si="40"/>
        <v>0.57386212806051995</v>
      </c>
      <c r="D138" s="156">
        <f t="shared" si="40"/>
        <v>0.57738639664829583</v>
      </c>
      <c r="E138" s="156">
        <f t="shared" si="40"/>
        <v>0.57951511256606492</v>
      </c>
      <c r="F138" s="156">
        <f t="shared" si="40"/>
        <v>0.57631583189412083</v>
      </c>
      <c r="G138" s="156">
        <f t="shared" si="40"/>
        <v>0.58107349811944942</v>
      </c>
      <c r="H138" s="156">
        <f t="shared" si="40"/>
        <v>0.58624949445312025</v>
      </c>
      <c r="I138" s="156">
        <f t="shared" si="40"/>
        <v>0.58738286172307086</v>
      </c>
      <c r="J138" s="156">
        <f t="shared" si="40"/>
        <v>0.58166235093629204</v>
      </c>
      <c r="K138" s="156">
        <f t="shared" si="40"/>
        <v>0.60441098268529514</v>
      </c>
      <c r="L138" s="156">
        <f t="shared" si="41"/>
        <v>0.58923465196206937</v>
      </c>
      <c r="M138" s="156">
        <f t="shared" si="40"/>
        <v>0.59969264362210306</v>
      </c>
      <c r="N138" s="156">
        <f t="shared" si="40"/>
        <v>0.60674451898421722</v>
      </c>
      <c r="O138" s="156">
        <f t="shared" si="40"/>
        <v>0.60775387147546833</v>
      </c>
      <c r="P138" s="156">
        <f t="shared" si="40"/>
        <v>0.62749494391286698</v>
      </c>
      <c r="Q138" s="156">
        <f t="shared" si="40"/>
        <v>0.63393128022324807</v>
      </c>
      <c r="R138" s="156">
        <f t="shared" si="40"/>
        <v>0.59164865333787586</v>
      </c>
      <c r="S138" s="156">
        <f t="shared" si="40"/>
        <v>0.604795263095952</v>
      </c>
      <c r="T138" s="156">
        <f t="shared" si="40"/>
        <v>0.60202633734239608</v>
      </c>
      <c r="U138" s="156">
        <f t="shared" si="40"/>
        <v>0.60373969203402023</v>
      </c>
      <c r="V138" s="156">
        <f t="shared" si="40"/>
        <v>0.597932378742147</v>
      </c>
      <c r="W138" s="156">
        <f t="shared" si="42"/>
        <v>0.60355041438022883</v>
      </c>
      <c r="X138" s="156">
        <f t="shared" si="42"/>
        <v>0.58461697211192809</v>
      </c>
      <c r="Y138" s="156">
        <f t="shared" si="42"/>
        <v>0.59321172291557944</v>
      </c>
      <c r="DA138" s="213"/>
    </row>
    <row r="139" spans="1:105" ht="11.45" customHeight="1" x14ac:dyDescent="0.25">
      <c r="A139" s="157" t="s">
        <v>110</v>
      </c>
      <c r="B139" s="103">
        <f t="shared" si="40"/>
        <v>0.4427913115459286</v>
      </c>
      <c r="C139" s="103">
        <f t="shared" si="40"/>
        <v>0.44237431236146546</v>
      </c>
      <c r="D139" s="103">
        <f t="shared" si="40"/>
        <v>0.44243389999703286</v>
      </c>
      <c r="E139" s="103">
        <f t="shared" si="40"/>
        <v>0.43788249355932024</v>
      </c>
      <c r="F139" s="103">
        <f t="shared" si="40"/>
        <v>0.43406346893721526</v>
      </c>
      <c r="G139" s="103">
        <f t="shared" si="40"/>
        <v>0.43192499601344136</v>
      </c>
      <c r="H139" s="103">
        <f t="shared" si="40"/>
        <v>0.42287631975494827</v>
      </c>
      <c r="I139" s="103">
        <f t="shared" si="40"/>
        <v>0.40882878845652232</v>
      </c>
      <c r="J139" s="103">
        <f t="shared" si="40"/>
        <v>0.38184210288394649</v>
      </c>
      <c r="K139" s="103">
        <f t="shared" si="40"/>
        <v>0.38567697394568901</v>
      </c>
      <c r="L139" s="103">
        <f t="shared" si="41"/>
        <v>0.35914073954083153</v>
      </c>
      <c r="M139" s="103">
        <f t="shared" si="40"/>
        <v>0.34424909778501078</v>
      </c>
      <c r="N139" s="103">
        <f t="shared" si="40"/>
        <v>0.33708086433743961</v>
      </c>
      <c r="O139" s="103">
        <f t="shared" si="40"/>
        <v>0.34505966432658658</v>
      </c>
      <c r="P139" s="103">
        <f t="shared" si="40"/>
        <v>0.36726675801183262</v>
      </c>
      <c r="Q139" s="103">
        <f t="shared" si="40"/>
        <v>0.36514802058657175</v>
      </c>
      <c r="R139" s="103">
        <f t="shared" si="40"/>
        <v>0.32349673255218658</v>
      </c>
      <c r="S139" s="103">
        <f t="shared" si="40"/>
        <v>0.32977480976819334</v>
      </c>
      <c r="T139" s="103">
        <f t="shared" si="40"/>
        <v>0.31985241135958536</v>
      </c>
      <c r="U139" s="103">
        <f t="shared" si="40"/>
        <v>0.3234519552015559</v>
      </c>
      <c r="V139" s="103">
        <f t="shared" si="40"/>
        <v>0.31610494820713619</v>
      </c>
      <c r="W139" s="103">
        <f t="shared" si="42"/>
        <v>0.3332500826122875</v>
      </c>
      <c r="X139" s="103">
        <f t="shared" si="42"/>
        <v>0.31491155778120899</v>
      </c>
      <c r="Y139" s="103">
        <f t="shared" si="42"/>
        <v>0.32690276131054508</v>
      </c>
      <c r="DA139" s="191"/>
    </row>
    <row r="140" spans="1:105" ht="11.45" customHeight="1" x14ac:dyDescent="0.25">
      <c r="A140" s="157" t="s">
        <v>111</v>
      </c>
      <c r="B140" s="103">
        <f t="shared" si="40"/>
        <v>0.13227638482689469</v>
      </c>
      <c r="C140" s="103">
        <f t="shared" si="40"/>
        <v>0.13148781569905449</v>
      </c>
      <c r="D140" s="103">
        <f t="shared" si="40"/>
        <v>0.13495249665126302</v>
      </c>
      <c r="E140" s="103">
        <f t="shared" si="40"/>
        <v>0.14163261900674468</v>
      </c>
      <c r="F140" s="103">
        <f t="shared" si="40"/>
        <v>0.14225236295690563</v>
      </c>
      <c r="G140" s="103">
        <f t="shared" si="40"/>
        <v>0.14914850210600805</v>
      </c>
      <c r="H140" s="103">
        <f t="shared" si="40"/>
        <v>0.16337249727781611</v>
      </c>
      <c r="I140" s="103">
        <f t="shared" si="40"/>
        <v>0.17853081917239658</v>
      </c>
      <c r="J140" s="103">
        <f t="shared" si="40"/>
        <v>0.19976787238878657</v>
      </c>
      <c r="K140" s="103">
        <f t="shared" si="40"/>
        <v>0.21862862048716816</v>
      </c>
      <c r="L140" s="103">
        <f t="shared" si="41"/>
        <v>0.22996272413046578</v>
      </c>
      <c r="M140" s="103">
        <f t="shared" si="40"/>
        <v>0.25531836637752708</v>
      </c>
      <c r="N140" s="103">
        <f t="shared" si="40"/>
        <v>0.26941235189059498</v>
      </c>
      <c r="O140" s="103">
        <f t="shared" si="40"/>
        <v>0.26248622997322207</v>
      </c>
      <c r="P140" s="103">
        <f t="shared" si="40"/>
        <v>0.25995798440441004</v>
      </c>
      <c r="Q140" s="103">
        <f t="shared" si="40"/>
        <v>0.26845506122581503</v>
      </c>
      <c r="R140" s="103">
        <f t="shared" si="40"/>
        <v>0.26778507483384906</v>
      </c>
      <c r="S140" s="103">
        <f t="shared" si="40"/>
        <v>0.27428768970698397</v>
      </c>
      <c r="T140" s="103">
        <f t="shared" si="40"/>
        <v>0.28072356844772089</v>
      </c>
      <c r="U140" s="103">
        <f t="shared" si="40"/>
        <v>0.27759473662021322</v>
      </c>
      <c r="V140" s="103">
        <f t="shared" si="40"/>
        <v>0.27764982819279965</v>
      </c>
      <c r="W140" s="103">
        <f t="shared" si="42"/>
        <v>0.26445855922146422</v>
      </c>
      <c r="X140" s="103">
        <f t="shared" si="42"/>
        <v>0.26265776079173331</v>
      </c>
      <c r="Y140" s="103">
        <f t="shared" si="42"/>
        <v>0.25858176191726501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0</v>
      </c>
      <c r="D141" s="103">
        <f t="shared" si="40"/>
        <v>0</v>
      </c>
      <c r="E141" s="103">
        <f t="shared" si="40"/>
        <v>0</v>
      </c>
      <c r="F141" s="103">
        <f t="shared" si="40"/>
        <v>0</v>
      </c>
      <c r="G141" s="103">
        <f t="shared" si="40"/>
        <v>0</v>
      </c>
      <c r="H141" s="103">
        <f t="shared" si="40"/>
        <v>0</v>
      </c>
      <c r="I141" s="103">
        <f t="shared" si="40"/>
        <v>0</v>
      </c>
      <c r="J141" s="103">
        <f t="shared" si="40"/>
        <v>0</v>
      </c>
      <c r="K141" s="103">
        <f t="shared" si="40"/>
        <v>0</v>
      </c>
      <c r="L141" s="103">
        <f t="shared" si="41"/>
        <v>0</v>
      </c>
      <c r="M141" s="103">
        <f t="shared" si="40"/>
        <v>0</v>
      </c>
      <c r="N141" s="103">
        <f t="shared" si="40"/>
        <v>0</v>
      </c>
      <c r="O141" s="103">
        <f t="shared" si="40"/>
        <v>0</v>
      </c>
      <c r="P141" s="103">
        <f t="shared" si="40"/>
        <v>0</v>
      </c>
      <c r="Q141" s="103">
        <f t="shared" si="40"/>
        <v>0</v>
      </c>
      <c r="R141" s="103">
        <f t="shared" si="40"/>
        <v>0</v>
      </c>
      <c r="S141" s="103">
        <f t="shared" si="40"/>
        <v>0</v>
      </c>
      <c r="T141" s="103">
        <f t="shared" si="40"/>
        <v>0</v>
      </c>
      <c r="U141" s="103">
        <f t="shared" si="40"/>
        <v>0</v>
      </c>
      <c r="V141" s="103">
        <f t="shared" si="40"/>
        <v>0</v>
      </c>
      <c r="W141" s="103">
        <f t="shared" si="42"/>
        <v>0</v>
      </c>
      <c r="X141" s="103">
        <f t="shared" si="42"/>
        <v>0</v>
      </c>
      <c r="Y141" s="103">
        <f t="shared" si="42"/>
        <v>0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6.7742035590356997E-7</v>
      </c>
      <c r="I142" s="103">
        <f t="shared" si="40"/>
        <v>2.3254094151968704E-5</v>
      </c>
      <c r="J142" s="103">
        <f t="shared" si="40"/>
        <v>5.2375663559017025E-5</v>
      </c>
      <c r="K142" s="103">
        <f t="shared" si="40"/>
        <v>1.0538825243793252E-4</v>
      </c>
      <c r="L142" s="103">
        <f t="shared" si="41"/>
        <v>1.3118829077197311E-4</v>
      </c>
      <c r="M142" s="103">
        <f t="shared" si="40"/>
        <v>1.2517945956518571E-4</v>
      </c>
      <c r="N142" s="103">
        <f t="shared" si="40"/>
        <v>2.4608154765075747E-4</v>
      </c>
      <c r="O142" s="103">
        <f t="shared" si="40"/>
        <v>1.954134581281749E-4</v>
      </c>
      <c r="P142" s="103">
        <f t="shared" si="40"/>
        <v>2.4216648706095728E-4</v>
      </c>
      <c r="Q142" s="103">
        <f t="shared" si="40"/>
        <v>2.7341775224560449E-4</v>
      </c>
      <c r="R142" s="103">
        <f t="shared" si="40"/>
        <v>2.5028392990270038E-4</v>
      </c>
      <c r="S142" s="103">
        <f t="shared" si="40"/>
        <v>4.4522374330762743E-4</v>
      </c>
      <c r="T142" s="103">
        <f t="shared" si="40"/>
        <v>8.1233837189530688E-4</v>
      </c>
      <c r="U142" s="103">
        <f t="shared" si="40"/>
        <v>1.6105719477480856E-3</v>
      </c>
      <c r="V142" s="103">
        <f t="shared" si="40"/>
        <v>2.4771849601229372E-3</v>
      </c>
      <c r="W142" s="103">
        <f t="shared" si="42"/>
        <v>3.1318158303544267E-3</v>
      </c>
      <c r="X142" s="103">
        <f t="shared" si="42"/>
        <v>3.8013178245963836E-3</v>
      </c>
      <c r="Y142" s="103">
        <f t="shared" si="42"/>
        <v>4.3933288015198108E-3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5.2212085318497975E-6</v>
      </c>
      <c r="O143" s="103">
        <f t="shared" si="40"/>
        <v>1.2563717531485949E-5</v>
      </c>
      <c r="P143" s="103">
        <f t="shared" si="40"/>
        <v>2.803500956339917E-5</v>
      </c>
      <c r="Q143" s="103">
        <f t="shared" si="40"/>
        <v>5.4780658615608585E-5</v>
      </c>
      <c r="R143" s="103">
        <f t="shared" si="40"/>
        <v>1.1656202193766285E-4</v>
      </c>
      <c r="S143" s="103">
        <f t="shared" si="40"/>
        <v>2.8753987746707866E-4</v>
      </c>
      <c r="T143" s="103">
        <f t="shared" si="40"/>
        <v>6.3801916319460093E-4</v>
      </c>
      <c r="U143" s="103">
        <f t="shared" si="40"/>
        <v>1.0824282645030959E-3</v>
      </c>
      <c r="V143" s="103">
        <f t="shared" si="40"/>
        <v>1.7004173820882634E-3</v>
      </c>
      <c r="W143" s="103">
        <f t="shared" si="42"/>
        <v>2.7099567161227175E-3</v>
      </c>
      <c r="X143" s="103">
        <f t="shared" si="42"/>
        <v>3.2463357143895023E-3</v>
      </c>
      <c r="Y143" s="103">
        <f t="shared" si="42"/>
        <v>3.3338708862495439E-3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6.3452409836456877E-2</v>
      </c>
      <c r="C145" s="156">
        <f t="shared" si="40"/>
        <v>6.1104804503741901E-2</v>
      </c>
      <c r="D145" s="156">
        <f t="shared" si="40"/>
        <v>6.0432936613109757E-2</v>
      </c>
      <c r="E145" s="156">
        <f t="shared" si="40"/>
        <v>6.116880281246212E-2</v>
      </c>
      <c r="F145" s="156">
        <f t="shared" si="40"/>
        <v>6.1669847713439037E-2</v>
      </c>
      <c r="G145" s="156">
        <f t="shared" si="40"/>
        <v>6.0650665748677175E-2</v>
      </c>
      <c r="H145" s="156">
        <f t="shared" si="40"/>
        <v>6.1983351079893084E-2</v>
      </c>
      <c r="I145" s="156">
        <f t="shared" si="40"/>
        <v>6.2325135735823753E-2</v>
      </c>
      <c r="J145" s="156">
        <f t="shared" si="40"/>
        <v>6.4943551961751861E-2</v>
      </c>
      <c r="K145" s="156">
        <f t="shared" si="40"/>
        <v>6.91531697275303E-2</v>
      </c>
      <c r="L145" s="156">
        <f t="shared" si="41"/>
        <v>6.9582052696424881E-2</v>
      </c>
      <c r="M145" s="156">
        <f t="shared" si="40"/>
        <v>7.1105228304186266E-2</v>
      </c>
      <c r="N145" s="156">
        <f t="shared" si="40"/>
        <v>7.5685671220473413E-2</v>
      </c>
      <c r="O145" s="156">
        <f t="shared" si="40"/>
        <v>7.6463502380614792E-2</v>
      </c>
      <c r="P145" s="156">
        <f t="shared" si="40"/>
        <v>7.6803065834705683E-2</v>
      </c>
      <c r="Q145" s="156">
        <f t="shared" si="40"/>
        <v>7.970569700877303E-2</v>
      </c>
      <c r="R145" s="156">
        <f t="shared" si="40"/>
        <v>8.8470378088457161E-2</v>
      </c>
      <c r="S145" s="156">
        <f t="shared" si="40"/>
        <v>8.6142810223447996E-2</v>
      </c>
      <c r="T145" s="156">
        <f t="shared" si="40"/>
        <v>8.5184868784324103E-2</v>
      </c>
      <c r="U145" s="156">
        <f t="shared" si="40"/>
        <v>8.3026940305436406E-2</v>
      </c>
      <c r="V145" s="156">
        <f t="shared" si="40"/>
        <v>7.6536327238181129E-2</v>
      </c>
      <c r="W145" s="156">
        <f t="shared" si="42"/>
        <v>6.4588597513423635E-2</v>
      </c>
      <c r="X145" s="156">
        <f t="shared" si="42"/>
        <v>7.4082272506093796E-2</v>
      </c>
      <c r="Y145" s="156">
        <f t="shared" si="42"/>
        <v>7.8569213761578854E-2</v>
      </c>
      <c r="DA145" s="213"/>
    </row>
    <row r="146" spans="1:105" ht="11.45" customHeight="1" x14ac:dyDescent="0.25">
      <c r="A146" s="157" t="s">
        <v>110</v>
      </c>
      <c r="B146" s="103">
        <f t="shared" si="40"/>
        <v>2.4373151952132607E-5</v>
      </c>
      <c r="C146" s="103">
        <f t="shared" si="40"/>
        <v>2.6061767121376448E-5</v>
      </c>
      <c r="D146" s="103">
        <f t="shared" si="40"/>
        <v>2.4665472236498808E-5</v>
      </c>
      <c r="E146" s="103">
        <f t="shared" si="40"/>
        <v>2.424004282017418E-5</v>
      </c>
      <c r="F146" s="103">
        <f t="shared" si="40"/>
        <v>2.4251709811342779E-5</v>
      </c>
      <c r="G146" s="103">
        <f t="shared" si="40"/>
        <v>2.6408286086689703E-5</v>
      </c>
      <c r="H146" s="103">
        <f t="shared" si="40"/>
        <v>2.4420999150286565E-5</v>
      </c>
      <c r="I146" s="103">
        <f t="shared" si="40"/>
        <v>2.4346203646879705E-5</v>
      </c>
      <c r="J146" s="103">
        <f t="shared" si="40"/>
        <v>2.3718702502182866E-5</v>
      </c>
      <c r="K146" s="103">
        <f t="shared" si="40"/>
        <v>2.4283363266599125E-5</v>
      </c>
      <c r="L146" s="103">
        <f t="shared" si="41"/>
        <v>2.3833944313331354E-5</v>
      </c>
      <c r="M146" s="103">
        <f t="shared" si="40"/>
        <v>2.3172341026139698E-5</v>
      </c>
      <c r="N146" s="103">
        <f t="shared" si="40"/>
        <v>2.3521985044354747E-5</v>
      </c>
      <c r="O146" s="103">
        <f t="shared" si="40"/>
        <v>2.3954853732313554E-5</v>
      </c>
      <c r="P146" s="103">
        <f t="shared" si="40"/>
        <v>2.6400168141442719E-5</v>
      </c>
      <c r="Q146" s="103">
        <f t="shared" si="40"/>
        <v>2.6444931641430485E-5</v>
      </c>
      <c r="R146" s="103">
        <f t="shared" si="40"/>
        <v>2.3490536396273471E-5</v>
      </c>
      <c r="S146" s="103">
        <f t="shared" si="40"/>
        <v>2.4349597473662908E-5</v>
      </c>
      <c r="T146" s="103">
        <f t="shared" si="40"/>
        <v>2.2253235443120365E-5</v>
      </c>
      <c r="U146" s="103">
        <f t="shared" si="40"/>
        <v>2.1274388606839165E-5</v>
      </c>
      <c r="V146" s="103">
        <f t="shared" si="40"/>
        <v>1.8187433085992992E-5</v>
      </c>
      <c r="W146" s="103">
        <f t="shared" si="42"/>
        <v>1.5985625947886877E-5</v>
      </c>
      <c r="X146" s="103">
        <f t="shared" si="42"/>
        <v>1.7516491392361473E-5</v>
      </c>
      <c r="Y146" s="103">
        <f t="shared" si="42"/>
        <v>1.82761496489694E-5</v>
      </c>
      <c r="DA146" s="191"/>
    </row>
    <row r="147" spans="1:105" ht="11.45" customHeight="1" x14ac:dyDescent="0.25">
      <c r="A147" s="157" t="s">
        <v>111</v>
      </c>
      <c r="B147" s="103">
        <f t="shared" si="40"/>
        <v>6.304837115653035E-2</v>
      </c>
      <c r="C147" s="103">
        <f t="shared" si="40"/>
        <v>6.0706452120230063E-2</v>
      </c>
      <c r="D147" s="103">
        <f t="shared" si="40"/>
        <v>5.986043633024369E-2</v>
      </c>
      <c r="E147" s="103">
        <f t="shared" si="40"/>
        <v>6.0605071084251796E-2</v>
      </c>
      <c r="F147" s="103">
        <f t="shared" si="40"/>
        <v>6.1121527685861814E-2</v>
      </c>
      <c r="G147" s="103">
        <f t="shared" si="40"/>
        <v>6.010223870889668E-2</v>
      </c>
      <c r="H147" s="103">
        <f t="shared" si="40"/>
        <v>6.1272464459764205E-2</v>
      </c>
      <c r="I147" s="103">
        <f t="shared" si="40"/>
        <v>6.1660387261862994E-2</v>
      </c>
      <c r="J147" s="103">
        <f t="shared" si="40"/>
        <v>6.4108811782167277E-2</v>
      </c>
      <c r="K147" s="103">
        <f t="shared" si="40"/>
        <v>6.8152791144888009E-2</v>
      </c>
      <c r="L147" s="103">
        <f t="shared" si="41"/>
        <v>6.8654768058297899E-2</v>
      </c>
      <c r="M147" s="103">
        <f t="shared" si="40"/>
        <v>7.0514410338437264E-2</v>
      </c>
      <c r="N147" s="103">
        <f t="shared" si="40"/>
        <v>7.4781136939279333E-2</v>
      </c>
      <c r="O147" s="103">
        <f t="shared" si="40"/>
        <v>7.5943236133749661E-2</v>
      </c>
      <c r="P147" s="103">
        <f t="shared" si="40"/>
        <v>7.6209028916062155E-2</v>
      </c>
      <c r="Q147" s="103">
        <f t="shared" si="40"/>
        <v>7.9182413749445513E-2</v>
      </c>
      <c r="R147" s="103">
        <f t="shared" ref="R147:V147" si="43">IF(R29=0,0,R29/R$17)</f>
        <v>8.7933008612878186E-2</v>
      </c>
      <c r="S147" s="103">
        <f t="shared" si="43"/>
        <v>8.5588976688759602E-2</v>
      </c>
      <c r="T147" s="103">
        <f t="shared" si="43"/>
        <v>8.4610707476201918E-2</v>
      </c>
      <c r="U147" s="103">
        <f t="shared" si="43"/>
        <v>8.2372559892642291E-2</v>
      </c>
      <c r="V147" s="103">
        <f t="shared" si="43"/>
        <v>7.6009968482004364E-2</v>
      </c>
      <c r="W147" s="103">
        <f t="shared" ref="W147:Y147" si="44">IF(W29=0,0,W29/W$17)</f>
        <v>6.4057751806460131E-2</v>
      </c>
      <c r="X147" s="103">
        <f t="shared" si="44"/>
        <v>7.3430165215415788E-2</v>
      </c>
      <c r="Y147" s="103">
        <f t="shared" si="44"/>
        <v>7.7713334155296049E-2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:Y148" si="48">IF(W30=0,0,W30/W$17)</f>
        <v>0</v>
      </c>
      <c r="X148" s="103">
        <f t="shared" si="48"/>
        <v>0</v>
      </c>
      <c r="Y148" s="103">
        <f t="shared" si="48"/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3.7966552797439056E-4</v>
      </c>
      <c r="C149" s="103">
        <f t="shared" si="49"/>
        <v>3.722906163904646E-4</v>
      </c>
      <c r="D149" s="103">
        <f t="shared" si="49"/>
        <v>5.4783481062956442E-4</v>
      </c>
      <c r="E149" s="103">
        <f t="shared" si="49"/>
        <v>5.3949168539015448E-4</v>
      </c>
      <c r="F149" s="103">
        <f t="shared" si="49"/>
        <v>5.2406831776588309E-4</v>
      </c>
      <c r="G149" s="103">
        <f t="shared" si="49"/>
        <v>5.2201875369380373E-4</v>
      </c>
      <c r="H149" s="103">
        <f t="shared" si="49"/>
        <v>6.8646562097858478E-4</v>
      </c>
      <c r="I149" s="103">
        <f t="shared" si="49"/>
        <v>6.4040227031387934E-4</v>
      </c>
      <c r="J149" s="103">
        <f t="shared" si="49"/>
        <v>8.1102147708240222E-4</v>
      </c>
      <c r="K149" s="103">
        <f t="shared" si="49"/>
        <v>9.7609521937568782E-4</v>
      </c>
      <c r="L149" s="103">
        <f t="shared" si="46"/>
        <v>9.0345069381364985E-4</v>
      </c>
      <c r="M149" s="103">
        <f t="shared" ref="M149:V149" si="50">IF(M31=0,0,M31/M$17)</f>
        <v>5.6764562472285068E-4</v>
      </c>
      <c r="N149" s="103">
        <f t="shared" si="50"/>
        <v>8.8101229614972359E-4</v>
      </c>
      <c r="O149" s="103">
        <f t="shared" si="50"/>
        <v>4.9631139313282093E-4</v>
      </c>
      <c r="P149" s="103">
        <f t="shared" si="50"/>
        <v>5.6763675050208826E-4</v>
      </c>
      <c r="Q149" s="103">
        <f t="shared" si="50"/>
        <v>4.9683832768610307E-4</v>
      </c>
      <c r="R149" s="103">
        <f t="shared" si="50"/>
        <v>5.138789391827079E-4</v>
      </c>
      <c r="S149" s="103">
        <f t="shared" si="50"/>
        <v>5.2948393721473147E-4</v>
      </c>
      <c r="T149" s="103">
        <f t="shared" si="50"/>
        <v>5.5190807267906854E-4</v>
      </c>
      <c r="U149" s="103">
        <f t="shared" si="50"/>
        <v>6.3310602418727656E-4</v>
      </c>
      <c r="V149" s="103">
        <f t="shared" si="50"/>
        <v>5.0817132309076852E-4</v>
      </c>
      <c r="W149" s="103">
        <f t="shared" ref="W149:Y149" si="51">IF(W31=0,0,W31/W$17)</f>
        <v>5.1486008101562478E-4</v>
      </c>
      <c r="X149" s="103">
        <f t="shared" si="51"/>
        <v>6.3459079928563722E-4</v>
      </c>
      <c r="Y149" s="103">
        <f t="shared" si="51"/>
        <v>8.3760345663382767E-4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0.350713884034973</v>
      </c>
      <c r="C151" s="46">
        <f t="shared" si="55"/>
        <v>0.35458692651623902</v>
      </c>
      <c r="D151" s="46">
        <f t="shared" si="55"/>
        <v>0.3520928665973132</v>
      </c>
      <c r="E151" s="46">
        <f t="shared" si="55"/>
        <v>0.34955215616992924</v>
      </c>
      <c r="F151" s="46">
        <f t="shared" si="55"/>
        <v>0.35265571283828839</v>
      </c>
      <c r="G151" s="46">
        <f t="shared" si="55"/>
        <v>0.34904060237652779</v>
      </c>
      <c r="H151" s="46">
        <f t="shared" si="55"/>
        <v>0.34275886394377941</v>
      </c>
      <c r="I151" s="46">
        <f t="shared" si="55"/>
        <v>0.3416257477277107</v>
      </c>
      <c r="J151" s="46">
        <f t="shared" si="55"/>
        <v>0.34480407944096414</v>
      </c>
      <c r="K151" s="46">
        <f t="shared" si="55"/>
        <v>0.31763598183991143</v>
      </c>
      <c r="L151" s="46">
        <f t="shared" ref="L151" si="56">IF(L33=0,0,L33/L$17)</f>
        <v>0.33012972655851219</v>
      </c>
      <c r="M151" s="46">
        <f t="shared" ref="M151:V151" si="57">IF(M33=0,0,M33/M$17)</f>
        <v>0.31826754223736475</v>
      </c>
      <c r="N151" s="46">
        <f t="shared" si="57"/>
        <v>0.30662916404611879</v>
      </c>
      <c r="O151" s="46">
        <f t="shared" si="57"/>
        <v>0.30473885804980883</v>
      </c>
      <c r="P151" s="46">
        <f t="shared" si="57"/>
        <v>0.28366805991257699</v>
      </c>
      <c r="Q151" s="46">
        <f t="shared" si="57"/>
        <v>0.27443238399180092</v>
      </c>
      <c r="R151" s="46">
        <f t="shared" si="57"/>
        <v>0.30908284397087005</v>
      </c>
      <c r="S151" s="46">
        <f t="shared" si="57"/>
        <v>0.29845932512669249</v>
      </c>
      <c r="T151" s="46">
        <f t="shared" si="57"/>
        <v>0.30295980157474212</v>
      </c>
      <c r="U151" s="46">
        <f t="shared" si="57"/>
        <v>0.30253987247752118</v>
      </c>
      <c r="V151" s="46">
        <f t="shared" si="57"/>
        <v>0.3155324716898002</v>
      </c>
      <c r="W151" s="46">
        <f t="shared" ref="W151:Y151" si="58">IF(W33=0,0,W33/W$17)</f>
        <v>0.32121115786257698</v>
      </c>
      <c r="X151" s="46">
        <f t="shared" si="58"/>
        <v>0.330516580854469</v>
      </c>
      <c r="Y151" s="46">
        <f t="shared" si="58"/>
        <v>0.31638097573751128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0.11779389210946142</v>
      </c>
      <c r="C152" s="154">
        <f t="shared" si="59"/>
        <v>0.11541950537969538</v>
      </c>
      <c r="D152" s="154">
        <f t="shared" si="59"/>
        <v>0.11315061507976394</v>
      </c>
      <c r="E152" s="154">
        <f t="shared" si="59"/>
        <v>0.11154458651298209</v>
      </c>
      <c r="F152" s="154">
        <f t="shared" si="59"/>
        <v>0.1156173543739358</v>
      </c>
      <c r="G152" s="154">
        <f t="shared" si="59"/>
        <v>0.11540905847393476</v>
      </c>
      <c r="H152" s="154">
        <f t="shared" si="59"/>
        <v>0.11647484663838473</v>
      </c>
      <c r="I152" s="154">
        <f t="shared" si="59"/>
        <v>0.11914357629812904</v>
      </c>
      <c r="J152" s="154">
        <f t="shared" si="59"/>
        <v>0.12686687800847227</v>
      </c>
      <c r="K152" s="154">
        <f t="shared" si="59"/>
        <v>0.12976207193334455</v>
      </c>
      <c r="L152" s="154">
        <f t="shared" ref="L152" si="60">IF(L34=0,0,L34/L$17)</f>
        <v>0.13190300780221681</v>
      </c>
      <c r="M152" s="154">
        <f t="shared" ref="M152:V152" si="61">IF(M34=0,0,M34/M$17)</f>
        <v>0.13829068035770287</v>
      </c>
      <c r="N152" s="154">
        <f t="shared" si="61"/>
        <v>0.1432078892817702</v>
      </c>
      <c r="O152" s="154">
        <f t="shared" si="61"/>
        <v>0.14561546627801517</v>
      </c>
      <c r="P152" s="154">
        <f t="shared" si="61"/>
        <v>0.14296692264700403</v>
      </c>
      <c r="Q152" s="154">
        <f t="shared" si="61"/>
        <v>0.14629158552089963</v>
      </c>
      <c r="R152" s="154">
        <f t="shared" si="61"/>
        <v>0.15635399555614352</v>
      </c>
      <c r="S152" s="154">
        <f t="shared" si="61"/>
        <v>0.15272247626862104</v>
      </c>
      <c r="T152" s="154">
        <f t="shared" si="61"/>
        <v>0.15832259427608558</v>
      </c>
      <c r="U152" s="154">
        <f t="shared" si="61"/>
        <v>0.16190610275161244</v>
      </c>
      <c r="V152" s="154">
        <f t="shared" si="61"/>
        <v>0.17328811795303908</v>
      </c>
      <c r="W152" s="154">
        <f t="shared" ref="W152:Y152" si="62">IF(W34=0,0,W34/W$17)</f>
        <v>0.17330162803097868</v>
      </c>
      <c r="X152" s="154">
        <f t="shared" si="62"/>
        <v>0.17995609481262925</v>
      </c>
      <c r="Y152" s="154">
        <f t="shared" si="62"/>
        <v>0.18215590009483834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1.0538000359287062E-2</v>
      </c>
      <c r="C153" s="103">
        <f t="shared" si="63"/>
        <v>9.7476344435864677E-3</v>
      </c>
      <c r="D153" s="103">
        <f t="shared" si="63"/>
        <v>8.974481164144241E-3</v>
      </c>
      <c r="E153" s="103">
        <f t="shared" si="63"/>
        <v>8.1390041692504557E-3</v>
      </c>
      <c r="F153" s="103">
        <f t="shared" si="63"/>
        <v>7.356359113696094E-3</v>
      </c>
      <c r="G153" s="103">
        <f t="shared" si="63"/>
        <v>7.0372628680699769E-3</v>
      </c>
      <c r="H153" s="103">
        <f t="shared" si="63"/>
        <v>6.3345621735385717E-3</v>
      </c>
      <c r="I153" s="103">
        <f t="shared" si="63"/>
        <v>5.7418153076866305E-3</v>
      </c>
      <c r="J153" s="103">
        <f t="shared" si="63"/>
        <v>5.7317711247124176E-3</v>
      </c>
      <c r="K153" s="103">
        <f t="shared" si="63"/>
        <v>5.6453663460306067E-3</v>
      </c>
      <c r="L153" s="103">
        <f t="shared" ref="L153" si="64">IF(L35=0,0,L35/L$17)</f>
        <v>5.3287342717723615E-3</v>
      </c>
      <c r="M153" s="103">
        <f t="shared" ref="M153:V153" si="65">IF(M35=0,0,M35/M$17)</f>
        <v>5.2590105376138976E-3</v>
      </c>
      <c r="N153" s="103">
        <f t="shared" si="65"/>
        <v>5.1723361225008294E-3</v>
      </c>
      <c r="O153" s="103">
        <f t="shared" si="65"/>
        <v>5.0702286106987281E-3</v>
      </c>
      <c r="P153" s="103">
        <f t="shared" si="65"/>
        <v>5.3885440234629038E-3</v>
      </c>
      <c r="Q153" s="103">
        <f t="shared" si="65"/>
        <v>5.2713719340986452E-3</v>
      </c>
      <c r="R153" s="103">
        <f t="shared" si="65"/>
        <v>4.573707694532041E-3</v>
      </c>
      <c r="S153" s="103">
        <f t="shared" si="65"/>
        <v>4.6904206737584993E-3</v>
      </c>
      <c r="T153" s="103">
        <f t="shared" si="65"/>
        <v>4.5007471908174983E-3</v>
      </c>
      <c r="U153" s="103">
        <f t="shared" si="65"/>
        <v>4.5616070868731576E-3</v>
      </c>
      <c r="V153" s="103">
        <f t="shared" si="65"/>
        <v>4.6109531695156013E-3</v>
      </c>
      <c r="W153" s="103">
        <f t="shared" ref="W153:Y153" si="66">IF(W35=0,0,W35/W$17)</f>
        <v>4.8063903284344704E-3</v>
      </c>
      <c r="X153" s="103">
        <f t="shared" si="66"/>
        <v>4.7300151437674508E-3</v>
      </c>
      <c r="Y153" s="103">
        <f t="shared" si="66"/>
        <v>4.8030872201249748E-3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0.10725589175017435</v>
      </c>
      <c r="C154" s="103">
        <f t="shared" si="67"/>
        <v>0.10567092470339044</v>
      </c>
      <c r="D154" s="103">
        <f t="shared" si="67"/>
        <v>0.10417521164318089</v>
      </c>
      <c r="E154" s="103">
        <f t="shared" si="67"/>
        <v>0.10340468771962942</v>
      </c>
      <c r="F154" s="103">
        <f t="shared" si="67"/>
        <v>0.10826018394945779</v>
      </c>
      <c r="G154" s="103">
        <f t="shared" si="67"/>
        <v>0.10837065765974335</v>
      </c>
      <c r="H154" s="103">
        <f t="shared" si="67"/>
        <v>0.11013923876891647</v>
      </c>
      <c r="I154" s="103">
        <f t="shared" si="67"/>
        <v>0.11339896440497176</v>
      </c>
      <c r="J154" s="103">
        <f t="shared" si="67"/>
        <v>0.12112898599894714</v>
      </c>
      <c r="K154" s="103">
        <f t="shared" si="67"/>
        <v>0.1241046582830987</v>
      </c>
      <c r="L154" s="103">
        <f t="shared" ref="L154" si="68">IF(L36=0,0,L36/L$17)</f>
        <v>0.12655788652229855</v>
      </c>
      <c r="M154" s="103">
        <f t="shared" ref="M154:V154" si="69">IF(M36=0,0,M36/M$17)</f>
        <v>0.13301329029953099</v>
      </c>
      <c r="N154" s="103">
        <f t="shared" si="69"/>
        <v>0.13800211798685644</v>
      </c>
      <c r="O154" s="103">
        <f t="shared" si="69"/>
        <v>0.14051205096590599</v>
      </c>
      <c r="P154" s="103">
        <f t="shared" si="69"/>
        <v>0.13753608094281145</v>
      </c>
      <c r="Q154" s="103">
        <f t="shared" si="69"/>
        <v>0.14097049215930171</v>
      </c>
      <c r="R154" s="103">
        <f t="shared" si="69"/>
        <v>0.15172625609021312</v>
      </c>
      <c r="S154" s="103">
        <f t="shared" si="69"/>
        <v>0.147950843126266</v>
      </c>
      <c r="T154" s="103">
        <f t="shared" si="69"/>
        <v>0.15369775552381482</v>
      </c>
      <c r="U154" s="103">
        <f t="shared" si="69"/>
        <v>0.15714278737330947</v>
      </c>
      <c r="V154" s="103">
        <f t="shared" si="69"/>
        <v>0.1683686692158953</v>
      </c>
      <c r="W154" s="103">
        <f t="shared" ref="W154:Y154" si="70">IF(W36=0,0,W36/W$17)</f>
        <v>0.16808366807761235</v>
      </c>
      <c r="X154" s="103">
        <f t="shared" si="70"/>
        <v>0.17480929499610956</v>
      </c>
      <c r="Y154" s="103">
        <f t="shared" si="70"/>
        <v>0.17687536208908908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0</v>
      </c>
      <c r="S155" s="103">
        <f t="shared" si="73"/>
        <v>0</v>
      </c>
      <c r="T155" s="103">
        <f t="shared" si="73"/>
        <v>0</v>
      </c>
      <c r="U155" s="103">
        <f t="shared" si="73"/>
        <v>0</v>
      </c>
      <c r="V155" s="103">
        <f t="shared" si="73"/>
        <v>0</v>
      </c>
      <c r="W155" s="103">
        <f t="shared" ref="W155:Y155" si="74">IF(W37=0,0,W37/W$17)</f>
        <v>0</v>
      </c>
      <c r="X155" s="103">
        <f t="shared" si="74"/>
        <v>0</v>
      </c>
      <c r="Y155" s="103">
        <f t="shared" si="74"/>
        <v>0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9.4623271848368613E-7</v>
      </c>
      <c r="D156" s="103">
        <f t="shared" si="75"/>
        <v>9.2227243879064301E-7</v>
      </c>
      <c r="E156" s="103">
        <f t="shared" si="75"/>
        <v>8.9462410220683417E-7</v>
      </c>
      <c r="F156" s="103">
        <f t="shared" si="75"/>
        <v>8.1131078193469356E-7</v>
      </c>
      <c r="G156" s="103">
        <f t="shared" si="75"/>
        <v>1.1379461214297071E-6</v>
      </c>
      <c r="H156" s="103">
        <f t="shared" si="75"/>
        <v>1.0456959296810883E-6</v>
      </c>
      <c r="I156" s="103">
        <f t="shared" si="75"/>
        <v>2.7965854706412336E-6</v>
      </c>
      <c r="J156" s="103">
        <f t="shared" si="75"/>
        <v>6.1208848126921687E-6</v>
      </c>
      <c r="K156" s="103">
        <f t="shared" si="75"/>
        <v>1.2047304215234433E-5</v>
      </c>
      <c r="L156" s="103">
        <f t="shared" ref="L156" si="76">IF(L38=0,0,L38/L$17)</f>
        <v>1.6387008145889878E-5</v>
      </c>
      <c r="M156" s="103">
        <f t="shared" ref="M156:V156" si="77">IF(M38=0,0,M38/M$17)</f>
        <v>1.8379520557947481E-5</v>
      </c>
      <c r="N156" s="103">
        <f t="shared" si="77"/>
        <v>3.34351724129471E-5</v>
      </c>
      <c r="O156" s="103">
        <f t="shared" si="77"/>
        <v>3.3186701410427126E-5</v>
      </c>
      <c r="P156" s="103">
        <f t="shared" si="77"/>
        <v>4.2297680729683429E-5</v>
      </c>
      <c r="Q156" s="103">
        <f t="shared" si="77"/>
        <v>4.972142749928877E-5</v>
      </c>
      <c r="R156" s="103">
        <f t="shared" si="77"/>
        <v>5.403177139835618E-5</v>
      </c>
      <c r="S156" s="103">
        <f t="shared" si="77"/>
        <v>8.121246859655687E-5</v>
      </c>
      <c r="T156" s="103">
        <f t="shared" si="77"/>
        <v>1.2409156145326241E-4</v>
      </c>
      <c r="U156" s="103">
        <f t="shared" si="77"/>
        <v>2.0170829142976998E-4</v>
      </c>
      <c r="V156" s="103">
        <f t="shared" si="77"/>
        <v>3.0849556762816988E-4</v>
      </c>
      <c r="W156" s="103">
        <f t="shared" ref="W156:Y156" si="78">IF(W38=0,0,W38/W$17)</f>
        <v>4.1156962493185309E-4</v>
      </c>
      <c r="X156" s="103">
        <f t="shared" si="78"/>
        <v>4.1678467275223046E-4</v>
      </c>
      <c r="Y156" s="103">
        <f t="shared" si="78"/>
        <v>4.7745078562427622E-4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0.23291999192551158</v>
      </c>
      <c r="C158" s="156">
        <f t="shared" si="83"/>
        <v>0.2391674211365436</v>
      </c>
      <c r="D158" s="156">
        <f t="shared" si="83"/>
        <v>0.23894225151754925</v>
      </c>
      <c r="E158" s="156">
        <f t="shared" si="83"/>
        <v>0.23800756965694719</v>
      </c>
      <c r="F158" s="156">
        <f t="shared" si="83"/>
        <v>0.23703835846435256</v>
      </c>
      <c r="G158" s="156">
        <f t="shared" si="83"/>
        <v>0.23363154390259305</v>
      </c>
      <c r="H158" s="156">
        <f t="shared" si="83"/>
        <v>0.22628401730539471</v>
      </c>
      <c r="I158" s="156">
        <f t="shared" si="83"/>
        <v>0.22248217142958171</v>
      </c>
      <c r="J158" s="156">
        <f t="shared" si="83"/>
        <v>0.21793720143249184</v>
      </c>
      <c r="K158" s="156">
        <f t="shared" si="83"/>
        <v>0.18787390990656685</v>
      </c>
      <c r="L158" s="156">
        <f t="shared" ref="L158" si="84">IF(L40=0,0,L40/L$17)</f>
        <v>0.19822671875629538</v>
      </c>
      <c r="M158" s="156">
        <f t="shared" ref="M158:V158" si="85">IF(M40=0,0,M40/M$17)</f>
        <v>0.17997686187966194</v>
      </c>
      <c r="N158" s="156">
        <f t="shared" si="85"/>
        <v>0.16342127476434853</v>
      </c>
      <c r="O158" s="156">
        <f t="shared" si="85"/>
        <v>0.15912339177179369</v>
      </c>
      <c r="P158" s="156">
        <f t="shared" si="85"/>
        <v>0.14070113726557296</v>
      </c>
      <c r="Q158" s="156">
        <f t="shared" si="85"/>
        <v>0.12814079847090129</v>
      </c>
      <c r="R158" s="156">
        <f t="shared" si="85"/>
        <v>0.1527288484147265</v>
      </c>
      <c r="S158" s="156">
        <f t="shared" si="85"/>
        <v>0.14573684885807145</v>
      </c>
      <c r="T158" s="156">
        <f t="shared" si="85"/>
        <v>0.14463720729865648</v>
      </c>
      <c r="U158" s="156">
        <f t="shared" si="85"/>
        <v>0.14063376972590877</v>
      </c>
      <c r="V158" s="156">
        <f t="shared" si="85"/>
        <v>0.14224435373676111</v>
      </c>
      <c r="W158" s="156">
        <f t="shared" ref="W158:Y158" si="86">IF(W40=0,0,W40/W$17)</f>
        <v>0.14790952983159833</v>
      </c>
      <c r="X158" s="156">
        <f t="shared" si="86"/>
        <v>0.15056048604183975</v>
      </c>
      <c r="Y158" s="156">
        <f t="shared" si="86"/>
        <v>0.13422507564267297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0.22397874195527737</v>
      </c>
      <c r="C159" s="103">
        <f t="shared" si="87"/>
        <v>0.22942280948486998</v>
      </c>
      <c r="D159" s="103">
        <f t="shared" si="87"/>
        <v>0.22902003665991599</v>
      </c>
      <c r="E159" s="103">
        <f t="shared" si="87"/>
        <v>0.22786982039020912</v>
      </c>
      <c r="F159" s="103">
        <f t="shared" si="87"/>
        <v>0.22542769166589507</v>
      </c>
      <c r="G159" s="103">
        <f t="shared" si="87"/>
        <v>0.22286882842519232</v>
      </c>
      <c r="H159" s="103">
        <f t="shared" si="87"/>
        <v>0.21441849822795667</v>
      </c>
      <c r="I159" s="103">
        <f t="shared" si="87"/>
        <v>0.21023804821188499</v>
      </c>
      <c r="J159" s="103">
        <f t="shared" si="87"/>
        <v>0.20770227567072444</v>
      </c>
      <c r="K159" s="103">
        <f t="shared" si="87"/>
        <v>0.17908163616356931</v>
      </c>
      <c r="L159" s="103">
        <f t="shared" ref="L159" si="88">IF(L41=0,0,L41/L$17)</f>
        <v>0.18758014189440647</v>
      </c>
      <c r="M159" s="103">
        <f t="shared" ref="M159:V159" si="89">IF(M41=0,0,M41/M$17)</f>
        <v>0.17323915158157274</v>
      </c>
      <c r="N159" s="103">
        <f t="shared" si="89"/>
        <v>0.15554392828877303</v>
      </c>
      <c r="O159" s="103">
        <f t="shared" si="89"/>
        <v>0.15244783339388671</v>
      </c>
      <c r="P159" s="103">
        <f t="shared" si="89"/>
        <v>0.13308216154138111</v>
      </c>
      <c r="Q159" s="103">
        <f t="shared" si="89"/>
        <v>0.11939611120118004</v>
      </c>
      <c r="R159" s="103">
        <f t="shared" si="89"/>
        <v>0.14473023717755654</v>
      </c>
      <c r="S159" s="103">
        <f t="shared" si="89"/>
        <v>0.13908309759830731</v>
      </c>
      <c r="T159" s="103">
        <f t="shared" si="89"/>
        <v>0.1364354125564291</v>
      </c>
      <c r="U159" s="103">
        <f t="shared" si="89"/>
        <v>0.13413936946466046</v>
      </c>
      <c r="V159" s="103">
        <f t="shared" si="89"/>
        <v>0.13533178531205844</v>
      </c>
      <c r="W159" s="103">
        <f t="shared" ref="W159:Y159" si="90">IF(W41=0,0,W41/W$17)</f>
        <v>0.13771330089210551</v>
      </c>
      <c r="X159" s="103">
        <f t="shared" si="90"/>
        <v>0.14145165249522659</v>
      </c>
      <c r="Y159" s="103">
        <f t="shared" si="90"/>
        <v>0.12629846185967061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8.9412499702342402E-3</v>
      </c>
      <c r="C160" s="105">
        <f t="shared" si="91"/>
        <v>9.7446116516736354E-3</v>
      </c>
      <c r="D160" s="105">
        <f t="shared" si="91"/>
        <v>9.9222148576332825E-3</v>
      </c>
      <c r="E160" s="105">
        <f t="shared" si="91"/>
        <v>1.0137749266738095E-2</v>
      </c>
      <c r="F160" s="105">
        <f t="shared" si="91"/>
        <v>1.1610666798457491E-2</v>
      </c>
      <c r="G160" s="105">
        <f t="shared" si="91"/>
        <v>1.0762715477400712E-2</v>
      </c>
      <c r="H160" s="105">
        <f t="shared" si="91"/>
        <v>1.1865519077438061E-2</v>
      </c>
      <c r="I160" s="105">
        <f t="shared" si="91"/>
        <v>1.2244123217696738E-2</v>
      </c>
      <c r="J160" s="105">
        <f t="shared" si="91"/>
        <v>1.0234925761767398E-2</v>
      </c>
      <c r="K160" s="105">
        <f t="shared" si="91"/>
        <v>8.7922737429975209E-3</v>
      </c>
      <c r="L160" s="105">
        <f t="shared" ref="L160" si="92">IF(L42=0,0,L42/L$17)</f>
        <v>1.0646576861888911E-2</v>
      </c>
      <c r="M160" s="105">
        <f t="shared" ref="M160:V160" si="93">IF(M42=0,0,M42/M$17)</f>
        <v>6.7377102980891801E-3</v>
      </c>
      <c r="N160" s="105">
        <f t="shared" si="93"/>
        <v>7.8773464755755099E-3</v>
      </c>
      <c r="O160" s="105">
        <f t="shared" si="93"/>
        <v>6.675558377906992E-3</v>
      </c>
      <c r="P160" s="105">
        <f t="shared" si="93"/>
        <v>7.6189757241918229E-3</v>
      </c>
      <c r="Q160" s="105">
        <f t="shared" si="93"/>
        <v>8.7446872697212515E-3</v>
      </c>
      <c r="R160" s="105">
        <f t="shared" si="93"/>
        <v>7.9986112371699565E-3</v>
      </c>
      <c r="S160" s="105">
        <f t="shared" si="93"/>
        <v>6.6537512597641376E-3</v>
      </c>
      <c r="T160" s="105">
        <f t="shared" si="93"/>
        <v>8.201794742227389E-3</v>
      </c>
      <c r="U160" s="105">
        <f t="shared" si="93"/>
        <v>6.4944002612483094E-3</v>
      </c>
      <c r="V160" s="105">
        <f t="shared" si="93"/>
        <v>6.9125684247026541E-3</v>
      </c>
      <c r="W160" s="105">
        <f t="shared" ref="W160:Y160" si="94">IF(W42=0,0,W42/W$17)</f>
        <v>1.0196228939492815E-2</v>
      </c>
      <c r="X160" s="105">
        <f t="shared" si="94"/>
        <v>9.1088335466131438E-3</v>
      </c>
      <c r="Y160" s="105">
        <f t="shared" si="94"/>
        <v>7.9266137830023547E-3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2628149</v>
      </c>
      <c r="C3" s="54">
        <f>TrRoad_act!C57</f>
        <v>2674787</v>
      </c>
      <c r="D3" s="54">
        <f>TrRoad_act!D57</f>
        <v>2733177</v>
      </c>
      <c r="E3" s="54">
        <f>TrRoad_act!E57</f>
        <v>2842229</v>
      </c>
      <c r="F3" s="54">
        <f>TrRoad_act!F57</f>
        <v>2968449</v>
      </c>
      <c r="G3" s="54">
        <f>TrRoad_act!G57</f>
        <v>3091062</v>
      </c>
      <c r="H3" s="54">
        <f>TrRoad_act!H57</f>
        <v>3215294</v>
      </c>
      <c r="I3" s="54">
        <f>TrRoad_act!I57</f>
        <v>3337446</v>
      </c>
      <c r="J3" s="54">
        <f>TrRoad_act!J57</f>
        <v>3543457</v>
      </c>
      <c r="K3" s="54">
        <f>TrRoad_act!K57</f>
        <v>3674228</v>
      </c>
      <c r="L3" s="54">
        <f>TrRoad_act!L57</f>
        <v>3826049</v>
      </c>
      <c r="M3" s="54">
        <f>TrRoad_act!M57</f>
        <v>3981592</v>
      </c>
      <c r="N3" s="54">
        <f>TrRoad_act!N57</f>
        <v>4102142</v>
      </c>
      <c r="O3" s="54">
        <f>TrRoad_act!O57</f>
        <v>4206957</v>
      </c>
      <c r="P3" s="54">
        <f>TrRoad_act!P57</f>
        <v>4306071</v>
      </c>
      <c r="Q3" s="54">
        <f>TrRoad_act!Q57</f>
        <v>4400439</v>
      </c>
      <c r="R3" s="54">
        <f>TrRoad_act!R57</f>
        <v>4521544</v>
      </c>
      <c r="S3" s="54">
        <f>TrRoad_act!S57</f>
        <v>4633993</v>
      </c>
      <c r="T3" s="54">
        <f>TrRoad_act!T57</f>
        <v>4738496</v>
      </c>
      <c r="U3" s="54">
        <f>TrRoad_act!U57</f>
        <v>4851702</v>
      </c>
      <c r="V3" s="54">
        <f>TrRoad_act!V57</f>
        <v>4947533</v>
      </c>
      <c r="W3" s="54">
        <f>TrRoad_act!W57</f>
        <v>5002650</v>
      </c>
      <c r="X3" s="54">
        <f>TrRoad_act!X57</f>
        <v>5058623</v>
      </c>
      <c r="Y3" s="54">
        <f>TrRoad_act!Y57</f>
        <v>5119883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2323982</v>
      </c>
      <c r="C4" s="28">
        <f>TrRoad_act!C58</f>
        <v>2362208</v>
      </c>
      <c r="D4" s="28">
        <f>TrRoad_act!D58</f>
        <v>2413568</v>
      </c>
      <c r="E4" s="28">
        <f>TrRoad_act!E58</f>
        <v>2515083</v>
      </c>
      <c r="F4" s="28">
        <f>TrRoad_act!F58</f>
        <v>2613586</v>
      </c>
      <c r="G4" s="28">
        <f>TrRoad_act!G58</f>
        <v>2727160</v>
      </c>
      <c r="H4" s="28">
        <f>TrRoad_act!H58</f>
        <v>2838877</v>
      </c>
      <c r="I4" s="28">
        <f>TrRoad_act!I58</f>
        <v>2941588</v>
      </c>
      <c r="J4" s="28">
        <f>TrRoad_act!J58</f>
        <v>3116605</v>
      </c>
      <c r="K4" s="28">
        <f>TrRoad_act!K58</f>
        <v>3227462</v>
      </c>
      <c r="L4" s="28">
        <f>TrRoad_act!L58</f>
        <v>3358617</v>
      </c>
      <c r="M4" s="28">
        <f>TrRoad_act!M58</f>
        <v>3488270</v>
      </c>
      <c r="N4" s="28">
        <f>TrRoad_act!N58</f>
        <v>3589522</v>
      </c>
      <c r="O4" s="28">
        <f>TrRoad_act!O58</f>
        <v>3675571</v>
      </c>
      <c r="P4" s="28">
        <f>TrRoad_act!P58</f>
        <v>3757128</v>
      </c>
      <c r="Q4" s="28">
        <f>TrRoad_act!Q58</f>
        <v>3832819</v>
      </c>
      <c r="R4" s="28">
        <f>TrRoad_act!R58</f>
        <v>3931958</v>
      </c>
      <c r="S4" s="28">
        <f>TrRoad_act!S58</f>
        <v>4020760</v>
      </c>
      <c r="T4" s="28">
        <f>TrRoad_act!T58</f>
        <v>4102715</v>
      </c>
      <c r="U4" s="28">
        <f>TrRoad_act!U58</f>
        <v>4192886</v>
      </c>
      <c r="V4" s="28">
        <f>TrRoad_act!V58</f>
        <v>4263270</v>
      </c>
      <c r="W4" s="28">
        <f>TrRoad_act!W58</f>
        <v>4307065</v>
      </c>
      <c r="X4" s="28">
        <f>TrRoad_act!X58</f>
        <v>4349045</v>
      </c>
      <c r="Y4" s="28">
        <f>TrRoad_act!Y58</f>
        <v>4397451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193422</v>
      </c>
      <c r="C5" s="137">
        <f>TrRoad_act!C59</f>
        <v>206235</v>
      </c>
      <c r="D5" s="137">
        <f>TrRoad_act!D59</f>
        <v>223577</v>
      </c>
      <c r="E5" s="137">
        <f>TrRoad_act!E59</f>
        <v>245382</v>
      </c>
      <c r="F5" s="137">
        <f>TrRoad_act!F59</f>
        <v>271720</v>
      </c>
      <c r="G5" s="137">
        <f>TrRoad_act!G59</f>
        <v>301805</v>
      </c>
      <c r="H5" s="137">
        <f>TrRoad_act!H59</f>
        <v>338443</v>
      </c>
      <c r="I5" s="137">
        <f>TrRoad_act!I59</f>
        <v>376532</v>
      </c>
      <c r="J5" s="137">
        <f>TrRoad_act!J59</f>
        <v>421544</v>
      </c>
      <c r="K5" s="137">
        <f>TrRoad_act!K59</f>
        <v>456197</v>
      </c>
      <c r="L5" s="137">
        <f>TrRoad_act!L59</f>
        <v>486766</v>
      </c>
      <c r="M5" s="137">
        <f>TrRoad_act!M59</f>
        <v>515517</v>
      </c>
      <c r="N5" s="137">
        <f>TrRoad_act!N59</f>
        <v>538019</v>
      </c>
      <c r="O5" s="137">
        <f>TrRoad_act!O59</f>
        <v>554252</v>
      </c>
      <c r="P5" s="137">
        <f>TrRoad_act!P59</f>
        <v>568191</v>
      </c>
      <c r="Q5" s="137">
        <f>TrRoad_act!Q59</f>
        <v>581147</v>
      </c>
      <c r="R5" s="137">
        <f>TrRoad_act!R59</f>
        <v>591795</v>
      </c>
      <c r="S5" s="137">
        <f>TrRoad_act!S59</f>
        <v>603756</v>
      </c>
      <c r="T5" s="137">
        <f>TrRoad_act!T59</f>
        <v>613741</v>
      </c>
      <c r="U5" s="137">
        <f>TrRoad_act!U59</f>
        <v>623997</v>
      </c>
      <c r="V5" s="137">
        <f>TrRoad_act!V59</f>
        <v>636457</v>
      </c>
      <c r="W5" s="137">
        <f>TrRoad_act!W59</f>
        <v>646063</v>
      </c>
      <c r="X5" s="137">
        <f>TrRoad_act!X59</f>
        <v>655700</v>
      </c>
      <c r="Y5" s="137">
        <f>TrRoad_act!Y59</f>
        <v>659611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2120749</v>
      </c>
      <c r="C6" s="110">
        <f>TrRoad_act!C60</f>
        <v>2146243</v>
      </c>
      <c r="D6" s="110">
        <f>TrRoad_act!D60</f>
        <v>2180025</v>
      </c>
      <c r="E6" s="110">
        <f>TrRoad_act!E60</f>
        <v>2259383</v>
      </c>
      <c r="F6" s="110">
        <f>TrRoad_act!F60</f>
        <v>2331190</v>
      </c>
      <c r="G6" s="110">
        <f>TrRoad_act!G60</f>
        <v>2414477</v>
      </c>
      <c r="H6" s="110">
        <f>TrRoad_act!H60</f>
        <v>2489287</v>
      </c>
      <c r="I6" s="110">
        <f>TrRoad_act!I60</f>
        <v>2553556</v>
      </c>
      <c r="J6" s="110">
        <f>TrRoad_act!J60</f>
        <v>2682831</v>
      </c>
      <c r="K6" s="110">
        <f>TrRoad_act!K60</f>
        <v>2758291</v>
      </c>
      <c r="L6" s="110">
        <f>TrRoad_act!L60</f>
        <v>2858244</v>
      </c>
      <c r="M6" s="110">
        <f>TrRoad_act!M60</f>
        <v>2958568</v>
      </c>
      <c r="N6" s="110">
        <f>TrRoad_act!N60</f>
        <v>3036618</v>
      </c>
      <c r="O6" s="110">
        <f>TrRoad_act!O60</f>
        <v>3105834</v>
      </c>
      <c r="P6" s="110">
        <f>TrRoad_act!P60</f>
        <v>3172735</v>
      </c>
      <c r="Q6" s="110">
        <f>TrRoad_act!Q60</f>
        <v>3234860</v>
      </c>
      <c r="R6" s="110">
        <f>TrRoad_act!R60</f>
        <v>3322672</v>
      </c>
      <c r="S6" s="110">
        <f>TrRoad_act!S60</f>
        <v>3398937</v>
      </c>
      <c r="T6" s="110">
        <f>TrRoad_act!T60</f>
        <v>3470507</v>
      </c>
      <c r="U6" s="110">
        <f>TrRoad_act!U60</f>
        <v>3549803</v>
      </c>
      <c r="V6" s="110">
        <f>TrRoad_act!V60</f>
        <v>3607531</v>
      </c>
      <c r="W6" s="110">
        <f>TrRoad_act!W60</f>
        <v>3641532</v>
      </c>
      <c r="X6" s="110">
        <f>TrRoad_act!X60</f>
        <v>3673750</v>
      </c>
      <c r="Y6" s="110">
        <f>TrRoad_act!Y60</f>
        <v>3718279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1902775</v>
      </c>
      <c r="C7" s="84">
        <f>TrRoad_act!C61</f>
        <v>1916217</v>
      </c>
      <c r="D7" s="84">
        <f>TrRoad_act!D61</f>
        <v>1937022</v>
      </c>
      <c r="E7" s="84">
        <f>TrRoad_act!E61</f>
        <v>1995338</v>
      </c>
      <c r="F7" s="84">
        <f>TrRoad_act!F61</f>
        <v>2057168</v>
      </c>
      <c r="G7" s="84">
        <f>TrRoad_act!G61</f>
        <v>2113418</v>
      </c>
      <c r="H7" s="84">
        <f>TrRoad_act!H61</f>
        <v>2157246</v>
      </c>
      <c r="I7" s="84">
        <f>TrRoad_act!I61</f>
        <v>2183527</v>
      </c>
      <c r="J7" s="84">
        <f>TrRoad_act!J61</f>
        <v>2235678</v>
      </c>
      <c r="K7" s="84">
        <f>TrRoad_act!K61</f>
        <v>2263751</v>
      </c>
      <c r="L7" s="84">
        <f>TrRoad_act!L61</f>
        <v>2302664</v>
      </c>
      <c r="M7" s="84">
        <f>TrRoad_act!M61</f>
        <v>2340949</v>
      </c>
      <c r="N7" s="84">
        <f>TrRoad_act!N61</f>
        <v>2371525</v>
      </c>
      <c r="O7" s="84">
        <f>TrRoad_act!O61</f>
        <v>2399165</v>
      </c>
      <c r="P7" s="84">
        <f>TrRoad_act!P61</f>
        <v>2424647</v>
      </c>
      <c r="Q7" s="84">
        <f>TrRoad_act!Q61</f>
        <v>2447882</v>
      </c>
      <c r="R7" s="84">
        <f>TrRoad_act!R61</f>
        <v>2489315</v>
      </c>
      <c r="S7" s="84">
        <f>TrRoad_act!S61</f>
        <v>2521458</v>
      </c>
      <c r="T7" s="84">
        <f>TrRoad_act!T61</f>
        <v>2548091</v>
      </c>
      <c r="U7" s="84">
        <f>TrRoad_act!U61</f>
        <v>2584290</v>
      </c>
      <c r="V7" s="84">
        <f>TrRoad_act!V61</f>
        <v>2598084</v>
      </c>
      <c r="W7" s="84">
        <f>TrRoad_act!W61</f>
        <v>2583387</v>
      </c>
      <c r="X7" s="84">
        <f>TrRoad_act!X61</f>
        <v>2568097</v>
      </c>
      <c r="Y7" s="84">
        <f>TrRoad_act!Y61</f>
        <v>2583669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217974</v>
      </c>
      <c r="C8" s="84">
        <f>TrRoad_act!C62</f>
        <v>230026</v>
      </c>
      <c r="D8" s="84">
        <f>TrRoad_act!D62</f>
        <v>243003</v>
      </c>
      <c r="E8" s="84">
        <f>TrRoad_act!E62</f>
        <v>264045</v>
      </c>
      <c r="F8" s="84">
        <f>TrRoad_act!F62</f>
        <v>274022</v>
      </c>
      <c r="G8" s="84">
        <f>TrRoad_act!G62</f>
        <v>301059</v>
      </c>
      <c r="H8" s="84">
        <f>TrRoad_act!H62</f>
        <v>332038</v>
      </c>
      <c r="I8" s="84">
        <f>TrRoad_act!I62</f>
        <v>369920</v>
      </c>
      <c r="J8" s="84">
        <f>TrRoad_act!J62</f>
        <v>446936</v>
      </c>
      <c r="K8" s="84">
        <f>TrRoad_act!K62</f>
        <v>494161</v>
      </c>
      <c r="L8" s="84">
        <f>TrRoad_act!L62</f>
        <v>555073</v>
      </c>
      <c r="M8" s="84">
        <f>TrRoad_act!M62</f>
        <v>616942</v>
      </c>
      <c r="N8" s="84">
        <f>TrRoad_act!N62</f>
        <v>664025</v>
      </c>
      <c r="O8" s="84">
        <f>TrRoad_act!O62</f>
        <v>705192</v>
      </c>
      <c r="P8" s="84">
        <f>TrRoad_act!P62</f>
        <v>745912</v>
      </c>
      <c r="Q8" s="84">
        <f>TrRoad_act!Q62</f>
        <v>783844</v>
      </c>
      <c r="R8" s="84">
        <f>TrRoad_act!R62</f>
        <v>828254</v>
      </c>
      <c r="S8" s="84">
        <f>TrRoad_act!S62</f>
        <v>867156</v>
      </c>
      <c r="T8" s="84">
        <f>TrRoad_act!T62</f>
        <v>901316</v>
      </c>
      <c r="U8" s="84">
        <f>TrRoad_act!U62</f>
        <v>926769</v>
      </c>
      <c r="V8" s="84">
        <f>TrRoad_act!V62</f>
        <v>941773</v>
      </c>
      <c r="W8" s="84">
        <f>TrRoad_act!W62</f>
        <v>944762</v>
      </c>
      <c r="X8" s="84">
        <f>TrRoad_act!X62</f>
        <v>935861</v>
      </c>
      <c r="Y8" s="84">
        <f>TrRoad_act!Y62</f>
        <v>929186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0</v>
      </c>
      <c r="D9" s="84">
        <f>TrRoad_act!D63</f>
        <v>0</v>
      </c>
      <c r="E9" s="84">
        <f>TrRoad_act!E63</f>
        <v>0</v>
      </c>
      <c r="F9" s="84">
        <f>TrRoad_act!F63</f>
        <v>0</v>
      </c>
      <c r="G9" s="84">
        <f>TrRoad_act!G63</f>
        <v>0</v>
      </c>
      <c r="H9" s="84">
        <f>TrRoad_act!H63</f>
        <v>0</v>
      </c>
      <c r="I9" s="84">
        <f>TrRoad_act!I63</f>
        <v>0</v>
      </c>
      <c r="J9" s="84">
        <f>TrRoad_act!J63</f>
        <v>0</v>
      </c>
      <c r="K9" s="84">
        <f>TrRoad_act!K63</f>
        <v>0</v>
      </c>
      <c r="L9" s="84">
        <f>TrRoad_act!L63</f>
        <v>0</v>
      </c>
      <c r="M9" s="84">
        <f>TrRoad_act!M63</f>
        <v>0</v>
      </c>
      <c r="N9" s="84">
        <f>TrRoad_act!N63</f>
        <v>0</v>
      </c>
      <c r="O9" s="84">
        <f>TrRoad_act!O63</f>
        <v>0</v>
      </c>
      <c r="P9" s="84">
        <f>TrRoad_act!P63</f>
        <v>0</v>
      </c>
      <c r="Q9" s="84">
        <f>TrRoad_act!Q63</f>
        <v>0</v>
      </c>
      <c r="R9" s="84">
        <f>TrRoad_act!R63</f>
        <v>0</v>
      </c>
      <c r="S9" s="84">
        <f>TrRoad_act!S63</f>
        <v>0</v>
      </c>
      <c r="T9" s="84">
        <f>TrRoad_act!T63</f>
        <v>0</v>
      </c>
      <c r="U9" s="84">
        <f>TrRoad_act!U63</f>
        <v>0</v>
      </c>
      <c r="V9" s="84">
        <f>TrRoad_act!V63</f>
        <v>0</v>
      </c>
      <c r="W9" s="84">
        <f>TrRoad_act!W63</f>
        <v>0</v>
      </c>
      <c r="X9" s="84">
        <f>TrRoad_act!X63</f>
        <v>0</v>
      </c>
      <c r="Y9" s="84">
        <f>TrRoad_act!Y63</f>
        <v>0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3</v>
      </c>
      <c r="I10" s="84">
        <f>TrRoad_act!I64</f>
        <v>106</v>
      </c>
      <c r="J10" s="84">
        <f>TrRoad_act!J64</f>
        <v>210</v>
      </c>
      <c r="K10" s="84">
        <f>TrRoad_act!K64</f>
        <v>366</v>
      </c>
      <c r="L10" s="84">
        <f>TrRoad_act!L64</f>
        <v>484</v>
      </c>
      <c r="M10" s="84">
        <f>TrRoad_act!M64</f>
        <v>621</v>
      </c>
      <c r="N10" s="84">
        <f>TrRoad_act!N64</f>
        <v>831</v>
      </c>
      <c r="O10" s="84">
        <f>TrRoad_act!O64</f>
        <v>1020</v>
      </c>
      <c r="P10" s="84">
        <f>TrRoad_act!P64</f>
        <v>1250</v>
      </c>
      <c r="Q10" s="84">
        <f>TrRoad_act!Q64</f>
        <v>1503</v>
      </c>
      <c r="R10" s="84">
        <f>TrRoad_act!R64</f>
        <v>1822</v>
      </c>
      <c r="S10" s="84">
        <f>TrRoad_act!S64</f>
        <v>3155</v>
      </c>
      <c r="T10" s="84">
        <f>TrRoad_act!T64</f>
        <v>5601</v>
      </c>
      <c r="U10" s="84">
        <f>TrRoad_act!U64</f>
        <v>9380</v>
      </c>
      <c r="V10" s="84">
        <f>TrRoad_act!V64</f>
        <v>12357</v>
      </c>
      <c r="W10" s="84">
        <f>TrRoad_act!W64</f>
        <v>13472</v>
      </c>
      <c r="X10" s="84">
        <f>TrRoad_act!X64</f>
        <v>15749</v>
      </c>
      <c r="Y10" s="84">
        <f>TrRoad_act!Y64</f>
        <v>15998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128</v>
      </c>
      <c r="O11" s="84">
        <f>TrRoad_act!O65</f>
        <v>288</v>
      </c>
      <c r="P11" s="84">
        <f>TrRoad_act!P65</f>
        <v>566</v>
      </c>
      <c r="Q11" s="84">
        <f>TrRoad_act!Q65</f>
        <v>1017</v>
      </c>
      <c r="R11" s="84">
        <f>TrRoad_act!R65</f>
        <v>2437</v>
      </c>
      <c r="S11" s="84">
        <f>TrRoad_act!S65</f>
        <v>5719</v>
      </c>
      <c r="T11" s="84">
        <f>TrRoad_act!T65</f>
        <v>13095</v>
      </c>
      <c r="U11" s="84">
        <f>TrRoad_act!U65</f>
        <v>24703</v>
      </c>
      <c r="V11" s="84">
        <f>TrRoad_act!V65</f>
        <v>45620</v>
      </c>
      <c r="W11" s="84">
        <f>TrRoad_act!W65</f>
        <v>76990</v>
      </c>
      <c r="X11" s="84">
        <f>TrRoad_act!X65</f>
        <v>106058</v>
      </c>
      <c r="Y11" s="84">
        <f>TrRoad_act!Y65</f>
        <v>115307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3</v>
      </c>
      <c r="J12" s="84">
        <f>TrRoad_act!J66</f>
        <v>7</v>
      </c>
      <c r="K12" s="84">
        <f>TrRoad_act!K66</f>
        <v>13</v>
      </c>
      <c r="L12" s="84">
        <f>TrRoad_act!L66</f>
        <v>23</v>
      </c>
      <c r="M12" s="84">
        <f>TrRoad_act!M66</f>
        <v>56</v>
      </c>
      <c r="N12" s="84">
        <f>TrRoad_act!N66</f>
        <v>109</v>
      </c>
      <c r="O12" s="84">
        <f>TrRoad_act!O66</f>
        <v>169</v>
      </c>
      <c r="P12" s="84">
        <f>TrRoad_act!P66</f>
        <v>360</v>
      </c>
      <c r="Q12" s="84">
        <f>TrRoad_act!Q66</f>
        <v>614</v>
      </c>
      <c r="R12" s="84">
        <f>TrRoad_act!R66</f>
        <v>844</v>
      </c>
      <c r="S12" s="84">
        <f>TrRoad_act!S66</f>
        <v>1449</v>
      </c>
      <c r="T12" s="84">
        <f>TrRoad_act!T66</f>
        <v>2404</v>
      </c>
      <c r="U12" s="84">
        <f>TrRoad_act!U66</f>
        <v>4661</v>
      </c>
      <c r="V12" s="84">
        <f>TrRoad_act!V66</f>
        <v>9697</v>
      </c>
      <c r="W12" s="84">
        <f>TrRoad_act!W66</f>
        <v>22921</v>
      </c>
      <c r="X12" s="84">
        <f>TrRoad_act!X66</f>
        <v>47985</v>
      </c>
      <c r="Y12" s="84">
        <f>TrRoad_act!Y66</f>
        <v>74119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9811</v>
      </c>
      <c r="C13" s="110">
        <f>TrRoad_act!C67</f>
        <v>9730</v>
      </c>
      <c r="D13" s="110">
        <f>TrRoad_act!D67</f>
        <v>9966</v>
      </c>
      <c r="E13" s="110">
        <f>TrRoad_act!E67</f>
        <v>10318</v>
      </c>
      <c r="F13" s="110">
        <f>TrRoad_act!F67</f>
        <v>10676</v>
      </c>
      <c r="G13" s="110">
        <f>TrRoad_act!G67</f>
        <v>10878</v>
      </c>
      <c r="H13" s="110">
        <f>TrRoad_act!H67</f>
        <v>11147</v>
      </c>
      <c r="I13" s="110">
        <f>TrRoad_act!I67</f>
        <v>11500</v>
      </c>
      <c r="J13" s="110">
        <f>TrRoad_act!J67</f>
        <v>12230</v>
      </c>
      <c r="K13" s="110">
        <f>TrRoad_act!K67</f>
        <v>12974</v>
      </c>
      <c r="L13" s="110">
        <f>TrRoad_act!L67</f>
        <v>13607</v>
      </c>
      <c r="M13" s="110">
        <f>TrRoad_act!M67</f>
        <v>14185</v>
      </c>
      <c r="N13" s="110">
        <f>TrRoad_act!N67</f>
        <v>14885</v>
      </c>
      <c r="O13" s="110">
        <f>TrRoad_act!O67</f>
        <v>15485</v>
      </c>
      <c r="P13" s="110">
        <f>TrRoad_act!P67</f>
        <v>16202</v>
      </c>
      <c r="Q13" s="110">
        <f>TrRoad_act!Q67</f>
        <v>16812</v>
      </c>
      <c r="R13" s="110">
        <f>TrRoad_act!R67</f>
        <v>17491</v>
      </c>
      <c r="S13" s="110">
        <f>TrRoad_act!S67</f>
        <v>18067</v>
      </c>
      <c r="T13" s="110">
        <f>TrRoad_act!T67</f>
        <v>18467</v>
      </c>
      <c r="U13" s="110">
        <f>TrRoad_act!U67</f>
        <v>19086</v>
      </c>
      <c r="V13" s="110">
        <f>TrRoad_act!V67</f>
        <v>19282</v>
      </c>
      <c r="W13" s="110">
        <f>TrRoad_act!W67</f>
        <v>19470</v>
      </c>
      <c r="X13" s="110">
        <f>TrRoad_act!X67</f>
        <v>19595</v>
      </c>
      <c r="Y13" s="110">
        <f>TrRoad_act!Y67</f>
        <v>19561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27</v>
      </c>
      <c r="C14" s="102">
        <f>TrRoad_act!C68</f>
        <v>30</v>
      </c>
      <c r="D14" s="102">
        <f>TrRoad_act!D68</f>
        <v>29</v>
      </c>
      <c r="E14" s="102">
        <f>TrRoad_act!E68</f>
        <v>29</v>
      </c>
      <c r="F14" s="102">
        <f>TrRoad_act!F68</f>
        <v>30</v>
      </c>
      <c r="G14" s="102">
        <f>TrRoad_act!G68</f>
        <v>33</v>
      </c>
      <c r="H14" s="102">
        <f>TrRoad_act!H68</f>
        <v>31</v>
      </c>
      <c r="I14" s="102">
        <f>TrRoad_act!I68</f>
        <v>32</v>
      </c>
      <c r="J14" s="102">
        <f>TrRoad_act!J68</f>
        <v>31</v>
      </c>
      <c r="K14" s="102">
        <f>TrRoad_act!K68</f>
        <v>31</v>
      </c>
      <c r="L14" s="102">
        <f>TrRoad_act!L68</f>
        <v>32</v>
      </c>
      <c r="M14" s="102">
        <f>TrRoad_act!M68</f>
        <v>31</v>
      </c>
      <c r="N14" s="102">
        <f>TrRoad_act!N68</f>
        <v>31</v>
      </c>
      <c r="O14" s="102">
        <f>TrRoad_act!O68</f>
        <v>31</v>
      </c>
      <c r="P14" s="102">
        <f>TrRoad_act!P68</f>
        <v>31</v>
      </c>
      <c r="Q14" s="102">
        <f>TrRoad_act!Q68</f>
        <v>31</v>
      </c>
      <c r="R14" s="102">
        <f>TrRoad_act!R68</f>
        <v>31</v>
      </c>
      <c r="S14" s="102">
        <f>TrRoad_act!S68</f>
        <v>32</v>
      </c>
      <c r="T14" s="102">
        <f>TrRoad_act!T68</f>
        <v>32</v>
      </c>
      <c r="U14" s="102">
        <f>TrRoad_act!U68</f>
        <v>32</v>
      </c>
      <c r="V14" s="102">
        <f>TrRoad_act!V68</f>
        <v>31</v>
      </c>
      <c r="W14" s="102">
        <f>TrRoad_act!W68</f>
        <v>31</v>
      </c>
      <c r="X14" s="102">
        <f>TrRoad_act!X68</f>
        <v>31</v>
      </c>
      <c r="Y14" s="102">
        <f>TrRoad_act!Y68</f>
        <v>30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9679</v>
      </c>
      <c r="C15" s="102">
        <f>TrRoad_act!C69</f>
        <v>9597</v>
      </c>
      <c r="D15" s="102">
        <f>TrRoad_act!D69</f>
        <v>9781</v>
      </c>
      <c r="E15" s="102">
        <f>TrRoad_act!E69</f>
        <v>10131</v>
      </c>
      <c r="F15" s="102">
        <f>TrRoad_act!F69</f>
        <v>10491</v>
      </c>
      <c r="G15" s="102">
        <f>TrRoad_act!G69</f>
        <v>10691</v>
      </c>
      <c r="H15" s="102">
        <f>TrRoad_act!H69</f>
        <v>10913</v>
      </c>
      <c r="I15" s="102">
        <f>TrRoad_act!I69</f>
        <v>11261</v>
      </c>
      <c r="J15" s="102">
        <f>TrRoad_act!J69</f>
        <v>11998</v>
      </c>
      <c r="K15" s="102">
        <f>TrRoad_act!K69</f>
        <v>12741</v>
      </c>
      <c r="L15" s="102">
        <f>TrRoad_act!L69</f>
        <v>13383</v>
      </c>
      <c r="M15" s="102">
        <f>TrRoad_act!M69</f>
        <v>13973</v>
      </c>
      <c r="N15" s="102">
        <f>TrRoad_act!N69</f>
        <v>14678</v>
      </c>
      <c r="O15" s="102">
        <f>TrRoad_act!O69</f>
        <v>15285</v>
      </c>
      <c r="P15" s="102">
        <f>TrRoad_act!P69</f>
        <v>15990</v>
      </c>
      <c r="Q15" s="102">
        <f>TrRoad_act!Q69</f>
        <v>16599</v>
      </c>
      <c r="R15" s="102">
        <f>TrRoad_act!R69</f>
        <v>17277</v>
      </c>
      <c r="S15" s="102">
        <f>TrRoad_act!S69</f>
        <v>17853</v>
      </c>
      <c r="T15" s="102">
        <f>TrRoad_act!T69</f>
        <v>18245</v>
      </c>
      <c r="U15" s="102">
        <f>TrRoad_act!U69</f>
        <v>18828</v>
      </c>
      <c r="V15" s="102">
        <f>TrRoad_act!V69</f>
        <v>19041</v>
      </c>
      <c r="W15" s="102">
        <f>TrRoad_act!W69</f>
        <v>19039</v>
      </c>
      <c r="X15" s="102">
        <f>TrRoad_act!X69</f>
        <v>18883</v>
      </c>
      <c r="Y15" s="102">
        <f>TrRoad_act!Y69</f>
        <v>18732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X16" s="102">
        <f>TrRoad_act!X70</f>
        <v>0</v>
      </c>
      <c r="Y16" s="102">
        <f>TrRoad_act!Y70</f>
        <v>0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105</v>
      </c>
      <c r="C17" s="102">
        <f>TrRoad_act!C71</f>
        <v>103</v>
      </c>
      <c r="D17" s="102">
        <f>TrRoad_act!D71</f>
        <v>156</v>
      </c>
      <c r="E17" s="102">
        <f>TrRoad_act!E71</f>
        <v>158</v>
      </c>
      <c r="F17" s="102">
        <f>TrRoad_act!F71</f>
        <v>155</v>
      </c>
      <c r="G17" s="102">
        <f>TrRoad_act!G71</f>
        <v>154</v>
      </c>
      <c r="H17" s="102">
        <f>TrRoad_act!H71</f>
        <v>203</v>
      </c>
      <c r="I17" s="102">
        <f>TrRoad_act!I71</f>
        <v>207</v>
      </c>
      <c r="J17" s="102">
        <f>TrRoad_act!J71</f>
        <v>201</v>
      </c>
      <c r="K17" s="102">
        <f>TrRoad_act!K71</f>
        <v>202</v>
      </c>
      <c r="L17" s="102">
        <f>TrRoad_act!L71</f>
        <v>192</v>
      </c>
      <c r="M17" s="102">
        <f>TrRoad_act!M71</f>
        <v>181</v>
      </c>
      <c r="N17" s="102">
        <f>TrRoad_act!N71</f>
        <v>170</v>
      </c>
      <c r="O17" s="102">
        <f>TrRoad_act!O71</f>
        <v>166</v>
      </c>
      <c r="P17" s="102">
        <f>TrRoad_act!P71</f>
        <v>176</v>
      </c>
      <c r="Q17" s="102">
        <f>TrRoad_act!Q71</f>
        <v>176</v>
      </c>
      <c r="R17" s="102">
        <f>TrRoad_act!R71</f>
        <v>167</v>
      </c>
      <c r="S17" s="102">
        <f>TrRoad_act!S71</f>
        <v>158</v>
      </c>
      <c r="T17" s="102">
        <f>TrRoad_act!T71</f>
        <v>166</v>
      </c>
      <c r="U17" s="102">
        <f>TrRoad_act!U71</f>
        <v>161</v>
      </c>
      <c r="V17" s="102">
        <f>TrRoad_act!V71</f>
        <v>119</v>
      </c>
      <c r="W17" s="102">
        <f>TrRoad_act!W71</f>
        <v>119</v>
      </c>
      <c r="X17" s="102">
        <f>TrRoad_act!X71</f>
        <v>123</v>
      </c>
      <c r="Y17" s="102">
        <f>TrRoad_act!Y71</f>
        <v>135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6</v>
      </c>
      <c r="O18" s="102">
        <f>TrRoad_act!O72</f>
        <v>3</v>
      </c>
      <c r="P18" s="102">
        <f>TrRoad_act!P72</f>
        <v>5</v>
      </c>
      <c r="Q18" s="102">
        <f>TrRoad_act!Q72</f>
        <v>6</v>
      </c>
      <c r="R18" s="102">
        <f>TrRoad_act!R72</f>
        <v>16</v>
      </c>
      <c r="S18" s="102">
        <f>TrRoad_act!S72</f>
        <v>24</v>
      </c>
      <c r="T18" s="102">
        <f>TrRoad_act!T72</f>
        <v>24</v>
      </c>
      <c r="U18" s="102">
        <f>TrRoad_act!U72</f>
        <v>65</v>
      </c>
      <c r="V18" s="102">
        <f>TrRoad_act!V72</f>
        <v>91</v>
      </c>
      <c r="W18" s="102">
        <f>TrRoad_act!W72</f>
        <v>281</v>
      </c>
      <c r="X18" s="102">
        <f>TrRoad_act!X72</f>
        <v>558</v>
      </c>
      <c r="Y18" s="102">
        <f>TrRoad_act!Y72</f>
        <v>664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304167</v>
      </c>
      <c r="C19" s="28">
        <f>TrRoad_act!C73</f>
        <v>312579</v>
      </c>
      <c r="D19" s="28">
        <f>TrRoad_act!D73</f>
        <v>319609</v>
      </c>
      <c r="E19" s="28">
        <f>TrRoad_act!E73</f>
        <v>327146</v>
      </c>
      <c r="F19" s="28">
        <f>TrRoad_act!F73</f>
        <v>354863</v>
      </c>
      <c r="G19" s="28">
        <f>TrRoad_act!G73</f>
        <v>363902</v>
      </c>
      <c r="H19" s="28">
        <f>TrRoad_act!H73</f>
        <v>376417</v>
      </c>
      <c r="I19" s="28">
        <f>TrRoad_act!I73</f>
        <v>395858</v>
      </c>
      <c r="J19" s="28">
        <f>TrRoad_act!J73</f>
        <v>426852</v>
      </c>
      <c r="K19" s="28">
        <f>TrRoad_act!K73</f>
        <v>446766</v>
      </c>
      <c r="L19" s="28">
        <f>TrRoad_act!L73</f>
        <v>467432</v>
      </c>
      <c r="M19" s="28">
        <f>TrRoad_act!M73</f>
        <v>493322</v>
      </c>
      <c r="N19" s="28">
        <f>TrRoad_act!N73</f>
        <v>512620</v>
      </c>
      <c r="O19" s="28">
        <f>TrRoad_act!O73</f>
        <v>531386</v>
      </c>
      <c r="P19" s="28">
        <f>TrRoad_act!P73</f>
        <v>548943</v>
      </c>
      <c r="Q19" s="28">
        <f>TrRoad_act!Q73</f>
        <v>567620</v>
      </c>
      <c r="R19" s="28">
        <f>TrRoad_act!R73</f>
        <v>589586</v>
      </c>
      <c r="S19" s="28">
        <f>TrRoad_act!S73</f>
        <v>613233</v>
      </c>
      <c r="T19" s="28">
        <f>TrRoad_act!T73</f>
        <v>635781</v>
      </c>
      <c r="U19" s="28">
        <f>TrRoad_act!U73</f>
        <v>658816</v>
      </c>
      <c r="V19" s="28">
        <f>TrRoad_act!V73</f>
        <v>684263</v>
      </c>
      <c r="W19" s="28">
        <f>TrRoad_act!W73</f>
        <v>695585</v>
      </c>
      <c r="X19" s="28">
        <f>TrRoad_act!X73</f>
        <v>709578</v>
      </c>
      <c r="Y19" s="28">
        <f>TrRoad_act!Y73</f>
        <v>722432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236290</v>
      </c>
      <c r="C20" s="137">
        <f>TrRoad_act!C74</f>
        <v>241125</v>
      </c>
      <c r="D20" s="137">
        <f>TrRoad_act!D74</f>
        <v>244299</v>
      </c>
      <c r="E20" s="137">
        <f>TrRoad_act!E74</f>
        <v>247139</v>
      </c>
      <c r="F20" s="137">
        <f>TrRoad_act!F74</f>
        <v>269586</v>
      </c>
      <c r="G20" s="137">
        <f>TrRoad_act!G74</f>
        <v>273278</v>
      </c>
      <c r="H20" s="137">
        <f>TrRoad_act!H74</f>
        <v>281407</v>
      </c>
      <c r="I20" s="137">
        <f>TrRoad_act!I74</f>
        <v>294196</v>
      </c>
      <c r="J20" s="137">
        <f>TrRoad_act!J74</f>
        <v>315275</v>
      </c>
      <c r="K20" s="137">
        <f>TrRoad_act!K74</f>
        <v>328962</v>
      </c>
      <c r="L20" s="137">
        <f>TrRoad_act!L74</f>
        <v>343343</v>
      </c>
      <c r="M20" s="137">
        <f>TrRoad_act!M74</f>
        <v>361499</v>
      </c>
      <c r="N20" s="137">
        <f>TrRoad_act!N74</f>
        <v>375059</v>
      </c>
      <c r="O20" s="137">
        <f>TrRoad_act!O74</f>
        <v>387674</v>
      </c>
      <c r="P20" s="137">
        <f>TrRoad_act!P74</f>
        <v>400396</v>
      </c>
      <c r="Q20" s="137">
        <f>TrRoad_act!Q74</f>
        <v>414295</v>
      </c>
      <c r="R20" s="137">
        <f>TrRoad_act!R74</f>
        <v>430717</v>
      </c>
      <c r="S20" s="137">
        <f>TrRoad_act!S74</f>
        <v>448034</v>
      </c>
      <c r="T20" s="137">
        <f>TrRoad_act!T74</f>
        <v>465024</v>
      </c>
      <c r="U20" s="137">
        <f>TrRoad_act!U74</f>
        <v>481797</v>
      </c>
      <c r="V20" s="137">
        <f>TrRoad_act!V74</f>
        <v>502047</v>
      </c>
      <c r="W20" s="137">
        <f>TrRoad_act!W74</f>
        <v>508961</v>
      </c>
      <c r="X20" s="137">
        <f>TrRoad_act!X74</f>
        <v>519123</v>
      </c>
      <c r="Y20" s="137">
        <f>TrRoad_act!Y74</f>
        <v>528029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41753</v>
      </c>
      <c r="C21" s="84">
        <f>TrRoad_act!C75</f>
        <v>39509</v>
      </c>
      <c r="D21" s="84">
        <f>TrRoad_act!D75</f>
        <v>37341</v>
      </c>
      <c r="E21" s="84">
        <f>TrRoad_act!E75</f>
        <v>34723</v>
      </c>
      <c r="F21" s="84">
        <f>TrRoad_act!F75</f>
        <v>33268</v>
      </c>
      <c r="G21" s="84">
        <f>TrRoad_act!G75</f>
        <v>31658</v>
      </c>
      <c r="H21" s="84">
        <f>TrRoad_act!H75</f>
        <v>29917</v>
      </c>
      <c r="I21" s="84">
        <f>TrRoad_act!I75</f>
        <v>28517</v>
      </c>
      <c r="J21" s="84">
        <f>TrRoad_act!J75</f>
        <v>28564</v>
      </c>
      <c r="K21" s="84">
        <f>TrRoad_act!K75</f>
        <v>28343</v>
      </c>
      <c r="L21" s="84">
        <f>TrRoad_act!L75</f>
        <v>28165</v>
      </c>
      <c r="M21" s="84">
        <f>TrRoad_act!M75</f>
        <v>28060</v>
      </c>
      <c r="N21" s="84">
        <f>TrRoad_act!N75</f>
        <v>27916</v>
      </c>
      <c r="O21" s="84">
        <f>TrRoad_act!O75</f>
        <v>26999</v>
      </c>
      <c r="P21" s="84">
        <f>TrRoad_act!P75</f>
        <v>26815</v>
      </c>
      <c r="Q21" s="84">
        <f>TrRoad_act!Q75</f>
        <v>26652</v>
      </c>
      <c r="R21" s="84">
        <f>TrRoad_act!R75</f>
        <v>26611</v>
      </c>
      <c r="S21" s="84">
        <f>TrRoad_act!S75</f>
        <v>26535</v>
      </c>
      <c r="T21" s="84">
        <f>TrRoad_act!T75</f>
        <v>26503</v>
      </c>
      <c r="U21" s="84">
        <f>TrRoad_act!U75</f>
        <v>26572</v>
      </c>
      <c r="V21" s="84">
        <f>TrRoad_act!V75</f>
        <v>26843</v>
      </c>
      <c r="W21" s="84">
        <f>TrRoad_act!W75</f>
        <v>27036</v>
      </c>
      <c r="X21" s="84">
        <f>TrRoad_act!X75</f>
        <v>27131</v>
      </c>
      <c r="Y21" s="84">
        <f>TrRoad_act!Y75</f>
        <v>27134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194380</v>
      </c>
      <c r="C22" s="84">
        <f>TrRoad_act!C76</f>
        <v>201460</v>
      </c>
      <c r="D22" s="84">
        <f>TrRoad_act!D76</f>
        <v>206819</v>
      </c>
      <c r="E22" s="84">
        <f>TrRoad_act!E76</f>
        <v>212287</v>
      </c>
      <c r="F22" s="84">
        <f>TrRoad_act!F76</f>
        <v>236199</v>
      </c>
      <c r="G22" s="84">
        <f>TrRoad_act!G76</f>
        <v>241510</v>
      </c>
      <c r="H22" s="84">
        <f>TrRoad_act!H76</f>
        <v>251385</v>
      </c>
      <c r="I22" s="84">
        <f>TrRoad_act!I76</f>
        <v>265571</v>
      </c>
      <c r="J22" s="84">
        <f>TrRoad_act!J76</f>
        <v>286590</v>
      </c>
      <c r="K22" s="84">
        <f>TrRoad_act!K76</f>
        <v>300478</v>
      </c>
      <c r="L22" s="84">
        <f>TrRoad_act!L76</f>
        <v>315015</v>
      </c>
      <c r="M22" s="84">
        <f>TrRoad_act!M76</f>
        <v>333250</v>
      </c>
      <c r="N22" s="84">
        <f>TrRoad_act!N76</f>
        <v>346920</v>
      </c>
      <c r="O22" s="84">
        <f>TrRoad_act!O76</f>
        <v>360403</v>
      </c>
      <c r="P22" s="84">
        <f>TrRoad_act!P76</f>
        <v>373261</v>
      </c>
      <c r="Q22" s="84">
        <f>TrRoad_act!Q76</f>
        <v>387254</v>
      </c>
      <c r="R22" s="84">
        <f>TrRoad_act!R76</f>
        <v>403611</v>
      </c>
      <c r="S22" s="84">
        <f>TrRoad_act!S76</f>
        <v>420837</v>
      </c>
      <c r="T22" s="84">
        <f>TrRoad_act!T76</f>
        <v>437643</v>
      </c>
      <c r="U22" s="84">
        <f>TrRoad_act!U76</f>
        <v>454084</v>
      </c>
      <c r="V22" s="84">
        <f>TrRoad_act!V76</f>
        <v>473832</v>
      </c>
      <c r="W22" s="84">
        <f>TrRoad_act!W76</f>
        <v>480142</v>
      </c>
      <c r="X22" s="84">
        <f>TrRoad_act!X76</f>
        <v>489742</v>
      </c>
      <c r="Y22" s="84">
        <f>TrRoad_act!Y76</f>
        <v>497102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0</v>
      </c>
      <c r="S23" s="84">
        <f>TrRoad_act!S77</f>
        <v>0</v>
      </c>
      <c r="T23" s="84">
        <f>TrRoad_act!T77</f>
        <v>0</v>
      </c>
      <c r="U23" s="84">
        <f>TrRoad_act!U77</f>
        <v>0</v>
      </c>
      <c r="V23" s="84">
        <f>TrRoad_act!V77</f>
        <v>0</v>
      </c>
      <c r="W23" s="84">
        <f>TrRoad_act!W77</f>
        <v>0</v>
      </c>
      <c r="X23" s="84">
        <f>TrRoad_act!X77</f>
        <v>0</v>
      </c>
      <c r="Y23" s="84">
        <f>TrRoad_act!Y77</f>
        <v>0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3</v>
      </c>
      <c r="D24" s="84">
        <f>TrRoad_act!D78</f>
        <v>3</v>
      </c>
      <c r="E24" s="84">
        <f>TrRoad_act!E78</f>
        <v>3</v>
      </c>
      <c r="F24" s="84">
        <f>TrRoad_act!F78</f>
        <v>3</v>
      </c>
      <c r="G24" s="84">
        <f>TrRoad_act!G78</f>
        <v>4</v>
      </c>
      <c r="H24" s="84">
        <f>TrRoad_act!H78</f>
        <v>4</v>
      </c>
      <c r="I24" s="84">
        <f>TrRoad_act!I78</f>
        <v>11</v>
      </c>
      <c r="J24" s="84">
        <f>TrRoad_act!J78</f>
        <v>20</v>
      </c>
      <c r="K24" s="84">
        <f>TrRoad_act!K78</f>
        <v>37</v>
      </c>
      <c r="L24" s="84">
        <f>TrRoad_act!L78</f>
        <v>52</v>
      </c>
      <c r="M24" s="84">
        <f>TrRoad_act!M78</f>
        <v>77</v>
      </c>
      <c r="N24" s="84">
        <f>TrRoad_act!N78</f>
        <v>99</v>
      </c>
      <c r="O24" s="84">
        <f>TrRoad_act!O78</f>
        <v>145</v>
      </c>
      <c r="P24" s="84">
        <f>TrRoad_act!P78</f>
        <v>173</v>
      </c>
      <c r="Q24" s="84">
        <f>TrRoad_act!Q78</f>
        <v>203</v>
      </c>
      <c r="R24" s="84">
        <f>TrRoad_act!R78</f>
        <v>247</v>
      </c>
      <c r="S24" s="84">
        <f>TrRoad_act!S78</f>
        <v>373</v>
      </c>
      <c r="T24" s="84">
        <f>TrRoad_act!T78</f>
        <v>543</v>
      </c>
      <c r="U24" s="84">
        <f>TrRoad_act!U78</f>
        <v>745</v>
      </c>
      <c r="V24" s="84">
        <f>TrRoad_act!V78</f>
        <v>928</v>
      </c>
      <c r="W24" s="84">
        <f>TrRoad_act!W78</f>
        <v>987</v>
      </c>
      <c r="X24" s="84">
        <f>TrRoad_act!X78</f>
        <v>948</v>
      </c>
      <c r="Y24" s="84">
        <f>TrRoad_act!Y78</f>
        <v>952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157</v>
      </c>
      <c r="C25" s="84">
        <f>TrRoad_act!C79</f>
        <v>153</v>
      </c>
      <c r="D25" s="84">
        <f>TrRoad_act!D79</f>
        <v>136</v>
      </c>
      <c r="E25" s="84">
        <f>TrRoad_act!E79</f>
        <v>126</v>
      </c>
      <c r="F25" s="84">
        <f>TrRoad_act!F79</f>
        <v>116</v>
      </c>
      <c r="G25" s="84">
        <f>TrRoad_act!G79</f>
        <v>106</v>
      </c>
      <c r="H25" s="84">
        <f>TrRoad_act!H79</f>
        <v>101</v>
      </c>
      <c r="I25" s="84">
        <f>TrRoad_act!I79</f>
        <v>97</v>
      </c>
      <c r="J25" s="84">
        <f>TrRoad_act!J79</f>
        <v>101</v>
      </c>
      <c r="K25" s="84">
        <f>TrRoad_act!K79</f>
        <v>104</v>
      </c>
      <c r="L25" s="84">
        <f>TrRoad_act!L79</f>
        <v>111</v>
      </c>
      <c r="M25" s="84">
        <f>TrRoad_act!M79</f>
        <v>112</v>
      </c>
      <c r="N25" s="84">
        <f>TrRoad_act!N79</f>
        <v>124</v>
      </c>
      <c r="O25" s="84">
        <f>TrRoad_act!O79</f>
        <v>127</v>
      </c>
      <c r="P25" s="84">
        <f>TrRoad_act!P79</f>
        <v>147</v>
      </c>
      <c r="Q25" s="84">
        <f>TrRoad_act!Q79</f>
        <v>186</v>
      </c>
      <c r="R25" s="84">
        <f>TrRoad_act!R79</f>
        <v>248</v>
      </c>
      <c r="S25" s="84">
        <f>TrRoad_act!S79</f>
        <v>289</v>
      </c>
      <c r="T25" s="84">
        <f>TrRoad_act!T79</f>
        <v>335</v>
      </c>
      <c r="U25" s="84">
        <f>TrRoad_act!U79</f>
        <v>396</v>
      </c>
      <c r="V25" s="84">
        <f>TrRoad_act!V79</f>
        <v>444</v>
      </c>
      <c r="W25" s="84">
        <f>TrRoad_act!W79</f>
        <v>796</v>
      </c>
      <c r="X25" s="84">
        <f>TrRoad_act!X79</f>
        <v>1302</v>
      </c>
      <c r="Y25" s="84">
        <f>TrRoad_act!Y79</f>
        <v>2841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67877</v>
      </c>
      <c r="C26" s="110">
        <f>TrRoad_act!C80</f>
        <v>71454</v>
      </c>
      <c r="D26" s="110">
        <f>TrRoad_act!D80</f>
        <v>75310</v>
      </c>
      <c r="E26" s="110">
        <f>TrRoad_act!E80</f>
        <v>80007</v>
      </c>
      <c r="F26" s="110">
        <f>TrRoad_act!F80</f>
        <v>85277</v>
      </c>
      <c r="G26" s="110">
        <f>TrRoad_act!G80</f>
        <v>90624</v>
      </c>
      <c r="H26" s="110">
        <f>TrRoad_act!H80</f>
        <v>95010</v>
      </c>
      <c r="I26" s="110">
        <f>TrRoad_act!I80</f>
        <v>101662</v>
      </c>
      <c r="J26" s="110">
        <f>TrRoad_act!J80</f>
        <v>111577</v>
      </c>
      <c r="K26" s="110">
        <f>TrRoad_act!K80</f>
        <v>117804</v>
      </c>
      <c r="L26" s="110">
        <f>TrRoad_act!L80</f>
        <v>124089</v>
      </c>
      <c r="M26" s="110">
        <f>TrRoad_act!M80</f>
        <v>131823</v>
      </c>
      <c r="N26" s="110">
        <f>TrRoad_act!N80</f>
        <v>137561</v>
      </c>
      <c r="O26" s="110">
        <f>TrRoad_act!O80</f>
        <v>143712</v>
      </c>
      <c r="P26" s="110">
        <f>TrRoad_act!P80</f>
        <v>148547</v>
      </c>
      <c r="Q26" s="110">
        <f>TrRoad_act!Q80</f>
        <v>153325</v>
      </c>
      <c r="R26" s="110">
        <f>TrRoad_act!R80</f>
        <v>158869</v>
      </c>
      <c r="S26" s="110">
        <f>TrRoad_act!S80</f>
        <v>165199</v>
      </c>
      <c r="T26" s="110">
        <f>TrRoad_act!T80</f>
        <v>170757</v>
      </c>
      <c r="U26" s="110">
        <f>TrRoad_act!U80</f>
        <v>177019</v>
      </c>
      <c r="V26" s="110">
        <f>TrRoad_act!V80</f>
        <v>182216</v>
      </c>
      <c r="W26" s="110">
        <f>TrRoad_act!W80</f>
        <v>186624</v>
      </c>
      <c r="X26" s="110">
        <f>TrRoad_act!X80</f>
        <v>190455</v>
      </c>
      <c r="Y26" s="110">
        <f>TrRoad_act!Y80</f>
        <v>194403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67282</v>
      </c>
      <c r="C27" s="102">
        <f>TrRoad_act!C81</f>
        <v>70816</v>
      </c>
      <c r="D27" s="102">
        <f>TrRoad_act!D81</f>
        <v>74639</v>
      </c>
      <c r="E27" s="102">
        <f>TrRoad_act!E81</f>
        <v>79322</v>
      </c>
      <c r="F27" s="102">
        <f>TrRoad_act!F81</f>
        <v>84467</v>
      </c>
      <c r="G27" s="102">
        <f>TrRoad_act!G81</f>
        <v>89789</v>
      </c>
      <c r="H27" s="102">
        <f>TrRoad_act!H81</f>
        <v>94126</v>
      </c>
      <c r="I27" s="102">
        <f>TrRoad_act!I81</f>
        <v>100757</v>
      </c>
      <c r="J27" s="102">
        <f>TrRoad_act!J81</f>
        <v>110648</v>
      </c>
      <c r="K27" s="102">
        <f>TrRoad_act!K81</f>
        <v>116945</v>
      </c>
      <c r="L27" s="102">
        <f>TrRoad_act!L81</f>
        <v>122983</v>
      </c>
      <c r="M27" s="102">
        <f>TrRoad_act!M81</f>
        <v>131104</v>
      </c>
      <c r="N27" s="102">
        <f>TrRoad_act!N81</f>
        <v>136671</v>
      </c>
      <c r="O27" s="102">
        <f>TrRoad_act!O81</f>
        <v>142940</v>
      </c>
      <c r="P27" s="102">
        <f>TrRoad_act!P81</f>
        <v>147559</v>
      </c>
      <c r="Q27" s="102">
        <f>TrRoad_act!Q81</f>
        <v>152197</v>
      </c>
      <c r="R27" s="102">
        <f>TrRoad_act!R81</f>
        <v>157917</v>
      </c>
      <c r="S27" s="102">
        <f>TrRoad_act!S81</f>
        <v>164247</v>
      </c>
      <c r="T27" s="102">
        <f>TrRoad_act!T81</f>
        <v>169688</v>
      </c>
      <c r="U27" s="102">
        <f>TrRoad_act!U81</f>
        <v>176123</v>
      </c>
      <c r="V27" s="102">
        <f>TrRoad_act!V81</f>
        <v>181299</v>
      </c>
      <c r="W27" s="102">
        <f>TrRoad_act!W81</f>
        <v>185474</v>
      </c>
      <c r="X27" s="102">
        <f>TrRoad_act!X81</f>
        <v>189332</v>
      </c>
      <c r="Y27" s="102">
        <f>TrRoad_act!Y81</f>
        <v>193339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595</v>
      </c>
      <c r="C28" s="86">
        <f>TrRoad_act!C82</f>
        <v>638</v>
      </c>
      <c r="D28" s="86">
        <f>TrRoad_act!D82</f>
        <v>671</v>
      </c>
      <c r="E28" s="86">
        <f>TrRoad_act!E82</f>
        <v>685</v>
      </c>
      <c r="F28" s="86">
        <f>TrRoad_act!F82</f>
        <v>810</v>
      </c>
      <c r="G28" s="86">
        <f>TrRoad_act!G82</f>
        <v>835</v>
      </c>
      <c r="H28" s="86">
        <f>TrRoad_act!H82</f>
        <v>884</v>
      </c>
      <c r="I28" s="86">
        <f>TrRoad_act!I82</f>
        <v>905</v>
      </c>
      <c r="J28" s="86">
        <f>TrRoad_act!J82</f>
        <v>929</v>
      </c>
      <c r="K28" s="86">
        <f>TrRoad_act!K82</f>
        <v>859</v>
      </c>
      <c r="L28" s="86">
        <f>TrRoad_act!L82</f>
        <v>1106</v>
      </c>
      <c r="M28" s="86">
        <f>TrRoad_act!M82</f>
        <v>719</v>
      </c>
      <c r="N28" s="86">
        <f>TrRoad_act!N82</f>
        <v>890</v>
      </c>
      <c r="O28" s="86">
        <f>TrRoad_act!O82</f>
        <v>772</v>
      </c>
      <c r="P28" s="86">
        <f>TrRoad_act!P82</f>
        <v>988</v>
      </c>
      <c r="Q28" s="86">
        <f>TrRoad_act!Q82</f>
        <v>1128</v>
      </c>
      <c r="R28" s="86">
        <f>TrRoad_act!R82</f>
        <v>952</v>
      </c>
      <c r="S28" s="86">
        <f>TrRoad_act!S82</f>
        <v>952</v>
      </c>
      <c r="T28" s="86">
        <f>TrRoad_act!T82</f>
        <v>1069</v>
      </c>
      <c r="U28" s="86">
        <f>TrRoad_act!U82</f>
        <v>896</v>
      </c>
      <c r="V28" s="86">
        <f>TrRoad_act!V82</f>
        <v>917</v>
      </c>
      <c r="W28" s="86">
        <f>TrRoad_act!W82</f>
        <v>1150</v>
      </c>
      <c r="X28" s="86">
        <f>TrRoad_act!X82</f>
        <v>1123</v>
      </c>
      <c r="Y28" s="86">
        <f>TrRoad_act!Y82</f>
        <v>1064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236460</v>
      </c>
      <c r="C30" s="54">
        <f>TrRoad_act!C111</f>
        <v>221162</v>
      </c>
      <c r="D30" s="54">
        <f>TrRoad_act!D111</f>
        <v>239221</v>
      </c>
      <c r="E30" s="54">
        <f>TrRoad_act!E111</f>
        <v>280994</v>
      </c>
      <c r="F30" s="54">
        <f>TrRoad_act!F111</f>
        <v>302958</v>
      </c>
      <c r="G30" s="54">
        <f>TrRoad_act!G111</f>
        <v>295483</v>
      </c>
      <c r="H30" s="54">
        <f>TrRoad_act!H111</f>
        <v>318490</v>
      </c>
      <c r="I30" s="54">
        <f>TrRoad_act!I111</f>
        <v>311464</v>
      </c>
      <c r="J30" s="54">
        <f>TrRoad_act!J111</f>
        <v>356844</v>
      </c>
      <c r="K30" s="54">
        <f>TrRoad_act!K111</f>
        <v>288795</v>
      </c>
      <c r="L30" s="54">
        <f>TrRoad_act!L111</f>
        <v>318992</v>
      </c>
      <c r="M30" s="54">
        <f>TrRoad_act!M111</f>
        <v>334016</v>
      </c>
      <c r="N30" s="54">
        <f>TrRoad_act!N111</f>
        <v>305903</v>
      </c>
      <c r="O30" s="54">
        <f>TrRoad_act!O111</f>
        <v>290881</v>
      </c>
      <c r="P30" s="54">
        <f>TrRoad_act!P111</f>
        <v>291553</v>
      </c>
      <c r="Q30" s="54">
        <f>TrRoad_act!Q111</f>
        <v>303660</v>
      </c>
      <c r="R30" s="54">
        <f>TrRoad_act!R111</f>
        <v>319812</v>
      </c>
      <c r="S30" s="54">
        <f>TrRoad_act!S111</f>
        <v>329894</v>
      </c>
      <c r="T30" s="54">
        <f>TrRoad_act!T111</f>
        <v>341285</v>
      </c>
      <c r="U30" s="54">
        <f>TrRoad_act!U111</f>
        <v>343796</v>
      </c>
      <c r="V30" s="54">
        <f>TrRoad_act!V111</f>
        <v>333606</v>
      </c>
      <c r="W30" s="54">
        <f>TrRoad_act!W111</f>
        <v>338221</v>
      </c>
      <c r="X30" s="54">
        <f>TrRoad_act!X111</f>
        <v>331998</v>
      </c>
      <c r="Y30" s="54">
        <f>TrRoad_act!Y111</f>
        <v>297746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221650</v>
      </c>
      <c r="C31" s="28">
        <f>TrRoad_act!C112</f>
        <v>201188</v>
      </c>
      <c r="D31" s="28">
        <f>TrRoad_act!D112</f>
        <v>216177</v>
      </c>
      <c r="E31" s="28">
        <f>TrRoad_act!E112</f>
        <v>255224</v>
      </c>
      <c r="F31" s="28">
        <f>TrRoad_act!F112</f>
        <v>258961</v>
      </c>
      <c r="G31" s="28">
        <f>TrRoad_act!G112</f>
        <v>262037</v>
      </c>
      <c r="H31" s="28">
        <f>TrRoad_act!H112</f>
        <v>282563</v>
      </c>
      <c r="I31" s="28">
        <f>TrRoad_act!I112</f>
        <v>268010</v>
      </c>
      <c r="J31" s="28">
        <f>TrRoad_act!J112</f>
        <v>301703</v>
      </c>
      <c r="K31" s="28">
        <f>TrRoad_act!K112</f>
        <v>240602</v>
      </c>
      <c r="L31" s="28">
        <f>TrRoad_act!L112</f>
        <v>269626</v>
      </c>
      <c r="M31" s="28">
        <f>TrRoad_act!M112</f>
        <v>280540</v>
      </c>
      <c r="N31" s="28">
        <f>TrRoad_act!N112</f>
        <v>255420</v>
      </c>
      <c r="O31" s="28">
        <f>TrRoad_act!O112</f>
        <v>241327</v>
      </c>
      <c r="P31" s="28">
        <f>TrRoad_act!P112</f>
        <v>242630</v>
      </c>
      <c r="Q31" s="28">
        <f>TrRoad_act!Q112</f>
        <v>252974</v>
      </c>
      <c r="R31" s="28">
        <f>TrRoad_act!R112</f>
        <v>264984</v>
      </c>
      <c r="S31" s="28">
        <f>TrRoad_act!S112</f>
        <v>272051</v>
      </c>
      <c r="T31" s="28">
        <f>TrRoad_act!T112</f>
        <v>281938</v>
      </c>
      <c r="U31" s="28">
        <f>TrRoad_act!U112</f>
        <v>282873</v>
      </c>
      <c r="V31" s="28">
        <f>TrRoad_act!V112</f>
        <v>271470</v>
      </c>
      <c r="W31" s="28">
        <f>TrRoad_act!W112</f>
        <v>284553</v>
      </c>
      <c r="X31" s="28">
        <f>TrRoad_act!X112</f>
        <v>273903</v>
      </c>
      <c r="Y31" s="28">
        <f>TrRoad_act!Y112</f>
        <v>238275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15501</v>
      </c>
      <c r="C32" s="137">
        <f>TrRoad_act!C113</f>
        <v>19643</v>
      </c>
      <c r="D32" s="137">
        <f>TrRoad_act!D113</f>
        <v>25545</v>
      </c>
      <c r="E32" s="137">
        <f>TrRoad_act!E113</f>
        <v>31449</v>
      </c>
      <c r="F32" s="137">
        <f>TrRoad_act!F113</f>
        <v>37524</v>
      </c>
      <c r="G32" s="137">
        <f>TrRoad_act!G113</f>
        <v>42701</v>
      </c>
      <c r="H32" s="137">
        <f>TrRoad_act!H113</f>
        <v>51456</v>
      </c>
      <c r="I32" s="137">
        <f>TrRoad_act!I113</f>
        <v>53958</v>
      </c>
      <c r="J32" s="137">
        <f>TrRoad_act!J113</f>
        <v>63325</v>
      </c>
      <c r="K32" s="137">
        <f>TrRoad_act!K113</f>
        <v>51220</v>
      </c>
      <c r="L32" s="137">
        <f>TrRoad_act!L113</f>
        <v>46765</v>
      </c>
      <c r="M32" s="137">
        <f>TrRoad_act!M113</f>
        <v>45669</v>
      </c>
      <c r="N32" s="137">
        <f>TrRoad_act!N113</f>
        <v>37199</v>
      </c>
      <c r="O32" s="137">
        <f>TrRoad_act!O113</f>
        <v>30379</v>
      </c>
      <c r="P32" s="137">
        <f>TrRoad_act!P113</f>
        <v>27816</v>
      </c>
      <c r="Q32" s="137">
        <f>TrRoad_act!Q113</f>
        <v>26849</v>
      </c>
      <c r="R32" s="137">
        <f>TrRoad_act!R113</f>
        <v>24206</v>
      </c>
      <c r="S32" s="137">
        <f>TrRoad_act!S113</f>
        <v>26103</v>
      </c>
      <c r="T32" s="137">
        <f>TrRoad_act!T113</f>
        <v>23748</v>
      </c>
      <c r="U32" s="137">
        <f>TrRoad_act!U113</f>
        <v>24328</v>
      </c>
      <c r="V32" s="137">
        <f>TrRoad_act!V113</f>
        <v>27275</v>
      </c>
      <c r="W32" s="137">
        <f>TrRoad_act!W113</f>
        <v>23941</v>
      </c>
      <c r="X32" s="137">
        <f>TrRoad_act!X113</f>
        <v>24160</v>
      </c>
      <c r="Y32" s="137">
        <f>TrRoad_act!Y113</f>
        <v>17184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205303</v>
      </c>
      <c r="C33" s="110">
        <f>TrRoad_act!C114</f>
        <v>180962</v>
      </c>
      <c r="D33" s="110">
        <f>TrRoad_act!D114</f>
        <v>189700</v>
      </c>
      <c r="E33" s="110">
        <f>TrRoad_act!E114</f>
        <v>222704</v>
      </c>
      <c r="F33" s="110">
        <f>TrRoad_act!F114</f>
        <v>220339</v>
      </c>
      <c r="G33" s="110">
        <f>TrRoad_act!G114</f>
        <v>218382</v>
      </c>
      <c r="H33" s="110">
        <f>TrRoad_act!H114</f>
        <v>230077</v>
      </c>
      <c r="I33" s="110">
        <f>TrRoad_act!I114</f>
        <v>212938</v>
      </c>
      <c r="J33" s="110">
        <f>TrRoad_act!J114</f>
        <v>236889</v>
      </c>
      <c r="K33" s="110">
        <f>TrRoad_act!K114</f>
        <v>187882</v>
      </c>
      <c r="L33" s="110">
        <f>TrRoad_act!L114</f>
        <v>221480</v>
      </c>
      <c r="M33" s="110">
        <f>TrRoad_act!M114</f>
        <v>233546</v>
      </c>
      <c r="N33" s="110">
        <f>TrRoad_act!N114</f>
        <v>216775</v>
      </c>
      <c r="O33" s="110">
        <f>TrRoad_act!O114</f>
        <v>209594</v>
      </c>
      <c r="P33" s="110">
        <f>TrRoad_act!P114</f>
        <v>213337</v>
      </c>
      <c r="Q33" s="110">
        <f>TrRoad_act!Q114</f>
        <v>224738</v>
      </c>
      <c r="R33" s="110">
        <f>TrRoad_act!R114</f>
        <v>239482</v>
      </c>
      <c r="S33" s="110">
        <f>TrRoad_act!S114</f>
        <v>244681</v>
      </c>
      <c r="T33" s="110">
        <f>TrRoad_act!T114</f>
        <v>257039</v>
      </c>
      <c r="U33" s="110">
        <f>TrRoad_act!U114</f>
        <v>257084</v>
      </c>
      <c r="V33" s="110">
        <f>TrRoad_act!V114</f>
        <v>243064</v>
      </c>
      <c r="W33" s="110">
        <f>TrRoad_act!W114</f>
        <v>259475</v>
      </c>
      <c r="X33" s="110">
        <f>TrRoad_act!X114</f>
        <v>248423</v>
      </c>
      <c r="Y33" s="110">
        <f>TrRoad_act!Y114</f>
        <v>219928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171706</v>
      </c>
      <c r="C34" s="84">
        <f>TrRoad_act!C115</f>
        <v>155279</v>
      </c>
      <c r="D34" s="84">
        <f>TrRoad_act!D115</f>
        <v>163404</v>
      </c>
      <c r="E34" s="84">
        <f>TrRoad_act!E115</f>
        <v>191542</v>
      </c>
      <c r="F34" s="84">
        <f>TrRoad_act!F115</f>
        <v>189103</v>
      </c>
      <c r="G34" s="84">
        <f>TrRoad_act!G115</f>
        <v>186376</v>
      </c>
      <c r="H34" s="84">
        <f>TrRoad_act!H115</f>
        <v>188028</v>
      </c>
      <c r="I34" s="84">
        <f>TrRoad_act!I115</f>
        <v>162617</v>
      </c>
      <c r="J34" s="84">
        <f>TrRoad_act!J115</f>
        <v>144864</v>
      </c>
      <c r="K34" s="84">
        <f>TrRoad_act!K115</f>
        <v>124028</v>
      </c>
      <c r="L34" s="84">
        <f>TrRoad_act!L115</f>
        <v>141934</v>
      </c>
      <c r="M34" s="84">
        <f>TrRoad_act!M115</f>
        <v>150939</v>
      </c>
      <c r="N34" s="84">
        <f>TrRoad_act!N115</f>
        <v>147166</v>
      </c>
      <c r="O34" s="84">
        <f>TrRoad_act!O115</f>
        <v>144514</v>
      </c>
      <c r="P34" s="84">
        <f>TrRoad_act!P115</f>
        <v>146358</v>
      </c>
      <c r="Q34" s="84">
        <f>TrRoad_act!Q115</f>
        <v>158520</v>
      </c>
      <c r="R34" s="84">
        <f>TrRoad_act!R115</f>
        <v>165509</v>
      </c>
      <c r="S34" s="84">
        <f>TrRoad_act!S115</f>
        <v>171677</v>
      </c>
      <c r="T34" s="84">
        <f>TrRoad_act!T115</f>
        <v>182100</v>
      </c>
      <c r="U34" s="84">
        <f>TrRoad_act!U115</f>
        <v>183188</v>
      </c>
      <c r="V34" s="84">
        <f>TrRoad_act!V115</f>
        <v>166350</v>
      </c>
      <c r="W34" s="84">
        <f>TrRoad_act!W115</f>
        <v>167815</v>
      </c>
      <c r="X34" s="84">
        <f>TrRoad_act!X115</f>
        <v>151150</v>
      </c>
      <c r="Y34" s="84">
        <f>TrRoad_act!Y115</f>
        <v>134359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33597</v>
      </c>
      <c r="C35" s="84">
        <f>TrRoad_act!C116</f>
        <v>25683</v>
      </c>
      <c r="D35" s="84">
        <f>TrRoad_act!D116</f>
        <v>26296</v>
      </c>
      <c r="E35" s="84">
        <f>TrRoad_act!E116</f>
        <v>31162</v>
      </c>
      <c r="F35" s="84">
        <f>TrRoad_act!F116</f>
        <v>31236</v>
      </c>
      <c r="G35" s="84">
        <f>TrRoad_act!G116</f>
        <v>32006</v>
      </c>
      <c r="H35" s="84">
        <f>TrRoad_act!H116</f>
        <v>42046</v>
      </c>
      <c r="I35" s="84">
        <f>TrRoad_act!I116</f>
        <v>50215</v>
      </c>
      <c r="J35" s="84">
        <f>TrRoad_act!J116</f>
        <v>91916</v>
      </c>
      <c r="K35" s="84">
        <f>TrRoad_act!K116</f>
        <v>63692</v>
      </c>
      <c r="L35" s="84">
        <f>TrRoad_act!L116</f>
        <v>79412</v>
      </c>
      <c r="M35" s="84">
        <f>TrRoad_act!M116</f>
        <v>82436</v>
      </c>
      <c r="N35" s="84">
        <f>TrRoad_act!N116</f>
        <v>69216</v>
      </c>
      <c r="O35" s="84">
        <f>TrRoad_act!O116</f>
        <v>64669</v>
      </c>
      <c r="P35" s="84">
        <f>TrRoad_act!P116</f>
        <v>66277</v>
      </c>
      <c r="Q35" s="84">
        <f>TrRoad_act!Q116</f>
        <v>65254</v>
      </c>
      <c r="R35" s="84">
        <f>TrRoad_act!R116</f>
        <v>71995</v>
      </c>
      <c r="S35" s="84">
        <f>TrRoad_act!S116</f>
        <v>67772</v>
      </c>
      <c r="T35" s="84">
        <f>TrRoad_act!T116</f>
        <v>64142</v>
      </c>
      <c r="U35" s="84">
        <f>TrRoad_act!U116</f>
        <v>56217</v>
      </c>
      <c r="V35" s="84">
        <f>TrRoad_act!V116</f>
        <v>47721</v>
      </c>
      <c r="W35" s="84">
        <f>TrRoad_act!W116</f>
        <v>45836</v>
      </c>
      <c r="X35" s="84">
        <f>TrRoad_act!X116</f>
        <v>40661</v>
      </c>
      <c r="Y35" s="84">
        <f>TrRoad_act!Y116</f>
        <v>37343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0</v>
      </c>
      <c r="K36" s="84">
        <f>TrRoad_act!K117</f>
        <v>0</v>
      </c>
      <c r="L36" s="84">
        <f>TrRoad_act!L117</f>
        <v>0</v>
      </c>
      <c r="M36" s="84">
        <f>TrRoad_act!M117</f>
        <v>0</v>
      </c>
      <c r="N36" s="84">
        <f>TrRoad_act!N117</f>
        <v>0</v>
      </c>
      <c r="O36" s="84">
        <f>TrRoad_act!O117</f>
        <v>0</v>
      </c>
      <c r="P36" s="84">
        <f>TrRoad_act!P117</f>
        <v>0</v>
      </c>
      <c r="Q36" s="84">
        <f>TrRoad_act!Q117</f>
        <v>0</v>
      </c>
      <c r="R36" s="84">
        <f>TrRoad_act!R117</f>
        <v>0</v>
      </c>
      <c r="S36" s="84">
        <f>TrRoad_act!S117</f>
        <v>0</v>
      </c>
      <c r="T36" s="84">
        <f>TrRoad_act!T117</f>
        <v>0</v>
      </c>
      <c r="U36" s="84">
        <f>TrRoad_act!U117</f>
        <v>0</v>
      </c>
      <c r="V36" s="84">
        <f>TrRoad_act!V117</f>
        <v>0</v>
      </c>
      <c r="W36" s="84">
        <f>TrRoad_act!W117</f>
        <v>0</v>
      </c>
      <c r="X36" s="84">
        <f>TrRoad_act!X117</f>
        <v>0</v>
      </c>
      <c r="Y36" s="84">
        <f>TrRoad_act!Y117</f>
        <v>0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3</v>
      </c>
      <c r="I37" s="84">
        <f>TrRoad_act!I118</f>
        <v>103</v>
      </c>
      <c r="J37" s="84">
        <f>TrRoad_act!J118</f>
        <v>104</v>
      </c>
      <c r="K37" s="84">
        <f>TrRoad_act!K118</f>
        <v>156</v>
      </c>
      <c r="L37" s="84">
        <f>TrRoad_act!L118</f>
        <v>119</v>
      </c>
      <c r="M37" s="84">
        <f>TrRoad_act!M118</f>
        <v>138</v>
      </c>
      <c r="N37" s="84">
        <f>TrRoad_act!N118</f>
        <v>212</v>
      </c>
      <c r="O37" s="84">
        <f>TrRoad_act!O118</f>
        <v>191</v>
      </c>
      <c r="P37" s="84">
        <f>TrRoad_act!P118</f>
        <v>233</v>
      </c>
      <c r="Q37" s="84">
        <f>TrRoad_act!Q118</f>
        <v>257</v>
      </c>
      <c r="R37" s="84">
        <f>TrRoad_act!R118</f>
        <v>325</v>
      </c>
      <c r="S37" s="84">
        <f>TrRoad_act!S118</f>
        <v>1340</v>
      </c>
      <c r="T37" s="84">
        <f>TrRoad_act!T118</f>
        <v>2456</v>
      </c>
      <c r="U37" s="84">
        <f>TrRoad_act!U118</f>
        <v>3793</v>
      </c>
      <c r="V37" s="84">
        <f>TrRoad_act!V118</f>
        <v>2998</v>
      </c>
      <c r="W37" s="84">
        <f>TrRoad_act!W118</f>
        <v>1147</v>
      </c>
      <c r="X37" s="84">
        <f>TrRoad_act!X118</f>
        <v>2321</v>
      </c>
      <c r="Y37" s="84">
        <f>TrRoad_act!Y118</f>
        <v>470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128</v>
      </c>
      <c r="O38" s="84">
        <f>TrRoad_act!O119</f>
        <v>160</v>
      </c>
      <c r="P38" s="84">
        <f>TrRoad_act!P119</f>
        <v>278</v>
      </c>
      <c r="Q38" s="84">
        <f>TrRoad_act!Q119</f>
        <v>452</v>
      </c>
      <c r="R38" s="84">
        <f>TrRoad_act!R119</f>
        <v>1422</v>
      </c>
      <c r="S38" s="84">
        <f>TrRoad_act!S119</f>
        <v>3285</v>
      </c>
      <c r="T38" s="84">
        <f>TrRoad_act!T119</f>
        <v>7383</v>
      </c>
      <c r="U38" s="84">
        <f>TrRoad_act!U119</f>
        <v>11624</v>
      </c>
      <c r="V38" s="84">
        <f>TrRoad_act!V119</f>
        <v>20951</v>
      </c>
      <c r="W38" s="84">
        <f>TrRoad_act!W119</f>
        <v>31438</v>
      </c>
      <c r="X38" s="84">
        <f>TrRoad_act!X119</f>
        <v>29196</v>
      </c>
      <c r="Y38" s="84">
        <f>TrRoad_act!Y119</f>
        <v>18085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3</v>
      </c>
      <c r="J39" s="84">
        <f>TrRoad_act!J120</f>
        <v>5</v>
      </c>
      <c r="K39" s="84">
        <f>TrRoad_act!K120</f>
        <v>6</v>
      </c>
      <c r="L39" s="84">
        <f>TrRoad_act!L120</f>
        <v>15</v>
      </c>
      <c r="M39" s="84">
        <f>TrRoad_act!M120</f>
        <v>33</v>
      </c>
      <c r="N39" s="84">
        <f>TrRoad_act!N120</f>
        <v>53</v>
      </c>
      <c r="O39" s="84">
        <f>TrRoad_act!O120</f>
        <v>60</v>
      </c>
      <c r="P39" s="84">
        <f>TrRoad_act!P120</f>
        <v>191</v>
      </c>
      <c r="Q39" s="84">
        <f>TrRoad_act!Q120</f>
        <v>255</v>
      </c>
      <c r="R39" s="84">
        <f>TrRoad_act!R120</f>
        <v>231</v>
      </c>
      <c r="S39" s="84">
        <f>TrRoad_act!S120</f>
        <v>607</v>
      </c>
      <c r="T39" s="84">
        <f>TrRoad_act!T120</f>
        <v>958</v>
      </c>
      <c r="U39" s="84">
        <f>TrRoad_act!U120</f>
        <v>2262</v>
      </c>
      <c r="V39" s="84">
        <f>TrRoad_act!V120</f>
        <v>5044</v>
      </c>
      <c r="W39" s="84">
        <f>TrRoad_act!W120</f>
        <v>13239</v>
      </c>
      <c r="X39" s="84">
        <f>TrRoad_act!X120</f>
        <v>25095</v>
      </c>
      <c r="Y39" s="84">
        <f>TrRoad_act!Y120</f>
        <v>29671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846</v>
      </c>
      <c r="C40" s="110">
        <f>TrRoad_act!C121</f>
        <v>583</v>
      </c>
      <c r="D40" s="110">
        <f>TrRoad_act!D121</f>
        <v>932</v>
      </c>
      <c r="E40" s="110">
        <f>TrRoad_act!E121</f>
        <v>1071</v>
      </c>
      <c r="F40" s="110">
        <f>TrRoad_act!F121</f>
        <v>1098</v>
      </c>
      <c r="G40" s="110">
        <f>TrRoad_act!G121</f>
        <v>954</v>
      </c>
      <c r="H40" s="110">
        <f>TrRoad_act!H121</f>
        <v>1030</v>
      </c>
      <c r="I40" s="110">
        <f>TrRoad_act!I121</f>
        <v>1114</v>
      </c>
      <c r="J40" s="110">
        <f>TrRoad_act!J121</f>
        <v>1489</v>
      </c>
      <c r="K40" s="110">
        <f>TrRoad_act!K121</f>
        <v>1500</v>
      </c>
      <c r="L40" s="110">
        <f>TrRoad_act!L121</f>
        <v>1381</v>
      </c>
      <c r="M40" s="110">
        <f>TrRoad_act!M121</f>
        <v>1325</v>
      </c>
      <c r="N40" s="110">
        <f>TrRoad_act!N121</f>
        <v>1446</v>
      </c>
      <c r="O40" s="110">
        <f>TrRoad_act!O121</f>
        <v>1354</v>
      </c>
      <c r="P40" s="110">
        <f>TrRoad_act!P121</f>
        <v>1477</v>
      </c>
      <c r="Q40" s="110">
        <f>TrRoad_act!Q121</f>
        <v>1387</v>
      </c>
      <c r="R40" s="110">
        <f>TrRoad_act!R121</f>
        <v>1296</v>
      </c>
      <c r="S40" s="110">
        <f>TrRoad_act!S121</f>
        <v>1267</v>
      </c>
      <c r="T40" s="110">
        <f>TrRoad_act!T121</f>
        <v>1151</v>
      </c>
      <c r="U40" s="110">
        <f>TrRoad_act!U121</f>
        <v>1461</v>
      </c>
      <c r="V40" s="110">
        <f>TrRoad_act!V121</f>
        <v>1131</v>
      </c>
      <c r="W40" s="110">
        <f>TrRoad_act!W121</f>
        <v>1137</v>
      </c>
      <c r="X40" s="110">
        <f>TrRoad_act!X121</f>
        <v>1320</v>
      </c>
      <c r="Y40" s="110">
        <f>TrRoad_act!Y121</f>
        <v>1163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1</v>
      </c>
      <c r="C41" s="102">
        <f>TrRoad_act!C122</f>
        <v>3</v>
      </c>
      <c r="D41" s="102">
        <f>TrRoad_act!D122</f>
        <v>0</v>
      </c>
      <c r="E41" s="102">
        <f>TrRoad_act!E122</f>
        <v>0</v>
      </c>
      <c r="F41" s="102">
        <f>TrRoad_act!F122</f>
        <v>1</v>
      </c>
      <c r="G41" s="102">
        <f>TrRoad_act!G122</f>
        <v>3</v>
      </c>
      <c r="H41" s="102">
        <f>TrRoad_act!H122</f>
        <v>0</v>
      </c>
      <c r="I41" s="102">
        <f>TrRoad_act!I122</f>
        <v>1</v>
      </c>
      <c r="J41" s="102">
        <f>TrRoad_act!J122</f>
        <v>0</v>
      </c>
      <c r="K41" s="102">
        <f>TrRoad_act!K122</f>
        <v>2</v>
      </c>
      <c r="L41" s="102">
        <f>TrRoad_act!L122</f>
        <v>1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1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X41" s="102">
        <f>TrRoad_act!X122</f>
        <v>1</v>
      </c>
      <c r="Y41" s="102">
        <f>TrRoad_act!Y122</f>
        <v>0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845</v>
      </c>
      <c r="C42" s="102">
        <f>TrRoad_act!C123</f>
        <v>574</v>
      </c>
      <c r="D42" s="102">
        <f>TrRoad_act!D123</f>
        <v>871</v>
      </c>
      <c r="E42" s="102">
        <f>TrRoad_act!E123</f>
        <v>1061</v>
      </c>
      <c r="F42" s="102">
        <f>TrRoad_act!F123</f>
        <v>1091</v>
      </c>
      <c r="G42" s="102">
        <f>TrRoad_act!G123</f>
        <v>943</v>
      </c>
      <c r="H42" s="102">
        <f>TrRoad_act!H123</f>
        <v>971</v>
      </c>
      <c r="I42" s="102">
        <f>TrRoad_act!I123</f>
        <v>1100</v>
      </c>
      <c r="J42" s="102">
        <f>TrRoad_act!J123</f>
        <v>1485</v>
      </c>
      <c r="K42" s="102">
        <f>TrRoad_act!K123</f>
        <v>1486</v>
      </c>
      <c r="L42" s="102">
        <f>TrRoad_act!L123</f>
        <v>1380</v>
      </c>
      <c r="M42" s="102">
        <f>TrRoad_act!M123</f>
        <v>1325</v>
      </c>
      <c r="N42" s="102">
        <f>TrRoad_act!N123</f>
        <v>1440</v>
      </c>
      <c r="O42" s="102">
        <f>TrRoad_act!O123</f>
        <v>1347</v>
      </c>
      <c r="P42" s="102">
        <f>TrRoad_act!P123</f>
        <v>1454</v>
      </c>
      <c r="Q42" s="102">
        <f>TrRoad_act!Q123</f>
        <v>1375</v>
      </c>
      <c r="R42" s="102">
        <f>TrRoad_act!R123</f>
        <v>1281</v>
      </c>
      <c r="S42" s="102">
        <f>TrRoad_act!S123</f>
        <v>1251</v>
      </c>
      <c r="T42" s="102">
        <f>TrRoad_act!T123</f>
        <v>1138</v>
      </c>
      <c r="U42" s="102">
        <f>TrRoad_act!U123</f>
        <v>1398</v>
      </c>
      <c r="V42" s="102">
        <f>TrRoad_act!V123</f>
        <v>1093</v>
      </c>
      <c r="W42" s="102">
        <f>TrRoad_act!W123</f>
        <v>941</v>
      </c>
      <c r="X42" s="102">
        <f>TrRoad_act!X123</f>
        <v>1028</v>
      </c>
      <c r="Y42" s="102">
        <f>TrRoad_act!Y123</f>
        <v>1041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X43" s="102">
        <f>TrRoad_act!X124</f>
        <v>0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6</v>
      </c>
      <c r="D44" s="102">
        <f>TrRoad_act!D125</f>
        <v>61</v>
      </c>
      <c r="E44" s="102">
        <f>TrRoad_act!E125</f>
        <v>10</v>
      </c>
      <c r="F44" s="102">
        <f>TrRoad_act!F125</f>
        <v>6</v>
      </c>
      <c r="G44" s="102">
        <f>TrRoad_act!G125</f>
        <v>8</v>
      </c>
      <c r="H44" s="102">
        <f>TrRoad_act!H125</f>
        <v>59</v>
      </c>
      <c r="I44" s="102">
        <f>TrRoad_act!I125</f>
        <v>13</v>
      </c>
      <c r="J44" s="102">
        <f>TrRoad_act!J125</f>
        <v>4</v>
      </c>
      <c r="K44" s="102">
        <f>TrRoad_act!K125</f>
        <v>12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7</v>
      </c>
      <c r="P44" s="102">
        <f>TrRoad_act!P125</f>
        <v>21</v>
      </c>
      <c r="Q44" s="102">
        <f>TrRoad_act!Q125</f>
        <v>11</v>
      </c>
      <c r="R44" s="102">
        <f>TrRoad_act!R125</f>
        <v>0</v>
      </c>
      <c r="S44" s="102">
        <f>TrRoad_act!S125</f>
        <v>6</v>
      </c>
      <c r="T44" s="102">
        <f>TrRoad_act!T125</f>
        <v>11</v>
      </c>
      <c r="U44" s="102">
        <f>TrRoad_act!U125</f>
        <v>15</v>
      </c>
      <c r="V44" s="102">
        <f>TrRoad_act!V125</f>
        <v>10</v>
      </c>
      <c r="W44" s="102">
        <f>TrRoad_act!W125</f>
        <v>5</v>
      </c>
      <c r="X44" s="102">
        <f>TrRoad_act!X125</f>
        <v>12</v>
      </c>
      <c r="Y44" s="102">
        <f>TrRoad_act!Y125</f>
        <v>15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6</v>
      </c>
      <c r="O45" s="102">
        <f>TrRoad_act!O126</f>
        <v>0</v>
      </c>
      <c r="P45" s="102">
        <f>TrRoad_act!P126</f>
        <v>2</v>
      </c>
      <c r="Q45" s="102">
        <f>TrRoad_act!Q126</f>
        <v>1</v>
      </c>
      <c r="R45" s="102">
        <f>TrRoad_act!R126</f>
        <v>15</v>
      </c>
      <c r="S45" s="102">
        <f>TrRoad_act!S126</f>
        <v>9</v>
      </c>
      <c r="T45" s="102">
        <f>TrRoad_act!T126</f>
        <v>2</v>
      </c>
      <c r="U45" s="102">
        <f>TrRoad_act!U126</f>
        <v>48</v>
      </c>
      <c r="V45" s="102">
        <f>TrRoad_act!V126</f>
        <v>28</v>
      </c>
      <c r="W45" s="102">
        <f>TrRoad_act!W126</f>
        <v>191</v>
      </c>
      <c r="X45" s="102">
        <f>TrRoad_act!X126</f>
        <v>279</v>
      </c>
      <c r="Y45" s="102">
        <f>TrRoad_act!Y126</f>
        <v>107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14810</v>
      </c>
      <c r="C46" s="28">
        <f>TrRoad_act!C127</f>
        <v>19974</v>
      </c>
      <c r="D46" s="28">
        <f>TrRoad_act!D127</f>
        <v>23044</v>
      </c>
      <c r="E46" s="28">
        <f>TrRoad_act!E127</f>
        <v>25770</v>
      </c>
      <c r="F46" s="28">
        <f>TrRoad_act!F127</f>
        <v>43997</v>
      </c>
      <c r="G46" s="28">
        <f>TrRoad_act!G127</f>
        <v>33446</v>
      </c>
      <c r="H46" s="28">
        <f>TrRoad_act!H127</f>
        <v>35927</v>
      </c>
      <c r="I46" s="28">
        <f>TrRoad_act!I127</f>
        <v>43454</v>
      </c>
      <c r="J46" s="28">
        <f>TrRoad_act!J127</f>
        <v>55141</v>
      </c>
      <c r="K46" s="28">
        <f>TrRoad_act!K127</f>
        <v>48193</v>
      </c>
      <c r="L46" s="28">
        <f>TrRoad_act!L127</f>
        <v>49366</v>
      </c>
      <c r="M46" s="28">
        <f>TrRoad_act!M127</f>
        <v>53476</v>
      </c>
      <c r="N46" s="28">
        <f>TrRoad_act!N127</f>
        <v>50483</v>
      </c>
      <c r="O46" s="28">
        <f>TrRoad_act!O127</f>
        <v>49554</v>
      </c>
      <c r="P46" s="28">
        <f>TrRoad_act!P127</f>
        <v>48923</v>
      </c>
      <c r="Q46" s="28">
        <f>TrRoad_act!Q127</f>
        <v>50686</v>
      </c>
      <c r="R46" s="28">
        <f>TrRoad_act!R127</f>
        <v>54828</v>
      </c>
      <c r="S46" s="28">
        <f>TrRoad_act!S127</f>
        <v>57843</v>
      </c>
      <c r="T46" s="28">
        <f>TrRoad_act!T127</f>
        <v>59347</v>
      </c>
      <c r="U46" s="28">
        <f>TrRoad_act!U127</f>
        <v>60923</v>
      </c>
      <c r="V46" s="28">
        <f>TrRoad_act!V127</f>
        <v>62136</v>
      </c>
      <c r="W46" s="28">
        <f>TrRoad_act!W127</f>
        <v>53668</v>
      </c>
      <c r="X46" s="28">
        <f>TrRoad_act!X127</f>
        <v>58095</v>
      </c>
      <c r="Y46" s="28">
        <f>TrRoad_act!Y127</f>
        <v>59471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14750</v>
      </c>
      <c r="C47" s="137">
        <f>TrRoad_act!C128</f>
        <v>14591</v>
      </c>
      <c r="D47" s="137">
        <f>TrRoad_act!D128</f>
        <v>16584</v>
      </c>
      <c r="E47" s="137">
        <f>TrRoad_act!E128</f>
        <v>18202</v>
      </c>
      <c r="F47" s="137">
        <f>TrRoad_act!F128</f>
        <v>34888</v>
      </c>
      <c r="G47" s="137">
        <f>TrRoad_act!G128</f>
        <v>24845</v>
      </c>
      <c r="H47" s="137">
        <f>TrRoad_act!H128</f>
        <v>27304</v>
      </c>
      <c r="I47" s="137">
        <f>TrRoad_act!I128</f>
        <v>32265</v>
      </c>
      <c r="J47" s="137">
        <f>TrRoad_act!J128</f>
        <v>40464</v>
      </c>
      <c r="K47" s="137">
        <f>TrRoad_act!K128</f>
        <v>36643</v>
      </c>
      <c r="L47" s="137">
        <f>TrRoad_act!L128</f>
        <v>36804</v>
      </c>
      <c r="M47" s="137">
        <f>TrRoad_act!M128</f>
        <v>40171</v>
      </c>
      <c r="N47" s="137">
        <f>TrRoad_act!N128</f>
        <v>37477</v>
      </c>
      <c r="O47" s="137">
        <f>TrRoad_act!O128</f>
        <v>36530</v>
      </c>
      <c r="P47" s="137">
        <f>TrRoad_act!P128</f>
        <v>36847</v>
      </c>
      <c r="Q47" s="137">
        <f>TrRoad_act!Q128</f>
        <v>38382</v>
      </c>
      <c r="R47" s="137">
        <f>TrRoad_act!R128</f>
        <v>41350</v>
      </c>
      <c r="S47" s="137">
        <f>TrRoad_act!S128</f>
        <v>43447</v>
      </c>
      <c r="T47" s="137">
        <f>TrRoad_act!T128</f>
        <v>44514</v>
      </c>
      <c r="U47" s="137">
        <f>TrRoad_act!U128</f>
        <v>45583</v>
      </c>
      <c r="V47" s="137">
        <f>TrRoad_act!V128</f>
        <v>48934</v>
      </c>
      <c r="W47" s="137">
        <f>TrRoad_act!W128</f>
        <v>40357</v>
      </c>
      <c r="X47" s="137">
        <f>TrRoad_act!X128</f>
        <v>43641</v>
      </c>
      <c r="Y47" s="137">
        <f>TrRoad_act!Y128</f>
        <v>44150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144</v>
      </c>
      <c r="C48" s="84">
        <f>TrRoad_act!C129</f>
        <v>528</v>
      </c>
      <c r="D48" s="84">
        <f>TrRoad_act!D129</f>
        <v>612</v>
      </c>
      <c r="E48" s="84">
        <f>TrRoad_act!E129</f>
        <v>293</v>
      </c>
      <c r="F48" s="84">
        <f>TrRoad_act!F129</f>
        <v>818</v>
      </c>
      <c r="G48" s="84">
        <f>TrRoad_act!G129</f>
        <v>1482</v>
      </c>
      <c r="H48" s="84">
        <f>TrRoad_act!H129</f>
        <v>1578</v>
      </c>
      <c r="I48" s="84">
        <f>TrRoad_act!I129</f>
        <v>1884</v>
      </c>
      <c r="J48" s="84">
        <f>TrRoad_act!J129</f>
        <v>3063</v>
      </c>
      <c r="K48" s="84">
        <f>TrRoad_act!K129</f>
        <v>3002</v>
      </c>
      <c r="L48" s="84">
        <f>TrRoad_act!L129</f>
        <v>2906</v>
      </c>
      <c r="M48" s="84">
        <f>TrRoad_act!M129</f>
        <v>2804</v>
      </c>
      <c r="N48" s="84">
        <f>TrRoad_act!N129</f>
        <v>2598</v>
      </c>
      <c r="O48" s="84">
        <f>TrRoad_act!O129</f>
        <v>1782</v>
      </c>
      <c r="P48" s="84">
        <f>TrRoad_act!P129</f>
        <v>2063</v>
      </c>
      <c r="Q48" s="84">
        <f>TrRoad_act!Q129</f>
        <v>2008</v>
      </c>
      <c r="R48" s="84">
        <f>TrRoad_act!R129</f>
        <v>1995</v>
      </c>
      <c r="S48" s="84">
        <f>TrRoad_act!S129</f>
        <v>1894</v>
      </c>
      <c r="T48" s="84">
        <f>TrRoad_act!T129</f>
        <v>1874</v>
      </c>
      <c r="U48" s="84">
        <f>TrRoad_act!U129</f>
        <v>1945</v>
      </c>
      <c r="V48" s="84">
        <f>TrRoad_act!V129</f>
        <v>1994</v>
      </c>
      <c r="W48" s="84">
        <f>TrRoad_act!W129</f>
        <v>2003</v>
      </c>
      <c r="X48" s="84">
        <f>TrRoad_act!X129</f>
        <v>2152</v>
      </c>
      <c r="Y48" s="84">
        <f>TrRoad_act!Y129</f>
        <v>2108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14600</v>
      </c>
      <c r="C49" s="84">
        <f>TrRoad_act!C130</f>
        <v>14058</v>
      </c>
      <c r="D49" s="84">
        <f>TrRoad_act!D130</f>
        <v>15970</v>
      </c>
      <c r="E49" s="84">
        <f>TrRoad_act!E130</f>
        <v>17908</v>
      </c>
      <c r="F49" s="84">
        <f>TrRoad_act!F130</f>
        <v>34070</v>
      </c>
      <c r="G49" s="84">
        <f>TrRoad_act!G130</f>
        <v>23361</v>
      </c>
      <c r="H49" s="84">
        <f>TrRoad_act!H130</f>
        <v>25724</v>
      </c>
      <c r="I49" s="84">
        <f>TrRoad_act!I130</f>
        <v>30374</v>
      </c>
      <c r="J49" s="84">
        <f>TrRoad_act!J130</f>
        <v>37385</v>
      </c>
      <c r="K49" s="84">
        <f>TrRoad_act!K130</f>
        <v>33621</v>
      </c>
      <c r="L49" s="84">
        <f>TrRoad_act!L130</f>
        <v>33876</v>
      </c>
      <c r="M49" s="84">
        <f>TrRoad_act!M130</f>
        <v>37341</v>
      </c>
      <c r="N49" s="84">
        <f>TrRoad_act!N130</f>
        <v>34844</v>
      </c>
      <c r="O49" s="84">
        <f>TrRoad_act!O130</f>
        <v>34698</v>
      </c>
      <c r="P49" s="84">
        <f>TrRoad_act!P130</f>
        <v>34735</v>
      </c>
      <c r="Q49" s="84">
        <f>TrRoad_act!Q130</f>
        <v>36300</v>
      </c>
      <c r="R49" s="84">
        <f>TrRoad_act!R130</f>
        <v>39248</v>
      </c>
      <c r="S49" s="84">
        <f>TrRoad_act!S130</f>
        <v>41381</v>
      </c>
      <c r="T49" s="84">
        <f>TrRoad_act!T130</f>
        <v>42422</v>
      </c>
      <c r="U49" s="84">
        <f>TrRoad_act!U130</f>
        <v>43372</v>
      </c>
      <c r="V49" s="84">
        <f>TrRoad_act!V130</f>
        <v>46629</v>
      </c>
      <c r="W49" s="84">
        <f>TrRoad_act!W130</f>
        <v>37934</v>
      </c>
      <c r="X49" s="84">
        <f>TrRoad_act!X130</f>
        <v>40796</v>
      </c>
      <c r="Y49" s="84">
        <f>TrRoad_act!Y130</f>
        <v>40442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0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0</v>
      </c>
      <c r="X50" s="84">
        <f>TrRoad_act!X131</f>
        <v>0</v>
      </c>
      <c r="Y50" s="84">
        <f>TrRoad_act!Y131</f>
        <v>0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3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1</v>
      </c>
      <c r="H51" s="84">
        <f>TrRoad_act!H132</f>
        <v>0</v>
      </c>
      <c r="I51" s="84">
        <f>TrRoad_act!I132</f>
        <v>7</v>
      </c>
      <c r="J51" s="84">
        <f>TrRoad_act!J132</f>
        <v>12</v>
      </c>
      <c r="K51" s="84">
        <f>TrRoad_act!K132</f>
        <v>17</v>
      </c>
      <c r="L51" s="84">
        <f>TrRoad_act!L132</f>
        <v>15</v>
      </c>
      <c r="M51" s="84">
        <f>TrRoad_act!M132</f>
        <v>25</v>
      </c>
      <c r="N51" s="84">
        <f>TrRoad_act!N132</f>
        <v>23</v>
      </c>
      <c r="O51" s="84">
        <f>TrRoad_act!O132</f>
        <v>47</v>
      </c>
      <c r="P51" s="84">
        <f>TrRoad_act!P132</f>
        <v>29</v>
      </c>
      <c r="Q51" s="84">
        <f>TrRoad_act!Q132</f>
        <v>31</v>
      </c>
      <c r="R51" s="84">
        <f>TrRoad_act!R132</f>
        <v>45</v>
      </c>
      <c r="S51" s="84">
        <f>TrRoad_act!S132</f>
        <v>128</v>
      </c>
      <c r="T51" s="84">
        <f>TrRoad_act!T132</f>
        <v>172</v>
      </c>
      <c r="U51" s="84">
        <f>TrRoad_act!U132</f>
        <v>205</v>
      </c>
      <c r="V51" s="84">
        <f>TrRoad_act!V132</f>
        <v>187</v>
      </c>
      <c r="W51" s="84">
        <f>TrRoad_act!W132</f>
        <v>65</v>
      </c>
      <c r="X51" s="84">
        <f>TrRoad_act!X132</f>
        <v>10</v>
      </c>
      <c r="Y51" s="84">
        <f>TrRoad_act!Y132</f>
        <v>14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6</v>
      </c>
      <c r="C52" s="84">
        <f>TrRoad_act!C133</f>
        <v>2</v>
      </c>
      <c r="D52" s="84">
        <f>TrRoad_act!D133</f>
        <v>2</v>
      </c>
      <c r="E52" s="84">
        <f>TrRoad_act!E133</f>
        <v>1</v>
      </c>
      <c r="F52" s="84">
        <f>TrRoad_act!F133</f>
        <v>0</v>
      </c>
      <c r="G52" s="84">
        <f>TrRoad_act!G133</f>
        <v>1</v>
      </c>
      <c r="H52" s="84">
        <f>TrRoad_act!H133</f>
        <v>2</v>
      </c>
      <c r="I52" s="84">
        <f>TrRoad_act!I133</f>
        <v>0</v>
      </c>
      <c r="J52" s="84">
        <f>TrRoad_act!J133</f>
        <v>4</v>
      </c>
      <c r="K52" s="84">
        <f>TrRoad_act!K133</f>
        <v>3</v>
      </c>
      <c r="L52" s="84">
        <f>TrRoad_act!L133</f>
        <v>7</v>
      </c>
      <c r="M52" s="84">
        <f>TrRoad_act!M133</f>
        <v>1</v>
      </c>
      <c r="N52" s="84">
        <f>TrRoad_act!N133</f>
        <v>12</v>
      </c>
      <c r="O52" s="84">
        <f>TrRoad_act!O133</f>
        <v>3</v>
      </c>
      <c r="P52" s="84">
        <f>TrRoad_act!P133</f>
        <v>20</v>
      </c>
      <c r="Q52" s="84">
        <f>TrRoad_act!Q133</f>
        <v>43</v>
      </c>
      <c r="R52" s="84">
        <f>TrRoad_act!R133</f>
        <v>62</v>
      </c>
      <c r="S52" s="84">
        <f>TrRoad_act!S133</f>
        <v>44</v>
      </c>
      <c r="T52" s="84">
        <f>TrRoad_act!T133</f>
        <v>46</v>
      </c>
      <c r="U52" s="84">
        <f>TrRoad_act!U133</f>
        <v>61</v>
      </c>
      <c r="V52" s="84">
        <f>TrRoad_act!V133</f>
        <v>124</v>
      </c>
      <c r="W52" s="84">
        <f>TrRoad_act!W133</f>
        <v>355</v>
      </c>
      <c r="X52" s="84">
        <f>TrRoad_act!X133</f>
        <v>683</v>
      </c>
      <c r="Y52" s="84">
        <f>TrRoad_act!Y133</f>
        <v>1586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60</v>
      </c>
      <c r="C53" s="110">
        <f>TrRoad_act!C134</f>
        <v>5383</v>
      </c>
      <c r="D53" s="110">
        <f>TrRoad_act!D134</f>
        <v>6460</v>
      </c>
      <c r="E53" s="110">
        <f>TrRoad_act!E134</f>
        <v>7568</v>
      </c>
      <c r="F53" s="110">
        <f>TrRoad_act!F134</f>
        <v>9109</v>
      </c>
      <c r="G53" s="110">
        <f>TrRoad_act!G134</f>
        <v>8601</v>
      </c>
      <c r="H53" s="110">
        <f>TrRoad_act!H134</f>
        <v>8623</v>
      </c>
      <c r="I53" s="110">
        <f>TrRoad_act!I134</f>
        <v>11189</v>
      </c>
      <c r="J53" s="110">
        <f>TrRoad_act!J134</f>
        <v>14677</v>
      </c>
      <c r="K53" s="110">
        <f>TrRoad_act!K134</f>
        <v>11550</v>
      </c>
      <c r="L53" s="110">
        <f>TrRoad_act!L134</f>
        <v>12562</v>
      </c>
      <c r="M53" s="110">
        <f>TrRoad_act!M134</f>
        <v>13305</v>
      </c>
      <c r="N53" s="110">
        <f>TrRoad_act!N134</f>
        <v>13006</v>
      </c>
      <c r="O53" s="110">
        <f>TrRoad_act!O134</f>
        <v>13024</v>
      </c>
      <c r="P53" s="110">
        <f>TrRoad_act!P134</f>
        <v>12076</v>
      </c>
      <c r="Q53" s="110">
        <f>TrRoad_act!Q134</f>
        <v>12304</v>
      </c>
      <c r="R53" s="110">
        <f>TrRoad_act!R134</f>
        <v>13478</v>
      </c>
      <c r="S53" s="110">
        <f>TrRoad_act!S134</f>
        <v>14396</v>
      </c>
      <c r="T53" s="110">
        <f>TrRoad_act!T134</f>
        <v>14833</v>
      </c>
      <c r="U53" s="110">
        <f>TrRoad_act!U134</f>
        <v>15340</v>
      </c>
      <c r="V53" s="110">
        <f>TrRoad_act!V134</f>
        <v>13202</v>
      </c>
      <c r="W53" s="110">
        <f>TrRoad_act!W134</f>
        <v>13311</v>
      </c>
      <c r="X53" s="110">
        <f>TrRoad_act!X134</f>
        <v>14454</v>
      </c>
      <c r="Y53" s="110">
        <f>TrRoad_act!Y134</f>
        <v>15321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5314</v>
      </c>
      <c r="D54" s="102">
        <f>TrRoad_act!D135</f>
        <v>6395</v>
      </c>
      <c r="E54" s="102">
        <f>TrRoad_act!E135</f>
        <v>7516</v>
      </c>
      <c r="F54" s="102">
        <f>TrRoad_act!F135</f>
        <v>8941</v>
      </c>
      <c r="G54" s="102">
        <f>TrRoad_act!G135</f>
        <v>8527</v>
      </c>
      <c r="H54" s="102">
        <f>TrRoad_act!H135</f>
        <v>8520</v>
      </c>
      <c r="I54" s="102">
        <f>TrRoad_act!I135</f>
        <v>11108</v>
      </c>
      <c r="J54" s="102">
        <f>TrRoad_act!J135</f>
        <v>14587</v>
      </c>
      <c r="K54" s="102">
        <f>TrRoad_act!K135</f>
        <v>11550</v>
      </c>
      <c r="L54" s="102">
        <f>TrRoad_act!L135</f>
        <v>12243</v>
      </c>
      <c r="M54" s="102">
        <f>TrRoad_act!M135</f>
        <v>13305</v>
      </c>
      <c r="N54" s="102">
        <f>TrRoad_act!N135</f>
        <v>12797</v>
      </c>
      <c r="O54" s="102">
        <f>TrRoad_act!O135</f>
        <v>13024</v>
      </c>
      <c r="P54" s="102">
        <f>TrRoad_act!P135</f>
        <v>11816</v>
      </c>
      <c r="Q54" s="102">
        <f>TrRoad_act!Q135</f>
        <v>12117</v>
      </c>
      <c r="R54" s="102">
        <f>TrRoad_act!R135</f>
        <v>13478</v>
      </c>
      <c r="S54" s="102">
        <f>TrRoad_act!S135</f>
        <v>14346</v>
      </c>
      <c r="T54" s="102">
        <f>TrRoad_act!T135</f>
        <v>14659</v>
      </c>
      <c r="U54" s="102">
        <f>TrRoad_act!U135</f>
        <v>15340</v>
      </c>
      <c r="V54" s="102">
        <f>TrRoad_act!V135</f>
        <v>13126</v>
      </c>
      <c r="W54" s="102">
        <f>TrRoad_act!W135</f>
        <v>13016</v>
      </c>
      <c r="X54" s="102">
        <f>TrRoad_act!X135</f>
        <v>14411</v>
      </c>
      <c r="Y54" s="102">
        <f>TrRoad_act!Y135</f>
        <v>15307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60</v>
      </c>
      <c r="C55" s="86">
        <f>TrRoad_act!C136</f>
        <v>69</v>
      </c>
      <c r="D55" s="86">
        <f>TrRoad_act!D136</f>
        <v>65</v>
      </c>
      <c r="E55" s="86">
        <f>TrRoad_act!E136</f>
        <v>52</v>
      </c>
      <c r="F55" s="86">
        <f>TrRoad_act!F136</f>
        <v>168</v>
      </c>
      <c r="G55" s="86">
        <f>TrRoad_act!G136</f>
        <v>74</v>
      </c>
      <c r="H55" s="86">
        <f>TrRoad_act!H136</f>
        <v>103</v>
      </c>
      <c r="I55" s="86">
        <f>TrRoad_act!I136</f>
        <v>81</v>
      </c>
      <c r="J55" s="86">
        <f>TrRoad_act!J136</f>
        <v>90</v>
      </c>
      <c r="K55" s="86">
        <f>TrRoad_act!K136</f>
        <v>0</v>
      </c>
      <c r="L55" s="86">
        <f>TrRoad_act!L136</f>
        <v>319</v>
      </c>
      <c r="M55" s="86">
        <f>TrRoad_act!M136</f>
        <v>0</v>
      </c>
      <c r="N55" s="86">
        <f>TrRoad_act!N136</f>
        <v>209</v>
      </c>
      <c r="O55" s="86">
        <f>TrRoad_act!O136</f>
        <v>0</v>
      </c>
      <c r="P55" s="86">
        <f>TrRoad_act!P136</f>
        <v>260</v>
      </c>
      <c r="Q55" s="86">
        <f>TrRoad_act!Q136</f>
        <v>187</v>
      </c>
      <c r="R55" s="86">
        <f>TrRoad_act!R136</f>
        <v>0</v>
      </c>
      <c r="S55" s="86">
        <f>TrRoad_act!S136</f>
        <v>50</v>
      </c>
      <c r="T55" s="86">
        <f>TrRoad_act!T136</f>
        <v>174</v>
      </c>
      <c r="U55" s="86">
        <f>TrRoad_act!U136</f>
        <v>0</v>
      </c>
      <c r="V55" s="86">
        <f>TrRoad_act!V136</f>
        <v>76</v>
      </c>
      <c r="W55" s="86">
        <f>TrRoad_act!W136</f>
        <v>295</v>
      </c>
      <c r="X55" s="86">
        <f>TrRoad_act!X136</f>
        <v>43</v>
      </c>
      <c r="Y55" s="86">
        <f>TrRoad_act!Y136</f>
        <v>14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18081</v>
      </c>
      <c r="C59" s="54">
        <f t="shared" si="0"/>
        <v>41933</v>
      </c>
      <c r="D59" s="54">
        <f t="shared" si="0"/>
        <v>55375</v>
      </c>
      <c r="E59" s="54">
        <f t="shared" si="0"/>
        <v>83329</v>
      </c>
      <c r="F59" s="54">
        <f t="shared" si="0"/>
        <v>100875</v>
      </c>
      <c r="G59" s="54">
        <f t="shared" si="0"/>
        <v>118039</v>
      </c>
      <c r="H59" s="54">
        <f t="shared" si="0"/>
        <v>144997</v>
      </c>
      <c r="I59" s="54">
        <f t="shared" si="0"/>
        <v>160195</v>
      </c>
      <c r="J59" s="54">
        <f t="shared" si="0"/>
        <v>211191</v>
      </c>
      <c r="K59" s="54">
        <f t="shared" si="0"/>
        <v>184648</v>
      </c>
      <c r="L59" s="54">
        <f t="shared" ref="L59" si="1">L60+L75</f>
        <v>218580</v>
      </c>
      <c r="M59" s="54">
        <f t="shared" ref="M59:V59" si="2">M60+M75</f>
        <v>244218</v>
      </c>
      <c r="N59" s="54">
        <f t="shared" si="2"/>
        <v>236443</v>
      </c>
      <c r="O59" s="54">
        <f t="shared" si="2"/>
        <v>236436</v>
      </c>
      <c r="P59" s="54">
        <f t="shared" si="2"/>
        <v>247577</v>
      </c>
      <c r="Q59" s="54">
        <f t="shared" si="2"/>
        <v>267776</v>
      </c>
      <c r="R59" s="54">
        <f t="shared" si="2"/>
        <v>290519</v>
      </c>
      <c r="S59" s="54">
        <f t="shared" si="2"/>
        <v>307211</v>
      </c>
      <c r="T59" s="54">
        <f t="shared" si="2"/>
        <v>324782</v>
      </c>
      <c r="U59" s="54">
        <f t="shared" si="2"/>
        <v>333612</v>
      </c>
      <c r="V59" s="54">
        <f t="shared" si="2"/>
        <v>328532</v>
      </c>
      <c r="W59" s="54">
        <f t="shared" ref="W59:Y59" si="3">W60+W75</f>
        <v>336167</v>
      </c>
      <c r="X59" s="54">
        <f t="shared" si="3"/>
        <v>331621</v>
      </c>
      <c r="Y59" s="54">
        <f t="shared" si="3"/>
        <v>297746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18081</v>
      </c>
      <c r="C60" s="28">
        <f t="shared" si="4"/>
        <v>41933</v>
      </c>
      <c r="D60" s="28">
        <f t="shared" si="4"/>
        <v>55375</v>
      </c>
      <c r="E60" s="28">
        <f t="shared" si="4"/>
        <v>83329</v>
      </c>
      <c r="F60" s="28">
        <f t="shared" si="4"/>
        <v>100875</v>
      </c>
      <c r="G60" s="28">
        <f t="shared" si="4"/>
        <v>118039</v>
      </c>
      <c r="H60" s="28">
        <f t="shared" si="4"/>
        <v>144997</v>
      </c>
      <c r="I60" s="28">
        <f t="shared" si="4"/>
        <v>154290</v>
      </c>
      <c r="J60" s="28">
        <f t="shared" si="4"/>
        <v>191289</v>
      </c>
      <c r="K60" s="28">
        <f t="shared" si="4"/>
        <v>162898</v>
      </c>
      <c r="L60" s="28">
        <f t="shared" ref="L60" si="5">L61+L62+L69</f>
        <v>191993</v>
      </c>
      <c r="M60" s="28">
        <f t="shared" ref="M60:V60" si="6">M61+M62+M69</f>
        <v>210811</v>
      </c>
      <c r="N60" s="28">
        <f t="shared" si="6"/>
        <v>200985</v>
      </c>
      <c r="O60" s="28">
        <f t="shared" si="6"/>
        <v>198130</v>
      </c>
      <c r="P60" s="28">
        <f t="shared" si="6"/>
        <v>207068</v>
      </c>
      <c r="Q60" s="28">
        <f t="shared" si="6"/>
        <v>223323</v>
      </c>
      <c r="R60" s="28">
        <f t="shared" si="6"/>
        <v>240192</v>
      </c>
      <c r="S60" s="28">
        <f t="shared" si="6"/>
        <v>252307</v>
      </c>
      <c r="T60" s="28">
        <f t="shared" si="6"/>
        <v>267100</v>
      </c>
      <c r="U60" s="28">
        <f t="shared" si="6"/>
        <v>273443</v>
      </c>
      <c r="V60" s="28">
        <f t="shared" si="6"/>
        <v>266642</v>
      </c>
      <c r="W60" s="28">
        <f t="shared" ref="W60:Y60" si="7">W61+W62+W69</f>
        <v>282542</v>
      </c>
      <c r="X60" s="28">
        <f t="shared" si="7"/>
        <v>273534</v>
      </c>
      <c r="Y60" s="28">
        <f t="shared" si="7"/>
        <v>238275</v>
      </c>
      <c r="DA60" s="173" t="s">
        <v>839</v>
      </c>
    </row>
    <row r="61" spans="1:105" ht="11.45" customHeight="1" x14ac:dyDescent="0.25">
      <c r="A61" s="136" t="s">
        <v>173</v>
      </c>
      <c r="B61" s="137">
        <v>990</v>
      </c>
      <c r="C61" s="137">
        <v>7936</v>
      </c>
      <c r="D61" s="137">
        <v>12497</v>
      </c>
      <c r="E61" s="137">
        <v>17862</v>
      </c>
      <c r="F61" s="137">
        <v>24007</v>
      </c>
      <c r="G61" s="137">
        <v>30076</v>
      </c>
      <c r="H61" s="137">
        <v>39188</v>
      </c>
      <c r="I61" s="137">
        <v>43700</v>
      </c>
      <c r="J61" s="137">
        <v>52974</v>
      </c>
      <c r="K61" s="137">
        <v>44095</v>
      </c>
      <c r="L61" s="137">
        <v>41291</v>
      </c>
      <c r="M61" s="137">
        <v>41227</v>
      </c>
      <c r="N61" s="137">
        <v>34236</v>
      </c>
      <c r="O61" s="137">
        <v>28430</v>
      </c>
      <c r="P61" s="137">
        <v>26406</v>
      </c>
      <c r="Q61" s="137">
        <v>25798</v>
      </c>
      <c r="R61" s="137">
        <v>23494</v>
      </c>
      <c r="S61" s="137">
        <v>25547</v>
      </c>
      <c r="T61" s="137">
        <v>23401</v>
      </c>
      <c r="U61" s="137">
        <v>24103</v>
      </c>
      <c r="V61" s="137">
        <v>27135</v>
      </c>
      <c r="W61" s="137">
        <v>23887</v>
      </c>
      <c r="X61" s="137">
        <v>24147</v>
      </c>
      <c r="Y61" s="137">
        <v>17184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17074</v>
      </c>
      <c r="C62" s="110">
        <f t="shared" si="8"/>
        <v>33994</v>
      </c>
      <c r="D62" s="110">
        <f t="shared" si="8"/>
        <v>42878</v>
      </c>
      <c r="E62" s="110">
        <f t="shared" si="8"/>
        <v>65467</v>
      </c>
      <c r="F62" s="110">
        <f t="shared" si="8"/>
        <v>76867</v>
      </c>
      <c r="G62" s="110">
        <f t="shared" si="8"/>
        <v>87887</v>
      </c>
      <c r="H62" s="110">
        <f t="shared" si="8"/>
        <v>105383</v>
      </c>
      <c r="I62" s="110">
        <f t="shared" si="8"/>
        <v>110026</v>
      </c>
      <c r="J62" s="110">
        <f t="shared" si="8"/>
        <v>137459</v>
      </c>
      <c r="K62" s="110">
        <f t="shared" si="8"/>
        <v>117841</v>
      </c>
      <c r="L62" s="110">
        <f t="shared" ref="L62" si="9">SUM(L63:L68)</f>
        <v>149733</v>
      </c>
      <c r="M62" s="110">
        <f t="shared" ref="M62:V62" si="10">SUM(M63:M68)</f>
        <v>168580</v>
      </c>
      <c r="N62" s="110">
        <f t="shared" si="10"/>
        <v>165586</v>
      </c>
      <c r="O62" s="110">
        <f t="shared" si="10"/>
        <v>168545</v>
      </c>
      <c r="P62" s="110">
        <f t="shared" si="10"/>
        <v>179347</v>
      </c>
      <c r="Q62" s="110">
        <f t="shared" si="10"/>
        <v>196246</v>
      </c>
      <c r="R62" s="110">
        <f t="shared" si="10"/>
        <v>215482</v>
      </c>
      <c r="S62" s="110">
        <f t="shared" si="10"/>
        <v>225534</v>
      </c>
      <c r="T62" s="110">
        <f t="shared" si="10"/>
        <v>242568</v>
      </c>
      <c r="U62" s="110">
        <f t="shared" si="10"/>
        <v>247891</v>
      </c>
      <c r="V62" s="110">
        <f t="shared" si="10"/>
        <v>238378</v>
      </c>
      <c r="W62" s="110">
        <f t="shared" ref="W62:Y62" si="11">SUM(W63:W68)</f>
        <v>257518</v>
      </c>
      <c r="X62" s="110">
        <f t="shared" si="11"/>
        <v>248067</v>
      </c>
      <c r="Y62" s="110">
        <f t="shared" si="11"/>
        <v>219928</v>
      </c>
      <c r="DA62" s="176" t="s">
        <v>841</v>
      </c>
    </row>
    <row r="63" spans="1:105" ht="11.45" customHeight="1" x14ac:dyDescent="0.25">
      <c r="A63" s="111" t="s">
        <v>110</v>
      </c>
      <c r="B63" s="84">
        <v>17074</v>
      </c>
      <c r="C63" s="84">
        <v>33994</v>
      </c>
      <c r="D63" s="84">
        <v>42878</v>
      </c>
      <c r="E63" s="84">
        <v>59058</v>
      </c>
      <c r="F63" s="84">
        <v>67230</v>
      </c>
      <c r="G63" s="84">
        <v>75462</v>
      </c>
      <c r="H63" s="84">
        <v>85705</v>
      </c>
      <c r="I63" s="84">
        <v>82540</v>
      </c>
      <c r="J63" s="84">
        <v>81046</v>
      </c>
      <c r="K63" s="84">
        <v>75753</v>
      </c>
      <c r="L63" s="84">
        <v>93790</v>
      </c>
      <c r="M63" s="84">
        <v>107001</v>
      </c>
      <c r="N63" s="84">
        <v>111035</v>
      </c>
      <c r="O63" s="84">
        <v>115184</v>
      </c>
      <c r="P63" s="84">
        <v>122372</v>
      </c>
      <c r="Q63" s="84">
        <v>138128</v>
      </c>
      <c r="R63" s="84">
        <v>149372</v>
      </c>
      <c r="S63" s="84">
        <v>159547</v>
      </c>
      <c r="T63" s="84">
        <v>173322</v>
      </c>
      <c r="U63" s="84">
        <v>177664</v>
      </c>
      <c r="V63" s="84">
        <v>163614</v>
      </c>
      <c r="W63" s="84">
        <v>166641</v>
      </c>
      <c r="X63" s="84">
        <v>150900</v>
      </c>
      <c r="Y63" s="84">
        <v>134359</v>
      </c>
      <c r="DA63" s="171" t="s">
        <v>842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6409</v>
      </c>
      <c r="F64" s="84">
        <v>9637</v>
      </c>
      <c r="G64" s="84">
        <v>12425</v>
      </c>
      <c r="H64" s="84">
        <v>19677</v>
      </c>
      <c r="I64" s="84">
        <v>27407</v>
      </c>
      <c r="J64" s="84">
        <v>56332</v>
      </c>
      <c r="K64" s="84">
        <v>41962</v>
      </c>
      <c r="L64" s="84">
        <v>55844</v>
      </c>
      <c r="M64" s="84">
        <v>61460</v>
      </c>
      <c r="N64" s="84">
        <v>54364</v>
      </c>
      <c r="O64" s="84">
        <v>53188</v>
      </c>
      <c r="P64" s="84">
        <v>56759</v>
      </c>
      <c r="Q64" s="84">
        <v>57876</v>
      </c>
      <c r="R64" s="84">
        <v>65799</v>
      </c>
      <c r="S64" s="84">
        <v>63521</v>
      </c>
      <c r="T64" s="84">
        <v>61375</v>
      </c>
      <c r="U64" s="84">
        <v>54683</v>
      </c>
      <c r="V64" s="84">
        <v>46998</v>
      </c>
      <c r="W64" s="84">
        <v>45532</v>
      </c>
      <c r="X64" s="84">
        <v>40595</v>
      </c>
      <c r="Y64" s="84">
        <v>37343</v>
      </c>
      <c r="DA64" s="171" t="s">
        <v>843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0</v>
      </c>
      <c r="W65" s="84">
        <v>0</v>
      </c>
      <c r="X65" s="84">
        <v>0</v>
      </c>
      <c r="Y65" s="84">
        <v>0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1</v>
      </c>
      <c r="I66" s="84">
        <v>79</v>
      </c>
      <c r="J66" s="84">
        <v>81</v>
      </c>
      <c r="K66" s="84">
        <v>126</v>
      </c>
      <c r="L66" s="84">
        <v>99</v>
      </c>
      <c r="M66" s="84">
        <v>119</v>
      </c>
      <c r="N66" s="84">
        <v>187</v>
      </c>
      <c r="O66" s="84">
        <v>173</v>
      </c>
      <c r="P66" s="84">
        <v>216</v>
      </c>
      <c r="Q66" s="84">
        <v>242</v>
      </c>
      <c r="R66" s="84">
        <v>311</v>
      </c>
      <c r="S66" s="84">
        <v>1300</v>
      </c>
      <c r="T66" s="84">
        <v>2407</v>
      </c>
      <c r="U66" s="84">
        <v>3746</v>
      </c>
      <c r="V66" s="84">
        <v>2978</v>
      </c>
      <c r="W66" s="84">
        <v>1144</v>
      </c>
      <c r="X66" s="84">
        <v>2319</v>
      </c>
      <c r="Y66" s="84">
        <v>470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1166</v>
      </c>
      <c r="T67" s="84">
        <v>5464</v>
      </c>
      <c r="U67" s="84">
        <v>10228</v>
      </c>
      <c r="V67" s="84">
        <v>20047</v>
      </c>
      <c r="W67" s="84">
        <v>31138</v>
      </c>
      <c r="X67" s="84">
        <v>29179</v>
      </c>
      <c r="Y67" s="84">
        <v>18085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1570</v>
      </c>
      <c r="V68" s="84">
        <v>4741</v>
      </c>
      <c r="W68" s="84">
        <v>13063</v>
      </c>
      <c r="X68" s="84">
        <v>25074</v>
      </c>
      <c r="Y68" s="84">
        <v>29671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17</v>
      </c>
      <c r="C69" s="110">
        <f t="shared" si="12"/>
        <v>3</v>
      </c>
      <c r="D69" s="110">
        <f t="shared" si="12"/>
        <v>0</v>
      </c>
      <c r="E69" s="110">
        <f t="shared" si="12"/>
        <v>0</v>
      </c>
      <c r="F69" s="110">
        <f t="shared" si="12"/>
        <v>1</v>
      </c>
      <c r="G69" s="110">
        <f t="shared" si="12"/>
        <v>76</v>
      </c>
      <c r="H69" s="110">
        <f t="shared" si="12"/>
        <v>426</v>
      </c>
      <c r="I69" s="110">
        <f t="shared" si="12"/>
        <v>564</v>
      </c>
      <c r="J69" s="110">
        <f t="shared" si="12"/>
        <v>856</v>
      </c>
      <c r="K69" s="110">
        <f t="shared" si="12"/>
        <v>962</v>
      </c>
      <c r="L69" s="110">
        <f t="shared" ref="L69" si="13">SUM(L70:L74)</f>
        <v>969</v>
      </c>
      <c r="M69" s="110">
        <f t="shared" ref="M69:V69" si="14">SUM(M70:M74)</f>
        <v>1004</v>
      </c>
      <c r="N69" s="110">
        <f t="shared" si="14"/>
        <v>1163</v>
      </c>
      <c r="O69" s="110">
        <f t="shared" si="14"/>
        <v>1155</v>
      </c>
      <c r="P69" s="110">
        <f t="shared" si="14"/>
        <v>1315</v>
      </c>
      <c r="Q69" s="110">
        <f t="shared" si="14"/>
        <v>1279</v>
      </c>
      <c r="R69" s="110">
        <f t="shared" si="14"/>
        <v>1216</v>
      </c>
      <c r="S69" s="110">
        <f t="shared" si="14"/>
        <v>1226</v>
      </c>
      <c r="T69" s="110">
        <f t="shared" si="14"/>
        <v>1131</v>
      </c>
      <c r="U69" s="110">
        <f t="shared" si="14"/>
        <v>1449</v>
      </c>
      <c r="V69" s="110">
        <f t="shared" si="14"/>
        <v>1129</v>
      </c>
      <c r="W69" s="110">
        <f t="shared" ref="W69:Y69" si="15">SUM(W70:W74)</f>
        <v>1137</v>
      </c>
      <c r="X69" s="110">
        <f t="shared" si="15"/>
        <v>1320</v>
      </c>
      <c r="Y69" s="110">
        <f t="shared" si="15"/>
        <v>1163</v>
      </c>
      <c r="DA69" s="176" t="s">
        <v>848</v>
      </c>
    </row>
    <row r="70" spans="1:105" ht="11.45" customHeight="1" x14ac:dyDescent="0.25">
      <c r="A70" s="111" t="s">
        <v>110</v>
      </c>
      <c r="B70" s="102">
        <v>17</v>
      </c>
      <c r="C70" s="102">
        <v>3</v>
      </c>
      <c r="D70" s="102">
        <v>0</v>
      </c>
      <c r="E70" s="102">
        <v>0</v>
      </c>
      <c r="F70" s="102">
        <v>1</v>
      </c>
      <c r="G70" s="102">
        <v>3</v>
      </c>
      <c r="H70" s="102">
        <v>0</v>
      </c>
      <c r="I70" s="102">
        <v>1</v>
      </c>
      <c r="J70" s="102">
        <v>0</v>
      </c>
      <c r="K70" s="102">
        <v>2</v>
      </c>
      <c r="L70" s="102">
        <v>1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1</v>
      </c>
      <c r="T70" s="102">
        <v>0</v>
      </c>
      <c r="U70" s="102">
        <v>0</v>
      </c>
      <c r="V70" s="102">
        <v>0</v>
      </c>
      <c r="W70" s="102">
        <v>0</v>
      </c>
      <c r="X70" s="102">
        <v>1</v>
      </c>
      <c r="Y70" s="102">
        <v>0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73</v>
      </c>
      <c r="H71" s="102">
        <v>422</v>
      </c>
      <c r="I71" s="102">
        <v>556</v>
      </c>
      <c r="J71" s="102">
        <v>853</v>
      </c>
      <c r="K71" s="102">
        <v>951</v>
      </c>
      <c r="L71" s="102">
        <v>968</v>
      </c>
      <c r="M71" s="102">
        <v>1004</v>
      </c>
      <c r="N71" s="102">
        <v>1163</v>
      </c>
      <c r="O71" s="102">
        <v>1148</v>
      </c>
      <c r="P71" s="102">
        <v>1295</v>
      </c>
      <c r="Q71" s="102">
        <v>1268</v>
      </c>
      <c r="R71" s="102">
        <v>1214</v>
      </c>
      <c r="S71" s="102">
        <v>1211</v>
      </c>
      <c r="T71" s="102">
        <v>1118</v>
      </c>
      <c r="U71" s="102">
        <v>1387</v>
      </c>
      <c r="V71" s="102">
        <v>1091</v>
      </c>
      <c r="W71" s="102">
        <v>941</v>
      </c>
      <c r="X71" s="102">
        <v>1028</v>
      </c>
      <c r="Y71" s="102">
        <v>1041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X72" s="102">
        <v>0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4</v>
      </c>
      <c r="I73" s="102">
        <v>7</v>
      </c>
      <c r="J73" s="102">
        <v>3</v>
      </c>
      <c r="K73" s="102">
        <v>9</v>
      </c>
      <c r="L73" s="102">
        <v>0</v>
      </c>
      <c r="M73" s="102">
        <v>0</v>
      </c>
      <c r="N73" s="102">
        <v>0</v>
      </c>
      <c r="O73" s="102">
        <v>7</v>
      </c>
      <c r="P73" s="102">
        <v>20</v>
      </c>
      <c r="Q73" s="102">
        <v>11</v>
      </c>
      <c r="R73" s="102">
        <v>0</v>
      </c>
      <c r="S73" s="102">
        <v>6</v>
      </c>
      <c r="T73" s="102">
        <v>11</v>
      </c>
      <c r="U73" s="102">
        <v>15</v>
      </c>
      <c r="V73" s="102">
        <v>10</v>
      </c>
      <c r="W73" s="102">
        <v>5</v>
      </c>
      <c r="X73" s="102">
        <v>12</v>
      </c>
      <c r="Y73" s="102">
        <v>15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2</v>
      </c>
      <c r="S74" s="102">
        <v>8</v>
      </c>
      <c r="T74" s="102">
        <v>2</v>
      </c>
      <c r="U74" s="102">
        <v>47</v>
      </c>
      <c r="V74" s="102">
        <v>28</v>
      </c>
      <c r="W74" s="102">
        <v>191</v>
      </c>
      <c r="X74" s="102">
        <v>279</v>
      </c>
      <c r="Y74" s="102">
        <v>107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0</v>
      </c>
      <c r="G75" s="28">
        <f t="shared" si="16"/>
        <v>0</v>
      </c>
      <c r="H75" s="28">
        <f t="shared" si="16"/>
        <v>0</v>
      </c>
      <c r="I75" s="28">
        <f t="shared" si="16"/>
        <v>5905</v>
      </c>
      <c r="J75" s="28">
        <f t="shared" si="16"/>
        <v>19902</v>
      </c>
      <c r="K75" s="28">
        <f t="shared" si="16"/>
        <v>21750</v>
      </c>
      <c r="L75" s="28">
        <f t="shared" ref="L75" si="17">L76+L82</f>
        <v>26587</v>
      </c>
      <c r="M75" s="28">
        <f t="shared" ref="M75:V75" si="18">M76+M82</f>
        <v>33407</v>
      </c>
      <c r="N75" s="28">
        <f t="shared" si="18"/>
        <v>35458</v>
      </c>
      <c r="O75" s="28">
        <f t="shared" si="18"/>
        <v>38306</v>
      </c>
      <c r="P75" s="28">
        <f t="shared" si="18"/>
        <v>40509</v>
      </c>
      <c r="Q75" s="28">
        <f t="shared" si="18"/>
        <v>44453</v>
      </c>
      <c r="R75" s="28">
        <f t="shared" si="18"/>
        <v>50327</v>
      </c>
      <c r="S75" s="28">
        <f t="shared" si="18"/>
        <v>54904</v>
      </c>
      <c r="T75" s="28">
        <f t="shared" si="18"/>
        <v>57682</v>
      </c>
      <c r="U75" s="28">
        <f t="shared" si="18"/>
        <v>60169</v>
      </c>
      <c r="V75" s="28">
        <f t="shared" si="18"/>
        <v>61890</v>
      </c>
      <c r="W75" s="28">
        <f t="shared" ref="W75:Y75" si="19">W76+W82</f>
        <v>53625</v>
      </c>
      <c r="X75" s="28">
        <f t="shared" si="19"/>
        <v>58087</v>
      </c>
      <c r="Y75" s="28">
        <f t="shared" si="19"/>
        <v>59471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3429</v>
      </c>
      <c r="J76" s="137">
        <f t="shared" si="20"/>
        <v>12916</v>
      </c>
      <c r="K76" s="137">
        <f t="shared" si="20"/>
        <v>14897</v>
      </c>
      <c r="L76" s="137">
        <f t="shared" ref="L76" si="21">SUM(L77:L81)</f>
        <v>18078</v>
      </c>
      <c r="M76" s="137">
        <f t="shared" ref="M76:V76" si="22">SUM(M77:M81)</f>
        <v>23083</v>
      </c>
      <c r="N76" s="137">
        <f t="shared" si="22"/>
        <v>24526</v>
      </c>
      <c r="O76" s="137">
        <f t="shared" si="22"/>
        <v>26633</v>
      </c>
      <c r="P76" s="137">
        <f t="shared" si="22"/>
        <v>29284</v>
      </c>
      <c r="Q76" s="137">
        <f t="shared" si="22"/>
        <v>32681</v>
      </c>
      <c r="R76" s="137">
        <f t="shared" si="22"/>
        <v>37156</v>
      </c>
      <c r="S76" s="137">
        <f t="shared" si="22"/>
        <v>40691</v>
      </c>
      <c r="T76" s="137">
        <f t="shared" si="22"/>
        <v>42967</v>
      </c>
      <c r="U76" s="137">
        <f t="shared" si="22"/>
        <v>44865</v>
      </c>
      <c r="V76" s="137">
        <f t="shared" si="22"/>
        <v>48704</v>
      </c>
      <c r="W76" s="137">
        <f t="shared" ref="W76:Y76" si="23">SUM(W77:W81)</f>
        <v>40335</v>
      </c>
      <c r="X76" s="137">
        <f t="shared" si="23"/>
        <v>43634</v>
      </c>
      <c r="Y76" s="137">
        <f t="shared" si="23"/>
        <v>44150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165</v>
      </c>
      <c r="J77" s="84">
        <v>1051</v>
      </c>
      <c r="K77" s="84">
        <v>1383</v>
      </c>
      <c r="L77" s="84">
        <v>1534</v>
      </c>
      <c r="M77" s="84">
        <v>1655</v>
      </c>
      <c r="N77" s="84">
        <v>1692</v>
      </c>
      <c r="O77" s="84">
        <v>1264</v>
      </c>
      <c r="P77" s="84">
        <v>1575</v>
      </c>
      <c r="Q77" s="84">
        <v>1632</v>
      </c>
      <c r="R77" s="84">
        <v>1710</v>
      </c>
      <c r="S77" s="84">
        <v>1697</v>
      </c>
      <c r="T77" s="84">
        <v>1740</v>
      </c>
      <c r="U77" s="84">
        <v>1857</v>
      </c>
      <c r="V77" s="84">
        <v>1944</v>
      </c>
      <c r="W77" s="84">
        <v>1981</v>
      </c>
      <c r="X77" s="84">
        <v>2146</v>
      </c>
      <c r="Y77" s="84">
        <v>2108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3264</v>
      </c>
      <c r="J78" s="84">
        <v>11859</v>
      </c>
      <c r="K78" s="84">
        <v>13503</v>
      </c>
      <c r="L78" s="84">
        <v>16533</v>
      </c>
      <c r="M78" s="84">
        <v>21411</v>
      </c>
      <c r="N78" s="84">
        <v>22817</v>
      </c>
      <c r="O78" s="84">
        <v>25331</v>
      </c>
      <c r="P78" s="84">
        <v>27685</v>
      </c>
      <c r="Q78" s="84">
        <v>31022</v>
      </c>
      <c r="R78" s="84">
        <v>35405</v>
      </c>
      <c r="S78" s="84">
        <v>38874</v>
      </c>
      <c r="T78" s="84">
        <v>41024</v>
      </c>
      <c r="U78" s="84">
        <v>42750</v>
      </c>
      <c r="V78" s="84">
        <v>46453</v>
      </c>
      <c r="W78" s="84">
        <v>37934</v>
      </c>
      <c r="X78" s="84">
        <v>40795</v>
      </c>
      <c r="Y78" s="84">
        <v>40442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6</v>
      </c>
      <c r="K80" s="84">
        <v>11</v>
      </c>
      <c r="L80" s="84">
        <v>11</v>
      </c>
      <c r="M80" s="84">
        <v>17</v>
      </c>
      <c r="N80" s="84">
        <v>17</v>
      </c>
      <c r="O80" s="84">
        <v>38</v>
      </c>
      <c r="P80" s="84">
        <v>24</v>
      </c>
      <c r="Q80" s="84">
        <v>27</v>
      </c>
      <c r="R80" s="84">
        <v>41</v>
      </c>
      <c r="S80" s="84">
        <v>120</v>
      </c>
      <c r="T80" s="84">
        <v>166</v>
      </c>
      <c r="U80" s="84">
        <v>200</v>
      </c>
      <c r="V80" s="84">
        <v>185</v>
      </c>
      <c r="W80" s="84">
        <v>65</v>
      </c>
      <c r="X80" s="84">
        <v>10</v>
      </c>
      <c r="Y80" s="84">
        <v>14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37</v>
      </c>
      <c r="U81" s="84">
        <v>58</v>
      </c>
      <c r="V81" s="84">
        <v>122</v>
      </c>
      <c r="W81" s="84">
        <v>355</v>
      </c>
      <c r="X81" s="84">
        <v>683</v>
      </c>
      <c r="Y81" s="84">
        <v>1586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0</v>
      </c>
      <c r="I82" s="110">
        <f t="shared" si="24"/>
        <v>2476</v>
      </c>
      <c r="J82" s="110">
        <f t="shared" si="24"/>
        <v>6986</v>
      </c>
      <c r="K82" s="110">
        <f t="shared" si="24"/>
        <v>6853</v>
      </c>
      <c r="L82" s="110">
        <f t="shared" ref="L82" si="25">SUM(L83:L84)</f>
        <v>8509</v>
      </c>
      <c r="M82" s="110">
        <f t="shared" ref="M82:V82" si="26">SUM(M83:M84)</f>
        <v>10324</v>
      </c>
      <c r="N82" s="110">
        <f t="shared" si="26"/>
        <v>10932</v>
      </c>
      <c r="O82" s="110">
        <f t="shared" si="26"/>
        <v>11673</v>
      </c>
      <c r="P82" s="110">
        <f t="shared" si="26"/>
        <v>11225</v>
      </c>
      <c r="Q82" s="110">
        <f t="shared" si="26"/>
        <v>11772</v>
      </c>
      <c r="R82" s="110">
        <f t="shared" si="26"/>
        <v>13171</v>
      </c>
      <c r="S82" s="110">
        <f t="shared" si="26"/>
        <v>14213</v>
      </c>
      <c r="T82" s="110">
        <f t="shared" si="26"/>
        <v>14715</v>
      </c>
      <c r="U82" s="110">
        <f t="shared" si="26"/>
        <v>15304</v>
      </c>
      <c r="V82" s="110">
        <f t="shared" si="26"/>
        <v>13186</v>
      </c>
      <c r="W82" s="110">
        <f t="shared" ref="W82:Y82" si="27">SUM(W83:W84)</f>
        <v>13290</v>
      </c>
      <c r="X82" s="110">
        <f t="shared" si="27"/>
        <v>14453</v>
      </c>
      <c r="Y82" s="110">
        <f t="shared" si="27"/>
        <v>15321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2476</v>
      </c>
      <c r="J83" s="102">
        <v>6986</v>
      </c>
      <c r="K83" s="102">
        <v>6853</v>
      </c>
      <c r="L83" s="102">
        <v>8479</v>
      </c>
      <c r="M83" s="102">
        <v>10324</v>
      </c>
      <c r="N83" s="102">
        <v>10797</v>
      </c>
      <c r="O83" s="102">
        <v>11673</v>
      </c>
      <c r="P83" s="102">
        <v>11044</v>
      </c>
      <c r="Q83" s="102">
        <v>11638</v>
      </c>
      <c r="R83" s="102">
        <v>13171</v>
      </c>
      <c r="S83" s="102">
        <v>14172</v>
      </c>
      <c r="T83" s="102">
        <v>14574</v>
      </c>
      <c r="U83" s="102">
        <v>15304</v>
      </c>
      <c r="V83" s="102">
        <v>13116</v>
      </c>
      <c r="W83" s="102">
        <v>13014</v>
      </c>
      <c r="X83" s="102">
        <v>14411</v>
      </c>
      <c r="Y83" s="102">
        <v>15307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30</v>
      </c>
      <c r="M84" s="86">
        <v>0</v>
      </c>
      <c r="N84" s="86">
        <v>135</v>
      </c>
      <c r="O84" s="86">
        <v>0</v>
      </c>
      <c r="P84" s="86">
        <v>181</v>
      </c>
      <c r="Q84" s="86">
        <v>134</v>
      </c>
      <c r="R84" s="86">
        <v>0</v>
      </c>
      <c r="S84" s="86">
        <v>41</v>
      </c>
      <c r="T84" s="86">
        <v>141</v>
      </c>
      <c r="U84" s="86">
        <v>0</v>
      </c>
      <c r="V84" s="86">
        <v>70</v>
      </c>
      <c r="W84" s="86">
        <v>276</v>
      </c>
      <c r="X84" s="86">
        <v>42</v>
      </c>
      <c r="Y84" s="86">
        <v>14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4.2483254296430601</v>
      </c>
      <c r="C90" s="141">
        <v>4.1919112353060966</v>
      </c>
      <c r="D90" s="141">
        <v>4.1287680259597597</v>
      </c>
      <c r="E90" s="141">
        <v>4.0575698025161691</v>
      </c>
      <c r="F90" s="141">
        <v>3.9946601734792275</v>
      </c>
      <c r="G90" s="141">
        <v>3.9345957722739904</v>
      </c>
      <c r="H90" s="141">
        <v>3.8718280884559353</v>
      </c>
      <c r="I90" s="141">
        <v>3.8200885881529083</v>
      </c>
      <c r="J90" s="141">
        <v>3.7342623713288856</v>
      </c>
      <c r="K90" s="141">
        <v>3.6587712903135987</v>
      </c>
      <c r="L90" s="141">
        <v>3.5840287398359751</v>
      </c>
      <c r="M90" s="141">
        <v>3.5083040987924536</v>
      </c>
      <c r="N90" s="141">
        <v>3.4441639754739382</v>
      </c>
      <c r="O90" s="141">
        <v>3.4002179816751323</v>
      </c>
      <c r="P90" s="141">
        <v>3.3421150063045029</v>
      </c>
      <c r="Q90" s="141">
        <v>3.2886671653335546</v>
      </c>
      <c r="R90" s="141">
        <v>3.2506509716325014</v>
      </c>
      <c r="S90" s="141">
        <v>3.206163739107184</v>
      </c>
      <c r="T90" s="141">
        <v>3.1652132430943829</v>
      </c>
      <c r="U90" s="141">
        <v>3.1236260486335485</v>
      </c>
      <c r="V90" s="141">
        <v>3.0785054632039541</v>
      </c>
      <c r="W90" s="141">
        <v>3.0387801822433964</v>
      </c>
      <c r="X90" s="141">
        <v>2.9995118042839306</v>
      </c>
      <c r="Y90" s="141">
        <v>2.982436552997394</v>
      </c>
      <c r="DA90" s="174" t="s">
        <v>864</v>
      </c>
    </row>
    <row r="91" spans="1:105" ht="11.45" customHeight="1" x14ac:dyDescent="0.25">
      <c r="A91" s="109" t="s">
        <v>20</v>
      </c>
      <c r="B91" s="130">
        <v>6.7614501813479739</v>
      </c>
      <c r="C91" s="130">
        <v>6.6990313869510025</v>
      </c>
      <c r="D91" s="130">
        <v>6.6735892892504332</v>
      </c>
      <c r="E91" s="130">
        <v>6.6458015774287071</v>
      </c>
      <c r="F91" s="130">
        <v>6.6155565284090754</v>
      </c>
      <c r="G91" s="130">
        <v>6.5950977021864823</v>
      </c>
      <c r="H91" s="130">
        <v>6.5738379212417408</v>
      </c>
      <c r="I91" s="130">
        <v>6.5546987889575847</v>
      </c>
      <c r="J91" s="130">
        <v>6.5345512330065194</v>
      </c>
      <c r="K91" s="130">
        <v>6.5190413746895954</v>
      </c>
      <c r="L91" s="130">
        <v>6.4944156084738536</v>
      </c>
      <c r="M91" s="130">
        <v>6.4612396026070034</v>
      </c>
      <c r="N91" s="130">
        <v>6.4299791961184694</v>
      </c>
      <c r="O91" s="130">
        <v>6.3841358172682847</v>
      </c>
      <c r="P91" s="130">
        <v>6.3353788672102036</v>
      </c>
      <c r="Q91" s="130">
        <v>6.2726225707791148</v>
      </c>
      <c r="R91" s="130">
        <v>6.2064898845683159</v>
      </c>
      <c r="S91" s="130">
        <v>6.1256040295978451</v>
      </c>
      <c r="T91" s="130">
        <v>6.0431750129843271</v>
      </c>
      <c r="U91" s="130">
        <v>5.946552939550215</v>
      </c>
      <c r="V91" s="130">
        <v>5.8373780421954988</v>
      </c>
      <c r="W91" s="130">
        <v>5.6996429146710126</v>
      </c>
      <c r="X91" s="130">
        <v>5.5770044093342541</v>
      </c>
      <c r="Y91" s="130">
        <v>5.48403563310967</v>
      </c>
      <c r="DA91" s="176" t="s">
        <v>865</v>
      </c>
    </row>
    <row r="92" spans="1:105" ht="11.45" customHeight="1" x14ac:dyDescent="0.25">
      <c r="A92" s="111" t="s">
        <v>110</v>
      </c>
      <c r="B92" s="96">
        <v>6.6777275401814666</v>
      </c>
      <c r="C92" s="96">
        <v>6.6387826262978047</v>
      </c>
      <c r="D92" s="96">
        <v>6.6175106058539788</v>
      </c>
      <c r="E92" s="96">
        <v>6.5925422239965137</v>
      </c>
      <c r="F92" s="96">
        <v>6.5677053291078495</v>
      </c>
      <c r="G92" s="96">
        <v>6.5424308487369665</v>
      </c>
      <c r="H92" s="96">
        <v>6.5156737746310531</v>
      </c>
      <c r="I92" s="96">
        <v>6.4901566277195268</v>
      </c>
      <c r="J92" s="96">
        <v>6.468095250229954</v>
      </c>
      <c r="K92" s="96">
        <v>6.4513709892063673</v>
      </c>
      <c r="L92" s="96">
        <v>6.4266855064364066</v>
      </c>
      <c r="M92" s="96">
        <v>6.3914784695238467</v>
      </c>
      <c r="N92" s="96">
        <v>6.3562898469213103</v>
      </c>
      <c r="O92" s="96">
        <v>6.3065520634083132</v>
      </c>
      <c r="P92" s="96">
        <v>6.2575904330086445</v>
      </c>
      <c r="Q92" s="96">
        <v>6.1935660986406562</v>
      </c>
      <c r="R92" s="96">
        <v>6.1201323507404792</v>
      </c>
      <c r="S92" s="96">
        <v>6.0314489604037282</v>
      </c>
      <c r="T92" s="96">
        <v>5.9337004284325614</v>
      </c>
      <c r="U92" s="96">
        <v>5.8339338847049822</v>
      </c>
      <c r="V92" s="96">
        <v>5.7329126162986794</v>
      </c>
      <c r="W92" s="96">
        <v>5.6185883273375614</v>
      </c>
      <c r="X92" s="96">
        <v>5.5298880383374165</v>
      </c>
      <c r="Y92" s="96">
        <v>5.454550765690005</v>
      </c>
      <c r="DA92" s="171" t="s">
        <v>866</v>
      </c>
    </row>
    <row r="93" spans="1:105" ht="11.45" customHeight="1" x14ac:dyDescent="0.25">
      <c r="A93" s="111" t="s">
        <v>111</v>
      </c>
      <c r="B93" s="96">
        <v>7.4922958259918317</v>
      </c>
      <c r="C93" s="96">
        <v>7.0357593252877733</v>
      </c>
      <c r="D93" s="96">
        <v>6.9225755713516959</v>
      </c>
      <c r="E93" s="96">
        <v>6.8293837056174729</v>
      </c>
      <c r="F93" s="96">
        <v>6.7521402119608931</v>
      </c>
      <c r="G93" s="96">
        <v>6.7368894261763144</v>
      </c>
      <c r="H93" s="96">
        <v>6.7449883881756039</v>
      </c>
      <c r="I93" s="96">
        <v>6.7572340879632042</v>
      </c>
      <c r="J93" s="96">
        <v>6.706446841249516</v>
      </c>
      <c r="K93" s="96">
        <v>6.6790241824835679</v>
      </c>
      <c r="L93" s="96">
        <v>6.6381145624584077</v>
      </c>
      <c r="M93" s="96">
        <v>6.5926221677006298</v>
      </c>
      <c r="N93" s="96">
        <v>6.5477912300887064</v>
      </c>
      <c r="O93" s="96">
        <v>6.4815214913116685</v>
      </c>
      <c r="P93" s="96">
        <v>6.3984721265961371</v>
      </c>
      <c r="Q93" s="96">
        <v>6.3102870255493411</v>
      </c>
      <c r="R93" s="96">
        <v>6.2163987321424496</v>
      </c>
      <c r="S93" s="96">
        <v>6.1349638541904987</v>
      </c>
      <c r="T93" s="96">
        <v>6.0641751684651624</v>
      </c>
      <c r="U93" s="96">
        <v>5.9980650033414538</v>
      </c>
      <c r="V93" s="96">
        <v>5.9308157342118273</v>
      </c>
      <c r="W93" s="96">
        <v>5.857541627299268</v>
      </c>
      <c r="X93" s="96">
        <v>5.7895184995366114</v>
      </c>
      <c r="Y93" s="96">
        <v>5.7564779342986592</v>
      </c>
      <c r="DA93" s="171" t="s">
        <v>867</v>
      </c>
    </row>
    <row r="94" spans="1:105" ht="11.45" customHeight="1" x14ac:dyDescent="0.25">
      <c r="A94" s="111" t="s">
        <v>112</v>
      </c>
      <c r="B94" s="96">
        <v>0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  <c r="M94" s="96">
        <v>0</v>
      </c>
      <c r="N94" s="96">
        <v>0</v>
      </c>
      <c r="O94" s="96">
        <v>0</v>
      </c>
      <c r="P94" s="96">
        <v>0</v>
      </c>
      <c r="Q94" s="96">
        <v>0</v>
      </c>
      <c r="R94" s="96">
        <v>0</v>
      </c>
      <c r="S94" s="96">
        <v>0</v>
      </c>
      <c r="T94" s="96">
        <v>0</v>
      </c>
      <c r="U94" s="96">
        <v>0</v>
      </c>
      <c r="V94" s="96">
        <v>0</v>
      </c>
      <c r="W94" s="96">
        <v>0</v>
      </c>
      <c r="X94" s="96">
        <v>0</v>
      </c>
      <c r="Y94" s="96">
        <v>0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8.2915018849079249</v>
      </c>
      <c r="I95" s="96">
        <v>8.3108580765935756</v>
      </c>
      <c r="J95" s="96">
        <v>8.0221139765836362</v>
      </c>
      <c r="K95" s="96">
        <v>7.7515581138186143</v>
      </c>
      <c r="L95" s="96">
        <v>7.5755236382804778</v>
      </c>
      <c r="M95" s="96">
        <v>7.6941602088752203</v>
      </c>
      <c r="N95" s="96">
        <v>7.732227535031357</v>
      </c>
      <c r="O95" s="96">
        <v>7.3787701271976065</v>
      </c>
      <c r="P95" s="96">
        <v>6.8963026584824041</v>
      </c>
      <c r="Q95" s="96">
        <v>6.5074593650814103</v>
      </c>
      <c r="R95" s="96">
        <v>6.2090919407896283</v>
      </c>
      <c r="S95" s="96">
        <v>5.6934822555709319</v>
      </c>
      <c r="T95" s="96">
        <v>5.5526395383651863</v>
      </c>
      <c r="U95" s="96">
        <v>5.2638812420859677</v>
      </c>
      <c r="V95" s="96">
        <v>5.141120368691424</v>
      </c>
      <c r="W95" s="96">
        <v>5.0796244120607872</v>
      </c>
      <c r="X95" s="96">
        <v>4.9850497013843764</v>
      </c>
      <c r="Y95" s="96">
        <v>4.9611597970131607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2.7395941481737638</v>
      </c>
      <c r="O96" s="96">
        <v>2.8472836737778873</v>
      </c>
      <c r="P96" s="96">
        <v>3.0896928889118329</v>
      </c>
      <c r="Q96" s="96">
        <v>3.3730650870780372</v>
      </c>
      <c r="R96" s="96">
        <v>3.523380251120904</v>
      </c>
      <c r="S96" s="96">
        <v>3.4900129728667841</v>
      </c>
      <c r="T96" s="96">
        <v>3.5242284480202759</v>
      </c>
      <c r="U96" s="96">
        <v>3.3556096771110924</v>
      </c>
      <c r="V96" s="96">
        <v>3.2074195500024496</v>
      </c>
      <c r="W96" s="96">
        <v>3.0611045326382165</v>
      </c>
      <c r="X96" s="96">
        <v>2.9709730581030298</v>
      </c>
      <c r="Y96" s="96">
        <v>2.8593226033958117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1.5561912025524094</v>
      </c>
      <c r="J97" s="96">
        <v>1.5449596628477595</v>
      </c>
      <c r="K97" s="96">
        <v>1.5356187699041717</v>
      </c>
      <c r="L97" s="96">
        <v>1.5163827530472398</v>
      </c>
      <c r="M97" s="96">
        <v>1.512523198196579</v>
      </c>
      <c r="N97" s="96">
        <v>1.4527547384502641</v>
      </c>
      <c r="O97" s="96">
        <v>1.4519870613415653</v>
      </c>
      <c r="P97" s="96">
        <v>1.4341827866772889</v>
      </c>
      <c r="Q97" s="96">
        <v>1.5229269086833777</v>
      </c>
      <c r="R97" s="96">
        <v>1.5201869227343603</v>
      </c>
      <c r="S97" s="96">
        <v>1.4756189863276514</v>
      </c>
      <c r="T97" s="96">
        <v>1.4798462407573001</v>
      </c>
      <c r="U97" s="96">
        <v>1.4073883425937821</v>
      </c>
      <c r="V97" s="96">
        <v>1.4678303423281169</v>
      </c>
      <c r="W97" s="96">
        <v>1.5593536770568259</v>
      </c>
      <c r="X97" s="96">
        <v>1.5743701271128108</v>
      </c>
      <c r="Y97" s="96">
        <v>1.5556331823850282</v>
      </c>
      <c r="DA97" s="171" t="s">
        <v>871</v>
      </c>
    </row>
    <row r="98" spans="1:105" ht="11.45" customHeight="1" x14ac:dyDescent="0.25">
      <c r="A98" s="109" t="s">
        <v>21</v>
      </c>
      <c r="B98" s="130">
        <v>52.060161779947748</v>
      </c>
      <c r="C98" s="130">
        <v>51.353618302905318</v>
      </c>
      <c r="D98" s="130">
        <v>50.892676071087223</v>
      </c>
      <c r="E98" s="130">
        <v>50.428651927527177</v>
      </c>
      <c r="F98" s="130">
        <v>50.001355046197304</v>
      </c>
      <c r="G98" s="130">
        <v>49.615258172794753</v>
      </c>
      <c r="H98" s="130">
        <v>49.199266893153123</v>
      </c>
      <c r="I98" s="130">
        <v>48.818795834083566</v>
      </c>
      <c r="J98" s="130">
        <v>48.436063254791748</v>
      </c>
      <c r="K98" s="130">
        <v>47.93840381459362</v>
      </c>
      <c r="L98" s="130">
        <v>47.470355989191255</v>
      </c>
      <c r="M98" s="130">
        <v>47.056105151884871</v>
      </c>
      <c r="N98" s="130">
        <v>46.624436906707302</v>
      </c>
      <c r="O98" s="130">
        <v>46.201128294655625</v>
      </c>
      <c r="P98" s="130">
        <v>45.812688704887734</v>
      </c>
      <c r="Q98" s="130">
        <v>45.523128942495497</v>
      </c>
      <c r="R98" s="130">
        <v>45.262990005679001</v>
      </c>
      <c r="S98" s="130">
        <v>44.922420940399441</v>
      </c>
      <c r="T98" s="130">
        <v>44.546814813504398</v>
      </c>
      <c r="U98" s="130">
        <v>43.994568241485148</v>
      </c>
      <c r="V98" s="130">
        <v>43.480990744132846</v>
      </c>
      <c r="W98" s="130">
        <v>42.887500592996645</v>
      </c>
      <c r="X98" s="130">
        <v>41.947932515442425</v>
      </c>
      <c r="Y98" s="130">
        <v>41.075232193357039</v>
      </c>
      <c r="DA98" s="176" t="s">
        <v>872</v>
      </c>
    </row>
    <row r="99" spans="1:105" ht="11.45" customHeight="1" x14ac:dyDescent="0.25">
      <c r="A99" s="111" t="s">
        <v>110</v>
      </c>
      <c r="B99" s="97">
        <v>17.250092589056678</v>
      </c>
      <c r="C99" s="97">
        <v>16.883233777075258</v>
      </c>
      <c r="D99" s="97">
        <v>16.873274996334047</v>
      </c>
      <c r="E99" s="97">
        <v>16.873274996334047</v>
      </c>
      <c r="F99" s="97">
        <v>16.792128137334725</v>
      </c>
      <c r="G99" s="97">
        <v>16.577578319682381</v>
      </c>
      <c r="H99" s="97">
        <v>16.546378085432632</v>
      </c>
      <c r="I99" s="97">
        <v>16.476773719074995</v>
      </c>
      <c r="J99" s="97">
        <v>16.459339218607727</v>
      </c>
      <c r="K99" s="97">
        <v>16.121943547028025</v>
      </c>
      <c r="L99" s="97">
        <v>15.958800882571856</v>
      </c>
      <c r="M99" s="97">
        <v>15.932285065353726</v>
      </c>
      <c r="N99" s="97">
        <v>15.932285065353724</v>
      </c>
      <c r="O99" s="97">
        <v>15.932285065353723</v>
      </c>
      <c r="P99" s="97">
        <v>15.932285065353726</v>
      </c>
      <c r="Q99" s="97">
        <v>15.932285065353723</v>
      </c>
      <c r="R99" s="97">
        <v>15.932285065353726</v>
      </c>
      <c r="S99" s="97">
        <v>15.584502730779468</v>
      </c>
      <c r="T99" s="97">
        <v>15.584502730779471</v>
      </c>
      <c r="U99" s="97">
        <v>15.584502730779464</v>
      </c>
      <c r="V99" s="97">
        <v>15.551807939708938</v>
      </c>
      <c r="W99" s="97">
        <v>15.551807939708938</v>
      </c>
      <c r="X99" s="97">
        <v>15.072515198948579</v>
      </c>
      <c r="Y99" s="97">
        <v>15.031307045400775</v>
      </c>
      <c r="DA99" s="175" t="s">
        <v>873</v>
      </c>
    </row>
    <row r="100" spans="1:105" ht="11.45" customHeight="1" x14ac:dyDescent="0.25">
      <c r="A100" s="111" t="s">
        <v>111</v>
      </c>
      <c r="B100" s="97">
        <v>52.249679488369722</v>
      </c>
      <c r="C100" s="97">
        <v>51.272835543210469</v>
      </c>
      <c r="D100" s="97">
        <v>50.751788761243397</v>
      </c>
      <c r="E100" s="97">
        <v>50.19034223568741</v>
      </c>
      <c r="F100" s="97">
        <v>49.721421513066986</v>
      </c>
      <c r="G100" s="97">
        <v>49.346847132930982</v>
      </c>
      <c r="H100" s="97">
        <v>48.996509693123187</v>
      </c>
      <c r="I100" s="97">
        <v>48.671052737535277</v>
      </c>
      <c r="J100" s="97">
        <v>48.25062606946905</v>
      </c>
      <c r="K100" s="97">
        <v>47.806097662267973</v>
      </c>
      <c r="L100" s="97">
        <v>47.37512156529796</v>
      </c>
      <c r="M100" s="97">
        <v>46.973228448841688</v>
      </c>
      <c r="N100" s="97">
        <v>46.563405610342372</v>
      </c>
      <c r="O100" s="97">
        <v>46.148231487261633</v>
      </c>
      <c r="P100" s="97">
        <v>45.764037160778777</v>
      </c>
      <c r="Q100" s="97">
        <v>45.447307747707548</v>
      </c>
      <c r="R100" s="97">
        <v>45.146556029314574</v>
      </c>
      <c r="S100" s="97">
        <v>44.770191770973405</v>
      </c>
      <c r="T100" s="97">
        <v>44.350037537177144</v>
      </c>
      <c r="U100" s="97">
        <v>43.761628253976738</v>
      </c>
      <c r="V100" s="97">
        <v>43.198413318312724</v>
      </c>
      <c r="W100" s="97">
        <v>42.676305793547456</v>
      </c>
      <c r="X100" s="97">
        <v>41.901300650416928</v>
      </c>
      <c r="Y100" s="97">
        <v>41.017559510740362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X101" s="97">
        <v>0</v>
      </c>
      <c r="Y101" s="97">
        <v>0</v>
      </c>
      <c r="DA101" s="175" t="s">
        <v>875</v>
      </c>
    </row>
    <row r="102" spans="1:105" ht="11.45" customHeight="1" x14ac:dyDescent="0.25">
      <c r="A102" s="111" t="s">
        <v>113</v>
      </c>
      <c r="B102" s="97">
        <v>43.541399573641435</v>
      </c>
      <c r="C102" s="97">
        <v>43.210177854062366</v>
      </c>
      <c r="D102" s="97">
        <v>41.440614905388443</v>
      </c>
      <c r="E102" s="97">
        <v>41.216031449231615</v>
      </c>
      <c r="F102" s="97">
        <v>41.053173145286941</v>
      </c>
      <c r="G102" s="97">
        <v>40.868158721262454</v>
      </c>
      <c r="H102" s="97">
        <v>40.311116352632133</v>
      </c>
      <c r="I102" s="97">
        <v>40.170538173069353</v>
      </c>
      <c r="J102" s="97">
        <v>40.042026243798894</v>
      </c>
      <c r="K102" s="97">
        <v>39.791400096396529</v>
      </c>
      <c r="L102" s="97">
        <v>39.679116192354016</v>
      </c>
      <c r="M102" s="97">
        <v>39.533794352131103</v>
      </c>
      <c r="N102" s="97">
        <v>39.391184418664238</v>
      </c>
      <c r="O102" s="97">
        <v>39.233620423785794</v>
      </c>
      <c r="P102" s="97">
        <v>38.762793801885053</v>
      </c>
      <c r="Q102" s="97">
        <v>38.500146585492409</v>
      </c>
      <c r="R102" s="97">
        <v>38.457917823039438</v>
      </c>
      <c r="S102" s="97">
        <v>38.229965052854517</v>
      </c>
      <c r="T102" s="97">
        <v>37.970594805581236</v>
      </c>
      <c r="U102" s="97">
        <v>37.511166064246716</v>
      </c>
      <c r="V102" s="97">
        <v>36.679265471614414</v>
      </c>
      <c r="W102" s="97">
        <v>36.520564656724602</v>
      </c>
      <c r="X102" s="97">
        <v>36.225768272771006</v>
      </c>
      <c r="Y102" s="97">
        <v>36.042210106203051</v>
      </c>
      <c r="DA102" s="175" t="s">
        <v>876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29.871356279868579</v>
      </c>
      <c r="O103" s="97">
        <v>29.871356279868582</v>
      </c>
      <c r="P103" s="97">
        <v>29.623012367677081</v>
      </c>
      <c r="Q103" s="97">
        <v>29.509220860891695</v>
      </c>
      <c r="R103" s="97">
        <v>28.60397276430179</v>
      </c>
      <c r="S103" s="97">
        <v>28.387554720512895</v>
      </c>
      <c r="T103" s="97">
        <v>28.29368971511343</v>
      </c>
      <c r="U103" s="97">
        <v>27.183967416002627</v>
      </c>
      <c r="V103" s="97">
        <v>26.825767060734048</v>
      </c>
      <c r="W103" s="97">
        <v>25.833116452882749</v>
      </c>
      <c r="X103" s="97">
        <v>25.208956197351938</v>
      </c>
      <c r="Y103" s="97">
        <v>24.970984850744685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9.1532471502805315</v>
      </c>
      <c r="C105" s="141">
        <v>8.917266533177564</v>
      </c>
      <c r="D105" s="141">
        <v>8.8107638466558935</v>
      </c>
      <c r="E105" s="141">
        <v>8.7053761440716375</v>
      </c>
      <c r="F105" s="141">
        <v>8.5697984387943311</v>
      </c>
      <c r="G105" s="141">
        <v>8.4741524596265148</v>
      </c>
      <c r="H105" s="141">
        <v>8.4089925207316174</v>
      </c>
      <c r="I105" s="141">
        <v>8.3687785272278532</v>
      </c>
      <c r="J105" s="141">
        <v>8.3164947172448258</v>
      </c>
      <c r="K105" s="141">
        <v>8.2808650508690977</v>
      </c>
      <c r="L105" s="141">
        <v>8.2828840142289106</v>
      </c>
      <c r="M105" s="141">
        <v>8.294393358984367</v>
      </c>
      <c r="N105" s="141">
        <v>8.2493573718293352</v>
      </c>
      <c r="O105" s="141">
        <v>8.1616525944435256</v>
      </c>
      <c r="P105" s="141">
        <v>8.1156831499809883</v>
      </c>
      <c r="Q105" s="141">
        <v>8.035430206431899</v>
      </c>
      <c r="R105" s="141">
        <v>7.9520865274515229</v>
      </c>
      <c r="S105" s="141">
        <v>7.8190799212935991</v>
      </c>
      <c r="T105" s="141">
        <v>7.6902377189173778</v>
      </c>
      <c r="U105" s="141">
        <v>7.5603286288102023</v>
      </c>
      <c r="V105" s="141">
        <v>7.4298601407514093</v>
      </c>
      <c r="W105" s="141">
        <v>7.3091283545693768</v>
      </c>
      <c r="X105" s="141">
        <v>7.1505750394877055</v>
      </c>
      <c r="Y105" s="141">
        <v>6.9921784046665776</v>
      </c>
      <c r="DA105" s="174" t="s">
        <v>878</v>
      </c>
    </row>
    <row r="106" spans="1:105" ht="11.45" customHeight="1" x14ac:dyDescent="0.25">
      <c r="A106" s="111" t="s">
        <v>110</v>
      </c>
      <c r="B106" s="96">
        <v>8.2684880758210593</v>
      </c>
      <c r="C106" s="96">
        <v>8.2427437363318798</v>
      </c>
      <c r="D106" s="96">
        <v>8.2161854927132758</v>
      </c>
      <c r="E106" s="96">
        <v>8.1997667246707824</v>
      </c>
      <c r="F106" s="96">
        <v>8.1586560532789925</v>
      </c>
      <c r="G106" s="96">
        <v>8.0816908168812596</v>
      </c>
      <c r="H106" s="96">
        <v>7.9946736926257271</v>
      </c>
      <c r="I106" s="96">
        <v>7.8918124060987074</v>
      </c>
      <c r="J106" s="96">
        <v>7.7391310557329076</v>
      </c>
      <c r="K106" s="96">
        <v>7.6115123009746162</v>
      </c>
      <c r="L106" s="96">
        <v>7.4984976837136044</v>
      </c>
      <c r="M106" s="96">
        <v>7.3897806252352654</v>
      </c>
      <c r="N106" s="96">
        <v>7.295110471618826</v>
      </c>
      <c r="O106" s="96">
        <v>7.1771352578426466</v>
      </c>
      <c r="P106" s="96">
        <v>7.0426827889814057</v>
      </c>
      <c r="Q106" s="96">
        <v>6.938328737150564</v>
      </c>
      <c r="R106" s="96">
        <v>6.7817792237050813</v>
      </c>
      <c r="S106" s="96">
        <v>6.6355210943972782</v>
      </c>
      <c r="T106" s="96">
        <v>6.490026854277211</v>
      </c>
      <c r="U106" s="96">
        <v>6.3359294834097533</v>
      </c>
      <c r="V106" s="96">
        <v>6.1493272168722521</v>
      </c>
      <c r="W106" s="96">
        <v>5.9674020651444444</v>
      </c>
      <c r="X106" s="96">
        <v>5.795147078174578</v>
      </c>
      <c r="Y106" s="96">
        <v>5.7074556498849356</v>
      </c>
      <c r="DA106" s="171" t="s">
        <v>879</v>
      </c>
    </row>
    <row r="107" spans="1:105" ht="11.45" customHeight="1" x14ac:dyDescent="0.25">
      <c r="A107" s="111" t="s">
        <v>111</v>
      </c>
      <c r="B107" s="96">
        <v>9.349482110331035</v>
      </c>
      <c r="C107" s="96">
        <v>8.9644746526328536</v>
      </c>
      <c r="D107" s="96">
        <v>8.8000581971609826</v>
      </c>
      <c r="E107" s="96">
        <v>8.6469883627416806</v>
      </c>
      <c r="F107" s="96">
        <v>8.4705346747851085</v>
      </c>
      <c r="G107" s="96">
        <v>8.373068034090025</v>
      </c>
      <c r="H107" s="96">
        <v>8.3218067996267244</v>
      </c>
      <c r="I107" s="96">
        <v>8.3086683696748036</v>
      </c>
      <c r="J107" s="96">
        <v>8.2833564590793287</v>
      </c>
      <c r="K107" s="96">
        <v>8.2772959377705249</v>
      </c>
      <c r="L107" s="96">
        <v>8.3138595303100775</v>
      </c>
      <c r="M107" s="96">
        <v>8.367080906408443</v>
      </c>
      <c r="N107" s="96">
        <v>8.3390020825597464</v>
      </c>
      <c r="O107" s="96">
        <v>8.2504094170987301</v>
      </c>
      <c r="P107" s="96">
        <v>8.1950080354121777</v>
      </c>
      <c r="Q107" s="96">
        <v>8.0990539078901342</v>
      </c>
      <c r="R107" s="96">
        <v>7.9922038342262338</v>
      </c>
      <c r="S107" s="96">
        <v>7.8355146307078689</v>
      </c>
      <c r="T107" s="96">
        <v>7.6793284582504189</v>
      </c>
      <c r="U107" s="96">
        <v>7.5323282183569669</v>
      </c>
      <c r="V107" s="96">
        <v>7.3942591760798821</v>
      </c>
      <c r="W107" s="96">
        <v>7.2680234435180138</v>
      </c>
      <c r="X107" s="96">
        <v>7.1095645012244013</v>
      </c>
      <c r="Y107" s="96">
        <v>6.9664421703082242</v>
      </c>
      <c r="DA107" s="171" t="s">
        <v>880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0</v>
      </c>
      <c r="S108" s="96">
        <v>0</v>
      </c>
      <c r="T108" s="96">
        <v>0</v>
      </c>
      <c r="U108" s="96">
        <v>0</v>
      </c>
      <c r="V108" s="96">
        <v>0</v>
      </c>
      <c r="W108" s="96">
        <v>0</v>
      </c>
      <c r="X108" s="96">
        <v>0</v>
      </c>
      <c r="Y108" s="96">
        <v>0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8.6170733654012643</v>
      </c>
      <c r="D109" s="96">
        <v>8.6170733654012643</v>
      </c>
      <c r="E109" s="96">
        <v>8.6170733654012661</v>
      </c>
      <c r="F109" s="96">
        <v>8.6170733654012661</v>
      </c>
      <c r="G109" s="96">
        <v>8.6076920854448247</v>
      </c>
      <c r="H109" s="96">
        <v>8.6076920854448247</v>
      </c>
      <c r="I109" s="96">
        <v>8.5510739609145627</v>
      </c>
      <c r="J109" s="96">
        <v>8.1680007779783175</v>
      </c>
      <c r="K109" s="96">
        <v>7.8976866842769828</v>
      </c>
      <c r="L109" s="96">
        <v>7.703913662755002</v>
      </c>
      <c r="M109" s="96">
        <v>7.9035569571289495</v>
      </c>
      <c r="N109" s="96">
        <v>7.9297709090447563</v>
      </c>
      <c r="O109" s="96">
        <v>7.5857492131220674</v>
      </c>
      <c r="P109" s="96">
        <v>7.7590465369092252</v>
      </c>
      <c r="Q109" s="96">
        <v>7.9317405464723318</v>
      </c>
      <c r="R109" s="96">
        <v>8.0367750328762106</v>
      </c>
      <c r="S109" s="96">
        <v>7.5935348134711367</v>
      </c>
      <c r="T109" s="96">
        <v>7.4290007587771969</v>
      </c>
      <c r="U109" s="96">
        <v>6.9332183206729523</v>
      </c>
      <c r="V109" s="96">
        <v>6.7340023282405106</v>
      </c>
      <c r="W109" s="96">
        <v>6.9968355083782159</v>
      </c>
      <c r="X109" s="96">
        <v>7.0354635027159427</v>
      </c>
      <c r="Y109" s="96">
        <v>7.025172263241056</v>
      </c>
      <c r="DA109" s="171" t="s">
        <v>882</v>
      </c>
    </row>
    <row r="110" spans="1:105" ht="11.45" customHeight="1" x14ac:dyDescent="0.25">
      <c r="A110" s="111" t="s">
        <v>115</v>
      </c>
      <c r="B110" s="96">
        <v>1.4920630820596272</v>
      </c>
      <c r="C110" s="96">
        <v>1.4869197805641219</v>
      </c>
      <c r="D110" s="96">
        <v>1.484506082342576</v>
      </c>
      <c r="E110" s="96">
        <v>1.4828609389973979</v>
      </c>
      <c r="F110" s="96">
        <v>1.4820518918180408</v>
      </c>
      <c r="G110" s="96">
        <v>1.4783871661059018</v>
      </c>
      <c r="H110" s="96">
        <v>1.4711457892588502</v>
      </c>
      <c r="I110" s="96">
        <v>1.470371045633565</v>
      </c>
      <c r="J110" s="96">
        <v>1.4542035868801171</v>
      </c>
      <c r="K110" s="96">
        <v>1.4423882634439229</v>
      </c>
      <c r="L110" s="96">
        <v>1.416631041700688</v>
      </c>
      <c r="M110" s="96">
        <v>1.4130724499286142</v>
      </c>
      <c r="N110" s="96">
        <v>1.3743279519974723</v>
      </c>
      <c r="O110" s="96">
        <v>1.3661345899076405</v>
      </c>
      <c r="P110" s="96">
        <v>1.377168230867178</v>
      </c>
      <c r="Q110" s="96">
        <v>1.3890926256956662</v>
      </c>
      <c r="R110" s="96">
        <v>1.3987496583317462</v>
      </c>
      <c r="S110" s="96">
        <v>1.402142148427133</v>
      </c>
      <c r="T110" s="96">
        <v>1.4870063884017655</v>
      </c>
      <c r="U110" s="96">
        <v>1.5774639182278398</v>
      </c>
      <c r="V110" s="96">
        <v>1.823985675401083</v>
      </c>
      <c r="W110" s="96">
        <v>2.0742088402532222</v>
      </c>
      <c r="X110" s="96">
        <v>2.2063421540225008</v>
      </c>
      <c r="Y110" s="96">
        <v>2.2024776411720999</v>
      </c>
      <c r="DA110" s="171" t="s">
        <v>883</v>
      </c>
    </row>
    <row r="111" spans="1:105" ht="11.45" customHeight="1" x14ac:dyDescent="0.25">
      <c r="A111" s="109" t="s">
        <v>154</v>
      </c>
      <c r="B111" s="130">
        <v>29.293680578531095</v>
      </c>
      <c r="C111" s="130">
        <v>29.130316758510464</v>
      </c>
      <c r="D111" s="130">
        <v>28.938706782364161</v>
      </c>
      <c r="E111" s="130">
        <v>28.719612158207632</v>
      </c>
      <c r="F111" s="130">
        <v>28.469482199931342</v>
      </c>
      <c r="G111" s="130">
        <v>28.23409515832169</v>
      </c>
      <c r="H111" s="130">
        <v>27.989784740439699</v>
      </c>
      <c r="I111" s="130">
        <v>27.68179334083457</v>
      </c>
      <c r="J111" s="130">
        <v>27.307921259310724</v>
      </c>
      <c r="K111" s="130">
        <v>26.994031201668378</v>
      </c>
      <c r="L111" s="130">
        <v>26.660160043414233</v>
      </c>
      <c r="M111" s="130">
        <v>26.294565041432282</v>
      </c>
      <c r="N111" s="130">
        <v>25.888540935637774</v>
      </c>
      <c r="O111" s="130">
        <v>25.470390922807983</v>
      </c>
      <c r="P111" s="130">
        <v>25.063202543833018</v>
      </c>
      <c r="Q111" s="130">
        <v>24.774316276671801</v>
      </c>
      <c r="R111" s="130">
        <v>24.243651071101983</v>
      </c>
      <c r="S111" s="130">
        <v>23.724859972315173</v>
      </c>
      <c r="T111" s="130">
        <v>23.220220825259975</v>
      </c>
      <c r="U111" s="130">
        <v>22.658864339199653</v>
      </c>
      <c r="V111" s="130">
        <v>22.157199402542151</v>
      </c>
      <c r="W111" s="130">
        <v>21.678644642083952</v>
      </c>
      <c r="X111" s="130">
        <v>21.163255494074917</v>
      </c>
      <c r="Y111" s="130">
        <v>20.643660445692372</v>
      </c>
      <c r="DA111" s="176" t="s">
        <v>884</v>
      </c>
    </row>
    <row r="112" spans="1:105" ht="11.45" customHeight="1" x14ac:dyDescent="0.25">
      <c r="A112" s="128" t="s">
        <v>27</v>
      </c>
      <c r="B112" s="97">
        <v>29.227809921590655</v>
      </c>
      <c r="C112" s="97">
        <v>29.065074641953363</v>
      </c>
      <c r="D112" s="97">
        <v>28.874772918257705</v>
      </c>
      <c r="E112" s="97">
        <v>28.65849930246096</v>
      </c>
      <c r="F112" s="97">
        <v>28.405560708628975</v>
      </c>
      <c r="G112" s="97">
        <v>28.172603602439182</v>
      </c>
      <c r="H112" s="97">
        <v>27.928952802363817</v>
      </c>
      <c r="I112" s="97">
        <v>27.623753510185548</v>
      </c>
      <c r="J112" s="97">
        <v>27.253629141887547</v>
      </c>
      <c r="K112" s="97">
        <v>26.945128559425179</v>
      </c>
      <c r="L112" s="97">
        <v>26.606441482485689</v>
      </c>
      <c r="M112" s="97">
        <v>26.264482759235861</v>
      </c>
      <c r="N112" s="97">
        <v>25.853776590960234</v>
      </c>
      <c r="O112" s="97">
        <v>25.44008901675825</v>
      </c>
      <c r="P112" s="97">
        <v>25.027811317699513</v>
      </c>
      <c r="Q112" s="97">
        <v>24.736470147689261</v>
      </c>
      <c r="R112" s="97">
        <v>24.211162335380859</v>
      </c>
      <c r="S112" s="97">
        <v>23.691979373817919</v>
      </c>
      <c r="T112" s="97">
        <v>23.185360110684787</v>
      </c>
      <c r="U112" s="97">
        <v>22.629241986279819</v>
      </c>
      <c r="V112" s="97">
        <v>22.127079633176766</v>
      </c>
      <c r="W112" s="97">
        <v>21.644619978068295</v>
      </c>
      <c r="X112" s="97">
        <v>21.128899805611749</v>
      </c>
      <c r="Y112" s="97">
        <v>20.6098162246433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36.371987175606797</v>
      </c>
      <c r="D113" s="98">
        <v>36.050420169907873</v>
      </c>
      <c r="E113" s="98">
        <v>35.796391637824691</v>
      </c>
      <c r="F113" s="98">
        <v>35.135231096026025</v>
      </c>
      <c r="G113" s="98">
        <v>34.846388944111929</v>
      </c>
      <c r="H113" s="98">
        <v>34.467009857329316</v>
      </c>
      <c r="I113" s="98">
        <v>34.143582530562206</v>
      </c>
      <c r="J113" s="98">
        <v>33.774352054401724</v>
      </c>
      <c r="K113" s="98">
        <v>33.651679044661044</v>
      </c>
      <c r="L113" s="98">
        <v>32.633460024133278</v>
      </c>
      <c r="M113" s="98">
        <v>31.77983280927651</v>
      </c>
      <c r="N113" s="98">
        <v>31.227055263080057</v>
      </c>
      <c r="O113" s="98">
        <v>31.080953682844999</v>
      </c>
      <c r="P113" s="98">
        <v>30.348925152166995</v>
      </c>
      <c r="Q113" s="98">
        <v>29.880758912093306</v>
      </c>
      <c r="R113" s="98">
        <v>29.632856616136007</v>
      </c>
      <c r="S113" s="98">
        <v>29.397695751074384</v>
      </c>
      <c r="T113" s="98">
        <v>28.753845647369115</v>
      </c>
      <c r="U113" s="98">
        <v>28.481607266989386</v>
      </c>
      <c r="V113" s="98">
        <v>28.11214385856675</v>
      </c>
      <c r="W113" s="98">
        <v>27.166201627857735</v>
      </c>
      <c r="X113" s="98">
        <v>26.955447130859145</v>
      </c>
      <c r="Y113" s="98">
        <v>26.793479856789169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1.1000000000067303</v>
      </c>
      <c r="C117" s="150">
        <f>IF(TrRoad_act!C59=0,0,TrRoad_ene!C62/TrRoad_tech!C90)</f>
        <v>1.100333861386767</v>
      </c>
      <c r="D117" s="150">
        <f>IF(TrRoad_act!D59=0,0,TrRoad_ene!D62/TrRoad_tech!D90)</f>
        <v>1.1012614601111856</v>
      </c>
      <c r="E117" s="150">
        <f>IF(TrRoad_act!E59=0,0,TrRoad_ene!E62/TrRoad_tech!E90)</f>
        <v>1.1030015588079289</v>
      </c>
      <c r="F117" s="150">
        <f>IF(TrRoad_act!F59=0,0,TrRoad_ene!F62/TrRoad_tech!F90)</f>
        <v>1.1058009828102795</v>
      </c>
      <c r="G117" s="150">
        <f>IF(TrRoad_act!G59=0,0,TrRoad_ene!G62/TrRoad_tech!G90)</f>
        <v>1.1096878607700496</v>
      </c>
      <c r="H117" s="150">
        <f>IF(TrRoad_act!H59=0,0,TrRoad_ene!H62/TrRoad_tech!H90)</f>
        <v>1.1150410569835087</v>
      </c>
      <c r="I117" s="150">
        <f>IF(TrRoad_act!I59=0,0,TrRoad_ene!I62/TrRoad_tech!I90)</f>
        <v>1.1213329339752796</v>
      </c>
      <c r="J117" s="150">
        <f>IF(TrRoad_act!J59=0,0,TrRoad_ene!J62/TrRoad_tech!J90)</f>
        <v>1.1289230139244772</v>
      </c>
      <c r="K117" s="150">
        <f>IF(TrRoad_act!K59=0,0,TrRoad_ene!K62/TrRoad_tech!K90)</f>
        <v>1.1356146534816185</v>
      </c>
      <c r="L117" s="150">
        <f>IF(TrRoad_act!L59=0,0,TrRoad_ene!L62/TrRoad_tech!L90)</f>
        <v>1.142349751846772</v>
      </c>
      <c r="M117" s="150">
        <f>IF(TrRoad_act!M59=0,0,TrRoad_ene!M62/TrRoad_tech!M90)</f>
        <v>1.1496560920952652</v>
      </c>
      <c r="N117" s="150">
        <f>IF(TrRoad_act!N59=0,0,TrRoad_ene!N62/TrRoad_tech!N90)</f>
        <v>1.1562791773288454</v>
      </c>
      <c r="O117" s="150">
        <f>IF(TrRoad_act!O59=0,0,TrRoad_ene!O62/TrRoad_tech!O90)</f>
        <v>1.1613012842920476</v>
      </c>
      <c r="P117" s="150">
        <f>IF(TrRoad_act!P59=0,0,TrRoad_ene!P62/TrRoad_tech!P90)</f>
        <v>1.1675892766454157</v>
      </c>
      <c r="Q117" s="150">
        <f>IF(TrRoad_act!Q59=0,0,TrRoad_ene!Q62/TrRoad_tech!Q90)</f>
        <v>1.1741795158158024</v>
      </c>
      <c r="R117" s="150">
        <f>IF(TrRoad_act!R59=0,0,TrRoad_ene!R62/TrRoad_tech!R90)</f>
        <v>1.1790166063645502</v>
      </c>
      <c r="S117" s="150">
        <f>IF(TrRoad_act!S59=0,0,TrRoad_ene!S62/TrRoad_tech!S90)</f>
        <v>1.185271706806607</v>
      </c>
      <c r="T117" s="150">
        <f>IF(TrRoad_act!T59=0,0,TrRoad_ene!T62/TrRoad_tech!T90)</f>
        <v>1.1915185479771004</v>
      </c>
      <c r="U117" s="150">
        <f>IF(TrRoad_act!U59=0,0,TrRoad_ene!U62/TrRoad_tech!U90)</f>
        <v>1.1984760254012468</v>
      </c>
      <c r="V117" s="150">
        <f>IF(TrRoad_act!V59=0,0,TrRoad_ene!V62/TrRoad_tech!V90)</f>
        <v>1.2068383920929757</v>
      </c>
      <c r="W117" s="150">
        <f>IF(TrRoad_act!W59=0,0,TrRoad_ene!W62/TrRoad_tech!W90)</f>
        <v>1.2145665149971736</v>
      </c>
      <c r="X117" s="150">
        <f>IF(TrRoad_act!X59=0,0,TrRoad_ene!X62/TrRoad_tech!X90)</f>
        <v>1.2224283225839878</v>
      </c>
      <c r="Y117" s="150">
        <f>IF(TrRoad_act!Y59=0,0,TrRoad_ene!Y62/TrRoad_tech!Y90)</f>
        <v>1.2262745539453146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0.93619381916022781</v>
      </c>
      <c r="C118" s="151">
        <f>IF(TrRoad_act!C60=0,0,TrRoad_ene!C63/TrRoad_tech!C91)</f>
        <v>0.93459751475183384</v>
      </c>
      <c r="D118" s="151">
        <f>IF(TrRoad_act!D60=0,0,TrRoad_ene!D63/TrRoad_tech!D91)</f>
        <v>0.93536803613682273</v>
      </c>
      <c r="E118" s="151">
        <f>IF(TrRoad_act!E60=0,0,TrRoad_ene!E63/TrRoad_tech!E91)</f>
        <v>0.93406601140829948</v>
      </c>
      <c r="F118" s="151">
        <f>IF(TrRoad_act!F60=0,0,TrRoad_ene!F63/TrRoad_tech!F91)</f>
        <v>0.93542444365290223</v>
      </c>
      <c r="G118" s="151">
        <f>IF(TrRoad_act!G60=0,0,TrRoad_ene!G63/TrRoad_tech!G91)</f>
        <v>0.92916142700089255</v>
      </c>
      <c r="H118" s="151">
        <f>IF(TrRoad_act!H60=0,0,TrRoad_ene!H63/TrRoad_tech!H91)</f>
        <v>0.94227102084744274</v>
      </c>
      <c r="I118" s="151">
        <f>IF(TrRoad_act!I60=0,0,TrRoad_ene!I63/TrRoad_tech!I91)</f>
        <v>0.95231735509393201</v>
      </c>
      <c r="J118" s="151">
        <f>IF(TrRoad_act!J60=0,0,TrRoad_ene!J63/TrRoad_tech!J91)</f>
        <v>0.9344250384871382</v>
      </c>
      <c r="K118" s="151">
        <f>IF(TrRoad_act!K60=0,0,TrRoad_ene!K63/TrRoad_tech!K91)</f>
        <v>0.92342472232723094</v>
      </c>
      <c r="L118" s="151">
        <f>IF(TrRoad_act!L60=0,0,TrRoad_ene!L63/TrRoad_tech!L91)</f>
        <v>0.93283913405994345</v>
      </c>
      <c r="M118" s="151">
        <f>IF(TrRoad_act!M60=0,0,TrRoad_ene!M63/TrRoad_tech!M91)</f>
        <v>0.93721657047045237</v>
      </c>
      <c r="N118" s="151">
        <f>IF(TrRoad_act!N60=0,0,TrRoad_ene!N63/TrRoad_tech!N91)</f>
        <v>0.93826495828286793</v>
      </c>
      <c r="O118" s="151">
        <f>IF(TrRoad_act!O60=0,0,TrRoad_ene!O63/TrRoad_tech!O91)</f>
        <v>0.94875868579166944</v>
      </c>
      <c r="P118" s="151">
        <f>IF(TrRoad_act!P60=0,0,TrRoad_ene!P63/TrRoad_tech!P91)</f>
        <v>0.93717142374771001</v>
      </c>
      <c r="Q118" s="151">
        <f>IF(TrRoad_act!Q60=0,0,TrRoad_ene!Q63/TrRoad_tech!Q91)</f>
        <v>0.94348188433123092</v>
      </c>
      <c r="R118" s="151">
        <f>IF(TrRoad_act!R60=0,0,TrRoad_ene!R63/TrRoad_tech!R91)</f>
        <v>0.98800416131975255</v>
      </c>
      <c r="S118" s="151">
        <f>IF(TrRoad_act!S60=0,0,TrRoad_ene!S63/TrRoad_tech!S91)</f>
        <v>0.95070317115217062</v>
      </c>
      <c r="T118" s="151">
        <f>IF(TrRoad_act!T60=0,0,TrRoad_ene!T63/TrRoad_tech!T91)</f>
        <v>0.96841001929759041</v>
      </c>
      <c r="U118" s="151">
        <f>IF(TrRoad_act!U60=0,0,TrRoad_ene!U63/TrRoad_tech!U91)</f>
        <v>0.96686912711107331</v>
      </c>
      <c r="V118" s="151">
        <f>IF(TrRoad_act!V60=0,0,TrRoad_ene!V63/TrRoad_tech!V91)</f>
        <v>0.95908202418291233</v>
      </c>
      <c r="W118" s="151">
        <f>IF(TrRoad_act!W60=0,0,TrRoad_ene!W63/TrRoad_tech!W91)</f>
        <v>1.0178371340518106</v>
      </c>
      <c r="X118" s="151">
        <f>IF(TrRoad_act!X60=0,0,TrRoad_ene!X63/TrRoad_tech!X91)</f>
        <v>0.98505570947373455</v>
      </c>
      <c r="Y118" s="151">
        <f>IF(TrRoad_act!Y60=0,0,TrRoad_ene!Y63/TrRoad_tech!Y91)</f>
        <v>0.98818415323170483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0.88844915905968425</v>
      </c>
      <c r="C119" s="91">
        <f>IF(TrRoad_act!C61=0,0,TrRoad_ene!C64/TrRoad_tech!C92)</f>
        <v>0.89125811444278635</v>
      </c>
      <c r="D119" s="91">
        <f>IF(TrRoad_act!D61=0,0,TrRoad_ene!D64/TrRoad_tech!D92)</f>
        <v>0.89262260887065026</v>
      </c>
      <c r="E119" s="91">
        <f>IF(TrRoad_act!E61=0,0,TrRoad_ene!E64/TrRoad_tech!E92)</f>
        <v>0.88866721335889498</v>
      </c>
      <c r="F119" s="91">
        <f>IF(TrRoad_act!F61=0,0,TrRoad_ene!F64/TrRoad_tech!F92)</f>
        <v>0.88727596201997483</v>
      </c>
      <c r="G119" s="91">
        <f>IF(TrRoad_act!G61=0,0,TrRoad_ene!G64/TrRoad_tech!G92)</f>
        <v>0.88303859009523034</v>
      </c>
      <c r="H119" s="91">
        <f>IF(TrRoad_act!H61=0,0,TrRoad_ene!H64/TrRoad_tech!H92)</f>
        <v>0.88704612379406389</v>
      </c>
      <c r="I119" s="91">
        <f>IF(TrRoad_act!I61=0,0,TrRoad_ene!I64/TrRoad_tech!I92)</f>
        <v>0.88734133581896013</v>
      </c>
      <c r="J119" s="91">
        <f>IF(TrRoad_act!J61=0,0,TrRoad_ene!J64/TrRoad_tech!J92)</f>
        <v>0.87502997973374774</v>
      </c>
      <c r="K119" s="91">
        <f>IF(TrRoad_act!K61=0,0,TrRoad_ene!K64/TrRoad_tech!K92)</f>
        <v>0.8622078515726429</v>
      </c>
      <c r="L119" s="91">
        <f>IF(TrRoad_act!L61=0,0,TrRoad_ene!L64/TrRoad_tech!L92)</f>
        <v>0.86652390270178037</v>
      </c>
      <c r="M119" s="91">
        <f>IF(TrRoad_act!M61=0,0,TrRoad_ene!M64/TrRoad_tech!M92)</f>
        <v>0.86591113095207073</v>
      </c>
      <c r="N119" s="91">
        <f>IF(TrRoad_act!N61=0,0,TrRoad_ene!N64/TrRoad_tech!N92)</f>
        <v>0.86844830727814537</v>
      </c>
      <c r="O119" s="91">
        <f>IF(TrRoad_act!O61=0,0,TrRoad_ene!O64/TrRoad_tech!O92)</f>
        <v>0.88668706020473642</v>
      </c>
      <c r="P119" s="91">
        <f>IF(TrRoad_act!P61=0,0,TrRoad_ene!P64/TrRoad_tech!P92)</f>
        <v>0.87634765390737068</v>
      </c>
      <c r="Q119" s="91">
        <f>IF(TrRoad_act!Q61=0,0,TrRoad_ene!Q64/TrRoad_tech!Q92)</f>
        <v>0.88371341923198743</v>
      </c>
      <c r="R119" s="91">
        <f>IF(TrRoad_act!R61=0,0,TrRoad_ene!R64/TrRoad_tech!R92)</f>
        <v>0.95256399112870971</v>
      </c>
      <c r="S119" s="91">
        <f>IF(TrRoad_act!S61=0,0,TrRoad_ene!S64/TrRoad_tech!S92)</f>
        <v>0.90801272498636565</v>
      </c>
      <c r="T119" s="91">
        <f>IF(TrRoad_act!T61=0,0,TrRoad_ene!T64/TrRoad_tech!T92)</f>
        <v>0.92371316236027812</v>
      </c>
      <c r="U119" s="91">
        <f>IF(TrRoad_act!U61=0,0,TrRoad_ene!U64/TrRoad_tech!U92)</f>
        <v>0.92617714986445077</v>
      </c>
      <c r="V119" s="91">
        <f>IF(TrRoad_act!V61=0,0,TrRoad_ene!V64/TrRoad_tech!V92)</f>
        <v>0.91099888232950299</v>
      </c>
      <c r="W119" s="91">
        <f>IF(TrRoad_act!W61=0,0,TrRoad_ene!W64/TrRoad_tech!W92)</f>
        <v>0.96822680812329376</v>
      </c>
      <c r="X119" s="91">
        <f>IF(TrRoad_act!X61=0,0,TrRoad_ene!X64/TrRoad_tech!X92)</f>
        <v>0.93922773250527314</v>
      </c>
      <c r="Y119" s="91">
        <f>IF(TrRoad_act!Y61=0,0,TrRoad_ene!Y64/TrRoad_tech!Y92)</f>
        <v>0.96406389081376043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1.1111447550778271</v>
      </c>
      <c r="C120" s="91">
        <f>IF(TrRoad_act!C62=0,0,TrRoad_ene!C65/TrRoad_tech!C93)</f>
        <v>1.1252285905162103</v>
      </c>
      <c r="D120" s="91">
        <f>IF(TrRoad_act!D62=0,0,TrRoad_ene!D65/TrRoad_tech!D93)</f>
        <v>1.1258540535770882</v>
      </c>
      <c r="E120" s="91">
        <f>IF(TrRoad_act!E62=0,0,TrRoad_ene!E65/TrRoad_tech!E93)</f>
        <v>1.1325088114371047</v>
      </c>
      <c r="F120" s="91">
        <f>IF(TrRoad_act!F62=0,0,TrRoad_ene!F65/TrRoad_tech!F93)</f>
        <v>1.1494115616588936</v>
      </c>
      <c r="G120" s="91">
        <f>IF(TrRoad_act!G62=0,0,TrRoad_ene!G65/TrRoad_tech!G93)</f>
        <v>1.1201575791780123</v>
      </c>
      <c r="H120" s="91">
        <f>IF(TrRoad_act!H62=0,0,TrRoad_ene!H65/TrRoad_tech!H93)</f>
        <v>1.1459892314153599</v>
      </c>
      <c r="I120" s="91">
        <f>IF(TrRoad_act!I62=0,0,TrRoad_ene!I65/TrRoad_tech!I93)</f>
        <v>1.1627785518361571</v>
      </c>
      <c r="J120" s="91">
        <f>IF(TrRoad_act!J62=0,0,TrRoad_ene!J65/TrRoad_tech!J93)</f>
        <v>1.0920684235325926</v>
      </c>
      <c r="K120" s="91">
        <f>IF(TrRoad_act!K62=0,0,TrRoad_ene!K65/TrRoad_tech!K93)</f>
        <v>1.0701398027322035</v>
      </c>
      <c r="L120" s="91">
        <f>IF(TrRoad_act!L62=0,0,TrRoad_ene!L65/TrRoad_tech!L93)</f>
        <v>1.0734425817392448</v>
      </c>
      <c r="M120" s="91">
        <f>IF(TrRoad_act!M62=0,0,TrRoad_ene!M65/TrRoad_tech!M93)</f>
        <v>1.0649441975676863</v>
      </c>
      <c r="N120" s="91">
        <f>IF(TrRoad_act!N62=0,0,TrRoad_ene!N65/TrRoad_tech!N93)</f>
        <v>1.0547167487893674</v>
      </c>
      <c r="O120" s="91">
        <f>IF(TrRoad_act!O62=0,0,TrRoad_ene!O65/TrRoad_tech!O93)</f>
        <v>1.0554146008567218</v>
      </c>
      <c r="P120" s="91">
        <f>IF(TrRoad_act!P62=0,0,TrRoad_ene!P65/TrRoad_tech!P93)</f>
        <v>1.0406698585714653</v>
      </c>
      <c r="Q120" s="91">
        <f>IF(TrRoad_act!Q62=0,0,TrRoad_ene!Q65/TrRoad_tech!Q93)</f>
        <v>1.0448486238239039</v>
      </c>
      <c r="R120" s="91">
        <f>IF(TrRoad_act!R62=0,0,TrRoad_ene!R65/TrRoad_tech!R93)</f>
        <v>1.0586470927336775</v>
      </c>
      <c r="S120" s="91">
        <f>IF(TrRoad_act!S62=0,0,TrRoad_ene!S65/TrRoad_tech!S93)</f>
        <v>1.0293591827769082</v>
      </c>
      <c r="T120" s="91">
        <f>IF(TrRoad_act!T62=0,0,TrRoad_ene!T65/TrRoad_tech!T93)</f>
        <v>1.0506434781256073</v>
      </c>
      <c r="U120" s="91">
        <f>IF(TrRoad_act!U62=0,0,TrRoad_ene!U65/TrRoad_tech!U93)</f>
        <v>1.0407233805188716</v>
      </c>
      <c r="V120" s="91">
        <f>IF(TrRoad_act!V62=0,0,TrRoad_ene!V65/TrRoad_tech!V93)</f>
        <v>1.0368069569734848</v>
      </c>
      <c r="W120" s="91">
        <f>IF(TrRoad_act!W62=0,0,TrRoad_ene!W65/TrRoad_tech!W93)</f>
        <v>1.0940313682390075</v>
      </c>
      <c r="X120" s="91">
        <f>IF(TrRoad_act!X62=0,0,TrRoad_ene!X65/TrRoad_tech!X93)</f>
        <v>1.0533536703976671</v>
      </c>
      <c r="Y120" s="91">
        <f>IF(TrRoad_act!Y62=0,0,TrRoad_ene!Y65/TrRoad_tech!Y93)</f>
        <v>1.0285867468864442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0</v>
      </c>
      <c r="D121" s="91">
        <f>IF(TrRoad_act!D63=0,0,TrRoad_ene!D66/TrRoad_tech!D94)</f>
        <v>0</v>
      </c>
      <c r="E121" s="91">
        <f>IF(TrRoad_act!E63=0,0,TrRoad_ene!E66/TrRoad_tech!E94)</f>
        <v>0</v>
      </c>
      <c r="F121" s="91">
        <f>IF(TrRoad_act!F63=0,0,TrRoad_ene!F66/TrRoad_tech!F94)</f>
        <v>0</v>
      </c>
      <c r="G121" s="91">
        <f>IF(TrRoad_act!G63=0,0,TrRoad_ene!G66/TrRoad_tech!G94)</f>
        <v>0</v>
      </c>
      <c r="H121" s="91">
        <f>IF(TrRoad_act!H63=0,0,TrRoad_ene!H66/TrRoad_tech!H94)</f>
        <v>0</v>
      </c>
      <c r="I121" s="91">
        <f>IF(TrRoad_act!I63=0,0,TrRoad_ene!I66/TrRoad_tech!I94)</f>
        <v>0</v>
      </c>
      <c r="J121" s="91">
        <f>IF(TrRoad_act!J63=0,0,TrRoad_ene!J66/TrRoad_tech!J94)</f>
        <v>0</v>
      </c>
      <c r="K121" s="91">
        <f>IF(TrRoad_act!K63=0,0,TrRoad_ene!K66/TrRoad_tech!K94)</f>
        <v>0</v>
      </c>
      <c r="L121" s="91">
        <f>IF(TrRoad_act!L63=0,0,TrRoad_ene!L66/TrRoad_tech!L94)</f>
        <v>0</v>
      </c>
      <c r="M121" s="91">
        <f>IF(TrRoad_act!M63=0,0,TrRoad_ene!M66/TrRoad_tech!M94)</f>
        <v>0</v>
      </c>
      <c r="N121" s="91">
        <f>IF(TrRoad_act!N63=0,0,TrRoad_ene!N66/TrRoad_tech!N94)</f>
        <v>0</v>
      </c>
      <c r="O121" s="91">
        <f>IF(TrRoad_act!O63=0,0,TrRoad_ene!O66/TrRoad_tech!O94)</f>
        <v>0</v>
      </c>
      <c r="P121" s="91">
        <f>IF(TrRoad_act!P63=0,0,TrRoad_ene!P66/TrRoad_tech!P94)</f>
        <v>0</v>
      </c>
      <c r="Q121" s="91">
        <f>IF(TrRoad_act!Q63=0,0,TrRoad_ene!Q66/TrRoad_tech!Q94)</f>
        <v>0</v>
      </c>
      <c r="R121" s="91">
        <f>IF(TrRoad_act!R63=0,0,TrRoad_ene!R66/TrRoad_tech!R94)</f>
        <v>0</v>
      </c>
      <c r="S121" s="91">
        <f>IF(TrRoad_act!S63=0,0,TrRoad_ene!S66/TrRoad_tech!S94)</f>
        <v>0</v>
      </c>
      <c r="T121" s="91">
        <f>IF(TrRoad_act!T63=0,0,TrRoad_ene!T66/TrRoad_tech!T94)</f>
        <v>0</v>
      </c>
      <c r="U121" s="91">
        <f>IF(TrRoad_act!U63=0,0,TrRoad_ene!U66/TrRoad_tech!U94)</f>
        <v>0</v>
      </c>
      <c r="V121" s="91">
        <f>IF(TrRoad_act!V63=0,0,TrRoad_ene!V66/TrRoad_tech!V94)</f>
        <v>0</v>
      </c>
      <c r="W121" s="91">
        <f>IF(TrRoad_act!W63=0,0,TrRoad_ene!W66/TrRoad_tech!W94)</f>
        <v>0</v>
      </c>
      <c r="X121" s="91">
        <f>IF(TrRoad_act!X63=0,0,TrRoad_ene!X66/TrRoad_tech!X94)</f>
        <v>0</v>
      </c>
      <c r="Y121" s="91">
        <f>IF(TrRoad_act!Y63=0,0,TrRoad_ene!Y66/TrRoad_tech!Y94)</f>
        <v>0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1.0400000000040797</v>
      </c>
      <c r="I122" s="91">
        <f>IF(TrRoad_act!I64=0,0,TrRoad_ene!I67/TrRoad_tech!I95)</f>
        <v>1.0432425196038992</v>
      </c>
      <c r="J122" s="91">
        <f>IF(TrRoad_act!J64=0,0,TrRoad_ene!J67/TrRoad_tech!J95)</f>
        <v>1.2102935301185933</v>
      </c>
      <c r="K122" s="91">
        <f>IF(TrRoad_act!K64=0,0,TrRoad_ene!K67/TrRoad_tech!K95)</f>
        <v>1.3954399338692145</v>
      </c>
      <c r="L122" s="91">
        <f>IF(TrRoad_act!L64=0,0,TrRoad_ene!L67/TrRoad_tech!L95)</f>
        <v>1.4255982413135757</v>
      </c>
      <c r="M122" s="91">
        <f>IF(TrRoad_act!M64=0,0,TrRoad_ene!M67/TrRoad_tech!M95)</f>
        <v>1.0522638965645197</v>
      </c>
      <c r="N122" s="91">
        <f>IF(TrRoad_act!N64=0,0,TrRoad_ene!N67/TrRoad_tech!N95)</f>
        <v>1.5189790455914638</v>
      </c>
      <c r="O122" s="91">
        <f>IF(TrRoad_act!O64=0,0,TrRoad_ene!O67/TrRoad_tech!O95)</f>
        <v>1.0585323136487712</v>
      </c>
      <c r="P122" s="91">
        <f>IF(TrRoad_act!P64=0,0,TrRoad_ene!P67/TrRoad_tech!P95)</f>
        <v>1.0613563770526404</v>
      </c>
      <c r="Q122" s="91">
        <f>IF(TrRoad_act!Q64=0,0,TrRoad_ene!Q67/TrRoad_tech!Q95)</f>
        <v>1.0645444863680369</v>
      </c>
      <c r="R122" s="91">
        <f>IF(TrRoad_act!R64=0,0,TrRoad_ene!R67/TrRoad_tech!R95)</f>
        <v>1.0684831014704204</v>
      </c>
      <c r="S122" s="91">
        <f>IF(TrRoad_act!S64=0,0,TrRoad_ene!S67/TrRoad_tech!S95)</f>
        <v>1.0912606013459181</v>
      </c>
      <c r="T122" s="91">
        <f>IF(TrRoad_act!T64=0,0,TrRoad_ene!T67/TrRoad_tech!T95)</f>
        <v>1.2822364414637333</v>
      </c>
      <c r="U122" s="91">
        <f>IF(TrRoad_act!U64=0,0,TrRoad_ene!U67/TrRoad_tech!U95)</f>
        <v>1.5958602947303018</v>
      </c>
      <c r="V122" s="91">
        <f>IF(TrRoad_act!V64=0,0,TrRoad_ene!V67/TrRoad_tech!V95)</f>
        <v>2.213068232944976</v>
      </c>
      <c r="W122" s="91">
        <f>IF(TrRoad_act!W64=0,0,TrRoad_ene!W67/TrRoad_tech!W95)</f>
        <v>2.6136125070228178</v>
      </c>
      <c r="X122" s="91">
        <f>IF(TrRoad_act!X64=0,0,TrRoad_ene!X67/TrRoad_tech!X95)</f>
        <v>3.051071957813583</v>
      </c>
      <c r="Y122" s="91">
        <f>IF(TrRoad_act!Y64=0,0,TrRoad_ene!Y67/TrRoad_tech!Y95)</f>
        <v>3.3065643317305518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0.94879809849520746</v>
      </c>
      <c r="O123" s="91">
        <f>IF(TrRoad_act!O65=0,0,TrRoad_ene!O68/TrRoad_tech!O96)</f>
        <v>0.96326273116218986</v>
      </c>
      <c r="P123" s="91">
        <f>IF(TrRoad_act!P65=0,0,TrRoad_ene!P68/TrRoad_tech!P96)</f>
        <v>0.9628140695524543</v>
      </c>
      <c r="Q123" s="91">
        <f>IF(TrRoad_act!Q65=0,0,TrRoad_ene!Q68/TrRoad_tech!Q96)</f>
        <v>0.97225853585018773</v>
      </c>
      <c r="R123" s="91">
        <f>IF(TrRoad_act!R65=0,0,TrRoad_ene!R68/TrRoad_tech!R96)</f>
        <v>1.022653796286245</v>
      </c>
      <c r="S123" s="91">
        <f>IF(TrRoad_act!S65=0,0,TrRoad_ene!S68/TrRoad_tech!S96)</f>
        <v>0.9945406561787854</v>
      </c>
      <c r="T123" s="91">
        <f>IF(TrRoad_act!T65=0,0,TrRoad_ene!T68/TrRoad_tech!T96)</f>
        <v>1.0071028087439367</v>
      </c>
      <c r="U123" s="91">
        <f>IF(TrRoad_act!U65=0,0,TrRoad_ene!U68/TrRoad_tech!U96)</f>
        <v>1.0131292318205301</v>
      </c>
      <c r="V123" s="91">
        <f>IF(TrRoad_act!V65=0,0,TrRoad_ene!V68/TrRoad_tech!V96)</f>
        <v>1.0092717960867941</v>
      </c>
      <c r="W123" s="91">
        <f>IF(TrRoad_act!W65=0,0,TrRoad_ene!W68/TrRoad_tech!W96)</f>
        <v>1.0458692526390587</v>
      </c>
      <c r="X123" s="91">
        <f>IF(TrRoad_act!X65=0,0,TrRoad_ene!X68/TrRoad_tech!X96)</f>
        <v>1.0334257387367365</v>
      </c>
      <c r="Y123" s="91">
        <f>IF(TrRoad_act!Y65=0,0,TrRoad_ene!Y68/TrRoad_tech!Y96)</f>
        <v>1.0486810731075489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1.0433333333377</v>
      </c>
      <c r="J124" s="91">
        <f>IF(TrRoad_act!J66=0,0,TrRoad_ene!J69/TrRoad_tech!J97)</f>
        <v>1.0459989247599735</v>
      </c>
      <c r="K124" s="91">
        <f>IF(TrRoad_act!K66=0,0,TrRoad_ene!K69/TrRoad_tech!K97)</f>
        <v>1.0484020213656768</v>
      </c>
      <c r="L124" s="91">
        <f>IF(TrRoad_act!L66=0,0,TrRoad_ene!L69/TrRoad_tech!L97)</f>
        <v>1.0537034096703806</v>
      </c>
      <c r="M124" s="91">
        <f>IF(TrRoad_act!M66=0,0,TrRoad_ene!M69/TrRoad_tech!M97)</f>
        <v>1.0577096692296273</v>
      </c>
      <c r="N124" s="91">
        <f>IF(TrRoad_act!N66=0,0,TrRoad_ene!N69/TrRoad_tech!N97)</f>
        <v>1.0614772388220313</v>
      </c>
      <c r="O124" s="91">
        <f>IF(TrRoad_act!O66=0,0,TrRoad_ene!O69/TrRoad_tech!O97)</f>
        <v>1.0650416576410626</v>
      </c>
      <c r="P124" s="91">
        <f>IF(TrRoad_act!P66=0,0,TrRoad_ene!P69/TrRoad_tech!P97)</f>
        <v>1.0715740737847257</v>
      </c>
      <c r="Q124" s="91">
        <f>IF(TrRoad_act!Q66=0,0,TrRoad_ene!Q69/TrRoad_tech!Q97)</f>
        <v>1.0770884706606969</v>
      </c>
      <c r="R124" s="91">
        <f>IF(TrRoad_act!R66=0,0,TrRoad_ene!R69/TrRoad_tech!R97)</f>
        <v>1.0803717076050421</v>
      </c>
      <c r="S124" s="91">
        <f>IF(TrRoad_act!S66=0,0,TrRoad_ene!S69/TrRoad_tech!S97)</f>
        <v>1.0852810953651884</v>
      </c>
      <c r="T124" s="91">
        <f>IF(TrRoad_act!T66=0,0,TrRoad_ene!T69/TrRoad_tech!T97)</f>
        <v>1.089169919441817</v>
      </c>
      <c r="U124" s="91">
        <f>IF(TrRoad_act!U66=0,0,TrRoad_ene!U69/TrRoad_tech!U97)</f>
        <v>1.0926812231319591</v>
      </c>
      <c r="V124" s="91">
        <f>IF(TrRoad_act!V66=0,0,TrRoad_ene!V69/TrRoad_tech!V97)</f>
        <v>1.0956117569565329</v>
      </c>
      <c r="W124" s="91">
        <f>IF(TrRoad_act!W66=0,0,TrRoad_ene!W69/TrRoad_tech!W97)</f>
        <v>1.0977228414654403</v>
      </c>
      <c r="X124" s="91">
        <f>IF(TrRoad_act!X66=0,0,TrRoad_ene!X69/TrRoad_tech!X97)</f>
        <v>1.0988795958005215</v>
      </c>
      <c r="Y124" s="91">
        <f>IF(TrRoad_act!Y66=0,0,TrRoad_ene!Y69/TrRoad_tech!Y97)</f>
        <v>1.099779973098213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1.1794061011574033</v>
      </c>
      <c r="C125" s="151">
        <f>IF(TrRoad_act!C67=0,0,TrRoad_ene!C70/TrRoad_tech!C98)</f>
        <v>1.1874209365233088</v>
      </c>
      <c r="D125" s="151">
        <f>IF(TrRoad_act!D67=0,0,TrRoad_ene!D70/TrRoad_tech!D98)</f>
        <v>1.1859455897297906</v>
      </c>
      <c r="E125" s="151">
        <f>IF(TrRoad_act!E67=0,0,TrRoad_ene!E70/TrRoad_tech!E98)</f>
        <v>1.1920057406539022</v>
      </c>
      <c r="F125" s="151">
        <f>IF(TrRoad_act!F67=0,0,TrRoad_ene!F70/TrRoad_tech!F98)</f>
        <v>1.2098431544794823</v>
      </c>
      <c r="G125" s="151">
        <f>IF(TrRoad_act!G67=0,0,TrRoad_ene!G70/TrRoad_tech!G98)</f>
        <v>1.1855522665531133</v>
      </c>
      <c r="H125" s="151">
        <f>IF(TrRoad_act!H67=0,0,TrRoad_ene!H70/TrRoad_tech!H98)</f>
        <v>1.2140821950926866</v>
      </c>
      <c r="I125" s="151">
        <f>IF(TrRoad_act!I67=0,0,TrRoad_ene!I70/TrRoad_tech!I98)</f>
        <v>1.2353329862931637</v>
      </c>
      <c r="J125" s="151">
        <f>IF(TrRoad_act!J67=0,0,TrRoad_ene!J70/TrRoad_tech!J98)</f>
        <v>1.1775816103567955</v>
      </c>
      <c r="K125" s="151">
        <f>IF(TrRoad_act!K67=0,0,TrRoad_ene!K70/TrRoad_tech!K98)</f>
        <v>1.1676725966619248</v>
      </c>
      <c r="L125" s="151">
        <f>IF(TrRoad_act!L67=0,0,TrRoad_ene!L70/TrRoad_tech!L98)</f>
        <v>1.1793363488735671</v>
      </c>
      <c r="M125" s="151">
        <f>IF(TrRoad_act!M67=0,0,TrRoad_ene!M70/TrRoad_tech!M98)</f>
        <v>1.1725581190650964</v>
      </c>
      <c r="N125" s="151">
        <f>IF(TrRoad_act!N67=0,0,TrRoad_ene!N70/TrRoad_tech!N98)</f>
        <v>1.1788275470901985</v>
      </c>
      <c r="O125" s="151">
        <f>IF(TrRoad_act!O67=0,0,TrRoad_ene!O70/TrRoad_tech!O98)</f>
        <v>1.1827426926034479</v>
      </c>
      <c r="P125" s="151">
        <f>IF(TrRoad_act!P67=0,0,TrRoad_ene!P70/TrRoad_tech!P98)</f>
        <v>1.1784734974984352</v>
      </c>
      <c r="Q125" s="151">
        <f>IF(TrRoad_act!Q67=0,0,TrRoad_ene!Q70/TrRoad_tech!Q98)</f>
        <v>1.1914903207355363</v>
      </c>
      <c r="R125" s="151">
        <f>IF(TrRoad_act!R67=0,0,TrRoad_ene!R70/TrRoad_tech!R98)</f>
        <v>1.2144218670386724</v>
      </c>
      <c r="S125" s="151">
        <f>IF(TrRoad_act!S67=0,0,TrRoad_ene!S70/TrRoad_tech!S98)</f>
        <v>1.1941326974355864</v>
      </c>
      <c r="T125" s="151">
        <f>IF(TrRoad_act!T67=0,0,TrRoad_ene!T70/TrRoad_tech!T98)</f>
        <v>1.2245252299134268</v>
      </c>
      <c r="U125" s="151">
        <f>IF(TrRoad_act!U67=0,0,TrRoad_ene!U70/TrRoad_tech!U98)</f>
        <v>1.2251114679207189</v>
      </c>
      <c r="V125" s="151">
        <f>IF(TrRoad_act!V67=0,0,TrRoad_ene!V70/TrRoad_tech!V98)</f>
        <v>1.2297250468757779</v>
      </c>
      <c r="W125" s="151">
        <f>IF(TrRoad_act!W67=0,0,TrRoad_ene!W70/TrRoad_tech!W98)</f>
        <v>1.2894038603228246</v>
      </c>
      <c r="X125" s="151">
        <f>IF(TrRoad_act!X67=0,0,TrRoad_ene!X70/TrRoad_tech!X98)</f>
        <v>1.2556124191415281</v>
      </c>
      <c r="Y125" s="151">
        <f>IF(TrRoad_act!Y67=0,0,TrRoad_ene!Y70/TrRoad_tech!Y98)</f>
        <v>1.2396833840018353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1.1005179012980644</v>
      </c>
      <c r="D126" s="93">
        <f>IF(TrRoad_act!D68=0,0,TrRoad_ene!D71/TrRoad_tech!D99)</f>
        <v>1.1005322742593313</v>
      </c>
      <c r="E126" s="93">
        <f>IF(TrRoad_act!E68=0,0,TrRoad_ene!E71/TrRoad_tech!E99)</f>
        <v>1.1005322742593313</v>
      </c>
      <c r="F126" s="93">
        <f>IF(TrRoad_act!F68=0,0,TrRoad_ene!F71/TrRoad_tech!F99)</f>
        <v>1.1016397956693922</v>
      </c>
      <c r="G126" s="93">
        <f>IF(TrRoad_act!G68=0,0,TrRoad_ene!G71/TrRoad_tech!G99)</f>
        <v>1.1056850359339976</v>
      </c>
      <c r="H126" s="93">
        <f>IF(TrRoad_act!H68=0,0,TrRoad_ene!H71/TrRoad_tech!H99)</f>
        <v>1.105960001335996</v>
      </c>
      <c r="I126" s="93">
        <f>IF(TrRoad_act!I68=0,0,TrRoad_ene!I71/TrRoad_tech!I99)</f>
        <v>1.1082371583622825</v>
      </c>
      <c r="J126" s="93">
        <f>IF(TrRoad_act!J68=0,0,TrRoad_ene!J71/TrRoad_tech!J99)</f>
        <v>1.1084317872723481</v>
      </c>
      <c r="K126" s="93">
        <f>IF(TrRoad_act!K68=0,0,TrRoad_ene!K71/TrRoad_tech!K99)</f>
        <v>1.1152944335173796</v>
      </c>
      <c r="L126" s="93">
        <f>IF(TrRoad_act!L68=0,0,TrRoad_ene!L71/TrRoad_tech!L99)</f>
        <v>1.1187470150396661</v>
      </c>
      <c r="M126" s="93">
        <f>IF(TrRoad_act!M68=0,0,TrRoad_ene!M71/TrRoad_tech!M99)</f>
        <v>1.1191638135371322</v>
      </c>
      <c r="N126" s="93">
        <f>IF(TrRoad_act!N68=0,0,TrRoad_ene!N71/TrRoad_tech!N99)</f>
        <v>1.119163813537132</v>
      </c>
      <c r="O126" s="93">
        <f>IF(TrRoad_act!O68=0,0,TrRoad_ene!O71/TrRoad_tech!O99)</f>
        <v>1.1191638135371322</v>
      </c>
      <c r="P126" s="93">
        <f>IF(TrRoad_act!P68=0,0,TrRoad_ene!P71/TrRoad_tech!P99)</f>
        <v>1.119163813537132</v>
      </c>
      <c r="Q126" s="93">
        <f>IF(TrRoad_act!Q68=0,0,TrRoad_ene!Q71/TrRoad_tech!Q99)</f>
        <v>1.1191638135371322</v>
      </c>
      <c r="R126" s="93">
        <f>IF(TrRoad_act!R68=0,0,TrRoad_ene!R71/TrRoad_tech!R99)</f>
        <v>1.119163813537132</v>
      </c>
      <c r="S126" s="93">
        <f>IF(TrRoad_act!S68=0,0,TrRoad_ene!S71/TrRoad_tech!S99)</f>
        <v>1.1279376411333331</v>
      </c>
      <c r="T126" s="93">
        <f>IF(TrRoad_act!T68=0,0,TrRoad_ene!T71/TrRoad_tech!T99)</f>
        <v>1.1279376411333333</v>
      </c>
      <c r="U126" s="93">
        <f>IF(TrRoad_act!U68=0,0,TrRoad_ene!U71/TrRoad_tech!U99)</f>
        <v>1.1279376411333335</v>
      </c>
      <c r="V126" s="93">
        <f>IF(TrRoad_act!V68=0,0,TrRoad_ene!V71/TrRoad_tech!V99)</f>
        <v>1.1285459312766479</v>
      </c>
      <c r="W126" s="93">
        <f>IF(TrRoad_act!W68=0,0,TrRoad_ene!W71/TrRoad_tech!W99)</f>
        <v>1.1285459312766477</v>
      </c>
      <c r="X126" s="93">
        <f>IF(TrRoad_act!X68=0,0,TrRoad_ene!X71/TrRoad_tech!X99)</f>
        <v>1.1396109260242675</v>
      </c>
      <c r="Y126" s="93">
        <f>IF(TrRoad_act!Y68=0,0,TrRoad_ene!Y71/TrRoad_tech!Y99)</f>
        <v>1.1404711652385962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1.1803013049391771</v>
      </c>
      <c r="C127" s="93">
        <f>IF(TrRoad_act!C69=0,0,TrRoad_ene!C72/TrRoad_tech!C100)</f>
        <v>1.1944228096985912</v>
      </c>
      <c r="D127" s="93">
        <f>IF(TrRoad_act!D69=0,0,TrRoad_ene!D72/TrRoad_tech!D100)</f>
        <v>1.1961895304946888</v>
      </c>
      <c r="E127" s="93">
        <f>IF(TrRoad_act!E69=0,0,TrRoad_ene!E72/TrRoad_tech!E100)</f>
        <v>1.20463690745948</v>
      </c>
      <c r="F127" s="93">
        <f>IF(TrRoad_act!F69=0,0,TrRoad_ene!F72/TrRoad_tech!F100)</f>
        <v>1.2232703872738517</v>
      </c>
      <c r="G127" s="93">
        <f>IF(TrRoad_act!G69=0,0,TrRoad_ene!G72/TrRoad_tech!G100)</f>
        <v>1.197994467708378</v>
      </c>
      <c r="H127" s="93">
        <f>IF(TrRoad_act!H69=0,0,TrRoad_ene!H72/TrRoad_tech!H100)</f>
        <v>1.2266640915680818</v>
      </c>
      <c r="I127" s="93">
        <f>IF(TrRoad_act!I69=0,0,TrRoad_ene!I72/TrRoad_tech!I100)</f>
        <v>1.2478932898007731</v>
      </c>
      <c r="J127" s="93">
        <f>IF(TrRoad_act!J69=0,0,TrRoad_ene!J72/TrRoad_tech!J100)</f>
        <v>1.1849623810897172</v>
      </c>
      <c r="K127" s="93">
        <f>IF(TrRoad_act!K69=0,0,TrRoad_ene!K72/TrRoad_tech!K100)</f>
        <v>1.1704349656047972</v>
      </c>
      <c r="L127" s="93">
        <f>IF(TrRoad_act!L69=0,0,TrRoad_ene!L72/TrRoad_tech!L100)</f>
        <v>1.1810027910477217</v>
      </c>
      <c r="M127" s="93">
        <f>IF(TrRoad_act!M69=0,0,TrRoad_ene!M72/TrRoad_tech!M100)</f>
        <v>1.1799304508712933</v>
      </c>
      <c r="N127" s="93">
        <f>IF(TrRoad_act!N69=0,0,TrRoad_ene!N72/TrRoad_tech!N100)</f>
        <v>1.1788134387285769</v>
      </c>
      <c r="O127" s="93">
        <f>IF(TrRoad_act!O69=0,0,TrRoad_ene!O72/TrRoad_tech!O100)</f>
        <v>1.1890807788281605</v>
      </c>
      <c r="P127" s="93">
        <f>IF(TrRoad_act!P69=0,0,TrRoad_ene!P72/TrRoad_tech!P100)</f>
        <v>1.1847237384655565</v>
      </c>
      <c r="Q127" s="93">
        <f>IF(TrRoad_act!Q69=0,0,TrRoad_ene!Q72/TrRoad_tech!Q100)</f>
        <v>1.1996215638574454</v>
      </c>
      <c r="R127" s="93">
        <f>IF(TrRoad_act!R69=0,0,TrRoad_ene!R72/TrRoad_tech!R100)</f>
        <v>1.2216195093357423</v>
      </c>
      <c r="S127" s="93">
        <f>IF(TrRoad_act!S69=0,0,TrRoad_ene!S72/TrRoad_tech!S100)</f>
        <v>1.2009787068448194</v>
      </c>
      <c r="T127" s="93">
        <f>IF(TrRoad_act!T69=0,0,TrRoad_ene!T72/TrRoad_tech!T100)</f>
        <v>1.2313612569278005</v>
      </c>
      <c r="U127" s="93">
        <f>IF(TrRoad_act!U69=0,0,TrRoad_ene!U72/TrRoad_tech!U100)</f>
        <v>1.2314657743685407</v>
      </c>
      <c r="V127" s="93">
        <f>IF(TrRoad_act!V69=0,0,TrRoad_ene!V72/TrRoad_tech!V100)</f>
        <v>1.2354400401431875</v>
      </c>
      <c r="W127" s="93">
        <f>IF(TrRoad_act!W69=0,0,TrRoad_ene!W72/TrRoad_tech!W100)</f>
        <v>1.2992237648886678</v>
      </c>
      <c r="X127" s="93">
        <f>IF(TrRoad_act!X69=0,0,TrRoad_ene!X72/TrRoad_tech!X100)</f>
        <v>1.2648522163535711</v>
      </c>
      <c r="Y127" s="93">
        <f>IF(TrRoad_act!Y69=0,0,TrRoad_ene!Y72/TrRoad_tech!Y100)</f>
        <v>1.2479396820718915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X128" s="93">
        <f>IF(TrRoad_act!X70=0,0,TrRoad_ene!X73/TrRoad_tech!X101)</f>
        <v>0</v>
      </c>
      <c r="Y128" s="93">
        <f>IF(TrRoad_act!Y70=0,0,TrRoad_ene!Y73/TrRoad_tech!Y101)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0.98279723467786173</v>
      </c>
      <c r="C129" s="93">
        <f>IF(TrRoad_act!C71=0,0,TrRoad_ene!C74/TrRoad_tech!C102)</f>
        <v>1.0072730413997426</v>
      </c>
      <c r="D129" s="93">
        <f>IF(TrRoad_act!D71=0,0,TrRoad_ene!D74/TrRoad_tech!D102)</f>
        <v>1.041274306726091</v>
      </c>
      <c r="E129" s="93">
        <f>IF(TrRoad_act!E71=0,0,TrRoad_ene!E74/TrRoad_tech!E102)</f>
        <v>1.0338897519515677</v>
      </c>
      <c r="F129" s="93">
        <f>IF(TrRoad_act!F71=0,0,TrRoad_ene!F74/TrRoad_tech!F102)</f>
        <v>1.0583714151254677</v>
      </c>
      <c r="G129" s="93">
        <f>IF(TrRoad_act!G71=0,0,TrRoad_ene!G74/TrRoad_tech!G102)</f>
        <v>1.0696084281257161</v>
      </c>
      <c r="H129" s="93">
        <f>IF(TrRoad_act!H71=0,0,TrRoad_ene!H74/TrRoad_tech!H102)</f>
        <v>1.096698324496715</v>
      </c>
      <c r="I129" s="93">
        <f>IF(TrRoad_act!I71=0,0,TrRoad_ene!I74/TrRoad_tech!I102)</f>
        <v>1.0398642272397542</v>
      </c>
      <c r="J129" s="93">
        <f>IF(TrRoad_act!J71=0,0,TrRoad_ene!J74/TrRoad_tech!J102)</f>
        <v>1.3036341726795999</v>
      </c>
      <c r="K129" s="93">
        <f>IF(TrRoad_act!K71=0,0,TrRoad_ene!K74/TrRoad_tech!K102)</f>
        <v>1.5061782086102351</v>
      </c>
      <c r="L129" s="93">
        <f>IF(TrRoad_act!L71=0,0,TrRoad_ene!L74/TrRoad_tech!L102)</f>
        <v>1.5375826952597895</v>
      </c>
      <c r="M129" s="93">
        <f>IF(TrRoad_act!M71=0,0,TrRoad_ene!M74/TrRoad_tech!M102)</f>
        <v>1.0250938018531393</v>
      </c>
      <c r="N129" s="93">
        <f>IF(TrRoad_act!N71=0,0,TrRoad_ene!N74/TrRoad_tech!N102)</f>
        <v>1.6330508342099386</v>
      </c>
      <c r="O129" s="93">
        <f>IF(TrRoad_act!O71=0,0,TrRoad_ene!O74/TrRoad_tech!O102)</f>
        <v>0.98587490949452727</v>
      </c>
      <c r="P129" s="93">
        <f>IF(TrRoad_act!P71=0,0,TrRoad_ene!P74/TrRoad_tech!P102)</f>
        <v>0.99011366619343755</v>
      </c>
      <c r="Q129" s="93">
        <f>IF(TrRoad_act!Q71=0,0,TrRoad_ene!Q74/TrRoad_tech!Q102)</f>
        <v>0.87625186281346323</v>
      </c>
      <c r="R129" s="93">
        <f>IF(TrRoad_act!R71=0,0,TrRoad_ene!R74/TrRoad_tech!R102)</f>
        <v>1.0930820533790286</v>
      </c>
      <c r="S129" s="93">
        <f>IF(TrRoad_act!S71=0,0,TrRoad_ene!S74/TrRoad_tech!S102)</f>
        <v>1.2056021819350993</v>
      </c>
      <c r="T129" s="93">
        <f>IF(TrRoad_act!T71=0,0,TrRoad_ene!T74/TrRoad_tech!T102)</f>
        <v>1.4232224253700461</v>
      </c>
      <c r="U129" s="93">
        <f>IF(TrRoad_act!U71=0,0,TrRoad_ene!U74/TrRoad_tech!U102)</f>
        <v>1.8010583068878829</v>
      </c>
      <c r="V129" s="93">
        <f>IF(TrRoad_act!V71=0,0,TrRoad_ene!V74/TrRoad_tech!V102)</f>
        <v>2.5830934399603587</v>
      </c>
      <c r="W129" s="93">
        <f>IF(TrRoad_act!W71=0,0,TrRoad_ene!W74/TrRoad_tech!W102)</f>
        <v>3.0694308608079011</v>
      </c>
      <c r="X129" s="93">
        <f>IF(TrRoad_act!X71=0,0,TrRoad_ene!X74/TrRoad_tech!X102)</f>
        <v>3.6242883333822493</v>
      </c>
      <c r="Y129" s="93">
        <f>IF(TrRoad_act!Y71=0,0,TrRoad_ene!Y74/TrRoad_tech!Y102)</f>
        <v>3.9577088182745901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1.2360000000066977</v>
      </c>
      <c r="O130" s="93">
        <f>IF(TrRoad_act!O72=0,0,TrRoad_ene!O75/TrRoad_tech!O103)</f>
        <v>1.2360000000066975</v>
      </c>
      <c r="P130" s="93">
        <f>IF(TrRoad_act!P72=0,0,TrRoad_ene!P75/TrRoad_tech!P103)</f>
        <v>1.2530664047740538</v>
      </c>
      <c r="Q130" s="93">
        <f>IF(TrRoad_act!Q72=0,0,TrRoad_ene!Q75/TrRoad_tech!Q103)</f>
        <v>1.2612772373135472</v>
      </c>
      <c r="R130" s="93">
        <f>IF(TrRoad_act!R72=0,0,TrRoad_ene!R75/TrRoad_tech!R103)</f>
        <v>1.3162073585711098</v>
      </c>
      <c r="S130" s="93">
        <f>IF(TrRoad_act!S72=0,0,TrRoad_ene!S75/TrRoad_tech!S103)</f>
        <v>1.3222341339311283</v>
      </c>
      <c r="T130" s="93">
        <f>IF(TrRoad_act!T72=0,0,TrRoad_ene!T75/TrRoad_tech!T103)</f>
        <v>1.3241849797601732</v>
      </c>
      <c r="U130" s="93">
        <f>IF(TrRoad_act!U72=0,0,TrRoad_ene!U75/TrRoad_tech!U103)</f>
        <v>1.342265364483771</v>
      </c>
      <c r="V130" s="93">
        <f>IF(TrRoad_act!V72=0,0,TrRoad_ene!V75/TrRoad_tech!V103)</f>
        <v>1.3462555700774015</v>
      </c>
      <c r="W130" s="93">
        <f>IF(TrRoad_act!W72=0,0,TrRoad_ene!W75/TrRoad_tech!W103)</f>
        <v>1.3541342935443732</v>
      </c>
      <c r="X130" s="93">
        <f>IF(TrRoad_act!X72=0,0,TrRoad_ene!X75/TrRoad_tech!X103)</f>
        <v>1.3575715606765921</v>
      </c>
      <c r="Y130" s="93">
        <f>IF(TrRoad_act!Y72=0,0,TrRoad_ene!Y75/TrRoad_tech!Y103)</f>
        <v>1.3585461639912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1.1768347704454121</v>
      </c>
      <c r="C132" s="150">
        <f>IF(TrRoad_act!C74=0,0,TrRoad_ene!C77/TrRoad_tech!C105)</f>
        <v>1.175766313572618</v>
      </c>
      <c r="D132" s="150">
        <f>IF(TrRoad_act!D74=0,0,TrRoad_ene!D77/TrRoad_tech!D105)</f>
        <v>1.1716949313963847</v>
      </c>
      <c r="E132" s="150">
        <f>IF(TrRoad_act!E74=0,0,TrRoad_ene!E77/TrRoad_tech!E105)</f>
        <v>1.173612539866536</v>
      </c>
      <c r="F132" s="150">
        <f>IF(TrRoad_act!F74=0,0,TrRoad_ene!F77/TrRoad_tech!F105)</f>
        <v>1.1848046403317853</v>
      </c>
      <c r="G132" s="150">
        <f>IF(TrRoad_act!G74=0,0,TrRoad_ene!G77/TrRoad_tech!G105)</f>
        <v>1.161384662463786</v>
      </c>
      <c r="H132" s="150">
        <f>IF(TrRoad_act!H74=0,0,TrRoad_ene!H77/TrRoad_tech!H105)</f>
        <v>1.1857882706339278</v>
      </c>
      <c r="I132" s="150">
        <f>IF(TrRoad_act!I74=0,0,TrRoad_ene!I77/TrRoad_tech!I105)</f>
        <v>1.2052954187045697</v>
      </c>
      <c r="J132" s="150">
        <f>IF(TrRoad_act!J74=0,0,TrRoad_ene!J77/TrRoad_tech!J105)</f>
        <v>1.1501331567778443</v>
      </c>
      <c r="K132" s="150">
        <f>IF(TrRoad_act!K74=0,0,TrRoad_ene!K77/TrRoad_tech!K105)</f>
        <v>1.1373228783315734</v>
      </c>
      <c r="L132" s="150">
        <f>IF(TrRoad_act!L74=0,0,TrRoad_ene!L77/TrRoad_tech!L105)</f>
        <v>1.1459296157883063</v>
      </c>
      <c r="M132" s="150">
        <f>IF(TrRoad_act!M74=0,0,TrRoad_ene!M77/TrRoad_tech!M105)</f>
        <v>1.1461467925334814</v>
      </c>
      <c r="N132" s="150">
        <f>IF(TrRoad_act!N74=0,0,TrRoad_ene!N77/TrRoad_tech!N105)</f>
        <v>1.1454291812729951</v>
      </c>
      <c r="O132" s="150">
        <f>IF(TrRoad_act!O74=0,0,TrRoad_ene!O77/TrRoad_tech!O105)</f>
        <v>1.1523625986105814</v>
      </c>
      <c r="P132" s="150">
        <f>IF(TrRoad_act!P74=0,0,TrRoad_ene!P77/TrRoad_tech!P105)</f>
        <v>1.1440210168208995</v>
      </c>
      <c r="Q132" s="150">
        <f>IF(TrRoad_act!Q74=0,0,TrRoad_ene!Q77/TrRoad_tech!Q105)</f>
        <v>1.1533016640786087</v>
      </c>
      <c r="R132" s="150">
        <f>IF(TrRoad_act!R74=0,0,TrRoad_ene!R77/TrRoad_tech!R105)</f>
        <v>1.1707971718501151</v>
      </c>
      <c r="S132" s="150">
        <f>IF(TrRoad_act!S74=0,0,TrRoad_ene!S77/TrRoad_tech!S105)</f>
        <v>1.1506725423288837</v>
      </c>
      <c r="T132" s="150">
        <f>IF(TrRoad_act!T74=0,0,TrRoad_ene!T77/TrRoad_tech!T105)</f>
        <v>1.1767383515253005</v>
      </c>
      <c r="U132" s="150">
        <f>IF(TrRoad_act!U74=0,0,TrRoad_ene!U77/TrRoad_tech!U105)</f>
        <v>1.177510007417212</v>
      </c>
      <c r="V132" s="150">
        <f>IF(TrRoad_act!V74=0,0,TrRoad_ene!V77/TrRoad_tech!V105)</f>
        <v>1.1863407598011071</v>
      </c>
      <c r="W132" s="150">
        <f>IF(TrRoad_act!W74=0,0,TrRoad_ene!W77/TrRoad_tech!W105)</f>
        <v>1.2469295051464229</v>
      </c>
      <c r="X132" s="150">
        <f>IF(TrRoad_act!X74=0,0,TrRoad_ene!X77/TrRoad_tech!X105)</f>
        <v>1.2215268696123276</v>
      </c>
      <c r="Y132" s="150">
        <f>IF(TrRoad_act!Y74=0,0,TrRoad_ene!Y77/TrRoad_tech!Y105)</f>
        <v>1.2135261612551678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1.1000011114943686</v>
      </c>
      <c r="D133" s="91">
        <f>IF(TrRoad_act!D75=0,0,TrRoad_ene!D78/TrRoad_tech!D106)</f>
        <v>1.1000044209648601</v>
      </c>
      <c r="E133" s="91">
        <f>IF(TrRoad_act!E75=0,0,TrRoad_ene!E78/TrRoad_tech!E106)</f>
        <v>1.1000076026556369</v>
      </c>
      <c r="F133" s="91">
        <f>IF(TrRoad_act!F75=0,0,TrRoad_ene!F78/TrRoad_tech!F106)</f>
        <v>1.1000209921652666</v>
      </c>
      <c r="G133" s="91">
        <f>IF(TrRoad_act!G75=0,0,TrRoad_ene!G78/TrRoad_tech!G106)</f>
        <v>1.1000566466962087</v>
      </c>
      <c r="H133" s="91">
        <f>IF(TrRoad_act!H75=0,0,TrRoad_ene!H78/TrRoad_tech!H106)</f>
        <v>1.1003797077676176</v>
      </c>
      <c r="I133" s="91">
        <f>IF(TrRoad_act!I75=0,0,TrRoad_ene!I78/TrRoad_tech!I106)</f>
        <v>1.1012559474513226</v>
      </c>
      <c r="J133" s="91">
        <f>IF(TrRoad_act!J75=0,0,TrRoad_ene!J78/TrRoad_tech!J106)</f>
        <v>1.103490520803537</v>
      </c>
      <c r="K133" s="91">
        <f>IF(TrRoad_act!K75=0,0,TrRoad_ene!K78/TrRoad_tech!K106)</f>
        <v>1.1066608378644076</v>
      </c>
      <c r="L133" s="91">
        <f>IF(TrRoad_act!L75=0,0,TrRoad_ene!L78/TrRoad_tech!L106)</f>
        <v>1.1106120815744909</v>
      </c>
      <c r="M133" s="91">
        <f>IF(TrRoad_act!M75=0,0,TrRoad_ene!M78/TrRoad_tech!M106)</f>
        <v>1.1155131824964568</v>
      </c>
      <c r="N133" s="91">
        <f>IF(TrRoad_act!N75=0,0,TrRoad_ene!N78/TrRoad_tech!N106)</f>
        <v>1.12136296537185</v>
      </c>
      <c r="O133" s="91">
        <f>IF(TrRoad_act!O75=0,0,TrRoad_ene!O78/TrRoad_tech!O106)</f>
        <v>1.1266326934546382</v>
      </c>
      <c r="P133" s="91">
        <f>IF(TrRoad_act!P75=0,0,TrRoad_ene!P78/TrRoad_tech!P106)</f>
        <v>1.1332699345381247</v>
      </c>
      <c r="Q133" s="91">
        <f>IF(TrRoad_act!Q75=0,0,TrRoad_ene!Q78/TrRoad_tech!Q106)</f>
        <v>1.1401249735933954</v>
      </c>
      <c r="R133" s="91">
        <f>IF(TrRoad_act!R75=0,0,TrRoad_ene!R78/TrRoad_tech!R106)</f>
        <v>1.1486519550244605</v>
      </c>
      <c r="S133" s="91">
        <f>IF(TrRoad_act!S75=0,0,TrRoad_ene!S78/TrRoad_tech!S106)</f>
        <v>1.1578513178186731</v>
      </c>
      <c r="T133" s="91">
        <f>IF(TrRoad_act!T75=0,0,TrRoad_ene!T78/TrRoad_tech!T106)</f>
        <v>1.1666437200925868</v>
      </c>
      <c r="U133" s="91">
        <f>IF(TrRoad_act!U75=0,0,TrRoad_ene!U78/TrRoad_tech!U106)</f>
        <v>1.1783234738177493</v>
      </c>
      <c r="V133" s="91">
        <f>IF(TrRoad_act!V75=0,0,TrRoad_ene!V78/TrRoad_tech!V106)</f>
        <v>1.1907472194563185</v>
      </c>
      <c r="W133" s="91">
        <f>IF(TrRoad_act!W75=0,0,TrRoad_ene!W78/TrRoad_tech!W106)</f>
        <v>1.2043542889181733</v>
      </c>
      <c r="X133" s="91">
        <f>IF(TrRoad_act!X75=0,0,TrRoad_ene!X78/TrRoad_tech!X106)</f>
        <v>1.2202806627699085</v>
      </c>
      <c r="Y133" s="91">
        <f>IF(TrRoad_act!Y75=0,0,TrRoad_ene!Y78/TrRoad_tech!Y106)</f>
        <v>1.2330868575243694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1.1752824733808991</v>
      </c>
      <c r="C134" s="91">
        <f>IF(TrRoad_act!C76=0,0,TrRoad_ene!C79/TrRoad_tech!C107)</f>
        <v>1.1882713729041274</v>
      </c>
      <c r="D134" s="91">
        <f>IF(TrRoad_act!D76=0,0,TrRoad_ene!D79/TrRoad_tech!D107)</f>
        <v>1.1890306012681424</v>
      </c>
      <c r="E134" s="91">
        <f>IF(TrRoad_act!E76=0,0,TrRoad_ene!E79/TrRoad_tech!E107)</f>
        <v>1.1952112571752782</v>
      </c>
      <c r="F134" s="91">
        <f>IF(TrRoad_act!F76=0,0,TrRoad_ene!F79/TrRoad_tech!F107)</f>
        <v>1.210528498087621</v>
      </c>
      <c r="G134" s="91">
        <f>IF(TrRoad_act!G76=0,0,TrRoad_ene!G79/TrRoad_tech!G107)</f>
        <v>1.1844295587384375</v>
      </c>
      <c r="H134" s="91">
        <f>IF(TrRoad_act!H76=0,0,TrRoad_ene!H79/TrRoad_tech!H107)</f>
        <v>1.2083497163250987</v>
      </c>
      <c r="I134" s="91">
        <f>IF(TrRoad_act!I76=0,0,TrRoad_ene!I79/TrRoad_tech!I107)</f>
        <v>1.2248774141087744</v>
      </c>
      <c r="J134" s="91">
        <f>IF(TrRoad_act!J76=0,0,TrRoad_ene!J79/TrRoad_tech!J107)</f>
        <v>1.1621966653109945</v>
      </c>
      <c r="K134" s="91">
        <f>IF(TrRoad_act!K76=0,0,TrRoad_ene!K79/TrRoad_tech!K107)</f>
        <v>1.1446635858060694</v>
      </c>
      <c r="L134" s="91">
        <f>IF(TrRoad_act!L76=0,0,TrRoad_ene!L79/TrRoad_tech!L107)</f>
        <v>1.1492024952398754</v>
      </c>
      <c r="M134" s="91">
        <f>IF(TrRoad_act!M76=0,0,TrRoad_ene!M79/TrRoad_tech!M107)</f>
        <v>1.1438864987459696</v>
      </c>
      <c r="N134" s="91">
        <f>IF(TrRoad_act!N76=0,0,TrRoad_ene!N79/TrRoad_tech!N107)</f>
        <v>1.1404391236680809</v>
      </c>
      <c r="O134" s="91">
        <f>IF(TrRoad_act!O76=0,0,TrRoad_ene!O79/TrRoad_tech!O107)</f>
        <v>1.1472475118079122</v>
      </c>
      <c r="P134" s="91">
        <f>IF(TrRoad_act!P76=0,0,TrRoad_ene!P79/TrRoad_tech!P107)</f>
        <v>1.1399096800138422</v>
      </c>
      <c r="Q134" s="91">
        <f>IF(TrRoad_act!Q76=0,0,TrRoad_ene!Q79/TrRoad_tech!Q107)</f>
        <v>1.1512999197452611</v>
      </c>
      <c r="R134" s="91">
        <f>IF(TrRoad_act!R76=0,0,TrRoad_ene!R79/TrRoad_tech!R107)</f>
        <v>1.1726425403669973</v>
      </c>
      <c r="S134" s="91">
        <f>IF(TrRoad_act!S76=0,0,TrRoad_ene!S79/TrRoad_tech!S107)</f>
        <v>1.1548264182643244</v>
      </c>
      <c r="T134" s="91">
        <f>IF(TrRoad_act!T76=0,0,TrRoad_ene!T79/TrRoad_tech!T107)</f>
        <v>1.1854642684397523</v>
      </c>
      <c r="U134" s="91">
        <f>IF(TrRoad_act!U76=0,0,TrRoad_ene!U79/TrRoad_tech!U107)</f>
        <v>1.1883038012945384</v>
      </c>
      <c r="V134" s="91">
        <f>IF(TrRoad_act!V76=0,0,TrRoad_ene!V79/TrRoad_tech!V107)</f>
        <v>1.1976186936501398</v>
      </c>
      <c r="W134" s="91">
        <f>IF(TrRoad_act!W76=0,0,TrRoad_ene!W79/TrRoad_tech!W107)</f>
        <v>1.2612008999629181</v>
      </c>
      <c r="X134" s="91">
        <f>IF(TrRoad_act!X76=0,0,TrRoad_ene!X79/TrRoad_tech!X107)</f>
        <v>1.234459991374532</v>
      </c>
      <c r="Y134" s="91">
        <f>IF(TrRoad_act!Y76=0,0,TrRoad_ene!Y79/TrRoad_tech!Y107)</f>
        <v>1.2239752829171491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0</v>
      </c>
      <c r="S135" s="91">
        <f>IF(TrRoad_act!S77=0,0,TrRoad_ene!S80/TrRoad_tech!S108)</f>
        <v>0</v>
      </c>
      <c r="T135" s="91">
        <f>IF(TrRoad_act!T77=0,0,TrRoad_ene!T80/TrRoad_tech!T108)</f>
        <v>0</v>
      </c>
      <c r="U135" s="91">
        <f>IF(TrRoad_act!U77=0,0,TrRoad_ene!U80/TrRoad_tech!U108)</f>
        <v>0</v>
      </c>
      <c r="V135" s="91">
        <f>IF(TrRoad_act!V77=0,0,TrRoad_ene!V80/TrRoad_tech!V108)</f>
        <v>0</v>
      </c>
      <c r="W135" s="91">
        <f>IF(TrRoad_act!W77=0,0,TrRoad_ene!W80/TrRoad_tech!W108)</f>
        <v>0</v>
      </c>
      <c r="X135" s="91">
        <f>IF(TrRoad_act!X77=0,0,TrRoad_ene!X80/TrRoad_tech!X108)</f>
        <v>0</v>
      </c>
      <c r="Y135" s="91">
        <f>IF(TrRoad_act!Y77=0,0,TrRoad_ene!Y80/TrRoad_tech!Y108)</f>
        <v>0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1.1040000000061811</v>
      </c>
      <c r="D136" s="91">
        <f>IF(TrRoad_act!D78=0,0,TrRoad_ene!D81/TrRoad_tech!D109)</f>
        <v>1.1040000000061811</v>
      </c>
      <c r="E136" s="91">
        <f>IF(TrRoad_act!E78=0,0,TrRoad_ene!E81/TrRoad_tech!E109)</f>
        <v>1.1040000000061811</v>
      </c>
      <c r="F136" s="91">
        <f>IF(TrRoad_act!F78=0,0,TrRoad_ene!F81/TrRoad_tech!F109)</f>
        <v>1.1040000000061811</v>
      </c>
      <c r="G136" s="91">
        <f>IF(TrRoad_act!G78=0,0,TrRoad_ene!G81/TrRoad_tech!G109)</f>
        <v>1.1121487957462892</v>
      </c>
      <c r="H136" s="91">
        <f>IF(TrRoad_act!H78=0,0,TrRoad_ene!H81/TrRoad_tech!H109)</f>
        <v>1.1121487957462892</v>
      </c>
      <c r="I136" s="91">
        <f>IF(TrRoad_act!I78=0,0,TrRoad_ene!I81/TrRoad_tech!I109)</f>
        <v>1.141756043196378</v>
      </c>
      <c r="J136" s="91">
        <f>IF(TrRoad_act!J78=0,0,TrRoad_ene!J81/TrRoad_tech!J109)</f>
        <v>1.3466443018976151</v>
      </c>
      <c r="K136" s="91">
        <f>IF(TrRoad_act!K78=0,0,TrRoad_ene!K81/TrRoad_tech!K109)</f>
        <v>1.5617308056182639</v>
      </c>
      <c r="L136" s="91">
        <f>IF(TrRoad_act!L78=0,0,TrRoad_ene!L81/TrRoad_tech!L109)</f>
        <v>1.6032010768854823</v>
      </c>
      <c r="M136" s="91">
        <f>IF(TrRoad_act!M78=0,0,TrRoad_ene!M81/TrRoad_tech!M109)</f>
        <v>1.1936253330462818</v>
      </c>
      <c r="N136" s="91">
        <f>IF(TrRoad_act!N78=0,0,TrRoad_ene!N81/TrRoad_tech!N109)</f>
        <v>1.7331239388731208</v>
      </c>
      <c r="O136" s="91">
        <f>IF(TrRoad_act!O78=0,0,TrRoad_ene!O81/TrRoad_tech!O109)</f>
        <v>1.2214535940798159</v>
      </c>
      <c r="P136" s="91">
        <f>IF(TrRoad_act!P78=0,0,TrRoad_ene!P81/TrRoad_tech!P109)</f>
        <v>1.2330718407040457</v>
      </c>
      <c r="Q136" s="91">
        <f>IF(TrRoad_act!Q78=0,0,TrRoad_ene!Q81/TrRoad_tech!Q109)</f>
        <v>1.2459728801468679</v>
      </c>
      <c r="R136" s="91">
        <f>IF(TrRoad_act!R78=0,0,TrRoad_ene!R81/TrRoad_tech!R109)</f>
        <v>1.2615693453817316</v>
      </c>
      <c r="S136" s="91">
        <f>IF(TrRoad_act!S78=0,0,TrRoad_ene!S81/TrRoad_tech!S109)</f>
        <v>1.3010491662255164</v>
      </c>
      <c r="T136" s="91">
        <f>IF(TrRoad_act!T78=0,0,TrRoad_ene!T81/TrRoad_tech!T109)</f>
        <v>1.5401097232737222</v>
      </c>
      <c r="U136" s="91">
        <f>IF(TrRoad_act!U78=0,0,TrRoad_ene!U81/TrRoad_tech!U109)</f>
        <v>1.9259001489770893</v>
      </c>
      <c r="V136" s="91">
        <f>IF(TrRoad_act!V78=0,0,TrRoad_ene!V81/TrRoad_tech!V109)</f>
        <v>2.6821106210881407</v>
      </c>
      <c r="W136" s="91">
        <f>IF(TrRoad_act!W78=0,0,TrRoad_ene!W81/TrRoad_tech!W109)</f>
        <v>3.1757655671176837</v>
      </c>
      <c r="X136" s="91">
        <f>IF(TrRoad_act!X78=0,0,TrRoad_ene!X81/TrRoad_tech!X109)</f>
        <v>3.7119494037336667</v>
      </c>
      <c r="Y136" s="91">
        <f>IF(TrRoad_act!Y78=0,0,TrRoad_ene!Y81/TrRoad_tech!Y109)</f>
        <v>4.0239967975979116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1.1000000000067305</v>
      </c>
      <c r="C137" s="91">
        <f>IF(TrRoad_act!C79=0,0,TrRoad_ene!C82/TrRoad_tech!C110)</f>
        <v>1.1000673496006959</v>
      </c>
      <c r="D137" s="91">
        <f>IF(TrRoad_act!D79=0,0,TrRoad_ene!D82/TrRoad_tech!D110)</f>
        <v>1.1002491560980228</v>
      </c>
      <c r="E137" s="91">
        <f>IF(TrRoad_act!E79=0,0,TrRoad_ene!E82/TrRoad_tech!E110)</f>
        <v>1.1004266868950303</v>
      </c>
      <c r="F137" s="91">
        <f>IF(TrRoad_act!F79=0,0,TrRoad_ene!F82/TrRoad_tech!F110)</f>
        <v>1.1004644543690942</v>
      </c>
      <c r="G137" s="91">
        <f>IF(TrRoad_act!G79=0,0,TrRoad_ene!G82/TrRoad_tech!G110)</f>
        <v>1.1008931177406498</v>
      </c>
      <c r="H137" s="91">
        <f>IF(TrRoad_act!H79=0,0,TrRoad_ene!H82/TrRoad_tech!H110)</f>
        <v>1.1020440453333946</v>
      </c>
      <c r="I137" s="91">
        <f>IF(TrRoad_act!I79=0,0,TrRoad_ene!I82/TrRoad_tech!I110)</f>
        <v>1.1021208704628183</v>
      </c>
      <c r="J137" s="91">
        <f>IF(TrRoad_act!J79=0,0,TrRoad_ene!J82/TrRoad_tech!J110)</f>
        <v>1.1055750382099419</v>
      </c>
      <c r="K137" s="91">
        <f>IF(TrRoad_act!K79=0,0,TrRoad_ene!K82/TrRoad_tech!K110)</f>
        <v>1.1085615013549202</v>
      </c>
      <c r="L137" s="91">
        <f>IF(TrRoad_act!L79=0,0,TrRoad_ene!L82/TrRoad_tech!L110)</f>
        <v>1.1162084649131134</v>
      </c>
      <c r="M137" s="91">
        <f>IF(TrRoad_act!M79=0,0,TrRoad_ene!M82/TrRoad_tech!M110)</f>
        <v>1.1174343010492231</v>
      </c>
      <c r="N137" s="91">
        <f>IF(TrRoad_act!N79=0,0,TrRoad_ene!N82/TrRoad_tech!N110)</f>
        <v>1.1328460153427353</v>
      </c>
      <c r="O137" s="91">
        <f>IF(TrRoad_act!O79=0,0,TrRoad_ene!O82/TrRoad_tech!O110)</f>
        <v>1.1368611328514211</v>
      </c>
      <c r="P137" s="91">
        <f>IF(TrRoad_act!P79=0,0,TrRoad_ene!P82/TrRoad_tech!P110)</f>
        <v>1.1672110750095779</v>
      </c>
      <c r="Q137" s="91">
        <f>IF(TrRoad_act!Q79=0,0,TrRoad_ene!Q82/TrRoad_tech!Q110)</f>
        <v>1.2119417100989245</v>
      </c>
      <c r="R137" s="91">
        <f>IF(TrRoad_act!R79=0,0,TrRoad_ene!R82/TrRoad_tech!R110)</f>
        <v>1.2467331555733823</v>
      </c>
      <c r="S137" s="91">
        <f>IF(TrRoad_act!S79=0,0,TrRoad_ene!S82/TrRoad_tech!S110)</f>
        <v>1.2640147755520568</v>
      </c>
      <c r="T137" s="91">
        <f>IF(TrRoad_act!T79=0,0,TrRoad_ene!T82/TrRoad_tech!T110)</f>
        <v>1.2808895509638989</v>
      </c>
      <c r="U137" s="91">
        <f>IF(TrRoad_act!U79=0,0,TrRoad_ene!U82/TrRoad_tech!U110)</f>
        <v>1.296906182228736</v>
      </c>
      <c r="V137" s="91">
        <f>IF(TrRoad_act!V79=0,0,TrRoad_ene!V82/TrRoad_tech!V110)</f>
        <v>1.3303386851129579</v>
      </c>
      <c r="W137" s="91">
        <f>IF(TrRoad_act!W79=0,0,TrRoad_ene!W82/TrRoad_tech!W110)</f>
        <v>1.3455028742088084</v>
      </c>
      <c r="X137" s="91">
        <f>IF(TrRoad_act!X79=0,0,TrRoad_ene!X82/TrRoad_tech!X110)</f>
        <v>1.3576987033707477</v>
      </c>
      <c r="Y137" s="91">
        <f>IF(TrRoad_act!Y79=0,0,TrRoad_ene!Y82/TrRoad_tech!Y110)</f>
        <v>1.3610674855272755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1.2289869377640794</v>
      </c>
      <c r="C138" s="151">
        <f>IF(TrRoad_act!C80=0,0,TrRoad_ene!C83/TrRoad_tech!C111)</f>
        <v>1.2499776478962008</v>
      </c>
      <c r="D138" s="151">
        <f>IF(TrRoad_act!D80=0,0,TrRoad_ene!D83/TrRoad_tech!D111)</f>
        <v>1.2519959988238498</v>
      </c>
      <c r="E138" s="151">
        <f>IF(TrRoad_act!E80=0,0,TrRoad_ene!E83/TrRoad_tech!E111)</f>
        <v>1.2640968109952544</v>
      </c>
      <c r="F138" s="151">
        <f>IF(TrRoad_act!F80=0,0,TrRoad_ene!F83/TrRoad_tech!F111)</f>
        <v>1.2924948538542222</v>
      </c>
      <c r="G138" s="151">
        <f>IF(TrRoad_act!G80=0,0,TrRoad_ene!G83/TrRoad_tech!G111)</f>
        <v>1.2510965861455638</v>
      </c>
      <c r="H138" s="151">
        <f>IF(TrRoad_act!H80=0,0,TrRoad_ene!H83/TrRoad_tech!H111)</f>
        <v>1.2966348817878339</v>
      </c>
      <c r="I138" s="151">
        <f>IF(TrRoad_act!I80=0,0,TrRoad_ene!I83/TrRoad_tech!I111)</f>
        <v>1.3300610728103348</v>
      </c>
      <c r="J138" s="151">
        <f>IF(TrRoad_act!J80=0,0,TrRoad_ene!J83/TrRoad_tech!J111)</f>
        <v>1.2233813877091466</v>
      </c>
      <c r="K138" s="151">
        <f>IF(TrRoad_act!K80=0,0,TrRoad_ene!K83/TrRoad_tech!K111)</f>
        <v>1.195175923970059</v>
      </c>
      <c r="L138" s="151">
        <f>IF(TrRoad_act!L80=0,0,TrRoad_ene!L83/TrRoad_tech!L111)</f>
        <v>1.2065429082644861</v>
      </c>
      <c r="M138" s="151">
        <f>IF(TrRoad_act!M80=0,0,TrRoad_ene!M83/TrRoad_tech!M111)</f>
        <v>1.1960466174138653</v>
      </c>
      <c r="N138" s="151">
        <f>IF(TrRoad_act!N80=0,0,TrRoad_ene!N83/TrRoad_tech!N111)</f>
        <v>1.1881493173721784</v>
      </c>
      <c r="O138" s="151">
        <f>IF(TrRoad_act!O80=0,0,TrRoad_ene!O83/TrRoad_tech!O111)</f>
        <v>1.1962841016613519</v>
      </c>
      <c r="P138" s="151">
        <f>IF(TrRoad_act!P80=0,0,TrRoad_ene!P83/TrRoad_tech!P111)</f>
        <v>1.178638271649272</v>
      </c>
      <c r="Q138" s="151">
        <f>IF(TrRoad_act!Q80=0,0,TrRoad_ene!Q83/TrRoad_tech!Q111)</f>
        <v>1.1946667642797626</v>
      </c>
      <c r="R138" s="151">
        <f>IF(TrRoad_act!R80=0,0,TrRoad_ene!R83/TrRoad_tech!R111)</f>
        <v>1.2268320104541681</v>
      </c>
      <c r="S138" s="151">
        <f>IF(TrRoad_act!S80=0,0,TrRoad_ene!S83/TrRoad_tech!S111)</f>
        <v>1.1783009978179559</v>
      </c>
      <c r="T138" s="151">
        <f>IF(TrRoad_act!T80=0,0,TrRoad_ene!T83/TrRoad_tech!T111)</f>
        <v>1.2322108115985315</v>
      </c>
      <c r="U138" s="151">
        <f>IF(TrRoad_act!U80=0,0,TrRoad_ene!U83/TrRoad_tech!U111)</f>
        <v>1.2214095160564657</v>
      </c>
      <c r="V138" s="151">
        <f>IF(TrRoad_act!V80=0,0,TrRoad_ene!V83/TrRoad_tech!V111)</f>
        <v>1.2241680009595381</v>
      </c>
      <c r="W138" s="151">
        <f>IF(TrRoad_act!W80=0,0,TrRoad_ene!W83/TrRoad_tech!W111)</f>
        <v>1.3578344657389572</v>
      </c>
      <c r="X138" s="151">
        <f>IF(TrRoad_act!X80=0,0,TrRoad_ene!X83/TrRoad_tech!X111)</f>
        <v>1.2863962674641773</v>
      </c>
      <c r="Y138" s="151">
        <f>IF(TrRoad_act!Y80=0,0,TrRoad_ene!Y83/TrRoad_tech!Y111)</f>
        <v>1.2495808535603812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1.2121183226520165</v>
      </c>
      <c r="C139" s="93">
        <f>IF(TrRoad_act!C81=0,0,TrRoad_ene!C84/TrRoad_tech!C112)</f>
        <v>1.2308626314522582</v>
      </c>
      <c r="D139" s="93">
        <f>IF(TrRoad_act!D81=0,0,TrRoad_ene!D84/TrRoad_tech!D112)</f>
        <v>1.232609397176446</v>
      </c>
      <c r="E139" s="93">
        <f>IF(TrRoad_act!E81=0,0,TrRoad_ene!E84/TrRoad_tech!E112)</f>
        <v>1.2434126320335008</v>
      </c>
      <c r="F139" s="93">
        <f>IF(TrRoad_act!F81=0,0,TrRoad_ene!F84/TrRoad_tech!F112)</f>
        <v>1.2683741941165363</v>
      </c>
      <c r="G139" s="93">
        <f>IF(TrRoad_act!G81=0,0,TrRoad_ene!G84/TrRoad_tech!G112)</f>
        <v>1.231480582503983</v>
      </c>
      <c r="H139" s="93">
        <f>IF(TrRoad_act!H81=0,0,TrRoad_ene!H84/TrRoad_tech!H112)</f>
        <v>1.271829421322717</v>
      </c>
      <c r="I139" s="93">
        <f>IF(TrRoad_act!I81=0,0,TrRoad_ene!I84/TrRoad_tech!I112)</f>
        <v>1.3019309807934336</v>
      </c>
      <c r="J139" s="93">
        <f>IF(TrRoad_act!J81=0,0,TrRoad_ene!J84/TrRoad_tech!J112)</f>
        <v>1.2071104367574532</v>
      </c>
      <c r="K139" s="93">
        <f>IF(TrRoad_act!K81=0,0,TrRoad_ene!K84/TrRoad_tech!K112)</f>
        <v>1.1817029776775223</v>
      </c>
      <c r="L139" s="93">
        <f>IF(TrRoad_act!L81=0,0,TrRoad_ene!L84/TrRoad_tech!L112)</f>
        <v>1.1916709080726848</v>
      </c>
      <c r="M139" s="93">
        <f>IF(TrRoad_act!M81=0,0,TrRoad_ene!M84/TrRoad_tech!M112)</f>
        <v>1.1856093008869315</v>
      </c>
      <c r="N139" s="93">
        <f>IF(TrRoad_act!N81=0,0,TrRoad_ene!N84/TrRoad_tech!N112)</f>
        <v>1.1771268361685363</v>
      </c>
      <c r="O139" s="93">
        <f>IF(TrRoad_act!O81=0,0,TrRoad_ene!O84/TrRoad_tech!O112)</f>
        <v>1.1863453254976719</v>
      </c>
      <c r="P139" s="93">
        <f>IF(TrRoad_act!P81=0,0,TrRoad_ene!P84/TrRoad_tech!P112)</f>
        <v>1.1687537125924872</v>
      </c>
      <c r="Q139" s="93">
        <f>IF(TrRoad_act!Q81=0,0,TrRoad_ene!Q84/TrRoad_tech!Q112)</f>
        <v>1.1811809498359349</v>
      </c>
      <c r="R139" s="93">
        <f>IF(TrRoad_act!R81=0,0,TrRoad_ene!R84/TrRoad_tech!R112)</f>
        <v>1.2143473760073338</v>
      </c>
      <c r="S139" s="93">
        <f>IF(TrRoad_act!S81=0,0,TrRoad_ene!S84/TrRoad_tech!S112)</f>
        <v>1.1725794745456224</v>
      </c>
      <c r="T139" s="93">
        <f>IF(TrRoad_act!T81=0,0,TrRoad_ene!T84/TrRoad_tech!T112)</f>
        <v>1.2200754729226151</v>
      </c>
      <c r="U139" s="93">
        <f>IF(TrRoad_act!U81=0,0,TrRoad_ene!U84/TrRoad_tech!U112)</f>
        <v>1.2133900761186316</v>
      </c>
      <c r="V139" s="93">
        <f>IF(TrRoad_act!V81=0,0,TrRoad_ene!V84/TrRoad_tech!V112)</f>
        <v>1.2160795854240787</v>
      </c>
      <c r="W139" s="93">
        <f>IF(TrRoad_act!W81=0,0,TrRoad_ene!W84/TrRoad_tech!W112)</f>
        <v>1.3329773357284185</v>
      </c>
      <c r="X139" s="93">
        <f>IF(TrRoad_act!X81=0,0,TrRoad_ene!X84/TrRoad_tech!X112)</f>
        <v>1.2714917500060361</v>
      </c>
      <c r="Y139" s="93">
        <f>IF(TrRoad_act!Y81=0,0,TrRoad_ene!Y84/TrRoad_tech!Y112)</f>
        <v>1.2393491122349538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1.6491556697281842</v>
      </c>
      <c r="C140" s="94">
        <f>IF(TrRoad_act!C82=0,0,TrRoad_ene!C85/TrRoad_tech!C113)</f>
        <v>1.723950155692862</v>
      </c>
      <c r="D140" s="94">
        <f>IF(TrRoad_act!D82=0,0,TrRoad_ene!D85/TrRoad_tech!D113)</f>
        <v>1.7177926803965167</v>
      </c>
      <c r="E140" s="94">
        <f>IF(TrRoad_act!E82=0,0,TrRoad_ene!E85/TrRoad_tech!E113)</f>
        <v>1.7566011010065146</v>
      </c>
      <c r="F140" s="94">
        <f>IF(TrRoad_act!F82=0,0,TrRoad_ene!F85/TrRoad_tech!F113)</f>
        <v>1.7864095198785168</v>
      </c>
      <c r="G140" s="94">
        <f>IF(TrRoad_act!G82=0,0,TrRoad_ene!G85/TrRoad_tech!G113)</f>
        <v>1.6238930866537118</v>
      </c>
      <c r="H140" s="94">
        <f>IF(TrRoad_act!H82=0,0,TrRoad_ene!H85/TrRoad_tech!H113)</f>
        <v>1.7334872345306516</v>
      </c>
      <c r="I140" s="94">
        <f>IF(TrRoad_act!I82=0,0,TrRoad_ene!I85/TrRoad_tech!I113)</f>
        <v>1.8210635220650131</v>
      </c>
      <c r="J140" s="94">
        <f>IF(TrRoad_act!J82=0,0,TrRoad_ene!J85/TrRoad_tech!J113)</f>
        <v>1.4429925463994437</v>
      </c>
      <c r="K140" s="94">
        <f>IF(TrRoad_act!K82=0,0,TrRoad_ene!K85/TrRoad_tech!K113)</f>
        <v>1.3126166582918319</v>
      </c>
      <c r="L140" s="94">
        <f>IF(TrRoad_act!L82=0,0,TrRoad_ene!L85/TrRoad_tech!L113)</f>
        <v>1.32467780185588</v>
      </c>
      <c r="M140" s="94">
        <f>IF(TrRoad_act!M82=0,0,TrRoad_ene!M85/TrRoad_tech!M113)</f>
        <v>1.3302213224378743</v>
      </c>
      <c r="N140" s="94">
        <f>IF(TrRoad_act!N82=0,0,TrRoad_ene!N85/TrRoad_tech!N113)</f>
        <v>1.2495513382425456</v>
      </c>
      <c r="O140" s="94">
        <f>IF(TrRoad_act!O82=0,0,TrRoad_ene!O85/TrRoad_tech!O113)</f>
        <v>1.2548266968254584</v>
      </c>
      <c r="P140" s="94">
        <f>IF(TrRoad_act!P82=0,0,TrRoad_ene!P85/TrRoad_tech!P113)</f>
        <v>1.1764586568864692</v>
      </c>
      <c r="Q140" s="94">
        <f>IF(TrRoad_act!Q82=0,0,TrRoad_ene!Q85/TrRoad_tech!Q113)</f>
        <v>1.203550564087206</v>
      </c>
      <c r="R140" s="94">
        <f>IF(TrRoad_act!R82=0,0,TrRoad_ene!R85/TrRoad_tech!R113)</f>
        <v>1.2714210653923612</v>
      </c>
      <c r="S140" s="94">
        <f>IF(TrRoad_act!S82=0,0,TrRoad_ene!S85/TrRoad_tech!S113)</f>
        <v>1.094459840725823</v>
      </c>
      <c r="T140" s="94">
        <f>IF(TrRoad_act!T82=0,0,TrRoad_ene!T85/TrRoad_tech!T113)</f>
        <v>1.2295744438734451</v>
      </c>
      <c r="U140" s="94">
        <f>IF(TrRoad_act!U82=0,0,TrRoad_ene!U85/TrRoad_tech!U113)</f>
        <v>1.1619457753528522</v>
      </c>
      <c r="V140" s="94">
        <f>IF(TrRoad_act!V82=0,0,TrRoad_ene!V85/TrRoad_tech!V113)</f>
        <v>1.1446058109377286</v>
      </c>
      <c r="W140" s="94">
        <f>IF(TrRoad_act!W82=0,0,TrRoad_ene!W85/TrRoad_tech!W113)</f>
        <v>1.4914501079694535</v>
      </c>
      <c r="X140" s="94">
        <f>IF(TrRoad_act!X82=0,0,TrRoad_ene!X85/TrRoad_tech!X113)</f>
        <v>1.2745438708595218</v>
      </c>
      <c r="Y140" s="94">
        <f>IF(TrRoad_act!Y82=0,0,TrRoad_ene!Y85/TrRoad_tech!Y113)</f>
        <v>1.1433269269301725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3.6734389377950611</v>
      </c>
      <c r="C144" s="141">
        <v>3.6734389377950611</v>
      </c>
      <c r="D144" s="141">
        <v>3.6734389377950611</v>
      </c>
      <c r="E144" s="141">
        <v>3.6251042149293373</v>
      </c>
      <c r="F144" s="141">
        <v>3.6734389377950616</v>
      </c>
      <c r="G144" s="141">
        <v>3.6590835251039411</v>
      </c>
      <c r="H144" s="141">
        <v>3.6251042149293378</v>
      </c>
      <c r="I144" s="141">
        <v>3.6338044650451682</v>
      </c>
      <c r="J144" s="141">
        <v>3.3834306006007151</v>
      </c>
      <c r="K144" s="141">
        <v>3.2384264320035414</v>
      </c>
      <c r="L144" s="141">
        <v>3.0934222634063682</v>
      </c>
      <c r="M144" s="141">
        <v>2.9809615711711142</v>
      </c>
      <c r="N144" s="141">
        <v>2.8746706058159899</v>
      </c>
      <c r="O144" s="141">
        <v>2.7139492300690851</v>
      </c>
      <c r="P144" s="141">
        <v>2.6242592068658164</v>
      </c>
      <c r="Q144" s="141">
        <v>2.5304897784171607</v>
      </c>
      <c r="R144" s="141">
        <v>2.4641058795631365</v>
      </c>
      <c r="S144" s="141">
        <v>2.4109987604799175</v>
      </c>
      <c r="T144" s="141">
        <v>2.3685130652133419</v>
      </c>
      <c r="U144" s="141">
        <v>2.3345245090000817</v>
      </c>
      <c r="V144" s="141">
        <v>2.3073336640294735</v>
      </c>
      <c r="W144" s="141">
        <v>2.2855809880529869</v>
      </c>
      <c r="X144" s="141">
        <v>2.2681788472717974</v>
      </c>
      <c r="Y144" s="141">
        <v>2.2542571346468461</v>
      </c>
      <c r="DA144" s="174" t="s">
        <v>887</v>
      </c>
    </row>
    <row r="145" spans="1:105" ht="11.45" customHeight="1" x14ac:dyDescent="0.25">
      <c r="A145" s="109" t="s">
        <v>20</v>
      </c>
      <c r="B145" s="130">
        <v>6.4283888212527076</v>
      </c>
      <c r="C145" s="130">
        <v>6.4303333318266587</v>
      </c>
      <c r="D145" s="130">
        <v>6.432559491409509</v>
      </c>
      <c r="E145" s="130">
        <v>6.4056122070740082</v>
      </c>
      <c r="F145" s="130">
        <v>6.3943856596065203</v>
      </c>
      <c r="G145" s="130">
        <v>6.3925255283927509</v>
      </c>
      <c r="H145" s="130">
        <v>6.4217677659376973</v>
      </c>
      <c r="I145" s="130">
        <v>6.4283469295977174</v>
      </c>
      <c r="J145" s="130">
        <v>6.3098502238244762</v>
      </c>
      <c r="K145" s="130">
        <v>6.2762084305255303</v>
      </c>
      <c r="L145" s="130">
        <v>6.14569029139449</v>
      </c>
      <c r="M145" s="130">
        <v>5.9356752705349543</v>
      </c>
      <c r="N145" s="130">
        <v>5.7365136119880971</v>
      </c>
      <c r="O145" s="130">
        <v>5.4338776233301935</v>
      </c>
      <c r="P145" s="130">
        <v>5.2604923126796663</v>
      </c>
      <c r="Q145" s="130">
        <v>5.0827214085388492</v>
      </c>
      <c r="R145" s="130">
        <v>4.9750113593322629</v>
      </c>
      <c r="S145" s="130">
        <v>4.9289761500209019</v>
      </c>
      <c r="T145" s="130">
        <v>4.9314141941708192</v>
      </c>
      <c r="U145" s="130">
        <v>4.9088930119425189</v>
      </c>
      <c r="V145" s="130">
        <v>4.6059474823705981</v>
      </c>
      <c r="W145" s="130">
        <v>4.2150735946993354</v>
      </c>
      <c r="X145" s="130">
        <v>3.9528842876627164</v>
      </c>
      <c r="Y145" s="130">
        <v>3.8342213498687423</v>
      </c>
      <c r="DA145" s="176" t="s">
        <v>888</v>
      </c>
    </row>
    <row r="146" spans="1:105" ht="11.45" customHeight="1" x14ac:dyDescent="0.25">
      <c r="A146" s="111" t="s">
        <v>110</v>
      </c>
      <c r="B146" s="96">
        <v>6.4512711968813523</v>
      </c>
      <c r="C146" s="96">
        <v>6.4223777091535919</v>
      </c>
      <c r="D146" s="96">
        <v>6.3904255812473574</v>
      </c>
      <c r="E146" s="96">
        <v>6.3586324191516006</v>
      </c>
      <c r="F146" s="96">
        <v>6.326997431991642</v>
      </c>
      <c r="G146" s="96">
        <v>6.2955198328275053</v>
      </c>
      <c r="H146" s="96">
        <v>6.2641988386343348</v>
      </c>
      <c r="I146" s="96">
        <v>6.2330336702829197</v>
      </c>
      <c r="J146" s="96">
        <v>6.2020235525203198</v>
      </c>
      <c r="K146" s="96">
        <v>6.1711677139505685</v>
      </c>
      <c r="L146" s="96">
        <v>6.1404653870154897</v>
      </c>
      <c r="M146" s="96">
        <v>5.9130732560622103</v>
      </c>
      <c r="N146" s="96">
        <v>5.7094449141066681</v>
      </c>
      <c r="O146" s="96">
        <v>5.3949613964413121</v>
      </c>
      <c r="P146" s="96">
        <v>5.2247215140866361</v>
      </c>
      <c r="Q146" s="96">
        <v>5.0457352598748573</v>
      </c>
      <c r="R146" s="96">
        <v>4.9351666820339615</v>
      </c>
      <c r="S146" s="96">
        <v>4.8701032641609041</v>
      </c>
      <c r="T146" s="96">
        <v>4.8655134523259314</v>
      </c>
      <c r="U146" s="96">
        <v>4.956403186664871</v>
      </c>
      <c r="V146" s="96">
        <v>4.7594703450875011</v>
      </c>
      <c r="W146" s="96">
        <v>4.4760228120597496</v>
      </c>
      <c r="X146" s="96">
        <v>4.3316336430316031</v>
      </c>
      <c r="Y146" s="96">
        <v>4.2249760330897033</v>
      </c>
      <c r="DA146" s="171" t="s">
        <v>889</v>
      </c>
    </row>
    <row r="147" spans="1:105" ht="11.45" customHeight="1" x14ac:dyDescent="0.25">
      <c r="A147" s="111" t="s">
        <v>111</v>
      </c>
      <c r="B147" s="96">
        <v>6.2900423506207614</v>
      </c>
      <c r="C147" s="96">
        <v>6.4784328970274165</v>
      </c>
      <c r="D147" s="96">
        <v>6.6943806602616629</v>
      </c>
      <c r="E147" s="96">
        <v>6.6943806602616629</v>
      </c>
      <c r="F147" s="96">
        <v>6.8023545418787874</v>
      </c>
      <c r="G147" s="96">
        <v>6.9574050358809769</v>
      </c>
      <c r="H147" s="96">
        <v>7.1262761867301583</v>
      </c>
      <c r="I147" s="96">
        <v>7.057280876376816</v>
      </c>
      <c r="J147" s="96">
        <v>6.4784328970274165</v>
      </c>
      <c r="K147" s="96">
        <v>6.4784328970274165</v>
      </c>
      <c r="L147" s="96">
        <v>6.1545112521760874</v>
      </c>
      <c r="M147" s="96">
        <v>5.9752430871345936</v>
      </c>
      <c r="N147" s="96">
        <v>5.7965183815399968</v>
      </c>
      <c r="O147" s="96">
        <v>5.529020294478312</v>
      </c>
      <c r="P147" s="96">
        <v>5.3594105165009474</v>
      </c>
      <c r="Q147" s="96">
        <v>5.1963867943486983</v>
      </c>
      <c r="R147" s="96">
        <v>5.1041152435660084</v>
      </c>
      <c r="S147" s="96">
        <v>5.1769958902449531</v>
      </c>
      <c r="T147" s="96">
        <v>5.3112287697938365</v>
      </c>
      <c r="U147" s="96">
        <v>5.2574621379690702</v>
      </c>
      <c r="V147" s="96">
        <v>5.0702078884591684</v>
      </c>
      <c r="W147" s="96">
        <v>4.9277987747130787</v>
      </c>
      <c r="X147" s="96">
        <v>4.8343997422849263</v>
      </c>
      <c r="Y147" s="96">
        <v>4.9193588121625069</v>
      </c>
      <c r="DA147" s="171" t="s">
        <v>890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0</v>
      </c>
      <c r="P148" s="96">
        <v>0</v>
      </c>
      <c r="Q148" s="96">
        <v>0</v>
      </c>
      <c r="R148" s="96">
        <v>0</v>
      </c>
      <c r="S148" s="96">
        <v>0</v>
      </c>
      <c r="T148" s="96">
        <v>0</v>
      </c>
      <c r="U148" s="96">
        <v>0</v>
      </c>
      <c r="V148" s="96">
        <v>0</v>
      </c>
      <c r="W148" s="96">
        <v>0</v>
      </c>
      <c r="X148" s="96">
        <v>0</v>
      </c>
      <c r="Y148" s="96">
        <v>0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8.2915018849079249</v>
      </c>
      <c r="I149" s="96">
        <v>8.3114014894317059</v>
      </c>
      <c r="J149" s="96">
        <v>7.7387350925807299</v>
      </c>
      <c r="K149" s="96">
        <v>7.4070750171844129</v>
      </c>
      <c r="L149" s="96">
        <v>7.0754149417881465</v>
      </c>
      <c r="M149" s="96">
        <v>8.0788722407461364</v>
      </c>
      <c r="N149" s="96">
        <v>7.8313493465615522</v>
      </c>
      <c r="O149" s="96">
        <v>6.0135558137541905</v>
      </c>
      <c r="P149" s="96">
        <v>5.0468272474994436</v>
      </c>
      <c r="Q149" s="96">
        <v>4.8755372895899045</v>
      </c>
      <c r="R149" s="96">
        <v>5.0443077001685142</v>
      </c>
      <c r="S149" s="96">
        <v>5.1023113809361744</v>
      </c>
      <c r="T149" s="96">
        <v>5.3980651559774593</v>
      </c>
      <c r="U149" s="96">
        <v>4.8838721656597315</v>
      </c>
      <c r="V149" s="96">
        <v>4.7999508026074649</v>
      </c>
      <c r="W149" s="96">
        <v>4.5066227831355512</v>
      </c>
      <c r="X149" s="96">
        <v>4.5196789090846634</v>
      </c>
      <c r="Y149" s="96">
        <v>4.5246068615413604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2.7395941481737638</v>
      </c>
      <c r="O150" s="96">
        <v>2.9303240677375997</v>
      </c>
      <c r="P150" s="96">
        <v>3.327867587378869</v>
      </c>
      <c r="Q150" s="96">
        <v>3.7048601884996728</v>
      </c>
      <c r="R150" s="96">
        <v>3.6226215227408094</v>
      </c>
      <c r="S150" s="96">
        <v>3.4667069299488258</v>
      </c>
      <c r="T150" s="96">
        <v>3.5489465896272474</v>
      </c>
      <c r="U150" s="96">
        <v>3.177606524114541</v>
      </c>
      <c r="V150" s="96">
        <v>3.0448700990743944</v>
      </c>
      <c r="W150" s="96">
        <v>2.8645711221491874</v>
      </c>
      <c r="X150" s="96">
        <v>2.752818703713928</v>
      </c>
      <c r="Y150" s="96">
        <v>2.4722318018591647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1.5561912025524096</v>
      </c>
      <c r="J151" s="96">
        <v>1.5406292905268852</v>
      </c>
      <c r="K151" s="96">
        <v>1.5252229976216163</v>
      </c>
      <c r="L151" s="96">
        <v>1.5099707676454002</v>
      </c>
      <c r="M151" s="96">
        <v>1.5099707676454002</v>
      </c>
      <c r="N151" s="96">
        <v>1.3931622676979365</v>
      </c>
      <c r="O151" s="96">
        <v>1.4506817344306595</v>
      </c>
      <c r="P151" s="96">
        <v>1.4196251903573018</v>
      </c>
      <c r="Q151" s="96">
        <v>1.6394382344511327</v>
      </c>
      <c r="R151" s="96">
        <v>1.5135203914416484</v>
      </c>
      <c r="S151" s="96">
        <v>1.4192756060881153</v>
      </c>
      <c r="T151" s="96">
        <v>1.4858214410295041</v>
      </c>
      <c r="U151" s="96">
        <v>1.3370865396127429</v>
      </c>
      <c r="V151" s="96">
        <v>1.5193121238177127</v>
      </c>
      <c r="W151" s="96">
        <v>1.6214506284970034</v>
      </c>
      <c r="X151" s="96">
        <v>1.5870870973159381</v>
      </c>
      <c r="Y151" s="96">
        <v>1.5182698500185847</v>
      </c>
      <c r="DA151" s="171" t="s">
        <v>894</v>
      </c>
    </row>
    <row r="152" spans="1:105" ht="11.45" customHeight="1" x14ac:dyDescent="0.25">
      <c r="A152" s="109" t="s">
        <v>21</v>
      </c>
      <c r="B152" s="130">
        <v>47.461654591450653</v>
      </c>
      <c r="C152" s="130">
        <v>47.252571665617879</v>
      </c>
      <c r="D152" s="130">
        <v>46.981560874329055</v>
      </c>
      <c r="E152" s="130">
        <v>47.268229856760193</v>
      </c>
      <c r="F152" s="130">
        <v>47.425568502983189</v>
      </c>
      <c r="G152" s="130">
        <v>47.284010917838174</v>
      </c>
      <c r="H152" s="130">
        <v>46.888712513174475</v>
      </c>
      <c r="I152" s="130">
        <v>47.247963541217842</v>
      </c>
      <c r="J152" s="130">
        <v>46.487791171041344</v>
      </c>
      <c r="K152" s="130">
        <v>45.889100094474195</v>
      </c>
      <c r="L152" s="130">
        <v>45.437426989856426</v>
      </c>
      <c r="M152" s="130">
        <v>45.036249694263439</v>
      </c>
      <c r="N152" s="130">
        <v>44.562545459617979</v>
      </c>
      <c r="O152" s="130">
        <v>43.935448125651831</v>
      </c>
      <c r="P152" s="130">
        <v>43.477489965218837</v>
      </c>
      <c r="Q152" s="130">
        <v>43.133222624104576</v>
      </c>
      <c r="R152" s="130">
        <v>42.339096406762614</v>
      </c>
      <c r="S152" s="130">
        <v>41.397265591748017</v>
      </c>
      <c r="T152" s="130">
        <v>40.310167953743246</v>
      </c>
      <c r="U152" s="130">
        <v>38.604228448164093</v>
      </c>
      <c r="V152" s="130">
        <v>37.270656655182002</v>
      </c>
      <c r="W152" s="130">
        <v>34.223971704684445</v>
      </c>
      <c r="X152" s="130">
        <v>32.306862971852539</v>
      </c>
      <c r="Y152" s="130">
        <v>31.925413338505503</v>
      </c>
      <c r="DA152" s="176" t="s">
        <v>895</v>
      </c>
    </row>
    <row r="153" spans="1:105" ht="11.45" customHeight="1" x14ac:dyDescent="0.25">
      <c r="A153" s="111" t="s">
        <v>110</v>
      </c>
      <c r="B153" s="97">
        <v>15.305995574146086</v>
      </c>
      <c r="C153" s="97">
        <v>15.305995574146086</v>
      </c>
      <c r="D153" s="97">
        <v>0</v>
      </c>
      <c r="E153" s="97">
        <v>0</v>
      </c>
      <c r="F153" s="97">
        <v>15.30599557414609</v>
      </c>
      <c r="G153" s="97">
        <v>15.246181354599756</v>
      </c>
      <c r="H153" s="97">
        <v>0</v>
      </c>
      <c r="I153" s="97">
        <v>15.140851937688202</v>
      </c>
      <c r="J153" s="97">
        <v>0</v>
      </c>
      <c r="K153" s="97">
        <v>13.493443466681425</v>
      </c>
      <c r="L153" s="97">
        <v>12.889259430859868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10.364661824941296</v>
      </c>
      <c r="T153" s="97">
        <v>0</v>
      </c>
      <c r="U153" s="97">
        <v>0</v>
      </c>
      <c r="V153" s="97">
        <v>0</v>
      </c>
      <c r="W153" s="97">
        <v>0</v>
      </c>
      <c r="X153" s="97">
        <v>9.3698021449065632</v>
      </c>
      <c r="Y153" s="97">
        <v>0</v>
      </c>
      <c r="DA153" s="175" t="s">
        <v>896</v>
      </c>
    </row>
    <row r="154" spans="1:105" ht="11.45" customHeight="1" x14ac:dyDescent="0.25">
      <c r="A154" s="111" t="s">
        <v>111</v>
      </c>
      <c r="B154" s="97">
        <v>47.499708625790653</v>
      </c>
      <c r="C154" s="97">
        <v>47.499708625790653</v>
      </c>
      <c r="D154" s="97">
        <v>47.499708625790653</v>
      </c>
      <c r="E154" s="97">
        <v>47.341902284841176</v>
      </c>
      <c r="F154" s="97">
        <v>47.498146186771343</v>
      </c>
      <c r="G154" s="97">
        <v>47.451605340351506</v>
      </c>
      <c r="H154" s="97">
        <v>47.340670369452418</v>
      </c>
      <c r="I154" s="97">
        <v>47.369023735614995</v>
      </c>
      <c r="J154" s="97">
        <v>46.508614369774172</v>
      </c>
      <c r="K154" s="97">
        <v>45.993758860145675</v>
      </c>
      <c r="L154" s="97">
        <v>45.461012618522368</v>
      </c>
      <c r="M154" s="97">
        <v>45.036249694263439</v>
      </c>
      <c r="N154" s="97">
        <v>44.623758747866937</v>
      </c>
      <c r="O154" s="97">
        <v>43.972737099807397</v>
      </c>
      <c r="P154" s="97">
        <v>43.600203089397503</v>
      </c>
      <c r="Q154" s="97">
        <v>43.199999999908329</v>
      </c>
      <c r="R154" s="97">
        <v>42.500215297954647</v>
      </c>
      <c r="S154" s="97">
        <v>41.545065424743598</v>
      </c>
      <c r="T154" s="97">
        <v>40.378167454503242</v>
      </c>
      <c r="U154" s="97">
        <v>39.041160512794782</v>
      </c>
      <c r="V154" s="97">
        <v>37.572742269429469</v>
      </c>
      <c r="W154" s="97">
        <v>36.008059939800418</v>
      </c>
      <c r="X154" s="97">
        <v>34.378390587572738</v>
      </c>
      <c r="Y154" s="97">
        <v>32.711047402586686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X155" s="97">
        <v>0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39.58309052149221</v>
      </c>
      <c r="D156" s="97">
        <v>39.58309052149221</v>
      </c>
      <c r="E156" s="97">
        <v>39.451585237367645</v>
      </c>
      <c r="F156" s="97">
        <v>39.581788488976123</v>
      </c>
      <c r="G156" s="97">
        <v>39.543004450292919</v>
      </c>
      <c r="H156" s="97">
        <v>39.45055864121035</v>
      </c>
      <c r="I156" s="97">
        <v>39.474186446345833</v>
      </c>
      <c r="J156" s="97">
        <v>38.757178641478475</v>
      </c>
      <c r="K156" s="97">
        <v>38.328132383454729</v>
      </c>
      <c r="L156" s="97">
        <v>0</v>
      </c>
      <c r="M156" s="97">
        <v>0</v>
      </c>
      <c r="N156" s="97">
        <v>0</v>
      </c>
      <c r="O156" s="97">
        <v>36.759984098860187</v>
      </c>
      <c r="P156" s="97">
        <v>36.333502574497921</v>
      </c>
      <c r="Q156" s="97">
        <v>36.072330239281634</v>
      </c>
      <c r="R156" s="97">
        <v>0</v>
      </c>
      <c r="S156" s="97">
        <v>35.730304918023876</v>
      </c>
      <c r="T156" s="97">
        <v>35.604782463950663</v>
      </c>
      <c r="U156" s="97">
        <v>35.494151074193773</v>
      </c>
      <c r="V156" s="97">
        <v>35.392509373625366</v>
      </c>
      <c r="W156" s="97">
        <v>35.296332452820735</v>
      </c>
      <c r="X156" s="97">
        <v>35.203513044314242</v>
      </c>
      <c r="Y156" s="97">
        <v>35.112790664392861</v>
      </c>
      <c r="DA156" s="175" t="s">
        <v>899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29.871356279868582</v>
      </c>
      <c r="O157" s="97">
        <v>0</v>
      </c>
      <c r="P157" s="97">
        <v>29.276916289899194</v>
      </c>
      <c r="Q157" s="97">
        <v>28.984147127000206</v>
      </c>
      <c r="R157" s="97">
        <v>28.579543098963129</v>
      </c>
      <c r="S157" s="97">
        <v>28.079129673045095</v>
      </c>
      <c r="T157" s="97">
        <v>27.498072215164889</v>
      </c>
      <c r="U157" s="97">
        <v>26.850481245161024</v>
      </c>
      <c r="V157" s="97">
        <v>26.14929581386366</v>
      </c>
      <c r="W157" s="97">
        <v>25.406229123612125</v>
      </c>
      <c r="X157" s="97">
        <v>24.63176215105338</v>
      </c>
      <c r="Y157" s="97">
        <v>23.835172959095992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7.1956614061867024</v>
      </c>
      <c r="C159" s="141">
        <v>7.3364325980286669</v>
      </c>
      <c r="D159" s="141">
        <v>7.4953770721183677</v>
      </c>
      <c r="E159" s="141">
        <v>7.6289476006145316</v>
      </c>
      <c r="F159" s="141">
        <v>7.7932955117963294</v>
      </c>
      <c r="G159" s="141">
        <v>7.9603597337443412</v>
      </c>
      <c r="H159" s="141">
        <v>8.1786448548342197</v>
      </c>
      <c r="I159" s="141">
        <v>8.3667987618320083</v>
      </c>
      <c r="J159" s="141">
        <v>8.2053576721312336</v>
      </c>
      <c r="K159" s="141">
        <v>8.3040620401562073</v>
      </c>
      <c r="L159" s="141">
        <v>8.5567923694479617</v>
      </c>
      <c r="M159" s="141">
        <v>8.763923029767648</v>
      </c>
      <c r="N159" s="141">
        <v>8.20799945335831</v>
      </c>
      <c r="O159" s="141">
        <v>7.6463512533164781</v>
      </c>
      <c r="P159" s="141">
        <v>7.6252332505135243</v>
      </c>
      <c r="Q159" s="141">
        <v>7.2806175927866361</v>
      </c>
      <c r="R159" s="141">
        <v>7.0111806030906783</v>
      </c>
      <c r="S159" s="141">
        <v>6.7697035758735549</v>
      </c>
      <c r="T159" s="141">
        <v>6.5193195674457192</v>
      </c>
      <c r="U159" s="141">
        <v>6.5017193579985362</v>
      </c>
      <c r="V159" s="141">
        <v>6.5199669732086507</v>
      </c>
      <c r="W159" s="141">
        <v>6.2709610551828803</v>
      </c>
      <c r="X159" s="141">
        <v>6.0422832161635158</v>
      </c>
      <c r="Y159" s="141">
        <v>6.0550728067868844</v>
      </c>
      <c r="DA159" s="174" t="s">
        <v>901</v>
      </c>
    </row>
    <row r="160" spans="1:105" ht="11.45" customHeight="1" x14ac:dyDescent="0.25">
      <c r="A160" s="111" t="s">
        <v>110</v>
      </c>
      <c r="B160" s="96">
        <v>7.1495902461895939</v>
      </c>
      <c r="C160" s="96">
        <v>7.1495902461895966</v>
      </c>
      <c r="D160" s="96">
        <v>7.1495902461895984</v>
      </c>
      <c r="E160" s="96">
        <v>7.0555166903186848</v>
      </c>
      <c r="F160" s="96">
        <v>7.1495902461895993</v>
      </c>
      <c r="G160" s="96">
        <v>7.1216504000959393</v>
      </c>
      <c r="H160" s="96">
        <v>7.0555166903186857</v>
      </c>
      <c r="I160" s="96">
        <v>7.0724499303754502</v>
      </c>
      <c r="J160" s="96">
        <v>6.5851489109641079</v>
      </c>
      <c r="K160" s="96">
        <v>6.3029282433513591</v>
      </c>
      <c r="L160" s="96">
        <v>6.0207075757386148</v>
      </c>
      <c r="M160" s="96">
        <v>5.8018260639181056</v>
      </c>
      <c r="N160" s="96">
        <v>5.594952651284979</v>
      </c>
      <c r="O160" s="96">
        <v>5.2315362062414819</v>
      </c>
      <c r="P160" s="96">
        <v>5.2145237412474099</v>
      </c>
      <c r="Q160" s="96">
        <v>4.7357714172629732</v>
      </c>
      <c r="R160" s="96">
        <v>4.7027357861042383</v>
      </c>
      <c r="S160" s="96">
        <v>4.8326636562191245</v>
      </c>
      <c r="T160" s="96">
        <v>5.1762892422761544</v>
      </c>
      <c r="U160" s="96">
        <v>4.6132533951393242</v>
      </c>
      <c r="V160" s="96">
        <v>4.7620802046429125</v>
      </c>
      <c r="W160" s="96">
        <v>4.7075659852128551</v>
      </c>
      <c r="X160" s="96">
        <v>5.3048812605425759</v>
      </c>
      <c r="Y160" s="96">
        <v>5.1484001039747671</v>
      </c>
      <c r="DA160" s="171" t="s">
        <v>902</v>
      </c>
    </row>
    <row r="161" spans="1:105" ht="11.45" customHeight="1" x14ac:dyDescent="0.25">
      <c r="A161" s="111" t="s">
        <v>111</v>
      </c>
      <c r="B161" s="96">
        <v>7.8492146861497476</v>
      </c>
      <c r="C161" s="96">
        <v>8.0843033804954914</v>
      </c>
      <c r="D161" s="96">
        <v>8.3537801598453409</v>
      </c>
      <c r="E161" s="96">
        <v>8.3537801598453409</v>
      </c>
      <c r="F161" s="96">
        <v>8.4885185495202649</v>
      </c>
      <c r="G161" s="96">
        <v>8.6820028770934581</v>
      </c>
      <c r="H161" s="96">
        <v>8.8927337185450419</v>
      </c>
      <c r="I161" s="96">
        <v>8.8066358875427628</v>
      </c>
      <c r="J161" s="96">
        <v>8.0843033804954914</v>
      </c>
      <c r="K161" s="96">
        <v>8.0843033804954914</v>
      </c>
      <c r="L161" s="96">
        <v>7.6800882114707187</v>
      </c>
      <c r="M161" s="96">
        <v>7.4563831495066077</v>
      </c>
      <c r="N161" s="96">
        <v>7.2331204270651472</v>
      </c>
      <c r="O161" s="96">
        <v>6.798267610543129</v>
      </c>
      <c r="P161" s="96">
        <v>6.7210880644030384</v>
      </c>
      <c r="Q161" s="96">
        <v>6.5501098855396798</v>
      </c>
      <c r="R161" s="96">
        <v>6.2557994964886303</v>
      </c>
      <c r="S161" s="96">
        <v>6.0438619652288734</v>
      </c>
      <c r="T161" s="96">
        <v>6.131179797638767</v>
      </c>
      <c r="U161" s="96">
        <v>6.2252031247518449</v>
      </c>
      <c r="V161" s="96">
        <v>6.7996474848749537</v>
      </c>
      <c r="W161" s="96">
        <v>6.690908744359791</v>
      </c>
      <c r="X161" s="96">
        <v>6.6076470187769134</v>
      </c>
      <c r="Y161" s="96">
        <v>6.6652615914886209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X162" s="96">
        <v>0</v>
      </c>
      <c r="Y162" s="96">
        <v>0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8.6170733654012661</v>
      </c>
      <c r="D163" s="96">
        <v>0</v>
      </c>
      <c r="E163" s="96">
        <v>0</v>
      </c>
      <c r="F163" s="96">
        <v>0</v>
      </c>
      <c r="G163" s="96">
        <v>8.5833987497496338</v>
      </c>
      <c r="H163" s="96">
        <v>0</v>
      </c>
      <c r="I163" s="96">
        <v>8.5240996790903587</v>
      </c>
      <c r="J163" s="96">
        <v>7.936778099711697</v>
      </c>
      <c r="K163" s="96">
        <v>7.5966304668669098</v>
      </c>
      <c r="L163" s="96">
        <v>7.2564828340221208</v>
      </c>
      <c r="M163" s="96">
        <v>8.2856197432311003</v>
      </c>
      <c r="N163" s="96">
        <v>8.0317624574810704</v>
      </c>
      <c r="O163" s="96">
        <v>6.949573890275798</v>
      </c>
      <c r="P163" s="96">
        <v>8.5587583691478155</v>
      </c>
      <c r="Q163" s="96">
        <v>8.7978114211621001</v>
      </c>
      <c r="R163" s="96">
        <v>8.4566408659474472</v>
      </c>
      <c r="S163" s="96">
        <v>6.8665120752873312</v>
      </c>
      <c r="T163" s="96">
        <v>7.1222818583465184</v>
      </c>
      <c r="U163" s="96">
        <v>5.7824626407629056</v>
      </c>
      <c r="V163" s="96">
        <v>6.0468559189380571</v>
      </c>
      <c r="W163" s="96">
        <v>10.311671330335027</v>
      </c>
      <c r="X163" s="96">
        <v>11.793282239895966</v>
      </c>
      <c r="Y163" s="96">
        <v>6.6599505171150488</v>
      </c>
      <c r="DA163" s="171" t="s">
        <v>905</v>
      </c>
    </row>
    <row r="164" spans="1:105" ht="11.45" customHeight="1" x14ac:dyDescent="0.25">
      <c r="A164" s="111" t="s">
        <v>115</v>
      </c>
      <c r="B164" s="96">
        <v>1.4210124591044069</v>
      </c>
      <c r="C164" s="96">
        <v>1.4082169288458319</v>
      </c>
      <c r="D164" s="96">
        <v>1.3941347595573734</v>
      </c>
      <c r="E164" s="96">
        <v>1.3801934119617996</v>
      </c>
      <c r="F164" s="96">
        <v>0</v>
      </c>
      <c r="G164" s="96">
        <v>1.2757599172986653</v>
      </c>
      <c r="H164" s="96">
        <v>1.2630023181256791</v>
      </c>
      <c r="I164" s="96">
        <v>0</v>
      </c>
      <c r="J164" s="96">
        <v>1.2088555913520291</v>
      </c>
      <c r="K164" s="96">
        <v>1.1967670354385087</v>
      </c>
      <c r="L164" s="96">
        <v>1.1847993650841235</v>
      </c>
      <c r="M164" s="96">
        <v>1.1729513714332827</v>
      </c>
      <c r="N164" s="96">
        <v>1.1612218577189497</v>
      </c>
      <c r="O164" s="96">
        <v>1.1607910576096303</v>
      </c>
      <c r="P164" s="96">
        <v>1.418744625967326</v>
      </c>
      <c r="Q164" s="96">
        <v>1.418744625967326</v>
      </c>
      <c r="R164" s="96">
        <v>1.418744625967326</v>
      </c>
      <c r="S164" s="96">
        <v>1.418744625967326</v>
      </c>
      <c r="T164" s="96">
        <v>1.8894164267823095</v>
      </c>
      <c r="U164" s="96">
        <v>1.9549904094186124</v>
      </c>
      <c r="V164" s="96">
        <v>2.3138924424497902</v>
      </c>
      <c r="W164" s="96">
        <v>2.3388059741722986</v>
      </c>
      <c r="X164" s="96">
        <v>2.1948798451752691</v>
      </c>
      <c r="Y164" s="96">
        <v>2.1834946769150627</v>
      </c>
      <c r="DA164" s="171" t="s">
        <v>906</v>
      </c>
    </row>
    <row r="165" spans="1:105" ht="11.45" customHeight="1" x14ac:dyDescent="0.25">
      <c r="A165" s="109" t="s">
        <v>154</v>
      </c>
      <c r="B165" s="130">
        <v>33.546147315091126</v>
      </c>
      <c r="C165" s="130">
        <v>27.140453767151225</v>
      </c>
      <c r="D165" s="130">
        <v>26.971471956274868</v>
      </c>
      <c r="E165" s="130">
        <v>26.762644460183104</v>
      </c>
      <c r="F165" s="130">
        <v>26.610429501050135</v>
      </c>
      <c r="G165" s="130">
        <v>26.286920565019951</v>
      </c>
      <c r="H165" s="130">
        <v>26.011086332445888</v>
      </c>
      <c r="I165" s="130">
        <v>25.650005458260647</v>
      </c>
      <c r="J165" s="130">
        <v>25.277686513834286</v>
      </c>
      <c r="K165" s="130">
        <v>24.841121423391648</v>
      </c>
      <c r="L165" s="130">
        <v>24.568365334204358</v>
      </c>
      <c r="M165" s="130">
        <v>23.949498042021784</v>
      </c>
      <c r="N165" s="130">
        <v>23.557101882706593</v>
      </c>
      <c r="O165" s="130">
        <v>22.938086045196201</v>
      </c>
      <c r="P165" s="130">
        <v>22.521568868641804</v>
      </c>
      <c r="Q165" s="130">
        <v>21.908217815298109</v>
      </c>
      <c r="R165" s="130">
        <v>20.794617507785887</v>
      </c>
      <c r="S165" s="130">
        <v>20.102146720261725</v>
      </c>
      <c r="T165" s="130">
        <v>19.406994367747039</v>
      </c>
      <c r="U165" s="130">
        <v>18.411391692727641</v>
      </c>
      <c r="V165" s="130">
        <v>17.656652586372555</v>
      </c>
      <c r="W165" s="130">
        <v>17.730832236060913</v>
      </c>
      <c r="X165" s="130">
        <v>17.496205643762099</v>
      </c>
      <c r="Y165" s="130">
        <v>17.306679864161865</v>
      </c>
      <c r="DA165" s="176" t="s">
        <v>907</v>
      </c>
    </row>
    <row r="166" spans="1:105" ht="11.45" customHeight="1" x14ac:dyDescent="0.25">
      <c r="A166" s="128" t="s">
        <v>27</v>
      </c>
      <c r="B166" s="97">
        <v>0</v>
      </c>
      <c r="C166" s="97">
        <v>27.059149484482198</v>
      </c>
      <c r="D166" s="97">
        <v>26.907730073090388</v>
      </c>
      <c r="E166" s="97">
        <v>26.719184721341346</v>
      </c>
      <c r="F166" s="97">
        <v>26.493992526525059</v>
      </c>
      <c r="G166" s="97">
        <v>26.23272166732653</v>
      </c>
      <c r="H166" s="97">
        <v>25.936025860679266</v>
      </c>
      <c r="I166" s="97">
        <v>25.604640335159424</v>
      </c>
      <c r="J166" s="97">
        <v>25.239377366381007</v>
      </c>
      <c r="K166" s="97">
        <v>24.841121423391648</v>
      </c>
      <c r="L166" s="97">
        <v>24.410823979527976</v>
      </c>
      <c r="M166" s="97">
        <v>23.949498042021784</v>
      </c>
      <c r="N166" s="97">
        <v>23.458212456751941</v>
      </c>
      <c r="O166" s="97">
        <v>22.938086045196201</v>
      </c>
      <c r="P166" s="97">
        <v>22.390281629295732</v>
      </c>
      <c r="Q166" s="97">
        <v>21.815999999953704</v>
      </c>
      <c r="R166" s="97">
        <v>20.794617507785883</v>
      </c>
      <c r="S166" s="97">
        <v>20.07964976326841</v>
      </c>
      <c r="T166" s="97">
        <v>19.328933631525064</v>
      </c>
      <c r="U166" s="97">
        <v>18.411391692727641</v>
      </c>
      <c r="V166" s="97">
        <v>17.614832854541369</v>
      </c>
      <c r="W166" s="97">
        <v>17.571782605352976</v>
      </c>
      <c r="X166" s="97">
        <v>17.474973080266675</v>
      </c>
      <c r="Y166" s="97">
        <v>17.300223349464009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0</v>
      </c>
      <c r="N167" s="98">
        <v>29.612068313049569</v>
      </c>
      <c r="O167" s="98">
        <v>0</v>
      </c>
      <c r="P167" s="98">
        <v>28.488068946000222</v>
      </c>
      <c r="Q167" s="98">
        <v>27.883636363577196</v>
      </c>
      <c r="R167" s="98">
        <v>0</v>
      </c>
      <c r="S167" s="98">
        <v>26.556973620783872</v>
      </c>
      <c r="T167" s="98">
        <v>25.983387081987935</v>
      </c>
      <c r="U167" s="98">
        <v>0</v>
      </c>
      <c r="V167" s="98">
        <v>24.879360481322131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123.26314013818889</v>
      </c>
      <c r="C171" s="152">
        <v>121.62630914265839</v>
      </c>
      <c r="D171" s="152">
        <v>119.79423897964207</v>
      </c>
      <c r="E171" s="152">
        <v>117.72845641678066</v>
      </c>
      <c r="F171" s="152">
        <v>115.90316347525722</v>
      </c>
      <c r="G171" s="152">
        <v>114.16042346494223</v>
      </c>
      <c r="H171" s="152">
        <v>112.33924899637886</v>
      </c>
      <c r="I171" s="152">
        <v>110.83805202308866</v>
      </c>
      <c r="J171" s="152">
        <v>108.34784519521887</v>
      </c>
      <c r="K171" s="152">
        <v>106.15750741331489</v>
      </c>
      <c r="L171" s="152">
        <v>103.98888788866066</v>
      </c>
      <c r="M171" s="152">
        <v>101.79177347371203</v>
      </c>
      <c r="N171" s="152">
        <v>99.930778326323988</v>
      </c>
      <c r="O171" s="152">
        <v>98.655706234544695</v>
      </c>
      <c r="P171" s="152">
        <v>96.969876061182148</v>
      </c>
      <c r="Q171" s="152">
        <v>95.419112396582392</v>
      </c>
      <c r="R171" s="152">
        <v>94.316090632054525</v>
      </c>
      <c r="S171" s="152">
        <v>93.025314756255128</v>
      </c>
      <c r="T171" s="152">
        <v>91.837155606879818</v>
      </c>
      <c r="U171" s="152">
        <v>90.630522955103274</v>
      </c>
      <c r="V171" s="152">
        <v>89.321370646262238</v>
      </c>
      <c r="W171" s="152">
        <v>88.168760528425409</v>
      </c>
      <c r="X171" s="152">
        <v>87.029407233679407</v>
      </c>
      <c r="Y171" s="152">
        <v>86.533976945420164</v>
      </c>
      <c r="DA171" s="174" t="s">
        <v>910</v>
      </c>
    </row>
    <row r="172" spans="1:105" ht="11.45" customHeight="1" x14ac:dyDescent="0.25">
      <c r="A172" s="109" t="s">
        <v>20</v>
      </c>
      <c r="B172" s="116">
        <v>198.06726378356441</v>
      </c>
      <c r="C172" s="116">
        <v>196.29420506733535</v>
      </c>
      <c r="D172" s="116">
        <v>195.56579789790018</v>
      </c>
      <c r="E172" s="116">
        <v>194.77783973048037</v>
      </c>
      <c r="F172" s="116">
        <v>193.95222338324578</v>
      </c>
      <c r="G172" s="116">
        <v>193.46776212681303</v>
      </c>
      <c r="H172" s="116">
        <v>193.41534702446987</v>
      </c>
      <c r="I172" s="116">
        <v>193.56847718649354</v>
      </c>
      <c r="J172" s="116">
        <v>194.80809332352885</v>
      </c>
      <c r="K172" s="116">
        <v>193.69447850428588</v>
      </c>
      <c r="L172" s="116">
        <v>193.09342604291984</v>
      </c>
      <c r="M172" s="116">
        <v>192.04824564615316</v>
      </c>
      <c r="N172" s="116">
        <v>190.65646236593531</v>
      </c>
      <c r="O172" s="116">
        <v>189.18630830337969</v>
      </c>
      <c r="P172" s="116">
        <v>187.71069357733938</v>
      </c>
      <c r="Q172" s="116">
        <v>185.5374929325445</v>
      </c>
      <c r="R172" s="116">
        <v>183.54758282114247</v>
      </c>
      <c r="S172" s="116">
        <v>180.40521787225606</v>
      </c>
      <c r="T172" s="116">
        <v>176.73375265013399</v>
      </c>
      <c r="U172" s="116">
        <v>172.2450101952781</v>
      </c>
      <c r="V172" s="116">
        <v>165.69835003269216</v>
      </c>
      <c r="W172" s="116">
        <v>157.09801366998875</v>
      </c>
      <c r="X172" s="116">
        <v>149.4464453838047</v>
      </c>
      <c r="Y172" s="116">
        <v>147.69431484853246</v>
      </c>
      <c r="DA172" s="176" t="s">
        <v>911</v>
      </c>
    </row>
    <row r="173" spans="1:105" ht="11.45" customHeight="1" x14ac:dyDescent="0.25">
      <c r="A173" s="111" t="s">
        <v>110</v>
      </c>
      <c r="B173" s="87">
        <v>193.7510859800561</v>
      </c>
      <c r="C173" s="87">
        <v>192.62111784150071</v>
      </c>
      <c r="D173" s="87">
        <v>192.00392029380481</v>
      </c>
      <c r="E173" s="87">
        <v>191.27947457916022</v>
      </c>
      <c r="F173" s="87">
        <v>190.55884389632757</v>
      </c>
      <c r="G173" s="87">
        <v>189.82551687901912</v>
      </c>
      <c r="H173" s="87">
        <v>189.04917311020327</v>
      </c>
      <c r="I173" s="87">
        <v>188.30880523872727</v>
      </c>
      <c r="J173" s="87">
        <v>187.66870487208303</v>
      </c>
      <c r="K173" s="87">
        <v>187.18345839923188</v>
      </c>
      <c r="L173" s="87">
        <v>186.46722086695129</v>
      </c>
      <c r="M173" s="87">
        <v>185.44570544948292</v>
      </c>
      <c r="N173" s="87">
        <v>184.42472431445466</v>
      </c>
      <c r="O173" s="87">
        <v>182.98160620101001</v>
      </c>
      <c r="P173" s="87">
        <v>181.56100780069974</v>
      </c>
      <c r="Q173" s="87">
        <v>179.70337221459573</v>
      </c>
      <c r="R173" s="87">
        <v>177.57272697373605</v>
      </c>
      <c r="S173" s="87">
        <v>174.99962061640903</v>
      </c>
      <c r="T173" s="87">
        <v>172.16349348956683</v>
      </c>
      <c r="U173" s="87">
        <v>169.26881471218596</v>
      </c>
      <c r="V173" s="87">
        <v>166.33773069550085</v>
      </c>
      <c r="W173" s="87">
        <v>163.02066586965555</v>
      </c>
      <c r="X173" s="87">
        <v>160.44706920565392</v>
      </c>
      <c r="Y173" s="87">
        <v>158.26119410033104</v>
      </c>
      <c r="DA173" s="171" t="s">
        <v>912</v>
      </c>
    </row>
    <row r="174" spans="1:105" ht="11.45" customHeight="1" x14ac:dyDescent="0.25">
      <c r="A174" s="111" t="s">
        <v>111</v>
      </c>
      <c r="B174" s="87">
        <v>232.4423942571859</v>
      </c>
      <c r="C174" s="87">
        <v>218.27872003048103</v>
      </c>
      <c r="D174" s="87">
        <v>214.76728596982244</v>
      </c>
      <c r="E174" s="87">
        <v>211.87608400721314</v>
      </c>
      <c r="F174" s="87">
        <v>209.47966733823458</v>
      </c>
      <c r="G174" s="87">
        <v>209.00652409290612</v>
      </c>
      <c r="H174" s="87">
        <v>209.25778781257694</v>
      </c>
      <c r="I174" s="87">
        <v>209.63770070497901</v>
      </c>
      <c r="J174" s="87">
        <v>208.06206761493115</v>
      </c>
      <c r="K174" s="87">
        <v>207.21130189391653</v>
      </c>
      <c r="L174" s="87">
        <v>205.94211415124741</v>
      </c>
      <c r="M174" s="87">
        <v>204.53074954371186</v>
      </c>
      <c r="N174" s="87">
        <v>203.13990610702331</v>
      </c>
      <c r="O174" s="87">
        <v>201.08394127249358</v>
      </c>
      <c r="P174" s="87">
        <v>198.50740216827836</v>
      </c>
      <c r="Q174" s="87">
        <v>195.7715310146036</v>
      </c>
      <c r="R174" s="87">
        <v>192.85872294894901</v>
      </c>
      <c r="S174" s="87">
        <v>190.33227198561065</v>
      </c>
      <c r="T174" s="87">
        <v>188.13611049139487</v>
      </c>
      <c r="U174" s="87">
        <v>186.08509629988592</v>
      </c>
      <c r="V174" s="87">
        <v>183.9987423315458</v>
      </c>
      <c r="W174" s="87">
        <v>181.72547266315843</v>
      </c>
      <c r="X174" s="87">
        <v>179.61511035910175</v>
      </c>
      <c r="Y174" s="87">
        <v>178.59005365153325</v>
      </c>
      <c r="DA174" s="171" t="s">
        <v>913</v>
      </c>
    </row>
    <row r="175" spans="1:105" ht="11.45" customHeight="1" x14ac:dyDescent="0.25">
      <c r="A175" s="111" t="s">
        <v>112</v>
      </c>
      <c r="B175" s="87">
        <v>0</v>
      </c>
      <c r="C175" s="87">
        <v>0</v>
      </c>
      <c r="D175" s="87">
        <v>0</v>
      </c>
      <c r="E175" s="87">
        <v>0</v>
      </c>
      <c r="F175" s="87">
        <v>0</v>
      </c>
      <c r="G175" s="87">
        <v>0</v>
      </c>
      <c r="H175" s="87">
        <v>0</v>
      </c>
      <c r="I175" s="87">
        <v>0</v>
      </c>
      <c r="J175" s="87">
        <v>0</v>
      </c>
      <c r="K175" s="87">
        <v>0</v>
      </c>
      <c r="L175" s="87">
        <v>0</v>
      </c>
      <c r="M175" s="87">
        <v>0</v>
      </c>
      <c r="N175" s="87">
        <v>0</v>
      </c>
      <c r="O175" s="87">
        <v>0</v>
      </c>
      <c r="P175" s="87">
        <v>0</v>
      </c>
      <c r="Q175" s="87">
        <v>0</v>
      </c>
      <c r="R175" s="87">
        <v>0</v>
      </c>
      <c r="S175" s="87">
        <v>0</v>
      </c>
      <c r="T175" s="87">
        <v>0</v>
      </c>
      <c r="U175" s="87">
        <v>0</v>
      </c>
      <c r="V175" s="87">
        <v>0</v>
      </c>
      <c r="W175" s="87">
        <v>0</v>
      </c>
      <c r="X175" s="87">
        <v>0</v>
      </c>
      <c r="Y175" s="87">
        <v>0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194.75036511461934</v>
      </c>
      <c r="I176" s="87">
        <v>195.20500233840994</v>
      </c>
      <c r="J176" s="87">
        <v>188.42299593206965</v>
      </c>
      <c r="K176" s="87">
        <v>182.06819389634973</v>
      </c>
      <c r="L176" s="87">
        <v>177.93350528870269</v>
      </c>
      <c r="M176" s="87">
        <v>180.72003488973033</v>
      </c>
      <c r="N176" s="87">
        <v>181.61415826698467</v>
      </c>
      <c r="O176" s="87">
        <v>173.31216905157081</v>
      </c>
      <c r="P176" s="87">
        <v>161.9799982346965</v>
      </c>
      <c r="Q176" s="87">
        <v>152.84686717914519</v>
      </c>
      <c r="R176" s="87">
        <v>145.83882863248587</v>
      </c>
      <c r="S176" s="87">
        <v>133.72821515777278</v>
      </c>
      <c r="T176" s="87">
        <v>130.42010873986553</v>
      </c>
      <c r="U176" s="87">
        <v>123.63776889229065</v>
      </c>
      <c r="V176" s="87">
        <v>120.75436788156499</v>
      </c>
      <c r="W176" s="87">
        <v>119.30995405001434</v>
      </c>
      <c r="X176" s="87">
        <v>117.08858816353175</v>
      </c>
      <c r="Y176" s="87">
        <v>116.52746333193569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53.846562098638472</v>
      </c>
      <c r="O177" s="87">
        <v>55.999344896702659</v>
      </c>
      <c r="P177" s="87">
        <v>58.677003982035714</v>
      </c>
      <c r="Q177" s="87">
        <v>63.257811226154836</v>
      </c>
      <c r="R177" s="87">
        <v>65.889739585252144</v>
      </c>
      <c r="S177" s="87">
        <v>65.537986468541675</v>
      </c>
      <c r="T177" s="87">
        <v>65.460068259064002</v>
      </c>
      <c r="U177" s="87">
        <v>58.905416255779542</v>
      </c>
      <c r="V177" s="87">
        <v>52.671302685874807</v>
      </c>
      <c r="W177" s="87">
        <v>46.707917215761348</v>
      </c>
      <c r="X177" s="87">
        <v>42.745053090359384</v>
      </c>
      <c r="Y177" s="87">
        <v>38.863288619320386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1615.0843643363335</v>
      </c>
      <c r="C179" s="116">
        <v>1589.6957747861175</v>
      </c>
      <c r="D179" s="116">
        <v>1557.7541539336248</v>
      </c>
      <c r="E179" s="116">
        <v>1561.5463007433173</v>
      </c>
      <c r="F179" s="116">
        <v>1549.5033290494614</v>
      </c>
      <c r="G179" s="116">
        <v>1536.5497887207862</v>
      </c>
      <c r="H179" s="116">
        <v>1508.4977813724468</v>
      </c>
      <c r="I179" s="116">
        <v>1510.9482886334495</v>
      </c>
      <c r="J179" s="116">
        <v>1501.8720054148196</v>
      </c>
      <c r="K179" s="116">
        <v>1484.7982861645473</v>
      </c>
      <c r="L179" s="116">
        <v>1472.7096526777011</v>
      </c>
      <c r="M179" s="116">
        <v>1459.8774527798448</v>
      </c>
      <c r="N179" s="116">
        <v>1442.4620004809788</v>
      </c>
      <c r="O179" s="116">
        <v>1431.8464138709812</v>
      </c>
      <c r="P179" s="116">
        <v>1415.9032425106179</v>
      </c>
      <c r="Q179" s="116">
        <v>1409.3584368537372</v>
      </c>
      <c r="R179" s="116">
        <v>1393.2765770167848</v>
      </c>
      <c r="S179" s="116">
        <v>1385.5651134035529</v>
      </c>
      <c r="T179" s="116">
        <v>1377.5566993749078</v>
      </c>
      <c r="U179" s="116">
        <v>1330.5765060351061</v>
      </c>
      <c r="V179" s="116">
        <v>1322.7802842111191</v>
      </c>
      <c r="W179" s="116">
        <v>1163.1582365599627</v>
      </c>
      <c r="X179" s="116">
        <v>1088.529426078343</v>
      </c>
      <c r="Y179" s="116">
        <v>1182.4027203868486</v>
      </c>
      <c r="DA179" s="176" t="s">
        <v>918</v>
      </c>
    </row>
    <row r="180" spans="1:105" ht="11.45" customHeight="1" x14ac:dyDescent="0.25">
      <c r="A180" s="111" t="s">
        <v>110</v>
      </c>
      <c r="B180" s="101">
        <v>500.50322542740713</v>
      </c>
      <c r="C180" s="101">
        <v>489.85899162256078</v>
      </c>
      <c r="D180" s="101">
        <v>489.57004233973407</v>
      </c>
      <c r="E180" s="101">
        <v>489.57004233973407</v>
      </c>
      <c r="F180" s="101">
        <v>487.21560485177378</v>
      </c>
      <c r="G180" s="101">
        <v>480.99054401830421</v>
      </c>
      <c r="H180" s="101">
        <v>480.08528407285917</v>
      </c>
      <c r="I180" s="101">
        <v>478.06574651467071</v>
      </c>
      <c r="J180" s="101">
        <v>477.55989278243516</v>
      </c>
      <c r="K180" s="101">
        <v>467.77051797188983</v>
      </c>
      <c r="L180" s="101">
        <v>463.03701121860229</v>
      </c>
      <c r="M180" s="101">
        <v>462.26766740354731</v>
      </c>
      <c r="N180" s="101">
        <v>462.26766740354725</v>
      </c>
      <c r="O180" s="101">
        <v>462.26766740354719</v>
      </c>
      <c r="P180" s="101">
        <v>462.26766740354736</v>
      </c>
      <c r="Q180" s="101">
        <v>462.26766740354719</v>
      </c>
      <c r="R180" s="101">
        <v>462.26766740354736</v>
      </c>
      <c r="S180" s="101">
        <v>452.17692851026641</v>
      </c>
      <c r="T180" s="101">
        <v>452.17692851026652</v>
      </c>
      <c r="U180" s="101">
        <v>452.17692851026629</v>
      </c>
      <c r="V180" s="101">
        <v>451.22830471007558</v>
      </c>
      <c r="W180" s="101">
        <v>451.22830471007563</v>
      </c>
      <c r="X180" s="101">
        <v>437.32185398025842</v>
      </c>
      <c r="Y180" s="101">
        <v>436.12621902014996</v>
      </c>
      <c r="DA180" s="175" t="s">
        <v>919</v>
      </c>
    </row>
    <row r="181" spans="1:105" ht="11.45" customHeight="1" x14ac:dyDescent="0.25">
      <c r="A181" s="111" t="s">
        <v>111</v>
      </c>
      <c r="B181" s="101">
        <v>1621.003879386926</v>
      </c>
      <c r="C181" s="101">
        <v>1590.6980891856438</v>
      </c>
      <c r="D181" s="101">
        <v>1574.5330358651022</v>
      </c>
      <c r="E181" s="101">
        <v>1557.1146133043067</v>
      </c>
      <c r="F181" s="101">
        <v>1542.5667286486346</v>
      </c>
      <c r="G181" s="101">
        <v>1530.9458626593116</v>
      </c>
      <c r="H181" s="101">
        <v>1520.0769280632762</v>
      </c>
      <c r="I181" s="101">
        <v>1509.9798902872092</v>
      </c>
      <c r="J181" s="101">
        <v>1496.9364942969091</v>
      </c>
      <c r="K181" s="101">
        <v>1483.145361420562</v>
      </c>
      <c r="L181" s="101">
        <v>1469.7746779646584</v>
      </c>
      <c r="M181" s="101">
        <v>1457.3062703638129</v>
      </c>
      <c r="N181" s="101">
        <v>1444.5918495755166</v>
      </c>
      <c r="O181" s="101">
        <v>1431.7114095283243</v>
      </c>
      <c r="P181" s="101">
        <v>1419.7920925149872</v>
      </c>
      <c r="Q181" s="101">
        <v>1409.9658196587359</v>
      </c>
      <c r="R181" s="101">
        <v>1400.6352418059887</v>
      </c>
      <c r="S181" s="101">
        <v>1388.9588462987317</v>
      </c>
      <c r="T181" s="101">
        <v>1375.9239023604407</v>
      </c>
      <c r="U181" s="101">
        <v>1357.668982137486</v>
      </c>
      <c r="V181" s="101">
        <v>1340.1956960890379</v>
      </c>
      <c r="W181" s="101">
        <v>1323.9977340845055</v>
      </c>
      <c r="X181" s="101">
        <v>1299.9538288230569</v>
      </c>
      <c r="Y181" s="101">
        <v>1272.5364775623971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X182" s="101">
        <v>0</v>
      </c>
      <c r="Y182" s="101">
        <v>0</v>
      </c>
      <c r="DA182" s="175" t="s">
        <v>921</v>
      </c>
    </row>
    <row r="183" spans="1:105" ht="11.45" customHeight="1" x14ac:dyDescent="0.25">
      <c r="A183" s="111" t="s">
        <v>113</v>
      </c>
      <c r="B183" s="101">
        <v>1022.6981290329123</v>
      </c>
      <c r="C183" s="101">
        <v>1014.9184105069686</v>
      </c>
      <c r="D183" s="101">
        <v>973.3550079857888</v>
      </c>
      <c r="E183" s="101">
        <v>968.08000344591687</v>
      </c>
      <c r="F183" s="101">
        <v>964.25479607149623</v>
      </c>
      <c r="G183" s="101">
        <v>959.9091869007591</v>
      </c>
      <c r="H183" s="101">
        <v>946.82540471257346</v>
      </c>
      <c r="I183" s="101">
        <v>943.52351174106809</v>
      </c>
      <c r="J183" s="101">
        <v>940.50503022898386</v>
      </c>
      <c r="K183" s="101">
        <v>934.61833631135687</v>
      </c>
      <c r="L183" s="101">
        <v>931.9810178119692</v>
      </c>
      <c r="M183" s="101">
        <v>928.5677059855492</v>
      </c>
      <c r="N183" s="101">
        <v>925.21809128399593</v>
      </c>
      <c r="O183" s="101">
        <v>921.51723636561883</v>
      </c>
      <c r="P183" s="101">
        <v>910.45848515339867</v>
      </c>
      <c r="Q183" s="101">
        <v>904.28944099242335</v>
      </c>
      <c r="R183" s="101">
        <v>903.29757401582367</v>
      </c>
      <c r="S183" s="101">
        <v>897.94343120326425</v>
      </c>
      <c r="T183" s="101">
        <v>891.85135632256231</v>
      </c>
      <c r="U183" s="101">
        <v>881.06031793639181</v>
      </c>
      <c r="V183" s="101">
        <v>861.52068007547496</v>
      </c>
      <c r="W183" s="101">
        <v>857.79312358778543</v>
      </c>
      <c r="X183" s="101">
        <v>850.86896145089531</v>
      </c>
      <c r="Y183" s="101">
        <v>846.557556779572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308.05082533899929</v>
      </c>
      <c r="C186" s="152">
        <v>302.89121430144922</v>
      </c>
      <c r="D186" s="152">
        <v>302.37102200222085</v>
      </c>
      <c r="E186" s="152">
        <v>294.72095273669561</v>
      </c>
      <c r="F186" s="152">
        <v>288.14737912715452</v>
      </c>
      <c r="G186" s="152">
        <v>282.7399204762599</v>
      </c>
      <c r="H186" s="152">
        <v>279.40990748538093</v>
      </c>
      <c r="I186" s="152">
        <v>269.29510287903764</v>
      </c>
      <c r="J186" s="152">
        <v>249.57784406301096</v>
      </c>
      <c r="K186" s="152">
        <v>244.50449975350438</v>
      </c>
      <c r="L186" s="152">
        <v>225.71120553000313</v>
      </c>
      <c r="M186" s="152">
        <v>214.74637150075446</v>
      </c>
      <c r="N186" s="152">
        <v>221.11381492624207</v>
      </c>
      <c r="O186" s="152">
        <v>221.96206950278886</v>
      </c>
      <c r="P186" s="152">
        <v>218.39152794230125</v>
      </c>
      <c r="Q186" s="152">
        <v>220.23184829901376</v>
      </c>
      <c r="R186" s="152">
        <v>216.64870704094633</v>
      </c>
      <c r="S186" s="152">
        <v>213.88174834270683</v>
      </c>
      <c r="T186" s="152">
        <v>222.0547342248735</v>
      </c>
      <c r="U186" s="152">
        <v>221.03601297350249</v>
      </c>
      <c r="V186" s="152">
        <v>236.10405966150032</v>
      </c>
      <c r="W186" s="152">
        <v>235.7751171380572</v>
      </c>
      <c r="X186" s="152">
        <v>235.83999024472502</v>
      </c>
      <c r="Y186" s="152">
        <v>227.025539032247</v>
      </c>
      <c r="DA186" s="174" t="s">
        <v>924</v>
      </c>
    </row>
    <row r="187" spans="1:105" ht="11.45" customHeight="1" x14ac:dyDescent="0.25">
      <c r="A187" s="111" t="s">
        <v>110</v>
      </c>
      <c r="B187" s="87">
        <v>239.906245719624</v>
      </c>
      <c r="C187" s="87">
        <v>239.159285963651</v>
      </c>
      <c r="D187" s="87">
        <v>238.38871116678115</v>
      </c>
      <c r="E187" s="87">
        <v>237.91232842736179</v>
      </c>
      <c r="F187" s="87">
        <v>236.71952186560861</v>
      </c>
      <c r="G187" s="87">
        <v>234.48641216698093</v>
      </c>
      <c r="H187" s="87">
        <v>231.96165172685781</v>
      </c>
      <c r="I187" s="87">
        <v>228.97718046024869</v>
      </c>
      <c r="J187" s="87">
        <v>224.54720375570776</v>
      </c>
      <c r="K187" s="87">
        <v>220.84440633292323</v>
      </c>
      <c r="L187" s="87">
        <v>217.5653410080528</v>
      </c>
      <c r="M187" s="87">
        <v>214.41096730562361</v>
      </c>
      <c r="N187" s="87">
        <v>211.66415786143574</v>
      </c>
      <c r="O187" s="87">
        <v>208.24116318992165</v>
      </c>
      <c r="P187" s="87">
        <v>204.34008880528793</v>
      </c>
      <c r="Q187" s="87">
        <v>201.31230566394473</v>
      </c>
      <c r="R187" s="87">
        <v>196.77009604889247</v>
      </c>
      <c r="S187" s="87">
        <v>192.52648604589609</v>
      </c>
      <c r="T187" s="87">
        <v>188.30503992407063</v>
      </c>
      <c r="U187" s="87">
        <v>183.8339780586999</v>
      </c>
      <c r="V187" s="87">
        <v>178.41980211779318</v>
      </c>
      <c r="W187" s="87">
        <v>173.14133043678302</v>
      </c>
      <c r="X187" s="87">
        <v>168.14343398322615</v>
      </c>
      <c r="Y187" s="87">
        <v>165.59910893252206</v>
      </c>
      <c r="DA187" s="171" t="s">
        <v>925</v>
      </c>
    </row>
    <row r="188" spans="1:105" ht="11.45" customHeight="1" x14ac:dyDescent="0.25">
      <c r="A188" s="111" t="s">
        <v>111</v>
      </c>
      <c r="B188" s="87">
        <v>290.06009069354678</v>
      </c>
      <c r="C188" s="87">
        <v>278.11554694451638</v>
      </c>
      <c r="D188" s="87">
        <v>273.01465991966342</v>
      </c>
      <c r="E188" s="87">
        <v>268.26579259951012</v>
      </c>
      <c r="F188" s="87">
        <v>262.79146021105208</v>
      </c>
      <c r="G188" s="87">
        <v>259.76763682639938</v>
      </c>
      <c r="H188" s="87">
        <v>258.1772986512978</v>
      </c>
      <c r="I188" s="87">
        <v>257.76968953044462</v>
      </c>
      <c r="J188" s="87">
        <v>256.98440805749141</v>
      </c>
      <c r="K188" s="87">
        <v>256.7963853050291</v>
      </c>
      <c r="L188" s="87">
        <v>257.93074107393153</v>
      </c>
      <c r="M188" s="87">
        <v>259.58189105162597</v>
      </c>
      <c r="N188" s="87">
        <v>258.7107683417251</v>
      </c>
      <c r="O188" s="87">
        <v>255.96225283304145</v>
      </c>
      <c r="P188" s="87">
        <v>254.24346995213807</v>
      </c>
      <c r="Q188" s="87">
        <v>251.2665710605182</v>
      </c>
      <c r="R188" s="87">
        <v>247.95163428735549</v>
      </c>
      <c r="S188" s="87">
        <v>243.09047897983152</v>
      </c>
      <c r="T188" s="87">
        <v>238.24492980251117</v>
      </c>
      <c r="U188" s="87">
        <v>233.6843667240116</v>
      </c>
      <c r="V188" s="87">
        <v>229.40088679942738</v>
      </c>
      <c r="W188" s="87">
        <v>225.48452570011023</v>
      </c>
      <c r="X188" s="87">
        <v>220.56846568411206</v>
      </c>
      <c r="Y188" s="87">
        <v>216.1282115827704</v>
      </c>
      <c r="DA188" s="171" t="s">
        <v>926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0</v>
      </c>
      <c r="S189" s="87">
        <v>0</v>
      </c>
      <c r="T189" s="87">
        <v>0</v>
      </c>
      <c r="U189" s="87">
        <v>0</v>
      </c>
      <c r="V189" s="87">
        <v>0</v>
      </c>
      <c r="W189" s="87">
        <v>0</v>
      </c>
      <c r="X189" s="87">
        <v>0</v>
      </c>
      <c r="Y189" s="87">
        <v>0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202.39737111872995</v>
      </c>
      <c r="D190" s="87">
        <v>202.39737111872992</v>
      </c>
      <c r="E190" s="87">
        <v>202.39737111873001</v>
      </c>
      <c r="F190" s="87">
        <v>202.39737111872992</v>
      </c>
      <c r="G190" s="87">
        <v>202.17702410293967</v>
      </c>
      <c r="H190" s="87">
        <v>202.17702410293961</v>
      </c>
      <c r="I190" s="87">
        <v>200.84718053811534</v>
      </c>
      <c r="J190" s="87">
        <v>191.84957753711427</v>
      </c>
      <c r="K190" s="87">
        <v>185.50045416059018</v>
      </c>
      <c r="L190" s="87">
        <v>180.94912350727904</v>
      </c>
      <c r="M190" s="87">
        <v>185.63833482408302</v>
      </c>
      <c r="N190" s="87">
        <v>186.25404676355598</v>
      </c>
      <c r="O190" s="87">
        <v>178.17368305885205</v>
      </c>
      <c r="P190" s="87">
        <v>182.244081588504</v>
      </c>
      <c r="Q190" s="87">
        <v>186.30030950503371</v>
      </c>
      <c r="R190" s="87">
        <v>188.76735405989476</v>
      </c>
      <c r="S190" s="87">
        <v>178.35655083499975</v>
      </c>
      <c r="T190" s="87">
        <v>174.49198351411937</v>
      </c>
      <c r="U190" s="87">
        <v>162.84707138861361</v>
      </c>
      <c r="V190" s="87">
        <v>158.16789651759206</v>
      </c>
      <c r="W190" s="87">
        <v>164.34130858534112</v>
      </c>
      <c r="X190" s="87">
        <v>165.24860090768993</v>
      </c>
      <c r="Y190" s="87">
        <v>165.00688081004824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908.81265348029751</v>
      </c>
      <c r="C192" s="116">
        <v>903.74442361557942</v>
      </c>
      <c r="D192" s="116">
        <v>897.79987969294086</v>
      </c>
      <c r="E192" s="116">
        <v>891.00264688331936</v>
      </c>
      <c r="F192" s="116">
        <v>883.24256803332355</v>
      </c>
      <c r="G192" s="116">
        <v>875.93987620166183</v>
      </c>
      <c r="H192" s="116">
        <v>868.36034386693257</v>
      </c>
      <c r="I192" s="116">
        <v>858.80516078319977</v>
      </c>
      <c r="J192" s="116">
        <v>847.20608303805272</v>
      </c>
      <c r="K192" s="116">
        <v>837.46789887842567</v>
      </c>
      <c r="L192" s="116">
        <v>827.1098172969713</v>
      </c>
      <c r="M192" s="116">
        <v>815.767529223623</v>
      </c>
      <c r="N192" s="116">
        <v>803.17096103292226</v>
      </c>
      <c r="O192" s="116">
        <v>790.19819642268828</v>
      </c>
      <c r="P192" s="116">
        <v>777.56550760195387</v>
      </c>
      <c r="Q192" s="116">
        <v>768.60304573892597</v>
      </c>
      <c r="R192" s="116">
        <v>752.13958863626942</v>
      </c>
      <c r="S192" s="116">
        <v>736.04451605478073</v>
      </c>
      <c r="T192" s="116">
        <v>720.38849628438072</v>
      </c>
      <c r="U192" s="116">
        <v>702.97286712582581</v>
      </c>
      <c r="V192" s="116">
        <v>687.40911981795534</v>
      </c>
      <c r="W192" s="116">
        <v>672.56234696120532</v>
      </c>
      <c r="X192" s="116">
        <v>656.57281714021326</v>
      </c>
      <c r="Y192" s="116">
        <v>640.45280267532394</v>
      </c>
      <c r="DA192" s="176" t="s">
        <v>930</v>
      </c>
    </row>
    <row r="193" spans="1:105" ht="11.45" customHeight="1" x14ac:dyDescent="0.25">
      <c r="A193" s="128" t="s">
        <v>27</v>
      </c>
      <c r="B193" s="101">
        <v>848.0309924374302</v>
      </c>
      <c r="C193" s="101">
        <v>843.30930576074729</v>
      </c>
      <c r="D193" s="101">
        <v>837.78779183133827</v>
      </c>
      <c r="E193" s="101">
        <v>831.51271581523679</v>
      </c>
      <c r="F193" s="101">
        <v>824.17382291397257</v>
      </c>
      <c r="G193" s="101">
        <v>817.41468336545802</v>
      </c>
      <c r="H193" s="101">
        <v>810.34527137905229</v>
      </c>
      <c r="I193" s="101">
        <v>801.490059191363</v>
      </c>
      <c r="J193" s="101">
        <v>790.75107682439568</v>
      </c>
      <c r="K193" s="101">
        <v>781.80007927052736</v>
      </c>
      <c r="L193" s="101">
        <v>771.9732349481767</v>
      </c>
      <c r="M193" s="101">
        <v>762.05146536543521</v>
      </c>
      <c r="N193" s="101">
        <v>750.13502138905392</v>
      </c>
      <c r="O193" s="101">
        <v>738.13207333886862</v>
      </c>
      <c r="P193" s="101">
        <v>726.17003214486431</v>
      </c>
      <c r="Q193" s="101">
        <v>717.71690677541358</v>
      </c>
      <c r="R193" s="101">
        <v>702.47535064780379</v>
      </c>
      <c r="S193" s="101">
        <v>687.41150414914512</v>
      </c>
      <c r="T193" s="101">
        <v>672.71218738010646</v>
      </c>
      <c r="U193" s="101">
        <v>656.57668471272359</v>
      </c>
      <c r="V193" s="101">
        <v>642.00668306671855</v>
      </c>
      <c r="W193" s="101">
        <v>628.00834582454195</v>
      </c>
      <c r="X193" s="101">
        <v>613.04497050351756</v>
      </c>
      <c r="Y193" s="101">
        <v>597.9840074855025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1055.3158948343357</v>
      </c>
      <c r="D194" s="88">
        <v>1045.9857812298762</v>
      </c>
      <c r="E194" s="88">
        <v>1038.6152642890638</v>
      </c>
      <c r="F194" s="88">
        <v>1019.4320058811935</v>
      </c>
      <c r="G194" s="88">
        <v>1011.0513883322703</v>
      </c>
      <c r="H194" s="88">
        <v>1000.0438847137181</v>
      </c>
      <c r="I194" s="88">
        <v>990.65979477897793</v>
      </c>
      <c r="J194" s="88">
        <v>979.94674826688822</v>
      </c>
      <c r="K194" s="88">
        <v>976.38744928161509</v>
      </c>
      <c r="L194" s="88">
        <v>946.84430907325577</v>
      </c>
      <c r="M194" s="88">
        <v>922.07672176074061</v>
      </c>
      <c r="N194" s="88">
        <v>906.03814437996277</v>
      </c>
      <c r="O194" s="88">
        <v>901.79907657379454</v>
      </c>
      <c r="P194" s="88">
        <v>880.55961720175299</v>
      </c>
      <c r="Q194" s="88">
        <v>866.97599659314506</v>
      </c>
      <c r="R194" s="88">
        <v>859.78322947743698</v>
      </c>
      <c r="S194" s="88">
        <v>852.96014891424579</v>
      </c>
      <c r="T194" s="88">
        <v>834.27914462788692</v>
      </c>
      <c r="U194" s="88">
        <v>826.38027760663806</v>
      </c>
      <c r="V194" s="88">
        <v>815.66047267583758</v>
      </c>
      <c r="W194" s="88">
        <v>788.21440912031721</v>
      </c>
      <c r="X194" s="88">
        <v>782.09946770904389</v>
      </c>
      <c r="Y194" s="88">
        <v>777.40006434832583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1.1000000000067303</v>
      </c>
      <c r="C198" s="150">
        <f>IF(TrRoad_act!C59=0,0,TrRoad_emi!C56/TrRoad_tech!C171)</f>
        <v>1.1003338613867673</v>
      </c>
      <c r="D198" s="150">
        <f>IF(TrRoad_act!D59=0,0,TrRoad_emi!D56/TrRoad_tech!D171)</f>
        <v>1.100849039212872</v>
      </c>
      <c r="E198" s="150">
        <f>IF(TrRoad_act!E59=0,0,TrRoad_emi!E56/TrRoad_tech!E171)</f>
        <v>1.1005348981045679</v>
      </c>
      <c r="F198" s="150">
        <f>IF(TrRoad_act!F59=0,0,TrRoad_emi!F56/TrRoad_tech!F171)</f>
        <v>1.1029684519688392</v>
      </c>
      <c r="G198" s="150">
        <f>IF(TrRoad_act!G59=0,0,TrRoad_emi!G56/TrRoad_tech!G171)</f>
        <v>1.1096878607700496</v>
      </c>
      <c r="H198" s="150">
        <f>IF(TrRoad_act!H59=0,0,TrRoad_emi!H56/TrRoad_tech!H171)</f>
        <v>1.1146056022197963</v>
      </c>
      <c r="I198" s="150">
        <f>IF(TrRoad_act!I59=0,0,TrRoad_emi!I56/TrRoad_tech!I171)</f>
        <v>1.1204551485065561</v>
      </c>
      <c r="J198" s="150">
        <f>IF(TrRoad_act!J59=0,0,TrRoad_emi!J56/TrRoad_tech!J171)</f>
        <v>1.0879011060253703</v>
      </c>
      <c r="K198" s="150">
        <f>IF(TrRoad_act!K59=0,0,TrRoad_emi!K56/TrRoad_tech!K171)</f>
        <v>1.0848510691456708</v>
      </c>
      <c r="L198" s="150">
        <f>IF(TrRoad_act!L59=0,0,TrRoad_emi!L56/TrRoad_tech!L171)</f>
        <v>1.0873915273384325</v>
      </c>
      <c r="M198" s="150">
        <f>IF(TrRoad_act!M59=0,0,TrRoad_emi!M56/TrRoad_tech!M171)</f>
        <v>1.0835819365606958</v>
      </c>
      <c r="N198" s="150">
        <f>IF(TrRoad_act!N59=0,0,TrRoad_emi!N56/TrRoad_tech!N171)</f>
        <v>1.0847245122728451</v>
      </c>
      <c r="O198" s="150">
        <f>IF(TrRoad_act!O59=0,0,TrRoad_emi!O56/TrRoad_tech!O171)</f>
        <v>1.1093123360894364</v>
      </c>
      <c r="P198" s="150">
        <f>IF(TrRoad_act!P59=0,0,TrRoad_emi!P56/TrRoad_tech!P171)</f>
        <v>1.1109819347950123</v>
      </c>
      <c r="Q198" s="150">
        <f>IF(TrRoad_act!Q59=0,0,TrRoad_emi!Q56/TrRoad_tech!Q171)</f>
        <v>1.1199660307224377</v>
      </c>
      <c r="R198" s="150">
        <f>IF(TrRoad_act!R59=0,0,TrRoad_emi!R56/TrRoad_tech!R171)</f>
        <v>1.1227758874363638</v>
      </c>
      <c r="S198" s="150">
        <f>IF(TrRoad_act!S59=0,0,TrRoad_emi!S56/TrRoad_tech!S171)</f>
        <v>1.1160800684112842</v>
      </c>
      <c r="T198" s="150">
        <f>IF(TrRoad_act!T59=0,0,TrRoad_emi!T56/TrRoad_tech!T171)</f>
        <v>1.117886445338157</v>
      </c>
      <c r="U198" s="150">
        <f>IF(TrRoad_act!U59=0,0,TrRoad_emi!U56/TrRoad_tech!U171)</f>
        <v>1.1187557053532298</v>
      </c>
      <c r="V198" s="150">
        <f>IF(TrRoad_act!V59=0,0,TrRoad_emi!V56/TrRoad_tech!V171)</f>
        <v>1.1169852661948647</v>
      </c>
      <c r="W198" s="150">
        <f>IF(TrRoad_act!W59=0,0,TrRoad_emi!W56/TrRoad_tech!W171)</f>
        <v>1.1080562021734985</v>
      </c>
      <c r="X198" s="150">
        <f>IF(TrRoad_act!X59=0,0,TrRoad_emi!X56/TrRoad_tech!X171)</f>
        <v>1.1023661266137876</v>
      </c>
      <c r="Y198" s="150">
        <f>IF(TrRoad_act!Y59=0,0,TrRoad_emi!Y56/TrRoad_tech!Y171)</f>
        <v>1.089247018652955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0.94129998688758054</v>
      </c>
      <c r="C199" s="151">
        <f>IF(TrRoad_act!C60=0,0,TrRoad_emi!C57/TrRoad_tech!C172)</f>
        <v>0.93937467189098967</v>
      </c>
      <c r="D199" s="151">
        <f>IF(TrRoad_act!D60=0,0,TrRoad_emi!D57/TrRoad_tech!D172)</f>
        <v>0.94007748510731948</v>
      </c>
      <c r="E199" s="151">
        <f>IF(TrRoad_act!E60=0,0,TrRoad_emi!E57/TrRoad_tech!E172)</f>
        <v>0.93796079722206405</v>
      </c>
      <c r="F199" s="151">
        <f>IF(TrRoad_act!F60=0,0,TrRoad_emi!F57/TrRoad_tech!F172)</f>
        <v>0.9389511858928945</v>
      </c>
      <c r="G199" s="151">
        <f>IF(TrRoad_act!G60=0,0,TrRoad_emi!G57/TrRoad_tech!G172)</f>
        <v>0.93454650294561969</v>
      </c>
      <c r="H199" s="151">
        <f>IF(TrRoad_act!H60=0,0,TrRoad_emi!H57/TrRoad_tech!H172)</f>
        <v>0.94603239686664653</v>
      </c>
      <c r="I199" s="151">
        <f>IF(TrRoad_act!I60=0,0,TrRoad_emi!I57/TrRoad_tech!I172)</f>
        <v>0.95390575920009502</v>
      </c>
      <c r="J199" s="151">
        <f>IF(TrRoad_act!J60=0,0,TrRoad_emi!J57/TrRoad_tech!J172)</f>
        <v>0.90569797758763637</v>
      </c>
      <c r="K199" s="151">
        <f>IF(TrRoad_act!K60=0,0,TrRoad_emi!K57/TrRoad_tech!K172)</f>
        <v>0.88775524454332089</v>
      </c>
      <c r="L199" s="151">
        <f>IF(TrRoad_act!L60=0,0,TrRoad_emi!L57/TrRoad_tech!L172)</f>
        <v>0.89647795244368722</v>
      </c>
      <c r="M199" s="151">
        <f>IF(TrRoad_act!M60=0,0,TrRoad_emi!M57/TrRoad_tech!M172)</f>
        <v>0.89161606235598101</v>
      </c>
      <c r="N199" s="151">
        <f>IF(TrRoad_act!N60=0,0,TrRoad_emi!N57/TrRoad_tech!N172)</f>
        <v>0.89447255738188103</v>
      </c>
      <c r="O199" s="151">
        <f>IF(TrRoad_act!O60=0,0,TrRoad_emi!O57/TrRoad_tech!O172)</f>
        <v>0.90516009219287363</v>
      </c>
      <c r="P199" s="151">
        <f>IF(TrRoad_act!P60=0,0,TrRoad_emi!P57/TrRoad_tech!P172)</f>
        <v>0.84502230924177824</v>
      </c>
      <c r="Q199" s="151">
        <f>IF(TrRoad_act!Q60=0,0,TrRoad_emi!Q57/TrRoad_tech!Q172)</f>
        <v>0.85230040743432334</v>
      </c>
      <c r="R199" s="151">
        <f>IF(TrRoad_act!R60=0,0,TrRoad_emi!R57/TrRoad_tech!R172)</f>
        <v>0.95260455757711238</v>
      </c>
      <c r="S199" s="151">
        <f>IF(TrRoad_act!S60=0,0,TrRoad_emi!S57/TrRoad_tech!S172)</f>
        <v>0.88053323554857166</v>
      </c>
      <c r="T199" s="151">
        <f>IF(TrRoad_act!T60=0,0,TrRoad_emi!T57/TrRoad_tech!T172)</f>
        <v>0.90698337231997772</v>
      </c>
      <c r="U199" s="151">
        <f>IF(TrRoad_act!U60=0,0,TrRoad_emi!U57/TrRoad_tech!U172)</f>
        <v>0.89905135425294991</v>
      </c>
      <c r="V199" s="151">
        <f>IF(TrRoad_act!V60=0,0,TrRoad_emi!V57/TrRoad_tech!V172)</f>
        <v>0.90682933953538336</v>
      </c>
      <c r="W199" s="151">
        <f>IF(TrRoad_act!W60=0,0,TrRoad_emi!W57/TrRoad_tech!W172)</f>
        <v>0.92945372066755627</v>
      </c>
      <c r="X199" s="151">
        <f>IF(TrRoad_act!X60=0,0,TrRoad_emi!X57/TrRoad_tech!X172)</f>
        <v>0.93600626996798741</v>
      </c>
      <c r="Y199" s="151">
        <f>IF(TrRoad_act!Y60=0,0,TrRoad_emi!Y57/TrRoad_tech!Y172)</f>
        <v>0.9194887252188243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0.88844915905968436</v>
      </c>
      <c r="C200" s="91">
        <f>IF(TrRoad_act!C61=0,0,TrRoad_emi!C58/TrRoad_tech!C173)</f>
        <v>0.89125811444278624</v>
      </c>
      <c r="D200" s="91">
        <f>IF(TrRoad_act!D61=0,0,TrRoad_emi!D58/TrRoad_tech!D173)</f>
        <v>0.89228832293444005</v>
      </c>
      <c r="E200" s="91">
        <f>IF(TrRoad_act!E61=0,0,TrRoad_emi!E58/TrRoad_tech!E173)</f>
        <v>0.88667987211168342</v>
      </c>
      <c r="F200" s="91">
        <f>IF(TrRoad_act!F61=0,0,TrRoad_emi!F58/TrRoad_tech!F173)</f>
        <v>0.88500318729255245</v>
      </c>
      <c r="G200" s="91">
        <f>IF(TrRoad_act!G61=0,0,TrRoad_emi!G58/TrRoad_tech!G173)</f>
        <v>0.88303859009523022</v>
      </c>
      <c r="H200" s="91">
        <f>IF(TrRoad_act!H61=0,0,TrRoad_emi!H58/TrRoad_tech!H173)</f>
        <v>0.88669970743762605</v>
      </c>
      <c r="I200" s="91">
        <f>IF(TrRoad_act!I61=0,0,TrRoad_emi!I58/TrRoad_tech!I173)</f>
        <v>0.88664672023532753</v>
      </c>
      <c r="J200" s="91">
        <f>IF(TrRoad_act!J61=0,0,TrRoad_emi!J58/TrRoad_tech!J173)</f>
        <v>0.84323383527141427</v>
      </c>
      <c r="K200" s="91">
        <f>IF(TrRoad_act!K61=0,0,TrRoad_emi!K58/TrRoad_tech!K173)</f>
        <v>0.82366593873783078</v>
      </c>
      <c r="L200" s="91">
        <f>IF(TrRoad_act!L61=0,0,TrRoad_emi!L58/TrRoad_tech!L173)</f>
        <v>0.82483560618003782</v>
      </c>
      <c r="M200" s="91">
        <f>IF(TrRoad_act!M61=0,0,TrRoad_emi!M58/TrRoad_tech!M173)</f>
        <v>0.81614464240037865</v>
      </c>
      <c r="N200" s="91">
        <f>IF(TrRoad_act!N61=0,0,TrRoad_emi!N58/TrRoad_tech!N173)</f>
        <v>0.81470563944831131</v>
      </c>
      <c r="O200" s="91">
        <f>IF(TrRoad_act!O61=0,0,TrRoad_emi!O58/TrRoad_tech!O173)</f>
        <v>0.8469919972021912</v>
      </c>
      <c r="P200" s="91">
        <f>IF(TrRoad_act!P61=0,0,TrRoad_emi!P58/TrRoad_tech!P173)</f>
        <v>0.83386035788915025</v>
      </c>
      <c r="Q200" s="91">
        <f>IF(TrRoad_act!Q61=0,0,TrRoad_emi!Q58/TrRoad_tech!Q173)</f>
        <v>0.84291115379044346</v>
      </c>
      <c r="R200" s="91">
        <f>IF(TrRoad_act!R61=0,0,TrRoad_emi!R58/TrRoad_tech!R173)</f>
        <v>0.90712537440610819</v>
      </c>
      <c r="S200" s="91">
        <f>IF(TrRoad_act!S61=0,0,TrRoad_emi!S58/TrRoad_tech!S173)</f>
        <v>0.85500640773031744</v>
      </c>
      <c r="T200" s="91">
        <f>IF(TrRoad_act!T61=0,0,TrRoad_emi!T58/TrRoad_tech!T173)</f>
        <v>0.86663059113608087</v>
      </c>
      <c r="U200" s="91">
        <f>IF(TrRoad_act!U61=0,0,TrRoad_emi!U58/TrRoad_tech!U173)</f>
        <v>0.86456962727455622</v>
      </c>
      <c r="V200" s="91">
        <f>IF(TrRoad_act!V61=0,0,TrRoad_emi!V58/TrRoad_tech!V173)</f>
        <v>0.84317199034189272</v>
      </c>
      <c r="W200" s="91">
        <f>IF(TrRoad_act!W61=0,0,TrRoad_emi!W58/TrRoad_tech!W173)</f>
        <v>0.88331903325538508</v>
      </c>
      <c r="X200" s="91">
        <f>IF(TrRoad_act!X61=0,0,TrRoad_emi!X58/TrRoad_tech!X173)</f>
        <v>0.84698040642702166</v>
      </c>
      <c r="Y200" s="91">
        <f>IF(TrRoad_act!Y61=0,0,TrRoad_emi!Y58/TrRoad_tech!Y173)</f>
        <v>0.85633654835398765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1.1111447550778268</v>
      </c>
      <c r="C201" s="91">
        <f>IF(TrRoad_act!C62=0,0,TrRoad_emi!C59/TrRoad_tech!C174)</f>
        <v>1.1252285905162105</v>
      </c>
      <c r="D201" s="91">
        <f>IF(TrRoad_act!D62=0,0,TrRoad_emi!D59/TrRoad_tech!D174)</f>
        <v>1.1258540535770882</v>
      </c>
      <c r="E201" s="91">
        <f>IF(TrRoad_act!E62=0,0,TrRoad_emi!E59/TrRoad_tech!E174)</f>
        <v>1.1325088114371047</v>
      </c>
      <c r="F201" s="91">
        <f>IF(TrRoad_act!F62=0,0,TrRoad_emi!F59/TrRoad_tech!F174)</f>
        <v>1.1494115616588936</v>
      </c>
      <c r="G201" s="91">
        <f>IF(TrRoad_act!G62=0,0,TrRoad_emi!G59/TrRoad_tech!G174)</f>
        <v>1.1201575791780123</v>
      </c>
      <c r="H201" s="91">
        <f>IF(TrRoad_act!H62=0,0,TrRoad_emi!H59/TrRoad_tech!H174)</f>
        <v>1.1459892314153599</v>
      </c>
      <c r="I201" s="91">
        <f>IF(TrRoad_act!I62=0,0,TrRoad_emi!I59/TrRoad_tech!I174)</f>
        <v>1.1627785518361571</v>
      </c>
      <c r="J201" s="91">
        <f>IF(TrRoad_act!J62=0,0,TrRoad_emi!J59/TrRoad_tech!J174)</f>
        <v>1.0866853480842693</v>
      </c>
      <c r="K201" s="91">
        <f>IF(TrRoad_act!K62=0,0,TrRoad_emi!K59/TrRoad_tech!K174)</f>
        <v>1.0415460278356716</v>
      </c>
      <c r="L201" s="91">
        <f>IF(TrRoad_act!L62=0,0,TrRoad_emi!L59/TrRoad_tech!L174)</f>
        <v>1.0452046750016617</v>
      </c>
      <c r="M201" s="91">
        <f>IF(TrRoad_act!M62=0,0,TrRoad_emi!M59/TrRoad_tech!M174)</f>
        <v>1.0174172839073992</v>
      </c>
      <c r="N201" s="91">
        <f>IF(TrRoad_act!N62=0,0,TrRoad_emi!N59/TrRoad_tech!N174)</f>
        <v>1.009887241350351</v>
      </c>
      <c r="O201" s="91">
        <f>IF(TrRoad_act!O62=0,0,TrRoad_emi!O59/TrRoad_tech!O174)</f>
        <v>0.98810529004307979</v>
      </c>
      <c r="P201" s="91">
        <f>IF(TrRoad_act!P62=0,0,TrRoad_emi!P59/TrRoad_tech!P174)</f>
        <v>0.85727659641971909</v>
      </c>
      <c r="Q201" s="91">
        <f>IF(TrRoad_act!Q62=0,0,TrRoad_emi!Q59/TrRoad_tech!Q174)</f>
        <v>0.85994956693126268</v>
      </c>
      <c r="R201" s="91">
        <f>IF(TrRoad_act!R62=0,0,TrRoad_emi!R59/TrRoad_tech!R174)</f>
        <v>1.0128404761159437</v>
      </c>
      <c r="S201" s="91">
        <f>IF(TrRoad_act!S62=0,0,TrRoad_emi!S59/TrRoad_tech!S174)</f>
        <v>0.90453429070154601</v>
      </c>
      <c r="T201" s="91">
        <f>IF(TrRoad_act!T62=0,0,TrRoad_emi!T59/TrRoad_tech!T174)</f>
        <v>0.93693503460998839</v>
      </c>
      <c r="U201" s="91">
        <f>IF(TrRoad_act!U62=0,0,TrRoad_emi!U59/TrRoad_tech!U174)</f>
        <v>0.90271410513660544</v>
      </c>
      <c r="V201" s="91">
        <f>IF(TrRoad_act!V62=0,0,TrRoad_emi!V59/TrRoad_tech!V174)</f>
        <v>0.90705505138269149</v>
      </c>
      <c r="W201" s="91">
        <f>IF(TrRoad_act!W62=0,0,TrRoad_emi!W59/TrRoad_tech!W174)</f>
        <v>0.85155890173277748</v>
      </c>
      <c r="X201" s="91">
        <f>IF(TrRoad_act!X62=0,0,TrRoad_emi!X59/TrRoad_tech!X174)</f>
        <v>0.86597932769980657</v>
      </c>
      <c r="Y201" s="91">
        <f>IF(TrRoad_act!Y62=0,0,TrRoad_emi!Y59/TrRoad_tech!Y174)</f>
        <v>0.83767111032440855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0</v>
      </c>
      <c r="D202" s="91">
        <f>IF(TrRoad_act!D63=0,0,TrRoad_emi!D60/TrRoad_tech!D175)</f>
        <v>0</v>
      </c>
      <c r="E202" s="91">
        <f>IF(TrRoad_act!E63=0,0,TrRoad_emi!E60/TrRoad_tech!E175)</f>
        <v>0</v>
      </c>
      <c r="F202" s="91">
        <f>IF(TrRoad_act!F63=0,0,TrRoad_emi!F60/TrRoad_tech!F175)</f>
        <v>0</v>
      </c>
      <c r="G202" s="91">
        <f>IF(TrRoad_act!G63=0,0,TrRoad_emi!G60/TrRoad_tech!G175)</f>
        <v>0</v>
      </c>
      <c r="H202" s="91">
        <f>IF(TrRoad_act!H63=0,0,TrRoad_emi!H60/TrRoad_tech!H175)</f>
        <v>0</v>
      </c>
      <c r="I202" s="91">
        <f>IF(TrRoad_act!I63=0,0,TrRoad_emi!I60/TrRoad_tech!I175)</f>
        <v>0</v>
      </c>
      <c r="J202" s="91">
        <f>IF(TrRoad_act!J63=0,0,TrRoad_emi!J60/TrRoad_tech!J175)</f>
        <v>0</v>
      </c>
      <c r="K202" s="91">
        <f>IF(TrRoad_act!K63=0,0,TrRoad_emi!K60/TrRoad_tech!K175)</f>
        <v>0</v>
      </c>
      <c r="L202" s="91">
        <f>IF(TrRoad_act!L63=0,0,TrRoad_emi!L60/TrRoad_tech!L175)</f>
        <v>0</v>
      </c>
      <c r="M202" s="91">
        <f>IF(TrRoad_act!M63=0,0,TrRoad_emi!M60/TrRoad_tech!M175)</f>
        <v>0</v>
      </c>
      <c r="N202" s="91">
        <f>IF(TrRoad_act!N63=0,0,TrRoad_emi!N60/TrRoad_tech!N175)</f>
        <v>0</v>
      </c>
      <c r="O202" s="91">
        <f>IF(TrRoad_act!O63=0,0,TrRoad_emi!O60/TrRoad_tech!O175)</f>
        <v>0</v>
      </c>
      <c r="P202" s="91">
        <f>IF(TrRoad_act!P63=0,0,TrRoad_emi!P60/TrRoad_tech!P175)</f>
        <v>0</v>
      </c>
      <c r="Q202" s="91">
        <f>IF(TrRoad_act!Q63=0,0,TrRoad_emi!Q60/TrRoad_tech!Q175)</f>
        <v>0</v>
      </c>
      <c r="R202" s="91">
        <f>IF(TrRoad_act!R63=0,0,TrRoad_emi!R60/TrRoad_tech!R175)</f>
        <v>0</v>
      </c>
      <c r="S202" s="91">
        <f>IF(TrRoad_act!S63=0,0,TrRoad_emi!S60/TrRoad_tech!S175)</f>
        <v>0</v>
      </c>
      <c r="T202" s="91">
        <f>IF(TrRoad_act!T63=0,0,TrRoad_emi!T60/TrRoad_tech!T175)</f>
        <v>0</v>
      </c>
      <c r="U202" s="91">
        <f>IF(TrRoad_act!U63=0,0,TrRoad_emi!U60/TrRoad_tech!U175)</f>
        <v>0</v>
      </c>
      <c r="V202" s="91">
        <f>IF(TrRoad_act!V63=0,0,TrRoad_emi!V60/TrRoad_tech!V175)</f>
        <v>0</v>
      </c>
      <c r="W202" s="91">
        <f>IF(TrRoad_act!W63=0,0,TrRoad_emi!W60/TrRoad_tech!W175)</f>
        <v>0</v>
      </c>
      <c r="X202" s="91">
        <f>IF(TrRoad_act!X63=0,0,TrRoad_emi!X60/TrRoad_tech!X175)</f>
        <v>0</v>
      </c>
      <c r="Y202" s="91">
        <f>IF(TrRoad_act!Y63=0,0,TrRoad_emi!Y60/TrRoad_tech!Y175)</f>
        <v>0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1.0400000000040797</v>
      </c>
      <c r="I203" s="91">
        <f>IF(TrRoad_act!I64=0,0,TrRoad_emi!I61/TrRoad_tech!I176)</f>
        <v>1.043242519603899</v>
      </c>
      <c r="J203" s="91">
        <f>IF(TrRoad_act!J64=0,0,TrRoad_emi!J61/TrRoad_tech!J176)</f>
        <v>1.2102935301185938</v>
      </c>
      <c r="K203" s="91">
        <f>IF(TrRoad_act!K64=0,0,TrRoad_emi!K61/TrRoad_tech!K176)</f>
        <v>1.3890042143427594</v>
      </c>
      <c r="L203" s="91">
        <f>IF(TrRoad_act!L64=0,0,TrRoad_emi!L61/TrRoad_tech!L176)</f>
        <v>1.4125089913272764</v>
      </c>
      <c r="M203" s="91">
        <f>IF(TrRoad_act!M64=0,0,TrRoad_emi!M61/TrRoad_tech!M176)</f>
        <v>1.0307820907940215</v>
      </c>
      <c r="N203" s="91">
        <f>IF(TrRoad_act!N64=0,0,TrRoad_emi!N61/TrRoad_tech!N176)</f>
        <v>1.4992479606342153</v>
      </c>
      <c r="O203" s="91">
        <f>IF(TrRoad_act!O64=0,0,TrRoad_emi!O61/TrRoad_tech!O176)</f>
        <v>1.0288691245567947</v>
      </c>
      <c r="P203" s="91">
        <f>IF(TrRoad_act!P64=0,0,TrRoad_emi!P61/TrRoad_tech!P176)</f>
        <v>1.0136868123117027</v>
      </c>
      <c r="Q203" s="91">
        <f>IF(TrRoad_act!Q64=0,0,TrRoad_emi!Q61/TrRoad_tech!Q176)</f>
        <v>1.0131586301108753</v>
      </c>
      <c r="R203" s="91">
        <f>IF(TrRoad_act!R64=0,0,TrRoad_emi!R61/TrRoad_tech!R176)</f>
        <v>1.0153764891534895</v>
      </c>
      <c r="S203" s="91">
        <f>IF(TrRoad_act!S64=0,0,TrRoad_emi!S61/TrRoad_tech!S176)</f>
        <v>1.0154736678386922</v>
      </c>
      <c r="T203" s="91">
        <f>IF(TrRoad_act!T64=0,0,TrRoad_emi!T61/TrRoad_tech!T176)</f>
        <v>1.1178302125216311</v>
      </c>
      <c r="U203" s="91">
        <f>IF(TrRoad_act!U64=0,0,TrRoad_emi!U61/TrRoad_tech!U176)</f>
        <v>1.3911380092390238</v>
      </c>
      <c r="V203" s="91">
        <f>IF(TrRoad_act!V64=0,0,TrRoad_emi!V61/TrRoad_tech!V176)</f>
        <v>1.7018489875363163</v>
      </c>
      <c r="W203" s="91">
        <f>IF(TrRoad_act!W64=0,0,TrRoad_emi!W61/TrRoad_tech!W176)</f>
        <v>1.9601737703285258</v>
      </c>
      <c r="X203" s="91">
        <f>IF(TrRoad_act!X64=0,0,TrRoad_emi!X61/TrRoad_tech!X176)</f>
        <v>2.0887799441681705</v>
      </c>
      <c r="Y203" s="91">
        <f>IF(TrRoad_act!Y64=0,0,TrRoad_emi!Y61/TrRoad_tech!Y176)</f>
        <v>2.320139013387513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0.83792447744363796</v>
      </c>
      <c r="O204" s="91">
        <f>IF(TrRoad_act!O65=0,0,TrRoad_emi!O62/TrRoad_tech!O177)</f>
        <v>0.87223652361400028</v>
      </c>
      <c r="P204" s="91">
        <f>IF(TrRoad_act!P65=0,0,TrRoad_emi!P62/TrRoad_tech!P177)</f>
        <v>0.86066501376114868</v>
      </c>
      <c r="Q204" s="91">
        <f>IF(TrRoad_act!Q65=0,0,TrRoad_emi!Q62/TrRoad_tech!Q177)</f>
        <v>0.87199710336647773</v>
      </c>
      <c r="R204" s="91">
        <f>IF(TrRoad_act!R65=0,0,TrRoad_emi!R62/TrRoad_tech!R177)</f>
        <v>0.94136072460341191</v>
      </c>
      <c r="S204" s="91">
        <f>IF(TrRoad_act!S65=0,0,TrRoad_emi!S62/TrRoad_tech!S177)</f>
        <v>0.88808451730584304</v>
      </c>
      <c r="T204" s="91">
        <f>IF(TrRoad_act!T65=0,0,TrRoad_emi!T62/TrRoad_tech!T177)</f>
        <v>0.90003089487725674</v>
      </c>
      <c r="U204" s="91">
        <f>IF(TrRoad_act!U65=0,0,TrRoad_emi!U62/TrRoad_tech!U177)</f>
        <v>0.89638571211986762</v>
      </c>
      <c r="V204" s="91">
        <f>IF(TrRoad_act!V65=0,0,TrRoad_emi!V62/TrRoad_tech!V177)</f>
        <v>0.87269265710849908</v>
      </c>
      <c r="W204" s="91">
        <f>IF(TrRoad_act!W65=0,0,TrRoad_emi!W62/TrRoad_tech!W177)</f>
        <v>0.91201354617955477</v>
      </c>
      <c r="X204" s="91">
        <f>IF(TrRoad_act!X65=0,0,TrRoad_emi!X62/TrRoad_tech!X177)</f>
        <v>0.87286451833892686</v>
      </c>
      <c r="Y204" s="91">
        <f>IF(TrRoad_act!Y65=0,0,TrRoad_emi!Y62/TrRoad_tech!Y177)</f>
        <v>0.88109854651530783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1.1771439903587688</v>
      </c>
      <c r="C206" s="151">
        <f>IF(TrRoad_act!C67=0,0,TrRoad_emi!C64/TrRoad_tech!C179)</f>
        <v>1.187684783206314</v>
      </c>
      <c r="D206" s="151">
        <f>IF(TrRoad_act!D67=0,0,TrRoad_emi!D64/TrRoad_tech!D179)</f>
        <v>1.1985271741291326</v>
      </c>
      <c r="E206" s="151">
        <f>IF(TrRoad_act!E67=0,0,TrRoad_emi!E64/TrRoad_tech!E179)</f>
        <v>1.1908627472210984</v>
      </c>
      <c r="F206" s="151">
        <f>IF(TrRoad_act!F67=0,0,TrRoad_emi!F64/TrRoad_tech!F179)</f>
        <v>1.2078804325500805</v>
      </c>
      <c r="G206" s="151">
        <f>IF(TrRoad_act!G67=0,0,TrRoad_emi!G64/TrRoad_tech!G179)</f>
        <v>1.1843470768102775</v>
      </c>
      <c r="H206" s="151">
        <f>IF(TrRoad_act!H67=0,0,TrRoad_emi!H64/TrRoad_tech!H179)</f>
        <v>1.2240807520429993</v>
      </c>
      <c r="I206" s="151">
        <f>IF(TrRoad_act!I67=0,0,TrRoad_emi!I64/TrRoad_tech!I179)</f>
        <v>1.2341860152319797</v>
      </c>
      <c r="J206" s="151">
        <f>IF(TrRoad_act!J67=0,0,TrRoad_emi!J64/TrRoad_tech!J179)</f>
        <v>1.1677862331992697</v>
      </c>
      <c r="K206" s="151">
        <f>IF(TrRoad_act!K67=0,0,TrRoad_emi!K64/TrRoad_tech!K179)</f>
        <v>1.133649064562007</v>
      </c>
      <c r="L206" s="151">
        <f>IF(TrRoad_act!L67=0,0,TrRoad_emi!L64/TrRoad_tech!L179)</f>
        <v>1.1438650823474521</v>
      </c>
      <c r="M206" s="151">
        <f>IF(TrRoad_act!M67=0,0,TrRoad_emi!M64/TrRoad_tech!M179)</f>
        <v>1.1176265804085772</v>
      </c>
      <c r="N206" s="151">
        <f>IF(TrRoad_act!N67=0,0,TrRoad_emi!N64/TrRoad_tech!N179)</f>
        <v>1.1277798660534979</v>
      </c>
      <c r="O206" s="151">
        <f>IF(TrRoad_act!O67=0,0,TrRoad_emi!O64/TrRoad_tech!O179)</f>
        <v>1.1063323460678653</v>
      </c>
      <c r="P206" s="151">
        <f>IF(TrRoad_act!P67=0,0,TrRoad_emi!P64/TrRoad_tech!P179)</f>
        <v>0.97327203861903899</v>
      </c>
      <c r="Q206" s="151">
        <f>IF(TrRoad_act!Q67=0,0,TrRoad_emi!Q64/TrRoad_tech!Q179)</f>
        <v>0.98156589578909204</v>
      </c>
      <c r="R206" s="151">
        <f>IF(TrRoad_act!R67=0,0,TrRoad_emi!R64/TrRoad_tech!R179)</f>
        <v>1.1679058479918292</v>
      </c>
      <c r="S206" s="151">
        <f>IF(TrRoad_act!S67=0,0,TrRoad_emi!S64/TrRoad_tech!S179)</f>
        <v>1.0527221895534546</v>
      </c>
      <c r="T206" s="151">
        <f>IF(TrRoad_act!T67=0,0,TrRoad_emi!T64/TrRoad_tech!T179)</f>
        <v>1.0918786539412788</v>
      </c>
      <c r="U206" s="151">
        <f>IF(TrRoad_act!U67=0,0,TrRoad_emi!U64/TrRoad_tech!U179)</f>
        <v>1.0843577034566372</v>
      </c>
      <c r="V206" s="151">
        <f>IF(TrRoad_act!V67=0,0,TrRoad_emi!V64/TrRoad_tech!V179)</f>
        <v>1.0889940389625292</v>
      </c>
      <c r="W206" s="151">
        <f>IF(TrRoad_act!W67=0,0,TrRoad_emi!W64/TrRoad_tech!W179)</f>
        <v>1.1298168382821232</v>
      </c>
      <c r="X206" s="151">
        <f>IF(TrRoad_act!X67=0,0,TrRoad_emi!X64/TrRoad_tech!X179)</f>
        <v>1.1974519418127672</v>
      </c>
      <c r="Y206" s="151">
        <f>IF(TrRoad_act!Y67=0,0,TrRoad_emi!Y64/TrRoad_tech!Y179)</f>
        <v>1.0502022081030482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</v>
      </c>
      <c r="C207" s="93">
        <f>IF(TrRoad_act!C68=0,0,TrRoad_emi!C65/TrRoad_tech!C180)</f>
        <v>1.1005179012980641</v>
      </c>
      <c r="D207" s="93">
        <f>IF(TrRoad_act!D68=0,0,TrRoad_emi!D65/TrRoad_tech!D180)</f>
        <v>1.1001201264401137</v>
      </c>
      <c r="E207" s="93">
        <f>IF(TrRoad_act!E68=0,0,TrRoad_emi!E65/TrRoad_tech!E180)</f>
        <v>1.0980711356580135</v>
      </c>
      <c r="F207" s="93">
        <f>IF(TrRoad_act!F68=0,0,TrRoad_emi!F65/TrRoad_tech!F180)</f>
        <v>1.0988179237901854</v>
      </c>
      <c r="G207" s="93">
        <f>IF(TrRoad_act!G68=0,0,TrRoad_emi!G65/TrRoad_tech!G180)</f>
        <v>1.1056850359339974</v>
      </c>
      <c r="H207" s="93">
        <f>IF(TrRoad_act!H68=0,0,TrRoad_emi!H65/TrRoad_tech!H180)</f>
        <v>1.1055280929788636</v>
      </c>
      <c r="I207" s="93">
        <f>IF(TrRoad_act!I68=0,0,TrRoad_emi!I65/TrRoad_tech!I180)</f>
        <v>1.1073696243373419</v>
      </c>
      <c r="J207" s="93">
        <f>IF(TrRoad_act!J68=0,0,TrRoad_emi!J65/TrRoad_tech!J180)</f>
        <v>1.0681544732933714</v>
      </c>
      <c r="K207" s="93">
        <f>IF(TrRoad_act!K68=0,0,TrRoad_emi!K65/TrRoad_tech!K180)</f>
        <v>1.0654391918104367</v>
      </c>
      <c r="L207" s="93">
        <f>IF(TrRoad_act!L68=0,0,TrRoad_emi!L65/TrRoad_tech!L180)</f>
        <v>1.0649243136111528</v>
      </c>
      <c r="M207" s="93">
        <f>IF(TrRoad_act!M68=0,0,TrRoad_emi!M65/TrRoad_tech!M180)</f>
        <v>1.0548421399577372</v>
      </c>
      <c r="N207" s="93">
        <f>IF(TrRoad_act!N68=0,0,TrRoad_emi!N65/TrRoad_tech!N180)</f>
        <v>1.0499059791052743</v>
      </c>
      <c r="O207" s="93">
        <f>IF(TrRoad_act!O68=0,0,TrRoad_emi!O65/TrRoad_tech!O180)</f>
        <v>1.0690612688149079</v>
      </c>
      <c r="P207" s="93">
        <f>IF(TrRoad_act!P68=0,0,TrRoad_emi!P65/TrRoad_tech!P180)</f>
        <v>1.0649042465415219</v>
      </c>
      <c r="Q207" s="93">
        <f>IF(TrRoad_act!Q68=0,0,TrRoad_emi!Q65/TrRoad_tech!Q180)</f>
        <v>1.0674904791747342</v>
      </c>
      <c r="R207" s="93">
        <f>IF(TrRoad_act!R68=0,0,TrRoad_emi!R65/TrRoad_tech!R180)</f>
        <v>1.0657781554115691</v>
      </c>
      <c r="S207" s="93">
        <f>IF(TrRoad_act!S68=0,0,TrRoad_emi!S65/TrRoad_tech!S180)</f>
        <v>1.0620929466640461</v>
      </c>
      <c r="T207" s="93">
        <f>IF(TrRoad_act!T68=0,0,TrRoad_emi!T65/TrRoad_tech!T180)</f>
        <v>1.0582346387728083</v>
      </c>
      <c r="U207" s="93">
        <f>IF(TrRoad_act!U68=0,0,TrRoad_emi!U65/TrRoad_tech!U180)</f>
        <v>1.0529093987325315</v>
      </c>
      <c r="V207" s="93">
        <f>IF(TrRoad_act!V68=0,0,TrRoad_emi!V65/TrRoad_tech!V180)</f>
        <v>1.0445219390758846</v>
      </c>
      <c r="W207" s="93">
        <f>IF(TrRoad_act!W68=0,0,TrRoad_emi!W65/TrRoad_tech!W180)</f>
        <v>1.0295791157980887</v>
      </c>
      <c r="X207" s="93">
        <f>IF(TrRoad_act!X68=0,0,TrRoad_emi!X65/TrRoad_tech!X180)</f>
        <v>1.0276827353873834</v>
      </c>
      <c r="Y207" s="93">
        <f>IF(TrRoad_act!Y68=0,0,TrRoad_emi!Y65/TrRoad_tech!Y180)</f>
        <v>1.0130315536590677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1.1803013049391768</v>
      </c>
      <c r="C208" s="93">
        <f>IF(TrRoad_act!C69=0,0,TrRoad_emi!C66/TrRoad_tech!C181)</f>
        <v>1.1944228096985912</v>
      </c>
      <c r="D208" s="93">
        <f>IF(TrRoad_act!D69=0,0,TrRoad_emi!D66/TrRoad_tech!D181)</f>
        <v>1.1961895304946888</v>
      </c>
      <c r="E208" s="93">
        <f>IF(TrRoad_act!E69=0,0,TrRoad_emi!E66/TrRoad_tech!E181)</f>
        <v>1.20463690745948</v>
      </c>
      <c r="F208" s="93">
        <f>IF(TrRoad_act!F69=0,0,TrRoad_emi!F66/TrRoad_tech!F181)</f>
        <v>1.223270387273852</v>
      </c>
      <c r="G208" s="93">
        <f>IF(TrRoad_act!G69=0,0,TrRoad_emi!G66/TrRoad_tech!G181)</f>
        <v>1.1979944677083783</v>
      </c>
      <c r="H208" s="93">
        <f>IF(TrRoad_act!H69=0,0,TrRoad_emi!H66/TrRoad_tech!H181)</f>
        <v>1.2266640915680815</v>
      </c>
      <c r="I208" s="93">
        <f>IF(TrRoad_act!I69=0,0,TrRoad_emi!I66/TrRoad_tech!I181)</f>
        <v>1.2478932898007729</v>
      </c>
      <c r="J208" s="93">
        <f>IF(TrRoad_act!J69=0,0,TrRoad_emi!J66/TrRoad_tech!J181)</f>
        <v>1.1791214083416939</v>
      </c>
      <c r="K208" s="93">
        <f>IF(TrRoad_act!K69=0,0,TrRoad_emi!K66/TrRoad_tech!K181)</f>
        <v>1.1391613377553447</v>
      </c>
      <c r="L208" s="93">
        <f>IF(TrRoad_act!L69=0,0,TrRoad_emi!L66/TrRoad_tech!L181)</f>
        <v>1.1499354128406849</v>
      </c>
      <c r="M208" s="93">
        <f>IF(TrRoad_act!M69=0,0,TrRoad_emi!M66/TrRoad_tech!M181)</f>
        <v>1.1272718676405602</v>
      </c>
      <c r="N208" s="93">
        <f>IF(TrRoad_act!N69=0,0,TrRoad_emi!N66/TrRoad_tech!N181)</f>
        <v>1.1287093459649484</v>
      </c>
      <c r="O208" s="93">
        <f>IF(TrRoad_act!O69=0,0,TrRoad_emi!O66/TrRoad_tech!O181)</f>
        <v>1.1132468765307095</v>
      </c>
      <c r="P208" s="93">
        <f>IF(TrRoad_act!P69=0,0,TrRoad_emi!P66/TrRoad_tech!P181)</f>
        <v>0.97594441296067524</v>
      </c>
      <c r="Q208" s="93">
        <f>IF(TrRoad_act!Q69=0,0,TrRoad_emi!Q66/TrRoad_tech!Q181)</f>
        <v>0.98733349577965224</v>
      </c>
      <c r="R208" s="93">
        <f>IF(TrRoad_act!R69=0,0,TrRoad_emi!R66/TrRoad_tech!R181)</f>
        <v>1.1687612368283395</v>
      </c>
      <c r="S208" s="93">
        <f>IF(TrRoad_act!S69=0,0,TrRoad_emi!S66/TrRoad_tech!S181)</f>
        <v>1.0553424314076161</v>
      </c>
      <c r="T208" s="93">
        <f>IF(TrRoad_act!T69=0,0,TrRoad_emi!T66/TrRoad_tech!T181)</f>
        <v>1.0980941926516377</v>
      </c>
      <c r="U208" s="93">
        <f>IF(TrRoad_act!U69=0,0,TrRoad_emi!U66/TrRoad_tech!U181)</f>
        <v>1.0681623429668845</v>
      </c>
      <c r="V208" s="93">
        <f>IF(TrRoad_act!V69=0,0,TrRoad_emi!V66/TrRoad_tech!V181)</f>
        <v>1.080830063451216</v>
      </c>
      <c r="W208" s="93">
        <f>IF(TrRoad_act!W69=0,0,TrRoad_emi!W66/TrRoad_tech!W181)</f>
        <v>1.0112740771908248</v>
      </c>
      <c r="X208" s="93">
        <f>IF(TrRoad_act!X69=0,0,TrRoad_emi!X66/TrRoad_tech!X181)</f>
        <v>1.0398557509596555</v>
      </c>
      <c r="Y208" s="93">
        <f>IF(TrRoad_act!Y69=0,0,TrRoad_emi!Y66/TrRoad_tech!Y181)</f>
        <v>1.016310021749151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X209" s="93">
        <f>IF(TrRoad_act!X70=0,0,TrRoad_emi!X67/TrRoad_tech!X182)</f>
        <v>0</v>
      </c>
      <c r="Y209" s="93">
        <f>IF(TrRoad_act!Y70=0,0,TrRoad_emi!Y67/TrRoad_tech!Y182)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0.98279723467786173</v>
      </c>
      <c r="C210" s="93">
        <f>IF(TrRoad_act!C71=0,0,TrRoad_emi!C68/TrRoad_tech!C183)</f>
        <v>1.0072730413997426</v>
      </c>
      <c r="D210" s="93">
        <f>IF(TrRoad_act!D71=0,0,TrRoad_emi!D68/TrRoad_tech!D183)</f>
        <v>1.0412743067260908</v>
      </c>
      <c r="E210" s="93">
        <f>IF(TrRoad_act!E71=0,0,TrRoad_emi!E68/TrRoad_tech!E183)</f>
        <v>1.0338897519515677</v>
      </c>
      <c r="F210" s="93">
        <f>IF(TrRoad_act!F71=0,0,TrRoad_emi!F68/TrRoad_tech!F183)</f>
        <v>1.0583714151254677</v>
      </c>
      <c r="G210" s="93">
        <f>IF(TrRoad_act!G71=0,0,TrRoad_emi!G68/TrRoad_tech!G183)</f>
        <v>1.0696084281257163</v>
      </c>
      <c r="H210" s="93">
        <f>IF(TrRoad_act!H71=0,0,TrRoad_emi!H68/TrRoad_tech!H183)</f>
        <v>1.0966983244967148</v>
      </c>
      <c r="I210" s="93">
        <f>IF(TrRoad_act!I71=0,0,TrRoad_emi!I68/TrRoad_tech!I183)</f>
        <v>1.0398642272397538</v>
      </c>
      <c r="J210" s="93">
        <f>IF(TrRoad_act!J71=0,0,TrRoad_emi!J68/TrRoad_tech!J183)</f>
        <v>1.3036341726795999</v>
      </c>
      <c r="K210" s="93">
        <f>IF(TrRoad_act!K71=0,0,TrRoad_emi!K68/TrRoad_tech!K183)</f>
        <v>1.4992317680847751</v>
      </c>
      <c r="L210" s="93">
        <f>IF(TrRoad_act!L71=0,0,TrRoad_emi!L68/TrRoad_tech!L183)</f>
        <v>1.5234652506041906</v>
      </c>
      <c r="M210" s="93">
        <f>IF(TrRoad_act!M71=0,0,TrRoad_emi!M68/TrRoad_tech!M183)</f>
        <v>1.004166669391553</v>
      </c>
      <c r="N210" s="93">
        <f>IF(TrRoad_act!N71=0,0,TrRoad_emi!N68/TrRoad_tech!N183)</f>
        <v>1.6118379907261391</v>
      </c>
      <c r="O210" s="93">
        <f>IF(TrRoad_act!O71=0,0,TrRoad_emi!O68/TrRoad_tech!O183)</f>
        <v>0.95824779458807119</v>
      </c>
      <c r="P210" s="93">
        <f>IF(TrRoad_act!P71=0,0,TrRoad_emi!P68/TrRoad_tech!P183)</f>
        <v>0.94564388344001038</v>
      </c>
      <c r="Q210" s="93">
        <f>IF(TrRoad_act!Q71=0,0,TrRoad_emi!Q68/TrRoad_tech!Q183)</f>
        <v>0.83395494347923838</v>
      </c>
      <c r="R210" s="93">
        <f>IF(TrRoad_act!R71=0,0,TrRoad_emi!R68/TrRoad_tech!R183)</f>
        <v>1.0387528040352554</v>
      </c>
      <c r="S210" s="93">
        <f>IF(TrRoad_act!S71=0,0,TrRoad_emi!S68/TrRoad_tech!S183)</f>
        <v>1.1218743425117834</v>
      </c>
      <c r="T210" s="93">
        <f>IF(TrRoad_act!T71=0,0,TrRoad_emi!T68/TrRoad_tech!T183)</f>
        <v>1.2407392075059402</v>
      </c>
      <c r="U210" s="93">
        <f>IF(TrRoad_act!U71=0,0,TrRoad_emi!U68/TrRoad_tech!U183)</f>
        <v>1.5700125354587164</v>
      </c>
      <c r="V210" s="93">
        <f>IF(TrRoad_act!V71=0,0,TrRoad_emi!V68/TrRoad_tech!V183)</f>
        <v>1.9863982908734541</v>
      </c>
      <c r="W210" s="93">
        <f>IF(TrRoad_act!W71=0,0,TrRoad_emi!W68/TrRoad_tech!W183)</f>
        <v>2.3020313252350184</v>
      </c>
      <c r="X210" s="93">
        <f>IF(TrRoad_act!X71=0,0,TrRoad_emi!X68/TrRoad_tech!X183)</f>
        <v>2.481206896239994</v>
      </c>
      <c r="Y210" s="93">
        <f>IF(TrRoad_act!Y71=0,0,TrRoad_emi!Y68/TrRoad_tech!Y183)</f>
        <v>2.7770319012970375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1.078108723053002</v>
      </c>
      <c r="C213" s="150">
        <f>IF(TrRoad_act!C74=0,0,TrRoad_emi!C71/TrRoad_tech!C186)</f>
        <v>1.0676023149648686</v>
      </c>
      <c r="D213" s="150">
        <f>IF(TrRoad_act!D74=0,0,TrRoad_emi!D71/TrRoad_tech!D186)</f>
        <v>1.0533529805288611</v>
      </c>
      <c r="E213" s="150">
        <f>IF(TrRoad_act!E74=0,0,TrRoad_emi!E71/TrRoad_tech!E186)</f>
        <v>1.0698352146617844</v>
      </c>
      <c r="F213" s="150">
        <f>IF(TrRoad_act!F74=0,0,TrRoad_emi!F71/TrRoad_tech!F186)</f>
        <v>1.0881792754320241</v>
      </c>
      <c r="G213" s="150">
        <f>IF(TrRoad_act!G74=0,0,TrRoad_emi!G71/TrRoad_tech!G186)</f>
        <v>1.0753226879546149</v>
      </c>
      <c r="H213" s="150">
        <f>IF(TrRoad_act!H74=0,0,TrRoad_emi!H71/TrRoad_tech!H186)</f>
        <v>1.1029391937871278</v>
      </c>
      <c r="I213" s="150">
        <f>IF(TrRoad_act!I74=0,0,TrRoad_emi!I71/TrRoad_tech!I186)</f>
        <v>1.1581015222817137</v>
      </c>
      <c r="J213" s="150">
        <f>IF(TrRoad_act!J74=0,0,TrRoad_emi!J71/TrRoad_tech!J186)</f>
        <v>1.1775489329747868</v>
      </c>
      <c r="K213" s="150">
        <f>IF(TrRoad_act!K74=0,0,TrRoad_emi!K71/TrRoad_tech!K186)</f>
        <v>1.158510135494712</v>
      </c>
      <c r="L213" s="150">
        <f>IF(TrRoad_act!L74=0,0,TrRoad_emi!L71/TrRoad_tech!L186)</f>
        <v>1.2654285432005321</v>
      </c>
      <c r="M213" s="150">
        <f>IF(TrRoad_act!M74=0,0,TrRoad_emi!M71/TrRoad_tech!M186)</f>
        <v>1.3078544722587264</v>
      </c>
      <c r="N213" s="150">
        <f>IF(TrRoad_act!N74=0,0,TrRoad_emi!N71/TrRoad_tech!N186)</f>
        <v>1.2651339530542396</v>
      </c>
      <c r="O213" s="150">
        <f>IF(TrRoad_act!O74=0,0,TrRoad_emi!O71/TrRoad_tech!O186)</f>
        <v>1.2285780238588555</v>
      </c>
      <c r="P213" s="150">
        <f>IF(TrRoad_act!P74=0,0,TrRoad_emi!P71/TrRoad_tech!P186)</f>
        <v>1.0894675456246519</v>
      </c>
      <c r="Q213" s="150">
        <f>IF(TrRoad_act!Q74=0,0,TrRoad_emi!Q71/TrRoad_tech!Q186)</f>
        <v>1.0773601579320329</v>
      </c>
      <c r="R213" s="150">
        <f>IF(TrRoad_act!R74=0,0,TrRoad_emi!R71/TrRoad_tech!R186)</f>
        <v>1.2725532047380794</v>
      </c>
      <c r="S213" s="150">
        <f>IF(TrRoad_act!S74=0,0,TrRoad_emi!S71/TrRoad_tech!S186)</f>
        <v>1.1466450683325591</v>
      </c>
      <c r="T213" s="150">
        <f>IF(TrRoad_act!T74=0,0,TrRoad_emi!T71/TrRoad_tech!T186)</f>
        <v>1.1265524620000733</v>
      </c>
      <c r="U213" s="150">
        <f>IF(TrRoad_act!U74=0,0,TrRoad_emi!U71/TrRoad_tech!U186)</f>
        <v>1.0834640423216439</v>
      </c>
      <c r="V213" s="150">
        <f>IF(TrRoad_act!V74=0,0,TrRoad_emi!V71/TrRoad_tech!V186)</f>
        <v>1.0119149951868684</v>
      </c>
      <c r="W213" s="150">
        <f>IF(TrRoad_act!W74=0,0,TrRoad_emi!W71/TrRoad_tech!W186)</f>
        <v>0.93462511505201806</v>
      </c>
      <c r="X213" s="150">
        <f>IF(TrRoad_act!X74=0,0,TrRoad_emi!X71/TrRoad_tech!X186)</f>
        <v>0.943452698492386</v>
      </c>
      <c r="Y213" s="150">
        <f>IF(TrRoad_act!Y74=0,0,TrRoad_emi!Y71/TrRoad_tech!Y186)</f>
        <v>0.94234612756429759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1.1000011114943682</v>
      </c>
      <c r="D214" s="91">
        <f>IF(TrRoad_act!D75=0,0,TrRoad_emi!D72/TrRoad_tech!D187)</f>
        <v>1.0995924708259734</v>
      </c>
      <c r="E214" s="91">
        <f>IF(TrRoad_act!E75=0,0,TrRoad_emi!E72/TrRoad_tech!E187)</f>
        <v>1.0975476373861395</v>
      </c>
      <c r="F214" s="91">
        <f>IF(TrRoad_act!F75=0,0,TrRoad_emi!F72/TrRoad_tech!F187)</f>
        <v>1.097203266882891</v>
      </c>
      <c r="G214" s="91">
        <f>IF(TrRoad_act!G75=0,0,TrRoad_emi!G72/TrRoad_tech!G187)</f>
        <v>1.1000566466962085</v>
      </c>
      <c r="H214" s="91">
        <f>IF(TrRoad_act!H75=0,0,TrRoad_emi!H72/TrRoad_tech!H187)</f>
        <v>1.0999499786714204</v>
      </c>
      <c r="I214" s="91">
        <f>IF(TrRoad_act!I75=0,0,TrRoad_emi!I72/TrRoad_tech!I187)</f>
        <v>1.100393878355937</v>
      </c>
      <c r="J214" s="91">
        <f>IF(TrRoad_act!J75=0,0,TrRoad_emi!J72/TrRoad_tech!J187)</f>
        <v>1.0633927586411929</v>
      </c>
      <c r="K214" s="91">
        <f>IF(TrRoad_act!K75=0,0,TrRoad_emi!K72/TrRoad_tech!K187)</f>
        <v>1.0571915301181691</v>
      </c>
      <c r="L214" s="91">
        <f>IF(TrRoad_act!L75=0,0,TrRoad_emi!L72/TrRoad_tech!L187)</f>
        <v>1.057180750213697</v>
      </c>
      <c r="M214" s="91">
        <f>IF(TrRoad_act!M75=0,0,TrRoad_emi!M72/TrRoad_tech!M187)</f>
        <v>1.0514013215426283</v>
      </c>
      <c r="N214" s="91">
        <f>IF(TrRoad_act!N75=0,0,TrRoad_emi!N72/TrRoad_tech!N187)</f>
        <v>1.0519690396083954</v>
      </c>
      <c r="O214" s="91">
        <f>IF(TrRoad_act!O75=0,0,TrRoad_emi!O72/TrRoad_tech!O187)</f>
        <v>1.0761957831234072</v>
      </c>
      <c r="P214" s="91">
        <f>IF(TrRoad_act!P75=0,0,TrRoad_emi!P72/TrRoad_tech!P187)</f>
        <v>1.0783264712189886</v>
      </c>
      <c r="Q214" s="91">
        <f>IF(TrRoad_act!Q75=0,0,TrRoad_emi!Q72/TrRoad_tech!Q187)</f>
        <v>1.0874838336076298</v>
      </c>
      <c r="R214" s="91">
        <f>IF(TrRoad_act!R75=0,0,TrRoad_emi!R72/TrRoad_tech!R187)</f>
        <v>1.0938596718622775</v>
      </c>
      <c r="S214" s="91">
        <f>IF(TrRoad_act!S75=0,0,TrRoad_emi!S72/TrRoad_tech!S187)</f>
        <v>1.0902603770765693</v>
      </c>
      <c r="T214" s="91">
        <f>IF(TrRoad_act!T75=0,0,TrRoad_emi!T72/TrRoad_tech!T187)</f>
        <v>1.0945488036628119</v>
      </c>
      <c r="U214" s="91">
        <f>IF(TrRoad_act!U75=0,0,TrRoad_emi!U72/TrRoad_tech!U187)</f>
        <v>1.0999436627394321</v>
      </c>
      <c r="V214" s="91">
        <f>IF(TrRoad_act!V75=0,0,TrRoad_emi!V72/TrRoad_tech!V187)</f>
        <v>1.1020921347957437</v>
      </c>
      <c r="W214" s="91">
        <f>IF(TrRoad_act!W75=0,0,TrRoad_emi!W72/TrRoad_tech!W187)</f>
        <v>1.0987395280308228</v>
      </c>
      <c r="X214" s="91">
        <f>IF(TrRoad_act!X75=0,0,TrRoad_emi!X72/TrRoad_tech!X187)</f>
        <v>1.1004294016649367</v>
      </c>
      <c r="Y214" s="91">
        <f>IF(TrRoad_act!Y75=0,0,TrRoad_emi!Y72/TrRoad_tech!Y187)</f>
        <v>1.095298095338654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1.1752824733808989</v>
      </c>
      <c r="C215" s="91">
        <f>IF(TrRoad_act!C76=0,0,TrRoad_emi!C73/TrRoad_tech!C188)</f>
        <v>1.1882713729041274</v>
      </c>
      <c r="D215" s="91">
        <f>IF(TrRoad_act!D76=0,0,TrRoad_emi!D73/TrRoad_tech!D188)</f>
        <v>1.1890306012681422</v>
      </c>
      <c r="E215" s="91">
        <f>IF(TrRoad_act!E76=0,0,TrRoad_emi!E73/TrRoad_tech!E188)</f>
        <v>1.1952112571752782</v>
      </c>
      <c r="F215" s="91">
        <f>IF(TrRoad_act!F76=0,0,TrRoad_emi!F73/TrRoad_tech!F188)</f>
        <v>1.2105284980876205</v>
      </c>
      <c r="G215" s="91">
        <f>IF(TrRoad_act!G76=0,0,TrRoad_emi!G73/TrRoad_tech!G188)</f>
        <v>1.1844295587384375</v>
      </c>
      <c r="H215" s="91">
        <f>IF(TrRoad_act!H76=0,0,TrRoad_emi!H73/TrRoad_tech!H188)</f>
        <v>1.2083497163250989</v>
      </c>
      <c r="I215" s="91">
        <f>IF(TrRoad_act!I76=0,0,TrRoad_emi!I73/TrRoad_tech!I188)</f>
        <v>1.2248774141087742</v>
      </c>
      <c r="J215" s="91">
        <f>IF(TrRoad_act!J76=0,0,TrRoad_emi!J73/TrRoad_tech!J188)</f>
        <v>1.156467910408512</v>
      </c>
      <c r="K215" s="91">
        <f>IF(TrRoad_act!K76=0,0,TrRoad_emi!K73/TrRoad_tech!K188)</f>
        <v>1.1140785605399954</v>
      </c>
      <c r="L215" s="91">
        <f>IF(TrRoad_act!L76=0,0,TrRoad_emi!L73/TrRoad_tech!L188)</f>
        <v>1.1189716534275427</v>
      </c>
      <c r="M215" s="91">
        <f>IF(TrRoad_act!M76=0,0,TrRoad_emi!M73/TrRoad_tech!M188)</f>
        <v>1.0928365047770481</v>
      </c>
      <c r="N215" s="91">
        <f>IF(TrRoad_act!N76=0,0,TrRoad_emi!N73/TrRoad_tech!N188)</f>
        <v>1.0919660864882821</v>
      </c>
      <c r="O215" s="91">
        <f>IF(TrRoad_act!O76=0,0,TrRoad_emi!O73/TrRoad_tech!O188)</f>
        <v>1.0740815358115847</v>
      </c>
      <c r="P215" s="91">
        <f>IF(TrRoad_act!P76=0,0,TrRoad_emi!P73/TrRoad_tech!P188)</f>
        <v>0.93902776433785784</v>
      </c>
      <c r="Q215" s="91">
        <f>IF(TrRoad_act!Q76=0,0,TrRoad_emi!Q73/TrRoad_tech!Q188)</f>
        <v>0.94756297210742835</v>
      </c>
      <c r="R215" s="91">
        <f>IF(TrRoad_act!R76=0,0,TrRoad_emi!R73/TrRoad_tech!R188)</f>
        <v>1.1219034530498704</v>
      </c>
      <c r="S215" s="91">
        <f>IF(TrRoad_act!S76=0,0,TrRoad_emi!S73/TrRoad_tech!S188)</f>
        <v>1.0147867844440439</v>
      </c>
      <c r="T215" s="91">
        <f>IF(TrRoad_act!T76=0,0,TrRoad_emi!T73/TrRoad_tech!T188)</f>
        <v>1.0571645172737807</v>
      </c>
      <c r="U215" s="91">
        <f>IF(TrRoad_act!U76=0,0,TrRoad_emi!U73/TrRoad_tech!U188)</f>
        <v>1.0307240355080836</v>
      </c>
      <c r="V215" s="91">
        <f>IF(TrRoad_act!V76=0,0,TrRoad_emi!V73/TrRoad_tech!V188)</f>
        <v>1.0477418948621895</v>
      </c>
      <c r="W215" s="91">
        <f>IF(TrRoad_act!W76=0,0,TrRoad_emi!W73/TrRoad_tech!W188)</f>
        <v>0.98167829955876051</v>
      </c>
      <c r="X215" s="91">
        <f>IF(TrRoad_act!X76=0,0,TrRoad_emi!X73/TrRoad_tech!X188)</f>
        <v>1.0148698043642319</v>
      </c>
      <c r="Y215" s="91">
        <f>IF(TrRoad_act!Y76=0,0,TrRoad_emi!Y73/TrRoad_tech!Y188)</f>
        <v>0.99679364657809633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0</v>
      </c>
      <c r="S216" s="91">
        <f>IF(TrRoad_act!S77=0,0,TrRoad_emi!S74/TrRoad_tech!S189)</f>
        <v>0</v>
      </c>
      <c r="T216" s="91">
        <f>IF(TrRoad_act!T77=0,0,TrRoad_emi!T74/TrRoad_tech!T189)</f>
        <v>0</v>
      </c>
      <c r="U216" s="91">
        <f>IF(TrRoad_act!U77=0,0,TrRoad_emi!U74/TrRoad_tech!U189)</f>
        <v>0</v>
      </c>
      <c r="V216" s="91">
        <f>IF(TrRoad_act!V77=0,0,TrRoad_emi!V74/TrRoad_tech!V189)</f>
        <v>0</v>
      </c>
      <c r="W216" s="91">
        <f>IF(TrRoad_act!W77=0,0,TrRoad_emi!W74/TrRoad_tech!W189)</f>
        <v>0</v>
      </c>
      <c r="X216" s="91">
        <f>IF(TrRoad_act!X77=0,0,TrRoad_emi!X74/TrRoad_tech!X189)</f>
        <v>0</v>
      </c>
      <c r="Y216" s="91">
        <f>IF(TrRoad_act!Y77=0,0,TrRoad_emi!Y74/TrRoad_tech!Y189)</f>
        <v>0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1.1040000000061807</v>
      </c>
      <c r="D217" s="91">
        <f>IF(TrRoad_act!D78=0,0,TrRoad_emi!D75/TrRoad_tech!D190)</f>
        <v>1.1040000000061809</v>
      </c>
      <c r="E217" s="91">
        <f>IF(TrRoad_act!E78=0,0,TrRoad_emi!E75/TrRoad_tech!E190)</f>
        <v>1.1040000000061809</v>
      </c>
      <c r="F217" s="91">
        <f>IF(TrRoad_act!F78=0,0,TrRoad_emi!F75/TrRoad_tech!F190)</f>
        <v>1.1040000000061814</v>
      </c>
      <c r="G217" s="91">
        <f>IF(TrRoad_act!G78=0,0,TrRoad_emi!G75/TrRoad_tech!G190)</f>
        <v>1.112148795746289</v>
      </c>
      <c r="H217" s="91">
        <f>IF(TrRoad_act!H78=0,0,TrRoad_emi!H75/TrRoad_tech!H190)</f>
        <v>1.1121487957462892</v>
      </c>
      <c r="I217" s="91">
        <f>IF(TrRoad_act!I78=0,0,TrRoad_emi!I75/TrRoad_tech!I190)</f>
        <v>1.1417560431963776</v>
      </c>
      <c r="J217" s="91">
        <f>IF(TrRoad_act!J78=0,0,TrRoad_emi!J75/TrRoad_tech!J190)</f>
        <v>1.3466443018976153</v>
      </c>
      <c r="K217" s="91">
        <f>IF(TrRoad_act!K78=0,0,TrRoad_emi!K75/TrRoad_tech!K190)</f>
        <v>1.5545281584839554</v>
      </c>
      <c r="L217" s="91">
        <f>IF(TrRoad_act!L78=0,0,TrRoad_emi!L75/TrRoad_tech!L190)</f>
        <v>1.5884811515478057</v>
      </c>
      <c r="M217" s="91">
        <f>IF(TrRoad_act!M78=0,0,TrRoad_emi!M75/TrRoad_tech!M190)</f>
        <v>1.1692576552698599</v>
      </c>
      <c r="N217" s="91">
        <f>IF(TrRoad_act!N78=0,0,TrRoad_emi!N75/TrRoad_tech!N190)</f>
        <v>1.7106111755939983</v>
      </c>
      <c r="O217" s="91">
        <f>IF(TrRoad_act!O78=0,0,TrRoad_emi!O75/TrRoad_tech!O190)</f>
        <v>1.1872248714786406</v>
      </c>
      <c r="P217" s="91">
        <f>IF(TrRoad_act!P78=0,0,TrRoad_emi!P75/TrRoad_tech!P190)</f>
        <v>1.1776898792709791</v>
      </c>
      <c r="Q217" s="91">
        <f>IF(TrRoad_act!Q78=0,0,TrRoad_emi!Q75/TrRoad_tech!Q190)</f>
        <v>1.1858294252331261</v>
      </c>
      <c r="R217" s="91">
        <f>IF(TrRoad_act!R78=0,0,TrRoad_emi!R75/TrRoad_tech!R190)</f>
        <v>1.1988658042177101</v>
      </c>
      <c r="S217" s="91">
        <f>IF(TrRoad_act!S78=0,0,TrRoad_emi!S75/TrRoad_tech!S190)</f>
        <v>1.2106926312889921</v>
      </c>
      <c r="T217" s="91">
        <f>IF(TrRoad_act!T78=0,0,TrRoad_emi!T75/TrRoad_tech!T190)</f>
        <v>1.3426394100205334</v>
      </c>
      <c r="U217" s="91">
        <f>IF(TrRoad_act!U78=0,0,TrRoad_emi!U75/TrRoad_tech!U190)</f>
        <v>1.6788392493303486</v>
      </c>
      <c r="V217" s="91">
        <f>IF(TrRoad_act!V78=0,0,TrRoad_emi!V75/TrRoad_tech!V190)</f>
        <v>2.0625424815235429</v>
      </c>
      <c r="W217" s="91">
        <f>IF(TrRoad_act!W78=0,0,TrRoad_emi!W75/TrRoad_tech!W190)</f>
        <v>2.3817809061786184</v>
      </c>
      <c r="X217" s="91">
        <f>IF(TrRoad_act!X78=0,0,TrRoad_emi!X75/TrRoad_tech!X190)</f>
        <v>2.5412201270539843</v>
      </c>
      <c r="Y217" s="91">
        <f>IF(TrRoad_act!Y78=0,0,TrRoad_emi!Y75/TrRoad_tech!Y190)</f>
        <v>2.8235446291671091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1.228986937764079</v>
      </c>
      <c r="C219" s="151">
        <f>IF(TrRoad_act!C80=0,0,TrRoad_emi!C77/TrRoad_tech!C192)</f>
        <v>1.2499776478962006</v>
      </c>
      <c r="D219" s="151">
        <f>IF(TrRoad_act!D80=0,0,TrRoad_emi!D77/TrRoad_tech!D192)</f>
        <v>1.2519959988238494</v>
      </c>
      <c r="E219" s="151">
        <f>IF(TrRoad_act!E80=0,0,TrRoad_emi!E77/TrRoad_tech!E192)</f>
        <v>1.2640968109952544</v>
      </c>
      <c r="F219" s="151">
        <f>IF(TrRoad_act!F80=0,0,TrRoad_emi!F77/TrRoad_tech!F192)</f>
        <v>1.2924948538542225</v>
      </c>
      <c r="G219" s="151">
        <f>IF(TrRoad_act!G80=0,0,TrRoad_emi!G77/TrRoad_tech!G192)</f>
        <v>1.2510965861455641</v>
      </c>
      <c r="H219" s="151">
        <f>IF(TrRoad_act!H80=0,0,TrRoad_emi!H77/TrRoad_tech!H192)</f>
        <v>1.2966348817878337</v>
      </c>
      <c r="I219" s="151">
        <f>IF(TrRoad_act!I80=0,0,TrRoad_emi!I77/TrRoad_tech!I192)</f>
        <v>1.330061072810335</v>
      </c>
      <c r="J219" s="151">
        <f>IF(TrRoad_act!J80=0,0,TrRoad_emi!J77/TrRoad_tech!J192)</f>
        <v>1.217351038172247</v>
      </c>
      <c r="K219" s="151">
        <f>IF(TrRoad_act!K80=0,0,TrRoad_emi!K77/TrRoad_tech!K192)</f>
        <v>1.1632412260506821</v>
      </c>
      <c r="L219" s="151">
        <f>IF(TrRoad_act!L80=0,0,TrRoad_emi!L77/TrRoad_tech!L192)</f>
        <v>1.1748036734902678</v>
      </c>
      <c r="M219" s="151">
        <f>IF(TrRoad_act!M80=0,0,TrRoad_emi!M77/TrRoad_tech!M192)</f>
        <v>1.1426687930646275</v>
      </c>
      <c r="N219" s="151">
        <f>IF(TrRoad_act!N80=0,0,TrRoad_emi!N77/TrRoad_tech!N192)</f>
        <v>1.1376484139562266</v>
      </c>
      <c r="O219" s="151">
        <f>IF(TrRoad_act!O80=0,0,TrRoad_emi!O77/TrRoad_tech!O192)</f>
        <v>1.1199908057804915</v>
      </c>
      <c r="P219" s="151">
        <f>IF(TrRoad_act!P80=0,0,TrRoad_emi!P77/TrRoad_tech!P192)</f>
        <v>0.97093136464672636</v>
      </c>
      <c r="Q219" s="151">
        <f>IF(TrRoad_act!Q80=0,0,TrRoad_emi!Q77/TrRoad_tech!Q192)</f>
        <v>0.98325551007540246</v>
      </c>
      <c r="R219" s="151">
        <f>IF(TrRoad_act!R80=0,0,TrRoad_emi!R77/TrRoad_tech!R192)</f>
        <v>1.1737481981592475</v>
      </c>
      <c r="S219" s="151">
        <f>IF(TrRoad_act!S80=0,0,TrRoad_emi!S77/TrRoad_tech!S192)</f>
        <v>1.0354147270721743</v>
      </c>
      <c r="T219" s="151">
        <f>IF(TrRoad_act!T80=0,0,TrRoad_emi!T77/TrRoad_tech!T192)</f>
        <v>1.0988518022036851</v>
      </c>
      <c r="U219" s="151">
        <f>IF(TrRoad_act!U80=0,0,TrRoad_emi!U77/TrRoad_tech!U192)</f>
        <v>1.0594396349033048</v>
      </c>
      <c r="V219" s="151">
        <f>IF(TrRoad_act!V80=0,0,TrRoad_emi!V77/TrRoad_tech!V192)</f>
        <v>1.0709686712102162</v>
      </c>
      <c r="W219" s="151">
        <f>IF(TrRoad_act!W80=0,0,TrRoad_emi!W77/TrRoad_tech!W192)</f>
        <v>1.0568947654954008</v>
      </c>
      <c r="X219" s="151">
        <f>IF(TrRoad_act!X80=0,0,TrRoad_emi!X77/TrRoad_tech!X192)</f>
        <v>1.0575674687055567</v>
      </c>
      <c r="Y219" s="151">
        <f>IF(TrRoad_act!Y80=0,0,TrRoad_emi!Y77/TrRoad_tech!Y192)</f>
        <v>1.0176465759553546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1.2960745701084331</v>
      </c>
      <c r="C220" s="93">
        <f>IF(TrRoad_act!C81=0,0,TrRoad_emi!C78/TrRoad_tech!C193)</f>
        <v>1.316117186011722</v>
      </c>
      <c r="D220" s="93">
        <f>IF(TrRoad_act!D81=0,0,TrRoad_emi!D78/TrRoad_tech!D193)</f>
        <v>1.3179849398380179</v>
      </c>
      <c r="E220" s="93">
        <f>IF(TrRoad_act!E81=0,0,TrRoad_emi!E78/TrRoad_tech!E193)</f>
        <v>1.329536450702488</v>
      </c>
      <c r="F220" s="93">
        <f>IF(TrRoad_act!F81=0,0,TrRoad_emi!F78/TrRoad_tech!F193)</f>
        <v>1.3562269521505819</v>
      </c>
      <c r="G220" s="93">
        <f>IF(TrRoad_act!G81=0,0,TrRoad_emi!G78/TrRoad_tech!G193)</f>
        <v>1.3167779388678955</v>
      </c>
      <c r="H220" s="93">
        <f>IF(TrRoad_act!H81=0,0,TrRoad_emi!H78/TrRoad_tech!H193)</f>
        <v>1.3599215024532951</v>
      </c>
      <c r="I220" s="93">
        <f>IF(TrRoad_act!I81=0,0,TrRoad_emi!I78/TrRoad_tech!I193)</f>
        <v>1.3921080184241472</v>
      </c>
      <c r="J220" s="93">
        <f>IF(TrRoad_act!J81=0,0,TrRoad_emi!J78/TrRoad_tech!J193)</f>
        <v>1.2843575403400769</v>
      </c>
      <c r="K220" s="93">
        <f>IF(TrRoad_act!K81=0,0,TrRoad_emi!K78/TrRoad_tech!K193)</f>
        <v>1.2297908366608707</v>
      </c>
      <c r="L220" s="93">
        <f>IF(TrRoad_act!L81=0,0,TrRoad_emi!L78/TrRoad_tech!L193)</f>
        <v>1.2406915804885847</v>
      </c>
      <c r="M220" s="93">
        <f>IF(TrRoad_act!M81=0,0,TrRoad_emi!M78/TrRoad_tech!M193)</f>
        <v>1.2111525015990909</v>
      </c>
      <c r="N220" s="93">
        <f>IF(TrRoad_act!N81=0,0,TrRoad_emi!N78/TrRoad_tech!N193)</f>
        <v>1.2051615771831987</v>
      </c>
      <c r="O220" s="93">
        <f>IF(TrRoad_act!O81=0,0,TrRoad_emi!O78/TrRoad_tech!O193)</f>
        <v>1.187616500911258</v>
      </c>
      <c r="P220" s="93">
        <f>IF(TrRoad_act!P81=0,0,TrRoad_emi!P78/TrRoad_tech!P193)</f>
        <v>1.0294753883982133</v>
      </c>
      <c r="Q220" s="93">
        <f>IF(TrRoad_act!Q81=0,0,TrRoad_emi!Q78/TrRoad_tech!Q193)</f>
        <v>1.039491672438454</v>
      </c>
      <c r="R220" s="93">
        <f>IF(TrRoad_act!R81=0,0,TrRoad_emi!R78/TrRoad_tech!R193)</f>
        <v>1.2422750177546462</v>
      </c>
      <c r="S220" s="93">
        <f>IF(TrRoad_act!S81=0,0,TrRoad_emi!S78/TrRoad_tech!S193)</f>
        <v>1.1017558204651683</v>
      </c>
      <c r="T220" s="93">
        <f>IF(TrRoad_act!T81=0,0,TrRoad_emi!T78/TrRoad_tech!T193)</f>
        <v>1.163391214247476</v>
      </c>
      <c r="U220" s="93">
        <f>IF(TrRoad_act!U81=0,0,TrRoad_emi!U78/TrRoad_tech!U193)</f>
        <v>1.1253829448603865</v>
      </c>
      <c r="V220" s="93">
        <f>IF(TrRoad_act!V81=0,0,TrRoad_emi!V78/TrRoad_tech!V193)</f>
        <v>1.1375820087219115</v>
      </c>
      <c r="W220" s="93">
        <f>IF(TrRoad_act!W81=0,0,TrRoad_emi!W78/TrRoad_tech!W193)</f>
        <v>1.1094114849118164</v>
      </c>
      <c r="X220" s="93">
        <f>IF(TrRoad_act!X81=0,0,TrRoad_emi!X78/TrRoad_tech!X193)</f>
        <v>1.1177169370344036</v>
      </c>
      <c r="Y220" s="93">
        <f>IF(TrRoad_act!Y81=0,0,TrRoad_emi!Y78/TrRoad_tech!Y193)</f>
        <v>1.0792231356326094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1.7633829022634693</v>
      </c>
      <c r="C221" s="94">
        <f>IF(TrRoad_act!C82=0,0,TrRoad_emi!C79/TrRoad_tech!C194)</f>
        <v>1.8433579586845752</v>
      </c>
      <c r="D221" s="94">
        <f>IF(TrRoad_act!D82=0,0,TrRoad_emi!D79/TrRoad_tech!D194)</f>
        <v>1.8367739915928121</v>
      </c>
      <c r="E221" s="94">
        <f>IF(TrRoad_act!E82=0,0,TrRoad_emi!E79/TrRoad_tech!E194)</f>
        <v>1.8782704413359703</v>
      </c>
      <c r="F221" s="94">
        <f>IF(TrRoad_act!F82=0,0,TrRoad_emi!F79/TrRoad_tech!F194)</f>
        <v>1.9101435125973754</v>
      </c>
      <c r="G221" s="94">
        <f>IF(TrRoad_act!G82=0,0,TrRoad_emi!G79/TrRoad_tech!G194)</f>
        <v>1.7363705298851375</v>
      </c>
      <c r="H221" s="94">
        <f>IF(TrRoad_act!H82=0,0,TrRoad_emi!H79/TrRoad_tech!H194)</f>
        <v>1.8535556144115626</v>
      </c>
      <c r="I221" s="94">
        <f>IF(TrRoad_act!I82=0,0,TrRoad_emi!I79/TrRoad_tech!I194)</f>
        <v>1.9471977919915944</v>
      </c>
      <c r="J221" s="94">
        <f>IF(TrRoad_act!J82=0,0,TrRoad_emi!J79/TrRoad_tech!J194)</f>
        <v>1.5353345486772925</v>
      </c>
      <c r="K221" s="94">
        <f>IF(TrRoad_act!K82=0,0,TrRoad_emi!K79/TrRoad_tech!K194)</f>
        <v>1.366031878491401</v>
      </c>
      <c r="L221" s="94">
        <f>IF(TrRoad_act!L82=0,0,TrRoad_emi!L79/TrRoad_tech!L194)</f>
        <v>1.3791698567860584</v>
      </c>
      <c r="M221" s="94">
        <f>IF(TrRoad_act!M82=0,0,TrRoad_emi!M79/TrRoad_tech!M194)</f>
        <v>1.3588800974704305</v>
      </c>
      <c r="N221" s="94">
        <f>IF(TrRoad_act!N82=0,0,TrRoad_emi!N79/TrRoad_tech!N194)</f>
        <v>1.2793109589357388</v>
      </c>
      <c r="O221" s="94">
        <f>IF(TrRoad_act!O82=0,0,TrRoad_emi!O79/TrRoad_tech!O194)</f>
        <v>1.2561712503977052</v>
      </c>
      <c r="P221" s="94">
        <f>IF(TrRoad_act!P82=0,0,TrRoad_emi!P79/TrRoad_tech!P194)</f>
        <v>1.0362621480330034</v>
      </c>
      <c r="Q221" s="94">
        <f>IF(TrRoad_act!Q82=0,0,TrRoad_emi!Q79/TrRoad_tech!Q194)</f>
        <v>1.0591779260417535</v>
      </c>
      <c r="R221" s="94">
        <f>IF(TrRoad_act!R82=0,0,TrRoad_emi!R79/TrRoad_tech!R194)</f>
        <v>1.3006612916454212</v>
      </c>
      <c r="S221" s="94">
        <f>IF(TrRoad_act!S82=0,0,TrRoad_emi!S79/TrRoad_tech!S194)</f>
        <v>1.0283546027891353</v>
      </c>
      <c r="T221" s="94">
        <f>IF(TrRoad_act!T82=0,0,TrRoad_emi!T79/TrRoad_tech!T194)</f>
        <v>1.1724488664942798</v>
      </c>
      <c r="U221" s="94">
        <f>IF(TrRoad_act!U82=0,0,TrRoad_emi!U79/TrRoad_tech!U194)</f>
        <v>1.0776698970684779</v>
      </c>
      <c r="V221" s="94">
        <f>IF(TrRoad_act!V82=0,0,TrRoad_emi!V79/TrRoad_tech!V194)</f>
        <v>1.0707218451884826</v>
      </c>
      <c r="W221" s="94">
        <f>IF(TrRoad_act!W82=0,0,TrRoad_emi!W79/TrRoad_tech!W194)</f>
        <v>1.2413053355105177</v>
      </c>
      <c r="X221" s="94">
        <f>IF(TrRoad_act!X82=0,0,TrRoad_emi!X79/TrRoad_tech!X194)</f>
        <v>1.1203999329498713</v>
      </c>
      <c r="Y221" s="94">
        <f>IF(TrRoad_act!Y82=0,0,TrRoad_emi!Y79/TrRoad_tech!Y194)</f>
        <v>0.99560717714933489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106.58308222318931</v>
      </c>
      <c r="C225" s="152">
        <v>106.58308222318931</v>
      </c>
      <c r="D225" s="152">
        <v>106.58308222318931</v>
      </c>
      <c r="E225" s="152">
        <v>105.18067324656842</v>
      </c>
      <c r="F225" s="152">
        <v>106.58308222318932</v>
      </c>
      <c r="G225" s="152">
        <v>106.1665667571329</v>
      </c>
      <c r="H225" s="152">
        <v>105.18067324656843</v>
      </c>
      <c r="I225" s="152">
        <v>105.43310686236019</v>
      </c>
      <c r="J225" s="152">
        <v>98.168628363463867</v>
      </c>
      <c r="K225" s="152">
        <v>93.961401433601125</v>
      </c>
      <c r="L225" s="152">
        <v>89.754174503738398</v>
      </c>
      <c r="M225" s="152">
        <v>86.491181049822004</v>
      </c>
      <c r="N225" s="152">
        <v>83.407199284542571</v>
      </c>
      <c r="O225" s="152">
        <v>78.743945070620995</v>
      </c>
      <c r="P225" s="152">
        <v>76.141631739829194</v>
      </c>
      <c r="Q225" s="152">
        <v>73.420956407639395</v>
      </c>
      <c r="R225" s="152">
        <v>71.494859181125733</v>
      </c>
      <c r="S225" s="152">
        <v>69.953981399914824</v>
      </c>
      <c r="T225" s="152">
        <v>68.721279174946076</v>
      </c>
      <c r="U225" s="152">
        <v>67.735117394971098</v>
      </c>
      <c r="V225" s="152">
        <v>66.94618797099109</v>
      </c>
      <c r="W225" s="152">
        <v>66.31504443180711</v>
      </c>
      <c r="X225" s="152">
        <v>65.810129600459902</v>
      </c>
      <c r="Y225" s="152">
        <v>65.40619773538215</v>
      </c>
      <c r="DA225" s="174" t="s">
        <v>933</v>
      </c>
    </row>
    <row r="226" spans="1:105" ht="11.45" customHeight="1" x14ac:dyDescent="0.25">
      <c r="A226" s="109" t="s">
        <v>20</v>
      </c>
      <c r="B226" s="116">
        <v>188.31069522256522</v>
      </c>
      <c r="C226" s="116">
        <v>188.42084725078422</v>
      </c>
      <c r="D226" s="116">
        <v>188.50255461323226</v>
      </c>
      <c r="E226" s="116">
        <v>187.73827254827549</v>
      </c>
      <c r="F226" s="116">
        <v>187.4680248781541</v>
      </c>
      <c r="G226" s="116">
        <v>187.5252898689655</v>
      </c>
      <c r="H226" s="116">
        <v>188.9411415127768</v>
      </c>
      <c r="I226" s="116">
        <v>189.83714828894384</v>
      </c>
      <c r="J226" s="116">
        <v>188.10930505088928</v>
      </c>
      <c r="K226" s="116">
        <v>186.47939920349549</v>
      </c>
      <c r="L226" s="116">
        <v>182.72504645617184</v>
      </c>
      <c r="M226" s="116">
        <v>176.42683022798724</v>
      </c>
      <c r="N226" s="116">
        <v>170.09439038868288</v>
      </c>
      <c r="O226" s="116">
        <v>161.02653150791843</v>
      </c>
      <c r="P226" s="116">
        <v>155.86292173970457</v>
      </c>
      <c r="Q226" s="116">
        <v>150.34148424743114</v>
      </c>
      <c r="R226" s="116">
        <v>147.12846173867183</v>
      </c>
      <c r="S226" s="116">
        <v>145.16331972082315</v>
      </c>
      <c r="T226" s="116">
        <v>144.22010524853977</v>
      </c>
      <c r="U226" s="116">
        <v>142.18864869863967</v>
      </c>
      <c r="V226" s="116">
        <v>130.74327080570473</v>
      </c>
      <c r="W226" s="116">
        <v>116.17915352128797</v>
      </c>
      <c r="X226" s="116">
        <v>105.92505625707496</v>
      </c>
      <c r="Y226" s="116">
        <v>103.26203787362488</v>
      </c>
      <c r="DA226" s="176" t="s">
        <v>934</v>
      </c>
    </row>
    <row r="227" spans="1:105" ht="11.45" customHeight="1" x14ac:dyDescent="0.25">
      <c r="A227" s="111" t="s">
        <v>110</v>
      </c>
      <c r="B227" s="87">
        <v>187.18056297242271</v>
      </c>
      <c r="C227" s="87">
        <v>186.34223217930193</v>
      </c>
      <c r="D227" s="87">
        <v>185.4151563973154</v>
      </c>
      <c r="E227" s="87">
        <v>184.49269293265218</v>
      </c>
      <c r="F227" s="87">
        <v>183.57481883845986</v>
      </c>
      <c r="G227" s="87">
        <v>182.66151128204967</v>
      </c>
      <c r="H227" s="87">
        <v>181.75274754432803</v>
      </c>
      <c r="I227" s="87">
        <v>180.84850501923188</v>
      </c>
      <c r="J227" s="87">
        <v>179.94876121316608</v>
      </c>
      <c r="K227" s="87">
        <v>179.0534937444439</v>
      </c>
      <c r="L227" s="87">
        <v>178.16268034273023</v>
      </c>
      <c r="M227" s="87">
        <v>171.56500590177515</v>
      </c>
      <c r="N227" s="87">
        <v>165.65682648702585</v>
      </c>
      <c r="O227" s="87">
        <v>156.53223691611996</v>
      </c>
      <c r="P227" s="87">
        <v>151.59280776378307</v>
      </c>
      <c r="Q227" s="87">
        <v>146.39960679528531</v>
      </c>
      <c r="R227" s="87">
        <v>143.19151213987476</v>
      </c>
      <c r="S227" s="87">
        <v>141.30372804047491</v>
      </c>
      <c r="T227" s="87">
        <v>141.1705568348336</v>
      </c>
      <c r="U227" s="87">
        <v>143.80767921316439</v>
      </c>
      <c r="V227" s="87">
        <v>138.09376655482961</v>
      </c>
      <c r="W227" s="87">
        <v>129.86967130505511</v>
      </c>
      <c r="X227" s="87">
        <v>125.6802882949479</v>
      </c>
      <c r="Y227" s="87">
        <v>122.585668511506</v>
      </c>
      <c r="DA227" s="171" t="s">
        <v>935</v>
      </c>
    </row>
    <row r="228" spans="1:105" ht="11.45" customHeight="1" x14ac:dyDescent="0.25">
      <c r="A228" s="111" t="s">
        <v>111</v>
      </c>
      <c r="B228" s="87">
        <v>195.14345641362044</v>
      </c>
      <c r="C228" s="87">
        <v>200.98812014276319</v>
      </c>
      <c r="D228" s="87">
        <v>207.68772414752198</v>
      </c>
      <c r="E228" s="87">
        <v>207.68772414752198</v>
      </c>
      <c r="F228" s="87">
        <v>211.03752614990137</v>
      </c>
      <c r="G228" s="87">
        <v>215.8478418253182</v>
      </c>
      <c r="H228" s="87">
        <v>221.08693215703954</v>
      </c>
      <c r="I228" s="87">
        <v>218.94640867751914</v>
      </c>
      <c r="J228" s="87">
        <v>200.98812014276322</v>
      </c>
      <c r="K228" s="87">
        <v>200.98812014276322</v>
      </c>
      <c r="L228" s="87">
        <v>190.93871413562636</v>
      </c>
      <c r="M228" s="87">
        <v>185.37706488096401</v>
      </c>
      <c r="N228" s="87">
        <v>179.8322760143526</v>
      </c>
      <c r="O228" s="87">
        <v>171.53336507171051</v>
      </c>
      <c r="P228" s="87">
        <v>166.2713594331025</v>
      </c>
      <c r="Q228" s="87">
        <v>161.21368082859138</v>
      </c>
      <c r="R228" s="87">
        <v>158.35103089005764</v>
      </c>
      <c r="S228" s="87">
        <v>160.6120937741868</v>
      </c>
      <c r="T228" s="87">
        <v>164.77655986509271</v>
      </c>
      <c r="U228" s="87">
        <v>163.10849377123441</v>
      </c>
      <c r="V228" s="87">
        <v>157.29908273064029</v>
      </c>
      <c r="W228" s="87">
        <v>152.88095561286821</v>
      </c>
      <c r="X228" s="87">
        <v>149.9833264717991</v>
      </c>
      <c r="Y228" s="87">
        <v>152.61911262798631</v>
      </c>
      <c r="DA228" s="171" t="s">
        <v>936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0</v>
      </c>
      <c r="J229" s="87">
        <v>0</v>
      </c>
      <c r="K229" s="87">
        <v>0</v>
      </c>
      <c r="L229" s="87">
        <v>0</v>
      </c>
      <c r="M229" s="87">
        <v>0</v>
      </c>
      <c r="N229" s="87">
        <v>0</v>
      </c>
      <c r="O229" s="87">
        <v>0</v>
      </c>
      <c r="P229" s="87">
        <v>0</v>
      </c>
      <c r="Q229" s="87">
        <v>0</v>
      </c>
      <c r="R229" s="87">
        <v>0</v>
      </c>
      <c r="S229" s="87">
        <v>0</v>
      </c>
      <c r="T229" s="87">
        <v>0</v>
      </c>
      <c r="U229" s="87">
        <v>0</v>
      </c>
      <c r="V229" s="87">
        <v>0</v>
      </c>
      <c r="W229" s="87">
        <v>0</v>
      </c>
      <c r="X229" s="87">
        <v>0</v>
      </c>
      <c r="Y229" s="87">
        <v>0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194.75036511461934</v>
      </c>
      <c r="I230" s="87">
        <v>195.21776599089449</v>
      </c>
      <c r="J230" s="87">
        <v>181.76700744031137</v>
      </c>
      <c r="K230" s="87">
        <v>173.97699283572661</v>
      </c>
      <c r="L230" s="87">
        <v>166.18697823114303</v>
      </c>
      <c r="M230" s="87">
        <v>189.75613108928874</v>
      </c>
      <c r="N230" s="87">
        <v>183.94232622187172</v>
      </c>
      <c r="O230" s="87">
        <v>141.24608624855614</v>
      </c>
      <c r="P230" s="87">
        <v>118.53961595425007</v>
      </c>
      <c r="Q230" s="87">
        <v>114.51636632994862</v>
      </c>
      <c r="R230" s="87">
        <v>118.48043695755766</v>
      </c>
      <c r="S230" s="87">
        <v>119.84282439523707</v>
      </c>
      <c r="T230" s="87">
        <v>126.78947368421049</v>
      </c>
      <c r="U230" s="87">
        <v>114.7121354656632</v>
      </c>
      <c r="V230" s="87">
        <v>112.7409948542024</v>
      </c>
      <c r="W230" s="87">
        <v>105.85132158590309</v>
      </c>
      <c r="X230" s="87">
        <v>106.1579831932773</v>
      </c>
      <c r="Y230" s="87">
        <v>106.27373068432669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53.846562098638479</v>
      </c>
      <c r="O231" s="87">
        <v>57.662317991150211</v>
      </c>
      <c r="P231" s="87">
        <v>60.868190023435432</v>
      </c>
      <c r="Q231" s="87">
        <v>68.38624485586827</v>
      </c>
      <c r="R231" s="87">
        <v>67.612996062708646</v>
      </c>
      <c r="S231" s="87">
        <v>65.301038006792879</v>
      </c>
      <c r="T231" s="87">
        <v>65.358280254777071</v>
      </c>
      <c r="U231" s="87">
        <v>52.134557654953213</v>
      </c>
      <c r="V231" s="87">
        <v>45.946125681835163</v>
      </c>
      <c r="W231" s="87">
        <v>38.890642615558058</v>
      </c>
      <c r="X231" s="87">
        <v>33.318946366232943</v>
      </c>
      <c r="Y231" s="87">
        <v>27.123110513940212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1472.4229356065716</v>
      </c>
      <c r="C233" s="116">
        <v>1462.7443207903661</v>
      </c>
      <c r="D233" s="116">
        <v>1438.0403480462544</v>
      </c>
      <c r="E233" s="116">
        <v>1463.6823840063362</v>
      </c>
      <c r="F233" s="116">
        <v>1469.6816958168513</v>
      </c>
      <c r="G233" s="116">
        <v>1464.3526943393729</v>
      </c>
      <c r="H233" s="116">
        <v>1437.653917712697</v>
      </c>
      <c r="I233" s="116">
        <v>1462.3308181677285</v>
      </c>
      <c r="J233" s="116">
        <v>1441.4613298790357</v>
      </c>
      <c r="K233" s="116">
        <v>1421.3251120632092</v>
      </c>
      <c r="L233" s="116">
        <v>1409.6405204131249</v>
      </c>
      <c r="M233" s="116">
        <v>1397.2130773297715</v>
      </c>
      <c r="N233" s="116">
        <v>1378.6714164253626</v>
      </c>
      <c r="O233" s="116">
        <v>1361.629383579495</v>
      </c>
      <c r="P233" s="116">
        <v>1343.7307601509187</v>
      </c>
      <c r="Q233" s="116">
        <v>1335.3689130367554</v>
      </c>
      <c r="R233" s="116">
        <v>1303.2738515108388</v>
      </c>
      <c r="S233" s="116">
        <v>1276.8369512036659</v>
      </c>
      <c r="T233" s="116">
        <v>1246.5434880155092</v>
      </c>
      <c r="U233" s="116">
        <v>1167.5504831594922</v>
      </c>
      <c r="V233" s="116">
        <v>1133.8492743459199</v>
      </c>
      <c r="W233" s="116">
        <v>928.19339028115996</v>
      </c>
      <c r="X233" s="116">
        <v>838.34813542231643</v>
      </c>
      <c r="Y233" s="116">
        <v>919.01356523624133</v>
      </c>
      <c r="DA233" s="176" t="s">
        <v>941</v>
      </c>
    </row>
    <row r="234" spans="1:105" ht="11.45" customHeight="1" x14ac:dyDescent="0.25">
      <c r="A234" s="111" t="s">
        <v>110</v>
      </c>
      <c r="B234" s="101">
        <v>444.09617592995545</v>
      </c>
      <c r="C234" s="101">
        <v>444.09617592995545</v>
      </c>
      <c r="D234" s="101">
        <v>0</v>
      </c>
      <c r="E234" s="101">
        <v>0</v>
      </c>
      <c r="F234" s="101">
        <v>444.09617592995556</v>
      </c>
      <c r="G234" s="101">
        <v>442.3606948213872</v>
      </c>
      <c r="H234" s="101">
        <v>0</v>
      </c>
      <c r="I234" s="101">
        <v>439.30461192650085</v>
      </c>
      <c r="J234" s="101">
        <v>0</v>
      </c>
      <c r="K234" s="101">
        <v>391.50583930667148</v>
      </c>
      <c r="L234" s="101">
        <v>373.97572709891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300.72572927164305</v>
      </c>
      <c r="T234" s="101">
        <v>0</v>
      </c>
      <c r="U234" s="101">
        <v>0</v>
      </c>
      <c r="V234" s="101">
        <v>0</v>
      </c>
      <c r="W234" s="101">
        <v>0</v>
      </c>
      <c r="X234" s="101">
        <v>271.86034920864302</v>
      </c>
      <c r="Y234" s="101">
        <v>0</v>
      </c>
      <c r="DA234" s="175" t="s">
        <v>942</v>
      </c>
    </row>
    <row r="235" spans="1:105" ht="11.45" customHeight="1" x14ac:dyDescent="0.25">
      <c r="A235" s="111" t="s">
        <v>111</v>
      </c>
      <c r="B235" s="101">
        <v>1473.6398903517509</v>
      </c>
      <c r="C235" s="101">
        <v>1473.6398903517509</v>
      </c>
      <c r="D235" s="101">
        <v>1473.6398903517509</v>
      </c>
      <c r="E235" s="101">
        <v>1468.7440767625424</v>
      </c>
      <c r="F235" s="101">
        <v>1473.5914169498772</v>
      </c>
      <c r="G235" s="101">
        <v>1472.1475249808691</v>
      </c>
      <c r="H235" s="101">
        <v>1468.7058575879214</v>
      </c>
      <c r="I235" s="101">
        <v>1469.585497750182</v>
      </c>
      <c r="J235" s="101">
        <v>1442.8919958273757</v>
      </c>
      <c r="K235" s="101">
        <v>1426.9190217038251</v>
      </c>
      <c r="L235" s="101">
        <v>1410.3910021474105</v>
      </c>
      <c r="M235" s="101">
        <v>1397.2130773297715</v>
      </c>
      <c r="N235" s="101">
        <v>1384.4158806604685</v>
      </c>
      <c r="O235" s="101">
        <v>1364.2184626589994</v>
      </c>
      <c r="P235" s="101">
        <v>1352.660897483649</v>
      </c>
      <c r="Q235" s="101">
        <v>1340.2449215971562</v>
      </c>
      <c r="R235" s="101">
        <v>1318.534669444221</v>
      </c>
      <c r="S235" s="101">
        <v>1288.9019202095451</v>
      </c>
      <c r="T235" s="101">
        <v>1252.6998582039901</v>
      </c>
      <c r="U235" s="101">
        <v>1211.2203034871216</v>
      </c>
      <c r="V235" s="101">
        <v>1165.6638198423266</v>
      </c>
      <c r="W235" s="101">
        <v>1117.1208210876368</v>
      </c>
      <c r="X235" s="101">
        <v>1066.5616527262871</v>
      </c>
      <c r="Y235" s="101">
        <v>1014.8336842947612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X236" s="101">
        <v>0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929.72557184810205</v>
      </c>
      <c r="D237" s="101">
        <v>929.72557184810205</v>
      </c>
      <c r="E237" s="101">
        <v>926.63678257285903</v>
      </c>
      <c r="F237" s="101">
        <v>929.69498977606986</v>
      </c>
      <c r="G237" s="101">
        <v>928.78403229224875</v>
      </c>
      <c r="H237" s="101">
        <v>926.61266993569961</v>
      </c>
      <c r="I237" s="101">
        <v>927.16763859407581</v>
      </c>
      <c r="J237" s="101">
        <v>910.32659655775717</v>
      </c>
      <c r="K237" s="101">
        <v>900.24918035970097</v>
      </c>
      <c r="L237" s="101">
        <v>0</v>
      </c>
      <c r="M237" s="101">
        <v>0</v>
      </c>
      <c r="N237" s="101">
        <v>0</v>
      </c>
      <c r="O237" s="101">
        <v>863.41659499485502</v>
      </c>
      <c r="P237" s="101">
        <v>853.39941912767347</v>
      </c>
      <c r="Q237" s="101">
        <v>847.26501689907468</v>
      </c>
      <c r="R237" s="101">
        <v>0</v>
      </c>
      <c r="S237" s="101">
        <v>839.23154393868913</v>
      </c>
      <c r="T237" s="101">
        <v>836.28327906458514</v>
      </c>
      <c r="U237" s="101">
        <v>833.68477473480766</v>
      </c>
      <c r="V237" s="101">
        <v>831.29741975722527</v>
      </c>
      <c r="W237" s="101">
        <v>829.03842124256596</v>
      </c>
      <c r="X237" s="101">
        <v>826.8582838021747</v>
      </c>
      <c r="Y237" s="101">
        <v>824.72740126014514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242.16864230174994</v>
      </c>
      <c r="C240" s="152">
        <v>249.19530777620534</v>
      </c>
      <c r="D240" s="152">
        <v>257.22909670864078</v>
      </c>
      <c r="E240" s="152">
        <v>258.27840957367602</v>
      </c>
      <c r="F240" s="152">
        <v>262.03856397857828</v>
      </c>
      <c r="G240" s="152">
        <v>265.59723686874673</v>
      </c>
      <c r="H240" s="152">
        <v>271.75602744455699</v>
      </c>
      <c r="I240" s="152">
        <v>269.23139691236452</v>
      </c>
      <c r="J240" s="152">
        <v>246.24262350939617</v>
      </c>
      <c r="K240" s="152">
        <v>245.18942436302169</v>
      </c>
      <c r="L240" s="152">
        <v>233.17529472345632</v>
      </c>
      <c r="M240" s="152">
        <v>226.90275096682308</v>
      </c>
      <c r="N240" s="152">
        <v>220.00526710629123</v>
      </c>
      <c r="O240" s="152">
        <v>207.94807530607551</v>
      </c>
      <c r="P240" s="152">
        <v>205.19361213602704</v>
      </c>
      <c r="Q240" s="152">
        <v>199.54424691963212</v>
      </c>
      <c r="R240" s="152">
        <v>191.0144220949459</v>
      </c>
      <c r="S240" s="152">
        <v>185.1772908250521</v>
      </c>
      <c r="T240" s="152">
        <v>188.24460657634577</v>
      </c>
      <c r="U240" s="152">
        <v>190.08619795814363</v>
      </c>
      <c r="V240" s="152">
        <v>207.18972390747891</v>
      </c>
      <c r="W240" s="152">
        <v>202.28630633222033</v>
      </c>
      <c r="X240" s="152">
        <v>199.28635206070962</v>
      </c>
      <c r="Y240" s="152">
        <v>196.59912666456682</v>
      </c>
      <c r="DA240" s="174" t="s">
        <v>947</v>
      </c>
    </row>
    <row r="241" spans="1:105" ht="11.45" customHeight="1" x14ac:dyDescent="0.25">
      <c r="A241" s="111" t="s">
        <v>110</v>
      </c>
      <c r="B241" s="87">
        <v>207.44195778823391</v>
      </c>
      <c r="C241" s="87">
        <v>207.44195778823396</v>
      </c>
      <c r="D241" s="87">
        <v>207.44195778823399</v>
      </c>
      <c r="E241" s="87">
        <v>204.71245834365203</v>
      </c>
      <c r="F241" s="87">
        <v>207.44195778823405</v>
      </c>
      <c r="G241" s="87">
        <v>206.63129645319324</v>
      </c>
      <c r="H241" s="87">
        <v>204.71245834365209</v>
      </c>
      <c r="I241" s="87">
        <v>205.20376824367685</v>
      </c>
      <c r="J241" s="87">
        <v>191.06496112074197</v>
      </c>
      <c r="K241" s="87">
        <v>182.87646278699586</v>
      </c>
      <c r="L241" s="87">
        <v>174.68796445324986</v>
      </c>
      <c r="M241" s="87">
        <v>168.33722157537741</v>
      </c>
      <c r="N241" s="87">
        <v>162.33488797957165</v>
      </c>
      <c r="O241" s="87">
        <v>151.79053281286241</v>
      </c>
      <c r="P241" s="87">
        <v>151.29692423899277</v>
      </c>
      <c r="Q241" s="87">
        <v>137.40615344469055</v>
      </c>
      <c r="R241" s="87">
        <v>136.44764033158029</v>
      </c>
      <c r="S241" s="87">
        <v>140.21743563729754</v>
      </c>
      <c r="T241" s="87">
        <v>150.18756845096328</v>
      </c>
      <c r="U241" s="87">
        <v>133.85135135135141</v>
      </c>
      <c r="V241" s="87">
        <v>138.16949038753671</v>
      </c>
      <c r="W241" s="87">
        <v>136.58778625954201</v>
      </c>
      <c r="X241" s="87">
        <v>153.91860465116281</v>
      </c>
      <c r="Y241" s="87">
        <v>149.37837837837839</v>
      </c>
      <c r="DA241" s="171" t="s">
        <v>948</v>
      </c>
    </row>
    <row r="242" spans="1:105" ht="11.45" customHeight="1" x14ac:dyDescent="0.25">
      <c r="A242" s="111" t="s">
        <v>111</v>
      </c>
      <c r="B242" s="87">
        <v>243.51551207547075</v>
      </c>
      <c r="C242" s="87">
        <v>250.80894792552769</v>
      </c>
      <c r="D242" s="87">
        <v>259.16924618971194</v>
      </c>
      <c r="E242" s="87">
        <v>259.16924618971194</v>
      </c>
      <c r="F242" s="87">
        <v>263.34939532180402</v>
      </c>
      <c r="G242" s="87">
        <v>269.35208947548836</v>
      </c>
      <c r="H242" s="87">
        <v>275.88984271808044</v>
      </c>
      <c r="I242" s="87">
        <v>273.21872742267357</v>
      </c>
      <c r="J242" s="87">
        <v>250.80894792552766</v>
      </c>
      <c r="K242" s="87">
        <v>250.80894792552766</v>
      </c>
      <c r="L242" s="87">
        <v>238.2685005292513</v>
      </c>
      <c r="M242" s="87">
        <v>231.32823263032515</v>
      </c>
      <c r="N242" s="87">
        <v>224.40168795590941</v>
      </c>
      <c r="O242" s="87">
        <v>210.91073242380082</v>
      </c>
      <c r="P242" s="87">
        <v>208.51629967459598</v>
      </c>
      <c r="Q242" s="87">
        <v>203.21184050964149</v>
      </c>
      <c r="R242" s="87">
        <v>194.0810996693686</v>
      </c>
      <c r="S242" s="87">
        <v>187.50590985531005</v>
      </c>
      <c r="T242" s="87">
        <v>190.21487470374709</v>
      </c>
      <c r="U242" s="87">
        <v>193.13187208048871</v>
      </c>
      <c r="V242" s="87">
        <v>210.95354190448774</v>
      </c>
      <c r="W242" s="87">
        <v>207.58001077586209</v>
      </c>
      <c r="X242" s="87">
        <v>204.99688334817449</v>
      </c>
      <c r="Y242" s="87">
        <v>206.7843286835222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0</v>
      </c>
      <c r="S243" s="87">
        <v>0</v>
      </c>
      <c r="T243" s="87">
        <v>0</v>
      </c>
      <c r="U243" s="87">
        <v>0</v>
      </c>
      <c r="V243" s="87">
        <v>0</v>
      </c>
      <c r="W243" s="87">
        <v>0</v>
      </c>
      <c r="X243" s="87">
        <v>0</v>
      </c>
      <c r="Y243" s="87">
        <v>0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202.39737111872998</v>
      </c>
      <c r="D244" s="87">
        <v>0</v>
      </c>
      <c r="E244" s="87">
        <v>0</v>
      </c>
      <c r="F244" s="87">
        <v>0</v>
      </c>
      <c r="G244" s="87">
        <v>201.60642349738447</v>
      </c>
      <c r="H244" s="87">
        <v>0</v>
      </c>
      <c r="I244" s="87">
        <v>200.21361000929107</v>
      </c>
      <c r="J244" s="87">
        <v>186.41863129356716</v>
      </c>
      <c r="K244" s="87">
        <v>178.42926138098571</v>
      </c>
      <c r="L244" s="87">
        <v>170.43989146840423</v>
      </c>
      <c r="M244" s="87">
        <v>194.61220567678546</v>
      </c>
      <c r="N244" s="87">
        <v>188.64961894966763</v>
      </c>
      <c r="O244" s="87">
        <v>163.23123015695566</v>
      </c>
      <c r="P244" s="87">
        <v>201.02767151910874</v>
      </c>
      <c r="Q244" s="87">
        <v>206.64253717406152</v>
      </c>
      <c r="R244" s="87">
        <v>198.62914091404863</v>
      </c>
      <c r="S244" s="87">
        <v>161.28027856572092</v>
      </c>
      <c r="T244" s="87">
        <v>167.2877859301864</v>
      </c>
      <c r="U244" s="87">
        <v>135.81818181818181</v>
      </c>
      <c r="V244" s="87">
        <v>142.02823738750931</v>
      </c>
      <c r="W244" s="87">
        <v>242.2</v>
      </c>
      <c r="X244" s="87">
        <v>277</v>
      </c>
      <c r="Y244" s="87">
        <v>156.42857142857139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1040.7419809790824</v>
      </c>
      <c r="C246" s="116">
        <v>842.010540077408</v>
      </c>
      <c r="D246" s="116">
        <v>836.76801660819933</v>
      </c>
      <c r="E246" s="116">
        <v>830.28931310987923</v>
      </c>
      <c r="F246" s="116">
        <v>825.56696760132559</v>
      </c>
      <c r="G246" s="116">
        <v>815.53036555024516</v>
      </c>
      <c r="H246" s="116">
        <v>806.97283246203187</v>
      </c>
      <c r="I246" s="116">
        <v>795.77059153810444</v>
      </c>
      <c r="J246" s="116">
        <v>784.21969861025957</v>
      </c>
      <c r="K246" s="116">
        <v>770.67562117013006</v>
      </c>
      <c r="L246" s="116">
        <v>762.21358498103882</v>
      </c>
      <c r="M246" s="116">
        <v>743.01372976131574</v>
      </c>
      <c r="N246" s="116">
        <v>730.83995754424336</v>
      </c>
      <c r="O246" s="116">
        <v>711.63549382634335</v>
      </c>
      <c r="P246" s="116">
        <v>698.71338663569065</v>
      </c>
      <c r="Q246" s="116">
        <v>679.68466824675784</v>
      </c>
      <c r="R246" s="116">
        <v>645.13612294964094</v>
      </c>
      <c r="S246" s="116">
        <v>623.65277905298319</v>
      </c>
      <c r="T246" s="116">
        <v>602.08624177992533</v>
      </c>
      <c r="U246" s="116">
        <v>571.19847721682061</v>
      </c>
      <c r="V246" s="116">
        <v>547.78330929030835</v>
      </c>
      <c r="W246" s="116">
        <v>550.08467268801417</v>
      </c>
      <c r="X246" s="116">
        <v>542.80557317873649</v>
      </c>
      <c r="Y246" s="116">
        <v>536.92568976157213</v>
      </c>
      <c r="DA246" s="176" t="s">
        <v>953</v>
      </c>
    </row>
    <row r="247" spans="1:105" ht="11.45" customHeight="1" x14ac:dyDescent="0.25">
      <c r="A247" s="128" t="s">
        <v>27</v>
      </c>
      <c r="B247" s="101">
        <v>0</v>
      </c>
      <c r="C247" s="101">
        <v>785.10834213709643</v>
      </c>
      <c r="D247" s="101">
        <v>780.71497999120288</v>
      </c>
      <c r="E247" s="101">
        <v>775.24442635779178</v>
      </c>
      <c r="F247" s="101">
        <v>768.71058201668211</v>
      </c>
      <c r="G247" s="101">
        <v>761.12993240196556</v>
      </c>
      <c r="H247" s="101">
        <v>752.52144479929927</v>
      </c>
      <c r="I247" s="101">
        <v>742.90645151585124</v>
      </c>
      <c r="J247" s="101">
        <v>732.30852034191855</v>
      </c>
      <c r="K247" s="101">
        <v>720.7533137259112</v>
      </c>
      <c r="L247" s="101">
        <v>708.26843821379009</v>
      </c>
      <c r="M247" s="101">
        <v>694.8832857281941</v>
      </c>
      <c r="N247" s="101">
        <v>680.6288683235282</v>
      </c>
      <c r="O247" s="101">
        <v>665.53764807241021</v>
      </c>
      <c r="P247" s="101">
        <v>649.64336369996022</v>
      </c>
      <c r="Q247" s="101">
        <v>632.98085558265666</v>
      </c>
      <c r="R247" s="101">
        <v>603.3459287504736</v>
      </c>
      <c r="S247" s="101">
        <v>582.60147996794569</v>
      </c>
      <c r="T247" s="101">
        <v>560.81980874629119</v>
      </c>
      <c r="U247" s="101">
        <v>534.19776614204682</v>
      </c>
      <c r="V247" s="101">
        <v>511.08599061407909</v>
      </c>
      <c r="W247" s="101">
        <v>509.83690812579641</v>
      </c>
      <c r="X247" s="101">
        <v>507.02802583675145</v>
      </c>
      <c r="Y247" s="101">
        <v>501.95774557838388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0</v>
      </c>
      <c r="N248" s="88">
        <v>859.18006675861636</v>
      </c>
      <c r="O248" s="88">
        <v>0</v>
      </c>
      <c r="P248" s="88">
        <v>826.56776014737818</v>
      </c>
      <c r="Q248" s="88">
        <v>809.03043647828326</v>
      </c>
      <c r="R248" s="88">
        <v>0</v>
      </c>
      <c r="S248" s="88">
        <v>770.5379484876006</v>
      </c>
      <c r="T248" s="88">
        <v>753.89560809162901</v>
      </c>
      <c r="U248" s="88">
        <v>0</v>
      </c>
      <c r="V248" s="88">
        <v>721.86280178997254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3902</v>
      </c>
      <c r="C4" s="28">
        <f t="shared" ref="C4:V4" si="1">SUM(C5,C6,C9)</f>
        <v>3786.6</v>
      </c>
      <c r="D4" s="28">
        <f t="shared" si="1"/>
        <v>3835.5</v>
      </c>
      <c r="E4" s="28">
        <f t="shared" si="1"/>
        <v>3860.3</v>
      </c>
      <c r="F4" s="28">
        <f t="shared" si="1"/>
        <v>3875</v>
      </c>
      <c r="G4" s="28">
        <f t="shared" si="1"/>
        <v>4004</v>
      </c>
      <c r="H4" s="28">
        <f t="shared" si="1"/>
        <v>4064</v>
      </c>
      <c r="I4" s="28">
        <f t="shared" si="1"/>
        <v>4298</v>
      </c>
      <c r="J4" s="28">
        <f t="shared" si="1"/>
        <v>4584</v>
      </c>
      <c r="K4" s="28">
        <f t="shared" si="1"/>
        <v>4408</v>
      </c>
      <c r="L4" s="28">
        <f t="shared" si="1"/>
        <v>4489</v>
      </c>
      <c r="M4" s="28">
        <f t="shared" si="1"/>
        <v>4397</v>
      </c>
      <c r="N4" s="28">
        <f t="shared" si="1"/>
        <v>4561</v>
      </c>
      <c r="O4" s="28">
        <f t="shared" si="1"/>
        <v>4578</v>
      </c>
      <c r="P4" s="28">
        <f t="shared" si="1"/>
        <v>4387.6439267886853</v>
      </c>
      <c r="Q4" s="28">
        <f t="shared" si="1"/>
        <v>4629.8277870216307</v>
      </c>
      <c r="R4" s="28">
        <f t="shared" si="1"/>
        <v>4395.1838602329453</v>
      </c>
      <c r="S4" s="28">
        <f t="shared" si="1"/>
        <v>4828.7579034941764</v>
      </c>
      <c r="T4" s="28">
        <f t="shared" si="1"/>
        <v>5189.7212978369389</v>
      </c>
      <c r="U4" s="28">
        <f t="shared" si="1"/>
        <v>5576.5374376039936</v>
      </c>
      <c r="V4" s="28">
        <f t="shared" si="1"/>
        <v>3381.6777943933107</v>
      </c>
      <c r="W4" s="28">
        <f t="shared" ref="W4:Y4" si="2">SUM(W5,W6,W9)</f>
        <v>3398.5980538764506</v>
      </c>
      <c r="X4" s="28">
        <f t="shared" si="2"/>
        <v>5133.6777943933112</v>
      </c>
      <c r="Y4" s="28">
        <f t="shared" si="2"/>
        <v>5793.6128375105036</v>
      </c>
      <c r="DA4" s="173" t="s">
        <v>376</v>
      </c>
    </row>
    <row r="5" spans="1:105" ht="11.45" customHeight="1" x14ac:dyDescent="0.25">
      <c r="A5" s="107" t="s">
        <v>23</v>
      </c>
      <c r="B5" s="108">
        <v>497</v>
      </c>
      <c r="C5" s="108">
        <v>504.59999999999991</v>
      </c>
      <c r="D5" s="108">
        <v>517.5</v>
      </c>
      <c r="E5" s="108">
        <v>522.29999999999995</v>
      </c>
      <c r="F5" s="108">
        <v>523</v>
      </c>
      <c r="G5" s="108">
        <v>526</v>
      </c>
      <c r="H5" s="108">
        <v>524</v>
      </c>
      <c r="I5" s="108">
        <v>520</v>
      </c>
      <c r="J5" s="108">
        <v>532</v>
      </c>
      <c r="K5" s="108">
        <v>532</v>
      </c>
      <c r="L5" s="108">
        <v>530</v>
      </c>
      <c r="M5" s="108">
        <v>515</v>
      </c>
      <c r="N5" s="108">
        <v>526</v>
      </c>
      <c r="O5" s="108">
        <v>525</v>
      </c>
      <c r="P5" s="108">
        <v>513.64392678868558</v>
      </c>
      <c r="Q5" s="108">
        <v>515.82778702163057</v>
      </c>
      <c r="R5" s="108">
        <v>527.18386023294511</v>
      </c>
      <c r="S5" s="108">
        <v>557.75790349417639</v>
      </c>
      <c r="T5" s="108">
        <v>654.72129783693856</v>
      </c>
      <c r="U5" s="108">
        <v>652.53743760399334</v>
      </c>
      <c r="V5" s="108">
        <v>561.67779439331071</v>
      </c>
      <c r="W5" s="108">
        <v>495.59805387645059</v>
      </c>
      <c r="X5" s="108">
        <v>561.67779439331071</v>
      </c>
      <c r="Y5" s="108">
        <v>594.61283751050325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3334</v>
      </c>
      <c r="C6" s="110">
        <f t="shared" ref="C6:V6" si="4">SUM(C7:C8)</f>
        <v>3222</v>
      </c>
      <c r="D6" s="110">
        <f t="shared" si="4"/>
        <v>3183</v>
      </c>
      <c r="E6" s="110">
        <f t="shared" si="4"/>
        <v>3138</v>
      </c>
      <c r="F6" s="110">
        <f t="shared" si="4"/>
        <v>3190</v>
      </c>
      <c r="G6" s="110">
        <f t="shared" si="4"/>
        <v>3167</v>
      </c>
      <c r="H6" s="110">
        <f t="shared" si="4"/>
        <v>3105</v>
      </c>
      <c r="I6" s="110">
        <f t="shared" si="4"/>
        <v>3198</v>
      </c>
      <c r="J6" s="110">
        <f t="shared" si="4"/>
        <v>3429.9999999999995</v>
      </c>
      <c r="K6" s="110">
        <f t="shared" si="4"/>
        <v>3272</v>
      </c>
      <c r="L6" s="110">
        <f t="shared" si="4"/>
        <v>3308</v>
      </c>
      <c r="M6" s="110">
        <f t="shared" si="4"/>
        <v>3173</v>
      </c>
      <c r="N6" s="110">
        <f t="shared" si="4"/>
        <v>3327</v>
      </c>
      <c r="O6" s="110">
        <f t="shared" si="4"/>
        <v>3296</v>
      </c>
      <c r="P6" s="110">
        <f t="shared" si="4"/>
        <v>3223</v>
      </c>
      <c r="Q6" s="110">
        <f t="shared" si="4"/>
        <v>3543</v>
      </c>
      <c r="R6" s="110">
        <f t="shared" si="4"/>
        <v>3255</v>
      </c>
      <c r="S6" s="110">
        <f t="shared" si="4"/>
        <v>3593</v>
      </c>
      <c r="T6" s="110">
        <f t="shared" si="4"/>
        <v>3740</v>
      </c>
      <c r="U6" s="110">
        <f t="shared" si="4"/>
        <v>4110</v>
      </c>
      <c r="V6" s="110">
        <f t="shared" si="4"/>
        <v>2495</v>
      </c>
      <c r="W6" s="110">
        <f t="shared" ref="W6:Y6" si="5">SUM(W7:W8)</f>
        <v>2563</v>
      </c>
      <c r="X6" s="110">
        <f t="shared" si="5"/>
        <v>4185.3727034120739</v>
      </c>
      <c r="Y6" s="110">
        <f t="shared" si="5"/>
        <v>4759.3509809797397</v>
      </c>
      <c r="DA6" s="176" t="s">
        <v>378</v>
      </c>
    </row>
    <row r="7" spans="1:105" ht="11.45" customHeight="1" x14ac:dyDescent="0.25">
      <c r="A7" s="111" t="s">
        <v>90</v>
      </c>
      <c r="B7" s="84">
        <v>621.14532942617984</v>
      </c>
      <c r="C7" s="84">
        <v>548.68526863576437</v>
      </c>
      <c r="D7" s="84">
        <v>553.30693454076584</v>
      </c>
      <c r="E7" s="84">
        <v>585.14894042292235</v>
      </c>
      <c r="F7" s="84">
        <v>575.17487266553462</v>
      </c>
      <c r="G7" s="84">
        <v>527.93826126395629</v>
      </c>
      <c r="H7" s="84">
        <v>542.07401965200484</v>
      </c>
      <c r="I7" s="84">
        <v>464.88852632866985</v>
      </c>
      <c r="J7" s="84">
        <v>464.1196945143605</v>
      </c>
      <c r="K7" s="84">
        <v>348.48178940511002</v>
      </c>
      <c r="L7" s="84">
        <v>445.55133044420995</v>
      </c>
      <c r="M7" s="84">
        <v>488.67403252944467</v>
      </c>
      <c r="N7" s="84">
        <v>429.46348585130812</v>
      </c>
      <c r="O7" s="84">
        <v>325.56413418983243</v>
      </c>
      <c r="P7" s="84">
        <v>453.06420979830352</v>
      </c>
      <c r="Q7" s="84">
        <v>471.10532138709522</v>
      </c>
      <c r="R7" s="84">
        <v>400.84103075469721</v>
      </c>
      <c r="S7" s="84">
        <v>435.19001718871067</v>
      </c>
      <c r="T7" s="84">
        <v>311.16676152532722</v>
      </c>
      <c r="U7" s="84">
        <v>223.42837515702698</v>
      </c>
      <c r="V7" s="84">
        <v>130.21709894046552</v>
      </c>
      <c r="W7" s="84">
        <v>142.58827268539847</v>
      </c>
      <c r="X7" s="84">
        <v>203.69515803020505</v>
      </c>
      <c r="Y7" s="84">
        <v>231.5576833800209</v>
      </c>
      <c r="DA7" s="171" t="s">
        <v>1031</v>
      </c>
    </row>
    <row r="8" spans="1:105" ht="11.45" customHeight="1" x14ac:dyDescent="0.25">
      <c r="A8" s="111" t="s">
        <v>93</v>
      </c>
      <c r="B8" s="84">
        <v>2712.8546705738199</v>
      </c>
      <c r="C8" s="84">
        <v>2673.3147313642357</v>
      </c>
      <c r="D8" s="84">
        <v>2629.6930654592343</v>
      </c>
      <c r="E8" s="84">
        <v>2552.8510595770776</v>
      </c>
      <c r="F8" s="84">
        <v>2614.8251273344654</v>
      </c>
      <c r="G8" s="84">
        <v>2639.0617387360435</v>
      </c>
      <c r="H8" s="84">
        <v>2562.9259803479954</v>
      </c>
      <c r="I8" s="84">
        <v>2733.1114736713303</v>
      </c>
      <c r="J8" s="84">
        <v>2965.8803054856389</v>
      </c>
      <c r="K8" s="84">
        <v>2923.5182105948898</v>
      </c>
      <c r="L8" s="84">
        <v>2862.4486695557898</v>
      </c>
      <c r="M8" s="84">
        <v>2684.3259674705555</v>
      </c>
      <c r="N8" s="84">
        <v>2897.5365141486918</v>
      </c>
      <c r="O8" s="84">
        <v>2970.4358658101673</v>
      </c>
      <c r="P8" s="84">
        <v>2769.9357902016964</v>
      </c>
      <c r="Q8" s="84">
        <v>3071.894678612905</v>
      </c>
      <c r="R8" s="84">
        <v>2854.1589692453026</v>
      </c>
      <c r="S8" s="84">
        <v>3157.8099828112895</v>
      </c>
      <c r="T8" s="84">
        <v>3428.8332384746727</v>
      </c>
      <c r="U8" s="84">
        <v>3886.5716248429731</v>
      </c>
      <c r="V8" s="84">
        <v>2364.7829010595347</v>
      </c>
      <c r="W8" s="84">
        <v>2420.4117273146016</v>
      </c>
      <c r="X8" s="84">
        <v>3981.6775453818686</v>
      </c>
      <c r="Y8" s="84">
        <v>4527.7932975997192</v>
      </c>
      <c r="DA8" s="171" t="s">
        <v>1032</v>
      </c>
    </row>
    <row r="9" spans="1:105" ht="11.45" customHeight="1" x14ac:dyDescent="0.25">
      <c r="A9" s="112" t="s">
        <v>25</v>
      </c>
      <c r="B9" s="113">
        <v>71</v>
      </c>
      <c r="C9" s="113">
        <v>60</v>
      </c>
      <c r="D9" s="113">
        <v>135</v>
      </c>
      <c r="E9" s="113">
        <v>200</v>
      </c>
      <c r="F9" s="113">
        <v>162</v>
      </c>
      <c r="G9" s="113">
        <v>311</v>
      </c>
      <c r="H9" s="113">
        <v>435</v>
      </c>
      <c r="I9" s="113">
        <v>580</v>
      </c>
      <c r="J9" s="113">
        <v>622</v>
      </c>
      <c r="K9" s="113">
        <v>604</v>
      </c>
      <c r="L9" s="113">
        <v>651</v>
      </c>
      <c r="M9" s="113">
        <v>709</v>
      </c>
      <c r="N9" s="113">
        <v>708</v>
      </c>
      <c r="O9" s="113">
        <v>757</v>
      </c>
      <c r="P9" s="113">
        <v>651</v>
      </c>
      <c r="Q9" s="113">
        <v>571</v>
      </c>
      <c r="R9" s="113">
        <v>613</v>
      </c>
      <c r="S9" s="113">
        <v>678</v>
      </c>
      <c r="T9" s="113">
        <v>795</v>
      </c>
      <c r="U9" s="113">
        <v>814</v>
      </c>
      <c r="V9" s="113">
        <v>325</v>
      </c>
      <c r="W9" s="113">
        <v>340</v>
      </c>
      <c r="X9" s="113">
        <v>386.62729658792648</v>
      </c>
      <c r="Y9" s="113">
        <v>439.6490190202602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10107</v>
      </c>
      <c r="C10" s="28">
        <f t="shared" ref="C10:V10" si="7">SUM(C11:C12)</f>
        <v>9857</v>
      </c>
      <c r="D10" s="28">
        <f t="shared" si="7"/>
        <v>9664</v>
      </c>
      <c r="E10" s="28">
        <f t="shared" si="7"/>
        <v>10047</v>
      </c>
      <c r="F10" s="28">
        <f t="shared" si="7"/>
        <v>10105</v>
      </c>
      <c r="G10" s="28">
        <f t="shared" si="7"/>
        <v>9706</v>
      </c>
      <c r="H10" s="28">
        <f t="shared" si="7"/>
        <v>11060</v>
      </c>
      <c r="I10" s="28">
        <f t="shared" si="7"/>
        <v>10434</v>
      </c>
      <c r="J10" s="28">
        <f t="shared" si="7"/>
        <v>10777</v>
      </c>
      <c r="K10" s="28">
        <f t="shared" si="7"/>
        <v>8872</v>
      </c>
      <c r="L10" s="28">
        <f t="shared" si="7"/>
        <v>9750</v>
      </c>
      <c r="M10" s="28">
        <f t="shared" si="7"/>
        <v>9395</v>
      </c>
      <c r="N10" s="28">
        <f t="shared" si="7"/>
        <v>9275</v>
      </c>
      <c r="O10" s="28">
        <f t="shared" si="7"/>
        <v>9470</v>
      </c>
      <c r="P10" s="28">
        <f t="shared" si="7"/>
        <v>9597</v>
      </c>
      <c r="Q10" s="28">
        <f t="shared" si="7"/>
        <v>8468</v>
      </c>
      <c r="R10" s="28">
        <f t="shared" si="7"/>
        <v>9456</v>
      </c>
      <c r="S10" s="28">
        <f t="shared" si="7"/>
        <v>10362</v>
      </c>
      <c r="T10" s="28">
        <f t="shared" si="7"/>
        <v>11175</v>
      </c>
      <c r="U10" s="28">
        <f t="shared" si="7"/>
        <v>10271</v>
      </c>
      <c r="V10" s="28">
        <f t="shared" si="7"/>
        <v>10137</v>
      </c>
      <c r="W10" s="28">
        <f t="shared" ref="W10:Y10" si="8">SUM(W11:W12)</f>
        <v>10750</v>
      </c>
      <c r="X10" s="28">
        <f t="shared" si="8"/>
        <v>8844</v>
      </c>
      <c r="Y10" s="28">
        <f t="shared" si="8"/>
        <v>7869</v>
      </c>
      <c r="DA10" s="173" t="s">
        <v>384</v>
      </c>
    </row>
    <row r="11" spans="1:105" ht="11.45" customHeight="1" x14ac:dyDescent="0.25">
      <c r="A11" s="83" t="s">
        <v>90</v>
      </c>
      <c r="B11" s="84">
        <v>3442.2990457977007</v>
      </c>
      <c r="C11" s="84">
        <v>3415.3165047143893</v>
      </c>
      <c r="D11" s="84">
        <v>3191.2136830102627</v>
      </c>
      <c r="E11" s="84">
        <v>3359.8371728440452</v>
      </c>
      <c r="F11" s="84">
        <v>3480.685116237642</v>
      </c>
      <c r="G11" s="84">
        <v>3519.5954431555056</v>
      </c>
      <c r="H11" s="84">
        <v>3889.5684435237094</v>
      </c>
      <c r="I11" s="84">
        <v>3146.012495289368</v>
      </c>
      <c r="J11" s="84">
        <v>3356.2598200612565</v>
      </c>
      <c r="K11" s="84">
        <v>2877.2912263635658</v>
      </c>
      <c r="L11" s="84">
        <v>3050.9332268302614</v>
      </c>
      <c r="M11" s="84">
        <v>3097.6938810478196</v>
      </c>
      <c r="N11" s="84">
        <v>3333.2618123865136</v>
      </c>
      <c r="O11" s="84">
        <v>3156.3065396363054</v>
      </c>
      <c r="P11" s="84">
        <v>3053.2882005162792</v>
      </c>
      <c r="Q11" s="84">
        <v>2330.832952332571</v>
      </c>
      <c r="R11" s="84">
        <v>2490.9748165558781</v>
      </c>
      <c r="S11" s="84">
        <v>2514.0089985965496</v>
      </c>
      <c r="T11" s="84">
        <v>2827.9982613297047</v>
      </c>
      <c r="U11" s="84">
        <v>2624.6391159149907</v>
      </c>
      <c r="V11" s="84">
        <v>2479.1874275110181</v>
      </c>
      <c r="W11" s="84">
        <v>3067.7495047793786</v>
      </c>
      <c r="X11" s="84">
        <v>2426.834939784359</v>
      </c>
      <c r="Y11" s="84">
        <v>2365.3161110376332</v>
      </c>
      <c r="DA11" s="171" t="s">
        <v>1033</v>
      </c>
    </row>
    <row r="12" spans="1:105" ht="11.45" customHeight="1" x14ac:dyDescent="0.25">
      <c r="A12" s="85" t="s">
        <v>93</v>
      </c>
      <c r="B12" s="86">
        <v>6664.7009542022988</v>
      </c>
      <c r="C12" s="86">
        <v>6441.6834952856107</v>
      </c>
      <c r="D12" s="86">
        <v>6472.7863169897373</v>
      </c>
      <c r="E12" s="86">
        <v>6687.1628271559548</v>
      </c>
      <c r="F12" s="86">
        <v>6624.3148837623576</v>
      </c>
      <c r="G12" s="86">
        <v>6186.4045568444944</v>
      </c>
      <c r="H12" s="86">
        <v>7170.431556476291</v>
      </c>
      <c r="I12" s="86">
        <v>7287.9875047106325</v>
      </c>
      <c r="J12" s="86">
        <v>7420.7401799387435</v>
      </c>
      <c r="K12" s="86">
        <v>5994.7087736364338</v>
      </c>
      <c r="L12" s="86">
        <v>6699.0667731697386</v>
      </c>
      <c r="M12" s="86">
        <v>6297.3061189521804</v>
      </c>
      <c r="N12" s="86">
        <v>5941.7381876134859</v>
      </c>
      <c r="O12" s="86">
        <v>6313.6934603636946</v>
      </c>
      <c r="P12" s="86">
        <v>6543.7117994837208</v>
      </c>
      <c r="Q12" s="86">
        <v>6137.167047667429</v>
      </c>
      <c r="R12" s="86">
        <v>6965.0251834441224</v>
      </c>
      <c r="S12" s="86">
        <v>7847.9910014034504</v>
      </c>
      <c r="T12" s="86">
        <v>8347.0017386702948</v>
      </c>
      <c r="U12" s="86">
        <v>7646.3608840850093</v>
      </c>
      <c r="V12" s="86">
        <v>7657.8125724889815</v>
      </c>
      <c r="W12" s="86">
        <v>7682.2504952206218</v>
      </c>
      <c r="X12" s="86">
        <v>6417.1650602156406</v>
      </c>
      <c r="Y12" s="86">
        <v>5503.6838889623668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43.067311829326442</v>
      </c>
      <c r="C14" s="62">
        <f t="shared" ref="C14:V14" si="10">C15+C21</f>
        <v>44.798936188892412</v>
      </c>
      <c r="D14" s="62">
        <f t="shared" si="10"/>
        <v>46.356152695868445</v>
      </c>
      <c r="E14" s="62">
        <f t="shared" si="10"/>
        <v>49.323339891462879</v>
      </c>
      <c r="F14" s="62">
        <f t="shared" si="10"/>
        <v>49.953236129250243</v>
      </c>
      <c r="G14" s="62">
        <f t="shared" si="10"/>
        <v>50.361815285243708</v>
      </c>
      <c r="H14" s="62">
        <f t="shared" si="10"/>
        <v>52.21430666804806</v>
      </c>
      <c r="I14" s="62">
        <f t="shared" si="10"/>
        <v>52.799059498644226</v>
      </c>
      <c r="J14" s="62">
        <f t="shared" si="10"/>
        <v>54.063957600804677</v>
      </c>
      <c r="K14" s="62">
        <f t="shared" si="10"/>
        <v>52.859753027840739</v>
      </c>
      <c r="L14" s="62">
        <f t="shared" si="10"/>
        <v>55.063266270172363</v>
      </c>
      <c r="M14" s="62">
        <f t="shared" si="10"/>
        <v>54.974156837214409</v>
      </c>
      <c r="N14" s="62">
        <f t="shared" si="10"/>
        <v>56.047612797977798</v>
      </c>
      <c r="O14" s="62">
        <f t="shared" si="10"/>
        <v>55.548929361192066</v>
      </c>
      <c r="P14" s="62">
        <f t="shared" si="10"/>
        <v>55.261457840260647</v>
      </c>
      <c r="Q14" s="62">
        <f t="shared" si="10"/>
        <v>54.595125643386183</v>
      </c>
      <c r="R14" s="62">
        <f t="shared" si="10"/>
        <v>53.969954714018556</v>
      </c>
      <c r="S14" s="62">
        <f t="shared" si="10"/>
        <v>57.504120662612678</v>
      </c>
      <c r="T14" s="62">
        <f t="shared" si="10"/>
        <v>61.379177214923821</v>
      </c>
      <c r="U14" s="62">
        <f t="shared" si="10"/>
        <v>60.791318584197597</v>
      </c>
      <c r="V14" s="62">
        <f t="shared" si="10"/>
        <v>53.742701362324553</v>
      </c>
      <c r="W14" s="62">
        <f t="shared" ref="W14:Y14" si="11">W15+W21</f>
        <v>54.364508422984976</v>
      </c>
      <c r="X14" s="62">
        <f t="shared" si="11"/>
        <v>53.825490180435061</v>
      </c>
      <c r="Y14" s="62">
        <f t="shared" si="11"/>
        <v>52.834649342763434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26.504793704259551</v>
      </c>
      <c r="C15" s="29">
        <f t="shared" ref="C15:V15" si="13">SUM(C16,C17,C20)</f>
        <v>28.321465014236932</v>
      </c>
      <c r="D15" s="29">
        <f t="shared" si="13"/>
        <v>29.970874087724081</v>
      </c>
      <c r="E15" s="29">
        <f t="shared" si="13"/>
        <v>32.538334237518114</v>
      </c>
      <c r="F15" s="29">
        <f t="shared" si="13"/>
        <v>32.454225244692047</v>
      </c>
      <c r="G15" s="29">
        <f t="shared" si="13"/>
        <v>33.199613085148137</v>
      </c>
      <c r="H15" s="29">
        <f t="shared" si="13"/>
        <v>33.107006915260122</v>
      </c>
      <c r="I15" s="29">
        <f t="shared" si="13"/>
        <v>34.456221499329061</v>
      </c>
      <c r="J15" s="29">
        <f t="shared" si="13"/>
        <v>35.512834456913957</v>
      </c>
      <c r="K15" s="29">
        <f t="shared" si="13"/>
        <v>37.656523301860155</v>
      </c>
      <c r="L15" s="29">
        <f t="shared" si="13"/>
        <v>38.602610583060297</v>
      </c>
      <c r="M15" s="29">
        <f t="shared" si="13"/>
        <v>38.746711010840428</v>
      </c>
      <c r="N15" s="29">
        <f t="shared" si="13"/>
        <v>39.891609229337973</v>
      </c>
      <c r="O15" s="29">
        <f t="shared" si="13"/>
        <v>40.244496056566568</v>
      </c>
      <c r="P15" s="29">
        <f t="shared" si="13"/>
        <v>38.947037389247654</v>
      </c>
      <c r="Q15" s="29">
        <f t="shared" si="13"/>
        <v>41.083711050160034</v>
      </c>
      <c r="R15" s="29">
        <f t="shared" si="13"/>
        <v>39.264575886722866</v>
      </c>
      <c r="S15" s="29">
        <f t="shared" si="13"/>
        <v>40.956442929788132</v>
      </c>
      <c r="T15" s="29">
        <f t="shared" si="13"/>
        <v>44.345287186106816</v>
      </c>
      <c r="U15" s="29">
        <f t="shared" si="13"/>
        <v>45.644221022463221</v>
      </c>
      <c r="V15" s="29">
        <f t="shared" si="13"/>
        <v>37.758893112852959</v>
      </c>
      <c r="W15" s="29">
        <f t="shared" ref="W15:Y15" si="14">SUM(W16,W17,W20)</f>
        <v>38.134795981536556</v>
      </c>
      <c r="X15" s="29">
        <f t="shared" si="14"/>
        <v>40.057949344597105</v>
      </c>
      <c r="Y15" s="29">
        <f t="shared" si="14"/>
        <v>40.591912889990702</v>
      </c>
      <c r="DA15" s="173" t="s">
        <v>1036</v>
      </c>
    </row>
    <row r="16" spans="1:105" ht="11.45" customHeight="1" x14ac:dyDescent="0.25">
      <c r="A16" s="107" t="s">
        <v>23</v>
      </c>
      <c r="B16" s="115">
        <v>6.3108661996847184</v>
      </c>
      <c r="C16" s="115">
        <v>6.5289282922042595</v>
      </c>
      <c r="D16" s="115">
        <v>6.7808113886152466</v>
      </c>
      <c r="E16" s="115">
        <v>6.8782943157742853</v>
      </c>
      <c r="F16" s="115">
        <v>6.885254408102897</v>
      </c>
      <c r="G16" s="115">
        <v>6.863512087988993</v>
      </c>
      <c r="H16" s="115">
        <v>6.8676448930437637</v>
      </c>
      <c r="I16" s="115">
        <v>6.8091515524498973</v>
      </c>
      <c r="J16" s="115">
        <v>6.8689294659575149</v>
      </c>
      <c r="K16" s="115">
        <v>6.9476398834881801</v>
      </c>
      <c r="L16" s="115">
        <v>6.8814235089355735</v>
      </c>
      <c r="M16" s="115">
        <v>6.7448409272011931</v>
      </c>
      <c r="N16" s="115">
        <v>6.8465924084122998</v>
      </c>
      <c r="O16" s="115">
        <v>6.8268273579225944</v>
      </c>
      <c r="P16" s="115">
        <v>6.7351810531498453</v>
      </c>
      <c r="Q16" s="115">
        <v>6.6728130597106761</v>
      </c>
      <c r="R16" s="115">
        <v>6.8088245857671961</v>
      </c>
      <c r="S16" s="115">
        <v>7.0459341863945584</v>
      </c>
      <c r="T16" s="115">
        <v>8.2143167458911996</v>
      </c>
      <c r="U16" s="115">
        <v>8.1189492515858355</v>
      </c>
      <c r="V16" s="115">
        <v>8.0154323546401027</v>
      </c>
      <c r="W16" s="115">
        <v>7.846617265065662</v>
      </c>
      <c r="X16" s="115">
        <v>7.1153634561686845</v>
      </c>
      <c r="Y16" s="115">
        <v>7.0887416697967325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19.745208134356407</v>
      </c>
      <c r="C17" s="116">
        <f t="shared" ref="C17:V17" si="16">SUM(C18:C19)</f>
        <v>21.418496430674971</v>
      </c>
      <c r="D17" s="116">
        <f t="shared" si="16"/>
        <v>22.354158466902348</v>
      </c>
      <c r="E17" s="116">
        <f t="shared" si="16"/>
        <v>24.429974534057436</v>
      </c>
      <c r="F17" s="116">
        <f t="shared" si="16"/>
        <v>24.598666316067117</v>
      </c>
      <c r="G17" s="116">
        <f t="shared" si="16"/>
        <v>24.497391319739787</v>
      </c>
      <c r="H17" s="116">
        <f t="shared" si="16"/>
        <v>23.718979856611263</v>
      </c>
      <c r="I17" s="116">
        <f t="shared" si="16"/>
        <v>24.332037267140599</v>
      </c>
      <c r="J17" s="116">
        <f t="shared" si="16"/>
        <v>25.050849435400885</v>
      </c>
      <c r="K17" s="116">
        <f t="shared" si="16"/>
        <v>27.190952383889218</v>
      </c>
      <c r="L17" s="116">
        <f t="shared" si="16"/>
        <v>28.007318460986035</v>
      </c>
      <c r="M17" s="116">
        <f t="shared" si="16"/>
        <v>27.983029503929092</v>
      </c>
      <c r="N17" s="116">
        <f t="shared" si="16"/>
        <v>29.096868672777525</v>
      </c>
      <c r="O17" s="116">
        <f t="shared" si="16"/>
        <v>29.22326869864397</v>
      </c>
      <c r="P17" s="116">
        <f t="shared" si="16"/>
        <v>28.610504984746452</v>
      </c>
      <c r="Q17" s="116">
        <f t="shared" si="16"/>
        <v>31.286049505600872</v>
      </c>
      <c r="R17" s="116">
        <f t="shared" si="16"/>
        <v>29.07217987238424</v>
      </c>
      <c r="S17" s="116">
        <f t="shared" si="16"/>
        <v>30.197708743393569</v>
      </c>
      <c r="T17" s="116">
        <f t="shared" si="16"/>
        <v>31.789006154501337</v>
      </c>
      <c r="U17" s="116">
        <f t="shared" si="16"/>
        <v>33.103532640442609</v>
      </c>
      <c r="V17" s="116">
        <f t="shared" si="16"/>
        <v>26.450127424879518</v>
      </c>
      <c r="W17" s="116">
        <f t="shared" ref="W17:Y17" si="17">SUM(W18:W19)</f>
        <v>26.595960534652711</v>
      </c>
      <c r="X17" s="116">
        <f t="shared" si="17"/>
        <v>29.558052555095092</v>
      </c>
      <c r="Y17" s="116">
        <f t="shared" si="17"/>
        <v>30.494697146119897</v>
      </c>
      <c r="DA17" s="176" t="s">
        <v>1038</v>
      </c>
    </row>
    <row r="18" spans="1:105" ht="11.45" customHeight="1" x14ac:dyDescent="0.25">
      <c r="A18" s="111" t="s">
        <v>92</v>
      </c>
      <c r="B18" s="87">
        <v>5.3865714885476219</v>
      </c>
      <c r="C18" s="87">
        <v>4.9117893724278652</v>
      </c>
      <c r="D18" s="87">
        <v>5.0978106089312627</v>
      </c>
      <c r="E18" s="87">
        <v>5.5658910566405222</v>
      </c>
      <c r="F18" s="87">
        <v>5.4645727572794707</v>
      </c>
      <c r="G18" s="87">
        <v>4.9437633356607007</v>
      </c>
      <c r="H18" s="87">
        <v>5.1262050743038703</v>
      </c>
      <c r="I18" s="87">
        <v>4.2378351755905816</v>
      </c>
      <c r="J18" s="87">
        <v>4.4607250651768542</v>
      </c>
      <c r="K18" s="87">
        <v>3.8305731795303841</v>
      </c>
      <c r="L18" s="87">
        <v>4.3475259306396401</v>
      </c>
      <c r="M18" s="87">
        <v>4.8565953415559902</v>
      </c>
      <c r="N18" s="87">
        <v>4.3079694011966474</v>
      </c>
      <c r="O18" s="87">
        <v>3.6836093612324921</v>
      </c>
      <c r="P18" s="87">
        <v>4.2784830000783609</v>
      </c>
      <c r="Q18" s="87">
        <v>4.4655424478561123</v>
      </c>
      <c r="R18" s="87">
        <v>3.9036966135444482</v>
      </c>
      <c r="S18" s="87">
        <v>4.2347233061900829</v>
      </c>
      <c r="T18" s="87">
        <v>3.2289307905725337</v>
      </c>
      <c r="U18" s="87">
        <v>2.2839054031588182</v>
      </c>
      <c r="V18" s="87">
        <v>2.0766603279756097</v>
      </c>
      <c r="W18" s="87">
        <v>1.918582229957652</v>
      </c>
      <c r="X18" s="87">
        <v>2.337507777861318</v>
      </c>
      <c r="Y18" s="87">
        <v>2.4730984019951987</v>
      </c>
      <c r="DA18" s="171" t="s">
        <v>1039</v>
      </c>
    </row>
    <row r="19" spans="1:105" ht="11.45" customHeight="1" x14ac:dyDescent="0.25">
      <c r="A19" s="111" t="s">
        <v>93</v>
      </c>
      <c r="B19" s="87">
        <v>14.358636645808785</v>
      </c>
      <c r="C19" s="87">
        <v>16.506707058247105</v>
      </c>
      <c r="D19" s="87">
        <v>17.256347857971086</v>
      </c>
      <c r="E19" s="87">
        <v>18.864083477416912</v>
      </c>
      <c r="F19" s="87">
        <v>19.134093558787647</v>
      </c>
      <c r="G19" s="87">
        <v>19.553627984079085</v>
      </c>
      <c r="H19" s="87">
        <v>18.592774782307394</v>
      </c>
      <c r="I19" s="87">
        <v>20.094202091550017</v>
      </c>
      <c r="J19" s="87">
        <v>20.590124370224032</v>
      </c>
      <c r="K19" s="87">
        <v>23.360379204358836</v>
      </c>
      <c r="L19" s="87">
        <v>23.659792530346394</v>
      </c>
      <c r="M19" s="87">
        <v>23.126434162373101</v>
      </c>
      <c r="N19" s="87">
        <v>24.788899271580878</v>
      </c>
      <c r="O19" s="87">
        <v>25.539659337411479</v>
      </c>
      <c r="P19" s="87">
        <v>24.332021984668092</v>
      </c>
      <c r="Q19" s="87">
        <v>26.820507057744759</v>
      </c>
      <c r="R19" s="87">
        <v>25.168483258839792</v>
      </c>
      <c r="S19" s="87">
        <v>25.962985437203486</v>
      </c>
      <c r="T19" s="87">
        <v>28.560075363928803</v>
      </c>
      <c r="U19" s="87">
        <v>30.81962723728379</v>
      </c>
      <c r="V19" s="87">
        <v>24.373467096903909</v>
      </c>
      <c r="W19" s="87">
        <v>24.677378304695058</v>
      </c>
      <c r="X19" s="87">
        <v>27.220544777233773</v>
      </c>
      <c r="Y19" s="87">
        <v>28.021598744124699</v>
      </c>
      <c r="DA19" s="171" t="s">
        <v>1040</v>
      </c>
    </row>
    <row r="20" spans="1:105" ht="11.45" customHeight="1" x14ac:dyDescent="0.25">
      <c r="A20" s="112" t="s">
        <v>25</v>
      </c>
      <c r="B20" s="117">
        <v>0.44871937021842773</v>
      </c>
      <c r="C20" s="117">
        <v>0.37404029135770056</v>
      </c>
      <c r="D20" s="117">
        <v>0.83590423220648313</v>
      </c>
      <c r="E20" s="117">
        <v>1.2300653876863983</v>
      </c>
      <c r="F20" s="117">
        <v>0.97030452052203531</v>
      </c>
      <c r="G20" s="117">
        <v>1.8387096774193548</v>
      </c>
      <c r="H20" s="117">
        <v>2.5203821656050951</v>
      </c>
      <c r="I20" s="117">
        <v>3.3150326797385623</v>
      </c>
      <c r="J20" s="117">
        <v>3.5930555555555563</v>
      </c>
      <c r="K20" s="117">
        <v>3.5179310344827588</v>
      </c>
      <c r="L20" s="117">
        <v>3.7138686131386858</v>
      </c>
      <c r="M20" s="117">
        <v>4.0188405797101456</v>
      </c>
      <c r="N20" s="117">
        <v>3.9481481481481477</v>
      </c>
      <c r="O20" s="117">
        <v>4.1943999999999999</v>
      </c>
      <c r="P20" s="117">
        <v>3.6013513513513513</v>
      </c>
      <c r="Q20" s="117">
        <v>3.1248484848484845</v>
      </c>
      <c r="R20" s="117">
        <v>3.3835714285714289</v>
      </c>
      <c r="S20" s="117">
        <v>3.7128000000000001</v>
      </c>
      <c r="T20" s="117">
        <v>4.3419642857142859</v>
      </c>
      <c r="U20" s="117">
        <v>4.4217391304347826</v>
      </c>
      <c r="V20" s="117">
        <v>3.293333333333333</v>
      </c>
      <c r="W20" s="117">
        <v>3.6922181818181818</v>
      </c>
      <c r="X20" s="117">
        <v>3.3845333333333336</v>
      </c>
      <c r="Y20" s="117">
        <v>3.0084740740740745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16.562518125066887</v>
      </c>
      <c r="C21" s="29">
        <f t="shared" ref="C21:V21" si="19">SUM(C22:C23)</f>
        <v>16.477471174655484</v>
      </c>
      <c r="D21" s="29">
        <f t="shared" si="19"/>
        <v>16.385278608144361</v>
      </c>
      <c r="E21" s="29">
        <f t="shared" si="19"/>
        <v>16.785005653944769</v>
      </c>
      <c r="F21" s="29">
        <f t="shared" si="19"/>
        <v>17.499010884558192</v>
      </c>
      <c r="G21" s="29">
        <f t="shared" si="19"/>
        <v>17.162202200095571</v>
      </c>
      <c r="H21" s="29">
        <f t="shared" si="19"/>
        <v>19.107299752787938</v>
      </c>
      <c r="I21" s="29">
        <f t="shared" si="19"/>
        <v>18.342837999315169</v>
      </c>
      <c r="J21" s="29">
        <f t="shared" si="19"/>
        <v>18.55112314389072</v>
      </c>
      <c r="K21" s="29">
        <f t="shared" si="19"/>
        <v>15.203229725980584</v>
      </c>
      <c r="L21" s="29">
        <f t="shared" si="19"/>
        <v>16.460655687112066</v>
      </c>
      <c r="M21" s="29">
        <f t="shared" si="19"/>
        <v>16.227445826373977</v>
      </c>
      <c r="N21" s="29">
        <f t="shared" si="19"/>
        <v>16.156003568639825</v>
      </c>
      <c r="O21" s="29">
        <f t="shared" si="19"/>
        <v>15.304433304625501</v>
      </c>
      <c r="P21" s="29">
        <f t="shared" si="19"/>
        <v>16.314420451012996</v>
      </c>
      <c r="Q21" s="29">
        <f t="shared" si="19"/>
        <v>13.511414593226151</v>
      </c>
      <c r="R21" s="29">
        <f t="shared" si="19"/>
        <v>14.705378827295693</v>
      </c>
      <c r="S21" s="29">
        <f t="shared" si="19"/>
        <v>16.547677732824546</v>
      </c>
      <c r="T21" s="29">
        <f t="shared" si="19"/>
        <v>17.033890028817005</v>
      </c>
      <c r="U21" s="29">
        <f t="shared" si="19"/>
        <v>15.147097561734373</v>
      </c>
      <c r="V21" s="29">
        <f t="shared" si="19"/>
        <v>15.98380824947159</v>
      </c>
      <c r="W21" s="29">
        <f t="shared" ref="W21:Y21" si="20">SUM(W22:W23)</f>
        <v>16.22971244144842</v>
      </c>
      <c r="X21" s="29">
        <f t="shared" si="20"/>
        <v>13.767540835837957</v>
      </c>
      <c r="Y21" s="29">
        <f t="shared" si="20"/>
        <v>12.242736452772732</v>
      </c>
      <c r="DA21" s="173" t="s">
        <v>1042</v>
      </c>
    </row>
    <row r="22" spans="1:105" ht="11.45" customHeight="1" x14ac:dyDescent="0.25">
      <c r="A22" s="83" t="s">
        <v>92</v>
      </c>
      <c r="B22" s="87">
        <v>5.5613094586790295</v>
      </c>
      <c r="C22" s="87">
        <v>5.5055178250523715</v>
      </c>
      <c r="D22" s="87">
        <v>5.2127916577275926</v>
      </c>
      <c r="E22" s="87">
        <v>5.3000471455084099</v>
      </c>
      <c r="F22" s="87">
        <v>5.6502707521214592</v>
      </c>
      <c r="G22" s="87">
        <v>5.7516501208729194</v>
      </c>
      <c r="H22" s="87">
        <v>6.2163541868563037</v>
      </c>
      <c r="I22" s="87">
        <v>5.0914527830717935</v>
      </c>
      <c r="J22" s="87">
        <v>5.3618801421012154</v>
      </c>
      <c r="K22" s="87">
        <v>4.5640486247278096</v>
      </c>
      <c r="L22" s="87">
        <v>4.6784707098444329</v>
      </c>
      <c r="M22" s="87">
        <v>4.6461313840754226</v>
      </c>
      <c r="N22" s="87">
        <v>5.0215540368081593</v>
      </c>
      <c r="O22" s="87">
        <v>4.8846138112981956</v>
      </c>
      <c r="P22" s="87">
        <v>4.2280228365695134</v>
      </c>
      <c r="Q22" s="87">
        <v>3.0695988276905157</v>
      </c>
      <c r="R22" s="87">
        <v>3.182661642713442</v>
      </c>
      <c r="S22" s="87">
        <v>3.0573327581497183</v>
      </c>
      <c r="T22" s="87">
        <v>4.085111238444382</v>
      </c>
      <c r="U22" s="87">
        <v>4.3404320802804017</v>
      </c>
      <c r="V22" s="87">
        <v>3.9690964301859859</v>
      </c>
      <c r="W22" s="87">
        <v>4.8193057784091629</v>
      </c>
      <c r="X22" s="87">
        <v>3.6195135706386181</v>
      </c>
      <c r="Y22" s="87">
        <v>3.30545154913957</v>
      </c>
      <c r="DA22" s="171" t="s">
        <v>1043</v>
      </c>
    </row>
    <row r="23" spans="1:105" ht="11.45" customHeight="1" x14ac:dyDescent="0.25">
      <c r="A23" s="85" t="s">
        <v>93</v>
      </c>
      <c r="B23" s="88">
        <v>11.001208666387857</v>
      </c>
      <c r="C23" s="88">
        <v>10.971953349603114</v>
      </c>
      <c r="D23" s="88">
        <v>11.172486950416769</v>
      </c>
      <c r="E23" s="88">
        <v>11.484958508436359</v>
      </c>
      <c r="F23" s="88">
        <v>11.848740132436733</v>
      </c>
      <c r="G23" s="88">
        <v>11.410552079222652</v>
      </c>
      <c r="H23" s="88">
        <v>12.890945565931634</v>
      </c>
      <c r="I23" s="88">
        <v>13.251385216243376</v>
      </c>
      <c r="J23" s="88">
        <v>13.189243001789507</v>
      </c>
      <c r="K23" s="88">
        <v>10.639181101252774</v>
      </c>
      <c r="L23" s="88">
        <v>11.782184977267633</v>
      </c>
      <c r="M23" s="88">
        <v>11.581314442298554</v>
      </c>
      <c r="N23" s="88">
        <v>11.134449531831667</v>
      </c>
      <c r="O23" s="88">
        <v>10.419819493327307</v>
      </c>
      <c r="P23" s="88">
        <v>12.086397614443483</v>
      </c>
      <c r="Q23" s="88">
        <v>10.441815765535635</v>
      </c>
      <c r="R23" s="88">
        <v>11.522717184582252</v>
      </c>
      <c r="S23" s="88">
        <v>13.490344974674827</v>
      </c>
      <c r="T23" s="88">
        <v>12.948778790372623</v>
      </c>
      <c r="U23" s="88">
        <v>10.806665481453972</v>
      </c>
      <c r="V23" s="88">
        <v>12.014711819285605</v>
      </c>
      <c r="W23" s="88">
        <v>11.410406663039257</v>
      </c>
      <c r="X23" s="88">
        <v>10.148027265199339</v>
      </c>
      <c r="Y23" s="88">
        <v>8.937284903633163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272.81597999999997</v>
      </c>
      <c r="C25" s="62">
        <f t="shared" ref="C25:V25" si="22">C26+C32</f>
        <v>285.42866799999996</v>
      </c>
      <c r="D25" s="62">
        <f t="shared" si="22"/>
        <v>294.45542399999999</v>
      </c>
      <c r="E25" s="62">
        <f t="shared" si="22"/>
        <v>312.05495499999995</v>
      </c>
      <c r="F25" s="62">
        <f t="shared" si="22"/>
        <v>316.71315099999998</v>
      </c>
      <c r="G25" s="62">
        <f t="shared" si="22"/>
        <v>315.608542</v>
      </c>
      <c r="H25" s="62">
        <f t="shared" si="22"/>
        <v>321.69701800000001</v>
      </c>
      <c r="I25" s="62">
        <f t="shared" si="22"/>
        <v>328.37116399999996</v>
      </c>
      <c r="J25" s="62">
        <f t="shared" si="22"/>
        <v>330.19066299999997</v>
      </c>
      <c r="K25" s="62">
        <f t="shared" si="22"/>
        <v>337.402558</v>
      </c>
      <c r="L25" s="62">
        <f t="shared" si="22"/>
        <v>339.83017500000005</v>
      </c>
      <c r="M25" s="62">
        <f t="shared" si="22"/>
        <v>337.93825399999997</v>
      </c>
      <c r="N25" s="62">
        <f t="shared" si="22"/>
        <v>345.89839599999999</v>
      </c>
      <c r="O25" s="62">
        <f t="shared" si="22"/>
        <v>343.36472900000001</v>
      </c>
      <c r="P25" s="62">
        <f t="shared" si="22"/>
        <v>343.26119900000003</v>
      </c>
      <c r="Q25" s="62">
        <f t="shared" si="22"/>
        <v>352.15020700000002</v>
      </c>
      <c r="R25" s="62">
        <f t="shared" si="22"/>
        <v>340.025037</v>
      </c>
      <c r="S25" s="62">
        <f t="shared" si="22"/>
        <v>357.03242499999999</v>
      </c>
      <c r="T25" s="62">
        <f t="shared" si="22"/>
        <v>384.53481299999999</v>
      </c>
      <c r="U25" s="62">
        <f t="shared" si="22"/>
        <v>391.09374499999996</v>
      </c>
      <c r="V25" s="62">
        <f t="shared" si="22"/>
        <v>375.863088</v>
      </c>
      <c r="W25" s="62">
        <f t="shared" ref="W25:Y25" si="23">W26+W32</f>
        <v>362.29474000000005</v>
      </c>
      <c r="X25" s="62">
        <f t="shared" si="23"/>
        <v>345.04366599999997</v>
      </c>
      <c r="Y25" s="62">
        <f t="shared" si="23"/>
        <v>341.75436300000001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190.003388</v>
      </c>
      <c r="C26" s="29">
        <f t="shared" ref="C26:V26" si="25">SUM(C27,C28,C31)</f>
        <v>203.04131099999998</v>
      </c>
      <c r="D26" s="29">
        <f t="shared" si="25"/>
        <v>212.52903000000001</v>
      </c>
      <c r="E26" s="29">
        <f t="shared" si="25"/>
        <v>228.12992599999995</v>
      </c>
      <c r="F26" s="29">
        <f t="shared" si="25"/>
        <v>229.218096</v>
      </c>
      <c r="G26" s="29">
        <f t="shared" si="25"/>
        <v>229.79752999999999</v>
      </c>
      <c r="H26" s="29">
        <f t="shared" si="25"/>
        <v>226.16051899999999</v>
      </c>
      <c r="I26" s="29">
        <f t="shared" si="25"/>
        <v>233.81311999999997</v>
      </c>
      <c r="J26" s="29">
        <f t="shared" si="25"/>
        <v>237.435046</v>
      </c>
      <c r="K26" s="29">
        <f t="shared" si="25"/>
        <v>252.92819899999998</v>
      </c>
      <c r="L26" s="29">
        <f t="shared" si="25"/>
        <v>257.52689600000002</v>
      </c>
      <c r="M26" s="29">
        <f t="shared" si="25"/>
        <v>256.80102399999998</v>
      </c>
      <c r="N26" s="29">
        <f t="shared" si="25"/>
        <v>265.11837700000001</v>
      </c>
      <c r="O26" s="29">
        <f t="shared" si="25"/>
        <v>266.84256100000005</v>
      </c>
      <c r="P26" s="29">
        <f t="shared" si="25"/>
        <v>261.18679400000002</v>
      </c>
      <c r="Q26" s="29">
        <f t="shared" si="25"/>
        <v>278.35705999999999</v>
      </c>
      <c r="R26" s="29">
        <f t="shared" si="25"/>
        <v>266.33034299999997</v>
      </c>
      <c r="S26" s="29">
        <f t="shared" si="25"/>
        <v>274.29403600000001</v>
      </c>
      <c r="T26" s="29">
        <f t="shared" si="25"/>
        <v>299.365362</v>
      </c>
      <c r="U26" s="29">
        <f t="shared" si="25"/>
        <v>310.14829399999996</v>
      </c>
      <c r="V26" s="29">
        <f t="shared" si="25"/>
        <v>295.94404500000002</v>
      </c>
      <c r="W26" s="29">
        <f t="shared" ref="W26:Y26" si="26">SUM(W27,W28,W31)</f>
        <v>281.14617700000002</v>
      </c>
      <c r="X26" s="29">
        <f t="shared" si="26"/>
        <v>272.17636099999999</v>
      </c>
      <c r="Y26" s="29">
        <f t="shared" si="26"/>
        <v>277.168316</v>
      </c>
      <c r="DA26" s="173" t="s">
        <v>1046</v>
      </c>
    </row>
    <row r="27" spans="1:105" ht="11.45" customHeight="1" x14ac:dyDescent="0.25">
      <c r="A27" s="107" t="s">
        <v>23</v>
      </c>
      <c r="B27" s="115">
        <v>57.371510999999998</v>
      </c>
      <c r="C27" s="115">
        <v>59.353893999999997</v>
      </c>
      <c r="D27" s="115">
        <v>61.643739999999994</v>
      </c>
      <c r="E27" s="115">
        <v>62.529948999999995</v>
      </c>
      <c r="F27" s="115">
        <v>62.593221999999997</v>
      </c>
      <c r="G27" s="115">
        <v>62.395564999999998</v>
      </c>
      <c r="H27" s="115">
        <v>62.433135999999998</v>
      </c>
      <c r="I27" s="115">
        <v>61.901377999999994</v>
      </c>
      <c r="J27" s="115">
        <v>62.444814000000001</v>
      </c>
      <c r="K27" s="115">
        <v>63.160362999999997</v>
      </c>
      <c r="L27" s="115">
        <v>62.558395999999995</v>
      </c>
      <c r="M27" s="115">
        <v>61.316735999999999</v>
      </c>
      <c r="N27" s="115">
        <v>62.241749999999996</v>
      </c>
      <c r="O27" s="115">
        <v>62.062066999999999</v>
      </c>
      <c r="P27" s="115">
        <v>61.228918999999998</v>
      </c>
      <c r="Q27" s="115">
        <v>60.661936999999995</v>
      </c>
      <c r="R27" s="115">
        <v>61.898405999999994</v>
      </c>
      <c r="S27" s="115">
        <v>64.053947999999991</v>
      </c>
      <c r="T27" s="115">
        <v>74.675606999999999</v>
      </c>
      <c r="U27" s="115">
        <v>73.808629999999994</v>
      </c>
      <c r="V27" s="115">
        <v>72.867566999999994</v>
      </c>
      <c r="W27" s="115">
        <v>71.332885000000005</v>
      </c>
      <c r="X27" s="115">
        <v>65.595733999999993</v>
      </c>
      <c r="Y27" s="115">
        <v>64.443106999999998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131.63472200000001</v>
      </c>
      <c r="C28" s="116">
        <f t="shared" ref="C28:V28" si="28">SUM(C29:C30)</f>
        <v>142.78997699999999</v>
      </c>
      <c r="D28" s="116">
        <f t="shared" si="28"/>
        <v>149.027725</v>
      </c>
      <c r="E28" s="116">
        <f t="shared" si="28"/>
        <v>162.86649799999998</v>
      </c>
      <c r="F28" s="116">
        <f t="shared" si="28"/>
        <v>163.99110999999999</v>
      </c>
      <c r="G28" s="116">
        <f t="shared" si="28"/>
        <v>163.315943</v>
      </c>
      <c r="H28" s="116">
        <f t="shared" si="28"/>
        <v>158.12653299999999</v>
      </c>
      <c r="I28" s="116">
        <f t="shared" si="28"/>
        <v>164.54500199999998</v>
      </c>
      <c r="J28" s="116">
        <f t="shared" si="28"/>
        <v>167.005664</v>
      </c>
      <c r="K28" s="116">
        <f t="shared" si="28"/>
        <v>181.882983</v>
      </c>
      <c r="L28" s="116">
        <f t="shared" si="28"/>
        <v>186.71545800000001</v>
      </c>
      <c r="M28" s="116">
        <f t="shared" si="28"/>
        <v>186.55353100000002</v>
      </c>
      <c r="N28" s="116">
        <f t="shared" si="28"/>
        <v>194.04558500000002</v>
      </c>
      <c r="O28" s="116">
        <f t="shared" si="28"/>
        <v>195.45960500000001</v>
      </c>
      <c r="P28" s="116">
        <f t="shared" si="28"/>
        <v>190.73670100000001</v>
      </c>
      <c r="Q28" s="116">
        <f t="shared" si="28"/>
        <v>208.57366400000001</v>
      </c>
      <c r="R28" s="116">
        <f t="shared" si="28"/>
        <v>195.41019299999999</v>
      </c>
      <c r="S28" s="116">
        <f t="shared" si="28"/>
        <v>201.31805900000001</v>
      </c>
      <c r="T28" s="116">
        <f t="shared" si="28"/>
        <v>215.04094499999999</v>
      </c>
      <c r="U28" s="116">
        <f t="shared" si="28"/>
        <v>226.513577</v>
      </c>
      <c r="V28" s="116">
        <f t="shared" si="28"/>
        <v>213.35010600000001</v>
      </c>
      <c r="W28" s="116">
        <f t="shared" ref="W28:Y28" si="29">SUM(W29:W30)</f>
        <v>200.186635</v>
      </c>
      <c r="X28" s="116">
        <f t="shared" si="29"/>
        <v>197.053685</v>
      </c>
      <c r="Y28" s="116">
        <f t="shared" si="29"/>
        <v>203.29798199999999</v>
      </c>
      <c r="DA28" s="176" t="s">
        <v>1048</v>
      </c>
    </row>
    <row r="29" spans="1:105" ht="11.45" customHeight="1" x14ac:dyDescent="0.25">
      <c r="A29" s="111" t="s">
        <v>92</v>
      </c>
      <c r="B29" s="87">
        <v>35.910477</v>
      </c>
      <c r="C29" s="87">
        <v>32.745262999999994</v>
      </c>
      <c r="D29" s="87">
        <v>33.985405</v>
      </c>
      <c r="E29" s="87">
        <v>37.105940999999994</v>
      </c>
      <c r="F29" s="87">
        <v>36.430485999999995</v>
      </c>
      <c r="G29" s="87">
        <v>32.958422999999996</v>
      </c>
      <c r="H29" s="87">
        <v>34.174700999999999</v>
      </c>
      <c r="I29" s="87">
        <v>30.583654000000003</v>
      </c>
      <c r="J29" s="87">
        <v>29.738168000000002</v>
      </c>
      <c r="K29" s="87">
        <v>26.147121000000002</v>
      </c>
      <c r="L29" s="87">
        <v>28.983506999999999</v>
      </c>
      <c r="M29" s="87">
        <v>32.377302999999998</v>
      </c>
      <c r="N29" s="87">
        <v>28.786256000000002</v>
      </c>
      <c r="O29" s="87">
        <v>25.195209000000002</v>
      </c>
      <c r="P29" s="87">
        <v>28.523220999999999</v>
      </c>
      <c r="Q29" s="87">
        <v>29.770283000000003</v>
      </c>
      <c r="R29" s="87">
        <v>26.179236</v>
      </c>
      <c r="S29" s="87">
        <v>28.231489</v>
      </c>
      <c r="T29" s="87">
        <v>24.640442</v>
      </c>
      <c r="U29" s="87">
        <v>21.049395000000001</v>
      </c>
      <c r="V29" s="87">
        <v>17.458348000000001</v>
      </c>
      <c r="W29" s="87">
        <v>13.867300999999999</v>
      </c>
      <c r="X29" s="87">
        <v>15.583385999999999</v>
      </c>
      <c r="Y29" s="87">
        <v>16.487323</v>
      </c>
      <c r="DA29" s="171" t="s">
        <v>1049</v>
      </c>
    </row>
    <row r="30" spans="1:105" ht="11.45" customHeight="1" x14ac:dyDescent="0.25">
      <c r="A30" s="111" t="s">
        <v>93</v>
      </c>
      <c r="B30" s="87">
        <v>95.724244999999996</v>
      </c>
      <c r="C30" s="87">
        <v>110.044714</v>
      </c>
      <c r="D30" s="87">
        <v>115.04232</v>
      </c>
      <c r="E30" s="87">
        <v>125.76055699999999</v>
      </c>
      <c r="F30" s="87">
        <v>127.560624</v>
      </c>
      <c r="G30" s="87">
        <v>130.35751999999999</v>
      </c>
      <c r="H30" s="87">
        <v>123.951832</v>
      </c>
      <c r="I30" s="87">
        <v>133.96134799999999</v>
      </c>
      <c r="J30" s="87">
        <v>137.26749599999999</v>
      </c>
      <c r="K30" s="87">
        <v>155.735862</v>
      </c>
      <c r="L30" s="87">
        <v>157.73195100000001</v>
      </c>
      <c r="M30" s="87">
        <v>154.17622800000001</v>
      </c>
      <c r="N30" s="87">
        <v>165.25932900000001</v>
      </c>
      <c r="O30" s="87">
        <v>170.264396</v>
      </c>
      <c r="P30" s="87">
        <v>162.21348</v>
      </c>
      <c r="Q30" s="87">
        <v>178.803381</v>
      </c>
      <c r="R30" s="87">
        <v>169.23095699999999</v>
      </c>
      <c r="S30" s="87">
        <v>173.08656999999999</v>
      </c>
      <c r="T30" s="87">
        <v>190.40050299999999</v>
      </c>
      <c r="U30" s="87">
        <v>205.46418199999999</v>
      </c>
      <c r="V30" s="87">
        <v>195.89175800000001</v>
      </c>
      <c r="W30" s="87">
        <v>186.319334</v>
      </c>
      <c r="X30" s="87">
        <v>181.47029900000001</v>
      </c>
      <c r="Y30" s="87">
        <v>186.81065899999999</v>
      </c>
      <c r="DA30" s="171" t="s">
        <v>1050</v>
      </c>
    </row>
    <row r="31" spans="1:105" ht="11.45" customHeight="1" x14ac:dyDescent="0.25">
      <c r="A31" s="112" t="s">
        <v>25</v>
      </c>
      <c r="B31" s="117">
        <v>0.99715500000000001</v>
      </c>
      <c r="C31" s="117">
        <v>0.89744000000000002</v>
      </c>
      <c r="D31" s="117">
        <v>1.8575649999999999</v>
      </c>
      <c r="E31" s="117">
        <v>2.733479</v>
      </c>
      <c r="F31" s="117">
        <v>2.6337640000000002</v>
      </c>
      <c r="G31" s="117">
        <v>4.0860219999999998</v>
      </c>
      <c r="H31" s="117">
        <v>5.6008500000000003</v>
      </c>
      <c r="I31" s="117">
        <v>7.3667400000000001</v>
      </c>
      <c r="J31" s="117">
        <v>7.9845680000000003</v>
      </c>
      <c r="K31" s="117">
        <v>7.8848530000000006</v>
      </c>
      <c r="L31" s="117">
        <v>8.2530419999999989</v>
      </c>
      <c r="M31" s="117">
        <v>8.9307569999999998</v>
      </c>
      <c r="N31" s="117">
        <v>8.8310420000000001</v>
      </c>
      <c r="O31" s="117">
        <v>9.3208889999999993</v>
      </c>
      <c r="P31" s="117">
        <v>9.2211739999999995</v>
      </c>
      <c r="Q31" s="117">
        <v>9.1214589999999998</v>
      </c>
      <c r="R31" s="117">
        <v>9.021744</v>
      </c>
      <c r="S31" s="117">
        <v>8.9220289999999984</v>
      </c>
      <c r="T31" s="117">
        <v>9.6488099999999992</v>
      </c>
      <c r="U31" s="117">
        <v>9.8260869999999993</v>
      </c>
      <c r="V31" s="117">
        <v>9.7263719999999996</v>
      </c>
      <c r="W31" s="117">
        <v>9.6266569999999998</v>
      </c>
      <c r="X31" s="117">
        <v>9.526942</v>
      </c>
      <c r="Y31" s="117">
        <v>9.4272269999999985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82.812591999999995</v>
      </c>
      <c r="C32" s="29">
        <f t="shared" ref="C32:V32" si="31">SUM(C33:C34)</f>
        <v>82.387356999999994</v>
      </c>
      <c r="D32" s="29">
        <f t="shared" si="31"/>
        <v>81.926394000000002</v>
      </c>
      <c r="E32" s="29">
        <f t="shared" si="31"/>
        <v>83.925028999999995</v>
      </c>
      <c r="F32" s="29">
        <f t="shared" si="31"/>
        <v>87.495054999999994</v>
      </c>
      <c r="G32" s="29">
        <f t="shared" si="31"/>
        <v>85.811012000000005</v>
      </c>
      <c r="H32" s="29">
        <f t="shared" si="31"/>
        <v>95.536499000000006</v>
      </c>
      <c r="I32" s="29">
        <f t="shared" si="31"/>
        <v>94.55804400000001</v>
      </c>
      <c r="J32" s="29">
        <f t="shared" si="31"/>
        <v>92.755617000000001</v>
      </c>
      <c r="K32" s="29">
        <f t="shared" si="31"/>
        <v>84.474358999999993</v>
      </c>
      <c r="L32" s="29">
        <f t="shared" si="31"/>
        <v>82.303279000000003</v>
      </c>
      <c r="M32" s="29">
        <f t="shared" si="31"/>
        <v>81.137229999999988</v>
      </c>
      <c r="N32" s="29">
        <f t="shared" si="31"/>
        <v>80.780018999999996</v>
      </c>
      <c r="O32" s="29">
        <f t="shared" si="31"/>
        <v>76.522167999999994</v>
      </c>
      <c r="P32" s="29">
        <f t="shared" si="31"/>
        <v>82.074404999999999</v>
      </c>
      <c r="Q32" s="29">
        <f t="shared" si="31"/>
        <v>73.793147000000005</v>
      </c>
      <c r="R32" s="29">
        <f t="shared" si="31"/>
        <v>73.694693999999998</v>
      </c>
      <c r="S32" s="29">
        <f t="shared" si="31"/>
        <v>82.738388999999998</v>
      </c>
      <c r="T32" s="29">
        <f t="shared" si="31"/>
        <v>85.169450999999995</v>
      </c>
      <c r="U32" s="29">
        <f t="shared" si="31"/>
        <v>80.945450999999991</v>
      </c>
      <c r="V32" s="29">
        <f t="shared" si="31"/>
        <v>79.919043000000002</v>
      </c>
      <c r="W32" s="29">
        <f t="shared" ref="W32:Y32" si="32">SUM(W33:W34)</f>
        <v>81.148562999999996</v>
      </c>
      <c r="X32" s="29">
        <f t="shared" si="32"/>
        <v>72.867305000000002</v>
      </c>
      <c r="Y32" s="29">
        <f t="shared" si="32"/>
        <v>64.586047000000008</v>
      </c>
      <c r="DA32" s="173" t="s">
        <v>1052</v>
      </c>
    </row>
    <row r="33" spans="1:105" ht="11.45" customHeight="1" x14ac:dyDescent="0.25">
      <c r="A33" s="83" t="s">
        <v>92</v>
      </c>
      <c r="B33" s="87">
        <v>27.806547999999999</v>
      </c>
      <c r="C33" s="87">
        <v>27.52759</v>
      </c>
      <c r="D33" s="87">
        <v>26.063959000000001</v>
      </c>
      <c r="E33" s="87">
        <v>26.500236000000001</v>
      </c>
      <c r="F33" s="87">
        <v>28.251354000000003</v>
      </c>
      <c r="G33" s="87">
        <v>28.758251000000001</v>
      </c>
      <c r="H33" s="87">
        <v>31.081771</v>
      </c>
      <c r="I33" s="87">
        <v>28.301117000000001</v>
      </c>
      <c r="J33" s="87">
        <v>26.809401000000001</v>
      </c>
      <c r="K33" s="87">
        <v>24.028747000000003</v>
      </c>
      <c r="L33" s="87">
        <v>23.392354000000001</v>
      </c>
      <c r="M33" s="87">
        <v>23.230657000000001</v>
      </c>
      <c r="N33" s="87">
        <v>25.107771</v>
      </c>
      <c r="O33" s="87">
        <v>24.423070000000003</v>
      </c>
      <c r="P33" s="87">
        <v>21.642416000000001</v>
      </c>
      <c r="Q33" s="87">
        <v>18.861762000000002</v>
      </c>
      <c r="R33" s="87">
        <v>16.081108</v>
      </c>
      <c r="S33" s="87">
        <v>15.286664</v>
      </c>
      <c r="T33" s="87">
        <v>20.425557000000001</v>
      </c>
      <c r="U33" s="87">
        <v>21.702161</v>
      </c>
      <c r="V33" s="87">
        <v>19.845483000000002</v>
      </c>
      <c r="W33" s="87">
        <v>24.096529</v>
      </c>
      <c r="X33" s="87">
        <v>21.315875000000002</v>
      </c>
      <c r="Y33" s="87">
        <v>18.535221</v>
      </c>
      <c r="DA33" s="171" t="s">
        <v>1053</v>
      </c>
    </row>
    <row r="34" spans="1:105" ht="11.45" customHeight="1" x14ac:dyDescent="0.25">
      <c r="A34" s="85" t="s">
        <v>93</v>
      </c>
      <c r="B34" s="88">
        <v>55.006043999999996</v>
      </c>
      <c r="C34" s="88">
        <v>54.859766999999998</v>
      </c>
      <c r="D34" s="88">
        <v>55.862434999999998</v>
      </c>
      <c r="E34" s="88">
        <v>57.424792999999994</v>
      </c>
      <c r="F34" s="88">
        <v>59.243700999999994</v>
      </c>
      <c r="G34" s="88">
        <v>57.052760999999997</v>
      </c>
      <c r="H34" s="88">
        <v>64.454728000000003</v>
      </c>
      <c r="I34" s="88">
        <v>66.256927000000005</v>
      </c>
      <c r="J34" s="88">
        <v>65.946215999999993</v>
      </c>
      <c r="K34" s="88">
        <v>60.445611999999997</v>
      </c>
      <c r="L34" s="88">
        <v>58.910924999999999</v>
      </c>
      <c r="M34" s="88">
        <v>57.906572999999995</v>
      </c>
      <c r="N34" s="88">
        <v>55.672247999999996</v>
      </c>
      <c r="O34" s="88">
        <v>52.099097999999998</v>
      </c>
      <c r="P34" s="88">
        <v>60.431988999999994</v>
      </c>
      <c r="Q34" s="88">
        <v>54.931384999999999</v>
      </c>
      <c r="R34" s="88">
        <v>57.613585999999998</v>
      </c>
      <c r="S34" s="88">
        <v>67.451724999999996</v>
      </c>
      <c r="T34" s="88">
        <v>64.743893999999997</v>
      </c>
      <c r="U34" s="88">
        <v>59.243289999999995</v>
      </c>
      <c r="V34" s="88">
        <v>60.073560000000001</v>
      </c>
      <c r="W34" s="88">
        <v>57.052033999999999</v>
      </c>
      <c r="X34" s="88">
        <v>51.551429999999996</v>
      </c>
      <c r="Y34" s="88">
        <v>46.050826000000001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23.929979000000014</v>
      </c>
      <c r="D36" s="54">
        <f t="shared" ref="D36:V36" si="34">D37+D43</f>
        <v>18.558796000000019</v>
      </c>
      <c r="E36" s="54">
        <f t="shared" si="34"/>
        <v>26.769043999999969</v>
      </c>
      <c r="F36" s="54">
        <f t="shared" si="34"/>
        <v>13.901782000000015</v>
      </c>
      <c r="G36" s="54">
        <f t="shared" si="34"/>
        <v>10.807738999999989</v>
      </c>
      <c r="H36" s="54">
        <f t="shared" si="34"/>
        <v>18.519542000000008</v>
      </c>
      <c r="I36" s="54">
        <f t="shared" si="34"/>
        <v>20.022746999999999</v>
      </c>
      <c r="J36" s="54">
        <f t="shared" si="34"/>
        <v>11.379624000000003</v>
      </c>
      <c r="K36" s="54">
        <f t="shared" si="34"/>
        <v>24.306514</v>
      </c>
      <c r="L36" s="54">
        <f t="shared" si="34"/>
        <v>11.597130000000007</v>
      </c>
      <c r="M36" s="54">
        <f t="shared" si="34"/>
        <v>7.6891800000000039</v>
      </c>
      <c r="N36" s="54">
        <f t="shared" si="34"/>
        <v>20.108932000000003</v>
      </c>
      <c r="O36" s="54">
        <f t="shared" si="34"/>
        <v>10.879875000000009</v>
      </c>
      <c r="P36" s="54">
        <f t="shared" si="34"/>
        <v>15.726386999999995</v>
      </c>
      <c r="Q36" s="54">
        <f t="shared" si="34"/>
        <v>23.484089000000004</v>
      </c>
      <c r="R36" s="54">
        <f t="shared" si="34"/>
        <v>7.725793000000003</v>
      </c>
      <c r="S36" s="54">
        <f t="shared" si="34"/>
        <v>26.25097400000001</v>
      </c>
      <c r="T36" s="54">
        <f t="shared" si="34"/>
        <v>40.050611000000011</v>
      </c>
      <c r="U36" s="54">
        <f t="shared" si="34"/>
        <v>21.89992800000001</v>
      </c>
      <c r="V36" s="54">
        <f t="shared" si="34"/>
        <v>3.6963300000000103</v>
      </c>
      <c r="W36" s="54">
        <f t="shared" ref="W36:Y36" si="35">W37+W43</f>
        <v>5.7959320000000112</v>
      </c>
      <c r="X36" s="54">
        <f t="shared" si="35"/>
        <v>2.8075939999999999</v>
      </c>
      <c r="Y36" s="54">
        <f t="shared" si="35"/>
        <v>11.305777999999988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21.42545100000001</v>
      </c>
      <c r="D37" s="28">
        <f t="shared" ref="D37:V37" si="37">SUM(D38,D39,D42)</f>
        <v>15.727469000000017</v>
      </c>
      <c r="E37" s="28">
        <f t="shared" si="37"/>
        <v>21.840645999999971</v>
      </c>
      <c r="F37" s="28">
        <f t="shared" si="37"/>
        <v>7.4019930000000116</v>
      </c>
      <c r="G37" s="28">
        <f t="shared" si="37"/>
        <v>9.1997379999999911</v>
      </c>
      <c r="H37" s="28">
        <f t="shared" si="37"/>
        <v>5.8642920000000007</v>
      </c>
      <c r="I37" s="28">
        <f t="shared" si="37"/>
        <v>16.391888999999995</v>
      </c>
      <c r="J37" s="28">
        <f t="shared" si="37"/>
        <v>9.8616760000000134</v>
      </c>
      <c r="K37" s="28">
        <f t="shared" si="37"/>
        <v>24.306514</v>
      </c>
      <c r="L37" s="28">
        <f t="shared" si="37"/>
        <v>10.838447000000006</v>
      </c>
      <c r="M37" s="28">
        <f t="shared" si="37"/>
        <v>5.9254660000000072</v>
      </c>
      <c r="N37" s="28">
        <f t="shared" si="37"/>
        <v>17.130714000000005</v>
      </c>
      <c r="O37" s="28">
        <f t="shared" si="37"/>
        <v>10.463472000000007</v>
      </c>
      <c r="P37" s="28">
        <f t="shared" si="37"/>
        <v>5.5648369999999971</v>
      </c>
      <c r="Q37" s="28">
        <f t="shared" si="37"/>
        <v>23.484089000000004</v>
      </c>
      <c r="R37" s="28">
        <f t="shared" si="37"/>
        <v>3.214933000000002</v>
      </c>
      <c r="S37" s="28">
        <f t="shared" si="37"/>
        <v>14.277516000000009</v>
      </c>
      <c r="T37" s="28">
        <f t="shared" si="37"/>
        <v>33.810614000000008</v>
      </c>
      <c r="U37" s="28">
        <f t="shared" si="37"/>
        <v>19.522220000000011</v>
      </c>
      <c r="V37" s="28">
        <f t="shared" si="37"/>
        <v>1.0374010000000027</v>
      </c>
      <c r="W37" s="28">
        <f t="shared" ref="W37:Y37" si="38">SUM(W38,W39,W42)</f>
        <v>0.443782000000013</v>
      </c>
      <c r="X37" s="28">
        <f t="shared" si="38"/>
        <v>2.8075939999999999</v>
      </c>
      <c r="Y37" s="28">
        <f t="shared" si="38"/>
        <v>11.305777999999988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3.9608470000000011</v>
      </c>
      <c r="D38" s="108">
        <v>4.2683099999999996</v>
      </c>
      <c r="E38" s="108">
        <v>2.8646729999999963</v>
      </c>
      <c r="F38" s="108">
        <v>2.0417370000000048</v>
      </c>
      <c r="G38" s="108">
        <v>1.7808069999999958</v>
      </c>
      <c r="H38" s="108">
        <v>2.0160349999999951</v>
      </c>
      <c r="I38" s="108">
        <v>1.4467059999999989</v>
      </c>
      <c r="J38" s="108">
        <v>2.5219000000000023</v>
      </c>
      <c r="K38" s="108">
        <v>2.6940129999999911</v>
      </c>
      <c r="L38" s="108">
        <v>1.3764969999999934</v>
      </c>
      <c r="M38" s="108">
        <v>0.73680400000000645</v>
      </c>
      <c r="N38" s="108">
        <v>2.9034779999999998</v>
      </c>
      <c r="O38" s="108">
        <v>1.7987810000000053</v>
      </c>
      <c r="P38" s="108">
        <v>1.1453160000000011</v>
      </c>
      <c r="Q38" s="108">
        <v>1.4114819999999995</v>
      </c>
      <c r="R38" s="108">
        <v>3.214933000000002</v>
      </c>
      <c r="S38" s="108">
        <v>4.1340059999999994</v>
      </c>
      <c r="T38" s="108">
        <v>12.600123000000011</v>
      </c>
      <c r="U38" s="108">
        <v>1.1114869999999968</v>
      </c>
      <c r="V38" s="108">
        <v>1.0374010000000027</v>
      </c>
      <c r="W38" s="108">
        <v>0.443782000000013</v>
      </c>
      <c r="X38" s="108">
        <v>0</v>
      </c>
      <c r="Y38" s="108">
        <v>0.82583700000000704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17.464604000000008</v>
      </c>
      <c r="D39" s="110">
        <f t="shared" ref="D39:V39" si="40">SUM(D40:D41)</f>
        <v>10.473392000000018</v>
      </c>
      <c r="E39" s="110">
        <f t="shared" si="40"/>
        <v>18.074416999999976</v>
      </c>
      <c r="F39" s="110">
        <f t="shared" si="40"/>
        <v>5.3602560000000068</v>
      </c>
      <c r="G39" s="110">
        <f t="shared" si="40"/>
        <v>5.9410309999999953</v>
      </c>
      <c r="H39" s="110">
        <f t="shared" si="40"/>
        <v>2.3077870000000047</v>
      </c>
      <c r="I39" s="110">
        <f t="shared" si="40"/>
        <v>13.153650999999996</v>
      </c>
      <c r="J39" s="110">
        <f t="shared" si="40"/>
        <v>6.6963060000000105</v>
      </c>
      <c r="K39" s="110">
        <f t="shared" si="40"/>
        <v>21.612501000000009</v>
      </c>
      <c r="L39" s="110">
        <f t="shared" si="40"/>
        <v>9.0681190000000136</v>
      </c>
      <c r="M39" s="110">
        <f t="shared" si="40"/>
        <v>4.4853050000000003</v>
      </c>
      <c r="N39" s="110">
        <f t="shared" si="40"/>
        <v>14.227236000000005</v>
      </c>
      <c r="O39" s="110">
        <f t="shared" si="40"/>
        <v>8.1492020000000025</v>
      </c>
      <c r="P39" s="110">
        <f t="shared" si="40"/>
        <v>4.419520999999996</v>
      </c>
      <c r="Q39" s="110">
        <f t="shared" si="40"/>
        <v>22.072607000000005</v>
      </c>
      <c r="R39" s="110">
        <f t="shared" si="40"/>
        <v>0</v>
      </c>
      <c r="S39" s="110">
        <f t="shared" si="40"/>
        <v>10.14351000000001</v>
      </c>
      <c r="T39" s="110">
        <f t="shared" si="40"/>
        <v>20.458067999999997</v>
      </c>
      <c r="U39" s="110">
        <f t="shared" si="40"/>
        <v>18.207814000000013</v>
      </c>
      <c r="V39" s="110">
        <f t="shared" si="40"/>
        <v>0</v>
      </c>
      <c r="W39" s="110">
        <f t="shared" ref="W39:Y39" si="41">SUM(W40:W41)</f>
        <v>0</v>
      </c>
      <c r="X39" s="110">
        <f t="shared" si="41"/>
        <v>2.8075939999999999</v>
      </c>
      <c r="Y39" s="110">
        <f t="shared" si="41"/>
        <v>10.479940999999981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2.3316510000000079</v>
      </c>
      <c r="E40" s="84">
        <v>4.2120449999999963</v>
      </c>
      <c r="F40" s="84">
        <v>0.41605400000000259</v>
      </c>
      <c r="G40" s="84">
        <v>0</v>
      </c>
      <c r="H40" s="84">
        <v>2.3077870000000047</v>
      </c>
      <c r="I40" s="84">
        <v>0</v>
      </c>
      <c r="J40" s="84">
        <v>0.24602299999999744</v>
      </c>
      <c r="K40" s="84">
        <v>0</v>
      </c>
      <c r="L40" s="84">
        <v>3.9278949999999959</v>
      </c>
      <c r="M40" s="84">
        <v>4.4853050000000003</v>
      </c>
      <c r="N40" s="84">
        <v>0</v>
      </c>
      <c r="O40" s="84">
        <v>0</v>
      </c>
      <c r="P40" s="84">
        <v>4.419520999999996</v>
      </c>
      <c r="Q40" s="84">
        <v>2.3385710000000017</v>
      </c>
      <c r="R40" s="84">
        <v>0</v>
      </c>
      <c r="S40" s="84">
        <v>3.1437619999999988</v>
      </c>
      <c r="T40" s="84">
        <v>0</v>
      </c>
      <c r="U40" s="84">
        <v>0</v>
      </c>
      <c r="V40" s="84">
        <v>0</v>
      </c>
      <c r="W40" s="84">
        <v>0</v>
      </c>
      <c r="X40" s="84">
        <v>2.8075939999999999</v>
      </c>
      <c r="Y40" s="84">
        <v>1.9954459999999994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17.464604000000008</v>
      </c>
      <c r="D41" s="84">
        <v>8.1417410000000103</v>
      </c>
      <c r="E41" s="84">
        <v>13.862371999999979</v>
      </c>
      <c r="F41" s="84">
        <v>4.9442020000000042</v>
      </c>
      <c r="G41" s="84">
        <v>5.9410309999999953</v>
      </c>
      <c r="H41" s="84">
        <v>0</v>
      </c>
      <c r="I41" s="84">
        <v>13.153650999999996</v>
      </c>
      <c r="J41" s="84">
        <v>6.4502830000000131</v>
      </c>
      <c r="K41" s="84">
        <v>21.612501000000009</v>
      </c>
      <c r="L41" s="84">
        <v>5.1402240000000177</v>
      </c>
      <c r="M41" s="84">
        <v>0</v>
      </c>
      <c r="N41" s="84">
        <v>14.227236000000005</v>
      </c>
      <c r="O41" s="84">
        <v>8.1492020000000025</v>
      </c>
      <c r="P41" s="84">
        <v>0</v>
      </c>
      <c r="Q41" s="84">
        <v>19.734036000000003</v>
      </c>
      <c r="R41" s="84">
        <v>0</v>
      </c>
      <c r="S41" s="84">
        <v>6.999748000000011</v>
      </c>
      <c r="T41" s="84">
        <v>20.458067999999997</v>
      </c>
      <c r="U41" s="84">
        <v>18.207814000000013</v>
      </c>
      <c r="V41" s="84">
        <v>0</v>
      </c>
      <c r="W41" s="84">
        <v>0</v>
      </c>
      <c r="X41" s="84">
        <v>0</v>
      </c>
      <c r="Y41" s="84">
        <v>8.4844949999999812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0.98576699999999984</v>
      </c>
      <c r="E42" s="113">
        <v>0.90155600000000002</v>
      </c>
      <c r="F42" s="113">
        <v>0</v>
      </c>
      <c r="G42" s="113">
        <v>1.4779</v>
      </c>
      <c r="H42" s="113">
        <v>1.5404700000000009</v>
      </c>
      <c r="I42" s="113">
        <v>1.7915320000000001</v>
      </c>
      <c r="J42" s="113">
        <v>0.64347000000000065</v>
      </c>
      <c r="K42" s="113">
        <v>0</v>
      </c>
      <c r="L42" s="113">
        <v>0.39383099999999782</v>
      </c>
      <c r="M42" s="113">
        <v>0.70335700000000045</v>
      </c>
      <c r="N42" s="113">
        <v>0</v>
      </c>
      <c r="O42" s="113">
        <v>0.51548899999999875</v>
      </c>
      <c r="P42" s="113">
        <v>0</v>
      </c>
      <c r="Q42" s="113">
        <v>0</v>
      </c>
      <c r="R42" s="113">
        <v>0</v>
      </c>
      <c r="S42" s="113">
        <v>0</v>
      </c>
      <c r="T42" s="113">
        <v>0.75242300000000029</v>
      </c>
      <c r="U42" s="113">
        <v>0.20291899999999963</v>
      </c>
      <c r="V42" s="113">
        <v>0</v>
      </c>
      <c r="W42" s="113">
        <v>0</v>
      </c>
      <c r="X42" s="113">
        <v>0</v>
      </c>
      <c r="Y42" s="113">
        <v>0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2.5045280000000041</v>
      </c>
      <c r="D43" s="28">
        <f t="shared" ref="D43:V43" si="43">SUM(D44:D45)</f>
        <v>2.8313270000000017</v>
      </c>
      <c r="E43" s="28">
        <f t="shared" si="43"/>
        <v>4.9283979999999978</v>
      </c>
      <c r="F43" s="28">
        <f t="shared" si="43"/>
        <v>6.4997890000000034</v>
      </c>
      <c r="G43" s="28">
        <f t="shared" si="43"/>
        <v>1.608000999999998</v>
      </c>
      <c r="H43" s="28">
        <f t="shared" si="43"/>
        <v>12.655250000000009</v>
      </c>
      <c r="I43" s="28">
        <f t="shared" si="43"/>
        <v>3.6308580000000035</v>
      </c>
      <c r="J43" s="28">
        <f t="shared" si="43"/>
        <v>1.5179479999999899</v>
      </c>
      <c r="K43" s="28">
        <f t="shared" si="43"/>
        <v>0</v>
      </c>
      <c r="L43" s="28">
        <f t="shared" si="43"/>
        <v>0.75868300000000133</v>
      </c>
      <c r="M43" s="28">
        <f t="shared" si="43"/>
        <v>1.7637139999999967</v>
      </c>
      <c r="N43" s="28">
        <f t="shared" si="43"/>
        <v>2.9782179999999983</v>
      </c>
      <c r="O43" s="28">
        <f t="shared" si="43"/>
        <v>0.41640300000000252</v>
      </c>
      <c r="P43" s="28">
        <f t="shared" si="43"/>
        <v>10.161549999999998</v>
      </c>
      <c r="Q43" s="28">
        <f t="shared" si="43"/>
        <v>0</v>
      </c>
      <c r="R43" s="28">
        <f t="shared" si="43"/>
        <v>4.510860000000001</v>
      </c>
      <c r="S43" s="28">
        <f t="shared" si="43"/>
        <v>11.973458000000001</v>
      </c>
      <c r="T43" s="28">
        <f t="shared" si="43"/>
        <v>6.2399970000000007</v>
      </c>
      <c r="U43" s="28">
        <f t="shared" si="43"/>
        <v>2.3777079999999984</v>
      </c>
      <c r="V43" s="28">
        <f t="shared" si="43"/>
        <v>2.6589290000000076</v>
      </c>
      <c r="W43" s="28">
        <f t="shared" ref="W43:Y43" si="44">SUM(W44:W45)</f>
        <v>5.3521499999999982</v>
      </c>
      <c r="X43" s="28">
        <f t="shared" si="44"/>
        <v>0</v>
      </c>
      <c r="Y43" s="28">
        <f t="shared" si="44"/>
        <v>0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0.82214600000000004</v>
      </c>
      <c r="D44" s="84">
        <v>0</v>
      </c>
      <c r="E44" s="84">
        <v>1.5373809999999999</v>
      </c>
      <c r="F44" s="84">
        <v>2.8522220000000011</v>
      </c>
      <c r="G44" s="84">
        <v>1.608000999999998</v>
      </c>
      <c r="H44" s="84">
        <v>3.4246240000000014</v>
      </c>
      <c r="I44" s="84">
        <v>0</v>
      </c>
      <c r="J44" s="84">
        <v>0</v>
      </c>
      <c r="K44" s="84">
        <v>0</v>
      </c>
      <c r="L44" s="84">
        <v>0.46471099999999765</v>
      </c>
      <c r="M44" s="84">
        <v>0.93940699999999921</v>
      </c>
      <c r="N44" s="84">
        <v>2.9782179999999983</v>
      </c>
      <c r="O44" s="84">
        <v>0.41640300000000252</v>
      </c>
      <c r="P44" s="84">
        <v>0</v>
      </c>
      <c r="Q44" s="84">
        <v>0</v>
      </c>
      <c r="R44" s="84">
        <v>0</v>
      </c>
      <c r="S44" s="84">
        <v>0.30666000000000082</v>
      </c>
      <c r="T44" s="84">
        <v>6.2399970000000007</v>
      </c>
      <c r="U44" s="84">
        <v>2.3777079999999984</v>
      </c>
      <c r="V44" s="84">
        <v>0</v>
      </c>
      <c r="W44" s="84">
        <v>5.3521499999999982</v>
      </c>
      <c r="X44" s="84">
        <v>0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1.682382000000004</v>
      </c>
      <c r="D45" s="86">
        <v>2.8313270000000017</v>
      </c>
      <c r="E45" s="86">
        <v>3.3910169999999979</v>
      </c>
      <c r="F45" s="86">
        <v>3.6475670000000022</v>
      </c>
      <c r="G45" s="86">
        <v>0</v>
      </c>
      <c r="H45" s="86">
        <v>9.230626000000008</v>
      </c>
      <c r="I45" s="86">
        <v>3.6308580000000035</v>
      </c>
      <c r="J45" s="86">
        <v>1.5179479999999899</v>
      </c>
      <c r="K45" s="86">
        <v>0</v>
      </c>
      <c r="L45" s="86">
        <v>0.29397200000000367</v>
      </c>
      <c r="M45" s="86">
        <v>0.82430699999999746</v>
      </c>
      <c r="N45" s="86">
        <v>0</v>
      </c>
      <c r="O45" s="86">
        <v>0</v>
      </c>
      <c r="P45" s="86">
        <v>10.161549999999998</v>
      </c>
      <c r="Q45" s="86">
        <v>0</v>
      </c>
      <c r="R45" s="86">
        <v>4.510860000000001</v>
      </c>
      <c r="S45" s="86">
        <v>11.666798</v>
      </c>
      <c r="T45" s="86">
        <v>0</v>
      </c>
      <c r="U45" s="86">
        <v>0</v>
      </c>
      <c r="V45" s="86">
        <v>2.6589290000000076</v>
      </c>
      <c r="W45" s="86">
        <v>0</v>
      </c>
      <c r="X45" s="86">
        <v>0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147.21865197437529</v>
      </c>
      <c r="C50" s="29">
        <f t="shared" si="45"/>
        <v>133.700710683452</v>
      </c>
      <c r="D50" s="29">
        <f t="shared" si="45"/>
        <v>127.97424555498705</v>
      </c>
      <c r="E50" s="29">
        <f t="shared" si="45"/>
        <v>118.63852561785129</v>
      </c>
      <c r="F50" s="29">
        <f t="shared" si="45"/>
        <v>119.39893714251471</v>
      </c>
      <c r="G50" s="29">
        <f t="shared" si="45"/>
        <v>120.60381516286982</v>
      </c>
      <c r="H50" s="29">
        <f t="shared" si="45"/>
        <v>122.75347059920318</v>
      </c>
      <c r="I50" s="29">
        <f t="shared" si="45"/>
        <v>124.73799543236892</v>
      </c>
      <c r="J50" s="29">
        <f t="shared" si="45"/>
        <v>129.08009372108978</v>
      </c>
      <c r="K50" s="29">
        <f t="shared" ref="K50:V50" si="46">IF(K4=0,0,K4/K15)</f>
        <v>117.05807157673141</v>
      </c>
      <c r="L50" s="29">
        <f t="shared" si="46"/>
        <v>116.28747206982617</v>
      </c>
      <c r="M50" s="29">
        <f t="shared" si="46"/>
        <v>113.48059965063413</v>
      </c>
      <c r="N50" s="29">
        <f t="shared" si="46"/>
        <v>114.33482098399901</v>
      </c>
      <c r="O50" s="29">
        <f t="shared" si="46"/>
        <v>113.75468569827009</v>
      </c>
      <c r="P50" s="29">
        <f t="shared" si="46"/>
        <v>112.65667996611236</v>
      </c>
      <c r="Q50" s="29">
        <f t="shared" si="46"/>
        <v>112.69254087998451</v>
      </c>
      <c r="R50" s="29">
        <f t="shared" si="46"/>
        <v>111.93763744992229</v>
      </c>
      <c r="S50" s="29">
        <f t="shared" si="46"/>
        <v>117.89983597384528</v>
      </c>
      <c r="T50" s="29">
        <f t="shared" si="46"/>
        <v>117.02982722959692</v>
      </c>
      <c r="U50" s="29">
        <f t="shared" si="46"/>
        <v>122.17400829032819</v>
      </c>
      <c r="V50" s="29">
        <f t="shared" si="46"/>
        <v>89.559770311227751</v>
      </c>
      <c r="W50" s="29">
        <f t="shared" ref="W50:Y50" si="47">IF(W4=0,0,W4/W15)</f>
        <v>89.120656513330374</v>
      </c>
      <c r="X50" s="29">
        <f t="shared" si="47"/>
        <v>128.15628054823844</v>
      </c>
      <c r="Y50" s="29">
        <f t="shared" si="47"/>
        <v>142.72825361081007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78.753056121650843</v>
      </c>
      <c r="C51" s="115">
        <f t="shared" si="48"/>
        <v>77.286803808598691</v>
      </c>
      <c r="D51" s="115">
        <f t="shared" si="48"/>
        <v>76.318300324481086</v>
      </c>
      <c r="E51" s="115">
        <f t="shared" si="48"/>
        <v>75.9345233021197</v>
      </c>
      <c r="F51" s="115">
        <f t="shared" si="48"/>
        <v>75.959429964491733</v>
      </c>
      <c r="G51" s="115">
        <f t="shared" si="48"/>
        <v>76.637149211187278</v>
      </c>
      <c r="H51" s="115">
        <f t="shared" si="48"/>
        <v>76.299809929130078</v>
      </c>
      <c r="I51" s="115">
        <f t="shared" si="48"/>
        <v>76.367811172143277</v>
      </c>
      <c r="J51" s="115">
        <f t="shared" si="48"/>
        <v>77.450205688760889</v>
      </c>
      <c r="K51" s="115">
        <f t="shared" ref="K51:V51" si="49">IF(K5=0,0,K5/K16)</f>
        <v>76.572765560914533</v>
      </c>
      <c r="L51" s="115">
        <f t="shared" si="49"/>
        <v>77.018948087091502</v>
      </c>
      <c r="M51" s="115">
        <f t="shared" si="49"/>
        <v>76.354654699573757</v>
      </c>
      <c r="N51" s="115">
        <f t="shared" si="49"/>
        <v>76.826539192505763</v>
      </c>
      <c r="O51" s="115">
        <f t="shared" si="49"/>
        <v>76.902486685961492</v>
      </c>
      <c r="P51" s="115">
        <f t="shared" si="49"/>
        <v>76.262823929353686</v>
      </c>
      <c r="Q51" s="115">
        <f t="shared" si="49"/>
        <v>77.302897954104552</v>
      </c>
      <c r="R51" s="115">
        <f t="shared" si="49"/>
        <v>77.426559252964481</v>
      </c>
      <c r="S51" s="115">
        <f t="shared" si="49"/>
        <v>79.160248838427492</v>
      </c>
      <c r="T51" s="115">
        <f t="shared" si="49"/>
        <v>79.704900369763564</v>
      </c>
      <c r="U51" s="115">
        <f t="shared" si="49"/>
        <v>80.372153758263281</v>
      </c>
      <c r="V51" s="115">
        <f t="shared" si="49"/>
        <v>70.074547390841317</v>
      </c>
      <c r="W51" s="115">
        <f t="shared" ref="W51:Y51" si="50">IF(W5=0,0,W5/W16)</f>
        <v>63.160727372663985</v>
      </c>
      <c r="X51" s="115">
        <f t="shared" si="50"/>
        <v>78.938735575954667</v>
      </c>
      <c r="Y51" s="115">
        <f t="shared" si="50"/>
        <v>83.881295892611305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168.85109426620241</v>
      </c>
      <c r="C52" s="116">
        <f t="shared" si="51"/>
        <v>150.43072749894534</v>
      </c>
      <c r="D52" s="116">
        <f t="shared" si="51"/>
        <v>142.38961420590991</v>
      </c>
      <c r="E52" s="116">
        <f t="shared" si="51"/>
        <v>128.44876263073317</v>
      </c>
      <c r="F52" s="116">
        <f t="shared" si="51"/>
        <v>129.68182742152922</v>
      </c>
      <c r="G52" s="116">
        <f t="shared" si="51"/>
        <v>129.27907133720228</v>
      </c>
      <c r="H52" s="116">
        <f t="shared" si="51"/>
        <v>130.90782229129192</v>
      </c>
      <c r="I52" s="116">
        <f t="shared" si="51"/>
        <v>131.43165797788603</v>
      </c>
      <c r="J52" s="116">
        <f t="shared" si="51"/>
        <v>136.92150475156572</v>
      </c>
      <c r="K52" s="116">
        <f t="shared" ref="K52:V52" si="52">IF(K6=0,0,K6/K17)</f>
        <v>120.33414474804042</v>
      </c>
      <c r="L52" s="116">
        <f t="shared" si="52"/>
        <v>118.11198578714406</v>
      </c>
      <c r="M52" s="116">
        <f t="shared" si="52"/>
        <v>113.39015311242407</v>
      </c>
      <c r="N52" s="116">
        <f t="shared" si="52"/>
        <v>114.34220078508578</v>
      </c>
      <c r="O52" s="116">
        <f t="shared" si="52"/>
        <v>112.78683551757995</v>
      </c>
      <c r="P52" s="116">
        <f t="shared" si="52"/>
        <v>112.65093019918126</v>
      </c>
      <c r="Q52" s="116">
        <f t="shared" si="52"/>
        <v>113.24536194209267</v>
      </c>
      <c r="R52" s="116">
        <f t="shared" si="52"/>
        <v>111.96270848241193</v>
      </c>
      <c r="S52" s="116">
        <f t="shared" si="52"/>
        <v>118.98253707033484</v>
      </c>
      <c r="T52" s="116">
        <f t="shared" si="52"/>
        <v>117.65073691900916</v>
      </c>
      <c r="U52" s="116">
        <f t="shared" si="52"/>
        <v>124.15593358694323</v>
      </c>
      <c r="V52" s="116">
        <f t="shared" si="52"/>
        <v>94.328468060730515</v>
      </c>
      <c r="W52" s="116">
        <f t="shared" ref="W52:Y52" si="53">IF(W6=0,0,W6/W17)</f>
        <v>96.368017867246678</v>
      </c>
      <c r="X52" s="116">
        <f t="shared" si="53"/>
        <v>141.59839169413132</v>
      </c>
      <c r="Y52" s="116">
        <f t="shared" si="53"/>
        <v>156.07142967102112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115.31367043894166</v>
      </c>
      <c r="C53" s="87">
        <f t="shared" si="54"/>
        <v>111.70781705660821</v>
      </c>
      <c r="D53" s="87">
        <f t="shared" si="54"/>
        <v>108.53815039173544</v>
      </c>
      <c r="E53" s="87">
        <f t="shared" si="54"/>
        <v>105.13122417744705</v>
      </c>
      <c r="F53" s="87">
        <f t="shared" si="54"/>
        <v>105.25523187505048</v>
      </c>
      <c r="G53" s="87">
        <f t="shared" si="54"/>
        <v>106.78874076673432</v>
      </c>
      <c r="H53" s="87">
        <f t="shared" si="54"/>
        <v>105.7456757571521</v>
      </c>
      <c r="I53" s="87">
        <f t="shared" si="54"/>
        <v>109.69952984636392</v>
      </c>
      <c r="J53" s="87">
        <f t="shared" si="54"/>
        <v>104.04579697985928</v>
      </c>
      <c r="K53" s="87">
        <f t="shared" ref="K53:V53" si="55">IF(K7=0,0,K7/K18)</f>
        <v>90.973797672710887</v>
      </c>
      <c r="L53" s="87">
        <f t="shared" si="55"/>
        <v>102.48388107455339</v>
      </c>
      <c r="M53" s="87">
        <f t="shared" si="55"/>
        <v>100.62070198602954</v>
      </c>
      <c r="N53" s="87">
        <f t="shared" si="55"/>
        <v>99.690468027004499</v>
      </c>
      <c r="O53" s="87">
        <f t="shared" si="55"/>
        <v>88.38182941334</v>
      </c>
      <c r="P53" s="87">
        <f t="shared" si="55"/>
        <v>105.89365665120221</v>
      </c>
      <c r="Q53" s="87">
        <f t="shared" si="55"/>
        <v>105.49789345598334</v>
      </c>
      <c r="R53" s="87">
        <f t="shared" si="55"/>
        <v>102.68242397831851</v>
      </c>
      <c r="S53" s="87">
        <f t="shared" si="55"/>
        <v>102.76704892444192</v>
      </c>
      <c r="T53" s="87">
        <f t="shared" si="55"/>
        <v>96.368358973142648</v>
      </c>
      <c r="U53" s="87">
        <f t="shared" si="55"/>
        <v>97.827333324755145</v>
      </c>
      <c r="V53" s="87">
        <f t="shared" si="55"/>
        <v>62.705054450288948</v>
      </c>
      <c r="W53" s="87">
        <f t="shared" ref="W53:Y53" si="56">IF(W7=0,0,W7/W18)</f>
        <v>74.319604580381082</v>
      </c>
      <c r="X53" s="87">
        <f t="shared" si="56"/>
        <v>87.142023637061058</v>
      </c>
      <c r="Y53" s="87">
        <f t="shared" si="56"/>
        <v>93.630598440081982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188.93539390215636</v>
      </c>
      <c r="C54" s="87">
        <f t="shared" si="57"/>
        <v>161.95324251717366</v>
      </c>
      <c r="D54" s="87">
        <f t="shared" si="57"/>
        <v>152.38989658200018</v>
      </c>
      <c r="E54" s="87">
        <f t="shared" si="57"/>
        <v>135.32865578299717</v>
      </c>
      <c r="F54" s="87">
        <f t="shared" si="57"/>
        <v>136.65790434758085</v>
      </c>
      <c r="G54" s="87">
        <f t="shared" si="57"/>
        <v>134.96532412730849</v>
      </c>
      <c r="H54" s="87">
        <f t="shared" si="57"/>
        <v>137.84526572046886</v>
      </c>
      <c r="I54" s="87">
        <f t="shared" si="57"/>
        <v>136.01492914320067</v>
      </c>
      <c r="J54" s="87">
        <f t="shared" si="57"/>
        <v>144.04382664995862</v>
      </c>
      <c r="K54" s="87">
        <f t="shared" ref="K54:V54" si="58">IF(K8=0,0,K8/K19)</f>
        <v>125.14857678549103</v>
      </c>
      <c r="L54" s="87">
        <f t="shared" si="58"/>
        <v>120.98367582405346</v>
      </c>
      <c r="M54" s="87">
        <f t="shared" si="58"/>
        <v>116.0717622363925</v>
      </c>
      <c r="N54" s="87">
        <f t="shared" si="58"/>
        <v>116.88847021418816</v>
      </c>
      <c r="O54" s="87">
        <f t="shared" si="58"/>
        <v>116.30679276363558</v>
      </c>
      <c r="P54" s="87">
        <f t="shared" si="58"/>
        <v>113.83911258780989</v>
      </c>
      <c r="Q54" s="87">
        <f t="shared" si="58"/>
        <v>114.53529465341919</v>
      </c>
      <c r="R54" s="87">
        <f t="shared" si="58"/>
        <v>113.4021045246281</v>
      </c>
      <c r="S54" s="87">
        <f t="shared" si="58"/>
        <v>121.62738335500997</v>
      </c>
      <c r="T54" s="87">
        <f t="shared" si="58"/>
        <v>120.05686941587233</v>
      </c>
      <c r="U54" s="87">
        <f t="shared" si="58"/>
        <v>126.10702896955304</v>
      </c>
      <c r="V54" s="87">
        <f t="shared" si="58"/>
        <v>97.022836006779116</v>
      </c>
      <c r="W54" s="87">
        <f t="shared" ref="W54:Y54" si="59">IF(W8=0,0,W8/W19)</f>
        <v>98.082207008760733</v>
      </c>
      <c r="X54" s="87">
        <f t="shared" si="59"/>
        <v>146.27471925954958</v>
      </c>
      <c r="Y54" s="87">
        <f t="shared" si="59"/>
        <v>161.58226155989988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158.2280701754386</v>
      </c>
      <c r="C55" s="117">
        <f t="shared" si="60"/>
        <v>160.4105263157895</v>
      </c>
      <c r="D55" s="117">
        <f t="shared" si="60"/>
        <v>161.50175438596489</v>
      </c>
      <c r="E55" s="117">
        <f t="shared" si="60"/>
        <v>162.59298245614033</v>
      </c>
      <c r="F55" s="117">
        <f t="shared" si="60"/>
        <v>166.95789473684209</v>
      </c>
      <c r="G55" s="117">
        <f t="shared" si="60"/>
        <v>169.14035087719299</v>
      </c>
      <c r="H55" s="117">
        <f t="shared" si="60"/>
        <v>172.59287338893103</v>
      </c>
      <c r="I55" s="117">
        <f t="shared" si="60"/>
        <v>174.96056782334384</v>
      </c>
      <c r="J55" s="117">
        <f t="shared" si="60"/>
        <v>173.11171240819479</v>
      </c>
      <c r="K55" s="117">
        <f t="shared" ref="K55:V55" si="61">IF(K9=0,0,K9/K20)</f>
        <v>171.69182513232698</v>
      </c>
      <c r="L55" s="117">
        <f t="shared" si="61"/>
        <v>175.28891509433964</v>
      </c>
      <c r="M55" s="117">
        <f t="shared" si="61"/>
        <v>176.41904075009012</v>
      </c>
      <c r="N55" s="117">
        <f t="shared" si="61"/>
        <v>179.32457786116325</v>
      </c>
      <c r="O55" s="117">
        <f t="shared" si="61"/>
        <v>180.47873354949456</v>
      </c>
      <c r="P55" s="117">
        <f t="shared" si="61"/>
        <v>180.76547842401501</v>
      </c>
      <c r="Q55" s="117">
        <f t="shared" si="61"/>
        <v>182.72885958107062</v>
      </c>
      <c r="R55" s="117">
        <f t="shared" si="61"/>
        <v>181.16951657166982</v>
      </c>
      <c r="S55" s="117">
        <f t="shared" si="61"/>
        <v>182.6115061409179</v>
      </c>
      <c r="T55" s="117">
        <f t="shared" si="61"/>
        <v>183.09685379395435</v>
      </c>
      <c r="U55" s="117">
        <f t="shared" si="61"/>
        <v>184.09046214355948</v>
      </c>
      <c r="V55" s="117">
        <f t="shared" si="61"/>
        <v>98.684210526315795</v>
      </c>
      <c r="W55" s="117">
        <f t="shared" ref="W55:Y55" si="62">IF(W9=0,0,W9/W20)</f>
        <v>92.085565710683895</v>
      </c>
      <c r="X55" s="117">
        <f t="shared" si="62"/>
        <v>114.23356147216548</v>
      </c>
      <c r="Y55" s="117">
        <f t="shared" si="62"/>
        <v>146.13688142071561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610.23329445921331</v>
      </c>
      <c r="C56" s="29">
        <f t="shared" si="63"/>
        <v>598.21072636202587</v>
      </c>
      <c r="D56" s="29">
        <f t="shared" si="63"/>
        <v>589.79772215752712</v>
      </c>
      <c r="E56" s="29">
        <f t="shared" si="63"/>
        <v>598.56995029601194</v>
      </c>
      <c r="F56" s="29">
        <f t="shared" si="63"/>
        <v>577.46121004570864</v>
      </c>
      <c r="G56" s="29">
        <f t="shared" si="63"/>
        <v>565.54513732194289</v>
      </c>
      <c r="H56" s="29">
        <f t="shared" si="63"/>
        <v>578.83636846102445</v>
      </c>
      <c r="I56" s="29">
        <f t="shared" si="63"/>
        <v>568.83236936342973</v>
      </c>
      <c r="J56" s="29">
        <f t="shared" si="63"/>
        <v>580.93517661485066</v>
      </c>
      <c r="K56" s="29">
        <f t="shared" ref="K56:V56" si="64">IF(K10=0,0,K10/K21)</f>
        <v>583.56021450092044</v>
      </c>
      <c r="L56" s="29">
        <f t="shared" si="64"/>
        <v>592.32148374464816</v>
      </c>
      <c r="M56" s="29">
        <f t="shared" si="64"/>
        <v>578.95740959619104</v>
      </c>
      <c r="N56" s="29">
        <f t="shared" si="64"/>
        <v>574.08999450851582</v>
      </c>
      <c r="O56" s="29">
        <f t="shared" si="64"/>
        <v>618.77495308093864</v>
      </c>
      <c r="P56" s="29">
        <f t="shared" si="64"/>
        <v>588.25258481088747</v>
      </c>
      <c r="Q56" s="29">
        <f t="shared" si="64"/>
        <v>626.72934366512368</v>
      </c>
      <c r="R56" s="29">
        <f t="shared" si="64"/>
        <v>643.03001718310384</v>
      </c>
      <c r="S56" s="29">
        <f t="shared" si="64"/>
        <v>626.1905850055067</v>
      </c>
      <c r="T56" s="29">
        <f t="shared" si="64"/>
        <v>656.04509487232485</v>
      </c>
      <c r="U56" s="29">
        <f t="shared" si="64"/>
        <v>678.08370271195042</v>
      </c>
      <c r="V56" s="29">
        <f t="shared" si="64"/>
        <v>634.20430486802923</v>
      </c>
      <c r="W56" s="29">
        <f t="shared" ref="W56:Y56" si="65">IF(W10=0,0,W10/W21)</f>
        <v>662.36540165345139</v>
      </c>
      <c r="X56" s="29">
        <f t="shared" si="65"/>
        <v>642.3805170040531</v>
      </c>
      <c r="Y56" s="29">
        <f t="shared" si="65"/>
        <v>642.74845990153051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618.97275657365515</v>
      </c>
      <c r="C57" s="87">
        <f t="shared" si="66"/>
        <v>620.34428245301353</v>
      </c>
      <c r="D57" s="87">
        <f t="shared" si="66"/>
        <v>612.18899440945722</v>
      </c>
      <c r="E57" s="87">
        <f t="shared" si="66"/>
        <v>633.92590303491556</v>
      </c>
      <c r="F57" s="87">
        <f t="shared" si="66"/>
        <v>616.02094287796365</v>
      </c>
      <c r="G57" s="87">
        <f t="shared" si="66"/>
        <v>611.92794575295579</v>
      </c>
      <c r="H57" s="87">
        <f t="shared" si="66"/>
        <v>625.69929682380564</v>
      </c>
      <c r="I57" s="87">
        <f t="shared" si="66"/>
        <v>617.9007504006164</v>
      </c>
      <c r="J57" s="87">
        <f t="shared" si="66"/>
        <v>625.94831124777886</v>
      </c>
      <c r="K57" s="87">
        <f t="shared" ref="K57:V57" si="67">IF(K11=0,0,K11/K22)</f>
        <v>630.42519108462864</v>
      </c>
      <c r="L57" s="87">
        <f t="shared" si="67"/>
        <v>652.12190393978335</v>
      </c>
      <c r="M57" s="87">
        <f t="shared" si="67"/>
        <v>666.72541626031932</v>
      </c>
      <c r="N57" s="87">
        <f t="shared" si="67"/>
        <v>663.79088783145471</v>
      </c>
      <c r="O57" s="87">
        <f t="shared" si="67"/>
        <v>646.1732004965703</v>
      </c>
      <c r="P57" s="87">
        <f t="shared" si="67"/>
        <v>722.15508726855001</v>
      </c>
      <c r="Q57" s="87">
        <f t="shared" si="67"/>
        <v>759.32819992840155</v>
      </c>
      <c r="R57" s="87">
        <f t="shared" si="67"/>
        <v>782.67032320537464</v>
      </c>
      <c r="S57" s="87">
        <f t="shared" si="67"/>
        <v>822.28831385629564</v>
      </c>
      <c r="T57" s="87">
        <f t="shared" si="67"/>
        <v>692.26958490525999</v>
      </c>
      <c r="U57" s="87">
        <f t="shared" si="67"/>
        <v>604.69535460290695</v>
      </c>
      <c r="V57" s="87">
        <f t="shared" si="67"/>
        <v>624.62262409554182</v>
      </c>
      <c r="W57" s="87">
        <f t="shared" ref="W57:Y57" si="68">IF(W11=0,0,W11/W22)</f>
        <v>636.55423536790659</v>
      </c>
      <c r="X57" s="87">
        <f t="shared" si="68"/>
        <v>670.48648731994513</v>
      </c>
      <c r="Y57" s="87">
        <f t="shared" si="68"/>
        <v>715.58033021338338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605.81533868774352</v>
      </c>
      <c r="C58" s="88">
        <f t="shared" si="69"/>
        <v>587.10452824871197</v>
      </c>
      <c r="D58" s="88">
        <f t="shared" si="69"/>
        <v>579.35053723632075</v>
      </c>
      <c r="E58" s="88">
        <f t="shared" si="69"/>
        <v>582.25398221890407</v>
      </c>
      <c r="F58" s="88">
        <f t="shared" si="69"/>
        <v>559.0733537676166</v>
      </c>
      <c r="G58" s="88">
        <f t="shared" si="69"/>
        <v>542.16522687883344</v>
      </c>
      <c r="H58" s="88">
        <f t="shared" si="69"/>
        <v>556.23782753581747</v>
      </c>
      <c r="I58" s="88">
        <f t="shared" si="69"/>
        <v>549.97929543072314</v>
      </c>
      <c r="J58" s="88">
        <f t="shared" si="69"/>
        <v>562.63579182913702</v>
      </c>
      <c r="K58" s="88">
        <f t="shared" ref="K58:V58" si="70">IF(K12=0,0,K12/K23)</f>
        <v>563.45584463550028</v>
      </c>
      <c r="L58" s="88">
        <f t="shared" si="70"/>
        <v>568.57592934543254</v>
      </c>
      <c r="M58" s="88">
        <f t="shared" si="70"/>
        <v>543.74709799368406</v>
      </c>
      <c r="N58" s="88">
        <f t="shared" si="70"/>
        <v>533.63555788069959</v>
      </c>
      <c r="O58" s="88">
        <f t="shared" si="70"/>
        <v>605.93117418270901</v>
      </c>
      <c r="P58" s="88">
        <f t="shared" si="70"/>
        <v>541.41126315949236</v>
      </c>
      <c r="Q58" s="88">
        <f t="shared" si="70"/>
        <v>587.74902617261512</v>
      </c>
      <c r="R58" s="88">
        <f t="shared" si="70"/>
        <v>604.46030843866754</v>
      </c>
      <c r="S58" s="88">
        <f t="shared" si="70"/>
        <v>581.74872593223802</v>
      </c>
      <c r="T58" s="88">
        <f t="shared" si="70"/>
        <v>644.61690741649431</v>
      </c>
      <c r="U58" s="88">
        <f t="shared" si="70"/>
        <v>707.55969056388676</v>
      </c>
      <c r="V58" s="88">
        <f t="shared" si="70"/>
        <v>637.36964212465944</v>
      </c>
      <c r="W58" s="88">
        <f t="shared" ref="W58:Y58" si="71">IF(W12=0,0,W12/W23)</f>
        <v>673.26702036878942</v>
      </c>
      <c r="X58" s="88">
        <f t="shared" si="71"/>
        <v>632.35591435805895</v>
      </c>
      <c r="Y58" s="88">
        <f t="shared" si="71"/>
        <v>615.81161933475153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345.41553669558778</v>
      </c>
      <c r="C61" s="29">
        <f t="shared" ref="C61" si="73">IF(C26=0,0,(C62*C27+C64*C29+C65*C30+C66*C31)/(C27+C29+C30+C31))</f>
        <v>344.44673497995689</v>
      </c>
      <c r="D61" s="29">
        <f t="shared" ref="D61" si="74">IF(D26=0,0,(D62*D27+D64*D29+D65*D30+D66*D31)/(D27+D29+D30+D31))</f>
        <v>345.30155433354201</v>
      </c>
      <c r="E61" s="29">
        <f t="shared" ref="E61" si="75">IF(E26=0,0,(E62*E27+E64*E29+E65*E30+E66*E31)/(E27+E29+E30+E31))</f>
        <v>344.80354497638342</v>
      </c>
      <c r="F61" s="29">
        <f t="shared" ref="F61" si="76">IF(F26=0,0,(F62*F27+F64*F29+F65*F30+F66*F31)/(F27+F29+F30+F31))</f>
        <v>344.60347249372489</v>
      </c>
      <c r="G61" s="29">
        <f t="shared" ref="G61" si="77">IF(G26=0,0,(G62*G27+G64*G29+G65*G30+G66*G31)/(G27+G29+G30+G31))</f>
        <v>345.98935889345717</v>
      </c>
      <c r="H61" s="29">
        <f t="shared" ref="H61" si="78">IF(H26=0,0,(H62*H27+H64*H29+H65*H30+H66*H31)/(H27+H29+H30+H31))</f>
        <v>348.02812315795927</v>
      </c>
      <c r="I61" s="29">
        <f t="shared" ref="I61" si="79">IF(I26=0,0,(I62*I27+I64*I29+I65*I30+I66*I31)/(I27+I29+I30+I31))</f>
        <v>348.74144889730741</v>
      </c>
      <c r="J61" s="29">
        <f t="shared" ref="J61" si="80">IF(J26=0,0,(J62*J27+J64*J29+J65*J30+J66*J31)/(J27+J29+J30+J31))</f>
        <v>349.11062017356949</v>
      </c>
      <c r="K61" s="29">
        <f t="shared" ref="K61" si="81">IF(K26=0,0,(K62*K27+K64*K29+K65*K30+K66*K31)/(K27+K29+K30+K31))</f>
        <v>347.45915159898806</v>
      </c>
      <c r="L61" s="29">
        <f t="shared" ref="L61" si="82">IF(L26=0,0,(L62*L27+L64*L29+L65*L30+L66*L31)/(L27+L29+L30+L31))</f>
        <v>347.12494061202835</v>
      </c>
      <c r="M61" s="29">
        <f t="shared" ref="M61" si="83">IF(M26=0,0,(M62*M27+M64*M29+M65*M30+M66*M31)/(M27+M29+M30+M31))</f>
        <v>347.44817933436286</v>
      </c>
      <c r="N61" s="29">
        <f t="shared" ref="N61" si="84">IF(N26=0,0,(N62*N27+N64*N29+N65*N30+N66*N31)/(N27+N29+N30+N31))</f>
        <v>346.77592613657254</v>
      </c>
      <c r="O61" s="29">
        <f t="shared" ref="O61" si="85">IF(O26=0,0,(O62*O27+O64*O29+O65*O30+O66*O31)/(O27+O29+O30+O31))</f>
        <v>346.98961774692305</v>
      </c>
      <c r="P61" s="29">
        <f t="shared" ref="P61" si="86">IF(P26=0,0,(P62*P27+P64*P29+P65*P30+P66*P31)/(P27+P29+P30+P31))</f>
        <v>347.22723906171149</v>
      </c>
      <c r="Q61" s="29">
        <f t="shared" ref="Q61" si="87">IF(Q26=0,0,(Q62*Q27+Q64*Q29+Q65*Q30+Q66*Q31)/(Q27+Q29+Q30+Q31))</f>
        <v>345.29881986826558</v>
      </c>
      <c r="R61" s="29">
        <f t="shared" ref="R61" si="88">IF(R26=0,0,(R62*R27+R64*R29+R65*R30+R66*R31)/(R27+R29+R30+R31))</f>
        <v>346.72279455593241</v>
      </c>
      <c r="S61" s="29">
        <f t="shared" ref="S61" si="89">IF(S26=0,0,(S62*S27+S64*S29+S65*S30+S66*S31)/(S27+S29+S30+S31))</f>
        <v>346.48837322879302</v>
      </c>
      <c r="T61" s="29">
        <f t="shared" ref="T61" si="90">IF(T26=0,0,(T62*T27+T64*T29+T65*T30+T66*T31)/(T27+T29+T30+T31))</f>
        <v>347.69112266234725</v>
      </c>
      <c r="U61" s="29">
        <f t="shared" ref="U61" si="91">IF(U26=0,0,(U62*U27+U64*U29+U65*U30+U66*U31)/(U27+U29+U30+U31))</f>
        <v>346.64193690518897</v>
      </c>
      <c r="V61" s="29">
        <f t="shared" ref="V61" si="92">IF(V26=0,0,(V62*V27+V64*V29+V65*V30+V66*V31)/(V27+V29+V30+V31))</f>
        <v>347.58539926018784</v>
      </c>
      <c r="W61" s="29">
        <f t="shared" ref="W61:Y61" si="93">IF(W26=0,0,(W62*W27+W64*W29+W65*W30+W66*W31)/(W27+W29+W30+W31))</f>
        <v>348.51551660971012</v>
      </c>
      <c r="X61" s="29">
        <f t="shared" si="93"/>
        <v>347.68104023552576</v>
      </c>
      <c r="Y61" s="29">
        <f t="shared" si="93"/>
        <v>346.7634596444999</v>
      </c>
      <c r="DA61" s="173" t="s">
        <v>1074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320.00000000000006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320.00000000000006</v>
      </c>
      <c r="J63" s="116">
        <f t="shared" ref="J63" si="102">IF(J28=0,0,(J64*J29+J65*J30)/(J29+J30))</f>
        <v>319.99999999999994</v>
      </c>
      <c r="K63" s="116">
        <f t="shared" ref="K63" si="103">IF(K28=0,0,(K64*K29+K65*K30)/(K29+K30))</f>
        <v>320.00000000000006</v>
      </c>
      <c r="L63" s="116">
        <f t="shared" ref="L63" si="104">IF(L28=0,0,(L64*L29+L65*L30)/(L29+L30))</f>
        <v>319.99999999999994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319.99999999999994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319.99999999999994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:Y63" si="115">IF(W28=0,0,(W64*W29+W65*W30)/(W29+W30))</f>
        <v>320</v>
      </c>
      <c r="X63" s="116">
        <f t="shared" si="115"/>
        <v>320</v>
      </c>
      <c r="Y63" s="116">
        <f t="shared" si="115"/>
        <v>320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X66" s="117">
        <v>560</v>
      </c>
      <c r="Y66" s="117">
        <v>560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2099.9999999999995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2100.0000000000005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2100.0000000000005</v>
      </c>
      <c r="P67" s="29">
        <f t="shared" ref="P67" si="130">IF(P32=0,0,(P68*P33+P69*P34)/(P33+P34))</f>
        <v>2100</v>
      </c>
      <c r="Q67" s="29">
        <f t="shared" ref="Q67" si="131">IF(Q32=0,0,(Q68*Q33+Q69*Q34)/(Q33+Q34))</f>
        <v>2099.9999999999995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:Y67" si="137">IF(W32=0,0,(W68*W33+W69*W34)/(W33+W34))</f>
        <v>2100</v>
      </c>
      <c r="X67" s="29">
        <f t="shared" si="137"/>
        <v>2100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0.42620738309208722</v>
      </c>
      <c r="C72" s="30">
        <f t="shared" ref="C72:J72" si="138">IF(C50=0,0,C50/C61)</f>
        <v>0.38816077235056956</v>
      </c>
      <c r="D72" s="30">
        <f t="shared" si="138"/>
        <v>0.37061589775344911</v>
      </c>
      <c r="E72" s="30">
        <f t="shared" si="138"/>
        <v>0.3440757131020134</v>
      </c>
      <c r="F72" s="30">
        <f t="shared" si="138"/>
        <v>0.34648210674861646</v>
      </c>
      <c r="G72" s="30">
        <f t="shared" si="138"/>
        <v>0.34857666012788607</v>
      </c>
      <c r="H72" s="30">
        <f t="shared" si="138"/>
        <v>0.3527113541438982</v>
      </c>
      <c r="I72" s="30">
        <f t="shared" si="138"/>
        <v>0.35768044156145046</v>
      </c>
      <c r="J72" s="30">
        <f t="shared" si="138"/>
        <v>0.36973980813563972</v>
      </c>
      <c r="K72" s="30">
        <f t="shared" ref="K72:V72" si="139">IF(K50=0,0,K50/K61)</f>
        <v>0.33689736200078929</v>
      </c>
      <c r="L72" s="30">
        <f t="shared" si="139"/>
        <v>0.33500177735657821</v>
      </c>
      <c r="M72" s="30">
        <f t="shared" si="139"/>
        <v>0.32661158238917509</v>
      </c>
      <c r="N72" s="30">
        <f t="shared" si="139"/>
        <v>0.32970806900525712</v>
      </c>
      <c r="O72" s="30">
        <f t="shared" si="139"/>
        <v>0.32783311050314218</v>
      </c>
      <c r="P72" s="30">
        <f t="shared" si="139"/>
        <v>0.32444655053715499</v>
      </c>
      <c r="Q72" s="30">
        <f t="shared" si="139"/>
        <v>0.32636236904307309</v>
      </c>
      <c r="R72" s="30">
        <f t="shared" si="139"/>
        <v>0.3228447601585791</v>
      </c>
      <c r="S72" s="30">
        <f t="shared" si="139"/>
        <v>0.34027068462696647</v>
      </c>
      <c r="T72" s="30">
        <f t="shared" si="139"/>
        <v>0.33659135825348041</v>
      </c>
      <c r="U72" s="30">
        <f t="shared" si="139"/>
        <v>0.35245016624674685</v>
      </c>
      <c r="V72" s="30">
        <f t="shared" si="139"/>
        <v>0.25766263629556851</v>
      </c>
      <c r="W72" s="30">
        <f t="shared" ref="W72:Y72" si="140">IF(W50=0,0,W50/W61)</f>
        <v>0.25571503208889651</v>
      </c>
      <c r="X72" s="30">
        <f t="shared" si="140"/>
        <v>0.36860301747090651</v>
      </c>
      <c r="Y72" s="30">
        <f t="shared" si="140"/>
        <v>0.41160119280484264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0.19688264030412711</v>
      </c>
      <c r="C73" s="118">
        <f t="shared" si="141"/>
        <v>0.19321700952149673</v>
      </c>
      <c r="D73" s="118">
        <f t="shared" si="141"/>
        <v>0.1907957508112027</v>
      </c>
      <c r="E73" s="118">
        <f t="shared" si="141"/>
        <v>0.18983630825529926</v>
      </c>
      <c r="F73" s="118">
        <f t="shared" si="141"/>
        <v>0.18989857491122933</v>
      </c>
      <c r="G73" s="118">
        <f t="shared" si="141"/>
        <v>0.19159287302796821</v>
      </c>
      <c r="H73" s="118">
        <f t="shared" si="141"/>
        <v>0.1907495248228252</v>
      </c>
      <c r="I73" s="118">
        <f t="shared" si="141"/>
        <v>0.19091952793035818</v>
      </c>
      <c r="J73" s="118">
        <f t="shared" si="141"/>
        <v>0.19362551422190222</v>
      </c>
      <c r="K73" s="118">
        <f t="shared" ref="K73:V73" si="142">IF(K51=0,0,K51/K62)</f>
        <v>0.19143191390228634</v>
      </c>
      <c r="L73" s="118">
        <f t="shared" si="142"/>
        <v>0.19254737021772875</v>
      </c>
      <c r="M73" s="118">
        <f t="shared" si="142"/>
        <v>0.19088663674893439</v>
      </c>
      <c r="N73" s="118">
        <f t="shared" si="142"/>
        <v>0.1920663479812644</v>
      </c>
      <c r="O73" s="118">
        <f t="shared" si="142"/>
        <v>0.19225621671490373</v>
      </c>
      <c r="P73" s="118">
        <f t="shared" si="142"/>
        <v>0.19065705982338421</v>
      </c>
      <c r="Q73" s="118">
        <f t="shared" si="142"/>
        <v>0.19325724488526139</v>
      </c>
      <c r="R73" s="118">
        <f t="shared" si="142"/>
        <v>0.19356639813241119</v>
      </c>
      <c r="S73" s="118">
        <f t="shared" si="142"/>
        <v>0.19790062209606873</v>
      </c>
      <c r="T73" s="118">
        <f t="shared" si="142"/>
        <v>0.19926225092440891</v>
      </c>
      <c r="U73" s="118">
        <f t="shared" si="142"/>
        <v>0.20093038439565819</v>
      </c>
      <c r="V73" s="118">
        <f t="shared" si="142"/>
        <v>0.17518636847710328</v>
      </c>
      <c r="W73" s="118">
        <f t="shared" ref="W73:Y73" si="143">IF(W51=0,0,W51/W62)</f>
        <v>0.15790181843165996</v>
      </c>
      <c r="X73" s="118">
        <f t="shared" si="143"/>
        <v>0.19734683893988667</v>
      </c>
      <c r="Y73" s="118">
        <f t="shared" si="143"/>
        <v>0.20970323973152827</v>
      </c>
      <c r="DA73" s="203"/>
    </row>
    <row r="74" spans="1:105" ht="11.45" customHeight="1" x14ac:dyDescent="0.25">
      <c r="A74" s="109" t="s">
        <v>24</v>
      </c>
      <c r="B74" s="119">
        <f t="shared" si="141"/>
        <v>0.52765966958188248</v>
      </c>
      <c r="C74" s="119">
        <f t="shared" si="141"/>
        <v>0.4700960234342042</v>
      </c>
      <c r="D74" s="119">
        <f t="shared" si="141"/>
        <v>0.44496754439346847</v>
      </c>
      <c r="E74" s="119">
        <f t="shared" si="141"/>
        <v>0.4014023832210411</v>
      </c>
      <c r="F74" s="119">
        <f t="shared" si="141"/>
        <v>0.40525571069227884</v>
      </c>
      <c r="G74" s="119">
        <f t="shared" si="141"/>
        <v>0.40399709792875715</v>
      </c>
      <c r="H74" s="119">
        <f t="shared" si="141"/>
        <v>0.40908694466028728</v>
      </c>
      <c r="I74" s="119">
        <f t="shared" si="141"/>
        <v>0.41072393118089379</v>
      </c>
      <c r="J74" s="119">
        <f t="shared" si="141"/>
        <v>0.42787970234864298</v>
      </c>
      <c r="K74" s="119">
        <f t="shared" ref="K74:V74" si="144">IF(K52=0,0,K52/K63)</f>
        <v>0.37604420233762625</v>
      </c>
      <c r="L74" s="119">
        <f t="shared" si="144"/>
        <v>0.36909995558482528</v>
      </c>
      <c r="M74" s="119">
        <f t="shared" si="144"/>
        <v>0.35434422847632524</v>
      </c>
      <c r="N74" s="119">
        <f t="shared" si="144"/>
        <v>0.35731937745339304</v>
      </c>
      <c r="O74" s="119">
        <f t="shared" si="144"/>
        <v>0.35245886099243734</v>
      </c>
      <c r="P74" s="119">
        <f t="shared" si="144"/>
        <v>0.35203415687244149</v>
      </c>
      <c r="Q74" s="119">
        <f t="shared" si="144"/>
        <v>0.35389175606903961</v>
      </c>
      <c r="R74" s="119">
        <f t="shared" si="144"/>
        <v>0.34988346400753728</v>
      </c>
      <c r="S74" s="119">
        <f t="shared" si="144"/>
        <v>0.37182042834479639</v>
      </c>
      <c r="T74" s="119">
        <f t="shared" si="144"/>
        <v>0.36765855287190369</v>
      </c>
      <c r="U74" s="119">
        <f t="shared" si="144"/>
        <v>0.38798729245919761</v>
      </c>
      <c r="V74" s="119">
        <f t="shared" si="144"/>
        <v>0.29477646268978286</v>
      </c>
      <c r="W74" s="119">
        <f t="shared" ref="W74:Y74" si="145">IF(W52=0,0,W52/W63)</f>
        <v>0.30115005583514587</v>
      </c>
      <c r="X74" s="119">
        <f t="shared" si="145"/>
        <v>0.44249497404416038</v>
      </c>
      <c r="Y74" s="119">
        <f t="shared" si="145"/>
        <v>0.48772321772194099</v>
      </c>
      <c r="DA74" s="176"/>
    </row>
    <row r="75" spans="1:105" ht="11.45" customHeight="1" x14ac:dyDescent="0.25">
      <c r="A75" s="111" t="s">
        <v>92</v>
      </c>
      <c r="B75" s="120">
        <f t="shared" si="141"/>
        <v>0.36035522012169269</v>
      </c>
      <c r="C75" s="120">
        <f t="shared" si="141"/>
        <v>0.34908692830190063</v>
      </c>
      <c r="D75" s="120">
        <f t="shared" si="141"/>
        <v>0.33918171997417323</v>
      </c>
      <c r="E75" s="120">
        <f t="shared" si="141"/>
        <v>0.32853507555452205</v>
      </c>
      <c r="F75" s="120">
        <f t="shared" si="141"/>
        <v>0.32892259960953274</v>
      </c>
      <c r="G75" s="120">
        <f t="shared" si="141"/>
        <v>0.33371481489604476</v>
      </c>
      <c r="H75" s="120">
        <f t="shared" si="141"/>
        <v>0.33045523674110033</v>
      </c>
      <c r="I75" s="120">
        <f t="shared" si="141"/>
        <v>0.34281103076988723</v>
      </c>
      <c r="J75" s="120">
        <f t="shared" si="141"/>
        <v>0.32514311556206021</v>
      </c>
      <c r="K75" s="120">
        <f t="shared" ref="K75:V75" si="146">IF(K53=0,0,K53/K64)</f>
        <v>0.28429311772722154</v>
      </c>
      <c r="L75" s="120">
        <f t="shared" si="146"/>
        <v>0.32026212835797935</v>
      </c>
      <c r="M75" s="120">
        <f t="shared" si="146"/>
        <v>0.31443969370634234</v>
      </c>
      <c r="N75" s="120">
        <f t="shared" si="146"/>
        <v>0.31153271258438908</v>
      </c>
      <c r="O75" s="120">
        <f t="shared" si="146"/>
        <v>0.27619321691668752</v>
      </c>
      <c r="P75" s="120">
        <f t="shared" si="146"/>
        <v>0.33091767703500691</v>
      </c>
      <c r="Q75" s="120">
        <f t="shared" si="146"/>
        <v>0.32968091704994795</v>
      </c>
      <c r="R75" s="120">
        <f t="shared" si="146"/>
        <v>0.32088257493224537</v>
      </c>
      <c r="S75" s="120">
        <f t="shared" si="146"/>
        <v>0.321147027888881</v>
      </c>
      <c r="T75" s="120">
        <f t="shared" si="146"/>
        <v>0.30115112179107079</v>
      </c>
      <c r="U75" s="120">
        <f t="shared" si="146"/>
        <v>0.30571041663985982</v>
      </c>
      <c r="V75" s="120">
        <f t="shared" si="146"/>
        <v>0.19595329515715296</v>
      </c>
      <c r="W75" s="120">
        <f t="shared" ref="W75:Y75" si="147">IF(W53=0,0,W53/W64)</f>
        <v>0.23224876431369088</v>
      </c>
      <c r="X75" s="120">
        <f t="shared" si="147"/>
        <v>0.2723188238658158</v>
      </c>
      <c r="Y75" s="120">
        <f t="shared" si="147"/>
        <v>0.2925956201252562</v>
      </c>
      <c r="DA75" s="171"/>
    </row>
    <row r="76" spans="1:105" ht="11.45" customHeight="1" x14ac:dyDescent="0.25">
      <c r="A76" s="111" t="s">
        <v>93</v>
      </c>
      <c r="B76" s="120">
        <f t="shared" si="141"/>
        <v>0.59042310594423864</v>
      </c>
      <c r="C76" s="120">
        <f t="shared" si="141"/>
        <v>0.5061038828661677</v>
      </c>
      <c r="D76" s="120">
        <f t="shared" si="141"/>
        <v>0.47621842681875054</v>
      </c>
      <c r="E76" s="120">
        <f t="shared" si="141"/>
        <v>0.42290204932186615</v>
      </c>
      <c r="F76" s="120">
        <f t="shared" si="141"/>
        <v>0.42705595108619016</v>
      </c>
      <c r="G76" s="120">
        <f t="shared" si="141"/>
        <v>0.42176663789783903</v>
      </c>
      <c r="H76" s="120">
        <f t="shared" si="141"/>
        <v>0.43076645537646518</v>
      </c>
      <c r="I76" s="120">
        <f t="shared" si="141"/>
        <v>0.4250466535725021</v>
      </c>
      <c r="J76" s="120">
        <f t="shared" si="141"/>
        <v>0.45013695828112066</v>
      </c>
      <c r="K76" s="120">
        <f t="shared" ref="K76:V76" si="148">IF(K54=0,0,K54/K65)</f>
        <v>0.39108930245465945</v>
      </c>
      <c r="L76" s="120">
        <f t="shared" si="148"/>
        <v>0.37807398695016708</v>
      </c>
      <c r="M76" s="120">
        <f t="shared" si="148"/>
        <v>0.36272425698872657</v>
      </c>
      <c r="N76" s="120">
        <f t="shared" si="148"/>
        <v>0.365276469419338</v>
      </c>
      <c r="O76" s="120">
        <f t="shared" si="148"/>
        <v>0.3634587273863612</v>
      </c>
      <c r="P76" s="120">
        <f t="shared" si="148"/>
        <v>0.35574722683690591</v>
      </c>
      <c r="Q76" s="120">
        <f t="shared" si="148"/>
        <v>0.35792279579193498</v>
      </c>
      <c r="R76" s="120">
        <f t="shared" si="148"/>
        <v>0.35438157663946279</v>
      </c>
      <c r="S76" s="120">
        <f t="shared" si="148"/>
        <v>0.38008557298440615</v>
      </c>
      <c r="T76" s="120">
        <f t="shared" si="148"/>
        <v>0.375177716924601</v>
      </c>
      <c r="U76" s="120">
        <f t="shared" si="148"/>
        <v>0.39408446552985327</v>
      </c>
      <c r="V76" s="120">
        <f t="shared" si="148"/>
        <v>0.30319636252118476</v>
      </c>
      <c r="W76" s="120">
        <f t="shared" ref="W76:Y76" si="149">IF(W54=0,0,W54/W65)</f>
        <v>0.30650689690237731</v>
      </c>
      <c r="X76" s="120">
        <f t="shared" si="149"/>
        <v>0.45710849768609246</v>
      </c>
      <c r="Y76" s="120">
        <f t="shared" si="149"/>
        <v>0.50494456737468707</v>
      </c>
      <c r="DA76" s="171"/>
    </row>
    <row r="77" spans="1:105" ht="11.45" customHeight="1" x14ac:dyDescent="0.25">
      <c r="A77" s="112" t="s">
        <v>25</v>
      </c>
      <c r="B77" s="121">
        <f t="shared" si="141"/>
        <v>0.28255012531328322</v>
      </c>
      <c r="C77" s="121">
        <f t="shared" si="141"/>
        <v>0.28644736842105267</v>
      </c>
      <c r="D77" s="121">
        <f t="shared" si="141"/>
        <v>0.28839598997493732</v>
      </c>
      <c r="E77" s="121">
        <f t="shared" si="141"/>
        <v>0.29034461152882202</v>
      </c>
      <c r="F77" s="121">
        <f t="shared" si="141"/>
        <v>0.29813909774436087</v>
      </c>
      <c r="G77" s="121">
        <f t="shared" si="141"/>
        <v>0.30203634085213033</v>
      </c>
      <c r="H77" s="121">
        <f t="shared" si="141"/>
        <v>0.30820155962309109</v>
      </c>
      <c r="I77" s="121">
        <f t="shared" si="141"/>
        <v>0.31242958539882826</v>
      </c>
      <c r="J77" s="121">
        <f t="shared" si="141"/>
        <v>0.30912805787177638</v>
      </c>
      <c r="K77" s="121">
        <f t="shared" ref="K77:V77" si="150">IF(K55=0,0,K55/K66)</f>
        <v>0.30659254487915533</v>
      </c>
      <c r="L77" s="121">
        <f t="shared" si="150"/>
        <v>0.31301591981132076</v>
      </c>
      <c r="M77" s="121">
        <f t="shared" si="150"/>
        <v>0.31503400133944665</v>
      </c>
      <c r="N77" s="121">
        <f t="shared" si="150"/>
        <v>0.32022246046636293</v>
      </c>
      <c r="O77" s="121">
        <f t="shared" si="150"/>
        <v>0.32228345276695458</v>
      </c>
      <c r="P77" s="121">
        <f t="shared" si="150"/>
        <v>0.32279549718574108</v>
      </c>
      <c r="Q77" s="121">
        <f t="shared" si="150"/>
        <v>0.32630153496619752</v>
      </c>
      <c r="R77" s="121">
        <f t="shared" si="150"/>
        <v>0.32351699387798183</v>
      </c>
      <c r="S77" s="121">
        <f t="shared" si="150"/>
        <v>0.32609197525163908</v>
      </c>
      <c r="T77" s="121">
        <f t="shared" si="150"/>
        <v>0.32695866748920421</v>
      </c>
      <c r="U77" s="121">
        <f t="shared" si="150"/>
        <v>0.32873296811349906</v>
      </c>
      <c r="V77" s="121">
        <f t="shared" si="150"/>
        <v>0.1762218045112782</v>
      </c>
      <c r="W77" s="121">
        <f t="shared" ref="W77:Y77" si="151">IF(W55=0,0,W55/W66)</f>
        <v>0.16443851019764982</v>
      </c>
      <c r="X77" s="121">
        <f t="shared" si="151"/>
        <v>0.20398850262886692</v>
      </c>
      <c r="Y77" s="121">
        <f t="shared" si="151"/>
        <v>0.26095871682270644</v>
      </c>
      <c r="DA77" s="204"/>
    </row>
    <row r="78" spans="1:105" ht="11.45" customHeight="1" x14ac:dyDescent="0.25">
      <c r="A78" s="27" t="s">
        <v>34</v>
      </c>
      <c r="B78" s="30">
        <f t="shared" si="141"/>
        <v>0.29058728307581588</v>
      </c>
      <c r="C78" s="30">
        <f t="shared" si="141"/>
        <v>0.28486225064858373</v>
      </c>
      <c r="D78" s="30">
        <f t="shared" si="141"/>
        <v>0.280856058170251</v>
      </c>
      <c r="E78" s="30">
        <f t="shared" si="141"/>
        <v>0.28503330966476759</v>
      </c>
      <c r="F78" s="30">
        <f t="shared" si="141"/>
        <v>0.27498152859319458</v>
      </c>
      <c r="G78" s="30">
        <f t="shared" si="141"/>
        <v>0.26930720824854421</v>
      </c>
      <c r="H78" s="30">
        <f t="shared" si="141"/>
        <v>0.27563636593382124</v>
      </c>
      <c r="I78" s="30">
        <f t="shared" si="141"/>
        <v>0.27087255683972844</v>
      </c>
      <c r="J78" s="30">
        <f t="shared" si="141"/>
        <v>0.2766357983880241</v>
      </c>
      <c r="K78" s="30">
        <f t="shared" ref="K78:V78" si="152">IF(K56=0,0,K56/K67)</f>
        <v>0.27788581642900967</v>
      </c>
      <c r="L78" s="30">
        <f t="shared" si="152"/>
        <v>0.2820578494022134</v>
      </c>
      <c r="M78" s="30">
        <f t="shared" si="152"/>
        <v>0.27569400456961479</v>
      </c>
      <c r="N78" s="30">
        <f t="shared" si="152"/>
        <v>0.27337618786119799</v>
      </c>
      <c r="O78" s="30">
        <f t="shared" si="152"/>
        <v>0.29465473956235166</v>
      </c>
      <c r="P78" s="30">
        <f t="shared" si="152"/>
        <v>0.280120278481375</v>
      </c>
      <c r="Q78" s="30">
        <f t="shared" si="152"/>
        <v>0.29844254460243991</v>
      </c>
      <c r="R78" s="30">
        <f t="shared" si="152"/>
        <v>0.30620477008719232</v>
      </c>
      <c r="S78" s="30">
        <f t="shared" si="152"/>
        <v>0.2981859928597651</v>
      </c>
      <c r="T78" s="30">
        <f t="shared" si="152"/>
        <v>0.3124024261296785</v>
      </c>
      <c r="U78" s="30">
        <f t="shared" si="152"/>
        <v>0.32289700129140497</v>
      </c>
      <c r="V78" s="30">
        <f t="shared" si="152"/>
        <v>0.30200204993715679</v>
      </c>
      <c r="W78" s="30">
        <f t="shared" ref="W78:Y78" si="153">IF(W56=0,0,W56/W67)</f>
        <v>0.31541209602545306</v>
      </c>
      <c r="X78" s="30">
        <f t="shared" si="153"/>
        <v>0.30589548428764435</v>
      </c>
      <c r="Y78" s="30">
        <f t="shared" si="153"/>
        <v>0.306070695191205</v>
      </c>
      <c r="DA78" s="173"/>
    </row>
    <row r="79" spans="1:105" ht="11.45" customHeight="1" x14ac:dyDescent="0.25">
      <c r="A79" s="83" t="s">
        <v>92</v>
      </c>
      <c r="B79" s="120">
        <f t="shared" si="141"/>
        <v>0.29474893170174055</v>
      </c>
      <c r="C79" s="120">
        <f t="shared" si="141"/>
        <v>0.2954020392633398</v>
      </c>
      <c r="D79" s="120">
        <f t="shared" si="141"/>
        <v>0.29151856876640819</v>
      </c>
      <c r="E79" s="120">
        <f t="shared" si="141"/>
        <v>0.30186947763567407</v>
      </c>
      <c r="F79" s="120">
        <f t="shared" si="141"/>
        <v>0.29334330613236365</v>
      </c>
      <c r="G79" s="120">
        <f t="shared" si="141"/>
        <v>0.2913942598823599</v>
      </c>
      <c r="H79" s="120">
        <f t="shared" si="141"/>
        <v>0.29795204610657411</v>
      </c>
      <c r="I79" s="120">
        <f t="shared" si="141"/>
        <v>0.2942384525717221</v>
      </c>
      <c r="J79" s="120">
        <f t="shared" si="141"/>
        <v>0.29807062440370424</v>
      </c>
      <c r="K79" s="120">
        <f t="shared" ref="K79:V79" si="154">IF(K57=0,0,K57/K68)</f>
        <v>0.30020247194506128</v>
      </c>
      <c r="L79" s="120">
        <f t="shared" si="154"/>
        <v>0.3105342399713254</v>
      </c>
      <c r="M79" s="120">
        <f t="shared" si="154"/>
        <v>0.3174882934572949</v>
      </c>
      <c r="N79" s="120">
        <f t="shared" si="154"/>
        <v>0.31609089896735937</v>
      </c>
      <c r="O79" s="120">
        <f t="shared" si="154"/>
        <v>0.30770152404598589</v>
      </c>
      <c r="P79" s="120">
        <f t="shared" si="154"/>
        <v>0.34388337488978571</v>
      </c>
      <c r="Q79" s="120">
        <f t="shared" si="154"/>
        <v>0.36158485710876265</v>
      </c>
      <c r="R79" s="120">
        <f t="shared" si="154"/>
        <v>0.37270015390732125</v>
      </c>
      <c r="S79" s="120">
        <f t="shared" si="154"/>
        <v>0.39156586374109315</v>
      </c>
      <c r="T79" s="120">
        <f t="shared" si="154"/>
        <v>0.32965218328821905</v>
      </c>
      <c r="U79" s="120">
        <f t="shared" si="154"/>
        <v>0.28795016885852714</v>
      </c>
      <c r="V79" s="120">
        <f t="shared" si="154"/>
        <v>0.29743934480740086</v>
      </c>
      <c r="W79" s="120">
        <f t="shared" ref="W79:Y79" si="155">IF(W57=0,0,W57/W68)</f>
        <v>0.30312106446090792</v>
      </c>
      <c r="X79" s="120">
        <f t="shared" si="155"/>
        <v>0.31927927967616437</v>
      </c>
      <c r="Y79" s="120">
        <f t="shared" si="155"/>
        <v>0.34075253819684925</v>
      </c>
      <c r="DA79" s="171"/>
    </row>
    <row r="80" spans="1:105" ht="11.45" customHeight="1" x14ac:dyDescent="0.25">
      <c r="A80" s="85" t="s">
        <v>93</v>
      </c>
      <c r="B80" s="122">
        <f t="shared" si="141"/>
        <v>0.28848349461321121</v>
      </c>
      <c r="C80" s="122">
        <f t="shared" si="141"/>
        <v>0.27957358488033901</v>
      </c>
      <c r="D80" s="122">
        <f t="shared" si="141"/>
        <v>0.27588120820777179</v>
      </c>
      <c r="E80" s="122">
        <f t="shared" si="141"/>
        <v>0.27726380105662096</v>
      </c>
      <c r="F80" s="122">
        <f t="shared" si="141"/>
        <v>0.2662254065560079</v>
      </c>
      <c r="G80" s="122">
        <f t="shared" si="141"/>
        <v>0.25817391756134928</v>
      </c>
      <c r="H80" s="122">
        <f t="shared" si="141"/>
        <v>0.26487515596943689</v>
      </c>
      <c r="I80" s="122">
        <f t="shared" si="141"/>
        <v>0.26189490258605863</v>
      </c>
      <c r="J80" s="122">
        <f t="shared" si="141"/>
        <v>0.26792180563292239</v>
      </c>
      <c r="K80" s="122">
        <f t="shared" ref="K80:V80" si="156">IF(K58=0,0,K58/K69)</f>
        <v>0.26831230696928587</v>
      </c>
      <c r="L80" s="122">
        <f t="shared" si="156"/>
        <v>0.27075044254544406</v>
      </c>
      <c r="M80" s="122">
        <f t="shared" si="156"/>
        <v>0.25892718952080196</v>
      </c>
      <c r="N80" s="122">
        <f t="shared" si="156"/>
        <v>0.25411217041938078</v>
      </c>
      <c r="O80" s="122">
        <f t="shared" si="156"/>
        <v>0.28853865437271858</v>
      </c>
      <c r="P80" s="122">
        <f t="shared" si="156"/>
        <v>0.25781488721880591</v>
      </c>
      <c r="Q80" s="122">
        <f t="shared" si="156"/>
        <v>0.27988048865362625</v>
      </c>
      <c r="R80" s="122">
        <f t="shared" si="156"/>
        <v>0.28783824211365122</v>
      </c>
      <c r="S80" s="122">
        <f t="shared" si="156"/>
        <v>0.27702320282487525</v>
      </c>
      <c r="T80" s="122">
        <f t="shared" si="156"/>
        <v>0.30696043210309254</v>
      </c>
      <c r="U80" s="122">
        <f t="shared" si="156"/>
        <v>0.3369331859828032</v>
      </c>
      <c r="V80" s="122">
        <f t="shared" si="156"/>
        <v>0.30350935339269497</v>
      </c>
      <c r="W80" s="122">
        <f t="shared" ref="W80:Y80" si="157">IF(W58=0,0,W58/W69)</f>
        <v>0.32060334303275684</v>
      </c>
      <c r="X80" s="122">
        <f t="shared" si="157"/>
        <v>0.30112186398002805</v>
      </c>
      <c r="Y80" s="122">
        <f t="shared" si="157"/>
        <v>0.29324362825464356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157862.13047097329</v>
      </c>
      <c r="C82" s="54">
        <f t="shared" si="158"/>
        <v>156953.17678773747</v>
      </c>
      <c r="D82" s="54">
        <f t="shared" si="158"/>
        <v>157430.11986720422</v>
      </c>
      <c r="E82" s="54">
        <f t="shared" si="158"/>
        <v>158059.78755076294</v>
      </c>
      <c r="F82" s="54">
        <f t="shared" si="158"/>
        <v>157723.90875316144</v>
      </c>
      <c r="G82" s="54">
        <f t="shared" si="158"/>
        <v>159570.50771218893</v>
      </c>
      <c r="H82" s="54">
        <f t="shared" si="158"/>
        <v>162308.95453326227</v>
      </c>
      <c r="I82" s="54">
        <f t="shared" si="158"/>
        <v>160790.7919059672</v>
      </c>
      <c r="J82" s="54">
        <f t="shared" si="158"/>
        <v>163735.57359132438</v>
      </c>
      <c r="K82" s="54">
        <f t="shared" ref="K82:V82" si="159">IF(K14=0,0,K14/K25*1000000)</f>
        <v>156666.72280487197</v>
      </c>
      <c r="L82" s="54">
        <f t="shared" si="159"/>
        <v>162031.71560669193</v>
      </c>
      <c r="M82" s="54">
        <f t="shared" si="159"/>
        <v>162675.15200340241</v>
      </c>
      <c r="N82" s="54">
        <f t="shared" si="159"/>
        <v>162034.90228956655</v>
      </c>
      <c r="O82" s="54">
        <f t="shared" si="159"/>
        <v>161778.20454351927</v>
      </c>
      <c r="P82" s="54">
        <f t="shared" si="159"/>
        <v>160989.52634684657</v>
      </c>
      <c r="Q82" s="54">
        <f t="shared" si="159"/>
        <v>155033.63212104025</v>
      </c>
      <c r="R82" s="54">
        <f t="shared" si="159"/>
        <v>158723.47280714673</v>
      </c>
      <c r="S82" s="54">
        <f t="shared" si="159"/>
        <v>161061.33963214318</v>
      </c>
      <c r="T82" s="54">
        <f t="shared" si="159"/>
        <v>159619.29879915403</v>
      </c>
      <c r="U82" s="54">
        <f t="shared" si="159"/>
        <v>155439.25046461073</v>
      </c>
      <c r="V82" s="54">
        <f t="shared" si="159"/>
        <v>142984.78110285877</v>
      </c>
      <c r="W82" s="54">
        <f t="shared" ref="W82:Y82" si="160">IF(W14=0,0,W14/W25*1000000)</f>
        <v>150056.0246140614</v>
      </c>
      <c r="X82" s="54">
        <f t="shared" si="160"/>
        <v>155996.16942522014</v>
      </c>
      <c r="Y82" s="54">
        <f t="shared" si="160"/>
        <v>154598.31698699755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139496.4267913978</v>
      </c>
      <c r="C83" s="28">
        <f t="shared" si="161"/>
        <v>139486.22019209154</v>
      </c>
      <c r="D83" s="28">
        <f t="shared" si="161"/>
        <v>141020.14246112204</v>
      </c>
      <c r="E83" s="28">
        <f t="shared" si="161"/>
        <v>142630.71403231035</v>
      </c>
      <c r="F83" s="28">
        <f t="shared" si="161"/>
        <v>141586.66270699695</v>
      </c>
      <c r="G83" s="28">
        <f t="shared" si="161"/>
        <v>144473.32434403509</v>
      </c>
      <c r="H83" s="28">
        <f t="shared" si="161"/>
        <v>146387.20790723036</v>
      </c>
      <c r="I83" s="28">
        <f t="shared" si="161"/>
        <v>147366.50150055336</v>
      </c>
      <c r="J83" s="28">
        <f t="shared" si="161"/>
        <v>149568.62963234988</v>
      </c>
      <c r="K83" s="28">
        <f t="shared" ref="K83:V83" si="162">IF(K15=0,0,K15/K26*1000000)</f>
        <v>148882.26560242166</v>
      </c>
      <c r="L83" s="28">
        <f t="shared" si="162"/>
        <v>149897.39395243709</v>
      </c>
      <c r="M83" s="28">
        <f t="shared" si="162"/>
        <v>150882.22939033309</v>
      </c>
      <c r="N83" s="28">
        <f t="shared" si="162"/>
        <v>150467.15991829557</v>
      </c>
      <c r="O83" s="28">
        <f t="shared" si="162"/>
        <v>150817.38050238005</v>
      </c>
      <c r="P83" s="28">
        <f t="shared" si="162"/>
        <v>149115.64552244419</v>
      </c>
      <c r="Q83" s="28">
        <f t="shared" si="162"/>
        <v>147593.56579696608</v>
      </c>
      <c r="R83" s="28">
        <f t="shared" si="162"/>
        <v>147428.09791944313</v>
      </c>
      <c r="S83" s="28">
        <f t="shared" si="162"/>
        <v>149315.83466797697</v>
      </c>
      <c r="T83" s="28">
        <f t="shared" si="162"/>
        <v>148130.98913596696</v>
      </c>
      <c r="U83" s="28">
        <f t="shared" si="162"/>
        <v>147169.02174049433</v>
      </c>
      <c r="V83" s="28">
        <f t="shared" si="162"/>
        <v>127587.94694737971</v>
      </c>
      <c r="W83" s="28">
        <f t="shared" ref="W83:Y83" si="163">IF(W15=0,0,W15/W26*1000000)</f>
        <v>135640.45717590017</v>
      </c>
      <c r="X83" s="28">
        <f t="shared" si="163"/>
        <v>147176.44543934919</v>
      </c>
      <c r="Y83" s="28">
        <f t="shared" si="163"/>
        <v>146452.21169504346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109999.99982020204</v>
      </c>
      <c r="C84" s="108">
        <f t="shared" si="161"/>
        <v>109999.99919473287</v>
      </c>
      <c r="D84" s="108">
        <f t="shared" si="161"/>
        <v>109999.99981531373</v>
      </c>
      <c r="E84" s="108">
        <f t="shared" si="161"/>
        <v>109999.99881295739</v>
      </c>
      <c r="F84" s="108">
        <f t="shared" si="161"/>
        <v>109999.99980992985</v>
      </c>
      <c r="G84" s="108">
        <f t="shared" si="161"/>
        <v>109999.99900616324</v>
      </c>
      <c r="H84" s="108">
        <f t="shared" si="161"/>
        <v>109999.99892755289</v>
      </c>
      <c r="I84" s="108">
        <f t="shared" si="161"/>
        <v>109999.99955493555</v>
      </c>
      <c r="J84" s="108">
        <f t="shared" si="161"/>
        <v>109999.99881427326</v>
      </c>
      <c r="K84" s="108">
        <f t="shared" ref="K84:V84" si="164">IF(K16=0,0,K16/K27*1000000)</f>
        <v>109999.99926359164</v>
      </c>
      <c r="L84" s="108">
        <f t="shared" si="164"/>
        <v>109999.99918373185</v>
      </c>
      <c r="M84" s="108">
        <f t="shared" si="164"/>
        <v>109999.99946509209</v>
      </c>
      <c r="N84" s="108">
        <f t="shared" si="164"/>
        <v>109999.99852851663</v>
      </c>
      <c r="O84" s="108">
        <f t="shared" si="164"/>
        <v>109999.99980539795</v>
      </c>
      <c r="P84" s="108">
        <f t="shared" si="164"/>
        <v>109999.99939815768</v>
      </c>
      <c r="Q84" s="108">
        <f t="shared" si="164"/>
        <v>109999.99983038254</v>
      </c>
      <c r="R84" s="108">
        <f t="shared" si="164"/>
        <v>109999.99880073158</v>
      </c>
      <c r="S84" s="108">
        <f t="shared" si="164"/>
        <v>109999.99853864682</v>
      </c>
      <c r="T84" s="108">
        <f t="shared" si="164"/>
        <v>109999.99967715293</v>
      </c>
      <c r="U84" s="108">
        <f t="shared" si="164"/>
        <v>109999.99934405823</v>
      </c>
      <c r="V84" s="108">
        <f t="shared" si="164"/>
        <v>109999.99978920804</v>
      </c>
      <c r="W84" s="108">
        <f t="shared" ref="W84:Y84" si="165">IF(W16=0,0,W16/W27*1000000)</f>
        <v>109999.99880932421</v>
      </c>
      <c r="X84" s="108">
        <f t="shared" si="165"/>
        <v>108472.96039356287</v>
      </c>
      <c r="Y84" s="108">
        <f t="shared" si="165"/>
        <v>109999.99844508944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149999.99874164208</v>
      </c>
      <c r="C85" s="110">
        <f t="shared" si="161"/>
        <v>149999.99916433191</v>
      </c>
      <c r="D85" s="110">
        <f t="shared" si="161"/>
        <v>149999.99810036924</v>
      </c>
      <c r="E85" s="110">
        <f t="shared" si="161"/>
        <v>149999.99898111299</v>
      </c>
      <c r="F85" s="110">
        <f t="shared" si="161"/>
        <v>149999.99887839725</v>
      </c>
      <c r="G85" s="110">
        <f t="shared" si="161"/>
        <v>149999.99920240356</v>
      </c>
      <c r="H85" s="110">
        <f t="shared" si="161"/>
        <v>149999.99940940502</v>
      </c>
      <c r="I85" s="110">
        <f t="shared" si="161"/>
        <v>147874.66633073791</v>
      </c>
      <c r="J85" s="110">
        <f t="shared" si="161"/>
        <v>149999.99901440999</v>
      </c>
      <c r="K85" s="110">
        <f t="shared" ref="K85:V85" si="166">IF(K17=0,0,K17/K28*1000000)</f>
        <v>149496.95642439084</v>
      </c>
      <c r="L85" s="110">
        <f t="shared" si="166"/>
        <v>149999.99871990262</v>
      </c>
      <c r="M85" s="110">
        <f t="shared" si="166"/>
        <v>149999.99921700268</v>
      </c>
      <c r="N85" s="110">
        <f t="shared" si="166"/>
        <v>149948.62507579094</v>
      </c>
      <c r="O85" s="110">
        <f t="shared" si="166"/>
        <v>149510.5277565867</v>
      </c>
      <c r="P85" s="110">
        <f t="shared" si="166"/>
        <v>149999.99913360382</v>
      </c>
      <c r="Q85" s="110">
        <f t="shared" si="166"/>
        <v>149999.99954740627</v>
      </c>
      <c r="R85" s="110">
        <f t="shared" si="166"/>
        <v>148775.14538038577</v>
      </c>
      <c r="S85" s="110">
        <f t="shared" si="166"/>
        <v>149999.9994704577</v>
      </c>
      <c r="T85" s="110">
        <f t="shared" si="166"/>
        <v>147827.68999876437</v>
      </c>
      <c r="U85" s="110">
        <f t="shared" si="166"/>
        <v>146143.70175454256</v>
      </c>
      <c r="V85" s="110">
        <f t="shared" si="166"/>
        <v>123975.22513946872</v>
      </c>
      <c r="W85" s="110">
        <f t="shared" ref="W85:Y85" si="167">IF(W17=0,0,W17/W28*1000000)</f>
        <v>132855.82493882629</v>
      </c>
      <c r="X85" s="110">
        <f t="shared" si="167"/>
        <v>149999.99901090452</v>
      </c>
      <c r="Y85" s="110">
        <f t="shared" si="167"/>
        <v>149999.99924308102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149999.998288734</v>
      </c>
      <c r="C86" s="84">
        <f t="shared" si="161"/>
        <v>149999.99763104258</v>
      </c>
      <c r="D86" s="84">
        <f t="shared" si="161"/>
        <v>149999.99584913766</v>
      </c>
      <c r="E86" s="84">
        <f t="shared" si="161"/>
        <v>149999.99748397493</v>
      </c>
      <c r="F86" s="84">
        <f t="shared" si="161"/>
        <v>149999.99608238746</v>
      </c>
      <c r="G86" s="84">
        <f t="shared" si="161"/>
        <v>149999.9965308019</v>
      </c>
      <c r="H86" s="84">
        <f t="shared" si="161"/>
        <v>149999.99778502437</v>
      </c>
      <c r="I86" s="84">
        <f t="shared" si="161"/>
        <v>138565.36487074374</v>
      </c>
      <c r="J86" s="84">
        <f t="shared" si="161"/>
        <v>149999.99546632645</v>
      </c>
      <c r="K86" s="84">
        <f t="shared" ref="K86:V86" si="168">IF(K18=0,0,K18/K29*1000000)</f>
        <v>146500.76310620905</v>
      </c>
      <c r="L86" s="84">
        <f t="shared" si="168"/>
        <v>149999.9958817834</v>
      </c>
      <c r="M86" s="84">
        <f t="shared" si="168"/>
        <v>149999.99665061635</v>
      </c>
      <c r="N86" s="84">
        <f t="shared" si="168"/>
        <v>149653.6889408837</v>
      </c>
      <c r="O86" s="84">
        <f t="shared" si="168"/>
        <v>146202.77058358563</v>
      </c>
      <c r="P86" s="84">
        <f t="shared" si="168"/>
        <v>149999.99474387415</v>
      </c>
      <c r="Q86" s="84">
        <f t="shared" si="168"/>
        <v>149999.99992798563</v>
      </c>
      <c r="R86" s="84">
        <f t="shared" si="168"/>
        <v>149114.22982490584</v>
      </c>
      <c r="S86" s="84">
        <f t="shared" si="168"/>
        <v>149999.99844818964</v>
      </c>
      <c r="T86" s="84">
        <f t="shared" si="168"/>
        <v>131041.91842713428</v>
      </c>
      <c r="U86" s="84">
        <f t="shared" si="168"/>
        <v>108502.18750509543</v>
      </c>
      <c r="V86" s="84">
        <f t="shared" si="168"/>
        <v>118949.41766400862</v>
      </c>
      <c r="W86" s="84">
        <f t="shared" ref="W86:Y86" si="169">IF(W18=0,0,W18/W29*1000000)</f>
        <v>138352.96644658194</v>
      </c>
      <c r="X86" s="84">
        <f t="shared" si="169"/>
        <v>149999.9921622501</v>
      </c>
      <c r="Y86" s="84">
        <f t="shared" si="169"/>
        <v>149999.99708838112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149999.99891154832</v>
      </c>
      <c r="C87" s="84">
        <f t="shared" si="161"/>
        <v>149999.99962058247</v>
      </c>
      <c r="D87" s="84">
        <f t="shared" si="161"/>
        <v>149999.99876542029</v>
      </c>
      <c r="E87" s="84">
        <f t="shared" si="161"/>
        <v>149999.99942284697</v>
      </c>
      <c r="F87" s="84">
        <f t="shared" si="161"/>
        <v>149999.99967691948</v>
      </c>
      <c r="G87" s="84">
        <f t="shared" si="161"/>
        <v>149999.99987786732</v>
      </c>
      <c r="H87" s="84">
        <f t="shared" si="161"/>
        <v>149999.99985726224</v>
      </c>
      <c r="I87" s="84">
        <f t="shared" si="161"/>
        <v>149999.99919043828</v>
      </c>
      <c r="J87" s="84">
        <f t="shared" si="161"/>
        <v>149999.99978308071</v>
      </c>
      <c r="K87" s="84">
        <f t="shared" ref="K87:V87" si="170">IF(K19=0,0,K19/K30*1000000)</f>
        <v>149999.9993858758</v>
      </c>
      <c r="L87" s="84">
        <f t="shared" si="170"/>
        <v>149999.99924141172</v>
      </c>
      <c r="M87" s="84">
        <f t="shared" si="170"/>
        <v>149999.99975594878</v>
      </c>
      <c r="N87" s="84">
        <f t="shared" si="170"/>
        <v>149999.99952547837</v>
      </c>
      <c r="O87" s="84">
        <f t="shared" si="170"/>
        <v>149999.99963240392</v>
      </c>
      <c r="P87" s="84">
        <f t="shared" si="170"/>
        <v>149999.99990548313</v>
      </c>
      <c r="Q87" s="84">
        <f t="shared" si="170"/>
        <v>149999.99948404086</v>
      </c>
      <c r="R87" s="84">
        <f t="shared" si="170"/>
        <v>148722.69060583162</v>
      </c>
      <c r="S87" s="84">
        <f t="shared" si="170"/>
        <v>149999.99963719593</v>
      </c>
      <c r="T87" s="84">
        <f t="shared" si="170"/>
        <v>149999.99954794659</v>
      </c>
      <c r="U87" s="84">
        <f t="shared" si="170"/>
        <v>149999.99969475844</v>
      </c>
      <c r="V87" s="84">
        <f t="shared" si="170"/>
        <v>124423.13727616813</v>
      </c>
      <c r="W87" s="84">
        <f t="shared" ref="W87:Y87" si="171">IF(W19=0,0,W19/W30*1000000)</f>
        <v>132446.68588550805</v>
      </c>
      <c r="X87" s="84">
        <f t="shared" si="171"/>
        <v>149999.99959901851</v>
      </c>
      <c r="Y87" s="84">
        <f t="shared" si="171"/>
        <v>149999.99943324807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449999.6191348664</v>
      </c>
      <c r="C88" s="113">
        <f t="shared" si="161"/>
        <v>416785.84792041866</v>
      </c>
      <c r="D88" s="113">
        <f t="shared" si="161"/>
        <v>449999.99042105291</v>
      </c>
      <c r="E88" s="113">
        <f t="shared" si="161"/>
        <v>449999.94062013947</v>
      </c>
      <c r="F88" s="113">
        <f t="shared" si="161"/>
        <v>368409.81975683291</v>
      </c>
      <c r="G88" s="113">
        <f t="shared" si="161"/>
        <v>449999.94552632241</v>
      </c>
      <c r="H88" s="113">
        <f t="shared" si="161"/>
        <v>449999.94029568636</v>
      </c>
      <c r="I88" s="113">
        <f t="shared" si="161"/>
        <v>449999.95652602945</v>
      </c>
      <c r="J88" s="113">
        <f t="shared" si="161"/>
        <v>449999.99443370715</v>
      </c>
      <c r="K88" s="113">
        <f t="shared" ref="K88:V88" si="172">IF(K20=0,0,K20/K31*1000000)</f>
        <v>446163.17317301396</v>
      </c>
      <c r="L88" s="113">
        <f t="shared" si="172"/>
        <v>449999.96524174802</v>
      </c>
      <c r="M88" s="113">
        <f t="shared" si="172"/>
        <v>449999.99212946289</v>
      </c>
      <c r="N88" s="113">
        <f t="shared" si="172"/>
        <v>447076.13757789263</v>
      </c>
      <c r="O88" s="113">
        <f t="shared" si="172"/>
        <v>449999.99463570485</v>
      </c>
      <c r="P88" s="113">
        <f t="shared" si="172"/>
        <v>390552.36907484359</v>
      </c>
      <c r="Q88" s="113">
        <f t="shared" si="172"/>
        <v>342582.08964689577</v>
      </c>
      <c r="R88" s="113">
        <f t="shared" si="172"/>
        <v>375046.26916607574</v>
      </c>
      <c r="S88" s="113">
        <f t="shared" si="172"/>
        <v>416138.52633745089</v>
      </c>
      <c r="T88" s="113">
        <f t="shared" si="172"/>
        <v>449999.97779148788</v>
      </c>
      <c r="U88" s="113">
        <f t="shared" si="172"/>
        <v>449999.99800884962</v>
      </c>
      <c r="V88" s="113">
        <f t="shared" si="172"/>
        <v>338598.33176577382</v>
      </c>
      <c r="W88" s="113">
        <f t="shared" ref="W88:Y88" si="173">IF(W20=0,0,W20/W31*1000000)</f>
        <v>383541.05499117525</v>
      </c>
      <c r="X88" s="113">
        <f t="shared" si="173"/>
        <v>355259.15171241027</v>
      </c>
      <c r="Y88" s="113">
        <f t="shared" si="173"/>
        <v>319126.08809293289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199999.99668005671</v>
      </c>
      <c r="C89" s="28">
        <f t="shared" si="161"/>
        <v>199999.9972648168</v>
      </c>
      <c r="D89" s="28">
        <f t="shared" si="161"/>
        <v>199999.997658195</v>
      </c>
      <c r="E89" s="28">
        <f t="shared" si="161"/>
        <v>199999.998259694</v>
      </c>
      <c r="F89" s="28">
        <f t="shared" si="161"/>
        <v>199999.99868059051</v>
      </c>
      <c r="G89" s="28">
        <f t="shared" si="161"/>
        <v>199999.99767041052</v>
      </c>
      <c r="H89" s="28">
        <f t="shared" si="161"/>
        <v>199999.9995058217</v>
      </c>
      <c r="I89" s="28">
        <f t="shared" si="161"/>
        <v>193984.95594214243</v>
      </c>
      <c r="J89" s="28">
        <f t="shared" si="161"/>
        <v>199999.99723888119</v>
      </c>
      <c r="K89" s="28">
        <f t="shared" ref="K89:V89" si="174">IF(K21=0,0,K21/K32*1000000)</f>
        <v>179974.49055494563</v>
      </c>
      <c r="L89" s="28">
        <f t="shared" si="174"/>
        <v>199999.99862839081</v>
      </c>
      <c r="M89" s="28">
        <f t="shared" si="174"/>
        <v>199999.9978600943</v>
      </c>
      <c r="N89" s="28">
        <f t="shared" si="174"/>
        <v>199999.99713592324</v>
      </c>
      <c r="O89" s="28">
        <f t="shared" si="174"/>
        <v>199999.99614001397</v>
      </c>
      <c r="P89" s="28">
        <f t="shared" si="174"/>
        <v>198775.98200088073</v>
      </c>
      <c r="Q89" s="28">
        <f t="shared" si="174"/>
        <v>183098.50091128584</v>
      </c>
      <c r="R89" s="28">
        <f t="shared" si="174"/>
        <v>199544.60801880382</v>
      </c>
      <c r="S89" s="28">
        <f t="shared" si="174"/>
        <v>199999.99918809813</v>
      </c>
      <c r="T89" s="28">
        <f t="shared" si="174"/>
        <v>199999.99799008926</v>
      </c>
      <c r="U89" s="28">
        <f t="shared" si="174"/>
        <v>187127.22425543563</v>
      </c>
      <c r="V89" s="28">
        <f t="shared" si="174"/>
        <v>199999.99561395636</v>
      </c>
      <c r="W89" s="28">
        <f t="shared" ref="W89:Y89" si="175">IF(W21=0,0,W21/W32*1000000)</f>
        <v>199999.99804615669</v>
      </c>
      <c r="X89" s="28">
        <f t="shared" si="175"/>
        <v>188939.89335598395</v>
      </c>
      <c r="Y89" s="28">
        <f t="shared" si="175"/>
        <v>189556.98670910654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199999.99491770894</v>
      </c>
      <c r="C90" s="84">
        <f t="shared" si="161"/>
        <v>199999.99364464422</v>
      </c>
      <c r="D90" s="84">
        <f t="shared" si="161"/>
        <v>199999.99454141225</v>
      </c>
      <c r="E90" s="84">
        <f t="shared" si="161"/>
        <v>199999.99794373187</v>
      </c>
      <c r="F90" s="84">
        <f t="shared" si="161"/>
        <v>199999.99830526562</v>
      </c>
      <c r="G90" s="84">
        <f t="shared" si="161"/>
        <v>199999.99724854337</v>
      </c>
      <c r="H90" s="84">
        <f t="shared" si="161"/>
        <v>199999.99957712524</v>
      </c>
      <c r="I90" s="84">
        <f t="shared" si="161"/>
        <v>179902.89157391893</v>
      </c>
      <c r="J90" s="84">
        <f t="shared" si="161"/>
        <v>199999.99784035515</v>
      </c>
      <c r="K90" s="84">
        <f t="shared" ref="K90:V90" si="176">IF(K22=0,0,K22/K33*1000000)</f>
        <v>189941.18273115985</v>
      </c>
      <c r="L90" s="84">
        <f t="shared" si="176"/>
        <v>199999.99614593867</v>
      </c>
      <c r="M90" s="84">
        <f t="shared" si="176"/>
        <v>199999.99931450162</v>
      </c>
      <c r="N90" s="84">
        <f t="shared" si="176"/>
        <v>199999.99350034533</v>
      </c>
      <c r="O90" s="84">
        <f t="shared" si="176"/>
        <v>199999.9922736247</v>
      </c>
      <c r="P90" s="84">
        <f t="shared" si="176"/>
        <v>195358.1724225943</v>
      </c>
      <c r="Q90" s="84">
        <f t="shared" si="176"/>
        <v>162741.89164779594</v>
      </c>
      <c r="R90" s="84">
        <f t="shared" si="176"/>
        <v>197913.08177977797</v>
      </c>
      <c r="S90" s="84">
        <f t="shared" si="176"/>
        <v>199999.99726230119</v>
      </c>
      <c r="T90" s="84">
        <f t="shared" si="176"/>
        <v>199999.99209051588</v>
      </c>
      <c r="U90" s="84">
        <f t="shared" si="176"/>
        <v>199999.99448351719</v>
      </c>
      <c r="V90" s="84">
        <f t="shared" si="176"/>
        <v>199999.99144319067</v>
      </c>
      <c r="W90" s="84">
        <f t="shared" ref="W90:Y90" si="177">IF(W22=0,0,W22/W33*1000000)</f>
        <v>199999.99910398558</v>
      </c>
      <c r="X90" s="84">
        <f t="shared" si="177"/>
        <v>169803.65903996988</v>
      </c>
      <c r="Y90" s="84">
        <f t="shared" si="177"/>
        <v>178333.5385717586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199999.99757095528</v>
      </c>
      <c r="C91" s="86">
        <f t="shared" si="161"/>
        <v>199999.99908135072</v>
      </c>
      <c r="D91" s="86">
        <f t="shared" si="161"/>
        <v>199999.99911240477</v>
      </c>
      <c r="E91" s="86">
        <f t="shared" si="161"/>
        <v>199999.99840550334</v>
      </c>
      <c r="F91" s="86">
        <f t="shared" si="161"/>
        <v>199999.99885957048</v>
      </c>
      <c r="G91" s="86">
        <f t="shared" si="161"/>
        <v>199999.99788305871</v>
      </c>
      <c r="H91" s="86">
        <f t="shared" si="161"/>
        <v>199999.9994714373</v>
      </c>
      <c r="I91" s="86">
        <f t="shared" si="161"/>
        <v>199999.99722660508</v>
      </c>
      <c r="J91" s="86">
        <f t="shared" si="161"/>
        <v>199999.9969943614</v>
      </c>
      <c r="K91" s="86">
        <f t="shared" ref="K91:V91" si="178">IF(K23=0,0,K23/K34*1000000)</f>
        <v>176012.46391967664</v>
      </c>
      <c r="L91" s="86">
        <f t="shared" si="178"/>
        <v>199999.99961412308</v>
      </c>
      <c r="M91" s="86">
        <f t="shared" si="178"/>
        <v>199999.99727662274</v>
      </c>
      <c r="N91" s="86">
        <f t="shared" si="178"/>
        <v>199999.99877554196</v>
      </c>
      <c r="O91" s="86">
        <f t="shared" si="178"/>
        <v>199999.99795250403</v>
      </c>
      <c r="P91" s="86">
        <f t="shared" si="178"/>
        <v>199999.99692949845</v>
      </c>
      <c r="Q91" s="86">
        <f t="shared" si="178"/>
        <v>190088.33958101796</v>
      </c>
      <c r="R91" s="86">
        <f t="shared" si="178"/>
        <v>199999.99973239389</v>
      </c>
      <c r="S91" s="86">
        <f t="shared" si="178"/>
        <v>199999.99962454374</v>
      </c>
      <c r="T91" s="86">
        <f t="shared" si="178"/>
        <v>199999.99985130061</v>
      </c>
      <c r="U91" s="86">
        <f t="shared" si="178"/>
        <v>182411.63651535849</v>
      </c>
      <c r="V91" s="86">
        <f t="shared" si="178"/>
        <v>199999.99699178149</v>
      </c>
      <c r="W91" s="86">
        <f t="shared" ref="W91:Y91" si="179">IF(W23=0,0,W23/W34*1000000)</f>
        <v>199999.99759937142</v>
      </c>
      <c r="X91" s="86">
        <f t="shared" si="179"/>
        <v>196852.48818896661</v>
      </c>
      <c r="Y91" s="86">
        <f t="shared" si="179"/>
        <v>194074.36695344321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20536475.907471713</v>
      </c>
      <c r="C94" s="28">
        <f t="shared" si="180"/>
        <v>18649406.770231109</v>
      </c>
      <c r="D94" s="28">
        <f t="shared" si="180"/>
        <v>18046946.339518886</v>
      </c>
      <c r="E94" s="28">
        <f t="shared" si="180"/>
        <v>16921497.62061467</v>
      </c>
      <c r="F94" s="28">
        <f t="shared" si="180"/>
        <v>16905297.04077116</v>
      </c>
      <c r="G94" s="28">
        <f t="shared" si="180"/>
        <v>17424034.105153348</v>
      </c>
      <c r="H94" s="28">
        <f t="shared" si="180"/>
        <v>17969537.821939647</v>
      </c>
      <c r="I94" s="28">
        <f t="shared" si="180"/>
        <v>18382201.991060212</v>
      </c>
      <c r="J94" s="28">
        <f t="shared" si="180"/>
        <v>19306332.730678685</v>
      </c>
      <c r="K94" s="28">
        <f t="shared" ref="K94:V94" si="181">IF(K4=0,0,K4/K26*1000000)</f>
        <v>17427870.903394207</v>
      </c>
      <c r="L94" s="28">
        <f t="shared" si="181"/>
        <v>17431189.012583755</v>
      </c>
      <c r="M94" s="28">
        <f t="shared" si="181"/>
        <v>17122205.867839534</v>
      </c>
      <c r="N94" s="28">
        <f t="shared" si="181"/>
        <v>17203635.793229077</v>
      </c>
      <c r="O94" s="28">
        <f t="shared" si="181"/>
        <v>17156183.71688465</v>
      </c>
      <c r="P94" s="28">
        <f t="shared" si="181"/>
        <v>16798873.55556225</v>
      </c>
      <c r="Q94" s="28">
        <f t="shared" si="181"/>
        <v>16632693.947197283</v>
      </c>
      <c r="R94" s="28">
        <f t="shared" si="181"/>
        <v>16502752.974838266</v>
      </c>
      <c r="S94" s="28">
        <f t="shared" si="181"/>
        <v>17604312.41565229</v>
      </c>
      <c r="T94" s="28">
        <f t="shared" si="181"/>
        <v>17335744.06593151</v>
      </c>
      <c r="U94" s="28">
        <f t="shared" si="181"/>
        <v>17980229.282202642</v>
      </c>
      <c r="V94" s="28">
        <f t="shared" si="181"/>
        <v>11426747.223088441</v>
      </c>
      <c r="W94" s="28">
        <f t="shared" ref="W94:Y94" si="182">IF(W4=0,0,W4/W26*1000000)</f>
        <v>12088366.593284497</v>
      </c>
      <c r="X94" s="28">
        <f t="shared" si="182"/>
        <v>18861585.831817746</v>
      </c>
      <c r="Y94" s="28">
        <f t="shared" si="182"/>
        <v>20902868.412674211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8662836.1592219528</v>
      </c>
      <c r="C95" s="108">
        <f t="shared" si="180"/>
        <v>8501548.3567093331</v>
      </c>
      <c r="D95" s="108">
        <f t="shared" si="180"/>
        <v>8395013.0215979777</v>
      </c>
      <c r="E95" s="108">
        <f t="shared" si="180"/>
        <v>8352797.4730956526</v>
      </c>
      <c r="F95" s="108">
        <f t="shared" si="180"/>
        <v>8355537.2816564701</v>
      </c>
      <c r="G95" s="108">
        <f t="shared" si="180"/>
        <v>8430086.3370657843</v>
      </c>
      <c r="H95" s="108">
        <f t="shared" si="180"/>
        <v>8392979.010376798</v>
      </c>
      <c r="I95" s="108">
        <f t="shared" si="180"/>
        <v>8400459.1949471645</v>
      </c>
      <c r="J95" s="108">
        <f t="shared" si="180"/>
        <v>8519522.5339289196</v>
      </c>
      <c r="K95" s="108">
        <f t="shared" ref="K95:V95" si="183">IF(K5=0,0,K5/K27*1000000)</f>
        <v>8423004.1553117745</v>
      </c>
      <c r="L95" s="108">
        <f t="shared" si="183"/>
        <v>8472084.2267119512</v>
      </c>
      <c r="M95" s="108">
        <f t="shared" si="183"/>
        <v>8399011.9761104044</v>
      </c>
      <c r="N95" s="108">
        <f t="shared" si="183"/>
        <v>8450919.1981266607</v>
      </c>
      <c r="O95" s="108">
        <f t="shared" si="183"/>
        <v>8459273.5204903837</v>
      </c>
      <c r="P95" s="108">
        <f t="shared" si="183"/>
        <v>8388910.5863307118</v>
      </c>
      <c r="Q95" s="108">
        <f t="shared" si="183"/>
        <v>8503318.7618395798</v>
      </c>
      <c r="R95" s="108">
        <f t="shared" si="183"/>
        <v>8516921.4249708652</v>
      </c>
      <c r="S95" s="108">
        <f t="shared" si="183"/>
        <v>8707627.2565459423</v>
      </c>
      <c r="T95" s="108">
        <f t="shared" si="183"/>
        <v>8767539.0149415005</v>
      </c>
      <c r="U95" s="108">
        <f t="shared" si="183"/>
        <v>8840936.8606895078</v>
      </c>
      <c r="V95" s="108">
        <f t="shared" si="183"/>
        <v>7708200.1982213948</v>
      </c>
      <c r="W95" s="108">
        <f t="shared" ref="W95:Y95" si="184">IF(W5=0,0,W5/W27*1000000)</f>
        <v>6947679.9357890906</v>
      </c>
      <c r="X95" s="108">
        <f t="shared" si="184"/>
        <v>8562718.3376484625</v>
      </c>
      <c r="Y95" s="108">
        <f t="shared" si="184"/>
        <v>9226942.4177593309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25327663.927455246</v>
      </c>
      <c r="C96" s="110">
        <f t="shared" si="180"/>
        <v>22564608.999131642</v>
      </c>
      <c r="D96" s="110">
        <f t="shared" si="180"/>
        <v>21358441.860398795</v>
      </c>
      <c r="E96" s="110">
        <f t="shared" si="180"/>
        <v>19267314.263735201</v>
      </c>
      <c r="F96" s="110">
        <f t="shared" si="180"/>
        <v>19452273.967777889</v>
      </c>
      <c r="G96" s="110">
        <f t="shared" si="180"/>
        <v>19391860.597467814</v>
      </c>
      <c r="H96" s="110">
        <f t="shared" si="180"/>
        <v>19636173.266380288</v>
      </c>
      <c r="I96" s="110">
        <f t="shared" si="180"/>
        <v>19435412.568775564</v>
      </c>
      <c r="J96" s="110">
        <f t="shared" si="180"/>
        <v>20538225.57778639</v>
      </c>
      <c r="K96" s="110">
        <f t="shared" ref="K96:V96" si="185">IF(K6=0,0,K6/K28*1000000)</f>
        <v>17989588.393764138</v>
      </c>
      <c r="L96" s="110">
        <f t="shared" si="185"/>
        <v>17716797.716876764</v>
      </c>
      <c r="M96" s="110">
        <f t="shared" si="185"/>
        <v>17008522.878079429</v>
      </c>
      <c r="N96" s="110">
        <f t="shared" si="185"/>
        <v>17145455.795863636</v>
      </c>
      <c r="O96" s="110">
        <f t="shared" si="185"/>
        <v>16862819.302228712</v>
      </c>
      <c r="P96" s="110">
        <f t="shared" si="185"/>
        <v>16897639.432276852</v>
      </c>
      <c r="Q96" s="110">
        <f t="shared" si="185"/>
        <v>16986804.240059763</v>
      </c>
      <c r="R96" s="110">
        <f t="shared" si="185"/>
        <v>16657268.231652584</v>
      </c>
      <c r="S96" s="110">
        <f t="shared" si="185"/>
        <v>17847380.497543938</v>
      </c>
      <c r="T96" s="110">
        <f t="shared" si="185"/>
        <v>17392036.665389471</v>
      </c>
      <c r="U96" s="110">
        <f t="shared" si="185"/>
        <v>18144607.729187023</v>
      </c>
      <c r="V96" s="110">
        <f t="shared" si="185"/>
        <v>11694393.064890251</v>
      </c>
      <c r="W96" s="110">
        <f t="shared" ref="W96:Y96" si="186">IF(W6=0,0,W6/W28*1000000)</f>
        <v>12803052.511472607</v>
      </c>
      <c r="X96" s="110">
        <f t="shared" si="186"/>
        <v>21239758.614065368</v>
      </c>
      <c r="Y96" s="110">
        <f t="shared" si="186"/>
        <v>23410714.33251974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17297050.368508883</v>
      </c>
      <c r="C97" s="84">
        <f t="shared" si="180"/>
        <v>16756172.293860167</v>
      </c>
      <c r="D97" s="84">
        <f t="shared" si="180"/>
        <v>16280722.108233398</v>
      </c>
      <c r="E97" s="84">
        <f t="shared" si="180"/>
        <v>15769683.362104263</v>
      </c>
      <c r="F97" s="84">
        <f t="shared" si="180"/>
        <v>15788284.368908355</v>
      </c>
      <c r="G97" s="84">
        <f t="shared" si="180"/>
        <v>16018310.744538851</v>
      </c>
      <c r="H97" s="84">
        <f t="shared" si="180"/>
        <v>15861851.129348719</v>
      </c>
      <c r="I97" s="84">
        <f t="shared" si="180"/>
        <v>15200555.379310459</v>
      </c>
      <c r="J97" s="84">
        <f t="shared" si="180"/>
        <v>15606869.075269213</v>
      </c>
      <c r="K97" s="84">
        <f t="shared" ref="K97:V97" si="187">IF(K7=0,0,K7/K29*1000000)</f>
        <v>13327730.781722011</v>
      </c>
      <c r="L97" s="84">
        <f t="shared" si="187"/>
        <v>15372581.739132188</v>
      </c>
      <c r="M97" s="84">
        <f t="shared" si="187"/>
        <v>15093104.960887099</v>
      </c>
      <c r="N97" s="84">
        <f t="shared" si="187"/>
        <v>14919046.292484445</v>
      </c>
      <c r="O97" s="84">
        <f t="shared" si="187"/>
        <v>12921668.329476148</v>
      </c>
      <c r="P97" s="84">
        <f t="shared" si="187"/>
        <v>15884047.941089947</v>
      </c>
      <c r="Q97" s="84">
        <f t="shared" si="187"/>
        <v>15824684.010800138</v>
      </c>
      <c r="R97" s="84">
        <f t="shared" si="187"/>
        <v>15311410.568081407</v>
      </c>
      <c r="S97" s="84">
        <f t="shared" si="187"/>
        <v>15415057.179191317</v>
      </c>
      <c r="T97" s="84">
        <f t="shared" si="187"/>
        <v>12628294.635515355</v>
      </c>
      <c r="U97" s="84">
        <f t="shared" si="187"/>
        <v>10614479.663526053</v>
      </c>
      <c r="V97" s="84">
        <f t="shared" si="187"/>
        <v>7458729.7114518229</v>
      </c>
      <c r="W97" s="84">
        <f t="shared" ref="W97:Y97" si="188">IF(W7=0,0,W7/W29*1000000)</f>
        <v>10282337.758832702</v>
      </c>
      <c r="X97" s="84">
        <f t="shared" si="188"/>
        <v>13071302.862561772</v>
      </c>
      <c r="Y97" s="84">
        <f t="shared" si="188"/>
        <v>14044589.493395679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28340308.879676405</v>
      </c>
      <c r="C98" s="84">
        <f t="shared" si="180"/>
        <v>24292986.31612815</v>
      </c>
      <c r="D98" s="84">
        <f t="shared" si="180"/>
        <v>22858484.299162555</v>
      </c>
      <c r="E98" s="84">
        <f t="shared" si="180"/>
        <v>20299298.289344233</v>
      </c>
      <c r="F98" s="84">
        <f t="shared" si="180"/>
        <v>20498685.607985619</v>
      </c>
      <c r="G98" s="84">
        <f t="shared" si="180"/>
        <v>20244798.602612596</v>
      </c>
      <c r="H98" s="84">
        <f t="shared" si="180"/>
        <v>20676789.838394608</v>
      </c>
      <c r="I98" s="84">
        <f t="shared" si="180"/>
        <v>20402239.261367619</v>
      </c>
      <c r="J98" s="84">
        <f t="shared" si="180"/>
        <v>21606573.966247912</v>
      </c>
      <c r="K98" s="84">
        <f t="shared" ref="K98:V98" si="189">IF(K8=0,0,K8/K30*1000000)</f>
        <v>18772286.440966886</v>
      </c>
      <c r="L98" s="84">
        <f t="shared" si="189"/>
        <v>18147551.281831224</v>
      </c>
      <c r="M98" s="84">
        <f t="shared" si="189"/>
        <v>17410764.307131417</v>
      </c>
      <c r="N98" s="84">
        <f t="shared" si="189"/>
        <v>17533270.476662118</v>
      </c>
      <c r="O98" s="84">
        <f t="shared" si="189"/>
        <v>17446018.871791415</v>
      </c>
      <c r="P98" s="84">
        <f t="shared" si="189"/>
        <v>17075866.877411768</v>
      </c>
      <c r="Q98" s="84">
        <f t="shared" si="189"/>
        <v>17180294.138917342</v>
      </c>
      <c r="R98" s="84">
        <f t="shared" si="189"/>
        <v>16865466.105266441</v>
      </c>
      <c r="S98" s="84">
        <f t="shared" si="189"/>
        <v>18244107.459124584</v>
      </c>
      <c r="T98" s="84">
        <f t="shared" si="189"/>
        <v>18008530.358108733</v>
      </c>
      <c r="U98" s="84">
        <f t="shared" si="189"/>
        <v>18916054.306939848</v>
      </c>
      <c r="V98" s="84">
        <f t="shared" si="189"/>
        <v>12071885.643394627</v>
      </c>
      <c r="W98" s="84">
        <f t="shared" ref="W98:Y98" si="190">IF(W8=0,0,W8/W30*1000000)</f>
        <v>12990663.262646707</v>
      </c>
      <c r="X98" s="84">
        <f t="shared" si="190"/>
        <v>21941207.830278985</v>
      </c>
      <c r="Y98" s="84">
        <f t="shared" si="190"/>
        <v>24237339.142407928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71202571.315392286</v>
      </c>
      <c r="C99" s="113">
        <f t="shared" si="180"/>
        <v>66856837.225886963</v>
      </c>
      <c r="D99" s="113">
        <f t="shared" si="180"/>
        <v>72675787.926667437</v>
      </c>
      <c r="E99" s="113">
        <f t="shared" si="180"/>
        <v>73166832.45051454</v>
      </c>
      <c r="F99" s="113">
        <f t="shared" si="180"/>
        <v>61508927.906980269</v>
      </c>
      <c r="G99" s="113">
        <f t="shared" si="180"/>
        <v>76113148.6810399</v>
      </c>
      <c r="H99" s="113">
        <f t="shared" si="180"/>
        <v>77666782.720479935</v>
      </c>
      <c r="I99" s="113">
        <f t="shared" si="180"/>
        <v>78732247.914274156</v>
      </c>
      <c r="J99" s="113">
        <f t="shared" si="180"/>
        <v>77900269.62009716</v>
      </c>
      <c r="K99" s="113">
        <f t="shared" ref="K99:V99" si="191">IF(K9=0,0,K9/K31*1000000)</f>
        <v>76602569.508905232</v>
      </c>
      <c r="L99" s="113">
        <f t="shared" si="191"/>
        <v>78880005.699716553</v>
      </c>
      <c r="M99" s="113">
        <f t="shared" si="191"/>
        <v>79388566.949027941</v>
      </c>
      <c r="N99" s="113">
        <f t="shared" si="191"/>
        <v>80171739.642954931</v>
      </c>
      <c r="O99" s="113">
        <f t="shared" si="191"/>
        <v>81215429.129131347</v>
      </c>
      <c r="P99" s="113">
        <f t="shared" si="191"/>
        <v>70598385.845446587</v>
      </c>
      <c r="Q99" s="113">
        <f t="shared" si="191"/>
        <v>62599634.554077372</v>
      </c>
      <c r="R99" s="113">
        <f t="shared" si="191"/>
        <v>67946951.276826292</v>
      </c>
      <c r="S99" s="113">
        <f t="shared" si="191"/>
        <v>75991683.057743937</v>
      </c>
      <c r="T99" s="113">
        <f t="shared" si="191"/>
        <v>82393580.140970752</v>
      </c>
      <c r="U99" s="113">
        <f t="shared" si="191"/>
        <v>82840707.598049968</v>
      </c>
      <c r="V99" s="113">
        <f t="shared" si="191"/>
        <v>33414309.055832945</v>
      </c>
      <c r="W99" s="113">
        <f t="shared" ref="W99:Y99" si="192">IF(W9=0,0,W9/W31*1000000)</f>
        <v>35318595.022134893</v>
      </c>
      <c r="X99" s="113">
        <f t="shared" si="192"/>
        <v>40582518.145688981</v>
      </c>
      <c r="Y99" s="113">
        <f t="shared" si="192"/>
        <v>46636091.293893769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122046656.86590272</v>
      </c>
      <c r="C100" s="28">
        <f t="shared" si="180"/>
        <v>119642143.63618924</v>
      </c>
      <c r="D100" s="28">
        <f t="shared" si="180"/>
        <v>117959543.05031417</v>
      </c>
      <c r="E100" s="28">
        <f t="shared" si="180"/>
        <v>119713989.01750752</v>
      </c>
      <c r="F100" s="28">
        <f t="shared" si="180"/>
        <v>115492241.24723393</v>
      </c>
      <c r="G100" s="28">
        <f t="shared" si="180"/>
        <v>113109026.14690058</v>
      </c>
      <c r="H100" s="28">
        <f t="shared" si="180"/>
        <v>115767273.40615653</v>
      </c>
      <c r="I100" s="28">
        <f t="shared" si="180"/>
        <v>110344922.1094294</v>
      </c>
      <c r="J100" s="28">
        <f t="shared" si="180"/>
        <v>116187033.7189391</v>
      </c>
      <c r="K100" s="28">
        <f t="shared" ref="K100:V100" si="193">IF(K10=0,0,K10/K32*1000000)</f>
        <v>105025952.31293795</v>
      </c>
      <c r="L100" s="28">
        <f t="shared" si="193"/>
        <v>118464295.93649605</v>
      </c>
      <c r="M100" s="28">
        <f t="shared" si="193"/>
        <v>115791480.68032396</v>
      </c>
      <c r="N100" s="28">
        <f t="shared" si="193"/>
        <v>114817997.25746536</v>
      </c>
      <c r="O100" s="28">
        <f t="shared" si="193"/>
        <v>123754988.22772507</v>
      </c>
      <c r="P100" s="28">
        <f t="shared" si="193"/>
        <v>116930485.21034054</v>
      </c>
      <c r="Q100" s="28">
        <f t="shared" si="193"/>
        <v>114753203.30219823</v>
      </c>
      <c r="R100" s="28">
        <f t="shared" si="193"/>
        <v>128313172.72312714</v>
      </c>
      <c r="S100" s="28">
        <f t="shared" si="193"/>
        <v>125238116.49269603</v>
      </c>
      <c r="T100" s="28">
        <f t="shared" si="193"/>
        <v>131209017.65587288</v>
      </c>
      <c r="U100" s="28">
        <f t="shared" si="193"/>
        <v>126887921.10133529</v>
      </c>
      <c r="V100" s="28">
        <f t="shared" si="193"/>
        <v>126840858.19195807</v>
      </c>
      <c r="W100" s="28">
        <f t="shared" ref="W100:Y100" si="194">IF(W10=0,0,W10/W32*1000000)</f>
        <v>132473079.03653206</v>
      </c>
      <c r="X100" s="28">
        <f t="shared" si="194"/>
        <v>121371306.37670764</v>
      </c>
      <c r="Y100" s="28">
        <f t="shared" si="194"/>
        <v>121837461.27085312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123794548.16893132</v>
      </c>
      <c r="C101" s="84">
        <f t="shared" si="180"/>
        <v>124068852.54809408</v>
      </c>
      <c r="D101" s="84">
        <f t="shared" si="180"/>
        <v>122437795.54020411</v>
      </c>
      <c r="E101" s="84">
        <f t="shared" si="180"/>
        <v>126785179.30346149</v>
      </c>
      <c r="F101" s="84">
        <f t="shared" si="180"/>
        <v>123204187.53160083</v>
      </c>
      <c r="G101" s="84">
        <f t="shared" si="180"/>
        <v>122385587.46689795</v>
      </c>
      <c r="H101" s="84">
        <f t="shared" si="180"/>
        <v>125139859.10016869</v>
      </c>
      <c r="I101" s="84">
        <f t="shared" si="180"/>
        <v>111162131.70276523</v>
      </c>
      <c r="J101" s="84">
        <f t="shared" si="180"/>
        <v>125189660.89772974</v>
      </c>
      <c r="K101" s="84">
        <f t="shared" ref="K101:V101" si="195">IF(K11=0,0,K11/K33*1000000)</f>
        <v>119743706.41813181</v>
      </c>
      <c r="L101" s="84">
        <f t="shared" si="195"/>
        <v>130424378.27463886</v>
      </c>
      <c r="M101" s="84">
        <f t="shared" si="195"/>
        <v>133345082.79502466</v>
      </c>
      <c r="N101" s="84">
        <f t="shared" si="195"/>
        <v>132758173.25187941</v>
      </c>
      <c r="O101" s="84">
        <f t="shared" si="195"/>
        <v>129234635.10673742</v>
      </c>
      <c r="P101" s="84">
        <f t="shared" si="195"/>
        <v>141078898.054463</v>
      </c>
      <c r="Q101" s="84">
        <f t="shared" si="195"/>
        <v>123574507.63786389</v>
      </c>
      <c r="R101" s="84">
        <f t="shared" si="195"/>
        <v>154900695.68315056</v>
      </c>
      <c r="S101" s="84">
        <f t="shared" si="195"/>
        <v>164457660.5200814</v>
      </c>
      <c r="T101" s="84">
        <f t="shared" si="195"/>
        <v>138453911.50555673</v>
      </c>
      <c r="U101" s="84">
        <f t="shared" si="195"/>
        <v>120939067.58478986</v>
      </c>
      <c r="V101" s="84">
        <f t="shared" si="195"/>
        <v>124924519.47433166</v>
      </c>
      <c r="W101" s="84">
        <f t="shared" ref="W101:Y101" si="196">IF(W11=0,0,W11/W33*1000000)</f>
        <v>127310846.50321954</v>
      </c>
      <c r="X101" s="84">
        <f t="shared" si="196"/>
        <v>113851058.88378304</v>
      </c>
      <c r="Y101" s="84">
        <f t="shared" si="196"/>
        <v>127611972.41930015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121163066.26599614</v>
      </c>
      <c r="C102" s="86">
        <f t="shared" si="180"/>
        <v>117420905.11039923</v>
      </c>
      <c r="D102" s="86">
        <f t="shared" si="180"/>
        <v>115870106.93303537</v>
      </c>
      <c r="E102" s="86">
        <f t="shared" si="180"/>
        <v>116450795.51537879</v>
      </c>
      <c r="F102" s="86">
        <f t="shared" si="180"/>
        <v>111814670.11593954</v>
      </c>
      <c r="G102" s="86">
        <f t="shared" si="180"/>
        <v>108433044.22803473</v>
      </c>
      <c r="H102" s="86">
        <f t="shared" si="180"/>
        <v>111247565.21315691</v>
      </c>
      <c r="I102" s="86">
        <f t="shared" si="180"/>
        <v>109995857.56083484</v>
      </c>
      <c r="J102" s="86">
        <f t="shared" si="180"/>
        <v>112527156.67474756</v>
      </c>
      <c r="K102" s="86">
        <f t="shared" ref="K102:V102" si="197">IF(K12=0,0,K12/K34*1000000)</f>
        <v>99175251.524236932</v>
      </c>
      <c r="L102" s="86">
        <f t="shared" si="197"/>
        <v>113715185.64968617</v>
      </c>
      <c r="M102" s="86">
        <f t="shared" si="197"/>
        <v>108749418.11790831</v>
      </c>
      <c r="N102" s="86">
        <f t="shared" si="197"/>
        <v>106727110.92272556</v>
      </c>
      <c r="O102" s="86">
        <f t="shared" si="197"/>
        <v>121186233.59590016</v>
      </c>
      <c r="P102" s="86">
        <f t="shared" si="197"/>
        <v>108282250.96949434</v>
      </c>
      <c r="Q102" s="86">
        <f t="shared" si="197"/>
        <v>111724236.47551267</v>
      </c>
      <c r="R102" s="86">
        <f t="shared" si="197"/>
        <v>120892061.52597623</v>
      </c>
      <c r="S102" s="86">
        <f t="shared" si="197"/>
        <v>116349744.9680264</v>
      </c>
      <c r="T102" s="86">
        <f t="shared" si="197"/>
        <v>128923381.38744475</v>
      </c>
      <c r="U102" s="86">
        <f t="shared" si="197"/>
        <v>129067121.08805925</v>
      </c>
      <c r="V102" s="86">
        <f t="shared" si="197"/>
        <v>127473926.50758472</v>
      </c>
      <c r="W102" s="86">
        <f t="shared" ref="W102:Y102" si="198">IF(W12=0,0,W12/W34*1000000)</f>
        <v>134653402.45749381</v>
      </c>
      <c r="X102" s="86">
        <f t="shared" si="198"/>
        <v>124480835.16239299</v>
      </c>
      <c r="Y102" s="86">
        <f t="shared" si="198"/>
        <v>119513250.18496665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0.1273705791901589</v>
      </c>
      <c r="C106" s="123">
        <f t="shared" si="199"/>
        <v>0.13325938836951354</v>
      </c>
      <c r="D106" s="123">
        <f t="shared" si="199"/>
        <v>0.1349237387563551</v>
      </c>
      <c r="E106" s="123">
        <f t="shared" si="199"/>
        <v>0.13530036525658626</v>
      </c>
      <c r="F106" s="123">
        <f t="shared" si="199"/>
        <v>0.13496774193548386</v>
      </c>
      <c r="G106" s="123">
        <f t="shared" si="199"/>
        <v>0.13136863136863136</v>
      </c>
      <c r="H106" s="123">
        <f t="shared" si="199"/>
        <v>0.12893700787401574</v>
      </c>
      <c r="I106" s="123">
        <f t="shared" si="199"/>
        <v>0.1209865053513262</v>
      </c>
      <c r="J106" s="123">
        <f t="shared" si="199"/>
        <v>0.11605584642233857</v>
      </c>
      <c r="K106" s="123">
        <f t="shared" ref="K106:V106" si="202">IF(K5=0,0,K5/K$4)</f>
        <v>0.1206896551724138</v>
      </c>
      <c r="L106" s="123">
        <f t="shared" si="202"/>
        <v>0.11806638449543329</v>
      </c>
      <c r="M106" s="123">
        <f t="shared" si="202"/>
        <v>0.11712531271321355</v>
      </c>
      <c r="N106" s="123">
        <f t="shared" si="202"/>
        <v>0.11532558649418988</v>
      </c>
      <c r="O106" s="123">
        <f t="shared" si="202"/>
        <v>0.11467889908256881</v>
      </c>
      <c r="P106" s="123">
        <f t="shared" si="202"/>
        <v>0.1170660006507459</v>
      </c>
      <c r="Q106" s="123">
        <f t="shared" si="202"/>
        <v>0.11141403325359164</v>
      </c>
      <c r="R106" s="123">
        <f t="shared" si="202"/>
        <v>0.11994580363357184</v>
      </c>
      <c r="S106" s="123">
        <f t="shared" si="202"/>
        <v>0.11550753105484388</v>
      </c>
      <c r="T106" s="123">
        <f t="shared" si="202"/>
        <v>0.12615731370966385</v>
      </c>
      <c r="U106" s="123">
        <f t="shared" si="202"/>
        <v>0.11701480442035041</v>
      </c>
      <c r="V106" s="123">
        <f t="shared" si="202"/>
        <v>0.16609441482702772</v>
      </c>
      <c r="W106" s="123">
        <f t="shared" ref="W106:Y106" si="203">IF(W5=0,0,W5/W$4)</f>
        <v>0.14582426224577222</v>
      </c>
      <c r="X106" s="123">
        <f t="shared" si="203"/>
        <v>0.10941041040922764</v>
      </c>
      <c r="Y106" s="123">
        <f t="shared" si="203"/>
        <v>0.10263247721019729</v>
      </c>
      <c r="DA106" s="203"/>
    </row>
    <row r="107" spans="1:105" ht="11.45" customHeight="1" x14ac:dyDescent="0.25">
      <c r="A107" s="109" t="s">
        <v>24</v>
      </c>
      <c r="B107" s="124">
        <f t="shared" si="199"/>
        <v>0.85443362378267551</v>
      </c>
      <c r="C107" s="124">
        <f t="shared" si="199"/>
        <v>0.85089526224053247</v>
      </c>
      <c r="D107" s="124">
        <f t="shared" si="199"/>
        <v>0.82987876417676965</v>
      </c>
      <c r="E107" s="124">
        <f t="shared" si="199"/>
        <v>0.81289018988161543</v>
      </c>
      <c r="F107" s="124">
        <f t="shared" si="199"/>
        <v>0.82322580645161292</v>
      </c>
      <c r="G107" s="124">
        <f t="shared" si="199"/>
        <v>0.7909590409590409</v>
      </c>
      <c r="H107" s="124">
        <f t="shared" si="199"/>
        <v>0.76402559055118113</v>
      </c>
      <c r="I107" s="124">
        <f t="shared" si="199"/>
        <v>0.74406700791065616</v>
      </c>
      <c r="J107" s="124">
        <f t="shared" si="199"/>
        <v>0.74825479930191963</v>
      </c>
      <c r="K107" s="124">
        <f t="shared" ref="K107:V107" si="204">IF(K6=0,0,K6/K$4)</f>
        <v>0.74228675136116151</v>
      </c>
      <c r="L107" s="124">
        <f t="shared" si="204"/>
        <v>0.73691245266206284</v>
      </c>
      <c r="M107" s="124">
        <f t="shared" si="204"/>
        <v>0.72162838298840115</v>
      </c>
      <c r="N107" s="124">
        <f t="shared" si="204"/>
        <v>0.72944529708397277</v>
      </c>
      <c r="O107" s="124">
        <f t="shared" si="204"/>
        <v>0.71996505024027957</v>
      </c>
      <c r="P107" s="124">
        <f t="shared" si="204"/>
        <v>0.73456279811632574</v>
      </c>
      <c r="Q107" s="124">
        <f t="shared" si="204"/>
        <v>0.76525524554752666</v>
      </c>
      <c r="R107" s="124">
        <f t="shared" si="204"/>
        <v>0.74058335294020772</v>
      </c>
      <c r="S107" s="124">
        <f t="shared" si="204"/>
        <v>0.74408369021773491</v>
      </c>
      <c r="T107" s="124">
        <f t="shared" si="204"/>
        <v>0.72065526939930691</v>
      </c>
      <c r="U107" s="124">
        <f t="shared" si="204"/>
        <v>0.73701648128195774</v>
      </c>
      <c r="V107" s="124">
        <f t="shared" si="204"/>
        <v>0.73779944503778927</v>
      </c>
      <c r="W107" s="124">
        <f t="shared" ref="W107:Y107" si="205">IF(W6=0,0,W6/W$4)</f>
        <v>0.75413448703551011</v>
      </c>
      <c r="X107" s="124">
        <f t="shared" si="205"/>
        <v>0.81527763740511372</v>
      </c>
      <c r="Y107" s="124">
        <f t="shared" si="205"/>
        <v>0.8214824004402782</v>
      </c>
      <c r="DA107" s="176"/>
    </row>
    <row r="108" spans="1:105" ht="11.45" customHeight="1" x14ac:dyDescent="0.25">
      <c r="A108" s="111" t="s">
        <v>92</v>
      </c>
      <c r="B108" s="125">
        <f t="shared" si="199"/>
        <v>0.15918639913536131</v>
      </c>
      <c r="C108" s="125">
        <f t="shared" si="199"/>
        <v>0.14490182977757471</v>
      </c>
      <c r="D108" s="125">
        <f t="shared" si="199"/>
        <v>0.14425940152281733</v>
      </c>
      <c r="E108" s="125">
        <f t="shared" si="199"/>
        <v>0.15158120882390547</v>
      </c>
      <c r="F108" s="125">
        <f t="shared" si="199"/>
        <v>0.14843222520400892</v>
      </c>
      <c r="G108" s="125">
        <f t="shared" si="199"/>
        <v>0.13185271260338569</v>
      </c>
      <c r="H108" s="125">
        <f t="shared" si="199"/>
        <v>0.1333843552293319</v>
      </c>
      <c r="I108" s="125">
        <f t="shared" si="199"/>
        <v>0.10816391957391108</v>
      </c>
      <c r="J108" s="125">
        <f t="shared" si="199"/>
        <v>0.10124775185740849</v>
      </c>
      <c r="K108" s="125">
        <f t="shared" ref="K108:V108" si="206">IF(K7=0,0,K7/K$4)</f>
        <v>7.9056667287910623E-2</v>
      </c>
      <c r="L108" s="125">
        <f t="shared" si="206"/>
        <v>9.9254027722033844E-2</v>
      </c>
      <c r="M108" s="125">
        <f t="shared" si="206"/>
        <v>0.11113805606764718</v>
      </c>
      <c r="N108" s="125">
        <f t="shared" si="206"/>
        <v>9.4159939892854219E-2</v>
      </c>
      <c r="O108" s="125">
        <f t="shared" si="206"/>
        <v>7.1114926646970819E-2</v>
      </c>
      <c r="P108" s="125">
        <f t="shared" si="206"/>
        <v>0.10325911066577843</v>
      </c>
      <c r="Q108" s="125">
        <f t="shared" si="206"/>
        <v>0.1017543941283737</v>
      </c>
      <c r="R108" s="125">
        <f t="shared" si="206"/>
        <v>9.1200059770298797E-2</v>
      </c>
      <c r="S108" s="125">
        <f t="shared" si="206"/>
        <v>9.012462953957566E-2</v>
      </c>
      <c r="T108" s="125">
        <f t="shared" si="206"/>
        <v>5.9958279774102827E-2</v>
      </c>
      <c r="U108" s="125">
        <f t="shared" si="206"/>
        <v>4.0065789507731674E-2</v>
      </c>
      <c r="V108" s="125">
        <f t="shared" si="206"/>
        <v>3.8506654642367279E-2</v>
      </c>
      <c r="W108" s="125">
        <f t="shared" ref="W108:Y108" si="207">IF(W7=0,0,W7/W$4)</f>
        <v>4.1955026874320095E-2</v>
      </c>
      <c r="X108" s="125">
        <f t="shared" si="207"/>
        <v>3.9678212421642128E-2</v>
      </c>
      <c r="Y108" s="125">
        <f t="shared" si="207"/>
        <v>3.9967752398090944E-2</v>
      </c>
      <c r="DA108" s="171"/>
    </row>
    <row r="109" spans="1:105" ht="11.45" customHeight="1" x14ac:dyDescent="0.25">
      <c r="A109" s="111" t="s">
        <v>93</v>
      </c>
      <c r="B109" s="125">
        <f t="shared" si="199"/>
        <v>0.69524722464731414</v>
      </c>
      <c r="C109" s="125">
        <f t="shared" si="199"/>
        <v>0.70599343246295776</v>
      </c>
      <c r="D109" s="125">
        <f t="shared" si="199"/>
        <v>0.6856193626539524</v>
      </c>
      <c r="E109" s="125">
        <f t="shared" si="199"/>
        <v>0.66130898105770985</v>
      </c>
      <c r="F109" s="125">
        <f t="shared" si="199"/>
        <v>0.67479358124760402</v>
      </c>
      <c r="G109" s="125">
        <f t="shared" si="199"/>
        <v>0.65910632835565519</v>
      </c>
      <c r="H109" s="125">
        <f t="shared" si="199"/>
        <v>0.63064123532184924</v>
      </c>
      <c r="I109" s="125">
        <f t="shared" si="199"/>
        <v>0.63590308833674503</v>
      </c>
      <c r="J109" s="125">
        <f t="shared" si="199"/>
        <v>0.6470070474445111</v>
      </c>
      <c r="K109" s="125">
        <f t="shared" ref="K109:V109" si="208">IF(K8=0,0,K8/K$4)</f>
        <v>0.6632300840732509</v>
      </c>
      <c r="L109" s="125">
        <f t="shared" si="208"/>
        <v>0.63765842494002889</v>
      </c>
      <c r="M109" s="125">
        <f t="shared" si="208"/>
        <v>0.610490326920754</v>
      </c>
      <c r="N109" s="125">
        <f t="shared" si="208"/>
        <v>0.63528535719111856</v>
      </c>
      <c r="O109" s="125">
        <f t="shared" si="208"/>
        <v>0.64885012359330874</v>
      </c>
      <c r="P109" s="125">
        <f t="shared" si="208"/>
        <v>0.63130368745054732</v>
      </c>
      <c r="Q109" s="125">
        <f t="shared" si="208"/>
        <v>0.66350085141915305</v>
      </c>
      <c r="R109" s="125">
        <f t="shared" si="208"/>
        <v>0.64938329316990895</v>
      </c>
      <c r="S109" s="125">
        <f t="shared" si="208"/>
        <v>0.65395906067815934</v>
      </c>
      <c r="T109" s="125">
        <f t="shared" si="208"/>
        <v>0.66069698962520407</v>
      </c>
      <c r="U109" s="125">
        <f t="shared" si="208"/>
        <v>0.69695069177422597</v>
      </c>
      <c r="V109" s="125">
        <f t="shared" si="208"/>
        <v>0.69929279039542203</v>
      </c>
      <c r="W109" s="125">
        <f t="shared" ref="W109:Y109" si="209">IF(W8=0,0,W8/W$4)</f>
        <v>0.71217946016119005</v>
      </c>
      <c r="X109" s="125">
        <f t="shared" si="209"/>
        <v>0.77559942498347156</v>
      </c>
      <c r="Y109" s="125">
        <f t="shared" si="209"/>
        <v>0.78151464804218729</v>
      </c>
      <c r="DA109" s="171"/>
    </row>
    <row r="110" spans="1:105" ht="11.45" customHeight="1" x14ac:dyDescent="0.25">
      <c r="A110" s="112" t="s">
        <v>25</v>
      </c>
      <c r="B110" s="126">
        <f t="shared" si="199"/>
        <v>1.8195797027165558E-2</v>
      </c>
      <c r="C110" s="126">
        <f t="shared" si="199"/>
        <v>1.584534938995405E-2</v>
      </c>
      <c r="D110" s="126">
        <f t="shared" si="199"/>
        <v>3.5197497066875243E-2</v>
      </c>
      <c r="E110" s="126">
        <f t="shared" si="199"/>
        <v>5.1809444861798302E-2</v>
      </c>
      <c r="F110" s="126">
        <f t="shared" si="199"/>
        <v>4.1806451612903223E-2</v>
      </c>
      <c r="G110" s="126">
        <f t="shared" si="199"/>
        <v>7.7672327672327679E-2</v>
      </c>
      <c r="H110" s="126">
        <f t="shared" si="199"/>
        <v>0.10703740157480315</v>
      </c>
      <c r="I110" s="126">
        <f t="shared" si="199"/>
        <v>0.13494648673801768</v>
      </c>
      <c r="J110" s="126">
        <f t="shared" si="199"/>
        <v>0.13568935427574172</v>
      </c>
      <c r="K110" s="126">
        <f t="shared" ref="K110:V110" si="210">IF(K9=0,0,K9/K$4)</f>
        <v>0.13702359346642468</v>
      </c>
      <c r="L110" s="126">
        <f t="shared" si="210"/>
        <v>0.14502116284250391</v>
      </c>
      <c r="M110" s="126">
        <f t="shared" si="210"/>
        <v>0.16124630429838527</v>
      </c>
      <c r="N110" s="126">
        <f t="shared" si="210"/>
        <v>0.15522911642183732</v>
      </c>
      <c r="O110" s="126">
        <f t="shared" si="210"/>
        <v>0.16535605067715159</v>
      </c>
      <c r="P110" s="126">
        <f t="shared" si="210"/>
        <v>0.14837120123292835</v>
      </c>
      <c r="Q110" s="126">
        <f t="shared" si="210"/>
        <v>0.12333072119888167</v>
      </c>
      <c r="R110" s="126">
        <f t="shared" si="210"/>
        <v>0.13947084342622038</v>
      </c>
      <c r="S110" s="126">
        <f t="shared" si="210"/>
        <v>0.14040877872742119</v>
      </c>
      <c r="T110" s="126">
        <f t="shared" si="210"/>
        <v>0.15318741689102916</v>
      </c>
      <c r="U110" s="126">
        <f t="shared" si="210"/>
        <v>0.14596871429769187</v>
      </c>
      <c r="V110" s="126">
        <f t="shared" si="210"/>
        <v>9.6106140135182969E-2</v>
      </c>
      <c r="W110" s="126">
        <f t="shared" ref="W110:Y110" si="211">IF(W9=0,0,W9/W$4)</f>
        <v>0.10004125071871768</v>
      </c>
      <c r="X110" s="126">
        <f t="shared" si="211"/>
        <v>7.5311952185658629E-2</v>
      </c>
      <c r="Y110" s="126">
        <f t="shared" si="211"/>
        <v>7.5885122349524464E-2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0.34058563825048982</v>
      </c>
      <c r="C112" s="125">
        <f t="shared" si="212"/>
        <v>0.34648640607835945</v>
      </c>
      <c r="D112" s="125">
        <f t="shared" si="212"/>
        <v>0.33021664766248582</v>
      </c>
      <c r="E112" s="125">
        <f t="shared" si="212"/>
        <v>0.33441198097382752</v>
      </c>
      <c r="F112" s="125">
        <f t="shared" si="212"/>
        <v>0.34445176805914318</v>
      </c>
      <c r="G112" s="125">
        <f t="shared" si="212"/>
        <v>0.36262058965129873</v>
      </c>
      <c r="H112" s="125">
        <f t="shared" si="212"/>
        <v>0.35167888277791226</v>
      </c>
      <c r="I112" s="125">
        <f t="shared" si="212"/>
        <v>0.30151547779273224</v>
      </c>
      <c r="J112" s="125">
        <f t="shared" si="212"/>
        <v>0.31142802450229717</v>
      </c>
      <c r="K112" s="125">
        <f t="shared" ref="K112:V112" si="215">IF(K11=0,0,K11/K$10)</f>
        <v>0.32431145472988793</v>
      </c>
      <c r="L112" s="125">
        <f t="shared" si="215"/>
        <v>0.31291622839284733</v>
      </c>
      <c r="M112" s="125">
        <f t="shared" si="215"/>
        <v>0.32971728377305159</v>
      </c>
      <c r="N112" s="125">
        <f t="shared" si="215"/>
        <v>0.35938132748102575</v>
      </c>
      <c r="O112" s="125">
        <f t="shared" si="215"/>
        <v>0.3332953051358295</v>
      </c>
      <c r="P112" s="125">
        <f t="shared" si="215"/>
        <v>0.31815027618175257</v>
      </c>
      <c r="Q112" s="125">
        <f t="shared" si="215"/>
        <v>0.27525188383710097</v>
      </c>
      <c r="R112" s="125">
        <f t="shared" si="215"/>
        <v>0.26342796283374348</v>
      </c>
      <c r="S112" s="125">
        <f t="shared" si="215"/>
        <v>0.24261812377886022</v>
      </c>
      <c r="T112" s="125">
        <f t="shared" si="215"/>
        <v>0.25306472137178565</v>
      </c>
      <c r="U112" s="125">
        <f t="shared" si="215"/>
        <v>0.2555388098447075</v>
      </c>
      <c r="V112" s="125">
        <f t="shared" si="215"/>
        <v>0.24456815897316939</v>
      </c>
      <c r="W112" s="125">
        <f t="shared" ref="W112:Y112" si="216">IF(W11=0,0,W11/W$10)</f>
        <v>0.28537204695622126</v>
      </c>
      <c r="X112" s="125">
        <f t="shared" si="216"/>
        <v>0.27440467433111249</v>
      </c>
      <c r="Y112" s="125">
        <f t="shared" si="216"/>
        <v>0.30058661977857837</v>
      </c>
      <c r="DA112" s="171"/>
    </row>
    <row r="113" spans="1:105" ht="11.45" customHeight="1" x14ac:dyDescent="0.25">
      <c r="A113" s="85" t="s">
        <v>93</v>
      </c>
      <c r="B113" s="127">
        <f t="shared" si="212"/>
        <v>0.65941436174951007</v>
      </c>
      <c r="C113" s="127">
        <f t="shared" si="212"/>
        <v>0.65351359392164055</v>
      </c>
      <c r="D113" s="127">
        <f t="shared" si="212"/>
        <v>0.66978335233751418</v>
      </c>
      <c r="E113" s="127">
        <f t="shared" si="212"/>
        <v>0.66558801902617248</v>
      </c>
      <c r="F113" s="127">
        <f t="shared" si="212"/>
        <v>0.65554823194085676</v>
      </c>
      <c r="G113" s="127">
        <f t="shared" si="212"/>
        <v>0.63737941034870127</v>
      </c>
      <c r="H113" s="127">
        <f t="shared" si="212"/>
        <v>0.64832111722208774</v>
      </c>
      <c r="I113" s="127">
        <f t="shared" si="212"/>
        <v>0.69848452220726787</v>
      </c>
      <c r="J113" s="127">
        <f t="shared" si="212"/>
        <v>0.68857197549770288</v>
      </c>
      <c r="K113" s="127">
        <f t="shared" ref="K113:V113" si="217">IF(K12=0,0,K12/K$10)</f>
        <v>0.67568854527011202</v>
      </c>
      <c r="L113" s="127">
        <f t="shared" si="217"/>
        <v>0.68708377160715273</v>
      </c>
      <c r="M113" s="127">
        <f t="shared" si="217"/>
        <v>0.67028271622694846</v>
      </c>
      <c r="N113" s="127">
        <f t="shared" si="217"/>
        <v>0.6406186725189742</v>
      </c>
      <c r="O113" s="127">
        <f t="shared" si="217"/>
        <v>0.6667046948641705</v>
      </c>
      <c r="P113" s="127">
        <f t="shared" si="217"/>
        <v>0.68184972381824749</v>
      </c>
      <c r="Q113" s="127">
        <f t="shared" si="217"/>
        <v>0.72474811616289903</v>
      </c>
      <c r="R113" s="127">
        <f t="shared" si="217"/>
        <v>0.73657203716625663</v>
      </c>
      <c r="S113" s="127">
        <f t="shared" si="217"/>
        <v>0.75738187622113973</v>
      </c>
      <c r="T113" s="127">
        <f t="shared" si="217"/>
        <v>0.74693527862821429</v>
      </c>
      <c r="U113" s="127">
        <f t="shared" si="217"/>
        <v>0.74446119015529255</v>
      </c>
      <c r="V113" s="127">
        <f t="shared" si="217"/>
        <v>0.75543184102683059</v>
      </c>
      <c r="W113" s="127">
        <f t="shared" ref="W113:Y113" si="218">IF(W12=0,0,W12/W$10)</f>
        <v>0.7146279530437788</v>
      </c>
      <c r="X113" s="127">
        <f t="shared" si="218"/>
        <v>0.7255953256688874</v>
      </c>
      <c r="Y113" s="127">
        <f t="shared" si="218"/>
        <v>0.69941338022142163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0.23810282283655379</v>
      </c>
      <c r="C117" s="123">
        <f t="shared" si="219"/>
        <v>0.2305293278056848</v>
      </c>
      <c r="D117" s="123">
        <f t="shared" si="219"/>
        <v>0.22624670100604882</v>
      </c>
      <c r="E117" s="123">
        <f t="shared" si="219"/>
        <v>0.21139048685053191</v>
      </c>
      <c r="F117" s="123">
        <f t="shared" si="219"/>
        <v>0.21215278923440004</v>
      </c>
      <c r="G117" s="123">
        <f t="shared" si="219"/>
        <v>0.20673470110588091</v>
      </c>
      <c r="H117" s="123">
        <f t="shared" si="219"/>
        <v>0.20743780646260226</v>
      </c>
      <c r="I117" s="123">
        <f t="shared" si="219"/>
        <v>0.19761747679101976</v>
      </c>
      <c r="J117" s="123">
        <f t="shared" si="219"/>
        <v>0.19342104258929999</v>
      </c>
      <c r="K117" s="123">
        <f t="shared" ref="K117:V117" si="222">IF(K16=0,0,K16/K$15)</f>
        <v>0.18450030099154111</v>
      </c>
      <c r="L117" s="123">
        <f t="shared" si="222"/>
        <v>0.17826316420048799</v>
      </c>
      <c r="M117" s="123">
        <f t="shared" si="222"/>
        <v>0.17407518602841268</v>
      </c>
      <c r="N117" s="123">
        <f t="shared" si="222"/>
        <v>0.17162988760496095</v>
      </c>
      <c r="O117" s="123">
        <f t="shared" si="222"/>
        <v>0.16963381398358154</v>
      </c>
      <c r="P117" s="123">
        <f t="shared" si="222"/>
        <v>0.17293179416540852</v>
      </c>
      <c r="Q117" s="123">
        <f t="shared" si="222"/>
        <v>0.16241991994257013</v>
      </c>
      <c r="R117" s="123">
        <f t="shared" si="222"/>
        <v>0.17340884071715054</v>
      </c>
      <c r="S117" s="123">
        <f t="shared" si="222"/>
        <v>0.17203481753709532</v>
      </c>
      <c r="T117" s="123">
        <f t="shared" si="222"/>
        <v>0.185235394043512</v>
      </c>
      <c r="U117" s="123">
        <f t="shared" si="222"/>
        <v>0.17787463713292859</v>
      </c>
      <c r="V117" s="123">
        <f t="shared" si="222"/>
        <v>0.21227932531506558</v>
      </c>
      <c r="W117" s="123">
        <f t="shared" ref="W117:Y117" si="223">IF(W16=0,0,W16/W$15)</f>
        <v>0.20576004310773555</v>
      </c>
      <c r="X117" s="123">
        <f t="shared" si="223"/>
        <v>0.17762675255687754</v>
      </c>
      <c r="Y117" s="123">
        <f t="shared" si="223"/>
        <v>0.17463433391296765</v>
      </c>
      <c r="DA117" s="203"/>
    </row>
    <row r="118" spans="1:105" ht="11.45" customHeight="1" x14ac:dyDescent="0.25">
      <c r="A118" s="109" t="s">
        <v>24</v>
      </c>
      <c r="B118" s="124">
        <f t="shared" si="219"/>
        <v>0.744967433237678</v>
      </c>
      <c r="C118" s="124">
        <f t="shared" si="219"/>
        <v>0.75626371799298153</v>
      </c>
      <c r="D118" s="124">
        <f t="shared" si="219"/>
        <v>0.74586274666104913</v>
      </c>
      <c r="E118" s="124">
        <f t="shared" si="219"/>
        <v>0.75080593725933931</v>
      </c>
      <c r="F118" s="124">
        <f t="shared" si="219"/>
        <v>0.75794957761594628</v>
      </c>
      <c r="G118" s="124">
        <f t="shared" si="219"/>
        <v>0.73788183184275447</v>
      </c>
      <c r="H118" s="124">
        <f t="shared" si="219"/>
        <v>0.71643383279321438</v>
      </c>
      <c r="I118" s="124">
        <f t="shared" si="219"/>
        <v>0.70617253454835138</v>
      </c>
      <c r="J118" s="124">
        <f t="shared" si="219"/>
        <v>0.70540270351536982</v>
      </c>
      <c r="K118" s="124">
        <f t="shared" ref="K118:V118" si="224">IF(K17=0,0,K17/K$15)</f>
        <v>0.72207814210362964</v>
      </c>
      <c r="L118" s="124">
        <f t="shared" si="224"/>
        <v>0.72552912971321903</v>
      </c>
      <c r="M118" s="124">
        <f t="shared" si="224"/>
        <v>0.7222039954849353</v>
      </c>
      <c r="N118" s="124">
        <f t="shared" si="224"/>
        <v>0.72939821769281898</v>
      </c>
      <c r="O118" s="124">
        <f t="shared" si="224"/>
        <v>0.72614323850815621</v>
      </c>
      <c r="P118" s="124">
        <f t="shared" si="224"/>
        <v>0.73460029061530441</v>
      </c>
      <c r="Q118" s="124">
        <f t="shared" si="224"/>
        <v>0.76151955862514531</v>
      </c>
      <c r="R118" s="124">
        <f t="shared" si="224"/>
        <v>0.74041751924830701</v>
      </c>
      <c r="S118" s="124">
        <f t="shared" si="224"/>
        <v>0.7373127787284085</v>
      </c>
      <c r="T118" s="124">
        <f t="shared" si="224"/>
        <v>0.71685196266945572</v>
      </c>
      <c r="U118" s="124">
        <f t="shared" si="224"/>
        <v>0.72525134395767488</v>
      </c>
      <c r="V118" s="124">
        <f t="shared" si="224"/>
        <v>0.70050060381341028</v>
      </c>
      <c r="W118" s="124">
        <f t="shared" ref="W118:Y118" si="225">IF(W17=0,0,W17/W$15)</f>
        <v>0.69741976717351473</v>
      </c>
      <c r="X118" s="124">
        <f t="shared" si="225"/>
        <v>0.73788231895804202</v>
      </c>
      <c r="Y118" s="124">
        <f t="shared" si="225"/>
        <v>0.75125055645355865</v>
      </c>
      <c r="DA118" s="176"/>
    </row>
    <row r="119" spans="1:105" ht="11.45" customHeight="1" x14ac:dyDescent="0.25">
      <c r="A119" s="111" t="s">
        <v>92</v>
      </c>
      <c r="B119" s="125">
        <f t="shared" si="219"/>
        <v>0.20323008541967835</v>
      </c>
      <c r="C119" s="125">
        <f t="shared" si="219"/>
        <v>0.17342991861327636</v>
      </c>
      <c r="D119" s="125">
        <f t="shared" si="219"/>
        <v>0.17009215660544583</v>
      </c>
      <c r="E119" s="125">
        <f t="shared" si="219"/>
        <v>0.17105642274160451</v>
      </c>
      <c r="F119" s="125">
        <f t="shared" si="219"/>
        <v>0.16837785268570576</v>
      </c>
      <c r="G119" s="125">
        <f t="shared" si="219"/>
        <v>0.14891026961613282</v>
      </c>
      <c r="H119" s="125">
        <f t="shared" si="219"/>
        <v>0.15483746650444052</v>
      </c>
      <c r="I119" s="125">
        <f t="shared" si="219"/>
        <v>0.12299187174870876</v>
      </c>
      <c r="J119" s="125">
        <f t="shared" si="219"/>
        <v>0.12560881533094298</v>
      </c>
      <c r="K119" s="125">
        <f t="shared" ref="K119:V119" si="226">IF(K18=0,0,K18/K$15)</f>
        <v>0.10172402664005792</v>
      </c>
      <c r="L119" s="125">
        <f t="shared" si="226"/>
        <v>0.11262258860149302</v>
      </c>
      <c r="M119" s="125">
        <f t="shared" si="226"/>
        <v>0.1253421313668979</v>
      </c>
      <c r="N119" s="125">
        <f t="shared" si="226"/>
        <v>0.10799186807506339</v>
      </c>
      <c r="O119" s="125">
        <f t="shared" si="226"/>
        <v>9.153076127614844E-2</v>
      </c>
      <c r="P119" s="125">
        <f t="shared" si="226"/>
        <v>0.10985387559310346</v>
      </c>
      <c r="Q119" s="125">
        <f t="shared" si="226"/>
        <v>0.10869374585961893</v>
      </c>
      <c r="R119" s="125">
        <f t="shared" si="226"/>
        <v>9.9420317815389042E-2</v>
      </c>
      <c r="S119" s="125">
        <f t="shared" si="226"/>
        <v>0.10339577861900004</v>
      </c>
      <c r="T119" s="125">
        <f t="shared" si="226"/>
        <v>7.2813392255674542E-2</v>
      </c>
      <c r="U119" s="125">
        <f t="shared" si="226"/>
        <v>5.0037120844604259E-2</v>
      </c>
      <c r="V119" s="125">
        <f t="shared" si="226"/>
        <v>5.4997913253678608E-2</v>
      </c>
      <c r="W119" s="125">
        <f t="shared" ref="W119:Y119" si="227">IF(W18=0,0,W18/W$15)</f>
        <v>5.0310541346190965E-2</v>
      </c>
      <c r="X119" s="125">
        <f t="shared" si="227"/>
        <v>5.8353156267511079E-2</v>
      </c>
      <c r="Y119" s="125">
        <f t="shared" si="227"/>
        <v>6.0925889565678099E-2</v>
      </c>
      <c r="DA119" s="171"/>
    </row>
    <row r="120" spans="1:105" ht="11.45" customHeight="1" x14ac:dyDescent="0.25">
      <c r="A120" s="111" t="s">
        <v>93</v>
      </c>
      <c r="B120" s="125">
        <f t="shared" si="219"/>
        <v>0.54173734781799965</v>
      </c>
      <c r="C120" s="125">
        <f t="shared" si="219"/>
        <v>0.58283379937970514</v>
      </c>
      <c r="D120" s="125">
        <f t="shared" si="219"/>
        <v>0.57577059005560338</v>
      </c>
      <c r="E120" s="125">
        <f t="shared" si="219"/>
        <v>0.57974951451773471</v>
      </c>
      <c r="F120" s="125">
        <f t="shared" si="219"/>
        <v>0.58957172493024046</v>
      </c>
      <c r="G120" s="125">
        <f t="shared" si="219"/>
        <v>0.58897156222662161</v>
      </c>
      <c r="H120" s="125">
        <f t="shared" si="219"/>
        <v>0.56159636628877396</v>
      </c>
      <c r="I120" s="125">
        <f t="shared" si="219"/>
        <v>0.58318066279964265</v>
      </c>
      <c r="J120" s="125">
        <f t="shared" si="219"/>
        <v>0.5797938881844269</v>
      </c>
      <c r="K120" s="125">
        <f t="shared" ref="K120:V120" si="228">IF(K19=0,0,K19/K$15)</f>
        <v>0.62035411546357178</v>
      </c>
      <c r="L120" s="125">
        <f t="shared" si="228"/>
        <v>0.61290654111172593</v>
      </c>
      <c r="M120" s="125">
        <f t="shared" si="228"/>
        <v>0.59686186411803732</v>
      </c>
      <c r="N120" s="125">
        <f t="shared" si="228"/>
        <v>0.62140634961775554</v>
      </c>
      <c r="O120" s="125">
        <f t="shared" si="228"/>
        <v>0.63461247723200775</v>
      </c>
      <c r="P120" s="125">
        <f t="shared" si="228"/>
        <v>0.62474641502220096</v>
      </c>
      <c r="Q120" s="125">
        <f t="shared" si="228"/>
        <v>0.65282581276552631</v>
      </c>
      <c r="R120" s="125">
        <f t="shared" si="228"/>
        <v>0.64099720143291805</v>
      </c>
      <c r="S120" s="125">
        <f t="shared" si="228"/>
        <v>0.63391700010940844</v>
      </c>
      <c r="T120" s="125">
        <f t="shared" si="228"/>
        <v>0.64403857041378121</v>
      </c>
      <c r="U120" s="125">
        <f t="shared" si="228"/>
        <v>0.67521422311307067</v>
      </c>
      <c r="V120" s="125">
        <f t="shared" si="228"/>
        <v>0.64550269055973175</v>
      </c>
      <c r="W120" s="125">
        <f t="shared" ref="W120:Y120" si="229">IF(W19=0,0,W19/W$15)</f>
        <v>0.64710922582732378</v>
      </c>
      <c r="X120" s="125">
        <f t="shared" si="229"/>
        <v>0.67952916269053087</v>
      </c>
      <c r="Y120" s="125">
        <f t="shared" si="229"/>
        <v>0.69032466688788063</v>
      </c>
      <c r="DA120" s="171"/>
    </row>
    <row r="121" spans="1:105" ht="11.45" customHeight="1" x14ac:dyDescent="0.25">
      <c r="A121" s="112" t="s">
        <v>25</v>
      </c>
      <c r="B121" s="126">
        <f t="shared" si="219"/>
        <v>1.6929743925768213E-2</v>
      </c>
      <c r="C121" s="126">
        <f t="shared" si="219"/>
        <v>1.3206954201333655E-2</v>
      </c>
      <c r="D121" s="126">
        <f t="shared" si="219"/>
        <v>2.7890552332901938E-2</v>
      </c>
      <c r="E121" s="126">
        <f t="shared" si="219"/>
        <v>3.7803575890128983E-2</v>
      </c>
      <c r="F121" s="126">
        <f t="shared" si="219"/>
        <v>2.9897633149653775E-2</v>
      </c>
      <c r="G121" s="126">
        <f t="shared" si="219"/>
        <v>5.5383467051364599E-2</v>
      </c>
      <c r="H121" s="126">
        <f t="shared" si="219"/>
        <v>7.6128360744183346E-2</v>
      </c>
      <c r="I121" s="126">
        <f t="shared" si="219"/>
        <v>9.620998866062877E-2</v>
      </c>
      <c r="J121" s="126">
        <f t="shared" si="219"/>
        <v>0.10117625389533018</v>
      </c>
      <c r="K121" s="126">
        <f t="shared" ref="K121:V121" si="230">IF(K20=0,0,K20/K$15)</f>
        <v>9.3421556904829298E-2</v>
      </c>
      <c r="L121" s="126">
        <f t="shared" si="230"/>
        <v>9.6207706086292921E-2</v>
      </c>
      <c r="M121" s="126">
        <f t="shared" si="230"/>
        <v>0.10372081848665213</v>
      </c>
      <c r="N121" s="126">
        <f t="shared" si="230"/>
        <v>9.8971894702220065E-2</v>
      </c>
      <c r="O121" s="126">
        <f t="shared" si="230"/>
        <v>0.10422294750826214</v>
      </c>
      <c r="P121" s="126">
        <f t="shared" si="230"/>
        <v>9.2467915219286961E-2</v>
      </c>
      <c r="Q121" s="126">
        <f t="shared" si="230"/>
        <v>7.6060521432284589E-2</v>
      </c>
      <c r="R121" s="126">
        <f t="shared" si="230"/>
        <v>8.6173640034542379E-2</v>
      </c>
      <c r="S121" s="126">
        <f t="shared" si="230"/>
        <v>9.0652403734496054E-2</v>
      </c>
      <c r="T121" s="126">
        <f t="shared" si="230"/>
        <v>9.7912643287032405E-2</v>
      </c>
      <c r="U121" s="126">
        <f t="shared" si="230"/>
        <v>9.6874018909396661E-2</v>
      </c>
      <c r="V121" s="126">
        <f t="shared" si="230"/>
        <v>8.7220070871523961E-2</v>
      </c>
      <c r="W121" s="126">
        <f t="shared" ref="W121:Y121" si="231">IF(W20=0,0,W20/W$15)</f>
        <v>9.6820189718749672E-2</v>
      </c>
      <c r="X121" s="126">
        <f t="shared" si="231"/>
        <v>8.4490928485080552E-2</v>
      </c>
      <c r="Y121" s="126">
        <f t="shared" si="231"/>
        <v>7.4115109633473689E-2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0.33577680740841875</v>
      </c>
      <c r="C123" s="125">
        <f t="shared" si="232"/>
        <v>0.33412395425825908</v>
      </c>
      <c r="D123" s="125">
        <f t="shared" si="232"/>
        <v>0.31813872576671087</v>
      </c>
      <c r="E123" s="125">
        <f t="shared" si="232"/>
        <v>0.31576081979232495</v>
      </c>
      <c r="F123" s="125">
        <f t="shared" si="232"/>
        <v>0.3228908644835165</v>
      </c>
      <c r="G123" s="125">
        <f t="shared" si="232"/>
        <v>0.33513473701183233</v>
      </c>
      <c r="H123" s="125">
        <f t="shared" si="232"/>
        <v>0.32533922989036052</v>
      </c>
      <c r="I123" s="125">
        <f t="shared" si="232"/>
        <v>0.27757170309533796</v>
      </c>
      <c r="J123" s="125">
        <f t="shared" si="232"/>
        <v>0.28903264241804122</v>
      </c>
      <c r="K123" s="125">
        <f t="shared" ref="K123:V123" si="235">IF(K22=0,0,K22/K$21)</f>
        <v>0.30020256925595035</v>
      </c>
      <c r="L123" s="125">
        <f t="shared" si="235"/>
        <v>0.28422140641137761</v>
      </c>
      <c r="M123" s="125">
        <f t="shared" si="235"/>
        <v>0.28631316559530312</v>
      </c>
      <c r="N123" s="125">
        <f t="shared" si="235"/>
        <v>0.31081659616338675</v>
      </c>
      <c r="O123" s="125">
        <f t="shared" si="235"/>
        <v>0.31916332438273981</v>
      </c>
      <c r="P123" s="125">
        <f t="shared" si="235"/>
        <v>0.25915862897274949</v>
      </c>
      <c r="Q123" s="125">
        <f t="shared" si="235"/>
        <v>0.2271855997394556</v>
      </c>
      <c r="R123" s="125">
        <f t="shared" si="235"/>
        <v>0.21642840215757508</v>
      </c>
      <c r="S123" s="125">
        <f t="shared" si="235"/>
        <v>0.18475902223337884</v>
      </c>
      <c r="T123" s="125">
        <f t="shared" si="235"/>
        <v>0.23982256733684518</v>
      </c>
      <c r="U123" s="125">
        <f t="shared" si="235"/>
        <v>0.28655206468369859</v>
      </c>
      <c r="V123" s="125">
        <f t="shared" si="235"/>
        <v>0.24831982267537528</v>
      </c>
      <c r="W123" s="125">
        <f t="shared" ref="W123:Y123" si="236">IF(W22=0,0,W22/W$21)</f>
        <v>0.29694338675411946</v>
      </c>
      <c r="X123" s="125">
        <f t="shared" si="236"/>
        <v>0.26290196730099746</v>
      </c>
      <c r="Y123" s="125">
        <f t="shared" si="236"/>
        <v>0.26999286980411574</v>
      </c>
      <c r="DA123" s="171"/>
    </row>
    <row r="124" spans="1:105" ht="11.45" customHeight="1" x14ac:dyDescent="0.25">
      <c r="A124" s="85" t="s">
        <v>93</v>
      </c>
      <c r="B124" s="127">
        <f t="shared" si="232"/>
        <v>0.66422319259158114</v>
      </c>
      <c r="C124" s="127">
        <f t="shared" si="232"/>
        <v>0.66587604574174097</v>
      </c>
      <c r="D124" s="127">
        <f t="shared" si="232"/>
        <v>0.68186127423328913</v>
      </c>
      <c r="E124" s="127">
        <f t="shared" si="232"/>
        <v>0.68423918020767505</v>
      </c>
      <c r="F124" s="127">
        <f t="shared" si="232"/>
        <v>0.67710913551648355</v>
      </c>
      <c r="G124" s="127">
        <f t="shared" si="232"/>
        <v>0.66486526298816773</v>
      </c>
      <c r="H124" s="127">
        <f t="shared" si="232"/>
        <v>0.67466077010963943</v>
      </c>
      <c r="I124" s="127">
        <f t="shared" si="232"/>
        <v>0.72242829690466204</v>
      </c>
      <c r="J124" s="127">
        <f t="shared" si="232"/>
        <v>0.71096735758195884</v>
      </c>
      <c r="K124" s="127">
        <f t="shared" ref="K124:V124" si="237">IF(K23=0,0,K23/K$21)</f>
        <v>0.69979743074404954</v>
      </c>
      <c r="L124" s="127">
        <f t="shared" si="237"/>
        <v>0.71577859358862239</v>
      </c>
      <c r="M124" s="127">
        <f t="shared" si="237"/>
        <v>0.71368683440469693</v>
      </c>
      <c r="N124" s="127">
        <f t="shared" si="237"/>
        <v>0.68918340383661336</v>
      </c>
      <c r="O124" s="127">
        <f t="shared" si="237"/>
        <v>0.68083667561726025</v>
      </c>
      <c r="P124" s="127">
        <f t="shared" si="237"/>
        <v>0.74084137102725056</v>
      </c>
      <c r="Q124" s="127">
        <f t="shared" si="237"/>
        <v>0.77281440026054438</v>
      </c>
      <c r="R124" s="127">
        <f t="shared" si="237"/>
        <v>0.78357159784242503</v>
      </c>
      <c r="S124" s="127">
        <f t="shared" si="237"/>
        <v>0.81524097776662108</v>
      </c>
      <c r="T124" s="127">
        <f t="shared" si="237"/>
        <v>0.76017743266315485</v>
      </c>
      <c r="U124" s="127">
        <f t="shared" si="237"/>
        <v>0.71344793531630146</v>
      </c>
      <c r="V124" s="127">
        <f t="shared" si="237"/>
        <v>0.75168017732462478</v>
      </c>
      <c r="W124" s="127">
        <f t="shared" ref="W124:Y124" si="238">IF(W23=0,0,W23/W$21)</f>
        <v>0.70305661324588054</v>
      </c>
      <c r="X124" s="127">
        <f t="shared" si="238"/>
        <v>0.73709803269900254</v>
      </c>
      <c r="Y124" s="127">
        <f t="shared" si="238"/>
        <v>0.73000713019588437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94.530438521066202</v>
      </c>
      <c r="C4" s="146">
        <f t="shared" ref="C4:V4" si="0">SUM(C5,C8)</f>
        <v>93.770937231298362</v>
      </c>
      <c r="D4" s="146">
        <f t="shared" si="0"/>
        <v>94.1244196044712</v>
      </c>
      <c r="E4" s="146">
        <f t="shared" si="0"/>
        <v>97.047893379191748</v>
      </c>
      <c r="F4" s="146">
        <f t="shared" si="0"/>
        <v>98.127429062768698</v>
      </c>
      <c r="G4" s="146">
        <f t="shared" si="0"/>
        <v>97.630610490111778</v>
      </c>
      <c r="H4" s="146">
        <f t="shared" si="0"/>
        <v>101.96904557179707</v>
      </c>
      <c r="I4" s="146">
        <f t="shared" si="0"/>
        <v>98.011865864144454</v>
      </c>
      <c r="J4" s="146">
        <f t="shared" si="0"/>
        <v>99.894239036973346</v>
      </c>
      <c r="K4" s="146">
        <f t="shared" si="0"/>
        <v>92.219088564058467</v>
      </c>
      <c r="L4" s="146">
        <f t="shared" si="0"/>
        <v>95.308254514187439</v>
      </c>
      <c r="M4" s="146">
        <f t="shared" si="0"/>
        <v>95.465778159931205</v>
      </c>
      <c r="N4" s="146">
        <f t="shared" si="0"/>
        <v>96.067669819432496</v>
      </c>
      <c r="O4" s="146">
        <f t="shared" si="0"/>
        <v>92.949269131556321</v>
      </c>
      <c r="P4" s="146">
        <f t="shared" si="0"/>
        <v>89.853826311263973</v>
      </c>
      <c r="Q4" s="146">
        <f t="shared" si="0"/>
        <v>82.945657781599309</v>
      </c>
      <c r="R4" s="146">
        <f t="shared" si="0"/>
        <v>81.63714531384349</v>
      </c>
      <c r="S4" s="146">
        <f t="shared" si="0"/>
        <v>86.305073086844359</v>
      </c>
      <c r="T4" s="146">
        <f t="shared" si="0"/>
        <v>92.132330180567493</v>
      </c>
      <c r="U4" s="146">
        <f t="shared" si="0"/>
        <v>90.253568357695613</v>
      </c>
      <c r="V4" s="146">
        <f t="shared" si="0"/>
        <v>79.861478933791915</v>
      </c>
      <c r="W4" s="146">
        <f t="shared" ref="W4:Y4" si="1">SUM(W5,W8)</f>
        <v>83.033190025795335</v>
      </c>
      <c r="X4" s="146">
        <f t="shared" si="1"/>
        <v>78.926483233018047</v>
      </c>
      <c r="Y4" s="146">
        <f t="shared" si="1"/>
        <v>75.993723129836624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48.270765262252787</v>
      </c>
      <c r="C5" s="101">
        <f t="shared" ref="C5:V5" si="2">SUM(C6:C7)</f>
        <v>45.18968185726569</v>
      </c>
      <c r="D5" s="101">
        <f t="shared" si="2"/>
        <v>43.135597592433363</v>
      </c>
      <c r="E5" s="101">
        <f t="shared" si="2"/>
        <v>43.135597592433363</v>
      </c>
      <c r="F5" s="101">
        <f t="shared" si="2"/>
        <v>43.957179707652621</v>
      </c>
      <c r="G5" s="101">
        <f t="shared" si="2"/>
        <v>41.912639724849527</v>
      </c>
      <c r="H5" s="101">
        <f t="shared" si="2"/>
        <v>43.929492691315559</v>
      </c>
      <c r="I5" s="101">
        <f t="shared" si="2"/>
        <v>35.759071367153908</v>
      </c>
      <c r="J5" s="101">
        <f t="shared" si="2"/>
        <v>36.781599312123817</v>
      </c>
      <c r="K5" s="101">
        <f t="shared" si="2"/>
        <v>30.654170249355111</v>
      </c>
      <c r="L5" s="101">
        <f t="shared" si="2"/>
        <v>31.679707652622529</v>
      </c>
      <c r="M5" s="101">
        <f t="shared" si="2"/>
        <v>32.697076526225267</v>
      </c>
      <c r="N5" s="101">
        <f t="shared" si="2"/>
        <v>32.697076526225267</v>
      </c>
      <c r="O5" s="101">
        <f t="shared" si="2"/>
        <v>29.922613929492691</v>
      </c>
      <c r="P5" s="101">
        <f t="shared" si="2"/>
        <v>27.858985382631129</v>
      </c>
      <c r="Q5" s="101">
        <f t="shared" si="2"/>
        <v>22.670507308684439</v>
      </c>
      <c r="R5" s="101">
        <f t="shared" si="2"/>
        <v>21.61994840928633</v>
      </c>
      <c r="S5" s="101">
        <f t="shared" si="2"/>
        <v>21.55872742906277</v>
      </c>
      <c r="T5" s="101">
        <f t="shared" si="2"/>
        <v>23.602665520206362</v>
      </c>
      <c r="U5" s="101">
        <f t="shared" si="2"/>
        <v>22.583748925193461</v>
      </c>
      <c r="V5" s="101">
        <f t="shared" si="2"/>
        <v>20.532158211521921</v>
      </c>
      <c r="W5" s="101">
        <f t="shared" ref="W5:Y5" si="3">SUM(W6:W7)</f>
        <v>23.617884780739459</v>
      </c>
      <c r="X5" s="101">
        <f t="shared" si="3"/>
        <v>19.511177987962171</v>
      </c>
      <c r="Y5" s="101">
        <f t="shared" si="3"/>
        <v>18.470077386070503</v>
      </c>
      <c r="DA5" s="175"/>
    </row>
    <row r="6" spans="1:105" ht="11.45" customHeight="1" x14ac:dyDescent="0.25">
      <c r="A6" s="164" t="s">
        <v>175</v>
      </c>
      <c r="B6" s="165">
        <v>48.270765262252787</v>
      </c>
      <c r="C6" s="165">
        <v>45.18968185726569</v>
      </c>
      <c r="D6" s="165">
        <v>43.135597592433363</v>
      </c>
      <c r="E6" s="165">
        <v>43.135597592433363</v>
      </c>
      <c r="F6" s="165">
        <v>43.957179707652621</v>
      </c>
      <c r="G6" s="165">
        <v>41.912639724849527</v>
      </c>
      <c r="H6" s="165">
        <v>43.929492691315559</v>
      </c>
      <c r="I6" s="165">
        <v>35.759071367153908</v>
      </c>
      <c r="J6" s="165">
        <v>36.781599312123817</v>
      </c>
      <c r="K6" s="165">
        <v>30.654170249355111</v>
      </c>
      <c r="L6" s="165">
        <v>31.679707652622529</v>
      </c>
      <c r="M6" s="165">
        <v>32.697076526225267</v>
      </c>
      <c r="N6" s="165">
        <v>32.697076526225267</v>
      </c>
      <c r="O6" s="165">
        <v>29.922613929492691</v>
      </c>
      <c r="P6" s="165">
        <v>27.858985382631129</v>
      </c>
      <c r="Q6" s="165">
        <v>22.670507308684439</v>
      </c>
      <c r="R6" s="165">
        <v>21.61994840928633</v>
      </c>
      <c r="S6" s="165">
        <v>21.55872742906277</v>
      </c>
      <c r="T6" s="165">
        <v>23.602665520206362</v>
      </c>
      <c r="U6" s="165">
        <v>22.583748925193461</v>
      </c>
      <c r="V6" s="165">
        <v>20.532158211521921</v>
      </c>
      <c r="W6" s="165">
        <v>22.865692175408419</v>
      </c>
      <c r="X6" s="165">
        <v>18.761478933791921</v>
      </c>
      <c r="Y6" s="165">
        <v>17.699312123817709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0.75219260533104026</v>
      </c>
      <c r="X7" s="167">
        <v>0.74969905417024929</v>
      </c>
      <c r="Y7" s="167">
        <v>0.77076526225279451</v>
      </c>
      <c r="DA7" s="177" t="s">
        <v>1105</v>
      </c>
    </row>
    <row r="8" spans="1:105" ht="11.45" customHeight="1" x14ac:dyDescent="0.25">
      <c r="A8" s="85" t="s">
        <v>91</v>
      </c>
      <c r="B8" s="88">
        <v>46.259673258813407</v>
      </c>
      <c r="C8" s="88">
        <v>48.581255374032672</v>
      </c>
      <c r="D8" s="88">
        <v>50.988822012037829</v>
      </c>
      <c r="E8" s="88">
        <v>53.912295786758378</v>
      </c>
      <c r="F8" s="88">
        <v>54.170249355116077</v>
      </c>
      <c r="G8" s="88">
        <v>55.717970765262251</v>
      </c>
      <c r="H8" s="88">
        <v>58.039552880481509</v>
      </c>
      <c r="I8" s="88">
        <v>62.252794496990539</v>
      </c>
      <c r="J8" s="88">
        <v>63.112639724849522</v>
      </c>
      <c r="K8" s="88">
        <v>61.564918314703348</v>
      </c>
      <c r="L8" s="88">
        <v>63.628546861564907</v>
      </c>
      <c r="M8" s="88">
        <v>62.76870163370593</v>
      </c>
      <c r="N8" s="88">
        <v>63.370593293207222</v>
      </c>
      <c r="O8" s="88">
        <v>63.026655202063623</v>
      </c>
      <c r="P8" s="88">
        <v>61.99484092863284</v>
      </c>
      <c r="Q8" s="88">
        <v>60.275150472914873</v>
      </c>
      <c r="R8" s="88">
        <v>60.017196904557167</v>
      </c>
      <c r="S8" s="88">
        <v>64.746345657781589</v>
      </c>
      <c r="T8" s="88">
        <v>68.529664660361135</v>
      </c>
      <c r="U8" s="88">
        <v>67.669819432502152</v>
      </c>
      <c r="V8" s="88">
        <v>59.329320722269991</v>
      </c>
      <c r="W8" s="88">
        <v>59.415305245055883</v>
      </c>
      <c r="X8" s="88">
        <v>59.415305245055883</v>
      </c>
      <c r="Y8" s="88">
        <v>57.523645743766117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94.530438521066202</v>
      </c>
      <c r="C10" s="62">
        <f t="shared" ref="C10:V10" si="5">SUM(C11,C17)</f>
        <v>93.770937231298362</v>
      </c>
      <c r="D10" s="62">
        <f t="shared" si="5"/>
        <v>94.124419604471186</v>
      </c>
      <c r="E10" s="62">
        <f t="shared" si="5"/>
        <v>97.047893379191734</v>
      </c>
      <c r="F10" s="62">
        <f t="shared" si="5"/>
        <v>98.127429062768698</v>
      </c>
      <c r="G10" s="62">
        <f t="shared" si="5"/>
        <v>97.630610490111778</v>
      </c>
      <c r="H10" s="62">
        <f t="shared" si="5"/>
        <v>101.96904557179707</v>
      </c>
      <c r="I10" s="62">
        <f t="shared" si="5"/>
        <v>98.01186586414444</v>
      </c>
      <c r="J10" s="62">
        <f t="shared" si="5"/>
        <v>99.894239036973346</v>
      </c>
      <c r="K10" s="62">
        <f t="shared" si="5"/>
        <v>92.219088564058453</v>
      </c>
      <c r="L10" s="62">
        <f t="shared" si="5"/>
        <v>95.308254514187425</v>
      </c>
      <c r="M10" s="62">
        <f t="shared" si="5"/>
        <v>95.465778159931176</v>
      </c>
      <c r="N10" s="62">
        <f t="shared" si="5"/>
        <v>96.067669819432496</v>
      </c>
      <c r="O10" s="62">
        <f t="shared" si="5"/>
        <v>92.949269131556306</v>
      </c>
      <c r="P10" s="62">
        <f t="shared" si="5"/>
        <v>89.853826311263958</v>
      </c>
      <c r="Q10" s="62">
        <f t="shared" si="5"/>
        <v>82.945657781599309</v>
      </c>
      <c r="R10" s="62">
        <f t="shared" si="5"/>
        <v>81.63714531384349</v>
      </c>
      <c r="S10" s="62">
        <f t="shared" si="5"/>
        <v>86.305073086844345</v>
      </c>
      <c r="T10" s="62">
        <f t="shared" si="5"/>
        <v>92.132330180567493</v>
      </c>
      <c r="U10" s="62">
        <f t="shared" si="5"/>
        <v>90.253568357695599</v>
      </c>
      <c r="V10" s="62">
        <f t="shared" si="5"/>
        <v>79.861478933791901</v>
      </c>
      <c r="W10" s="62">
        <f t="shared" ref="W10:Y10" si="6">SUM(W11,W17)</f>
        <v>83.033190025795335</v>
      </c>
      <c r="X10" s="62">
        <f t="shared" si="6"/>
        <v>78.926483233018061</v>
      </c>
      <c r="Y10" s="62">
        <f t="shared" si="6"/>
        <v>75.993723129836624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40.931072245575898</v>
      </c>
      <c r="C11" s="29">
        <f t="shared" ref="C11:V11" si="8">SUM(C12,C13,C16)</f>
        <v>41.4780330104916</v>
      </c>
      <c r="D11" s="29">
        <f t="shared" si="8"/>
        <v>43.704218698474975</v>
      </c>
      <c r="E11" s="29">
        <f t="shared" si="8"/>
        <v>46.871600135365881</v>
      </c>
      <c r="F11" s="29">
        <f t="shared" si="8"/>
        <v>45.998948645406102</v>
      </c>
      <c r="G11" s="29">
        <f t="shared" si="8"/>
        <v>46.534716620221154</v>
      </c>
      <c r="H11" s="29">
        <f t="shared" si="8"/>
        <v>46.707673410767882</v>
      </c>
      <c r="I11" s="29">
        <f t="shared" si="8"/>
        <v>47.990763785013037</v>
      </c>
      <c r="J11" s="29">
        <f t="shared" si="8"/>
        <v>49.404375353034972</v>
      </c>
      <c r="K11" s="29">
        <f t="shared" si="8"/>
        <v>50.894707392328769</v>
      </c>
      <c r="L11" s="29">
        <f t="shared" si="8"/>
        <v>52.201807709167497</v>
      </c>
      <c r="M11" s="29">
        <f t="shared" si="8"/>
        <v>52.898818331166304</v>
      </c>
      <c r="N11" s="29">
        <f t="shared" si="8"/>
        <v>53.153959842452281</v>
      </c>
      <c r="O11" s="29">
        <f t="shared" si="8"/>
        <v>52.702931026781073</v>
      </c>
      <c r="P11" s="29">
        <f t="shared" si="8"/>
        <v>50.313502878733601</v>
      </c>
      <c r="Q11" s="29">
        <f t="shared" si="8"/>
        <v>51.911135201231339</v>
      </c>
      <c r="R11" s="29">
        <f t="shared" si="8"/>
        <v>48.713001334779065</v>
      </c>
      <c r="S11" s="29">
        <f t="shared" si="8"/>
        <v>50.922427715620934</v>
      </c>
      <c r="T11" s="29">
        <f t="shared" si="8"/>
        <v>53.600845902231661</v>
      </c>
      <c r="U11" s="29">
        <f t="shared" si="8"/>
        <v>54.393480502990066</v>
      </c>
      <c r="V11" s="29">
        <f t="shared" si="8"/>
        <v>43.628037271387058</v>
      </c>
      <c r="W11" s="29">
        <f t="shared" ref="W11:Y11" si="9">SUM(W12,W13,W16)</f>
        <v>44.39817722631129</v>
      </c>
      <c r="X11" s="29">
        <f t="shared" si="9"/>
        <v>47.343372039376845</v>
      </c>
      <c r="Y11" s="29">
        <f t="shared" si="9"/>
        <v>47.732463117985226</v>
      </c>
      <c r="DA11" s="173" t="s">
        <v>395</v>
      </c>
    </row>
    <row r="12" spans="1:105" ht="11.45" customHeight="1" x14ac:dyDescent="0.25">
      <c r="A12" s="107" t="s">
        <v>23</v>
      </c>
      <c r="B12" s="115">
        <v>2.7432333412541614</v>
      </c>
      <c r="C12" s="115">
        <v>2.8149983596136656</v>
      </c>
      <c r="D12" s="115">
        <v>2.8998637001471681</v>
      </c>
      <c r="E12" s="115">
        <v>2.9150874897019552</v>
      </c>
      <c r="F12" s="115">
        <v>2.8935610199919237</v>
      </c>
      <c r="G12" s="115">
        <v>2.8609959553419326</v>
      </c>
      <c r="H12" s="115">
        <v>2.8377972591319609</v>
      </c>
      <c r="I12" s="115">
        <v>2.7910642901967435</v>
      </c>
      <c r="J12" s="115">
        <v>2.7927770575598361</v>
      </c>
      <c r="K12" s="115">
        <v>2.8074170960742397</v>
      </c>
      <c r="L12" s="115">
        <v>2.7657661916049348</v>
      </c>
      <c r="M12" s="115">
        <v>2.7010493295213065</v>
      </c>
      <c r="N12" s="115">
        <v>2.7289327281413409</v>
      </c>
      <c r="O12" s="115">
        <v>2.7070627419568907</v>
      </c>
      <c r="P12" s="115">
        <v>2.6436849394768154</v>
      </c>
      <c r="Q12" s="115">
        <v>2.5589028680296169</v>
      </c>
      <c r="R12" s="115">
        <v>2.565844329821378</v>
      </c>
      <c r="S12" s="115">
        <v>2.6206361489253402</v>
      </c>
      <c r="T12" s="115">
        <v>3.0253253078858395</v>
      </c>
      <c r="U12" s="115">
        <v>2.968245577384919</v>
      </c>
      <c r="V12" s="115">
        <v>2.9142478281776678</v>
      </c>
      <c r="W12" s="115">
        <v>2.8410680876336718</v>
      </c>
      <c r="X12" s="115">
        <v>2.5683014356529288</v>
      </c>
      <c r="Y12" s="115">
        <v>2.5527327808438685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37.120511087137373</v>
      </c>
      <c r="C13" s="116">
        <f t="shared" ref="C13:V13" si="11">SUM(C14:C15)</f>
        <v>37.774915137408797</v>
      </c>
      <c r="D13" s="116">
        <f t="shared" si="11"/>
        <v>38.823231228790803</v>
      </c>
      <c r="E13" s="116">
        <f t="shared" si="11"/>
        <v>41.072230248504226</v>
      </c>
      <c r="F13" s="116">
        <f t="shared" si="11"/>
        <v>40.84052897265407</v>
      </c>
      <c r="G13" s="116">
        <f t="shared" si="11"/>
        <v>39.389879029350809</v>
      </c>
      <c r="H13" s="116">
        <f t="shared" si="11"/>
        <v>38.043226633955562</v>
      </c>
      <c r="I13" s="116">
        <f t="shared" si="11"/>
        <v>37.54234609923688</v>
      </c>
      <c r="J13" s="116">
        <f t="shared" si="11"/>
        <v>38.325237385151382</v>
      </c>
      <c r="K13" s="116">
        <f t="shared" si="11"/>
        <v>40.069177802428186</v>
      </c>
      <c r="L13" s="116">
        <f t="shared" si="11"/>
        <v>41.003716499186389</v>
      </c>
      <c r="M13" s="116">
        <f t="shared" si="11"/>
        <v>41.130694456634956</v>
      </c>
      <c r="N13" s="116">
        <f t="shared" si="11"/>
        <v>41.660947726018151</v>
      </c>
      <c r="O13" s="116">
        <f t="shared" si="11"/>
        <v>40.70077437675549</v>
      </c>
      <c r="P13" s="116">
        <f t="shared" si="11"/>
        <v>39.725505226296811</v>
      </c>
      <c r="Q13" s="116">
        <f t="shared" si="11"/>
        <v>42.528649330448388</v>
      </c>
      <c r="R13" s="116">
        <f t="shared" si="11"/>
        <v>38.814635067857594</v>
      </c>
      <c r="S13" s="116">
        <f t="shared" si="11"/>
        <v>40.293598487301409</v>
      </c>
      <c r="T13" s="116">
        <f t="shared" si="11"/>
        <v>41.243290338318872</v>
      </c>
      <c r="U13" s="116">
        <f t="shared" si="11"/>
        <v>41.946683303169962</v>
      </c>
      <c r="V13" s="116">
        <f t="shared" si="11"/>
        <v>33.668127514141233</v>
      </c>
      <c r="W13" s="116">
        <f t="shared" ref="W13:Y13" si="12">SUM(W14:W15)</f>
        <v>33.669844671145242</v>
      </c>
      <c r="X13" s="116">
        <f t="shared" si="12"/>
        <v>37.553152745205402</v>
      </c>
      <c r="Y13" s="116">
        <f t="shared" si="12"/>
        <v>38.765625582060004</v>
      </c>
      <c r="DA13" s="176" t="s">
        <v>397</v>
      </c>
    </row>
    <row r="14" spans="1:105" ht="11.45" customHeight="1" x14ac:dyDescent="0.25">
      <c r="A14" s="111" t="s">
        <v>95</v>
      </c>
      <c r="B14" s="87">
        <v>16.501569819907886</v>
      </c>
      <c r="C14" s="87">
        <v>14.382814284356241</v>
      </c>
      <c r="D14" s="87">
        <v>14.487726471551612</v>
      </c>
      <c r="E14" s="87">
        <v>14.942538435325517</v>
      </c>
      <c r="F14" s="87">
        <v>14.4292014361219</v>
      </c>
      <c r="G14" s="87">
        <v>12.500201039359808</v>
      </c>
      <c r="H14" s="87">
        <v>12.827211763369927</v>
      </c>
      <c r="I14" s="87">
        <v>10.437866997846983</v>
      </c>
      <c r="J14" s="87">
        <v>10.723680968541039</v>
      </c>
      <c r="K14" s="87">
        <v>8.9282907033425705</v>
      </c>
      <c r="L14" s="87">
        <v>9.9456448394486916</v>
      </c>
      <c r="M14" s="87">
        <v>10.988698074060052</v>
      </c>
      <c r="N14" s="87">
        <v>9.6513926549327937</v>
      </c>
      <c r="O14" s="87">
        <v>8.0717980211919116</v>
      </c>
      <c r="P14" s="87">
        <v>9.2424624001714992</v>
      </c>
      <c r="Q14" s="87">
        <v>9.4382328935695767</v>
      </c>
      <c r="R14" s="87">
        <v>8.1167368289638606</v>
      </c>
      <c r="S14" s="87">
        <v>8.7410421097722981</v>
      </c>
      <c r="T14" s="87">
        <v>6.6285949931741506</v>
      </c>
      <c r="U14" s="87">
        <v>4.6693807771174018</v>
      </c>
      <c r="V14" s="87">
        <v>4.2326315879806158</v>
      </c>
      <c r="W14" s="87">
        <v>3.9014252246300987</v>
      </c>
      <c r="X14" s="87">
        <v>4.745088699973512</v>
      </c>
      <c r="Y14" s="87">
        <v>5.0138226479614278</v>
      </c>
      <c r="DA14" s="171" t="s">
        <v>1108</v>
      </c>
    </row>
    <row r="15" spans="1:105" ht="11.45" customHeight="1" x14ac:dyDescent="0.25">
      <c r="A15" s="111" t="s">
        <v>93</v>
      </c>
      <c r="B15" s="87">
        <v>20.618941267229488</v>
      </c>
      <c r="C15" s="87">
        <v>23.392100853052554</v>
      </c>
      <c r="D15" s="87">
        <v>24.335504757239192</v>
      </c>
      <c r="E15" s="87">
        <v>26.129691813178706</v>
      </c>
      <c r="F15" s="87">
        <v>26.41132753653217</v>
      </c>
      <c r="G15" s="87">
        <v>26.889677989991004</v>
      </c>
      <c r="H15" s="87">
        <v>25.216014870585635</v>
      </c>
      <c r="I15" s="87">
        <v>27.104479101389899</v>
      </c>
      <c r="J15" s="87">
        <v>27.60155641661034</v>
      </c>
      <c r="K15" s="87">
        <v>31.140887099085617</v>
      </c>
      <c r="L15" s="87">
        <v>31.058071659737699</v>
      </c>
      <c r="M15" s="87">
        <v>30.141996382574906</v>
      </c>
      <c r="N15" s="87">
        <v>32.009555071085359</v>
      </c>
      <c r="O15" s="87">
        <v>32.62897635556358</v>
      </c>
      <c r="P15" s="87">
        <v>30.483042826125313</v>
      </c>
      <c r="Q15" s="87">
        <v>33.090416436878812</v>
      </c>
      <c r="R15" s="87">
        <v>30.697898238893735</v>
      </c>
      <c r="S15" s="87">
        <v>31.552556377529115</v>
      </c>
      <c r="T15" s="87">
        <v>34.614695345144725</v>
      </c>
      <c r="U15" s="87">
        <v>37.277302526052559</v>
      </c>
      <c r="V15" s="87">
        <v>29.43549592616062</v>
      </c>
      <c r="W15" s="87">
        <v>29.768419446515146</v>
      </c>
      <c r="X15" s="87">
        <v>32.808064045231887</v>
      </c>
      <c r="Y15" s="87">
        <v>33.751802934098578</v>
      </c>
      <c r="DA15" s="171" t="s">
        <v>1109</v>
      </c>
    </row>
    <row r="16" spans="1:105" ht="11.45" customHeight="1" x14ac:dyDescent="0.25">
      <c r="A16" s="112" t="s">
        <v>25</v>
      </c>
      <c r="B16" s="117">
        <v>1.0673278171843654</v>
      </c>
      <c r="C16" s="117">
        <v>0.88811951346913653</v>
      </c>
      <c r="D16" s="117">
        <v>1.9811237695370032</v>
      </c>
      <c r="E16" s="117">
        <v>2.8842823971597031</v>
      </c>
      <c r="F16" s="117">
        <v>2.2648586527601107</v>
      </c>
      <c r="G16" s="117">
        <v>4.283841635528411</v>
      </c>
      <c r="H16" s="117">
        <v>5.8266495176803623</v>
      </c>
      <c r="I16" s="117">
        <v>7.6573533955794142</v>
      </c>
      <c r="J16" s="117">
        <v>8.2863609103237525</v>
      </c>
      <c r="K16" s="117">
        <v>8.0181124938263455</v>
      </c>
      <c r="L16" s="117">
        <v>8.4323250183761793</v>
      </c>
      <c r="M16" s="117">
        <v>9.0670745450100423</v>
      </c>
      <c r="N16" s="117">
        <v>8.7640793882927905</v>
      </c>
      <c r="O16" s="117">
        <v>9.2950939080686972</v>
      </c>
      <c r="P16" s="117">
        <v>7.9443127129599773</v>
      </c>
      <c r="Q16" s="117">
        <v>6.8235830027533284</v>
      </c>
      <c r="R16" s="117">
        <v>7.3325219371000907</v>
      </c>
      <c r="S16" s="117">
        <v>8.0081930793941822</v>
      </c>
      <c r="T16" s="117">
        <v>9.3322302560269552</v>
      </c>
      <c r="U16" s="117">
        <v>9.4785516224351856</v>
      </c>
      <c r="V16" s="117">
        <v>7.0456619290681592</v>
      </c>
      <c r="W16" s="117">
        <v>7.8872644675323764</v>
      </c>
      <c r="X16" s="117">
        <v>7.2219178585185198</v>
      </c>
      <c r="Y16" s="117">
        <v>6.4141047550813548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53.599366275490297</v>
      </c>
      <c r="C17" s="29">
        <f t="shared" si="13"/>
        <v>52.292904220806761</v>
      </c>
      <c r="D17" s="29">
        <f t="shared" si="13"/>
        <v>50.420200905996211</v>
      </c>
      <c r="E17" s="29">
        <f t="shared" si="13"/>
        <v>50.176293243825853</v>
      </c>
      <c r="F17" s="29">
        <f t="shared" si="13"/>
        <v>52.128480417362596</v>
      </c>
      <c r="G17" s="29">
        <f t="shared" si="13"/>
        <v>51.095893869890624</v>
      </c>
      <c r="H17" s="29">
        <f t="shared" si="13"/>
        <v>55.261372161029179</v>
      </c>
      <c r="I17" s="29">
        <f t="shared" si="13"/>
        <v>50.021102079131403</v>
      </c>
      <c r="J17" s="29">
        <f t="shared" si="13"/>
        <v>50.489863683938367</v>
      </c>
      <c r="K17" s="29">
        <f t="shared" si="13"/>
        <v>41.324381171729684</v>
      </c>
      <c r="L17" s="29">
        <f t="shared" si="13"/>
        <v>43.106446805019928</v>
      </c>
      <c r="M17" s="29">
        <f t="shared" si="13"/>
        <v>42.56695982876488</v>
      </c>
      <c r="N17" s="29">
        <f t="shared" si="13"/>
        <v>42.913709976980208</v>
      </c>
      <c r="O17" s="29">
        <f t="shared" si="13"/>
        <v>40.246338104775234</v>
      </c>
      <c r="P17" s="29">
        <f t="shared" si="13"/>
        <v>39.540323432530364</v>
      </c>
      <c r="Q17" s="29">
        <f t="shared" si="13"/>
        <v>31.03452258036797</v>
      </c>
      <c r="R17" s="29">
        <f t="shared" si="13"/>
        <v>32.924143979064432</v>
      </c>
      <c r="S17" s="29">
        <f t="shared" si="13"/>
        <v>35.382645371223418</v>
      </c>
      <c r="T17" s="29">
        <f t="shared" si="13"/>
        <v>38.531484278335832</v>
      </c>
      <c r="U17" s="29">
        <f t="shared" si="13"/>
        <v>35.86008785470554</v>
      </c>
      <c r="V17" s="29">
        <f t="shared" si="13"/>
        <v>36.233441662404843</v>
      </c>
      <c r="W17" s="29">
        <f t="shared" si="13"/>
        <v>38.635012799484045</v>
      </c>
      <c r="X17" s="29">
        <f t="shared" ref="X17:Y17" si="14">SUM(X18:X19)</f>
        <v>31.583111193641212</v>
      </c>
      <c r="Y17" s="29">
        <f t="shared" si="14"/>
        <v>28.261260011851398</v>
      </c>
      <c r="DA17" s="173" t="s">
        <v>402</v>
      </c>
    </row>
    <row r="18" spans="1:105" ht="11.45" customHeight="1" x14ac:dyDescent="0.25">
      <c r="A18" s="83" t="s">
        <v>95</v>
      </c>
      <c r="B18" s="87">
        <v>31.769195442344902</v>
      </c>
      <c r="C18" s="87">
        <v>30.806867572909447</v>
      </c>
      <c r="D18" s="87">
        <v>28.647871120881749</v>
      </c>
      <c r="E18" s="87">
        <v>28.193059157107847</v>
      </c>
      <c r="F18" s="87">
        <v>29.527978271530717</v>
      </c>
      <c r="G18" s="87">
        <v>29.412438685489718</v>
      </c>
      <c r="H18" s="87">
        <v>31.102280927945628</v>
      </c>
      <c r="I18" s="87">
        <v>25.321204369306923</v>
      </c>
      <c r="J18" s="87">
        <v>26.057918343582774</v>
      </c>
      <c r="K18" s="87">
        <v>21.725879546012539</v>
      </c>
      <c r="L18" s="87">
        <v>21.734062813173836</v>
      </c>
      <c r="M18" s="87">
        <v>21.708378452165213</v>
      </c>
      <c r="N18" s="87">
        <v>23.045683871292471</v>
      </c>
      <c r="O18" s="87">
        <v>21.850815908300781</v>
      </c>
      <c r="P18" s="87">
        <v>18.616522982459628</v>
      </c>
      <c r="Q18" s="87">
        <v>13.232274415114862</v>
      </c>
      <c r="R18" s="87">
        <v>13.503211580322469</v>
      </c>
      <c r="S18" s="87">
        <v>12.817685319290471</v>
      </c>
      <c r="T18" s="87">
        <v>16.974070527032211</v>
      </c>
      <c r="U18" s="87">
        <v>17.914368148076058</v>
      </c>
      <c r="V18" s="87">
        <v>16.299526623541304</v>
      </c>
      <c r="W18" s="87">
        <v>19.71645955610936</v>
      </c>
      <c r="X18" s="87">
        <v>14.76608928798866</v>
      </c>
      <c r="Y18" s="87">
        <v>13.456254738109076</v>
      </c>
      <c r="DA18" s="171" t="s">
        <v>1110</v>
      </c>
    </row>
    <row r="19" spans="1:105" ht="11.45" customHeight="1" x14ac:dyDescent="0.25">
      <c r="A19" s="85" t="s">
        <v>93</v>
      </c>
      <c r="B19" s="88">
        <v>21.830170833145392</v>
      </c>
      <c r="C19" s="88">
        <v>21.486036647897315</v>
      </c>
      <c r="D19" s="88">
        <v>21.772329785114461</v>
      </c>
      <c r="E19" s="88">
        <v>21.98323408671801</v>
      </c>
      <c r="F19" s="88">
        <v>22.600502145831879</v>
      </c>
      <c r="G19" s="88">
        <v>21.683455184400906</v>
      </c>
      <c r="H19" s="88">
        <v>24.159091233083551</v>
      </c>
      <c r="I19" s="88">
        <v>24.69989770982448</v>
      </c>
      <c r="J19" s="88">
        <v>24.431945340355593</v>
      </c>
      <c r="K19" s="88">
        <v>19.598501625717144</v>
      </c>
      <c r="L19" s="88">
        <v>21.372383991846092</v>
      </c>
      <c r="M19" s="88">
        <v>20.85858137659967</v>
      </c>
      <c r="N19" s="88">
        <v>19.868026105687736</v>
      </c>
      <c r="O19" s="88">
        <v>18.395522196474456</v>
      </c>
      <c r="P19" s="88">
        <v>20.923800450070736</v>
      </c>
      <c r="Q19" s="88">
        <v>17.802248165253108</v>
      </c>
      <c r="R19" s="88">
        <v>19.420932398741961</v>
      </c>
      <c r="S19" s="88">
        <v>22.564960051932946</v>
      </c>
      <c r="T19" s="88">
        <v>21.557413751303621</v>
      </c>
      <c r="U19" s="88">
        <v>17.945719706629482</v>
      </c>
      <c r="V19" s="88">
        <v>19.933915038863539</v>
      </c>
      <c r="W19" s="88">
        <v>18.918553243374689</v>
      </c>
      <c r="X19" s="88">
        <v>16.817021905652553</v>
      </c>
      <c r="Y19" s="88">
        <v>14.805005273742323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219.49463411063479</v>
      </c>
      <c r="C23" s="62">
        <f>IF(C10=0,0,C10/TrRail_act!C14*100)</f>
        <v>209.31509809946829</v>
      </c>
      <c r="D23" s="62">
        <f>IF(D10=0,0,D10/TrRail_act!D14*100)</f>
        <v>203.04622823640872</v>
      </c>
      <c r="E23" s="62">
        <f>IF(E10=0,0,E10/TrRail_act!E14*100)</f>
        <v>196.75856013146677</v>
      </c>
      <c r="F23" s="62">
        <f>IF(F10=0,0,F10/TrRail_act!F14*100)</f>
        <v>196.43858269536602</v>
      </c>
      <c r="G23" s="62">
        <f>IF(G10=0,0,G10/TrRail_act!G14*100)</f>
        <v>193.85840231759494</v>
      </c>
      <c r="H23" s="62">
        <f>IF(H10=0,0,H10/TrRail_act!H14*100)</f>
        <v>195.28947539237524</v>
      </c>
      <c r="I23" s="62">
        <f>IF(I10=0,0,I10/TrRail_act!I14*100)</f>
        <v>185.63184040553068</v>
      </c>
      <c r="J23" s="62">
        <f>IF(J10=0,0,J10/TrRail_act!J14*100)</f>
        <v>184.77048937957613</v>
      </c>
      <c r="K23" s="62">
        <f>IF(K10=0,0,K10/TrRail_act!K14*100)</f>
        <v>174.45993082012231</v>
      </c>
      <c r="L23" s="62">
        <f>IF(L10=0,0,L10/TrRail_act!L14*100)</f>
        <v>173.08863234983153</v>
      </c>
      <c r="M23" s="62">
        <f>IF(M10=0,0,M10/TrRail_act!M14*100)</f>
        <v>173.65573871849949</v>
      </c>
      <c r="N23" s="62">
        <f>IF(N10=0,0,N10/TrRail_act!N14*100)</f>
        <v>171.40367809367007</v>
      </c>
      <c r="O23" s="62">
        <f>IF(O10=0,0,O10/TrRail_act!O14*100)</f>
        <v>167.32864197467882</v>
      </c>
      <c r="P23" s="62">
        <f>IF(P10=0,0,P10/TrRail_act!P14*100)</f>
        <v>162.59764006044932</v>
      </c>
      <c r="Q23" s="62">
        <f>IF(Q10=0,0,Q10/TrRail_act!Q14*100)</f>
        <v>151.92868741322806</v>
      </c>
      <c r="R23" s="62">
        <f>IF(R10=0,0,R10/TrRail_act!R14*100)</f>
        <v>151.26406117335216</v>
      </c>
      <c r="S23" s="62">
        <f>IF(S10=0,0,S10/TrRail_act!S14*100)</f>
        <v>150.08502363371866</v>
      </c>
      <c r="T23" s="62">
        <f>IF(T10=0,0,T10/TrRail_act!T14*100)</f>
        <v>150.10356013401611</v>
      </c>
      <c r="U23" s="62">
        <f>IF(U10=0,0,U10/TrRail_act!U14*100)</f>
        <v>148.46456773707251</v>
      </c>
      <c r="V23" s="62">
        <f>IF(V10=0,0,V10/TrRail_act!V14*100)</f>
        <v>148.59967383362215</v>
      </c>
      <c r="W23" s="62">
        <f>IF(W10=0,0,W10/TrRail_act!W14*100)</f>
        <v>152.73418712766181</v>
      </c>
      <c r="X23" s="62">
        <f>IF(X10=0,0,X10/TrRail_act!X14*100)</f>
        <v>146.63402593908364</v>
      </c>
      <c r="Y23" s="62">
        <f>IF(Y10=0,0,Y10/TrRail_act!Y14*100)</f>
        <v>143.8331172349215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154.42894105226677</v>
      </c>
      <c r="C24" s="29">
        <f>IF(C11=0,0,C11/TrRail_act!C15*100)</f>
        <v>146.45440477616884</v>
      </c>
      <c r="D24" s="29">
        <f>IF(D11=0,0,D11/TrRail_act!D15*100)</f>
        <v>145.82230258134516</v>
      </c>
      <c r="E24" s="29">
        <f>IF(E11=0,0,E11/TrRail_act!E15*100)</f>
        <v>144.05039850294762</v>
      </c>
      <c r="F24" s="29">
        <f>IF(F11=0,0,F11/TrRail_act!F15*100)</f>
        <v>141.73485362411887</v>
      </c>
      <c r="G24" s="29">
        <f>IF(G11=0,0,G11/TrRail_act!G15*100)</f>
        <v>140.16644260543652</v>
      </c>
      <c r="H24" s="29">
        <f>IF(H11=0,0,H11/TrRail_act!H15*100)</f>
        <v>141.08093048193601</v>
      </c>
      <c r="I24" s="29">
        <f>IF(I11=0,0,I11/TrRail_act!I15*100)</f>
        <v>139.28040190346326</v>
      </c>
      <c r="J24" s="29">
        <f>IF(J11=0,0,J11/TrRail_act!J15*100)</f>
        <v>139.11695900527164</v>
      </c>
      <c r="K24" s="29">
        <f>IF(K11=0,0,K11/TrRail_act!K15*100)</f>
        <v>135.15508849382988</v>
      </c>
      <c r="L24" s="29">
        <f>IF(L11=0,0,L11/TrRail_act!L15*100)</f>
        <v>135.22869806135554</v>
      </c>
      <c r="M24" s="29">
        <f>IF(M11=0,0,M11/TrRail_act!M15*100)</f>
        <v>136.52466738755308</v>
      </c>
      <c r="N24" s="29">
        <f>IF(N11=0,0,N11/TrRail_act!N15*100)</f>
        <v>133.24596542813975</v>
      </c>
      <c r="O24" s="29">
        <f>IF(O11=0,0,O11/TrRail_act!O15*100)</f>
        <v>130.95686663016792</v>
      </c>
      <c r="P24" s="29">
        <f>IF(P11=0,0,P11/TrRail_act!P15*100)</f>
        <v>129.18441620061185</v>
      </c>
      <c r="Q24" s="29">
        <f>IF(Q11=0,0,Q11/TrRail_act!Q15*100)</f>
        <v>126.35454265037514</v>
      </c>
      <c r="R24" s="29">
        <f>IF(R11=0,0,R11/TrRail_act!R15*100)</f>
        <v>124.06348530368601</v>
      </c>
      <c r="S24" s="29">
        <f>IF(S11=0,0,S11/TrRail_act!S15*100)</f>
        <v>124.33313069427818</v>
      </c>
      <c r="T24" s="29">
        <f>IF(T11=0,0,T11/TrRail_act!T15*100)</f>
        <v>120.87157238892472</v>
      </c>
      <c r="U24" s="29">
        <f>IF(U11=0,0,U11/TrRail_act!U15*100)</f>
        <v>119.16838382721222</v>
      </c>
      <c r="V24" s="29">
        <f>IF(V11=0,0,V11/TrRail_act!V15*100)</f>
        <v>115.5437399634373</v>
      </c>
      <c r="W24" s="29">
        <f>IF(W11=0,0,W11/TrRail_act!W15*100)</f>
        <v>116.42432084285237</v>
      </c>
      <c r="X24" s="29">
        <f>IF(X11=0,0,X11/TrRail_act!X15*100)</f>
        <v>118.18720831689897</v>
      </c>
      <c r="Y24" s="29">
        <f>IF(Y11=0,0,Y11/TrRail_act!Y15*100)</f>
        <v>117.59106610064505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43.468412329692704</v>
      </c>
      <c r="C25" s="115">
        <f>IF(C12=0,0,C12/TrRail_act!C16*100)</f>
        <v>43.11578001208651</v>
      </c>
      <c r="D25" s="115">
        <f>IF(D12=0,0,D12/TrRail_act!D16*100)</f>
        <v>42.765733095244933</v>
      </c>
      <c r="E25" s="115">
        <f>IF(E12=0,0,E12/TrRail_act!E16*100)</f>
        <v>42.380964754832618</v>
      </c>
      <c r="F25" s="115">
        <f>IF(F12=0,0,F12/TrRail_act!F16*100)</f>
        <v>42.025477178978932</v>
      </c>
      <c r="G25" s="115">
        <f>IF(G12=0,0,G12/TrRail_act!G16*100)</f>
        <v>41.684139528924518</v>
      </c>
      <c r="H25" s="115">
        <f>IF(H12=0,0,H12/TrRail_act!H16*100)</f>
        <v>41.321257917781466</v>
      </c>
      <c r="I25" s="115">
        <f>IF(I12=0,0,I12/TrRail_act!I16*100)</f>
        <v>40.989898208280195</v>
      </c>
      <c r="J25" s="115">
        <f>IF(J12=0,0,J12/TrRail_act!J16*100)</f>
        <v>40.658112321590544</v>
      </c>
      <c r="K25" s="115">
        <f>IF(K12=0,0,K12/TrRail_act!K16*100)</f>
        <v>40.408212618307566</v>
      </c>
      <c r="L25" s="115">
        <f>IF(L12=0,0,L12/TrRail_act!L16*100)</f>
        <v>40.191774100425143</v>
      </c>
      <c r="M25" s="115">
        <f>IF(M12=0,0,M12/TrRail_act!M16*100)</f>
        <v>40.046153180993123</v>
      </c>
      <c r="N25" s="115">
        <f>IF(N12=0,0,N12/TrRail_act!N16*100)</f>
        <v>39.858261823624034</v>
      </c>
      <c r="O25" s="115">
        <f>IF(O12=0,0,O12/TrRail_act!O16*100)</f>
        <v>39.653305994552802</v>
      </c>
      <c r="P25" s="115">
        <f>IF(P12=0,0,P12/TrRail_act!P16*100)</f>
        <v>39.251876358103871</v>
      </c>
      <c r="Q25" s="115">
        <f>IF(Q12=0,0,Q12/TrRail_act!Q16*100)</f>
        <v>38.348187565448853</v>
      </c>
      <c r="R25" s="115">
        <f>IF(R12=0,0,R12/TrRail_act!R16*100)</f>
        <v>37.684100941370737</v>
      </c>
      <c r="S25" s="115">
        <f>IF(S12=0,0,S12/TrRail_act!S16*100)</f>
        <v>37.193593916697274</v>
      </c>
      <c r="T25" s="115">
        <f>IF(T12=0,0,T12/TrRail_act!T16*100)</f>
        <v>36.829908091858123</v>
      </c>
      <c r="U25" s="115">
        <f>IF(U12=0,0,U12/TrRail_act!U16*100)</f>
        <v>36.559479378506346</v>
      </c>
      <c r="V25" s="115">
        <f>IF(V12=0,0,V12/TrRail_act!V16*100)</f>
        <v>36.357961732290349</v>
      </c>
      <c r="W25" s="115">
        <f>IF(W12=0,0,W12/TrRail_act!W16*100)</f>
        <v>36.207552779240814</v>
      </c>
      <c r="X25" s="115">
        <f>IF(X12=0,0,X12/TrRail_act!X16*100)</f>
        <v>36.095154540929776</v>
      </c>
      <c r="Y25" s="115">
        <f>IF(Y12=0,0,Y12/TrRail_act!Y16*100)</f>
        <v>36.011084897061387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187.99756798991734</v>
      </c>
      <c r="C26" s="116">
        <f>IF(C13=0,0,C13/TrRail_act!C17*100)</f>
        <v>176.36585863846457</v>
      </c>
      <c r="D26" s="116">
        <f>IF(D13=0,0,D13/TrRail_act!D17*100)</f>
        <v>173.67341868973787</v>
      </c>
      <c r="E26" s="116">
        <f>IF(E13=0,0,E13/TrRail_act!E17*100)</f>
        <v>168.1222802391631</v>
      </c>
      <c r="F26" s="116">
        <f>IF(F13=0,0,F13/TrRail_act!F17*100)</f>
        <v>166.02741159986488</v>
      </c>
      <c r="G26" s="116">
        <f>IF(G13=0,0,G13/TrRail_act!G17*100)</f>
        <v>160.79213706975725</v>
      </c>
      <c r="H26" s="116">
        <f>IF(H13=0,0,H13/TrRail_act!H17*100)</f>
        <v>160.39149602528821</v>
      </c>
      <c r="I26" s="116">
        <f>IF(I13=0,0,I13/TrRail_act!I17*100)</f>
        <v>154.29183215141731</v>
      </c>
      <c r="J26" s="116">
        <f>IF(J13=0,0,J13/TrRail_act!J17*100)</f>
        <v>152.98977179988015</v>
      </c>
      <c r="K26" s="116">
        <f>IF(K13=0,0,K13/TrRail_act!K17*100)</f>
        <v>147.36217119842181</v>
      </c>
      <c r="L26" s="116">
        <f>IF(L13=0,0,L13/TrRail_act!L17*100)</f>
        <v>146.40357860858487</v>
      </c>
      <c r="M26" s="116">
        <f>IF(M13=0,0,M13/TrRail_act!M17*100)</f>
        <v>146.98442300845161</v>
      </c>
      <c r="N26" s="116">
        <f>IF(N13=0,0,N13/TrRail_act!N17*100)</f>
        <v>143.18017582763241</v>
      </c>
      <c r="O26" s="116">
        <f>IF(O13=0,0,O13/TrRail_act!O17*100)</f>
        <v>139.27522891593608</v>
      </c>
      <c r="P26" s="116">
        <f>IF(P13=0,0,P13/TrRail_act!P17*100)</f>
        <v>138.84936755739287</v>
      </c>
      <c r="Q26" s="116">
        <f>IF(Q13=0,0,Q13/TrRail_act!Q17*100)</f>
        <v>135.93486554713419</v>
      </c>
      <c r="R26" s="116">
        <f>IF(R13=0,0,R13/TrRail_act!R17*100)</f>
        <v>133.51126485264956</v>
      </c>
      <c r="S26" s="116">
        <f>IF(S13=0,0,S13/TrRail_act!S17*100)</f>
        <v>133.43263500452346</v>
      </c>
      <c r="T26" s="116">
        <f>IF(T13=0,0,T13/TrRail_act!T17*100)</f>
        <v>129.74073532801782</v>
      </c>
      <c r="U26" s="116">
        <f>IF(U13=0,0,U13/TrRail_act!U17*100)</f>
        <v>126.71361621364746</v>
      </c>
      <c r="V26" s="116">
        <f>IF(V13=0,0,V13/TrRail_act!V17*100)</f>
        <v>127.28909382293682</v>
      </c>
      <c r="W26" s="116">
        <f>IF(W13=0,0,W13/TrRail_act!W17*100)</f>
        <v>126.59758848444578</v>
      </c>
      <c r="X26" s="116">
        <f>IF(X13=0,0,X13/TrRail_act!X17*100)</f>
        <v>127.04880565188708</v>
      </c>
      <c r="Y26" s="116">
        <f>IF(Y13=0,0,Y13/TrRail_act!Y17*100)</f>
        <v>127.12251378103123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306.3464367825033</v>
      </c>
      <c r="C27" s="87">
        <f>IF(C14=0,0,C14/TrRail_act!C18*100)</f>
        <v>292.82229333964523</v>
      </c>
      <c r="D27" s="87">
        <f>IF(D14=0,0,D14/TrRail_act!D18*100)</f>
        <v>284.19507084412675</v>
      </c>
      <c r="E27" s="87">
        <f>IF(E14=0,0,E14/TrRail_act!E18*100)</f>
        <v>268.46623987542762</v>
      </c>
      <c r="F27" s="87">
        <f>IF(F14=0,0,F14/TrRail_act!F18*100)</f>
        <v>264.04994639151727</v>
      </c>
      <c r="G27" s="87">
        <f>IF(G14=0,0,G14/TrRail_act!G18*100)</f>
        <v>252.84788511603057</v>
      </c>
      <c r="H27" s="87">
        <f>IF(H14=0,0,H14/TrRail_act!H18*100)</f>
        <v>250.22822102199726</v>
      </c>
      <c r="I27" s="87">
        <f>IF(I14=0,0,I14/TrRail_act!I18*100)</f>
        <v>246.30186322412527</v>
      </c>
      <c r="J27" s="87">
        <f>IF(J14=0,0,J14/TrRail_act!J18*100)</f>
        <v>240.40219497625276</v>
      </c>
      <c r="K27" s="87">
        <f>IF(K14=0,0,K14/TrRail_act!K18*100)</f>
        <v>233.0797581691717</v>
      </c>
      <c r="L27" s="87">
        <f>IF(L14=0,0,L14/TrRail_act!L18*100)</f>
        <v>228.7656243601844</v>
      </c>
      <c r="M27" s="87">
        <f>IF(M14=0,0,M14/TrRail_act!M18*100)</f>
        <v>226.26340679516889</v>
      </c>
      <c r="N27" s="87">
        <f>IF(N14=0,0,N14/TrRail_act!N18*100)</f>
        <v>224.03577546887581</v>
      </c>
      <c r="O27" s="87">
        <f>IF(O14=0,0,O14/TrRail_act!O18*100)</f>
        <v>219.12741633632899</v>
      </c>
      <c r="P27" s="87">
        <f>IF(P14=0,0,P14/TrRail_act!P18*100)</f>
        <v>216.02194983601018</v>
      </c>
      <c r="Q27" s="87">
        <f>IF(Q14=0,0,Q14/TrRail_act!Q18*100)</f>
        <v>211.35691808507681</v>
      </c>
      <c r="R27" s="87">
        <f>IF(R14=0,0,R14/TrRail_act!R18*100)</f>
        <v>207.92437611062425</v>
      </c>
      <c r="S27" s="87">
        <f>IF(S14=0,0,S14/TrRail_act!S18*100)</f>
        <v>206.41353585003134</v>
      </c>
      <c r="T27" s="87">
        <f>IF(T14=0,0,T14/TrRail_act!T18*100)</f>
        <v>205.2876144799254</v>
      </c>
      <c r="U27" s="87">
        <f>IF(U14=0,0,U14/TrRail_act!U18*100)</f>
        <v>204.44720567932833</v>
      </c>
      <c r="V27" s="87">
        <f>IF(V14=0,0,V14/TrRail_act!V18*100)</f>
        <v>203.81915766199046</v>
      </c>
      <c r="W27" s="87">
        <f>IF(W14=0,0,W14/TrRail_act!W18*100)</f>
        <v>203.34938809040324</v>
      </c>
      <c r="X27" s="87">
        <f>IF(X14=0,0,X14/TrRail_act!X18*100)</f>
        <v>202.99777159736294</v>
      </c>
      <c r="Y27" s="87">
        <f>IF(Y14=0,0,Y14/TrRail_act!Y18*100)</f>
        <v>202.73445827778113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143.59957547395737</v>
      </c>
      <c r="C28" s="87">
        <f>IF(C15=0,0,C15/TrRail_act!C19*100)</f>
        <v>141.71270363318988</v>
      </c>
      <c r="D28" s="87">
        <f>IF(D15=0,0,D15/TrRail_act!D19*100)</f>
        <v>141.02349441222054</v>
      </c>
      <c r="E28" s="87">
        <f>IF(E15=0,0,E15/TrRail_act!E19*100)</f>
        <v>138.51556501252657</v>
      </c>
      <c r="F28" s="87">
        <f>IF(F15=0,0,F15/TrRail_act!F19*100)</f>
        <v>138.03281276631122</v>
      </c>
      <c r="G28" s="87">
        <f>IF(G15=0,0,G15/TrRail_act!G19*100)</f>
        <v>137.51759014687741</v>
      </c>
      <c r="H28" s="87">
        <f>IF(H15=0,0,H15/TrRail_act!H19*100)</f>
        <v>135.62265539074252</v>
      </c>
      <c r="I28" s="87">
        <f>IF(I15=0,0,I15/TrRail_act!I19*100)</f>
        <v>134.88706333250144</v>
      </c>
      <c r="J28" s="87">
        <f>IF(J15=0,0,J15/TrRail_act!J19*100)</f>
        <v>134.05240259998496</v>
      </c>
      <c r="K28" s="87">
        <f>IF(K15=0,0,K15/TrRail_act!K19*100)</f>
        <v>133.30642806207103</v>
      </c>
      <c r="L28" s="87">
        <f>IF(L15=0,0,L15/TrRail_act!L19*100)</f>
        <v>131.26941675376978</v>
      </c>
      <c r="M28" s="87">
        <f>IF(M15=0,0,M15/TrRail_act!M19*100)</f>
        <v>130.33568500420262</v>
      </c>
      <c r="N28" s="87">
        <f>IF(N15=0,0,N15/TrRail_act!N19*100)</f>
        <v>129.12858582544072</v>
      </c>
      <c r="O28" s="87">
        <f>IF(O15=0,0,O15/TrRail_act!O19*100)</f>
        <v>127.75807196365928</v>
      </c>
      <c r="P28" s="87">
        <f>IF(P15=0,0,P15/TrRail_act!P19*100)</f>
        <v>125.27953018180344</v>
      </c>
      <c r="Q28" s="87">
        <f>IF(Q15=0,0,Q15/TrRail_act!Q19*100)</f>
        <v>123.3772962070959</v>
      </c>
      <c r="R28" s="87">
        <f>IF(R15=0,0,R15/TrRail_act!R19*100)</f>
        <v>121.96959953123864</v>
      </c>
      <c r="S28" s="87">
        <f>IF(S15=0,0,S15/TrRail_act!S19*100)</f>
        <v>121.5289992510495</v>
      </c>
      <c r="T28" s="87">
        <f>IF(T15=0,0,T15/TrRail_act!T19*100)</f>
        <v>121.19959385283299</v>
      </c>
      <c r="U28" s="87">
        <f>IF(U15=0,0,U15/TrRail_act!U19*100)</f>
        <v>120.95312587349095</v>
      </c>
      <c r="V28" s="87">
        <f>IF(V15=0,0,V15/TrRail_act!V19*100)</f>
        <v>120.7686038639112</v>
      </c>
      <c r="W28" s="87">
        <f>IF(W15=0,0,W15/TrRail_act!W19*100)</f>
        <v>120.63039711496208</v>
      </c>
      <c r="X28" s="87">
        <f>IF(X15=0,0,X15/TrRail_act!X19*100)</f>
        <v>120.52684585751312</v>
      </c>
      <c r="Y28" s="87">
        <f>IF(Y15=0,0,Y15/TrRail_act!Y19*100)</f>
        <v>120.44924075281513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237.86087430654294</v>
      </c>
      <c r="C29" s="117">
        <f>IF(C16=0,0,C16/TrRail_act!C20*100)</f>
        <v>237.43953097817848</v>
      </c>
      <c r="D29" s="117">
        <f>IF(D16=0,0,D16/TrRail_act!D20*100)</f>
        <v>237.00367735997185</v>
      </c>
      <c r="E29" s="117">
        <f>IF(E16=0,0,E16/TrRail_act!E20*100)</f>
        <v>234.48203859997099</v>
      </c>
      <c r="F29" s="117">
        <f>IF(F16=0,0,F16/TrRail_act!F20*100)</f>
        <v>233.41730403786946</v>
      </c>
      <c r="G29" s="117">
        <f>IF(G16=0,0,G16/TrRail_act!G20*100)</f>
        <v>232.98086087961534</v>
      </c>
      <c r="H29" s="117">
        <f>IF(H16=0,0,H16/TrRail_act!H20*100)</f>
        <v>231.18119137624893</v>
      </c>
      <c r="I29" s="117">
        <f>IF(I16=0,0,I16/TrRail_act!I20*100)</f>
        <v>230.98877553699731</v>
      </c>
      <c r="J29" s="117">
        <f>IF(J16=0,0,J16/TrRail_act!J20*100)</f>
        <v>230.62156379718209</v>
      </c>
      <c r="K29" s="117">
        <f>IF(K16=0,0,K16/TrRail_act!K20*100)</f>
        <v>227.92125301015881</v>
      </c>
      <c r="L29" s="117">
        <f>IF(L16=0,0,L16/TrRail_act!L20*100)</f>
        <v>227.04963198064792</v>
      </c>
      <c r="M29" s="117">
        <f>IF(M16=0,0,M16/TrRail_act!M20*100)</f>
        <v>225.61418810158415</v>
      </c>
      <c r="N29" s="117">
        <f>IF(N16=0,0,N16/TrRail_act!N20*100)</f>
        <v>221.97949670159977</v>
      </c>
      <c r="O29" s="117">
        <f>IF(O16=0,0,O16/TrRail_act!O20*100)</f>
        <v>221.60723603062888</v>
      </c>
      <c r="P29" s="117">
        <f>IF(P16=0,0,P16/TrRail_act!P20*100)</f>
        <v>220.59254812721889</v>
      </c>
      <c r="Q29" s="117">
        <f>IF(Q16=0,0,Q16/TrRail_act!Q20*100)</f>
        <v>218.36524349385166</v>
      </c>
      <c r="R29" s="117">
        <f>IF(R16=0,0,R16/TrRail_act!R20*100)</f>
        <v>216.70953582309744</v>
      </c>
      <c r="S29" s="117">
        <f>IF(S16=0,0,S16/TrRail_act!S20*100)</f>
        <v>215.69147488133439</v>
      </c>
      <c r="T29" s="117">
        <f>IF(T16=0,0,T16/TrRail_act!T20*100)</f>
        <v>214.93106902632508</v>
      </c>
      <c r="U29" s="117">
        <f>IF(U16=0,0,U16/TrRail_act!U20*100)</f>
        <v>214.36252440118903</v>
      </c>
      <c r="V29" s="117">
        <f>IF(V16=0,0,V16/TrRail_act!V20*100)</f>
        <v>213.93710310935711</v>
      </c>
      <c r="W29" s="117">
        <f>IF(W16=0,0,W16/TrRail_act!W20*100)</f>
        <v>213.61859129485143</v>
      </c>
      <c r="X29" s="117">
        <f>IF(X16=0,0,X16/TrRail_act!X20*100)</f>
        <v>213.38001866880276</v>
      </c>
      <c r="Y29" s="117">
        <f>IF(Y16=0,0,Y16/TrRail_act!Y20*100)</f>
        <v>213.20126406791258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323.61846109843179</v>
      </c>
      <c r="C30" s="29">
        <f>IF(C17=0,0,C17/TrRail_act!C21*100)</f>
        <v>317.36001032270121</v>
      </c>
      <c r="D30" s="29">
        <f>IF(D17=0,0,D17/TrRail_act!D21*100)</f>
        <v>307.71646983734945</v>
      </c>
      <c r="E30" s="29">
        <f>IF(E17=0,0,E17/TrRail_act!E21*100)</f>
        <v>298.9352180053246</v>
      </c>
      <c r="F30" s="29">
        <f>IF(F17=0,0,F17/TrRail_act!F21*100)</f>
        <v>297.89386818064554</v>
      </c>
      <c r="G30" s="29">
        <f>IF(G17=0,0,G17/TrRail_act!G21*100)</f>
        <v>297.72341144894614</v>
      </c>
      <c r="H30" s="29">
        <f>IF(H17=0,0,H17/TrRail_act!H21*100)</f>
        <v>289.21602149966799</v>
      </c>
      <c r="I30" s="29">
        <f>IF(I17=0,0,I17/TrRail_act!I21*100)</f>
        <v>272.70099687408759</v>
      </c>
      <c r="J30" s="29">
        <f>IF(J17=0,0,J17/TrRail_act!J21*100)</f>
        <v>272.16607475631872</v>
      </c>
      <c r="K30" s="29">
        <f>IF(K17=0,0,K17/TrRail_act!K21*100)</f>
        <v>271.81317336217734</v>
      </c>
      <c r="L30" s="29">
        <f>IF(L17=0,0,L17/TrRail_act!L21*100)</f>
        <v>261.87563621035025</v>
      </c>
      <c r="M30" s="29">
        <f>IF(M17=0,0,M17/TrRail_act!M21*100)</f>
        <v>262.31460135015266</v>
      </c>
      <c r="N30" s="29">
        <f>IF(N17=0,0,N17/TrRail_act!N21*100)</f>
        <v>265.6208250676508</v>
      </c>
      <c r="O30" s="29">
        <f>IF(O17=0,0,O17/TrRail_act!O21*100)</f>
        <v>262.97176317277604</v>
      </c>
      <c r="P30" s="29">
        <f>IF(P17=0,0,P17/TrRail_act!P21*100)</f>
        <v>242.36425407361145</v>
      </c>
      <c r="Q30" s="29">
        <f>IF(Q17=0,0,Q17/TrRail_act!Q21*100)</f>
        <v>229.69114274627395</v>
      </c>
      <c r="R30" s="29">
        <f>IF(R17=0,0,R17/TrRail_act!R21*100)</f>
        <v>223.8918450570726</v>
      </c>
      <c r="S30" s="29">
        <f>IF(S17=0,0,S17/TrRail_act!S21*100)</f>
        <v>213.82242235136823</v>
      </c>
      <c r="T30" s="29">
        <f>IF(T17=0,0,T17/TrRail_act!T21*100)</f>
        <v>226.20484348055768</v>
      </c>
      <c r="U30" s="29">
        <f>IF(U17=0,0,U17/TrRail_act!U21*100)</f>
        <v>236.74560560894338</v>
      </c>
      <c r="V30" s="29">
        <f>IF(V17=0,0,V17/TrRail_act!V21*100)</f>
        <v>226.6884155320287</v>
      </c>
      <c r="W30" s="29">
        <f>IF(W17=0,0,W17/TrRail_act!W21*100)</f>
        <v>238.0511234494557</v>
      </c>
      <c r="X30" s="29">
        <f>IF(X17=0,0,X17/TrRail_act!X21*100)</f>
        <v>229.40270575721095</v>
      </c>
      <c r="Y30" s="29">
        <f>IF(Y17=0,0,Y17/TrRail_act!Y21*100)</f>
        <v>230.84103885492686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571.25386886654201</v>
      </c>
      <c r="C31" s="87">
        <f>IF(C18=0,0,C18/TrRail_act!C22*100)</f>
        <v>559.56348797429234</v>
      </c>
      <c r="D31" s="87">
        <f>IF(D18=0,0,D18/TrRail_act!D22*100)</f>
        <v>549.56869566067007</v>
      </c>
      <c r="E31" s="87">
        <f>IF(E18=0,0,E18/TrRail_act!E22*100)</f>
        <v>531.93978059233689</v>
      </c>
      <c r="F31" s="87">
        <f>IF(F18=0,0,F18/TrRail_act!F22*100)</f>
        <v>522.59404136419653</v>
      </c>
      <c r="G31" s="87">
        <f>IF(G18=0,0,G18/TrRail_act!G22*100)</f>
        <v>511.3739199599616</v>
      </c>
      <c r="H31" s="87">
        <f>IF(H18=0,0,H18/TrRail_act!H22*100)</f>
        <v>500.32993605331359</v>
      </c>
      <c r="I31" s="87">
        <f>IF(I18=0,0,I18/TrRail_act!I22*100)</f>
        <v>497.32768716810216</v>
      </c>
      <c r="J31" s="87">
        <f>IF(J18=0,0,J18/TrRail_act!J22*100)</f>
        <v>485.98472276501104</v>
      </c>
      <c r="K31" s="87">
        <f>IF(K18=0,0,K18/TrRail_act!K22*100)</f>
        <v>476.02208767677678</v>
      </c>
      <c r="L31" s="87">
        <f>IF(L18=0,0,L18/TrRail_act!L22*100)</f>
        <v>464.55485480417877</v>
      </c>
      <c r="M31" s="87">
        <f>IF(M18=0,0,M18/TrRail_act!M22*100)</f>
        <v>467.23556993180398</v>
      </c>
      <c r="N31" s="87">
        <f>IF(N18=0,0,N18/TrRail_act!N22*100)</f>
        <v>458.93529577431281</v>
      </c>
      <c r="O31" s="87">
        <f>IF(O18=0,0,O18/TrRail_act!O22*100)</f>
        <v>447.3396823666892</v>
      </c>
      <c r="P31" s="87">
        <f>IF(P18=0,0,P18/TrRail_act!P22*100)</f>
        <v>440.31273486603249</v>
      </c>
      <c r="Q31" s="87">
        <f>IF(Q18=0,0,Q18/TrRail_act!Q22*100)</f>
        <v>431.07504132943887</v>
      </c>
      <c r="R31" s="87">
        <f>IF(R18=0,0,R18/TrRail_act!R22*100)</f>
        <v>424.27417979656911</v>
      </c>
      <c r="S31" s="87">
        <f>IF(S18=0,0,S18/TrRail_act!S22*100)</f>
        <v>419.24403829198059</v>
      </c>
      <c r="T31" s="87">
        <f>IF(T18=0,0,T18/TrRail_act!T22*100)</f>
        <v>415.51060757640397</v>
      </c>
      <c r="U31" s="87">
        <f>IF(U18=0,0,U18/TrRail_act!U22*100)</f>
        <v>412.7323689608051</v>
      </c>
      <c r="V31" s="87">
        <f>IF(V18=0,0,V18/TrRail_act!V22*100)</f>
        <v>410.66088743975246</v>
      </c>
      <c r="W31" s="87">
        <f>IF(W18=0,0,W18/TrRail_act!W22*100)</f>
        <v>409.11410196133477</v>
      </c>
      <c r="X31" s="87">
        <f>IF(X18=0,0,X18/TrRail_act!X22*100)</f>
        <v>407.95783742242929</v>
      </c>
      <c r="Y31" s="87">
        <f>IF(Y18=0,0,Y18/TrRail_act!Y22*100)</f>
        <v>407.09278408911558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198.43429476838676</v>
      </c>
      <c r="C32" s="88">
        <f>IF(C19=0,0,C19/TrRail_act!C23*100)</f>
        <v>195.82690486625634</v>
      </c>
      <c r="D32" s="88">
        <f>IF(D19=0,0,D19/TrRail_act!D23*100)</f>
        <v>194.87451524212597</v>
      </c>
      <c r="E32" s="88">
        <f>IF(E19=0,0,E19/TrRail_act!E23*100)</f>
        <v>191.40891166972932</v>
      </c>
      <c r="F32" s="88">
        <f>IF(F19=0,0,F19/TrRail_act!F23*100)</f>
        <v>190.74181637220201</v>
      </c>
      <c r="G32" s="88">
        <f>IF(G19=0,0,G19/TrRail_act!G23*100)</f>
        <v>190.02985161326302</v>
      </c>
      <c r="H32" s="88">
        <f>IF(H19=0,0,H19/TrRail_act!H23*100)</f>
        <v>187.41131990295207</v>
      </c>
      <c r="I32" s="88">
        <f>IF(I19=0,0,I19/TrRail_act!I23*100)</f>
        <v>186.39483576062423</v>
      </c>
      <c r="J32" s="88">
        <f>IF(J19=0,0,J19/TrRail_act!J23*100)</f>
        <v>185.24145272811097</v>
      </c>
      <c r="K32" s="88">
        <f>IF(K19=0,0,K19/TrRail_act!K23*100)</f>
        <v>184.21062146793798</v>
      </c>
      <c r="L32" s="88">
        <f>IF(L19=0,0,L19/TrRail_act!L23*100)</f>
        <v>181.39576006557056</v>
      </c>
      <c r="M32" s="88">
        <f>IF(M19=0,0,M19/TrRail_act!M23*100)</f>
        <v>180.10547490548791</v>
      </c>
      <c r="N32" s="88">
        <f>IF(N19=0,0,N19/TrRail_act!N23*100)</f>
        <v>178.43743463822014</v>
      </c>
      <c r="O32" s="88">
        <f>IF(O19=0,0,O19/TrRail_act!O23*100)</f>
        <v>176.54357840128293</v>
      </c>
      <c r="P32" s="88">
        <f>IF(P19=0,0,P19/TrRail_act!P23*100)</f>
        <v>173.11858435855513</v>
      </c>
      <c r="Q32" s="88">
        <f>IF(Q19=0,0,Q19/TrRail_act!Q23*100)</f>
        <v>170.48996616097548</v>
      </c>
      <c r="R32" s="88">
        <f>IF(R19=0,0,R19/TrRail_act!R23*100)</f>
        <v>168.54472853614564</v>
      </c>
      <c r="S32" s="88">
        <f>IF(S19=0,0,S19/TrRail_act!S23*100)</f>
        <v>167.26747977382138</v>
      </c>
      <c r="T32" s="88">
        <f>IF(T19=0,0,T19/TrRail_act!T23*100)</f>
        <v>166.48221504356451</v>
      </c>
      <c r="U32" s="88">
        <f>IF(U19=0,0,U19/TrRail_act!U23*100)</f>
        <v>166.06158243194727</v>
      </c>
      <c r="V32" s="88">
        <f>IF(V19=0,0,V19/TrRail_act!V23*100)</f>
        <v>165.91255236656031</v>
      </c>
      <c r="W32" s="88">
        <f>IF(W19=0,0,W19/TrRail_act!W23*100)</f>
        <v>165.80086759445587</v>
      </c>
      <c r="X32" s="88">
        <f>IF(X19=0,0,X19/TrRail_act!X23*100)</f>
        <v>165.71715335573859</v>
      </c>
      <c r="Y32" s="88">
        <f>IF(Y19=0,0,Y19/TrRail_act!Y23*100)</f>
        <v>165.65439541626148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10.489767361757021</v>
      </c>
      <c r="C35" s="29">
        <f>IF(C11=0,0,C11/TrRail_act!C4*1000)</f>
        <v>10.953898750988115</v>
      </c>
      <c r="D35" s="29">
        <f>IF(D11=0,0,D11/TrRail_act!D4*1000)</f>
        <v>11.394660069997386</v>
      </c>
      <c r="E35" s="29">
        <f>IF(E11=0,0,E11/TrRail_act!E4*1000)</f>
        <v>12.141957913987483</v>
      </c>
      <c r="F35" s="29">
        <f>IF(F11=0,0,F11/TrRail_act!F4*1000)</f>
        <v>11.870696424620931</v>
      </c>
      <c r="G35" s="29">
        <f>IF(G11=0,0,G11/TrRail_act!G4*1000)</f>
        <v>11.622057097957331</v>
      </c>
      <c r="H35" s="29">
        <f>IF(H11=0,0,H11/TrRail_act!H4*1000)</f>
        <v>11.493029874696822</v>
      </c>
      <c r="I35" s="29">
        <f>IF(I11=0,0,I11/TrRail_act!I4*1000)</f>
        <v>11.165836152864831</v>
      </c>
      <c r="J35" s="29">
        <f>IF(J11=0,0,J11/TrRail_act!J4*1000)</f>
        <v>10.777568794292097</v>
      </c>
      <c r="K35" s="29">
        <f>IF(K11=0,0,K11/TrRail_act!K4*1000)</f>
        <v>11.545986250528307</v>
      </c>
      <c r="L35" s="29">
        <f>IF(L11=0,0,L11/TrRail_act!L4*1000)</f>
        <v>11.628827736504233</v>
      </c>
      <c r="M35" s="29">
        <f>IF(M11=0,0,M11/TrRail_act!M4*1000)</f>
        <v>12.030661435334615</v>
      </c>
      <c r="N35" s="29">
        <f>IF(N11=0,0,N11/TrRail_act!N4*1000)</f>
        <v>11.65401443596849</v>
      </c>
      <c r="O35" s="29">
        <f>IF(O11=0,0,O11/TrRail_act!O4*1000)</f>
        <v>11.512217349668211</v>
      </c>
      <c r="P35" s="29">
        <f>IF(P11=0,0,P11/TrRail_act!P4*1000)</f>
        <v>11.46708887919217</v>
      </c>
      <c r="Q35" s="29">
        <f>IF(Q11=0,0,Q11/TrRail_act!Q4*1000)</f>
        <v>11.212325293556066</v>
      </c>
      <c r="R35" s="29">
        <f>IF(R11=0,0,R11/TrRail_act!R4*1000)</f>
        <v>11.083268159843778</v>
      </c>
      <c r="S35" s="29">
        <f>IF(S11=0,0,S11/TrRail_act!S4*1000)</f>
        <v>10.545657648061534</v>
      </c>
      <c r="T35" s="29">
        <f>IF(T11=0,0,T11/TrRail_act!T4*1000)</f>
        <v>10.328270599920721</v>
      </c>
      <c r="U35" s="29">
        <f>IF(U11=0,0,U11/TrRail_act!U4*1000)</f>
        <v>9.753988225059004</v>
      </c>
      <c r="V35" s="29">
        <f>IF(V11=0,0,V11/TrRail_act!V4*1000)</f>
        <v>12.901299273313571</v>
      </c>
      <c r="W35" s="29">
        <f>IF(W11=0,0,W11/TrRail_act!W4*1000)</f>
        <v>13.063674056916087</v>
      </c>
      <c r="X35" s="29">
        <f>IF(X11=0,0,X11/TrRail_act!X4*1000)</f>
        <v>9.2221159830253434</v>
      </c>
      <c r="Y35" s="29">
        <f>IF(Y11=0,0,Y11/TrRail_act!Y4*1000)</f>
        <v>8.238807883216392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5.5195841876341278</v>
      </c>
      <c r="C36" s="115">
        <f>IF(C12=0,0,C12/TrRail_act!C5*1000)</f>
        <v>5.5786729282870908</v>
      </c>
      <c r="D36" s="115">
        <f>IF(D12=0,0,D12/TrRail_act!D5*1000)</f>
        <v>5.6036013529413875</v>
      </c>
      <c r="E36" s="115">
        <f>IF(E12=0,0,E12/TrRail_act!E5*1000)</f>
        <v>5.5812511769135664</v>
      </c>
      <c r="F36" s="115">
        <f>IF(F12=0,0,F12/TrRail_act!F5*1000)</f>
        <v>5.5326214531394333</v>
      </c>
      <c r="G36" s="115">
        <f>IF(G12=0,0,G12/TrRail_act!G5*1000)</f>
        <v>5.4391558086348528</v>
      </c>
      <c r="H36" s="115">
        <f>IF(H12=0,0,H12/TrRail_act!H5*1000)</f>
        <v>5.415643624297636</v>
      </c>
      <c r="I36" s="115">
        <f>IF(I12=0,0,I12/TrRail_act!I5*1000)</f>
        <v>5.3674313273014294</v>
      </c>
      <c r="J36" s="115">
        <f>IF(J12=0,0,J12/TrRail_act!J5*1000)</f>
        <v>5.2495809352628502</v>
      </c>
      <c r="K36" s="115">
        <f>IF(K12=0,0,K12/TrRail_act!K5*1000)</f>
        <v>5.2770998046508266</v>
      </c>
      <c r="L36" s="115">
        <f>IF(L12=0,0,L12/TrRail_act!L5*1000)</f>
        <v>5.218426776613085</v>
      </c>
      <c r="M36" s="115">
        <f>IF(M12=0,0,M12/TrRail_act!M5*1000)</f>
        <v>5.2447559796530223</v>
      </c>
      <c r="N36" s="115">
        <f>IF(N12=0,0,N12/TrRail_act!N5*1000)</f>
        <v>5.1880850344892417</v>
      </c>
      <c r="O36" s="115">
        <f>IF(O12=0,0,O12/TrRail_act!O5*1000)</f>
        <v>5.1563099846797922</v>
      </c>
      <c r="P36" s="115">
        <f>IF(P12=0,0,P12/TrRail_act!P5*1000)</f>
        <v>5.1469214403160537</v>
      </c>
      <c r="Q36" s="115">
        <f>IF(Q12=0,0,Q12/TrRail_act!Q5*1000)</f>
        <v>4.9607697227879513</v>
      </c>
      <c r="R36" s="115">
        <f>IF(R12=0,0,R12/TrRail_act!R5*1000)</f>
        <v>4.8670767892773048</v>
      </c>
      <c r="S36" s="115">
        <f>IF(S12=0,0,S12/TrRail_act!S5*1000)</f>
        <v>4.6985190752258026</v>
      </c>
      <c r="T36" s="115">
        <f>IF(T12=0,0,T12/TrRail_act!T5*1000)</f>
        <v>4.620783404909659</v>
      </c>
      <c r="U36" s="115">
        <f>IF(U12=0,0,U12/TrRail_act!U5*1000)</f>
        <v>4.5487743788062378</v>
      </c>
      <c r="V36" s="115">
        <f>IF(V12=0,0,V12/TrRail_act!V5*1000)</f>
        <v>5.1884690070852031</v>
      </c>
      <c r="W36" s="115">
        <f>IF(W12=0,0,W12/TrRail_act!W5*1000)</f>
        <v>5.7326054156417889</v>
      </c>
      <c r="X36" s="115">
        <f>IF(X12=0,0,X12/TrRail_act!X5*1000)</f>
        <v>4.5725529143039161</v>
      </c>
      <c r="Y36" s="115">
        <f>IF(Y12=0,0,Y12/TrRail_act!Y5*1000)</f>
        <v>4.2931006863752366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11.133926540833045</v>
      </c>
      <c r="C37" s="116">
        <f>IF(C13=0,0,C13/TrRail_act!C6*1000)</f>
        <v>11.724058081132462</v>
      </c>
      <c r="D37" s="116">
        <f>IF(D13=0,0,D13/TrRail_act!D6*1000)</f>
        <v>12.197056622303112</v>
      </c>
      <c r="E37" s="116">
        <f>IF(E13=0,0,E13/TrRail_act!E6*1000)</f>
        <v>13.088664833812693</v>
      </c>
      <c r="F37" s="116">
        <f>IF(F13=0,0,F13/TrRail_act!F6*1000)</f>
        <v>12.802673659139208</v>
      </c>
      <c r="G37" s="116">
        <f>IF(G13=0,0,G13/TrRail_act!G6*1000)</f>
        <v>12.437599946116453</v>
      </c>
      <c r="H37" s="116">
        <f>IF(H13=0,0,H13/TrRail_act!H6*1000)</f>
        <v>12.25224690304527</v>
      </c>
      <c r="I37" s="116">
        <f>IF(I13=0,0,I13/TrRail_act!I6*1000)</f>
        <v>11.739320231155999</v>
      </c>
      <c r="J37" s="116">
        <f>IF(J13=0,0,J13/TrRail_act!J6*1000)</f>
        <v>11.173538596254048</v>
      </c>
      <c r="K37" s="116">
        <f>IF(K13=0,0,K13/TrRail_act!K6*1000)</f>
        <v>12.246081235460938</v>
      </c>
      <c r="L37" s="116">
        <f>IF(L13=0,0,L13/TrRail_act!L6*1000)</f>
        <v>12.395319377021279</v>
      </c>
      <c r="M37" s="116">
        <f>IF(M13=0,0,M13/TrRail_act!M6*1000)</f>
        <v>12.962714924877075</v>
      </c>
      <c r="N37" s="116">
        <f>IF(N13=0,0,N13/TrRail_act!N6*1000)</f>
        <v>12.522076262704584</v>
      </c>
      <c r="O37" s="116">
        <f>IF(O13=0,0,O13/TrRail_act!O6*1000)</f>
        <v>12.348535915277758</v>
      </c>
      <c r="P37" s="116">
        <f>IF(P13=0,0,P13/TrRail_act!P6*1000)</f>
        <v>12.32562991818083</v>
      </c>
      <c r="Q37" s="116">
        <f>IF(Q13=0,0,Q13/TrRail_act!Q6*1000)</f>
        <v>12.003570231568837</v>
      </c>
      <c r="R37" s="116">
        <f>IF(R13=0,0,R13/TrRail_act!R6*1000)</f>
        <v>11.924619068466235</v>
      </c>
      <c r="S37" s="116">
        <f>IF(S13=0,0,S13/TrRail_act!S6*1000)</f>
        <v>11.21447216457039</v>
      </c>
      <c r="T37" s="116">
        <f>IF(T13=0,0,T13/TrRail_act!T6*1000)</f>
        <v>11.027617737518414</v>
      </c>
      <c r="U37" s="116">
        <f>IF(U13=0,0,U13/TrRail_act!U6*1000)</f>
        <v>10.206005669871038</v>
      </c>
      <c r="V37" s="116">
        <f>IF(V13=0,0,V13/TrRail_act!V6*1000)</f>
        <v>13.494239484625744</v>
      </c>
      <c r="W37" s="116">
        <f>IF(W13=0,0,W13/TrRail_act!W6*1000)</f>
        <v>13.13688828370864</v>
      </c>
      <c r="X37" s="116">
        <f>IF(X13=0,0,X13/TrRail_act!X6*1000)</f>
        <v>8.972475190701811</v>
      </c>
      <c r="Y37" s="116">
        <f>IF(Y13=0,0,Y13/TrRail_act!Y6*1000)</f>
        <v>8.145149567027703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26.566359011589441</v>
      </c>
      <c r="C38" s="87">
        <f>IF(C14=0,0,C14/TrRail_act!C7*1000)</f>
        <v>26.213232077685021</v>
      </c>
      <c r="D38" s="87">
        <f>IF(D14=0,0,D14/TrRail_act!D7*1000)</f>
        <v>26.183887399813901</v>
      </c>
      <c r="E38" s="87">
        <f>IF(E14=0,0,E14/TrRail_act!E7*1000)</f>
        <v>25.536299227553322</v>
      </c>
      <c r="F38" s="87">
        <f>IF(F14=0,0,F14/TrRail_act!F7*1000)</f>
        <v>25.086633860155626</v>
      </c>
      <c r="G38" s="87">
        <f>IF(G14=0,0,G14/TrRail_act!G7*1000)</f>
        <v>23.67739176439423</v>
      </c>
      <c r="H38" s="87">
        <f>IF(H14=0,0,H14/TrRail_act!H7*1000)</f>
        <v>23.663210739383178</v>
      </c>
      <c r="I38" s="87">
        <f>IF(I14=0,0,I14/TrRail_act!I7*1000)</f>
        <v>22.452408280060567</v>
      </c>
      <c r="J38" s="87">
        <f>IF(J14=0,0,J14/TrRail_act!J7*1000)</f>
        <v>23.105421069799554</v>
      </c>
      <c r="K38" s="87">
        <f>IF(K14=0,0,K14/TrRail_act!K7*1000)</f>
        <v>25.620537356009251</v>
      </c>
      <c r="L38" s="87">
        <f>IF(L14=0,0,L14/TrRail_act!L7*1000)</f>
        <v>22.322107824328544</v>
      </c>
      <c r="M38" s="87">
        <f>IF(M14=0,0,M14/TrRail_act!M7*1000)</f>
        <v>22.486764883292498</v>
      </c>
      <c r="N38" s="87">
        <f>IF(N14=0,0,N14/TrRail_act!N7*1000)</f>
        <v>22.473139097730805</v>
      </c>
      <c r="O38" s="87">
        <f>IF(O14=0,0,O14/TrRail_act!O7*1000)</f>
        <v>24.793265515191379</v>
      </c>
      <c r="P38" s="87">
        <f>IF(P14=0,0,P14/TrRail_act!P7*1000)</f>
        <v>20.39989520312383</v>
      </c>
      <c r="Q38" s="87">
        <f>IF(Q14=0,0,Q14/TrRail_act!Q7*1000)</f>
        <v>20.034231126450006</v>
      </c>
      <c r="R38" s="87">
        <f>IF(R14=0,0,R14/TrRail_act!R7*1000)</f>
        <v>20.249266432834471</v>
      </c>
      <c r="S38" s="87">
        <f>IF(S14=0,0,S14/TrRail_act!S7*1000)</f>
        <v>20.085575873818669</v>
      </c>
      <c r="T38" s="87">
        <f>IF(T14=0,0,T14/TrRail_act!T7*1000)</f>
        <v>21.302387699383566</v>
      </c>
      <c r="U38" s="87">
        <f>IF(U14=0,0,U14/TrRail_act!U7*1000)</f>
        <v>20.898781427541284</v>
      </c>
      <c r="V38" s="87">
        <f>IF(V14=0,0,V14/TrRail_act!V7*1000)</f>
        <v>32.504422402435409</v>
      </c>
      <c r="W38" s="87">
        <f>IF(W14=0,0,W14/TrRail_act!W7*1000)</f>
        <v>27.361473360702391</v>
      </c>
      <c r="X38" s="87">
        <f>IF(X14=0,0,X14/TrRail_act!X7*1000)</f>
        <v>23.295049061843109</v>
      </c>
      <c r="Y38" s="87">
        <f>IF(Y14=0,0,Y14/TrRail_act!Y7*1000)</f>
        <v>21.652585976743396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7.6004592103226054</v>
      </c>
      <c r="C39" s="87">
        <f>IF(C15=0,0,C15/TrRail_act!C8*1000)</f>
        <v>8.7502233009112196</v>
      </c>
      <c r="D39" s="87">
        <f>IF(D15=0,0,D15/TrRail_act!D8*1000)</f>
        <v>9.2541236378053817</v>
      </c>
      <c r="E39" s="87">
        <f>IF(E15=0,0,E15/TrRail_act!E8*1000)</f>
        <v>10.235494043082767</v>
      </c>
      <c r="F39" s="87">
        <f>IF(F15=0,0,F15/TrRail_act!F8*1000)</f>
        <v>10.100609505560204</v>
      </c>
      <c r="G39" s="87">
        <f>IF(G15=0,0,G15/TrRail_act!G8*1000)</f>
        <v>10.189105315463211</v>
      </c>
      <c r="H39" s="87">
        <f>IF(H15=0,0,H15/TrRail_act!H8*1000)</f>
        <v>9.8387604885732163</v>
      </c>
      <c r="I39" s="87">
        <f>IF(I15=0,0,I15/TrRail_act!I8*1000)</f>
        <v>9.917077793018457</v>
      </c>
      <c r="J39" s="87">
        <f>IF(J15=0,0,J15/TrRail_act!J8*1000)</f>
        <v>9.3063622175038532</v>
      </c>
      <c r="K39" s="87">
        <f>IF(K15=0,0,K15/TrRail_act!K8*1000)</f>
        <v>10.651853299983015</v>
      </c>
      <c r="L39" s="87">
        <f>IF(L15=0,0,L15/TrRail_act!L8*1000)</f>
        <v>10.850175931559136</v>
      </c>
      <c r="M39" s="87">
        <f>IF(M15=0,0,M15/TrRail_act!M8*1000)</f>
        <v>11.228888275062122</v>
      </c>
      <c r="N39" s="87">
        <f>IF(N15=0,0,N15/TrRail_act!N8*1000)</f>
        <v>11.047161930413118</v>
      </c>
      <c r="O39" s="87">
        <f>IF(O15=0,0,O15/TrRail_act!O8*1000)</f>
        <v>10.984575270964228</v>
      </c>
      <c r="P39" s="87">
        <f>IF(P15=0,0,P15/TrRail_act!P8*1000)</f>
        <v>11.004963701308633</v>
      </c>
      <c r="Q39" s="87">
        <f>IF(Q15=0,0,Q15/TrRail_act!Q8*1000)</f>
        <v>10.771989244052008</v>
      </c>
      <c r="R39" s="87">
        <f>IF(R15=0,0,R15/TrRail_act!R8*1000)</f>
        <v>10.755497002681276</v>
      </c>
      <c r="S39" s="87">
        <f>IF(S15=0,0,S15/TrRail_act!S8*1000)</f>
        <v>9.9919110235502391</v>
      </c>
      <c r="T39" s="87">
        <f>IF(T15=0,0,T15/TrRail_act!T8*1000)</f>
        <v>10.095181928574393</v>
      </c>
      <c r="U39" s="87">
        <f>IF(U15=0,0,U15/TrRail_act!U8*1000)</f>
        <v>9.5913072302015401</v>
      </c>
      <c r="V39" s="87">
        <f>IF(V15=0,0,V15/TrRail_act!V8*1000)</f>
        <v>12.447441121538947</v>
      </c>
      <c r="W39" s="87">
        <f>IF(W15=0,0,W15/TrRail_act!W8*1000)</f>
        <v>12.298907293571336</v>
      </c>
      <c r="X39" s="87">
        <f>IF(X15=0,0,X15/TrRail_act!X8*1000)</f>
        <v>8.2397591646476194</v>
      </c>
      <c r="Y39" s="87">
        <f>IF(Y15=0,0,Y15/TrRail_act!Y8*1000)</f>
        <v>7.4543603728534018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15.032786157526274</v>
      </c>
      <c r="C40" s="117">
        <f>IF(C16=0,0,C16/TrRail_act!C9*1000)</f>
        <v>14.801991891152277</v>
      </c>
      <c r="D40" s="117">
        <f>IF(D16=0,0,D16/TrRail_act!D9*1000)</f>
        <v>14.674990885459282</v>
      </c>
      <c r="E40" s="117">
        <f>IF(E16=0,0,E16/TrRail_act!E9*1000)</f>
        <v>14.421411985798516</v>
      </c>
      <c r="F40" s="117">
        <f>IF(F16=0,0,F16/TrRail_act!F9*1000)</f>
        <v>13.980608967655003</v>
      </c>
      <c r="G40" s="117">
        <f>IF(G16=0,0,G16/TrRail_act!G9*1000)</f>
        <v>13.77441040362833</v>
      </c>
      <c r="H40" s="117">
        <f>IF(H16=0,0,H16/TrRail_act!H9*1000)</f>
        <v>13.394596592368648</v>
      </c>
      <c r="I40" s="117">
        <f>IF(I16=0,0,I16/TrRail_act!I9*1000)</f>
        <v>13.202333440654163</v>
      </c>
      <c r="J40" s="117">
        <f>IF(J16=0,0,J16/TrRail_act!J9*1000)</f>
        <v>13.322123650038188</v>
      </c>
      <c r="K40" s="117">
        <f>IF(K16=0,0,K16/TrRail_act!K9*1000)</f>
        <v>13.275020685142957</v>
      </c>
      <c r="L40" s="117">
        <f>IF(L16=0,0,L16/TrRail_act!L9*1000)</f>
        <v>12.952880212559414</v>
      </c>
      <c r="M40" s="117">
        <f>IF(M16=0,0,M16/TrRail_act!M9*1000)</f>
        <v>12.788539555726436</v>
      </c>
      <c r="N40" s="117">
        <f>IF(N16=0,0,N16/TrRail_act!N9*1000)</f>
        <v>12.378643203803376</v>
      </c>
      <c r="O40" s="117">
        <f>IF(O16=0,0,O16/TrRail_act!O9*1000)</f>
        <v>12.278855889126417</v>
      </c>
      <c r="P40" s="117">
        <f>IF(P16=0,0,P16/TrRail_act!P9*1000)</f>
        <v>12.203245334807953</v>
      </c>
      <c r="Q40" s="117">
        <f>IF(Q16=0,0,Q16/TrRail_act!Q9*1000)</f>
        <v>11.950232929515462</v>
      </c>
      <c r="R40" s="117">
        <f>IF(R16=0,0,R16/TrRail_act!R9*1000)</f>
        <v>11.961699734257897</v>
      </c>
      <c r="S40" s="117">
        <f>IF(S16=0,0,S16/TrRail_act!S9*1000)</f>
        <v>11.811494217395548</v>
      </c>
      <c r="T40" s="117">
        <f>IF(T16=0,0,T16/TrRail_act!T9*1000)</f>
        <v>11.7386544100968</v>
      </c>
      <c r="U40" s="117">
        <f>IF(U16=0,0,U16/TrRail_act!U9*1000)</f>
        <v>11.644412312573939</v>
      </c>
      <c r="V40" s="117">
        <f>IF(V16=0,0,V16/TrRail_act!V9*1000)</f>
        <v>21.67895978174818</v>
      </c>
      <c r="W40" s="117">
        <f>IF(W16=0,0,W16/TrRail_act!W9*1000)</f>
        <v>23.197836669212872</v>
      </c>
      <c r="X40" s="117">
        <f>IF(X16=0,0,X16/TrRail_act!X9*1000)</f>
        <v>18.679275680360856</v>
      </c>
      <c r="Y40" s="117">
        <f>IF(Y16=0,0,Y16/TrRail_act!Y9*1000)</f>
        <v>14.589148337860333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5.3031924681399323</v>
      </c>
      <c r="C41" s="29">
        <f>IF(C17=0,0,C17/TrRail_act!C10*1000)</f>
        <v>5.3051541260836723</v>
      </c>
      <c r="D41" s="29">
        <f>IF(D17=0,0,D17/TrRail_act!D10*1000)</f>
        <v>5.2173221136171577</v>
      </c>
      <c r="E41" s="29">
        <f>IF(E17=0,0,E17/TrRail_act!E10*1000)</f>
        <v>4.9941567874814226</v>
      </c>
      <c r="F41" s="29">
        <f>IF(F17=0,0,F17/TrRail_act!F10*1000)</f>
        <v>5.1586818819755171</v>
      </c>
      <c r="G41" s="29">
        <f>IF(G17=0,0,G17/TrRail_act!G10*1000)</f>
        <v>5.2643616185751725</v>
      </c>
      <c r="H41" s="29">
        <f>IF(H17=0,0,H17/TrRail_act!H10*1000)</f>
        <v>4.9965074286644828</v>
      </c>
      <c r="I41" s="29">
        <f>IF(I17=0,0,I17/TrRail_act!I10*1000)</f>
        <v>4.7940485028878088</v>
      </c>
      <c r="J41" s="29">
        <f>IF(J17=0,0,J17/TrRail_act!J10*1000)</f>
        <v>4.6849646176058615</v>
      </c>
      <c r="K41" s="29">
        <f>IF(K17=0,0,K17/TrRail_act!K10*1000)</f>
        <v>4.6578427831074931</v>
      </c>
      <c r="L41" s="29">
        <f>IF(L17=0,0,L17/TrRail_act!L10*1000)</f>
        <v>4.421174031284095</v>
      </c>
      <c r="M41" s="29">
        <f>IF(M17=0,0,M17/TrRail_act!M10*1000)</f>
        <v>4.5308099870957825</v>
      </c>
      <c r="N41" s="29">
        <f>IF(N17=0,0,N17/TrRail_act!N10*1000)</f>
        <v>4.6268150918577042</v>
      </c>
      <c r="O41" s="29">
        <f>IF(O17=0,0,O17/TrRail_act!O10*1000)</f>
        <v>4.2498773077904159</v>
      </c>
      <c r="P41" s="29">
        <f>IF(P17=0,0,P17/TrRail_act!P10*1000)</f>
        <v>4.1200712131426869</v>
      </c>
      <c r="Q41" s="29">
        <f>IF(Q17=0,0,Q17/TrRail_act!Q10*1000)</f>
        <v>3.6649176405725044</v>
      </c>
      <c r="R41" s="29">
        <f>IF(R17=0,0,R17/TrRail_act!R10*1000)</f>
        <v>3.4818257169061368</v>
      </c>
      <c r="S41" s="29">
        <f>IF(S17=0,0,S17/TrRail_act!S10*1000)</f>
        <v>3.4146540601450894</v>
      </c>
      <c r="T41" s="29">
        <f>IF(T17=0,0,T17/TrRail_act!T10*1000)</f>
        <v>3.4480075416855329</v>
      </c>
      <c r="U41" s="29">
        <f>IF(U17=0,0,U17/TrRail_act!U10*1000)</f>
        <v>3.4913920606275477</v>
      </c>
      <c r="V41" s="29">
        <f>IF(V17=0,0,V17/TrRail_act!V10*1000)</f>
        <v>3.5743752256490917</v>
      </c>
      <c r="W41" s="29">
        <f>IF(W17=0,0,W17/TrRail_act!W10*1000)</f>
        <v>3.5939546790217713</v>
      </c>
      <c r="X41" s="29">
        <f>IF(X17=0,0,X17/TrRail_act!X10*1000)</f>
        <v>3.5711342371824073</v>
      </c>
      <c r="Y41" s="29">
        <f>IF(Y17=0,0,Y17/TrRail_act!Y10*1000)</f>
        <v>3.5914677864851186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9.229063198657359</v>
      </c>
      <c r="C42" s="87">
        <f>IF(C18=0,0,C18/TrRail_act!C11*1000)</f>
        <v>9.0202086776978554</v>
      </c>
      <c r="D42" s="87">
        <f>IF(D18=0,0,D18/TrRail_act!D11*1000)</f>
        <v>8.9771083877586957</v>
      </c>
      <c r="E42" s="87">
        <f>IF(E18=0,0,E18/TrRail_act!E11*1000)</f>
        <v>8.3911980571495679</v>
      </c>
      <c r="F42" s="87">
        <f>IF(F18=0,0,F18/TrRail_act!F11*1000)</f>
        <v>8.4833810831610759</v>
      </c>
      <c r="G42" s="87">
        <f>IF(G18=0,0,G18/TrRail_act!G11*1000)</f>
        <v>8.3567668956634105</v>
      </c>
      <c r="H42" s="87">
        <f>IF(H18=0,0,H18/TrRail_act!H11*1000)</f>
        <v>7.9963320814503724</v>
      </c>
      <c r="I42" s="87">
        <f>IF(I18=0,0,I18/TrRail_act!I11*1000)</f>
        <v>8.0486661789237104</v>
      </c>
      <c r="J42" s="87">
        <f>IF(J18=0,0,J18/TrRail_act!J11*1000)</f>
        <v>7.7639753000729188</v>
      </c>
      <c r="K42" s="87">
        <f>IF(K18=0,0,K18/TrRail_act!K11*1000)</f>
        <v>7.5508100629321984</v>
      </c>
      <c r="L42" s="87">
        <f>IF(L18=0,0,L18/TrRail_act!L11*1000)</f>
        <v>7.1237425395095375</v>
      </c>
      <c r="M42" s="87">
        <f>IF(M18=0,0,M18/TrRail_act!M11*1000)</f>
        <v>7.0079159806527374</v>
      </c>
      <c r="N42" s="87">
        <f>IF(N18=0,0,N18/TrRail_act!N11*1000)</f>
        <v>6.9138535069924396</v>
      </c>
      <c r="O42" s="87">
        <f>IF(O18=0,0,O18/TrRail_act!O11*1000)</f>
        <v>6.92290676900432</v>
      </c>
      <c r="P42" s="87">
        <f>IF(P18=0,0,P18/TrRail_act!P11*1000)</f>
        <v>6.0972046396772406</v>
      </c>
      <c r="Q42" s="87">
        <f>IF(Q18=0,0,Q18/TrRail_act!Q11*1000)</f>
        <v>5.6770582387179314</v>
      </c>
      <c r="R42" s="87">
        <f>IF(R18=0,0,R18/TrRail_act!R11*1000)</f>
        <v>5.4208543139719705</v>
      </c>
      <c r="S42" s="87">
        <f>IF(S18=0,0,S18/TrRail_act!S11*1000)</f>
        <v>5.0985041527082711</v>
      </c>
      <c r="T42" s="87">
        <f>IF(T18=0,0,T18/TrRail_act!T11*1000)</f>
        <v>6.0021502697286397</v>
      </c>
      <c r="U42" s="87">
        <f>IF(U18=0,0,U18/TrRail_act!U11*1000)</f>
        <v>6.8254595610683895</v>
      </c>
      <c r="V42" s="87">
        <f>IF(V18=0,0,V18/TrRail_act!V11*1000)</f>
        <v>6.5745439181680689</v>
      </c>
      <c r="W42" s="87">
        <f>IF(W18=0,0,W18/TrRail_act!W11*1000)</f>
        <v>6.4270109164363785</v>
      </c>
      <c r="X42" s="87">
        <f>IF(X18=0,0,X18/TrRail_act!X11*1000)</f>
        <v>6.0845049846285502</v>
      </c>
      <c r="Y42" s="87">
        <f>IF(Y18=0,0,Y18/TrRail_act!Y11*1000)</f>
        <v>5.6889879011587983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3.275491426120297</v>
      </c>
      <c r="C43" s="88">
        <f>IF(C19=0,0,C19/TrRail_act!C12*1000)</f>
        <v>3.3354691616907313</v>
      </c>
      <c r="D43" s="88">
        <f>IF(D19=0,0,D19/TrRail_act!D12*1000)</f>
        <v>3.3636719519021598</v>
      </c>
      <c r="E43" s="88">
        <f>IF(E19=0,0,E19/TrRail_act!E12*1000)</f>
        <v>3.2873783179685883</v>
      </c>
      <c r="F43" s="88">
        <f>IF(F19=0,0,F19/TrRail_act!F12*1000)</f>
        <v>3.4117493721849854</v>
      </c>
      <c r="G43" s="88">
        <f>IF(G19=0,0,G19/TrRail_act!G12*1000)</f>
        <v>3.5050173303669308</v>
      </c>
      <c r="H43" s="88">
        <f>IF(H19=0,0,H19/TrRail_act!H12*1000)</f>
        <v>3.3692659978412602</v>
      </c>
      <c r="I43" s="88">
        <f>IF(I19=0,0,I19/TrRail_act!I12*1000)</f>
        <v>3.3891245963113357</v>
      </c>
      <c r="J43" s="88">
        <f>IF(J19=0,0,J19/TrRail_act!J12*1000)</f>
        <v>3.2923865743750205</v>
      </c>
      <c r="K43" s="88">
        <f>IF(K19=0,0,K19/TrRail_act!K12*1000)</f>
        <v>3.2693000387120645</v>
      </c>
      <c r="L43" s="88">
        <f>IF(L19=0,0,L19/TrRail_act!L12*1000)</f>
        <v>3.1903524349755825</v>
      </c>
      <c r="M43" s="88">
        <f>IF(M19=0,0,M19/TrRail_act!M12*1000)</f>
        <v>3.312302273796778</v>
      </c>
      <c r="N43" s="88">
        <f>IF(N19=0,0,N19/TrRail_act!N12*1000)</f>
        <v>3.3438070608876456</v>
      </c>
      <c r="O43" s="88">
        <f>IF(O19=0,0,O19/TrRail_act!O12*1000)</f>
        <v>2.9135912777454984</v>
      </c>
      <c r="P43" s="88">
        <f>IF(P19=0,0,P19/TrRail_act!P12*1000)</f>
        <v>3.1975430904095683</v>
      </c>
      <c r="Q43" s="88">
        <f>IF(Q19=0,0,Q19/TrRail_act!Q12*1000)</f>
        <v>2.9007273269544229</v>
      </c>
      <c r="R43" s="88">
        <f>IF(R19=0,0,R19/TrRail_act!R12*1000)</f>
        <v>2.7883506358175922</v>
      </c>
      <c r="S43" s="88">
        <f>IF(S19=0,0,S19/TrRail_act!S12*1000)</f>
        <v>2.8752530485697134</v>
      </c>
      <c r="T43" s="88">
        <f>IF(T19=0,0,T19/TrRail_act!T12*1000)</f>
        <v>2.5826535594729356</v>
      </c>
      <c r="U43" s="88">
        <f>IF(U19=0,0,U19/TrRail_act!U12*1000)</f>
        <v>2.3469621665361573</v>
      </c>
      <c r="V43" s="88">
        <f>IF(V19=0,0,V19/TrRail_act!V12*1000)</f>
        <v>2.6030821269349138</v>
      </c>
      <c r="W43" s="88">
        <f>IF(W19=0,0,W19/TrRail_act!W12*1000)</f>
        <v>2.4626316539853179</v>
      </c>
      <c r="X43" s="88">
        <f>IF(X19=0,0,X19/TrRail_act!X12*1000)</f>
        <v>2.620631033774194</v>
      </c>
      <c r="Y43" s="88">
        <f>IF(Y19=0,0,Y19/TrRail_act!Y12*1000)</f>
        <v>2.6900173724428007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346498.90567651577</v>
      </c>
      <c r="C45" s="54">
        <f>IF(C10=0,0,1000000*C10/TrRail_act!C25)</f>
        <v>328526.69596348453</v>
      </c>
      <c r="D45" s="54">
        <f>IF(D10=0,0,1000000*D10/TrRail_act!D25)</f>
        <v>319655.92049841536</v>
      </c>
      <c r="E45" s="54">
        <f>IF(E10=0,0,1000000*E10/TrRail_act!E25)</f>
        <v>310996.16213173658</v>
      </c>
      <c r="F45" s="54">
        <f>IF(F10=0,0,1000000*F10/TrRail_act!F25)</f>
        <v>309830.61092644272</v>
      </c>
      <c r="G45" s="54">
        <f>IF(G10=0,0,1000000*G10/TrRail_act!G25)</f>
        <v>309340.83682092413</v>
      </c>
      <c r="H45" s="54">
        <f>IF(H10=0,0,1000000*H10/TrRail_act!H25)</f>
        <v>316972.30582285678</v>
      </c>
      <c r="I45" s="54">
        <f>IF(I10=0,0,1000000*I10/TrRail_act!I25)</f>
        <v>298478.90621767403</v>
      </c>
      <c r="J45" s="54">
        <f>IF(J10=0,0,1000000*J10/TrRail_act!J25)</f>
        <v>302535.02061314601</v>
      </c>
      <c r="K45" s="54">
        <f>IF(K10=0,0,1000000*K10/TrRail_act!K25)</f>
        <v>273320.65622353239</v>
      </c>
      <c r="L45" s="54">
        <f>IF(L10=0,0,1000000*L10/TrRail_act!L25)</f>
        <v>280458.48051659157</v>
      </c>
      <c r="M45" s="54">
        <f>IF(M10=0,0,1000000*M10/TrRail_act!M25)</f>
        <v>282494.73692295043</v>
      </c>
      <c r="N45" s="54">
        <f>IF(N10=0,0,1000000*N10/TrRail_act!N25)</f>
        <v>277733.78231980151</v>
      </c>
      <c r="O45" s="54">
        <f>IF(O10=0,0,1000000*O10/TrRail_act!O25)</f>
        <v>270701.27267368889</v>
      </c>
      <c r="P45" s="54">
        <f>IF(P10=0,0,1000000*P10/TrRail_act!P25)</f>
        <v>261765.17058446782</v>
      </c>
      <c r="Q45" s="54">
        <f>IF(Q10=0,0,1000000*Q10/TrRail_act!Q25)</f>
        <v>235540.5623305492</v>
      </c>
      <c r="R45" s="54">
        <f>IF(R10=0,0,1000000*R10/TrRail_act!R25)</f>
        <v>240091.57100347138</v>
      </c>
      <c r="S45" s="54">
        <f>IF(S10=0,0,1000000*S10/TrRail_act!S25)</f>
        <v>241728.94965168595</v>
      </c>
      <c r="T45" s="54">
        <f>IF(T10=0,0,1000000*T10/TrRail_act!T25)</f>
        <v>239594.25015848302</v>
      </c>
      <c r="U45" s="54">
        <f>IF(U10=0,0,1000000*U10/TrRail_act!U25)</f>
        <v>230772.21129602983</v>
      </c>
      <c r="V45" s="54">
        <f>IF(V10=0,0,1000000*V10/TrRail_act!V25)</f>
        <v>212474.91835056679</v>
      </c>
      <c r="W45" s="54">
        <f>IF(W10=0,0,1000000*W10/TrRail_act!W25)</f>
        <v>229186.84943037078</v>
      </c>
      <c r="X45" s="54">
        <f>IF(X10=0,0,1000000*X10/TrRail_act!X25)</f>
        <v>228743.46353895412</v>
      </c>
      <c r="Y45" s="54">
        <f>IF(Y10=0,0,1000000*Y10/TrRail_act!Y25)</f>
        <v>222363.57851512378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215422.85469970619</v>
      </c>
      <c r="C46" s="28">
        <f>IF(C11=0,0,1000000*C11/TrRail_act!C26)</f>
        <v>204283.71352710389</v>
      </c>
      <c r="D46" s="28">
        <f>IF(D11=0,0,1000000*D11/TrRail_act!D26)</f>
        <v>205638.81884030136</v>
      </c>
      <c r="E46" s="28">
        <f>IF(E11=0,0,1000000*E11/TrRail_act!E26)</f>
        <v>205460.11195114267</v>
      </c>
      <c r="F46" s="28">
        <f>IF(F11=0,0,1000000*F11/TrRail_act!F26)</f>
        <v>200677.64913903701</v>
      </c>
      <c r="G46" s="28">
        <f>IF(G11=0,0,1000000*G11/TrRail_act!G26)</f>
        <v>202503.1192468481</v>
      </c>
      <c r="H46" s="28">
        <f>IF(H11=0,0,1000000*H11/TrRail_act!H26)</f>
        <v>206524.43502204682</v>
      </c>
      <c r="I46" s="28">
        <f>IF(I11=0,0,1000000*I11/TrRail_act!I26)</f>
        <v>205252.65556104397</v>
      </c>
      <c r="J46" s="28">
        <f>IF(J11=0,0,1000000*J11/TrRail_act!J26)</f>
        <v>208075.32917038276</v>
      </c>
      <c r="K46" s="28">
        <f>IF(K11=0,0,1000000*K11/TrRail_act!K26)</f>
        <v>201221.95782657186</v>
      </c>
      <c r="L46" s="28">
        <f>IF(L11=0,0,1000000*L11/TrRail_act!L26)</f>
        <v>202704.29426978179</v>
      </c>
      <c r="M46" s="28">
        <f>IF(M11=0,0,1000000*M11/TrRail_act!M26)</f>
        <v>205991.46182207711</v>
      </c>
      <c r="N46" s="28">
        <f>IF(N11=0,0,1000000*N11/TrRail_act!N26)</f>
        <v>200491.41988543584</v>
      </c>
      <c r="O46" s="28">
        <f>IF(O11=0,0,1000000*O11/TrRail_act!O26)</f>
        <v>197505.71583961474</v>
      </c>
      <c r="P46" s="28">
        <f>IF(P11=0,0,1000000*P11/TrRail_act!P26)</f>
        <v>192634.1761319433</v>
      </c>
      <c r="Q46" s="28">
        <f>IF(Q11=0,0,1000000*Q11/TrRail_act!Q26)</f>
        <v>186491.17504413697</v>
      </c>
      <c r="R46" s="28">
        <f>IF(R11=0,0,1000000*R11/TrRail_act!R26)</f>
        <v>182904.43659579215</v>
      </c>
      <c r="S46" s="28">
        <f>IF(S11=0,0,1000000*S11/TrRail_act!S26)</f>
        <v>185649.05186498817</v>
      </c>
      <c r="T46" s="28">
        <f>IF(T11=0,0,1000000*T11/TrRail_act!T26)</f>
        <v>179048.25576391054</v>
      </c>
      <c r="U46" s="28">
        <f>IF(U11=0,0,1000000*U11/TrRail_act!U26)</f>
        <v>175378.9447024657</v>
      </c>
      <c r="V46" s="28">
        <f>IF(V11=0,0,1000000*V11/TrRail_act!V26)</f>
        <v>147419.88564556875</v>
      </c>
      <c r="W46" s="28">
        <f>IF(W11=0,0,1000000*W11/TrRail_act!W26)</f>
        <v>157918.48105518179</v>
      </c>
      <c r="X46" s="28">
        <f>IF(X11=0,0,1000000*X11/TrRail_act!X26)</f>
        <v>173943.73216481079</v>
      </c>
      <c r="Y46" s="28">
        <f>IF(Y11=0,0,1000000*Y11/TrRail_act!Y26)</f>
        <v>172214.71706017517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47815.253484506648</v>
      </c>
      <c r="C47" s="108">
        <f>IF(C12=0,0,1000000*C12/TrRail_act!C27)</f>
        <v>47427.357666097967</v>
      </c>
      <c r="D47" s="108">
        <f>IF(D12=0,0,1000000*D12/TrRail_act!D27)</f>
        <v>47042.306325786987</v>
      </c>
      <c r="E47" s="108">
        <f>IF(E12=0,0,1000000*E12/TrRail_act!E27)</f>
        <v>46619.060727235767</v>
      </c>
      <c r="F47" s="108">
        <f>IF(F12=0,0,1000000*F12/TrRail_act!F27)</f>
        <v>46228.024816998935</v>
      </c>
      <c r="G47" s="108">
        <f>IF(G12=0,0,1000000*G12/TrRail_act!G27)</f>
        <v>45852.553067544672</v>
      </c>
      <c r="H47" s="108">
        <f>IF(H12=0,0,1000000*H12/TrRail_act!H27)</f>
        <v>45453.383266410987</v>
      </c>
      <c r="I47" s="108">
        <f>IF(I12=0,0,1000000*I12/TrRail_act!I27)</f>
        <v>45088.887846676749</v>
      </c>
      <c r="J47" s="108">
        <f>IF(J12=0,0,1000000*J12/TrRail_act!J27)</f>
        <v>44723.923071655496</v>
      </c>
      <c r="K47" s="108">
        <f>IF(K12=0,0,1000000*K12/TrRail_act!K27)</f>
        <v>44449.033582568867</v>
      </c>
      <c r="L47" s="108">
        <f>IF(L12=0,0,1000000*L12/TrRail_act!L27)</f>
        <v>44210.951182395002</v>
      </c>
      <c r="M47" s="108">
        <f>IF(M12=0,0,1000000*M12/TrRail_act!M27)</f>
        <v>44050.76828488239</v>
      </c>
      <c r="N47" s="108">
        <f>IF(N12=0,0,1000000*N12/TrRail_act!N27)</f>
        <v>43844.087419478747</v>
      </c>
      <c r="O47" s="108">
        <f>IF(O12=0,0,1000000*O12/TrRail_act!O27)</f>
        <v>43618.636516841929</v>
      </c>
      <c r="P47" s="108">
        <f>IF(P12=0,0,1000000*P12/TrRail_act!P27)</f>
        <v>43177.063757679854</v>
      </c>
      <c r="Q47" s="108">
        <f>IF(Q12=0,0,1000000*Q12/TrRail_act!Q27)</f>
        <v>42183.006256948524</v>
      </c>
      <c r="R47" s="108">
        <f>IF(R12=0,0,1000000*R12/TrRail_act!R27)</f>
        <v>41452.510583574287</v>
      </c>
      <c r="S47" s="108">
        <f>IF(S12=0,0,1000000*S12/TrRail_act!S27)</f>
        <v>40912.952764837239</v>
      </c>
      <c r="T47" s="108">
        <f>IF(T12=0,0,1000000*T12/TrRail_act!T27)</f>
        <v>40512.898782139659</v>
      </c>
      <c r="U47" s="108">
        <f>IF(U12=0,0,1000000*U12/TrRail_act!U27)</f>
        <v>40215.427076548083</v>
      </c>
      <c r="V47" s="108">
        <f>IF(V12=0,0,1000000*V12/TrRail_act!V27)</f>
        <v>39993.757828879723</v>
      </c>
      <c r="W47" s="108">
        <f>IF(W12=0,0,1000000*W12/TrRail_act!W27)</f>
        <v>39828.307626050337</v>
      </c>
      <c r="X47" s="108">
        <f>IF(X12=0,0,1000000*X12/TrRail_act!X27)</f>
        <v>39153.482689178069</v>
      </c>
      <c r="Y47" s="108">
        <f>IF(Y12=0,0,1000000*Y12/TrRail_act!Y27)</f>
        <v>39612.19282682737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281996.3496191937</v>
      </c>
      <c r="C48" s="110">
        <f>IF(C13=0,0,1000000*C13/TrRail_act!C28)</f>
        <v>264548.78648386366</v>
      </c>
      <c r="D48" s="110">
        <f>IF(D13=0,0,1000000*D13/TrRail_act!D28)</f>
        <v>260510.12473545311</v>
      </c>
      <c r="E48" s="110">
        <f>IF(E13=0,0,1000000*E13/TrRail_act!E28)</f>
        <v>252183.4186457686</v>
      </c>
      <c r="F48" s="110">
        <f>IF(F13=0,0,1000000*F13/TrRail_act!F28)</f>
        <v>249041.11553762926</v>
      </c>
      <c r="G48" s="110">
        <f>IF(G13=0,0,1000000*G13/TrRail_act!G28)</f>
        <v>241188.20432216351</v>
      </c>
      <c r="H48" s="110">
        <f>IF(H13=0,0,1000000*H13/TrRail_act!H28)</f>
        <v>240587.24309066817</v>
      </c>
      <c r="I48" s="110">
        <f>IF(I13=0,0,1000000*I13/TrRail_act!I28)</f>
        <v>228158.53196949055</v>
      </c>
      <c r="J48" s="110">
        <f>IF(J13=0,0,1000000*J13/TrRail_act!J28)</f>
        <v>229484.6561919683</v>
      </c>
      <c r="K48" s="110">
        <f>IF(K13=0,0,1000000*K13/TrRail_act!K28)</f>
        <v>220301.96086254087</v>
      </c>
      <c r="L48" s="110">
        <f>IF(L13=0,0,1000000*L13/TrRail_act!L28)</f>
        <v>219605.36603876893</v>
      </c>
      <c r="M48" s="110">
        <f>IF(M13=0,0,1000000*M13/TrRail_act!M28)</f>
        <v>220476.63336179336</v>
      </c>
      <c r="N48" s="110">
        <f>IF(N13=0,0,1000000*N13/TrRail_act!N28)</f>
        <v>214696.70503463477</v>
      </c>
      <c r="O48" s="110">
        <f>IF(O13=0,0,1000000*O13/TrRail_act!O28)</f>
        <v>208231.12978641028</v>
      </c>
      <c r="P48" s="110">
        <f>IF(P13=0,0,1000000*P13/TrRail_act!P28)</f>
        <v>208274.05013310371</v>
      </c>
      <c r="Q48" s="110">
        <f>IF(Q13=0,0,1000000*Q13/TrRail_act!Q28)</f>
        <v>203902.29770546863</v>
      </c>
      <c r="R48" s="110">
        <f>IF(R13=0,0,1000000*R13/TrRail_act!R28)</f>
        <v>198631.57838372124</v>
      </c>
      <c r="S48" s="110">
        <f>IF(S13=0,0,1000000*S13/TrRail_act!S28)</f>
        <v>200148.95180020292</v>
      </c>
      <c r="T48" s="110">
        <f>IF(T13=0,0,1000000*T13/TrRail_act!T28)</f>
        <v>191792.73202281952</v>
      </c>
      <c r="U48" s="110">
        <f>IF(U13=0,0,1000000*U13/TrRail_act!U28)</f>
        <v>185183.96936166863</v>
      </c>
      <c r="V48" s="110">
        <f>IF(V13=0,0,1000000*V13/TrRail_act!V28)</f>
        <v>157806.94064497549</v>
      </c>
      <c r="W48" s="110">
        <f>IF(W13=0,0,1000000*W13/TrRail_act!W28)</f>
        <v>168192.27053367096</v>
      </c>
      <c r="X48" s="110">
        <f>IF(X13=0,0,1000000*X13/TrRail_act!X28)</f>
        <v>190573.20722119662</v>
      </c>
      <c r="Y48" s="110">
        <f>IF(Y13=0,0,1000000*Y13/TrRail_act!Y28)</f>
        <v>190683.76970933241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459519.64993135247</v>
      </c>
      <c r="C49" s="84">
        <f>IF(C14=0,0,1000000*C14/TrRail_act!C29)</f>
        <v>439233.43307263235</v>
      </c>
      <c r="D49" s="84">
        <f>IF(D14=0,0,1000000*D14/TrRail_act!D29)</f>
        <v>426292.59446964401</v>
      </c>
      <c r="E49" s="84">
        <f>IF(E14=0,0,1000000*E14/TrRail_act!E29)</f>
        <v>402699.35305846354</v>
      </c>
      <c r="F49" s="84">
        <f>IF(F14=0,0,1000000*F14/TrRail_act!F29)</f>
        <v>396074.90924282209</v>
      </c>
      <c r="G49" s="84">
        <f>IF(G14=0,0,1000000*G14/TrRail_act!G29)</f>
        <v>379271.81890225178</v>
      </c>
      <c r="H49" s="84">
        <f>IF(H14=0,0,1000000*H14/TrRail_act!H29)</f>
        <v>375342.32599050179</v>
      </c>
      <c r="I49" s="84">
        <f>IF(I14=0,0,1000000*I14/TrRail_act!I29)</f>
        <v>341289.07545994938</v>
      </c>
      <c r="J49" s="84">
        <f>IF(J14=0,0,1000000*J14/TrRail_act!J29)</f>
        <v>360603.28156532836</v>
      </c>
      <c r="K49" s="84">
        <f>IF(K14=0,0,1000000*K14/TrRail_act!K29)</f>
        <v>341463.62436394312</v>
      </c>
      <c r="L49" s="84">
        <f>IF(L14=0,0,1000000*L14/TrRail_act!L29)</f>
        <v>343148.42711921275</v>
      </c>
      <c r="M49" s="84">
        <f>IF(M14=0,0,1000000*M14/TrRail_act!M29)</f>
        <v>339395.10261432378</v>
      </c>
      <c r="N49" s="84">
        <f>IF(N14=0,0,1000000*N14/TrRail_act!N29)</f>
        <v>335277.80253648799</v>
      </c>
      <c r="O49" s="84">
        <f>IF(O14=0,0,1000000*O14/TrRail_act!O29)</f>
        <v>320370.3537919416</v>
      </c>
      <c r="P49" s="84">
        <f>IF(P14=0,0,1000000*P14/TrRail_act!P29)</f>
        <v>324032.9133996297</v>
      </c>
      <c r="Q49" s="84">
        <f>IF(Q14=0,0,1000000*Q14/TrRail_act!Q29)</f>
        <v>317035.37697540788</v>
      </c>
      <c r="R49" s="84">
        <f>IF(R14=0,0,1000000*R14/TrRail_act!R29)</f>
        <v>310044.83205559786</v>
      </c>
      <c r="S49" s="84">
        <f>IF(S14=0,0,1000000*S14/TrRail_act!S29)</f>
        <v>309620.30057190033</v>
      </c>
      <c r="T49" s="84">
        <f>IF(T14=0,0,1000000*T14/TrRail_act!T29)</f>
        <v>269012.82830779377</v>
      </c>
      <c r="U49" s="84">
        <f>IF(U14=0,0,1000000*U14/TrRail_act!U29)</f>
        <v>221829.69045511296</v>
      </c>
      <c r="V49" s="84">
        <f>IF(V14=0,0,1000000*V14/TrRail_act!V29)</f>
        <v>242441.70112662524</v>
      </c>
      <c r="W49" s="84">
        <f>IF(W14=0,0,1000000*W14/TrRail_act!W29)</f>
        <v>281339.91067404527</v>
      </c>
      <c r="X49" s="84">
        <f>IF(X14=0,0,1000000*X14/TrRail_act!X29)</f>
        <v>304496.64148558682</v>
      </c>
      <c r="Y49" s="84">
        <f>IF(Y14=0,0,1000000*Y14/TrRail_act!Y29)</f>
        <v>304101.68151381687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215399.36164792406</v>
      </c>
      <c r="C50" s="84">
        <f>IF(C15=0,0,1000000*C15/TrRail_act!C30)</f>
        <v>212569.05491210194</v>
      </c>
      <c r="D50" s="84">
        <f>IF(D15=0,0,1000000*D15/TrRail_act!D30)</f>
        <v>211535.23987728334</v>
      </c>
      <c r="E50" s="84">
        <f>IF(E15=0,0,1000000*E15/TrRail_act!E30)</f>
        <v>207773.34671934307</v>
      </c>
      <c r="F50" s="84">
        <f>IF(F15=0,0,1000000*F15/TrRail_act!F30)</f>
        <v>207049.21870350972</v>
      </c>
      <c r="G50" s="84">
        <f>IF(G15=0,0,1000000*G15/TrRail_act!G30)</f>
        <v>206276.38505236219</v>
      </c>
      <c r="H50" s="84">
        <f>IF(H15=0,0,1000000*H15/TrRail_act!H30)</f>
        <v>203433.98289252905</v>
      </c>
      <c r="I50" s="84">
        <f>IF(I15=0,0,1000000*I15/TrRail_act!I30)</f>
        <v>202330.59390675812</v>
      </c>
      <c r="J50" s="84">
        <f>IF(J15=0,0,1000000*J15/TrRail_act!J30)</f>
        <v>201078.60360919192</v>
      </c>
      <c r="K50" s="84">
        <f>IF(K15=0,0,1000000*K15/TrRail_act!K30)</f>
        <v>199959.64127443952</v>
      </c>
      <c r="L50" s="84">
        <f>IF(L15=0,0,1000000*L15/TrRail_act!L30)</f>
        <v>196904.12413486026</v>
      </c>
      <c r="M50" s="84">
        <f>IF(M15=0,0,1000000*M15/TrRail_act!M30)</f>
        <v>195503.52718821802</v>
      </c>
      <c r="N50" s="84">
        <f>IF(N15=0,0,1000000*N15/TrRail_act!N30)</f>
        <v>193692.87812541801</v>
      </c>
      <c r="O50" s="84">
        <f>IF(O15=0,0,1000000*O15/TrRail_act!O30)</f>
        <v>191637.10747585527</v>
      </c>
      <c r="P50" s="84">
        <f>IF(P15=0,0,1000000*P15/TrRail_act!P30)</f>
        <v>187919.2951542949</v>
      </c>
      <c r="Q50" s="84">
        <f>IF(Q15=0,0,1000000*Q15/TrRail_act!Q30)</f>
        <v>185065.94367406738</v>
      </c>
      <c r="R50" s="84">
        <f>IF(R15=0,0,1000000*R15/TrRail_act!R30)</f>
        <v>181396.47014401591</v>
      </c>
      <c r="S50" s="84">
        <f>IF(S15=0,0,1000000*S15/TrRail_act!S30)</f>
        <v>182293.49843566207</v>
      </c>
      <c r="T50" s="84">
        <f>IF(T15=0,0,1000000*T15/TrRail_act!T30)</f>
        <v>181799.39023136263</v>
      </c>
      <c r="U50" s="84">
        <f>IF(U15=0,0,1000000*U15/TrRail_act!U30)</f>
        <v>181429.68844103717</v>
      </c>
      <c r="V50" s="84">
        <f>IF(V15=0,0,1000000*V15/TrRail_act!V30)</f>
        <v>150264.08577210593</v>
      </c>
      <c r="W50" s="84">
        <f>IF(W15=0,0,1000000*W15/TrRail_act!W30)</f>
        <v>159770.96314929478</v>
      </c>
      <c r="X50" s="84">
        <f>IF(X15=0,0,1000000*X15/TrRail_act!X30)</f>
        <v>180790.26830297936</v>
      </c>
      <c r="Y50" s="84">
        <f>IF(Y15=0,0,1000000*Y15/TrRail_act!Y30)</f>
        <v>180673.86044657431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1070373.0284503065</v>
      </c>
      <c r="C51" s="113">
        <f>IF(C16=0,0,1000000*C16/TrRail_act!C31)</f>
        <v>989614.36248566653</v>
      </c>
      <c r="D51" s="113">
        <f>IF(D16=0,0,1000000*D16/TrRail_act!D31)</f>
        <v>1066516.5254174166</v>
      </c>
      <c r="E51" s="113">
        <f>IF(E16=0,0,1000000*E16/TrRail_act!E31)</f>
        <v>1055169.0344647621</v>
      </c>
      <c r="F51" s="113">
        <f>IF(F16=0,0,1000000*F16/TrRail_act!F31)</f>
        <v>859932.26908717363</v>
      </c>
      <c r="G51" s="113">
        <f>IF(G16=0,0,1000000*G16/TrRail_act!G31)</f>
        <v>1048413.7470450259</v>
      </c>
      <c r="H51" s="113">
        <f>IF(H16=0,0,1000000*H16/TrRail_act!H31)</f>
        <v>1040315.2231679766</v>
      </c>
      <c r="I51" s="113">
        <f>IF(I16=0,0,1000000*I16/TrRail_act!I31)</f>
        <v>1039449.3894964956</v>
      </c>
      <c r="J51" s="113">
        <f>IF(J16=0,0,1000000*J16/TrRail_act!J31)</f>
        <v>1037797.0242502477</v>
      </c>
      <c r="K51" s="113">
        <f>IF(K16=0,0,1000000*K16/TrRail_act!K31)</f>
        <v>1016900.6947658181</v>
      </c>
      <c r="L51" s="113">
        <f>IF(L16=0,0,1000000*L16/TrRail_act!L31)</f>
        <v>1021723.2649944323</v>
      </c>
      <c r="M51" s="113">
        <f>IF(M16=0,0,1000000*M16/TrRail_act!M31)</f>
        <v>1015263.8287000802</v>
      </c>
      <c r="N51" s="113">
        <f>IF(N16=0,0,1000000*N16/TrRail_act!N31)</f>
        <v>992417.3600683579</v>
      </c>
      <c r="O51" s="113">
        <f>IF(O16=0,0,1000000*O16/TrRail_act!O31)</f>
        <v>997232.55025016377</v>
      </c>
      <c r="P51" s="113">
        <f>IF(P16=0,0,1000000*P16/TrRail_act!P31)</f>
        <v>861529.42271341779</v>
      </c>
      <c r="Q51" s="113">
        <f>IF(Q16=0,0,1000000*Q16/TrRail_act!Q31)</f>
        <v>748080.21422376938</v>
      </c>
      <c r="R51" s="113">
        <f>IF(R16=0,0,1000000*R16/TrRail_act!R31)</f>
        <v>812761.02903164749</v>
      </c>
      <c r="S51" s="113">
        <f>IF(S16=0,0,1000000*S16/TrRail_act!S31)</f>
        <v>897575.32500669791</v>
      </c>
      <c r="T51" s="113">
        <f>IF(T16=0,0,1000000*T16/TrRail_act!T31)</f>
        <v>967189.76288547041</v>
      </c>
      <c r="U51" s="113">
        <f>IF(U16=0,0,1000000*U16/TrRail_act!U31)</f>
        <v>964631.35553707054</v>
      </c>
      <c r="V51" s="113">
        <f>IF(V16=0,0,1000000*V16/TrRail_act!V31)</f>
        <v>724387.4621563066</v>
      </c>
      <c r="W51" s="113">
        <f>IF(W16=0,0,1000000*W16/TrRail_act!W31)</f>
        <v>819314.99870956002</v>
      </c>
      <c r="X51" s="113">
        <f>IF(X16=0,0,1000000*X16/TrRail_act!X31)</f>
        <v>758052.04424657137</v>
      </c>
      <c r="Y51" s="113">
        <f>IF(Y16=0,0,1000000*Y16/TrRail_act!Y31)</f>
        <v>680380.85378461296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647236.91145291412</v>
      </c>
      <c r="C52" s="28">
        <f>IF(C17=0,0,1000000*C17/TrRail_act!C32)</f>
        <v>634720.01196502475</v>
      </c>
      <c r="D52" s="28">
        <f>IF(D17=0,0,1000000*D17/TrRail_act!D32)</f>
        <v>615432.93246857915</v>
      </c>
      <c r="E52" s="28">
        <f>IF(E17=0,0,1000000*E17/TrRail_act!E32)</f>
        <v>597870.43080826174</v>
      </c>
      <c r="F52" s="28">
        <f>IF(F17=0,0,1000000*F17/TrRail_act!F32)</f>
        <v>595787.73243085109</v>
      </c>
      <c r="G52" s="28">
        <f>IF(G17=0,0,1000000*G17/TrRail_act!G32)</f>
        <v>595446.81596215907</v>
      </c>
      <c r="H52" s="28">
        <f>IF(H17=0,0,1000000*H17/TrRail_act!H32)</f>
        <v>578432.04157009337</v>
      </c>
      <c r="I52" s="28">
        <f>IF(I17=0,0,1000000*I17/TrRail_act!I32)</f>
        <v>528998.90863998199</v>
      </c>
      <c r="J52" s="28">
        <f>IF(J17=0,0,1000000*J17/TrRail_act!J32)</f>
        <v>544332.14199780882</v>
      </c>
      <c r="K52" s="28">
        <f>IF(K17=0,0,1000000*K17/TrRail_act!K32)</f>
        <v>489194.37401980982</v>
      </c>
      <c r="L52" s="28">
        <f>IF(L17=0,0,1000000*L17/TrRail_act!L32)</f>
        <v>523751.26882879029</v>
      </c>
      <c r="M52" s="28">
        <f>IF(M17=0,0,1000000*M17/TrRail_act!M32)</f>
        <v>524629.19708702015</v>
      </c>
      <c r="N52" s="28">
        <f>IF(N17=0,0,1000000*N17/TrRail_act!N32)</f>
        <v>531241.64252771728</v>
      </c>
      <c r="O52" s="28">
        <f>IF(O17=0,0,1000000*O17/TrRail_act!O32)</f>
        <v>525943.51619487884</v>
      </c>
      <c r="P52" s="28">
        <f>IF(P17=0,0,1000000*P17/TrRail_act!P32)</f>
        <v>481761.92605393077</v>
      </c>
      <c r="Q52" s="28">
        <f>IF(Q17=0,0,1000000*Q17/TrRail_act!Q32)</f>
        <v>420561.03909442929</v>
      </c>
      <c r="R52" s="28">
        <f>IF(R17=0,0,1000000*R17/TrRail_act!R32)</f>
        <v>446764.10460520309</v>
      </c>
      <c r="S52" s="28">
        <f>IF(S17=0,0,1000000*S17/TrRail_act!S32)</f>
        <v>427644.84296670824</v>
      </c>
      <c r="T52" s="28">
        <f>IF(T17=0,0,1000000*T17/TrRail_act!T32)</f>
        <v>452409.68241459999</v>
      </c>
      <c r="U52" s="28">
        <f>IF(U17=0,0,1000000*U17/TrRail_act!U32)</f>
        <v>443015.48032273666</v>
      </c>
      <c r="V52" s="28">
        <f>IF(V17=0,0,1000000*V17/TrRail_act!V32)</f>
        <v>453376.82112140459</v>
      </c>
      <c r="W52" s="28">
        <f>IF(W17=0,0,1000000*W17/TrRail_act!W32)</f>
        <v>476102.2422477653</v>
      </c>
      <c r="X52" s="28">
        <f>IF(X17=0,0,1000000*X17/TrRail_act!X32)</f>
        <v>433433.22761341609</v>
      </c>
      <c r="Y52" s="28">
        <f>IF(Y17=0,0,1000000*Y17/TrRail_act!Y32)</f>
        <v>437575.31734139717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1142507.7087002997</v>
      </c>
      <c r="C53" s="84">
        <f>IF(C18=0,0,1000000*C18/TrRail_act!C33)</f>
        <v>1119126.9403863342</v>
      </c>
      <c r="D53" s="84">
        <f>IF(D18=0,0,1000000*D18/TrRail_act!D33)</f>
        <v>1099137.3613226507</v>
      </c>
      <c r="E53" s="84">
        <f>IF(E18=0,0,1000000*E18/TrRail_act!E33)</f>
        <v>1063879.5502465656</v>
      </c>
      <c r="F53" s="84">
        <f>IF(F18=0,0,1000000*F18/TrRail_act!F33)</f>
        <v>1045188.0738718121</v>
      </c>
      <c r="G53" s="84">
        <f>IF(G18=0,0,1000000*G18/TrRail_act!G33)</f>
        <v>1022747.8258496915</v>
      </c>
      <c r="H53" s="84">
        <f>IF(H18=0,0,1000000*H18/TrRail_act!H33)</f>
        <v>1000659.8699908582</v>
      </c>
      <c r="I53" s="84">
        <f>IF(I18=0,0,1000000*I18/TrRail_act!I33)</f>
        <v>894706.88981310953</v>
      </c>
      <c r="J53" s="84">
        <f>IF(J18=0,0,1000000*J18/TrRail_act!J33)</f>
        <v>971969.4350344782</v>
      </c>
      <c r="K53" s="84">
        <f>IF(K18=0,0,1000000*K18/TrRail_act!K33)</f>
        <v>904161.98339482863</v>
      </c>
      <c r="L53" s="84">
        <f>IF(L18=0,0,1000000*L18/TrRail_act!L33)</f>
        <v>929109.69170412829</v>
      </c>
      <c r="M53" s="84">
        <f>IF(M18=0,0,1000000*M18/TrRail_act!M33)</f>
        <v>934471.13666071568</v>
      </c>
      <c r="N53" s="84">
        <f>IF(N18=0,0,1000000*N18/TrRail_act!N33)</f>
        <v>917870.56171941641</v>
      </c>
      <c r="O53" s="84">
        <f>IF(O18=0,0,1000000*O18/TrRail_act!O33)</f>
        <v>894679.33017023571</v>
      </c>
      <c r="P53" s="84">
        <f>IF(P18=0,0,1000000*P18/TrRail_act!P33)</f>
        <v>860186.91177822417</v>
      </c>
      <c r="Q53" s="84">
        <f>IF(Q18=0,0,1000000*Q18/TrRail_act!Q33)</f>
        <v>701539.67668104707</v>
      </c>
      <c r="R53" s="84">
        <f>IF(R18=0,0,1000000*R18/TrRail_act!R33)</f>
        <v>839694.10443126608</v>
      </c>
      <c r="S53" s="84">
        <f>IF(S18=0,0,1000000*S18/TrRail_act!S33)</f>
        <v>838488.06510632206</v>
      </c>
      <c r="T53" s="84">
        <f>IF(T18=0,0,1000000*T18/TrRail_act!T33)</f>
        <v>831021.18228806241</v>
      </c>
      <c r="U53" s="84">
        <f>IF(U18=0,0,1000000*U18/TrRail_act!U33)</f>
        <v>825464.71515330009</v>
      </c>
      <c r="V53" s="84">
        <f>IF(V18=0,0,1000000*V18/TrRail_act!V33)</f>
        <v>821321.73974003573</v>
      </c>
      <c r="W53" s="84">
        <f>IF(W18=0,0,1000000*W18/TrRail_act!W33)</f>
        <v>818228.20025694824</v>
      </c>
      <c r="X53" s="84">
        <f>IF(X18=0,0,1000000*X18/TrRail_act!X33)</f>
        <v>692727.33528361644</v>
      </c>
      <c r="Y53" s="84">
        <f>IF(Y18=0,0,1000000*Y18/TrRail_act!Y33)</f>
        <v>725982.9671364089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396868.58471671573</v>
      </c>
      <c r="C54" s="86">
        <f>IF(C19=0,0,1000000*C19/TrRail_act!C34)</f>
        <v>391653.80793355021</v>
      </c>
      <c r="D54" s="86">
        <f>IF(D19=0,0,1000000*D19/TrRail_act!D34)</f>
        <v>389749.02875455504</v>
      </c>
      <c r="E54" s="86">
        <f>IF(E19=0,0,1000000*E19/TrRail_act!E34)</f>
        <v>382817.82028744993</v>
      </c>
      <c r="F54" s="86">
        <f>IF(F19=0,0,1000000*F19/TrRail_act!F34)</f>
        <v>381483.63056912803</v>
      </c>
      <c r="G54" s="86">
        <f>IF(G19=0,0,1000000*G19/TrRail_act!G34)</f>
        <v>380059.69920370559</v>
      </c>
      <c r="H54" s="86">
        <f>IF(H19=0,0,1000000*H19/TrRail_act!H34)</f>
        <v>374822.63881531777</v>
      </c>
      <c r="I54" s="86">
        <f>IF(I19=0,0,1000000*I19/TrRail_act!I34)</f>
        <v>372789.66635178356</v>
      </c>
      <c r="J54" s="86">
        <f>IF(J19=0,0,1000000*J19/TrRail_act!J34)</f>
        <v>370482.89988853334</v>
      </c>
      <c r="K54" s="86">
        <f>IF(K19=0,0,1000000*K19/TrRail_act!K34)</f>
        <v>324233.6536474665</v>
      </c>
      <c r="L54" s="86">
        <f>IF(L19=0,0,1000000*L19/TrRail_act!L34)</f>
        <v>362791.51943117671</v>
      </c>
      <c r="M54" s="86">
        <f>IF(M19=0,0,1000000*M19/TrRail_act!M34)</f>
        <v>360210.94490602426</v>
      </c>
      <c r="N54" s="86">
        <f>IF(N19=0,0,1000000*N19/TrRail_act!N34)</f>
        <v>356874.86709154869</v>
      </c>
      <c r="O54" s="86">
        <f>IF(O19=0,0,1000000*O19/TrRail_act!O34)</f>
        <v>353087.15318784321</v>
      </c>
      <c r="P54" s="86">
        <f>IF(P19=0,0,1000000*P19/TrRail_act!P34)</f>
        <v>346237.16340150143</v>
      </c>
      <c r="Q54" s="86">
        <f>IF(Q19=0,0,1000000*Q19/TrRail_act!Q34)</f>
        <v>324081.54582763766</v>
      </c>
      <c r="R54" s="86">
        <f>IF(R19=0,0,1000000*R19/TrRail_act!R34)</f>
        <v>337089.45662125532</v>
      </c>
      <c r="S54" s="86">
        <f>IF(S19=0,0,1000000*S19/TrRail_act!S34)</f>
        <v>334534.95891962654</v>
      </c>
      <c r="T54" s="86">
        <f>IF(T19=0,0,1000000*T19/TrRail_act!T34)</f>
        <v>332964.42983957101</v>
      </c>
      <c r="U54" s="86">
        <f>IF(U19=0,0,1000000*U19/TrRail_act!U34)</f>
        <v>302915.65013741609</v>
      </c>
      <c r="V54" s="86">
        <f>IF(V19=0,0,1000000*V19/TrRail_act!V34)</f>
        <v>331825.09974210849</v>
      </c>
      <c r="W54" s="86">
        <f>IF(W19=0,0,1000000*W19/TrRail_act!W34)</f>
        <v>331601.73120864877</v>
      </c>
      <c r="X54" s="86">
        <f>IF(X19=0,0,1000000*X19/TrRail_act!X34)</f>
        <v>326218.33973669703</v>
      </c>
      <c r="Y54" s="86">
        <f>IF(Y19=0,0,1000000*Y19/TrRail_act!Y34)</f>
        <v>321492.71923466306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0.4329935720805354</v>
      </c>
      <c r="C57" s="31">
        <f t="shared" ref="C57:V57" si="18">IF(C11=0,0,C11/C$10)</f>
        <v>0.44233356555006559</v>
      </c>
      <c r="D57" s="31">
        <f t="shared" si="18"/>
        <v>0.46432391171311826</v>
      </c>
      <c r="E57" s="31">
        <f t="shared" si="18"/>
        <v>0.48297390600974888</v>
      </c>
      <c r="F57" s="31">
        <f t="shared" si="18"/>
        <v>0.46876749023947401</v>
      </c>
      <c r="G57" s="31">
        <f t="shared" si="18"/>
        <v>0.4766406395147379</v>
      </c>
      <c r="H57" s="31">
        <f t="shared" si="18"/>
        <v>0.45805737563642002</v>
      </c>
      <c r="I57" s="31">
        <f t="shared" si="18"/>
        <v>0.48964238525500248</v>
      </c>
      <c r="J57" s="31">
        <f t="shared" si="18"/>
        <v>0.49456681215369369</v>
      </c>
      <c r="K57" s="31">
        <f t="shared" si="18"/>
        <v>0.55188907399551679</v>
      </c>
      <c r="L57" s="31">
        <f t="shared" si="18"/>
        <v>0.54771549405929809</v>
      </c>
      <c r="M57" s="31">
        <f t="shared" si="18"/>
        <v>0.55411289103563766</v>
      </c>
      <c r="N57" s="31">
        <f t="shared" si="18"/>
        <v>0.55329706593653982</v>
      </c>
      <c r="O57" s="31">
        <f t="shared" si="18"/>
        <v>0.56700748181449023</v>
      </c>
      <c r="P57" s="31">
        <f t="shared" si="18"/>
        <v>0.55994836218150423</v>
      </c>
      <c r="Q57" s="31">
        <f t="shared" si="18"/>
        <v>0.62584512064412512</v>
      </c>
      <c r="R57" s="31">
        <f t="shared" si="18"/>
        <v>0.59670142981492313</v>
      </c>
      <c r="S57" s="31">
        <f t="shared" si="18"/>
        <v>0.59002820916888998</v>
      </c>
      <c r="T57" s="31">
        <f t="shared" si="18"/>
        <v>0.58178107291089798</v>
      </c>
      <c r="U57" s="31">
        <f t="shared" si="18"/>
        <v>0.60267401602800041</v>
      </c>
      <c r="V57" s="31">
        <f t="shared" si="18"/>
        <v>0.54629638536441705</v>
      </c>
      <c r="W57" s="31">
        <f t="shared" ref="W57:Y57" si="19">IF(W11=0,0,W11/W$10)</f>
        <v>0.53470398057112367</v>
      </c>
      <c r="X57" s="31">
        <f t="shared" si="19"/>
        <v>0.59984139797034874</v>
      </c>
      <c r="Y57" s="31">
        <f t="shared" si="19"/>
        <v>0.62811060114048456</v>
      </c>
      <c r="DA57" s="173"/>
    </row>
    <row r="58" spans="1:105" ht="11.45" customHeight="1" x14ac:dyDescent="0.25">
      <c r="A58" s="107" t="s">
        <v>23</v>
      </c>
      <c r="B58" s="123">
        <f t="shared" si="15"/>
        <v>2.9019577018494728E-2</v>
      </c>
      <c r="C58" s="123">
        <f t="shared" ref="C58:V58" si="20">IF(C12=0,0,C12/C$10)</f>
        <v>3.0019944800915251E-2</v>
      </c>
      <c r="D58" s="123">
        <f t="shared" si="20"/>
        <v>3.0808834862758781E-2</v>
      </c>
      <c r="E58" s="123">
        <f t="shared" si="20"/>
        <v>3.0037617388683945E-2</v>
      </c>
      <c r="F58" s="123">
        <f t="shared" si="20"/>
        <v>2.9487789985214161E-2</v>
      </c>
      <c r="G58" s="123">
        <f t="shared" si="20"/>
        <v>2.9304292383091263E-2</v>
      </c>
      <c r="H58" s="123">
        <f t="shared" si="20"/>
        <v>2.7829987455691634E-2</v>
      </c>
      <c r="I58" s="123">
        <f t="shared" si="20"/>
        <v>2.8476799881204946E-2</v>
      </c>
      <c r="J58" s="123">
        <f t="shared" si="20"/>
        <v>2.7957338526060145E-2</v>
      </c>
      <c r="K58" s="123">
        <f t="shared" si="20"/>
        <v>3.0442906558592955E-2</v>
      </c>
      <c r="L58" s="123">
        <f t="shared" si="20"/>
        <v>2.9019167392192954E-2</v>
      </c>
      <c r="M58" s="123">
        <f t="shared" si="20"/>
        <v>2.8293377811222712E-2</v>
      </c>
      <c r="N58" s="123">
        <f t="shared" si="20"/>
        <v>2.8406359114055812E-2</v>
      </c>
      <c r="O58" s="123">
        <f t="shared" si="20"/>
        <v>2.9124088518925666E-2</v>
      </c>
      <c r="P58" s="123">
        <f t="shared" si="20"/>
        <v>2.9422063010636716E-2</v>
      </c>
      <c r="Q58" s="123">
        <f t="shared" si="20"/>
        <v>3.0850353550361316E-2</v>
      </c>
      <c r="R58" s="123">
        <f t="shared" si="20"/>
        <v>3.1429863451953394E-2</v>
      </c>
      <c r="S58" s="123">
        <f t="shared" si="20"/>
        <v>3.0364798443404704E-2</v>
      </c>
      <c r="T58" s="123">
        <f t="shared" si="20"/>
        <v>3.2836739307001046E-2</v>
      </c>
      <c r="U58" s="123">
        <f t="shared" si="20"/>
        <v>3.2887847332762302E-2</v>
      </c>
      <c r="V58" s="123">
        <f t="shared" si="20"/>
        <v>3.6491282995068076E-2</v>
      </c>
      <c r="W58" s="123">
        <f t="shared" ref="W58:Y58" si="21">IF(W12=0,0,W12/W$10)</f>
        <v>3.4216053685894247E-2</v>
      </c>
      <c r="X58" s="123">
        <f t="shared" si="21"/>
        <v>3.2540426615365867E-2</v>
      </c>
      <c r="Y58" s="123">
        <f t="shared" si="21"/>
        <v>3.3591363545677044E-2</v>
      </c>
      <c r="DA58" s="203"/>
    </row>
    <row r="59" spans="1:105" ht="11.45" customHeight="1" x14ac:dyDescent="0.25">
      <c r="A59" s="109" t="s">
        <v>24</v>
      </c>
      <c r="B59" s="124">
        <f t="shared" si="15"/>
        <v>0.39268315759336109</v>
      </c>
      <c r="C59" s="124">
        <f t="shared" ref="C59:V59" si="22">IF(C13=0,0,C13/C$10)</f>
        <v>0.40284246113731376</v>
      </c>
      <c r="D59" s="124">
        <f t="shared" si="22"/>
        <v>0.41246715137191226</v>
      </c>
      <c r="E59" s="124">
        <f t="shared" si="22"/>
        <v>0.42321609278033662</v>
      </c>
      <c r="F59" s="124">
        <f t="shared" si="22"/>
        <v>0.41619890954780653</v>
      </c>
      <c r="G59" s="124">
        <f t="shared" si="22"/>
        <v>0.4034582886618362</v>
      </c>
      <c r="H59" s="124">
        <f t="shared" si="22"/>
        <v>0.3730860323407566</v>
      </c>
      <c r="I59" s="124">
        <f t="shared" si="22"/>
        <v>0.383038785847367</v>
      </c>
      <c r="J59" s="124">
        <f t="shared" si="22"/>
        <v>0.3836581343891739</v>
      </c>
      <c r="K59" s="124">
        <f t="shared" si="22"/>
        <v>0.43449982456283764</v>
      </c>
      <c r="L59" s="124">
        <f t="shared" si="22"/>
        <v>0.43022209050195798</v>
      </c>
      <c r="M59" s="124">
        <f t="shared" si="22"/>
        <v>0.43084228976513284</v>
      </c>
      <c r="N59" s="124">
        <f t="shared" si="22"/>
        <v>0.43366251939204425</v>
      </c>
      <c r="O59" s="124">
        <f t="shared" si="22"/>
        <v>0.43788159667129178</v>
      </c>
      <c r="P59" s="124">
        <f t="shared" si="22"/>
        <v>0.442112560556777</v>
      </c>
      <c r="Q59" s="124">
        <f t="shared" si="22"/>
        <v>0.51272906223046388</v>
      </c>
      <c r="R59" s="124">
        <f t="shared" si="22"/>
        <v>0.4754531153513481</v>
      </c>
      <c r="S59" s="124">
        <f t="shared" si="22"/>
        <v>0.46687404397139015</v>
      </c>
      <c r="T59" s="124">
        <f t="shared" si="22"/>
        <v>0.44765274315202208</v>
      </c>
      <c r="U59" s="124">
        <f t="shared" si="22"/>
        <v>0.46476481834962613</v>
      </c>
      <c r="V59" s="124">
        <f t="shared" si="22"/>
        <v>0.42158156803048119</v>
      </c>
      <c r="W59" s="124">
        <f t="shared" ref="W59:Y59" si="23">IF(W13=0,0,W13/W$10)</f>
        <v>0.40549862844827794</v>
      </c>
      <c r="X59" s="124">
        <f t="shared" si="23"/>
        <v>0.47579913872933638</v>
      </c>
      <c r="Y59" s="124">
        <f t="shared" si="23"/>
        <v>0.51011615151199063</v>
      </c>
      <c r="DA59" s="176"/>
    </row>
    <row r="60" spans="1:105" ht="11.45" customHeight="1" x14ac:dyDescent="0.25">
      <c r="A60" s="111" t="s">
        <v>92</v>
      </c>
      <c r="B60" s="125">
        <f t="shared" si="15"/>
        <v>0.174563559400293</v>
      </c>
      <c r="C60" s="125">
        <f t="shared" ref="C60:V60" si="24">IF(C14=0,0,C14/C$10)</f>
        <v>0.15338243072988741</v>
      </c>
      <c r="D60" s="125">
        <f t="shared" si="24"/>
        <v>0.15392101786583981</v>
      </c>
      <c r="E60" s="125">
        <f t="shared" si="24"/>
        <v>0.15397076551616712</v>
      </c>
      <c r="F60" s="125">
        <f t="shared" si="24"/>
        <v>0.14704554653003335</v>
      </c>
      <c r="G60" s="125">
        <f t="shared" si="24"/>
        <v>0.12803567422766299</v>
      </c>
      <c r="H60" s="125">
        <f t="shared" si="24"/>
        <v>0.12579515372965028</v>
      </c>
      <c r="I60" s="125">
        <f t="shared" si="24"/>
        <v>0.10649595236065652</v>
      </c>
      <c r="J60" s="125">
        <f t="shared" si="24"/>
        <v>0.10735034444350627</v>
      </c>
      <c r="K60" s="125">
        <f t="shared" si="24"/>
        <v>9.6816080513967367E-2</v>
      </c>
      <c r="L60" s="125">
        <f t="shared" si="24"/>
        <v>0.10435239728336647</v>
      </c>
      <c r="M60" s="125">
        <f t="shared" si="24"/>
        <v>0.11510614888249264</v>
      </c>
      <c r="N60" s="125">
        <f t="shared" si="24"/>
        <v>0.10046452332062829</v>
      </c>
      <c r="O60" s="125">
        <f t="shared" si="24"/>
        <v>8.6840898229844532E-2</v>
      </c>
      <c r="P60" s="125">
        <f t="shared" si="24"/>
        <v>0.10286108872152588</v>
      </c>
      <c r="Q60" s="125">
        <f t="shared" si="24"/>
        <v>0.11378814932568244</v>
      </c>
      <c r="R60" s="125">
        <f t="shared" si="24"/>
        <v>9.9424554812152136E-2</v>
      </c>
      <c r="S60" s="125">
        <f t="shared" si="24"/>
        <v>0.10128074511884878</v>
      </c>
      <c r="T60" s="125">
        <f t="shared" si="24"/>
        <v>7.1946459838614293E-2</v>
      </c>
      <c r="U60" s="125">
        <f t="shared" si="24"/>
        <v>5.1736245581023174E-2</v>
      </c>
      <c r="V60" s="125">
        <f t="shared" si="24"/>
        <v>5.299966447515482E-2</v>
      </c>
      <c r="W60" s="125">
        <f t="shared" ref="W60:Y60" si="25">IF(W14=0,0,W14/W$10)</f>
        <v>4.6986334300995428E-2</v>
      </c>
      <c r="X60" s="125">
        <f t="shared" si="25"/>
        <v>6.0120361450343378E-2</v>
      </c>
      <c r="Y60" s="125">
        <f t="shared" si="25"/>
        <v>6.5976799681142381E-2</v>
      </c>
      <c r="DA60" s="171"/>
    </row>
    <row r="61" spans="1:105" ht="11.45" customHeight="1" x14ac:dyDescent="0.25">
      <c r="A61" s="111" t="s">
        <v>93</v>
      </c>
      <c r="B61" s="125">
        <f t="shared" si="15"/>
        <v>0.21811959819306811</v>
      </c>
      <c r="C61" s="125">
        <f t="shared" ref="C61:V61" si="26">IF(C15=0,0,C15/C$10)</f>
        <v>0.24946003040742631</v>
      </c>
      <c r="D61" s="125">
        <f t="shared" si="26"/>
        <v>0.25854613350607247</v>
      </c>
      <c r="E61" s="125">
        <f t="shared" si="26"/>
        <v>0.2692453272641695</v>
      </c>
      <c r="F61" s="125">
        <f t="shared" si="26"/>
        <v>0.26915336301777321</v>
      </c>
      <c r="G61" s="125">
        <f t="shared" si="26"/>
        <v>0.27542261443417321</v>
      </c>
      <c r="H61" s="125">
        <f t="shared" si="26"/>
        <v>0.2472908786111063</v>
      </c>
      <c r="I61" s="125">
        <f t="shared" si="26"/>
        <v>0.27654283348671049</v>
      </c>
      <c r="J61" s="125">
        <f t="shared" si="26"/>
        <v>0.27630778994566757</v>
      </c>
      <c r="K61" s="125">
        <f t="shared" si="26"/>
        <v>0.3376837440488703</v>
      </c>
      <c r="L61" s="125">
        <f t="shared" si="26"/>
        <v>0.32586969321859155</v>
      </c>
      <c r="M61" s="125">
        <f t="shared" si="26"/>
        <v>0.31573614088264018</v>
      </c>
      <c r="N61" s="125">
        <f t="shared" si="26"/>
        <v>0.33319799607141598</v>
      </c>
      <c r="O61" s="125">
        <f t="shared" si="26"/>
        <v>0.35104069844144725</v>
      </c>
      <c r="P61" s="125">
        <f t="shared" si="26"/>
        <v>0.33925147183525117</v>
      </c>
      <c r="Q61" s="125">
        <f t="shared" si="26"/>
        <v>0.3989409129047814</v>
      </c>
      <c r="R61" s="125">
        <f t="shared" si="26"/>
        <v>0.37602856053919598</v>
      </c>
      <c r="S61" s="125">
        <f t="shared" si="26"/>
        <v>0.36559329885254144</v>
      </c>
      <c r="T61" s="125">
        <f t="shared" si="26"/>
        <v>0.37570628331340783</v>
      </c>
      <c r="U61" s="125">
        <f t="shared" si="26"/>
        <v>0.41302857276860294</v>
      </c>
      <c r="V61" s="125">
        <f t="shared" si="26"/>
        <v>0.36858190355532644</v>
      </c>
      <c r="W61" s="125">
        <f t="shared" ref="W61:Y61" si="27">IF(W15=0,0,W15/W$10)</f>
        <v>0.35851229414728258</v>
      </c>
      <c r="X61" s="125">
        <f t="shared" si="27"/>
        <v>0.41567877727899299</v>
      </c>
      <c r="Y61" s="125">
        <f t="shared" si="27"/>
        <v>0.44413935183084824</v>
      </c>
      <c r="DA61" s="171"/>
    </row>
    <row r="62" spans="1:105" ht="11.45" customHeight="1" x14ac:dyDescent="0.25">
      <c r="A62" s="112" t="s">
        <v>25</v>
      </c>
      <c r="B62" s="126">
        <f t="shared" si="15"/>
        <v>1.1290837468679576E-2</v>
      </c>
      <c r="C62" s="126">
        <f t="shared" ref="C62:V62" si="28">IF(C16=0,0,C16/C$10)</f>
        <v>9.4711596118365847E-3</v>
      </c>
      <c r="D62" s="126">
        <f t="shared" si="28"/>
        <v>2.104792547844719E-2</v>
      </c>
      <c r="E62" s="126">
        <f t="shared" si="28"/>
        <v>2.9720195840728356E-2</v>
      </c>
      <c r="F62" s="126">
        <f t="shared" si="28"/>
        <v>2.3080790706453334E-2</v>
      </c>
      <c r="G62" s="126">
        <f t="shared" si="28"/>
        <v>4.3878058469810417E-2</v>
      </c>
      <c r="H62" s="126">
        <f t="shared" si="28"/>
        <v>5.7141355839971854E-2</v>
      </c>
      <c r="I62" s="126">
        <f t="shared" si="28"/>
        <v>7.8126799526430549E-2</v>
      </c>
      <c r="J62" s="126">
        <f t="shared" si="28"/>
        <v>8.2951339238459626E-2</v>
      </c>
      <c r="K62" s="126">
        <f t="shared" si="28"/>
        <v>8.6946342874086174E-2</v>
      </c>
      <c r="L62" s="126">
        <f t="shared" si="28"/>
        <v>8.8474236165147241E-2</v>
      </c>
      <c r="M62" s="126">
        <f t="shared" si="28"/>
        <v>9.4977223459282167E-2</v>
      </c>
      <c r="N62" s="126">
        <f t="shared" si="28"/>
        <v>9.1228187430439783E-2</v>
      </c>
      <c r="O62" s="126">
        <f t="shared" si="28"/>
        <v>0.10000179662427286</v>
      </c>
      <c r="P62" s="126">
        <f t="shared" si="28"/>
        <v>8.8413738614090479E-2</v>
      </c>
      <c r="Q62" s="126">
        <f t="shared" si="28"/>
        <v>8.2265704863299954E-2</v>
      </c>
      <c r="R62" s="126">
        <f t="shared" si="28"/>
        <v>8.9818451011621669E-2</v>
      </c>
      <c r="S62" s="126">
        <f t="shared" si="28"/>
        <v>9.2789366754095104E-2</v>
      </c>
      <c r="T62" s="126">
        <f t="shared" si="28"/>
        <v>0.10129159045187489</v>
      </c>
      <c r="U62" s="126">
        <f t="shared" si="28"/>
        <v>0.10502135034561194</v>
      </c>
      <c r="V62" s="126">
        <f t="shared" si="28"/>
        <v>8.8223534338867829E-2</v>
      </c>
      <c r="W62" s="126">
        <f t="shared" ref="W62:Y62" si="29">IF(W16=0,0,W16/W$10)</f>
        <v>9.4989298436951489E-2</v>
      </c>
      <c r="X62" s="126">
        <f t="shared" si="29"/>
        <v>9.1501832625646581E-2</v>
      </c>
      <c r="Y62" s="126">
        <f t="shared" si="29"/>
        <v>8.4403086082816908E-2</v>
      </c>
      <c r="DA62" s="204"/>
    </row>
    <row r="63" spans="1:105" ht="11.45" customHeight="1" x14ac:dyDescent="0.25">
      <c r="A63" s="27" t="s">
        <v>34</v>
      </c>
      <c r="B63" s="31">
        <f t="shared" si="15"/>
        <v>0.56700642791946454</v>
      </c>
      <c r="C63" s="31">
        <f t="shared" ref="C63:V63" si="30">IF(C17=0,0,C17/C$10)</f>
        <v>0.55766643444993436</v>
      </c>
      <c r="D63" s="31">
        <f t="shared" si="30"/>
        <v>0.53567608828688174</v>
      </c>
      <c r="E63" s="31">
        <f t="shared" si="30"/>
        <v>0.51702609399025112</v>
      </c>
      <c r="F63" s="31">
        <f t="shared" si="30"/>
        <v>0.53123250976052605</v>
      </c>
      <c r="G63" s="31">
        <f t="shared" si="30"/>
        <v>0.5233593604852621</v>
      </c>
      <c r="H63" s="31">
        <f t="shared" si="30"/>
        <v>0.54194262436357987</v>
      </c>
      <c r="I63" s="31">
        <f t="shared" si="30"/>
        <v>0.51035761474499752</v>
      </c>
      <c r="J63" s="31">
        <f t="shared" si="30"/>
        <v>0.5054331878463062</v>
      </c>
      <c r="K63" s="31">
        <f t="shared" si="30"/>
        <v>0.44811092600448321</v>
      </c>
      <c r="L63" s="31">
        <f t="shared" si="30"/>
        <v>0.45228450594070185</v>
      </c>
      <c r="M63" s="31">
        <f t="shared" si="30"/>
        <v>0.4458871089643624</v>
      </c>
      <c r="N63" s="31">
        <f t="shared" si="30"/>
        <v>0.44670293406346007</v>
      </c>
      <c r="O63" s="31">
        <f t="shared" si="30"/>
        <v>0.43299251818550977</v>
      </c>
      <c r="P63" s="31">
        <f t="shared" si="30"/>
        <v>0.44005163781849588</v>
      </c>
      <c r="Q63" s="31">
        <f t="shared" si="30"/>
        <v>0.37415487935587483</v>
      </c>
      <c r="R63" s="31">
        <f t="shared" si="30"/>
        <v>0.40329857018507692</v>
      </c>
      <c r="S63" s="31">
        <f t="shared" si="30"/>
        <v>0.40997179083111007</v>
      </c>
      <c r="T63" s="31">
        <f t="shared" si="30"/>
        <v>0.41821892708910202</v>
      </c>
      <c r="U63" s="31">
        <f t="shared" si="30"/>
        <v>0.3973259839719997</v>
      </c>
      <c r="V63" s="31">
        <f t="shared" si="30"/>
        <v>0.4537036146355829</v>
      </c>
      <c r="W63" s="31">
        <f t="shared" ref="W63:Y63" si="31">IF(W17=0,0,W17/W$10)</f>
        <v>0.46529601942887633</v>
      </c>
      <c r="X63" s="31">
        <f t="shared" si="31"/>
        <v>0.4001586020296512</v>
      </c>
      <c r="Y63" s="31">
        <f t="shared" si="31"/>
        <v>0.37188939885951544</v>
      </c>
      <c r="DA63" s="173"/>
    </row>
    <row r="64" spans="1:105" ht="11.45" customHeight="1" x14ac:dyDescent="0.25">
      <c r="A64" s="83" t="s">
        <v>92</v>
      </c>
      <c r="B64" s="125">
        <f t="shared" si="15"/>
        <v>0.33607371275724174</v>
      </c>
      <c r="C64" s="125">
        <f t="shared" ref="C64:V64" si="32">IF(C18=0,0,C18/C$10)</f>
        <v>0.32853321596776036</v>
      </c>
      <c r="D64" s="125">
        <f t="shared" si="32"/>
        <v>0.30436172930750155</v>
      </c>
      <c r="E64" s="125">
        <f t="shared" si="32"/>
        <v>0.2905066578513984</v>
      </c>
      <c r="F64" s="125">
        <f t="shared" si="32"/>
        <v>0.3009146224817803</v>
      </c>
      <c r="G64" s="125">
        <f t="shared" si="32"/>
        <v>0.30126246817301905</v>
      </c>
      <c r="H64" s="125">
        <f t="shared" si="32"/>
        <v>0.30501688775782754</v>
      </c>
      <c r="I64" s="125">
        <f t="shared" si="32"/>
        <v>0.25834835553896079</v>
      </c>
      <c r="J64" s="125">
        <f t="shared" si="32"/>
        <v>0.26085506626601451</v>
      </c>
      <c r="K64" s="125">
        <f t="shared" si="32"/>
        <v>0.23558983160976504</v>
      </c>
      <c r="L64" s="125">
        <f t="shared" si="32"/>
        <v>0.22803966900829706</v>
      </c>
      <c r="M64" s="125">
        <f t="shared" si="32"/>
        <v>0.22739434874555536</v>
      </c>
      <c r="N64" s="125">
        <f t="shared" si="32"/>
        <v>0.23989010990491214</v>
      </c>
      <c r="O64" s="125">
        <f t="shared" si="32"/>
        <v>0.23508324608097883</v>
      </c>
      <c r="P64" s="125">
        <f t="shared" si="32"/>
        <v>0.20718675816842633</v>
      </c>
      <c r="Q64" s="125">
        <f t="shared" si="32"/>
        <v>0.15952944094983493</v>
      </c>
      <c r="R64" s="125">
        <f t="shared" si="32"/>
        <v>0.16540523959297096</v>
      </c>
      <c r="S64" s="125">
        <f t="shared" si="32"/>
        <v>0.14851601256849287</v>
      </c>
      <c r="T64" s="125">
        <f t="shared" si="32"/>
        <v>0.18423576711633388</v>
      </c>
      <c r="U64" s="125">
        <f t="shared" si="32"/>
        <v>0.19848930600812709</v>
      </c>
      <c r="V64" s="125">
        <f t="shared" si="32"/>
        <v>0.20409748030153824</v>
      </c>
      <c r="W64" s="125">
        <f t="shared" ref="W64:Y64" si="33">IF(W18=0,0,W18/W$10)</f>
        <v>0.23745275292908999</v>
      </c>
      <c r="X64" s="125">
        <f t="shared" si="33"/>
        <v>0.18708662394590794</v>
      </c>
      <c r="Y64" s="125">
        <f t="shared" si="33"/>
        <v>0.17707060772794123</v>
      </c>
      <c r="DA64" s="171"/>
    </row>
    <row r="65" spans="1:105" ht="11.45" customHeight="1" x14ac:dyDescent="0.25">
      <c r="A65" s="85" t="s">
        <v>93</v>
      </c>
      <c r="B65" s="127">
        <f t="shared" si="15"/>
        <v>0.23093271516222277</v>
      </c>
      <c r="C65" s="127">
        <f t="shared" ref="C65:V65" si="34">IF(C19=0,0,C19/C$10)</f>
        <v>0.22913321848217402</v>
      </c>
      <c r="D65" s="127">
        <f t="shared" si="34"/>
        <v>0.23131435897938021</v>
      </c>
      <c r="E65" s="127">
        <f t="shared" si="34"/>
        <v>0.22651943613885273</v>
      </c>
      <c r="F65" s="127">
        <f t="shared" si="34"/>
        <v>0.23031788727874572</v>
      </c>
      <c r="G65" s="127">
        <f t="shared" si="34"/>
        <v>0.22209689231224308</v>
      </c>
      <c r="H65" s="127">
        <f t="shared" si="34"/>
        <v>0.23692573660575236</v>
      </c>
      <c r="I65" s="127">
        <f t="shared" si="34"/>
        <v>0.25200925920603673</v>
      </c>
      <c r="J65" s="127">
        <f t="shared" si="34"/>
        <v>0.24457812158029174</v>
      </c>
      <c r="K65" s="127">
        <f t="shared" si="34"/>
        <v>0.2125210943947182</v>
      </c>
      <c r="L65" s="127">
        <f t="shared" si="34"/>
        <v>0.2242448369324048</v>
      </c>
      <c r="M65" s="127">
        <f t="shared" si="34"/>
        <v>0.21849276021880706</v>
      </c>
      <c r="N65" s="127">
        <f t="shared" si="34"/>
        <v>0.20681282415854796</v>
      </c>
      <c r="O65" s="127">
        <f t="shared" si="34"/>
        <v>0.19790927210453094</v>
      </c>
      <c r="P65" s="127">
        <f t="shared" si="34"/>
        <v>0.23286487965006958</v>
      </c>
      <c r="Q65" s="127">
        <f t="shared" si="34"/>
        <v>0.21462543840603993</v>
      </c>
      <c r="R65" s="127">
        <f t="shared" si="34"/>
        <v>0.23789333059210593</v>
      </c>
      <c r="S65" s="127">
        <f t="shared" si="34"/>
        <v>0.26145577826261718</v>
      </c>
      <c r="T65" s="127">
        <f t="shared" si="34"/>
        <v>0.23398315997276817</v>
      </c>
      <c r="U65" s="127">
        <f t="shared" si="34"/>
        <v>0.19883667796387261</v>
      </c>
      <c r="V65" s="127">
        <f t="shared" si="34"/>
        <v>0.24960613433404466</v>
      </c>
      <c r="W65" s="127">
        <f t="shared" ref="W65:Y65" si="35">IF(W19=0,0,W19/W$10)</f>
        <v>0.22784326649978634</v>
      </c>
      <c r="X65" s="127">
        <f t="shared" si="35"/>
        <v>0.21307197808374323</v>
      </c>
      <c r="Y65" s="127">
        <f t="shared" si="35"/>
        <v>0.19481879113157421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149.75612963999998</v>
      </c>
      <c r="C4" s="26">
        <f t="shared" ref="C4:W4" si="0">SUM(C5:C6)</f>
        <v>140.19731855999999</v>
      </c>
      <c r="D4" s="26">
        <f t="shared" si="0"/>
        <v>133.82468892</v>
      </c>
      <c r="E4" s="26">
        <f t="shared" si="0"/>
        <v>133.82468892</v>
      </c>
      <c r="F4" s="26">
        <f t="shared" si="0"/>
        <v>136.37358072000001</v>
      </c>
      <c r="G4" s="26">
        <f t="shared" si="0"/>
        <v>130.03056144000001</v>
      </c>
      <c r="H4" s="26">
        <f t="shared" si="0"/>
        <v>136.28768399999998</v>
      </c>
      <c r="I4" s="26">
        <f t="shared" si="0"/>
        <v>110.93961528</v>
      </c>
      <c r="J4" s="26">
        <f t="shared" si="0"/>
        <v>114.1119252</v>
      </c>
      <c r="K4" s="26">
        <f t="shared" si="0"/>
        <v>95.102074079999994</v>
      </c>
      <c r="L4" s="26">
        <f t="shared" si="0"/>
        <v>98.283720600000009</v>
      </c>
      <c r="M4" s="26">
        <f t="shared" si="0"/>
        <v>101.44002491999997</v>
      </c>
      <c r="N4" s="26">
        <f t="shared" si="0"/>
        <v>101.44002491999997</v>
      </c>
      <c r="O4" s="26">
        <f t="shared" si="0"/>
        <v>92.832480000000004</v>
      </c>
      <c r="P4" s="26">
        <f t="shared" si="0"/>
        <v>86.430240000000012</v>
      </c>
      <c r="Q4" s="26">
        <f t="shared" si="0"/>
        <v>70.333408080000012</v>
      </c>
      <c r="R4" s="26">
        <f t="shared" si="0"/>
        <v>67.074134400000005</v>
      </c>
      <c r="S4" s="26">
        <f t="shared" si="0"/>
        <v>66.884201280000013</v>
      </c>
      <c r="T4" s="26">
        <f t="shared" si="0"/>
        <v>73.225353240000004</v>
      </c>
      <c r="U4" s="26">
        <f t="shared" si="0"/>
        <v>70.064247239999986</v>
      </c>
      <c r="V4" s="26">
        <f t="shared" si="0"/>
        <v>63.699353639999984</v>
      </c>
      <c r="W4" s="26">
        <f t="shared" si="0"/>
        <v>70.938953279999978</v>
      </c>
      <c r="X4" s="26">
        <f t="shared" ref="X4:Y4" si="1">SUM(X5:X6)</f>
        <v>58.20596496000001</v>
      </c>
      <c r="Y4" s="26">
        <f t="shared" si="1"/>
        <v>54.91067867999999</v>
      </c>
      <c r="DA4" s="202" t="s">
        <v>1137</v>
      </c>
    </row>
    <row r="5" spans="1:105" ht="11.45" customHeight="1" x14ac:dyDescent="0.25">
      <c r="A5" s="107" t="s">
        <v>92</v>
      </c>
      <c r="B5" s="129">
        <v>149.75612963999998</v>
      </c>
      <c r="C5" s="129">
        <v>140.19731855999999</v>
      </c>
      <c r="D5" s="129">
        <v>133.82468892</v>
      </c>
      <c r="E5" s="129">
        <v>133.82468892</v>
      </c>
      <c r="F5" s="129">
        <v>136.37358072000001</v>
      </c>
      <c r="G5" s="129">
        <v>130.03056144000001</v>
      </c>
      <c r="H5" s="129">
        <v>136.28768399999998</v>
      </c>
      <c r="I5" s="129">
        <v>110.93961528</v>
      </c>
      <c r="J5" s="129">
        <v>114.1119252</v>
      </c>
      <c r="K5" s="129">
        <v>95.102074079999994</v>
      </c>
      <c r="L5" s="129">
        <v>98.283720600000009</v>
      </c>
      <c r="M5" s="129">
        <v>101.44002491999997</v>
      </c>
      <c r="N5" s="129">
        <v>101.44002491999997</v>
      </c>
      <c r="O5" s="129">
        <v>92.832480000000004</v>
      </c>
      <c r="P5" s="129">
        <v>86.430240000000012</v>
      </c>
      <c r="Q5" s="129">
        <v>70.333408080000012</v>
      </c>
      <c r="R5" s="129">
        <v>67.074134400000005</v>
      </c>
      <c r="S5" s="129">
        <v>66.884201280000013</v>
      </c>
      <c r="T5" s="129">
        <v>73.225353240000004</v>
      </c>
      <c r="U5" s="129">
        <v>70.064247239999986</v>
      </c>
      <c r="V5" s="129">
        <v>63.699353639999984</v>
      </c>
      <c r="W5" s="129">
        <v>70.938953279999978</v>
      </c>
      <c r="X5" s="129">
        <v>58.20596496000001</v>
      </c>
      <c r="Y5" s="129">
        <v>54.91067867999999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149.75612963999998</v>
      </c>
      <c r="C8" s="79">
        <f t="shared" si="2"/>
        <v>140.19731855999999</v>
      </c>
      <c r="D8" s="79">
        <f t="shared" si="2"/>
        <v>133.82468892</v>
      </c>
      <c r="E8" s="79">
        <f t="shared" si="2"/>
        <v>133.82468892</v>
      </c>
      <c r="F8" s="79">
        <f t="shared" si="2"/>
        <v>136.37358071999998</v>
      </c>
      <c r="G8" s="79">
        <f t="shared" si="2"/>
        <v>130.03056144000004</v>
      </c>
      <c r="H8" s="79">
        <f t="shared" si="2"/>
        <v>136.28768399999998</v>
      </c>
      <c r="I8" s="79">
        <f t="shared" si="2"/>
        <v>110.93961528</v>
      </c>
      <c r="J8" s="79">
        <f t="shared" si="2"/>
        <v>114.11192519999999</v>
      </c>
      <c r="K8" s="79">
        <f t="shared" si="2"/>
        <v>95.102074079999994</v>
      </c>
      <c r="L8" s="79">
        <f t="shared" si="2"/>
        <v>98.283720599999995</v>
      </c>
      <c r="M8" s="79">
        <f t="shared" si="2"/>
        <v>101.44002491999997</v>
      </c>
      <c r="N8" s="79">
        <f t="shared" si="2"/>
        <v>101.44002491999996</v>
      </c>
      <c r="O8" s="79">
        <f t="shared" si="2"/>
        <v>92.832480000000004</v>
      </c>
      <c r="P8" s="79">
        <f t="shared" si="2"/>
        <v>86.430240000000026</v>
      </c>
      <c r="Q8" s="79">
        <f t="shared" si="2"/>
        <v>70.333408080000012</v>
      </c>
      <c r="R8" s="79">
        <f t="shared" si="2"/>
        <v>67.074134400000005</v>
      </c>
      <c r="S8" s="79">
        <f t="shared" si="2"/>
        <v>66.884201280000013</v>
      </c>
      <c r="T8" s="79">
        <f t="shared" si="2"/>
        <v>73.225353240000004</v>
      </c>
      <c r="U8" s="79">
        <f t="shared" si="2"/>
        <v>70.064247239999972</v>
      </c>
      <c r="V8" s="79">
        <f t="shared" si="2"/>
        <v>63.699353639999984</v>
      </c>
      <c r="W8" s="79">
        <f t="shared" si="2"/>
        <v>70.938953279999978</v>
      </c>
      <c r="X8" s="79">
        <f t="shared" ref="X8:Y8" si="3">SUM(X9,X15)</f>
        <v>58.205964960000024</v>
      </c>
      <c r="Y8" s="79">
        <f t="shared" si="3"/>
        <v>54.91067867999999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51.194780438794844</v>
      </c>
      <c r="C9" s="32">
        <f t="shared" si="4"/>
        <v>44.621513432695345</v>
      </c>
      <c r="D9" s="32">
        <f t="shared" si="4"/>
        <v>44.946994974599384</v>
      </c>
      <c r="E9" s="32">
        <f t="shared" si="4"/>
        <v>46.358012161476466</v>
      </c>
      <c r="F9" s="32">
        <f t="shared" si="4"/>
        <v>44.765425804411585</v>
      </c>
      <c r="G9" s="32">
        <f t="shared" si="4"/>
        <v>38.780858708289415</v>
      </c>
      <c r="H9" s="32">
        <f t="shared" si="4"/>
        <v>39.795382926260018</v>
      </c>
      <c r="I9" s="32">
        <f t="shared" si="4"/>
        <v>32.382634806020043</v>
      </c>
      <c r="J9" s="32">
        <f t="shared" si="4"/>
        <v>33.269349442003929</v>
      </c>
      <c r="K9" s="32">
        <f t="shared" si="4"/>
        <v>27.699296929915214</v>
      </c>
      <c r="L9" s="32">
        <f t="shared" si="4"/>
        <v>30.855555528028603</v>
      </c>
      <c r="M9" s="32">
        <f t="shared" si="4"/>
        <v>34.091543492487702</v>
      </c>
      <c r="N9" s="32">
        <f t="shared" si="4"/>
        <v>29.942662018845414</v>
      </c>
      <c r="O9" s="32">
        <f t="shared" si="4"/>
        <v>25.042097930748586</v>
      </c>
      <c r="P9" s="32">
        <f t="shared" si="4"/>
        <v>28.673989108585182</v>
      </c>
      <c r="Q9" s="32">
        <f t="shared" si="4"/>
        <v>29.281351167788657</v>
      </c>
      <c r="R9" s="32">
        <f t="shared" si="4"/>
        <v>25.181516932829865</v>
      </c>
      <c r="S9" s="32">
        <f t="shared" si="4"/>
        <v>27.118373372949247</v>
      </c>
      <c r="T9" s="32">
        <f t="shared" si="4"/>
        <v>20.564677724409357</v>
      </c>
      <c r="U9" s="32">
        <f t="shared" si="4"/>
        <v>14.486374707287636</v>
      </c>
      <c r="V9" s="32">
        <f t="shared" si="4"/>
        <v>13.131395812024918</v>
      </c>
      <c r="W9" s="32">
        <f t="shared" si="4"/>
        <v>11.71836615788515</v>
      </c>
      <c r="X9" s="32">
        <f t="shared" ref="X9:Y9" si="5">SUM(X10,X11,X14)</f>
        <v>14.155601818257871</v>
      </c>
      <c r="Y9" s="32">
        <f t="shared" si="5"/>
        <v>14.905860902799889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51.194780438794844</v>
      </c>
      <c r="C11" s="130">
        <f t="shared" si="6"/>
        <v>44.621513432695345</v>
      </c>
      <c r="D11" s="130">
        <f t="shared" si="6"/>
        <v>44.946994974599384</v>
      </c>
      <c r="E11" s="130">
        <f t="shared" si="6"/>
        <v>46.358012161476466</v>
      </c>
      <c r="F11" s="130">
        <f t="shared" si="6"/>
        <v>44.765425804411585</v>
      </c>
      <c r="G11" s="130">
        <f t="shared" si="6"/>
        <v>38.780858708289415</v>
      </c>
      <c r="H11" s="130">
        <f t="shared" si="6"/>
        <v>39.795382926260018</v>
      </c>
      <c r="I11" s="130">
        <f t="shared" si="6"/>
        <v>32.382634806020043</v>
      </c>
      <c r="J11" s="130">
        <f t="shared" si="6"/>
        <v>33.269349442003929</v>
      </c>
      <c r="K11" s="130">
        <f t="shared" si="6"/>
        <v>27.699296929915214</v>
      </c>
      <c r="L11" s="130">
        <f t="shared" si="6"/>
        <v>30.855555528028603</v>
      </c>
      <c r="M11" s="130">
        <f t="shared" si="6"/>
        <v>34.091543492487702</v>
      </c>
      <c r="N11" s="130">
        <f t="shared" si="6"/>
        <v>29.942662018845414</v>
      </c>
      <c r="O11" s="130">
        <f t="shared" si="6"/>
        <v>25.042097930748586</v>
      </c>
      <c r="P11" s="130">
        <f t="shared" si="6"/>
        <v>28.673989108585182</v>
      </c>
      <c r="Q11" s="130">
        <f t="shared" si="6"/>
        <v>29.281351167788657</v>
      </c>
      <c r="R11" s="130">
        <f t="shared" si="6"/>
        <v>25.181516932829865</v>
      </c>
      <c r="S11" s="130">
        <f t="shared" si="6"/>
        <v>27.118373372949247</v>
      </c>
      <c r="T11" s="130">
        <f t="shared" si="6"/>
        <v>20.564677724409357</v>
      </c>
      <c r="U11" s="130">
        <f t="shared" si="6"/>
        <v>14.486374707287636</v>
      </c>
      <c r="V11" s="130">
        <f t="shared" si="6"/>
        <v>13.131395812024918</v>
      </c>
      <c r="W11" s="130">
        <f t="shared" si="6"/>
        <v>11.71836615788515</v>
      </c>
      <c r="X11" s="130">
        <f t="shared" ref="X11:Y11" si="7">SUM(X12:X13)</f>
        <v>14.155601818257871</v>
      </c>
      <c r="Y11" s="130">
        <f t="shared" si="7"/>
        <v>14.905860902799889</v>
      </c>
      <c r="DA11" s="176" t="s">
        <v>409</v>
      </c>
    </row>
    <row r="12" spans="1:105" ht="11.45" customHeight="1" x14ac:dyDescent="0.25">
      <c r="A12" s="111" t="s">
        <v>92</v>
      </c>
      <c r="B12" s="96">
        <v>51.194780438794844</v>
      </c>
      <c r="C12" s="96">
        <v>44.621513432695345</v>
      </c>
      <c r="D12" s="96">
        <v>44.946994974599384</v>
      </c>
      <c r="E12" s="96">
        <v>46.358012161476466</v>
      </c>
      <c r="F12" s="96">
        <v>44.765425804411585</v>
      </c>
      <c r="G12" s="96">
        <v>38.780858708289415</v>
      </c>
      <c r="H12" s="96">
        <v>39.795382926260018</v>
      </c>
      <c r="I12" s="96">
        <v>32.382634806020043</v>
      </c>
      <c r="J12" s="96">
        <v>33.269349442003929</v>
      </c>
      <c r="K12" s="96">
        <v>27.699296929915214</v>
      </c>
      <c r="L12" s="96">
        <v>30.855555528028603</v>
      </c>
      <c r="M12" s="96">
        <v>34.091543492487702</v>
      </c>
      <c r="N12" s="96">
        <v>29.942662018845414</v>
      </c>
      <c r="O12" s="96">
        <v>25.042097930748586</v>
      </c>
      <c r="P12" s="96">
        <v>28.673989108585182</v>
      </c>
      <c r="Q12" s="96">
        <v>29.281351167788657</v>
      </c>
      <c r="R12" s="96">
        <v>25.181516932829865</v>
      </c>
      <c r="S12" s="96">
        <v>27.118373372949247</v>
      </c>
      <c r="T12" s="96">
        <v>20.564677724409357</v>
      </c>
      <c r="U12" s="96">
        <v>14.486374707287636</v>
      </c>
      <c r="V12" s="96">
        <v>13.131395812024918</v>
      </c>
      <c r="W12" s="96">
        <v>11.71836615788515</v>
      </c>
      <c r="X12" s="96">
        <v>14.155601818257871</v>
      </c>
      <c r="Y12" s="96">
        <v>14.905860902799889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98.561349201205147</v>
      </c>
      <c r="C15" s="32">
        <f t="shared" si="8"/>
        <v>95.575805127304633</v>
      </c>
      <c r="D15" s="32">
        <f t="shared" si="8"/>
        <v>88.877693945400608</v>
      </c>
      <c r="E15" s="32">
        <f t="shared" si="8"/>
        <v>87.466676758523533</v>
      </c>
      <c r="F15" s="32">
        <f t="shared" si="8"/>
        <v>91.608154915588401</v>
      </c>
      <c r="G15" s="32">
        <f t="shared" si="8"/>
        <v>91.249702731710613</v>
      </c>
      <c r="H15" s="32">
        <f t="shared" si="8"/>
        <v>96.492301073739966</v>
      </c>
      <c r="I15" s="32">
        <f t="shared" si="8"/>
        <v>78.556980473979948</v>
      </c>
      <c r="J15" s="32">
        <f t="shared" si="8"/>
        <v>80.842575757996059</v>
      </c>
      <c r="K15" s="32">
        <f t="shared" si="8"/>
        <v>67.402777150084773</v>
      </c>
      <c r="L15" s="32">
        <f t="shared" si="8"/>
        <v>67.428165071971392</v>
      </c>
      <c r="M15" s="32">
        <f t="shared" si="8"/>
        <v>67.348481427512269</v>
      </c>
      <c r="N15" s="32">
        <f t="shared" si="8"/>
        <v>71.497362901154546</v>
      </c>
      <c r="O15" s="32">
        <f t="shared" si="8"/>
        <v>67.790382069251422</v>
      </c>
      <c r="P15" s="32">
        <f t="shared" si="8"/>
        <v>57.756250891414837</v>
      </c>
      <c r="Q15" s="32">
        <f t="shared" si="8"/>
        <v>41.052056912211356</v>
      </c>
      <c r="R15" s="32">
        <f t="shared" si="8"/>
        <v>41.89261746717014</v>
      </c>
      <c r="S15" s="32">
        <f t="shared" si="8"/>
        <v>39.765827907050763</v>
      </c>
      <c r="T15" s="32">
        <f t="shared" si="8"/>
        <v>52.66067551559064</v>
      </c>
      <c r="U15" s="32">
        <f t="shared" si="8"/>
        <v>55.577872532712341</v>
      </c>
      <c r="V15" s="32">
        <f t="shared" si="8"/>
        <v>50.567957827975064</v>
      </c>
      <c r="W15" s="32">
        <f t="shared" si="8"/>
        <v>59.220587122114829</v>
      </c>
      <c r="X15" s="32">
        <f t="shared" ref="X15:Y15" si="9">SUM(X16:X17)</f>
        <v>44.050363141742153</v>
      </c>
      <c r="Y15" s="32">
        <f t="shared" si="9"/>
        <v>40.004817777200103</v>
      </c>
      <c r="DA15" s="173" t="s">
        <v>414</v>
      </c>
    </row>
    <row r="16" spans="1:105" ht="11.45" customHeight="1" x14ac:dyDescent="0.25">
      <c r="A16" s="83" t="s">
        <v>92</v>
      </c>
      <c r="B16" s="96">
        <v>98.561349201205147</v>
      </c>
      <c r="C16" s="96">
        <v>95.575805127304633</v>
      </c>
      <c r="D16" s="96">
        <v>88.877693945400608</v>
      </c>
      <c r="E16" s="96">
        <v>87.466676758523533</v>
      </c>
      <c r="F16" s="96">
        <v>91.608154915588401</v>
      </c>
      <c r="G16" s="96">
        <v>91.249702731710613</v>
      </c>
      <c r="H16" s="96">
        <v>96.492301073739966</v>
      </c>
      <c r="I16" s="96">
        <v>78.556980473979948</v>
      </c>
      <c r="J16" s="96">
        <v>80.842575757996059</v>
      </c>
      <c r="K16" s="96">
        <v>67.402777150084773</v>
      </c>
      <c r="L16" s="96">
        <v>67.428165071971392</v>
      </c>
      <c r="M16" s="96">
        <v>67.348481427512269</v>
      </c>
      <c r="N16" s="96">
        <v>71.497362901154546</v>
      </c>
      <c r="O16" s="96">
        <v>67.790382069251422</v>
      </c>
      <c r="P16" s="96">
        <v>57.756250891414837</v>
      </c>
      <c r="Q16" s="96">
        <v>41.052056912211356</v>
      </c>
      <c r="R16" s="96">
        <v>41.89261746717014</v>
      </c>
      <c r="S16" s="96">
        <v>39.765827907050763</v>
      </c>
      <c r="T16" s="96">
        <v>52.66067551559064</v>
      </c>
      <c r="U16" s="96">
        <v>55.577872532712341</v>
      </c>
      <c r="V16" s="96">
        <v>50.567957827975064</v>
      </c>
      <c r="W16" s="96">
        <v>59.220587122114829</v>
      </c>
      <c r="X16" s="96">
        <v>44.050363141742153</v>
      </c>
      <c r="Y16" s="96">
        <v>40.004817777200103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1.5842106731222523</v>
      </c>
      <c r="C22" s="134">
        <f>IF(C4=0,0,C4/TrRail_ene!C4)</f>
        <v>1.4951041623289403</v>
      </c>
      <c r="D22" s="134">
        <f>IF(D4=0,0,D4/TrRail_ene!D4)</f>
        <v>1.4217850105462209</v>
      </c>
      <c r="E22" s="134">
        <f>IF(E4=0,0,E4/TrRail_ene!E4)</f>
        <v>1.3789551144310943</v>
      </c>
      <c r="F22" s="134">
        <f>IF(F4=0,0,F4/TrRail_ene!F4)</f>
        <v>1.3897600499934282</v>
      </c>
      <c r="G22" s="134">
        <f>IF(G4=0,0,G4/TrRail_ene!G4)</f>
        <v>1.3318626277889531</v>
      </c>
      <c r="H22" s="134">
        <f>IF(H4=0,0,H4/TrRail_ene!H4)</f>
        <v>1.3365593767771313</v>
      </c>
      <c r="I22" s="134">
        <f>IF(I4=0,0,I4/TrRail_ene!I4)</f>
        <v>1.1318998399007614</v>
      </c>
      <c r="J22" s="134">
        <f>IF(J4=0,0,J4/TrRail_ene!J4)</f>
        <v>1.1423273884469387</v>
      </c>
      <c r="K22" s="134">
        <f>IF(K4=0,0,K4/TrRail_ene!K4)</f>
        <v>1.0312623510038152</v>
      </c>
      <c r="L22" s="134">
        <f>IF(L4=0,0,L4/TrRail_ene!L4)</f>
        <v>1.0312193954341031</v>
      </c>
      <c r="M22" s="134">
        <f>IF(M4=0,0,M4/TrRail_ene!M4)</f>
        <v>1.0625799828506113</v>
      </c>
      <c r="N22" s="134">
        <f>IF(N4=0,0,N4/TrRail_ene!N4)</f>
        <v>1.0559226127860213</v>
      </c>
      <c r="O22" s="134">
        <f>IF(O4=0,0,O4/TrRail_ene!O4)</f>
        <v>0.99874351748381129</v>
      </c>
      <c r="P22" s="134">
        <f>IF(P4=0,0,P4/TrRail_ene!P4)</f>
        <v>0.96189826909090925</v>
      </c>
      <c r="Q22" s="134">
        <f>IF(Q4=0,0,Q4/TrRail_ene!Q4)</f>
        <v>0.84794563044146232</v>
      </c>
      <c r="R22" s="134">
        <f>IF(R4=0,0,R4/TrRail_ene!R4)</f>
        <v>0.82161293296258875</v>
      </c>
      <c r="S22" s="134">
        <f>IF(S4=0,0,S4/TrRail_ene!S4)</f>
        <v>0.77497415722825336</v>
      </c>
      <c r="T22" s="134">
        <f>IF(T4=0,0,T4/TrRail_ene!T4)</f>
        <v>0.79478455713089802</v>
      </c>
      <c r="U22" s="134">
        <f>IF(U4=0,0,U4/TrRail_ene!U4)</f>
        <v>0.77630445549054961</v>
      </c>
      <c r="V22" s="134">
        <f>IF(V4=0,0,V4/TrRail_ene!V4)</f>
        <v>0.79762301538153424</v>
      </c>
      <c r="W22" s="134">
        <f>IF(W4=0,0,W4/TrRail_ene!W4)</f>
        <v>0.8543445489443664</v>
      </c>
      <c r="X22" s="134">
        <f>IF(X4=0,0,X4/TrRail_ene!X4)</f>
        <v>0.73747065086070085</v>
      </c>
      <c r="Y22" s="134">
        <f>IF(Y4=0,0,Y4/TrRail_ene!Y4)</f>
        <v>0.72256860722804861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1.5512093999999998</v>
      </c>
      <c r="D23" s="129">
        <f>IF(D5=0,0,D5/SUM(TrRail_ene!D5:D7))</f>
        <v>1.5512093999999998</v>
      </c>
      <c r="E23" s="129">
        <f>IF(E5=0,0,E5/SUM(TrRail_ene!E5:E7))</f>
        <v>1.5512093999999998</v>
      </c>
      <c r="F23" s="129">
        <f>IF(F5=0,0,F5/SUM(TrRail_ene!F5:F7))</f>
        <v>1.5512094000000001</v>
      </c>
      <c r="G23" s="129">
        <f>IF(G5=0,0,G5/SUM(TrRail_ene!G5:G7))</f>
        <v>1.5512094000000003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1.5512094000000003</v>
      </c>
      <c r="T23" s="129">
        <f>IF(T5=0,0,T5/SUM(TrRail_ene!T5:T7))</f>
        <v>1.5512094000000001</v>
      </c>
      <c r="U23" s="129">
        <f>IF(U5=0,0,U5/SUM(TrRail_ene!U5:U7))</f>
        <v>1.5512093999999998</v>
      </c>
      <c r="V23" s="129">
        <f>IF(V5=0,0,V5/SUM(TrRail_ene!V5:V7))</f>
        <v>1.5512094000000001</v>
      </c>
      <c r="W23" s="129">
        <f>IF(W5=0,0,W5/SUM(TrRail_ene!W5:W7))</f>
        <v>1.5018058123869578</v>
      </c>
      <c r="X23" s="129">
        <f>IF(X5=0,0,X5/SUM(TrRail_ene!X5:X7))</f>
        <v>1.4916056066914924</v>
      </c>
      <c r="Y23" s="129">
        <f>IF(Y5=0,0,Y5/SUM(TrRail_ene!Y5:Y7))</f>
        <v>1.4864766815057238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3477.2574205113124</v>
      </c>
      <c r="C26" s="54">
        <f>IF(C8=0,0,C8/TrRail_act!C14*1000)</f>
        <v>3129.4787440680552</v>
      </c>
      <c r="D26" s="54">
        <f>IF(D8=0,0,D8/TrRail_act!D14*1000)</f>
        <v>2886.8808375447279</v>
      </c>
      <c r="E26" s="54">
        <f>IF(E8=0,0,E8/TrRail_act!E14*1000)</f>
        <v>2713.2122280138419</v>
      </c>
      <c r="F26" s="54">
        <f>IF(F8=0,0,F8/TrRail_act!F14*1000)</f>
        <v>2730.0249450735</v>
      </c>
      <c r="G26" s="54">
        <f>IF(G8=0,0,G8/TrRail_act!G14*1000)</f>
        <v>2581.9276112968014</v>
      </c>
      <c r="H26" s="54">
        <f>IF(H8=0,0,H8/TrRail_act!H14*1000)</f>
        <v>2610.1597952156599</v>
      </c>
      <c r="I26" s="54">
        <f>IF(I8=0,0,I8/TrRail_act!I14*1000)</f>
        <v>2101.1665043550388</v>
      </c>
      <c r="J26" s="54">
        <f>IF(J8=0,0,J8/TrRail_act!J14*1000)</f>
        <v>2110.68390595034</v>
      </c>
      <c r="K26" s="54">
        <f>IF(K8=0,0,K8/TrRail_act!K14*1000)</f>
        <v>1799.1395841352232</v>
      </c>
      <c r="L26" s="54">
        <f>IF(L8=0,0,L8/TrRail_act!L14*1000)</f>
        <v>1784.9235480830901</v>
      </c>
      <c r="M26" s="54">
        <f>IF(M8=0,0,M8/TrRail_act!M14*1000)</f>
        <v>1845.2311186941349</v>
      </c>
      <c r="N26" s="54">
        <f>IF(N8=0,0,N8/TrRail_act!N14*1000)</f>
        <v>1809.890196138022</v>
      </c>
      <c r="O26" s="54">
        <f>IF(O8=0,0,O8/TrRail_act!O14*1000)</f>
        <v>1671.1839646158005</v>
      </c>
      <c r="P26" s="54">
        <f>IF(P8=0,0,P8/TrRail_act!P14*1000)</f>
        <v>1564.0238853241292</v>
      </c>
      <c r="Q26" s="54">
        <f>IF(Q8=0,0,Q8/TrRail_act!Q14*1000)</f>
        <v>1288.2726663075352</v>
      </c>
      <c r="R26" s="54">
        <f>IF(R8=0,0,R8/TrRail_act!R14*1000)</f>
        <v>1242.8050895247031</v>
      </c>
      <c r="S26" s="54">
        <f>IF(S8=0,0,S8/TrRail_act!S14*1000)</f>
        <v>1163.1201470312362</v>
      </c>
      <c r="T26" s="54">
        <f>IF(T8=0,0,T8/TrRail_act!T14*1000)</f>
        <v>1192.9999156488511</v>
      </c>
      <c r="U26" s="54">
        <f>IF(U8=0,0,U8/TrRail_act!U14*1000)</f>
        <v>1152.5370541676789</v>
      </c>
      <c r="V26" s="54">
        <f>IF(V8=0,0,V8/TrRail_act!V14*1000)</f>
        <v>1185.2651992788622</v>
      </c>
      <c r="W26" s="54">
        <f>IF(W8=0,0,W8/TrRail_act!W14*1000)</f>
        <v>1304.8762020996667</v>
      </c>
      <c r="X26" s="54">
        <f>IF(X8=0,0,X8/TrRail_act!X14*1000)</f>
        <v>1081.3829054762089</v>
      </c>
      <c r="Y26" s="54">
        <f>IF(Y8=0,0,Y8/TrRail_act!Y14*1000)</f>
        <v>1039.2929519370589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1931.5291041321102</v>
      </c>
      <c r="C27" s="28">
        <f>IF(C9=0,0,C9/TrRail_act!C15*1000)</f>
        <v>1575.5369084990671</v>
      </c>
      <c r="D27" s="28">
        <f>IF(D9=0,0,D9/TrRail_act!D15*1000)</f>
        <v>1499.68915965015</v>
      </c>
      <c r="E27" s="28">
        <f>IF(E9=0,0,E9/TrRail_act!E15*1000)</f>
        <v>1424.7198957106925</v>
      </c>
      <c r="F27" s="28">
        <f>IF(F9=0,0,F9/TrRail_act!F15*1000)</f>
        <v>1379.3404546526051</v>
      </c>
      <c r="G27" s="28">
        <f>IF(G9=0,0,G9/TrRail_act!G15*1000)</f>
        <v>1168.1117671108659</v>
      </c>
      <c r="H27" s="28">
        <f>IF(H9=0,0,H9/TrRail_act!H15*1000)</f>
        <v>1202.0229744150324</v>
      </c>
      <c r="I27" s="28">
        <f>IF(I9=0,0,I9/TrRail_act!I15*1000)</f>
        <v>939.81967252708205</v>
      </c>
      <c r="J27" s="28">
        <f>IF(J9=0,0,J9/TrRail_act!J15*1000)</f>
        <v>936.82607853698801</v>
      </c>
      <c r="K27" s="28">
        <f>IF(K9=0,0,K9/TrRail_act!K15*1000)</f>
        <v>735.57765032830116</v>
      </c>
      <c r="L27" s="28">
        <f>IF(L9=0,0,L9/TrRail_act!L15*1000)</f>
        <v>799.31266466130455</v>
      </c>
      <c r="M27" s="28">
        <f>IF(M9=0,0,M9/TrRail_act!M15*1000)</f>
        <v>879.85644724657232</v>
      </c>
      <c r="N27" s="28">
        <f>IF(N9=0,0,N9/TrRail_act!N15*1000)</f>
        <v>750.60050465009363</v>
      </c>
      <c r="O27" s="28">
        <f>IF(O9=0,0,O9/TrRail_act!O15*1000)</f>
        <v>622.24901252459699</v>
      </c>
      <c r="P27" s="28">
        <f>IF(P9=0,0,P9/TrRail_act!P15*1000)</f>
        <v>736.2303022437693</v>
      </c>
      <c r="Q27" s="28">
        <f>IF(Q9=0,0,Q9/TrRail_act!Q15*1000)</f>
        <v>712.72410450064729</v>
      </c>
      <c r="R27" s="28">
        <f>IF(R9=0,0,R9/TrRail_act!R15*1000)</f>
        <v>641.32914628895503</v>
      </c>
      <c r="S27" s="28">
        <f>IF(S9=0,0,S9/TrRail_act!S15*1000)</f>
        <v>662.12716322651431</v>
      </c>
      <c r="T27" s="28">
        <f>IF(T9=0,0,T9/TrRail_act!T15*1000)</f>
        <v>463.7398702167427</v>
      </c>
      <c r="U27" s="28">
        <f>IF(U9=0,0,U9/TrRail_act!U15*1000)</f>
        <v>317.37587766386355</v>
      </c>
      <c r="V27" s="28">
        <f>IF(V9=0,0,V9/TrRail_act!V15*1000)</f>
        <v>347.76961741908292</v>
      </c>
      <c r="W27" s="28">
        <f>IF(W9=0,0,W9/TrRail_act!W15*1000)</f>
        <v>307.28802544423587</v>
      </c>
      <c r="X27" s="28">
        <f>IF(X9=0,0,X9/TrRail_act!X15*1000)</f>
        <v>353.37809473182966</v>
      </c>
      <c r="Y27" s="28">
        <f>IF(Y9=0,0,Y9/TrRail_act!Y15*1000)</f>
        <v>367.21257614039246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2592.7698553714708</v>
      </c>
      <c r="C29" s="110">
        <f>IF(C11=0,0,C11/TrRail_act!C17*1000)</f>
        <v>2083.3167994364753</v>
      </c>
      <c r="D29" s="110">
        <f>IF(D11=0,0,D11/TrRail_act!D17*1000)</f>
        <v>2010.677120373289</v>
      </c>
      <c r="E29" s="110">
        <f>IF(E11=0,0,E11/TrRail_act!E17*1000)</f>
        <v>1897.5874124162308</v>
      </c>
      <c r="F29" s="110">
        <f>IF(F11=0,0,F11/TrRail_act!F17*1000)</f>
        <v>1819.8314180623745</v>
      </c>
      <c r="G29" s="110">
        <f>IF(G11=0,0,G11/TrRail_act!G17*1000)</f>
        <v>1583.0607513315156</v>
      </c>
      <c r="H29" s="110">
        <f>IF(H11=0,0,H11/TrRail_act!H17*1000)</f>
        <v>1677.7864464169916</v>
      </c>
      <c r="I29" s="110">
        <f>IF(I11=0,0,I11/TrRail_act!I17*1000)</f>
        <v>1330.8640970130125</v>
      </c>
      <c r="J29" s="110">
        <f>IF(J11=0,0,J11/TrRail_act!J17*1000)</f>
        <v>1328.0727077856682</v>
      </c>
      <c r="K29" s="110">
        <f>IF(K11=0,0,K11/TrRail_act!K17*1000)</f>
        <v>1018.6953564130101</v>
      </c>
      <c r="L29" s="110">
        <f>IF(L11=0,0,L11/TrRail_act!L17*1000)</f>
        <v>1101.6961716991984</v>
      </c>
      <c r="M29" s="110">
        <f>IF(M11=0,0,M11/TrRail_act!M17*1000)</f>
        <v>1218.2935192095949</v>
      </c>
      <c r="N29" s="110">
        <f>IF(N11=0,0,N11/TrRail_act!N17*1000)</f>
        <v>1029.0681913431874</v>
      </c>
      <c r="O29" s="110">
        <f>IF(O11=0,0,O11/TrRail_act!O17*1000)</f>
        <v>856.92323432356488</v>
      </c>
      <c r="P29" s="110">
        <f>IF(P11=0,0,P11/TrRail_act!P17*1000)</f>
        <v>1002.2189095883689</v>
      </c>
      <c r="Q29" s="110">
        <f>IF(Q11=0,0,Q11/TrRail_act!Q17*1000)</f>
        <v>935.92357074505901</v>
      </c>
      <c r="R29" s="110">
        <f>IF(R11=0,0,R11/TrRail_act!R17*1000)</f>
        <v>866.17230092023033</v>
      </c>
      <c r="S29" s="110">
        <f>IF(S11=0,0,S11/TrRail_act!S17*1000)</f>
        <v>898.02751604066657</v>
      </c>
      <c r="T29" s="110">
        <f>IF(T11=0,0,T11/TrRail_act!T17*1000)</f>
        <v>646.9116280156934</v>
      </c>
      <c r="U29" s="110">
        <f>IF(U11=0,0,U11/TrRail_act!U17*1000)</f>
        <v>437.60812069916739</v>
      </c>
      <c r="V29" s="110">
        <f>IF(V11=0,0,V11/TrRail_act!V17*1000)</f>
        <v>496.45869757410935</v>
      </c>
      <c r="W29" s="110">
        <f>IF(W11=0,0,W11/TrRail_act!W17*1000)</f>
        <v>440.60699152478151</v>
      </c>
      <c r="X29" s="110">
        <f>IF(X11=0,0,X11/TrRail_act!X17*1000)</f>
        <v>478.90847314356603</v>
      </c>
      <c r="Y29" s="110">
        <f>IF(Y11=0,0,Y11/TrRail_act!Y17*1000)</f>
        <v>488.8017359666249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9504.1494478704972</v>
      </c>
      <c r="C30" s="84">
        <f>IF(C12=0,0,C12/TrRail_act!C18*1000)</f>
        <v>9084.5738791602998</v>
      </c>
      <c r="D30" s="84">
        <f>IF(D12=0,0,D12/TrRail_act!D18*1000)</f>
        <v>8816.9213065415079</v>
      </c>
      <c r="E30" s="84">
        <f>IF(E12=0,0,E12/TrRail_act!E18*1000)</f>
        <v>8328.9470975483637</v>
      </c>
      <c r="F30" s="84">
        <f>IF(F12=0,0,F12/TrRail_act!F18*1000)</f>
        <v>8191.9351782403546</v>
      </c>
      <c r="G30" s="84">
        <f>IF(G12=0,0,G12/TrRail_act!G18*1000)</f>
        <v>7844.4003232421346</v>
      </c>
      <c r="H30" s="84">
        <f>IF(H12=0,0,H12/TrRail_act!H18*1000)</f>
        <v>7763.1273718919965</v>
      </c>
      <c r="I30" s="84">
        <f>IF(I12=0,0,I12/TrRail_act!I18*1000)</f>
        <v>7641.3153094155487</v>
      </c>
      <c r="J30" s="84">
        <f>IF(J12=0,0,J12/TrRail_act!J18*1000)</f>
        <v>7458.2828925559215</v>
      </c>
      <c r="K30" s="84">
        <f>IF(K12=0,0,K12/TrRail_act!K18*1000)</f>
        <v>7231.110236434919</v>
      </c>
      <c r="L30" s="84">
        <f>IF(L12=0,0,L12/TrRail_act!L18*1000)</f>
        <v>7097.2677380877412</v>
      </c>
      <c r="M30" s="84">
        <f>IF(M12=0,0,M12/TrRail_act!M18*1000)</f>
        <v>7019.6384699337978</v>
      </c>
      <c r="N30" s="84">
        <f>IF(N12=0,0,N12/TrRail_act!N18*1000)</f>
        <v>6950.5280168721911</v>
      </c>
      <c r="O30" s="84">
        <f>IF(O12=0,0,O12/TrRail_act!O18*1000)</f>
        <v>6798.2501603725423</v>
      </c>
      <c r="P30" s="84">
        <f>IF(P12=0,0,P12/TrRail_act!P18*1000)</f>
        <v>6701.9055838389477</v>
      </c>
      <c r="Q30" s="84">
        <f>IF(Q12=0,0,Q12/TrRail_act!Q18*1000)</f>
        <v>6557.1767617720234</v>
      </c>
      <c r="R30" s="84">
        <f>IF(R12=0,0,R12/TrRail_act!R18*1000)</f>
        <v>6450.6849342387159</v>
      </c>
      <c r="S30" s="84">
        <f>IF(S12=0,0,S12/TrRail_act!S18*1000)</f>
        <v>6403.8123419561125</v>
      </c>
      <c r="T30" s="84">
        <f>IF(T12=0,0,T12/TrRail_act!T18*1000)</f>
        <v>6368.8815456967277</v>
      </c>
      <c r="U30" s="84">
        <f>IF(U12=0,0,U12/TrRail_act!U18*1000)</f>
        <v>6342.8085450701492</v>
      </c>
      <c r="V30" s="84">
        <f>IF(V12=0,0,V12/TrRail_act!V18*1000)</f>
        <v>6323.3238653072322</v>
      </c>
      <c r="W30" s="84">
        <f>IF(W12=0,0,W12/TrRail_act!W18*1000)</f>
        <v>6107.8258595899761</v>
      </c>
      <c r="X30" s="84">
        <f>IF(X12=0,0,X12/TrRail_act!X18*1000)</f>
        <v>6055.8522852101114</v>
      </c>
      <c r="Y30" s="84">
        <f>IF(Y12=0,0,Y12/TrRail_act!Y18*1000)</f>
        <v>6027.2008953523346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5950.8674017410085</v>
      </c>
      <c r="C33" s="28">
        <f>IF(C15=0,0,C15/TrRail_act!C21*1000)</f>
        <v>5800.3927977924659</v>
      </c>
      <c r="D33" s="28">
        <f>IF(D15=0,0,D15/TrRail_act!D21*1000)</f>
        <v>5424.240629098832</v>
      </c>
      <c r="E33" s="28">
        <f>IF(E15=0,0,E15/TrRail_act!E21*1000)</f>
        <v>5211.0007325477036</v>
      </c>
      <c r="F33" s="28">
        <f>IF(F15=0,0,F15/TrRail_act!F21*1000)</f>
        <v>5235.0475989718361</v>
      </c>
      <c r="G33" s="28">
        <f>IF(G15=0,0,G15/TrRail_act!G21*1000)</f>
        <v>5316.8994088184363</v>
      </c>
      <c r="H33" s="28">
        <f>IF(H15=0,0,H15/TrRail_act!H21*1000)</f>
        <v>5050.022887700854</v>
      </c>
      <c r="I33" s="28">
        <f>IF(I15=0,0,I15/TrRail_act!I21*1000)</f>
        <v>4282.7058973596604</v>
      </c>
      <c r="J33" s="28">
        <f>IF(J15=0,0,J15/TrRail_act!J21*1000)</f>
        <v>4357.8264847333103</v>
      </c>
      <c r="K33" s="28">
        <f>IF(K15=0,0,K15/TrRail_act!K21*1000)</f>
        <v>4433.451205101579</v>
      </c>
      <c r="L33" s="28">
        <f>IF(L15=0,0,L15/TrRail_act!L21*1000)</f>
        <v>4096.323157088118</v>
      </c>
      <c r="M33" s="28">
        <f>IF(M15=0,0,M15/TrRail_act!M21*1000)</f>
        <v>4150.2823147961344</v>
      </c>
      <c r="N33" s="28">
        <f>IF(N15=0,0,N15/TrRail_act!N21*1000)</f>
        <v>4425.436191406704</v>
      </c>
      <c r="O33" s="28">
        <f>IF(O15=0,0,O15/TrRail_act!O21*1000)</f>
        <v>4429.460452401263</v>
      </c>
      <c r="P33" s="28">
        <f>IF(P15=0,0,P15/TrRail_act!P21*1000)</f>
        <v>3540.1962984120983</v>
      </c>
      <c r="Q33" s="28">
        <f>IF(Q15=0,0,Q15/TrRail_act!Q21*1000)</f>
        <v>3038.3241243143038</v>
      </c>
      <c r="R33" s="28">
        <f>IF(R15=0,0,R15/TrRail_act!R21*1000)</f>
        <v>2848.7955297969129</v>
      </c>
      <c r="S33" s="28">
        <f>IF(S15=0,0,S15/TrRail_act!S21*1000)</f>
        <v>2403.1062575124902</v>
      </c>
      <c r="T33" s="28">
        <f>IF(T15=0,0,T15/TrRail_act!T21*1000)</f>
        <v>3091.5237462788705</v>
      </c>
      <c r="U33" s="28">
        <f>IF(U15=0,0,U15/TrRail_act!U21*1000)</f>
        <v>3669.2093852433441</v>
      </c>
      <c r="V33" s="28">
        <f>IF(V15=0,0,V15/TrRail_act!V21*1000)</f>
        <v>3163.6989782861538</v>
      </c>
      <c r="W33" s="28">
        <f>IF(W15=0,0,W15/TrRail_act!W21*1000)</f>
        <v>3648.8993465388653</v>
      </c>
      <c r="X33" s="28">
        <f>IF(X15=0,0,X15/TrRail_act!X21*1000)</f>
        <v>3199.5810774772285</v>
      </c>
      <c r="Y33" s="28">
        <f>IF(Y15=0,0,Y15/TrRail_act!Y21*1000)</f>
        <v>3267.6369316224086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17722.687423442949</v>
      </c>
      <c r="C34" s="84">
        <f>IF(C16=0,0,C16/TrRail_act!C22*1000)</f>
        <v>17360.002848850181</v>
      </c>
      <c r="D34" s="84">
        <f>IF(D16=0,0,D16/TrRail_act!D22*1000)</f>
        <v>17049.922533091412</v>
      </c>
      <c r="E34" s="84">
        <f>IF(E16=0,0,E16/TrRail_act!E22*1000)</f>
        <v>16502.999757775411</v>
      </c>
      <c r="F34" s="84">
        <f>IF(F16=0,0,F16/TrRail_act!F22*1000)</f>
        <v>16213.05578696261</v>
      </c>
      <c r="G34" s="84">
        <f>IF(G16=0,0,G16/TrRail_act!G22*1000)</f>
        <v>15864.960631134807</v>
      </c>
      <c r="H34" s="84">
        <f>IF(H16=0,0,H16/TrRail_act!H22*1000)</f>
        <v>15522.32999814598</v>
      </c>
      <c r="I34" s="84">
        <f>IF(I16=0,0,I16/TrRail_act!I22*1000)</f>
        <v>15429.187664308392</v>
      </c>
      <c r="J34" s="84">
        <f>IF(J16=0,0,J16/TrRail_act!J22*1000)</f>
        <v>15077.281404189584</v>
      </c>
      <c r="K34" s="84">
        <f>IF(K16=0,0,K16/TrRail_act!K22*1000)</f>
        <v>14768.198740236809</v>
      </c>
      <c r="L34" s="84">
        <f>IF(L16=0,0,L16/TrRail_act!L22*1000)</f>
        <v>14412.437151757544</v>
      </c>
      <c r="M34" s="84">
        <f>IF(M16=0,0,M16/TrRail_act!M22*1000)</f>
        <v>14495.604161851435</v>
      </c>
      <c r="N34" s="84">
        <f>IF(N16=0,0,N16/TrRail_act!N22*1000)</f>
        <v>14238.094895937887</v>
      </c>
      <c r="O34" s="84">
        <f>IF(O16=0,0,O16/TrRail_act!O22*1000)</f>
        <v>13878.350405604453</v>
      </c>
      <c r="P34" s="84">
        <f>IF(P16=0,0,P16/TrRail_act!P22*1000)</f>
        <v>13660.345065277952</v>
      </c>
      <c r="Q34" s="84">
        <f>IF(Q16=0,0,Q16/TrRail_act!Q22*1000)</f>
        <v>13373.753124312281</v>
      </c>
      <c r="R34" s="84">
        <f>IF(R16=0,0,R16/TrRail_act!R22*1000)</f>
        <v>13162.761917554564</v>
      </c>
      <c r="S34" s="84">
        <f>IF(S16=0,0,S16/TrRail_act!S22*1000)</f>
        <v>13006.705861849605</v>
      </c>
      <c r="T34" s="84">
        <f>IF(T16=0,0,T16/TrRail_act!T22*1000)</f>
        <v>12890.87920544458</v>
      </c>
      <c r="U34" s="84">
        <f>IF(U16=0,0,U16/TrRail_act!U22*1000)</f>
        <v>12804.686608325383</v>
      </c>
      <c r="V34" s="84">
        <f>IF(V16=0,0,V16/TrRail_act!V22*1000)</f>
        <v>12740.420576177719</v>
      </c>
      <c r="W34" s="84">
        <f>IF(W16=0,0,W16/TrRail_act!W22*1000)</f>
        <v>12288.198725100059</v>
      </c>
      <c r="X34" s="84">
        <f>IF(X16=0,0,X16/TrRail_act!X22*1000)</f>
        <v>12170.243951860641</v>
      </c>
      <c r="Y34" s="84">
        <f>IF(Y16=0,0,Y16/TrRail_act!Y22*1000)</f>
        <v>12102.678615154293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13.120138503022769</v>
      </c>
      <c r="C38" s="29">
        <f>IF(C9=0,0,C9/TrRail_act!C4*1000)</f>
        <v>11.78405784415976</v>
      </c>
      <c r="D38" s="29">
        <f>IF(D9=0,0,D9/TrRail_act!D4*1000)</f>
        <v>11.718679435431987</v>
      </c>
      <c r="E38" s="29">
        <f>IF(E9=0,0,E9/TrRail_act!E4*1000)</f>
        <v>12.008914374912951</v>
      </c>
      <c r="F38" s="29">
        <f>IF(F9=0,0,F9/TrRail_act!F4*1000)</f>
        <v>11.55236794952557</v>
      </c>
      <c r="G38" s="29">
        <f>IF(G9=0,0,G9/TrRail_act!G4*1000)</f>
        <v>9.685529147924429</v>
      </c>
      <c r="H38" s="29">
        <f>IF(H9=0,0,H9/TrRail_act!H4*1000)</f>
        <v>9.7921709956348462</v>
      </c>
      <c r="I38" s="29">
        <f>IF(I9=0,0,I9/TrRail_act!I4*1000)</f>
        <v>7.5343496524011275</v>
      </c>
      <c r="J38" s="29">
        <f>IF(J9=0,0,J9/TrRail_act!J4*1000)</f>
        <v>7.2577114838577508</v>
      </c>
      <c r="K38" s="29">
        <f>IF(K9=0,0,K9/TrRail_act!K4*1000)</f>
        <v>6.2838695394544501</v>
      </c>
      <c r="L38" s="29">
        <f>IF(L9=0,0,L9/TrRail_act!L4*1000)</f>
        <v>6.873592231683805</v>
      </c>
      <c r="M38" s="29">
        <f>IF(M9=0,0,M9/TrRail_act!M4*1000)</f>
        <v>7.7533644513276556</v>
      </c>
      <c r="N38" s="29">
        <f>IF(N9=0,0,N9/TrRail_act!N4*1000)</f>
        <v>6.5649335713320358</v>
      </c>
      <c r="O38" s="29">
        <f>IF(O9=0,0,O9/TrRail_act!O4*1000)</f>
        <v>5.4700956598402328</v>
      </c>
      <c r="P38" s="29">
        <f>IF(P9=0,0,P9/TrRail_act!P4*1000)</f>
        <v>6.535167754501825</v>
      </c>
      <c r="Q38" s="29">
        <f>IF(Q9=0,0,Q9/TrRail_act!Q4*1000)</f>
        <v>6.3245011509651325</v>
      </c>
      <c r="R38" s="29">
        <f>IF(R9=0,0,R9/TrRail_act!R4*1000)</f>
        <v>5.7293432387821062</v>
      </c>
      <c r="S38" s="29">
        <f>IF(S9=0,0,S9/TrRail_act!S4*1000)</f>
        <v>5.6160142866814464</v>
      </c>
      <c r="T38" s="29">
        <f>IF(T9=0,0,T9/TrRail_act!T4*1000)</f>
        <v>3.9625784399984365</v>
      </c>
      <c r="U38" s="29">
        <f>IF(U9=0,0,U9/TrRail_act!U4*1000)</f>
        <v>2.5977364752547647</v>
      </c>
      <c r="V38" s="29">
        <f>IF(V9=0,0,V9/TrRail_act!V4*1000)</f>
        <v>3.8831008187108358</v>
      </c>
      <c r="W38" s="29">
        <f>IF(W9=0,0,W9/TrRail_act!W4*1000)</f>
        <v>3.4480000200433083</v>
      </c>
      <c r="X38" s="29">
        <f>IF(X9=0,0,X9/TrRail_act!X4*1000)</f>
        <v>2.7573997405364539</v>
      </c>
      <c r="Y38" s="29">
        <f>IF(Y9=0,0,Y9/TrRail_act!Y4*1000)</f>
        <v>2.5728092851307767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15.355363059026649</v>
      </c>
      <c r="C40" s="116">
        <f>IF(C11=0,0,C11/TrRail_act!C6*1000)</f>
        <v>13.849010997112149</v>
      </c>
      <c r="D40" s="116">
        <f>IF(D11=0,0,D11/TrRail_act!D6*1000)</f>
        <v>14.120953495004519</v>
      </c>
      <c r="E40" s="116">
        <f>IF(E11=0,0,E11/TrRail_act!E6*1000)</f>
        <v>14.773107763376823</v>
      </c>
      <c r="F40" s="116">
        <f>IF(F11=0,0,F11/TrRail_act!F6*1000)</f>
        <v>14.033048841508334</v>
      </c>
      <c r="G40" s="116">
        <f>IF(G11=0,0,G11/TrRail_act!G6*1000)</f>
        <v>12.245297981777522</v>
      </c>
      <c r="H40" s="116">
        <f>IF(H11=0,0,H11/TrRail_act!H6*1000)</f>
        <v>12.816548446460553</v>
      </c>
      <c r="I40" s="116">
        <f>IF(I11=0,0,I11/TrRail_act!I6*1000)</f>
        <v>10.125902065672308</v>
      </c>
      <c r="J40" s="116">
        <f>IF(J11=0,0,J11/TrRail_act!J6*1000)</f>
        <v>9.699518787756249</v>
      </c>
      <c r="K40" s="116">
        <f>IF(K11=0,0,K11/TrRail_act!K6*1000)</f>
        <v>8.465555296428855</v>
      </c>
      <c r="L40" s="116">
        <f>IF(L11=0,0,L11/TrRail_act!L6*1000)</f>
        <v>9.3275560846519348</v>
      </c>
      <c r="M40" s="116">
        <f>IF(M11=0,0,M11/TrRail_act!M6*1000)</f>
        <v>10.744262052470123</v>
      </c>
      <c r="N40" s="116">
        <f>IF(N11=0,0,N11/TrRail_act!N6*1000)</f>
        <v>8.9998984126376342</v>
      </c>
      <c r="O40" s="116">
        <f>IF(O11=0,0,O11/TrRail_act!O6*1000)</f>
        <v>7.5977238867562455</v>
      </c>
      <c r="P40" s="116">
        <f>IF(P11=0,0,P11/TrRail_act!P6*1000)</f>
        <v>8.8966767324186105</v>
      </c>
      <c r="Q40" s="116">
        <f>IF(Q11=0,0,Q11/TrRail_act!Q6*1000)</f>
        <v>8.2645642584783126</v>
      </c>
      <c r="R40" s="116">
        <f>IF(R11=0,0,R11/TrRail_act!R6*1000)</f>
        <v>7.7362571222211569</v>
      </c>
      <c r="S40" s="116">
        <f>IF(S11=0,0,S11/TrRail_act!S6*1000)</f>
        <v>7.5475572983437926</v>
      </c>
      <c r="T40" s="116">
        <f>IF(T11=0,0,T11/TrRail_act!T6*1000)</f>
        <v>5.4985769316602555</v>
      </c>
      <c r="U40" s="116">
        <f>IF(U11=0,0,U11/TrRail_act!U6*1000)</f>
        <v>3.5246653789021014</v>
      </c>
      <c r="V40" s="116">
        <f>IF(V11=0,0,V11/TrRail_act!V6*1000)</f>
        <v>5.263084493797562</v>
      </c>
      <c r="W40" s="116">
        <f>IF(W11=0,0,W11/TrRail_act!W6*1000)</f>
        <v>4.5721288169665035</v>
      </c>
      <c r="X40" s="116">
        <f>IF(X11=0,0,X11/TrRail_act!X6*1000)</f>
        <v>3.3821604003671384</v>
      </c>
      <c r="Y40" s="116">
        <f>IF(Y11=0,0,Y11/TrRail_act!Y6*1000)</f>
        <v>3.1319104143337273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82.419971645104511</v>
      </c>
      <c r="C41" s="87">
        <f>IF(C12=0,0,C12/TrRail_act!C7*1000)</f>
        <v>81.324424006573054</v>
      </c>
      <c r="D41" s="87">
        <f>IF(D12=0,0,D12/TrRail_act!D7*1000)</f>
        <v>81.233384526265752</v>
      </c>
      <c r="E41" s="87">
        <f>IF(E12=0,0,E12/TrRail_act!E7*1000)</f>
        <v>79.224294805986901</v>
      </c>
      <c r="F41" s="87">
        <f>IF(F12=0,0,F12/TrRail_act!F7*1000)</f>
        <v>77.829244516463376</v>
      </c>
      <c r="G41" s="87">
        <f>IF(G12=0,0,G12/TrRail_act!G7*1000)</f>
        <v>73.457185344821852</v>
      </c>
      <c r="H41" s="87">
        <f>IF(H12=0,0,H12/TrRail_act!H7*1000)</f>
        <v>73.413189866224272</v>
      </c>
      <c r="I41" s="87">
        <f>IF(I12=0,0,I12/TrRail_act!I7*1000)</f>
        <v>69.656773553335583</v>
      </c>
      <c r="J41" s="87">
        <f>IF(J12=0,0,J12/TrRail_act!J7*1000)</f>
        <v>71.682692708862248</v>
      </c>
      <c r="K41" s="87">
        <f>IF(K12=0,0,K12/TrRail_act!K7*1000)</f>
        <v>79.4856367593854</v>
      </c>
      <c r="L41" s="87">
        <f>IF(L12=0,0,L12/TrRail_act!L7*1000)</f>
        <v>69.252526969823975</v>
      </c>
      <c r="M41" s="87">
        <f>IF(M12=0,0,M12/TrRail_act!M7*1000)</f>
        <v>69.763362125106468</v>
      </c>
      <c r="N41" s="87">
        <f>IF(N12=0,0,N12/TrRail_act!N7*1000)</f>
        <v>69.7210892318151</v>
      </c>
      <c r="O41" s="87">
        <f>IF(O12=0,0,O12/TrRail_act!O7*1000)</f>
        <v>76.919093047721432</v>
      </c>
      <c r="P41" s="87">
        <f>IF(P12=0,0,P12/TrRail_act!P7*1000)</f>
        <v>63.289018396201186</v>
      </c>
      <c r="Q41" s="87">
        <f>IF(Q12=0,0,Q12/TrRail_act!Q7*1000)</f>
        <v>62.154575290243677</v>
      </c>
      <c r="R41" s="87">
        <f>IF(R12=0,0,R12/TrRail_act!R7*1000)</f>
        <v>62.821704867434605</v>
      </c>
      <c r="S41" s="87">
        <f>IF(S12=0,0,S12/TrRail_act!S7*1000)</f>
        <v>62.313868199761473</v>
      </c>
      <c r="T41" s="87">
        <f>IF(T12=0,0,T12/TrRail_act!T7*1000)</f>
        <v>66.088928083456324</v>
      </c>
      <c r="U41" s="87">
        <f>IF(U12=0,0,U12/TrRail_act!U7*1000)</f>
        <v>64.836772397894919</v>
      </c>
      <c r="V41" s="87">
        <f>IF(V12=0,0,V12/TrRail_act!V7*1000)</f>
        <v>100.84233114445681</v>
      </c>
      <c r="W41" s="87">
        <f>IF(W12=0,0,W12/TrRail_act!W7*1000)</f>
        <v>82.183239457147522</v>
      </c>
      <c r="X41" s="87">
        <f>IF(X12=0,0,X12/TrRail_act!X7*1000)</f>
        <v>69.494051577597148</v>
      </c>
      <c r="Y41" s="87">
        <f>IF(Y12=0,0,Y12/TrRail_act!Y7*1000)</f>
        <v>64.372128297453784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9.7517907589992223</v>
      </c>
      <c r="C44" s="29">
        <f>IF(C15=0,0,C15/TrRail_act!C10*1000)</f>
        <v>9.6962366975047818</v>
      </c>
      <c r="D44" s="29">
        <f>IF(D15=0,0,D15/TrRail_act!D10*1000)</f>
        <v>9.1967812443502286</v>
      </c>
      <c r="E44" s="29">
        <f>IF(E15=0,0,E15/TrRail_act!E10*1000)</f>
        <v>8.7057506478076583</v>
      </c>
      <c r="F44" s="29">
        <f>IF(F15=0,0,F15/TrRail_act!F10*1000)</f>
        <v>9.065626414209639</v>
      </c>
      <c r="G44" s="29">
        <f>IF(G15=0,0,G15/TrRail_act!G10*1000)</f>
        <v>9.4013705678663317</v>
      </c>
      <c r="H44" s="29">
        <f>IF(H15=0,0,H15/TrRail_act!H10*1000)</f>
        <v>8.7244395184213364</v>
      </c>
      <c r="I44" s="29">
        <f>IF(I15=0,0,I15/TrRail_act!I10*1000)</f>
        <v>7.5289419660705335</v>
      </c>
      <c r="J44" s="29">
        <f>IF(J15=0,0,J15/TrRail_act!J10*1000)</f>
        <v>7.5013988826200295</v>
      </c>
      <c r="K44" s="29">
        <f>IF(K15=0,0,K15/TrRail_act!K10*1000)</f>
        <v>7.5972471990627568</v>
      </c>
      <c r="L44" s="29">
        <f>IF(L15=0,0,L15/TrRail_act!L10*1000)</f>
        <v>6.915709238150912</v>
      </c>
      <c r="M44" s="29">
        <f>IF(M15=0,0,M15/TrRail_act!M10*1000)</f>
        <v>7.1685451226729393</v>
      </c>
      <c r="N44" s="29">
        <f>IF(N15=0,0,N15/TrRail_act!N10*1000)</f>
        <v>7.7086105553805435</v>
      </c>
      <c r="O44" s="29">
        <f>IF(O15=0,0,O15/TrRail_act!O10*1000)</f>
        <v>7.1584352765840995</v>
      </c>
      <c r="P44" s="29">
        <f>IF(P15=0,0,P15/TrRail_act!P10*1000)</f>
        <v>6.0181568085250428</v>
      </c>
      <c r="Q44" s="29">
        <f>IF(Q15=0,0,Q15/TrRail_act!Q10*1000)</f>
        <v>4.8479046896801314</v>
      </c>
      <c r="R44" s="29">
        <f>IF(R15=0,0,R15/TrRail_act!R10*1000)</f>
        <v>4.4302683446668931</v>
      </c>
      <c r="S44" s="29">
        <f>IF(S15=0,0,S15/TrRail_act!S10*1000)</f>
        <v>3.8376595162179852</v>
      </c>
      <c r="T44" s="29">
        <f>IF(T15=0,0,T15/TrRail_act!T10*1000)</f>
        <v>4.7123646993817125</v>
      </c>
      <c r="U44" s="29">
        <f>IF(U15=0,0,U15/TrRail_act!U10*1000)</f>
        <v>5.4111452178670376</v>
      </c>
      <c r="V44" s="29">
        <f>IF(V15=0,0,V15/TrRail_act!V10*1000)</f>
        <v>4.9884539634975891</v>
      </c>
      <c r="W44" s="29">
        <f>IF(W15=0,0,W15/TrRail_act!W10*1000)</f>
        <v>5.5088918253130075</v>
      </c>
      <c r="X44" s="29">
        <f>IF(X15=0,0,X15/TrRail_act!X10*1000)</f>
        <v>4.9808189893421702</v>
      </c>
      <c r="Y44" s="29">
        <f>IF(Y15=0,0,Y15/TrRail_act!Y10*1000)</f>
        <v>5.0838502703266109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28.632419173902729</v>
      </c>
      <c r="C45" s="87">
        <f>IF(C16=0,0,C16/TrRail_act!C11*1000)</f>
        <v>27.98446498161297</v>
      </c>
      <c r="D45" s="87">
        <f>IF(D16=0,0,D16/TrRail_act!D11*1000)</f>
        <v>27.850749831820266</v>
      </c>
      <c r="E45" s="87">
        <f>IF(E16=0,0,E16/TrRail_act!E11*1000)</f>
        <v>26.033010607024291</v>
      </c>
      <c r="F45" s="87">
        <f>IF(F16=0,0,F16/TrRail_act!F11*1000)</f>
        <v>26.319000959963279</v>
      </c>
      <c r="G45" s="87">
        <f>IF(G16=0,0,G16/TrRail_act!G11*1000)</f>
        <v>25.926190724323806</v>
      </c>
      <c r="H45" s="87">
        <f>IF(H16=0,0,H16/TrRail_act!H11*1000)</f>
        <v>24.807970980534765</v>
      </c>
      <c r="I45" s="87">
        <f>IF(I16=0,0,I16/TrRail_act!I11*1000)</f>
        <v>24.970333268417086</v>
      </c>
      <c r="J45" s="87">
        <f>IF(J16=0,0,J16/TrRail_act!J11*1000)</f>
        <v>24.087102933681862</v>
      </c>
      <c r="K45" s="87">
        <f>IF(K16=0,0,K16/TrRail_act!K11*1000)</f>
        <v>23.42577509447004</v>
      </c>
      <c r="L45" s="87">
        <f>IF(L16=0,0,L16/TrRail_act!L11*1000)</f>
        <v>22.10083278093413</v>
      </c>
      <c r="M45" s="87">
        <f>IF(M16=0,0,M16/TrRail_act!M11*1000)</f>
        <v>21.74149028719749</v>
      </c>
      <c r="N45" s="87">
        <f>IF(N16=0,0,N16/TrRail_act!N11*1000)</f>
        <v>21.449669100539275</v>
      </c>
      <c r="O45" s="87">
        <f>IF(O16=0,0,O16/TrRail_act!O11*1000)</f>
        <v>21.477756110806261</v>
      </c>
      <c r="P45" s="87">
        <f>IF(P16=0,0,P16/TrRail_act!P11*1000)</f>
        <v>18.916082301581898</v>
      </c>
      <c r="Q45" s="87">
        <f>IF(Q16=0,0,Q16/TrRail_act!Q11*1000)</f>
        <v>17.612612208493399</v>
      </c>
      <c r="R45" s="87">
        <f>IF(R16=0,0,R16/TrRail_act!R11*1000)</f>
        <v>16.817760335727744</v>
      </c>
      <c r="S45" s="87">
        <f>IF(S16=0,0,S16/TrRail_act!S11*1000)</f>
        <v>15.817695135240214</v>
      </c>
      <c r="T45" s="87">
        <f>IF(T16=0,0,T16/TrRail_act!T11*1000)</f>
        <v>18.621183837231204</v>
      </c>
      <c r="U45" s="87">
        <f>IF(U16=0,0,U16/TrRail_act!U11*1000)</f>
        <v>21.175434060898318</v>
      </c>
      <c r="V45" s="87">
        <f>IF(V16=0,0,V16/TrRail_act!V11*1000)</f>
        <v>20.396988653150277</v>
      </c>
      <c r="W45" s="87">
        <f>IF(W16=0,0,W16/TrRail_act!W11*1000)</f>
        <v>19.304244701157163</v>
      </c>
      <c r="X45" s="87">
        <f>IF(X16=0,0,X16/TrRail_act!X11*1000)</f>
        <v>18.151363498028559</v>
      </c>
      <c r="Y45" s="87">
        <f>IF(Y16=0,0,Y16/TrRail_act!Y11*1000)</f>
        <v>16.913095712881486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548.92726459791686</v>
      </c>
      <c r="C48" s="62">
        <f>IF(C8=0,0,1000000*C8/TrRail_act!C25/1000)</f>
        <v>491.18163057118005</v>
      </c>
      <c r="D48" s="62">
        <f>IF(D8=0,0,1000000*D8/TrRail_act!D25/1000)</f>
        <v>454.4819962970015</v>
      </c>
      <c r="E48" s="62">
        <f>IF(E8=0,0,1000000*E8/TrRail_act!E25/1000)</f>
        <v>428.84974834000002</v>
      </c>
      <c r="F48" s="62">
        <f>IF(F8=0,0,1000000*F8/TrRail_act!F25/1000)</f>
        <v>430.59020533062733</v>
      </c>
      <c r="G48" s="62">
        <f>IF(G8=0,0,1000000*G8/TrRail_act!G25/1000)</f>
        <v>411.99949981074991</v>
      </c>
      <c r="H48" s="62">
        <f>IF(H8=0,0,1000000*H8/TrRail_act!H25/1000)</f>
        <v>423.65230752620766</v>
      </c>
      <c r="I48" s="62">
        <f>IF(I8=0,0,1000000*I8/TrRail_act!I25/1000)</f>
        <v>337.84822616153963</v>
      </c>
      <c r="J48" s="62">
        <f>IF(J8=0,0,1000000*J8/TrRail_act!J25/1000)</f>
        <v>345.5940400107558</v>
      </c>
      <c r="K48" s="62">
        <f>IF(K8=0,0,1000000*K8/TrRail_act!K25/1000)</f>
        <v>281.86530251498567</v>
      </c>
      <c r="L48" s="62">
        <f>IF(L8=0,0,1000000*L8/TrRail_act!L25/1000)</f>
        <v>289.21422472268682</v>
      </c>
      <c r="M48" s="62">
        <f>IF(M8=0,0,1000000*M8/TrRail_act!M25/1000)</f>
        <v>300.17325271497668</v>
      </c>
      <c r="N48" s="62">
        <f>IF(N8=0,0,1000000*N8/TrRail_act!N25/1000)</f>
        <v>293.26538108606888</v>
      </c>
      <c r="O48" s="62">
        <f>IF(O8=0,0,1000000*O8/TrRail_act!O25/1000)</f>
        <v>270.3611412574644</v>
      </c>
      <c r="P48" s="62">
        <f>IF(P8=0,0,1000000*P8/TrRail_act!P25/1000)</f>
        <v>251.79146449348627</v>
      </c>
      <c r="Q48" s="62">
        <f>IF(Q8=0,0,1000000*Q8/TrRail_act!Q25/1000)</f>
        <v>199.7255906199141</v>
      </c>
      <c r="R48" s="62">
        <f>IF(R8=0,0,1000000*R8/TrRail_act!R25/1000)</f>
        <v>197.26233983175777</v>
      </c>
      <c r="S48" s="62">
        <f>IF(S8=0,0,1000000*S8/TrRail_act!S25/1000)</f>
        <v>187.33368903398625</v>
      </c>
      <c r="T48" s="62">
        <f>IF(T8=0,0,1000000*T8/TrRail_act!T25/1000)</f>
        <v>190.42581000331955</v>
      </c>
      <c r="U48" s="62">
        <f>IF(U8=0,0,1000000*U8/TrRail_act!U25/1000)</f>
        <v>179.14949583251445</v>
      </c>
      <c r="V48" s="62">
        <f>IF(V8=0,0,1000000*V8/TrRail_act!V25/1000)</f>
        <v>169.47488506772441</v>
      </c>
      <c r="W48" s="62">
        <f>IF(W8=0,0,1000000*W8/TrRail_act!W25/1000)</f>
        <v>195.80453550057052</v>
      </c>
      <c r="X48" s="62">
        <f>IF(X8=0,0,1000000*X8/TrRail_act!X25/1000)</f>
        <v>168.69159093620348</v>
      </c>
      <c r="Y48" s="62">
        <f>IF(Y8=0,0,1000000*Y8/TrRail_act!Y25/1000)</f>
        <v>160.67294122591784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269.44140827001911</v>
      </c>
      <c r="C49" s="29">
        <f>IF(C9=0,0,1000000*C9/TrRail_act!C26/1000)</f>
        <v>219.76568813966801</v>
      </c>
      <c r="D49" s="29">
        <f>IF(D9=0,0,1000000*D9/TrRail_act!D26/1000)</f>
        <v>211.48637894126455</v>
      </c>
      <c r="E49" s="29">
        <f>IF(E9=0,0,1000000*E9/TrRail_act!E26/1000)</f>
        <v>203.20881602125482</v>
      </c>
      <c r="F49" s="29">
        <f>IF(F9=0,0,1000000*F9/TrRail_act!F26/1000)</f>
        <v>195.29621171101422</v>
      </c>
      <c r="G49" s="29">
        <f>IF(G9=0,0,1000000*G9/TrRail_act!G26/1000)</f>
        <v>168.76099019989212</v>
      </c>
      <c r="H49" s="29">
        <f>IF(H9=0,0,1000000*H9/TrRail_act!H26/1000)</f>
        <v>175.96078706496078</v>
      </c>
      <c r="I49" s="29">
        <f>IF(I9=0,0,1000000*I9/TrRail_act!I26/1000)</f>
        <v>138.49793718171182</v>
      </c>
      <c r="J49" s="29">
        <f>IF(J9=0,0,1000000*J9/TrRail_act!J26/1000)</f>
        <v>140.11979277062548</v>
      </c>
      <c r="K49" s="29">
        <f>IF(K9=0,0,1000000*K9/TrRail_act!K26/1000)</f>
        <v>109.51446710738335</v>
      </c>
      <c r="L49" s="29">
        <f>IF(L9=0,0,1000000*L9/TrRail_act!L26/1000)</f>
        <v>119.81488538590781</v>
      </c>
      <c r="M49" s="29">
        <f>IF(M9=0,0,1000000*M9/TrRail_act!M26/1000)</f>
        <v>132.75470230402081</v>
      </c>
      <c r="N49" s="29">
        <f>IF(N9=0,0,1000000*N9/TrRail_act!N26/1000)</f>
        <v>112.94072616793898</v>
      </c>
      <c r="O49" s="29">
        <f>IF(O9=0,0,1000000*O9/TrRail_act!O26/1000)</f>
        <v>93.845966089152398</v>
      </c>
      <c r="P49" s="29">
        <f>IF(P9=0,0,1000000*P9/TrRail_act!P26/1000)</f>
        <v>109.78345677226385</v>
      </c>
      <c r="Q49" s="29">
        <f>IF(Q9=0,0,1000000*Q9/TrRail_act!Q26/1000)</f>
        <v>105.19349201270002</v>
      </c>
      <c r="R49" s="29">
        <f>IF(R9=0,0,1000000*R9/TrRail_act!R26/1000)</f>
        <v>94.549936177680905</v>
      </c>
      <c r="S49" s="29">
        <f>IF(S9=0,0,1000000*S9/TrRail_act!S26/1000)</f>
        <v>98.866070033506844</v>
      </c>
      <c r="T49" s="29">
        <f>IF(T9=0,0,1000000*T9/TrRail_act!T26/1000)</f>
        <v>68.694245676991031</v>
      </c>
      <c r="U49" s="29">
        <f>IF(U9=0,0,1000000*U9/TrRail_act!U26/1000)</f>
        <v>46.7078974398216</v>
      </c>
      <c r="V49" s="29">
        <f>IF(V9=0,0,1000000*V9/TrRail_act!V26/1000)</f>
        <v>44.371211497176489</v>
      </c>
      <c r="W49" s="29">
        <f>IF(W9=0,0,1000000*W9/TrRail_act!W26/1000)</f>
        <v>41.680688255935799</v>
      </c>
      <c r="X49" s="29">
        <f>IF(X9=0,0,1000000*X9/TrRail_act!X26/1000)</f>
        <v>52.008931878760308</v>
      </c>
      <c r="Y49" s="29">
        <f>IF(Y9=0,0,1000000*Y9/TrRail_act!Y26/1000)</f>
        <v>53.779093937995022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388.91547504308807</v>
      </c>
      <c r="C51" s="116">
        <f>IF(C11=0,0,1000000*C11/TrRail_act!C28/1000)</f>
        <v>312.49751817450988</v>
      </c>
      <c r="D51" s="116">
        <f>IF(D11=0,0,1000000*D11/TrRail_act!D28/1000)</f>
        <v>301.60156423644918</v>
      </c>
      <c r="E51" s="116">
        <f>IF(E11=0,0,1000000*E11/TrRail_act!E28/1000)</f>
        <v>284.63810992900744</v>
      </c>
      <c r="F51" s="116">
        <f>IF(F11=0,0,1000000*F11/TrRail_act!F28/1000)</f>
        <v>272.97471066822823</v>
      </c>
      <c r="G51" s="116">
        <f>IF(G11=0,0,1000000*G11/TrRail_act!G28/1000)</f>
        <v>237.45911143708372</v>
      </c>
      <c r="H51" s="116">
        <f>IF(H11=0,0,1000000*H11/TrRail_act!H28/1000)</f>
        <v>251.66796597165649</v>
      </c>
      <c r="I51" s="116">
        <f>IF(I11=0,0,1000000*I11/TrRail_act!I28/1000)</f>
        <v>196.80108427735806</v>
      </c>
      <c r="J51" s="116">
        <f>IF(J11=0,0,1000000*J11/TrRail_act!J28/1000)</f>
        <v>199.21090485891503</v>
      </c>
      <c r="K51" s="116">
        <f>IF(K11=0,0,1000000*K11/TrRail_act!K28/1000)</f>
        <v>152.29185530740506</v>
      </c>
      <c r="L51" s="116">
        <f>IF(L11=0,0,1000000*L11/TrRail_act!L28/1000)</f>
        <v>165.2544243446014</v>
      </c>
      <c r="M51" s="116">
        <f>IF(M11=0,0,1000000*M11/TrRail_act!M28/1000)</f>
        <v>182.74402692751872</v>
      </c>
      <c r="N51" s="116">
        <f>IF(N11=0,0,1000000*N11/TrRail_act!N28/1000)</f>
        <v>154.30736040114186</v>
      </c>
      <c r="O51" s="116">
        <f>IF(O11=0,0,1000000*O11/TrRail_act!O28/1000)</f>
        <v>128.11904501059738</v>
      </c>
      <c r="P51" s="116">
        <f>IF(P11=0,0,1000000*P11/TrRail_act!P28/1000)</f>
        <v>150.33283556993669</v>
      </c>
      <c r="Q51" s="116">
        <f>IF(Q11=0,0,1000000*Q11/TrRail_act!Q28/1000)</f>
        <v>140.38853518816572</v>
      </c>
      <c r="R51" s="116">
        <f>IF(R11=0,0,1000000*R11/TrRail_act!R28/1000)</f>
        <v>128.8649099938705</v>
      </c>
      <c r="S51" s="116">
        <f>IF(S11=0,0,1000000*S11/TrRail_act!S28/1000)</f>
        <v>134.70412693055641</v>
      </c>
      <c r="T51" s="116">
        <f>IF(T11=0,0,1000000*T11/TrRail_act!T28/1000)</f>
        <v>95.631451602899887</v>
      </c>
      <c r="U51" s="116">
        <f>IF(U11=0,0,1000000*U11/TrRail_act!U28/1000)</f>
        <v>63.95367067682497</v>
      </c>
      <c r="V51" s="116">
        <f>IF(V11=0,0,1000000*V11/TrRail_act!V28/1000)</f>
        <v>61.548578804197625</v>
      </c>
      <c r="W51" s="116">
        <f>IF(W11=0,0,1000000*W11/TrRail_act!W28/1000)</f>
        <v>58.537205332839271</v>
      </c>
      <c r="X51" s="116">
        <f>IF(X11=0,0,1000000*X11/TrRail_act!X28/1000)</f>
        <v>71.836270497848702</v>
      </c>
      <c r="Y51" s="116">
        <f>IF(Y11=0,0,1000000*Y11/TrRail_act!Y28/1000)</f>
        <v>73.320260025010427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1425.6224009164468</v>
      </c>
      <c r="C52" s="87">
        <f>IF(C12=0,0,1000000*C12/TrRail_act!C29/1000)</f>
        <v>1362.6860603530761</v>
      </c>
      <c r="D52" s="87">
        <f>IF(D12=0,0,1000000*D12/TrRail_act!D29/1000)</f>
        <v>1322.5381593833997</v>
      </c>
      <c r="E52" s="87">
        <f>IF(E12=0,0,1000000*E12/TrRail_act!E29/1000)</f>
        <v>1249.3420436764147</v>
      </c>
      <c r="F52" s="87">
        <f>IF(F12=0,0,1000000*F12/TrRail_act!F29/1000)</f>
        <v>1228.7902446432252</v>
      </c>
      <c r="G52" s="87">
        <f>IF(G12=0,0,1000000*G12/TrRail_act!G29/1000)</f>
        <v>1176.6600212725416</v>
      </c>
      <c r="H52" s="87">
        <f>IF(H12=0,0,1000000*H12/TrRail_act!H29/1000)</f>
        <v>1164.4690885886614</v>
      </c>
      <c r="I52" s="87">
        <f>IF(I12=0,0,1000000*I12/TrRail_act!I29/1000)</f>
        <v>1058.8216439415658</v>
      </c>
      <c r="J52" s="87">
        <f>IF(J12=0,0,1000000*J12/TrRail_act!J29/1000)</f>
        <v>1118.7424000699682</v>
      </c>
      <c r="K52" s="87">
        <f>IF(K12=0,0,1000000*K12/TrRail_act!K29/1000)</f>
        <v>1059.3631677428352</v>
      </c>
      <c r="L52" s="87">
        <f>IF(L12=0,0,1000000*L12/TrRail_act!L29/1000)</f>
        <v>1064.5901314850755</v>
      </c>
      <c r="M52" s="87">
        <f>IF(M12=0,0,1000000*M12/TrRail_act!M29/1000)</f>
        <v>1052.9457469786073</v>
      </c>
      <c r="N52" s="87">
        <f>IF(N12=0,0,1000000*N12/TrRail_act!N29/1000)</f>
        <v>1040.1721578118882</v>
      </c>
      <c r="O52" s="87">
        <f>IF(O12=0,0,1000000*O12/TrRail_act!O29/1000)</f>
        <v>993.92300856677093</v>
      </c>
      <c r="P52" s="87">
        <f>IF(P12=0,0,1000000*P12/TrRail_act!P29/1000)</f>
        <v>1005.2858023497831</v>
      </c>
      <c r="Q52" s="87">
        <f>IF(Q12=0,0,1000000*Q12/TrRail_act!Q29/1000)</f>
        <v>983.57651379359254</v>
      </c>
      <c r="R52" s="87">
        <f>IF(R12=0,0,1000000*R12/TrRail_act!R29/1000)</f>
        <v>961.88891581212931</v>
      </c>
      <c r="S52" s="87">
        <f>IF(S12=0,0,1000000*S12/TrRail_act!S29/1000)</f>
        <v>960.57184135591456</v>
      </c>
      <c r="T52" s="87">
        <f>IF(T12=0,0,1000000*T12/TrRail_act!T29/1000)</f>
        <v>834.59045598327157</v>
      </c>
      <c r="U52" s="87">
        <f>IF(U12=0,0,1000000*U12/TrRail_act!U29/1000)</f>
        <v>688.20860206612281</v>
      </c>
      <c r="V52" s="87">
        <f>IF(V12=0,0,1000000*V12/TrRail_act!V29/1000)</f>
        <v>752.15569147922338</v>
      </c>
      <c r="W52" s="87">
        <f>IF(W12=0,0,1000000*W12/TrRail_act!W29/1000)</f>
        <v>845.03582621341741</v>
      </c>
      <c r="X52" s="87">
        <f>IF(X12=0,0,1000000*X12/TrRail_act!X29/1000)</f>
        <v>908.37779531726108</v>
      </c>
      <c r="Y52" s="87">
        <f>IF(Y12=0,0,1000000*Y12/TrRail_act!Y29/1000)</f>
        <v>904.08011675393811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1190.1734605916592</v>
      </c>
      <c r="C55" s="29">
        <f>IF(C15=0,0,1000000*C15/TrRail_act!C32/1000)</f>
        <v>1160.0785436933563</v>
      </c>
      <c r="D55" s="29">
        <f>IF(D15=0,0,1000000*D15/TrRail_act!D32/1000)</f>
        <v>1084.8481131172528</v>
      </c>
      <c r="E55" s="29">
        <f>IF(E15=0,0,1000000*E15/TrRail_act!E32/1000)</f>
        <v>1042.2001374408051</v>
      </c>
      <c r="F55" s="29">
        <f>IF(F15=0,0,1000000*F15/TrRail_act!F32/1000)</f>
        <v>1047.0095128871958</v>
      </c>
      <c r="G55" s="29">
        <f>IF(G15=0,0,1000000*G15/TrRail_act!G32/1000)</f>
        <v>1063.3798693774943</v>
      </c>
      <c r="H55" s="29">
        <f>IF(H15=0,0,1000000*H15/TrRail_act!H32/1000)</f>
        <v>1010.0045750445591</v>
      </c>
      <c r="I55" s="29">
        <f>IF(I15=0,0,1000000*I15/TrRail_act!I32/1000)</f>
        <v>830.78051481246735</v>
      </c>
      <c r="J55" s="29">
        <f>IF(J15=0,0,1000000*J15/TrRail_act!J32/1000)</f>
        <v>871.56528491418533</v>
      </c>
      <c r="K55" s="29">
        <f>IF(K15=0,0,1000000*K15/TrRail_act!K32/1000)</f>
        <v>797.90812203836651</v>
      </c>
      <c r="L55" s="29">
        <f>IF(L15=0,0,1000000*L15/TrRail_act!L32/1000)</f>
        <v>819.26462579906911</v>
      </c>
      <c r="M55" s="29">
        <f>IF(M15=0,0,1000000*M15/TrRail_act!M32/1000)</f>
        <v>830.05645407801421</v>
      </c>
      <c r="N55" s="29">
        <f>IF(N15=0,0,1000000*N15/TrRail_act!N32/1000)</f>
        <v>885.08722560655201</v>
      </c>
      <c r="O55" s="29">
        <f>IF(O15=0,0,1000000*O15/TrRail_act!O32/1000)</f>
        <v>885.89207338259712</v>
      </c>
      <c r="P55" s="29">
        <f>IF(P15=0,0,1000000*P15/TrRail_act!P32/1000)</f>
        <v>703.70599569274771</v>
      </c>
      <c r="Q55" s="29">
        <f>IF(Q15=0,0,1000000*Q15/TrRail_act!Q32/1000)</f>
        <v>556.31259244454441</v>
      </c>
      <c r="R55" s="29">
        <f>IF(R15=0,0,1000000*R15/TrRail_act!R32/1000)</f>
        <v>568.46178731904547</v>
      </c>
      <c r="S55" s="29">
        <f>IF(S15=0,0,1000000*S15/TrRail_act!S32/1000)</f>
        <v>480.62124955141161</v>
      </c>
      <c r="T55" s="29">
        <f>IF(T15=0,0,1000000*T15/TrRail_act!T32/1000)</f>
        <v>618.30474304208735</v>
      </c>
      <c r="U55" s="29">
        <f>IF(U15=0,0,1000000*U15/TrRail_act!U32/1000)</f>
        <v>686.60896747258039</v>
      </c>
      <c r="V55" s="29">
        <f>IF(V15=0,0,1000000*V15/TrRail_act!V32/1000)</f>
        <v>632.73978178110895</v>
      </c>
      <c r="W55" s="29">
        <f>IF(W15=0,0,1000000*W15/TrRail_act!W32/1000)</f>
        <v>729.77986217839543</v>
      </c>
      <c r="X55" s="29">
        <f>IF(X15=0,0,1000000*X15/TrRail_act!X32/1000)</f>
        <v>604.52850756237183</v>
      </c>
      <c r="Y55" s="29">
        <f>IF(Y15=0,0,1000000*Y15/TrRail_act!Y32/1000)</f>
        <v>619.40341041773468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3544.5373946167338</v>
      </c>
      <c r="C56" s="87">
        <f>IF(C16=0,0,1000000*C16/TrRail_act!C33/1000)</f>
        <v>3472.000459441042</v>
      </c>
      <c r="D56" s="87">
        <f>IF(D16=0,0,1000000*D16/TrRail_act!D33/1000)</f>
        <v>3409.9844135497838</v>
      </c>
      <c r="E56" s="87">
        <f>IF(E16=0,0,1000000*E16/TrRail_act!E33/1000)</f>
        <v>3300.59991762049</v>
      </c>
      <c r="F56" s="87">
        <f>IF(F16=0,0,1000000*F16/TrRail_act!F33/1000)</f>
        <v>3242.6111299156983</v>
      </c>
      <c r="G56" s="87">
        <f>IF(G16=0,0,1000000*G16/TrRail_act!G33/1000)</f>
        <v>3172.9920825752097</v>
      </c>
      <c r="H56" s="87">
        <f>IF(H16=0,0,1000000*H16/TrRail_act!H33/1000)</f>
        <v>3104.4659930651942</v>
      </c>
      <c r="I56" s="87">
        <f>IF(I16=0,0,1000000*I16/TrRail_act!I33/1000)</f>
        <v>2775.7554754457201</v>
      </c>
      <c r="J56" s="87">
        <f>IF(J16=0,0,1000000*J16/TrRail_act!J33/1000)</f>
        <v>3015.4562482763436</v>
      </c>
      <c r="K56" s="87">
        <f>IF(K16=0,0,1000000*K16/TrRail_act!K33/1000)</f>
        <v>2805.0891355294043</v>
      </c>
      <c r="L56" s="87">
        <f>IF(L16=0,0,1000000*L16/TrRail_act!L33/1000)</f>
        <v>2882.4873748050913</v>
      </c>
      <c r="M56" s="87">
        <f>IF(M16=0,0,1000000*M16/TrRail_act!M33/1000)</f>
        <v>2899.1208224335742</v>
      </c>
      <c r="N56" s="87">
        <f>IF(N16=0,0,1000000*N16/TrRail_act!N33/1000)</f>
        <v>2847.6188866448779</v>
      </c>
      <c r="O56" s="87">
        <f>IF(O16=0,0,1000000*O16/TrRail_act!O33/1000)</f>
        <v>2775.6699738915463</v>
      </c>
      <c r="P56" s="87">
        <f>IF(P16=0,0,1000000*P16/TrRail_act!P33/1000)</f>
        <v>2668.6600466147047</v>
      </c>
      <c r="Q56" s="87">
        <f>IF(Q16=0,0,1000000*Q16/TrRail_act!Q33/1000)</f>
        <v>2176.4698818812026</v>
      </c>
      <c r="R56" s="87">
        <f>IF(R16=0,0,1000000*R16/TrRail_act!R33/1000)</f>
        <v>2605.0827758367236</v>
      </c>
      <c r="S56" s="87">
        <f>IF(S16=0,0,1000000*S16/TrRail_act!S33/1000)</f>
        <v>2601.3411367614781</v>
      </c>
      <c r="T56" s="87">
        <f>IF(T16=0,0,1000000*T16/TrRail_act!T33/1000)</f>
        <v>2578.1757391287119</v>
      </c>
      <c r="U56" s="87">
        <f>IF(U16=0,0,1000000*U16/TrRail_act!U33/1000)</f>
        <v>2560.9372510282424</v>
      </c>
      <c r="V56" s="87">
        <f>IF(V16=0,0,1000000*V16/TrRail_act!V33/1000)</f>
        <v>2548.0840062181942</v>
      </c>
      <c r="W56" s="87">
        <f>IF(W16=0,0,1000000*W16/TrRail_act!W33/1000)</f>
        <v>2457.6397340096091</v>
      </c>
      <c r="X56" s="87">
        <f>IF(X16=0,0,1000000*X16/TrRail_act!X33/1000)</f>
        <v>2066.5519544349995</v>
      </c>
      <c r="Y56" s="87">
        <f>IF(Y16=0,0,1000000*Y16/TrRail_act!Y33/1000)</f>
        <v>2158.3135036372159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0.34185432383877978</v>
      </c>
      <c r="C60" s="31">
        <f t="shared" ref="C60:V60" si="13">IF(C9=0,0,C9/C$8)</f>
        <v>0.31827651121300699</v>
      </c>
      <c r="D60" s="31">
        <f t="shared" si="13"/>
        <v>0.33586474466956218</v>
      </c>
      <c r="E60" s="31">
        <f t="shared" si="13"/>
        <v>0.34640851800663741</v>
      </c>
      <c r="F60" s="31">
        <f t="shared" si="13"/>
        <v>0.32825585108249983</v>
      </c>
      <c r="G60" s="31">
        <f t="shared" si="13"/>
        <v>0.29824418412731418</v>
      </c>
      <c r="H60" s="31">
        <f t="shared" si="13"/>
        <v>0.29199544491679835</v>
      </c>
      <c r="I60" s="31">
        <f t="shared" si="13"/>
        <v>0.29189424106338979</v>
      </c>
      <c r="J60" s="31">
        <f t="shared" si="13"/>
        <v>0.2915501546722124</v>
      </c>
      <c r="K60" s="31">
        <f t="shared" si="13"/>
        <v>0.29125859975056406</v>
      </c>
      <c r="L60" s="31">
        <f t="shared" si="13"/>
        <v>0.31394370644153863</v>
      </c>
      <c r="M60" s="31">
        <f t="shared" si="13"/>
        <v>0.33607585880793878</v>
      </c>
      <c r="N60" s="31">
        <f t="shared" si="13"/>
        <v>0.29517601205697169</v>
      </c>
      <c r="O60" s="31">
        <f t="shared" si="13"/>
        <v>0.26975577869672968</v>
      </c>
      <c r="P60" s="31">
        <f t="shared" si="13"/>
        <v>0.33175875837652624</v>
      </c>
      <c r="Q60" s="31">
        <f t="shared" si="13"/>
        <v>0.41632208600616771</v>
      </c>
      <c r="R60" s="31">
        <f t="shared" si="13"/>
        <v>0.37542813124741364</v>
      </c>
      <c r="S60" s="31">
        <f t="shared" si="13"/>
        <v>0.40545260097257518</v>
      </c>
      <c r="T60" s="31">
        <f t="shared" si="13"/>
        <v>0.28084094940460758</v>
      </c>
      <c r="U60" s="31">
        <f t="shared" si="13"/>
        <v>0.20675844354204814</v>
      </c>
      <c r="V60" s="31">
        <f t="shared" si="13"/>
        <v>0.20614645301171569</v>
      </c>
      <c r="W60" s="31">
        <f t="shared" ref="W60:Y60" si="14">IF(W9=0,0,W9/W$8)</f>
        <v>0.16518944269775324</v>
      </c>
      <c r="X60" s="31">
        <f t="shared" si="14"/>
        <v>0.24319847335210068</v>
      </c>
      <c r="Y60" s="31">
        <f t="shared" si="14"/>
        <v>0.27145650465669846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0.34185432383877978</v>
      </c>
      <c r="C62" s="124">
        <f t="shared" ref="C62:V62" si="17">IF(C11=0,0,C11/C$8)</f>
        <v>0.31827651121300699</v>
      </c>
      <c r="D62" s="124">
        <f t="shared" si="17"/>
        <v>0.33586474466956218</v>
      </c>
      <c r="E62" s="124">
        <f t="shared" si="17"/>
        <v>0.34640851800663741</v>
      </c>
      <c r="F62" s="124">
        <f t="shared" si="17"/>
        <v>0.32825585108249983</v>
      </c>
      <c r="G62" s="124">
        <f t="shared" si="17"/>
        <v>0.29824418412731418</v>
      </c>
      <c r="H62" s="124">
        <f t="shared" si="17"/>
        <v>0.29199544491679835</v>
      </c>
      <c r="I62" s="124">
        <f t="shared" si="17"/>
        <v>0.29189424106338979</v>
      </c>
      <c r="J62" s="124">
        <f t="shared" si="17"/>
        <v>0.2915501546722124</v>
      </c>
      <c r="K62" s="124">
        <f t="shared" si="17"/>
        <v>0.29125859975056406</v>
      </c>
      <c r="L62" s="124">
        <f t="shared" si="17"/>
        <v>0.31394370644153863</v>
      </c>
      <c r="M62" s="124">
        <f t="shared" si="17"/>
        <v>0.33607585880793878</v>
      </c>
      <c r="N62" s="124">
        <f t="shared" si="17"/>
        <v>0.29517601205697169</v>
      </c>
      <c r="O62" s="124">
        <f t="shared" si="17"/>
        <v>0.26975577869672968</v>
      </c>
      <c r="P62" s="124">
        <f t="shared" si="17"/>
        <v>0.33175875837652624</v>
      </c>
      <c r="Q62" s="124">
        <f t="shared" si="17"/>
        <v>0.41632208600616771</v>
      </c>
      <c r="R62" s="124">
        <f t="shared" si="17"/>
        <v>0.37542813124741364</v>
      </c>
      <c r="S62" s="124">
        <f t="shared" si="17"/>
        <v>0.40545260097257518</v>
      </c>
      <c r="T62" s="124">
        <f t="shared" si="17"/>
        <v>0.28084094940460758</v>
      </c>
      <c r="U62" s="124">
        <f t="shared" si="17"/>
        <v>0.20675844354204814</v>
      </c>
      <c r="V62" s="124">
        <f t="shared" si="17"/>
        <v>0.20614645301171569</v>
      </c>
      <c r="W62" s="124">
        <f t="shared" ref="W62:Y62" si="18">IF(W11=0,0,W11/W$8)</f>
        <v>0.16518944269775324</v>
      </c>
      <c r="X62" s="124">
        <f t="shared" si="18"/>
        <v>0.24319847335210068</v>
      </c>
      <c r="Y62" s="124">
        <f t="shared" si="18"/>
        <v>0.27145650465669846</v>
      </c>
      <c r="DA62" s="176"/>
    </row>
    <row r="63" spans="1:105" ht="11.45" customHeight="1" x14ac:dyDescent="0.25">
      <c r="A63" s="111" t="s">
        <v>92</v>
      </c>
      <c r="B63" s="125">
        <f t="shared" si="10"/>
        <v>0.34185432383877978</v>
      </c>
      <c r="C63" s="125">
        <f t="shared" ref="C63:V63" si="19">IF(C12=0,0,C12/C$8)</f>
        <v>0.31827651121300699</v>
      </c>
      <c r="D63" s="125">
        <f t="shared" si="19"/>
        <v>0.33586474466956218</v>
      </c>
      <c r="E63" s="125">
        <f t="shared" si="19"/>
        <v>0.34640851800663741</v>
      </c>
      <c r="F63" s="125">
        <f t="shared" si="19"/>
        <v>0.32825585108249983</v>
      </c>
      <c r="G63" s="125">
        <f t="shared" si="19"/>
        <v>0.29824418412731418</v>
      </c>
      <c r="H63" s="125">
        <f t="shared" si="19"/>
        <v>0.29199544491679835</v>
      </c>
      <c r="I63" s="125">
        <f t="shared" si="19"/>
        <v>0.29189424106338979</v>
      </c>
      <c r="J63" s="125">
        <f t="shared" si="19"/>
        <v>0.2915501546722124</v>
      </c>
      <c r="K63" s="125">
        <f t="shared" si="19"/>
        <v>0.29125859975056406</v>
      </c>
      <c r="L63" s="125">
        <f t="shared" si="19"/>
        <v>0.31394370644153863</v>
      </c>
      <c r="M63" s="125">
        <f t="shared" si="19"/>
        <v>0.33607585880793878</v>
      </c>
      <c r="N63" s="125">
        <f t="shared" si="19"/>
        <v>0.29517601205697169</v>
      </c>
      <c r="O63" s="125">
        <f t="shared" si="19"/>
        <v>0.26975577869672968</v>
      </c>
      <c r="P63" s="125">
        <f t="shared" si="19"/>
        <v>0.33175875837652624</v>
      </c>
      <c r="Q63" s="125">
        <f t="shared" si="19"/>
        <v>0.41632208600616771</v>
      </c>
      <c r="R63" s="125">
        <f t="shared" si="19"/>
        <v>0.37542813124741364</v>
      </c>
      <c r="S63" s="125">
        <f t="shared" si="19"/>
        <v>0.40545260097257518</v>
      </c>
      <c r="T63" s="125">
        <f t="shared" si="19"/>
        <v>0.28084094940460758</v>
      </c>
      <c r="U63" s="125">
        <f t="shared" si="19"/>
        <v>0.20675844354204814</v>
      </c>
      <c r="V63" s="125">
        <f t="shared" si="19"/>
        <v>0.20614645301171569</v>
      </c>
      <c r="W63" s="125">
        <f t="shared" ref="W63:Y63" si="20">IF(W12=0,0,W12/W$8)</f>
        <v>0.16518944269775324</v>
      </c>
      <c r="X63" s="125">
        <f t="shared" si="20"/>
        <v>0.24319847335210068</v>
      </c>
      <c r="Y63" s="125">
        <f t="shared" si="20"/>
        <v>0.27145650465669846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0.65814567616122022</v>
      </c>
      <c r="C66" s="31">
        <f t="shared" ref="C66:V66" si="25">IF(C15=0,0,C15/C$8)</f>
        <v>0.68172348878699296</v>
      </c>
      <c r="D66" s="31">
        <f t="shared" si="25"/>
        <v>0.66413525533043782</v>
      </c>
      <c r="E66" s="31">
        <f t="shared" si="25"/>
        <v>0.65359148199336259</v>
      </c>
      <c r="F66" s="31">
        <f t="shared" si="25"/>
        <v>0.67174414891750023</v>
      </c>
      <c r="G66" s="31">
        <f t="shared" si="25"/>
        <v>0.70175581587268565</v>
      </c>
      <c r="H66" s="31">
        <f t="shared" si="25"/>
        <v>0.70800455508320159</v>
      </c>
      <c r="I66" s="31">
        <f t="shared" si="25"/>
        <v>0.7081057589366101</v>
      </c>
      <c r="J66" s="31">
        <f t="shared" si="25"/>
        <v>0.70844984532778754</v>
      </c>
      <c r="K66" s="31">
        <f t="shared" si="25"/>
        <v>0.70874140024943588</v>
      </c>
      <c r="L66" s="31">
        <f t="shared" si="25"/>
        <v>0.68605629355846132</v>
      </c>
      <c r="M66" s="31">
        <f t="shared" si="25"/>
        <v>0.66392414119206122</v>
      </c>
      <c r="N66" s="31">
        <f t="shared" si="25"/>
        <v>0.70482398794302836</v>
      </c>
      <c r="O66" s="31">
        <f t="shared" si="25"/>
        <v>0.73024422130327038</v>
      </c>
      <c r="P66" s="31">
        <f t="shared" si="25"/>
        <v>0.66824124162347365</v>
      </c>
      <c r="Q66" s="31">
        <f t="shared" si="25"/>
        <v>0.58367791399383229</v>
      </c>
      <c r="R66" s="31">
        <f t="shared" si="25"/>
        <v>0.6245718687525863</v>
      </c>
      <c r="S66" s="31">
        <f t="shared" si="25"/>
        <v>0.59454739902742482</v>
      </c>
      <c r="T66" s="31">
        <f t="shared" si="25"/>
        <v>0.71915905059539231</v>
      </c>
      <c r="U66" s="31">
        <f t="shared" si="25"/>
        <v>0.79324155645795191</v>
      </c>
      <c r="V66" s="31">
        <f t="shared" si="25"/>
        <v>0.79385354698828425</v>
      </c>
      <c r="W66" s="31">
        <f t="shared" ref="W66:Y66" si="26">IF(W15=0,0,W15/W$8)</f>
        <v>0.83481055730224674</v>
      </c>
      <c r="X66" s="31">
        <f t="shared" si="26"/>
        <v>0.75680152664789935</v>
      </c>
      <c r="Y66" s="31">
        <f t="shared" si="26"/>
        <v>0.72854349534330165</v>
      </c>
      <c r="DA66" s="173"/>
    </row>
    <row r="67" spans="1:105" ht="11.45" customHeight="1" x14ac:dyDescent="0.25">
      <c r="A67" s="83" t="s">
        <v>92</v>
      </c>
      <c r="B67" s="125">
        <f t="shared" si="10"/>
        <v>0.65814567616122022</v>
      </c>
      <c r="C67" s="125">
        <f t="shared" ref="C67:V67" si="27">IF(C16=0,0,C16/C$8)</f>
        <v>0.68172348878699296</v>
      </c>
      <c r="D67" s="125">
        <f t="shared" si="27"/>
        <v>0.66413525533043782</v>
      </c>
      <c r="E67" s="125">
        <f t="shared" si="27"/>
        <v>0.65359148199336259</v>
      </c>
      <c r="F67" s="125">
        <f t="shared" si="27"/>
        <v>0.67174414891750023</v>
      </c>
      <c r="G67" s="125">
        <f t="shared" si="27"/>
        <v>0.70175581587268565</v>
      </c>
      <c r="H67" s="125">
        <f t="shared" si="27"/>
        <v>0.70800455508320159</v>
      </c>
      <c r="I67" s="125">
        <f t="shared" si="27"/>
        <v>0.7081057589366101</v>
      </c>
      <c r="J67" s="125">
        <f t="shared" si="27"/>
        <v>0.70844984532778754</v>
      </c>
      <c r="K67" s="125">
        <f t="shared" si="27"/>
        <v>0.70874140024943588</v>
      </c>
      <c r="L67" s="125">
        <f t="shared" si="27"/>
        <v>0.68605629355846132</v>
      </c>
      <c r="M67" s="125">
        <f t="shared" si="27"/>
        <v>0.66392414119206122</v>
      </c>
      <c r="N67" s="125">
        <f t="shared" si="27"/>
        <v>0.70482398794302836</v>
      </c>
      <c r="O67" s="125">
        <f t="shared" si="27"/>
        <v>0.73024422130327038</v>
      </c>
      <c r="P67" s="125">
        <f t="shared" si="27"/>
        <v>0.66824124162347365</v>
      </c>
      <c r="Q67" s="125">
        <f t="shared" si="27"/>
        <v>0.58367791399383229</v>
      </c>
      <c r="R67" s="125">
        <f t="shared" si="27"/>
        <v>0.6245718687525863</v>
      </c>
      <c r="S67" s="125">
        <f t="shared" si="27"/>
        <v>0.59454739902742482</v>
      </c>
      <c r="T67" s="125">
        <f t="shared" si="27"/>
        <v>0.71915905059539231</v>
      </c>
      <c r="U67" s="125">
        <f t="shared" si="27"/>
        <v>0.79324155645795191</v>
      </c>
      <c r="V67" s="125">
        <f t="shared" si="27"/>
        <v>0.79385354698828425</v>
      </c>
      <c r="W67" s="125">
        <f t="shared" ref="W67:Y67" si="28">IF(W16=0,0,W16/W$8)</f>
        <v>0.83481055730224674</v>
      </c>
      <c r="X67" s="125">
        <f t="shared" si="28"/>
        <v>0.75680152664789935</v>
      </c>
      <c r="Y67" s="125">
        <f t="shared" si="28"/>
        <v>0.72854349534330165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10184.396107453969</v>
      </c>
      <c r="C4" s="11">
        <f t="shared" si="0"/>
        <v>10257.122648819794</v>
      </c>
      <c r="D4" s="11">
        <f t="shared" ref="D4:V4" si="1">SUM(D5:D7)</f>
        <v>10208.118797471623</v>
      </c>
      <c r="E4" s="11">
        <f t="shared" si="1"/>
        <v>10035.025593518338</v>
      </c>
      <c r="F4" s="11">
        <f t="shared" si="1"/>
        <v>11408.639051275019</v>
      </c>
      <c r="G4" s="11">
        <f t="shared" si="1"/>
        <v>12310.386509311338</v>
      </c>
      <c r="H4" s="11">
        <f t="shared" si="1"/>
        <v>13647.023950948002</v>
      </c>
      <c r="I4" s="11">
        <f t="shared" si="1"/>
        <v>15851.753533740652</v>
      </c>
      <c r="J4" s="11">
        <f t="shared" si="1"/>
        <v>16497.958632561662</v>
      </c>
      <c r="K4" s="11">
        <f t="shared" si="1"/>
        <v>15663.764737108617</v>
      </c>
      <c r="L4" s="11">
        <f t="shared" si="1"/>
        <v>16526.943156604797</v>
      </c>
      <c r="M4" s="11">
        <f t="shared" si="1"/>
        <v>18911.579522851673</v>
      </c>
      <c r="N4" s="11">
        <f t="shared" si="1"/>
        <v>19834.640189449878</v>
      </c>
      <c r="O4" s="11">
        <f t="shared" si="1"/>
        <v>20170.687646672632</v>
      </c>
      <c r="P4" s="11">
        <f t="shared" si="1"/>
        <v>20838.730137385195</v>
      </c>
      <c r="Q4" s="11">
        <f t="shared" si="1"/>
        <v>20717.088623446285</v>
      </c>
      <c r="R4" s="11">
        <f t="shared" si="1"/>
        <v>21702.728761461749</v>
      </c>
      <c r="S4" s="11">
        <f t="shared" si="1"/>
        <v>24900.550165638302</v>
      </c>
      <c r="T4" s="11">
        <f t="shared" si="1"/>
        <v>27663.48476479439</v>
      </c>
      <c r="U4" s="11">
        <f t="shared" si="1"/>
        <v>29714.310415934357</v>
      </c>
      <c r="V4" s="11">
        <f t="shared" si="1"/>
        <v>7123.8676049521018</v>
      </c>
      <c r="W4" s="11">
        <f t="shared" ref="W4:Y4" si="2">SUM(W5:W7)</f>
        <v>4895.0643487069738</v>
      </c>
      <c r="X4" s="11">
        <f t="shared" si="2"/>
        <v>17574.12776498789</v>
      </c>
      <c r="Y4" s="11">
        <f t="shared" si="2"/>
        <v>24291.299896367287</v>
      </c>
      <c r="DA4" s="189" t="s">
        <v>190</v>
      </c>
    </row>
    <row r="5" spans="1:105" ht="11.45" customHeight="1" x14ac:dyDescent="0.25">
      <c r="A5" s="83" t="s">
        <v>27</v>
      </c>
      <c r="B5" s="84">
        <v>1581.723857453321</v>
      </c>
      <c r="C5" s="84">
        <v>1555.0931924780421</v>
      </c>
      <c r="D5" s="84">
        <v>1560.5016762693788</v>
      </c>
      <c r="E5" s="84">
        <v>1349.3612681248933</v>
      </c>
      <c r="F5" s="84">
        <v>1427.637018774966</v>
      </c>
      <c r="G5" s="84">
        <v>1416.5376334822265</v>
      </c>
      <c r="H5" s="84">
        <v>1383.2669553704636</v>
      </c>
      <c r="I5" s="84">
        <v>1454.9485915009773</v>
      </c>
      <c r="J5" s="84">
        <v>1348.6660830597607</v>
      </c>
      <c r="K5" s="84">
        <v>1227.9968039906612</v>
      </c>
      <c r="L5" s="84">
        <v>1193.0116949863018</v>
      </c>
      <c r="M5" s="84">
        <v>1415.1752012033155</v>
      </c>
      <c r="N5" s="84">
        <v>1413.9089597816587</v>
      </c>
      <c r="O5" s="84">
        <v>1276.1254968755452</v>
      </c>
      <c r="P5" s="84">
        <v>1329.6104518585669</v>
      </c>
      <c r="Q5" s="84">
        <v>1339.2269261952556</v>
      </c>
      <c r="R5" s="84">
        <v>1409.5155616357438</v>
      </c>
      <c r="S5" s="84">
        <v>1509.8542840339583</v>
      </c>
      <c r="T5" s="84">
        <v>1690.3659844694098</v>
      </c>
      <c r="U5" s="84">
        <v>1694.5390770315578</v>
      </c>
      <c r="V5" s="84">
        <v>656.97583440440644</v>
      </c>
      <c r="W5" s="84">
        <v>587.84752846756055</v>
      </c>
      <c r="X5" s="84">
        <v>1108.7472137204129</v>
      </c>
      <c r="Y5" s="84">
        <v>1170.3922196898432</v>
      </c>
      <c r="DA5" s="171" t="s">
        <v>191</v>
      </c>
    </row>
    <row r="6" spans="1:105" ht="11.45" customHeight="1" x14ac:dyDescent="0.25">
      <c r="A6" s="83" t="s">
        <v>181</v>
      </c>
      <c r="B6" s="84">
        <v>6017.7148552342724</v>
      </c>
      <c r="C6" s="84">
        <v>6171.6834501838066</v>
      </c>
      <c r="D6" s="84">
        <v>5956.8745681010996</v>
      </c>
      <c r="E6" s="84">
        <v>6065.885226399053</v>
      </c>
      <c r="F6" s="84">
        <v>6586.5431429987748</v>
      </c>
      <c r="G6" s="84">
        <v>6944.5683754032643</v>
      </c>
      <c r="H6" s="84">
        <v>7546.7144235208989</v>
      </c>
      <c r="I6" s="84">
        <v>7940.4611551626967</v>
      </c>
      <c r="J6" s="84">
        <v>7686.5291959919432</v>
      </c>
      <c r="K6" s="84">
        <v>7302.2372687536335</v>
      </c>
      <c r="L6" s="84">
        <v>7423.6980486836474</v>
      </c>
      <c r="M6" s="84">
        <v>8445.8191192809481</v>
      </c>
      <c r="N6" s="84">
        <v>8444.4579248249029</v>
      </c>
      <c r="O6" s="84">
        <v>8958.9818170505714</v>
      </c>
      <c r="P6" s="84">
        <v>9941.6517003028839</v>
      </c>
      <c r="Q6" s="84">
        <v>9696.8265395667622</v>
      </c>
      <c r="R6" s="84">
        <v>10073.563468824615</v>
      </c>
      <c r="S6" s="84">
        <v>11394.309878389804</v>
      </c>
      <c r="T6" s="84">
        <v>12353.944482362531</v>
      </c>
      <c r="U6" s="84">
        <v>12724.533554476329</v>
      </c>
      <c r="V6" s="84">
        <v>2810.2755491541716</v>
      </c>
      <c r="W6" s="84">
        <v>2542.315184284178</v>
      </c>
      <c r="X6" s="84">
        <v>8813.3255452335452</v>
      </c>
      <c r="Y6" s="84">
        <v>10473.268513711755</v>
      </c>
      <c r="DA6" s="171" t="s">
        <v>192</v>
      </c>
    </row>
    <row r="7" spans="1:105" ht="11.45" customHeight="1" x14ac:dyDescent="0.25">
      <c r="A7" s="83" t="s">
        <v>182</v>
      </c>
      <c r="B7" s="84">
        <v>2584.9573947663748</v>
      </c>
      <c r="C7" s="84">
        <v>2530.3460061579449</v>
      </c>
      <c r="D7" s="84">
        <v>2690.742553101144</v>
      </c>
      <c r="E7" s="84">
        <v>2619.7790989943906</v>
      </c>
      <c r="F7" s="84">
        <v>3394.458889501278</v>
      </c>
      <c r="G7" s="84">
        <v>3949.2805004258471</v>
      </c>
      <c r="H7" s="84">
        <v>4717.0425720566373</v>
      </c>
      <c r="I7" s="84">
        <v>6456.3437870769785</v>
      </c>
      <c r="J7" s="84">
        <v>7462.7633535099594</v>
      </c>
      <c r="K7" s="84">
        <v>7133.5306643643207</v>
      </c>
      <c r="L7" s="84">
        <v>7910.2334129348483</v>
      </c>
      <c r="M7" s="84">
        <v>9050.585202367407</v>
      </c>
      <c r="N7" s="84">
        <v>9976.2733048433147</v>
      </c>
      <c r="O7" s="84">
        <v>9935.5803327465146</v>
      </c>
      <c r="P7" s="84">
        <v>9567.4679852237441</v>
      </c>
      <c r="Q7" s="84">
        <v>9681.0351576842677</v>
      </c>
      <c r="R7" s="84">
        <v>10219.649731001389</v>
      </c>
      <c r="S7" s="84">
        <v>11996.38600321454</v>
      </c>
      <c r="T7" s="84">
        <v>13619.174297962451</v>
      </c>
      <c r="U7" s="84">
        <v>15295.23778442647</v>
      </c>
      <c r="V7" s="84">
        <v>3656.616221393524</v>
      </c>
      <c r="W7" s="84">
        <v>1764.9016359552354</v>
      </c>
      <c r="X7" s="84">
        <v>7652.0550060339328</v>
      </c>
      <c r="Y7" s="84">
        <v>12647.639162965686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123.35935047050918</v>
      </c>
      <c r="C8" s="13">
        <f t="shared" si="3"/>
        <v>102.50055656269375</v>
      </c>
      <c r="D8" s="13">
        <f t="shared" ref="D8:V8" si="4">SUM(D9:D11)</f>
        <v>98.637952937344991</v>
      </c>
      <c r="E8" s="13">
        <f t="shared" si="4"/>
        <v>114.08635236885669</v>
      </c>
      <c r="F8" s="13">
        <f t="shared" si="4"/>
        <v>143.77439298519852</v>
      </c>
      <c r="G8" s="13">
        <f t="shared" si="4"/>
        <v>157.04585949021879</v>
      </c>
      <c r="H8" s="13">
        <f t="shared" si="4"/>
        <v>150.50662568399713</v>
      </c>
      <c r="I8" s="13">
        <f t="shared" si="4"/>
        <v>170.75482598347983</v>
      </c>
      <c r="J8" s="13">
        <f t="shared" si="4"/>
        <v>140.16805674667555</v>
      </c>
      <c r="K8" s="13">
        <f t="shared" si="4"/>
        <v>97.769869961704586</v>
      </c>
      <c r="L8" s="13">
        <f t="shared" si="4"/>
        <v>94.881328105994029</v>
      </c>
      <c r="M8" s="13">
        <f t="shared" si="4"/>
        <v>132.87071912343887</v>
      </c>
      <c r="N8" s="13">
        <f t="shared" si="4"/>
        <v>171.97484376572058</v>
      </c>
      <c r="O8" s="13">
        <f t="shared" si="4"/>
        <v>160.90190065437889</v>
      </c>
      <c r="P8" s="13">
        <f t="shared" si="4"/>
        <v>144.50715996913686</v>
      </c>
      <c r="Q8" s="13">
        <f t="shared" si="4"/>
        <v>133.88544121982159</v>
      </c>
      <c r="R8" s="13">
        <f t="shared" si="4"/>
        <v>149.3410239060193</v>
      </c>
      <c r="S8" s="13">
        <f t="shared" si="4"/>
        <v>149.38851627740124</v>
      </c>
      <c r="T8" s="13">
        <f t="shared" si="4"/>
        <v>141.07560784095304</v>
      </c>
      <c r="U8" s="13">
        <f t="shared" si="4"/>
        <v>163.60583754881227</v>
      </c>
      <c r="V8" s="13">
        <f t="shared" si="4"/>
        <v>92.389323155133866</v>
      </c>
      <c r="W8" s="13">
        <f t="shared" ref="W8:Y8" si="5">SUM(W9:W11)</f>
        <v>88.370831336602663</v>
      </c>
      <c r="X8" s="13">
        <f t="shared" si="5"/>
        <v>165.61001854300582</v>
      </c>
      <c r="Y8" s="13">
        <f t="shared" si="5"/>
        <v>360.31274908481947</v>
      </c>
      <c r="DA8" s="193" t="s">
        <v>194</v>
      </c>
    </row>
    <row r="9" spans="1:105" ht="11.45" customHeight="1" x14ac:dyDescent="0.25">
      <c r="A9" s="92" t="s">
        <v>27</v>
      </c>
      <c r="B9" s="102">
        <v>2.9315719393967377</v>
      </c>
      <c r="C9" s="102">
        <v>2.2016501977302472</v>
      </c>
      <c r="D9" s="102">
        <v>2.1422300011738256</v>
      </c>
      <c r="E9" s="102">
        <v>1.9099681874915739</v>
      </c>
      <c r="F9" s="102">
        <v>1.7985277318905337</v>
      </c>
      <c r="G9" s="102">
        <v>1.7840136730290501</v>
      </c>
      <c r="H9" s="102">
        <v>1.4721981902977903</v>
      </c>
      <c r="I9" s="102">
        <v>1.1925418143591631</v>
      </c>
      <c r="J9" s="102">
        <v>0.81362859241850694</v>
      </c>
      <c r="K9" s="102">
        <v>0.82183386059569818</v>
      </c>
      <c r="L9" s="102">
        <v>0.60029180882722299</v>
      </c>
      <c r="M9" s="102">
        <v>0.75663291120861798</v>
      </c>
      <c r="N9" s="102">
        <v>1.0555312627005353</v>
      </c>
      <c r="O9" s="102">
        <v>0.91764401985438537</v>
      </c>
      <c r="P9" s="102">
        <v>0.78850032087322064</v>
      </c>
      <c r="Q9" s="102">
        <v>0.76132628894689303</v>
      </c>
      <c r="R9" s="102">
        <v>0.92914526873371539</v>
      </c>
      <c r="S9" s="102">
        <v>0.68326834597960007</v>
      </c>
      <c r="T9" s="102">
        <v>0.46878148779161738</v>
      </c>
      <c r="U9" s="102">
        <v>0.53007576603419337</v>
      </c>
      <c r="V9" s="102">
        <v>0.44620789371387121</v>
      </c>
      <c r="W9" s="102">
        <v>0.44217328887472618</v>
      </c>
      <c r="X9" s="102">
        <v>0.48116073875839033</v>
      </c>
      <c r="Y9" s="102">
        <v>0.41974012473074412</v>
      </c>
      <c r="DA9" s="175" t="s">
        <v>195</v>
      </c>
    </row>
    <row r="10" spans="1:105" ht="11.45" customHeight="1" x14ac:dyDescent="0.25">
      <c r="A10" s="92" t="s">
        <v>181</v>
      </c>
      <c r="B10" s="102">
        <v>38.145045254108972</v>
      </c>
      <c r="C10" s="102">
        <v>36.309009050465015</v>
      </c>
      <c r="D10" s="102">
        <v>29.546155249875859</v>
      </c>
      <c r="E10" s="102">
        <v>47.952853830763189</v>
      </c>
      <c r="F10" s="102">
        <v>58.041074921975266</v>
      </c>
      <c r="G10" s="102">
        <v>57.284236610700511</v>
      </c>
      <c r="H10" s="102">
        <v>55.924880016158298</v>
      </c>
      <c r="I10" s="102">
        <v>57.418247930050718</v>
      </c>
      <c r="J10" s="102">
        <v>44.070066989516796</v>
      </c>
      <c r="K10" s="102">
        <v>39.849165092066677</v>
      </c>
      <c r="L10" s="102">
        <v>39.033040581681789</v>
      </c>
      <c r="M10" s="102">
        <v>35.855092560592574</v>
      </c>
      <c r="N10" s="102">
        <v>37.699662180494968</v>
      </c>
      <c r="O10" s="102">
        <v>45.087433294276615</v>
      </c>
      <c r="P10" s="102">
        <v>55.987069746832439</v>
      </c>
      <c r="Q10" s="102">
        <v>58.132630415872164</v>
      </c>
      <c r="R10" s="102">
        <v>55.9032857565551</v>
      </c>
      <c r="S10" s="102">
        <v>53.079544409241841</v>
      </c>
      <c r="T10" s="102">
        <v>46.271505561662551</v>
      </c>
      <c r="U10" s="102">
        <v>61.088122967314902</v>
      </c>
      <c r="V10" s="102">
        <v>35.6021709430361</v>
      </c>
      <c r="W10" s="102">
        <v>28.917383592639489</v>
      </c>
      <c r="X10" s="102">
        <v>36.634418936114677</v>
      </c>
      <c r="Y10" s="102">
        <v>43.90242419830922</v>
      </c>
      <c r="DA10" s="175" t="s">
        <v>196</v>
      </c>
    </row>
    <row r="11" spans="1:105" ht="11.45" customHeight="1" x14ac:dyDescent="0.25">
      <c r="A11" s="85" t="s">
        <v>182</v>
      </c>
      <c r="B11" s="86">
        <v>82.282733277003473</v>
      </c>
      <c r="C11" s="86">
        <v>63.989897314498485</v>
      </c>
      <c r="D11" s="86">
        <v>66.94956768629531</v>
      </c>
      <c r="E11" s="86">
        <v>64.223530350601933</v>
      </c>
      <c r="F11" s="86">
        <v>83.934790331332707</v>
      </c>
      <c r="G11" s="86">
        <v>97.97760920648922</v>
      </c>
      <c r="H11" s="86">
        <v>93.109547477541057</v>
      </c>
      <c r="I11" s="86">
        <v>112.14403623906995</v>
      </c>
      <c r="J11" s="86">
        <v>95.284361164740233</v>
      </c>
      <c r="K11" s="86">
        <v>57.098871009042213</v>
      </c>
      <c r="L11" s="86">
        <v>55.247995715485018</v>
      </c>
      <c r="M11" s="86">
        <v>96.258993651637681</v>
      </c>
      <c r="N11" s="86">
        <v>133.21965032252507</v>
      </c>
      <c r="O11" s="86">
        <v>114.89682334024788</v>
      </c>
      <c r="P11" s="86">
        <v>87.731589901431192</v>
      </c>
      <c r="Q11" s="86">
        <v>74.991484515002526</v>
      </c>
      <c r="R11" s="86">
        <v>92.508592880730504</v>
      </c>
      <c r="S11" s="86">
        <v>95.625703522179791</v>
      </c>
      <c r="T11" s="86">
        <v>94.335320791498873</v>
      </c>
      <c r="U11" s="86">
        <v>101.98763881546317</v>
      </c>
      <c r="V11" s="86">
        <v>56.34094431838389</v>
      </c>
      <c r="W11" s="86">
        <v>59.011274455088454</v>
      </c>
      <c r="X11" s="86">
        <v>128.49443886813276</v>
      </c>
      <c r="Y11" s="86">
        <v>315.99058476177953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105.67460980490013</v>
      </c>
      <c r="C13" s="54">
        <f t="shared" si="6"/>
        <v>106.54079044618895</v>
      </c>
      <c r="D13" s="54">
        <f t="shared" ref="D13:V13" si="7">SUM(D14,D18)</f>
        <v>100.00557912496014</v>
      </c>
      <c r="E13" s="54">
        <f t="shared" si="7"/>
        <v>106.70732325796736</v>
      </c>
      <c r="F13" s="54">
        <f t="shared" si="7"/>
        <v>116.16198166551537</v>
      </c>
      <c r="G13" s="54">
        <f t="shared" si="7"/>
        <v>118.12290576379202</v>
      </c>
      <c r="H13" s="54">
        <f t="shared" si="7"/>
        <v>125.50806661830961</v>
      </c>
      <c r="I13" s="54">
        <f t="shared" si="7"/>
        <v>138.03661442656585</v>
      </c>
      <c r="J13" s="54">
        <f t="shared" si="7"/>
        <v>144.20021585279801</v>
      </c>
      <c r="K13" s="54">
        <f t="shared" si="7"/>
        <v>135.96961707468364</v>
      </c>
      <c r="L13" s="54">
        <f t="shared" si="7"/>
        <v>138.07858412489409</v>
      </c>
      <c r="M13" s="54">
        <f t="shared" si="7"/>
        <v>158.36840665110768</v>
      </c>
      <c r="N13" s="54">
        <f t="shared" si="7"/>
        <v>147.05496121144023</v>
      </c>
      <c r="O13" s="54">
        <f t="shared" si="7"/>
        <v>147.13849723836233</v>
      </c>
      <c r="P13" s="54">
        <f t="shared" si="7"/>
        <v>148.75123722760301</v>
      </c>
      <c r="Q13" s="54">
        <f t="shared" si="7"/>
        <v>148.02551653290172</v>
      </c>
      <c r="R13" s="54">
        <f t="shared" si="7"/>
        <v>147.49795461434789</v>
      </c>
      <c r="S13" s="54">
        <f t="shared" si="7"/>
        <v>157.98753996822998</v>
      </c>
      <c r="T13" s="54">
        <f t="shared" si="7"/>
        <v>177.17799229762156</v>
      </c>
      <c r="U13" s="54">
        <f t="shared" si="7"/>
        <v>184.50213350324853</v>
      </c>
      <c r="V13" s="54">
        <f t="shared" si="7"/>
        <v>60.356185242009865</v>
      </c>
      <c r="W13" s="54">
        <f t="shared" ref="W13:Y13" si="8">SUM(W14,W18)</f>
        <v>59.034846796120533</v>
      </c>
      <c r="X13" s="54">
        <f t="shared" si="8"/>
        <v>126.83988094852478</v>
      </c>
      <c r="Y13" s="54">
        <f t="shared" si="8"/>
        <v>149.39340745412488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103.03101387156951</v>
      </c>
      <c r="C14" s="11">
        <f t="shared" si="9"/>
        <v>104.35081927012163</v>
      </c>
      <c r="D14" s="11">
        <f t="shared" ref="D14:V14" si="10">SUM(D15:D17)</f>
        <v>97.942366044904418</v>
      </c>
      <c r="E14" s="11">
        <f t="shared" si="10"/>
        <v>104.04040477998954</v>
      </c>
      <c r="F14" s="11">
        <f t="shared" si="10"/>
        <v>112.65997581178664</v>
      </c>
      <c r="G14" s="11">
        <f t="shared" si="10"/>
        <v>114.33504652204169</v>
      </c>
      <c r="H14" s="11">
        <f t="shared" si="10"/>
        <v>121.41490001530494</v>
      </c>
      <c r="I14" s="11">
        <f t="shared" si="10"/>
        <v>133.51628648438174</v>
      </c>
      <c r="J14" s="11">
        <f t="shared" si="10"/>
        <v>140.51622015991239</v>
      </c>
      <c r="K14" s="11">
        <f t="shared" si="10"/>
        <v>133.18239432206821</v>
      </c>
      <c r="L14" s="11">
        <f t="shared" si="10"/>
        <v>135.38782648653742</v>
      </c>
      <c r="M14" s="11">
        <f t="shared" si="10"/>
        <v>155.39927803696639</v>
      </c>
      <c r="N14" s="11">
        <f t="shared" si="10"/>
        <v>143.87499201098876</v>
      </c>
      <c r="O14" s="11">
        <f t="shared" si="10"/>
        <v>143.79491700131487</v>
      </c>
      <c r="P14" s="11">
        <f t="shared" si="10"/>
        <v>145.85682634052984</v>
      </c>
      <c r="Q14" s="11">
        <f t="shared" si="10"/>
        <v>145.12422012556829</v>
      </c>
      <c r="R14" s="11">
        <f t="shared" si="10"/>
        <v>144.67188505307792</v>
      </c>
      <c r="S14" s="11">
        <f t="shared" si="10"/>
        <v>155.01729154001106</v>
      </c>
      <c r="T14" s="11">
        <f t="shared" si="10"/>
        <v>174.44426422808141</v>
      </c>
      <c r="U14" s="11">
        <f t="shared" si="10"/>
        <v>181.18037538852454</v>
      </c>
      <c r="V14" s="11">
        <f t="shared" si="10"/>
        <v>58.189914701445772</v>
      </c>
      <c r="W14" s="11">
        <f t="shared" ref="W14:Y14" si="11">SUM(W15:W17)</f>
        <v>56.924578623620434</v>
      </c>
      <c r="X14" s="11">
        <f t="shared" si="11"/>
        <v>123.56932221552813</v>
      </c>
      <c r="Y14" s="11">
        <f t="shared" si="11"/>
        <v>143.78973042214977</v>
      </c>
      <c r="DA14" s="189" t="s">
        <v>199</v>
      </c>
    </row>
    <row r="15" spans="1:105" ht="11.45" customHeight="1" x14ac:dyDescent="0.25">
      <c r="A15" s="83" t="s">
        <v>27</v>
      </c>
      <c r="B15" s="84">
        <v>28.147120485090294</v>
      </c>
      <c r="C15" s="84">
        <v>27.430184349646716</v>
      </c>
      <c r="D15" s="84">
        <v>25.681275794315372</v>
      </c>
      <c r="E15" s="84">
        <v>25.978025012116365</v>
      </c>
      <c r="F15" s="84">
        <v>26.399043160060913</v>
      </c>
      <c r="G15" s="84">
        <v>26.938013487718575</v>
      </c>
      <c r="H15" s="84">
        <v>26.180878784594871</v>
      </c>
      <c r="I15" s="84">
        <v>25.520313678705779</v>
      </c>
      <c r="J15" s="84">
        <v>24.760576856604004</v>
      </c>
      <c r="K15" s="84">
        <v>25.013836886896431</v>
      </c>
      <c r="L15" s="84">
        <v>23.868410190065603</v>
      </c>
      <c r="M15" s="84">
        <v>25.900819018155023</v>
      </c>
      <c r="N15" s="84">
        <v>21.987338783341905</v>
      </c>
      <c r="O15" s="84">
        <v>19.138544257716273</v>
      </c>
      <c r="P15" s="84">
        <v>18.747619379747579</v>
      </c>
      <c r="Q15" s="84">
        <v>18.007545920940917</v>
      </c>
      <c r="R15" s="84">
        <v>17.491630324092583</v>
      </c>
      <c r="S15" s="84">
        <v>18.200276094126309</v>
      </c>
      <c r="T15" s="84">
        <v>19.660806944000001</v>
      </c>
      <c r="U15" s="84">
        <v>19.647438043821143</v>
      </c>
      <c r="V15" s="84">
        <v>8.9403357079673569</v>
      </c>
      <c r="W15" s="84">
        <v>9.1502998363527368</v>
      </c>
      <c r="X15" s="84">
        <v>13.399206216560508</v>
      </c>
      <c r="Y15" s="84">
        <v>13.651524352736027</v>
      </c>
      <c r="DA15" s="171" t="s">
        <v>200</v>
      </c>
    </row>
    <row r="16" spans="1:105" ht="11.45" customHeight="1" x14ac:dyDescent="0.25">
      <c r="A16" s="83" t="s">
        <v>181</v>
      </c>
      <c r="B16" s="84">
        <v>60.845134445190865</v>
      </c>
      <c r="C16" s="84">
        <v>62.785588194952766</v>
      </c>
      <c r="D16" s="84">
        <v>57.197829285053032</v>
      </c>
      <c r="E16" s="84">
        <v>62.575452551708437</v>
      </c>
      <c r="F16" s="84">
        <v>68.490059193535188</v>
      </c>
      <c r="G16" s="84">
        <v>67.62198929794279</v>
      </c>
      <c r="H16" s="84">
        <v>71.870699655518663</v>
      </c>
      <c r="I16" s="84">
        <v>78.155988395745894</v>
      </c>
      <c r="J16" s="84">
        <v>80.612288430250928</v>
      </c>
      <c r="K16" s="84">
        <v>74.654666864167552</v>
      </c>
      <c r="L16" s="84">
        <v>75.57180335871044</v>
      </c>
      <c r="M16" s="84">
        <v>85.905817896448596</v>
      </c>
      <c r="N16" s="84">
        <v>77.336611396270143</v>
      </c>
      <c r="O16" s="84">
        <v>78.393104213750178</v>
      </c>
      <c r="P16" s="84">
        <v>79.004645659047497</v>
      </c>
      <c r="Q16" s="84">
        <v>78.320670714207694</v>
      </c>
      <c r="R16" s="84">
        <v>78.254298814731243</v>
      </c>
      <c r="S16" s="84">
        <v>84.330576991065655</v>
      </c>
      <c r="T16" s="84">
        <v>93.858504331578203</v>
      </c>
      <c r="U16" s="84">
        <v>93.613455960568658</v>
      </c>
      <c r="V16" s="84">
        <v>28.219220614905563</v>
      </c>
      <c r="W16" s="84">
        <v>27.852598028296409</v>
      </c>
      <c r="X16" s="84">
        <v>72.643980556267991</v>
      </c>
      <c r="Y16" s="84">
        <v>80.771993675788735</v>
      </c>
      <c r="DA16" s="171" t="s">
        <v>201</v>
      </c>
    </row>
    <row r="17" spans="1:105" ht="11.45" customHeight="1" x14ac:dyDescent="0.25">
      <c r="A17" s="83" t="s">
        <v>182</v>
      </c>
      <c r="B17" s="84">
        <v>14.038758941288357</v>
      </c>
      <c r="C17" s="84">
        <v>14.135046725522159</v>
      </c>
      <c r="D17" s="84">
        <v>15.063260965536013</v>
      </c>
      <c r="E17" s="84">
        <v>15.486927216164741</v>
      </c>
      <c r="F17" s="84">
        <v>17.770873458190529</v>
      </c>
      <c r="G17" s="84">
        <v>19.775043736380333</v>
      </c>
      <c r="H17" s="84">
        <v>23.363321575191403</v>
      </c>
      <c r="I17" s="84">
        <v>29.839984409930054</v>
      </c>
      <c r="J17" s="84">
        <v>35.143354873057454</v>
      </c>
      <c r="K17" s="84">
        <v>33.513890571004239</v>
      </c>
      <c r="L17" s="84">
        <v>35.947612937761377</v>
      </c>
      <c r="M17" s="84">
        <v>43.592641122362778</v>
      </c>
      <c r="N17" s="84">
        <v>44.551041831376736</v>
      </c>
      <c r="O17" s="84">
        <v>46.263268529848411</v>
      </c>
      <c r="P17" s="84">
        <v>48.104561301734776</v>
      </c>
      <c r="Q17" s="84">
        <v>48.796003490419693</v>
      </c>
      <c r="R17" s="84">
        <v>48.925955914254089</v>
      </c>
      <c r="S17" s="84">
        <v>52.48643845481908</v>
      </c>
      <c r="T17" s="84">
        <v>60.924952952503212</v>
      </c>
      <c r="U17" s="84">
        <v>67.919481384134741</v>
      </c>
      <c r="V17" s="84">
        <v>21.030358378572856</v>
      </c>
      <c r="W17" s="84">
        <v>19.921680758971291</v>
      </c>
      <c r="X17" s="84">
        <v>37.526135442699633</v>
      </c>
      <c r="Y17" s="84">
        <v>49.366212393625013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2.6435959333306167</v>
      </c>
      <c r="C18" s="13">
        <f t="shared" si="12"/>
        <v>2.1899711760673162</v>
      </c>
      <c r="D18" s="13">
        <f t="shared" ref="D18:V18" si="13">SUM(D19:D21)</f>
        <v>2.0632130800557142</v>
      </c>
      <c r="E18" s="13">
        <f t="shared" si="13"/>
        <v>2.6669184779778217</v>
      </c>
      <c r="F18" s="13">
        <f t="shared" si="13"/>
        <v>3.5020058537287393</v>
      </c>
      <c r="G18" s="13">
        <f t="shared" si="13"/>
        <v>3.7878592417503301</v>
      </c>
      <c r="H18" s="13">
        <f t="shared" si="13"/>
        <v>4.0931666030046703</v>
      </c>
      <c r="I18" s="13">
        <f t="shared" si="13"/>
        <v>4.5203279421841245</v>
      </c>
      <c r="J18" s="13">
        <f t="shared" si="13"/>
        <v>3.6839956928856141</v>
      </c>
      <c r="K18" s="13">
        <f t="shared" si="13"/>
        <v>2.7872227526154409</v>
      </c>
      <c r="L18" s="13">
        <f t="shared" si="13"/>
        <v>2.6907576383566618</v>
      </c>
      <c r="M18" s="13">
        <f t="shared" si="13"/>
        <v>2.96912861414128</v>
      </c>
      <c r="N18" s="13">
        <f t="shared" si="13"/>
        <v>3.179969200451473</v>
      </c>
      <c r="O18" s="13">
        <f t="shared" si="13"/>
        <v>3.3435802370474557</v>
      </c>
      <c r="P18" s="13">
        <f t="shared" si="13"/>
        <v>2.8944108870731657</v>
      </c>
      <c r="Q18" s="13">
        <f t="shared" si="13"/>
        <v>2.901296407333434</v>
      </c>
      <c r="R18" s="13">
        <f t="shared" si="13"/>
        <v>2.8260695612699633</v>
      </c>
      <c r="S18" s="13">
        <f t="shared" si="13"/>
        <v>2.970248428218913</v>
      </c>
      <c r="T18" s="13">
        <f t="shared" si="13"/>
        <v>2.7337280695401374</v>
      </c>
      <c r="U18" s="13">
        <f t="shared" si="13"/>
        <v>3.3217581147239841</v>
      </c>
      <c r="V18" s="13">
        <f t="shared" si="13"/>
        <v>2.1662705405640943</v>
      </c>
      <c r="W18" s="13">
        <f t="shared" ref="W18:Y18" si="14">SUM(W19:W21)</f>
        <v>2.1102681725001022</v>
      </c>
      <c r="X18" s="13">
        <f t="shared" si="14"/>
        <v>3.2705587329966423</v>
      </c>
      <c r="Y18" s="13">
        <f t="shared" si="14"/>
        <v>5.6036770319751152</v>
      </c>
      <c r="DA18" s="193" t="s">
        <v>203</v>
      </c>
    </row>
    <row r="19" spans="1:105" ht="11.45" customHeight="1" x14ac:dyDescent="0.25">
      <c r="A19" s="92" t="s">
        <v>27</v>
      </c>
      <c r="B19" s="102">
        <v>0.24886947656652508</v>
      </c>
      <c r="C19" s="102">
        <v>0.18834067902999027</v>
      </c>
      <c r="D19" s="102">
        <v>0.17820924939941149</v>
      </c>
      <c r="E19" s="102">
        <v>0.14937364198930264</v>
      </c>
      <c r="F19" s="102">
        <v>0.14937364198930264</v>
      </c>
      <c r="G19" s="102">
        <v>0.15140313662790697</v>
      </c>
      <c r="H19" s="102">
        <v>0.12989035624807044</v>
      </c>
      <c r="I19" s="102">
        <v>0.10560871727155575</v>
      </c>
      <c r="J19" s="102">
        <v>7.4892005637554965E-2</v>
      </c>
      <c r="K19" s="102">
        <v>7.4999480364022486E-2</v>
      </c>
      <c r="L19" s="102">
        <v>5.1219000000000008E-2</v>
      </c>
      <c r="M19" s="102">
        <v>6.0409267054313848E-2</v>
      </c>
      <c r="N19" s="102">
        <v>8.2580764505119461E-2</v>
      </c>
      <c r="O19" s="102">
        <v>6.7555198282959986E-2</v>
      </c>
      <c r="P19" s="102">
        <v>5.254834917267158E-2</v>
      </c>
      <c r="Q19" s="102">
        <v>4.939443341947506E-2</v>
      </c>
      <c r="R19" s="102">
        <v>5.1567457694297422E-2</v>
      </c>
      <c r="S19" s="102">
        <v>4.0882909107564244E-2</v>
      </c>
      <c r="T19" s="102">
        <v>2.7884686567164179E-2</v>
      </c>
      <c r="U19" s="102">
        <v>2.8563736652669459E-2</v>
      </c>
      <c r="V19" s="102">
        <v>2.5822643628509716E-2</v>
      </c>
      <c r="W19" s="102">
        <v>2.5128728241563057E-2</v>
      </c>
      <c r="X19" s="102">
        <v>2.7262062476477229E-2</v>
      </c>
      <c r="Y19" s="102">
        <v>2.4165773606370875E-2</v>
      </c>
      <c r="DA19" s="175" t="s">
        <v>204</v>
      </c>
    </row>
    <row r="20" spans="1:105" ht="11.45" customHeight="1" x14ac:dyDescent="0.25">
      <c r="A20" s="92" t="s">
        <v>181</v>
      </c>
      <c r="B20" s="102">
        <v>1.5096282050858414</v>
      </c>
      <c r="C20" s="102">
        <v>1.344781078170086</v>
      </c>
      <c r="D20" s="102">
        <v>1.1571436638034152</v>
      </c>
      <c r="E20" s="102">
        <v>1.7491070988581188</v>
      </c>
      <c r="F20" s="102">
        <v>2.3179041696628579</v>
      </c>
      <c r="G20" s="102">
        <v>2.3520943156487388</v>
      </c>
      <c r="H20" s="102">
        <v>2.7006955771897392</v>
      </c>
      <c r="I20" s="102">
        <v>2.8682291955006147</v>
      </c>
      <c r="J20" s="102">
        <v>2.2680933622813697</v>
      </c>
      <c r="K20" s="102">
        <v>1.9996896038381693</v>
      </c>
      <c r="L20" s="102">
        <v>1.9613502580287929</v>
      </c>
      <c r="M20" s="102">
        <v>1.7266398845774358</v>
      </c>
      <c r="N20" s="102">
        <v>1.5926780467571644</v>
      </c>
      <c r="O20" s="102">
        <v>1.9132712069269637</v>
      </c>
      <c r="P20" s="102">
        <v>1.9292605010478303</v>
      </c>
      <c r="Q20" s="102">
        <v>2.0800074422820245</v>
      </c>
      <c r="R20" s="102">
        <v>1.9118811268110021</v>
      </c>
      <c r="S20" s="102">
        <v>2.0389190124633583</v>
      </c>
      <c r="T20" s="102">
        <v>1.821957629960925</v>
      </c>
      <c r="U20" s="102">
        <v>2.3844305761845219</v>
      </c>
      <c r="V20" s="102">
        <v>1.3917616866791744</v>
      </c>
      <c r="W20" s="102">
        <v>1.1923169298354623</v>
      </c>
      <c r="X20" s="102">
        <v>1.6247818936606611</v>
      </c>
      <c r="Y20" s="102">
        <v>1.9963465460399761</v>
      </c>
      <c r="DA20" s="175" t="s">
        <v>205</v>
      </c>
    </row>
    <row r="21" spans="1:105" ht="11.45" customHeight="1" x14ac:dyDescent="0.25">
      <c r="A21" s="85" t="s">
        <v>182</v>
      </c>
      <c r="B21" s="86">
        <v>0.88509825167824996</v>
      </c>
      <c r="C21" s="86">
        <v>0.6568494188672398</v>
      </c>
      <c r="D21" s="86">
        <v>0.72786016685288746</v>
      </c>
      <c r="E21" s="86">
        <v>0.76843773713040042</v>
      </c>
      <c r="F21" s="86">
        <v>1.0347280420765785</v>
      </c>
      <c r="G21" s="86">
        <v>1.2843617894736841</v>
      </c>
      <c r="H21" s="86">
        <v>1.2625806695668609</v>
      </c>
      <c r="I21" s="86">
        <v>1.5464900294119546</v>
      </c>
      <c r="J21" s="86">
        <v>1.3410103249666896</v>
      </c>
      <c r="K21" s="86">
        <v>0.7125336684132495</v>
      </c>
      <c r="L21" s="86">
        <v>0.67818838032786888</v>
      </c>
      <c r="M21" s="86">
        <v>1.1820794625095303</v>
      </c>
      <c r="N21" s="86">
        <v>1.5047103891891891</v>
      </c>
      <c r="O21" s="86">
        <v>1.3627538318375321</v>
      </c>
      <c r="P21" s="86">
        <v>0.91260203685266394</v>
      </c>
      <c r="Q21" s="86">
        <v>0.77189453163193433</v>
      </c>
      <c r="R21" s="86">
        <v>0.86262097676466365</v>
      </c>
      <c r="S21" s="86">
        <v>0.89044650664799041</v>
      </c>
      <c r="T21" s="86">
        <v>0.8838857530120483</v>
      </c>
      <c r="U21" s="86">
        <v>0.9087638018867924</v>
      </c>
      <c r="V21" s="86">
        <v>0.74868621025641025</v>
      </c>
      <c r="W21" s="86">
        <v>0.89282251442307692</v>
      </c>
      <c r="X21" s="86">
        <v>1.6185147768595038</v>
      </c>
      <c r="Y21" s="86">
        <v>3.583164712328768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122051</v>
      </c>
      <c r="C23" s="54">
        <f t="shared" si="15"/>
        <v>121570</v>
      </c>
      <c r="D23" s="54">
        <f t="shared" ref="D23:V23" si="16">SUM(D24,D28)</f>
        <v>113244</v>
      </c>
      <c r="E23" s="54">
        <f t="shared" si="16"/>
        <v>118890</v>
      </c>
      <c r="F23" s="54">
        <f t="shared" si="16"/>
        <v>125666</v>
      </c>
      <c r="G23" s="54">
        <f t="shared" si="16"/>
        <v>124614</v>
      </c>
      <c r="H23" s="54">
        <f t="shared" si="16"/>
        <v>128790</v>
      </c>
      <c r="I23" s="54">
        <f t="shared" si="16"/>
        <v>127321</v>
      </c>
      <c r="J23" s="54">
        <f t="shared" si="16"/>
        <v>130295</v>
      </c>
      <c r="K23" s="54">
        <f t="shared" si="16"/>
        <v>123269</v>
      </c>
      <c r="L23" s="54">
        <f t="shared" si="16"/>
        <v>122002</v>
      </c>
      <c r="M23" s="54">
        <f t="shared" si="16"/>
        <v>135184</v>
      </c>
      <c r="N23" s="54">
        <f t="shared" si="16"/>
        <v>120937</v>
      </c>
      <c r="O23" s="54">
        <f t="shared" si="16"/>
        <v>114397</v>
      </c>
      <c r="P23" s="54">
        <f t="shared" si="16"/>
        <v>112416</v>
      </c>
      <c r="Q23" s="54">
        <f t="shared" si="16"/>
        <v>110740</v>
      </c>
      <c r="R23" s="54">
        <f t="shared" si="16"/>
        <v>108373</v>
      </c>
      <c r="S23" s="54">
        <f t="shared" si="16"/>
        <v>114605</v>
      </c>
      <c r="T23" s="54">
        <f t="shared" si="16"/>
        <v>122884</v>
      </c>
      <c r="U23" s="54">
        <f t="shared" si="16"/>
        <v>124666</v>
      </c>
      <c r="V23" s="54">
        <f t="shared" si="16"/>
        <v>44652</v>
      </c>
      <c r="W23" s="54">
        <f t="shared" ref="W23:Y23" si="17">SUM(W24,W28)</f>
        <v>42948</v>
      </c>
      <c r="X23" s="54">
        <f t="shared" si="17"/>
        <v>81330</v>
      </c>
      <c r="Y23" s="54">
        <f t="shared" si="17"/>
        <v>88848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119370</v>
      </c>
      <c r="C24" s="11">
        <f t="shared" si="18"/>
        <v>119343</v>
      </c>
      <c r="D24" s="11">
        <f t="shared" ref="D24:V24" si="19">SUM(D25:D27)</f>
        <v>111194</v>
      </c>
      <c r="E24" s="11">
        <f t="shared" si="19"/>
        <v>116301</v>
      </c>
      <c r="F24" s="11">
        <f t="shared" si="19"/>
        <v>122402</v>
      </c>
      <c r="G24" s="11">
        <f t="shared" si="19"/>
        <v>121322</v>
      </c>
      <c r="H24" s="11">
        <f t="shared" si="19"/>
        <v>125096</v>
      </c>
      <c r="I24" s="11">
        <f t="shared" si="19"/>
        <v>123432</v>
      </c>
      <c r="J24" s="11">
        <f t="shared" si="19"/>
        <v>126789</v>
      </c>
      <c r="K24" s="11">
        <f t="shared" si="19"/>
        <v>120167</v>
      </c>
      <c r="L24" s="11">
        <f t="shared" si="19"/>
        <v>118695</v>
      </c>
      <c r="M24" s="11">
        <f t="shared" si="19"/>
        <v>132034</v>
      </c>
      <c r="N24" s="11">
        <f t="shared" si="19"/>
        <v>117778</v>
      </c>
      <c r="O24" s="11">
        <f t="shared" si="19"/>
        <v>111187</v>
      </c>
      <c r="P24" s="11">
        <f t="shared" si="19"/>
        <v>109442</v>
      </c>
      <c r="Q24" s="11">
        <f t="shared" si="19"/>
        <v>107688</v>
      </c>
      <c r="R24" s="11">
        <f t="shared" si="19"/>
        <v>105611</v>
      </c>
      <c r="S24" s="11">
        <f t="shared" si="19"/>
        <v>111868</v>
      </c>
      <c r="T24" s="11">
        <f t="shared" si="19"/>
        <v>120361</v>
      </c>
      <c r="U24" s="11">
        <f t="shared" si="19"/>
        <v>121532</v>
      </c>
      <c r="V24" s="11">
        <f t="shared" si="19"/>
        <v>42077</v>
      </c>
      <c r="W24" s="11">
        <f t="shared" ref="W24:Y24" si="20">SUM(W25:W27)</f>
        <v>40292</v>
      </c>
      <c r="X24" s="11">
        <f t="shared" si="20"/>
        <v>78740</v>
      </c>
      <c r="Y24" s="11">
        <f t="shared" si="20"/>
        <v>85905</v>
      </c>
      <c r="DA24" s="189" t="s">
        <v>208</v>
      </c>
    </row>
    <row r="25" spans="1:105" ht="11.45" customHeight="1" x14ac:dyDescent="0.25">
      <c r="A25" s="83" t="s">
        <v>27</v>
      </c>
      <c r="B25" s="84">
        <v>67724</v>
      </c>
      <c r="C25" s="84">
        <v>65999</v>
      </c>
      <c r="D25" s="84">
        <v>61791</v>
      </c>
      <c r="E25" s="84">
        <v>62505</v>
      </c>
      <c r="F25" s="84">
        <v>63518</v>
      </c>
      <c r="G25" s="84">
        <v>63277</v>
      </c>
      <c r="H25" s="84">
        <v>64945</v>
      </c>
      <c r="I25" s="84">
        <v>59548</v>
      </c>
      <c r="J25" s="84">
        <v>58971</v>
      </c>
      <c r="K25" s="84">
        <v>57909</v>
      </c>
      <c r="L25" s="84">
        <v>54136</v>
      </c>
      <c r="M25" s="84">
        <v>58564</v>
      </c>
      <c r="N25" s="84">
        <v>48868</v>
      </c>
      <c r="O25" s="84">
        <v>43911</v>
      </c>
      <c r="P25" s="84">
        <v>42068</v>
      </c>
      <c r="Q25" s="84">
        <v>40732</v>
      </c>
      <c r="R25" s="84">
        <v>39443</v>
      </c>
      <c r="S25" s="84">
        <v>40587</v>
      </c>
      <c r="T25" s="84">
        <v>42220</v>
      </c>
      <c r="U25" s="84">
        <v>41709</v>
      </c>
      <c r="V25" s="84">
        <v>17080</v>
      </c>
      <c r="W25" s="84">
        <v>16917</v>
      </c>
      <c r="X25" s="84">
        <v>25168</v>
      </c>
      <c r="Y25" s="84">
        <v>25620</v>
      </c>
      <c r="DA25" s="171" t="s">
        <v>209</v>
      </c>
    </row>
    <row r="26" spans="1:105" ht="11.45" customHeight="1" x14ac:dyDescent="0.25">
      <c r="A26" s="83" t="s">
        <v>181</v>
      </c>
      <c r="B26" s="84">
        <v>48001</v>
      </c>
      <c r="C26" s="84">
        <v>49674</v>
      </c>
      <c r="D26" s="84">
        <v>45492</v>
      </c>
      <c r="E26" s="84">
        <v>49775</v>
      </c>
      <c r="F26" s="84">
        <v>54270</v>
      </c>
      <c r="G26" s="84">
        <v>53167</v>
      </c>
      <c r="H26" s="84">
        <v>54678</v>
      </c>
      <c r="I26" s="84">
        <v>57238</v>
      </c>
      <c r="J26" s="84">
        <v>59681</v>
      </c>
      <c r="K26" s="84">
        <v>54481</v>
      </c>
      <c r="L26" s="84">
        <v>56515</v>
      </c>
      <c r="M26" s="84">
        <v>64278</v>
      </c>
      <c r="N26" s="84">
        <v>59804</v>
      </c>
      <c r="O26" s="84">
        <v>57904</v>
      </c>
      <c r="P26" s="84">
        <v>57045</v>
      </c>
      <c r="Q26" s="84">
        <v>56336</v>
      </c>
      <c r="R26" s="84">
        <v>55860</v>
      </c>
      <c r="S26" s="84">
        <v>60197</v>
      </c>
      <c r="T26" s="84">
        <v>64983</v>
      </c>
      <c r="U26" s="84">
        <v>65221</v>
      </c>
      <c r="V26" s="84">
        <v>20941</v>
      </c>
      <c r="W26" s="84">
        <v>19478</v>
      </c>
      <c r="X26" s="84">
        <v>47820</v>
      </c>
      <c r="Y26" s="84">
        <v>53615</v>
      </c>
      <c r="DA26" s="171" t="s">
        <v>210</v>
      </c>
    </row>
    <row r="27" spans="1:105" ht="11.45" customHeight="1" x14ac:dyDescent="0.25">
      <c r="A27" s="83" t="s">
        <v>182</v>
      </c>
      <c r="B27" s="84">
        <v>3645</v>
      </c>
      <c r="C27" s="84">
        <v>3670</v>
      </c>
      <c r="D27" s="84">
        <v>3911</v>
      </c>
      <c r="E27" s="84">
        <v>4021</v>
      </c>
      <c r="F27" s="84">
        <v>4614</v>
      </c>
      <c r="G27" s="84">
        <v>4878</v>
      </c>
      <c r="H27" s="84">
        <v>5473</v>
      </c>
      <c r="I27" s="84">
        <v>6646</v>
      </c>
      <c r="J27" s="84">
        <v>8137</v>
      </c>
      <c r="K27" s="84">
        <v>7777</v>
      </c>
      <c r="L27" s="84">
        <v>8044</v>
      </c>
      <c r="M27" s="84">
        <v>9192</v>
      </c>
      <c r="N27" s="84">
        <v>9106</v>
      </c>
      <c r="O27" s="84">
        <v>9372</v>
      </c>
      <c r="P27" s="84">
        <v>10329</v>
      </c>
      <c r="Q27" s="84">
        <v>10620</v>
      </c>
      <c r="R27" s="84">
        <v>10308</v>
      </c>
      <c r="S27" s="84">
        <v>11084</v>
      </c>
      <c r="T27" s="84">
        <v>13158</v>
      </c>
      <c r="U27" s="84">
        <v>14602</v>
      </c>
      <c r="V27" s="84">
        <v>4056</v>
      </c>
      <c r="W27" s="84">
        <v>3897</v>
      </c>
      <c r="X27" s="84">
        <v>5752</v>
      </c>
      <c r="Y27" s="84">
        <v>6670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2681</v>
      </c>
      <c r="C28" s="13">
        <f t="shared" si="21"/>
        <v>2227</v>
      </c>
      <c r="D28" s="13">
        <f t="shared" ref="D28:V28" si="22">SUM(D29:D31)</f>
        <v>2050</v>
      </c>
      <c r="E28" s="13">
        <f t="shared" si="22"/>
        <v>2589</v>
      </c>
      <c r="F28" s="13">
        <f t="shared" si="22"/>
        <v>3264</v>
      </c>
      <c r="G28" s="13">
        <f t="shared" si="22"/>
        <v>3292</v>
      </c>
      <c r="H28" s="13">
        <f t="shared" si="22"/>
        <v>3694</v>
      </c>
      <c r="I28" s="13">
        <f t="shared" si="22"/>
        <v>3889</v>
      </c>
      <c r="J28" s="13">
        <f t="shared" si="22"/>
        <v>3506</v>
      </c>
      <c r="K28" s="13">
        <f t="shared" si="22"/>
        <v>3102</v>
      </c>
      <c r="L28" s="13">
        <f t="shared" si="22"/>
        <v>3307</v>
      </c>
      <c r="M28" s="13">
        <f t="shared" si="22"/>
        <v>3150</v>
      </c>
      <c r="N28" s="13">
        <f t="shared" si="22"/>
        <v>3159</v>
      </c>
      <c r="O28" s="13">
        <f t="shared" si="22"/>
        <v>3210</v>
      </c>
      <c r="P28" s="13">
        <f t="shared" si="22"/>
        <v>2974</v>
      </c>
      <c r="Q28" s="13">
        <f t="shared" si="22"/>
        <v>3052</v>
      </c>
      <c r="R28" s="13">
        <f t="shared" si="22"/>
        <v>2762</v>
      </c>
      <c r="S28" s="13">
        <f t="shared" si="22"/>
        <v>2737</v>
      </c>
      <c r="T28" s="13">
        <f t="shared" si="22"/>
        <v>2523</v>
      </c>
      <c r="U28" s="13">
        <f t="shared" si="22"/>
        <v>3134</v>
      </c>
      <c r="V28" s="13">
        <f t="shared" si="22"/>
        <v>2575</v>
      </c>
      <c r="W28" s="13">
        <f t="shared" ref="W28:Y28" si="23">SUM(W29:W31)</f>
        <v>2656</v>
      </c>
      <c r="X28" s="13">
        <f t="shared" si="23"/>
        <v>2590</v>
      </c>
      <c r="Y28" s="13">
        <f t="shared" si="23"/>
        <v>2943</v>
      </c>
      <c r="DA28" s="193" t="s">
        <v>212</v>
      </c>
    </row>
    <row r="29" spans="1:105" ht="11.45" customHeight="1" x14ac:dyDescent="0.25">
      <c r="A29" s="92" t="s">
        <v>27</v>
      </c>
      <c r="B29" s="102">
        <v>958</v>
      </c>
      <c r="C29" s="102">
        <v>725</v>
      </c>
      <c r="D29" s="102">
        <v>686</v>
      </c>
      <c r="E29" s="102">
        <v>575</v>
      </c>
      <c r="F29" s="102">
        <v>575</v>
      </c>
      <c r="G29" s="102">
        <v>561</v>
      </c>
      <c r="H29" s="102">
        <v>583</v>
      </c>
      <c r="I29" s="102">
        <v>472</v>
      </c>
      <c r="J29" s="102">
        <v>393</v>
      </c>
      <c r="K29" s="102">
        <v>421</v>
      </c>
      <c r="L29" s="102">
        <v>315</v>
      </c>
      <c r="M29" s="102">
        <v>269</v>
      </c>
      <c r="N29" s="102">
        <v>282</v>
      </c>
      <c r="O29" s="102">
        <v>245</v>
      </c>
      <c r="P29" s="102">
        <v>186</v>
      </c>
      <c r="Q29" s="102">
        <v>179</v>
      </c>
      <c r="R29" s="102">
        <v>188</v>
      </c>
      <c r="S29" s="102">
        <v>148</v>
      </c>
      <c r="T29" s="102">
        <v>96</v>
      </c>
      <c r="U29" s="102">
        <v>107</v>
      </c>
      <c r="V29" s="102">
        <v>111</v>
      </c>
      <c r="W29" s="102">
        <v>88</v>
      </c>
      <c r="X29" s="102">
        <v>100</v>
      </c>
      <c r="Y29" s="102">
        <v>110</v>
      </c>
      <c r="DA29" s="175" t="s">
        <v>213</v>
      </c>
    </row>
    <row r="30" spans="1:105" ht="11.45" customHeight="1" x14ac:dyDescent="0.25">
      <c r="A30" s="92" t="s">
        <v>181</v>
      </c>
      <c r="B30" s="102">
        <v>1374</v>
      </c>
      <c r="C30" s="102">
        <v>1243</v>
      </c>
      <c r="D30" s="102">
        <v>1077</v>
      </c>
      <c r="E30" s="102">
        <v>1711</v>
      </c>
      <c r="F30" s="102">
        <v>2281</v>
      </c>
      <c r="G30" s="102">
        <v>2262</v>
      </c>
      <c r="H30" s="102">
        <v>2600</v>
      </c>
      <c r="I30" s="102">
        <v>2717</v>
      </c>
      <c r="J30" s="102">
        <v>2251</v>
      </c>
      <c r="K30" s="102">
        <v>2011</v>
      </c>
      <c r="L30" s="102">
        <v>2076</v>
      </c>
      <c r="M30" s="102">
        <v>1836</v>
      </c>
      <c r="N30" s="102">
        <v>1801</v>
      </c>
      <c r="O30" s="102">
        <v>1997</v>
      </c>
      <c r="P30" s="102">
        <v>1954</v>
      </c>
      <c r="Q30" s="102">
        <v>2099</v>
      </c>
      <c r="R30" s="102">
        <v>1800</v>
      </c>
      <c r="S30" s="102">
        <v>1756</v>
      </c>
      <c r="T30" s="102">
        <v>1476</v>
      </c>
      <c r="U30" s="102">
        <v>1910</v>
      </c>
      <c r="V30" s="102">
        <v>1443</v>
      </c>
      <c r="W30" s="102">
        <v>1257</v>
      </c>
      <c r="X30" s="102">
        <v>1482</v>
      </c>
      <c r="Y30" s="102">
        <v>1865</v>
      </c>
      <c r="DA30" s="175" t="s">
        <v>214</v>
      </c>
    </row>
    <row r="31" spans="1:105" ht="11.45" customHeight="1" x14ac:dyDescent="0.25">
      <c r="A31" s="85" t="s">
        <v>182</v>
      </c>
      <c r="B31" s="86">
        <v>349</v>
      </c>
      <c r="C31" s="86">
        <v>259</v>
      </c>
      <c r="D31" s="86">
        <v>287</v>
      </c>
      <c r="E31" s="86">
        <v>303</v>
      </c>
      <c r="F31" s="86">
        <v>408</v>
      </c>
      <c r="G31" s="86">
        <v>469</v>
      </c>
      <c r="H31" s="86">
        <v>511</v>
      </c>
      <c r="I31" s="86">
        <v>700</v>
      </c>
      <c r="J31" s="86">
        <v>862</v>
      </c>
      <c r="K31" s="86">
        <v>670</v>
      </c>
      <c r="L31" s="86">
        <v>916</v>
      </c>
      <c r="M31" s="86">
        <v>1045</v>
      </c>
      <c r="N31" s="86">
        <v>1076</v>
      </c>
      <c r="O31" s="86">
        <v>968</v>
      </c>
      <c r="P31" s="86">
        <v>834</v>
      </c>
      <c r="Q31" s="86">
        <v>774</v>
      </c>
      <c r="R31" s="86">
        <v>774</v>
      </c>
      <c r="S31" s="86">
        <v>833</v>
      </c>
      <c r="T31" s="86">
        <v>951</v>
      </c>
      <c r="U31" s="86">
        <v>1117</v>
      </c>
      <c r="V31" s="86">
        <v>1021</v>
      </c>
      <c r="W31" s="86">
        <v>1311</v>
      </c>
      <c r="X31" s="86">
        <v>1008</v>
      </c>
      <c r="Y31" s="86">
        <v>968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7004392</v>
      </c>
      <c r="C34" s="11">
        <f t="shared" si="24"/>
        <v>7012042</v>
      </c>
      <c r="D34" s="11">
        <f t="shared" ref="D34:V34" si="25">SUM(D35:D37)</f>
        <v>6965606</v>
      </c>
      <c r="E34" s="11">
        <f t="shared" si="25"/>
        <v>6651443</v>
      </c>
      <c r="F34" s="11">
        <f t="shared" si="25"/>
        <v>7340104</v>
      </c>
      <c r="G34" s="11">
        <f t="shared" si="25"/>
        <v>7537212</v>
      </c>
      <c r="H34" s="11">
        <f t="shared" si="25"/>
        <v>8167175</v>
      </c>
      <c r="I34" s="11">
        <f t="shared" si="25"/>
        <v>8690622</v>
      </c>
      <c r="J34" s="11">
        <f t="shared" si="25"/>
        <v>8832812</v>
      </c>
      <c r="K34" s="11">
        <f t="shared" si="25"/>
        <v>8146307</v>
      </c>
      <c r="L34" s="11">
        <f t="shared" si="25"/>
        <v>8335970</v>
      </c>
      <c r="M34" s="11">
        <f t="shared" si="25"/>
        <v>9634778</v>
      </c>
      <c r="N34" s="11">
        <f t="shared" si="25"/>
        <v>9654718</v>
      </c>
      <c r="O34" s="11">
        <f t="shared" si="25"/>
        <v>9557433</v>
      </c>
      <c r="P34" s="11">
        <f t="shared" si="25"/>
        <v>9893902</v>
      </c>
      <c r="Q34" s="11">
        <f t="shared" si="25"/>
        <v>10047980</v>
      </c>
      <c r="R34" s="11">
        <f t="shared" si="25"/>
        <v>10410251</v>
      </c>
      <c r="S34" s="11">
        <f t="shared" si="25"/>
        <v>11492373</v>
      </c>
      <c r="T34" s="11">
        <f t="shared" si="25"/>
        <v>12699850</v>
      </c>
      <c r="U34" s="11">
        <f t="shared" si="25"/>
        <v>13227955</v>
      </c>
      <c r="V34" s="11">
        <f t="shared" si="25"/>
        <v>3238279</v>
      </c>
      <c r="W34" s="11">
        <f t="shared" ref="W34:Y34" si="26">SUM(W35:W37)</f>
        <v>2753279</v>
      </c>
      <c r="X34" s="11">
        <f t="shared" si="26"/>
        <v>7829960</v>
      </c>
      <c r="Y34" s="11">
        <f t="shared" si="26"/>
        <v>9257288</v>
      </c>
      <c r="DA34" s="189" t="s">
        <v>216</v>
      </c>
    </row>
    <row r="35" spans="1:105" ht="11.45" customHeight="1" x14ac:dyDescent="0.25">
      <c r="A35" s="83" t="s">
        <v>27</v>
      </c>
      <c r="B35" s="84">
        <v>3238325</v>
      </c>
      <c r="C35" s="84">
        <v>3183803</v>
      </c>
      <c r="D35" s="84">
        <v>3194876</v>
      </c>
      <c r="E35" s="84">
        <v>2762600</v>
      </c>
      <c r="F35" s="84">
        <v>2922857</v>
      </c>
      <c r="G35" s="84">
        <v>2831324</v>
      </c>
      <c r="H35" s="84">
        <v>2919770</v>
      </c>
      <c r="I35" s="84">
        <v>2888750</v>
      </c>
      <c r="J35" s="84">
        <v>2733149</v>
      </c>
      <c r="K35" s="84">
        <v>2419046</v>
      </c>
      <c r="L35" s="84">
        <v>2302441</v>
      </c>
      <c r="M35" s="84">
        <v>2783495</v>
      </c>
      <c r="N35" s="84">
        <v>2751458</v>
      </c>
      <c r="O35" s="84">
        <v>2472888</v>
      </c>
      <c r="P35" s="84">
        <v>2558397</v>
      </c>
      <c r="Q35" s="84">
        <v>2602198</v>
      </c>
      <c r="R35" s="84">
        <v>2692099</v>
      </c>
      <c r="S35" s="84">
        <v>2828013</v>
      </c>
      <c r="T35" s="84">
        <v>3085016</v>
      </c>
      <c r="U35" s="84">
        <v>3063397</v>
      </c>
      <c r="V35" s="84">
        <v>1057971</v>
      </c>
      <c r="W35" s="84">
        <v>910014</v>
      </c>
      <c r="X35" s="84">
        <v>1758524</v>
      </c>
      <c r="Y35" s="84">
        <v>1870498</v>
      </c>
      <c r="DA35" s="171" t="s">
        <v>217</v>
      </c>
    </row>
    <row r="36" spans="1:105" ht="11.45" customHeight="1" x14ac:dyDescent="0.25">
      <c r="A36" s="83" t="s">
        <v>181</v>
      </c>
      <c r="B36" s="84">
        <v>3296091</v>
      </c>
      <c r="C36" s="84">
        <v>3368192</v>
      </c>
      <c r="D36" s="84">
        <v>3281521</v>
      </c>
      <c r="E36" s="84">
        <v>3412536</v>
      </c>
      <c r="F36" s="84">
        <v>3800094</v>
      </c>
      <c r="G36" s="84">
        <v>4023713</v>
      </c>
      <c r="H36" s="84">
        <v>4473631</v>
      </c>
      <c r="I36" s="84">
        <v>4794936</v>
      </c>
      <c r="J36" s="84">
        <v>4889694</v>
      </c>
      <c r="K36" s="84">
        <v>4568096</v>
      </c>
      <c r="L36" s="84">
        <v>4794034</v>
      </c>
      <c r="M36" s="84">
        <v>5457127</v>
      </c>
      <c r="N36" s="84">
        <v>5409296</v>
      </c>
      <c r="O36" s="84">
        <v>5521780</v>
      </c>
      <c r="P36" s="84">
        <v>5728469</v>
      </c>
      <c r="Q36" s="84">
        <v>5818331</v>
      </c>
      <c r="R36" s="84">
        <v>6078359</v>
      </c>
      <c r="S36" s="84">
        <v>6747590</v>
      </c>
      <c r="T36" s="84">
        <v>7335037</v>
      </c>
      <c r="U36" s="84">
        <v>7636977</v>
      </c>
      <c r="V36" s="84">
        <v>1650840</v>
      </c>
      <c r="W36" s="84">
        <v>1537377</v>
      </c>
      <c r="X36" s="84">
        <v>5105936</v>
      </c>
      <c r="Y36" s="84">
        <v>6073271</v>
      </c>
      <c r="DA36" s="171" t="s">
        <v>218</v>
      </c>
    </row>
    <row r="37" spans="1:105" ht="11.45" customHeight="1" x14ac:dyDescent="0.25">
      <c r="A37" s="83" t="s">
        <v>182</v>
      </c>
      <c r="B37" s="84">
        <v>469976</v>
      </c>
      <c r="C37" s="84">
        <v>460047</v>
      </c>
      <c r="D37" s="84">
        <v>489209</v>
      </c>
      <c r="E37" s="84">
        <v>476307</v>
      </c>
      <c r="F37" s="84">
        <v>617153</v>
      </c>
      <c r="G37" s="84">
        <v>682175</v>
      </c>
      <c r="H37" s="84">
        <v>773774</v>
      </c>
      <c r="I37" s="84">
        <v>1006936</v>
      </c>
      <c r="J37" s="84">
        <v>1209969</v>
      </c>
      <c r="K37" s="84">
        <v>1159165</v>
      </c>
      <c r="L37" s="84">
        <v>1239495</v>
      </c>
      <c r="M37" s="84">
        <v>1394156</v>
      </c>
      <c r="N37" s="84">
        <v>1493964</v>
      </c>
      <c r="O37" s="84">
        <v>1562765</v>
      </c>
      <c r="P37" s="84">
        <v>1607036</v>
      </c>
      <c r="Q37" s="84">
        <v>1627451</v>
      </c>
      <c r="R37" s="84">
        <v>1639793</v>
      </c>
      <c r="S37" s="84">
        <v>1916770</v>
      </c>
      <c r="T37" s="84">
        <v>2279797</v>
      </c>
      <c r="U37" s="84">
        <v>2527581</v>
      </c>
      <c r="V37" s="84">
        <v>529468</v>
      </c>
      <c r="W37" s="84">
        <v>305888</v>
      </c>
      <c r="X37" s="84">
        <v>965500</v>
      </c>
      <c r="Y37" s="84">
        <v>1313519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50013.149121416172</v>
      </c>
      <c r="C38" s="13">
        <f t="shared" si="27"/>
        <v>41483.096152408434</v>
      </c>
      <c r="D38" s="13">
        <f t="shared" ref="D38:V38" si="28">SUM(D39:D41)</f>
        <v>39825.307612620672</v>
      </c>
      <c r="E38" s="13">
        <f t="shared" si="28"/>
        <v>50486.547816172584</v>
      </c>
      <c r="F38" s="13">
        <f t="shared" si="28"/>
        <v>62145.800808845204</v>
      </c>
      <c r="G38" s="13">
        <f t="shared" si="28"/>
        <v>60749.892202535833</v>
      </c>
      <c r="H38" s="13">
        <f t="shared" si="28"/>
        <v>65147.900494083049</v>
      </c>
      <c r="I38" s="13">
        <f t="shared" si="28"/>
        <v>73624.135651648874</v>
      </c>
      <c r="J38" s="13">
        <f t="shared" si="28"/>
        <v>73200.418596584263</v>
      </c>
      <c r="K38" s="13">
        <f t="shared" si="28"/>
        <v>64906.877791754188</v>
      </c>
      <c r="L38" s="13">
        <f t="shared" si="28"/>
        <v>81368.889988084586</v>
      </c>
      <c r="M38" s="13">
        <f t="shared" si="28"/>
        <v>89105.842193404344</v>
      </c>
      <c r="N38" s="13">
        <f t="shared" si="28"/>
        <v>96747.806334214227</v>
      </c>
      <c r="O38" s="13">
        <f t="shared" si="28"/>
        <v>94029.95172568399</v>
      </c>
      <c r="P38" s="13">
        <f t="shared" si="28"/>
        <v>93872.580249052364</v>
      </c>
      <c r="Q38" s="13">
        <f t="shared" si="28"/>
        <v>92443.177802938415</v>
      </c>
      <c r="R38" s="13">
        <f t="shared" si="28"/>
        <v>97239.718470532564</v>
      </c>
      <c r="S38" s="13">
        <f t="shared" si="28"/>
        <v>97184.970959109574</v>
      </c>
      <c r="T38" s="13">
        <f t="shared" si="28"/>
        <v>99735.103220446967</v>
      </c>
      <c r="U38" s="13">
        <f t="shared" si="28"/>
        <v>123546.42943135987</v>
      </c>
      <c r="V38" s="13">
        <f t="shared" si="28"/>
        <v>78661.354517643165</v>
      </c>
      <c r="W38" s="13">
        <f t="shared" ref="W38:Y38" si="29">SUM(W39:W41)</f>
        <v>93884.0283461199</v>
      </c>
      <c r="X38" s="13">
        <f t="shared" si="29"/>
        <v>88989.683487646878</v>
      </c>
      <c r="Y38" s="13">
        <f t="shared" si="29"/>
        <v>96190.449980525533</v>
      </c>
      <c r="DA38" s="193" t="s">
        <v>220</v>
      </c>
    </row>
    <row r="39" spans="1:105" ht="11.45" customHeight="1" x14ac:dyDescent="0.25">
      <c r="A39" s="92" t="s">
        <v>27</v>
      </c>
      <c r="B39" s="102">
        <v>9602.3066098390482</v>
      </c>
      <c r="C39" s="102">
        <v>7211.4622063714405</v>
      </c>
      <c r="D39" s="102">
        <v>7016.8325135148925</v>
      </c>
      <c r="E39" s="102">
        <v>6256.0634807777205</v>
      </c>
      <c r="F39" s="102">
        <v>5891.0424458030348</v>
      </c>
      <c r="G39" s="102">
        <v>5624.8028602372069</v>
      </c>
      <c r="H39" s="102">
        <v>5622.6242955366606</v>
      </c>
      <c r="I39" s="102">
        <v>4535.2056516369239</v>
      </c>
      <c r="J39" s="102">
        <v>3632.9919006725991</v>
      </c>
      <c r="K39" s="102">
        <v>3925.4460300702331</v>
      </c>
      <c r="L39" s="102">
        <v>3141.3983736116952</v>
      </c>
      <c r="M39" s="102">
        <v>2930.8726119650041</v>
      </c>
      <c r="N39" s="102">
        <v>3155.9553785328912</v>
      </c>
      <c r="O39" s="102">
        <v>2810.7886066064762</v>
      </c>
      <c r="P39" s="102">
        <v>2393.2800512566687</v>
      </c>
      <c r="Q39" s="102">
        <v>2370.0134531000595</v>
      </c>
      <c r="R39" s="102">
        <v>2869.1103383854479</v>
      </c>
      <c r="S39" s="102">
        <v>2077.5362778555059</v>
      </c>
      <c r="T39" s="102">
        <v>1371.6259866937335</v>
      </c>
      <c r="U39" s="102">
        <v>1690.9647398718025</v>
      </c>
      <c r="V39" s="102">
        <v>1616.7760038174963</v>
      </c>
      <c r="W39" s="102">
        <v>1296.5820934081212</v>
      </c>
      <c r="X39" s="102">
        <v>1490.3133727895911</v>
      </c>
      <c r="Y39" s="102">
        <v>1627.0478100493197</v>
      </c>
      <c r="DA39" s="175" t="s">
        <v>221</v>
      </c>
    </row>
    <row r="40" spans="1:105" ht="11.45" customHeight="1" x14ac:dyDescent="0.25">
      <c r="A40" s="92" t="s">
        <v>181</v>
      </c>
      <c r="B40" s="102">
        <v>22214.567869702983</v>
      </c>
      <c r="C40" s="102">
        <v>20319.982002844845</v>
      </c>
      <c r="D40" s="102">
        <v>17625.260018077228</v>
      </c>
      <c r="E40" s="102">
        <v>29466.323014875186</v>
      </c>
      <c r="F40" s="102">
        <v>36646.425623233488</v>
      </c>
      <c r="G40" s="102">
        <v>34388.000472326021</v>
      </c>
      <c r="H40" s="102">
        <v>36446.404389892028</v>
      </c>
      <c r="I40" s="102">
        <v>37458.854502187096</v>
      </c>
      <c r="J40" s="102">
        <v>30852.317459731006</v>
      </c>
      <c r="K40" s="102">
        <v>27548.476345404164</v>
      </c>
      <c r="L40" s="102">
        <v>30111.91173448402</v>
      </c>
      <c r="M40" s="102">
        <v>28630.567433712371</v>
      </c>
      <c r="N40" s="102">
        <v>30019.558672903742</v>
      </c>
      <c r="O40" s="102">
        <v>33463.742150346683</v>
      </c>
      <c r="P40" s="102">
        <v>36050.152374110454</v>
      </c>
      <c r="Q40" s="102">
        <v>38784.496166278048</v>
      </c>
      <c r="R40" s="102">
        <v>37526.254925441492</v>
      </c>
      <c r="S40" s="102">
        <v>34026.934224995173</v>
      </c>
      <c r="T40" s="102">
        <v>28376.780725751167</v>
      </c>
      <c r="U40" s="102">
        <v>37631.963359677044</v>
      </c>
      <c r="V40" s="102">
        <v>25455.250323207249</v>
      </c>
      <c r="W40" s="102">
        <v>22334.873464625536</v>
      </c>
      <c r="X40" s="102">
        <v>26513.682660868999</v>
      </c>
      <c r="Y40" s="102">
        <v>33514.119458834139</v>
      </c>
      <c r="DA40" s="175" t="s">
        <v>222</v>
      </c>
    </row>
    <row r="41" spans="1:105" ht="11.45" customHeight="1" x14ac:dyDescent="0.25">
      <c r="A41" s="85" t="s">
        <v>182</v>
      </c>
      <c r="B41" s="86">
        <v>18196.274641874141</v>
      </c>
      <c r="C41" s="86">
        <v>13951.651943192148</v>
      </c>
      <c r="D41" s="86">
        <v>15183.215081028551</v>
      </c>
      <c r="E41" s="86">
        <v>14764.161320519675</v>
      </c>
      <c r="F41" s="86">
        <v>19608.33273980868</v>
      </c>
      <c r="G41" s="86">
        <v>20737.088869972606</v>
      </c>
      <c r="H41" s="86">
        <v>23078.871808654363</v>
      </c>
      <c r="I41" s="86">
        <v>31630.075497824848</v>
      </c>
      <c r="J41" s="86">
        <v>38715.109236180659</v>
      </c>
      <c r="K41" s="86">
        <v>33432.955416279787</v>
      </c>
      <c r="L41" s="86">
        <v>48115.579879988865</v>
      </c>
      <c r="M41" s="86">
        <v>57544.402147726971</v>
      </c>
      <c r="N41" s="86">
        <v>63572.292282777591</v>
      </c>
      <c r="O41" s="86">
        <v>57755.420968730839</v>
      </c>
      <c r="P41" s="86">
        <v>55429.147823685242</v>
      </c>
      <c r="Q41" s="86">
        <v>51288.668183560309</v>
      </c>
      <c r="R41" s="86">
        <v>56844.353206705629</v>
      </c>
      <c r="S41" s="86">
        <v>61080.500456258902</v>
      </c>
      <c r="T41" s="86">
        <v>69986.696508002075</v>
      </c>
      <c r="U41" s="86">
        <v>84223.501331811014</v>
      </c>
      <c r="V41" s="86">
        <v>51589.32819061842</v>
      </c>
      <c r="W41" s="86">
        <v>70252.57278808624</v>
      </c>
      <c r="X41" s="86">
        <v>60985.687453988285</v>
      </c>
      <c r="Y41" s="86">
        <v>61049.282711642067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79.142451768881742</v>
      </c>
      <c r="C43" s="54">
        <f t="shared" si="30"/>
        <v>79.498479042465618</v>
      </c>
      <c r="D43" s="54">
        <f t="shared" ref="D43:V43" si="31">SUM(D44,D48)</f>
        <v>74.768786327615814</v>
      </c>
      <c r="E43" s="54">
        <f t="shared" si="31"/>
        <v>78.935586188629344</v>
      </c>
      <c r="F43" s="54">
        <f t="shared" si="31"/>
        <v>84.972486412652486</v>
      </c>
      <c r="G43" s="54">
        <f t="shared" si="31"/>
        <v>85.749750277050651</v>
      </c>
      <c r="H43" s="54">
        <f t="shared" si="31"/>
        <v>89.987183407300677</v>
      </c>
      <c r="I43" s="54">
        <f t="shared" si="31"/>
        <v>94.915962375351143</v>
      </c>
      <c r="J43" s="54">
        <f t="shared" si="31"/>
        <v>99.136591570397911</v>
      </c>
      <c r="K43" s="54">
        <f t="shared" si="31"/>
        <v>94.411333679716719</v>
      </c>
      <c r="L43" s="54">
        <f t="shared" si="31"/>
        <v>94.408843185559036</v>
      </c>
      <c r="M43" s="54">
        <f t="shared" si="31"/>
        <v>106.91832461181103</v>
      </c>
      <c r="N43" s="54">
        <f t="shared" si="31"/>
        <v>100.71162361131211</v>
      </c>
      <c r="O43" s="54">
        <f t="shared" si="31"/>
        <v>97.46820679297204</v>
      </c>
      <c r="P43" s="54">
        <f t="shared" si="31"/>
        <v>96.728535094924837</v>
      </c>
      <c r="Q43" s="54">
        <f t="shared" si="31"/>
        <v>96.018921385441075</v>
      </c>
      <c r="R43" s="54">
        <f t="shared" si="31"/>
        <v>95.53481722414412</v>
      </c>
      <c r="S43" s="54">
        <f t="shared" si="31"/>
        <v>101.78788468724672</v>
      </c>
      <c r="T43" s="54">
        <f t="shared" si="31"/>
        <v>112.10612259257547</v>
      </c>
      <c r="U43" s="54">
        <f t="shared" si="31"/>
        <v>115.93300488554485</v>
      </c>
      <c r="V43" s="54">
        <f t="shared" si="31"/>
        <v>112.03764806716838</v>
      </c>
      <c r="W43" s="54">
        <f t="shared" ref="W43:Y43" si="32">SUM(W44,W48)</f>
        <v>108.27895484911001</v>
      </c>
      <c r="X43" s="54">
        <f t="shared" si="32"/>
        <v>104.53314545201931</v>
      </c>
      <c r="Y43" s="54">
        <f t="shared" si="32"/>
        <v>101.60393572607752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76.557049265668525</v>
      </c>
      <c r="C44" s="11">
        <f t="shared" si="33"/>
        <v>77.112595007618424</v>
      </c>
      <c r="D44" s="11">
        <f t="shared" ref="D44:V44" si="34">SUM(D45:D47)</f>
        <v>72.627900876423269</v>
      </c>
      <c r="E44" s="11">
        <f t="shared" si="34"/>
        <v>76.305072991391668</v>
      </c>
      <c r="F44" s="11">
        <f t="shared" si="34"/>
        <v>81.708793714175357</v>
      </c>
      <c r="G44" s="11">
        <f t="shared" si="34"/>
        <v>82.359181994469026</v>
      </c>
      <c r="H44" s="11">
        <f t="shared" si="34"/>
        <v>86.261274960447722</v>
      </c>
      <c r="I44" s="11">
        <f t="shared" si="34"/>
        <v>90.878792513742695</v>
      </c>
      <c r="J44" s="11">
        <f t="shared" si="34"/>
        <v>95.282778514644832</v>
      </c>
      <c r="K44" s="11">
        <f t="shared" si="34"/>
        <v>90.734463183625948</v>
      </c>
      <c r="L44" s="11">
        <f t="shared" si="34"/>
        <v>90.949497239685201</v>
      </c>
      <c r="M44" s="11">
        <f t="shared" si="34"/>
        <v>103.42625566549356</v>
      </c>
      <c r="N44" s="11">
        <f t="shared" si="34"/>
        <v>97.168215250630738</v>
      </c>
      <c r="O44" s="11">
        <f t="shared" si="34"/>
        <v>94.089845113553807</v>
      </c>
      <c r="P44" s="11">
        <f t="shared" si="34"/>
        <v>93.555741877242582</v>
      </c>
      <c r="Q44" s="11">
        <f t="shared" si="34"/>
        <v>92.792902081686776</v>
      </c>
      <c r="R44" s="11">
        <f t="shared" si="34"/>
        <v>92.385911073142282</v>
      </c>
      <c r="S44" s="11">
        <f t="shared" si="34"/>
        <v>98.651199729455527</v>
      </c>
      <c r="T44" s="11">
        <f t="shared" si="34"/>
        <v>109.18180685015886</v>
      </c>
      <c r="U44" s="11">
        <f t="shared" si="34"/>
        <v>112.73680935388032</v>
      </c>
      <c r="V44" s="11">
        <f t="shared" si="34"/>
        <v>108.9089568905969</v>
      </c>
      <c r="W44" s="11">
        <f t="shared" ref="W44:Y44" si="35">SUM(W45:W47)</f>
        <v>105.08110442731346</v>
      </c>
      <c r="X44" s="11">
        <f t="shared" si="35"/>
        <v>101.25325196403003</v>
      </c>
      <c r="Y44" s="11">
        <f t="shared" si="35"/>
        <v>97.425399500746607</v>
      </c>
      <c r="DA44" s="189" t="s">
        <v>225</v>
      </c>
    </row>
    <row r="45" spans="1:105" ht="11.45" customHeight="1" x14ac:dyDescent="0.25">
      <c r="A45" s="83" t="s">
        <v>27</v>
      </c>
      <c r="B45" s="84">
        <v>30.328705776981639</v>
      </c>
      <c r="C45" s="84">
        <v>29.556202418271383</v>
      </c>
      <c r="D45" s="84">
        <v>27.671742051052394</v>
      </c>
      <c r="E45" s="84">
        <v>27.991491267353336</v>
      </c>
      <c r="F45" s="84">
        <v>28.445141065830722</v>
      </c>
      <c r="G45" s="84">
        <v>28.554602888086642</v>
      </c>
      <c r="H45" s="84">
        <v>28.813220940550131</v>
      </c>
      <c r="I45" s="84">
        <v>26.932609678878336</v>
      </c>
      <c r="J45" s="84">
        <v>26.491913746630729</v>
      </c>
      <c r="K45" s="84">
        <v>26.262585034013604</v>
      </c>
      <c r="L45" s="84">
        <v>24.708352350524873</v>
      </c>
      <c r="M45" s="84">
        <v>26.753768844221106</v>
      </c>
      <c r="N45" s="84">
        <v>23.720898266522944</v>
      </c>
      <c r="O45" s="84">
        <v>20.688027688824782</v>
      </c>
      <c r="P45" s="84">
        <v>19.27072835547412</v>
      </c>
      <c r="Q45" s="84">
        <v>18.607583371402466</v>
      </c>
      <c r="R45" s="84">
        <v>18.035208047553727</v>
      </c>
      <c r="S45" s="84">
        <v>18.626434144102799</v>
      </c>
      <c r="T45" s="84">
        <v>19.628079962807995</v>
      </c>
      <c r="U45" s="84">
        <v>19.462902473168455</v>
      </c>
      <c r="V45" s="84">
        <v>17.946467184319374</v>
      </c>
      <c r="W45" s="84">
        <v>16.430031895470293</v>
      </c>
      <c r="X45" s="84">
        <v>14.913596606621212</v>
      </c>
      <c r="Y45" s="84">
        <v>13.397161317772131</v>
      </c>
      <c r="DA45" s="171" t="s">
        <v>226</v>
      </c>
    </row>
    <row r="46" spans="1:105" ht="11.45" customHeight="1" x14ac:dyDescent="0.25">
      <c r="A46" s="83" t="s">
        <v>181</v>
      </c>
      <c r="B46" s="84">
        <v>38.146303577378681</v>
      </c>
      <c r="C46" s="84">
        <v>39.418920305533284</v>
      </c>
      <c r="D46" s="84">
        <v>36.284318470603687</v>
      </c>
      <c r="E46" s="84">
        <v>39.397838930246749</v>
      </c>
      <c r="F46" s="84">
        <v>43.033053978721568</v>
      </c>
      <c r="G46" s="84">
        <v>42.538990191832738</v>
      </c>
      <c r="H46" s="84">
        <v>44.260102212668677</v>
      </c>
      <c r="I46" s="84">
        <v>47.247690372552803</v>
      </c>
      <c r="J46" s="84">
        <v>48.992811240033582</v>
      </c>
      <c r="K46" s="84">
        <v>45.482028612762619</v>
      </c>
      <c r="L46" s="84">
        <v>46.131144889160325</v>
      </c>
      <c r="M46" s="84">
        <v>52.483013137061924</v>
      </c>
      <c r="N46" s="84">
        <v>48.836506173296989</v>
      </c>
      <c r="O46" s="84">
        <v>47.934426120381204</v>
      </c>
      <c r="P46" s="84">
        <v>47.525946164255515</v>
      </c>
      <c r="Q46" s="84">
        <v>46.95454947951508</v>
      </c>
      <c r="R46" s="84">
        <v>47.224387236114879</v>
      </c>
      <c r="S46" s="84">
        <v>50.932902068292371</v>
      </c>
      <c r="T46" s="84">
        <v>55.641355753330245</v>
      </c>
      <c r="U46" s="84">
        <v>55.444891336670409</v>
      </c>
      <c r="V46" s="84">
        <v>53.537576157801482</v>
      </c>
      <c r="W46" s="84">
        <v>51.63026097893254</v>
      </c>
      <c r="X46" s="84">
        <v>49.722945800063599</v>
      </c>
      <c r="Y46" s="84">
        <v>47.815630621194664</v>
      </c>
      <c r="DA46" s="171" t="s">
        <v>227</v>
      </c>
    </row>
    <row r="47" spans="1:105" ht="11.45" customHeight="1" x14ac:dyDescent="0.25">
      <c r="A47" s="83" t="s">
        <v>182</v>
      </c>
      <c r="B47" s="84">
        <v>8.082039911308204</v>
      </c>
      <c r="C47" s="84">
        <v>8.1374722838137465</v>
      </c>
      <c r="D47" s="84">
        <v>8.6718403547671841</v>
      </c>
      <c r="E47" s="84">
        <v>8.9157427937915745</v>
      </c>
      <c r="F47" s="84">
        <v>10.23059866962306</v>
      </c>
      <c r="G47" s="84">
        <v>11.265588914549653</v>
      </c>
      <c r="H47" s="84">
        <v>13.187951807228915</v>
      </c>
      <c r="I47" s="84">
        <v>16.698492462311556</v>
      </c>
      <c r="J47" s="84">
        <v>19.798053527980535</v>
      </c>
      <c r="K47" s="84">
        <v>18.989849536849714</v>
      </c>
      <c r="L47" s="84">
        <v>20.11</v>
      </c>
      <c r="M47" s="84">
        <v>24.189473684210526</v>
      </c>
      <c r="N47" s="84">
        <v>24.610810810810811</v>
      </c>
      <c r="O47" s="84">
        <v>25.467391304347824</v>
      </c>
      <c r="P47" s="84">
        <v>26.759067357512954</v>
      </c>
      <c r="Q47" s="84">
        <v>27.23076923076923</v>
      </c>
      <c r="R47" s="84">
        <v>27.126315789473683</v>
      </c>
      <c r="S47" s="84">
        <v>29.091863517060368</v>
      </c>
      <c r="T47" s="84">
        <v>33.912371134020617</v>
      </c>
      <c r="U47" s="84">
        <v>37.829015544041454</v>
      </c>
      <c r="V47" s="84">
        <v>37.424913548476042</v>
      </c>
      <c r="W47" s="84">
        <v>37.020811552910629</v>
      </c>
      <c r="X47" s="84">
        <v>36.616709557345217</v>
      </c>
      <c r="Y47" s="84">
        <v>36.212607561779805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2.5854025032132109</v>
      </c>
      <c r="C48" s="13">
        <f t="shared" si="36"/>
        <v>2.3858840348472001</v>
      </c>
      <c r="D48" s="13">
        <f t="shared" ref="D48:V48" si="37">SUM(D49:D51)</f>
        <v>2.1408854511925459</v>
      </c>
      <c r="E48" s="13">
        <f t="shared" si="37"/>
        <v>2.6305131972376712</v>
      </c>
      <c r="F48" s="13">
        <f t="shared" si="37"/>
        <v>3.263692698477128</v>
      </c>
      <c r="G48" s="13">
        <f t="shared" si="37"/>
        <v>3.3905682825816301</v>
      </c>
      <c r="H48" s="13">
        <f t="shared" si="37"/>
        <v>3.7259084468529604</v>
      </c>
      <c r="I48" s="13">
        <f t="shared" si="37"/>
        <v>4.0371698616084437</v>
      </c>
      <c r="J48" s="13">
        <f t="shared" si="37"/>
        <v>3.8538130557530739</v>
      </c>
      <c r="K48" s="13">
        <f t="shared" si="37"/>
        <v>3.676870496090765</v>
      </c>
      <c r="L48" s="13">
        <f t="shared" si="37"/>
        <v>3.4593459458738347</v>
      </c>
      <c r="M48" s="13">
        <f t="shared" si="37"/>
        <v>3.4920689463174757</v>
      </c>
      <c r="N48" s="13">
        <f t="shared" si="37"/>
        <v>3.5434083606813669</v>
      </c>
      <c r="O48" s="13">
        <f t="shared" si="37"/>
        <v>3.3783616794182283</v>
      </c>
      <c r="P48" s="13">
        <f t="shared" si="37"/>
        <v>3.1727932176822611</v>
      </c>
      <c r="Q48" s="13">
        <f t="shared" si="37"/>
        <v>3.2260193037543057</v>
      </c>
      <c r="R48" s="13">
        <f t="shared" si="37"/>
        <v>3.1489061510018459</v>
      </c>
      <c r="S48" s="13">
        <f t="shared" si="37"/>
        <v>3.1366849577911911</v>
      </c>
      <c r="T48" s="13">
        <f t="shared" si="37"/>
        <v>2.9243157424166037</v>
      </c>
      <c r="U48" s="13">
        <f t="shared" si="37"/>
        <v>3.1961955316645252</v>
      </c>
      <c r="V48" s="13">
        <f t="shared" si="37"/>
        <v>3.1286911765714756</v>
      </c>
      <c r="W48" s="13">
        <f t="shared" ref="W48:Y48" si="38">SUM(W49:W51)</f>
        <v>3.1978504217965416</v>
      </c>
      <c r="X48" s="13">
        <f t="shared" si="38"/>
        <v>3.2798934879892911</v>
      </c>
      <c r="Y48" s="13">
        <f t="shared" si="38"/>
        <v>4.1785362253309142</v>
      </c>
      <c r="DA48" s="193" t="s">
        <v>229</v>
      </c>
    </row>
    <row r="49" spans="1:105" ht="11.45" customHeight="1" x14ac:dyDescent="0.25">
      <c r="A49" s="92" t="s">
        <v>27</v>
      </c>
      <c r="B49" s="102">
        <v>0.64598786244099793</v>
      </c>
      <c r="C49" s="102">
        <v>0.58138907619689817</v>
      </c>
      <c r="D49" s="102">
        <v>0.51679028995279841</v>
      </c>
      <c r="E49" s="102">
        <v>0.45219150370869859</v>
      </c>
      <c r="F49" s="102">
        <v>0.38772757923128792</v>
      </c>
      <c r="G49" s="102">
        <v>0.38033898305084746</v>
      </c>
      <c r="H49" s="102">
        <v>0.38558201058201058</v>
      </c>
      <c r="I49" s="102">
        <v>0.32098322433791077</v>
      </c>
      <c r="J49" s="102">
        <v>0.25638443809381095</v>
      </c>
      <c r="K49" s="102">
        <v>0.27178825048418337</v>
      </c>
      <c r="L49" s="102">
        <v>0.20718946424008355</v>
      </c>
      <c r="M49" s="102">
        <v>0.17814569536423841</v>
      </c>
      <c r="N49" s="102">
        <v>0.19354838709677419</v>
      </c>
      <c r="O49" s="102">
        <v>0.16666666666666666</v>
      </c>
      <c r="P49" s="102">
        <v>0.12696245733788397</v>
      </c>
      <c r="Q49" s="102">
        <v>0.12176870748299319</v>
      </c>
      <c r="R49" s="102">
        <v>0.12780421481985044</v>
      </c>
      <c r="S49" s="102">
        <v>0.10068027210884353</v>
      </c>
      <c r="T49" s="102">
        <v>6.5798492117888963E-2</v>
      </c>
      <c r="U49" s="102">
        <v>7.244414353419093E-2</v>
      </c>
      <c r="V49" s="102">
        <v>7.3803191489361708E-2</v>
      </c>
      <c r="W49" s="102">
        <v>6.0150375939849621E-2</v>
      </c>
      <c r="X49" s="102">
        <v>6.7888662593346916E-2</v>
      </c>
      <c r="Y49" s="102">
        <v>7.2655217965653898E-2</v>
      </c>
      <c r="DA49" s="175" t="s">
        <v>230</v>
      </c>
    </row>
    <row r="50" spans="1:105" ht="11.45" customHeight="1" x14ac:dyDescent="0.25">
      <c r="A50" s="92" t="s">
        <v>181</v>
      </c>
      <c r="B50" s="102">
        <v>1.3335118629944351</v>
      </c>
      <c r="C50" s="102">
        <v>1.259182458650302</v>
      </c>
      <c r="D50" s="102">
        <v>1.1258312723508586</v>
      </c>
      <c r="E50" s="102">
        <v>1.6522800268623061</v>
      </c>
      <c r="F50" s="102">
        <v>2.1676317859125067</v>
      </c>
      <c r="G50" s="102">
        <v>2.1543898834723887</v>
      </c>
      <c r="H50" s="102">
        <v>2.4683127843938166</v>
      </c>
      <c r="I50" s="102">
        <v>2.6015369557418699</v>
      </c>
      <c r="J50" s="102">
        <v>2.4735694260034613</v>
      </c>
      <c r="K50" s="102">
        <v>2.3418133317285572</v>
      </c>
      <c r="L50" s="102">
        <v>2.2494778455335047</v>
      </c>
      <c r="M50" s="102">
        <v>2.1476286080960945</v>
      </c>
      <c r="N50" s="102">
        <v>2.0214649118561976</v>
      </c>
      <c r="O50" s="102">
        <v>1.9438902288009443</v>
      </c>
      <c r="P50" s="102">
        <v>1.8386162541715374</v>
      </c>
      <c r="Q50" s="102">
        <v>1.9576263678762509</v>
      </c>
      <c r="R50" s="102">
        <v>1.9350679855647119</v>
      </c>
      <c r="S50" s="102">
        <v>2.0105610128428415</v>
      </c>
      <c r="T50" s="102">
        <v>1.8821312133377293</v>
      </c>
      <c r="U50" s="102">
        <v>2.0339952905693588</v>
      </c>
      <c r="V50" s="102">
        <v>1.9954270264100269</v>
      </c>
      <c r="W50" s="102">
        <v>1.9349477522787102</v>
      </c>
      <c r="X50" s="102">
        <v>1.8769054876475997</v>
      </c>
      <c r="Y50" s="102">
        <v>1.9306001084888555</v>
      </c>
      <c r="DA50" s="175" t="s">
        <v>231</v>
      </c>
    </row>
    <row r="51" spans="1:105" ht="11.45" customHeight="1" x14ac:dyDescent="0.25">
      <c r="A51" s="85" t="s">
        <v>182</v>
      </c>
      <c r="B51" s="86">
        <v>0.60590277777777779</v>
      </c>
      <c r="C51" s="86">
        <v>0.54531249999999998</v>
      </c>
      <c r="D51" s="86">
        <v>0.4982638888888889</v>
      </c>
      <c r="E51" s="86">
        <v>0.52604166666666663</v>
      </c>
      <c r="F51" s="86">
        <v>0.70833333333333337</v>
      </c>
      <c r="G51" s="86">
        <v>0.8558394160583942</v>
      </c>
      <c r="H51" s="86">
        <v>0.87201365187713309</v>
      </c>
      <c r="I51" s="86">
        <v>1.1146496815286624</v>
      </c>
      <c r="J51" s="86">
        <v>1.1238591916558018</v>
      </c>
      <c r="K51" s="86">
        <v>1.063268913878024</v>
      </c>
      <c r="L51" s="86">
        <v>1.0026786361002462</v>
      </c>
      <c r="M51" s="86">
        <v>1.1662946428571428</v>
      </c>
      <c r="N51" s="86">
        <v>1.3283950617283951</v>
      </c>
      <c r="O51" s="86">
        <v>1.2678047839506172</v>
      </c>
      <c r="P51" s="86">
        <v>1.2072145061728394</v>
      </c>
      <c r="Q51" s="86">
        <v>1.1466242283950616</v>
      </c>
      <c r="R51" s="86">
        <v>1.0860339506172838</v>
      </c>
      <c r="S51" s="86">
        <v>1.025443672839506</v>
      </c>
      <c r="T51" s="86">
        <v>0.97638603696098558</v>
      </c>
      <c r="U51" s="86">
        <v>1.0897560975609757</v>
      </c>
      <c r="V51" s="86">
        <v>1.0594609586720869</v>
      </c>
      <c r="W51" s="86">
        <v>1.2027522935779817</v>
      </c>
      <c r="X51" s="86">
        <v>1.3350993377483444</v>
      </c>
      <c r="Y51" s="86">
        <v>2.1752808988764043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5.4388882638229932</v>
      </c>
      <c r="C53" s="54">
        <f t="shared" si="39"/>
        <v>3.1259655755368878</v>
      </c>
      <c r="D53" s="54">
        <f t="shared" ref="D53:V53" si="40">SUM(D54,D58)</f>
        <v>0.83263564054007433</v>
      </c>
      <c r="E53" s="54">
        <f t="shared" si="40"/>
        <v>6.9550645626352967</v>
      </c>
      <c r="F53" s="54">
        <f t="shared" si="40"/>
        <v>8.7406045706883653</v>
      </c>
      <c r="G53" s="54">
        <f t="shared" si="40"/>
        <v>3.6397307233139151</v>
      </c>
      <c r="H53" s="54">
        <f t="shared" si="40"/>
        <v>6.8907921960446883</v>
      </c>
      <c r="I53" s="54">
        <f t="shared" si="40"/>
        <v>8.5280226908781636</v>
      </c>
      <c r="J53" s="54">
        <f t="shared" si="40"/>
        <v>7.0017924279492938</v>
      </c>
      <c r="K53" s="54">
        <f t="shared" si="40"/>
        <v>0.8564212126665629</v>
      </c>
      <c r="L53" s="54">
        <f t="shared" si="40"/>
        <v>3.4502015474001899</v>
      </c>
      <c r="M53" s="54">
        <f t="shared" si="40"/>
        <v>15.246372635159684</v>
      </c>
      <c r="N53" s="54">
        <f t="shared" si="40"/>
        <v>0.90764603253707221</v>
      </c>
      <c r="O53" s="54">
        <f t="shared" si="40"/>
        <v>1.7709315890960713</v>
      </c>
      <c r="P53" s="54">
        <f t="shared" si="40"/>
        <v>2.5498056732773304</v>
      </c>
      <c r="Q53" s="54">
        <f t="shared" si="40"/>
        <v>1.9857354258521138</v>
      </c>
      <c r="R53" s="54">
        <f t="shared" si="40"/>
        <v>2.3494091150550021</v>
      </c>
      <c r="S53" s="54">
        <f t="shared" si="40"/>
        <v>9.0943250462925374</v>
      </c>
      <c r="T53" s="54">
        <f t="shared" si="40"/>
        <v>13.174654799002615</v>
      </c>
      <c r="U53" s="54">
        <f t="shared" si="40"/>
        <v>6.6179823748765489</v>
      </c>
      <c r="V53" s="54">
        <f t="shared" si="40"/>
        <v>4.7294078796190249E-2</v>
      </c>
      <c r="W53" s="54">
        <f t="shared" ref="W53:Y53" si="41">SUM(W54,W58)</f>
        <v>0.17091711995338271</v>
      </c>
      <c r="X53" s="54">
        <f t="shared" si="41"/>
        <v>0.18380094092106647</v>
      </c>
      <c r="Y53" s="54">
        <f t="shared" si="41"/>
        <v>0.98251070381300409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5.152260342823741</v>
      </c>
      <c r="C54" s="11">
        <f t="shared" si="42"/>
        <v>3.1259655755368878</v>
      </c>
      <c r="D54" s="11">
        <f t="shared" ref="D54:V54" si="43">SUM(D55:D57)</f>
        <v>0.83263564054007433</v>
      </c>
      <c r="E54" s="11">
        <f t="shared" si="43"/>
        <v>6.3212197932676935</v>
      </c>
      <c r="F54" s="11">
        <f t="shared" si="43"/>
        <v>7.9741405563706884</v>
      </c>
      <c r="G54" s="11">
        <f t="shared" si="43"/>
        <v>3.4246549147356031</v>
      </c>
      <c r="H54" s="11">
        <f t="shared" si="43"/>
        <v>6.4725127995656893</v>
      </c>
      <c r="I54" s="11">
        <f t="shared" si="43"/>
        <v>8.0833419012777714</v>
      </c>
      <c r="J54" s="11">
        <f t="shared" si="43"/>
        <v>6.9744058344891542</v>
      </c>
      <c r="K54" s="11">
        <f t="shared" si="43"/>
        <v>0.82163776440319047</v>
      </c>
      <c r="L54" s="11">
        <f t="shared" si="43"/>
        <v>3.4281076705712947</v>
      </c>
      <c r="M54" s="11">
        <f t="shared" si="43"/>
        <v>15.047178259395359</v>
      </c>
      <c r="N54" s="11">
        <f t="shared" si="43"/>
        <v>0.69258620272728422</v>
      </c>
      <c r="O54" s="11">
        <f t="shared" si="43"/>
        <v>1.7335806812076591</v>
      </c>
      <c r="P54" s="11">
        <f t="shared" si="43"/>
        <v>2.5420370280627411</v>
      </c>
      <c r="Q54" s="11">
        <f t="shared" si="43"/>
        <v>1.8075800380311859</v>
      </c>
      <c r="R54" s="11">
        <f t="shared" si="43"/>
        <v>2.237056669754812</v>
      </c>
      <c r="S54" s="11">
        <f t="shared" si="43"/>
        <v>8.9093363346125365</v>
      </c>
      <c r="T54" s="11">
        <f t="shared" si="43"/>
        <v>13.174654799002615</v>
      </c>
      <c r="U54" s="11">
        <f t="shared" si="43"/>
        <v>6.1990501820207555</v>
      </c>
      <c r="V54" s="11">
        <f t="shared" si="43"/>
        <v>0</v>
      </c>
      <c r="W54" s="11">
        <f t="shared" ref="W54:Y54" si="44">SUM(W55:W57)</f>
        <v>0</v>
      </c>
      <c r="X54" s="11">
        <f t="shared" si="44"/>
        <v>0</v>
      </c>
      <c r="Y54" s="11">
        <f t="shared" si="44"/>
        <v>0</v>
      </c>
      <c r="DA54" s="189" t="s">
        <v>234</v>
      </c>
    </row>
    <row r="55" spans="1:105" ht="11.45" customHeight="1" x14ac:dyDescent="0.25">
      <c r="A55" s="83" t="s">
        <v>27</v>
      </c>
      <c r="B55" s="84">
        <v>1.2462904911183621</v>
      </c>
      <c r="C55" s="84">
        <v>0.21270338856574256</v>
      </c>
      <c r="D55" s="84">
        <v>0</v>
      </c>
      <c r="E55" s="84">
        <v>1.3049559635769405</v>
      </c>
      <c r="F55" s="84">
        <v>1.4388565457533851</v>
      </c>
      <c r="G55" s="84">
        <v>1.0946685695319189</v>
      </c>
      <c r="H55" s="84">
        <v>1.2438247997394889</v>
      </c>
      <c r="I55" s="84">
        <v>0</v>
      </c>
      <c r="J55" s="84">
        <v>0.54451081502839216</v>
      </c>
      <c r="K55" s="84">
        <v>0.75587803465887404</v>
      </c>
      <c r="L55" s="84">
        <v>0</v>
      </c>
      <c r="M55" s="84">
        <v>3.0306232409722327</v>
      </c>
      <c r="N55" s="84">
        <v>0</v>
      </c>
      <c r="O55" s="84">
        <v>0</v>
      </c>
      <c r="P55" s="84">
        <v>0</v>
      </c>
      <c r="Q55" s="84">
        <v>0.32206176320434565</v>
      </c>
      <c r="R55" s="84">
        <v>0.41283142342726009</v>
      </c>
      <c r="S55" s="84">
        <v>1.5764328438250708</v>
      </c>
      <c r="T55" s="84">
        <v>1.9868525659811951</v>
      </c>
      <c r="U55" s="84">
        <v>0.82002925763645962</v>
      </c>
      <c r="V55" s="84">
        <v>0</v>
      </c>
      <c r="W55" s="84">
        <v>0</v>
      </c>
      <c r="X55" s="84">
        <v>0</v>
      </c>
      <c r="Y55" s="84">
        <v>0</v>
      </c>
      <c r="DA55" s="171" t="s">
        <v>235</v>
      </c>
    </row>
    <row r="56" spans="1:105" ht="11.45" customHeight="1" x14ac:dyDescent="0.25">
      <c r="A56" s="83" t="s">
        <v>181</v>
      </c>
      <c r="B56" s="84">
        <v>3.4950311968644092</v>
      </c>
      <c r="C56" s="84">
        <v>2.5865807383386019</v>
      </c>
      <c r="D56" s="84">
        <v>2.7018493459636028E-2</v>
      </c>
      <c r="E56" s="84">
        <v>4.5011123145393617</v>
      </c>
      <c r="F56" s="84">
        <v>4.9491790586588174</v>
      </c>
      <c r="G56" s="84">
        <v>1.0237470241500901</v>
      </c>
      <c r="H56" s="84">
        <v>3.0350760310199378</v>
      </c>
      <c r="I56" s="84">
        <v>4.3015521700681312</v>
      </c>
      <c r="J56" s="84">
        <v>3.0590848776647839</v>
      </c>
      <c r="K56" s="84">
        <v>6.5759729744316431E-2</v>
      </c>
      <c r="L56" s="84">
        <v>2.0367081312940107</v>
      </c>
      <c r="M56" s="84">
        <v>7.6658322580856009</v>
      </c>
      <c r="N56" s="84">
        <v>0</v>
      </c>
      <c r="O56" s="84">
        <v>0.60575111154364691</v>
      </c>
      <c r="P56" s="84">
        <v>0.979111898770612</v>
      </c>
      <c r="Q56" s="84">
        <v>0.74256732544356563</v>
      </c>
      <c r="R56" s="84">
        <v>1.6574296114961</v>
      </c>
      <c r="S56" s="84">
        <v>5.0961066870737817</v>
      </c>
      <c r="T56" s="84">
        <v>6.0960455399341722</v>
      </c>
      <c r="U56" s="84">
        <v>1.1911274382364607</v>
      </c>
      <c r="V56" s="84">
        <v>0</v>
      </c>
      <c r="W56" s="84">
        <v>0</v>
      </c>
      <c r="X56" s="84">
        <v>0</v>
      </c>
      <c r="Y56" s="84">
        <v>0</v>
      </c>
      <c r="DA56" s="171" t="s">
        <v>236</v>
      </c>
    </row>
    <row r="57" spans="1:105" ht="11.45" customHeight="1" x14ac:dyDescent="0.25">
      <c r="A57" s="83" t="s">
        <v>182</v>
      </c>
      <c r="B57" s="84">
        <v>0.4109386548409697</v>
      </c>
      <c r="C57" s="84">
        <v>0.32668144863254334</v>
      </c>
      <c r="D57" s="84">
        <v>0.8056171470804383</v>
      </c>
      <c r="E57" s="84">
        <v>0.51515151515139124</v>
      </c>
      <c r="F57" s="84">
        <v>1.586104951958486</v>
      </c>
      <c r="G57" s="84">
        <v>1.3062393210535941</v>
      </c>
      <c r="H57" s="84">
        <v>2.1936119688062625</v>
      </c>
      <c r="I57" s="84">
        <v>3.7817897312096402</v>
      </c>
      <c r="J57" s="84">
        <v>3.3708101417959782</v>
      </c>
      <c r="K57" s="84">
        <v>0</v>
      </c>
      <c r="L57" s="84">
        <v>1.391399539277284</v>
      </c>
      <c r="M57" s="84">
        <v>4.3507227603375256</v>
      </c>
      <c r="N57" s="84">
        <v>0.69258620272728422</v>
      </c>
      <c r="O57" s="84">
        <v>1.1278295696640122</v>
      </c>
      <c r="P57" s="84">
        <v>1.5629251292921289</v>
      </c>
      <c r="Q57" s="84">
        <v>0.74295094938327466</v>
      </c>
      <c r="R57" s="84">
        <v>0.16679563483145188</v>
      </c>
      <c r="S57" s="84">
        <v>2.2367968037136841</v>
      </c>
      <c r="T57" s="84">
        <v>5.0917566930872482</v>
      </c>
      <c r="U57" s="84">
        <v>4.1878934861478356</v>
      </c>
      <c r="V57" s="84">
        <v>0</v>
      </c>
      <c r="W57" s="84">
        <v>0</v>
      </c>
      <c r="X57" s="84">
        <v>0</v>
      </c>
      <c r="Y57" s="84">
        <v>0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0.28662792099925227</v>
      </c>
      <c r="C58" s="13">
        <f t="shared" si="45"/>
        <v>0</v>
      </c>
      <c r="D58" s="13">
        <f t="shared" ref="D58:V58" si="46">SUM(D59:D61)</f>
        <v>0</v>
      </c>
      <c r="E58" s="13">
        <f t="shared" si="46"/>
        <v>0.6338447693676037</v>
      </c>
      <c r="F58" s="13">
        <f t="shared" si="46"/>
        <v>0.76646401431767763</v>
      </c>
      <c r="G58" s="13">
        <f t="shared" si="46"/>
        <v>0.21507580857831216</v>
      </c>
      <c r="H58" s="13">
        <f t="shared" si="46"/>
        <v>0.41827939647899909</v>
      </c>
      <c r="I58" s="13">
        <f t="shared" si="46"/>
        <v>0.44468078960039242</v>
      </c>
      <c r="J58" s="13">
        <f t="shared" si="46"/>
        <v>2.7386593460139386E-2</v>
      </c>
      <c r="K58" s="13">
        <f t="shared" si="46"/>
        <v>3.478344826337243E-2</v>
      </c>
      <c r="L58" s="13">
        <f t="shared" si="46"/>
        <v>2.2093876828895055E-2</v>
      </c>
      <c r="M58" s="13">
        <f t="shared" si="46"/>
        <v>0.19919437576432511</v>
      </c>
      <c r="N58" s="13">
        <f t="shared" si="46"/>
        <v>0.21505982980978799</v>
      </c>
      <c r="O58" s="13">
        <f t="shared" si="46"/>
        <v>3.7350907888412256E-2</v>
      </c>
      <c r="P58" s="13">
        <f t="shared" si="46"/>
        <v>7.7686452145891566E-3</v>
      </c>
      <c r="Q58" s="13">
        <f t="shared" si="46"/>
        <v>0.17815538782092788</v>
      </c>
      <c r="R58" s="13">
        <f t="shared" si="46"/>
        <v>0.11235244530018995</v>
      </c>
      <c r="S58" s="13">
        <f t="shared" si="46"/>
        <v>0.18498871168000083</v>
      </c>
      <c r="T58" s="13">
        <f t="shared" si="46"/>
        <v>0</v>
      </c>
      <c r="U58" s="13">
        <f t="shared" si="46"/>
        <v>0.41893219285579297</v>
      </c>
      <c r="V58" s="13">
        <f t="shared" si="46"/>
        <v>4.7294078796190249E-2</v>
      </c>
      <c r="W58" s="13">
        <f t="shared" ref="W58:Y58" si="47">SUM(W59:W61)</f>
        <v>0.17091711995338271</v>
      </c>
      <c r="X58" s="13">
        <f t="shared" si="47"/>
        <v>0.18380094092106647</v>
      </c>
      <c r="Y58" s="13">
        <f t="shared" si="47"/>
        <v>0.98251070381300409</v>
      </c>
      <c r="DA58" s="193" t="s">
        <v>238</v>
      </c>
    </row>
    <row r="59" spans="1:105" ht="11.45" customHeight="1" x14ac:dyDescent="0.25">
      <c r="A59" s="92" t="s">
        <v>27</v>
      </c>
      <c r="B59" s="102">
        <v>0.14480107889390348</v>
      </c>
      <c r="C59" s="102">
        <v>0</v>
      </c>
      <c r="D59" s="102">
        <v>0</v>
      </c>
      <c r="E59" s="102">
        <v>0</v>
      </c>
      <c r="F59" s="102">
        <v>0</v>
      </c>
      <c r="G59" s="102">
        <v>1.1991039692559546E-2</v>
      </c>
      <c r="H59" s="102">
        <v>2.4622663404163136E-2</v>
      </c>
      <c r="I59" s="102">
        <v>0</v>
      </c>
      <c r="J59" s="102">
        <v>0</v>
      </c>
      <c r="K59" s="102">
        <v>3.478344826337243E-2</v>
      </c>
      <c r="L59" s="102">
        <v>0</v>
      </c>
      <c r="M59" s="102">
        <v>0</v>
      </c>
      <c r="N59" s="102">
        <v>3.478232760553579E-2</v>
      </c>
      <c r="O59" s="102">
        <v>0</v>
      </c>
      <c r="P59" s="102">
        <v>0</v>
      </c>
      <c r="Q59" s="102">
        <v>1.4185886018109217E-2</v>
      </c>
      <c r="R59" s="102">
        <v>2.5415143209857258E-2</v>
      </c>
      <c r="S59" s="102">
        <v>0</v>
      </c>
      <c r="T59" s="102">
        <v>0</v>
      </c>
      <c r="U59" s="102">
        <v>2.6025287289301965E-2</v>
      </c>
      <c r="V59" s="102">
        <v>2.0738683828170776E-2</v>
      </c>
      <c r="W59" s="102">
        <v>5.7268203234879106E-3</v>
      </c>
      <c r="X59" s="102">
        <v>2.7117922526497293E-2</v>
      </c>
      <c r="Y59" s="102">
        <v>2.414619124530698E-2</v>
      </c>
      <c r="DA59" s="175" t="s">
        <v>239</v>
      </c>
    </row>
    <row r="60" spans="1:105" ht="11.45" customHeight="1" x14ac:dyDescent="0.25">
      <c r="A60" s="92" t="s">
        <v>181</v>
      </c>
      <c r="B60" s="102">
        <v>0.11844142543901535</v>
      </c>
      <c r="C60" s="102">
        <v>0</v>
      </c>
      <c r="D60" s="102">
        <v>0</v>
      </c>
      <c r="E60" s="102">
        <v>0.58788990825682585</v>
      </c>
      <c r="F60" s="102">
        <v>0.56599526431801084</v>
      </c>
      <c r="G60" s="102">
        <v>3.7401602827691852E-2</v>
      </c>
      <c r="H60" s="102">
        <v>0.35930541392309712</v>
      </c>
      <c r="I60" s="102">
        <v>0.18386767661586317</v>
      </c>
      <c r="J60" s="102">
        <v>0</v>
      </c>
      <c r="K60" s="102">
        <v>0</v>
      </c>
      <c r="L60" s="102">
        <v>2.2093876828895055E-2</v>
      </c>
      <c r="M60" s="102">
        <v>1.7401285674428592E-2</v>
      </c>
      <c r="N60" s="102">
        <v>0</v>
      </c>
      <c r="O60" s="102">
        <v>3.7350907888412256E-2</v>
      </c>
      <c r="P60" s="102">
        <v>7.7686452145891566E-3</v>
      </c>
      <c r="Q60" s="102">
        <v>0.16396950180281866</v>
      </c>
      <c r="R60" s="102">
        <v>8.6937302090332694E-2</v>
      </c>
      <c r="S60" s="102">
        <v>0.18498871168000083</v>
      </c>
      <c r="T60" s="102">
        <v>0</v>
      </c>
      <c r="U60" s="102">
        <v>0.26135976163350094</v>
      </c>
      <c r="V60" s="102">
        <v>2.6555394968019473E-2</v>
      </c>
      <c r="W60" s="102">
        <v>3.7218813909999995E-3</v>
      </c>
      <c r="X60" s="102">
        <v>6.1588908912065254E-3</v>
      </c>
      <c r="Y60" s="102">
        <v>0.10000586810663709</v>
      </c>
      <c r="DA60" s="175" t="s">
        <v>240</v>
      </c>
    </row>
    <row r="61" spans="1:105" ht="11.45" customHeight="1" x14ac:dyDescent="0.25">
      <c r="A61" s="85" t="s">
        <v>182</v>
      </c>
      <c r="B61" s="86">
        <v>2.3385416666333425E-2</v>
      </c>
      <c r="C61" s="86">
        <v>0</v>
      </c>
      <c r="D61" s="86">
        <v>0</v>
      </c>
      <c r="E61" s="86">
        <v>4.5954861110777789E-2</v>
      </c>
      <c r="F61" s="86">
        <v>0.2004687499996668</v>
      </c>
      <c r="G61" s="86">
        <v>0.16568316605806077</v>
      </c>
      <c r="H61" s="86">
        <v>3.4351319151738835E-2</v>
      </c>
      <c r="I61" s="86">
        <v>0.26081311298452925</v>
      </c>
      <c r="J61" s="86">
        <v>2.7386593460139386E-2</v>
      </c>
      <c r="K61" s="86">
        <v>0</v>
      </c>
      <c r="L61" s="86">
        <v>0</v>
      </c>
      <c r="M61" s="86">
        <v>0.18179309008989653</v>
      </c>
      <c r="N61" s="86">
        <v>0.1802775022042522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0.13154714393299005</v>
      </c>
      <c r="V61" s="86">
        <v>0</v>
      </c>
      <c r="W61" s="86">
        <v>0.1614684182388948</v>
      </c>
      <c r="X61" s="86">
        <v>0.15052412750336264</v>
      </c>
      <c r="Y61" s="86">
        <v>0.85835864446106003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58.677992795509759</v>
      </c>
      <c r="C66" s="14">
        <f t="shared" si="48"/>
        <v>58.755368978490566</v>
      </c>
      <c r="D66" s="14">
        <f t="shared" ref="D66:V66" si="49">IF(D34=0,0,D34/D24)</f>
        <v>62.643721783549474</v>
      </c>
      <c r="E66" s="14">
        <f t="shared" si="49"/>
        <v>57.191623459815482</v>
      </c>
      <c r="F66" s="14">
        <f t="shared" si="49"/>
        <v>59.967190078593489</v>
      </c>
      <c r="G66" s="14">
        <f t="shared" si="49"/>
        <v>62.125682069204267</v>
      </c>
      <c r="H66" s="14">
        <f t="shared" si="49"/>
        <v>65.287259384792478</v>
      </c>
      <c r="I66" s="14">
        <f t="shared" si="49"/>
        <v>70.408176161773284</v>
      </c>
      <c r="J66" s="14">
        <f t="shared" si="49"/>
        <v>69.665444163137181</v>
      </c>
      <c r="K66" s="14">
        <f t="shared" si="49"/>
        <v>67.791548428437096</v>
      </c>
      <c r="L66" s="14">
        <f t="shared" si="49"/>
        <v>70.230169762837519</v>
      </c>
      <c r="M66" s="14">
        <f t="shared" si="49"/>
        <v>72.971946619810055</v>
      </c>
      <c r="N66" s="14">
        <f t="shared" si="49"/>
        <v>81.973866087045124</v>
      </c>
      <c r="O66" s="14">
        <f t="shared" si="49"/>
        <v>85.958187557897958</v>
      </c>
      <c r="P66" s="14">
        <f t="shared" si="49"/>
        <v>90.40315418212387</v>
      </c>
      <c r="Q66" s="14">
        <f t="shared" si="49"/>
        <v>93.306403684718816</v>
      </c>
      <c r="R66" s="14">
        <f t="shared" si="49"/>
        <v>98.571654467811115</v>
      </c>
      <c r="S66" s="14">
        <f t="shared" si="49"/>
        <v>102.73154968355561</v>
      </c>
      <c r="T66" s="14">
        <f t="shared" si="49"/>
        <v>105.51466006430654</v>
      </c>
      <c r="U66" s="14">
        <f t="shared" si="49"/>
        <v>108.84339104104269</v>
      </c>
      <c r="V66" s="14">
        <f t="shared" si="49"/>
        <v>76.960786177721801</v>
      </c>
      <c r="W66" s="14">
        <f t="shared" ref="W66:Y66" si="50">IF(W34=0,0,W34/W24)</f>
        <v>68.333143055693441</v>
      </c>
      <c r="X66" s="14">
        <f t="shared" si="50"/>
        <v>99.440690881381769</v>
      </c>
      <c r="Y66" s="14">
        <f t="shared" si="50"/>
        <v>107.76192305453699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47.816505227098219</v>
      </c>
      <c r="C67" s="87">
        <f t="shared" si="48"/>
        <v>48.24017030561069</v>
      </c>
      <c r="D67" s="87">
        <f t="shared" ref="D67:V67" si="51">IF(D35=0,0,D35/D25)</f>
        <v>51.704552442912401</v>
      </c>
      <c r="E67" s="87">
        <f t="shared" si="51"/>
        <v>44.198064154867609</v>
      </c>
      <c r="F67" s="87">
        <f t="shared" si="51"/>
        <v>46.016200132245977</v>
      </c>
      <c r="G67" s="87">
        <f t="shared" si="51"/>
        <v>44.744915214058821</v>
      </c>
      <c r="H67" s="87">
        <f t="shared" si="51"/>
        <v>44.957579490337977</v>
      </c>
      <c r="I67" s="87">
        <f t="shared" si="51"/>
        <v>48.511285013770404</v>
      </c>
      <c r="J67" s="87">
        <f t="shared" si="51"/>
        <v>46.347340218073292</v>
      </c>
      <c r="K67" s="87">
        <f t="shared" si="51"/>
        <v>41.773230413234558</v>
      </c>
      <c r="L67" s="87">
        <f t="shared" si="51"/>
        <v>42.530681986109059</v>
      </c>
      <c r="M67" s="87">
        <f t="shared" si="51"/>
        <v>47.529113448534936</v>
      </c>
      <c r="N67" s="87">
        <f t="shared" si="51"/>
        <v>56.303879839567813</v>
      </c>
      <c r="O67" s="87">
        <f t="shared" si="51"/>
        <v>56.315911730545878</v>
      </c>
      <c r="P67" s="87">
        <f t="shared" si="51"/>
        <v>60.815750689360087</v>
      </c>
      <c r="Q67" s="87">
        <f t="shared" si="51"/>
        <v>63.885839143670822</v>
      </c>
      <c r="R67" s="87">
        <f t="shared" si="51"/>
        <v>68.252896584945361</v>
      </c>
      <c r="S67" s="87">
        <f t="shared" si="51"/>
        <v>69.67780323748984</v>
      </c>
      <c r="T67" s="87">
        <f t="shared" si="51"/>
        <v>73.070014211274284</v>
      </c>
      <c r="U67" s="87">
        <f t="shared" si="51"/>
        <v>73.446905943561347</v>
      </c>
      <c r="V67" s="87">
        <f t="shared" si="51"/>
        <v>61.942096018735363</v>
      </c>
      <c r="W67" s="87">
        <f t="shared" ref="W67:Y67" si="52">IF(W35=0,0,W35/W25)</f>
        <v>53.792871076431993</v>
      </c>
      <c r="X67" s="87">
        <f t="shared" si="52"/>
        <v>69.871424030514945</v>
      </c>
      <c r="Y67" s="87">
        <f t="shared" si="52"/>
        <v>73.009289617486345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68.667131934751353</v>
      </c>
      <c r="C68" s="87">
        <f t="shared" si="48"/>
        <v>67.805934694206229</v>
      </c>
      <c r="D68" s="87">
        <f t="shared" ref="D68:V68" si="53">IF(D36=0,0,D36/D26)</f>
        <v>72.13402356458279</v>
      </c>
      <c r="E68" s="87">
        <f t="shared" si="53"/>
        <v>68.559236564540427</v>
      </c>
      <c r="F68" s="87">
        <f t="shared" si="53"/>
        <v>70.0220011055832</v>
      </c>
      <c r="G68" s="87">
        <f t="shared" si="53"/>
        <v>75.680647770233421</v>
      </c>
      <c r="H68" s="87">
        <f t="shared" si="53"/>
        <v>81.817751197922377</v>
      </c>
      <c r="I68" s="87">
        <f t="shared" si="53"/>
        <v>83.771899786854888</v>
      </c>
      <c r="J68" s="87">
        <f t="shared" si="53"/>
        <v>81.930497143144379</v>
      </c>
      <c r="K68" s="87">
        <f t="shared" si="53"/>
        <v>83.847506470145561</v>
      </c>
      <c r="L68" s="87">
        <f t="shared" si="53"/>
        <v>84.827638679996454</v>
      </c>
      <c r="M68" s="87">
        <f t="shared" si="53"/>
        <v>84.898830081832045</v>
      </c>
      <c r="N68" s="87">
        <f t="shared" si="53"/>
        <v>90.450404655207009</v>
      </c>
      <c r="O68" s="87">
        <f t="shared" si="53"/>
        <v>95.360942249240125</v>
      </c>
      <c r="P68" s="87">
        <f t="shared" si="53"/>
        <v>100.42017705320362</v>
      </c>
      <c r="Q68" s="87">
        <f t="shared" si="53"/>
        <v>103.2790932973587</v>
      </c>
      <c r="R68" s="87">
        <f t="shared" si="53"/>
        <v>108.81416040100251</v>
      </c>
      <c r="S68" s="87">
        <f t="shared" si="53"/>
        <v>112.09179859461435</v>
      </c>
      <c r="T68" s="87">
        <f t="shared" si="53"/>
        <v>112.87624455626856</v>
      </c>
      <c r="U68" s="87">
        <f t="shared" si="53"/>
        <v>117.0938348078073</v>
      </c>
      <c r="V68" s="87">
        <f t="shared" si="53"/>
        <v>78.832911513299265</v>
      </c>
      <c r="W68" s="87">
        <f t="shared" ref="W68:Y68" si="54">IF(W36=0,0,W36/W26)</f>
        <v>78.928894136975046</v>
      </c>
      <c r="X68" s="87">
        <f t="shared" si="54"/>
        <v>106.77406942701798</v>
      </c>
      <c r="Y68" s="87">
        <f t="shared" si="54"/>
        <v>113.27559451645995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128.93717421124828</v>
      </c>
      <c r="C69" s="87">
        <f t="shared" si="48"/>
        <v>125.35340599455041</v>
      </c>
      <c r="D69" s="87">
        <f t="shared" ref="D69:V69" si="55">IF(D37=0,0,D37/D27)</f>
        <v>125.08540015341345</v>
      </c>
      <c r="E69" s="87">
        <f t="shared" si="55"/>
        <v>118.45486197463318</v>
      </c>
      <c r="F69" s="87">
        <f t="shared" si="55"/>
        <v>133.75661031642827</v>
      </c>
      <c r="G69" s="87">
        <f t="shared" si="55"/>
        <v>139.84727347273474</v>
      </c>
      <c r="H69" s="87">
        <f t="shared" si="55"/>
        <v>141.38023022108533</v>
      </c>
      <c r="I69" s="87">
        <f t="shared" si="55"/>
        <v>151.51008125188082</v>
      </c>
      <c r="J69" s="87">
        <f t="shared" si="55"/>
        <v>148.69964360329359</v>
      </c>
      <c r="K69" s="87">
        <f t="shared" si="55"/>
        <v>149.05040504050405</v>
      </c>
      <c r="L69" s="87">
        <f t="shared" si="55"/>
        <v>154.08938339134758</v>
      </c>
      <c r="M69" s="87">
        <f t="shared" si="55"/>
        <v>151.67058311575283</v>
      </c>
      <c r="N69" s="87">
        <f t="shared" si="55"/>
        <v>164.06369426751593</v>
      </c>
      <c r="O69" s="87">
        <f t="shared" si="55"/>
        <v>166.74829278702518</v>
      </c>
      <c r="P69" s="87">
        <f t="shared" si="55"/>
        <v>155.58485816632782</v>
      </c>
      <c r="Q69" s="87">
        <f t="shared" si="55"/>
        <v>153.24397363465161</v>
      </c>
      <c r="R69" s="87">
        <f t="shared" si="55"/>
        <v>159.07964687621265</v>
      </c>
      <c r="S69" s="87">
        <f t="shared" si="55"/>
        <v>172.93125225550344</v>
      </c>
      <c r="T69" s="87">
        <f t="shared" si="55"/>
        <v>173.26318589451284</v>
      </c>
      <c r="U69" s="87">
        <f t="shared" si="55"/>
        <v>173.09827420901246</v>
      </c>
      <c r="V69" s="87">
        <f t="shared" si="55"/>
        <v>130.53944773175542</v>
      </c>
      <c r="W69" s="87">
        <f t="shared" ref="W69:Y69" si="56">IF(W37=0,0,W37/W27)</f>
        <v>78.493199897356945</v>
      </c>
      <c r="X69" s="87">
        <f t="shared" si="56"/>
        <v>167.85465924895689</v>
      </c>
      <c r="Y69" s="87">
        <f t="shared" si="56"/>
        <v>196.92938530734634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18.654662111680782</v>
      </c>
      <c r="C70" s="15">
        <f t="shared" si="48"/>
        <v>18.627344477956189</v>
      </c>
      <c r="D70" s="15">
        <f t="shared" ref="D70:V70" si="57">IF(D38=0,0,D38/D28)</f>
        <v>19.426979323229595</v>
      </c>
      <c r="E70" s="15">
        <f t="shared" si="57"/>
        <v>19.500404718490763</v>
      </c>
      <c r="F70" s="15">
        <f t="shared" si="57"/>
        <v>19.039767404670712</v>
      </c>
      <c r="G70" s="15">
        <f t="shared" si="57"/>
        <v>18.453794715229598</v>
      </c>
      <c r="H70" s="15">
        <f t="shared" si="57"/>
        <v>17.636139819730115</v>
      </c>
      <c r="I70" s="15">
        <f t="shared" si="57"/>
        <v>18.931379699575437</v>
      </c>
      <c r="J70" s="15">
        <f t="shared" si="57"/>
        <v>20.878613404616161</v>
      </c>
      <c r="K70" s="15">
        <f t="shared" si="57"/>
        <v>20.924203027644808</v>
      </c>
      <c r="L70" s="15">
        <f t="shared" si="57"/>
        <v>24.605046866672087</v>
      </c>
      <c r="M70" s="15">
        <f t="shared" si="57"/>
        <v>28.287568950287092</v>
      </c>
      <c r="N70" s="15">
        <f t="shared" si="57"/>
        <v>30.626086208994689</v>
      </c>
      <c r="O70" s="15">
        <f t="shared" si="57"/>
        <v>29.292819852238004</v>
      </c>
      <c r="P70" s="15">
        <f t="shared" si="57"/>
        <v>31.564418375606039</v>
      </c>
      <c r="Q70" s="15">
        <f t="shared" si="57"/>
        <v>30.289376737528968</v>
      </c>
      <c r="R70" s="15">
        <f t="shared" si="57"/>
        <v>35.206270264494052</v>
      </c>
      <c r="S70" s="15">
        <f t="shared" si="57"/>
        <v>35.507844705557027</v>
      </c>
      <c r="T70" s="15">
        <f t="shared" si="57"/>
        <v>39.530361958163681</v>
      </c>
      <c r="U70" s="15">
        <f t="shared" si="57"/>
        <v>39.421324004901045</v>
      </c>
      <c r="V70" s="15">
        <f t="shared" si="57"/>
        <v>30.548098841803171</v>
      </c>
      <c r="W70" s="15">
        <f t="shared" ref="W70:Y70" si="58">IF(W38=0,0,W38/W28)</f>
        <v>35.34790223874996</v>
      </c>
      <c r="X70" s="15">
        <f t="shared" si="58"/>
        <v>34.358951153531613</v>
      </c>
      <c r="Y70" s="15">
        <f t="shared" si="58"/>
        <v>32.684488610440205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10.023284561418631</v>
      </c>
      <c r="C71" s="41">
        <f t="shared" si="48"/>
        <v>9.9468444225812966</v>
      </c>
      <c r="D71" s="41">
        <f t="shared" ref="D71:V71" si="59">IF(D39=0,0,D39/D29)</f>
        <v>10.228618824365732</v>
      </c>
      <c r="E71" s="41">
        <f t="shared" si="59"/>
        <v>10.880110401352557</v>
      </c>
      <c r="F71" s="41">
        <f t="shared" si="59"/>
        <v>10.245291210092235</v>
      </c>
      <c r="G71" s="41">
        <f t="shared" si="59"/>
        <v>10.026386560137624</v>
      </c>
      <c r="H71" s="41">
        <f t="shared" si="59"/>
        <v>9.6442955326529347</v>
      </c>
      <c r="I71" s="41">
        <f t="shared" si="59"/>
        <v>9.6084865500782293</v>
      </c>
      <c r="J71" s="41">
        <f t="shared" si="59"/>
        <v>9.2442542001847308</v>
      </c>
      <c r="K71" s="41">
        <f t="shared" si="59"/>
        <v>9.3240998338960406</v>
      </c>
      <c r="L71" s="41">
        <f t="shared" si="59"/>
        <v>9.9726932495609368</v>
      </c>
      <c r="M71" s="41">
        <f t="shared" si="59"/>
        <v>10.895437219200758</v>
      </c>
      <c r="N71" s="41">
        <f t="shared" si="59"/>
        <v>11.19133112954926</v>
      </c>
      <c r="O71" s="41">
        <f t="shared" si="59"/>
        <v>11.472606557577453</v>
      </c>
      <c r="P71" s="41">
        <f t="shared" si="59"/>
        <v>12.867097049767036</v>
      </c>
      <c r="Q71" s="41">
        <f t="shared" si="59"/>
        <v>13.240298620670723</v>
      </c>
      <c r="R71" s="41">
        <f t="shared" si="59"/>
        <v>15.261225204177915</v>
      </c>
      <c r="S71" s="41">
        <f t="shared" si="59"/>
        <v>14.037407282807472</v>
      </c>
      <c r="T71" s="41">
        <f t="shared" si="59"/>
        <v>14.28777069472639</v>
      </c>
      <c r="U71" s="41">
        <f t="shared" si="59"/>
        <v>15.803408783848623</v>
      </c>
      <c r="V71" s="41">
        <f t="shared" si="59"/>
        <v>14.565549583941408</v>
      </c>
      <c r="W71" s="41">
        <f t="shared" ref="W71:Y71" si="60">IF(W39=0,0,W39/W29)</f>
        <v>14.733887425092286</v>
      </c>
      <c r="X71" s="41">
        <f t="shared" si="60"/>
        <v>14.903133727895911</v>
      </c>
      <c r="Y71" s="41">
        <f t="shared" si="60"/>
        <v>14.791343727721088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16.347531780245248</v>
      </c>
      <c r="D72" s="41">
        <f t="shared" ref="D72:V72" si="61">IF(D40=0,0,D40/D30)</f>
        <v>16.36514393507635</v>
      </c>
      <c r="E72" s="41">
        <f t="shared" si="61"/>
        <v>17.221696677308699</v>
      </c>
      <c r="F72" s="41">
        <f t="shared" si="61"/>
        <v>16.065947226318933</v>
      </c>
      <c r="G72" s="41">
        <f t="shared" si="61"/>
        <v>15.202475894043333</v>
      </c>
      <c r="H72" s="41">
        <f t="shared" si="61"/>
        <v>14.017847842266164</v>
      </c>
      <c r="I72" s="41">
        <f t="shared" si="61"/>
        <v>13.786843762306624</v>
      </c>
      <c r="J72" s="41">
        <f t="shared" si="61"/>
        <v>13.706049515651269</v>
      </c>
      <c r="K72" s="41">
        <f t="shared" si="61"/>
        <v>13.698894254303413</v>
      </c>
      <c r="L72" s="41">
        <f t="shared" si="61"/>
        <v>14.504774438576117</v>
      </c>
      <c r="M72" s="41">
        <f t="shared" si="61"/>
        <v>15.593990976967522</v>
      </c>
      <c r="N72" s="41">
        <f t="shared" si="61"/>
        <v>16.668272444699468</v>
      </c>
      <c r="O72" s="41">
        <f t="shared" si="61"/>
        <v>16.757006585050917</v>
      </c>
      <c r="P72" s="41">
        <f t="shared" si="61"/>
        <v>18.449412678664512</v>
      </c>
      <c r="Q72" s="41">
        <f t="shared" si="61"/>
        <v>18.477606558493591</v>
      </c>
      <c r="R72" s="41">
        <f t="shared" si="61"/>
        <v>20.847919403023052</v>
      </c>
      <c r="S72" s="41">
        <f t="shared" si="61"/>
        <v>19.377525185076976</v>
      </c>
      <c r="T72" s="41">
        <f t="shared" si="61"/>
        <v>19.225461196308377</v>
      </c>
      <c r="U72" s="41">
        <f t="shared" si="61"/>
        <v>19.70259861763196</v>
      </c>
      <c r="V72" s="41">
        <f t="shared" si="61"/>
        <v>17.640506114488737</v>
      </c>
      <c r="W72" s="41">
        <f t="shared" ref="W72:Y72" si="62">IF(W40=0,0,W40/W30)</f>
        <v>17.768395755469797</v>
      </c>
      <c r="X72" s="41">
        <f t="shared" si="62"/>
        <v>17.890474130141026</v>
      </c>
      <c r="Y72" s="41">
        <f t="shared" si="62"/>
        <v>17.970037243342702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53.867382020046904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</v>
      </c>
      <c r="M73" s="40">
        <f t="shared" si="63"/>
        <v>55.066413538494707</v>
      </c>
      <c r="N73" s="40">
        <f t="shared" si="63"/>
        <v>59.082056024886235</v>
      </c>
      <c r="O73" s="40">
        <f t="shared" si="63"/>
        <v>59.664691083399624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50.528235250360844</v>
      </c>
      <c r="W73" s="40">
        <f t="shared" ref="W73:Y73" si="64">IF(W41=0,0,W41/W31)</f>
        <v>53.587012042781268</v>
      </c>
      <c r="X73" s="40">
        <f t="shared" si="64"/>
        <v>60.501674061496317</v>
      </c>
      <c r="Y73" s="40">
        <f t="shared" si="64"/>
        <v>63.067440817812056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865.82338370763148</v>
      </c>
      <c r="C75" s="62">
        <f t="shared" si="65"/>
        <v>876.37402686673488</v>
      </c>
      <c r="D75" s="62">
        <f t="shared" ref="D75:V75" si="66">IF(D13=0,0,D13*1000000/D23)</f>
        <v>883.09825796474991</v>
      </c>
      <c r="E75" s="62">
        <f t="shared" si="66"/>
        <v>897.52984488154891</v>
      </c>
      <c r="F75" s="62">
        <f t="shared" si="66"/>
        <v>924.37080567150508</v>
      </c>
      <c r="G75" s="62">
        <f t="shared" si="66"/>
        <v>947.91039340517136</v>
      </c>
      <c r="H75" s="62">
        <f t="shared" si="66"/>
        <v>974.51717228286066</v>
      </c>
      <c r="I75" s="62">
        <f t="shared" si="66"/>
        <v>1084.1621918345431</v>
      </c>
      <c r="J75" s="62">
        <f t="shared" si="66"/>
        <v>1106.7210242357573</v>
      </c>
      <c r="K75" s="62">
        <f t="shared" si="66"/>
        <v>1103.0317198540074</v>
      </c>
      <c r="L75" s="62">
        <f t="shared" si="66"/>
        <v>1131.773119497173</v>
      </c>
      <c r="M75" s="62">
        <f t="shared" si="66"/>
        <v>1171.5025938802496</v>
      </c>
      <c r="N75" s="62">
        <f t="shared" si="66"/>
        <v>1215.9633628371816</v>
      </c>
      <c r="O75" s="62">
        <f t="shared" si="66"/>
        <v>1286.2094044281087</v>
      </c>
      <c r="P75" s="62">
        <f t="shared" si="66"/>
        <v>1323.2212249822358</v>
      </c>
      <c r="Q75" s="62">
        <f t="shared" si="66"/>
        <v>1336.694207448995</v>
      </c>
      <c r="R75" s="62">
        <f t="shared" si="66"/>
        <v>1361.0212378945666</v>
      </c>
      <c r="S75" s="62">
        <f t="shared" si="66"/>
        <v>1378.5396794924304</v>
      </c>
      <c r="T75" s="62">
        <f t="shared" si="66"/>
        <v>1441.8312579149567</v>
      </c>
      <c r="U75" s="62">
        <f t="shared" si="66"/>
        <v>1479.9715520129671</v>
      </c>
      <c r="V75" s="62">
        <f t="shared" si="66"/>
        <v>1351.7017209085789</v>
      </c>
      <c r="W75" s="62">
        <f t="shared" ref="W75:Y75" si="67">IF(W13=0,0,W13*1000000/W23)</f>
        <v>1374.5656793359535</v>
      </c>
      <c r="X75" s="62">
        <f t="shared" si="67"/>
        <v>1559.5706498035752</v>
      </c>
      <c r="Y75" s="62">
        <f t="shared" si="67"/>
        <v>1681.4493005371521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863.12317895258036</v>
      </c>
      <c r="C76" s="14">
        <f t="shared" si="65"/>
        <v>874.3773767218994</v>
      </c>
      <c r="D76" s="14">
        <f t="shared" ref="D76:V76" si="68">IF(D14=0,0,D14*1000000/D24)</f>
        <v>880.82419955127443</v>
      </c>
      <c r="E76" s="14">
        <f t="shared" si="68"/>
        <v>894.57876355310395</v>
      </c>
      <c r="F76" s="14">
        <f t="shared" si="68"/>
        <v>920.4095996126423</v>
      </c>
      <c r="G76" s="14">
        <f t="shared" si="68"/>
        <v>942.40983928752985</v>
      </c>
      <c r="H76" s="14">
        <f t="shared" si="68"/>
        <v>970.5737994444662</v>
      </c>
      <c r="I76" s="14">
        <f t="shared" si="68"/>
        <v>1081.6991257079342</v>
      </c>
      <c r="J76" s="14">
        <f t="shared" si="68"/>
        <v>1108.2682264227371</v>
      </c>
      <c r="K76" s="14">
        <f t="shared" si="68"/>
        <v>1108.310886699911</v>
      </c>
      <c r="L76" s="14">
        <f t="shared" si="68"/>
        <v>1140.6363072289264</v>
      </c>
      <c r="M76" s="14">
        <f t="shared" si="68"/>
        <v>1176.9641004359967</v>
      </c>
      <c r="N76" s="14">
        <f t="shared" si="68"/>
        <v>1221.5778159842141</v>
      </c>
      <c r="O76" s="14">
        <f t="shared" si="68"/>
        <v>1293.2709489536985</v>
      </c>
      <c r="P76" s="14">
        <f t="shared" si="68"/>
        <v>1332.7317331603026</v>
      </c>
      <c r="Q76" s="14">
        <f t="shared" si="68"/>
        <v>1347.6359494611127</v>
      </c>
      <c r="R76" s="14">
        <f t="shared" si="68"/>
        <v>1369.8562181314248</v>
      </c>
      <c r="S76" s="14">
        <f t="shared" si="68"/>
        <v>1385.7161256124275</v>
      </c>
      <c r="T76" s="14">
        <f t="shared" si="68"/>
        <v>1449.3420977565941</v>
      </c>
      <c r="U76" s="14">
        <f t="shared" si="68"/>
        <v>1490.80386555413</v>
      </c>
      <c r="V76" s="14">
        <f t="shared" si="68"/>
        <v>1382.9387718099144</v>
      </c>
      <c r="W76" s="14">
        <f t="shared" ref="W76:Y76" si="69">IF(W14=0,0,W14*1000000/W24)</f>
        <v>1412.8010181579577</v>
      </c>
      <c r="X76" s="14">
        <f t="shared" si="69"/>
        <v>1569.3335308042688</v>
      </c>
      <c r="Y76" s="14">
        <f t="shared" si="69"/>
        <v>1673.8225996408798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415.6151509817833</v>
      </c>
      <c r="C77" s="39">
        <f t="shared" si="65"/>
        <v>415.6151509817833</v>
      </c>
      <c r="D77" s="39">
        <f t="shared" ref="D77:V77" si="70">IF(D15=0,0,D15*1000000/D25)</f>
        <v>415.6151509817833</v>
      </c>
      <c r="E77" s="39">
        <f t="shared" si="70"/>
        <v>415.6151509817833</v>
      </c>
      <c r="F77" s="39">
        <f t="shared" si="70"/>
        <v>415.6151509817833</v>
      </c>
      <c r="G77" s="39">
        <f t="shared" si="70"/>
        <v>425.71571799735409</v>
      </c>
      <c r="H77" s="39">
        <f t="shared" si="70"/>
        <v>403.12385533289506</v>
      </c>
      <c r="I77" s="39">
        <f t="shared" si="70"/>
        <v>428.56710013276313</v>
      </c>
      <c r="J77" s="39">
        <f t="shared" si="70"/>
        <v>419.87717448583209</v>
      </c>
      <c r="K77" s="39">
        <f t="shared" si="70"/>
        <v>431.95076563049668</v>
      </c>
      <c r="L77" s="39">
        <f t="shared" si="70"/>
        <v>440.89718837863165</v>
      </c>
      <c r="M77" s="39">
        <f t="shared" si="70"/>
        <v>442.26519735938501</v>
      </c>
      <c r="N77" s="39">
        <f t="shared" si="70"/>
        <v>449.933264781491</v>
      </c>
      <c r="O77" s="39">
        <f t="shared" si="70"/>
        <v>435.84851763148805</v>
      </c>
      <c r="P77" s="39">
        <f t="shared" si="70"/>
        <v>445.65036083834696</v>
      </c>
      <c r="Q77" s="39">
        <f t="shared" si="70"/>
        <v>442.09825004765094</v>
      </c>
      <c r="R77" s="39">
        <f t="shared" si="70"/>
        <v>443.46602246514163</v>
      </c>
      <c r="S77" s="39">
        <f t="shared" si="70"/>
        <v>448.4262471758521</v>
      </c>
      <c r="T77" s="39">
        <f t="shared" si="70"/>
        <v>465.67520000000007</v>
      </c>
      <c r="U77" s="39">
        <f t="shared" si="70"/>
        <v>471.05991617687175</v>
      </c>
      <c r="V77" s="39">
        <f t="shared" si="70"/>
        <v>523.43885878029027</v>
      </c>
      <c r="W77" s="39">
        <f t="shared" ref="W77:Y77" si="71">IF(W15=0,0,W15*1000000/W25)</f>
        <v>540.89376581856936</v>
      </c>
      <c r="X77" s="39">
        <f t="shared" si="71"/>
        <v>532.39058393835455</v>
      </c>
      <c r="Y77" s="39">
        <f t="shared" si="71"/>
        <v>532.84638379141404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1267.5805596798164</v>
      </c>
      <c r="C78" s="39">
        <f t="shared" si="65"/>
        <v>1263.9527357360544</v>
      </c>
      <c r="D78" s="39">
        <f t="shared" ref="D78:V78" si="72">IF(D16=0,0,D16*1000000/D26)</f>
        <v>1257.3162157094221</v>
      </c>
      <c r="E78" s="39">
        <f t="shared" si="72"/>
        <v>1257.166299381385</v>
      </c>
      <c r="F78" s="39">
        <f t="shared" si="72"/>
        <v>1262.0243079700606</v>
      </c>
      <c r="G78" s="39">
        <f t="shared" si="72"/>
        <v>1271.8789718799781</v>
      </c>
      <c r="H78" s="39">
        <f t="shared" si="72"/>
        <v>1314.4354156245413</v>
      </c>
      <c r="I78" s="39">
        <f t="shared" si="72"/>
        <v>1365.456312165797</v>
      </c>
      <c r="J78" s="39">
        <f t="shared" si="72"/>
        <v>1350.7194656632919</v>
      </c>
      <c r="K78" s="39">
        <f t="shared" si="72"/>
        <v>1370.2881163005002</v>
      </c>
      <c r="L78" s="39">
        <f t="shared" si="72"/>
        <v>1337.1990331542147</v>
      </c>
      <c r="M78" s="39">
        <f t="shared" si="72"/>
        <v>1336.4730996055976</v>
      </c>
      <c r="N78" s="39">
        <f t="shared" si="72"/>
        <v>1293.1678716518986</v>
      </c>
      <c r="O78" s="39">
        <f t="shared" si="72"/>
        <v>1353.8460937715906</v>
      </c>
      <c r="P78" s="39">
        <f t="shared" si="72"/>
        <v>1384.9530310990883</v>
      </c>
      <c r="Q78" s="39">
        <f t="shared" si="72"/>
        <v>1390.2419538875265</v>
      </c>
      <c r="R78" s="39">
        <f t="shared" si="72"/>
        <v>1400.9004442307776</v>
      </c>
      <c r="S78" s="39">
        <f t="shared" si="72"/>
        <v>1400.909962142061</v>
      </c>
      <c r="T78" s="39">
        <f t="shared" si="72"/>
        <v>1444.3547440342584</v>
      </c>
      <c r="U78" s="39">
        <f t="shared" si="72"/>
        <v>1435.3269033067363</v>
      </c>
      <c r="V78" s="39">
        <f t="shared" si="72"/>
        <v>1347.558407664656</v>
      </c>
      <c r="W78" s="39">
        <f t="shared" ref="W78:Y78" si="73">IF(W16=0,0,W16*1000000/W26)</f>
        <v>1429.9516391978855</v>
      </c>
      <c r="X78" s="39">
        <f t="shared" si="73"/>
        <v>1519.1129350955248</v>
      </c>
      <c r="Y78" s="39">
        <f t="shared" si="73"/>
        <v>1506.5185801695184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3851.5113693520871</v>
      </c>
      <c r="C79" s="39">
        <f t="shared" si="65"/>
        <v>3851.5113693520866</v>
      </c>
      <c r="D79" s="39">
        <f t="shared" ref="D79:V79" si="74">IF(D17=0,0,D17*1000000/D27)</f>
        <v>3851.5113693520871</v>
      </c>
      <c r="E79" s="39">
        <f t="shared" si="74"/>
        <v>3851.5113693520871</v>
      </c>
      <c r="F79" s="39">
        <f t="shared" si="74"/>
        <v>3851.5113693520871</v>
      </c>
      <c r="G79" s="39">
        <f t="shared" si="74"/>
        <v>4053.9245052030201</v>
      </c>
      <c r="H79" s="39">
        <f t="shared" si="74"/>
        <v>4268.8327380214514</v>
      </c>
      <c r="I79" s="39">
        <f t="shared" si="74"/>
        <v>4489.9164023367521</v>
      </c>
      <c r="J79" s="39">
        <f t="shared" si="74"/>
        <v>4318.9572167945744</v>
      </c>
      <c r="K79" s="39">
        <f t="shared" si="74"/>
        <v>4309.359723672912</v>
      </c>
      <c r="L79" s="39">
        <f t="shared" si="74"/>
        <v>4468.872816728167</v>
      </c>
      <c r="M79" s="39">
        <f t="shared" si="74"/>
        <v>4742.454430196125</v>
      </c>
      <c r="N79" s="39">
        <f t="shared" si="74"/>
        <v>4892.4930629669161</v>
      </c>
      <c r="O79" s="39">
        <f t="shared" si="74"/>
        <v>4936.328268229664</v>
      </c>
      <c r="P79" s="39">
        <f t="shared" si="74"/>
        <v>4657.2331592346573</v>
      </c>
      <c r="Q79" s="39">
        <f t="shared" si="74"/>
        <v>4594.7272589849053</v>
      </c>
      <c r="R79" s="39">
        <f t="shared" si="74"/>
        <v>4746.4062780611266</v>
      </c>
      <c r="S79" s="39">
        <f t="shared" si="74"/>
        <v>4735.3336751009638</v>
      </c>
      <c r="T79" s="39">
        <f t="shared" si="74"/>
        <v>4630.2593823151856</v>
      </c>
      <c r="U79" s="39">
        <f t="shared" si="74"/>
        <v>4651.3820972561798</v>
      </c>
      <c r="V79" s="39">
        <f t="shared" si="74"/>
        <v>5184.9996002398557</v>
      </c>
      <c r="W79" s="39">
        <f t="shared" ref="W79:Y79" si="75">IF(W17=0,0,W17*1000000/W27)</f>
        <v>5112.0556220095696</v>
      </c>
      <c r="X79" s="39">
        <f t="shared" si="75"/>
        <v>6524.0152021383228</v>
      </c>
      <c r="Y79" s="39">
        <f t="shared" si="75"/>
        <v>7401.2312434220412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986.0484645022816</v>
      </c>
      <c r="C80" s="15">
        <f t="shared" si="65"/>
        <v>983.37277775811219</v>
      </c>
      <c r="D80" s="15">
        <f t="shared" ref="D80:V80" si="76">IF(D18=0,0,D18*1000000/D28)</f>
        <v>1006.4454049052265</v>
      </c>
      <c r="E80" s="15">
        <f t="shared" si="76"/>
        <v>1030.0959744989655</v>
      </c>
      <c r="F80" s="15">
        <f t="shared" si="76"/>
        <v>1072.9184600884616</v>
      </c>
      <c r="G80" s="15">
        <f t="shared" si="76"/>
        <v>1150.6255290857625</v>
      </c>
      <c r="H80" s="15">
        <f t="shared" si="76"/>
        <v>1108.0580950202138</v>
      </c>
      <c r="I80" s="15">
        <f t="shared" si="76"/>
        <v>1162.3368326521277</v>
      </c>
      <c r="J80" s="15">
        <f t="shared" si="76"/>
        <v>1050.768879887511</v>
      </c>
      <c r="K80" s="15">
        <f t="shared" si="76"/>
        <v>898.52442057235362</v>
      </c>
      <c r="L80" s="15">
        <f t="shared" si="76"/>
        <v>813.65516732889682</v>
      </c>
      <c r="M80" s="15">
        <f t="shared" si="76"/>
        <v>942.58051242580314</v>
      </c>
      <c r="N80" s="15">
        <f t="shared" si="76"/>
        <v>1006.6379235363954</v>
      </c>
      <c r="O80" s="15">
        <f t="shared" si="76"/>
        <v>1041.6137810116684</v>
      </c>
      <c r="P80" s="15">
        <f t="shared" si="76"/>
        <v>973.23836149064084</v>
      </c>
      <c r="Q80" s="15">
        <f t="shared" si="76"/>
        <v>950.6213654434581</v>
      </c>
      <c r="R80" s="15">
        <f t="shared" si="76"/>
        <v>1023.196799880508</v>
      </c>
      <c r="S80" s="15">
        <f t="shared" si="76"/>
        <v>1085.220470668218</v>
      </c>
      <c r="T80" s="15">
        <f t="shared" si="76"/>
        <v>1083.5228178914535</v>
      </c>
      <c r="U80" s="15">
        <f t="shared" si="76"/>
        <v>1059.9100557511117</v>
      </c>
      <c r="V80" s="15">
        <f t="shared" si="76"/>
        <v>841.27011284042499</v>
      </c>
      <c r="W80" s="15">
        <f t="shared" ref="W80:Y80" si="77">IF(W18=0,0,W18*1000000/W28)</f>
        <v>794.52867940515898</v>
      </c>
      <c r="X80" s="15">
        <f t="shared" si="77"/>
        <v>1262.7639895739931</v>
      </c>
      <c r="Y80" s="15">
        <f t="shared" si="77"/>
        <v>1904.0696676775792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259.78024693791764</v>
      </c>
      <c r="C81" s="41">
        <f t="shared" si="65"/>
        <v>259.78024693791764</v>
      </c>
      <c r="D81" s="41">
        <f t="shared" ref="D81:V81" si="78">IF(D19=0,0,D19*1000000/D29)</f>
        <v>259.78024693791764</v>
      </c>
      <c r="E81" s="41">
        <f t="shared" si="78"/>
        <v>259.78024693791764</v>
      </c>
      <c r="F81" s="41">
        <f t="shared" si="78"/>
        <v>259.78024693791764</v>
      </c>
      <c r="G81" s="41">
        <f t="shared" si="78"/>
        <v>269.88081395348837</v>
      </c>
      <c r="H81" s="41">
        <f t="shared" si="78"/>
        <v>222.79649442207622</v>
      </c>
      <c r="I81" s="41">
        <f t="shared" si="78"/>
        <v>223.747282354991</v>
      </c>
      <c r="J81" s="41">
        <f t="shared" si="78"/>
        <v>190.56489984110678</v>
      </c>
      <c r="K81" s="41">
        <f t="shared" si="78"/>
        <v>178.14603411881825</v>
      </c>
      <c r="L81" s="41">
        <f t="shared" si="78"/>
        <v>162.60000000000002</v>
      </c>
      <c r="M81" s="41">
        <f t="shared" si="78"/>
        <v>224.5697660011667</v>
      </c>
      <c r="N81" s="41">
        <f t="shared" si="78"/>
        <v>292.83959044368601</v>
      </c>
      <c r="O81" s="41">
        <f t="shared" si="78"/>
        <v>275.73550319575503</v>
      </c>
      <c r="P81" s="41">
        <f t="shared" si="78"/>
        <v>282.51800630468591</v>
      </c>
      <c r="Q81" s="41">
        <f t="shared" si="78"/>
        <v>275.94655541606181</v>
      </c>
      <c r="R81" s="41">
        <f t="shared" si="78"/>
        <v>274.2949877356246</v>
      </c>
      <c r="S81" s="41">
        <f t="shared" si="78"/>
        <v>276.23587234840704</v>
      </c>
      <c r="T81" s="41">
        <f t="shared" si="78"/>
        <v>290.46548507462688</v>
      </c>
      <c r="U81" s="41">
        <f t="shared" si="78"/>
        <v>266.95080983803234</v>
      </c>
      <c r="V81" s="41">
        <f t="shared" si="78"/>
        <v>232.63642908567311</v>
      </c>
      <c r="W81" s="41">
        <f t="shared" ref="W81:Y81" si="79">IF(W19=0,0,W19*1000000/W29)</f>
        <v>285.55373001776201</v>
      </c>
      <c r="X81" s="41">
        <f t="shared" si="79"/>
        <v>272.62062476477229</v>
      </c>
      <c r="Y81" s="41">
        <f t="shared" si="79"/>
        <v>219.68885096700797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1098.7104840508307</v>
      </c>
      <c r="C82" s="41">
        <f t="shared" si="65"/>
        <v>1081.8834096299968</v>
      </c>
      <c r="D82" s="41">
        <f t="shared" ref="D82:V82" si="80">IF(D20=0,0,D20*1000000/D30)</f>
        <v>1074.413801117377</v>
      </c>
      <c r="E82" s="41">
        <f t="shared" si="80"/>
        <v>1022.271828672191</v>
      </c>
      <c r="F82" s="41">
        <f t="shared" si="80"/>
        <v>1016.1789432980526</v>
      </c>
      <c r="G82" s="41">
        <f t="shared" si="80"/>
        <v>1039.8294940975857</v>
      </c>
      <c r="H82" s="41">
        <f t="shared" si="80"/>
        <v>1038.7290681498998</v>
      </c>
      <c r="I82" s="41">
        <f t="shared" si="80"/>
        <v>1055.6603590359273</v>
      </c>
      <c r="J82" s="41">
        <f t="shared" si="80"/>
        <v>1007.5936749361925</v>
      </c>
      <c r="K82" s="41">
        <f t="shared" si="80"/>
        <v>994.37573537452477</v>
      </c>
      <c r="L82" s="41">
        <f t="shared" si="80"/>
        <v>944.77372737417772</v>
      </c>
      <c r="M82" s="41">
        <f t="shared" si="80"/>
        <v>940.43566698117411</v>
      </c>
      <c r="N82" s="41">
        <f t="shared" si="80"/>
        <v>884.32984273024124</v>
      </c>
      <c r="O82" s="41">
        <f t="shared" si="80"/>
        <v>958.07271253228032</v>
      </c>
      <c r="P82" s="41">
        <f t="shared" si="80"/>
        <v>987.33904864269721</v>
      </c>
      <c r="Q82" s="41">
        <f t="shared" si="80"/>
        <v>990.951616141984</v>
      </c>
      <c r="R82" s="41">
        <f t="shared" si="80"/>
        <v>1062.1561815616678</v>
      </c>
      <c r="S82" s="41">
        <f t="shared" si="80"/>
        <v>1161.1156107422314</v>
      </c>
      <c r="T82" s="41">
        <f t="shared" si="80"/>
        <v>1234.3886381849086</v>
      </c>
      <c r="U82" s="41">
        <f t="shared" si="80"/>
        <v>1248.3929718243571</v>
      </c>
      <c r="V82" s="41">
        <f t="shared" si="80"/>
        <v>964.49181336048127</v>
      </c>
      <c r="W82" s="41">
        <f t="shared" ref="W82:Y82" si="81">IF(W20=0,0,W20*1000000/W30)</f>
        <v>948.54171029074166</v>
      </c>
      <c r="X82" s="41">
        <f t="shared" si="81"/>
        <v>1096.344057800716</v>
      </c>
      <c r="Y82" s="41">
        <f t="shared" si="81"/>
        <v>1070.4271024343036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2536.0981423445555</v>
      </c>
      <c r="C83" s="40">
        <f t="shared" si="65"/>
        <v>2536.0981423445555</v>
      </c>
      <c r="D83" s="40">
        <f t="shared" ref="D83:V83" si="82">IF(D21=0,0,D21*1000000/D31)</f>
        <v>2536.0981423445555</v>
      </c>
      <c r="E83" s="40">
        <f t="shared" si="82"/>
        <v>2536.0981423445555</v>
      </c>
      <c r="F83" s="40">
        <f t="shared" si="82"/>
        <v>2536.0981423445551</v>
      </c>
      <c r="G83" s="40">
        <f t="shared" si="82"/>
        <v>2738.5112781954886</v>
      </c>
      <c r="H83" s="40">
        <f t="shared" si="82"/>
        <v>2470.8036586435633</v>
      </c>
      <c r="I83" s="40">
        <f t="shared" si="82"/>
        <v>2209.2714705885064</v>
      </c>
      <c r="J83" s="40">
        <f t="shared" si="82"/>
        <v>1555.6964326759739</v>
      </c>
      <c r="K83" s="40">
        <f t="shared" si="82"/>
        <v>1063.4830871839545</v>
      </c>
      <c r="L83" s="40">
        <f t="shared" si="82"/>
        <v>740.38032786885242</v>
      </c>
      <c r="M83" s="40">
        <f t="shared" si="82"/>
        <v>1131.176519147876</v>
      </c>
      <c r="N83" s="40">
        <f t="shared" si="82"/>
        <v>1398.4297297297296</v>
      </c>
      <c r="O83" s="40">
        <f t="shared" si="82"/>
        <v>1407.8035452867068</v>
      </c>
      <c r="P83" s="40">
        <f t="shared" si="82"/>
        <v>1094.247046585928</v>
      </c>
      <c r="Q83" s="40">
        <f t="shared" si="82"/>
        <v>997.27975663040615</v>
      </c>
      <c r="R83" s="40">
        <f t="shared" si="82"/>
        <v>1114.4973860008574</v>
      </c>
      <c r="S83" s="40">
        <f t="shared" si="82"/>
        <v>1068.9633933349226</v>
      </c>
      <c r="T83" s="40">
        <f t="shared" si="82"/>
        <v>929.42771084337357</v>
      </c>
      <c r="U83" s="40">
        <f t="shared" si="82"/>
        <v>813.57547169811312</v>
      </c>
      <c r="V83" s="40">
        <f t="shared" si="82"/>
        <v>733.28717948717951</v>
      </c>
      <c r="W83" s="40">
        <f t="shared" ref="W83:Y83" si="83">IF(W21=0,0,W21*1000000/W31)</f>
        <v>681.02403846153845</v>
      </c>
      <c r="X83" s="40">
        <f t="shared" si="83"/>
        <v>1605.6694214876031</v>
      </c>
      <c r="Y83" s="40">
        <f t="shared" si="83"/>
        <v>3701.616438356165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85317.886466063253</v>
      </c>
      <c r="C86" s="11">
        <f t="shared" si="84"/>
        <v>85946.579596790703</v>
      </c>
      <c r="D86" s="11">
        <f t="shared" ref="D86:V86" si="85">IF(D4=0,0,D4*1000000/D24)</f>
        <v>91804.582958357671</v>
      </c>
      <c r="E86" s="11">
        <f t="shared" si="85"/>
        <v>86284.94676329814</v>
      </c>
      <c r="F86" s="11">
        <f t="shared" si="85"/>
        <v>93206.312407272912</v>
      </c>
      <c r="G86" s="11">
        <f t="shared" si="85"/>
        <v>101468.7073186342</v>
      </c>
      <c r="H86" s="11">
        <f t="shared" si="85"/>
        <v>109092.40863775022</v>
      </c>
      <c r="I86" s="11">
        <f t="shared" si="85"/>
        <v>128424.99136156468</v>
      </c>
      <c r="J86" s="11">
        <f t="shared" si="85"/>
        <v>130121.371984649</v>
      </c>
      <c r="K86" s="11">
        <f t="shared" si="85"/>
        <v>130349.96910223785</v>
      </c>
      <c r="L86" s="11">
        <f t="shared" si="85"/>
        <v>139238.74768612662</v>
      </c>
      <c r="M86" s="11">
        <f t="shared" si="85"/>
        <v>143232.64858181737</v>
      </c>
      <c r="N86" s="11">
        <f t="shared" si="85"/>
        <v>168407.00461418836</v>
      </c>
      <c r="O86" s="11">
        <f t="shared" si="85"/>
        <v>181412.28422992464</v>
      </c>
      <c r="P86" s="11">
        <f t="shared" si="85"/>
        <v>190408.89363667692</v>
      </c>
      <c r="Q86" s="11">
        <f t="shared" si="85"/>
        <v>192380.66101558469</v>
      </c>
      <c r="R86" s="11">
        <f t="shared" si="85"/>
        <v>205496.85886377128</v>
      </c>
      <c r="S86" s="11">
        <f t="shared" si="85"/>
        <v>222588.67742015861</v>
      </c>
      <c r="T86" s="11">
        <f t="shared" si="85"/>
        <v>229837.61155851473</v>
      </c>
      <c r="U86" s="11">
        <f t="shared" si="85"/>
        <v>244497.8311550403</v>
      </c>
      <c r="V86" s="11">
        <f t="shared" si="85"/>
        <v>169305.5019357868</v>
      </c>
      <c r="W86" s="11">
        <f t="shared" ref="W86:Y86" si="86">IF(W4=0,0,W4*1000000/W24)</f>
        <v>121489.73366194217</v>
      </c>
      <c r="X86" s="11">
        <f t="shared" si="86"/>
        <v>223191.86899908422</v>
      </c>
      <c r="Y86" s="11">
        <f t="shared" si="86"/>
        <v>282769.33701609087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23355.440574291551</v>
      </c>
      <c r="C87" s="36">
        <f t="shared" si="84"/>
        <v>23562.375073532054</v>
      </c>
      <c r="D87" s="36">
        <f t="shared" ref="D87:V87" si="87">IF(D5=0,0,D5*1000000/D25)</f>
        <v>25254.514027437308</v>
      </c>
      <c r="E87" s="36">
        <f t="shared" si="87"/>
        <v>21588.053245738633</v>
      </c>
      <c r="F87" s="36">
        <f t="shared" si="87"/>
        <v>22476.101558219183</v>
      </c>
      <c r="G87" s="36">
        <f t="shared" si="87"/>
        <v>22386.295707480233</v>
      </c>
      <c r="H87" s="36">
        <f t="shared" si="87"/>
        <v>21299.052357694411</v>
      </c>
      <c r="I87" s="36">
        <f t="shared" si="87"/>
        <v>24433.206682020846</v>
      </c>
      <c r="J87" s="36">
        <f t="shared" si="87"/>
        <v>22869.988351219428</v>
      </c>
      <c r="K87" s="36">
        <f t="shared" si="87"/>
        <v>21205.629591093977</v>
      </c>
      <c r="L87" s="36">
        <f t="shared" si="87"/>
        <v>22037.307798623871</v>
      </c>
      <c r="M87" s="36">
        <f t="shared" si="87"/>
        <v>24164.59260302089</v>
      </c>
      <c r="N87" s="36">
        <f t="shared" si="87"/>
        <v>28933.227465450982</v>
      </c>
      <c r="O87" s="36">
        <f t="shared" si="87"/>
        <v>29061.635965374171</v>
      </c>
      <c r="P87" s="36">
        <f t="shared" si="87"/>
        <v>31606.219736107414</v>
      </c>
      <c r="Q87" s="36">
        <f t="shared" si="87"/>
        <v>32878.987680331324</v>
      </c>
      <c r="R87" s="36">
        <f t="shared" si="87"/>
        <v>35735.505961406176</v>
      </c>
      <c r="S87" s="36">
        <f t="shared" si="87"/>
        <v>37200.440634537124</v>
      </c>
      <c r="T87" s="36">
        <f t="shared" si="87"/>
        <v>40037.091058015387</v>
      </c>
      <c r="U87" s="36">
        <f t="shared" si="87"/>
        <v>40627.660146048998</v>
      </c>
      <c r="V87" s="36">
        <f t="shared" si="87"/>
        <v>38464.627307049559</v>
      </c>
      <c r="W87" s="36">
        <f t="shared" ref="W87:Y87" si="88">IF(W5=0,0,W5*1000000/W25)</f>
        <v>34748.922886301385</v>
      </c>
      <c r="X87" s="36">
        <f t="shared" si="88"/>
        <v>44053.846698999245</v>
      </c>
      <c r="Y87" s="36">
        <f t="shared" si="88"/>
        <v>45682.756428174987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125366.44768305394</v>
      </c>
      <c r="C88" s="36">
        <f t="shared" si="84"/>
        <v>124243.73817658747</v>
      </c>
      <c r="D88" s="36">
        <f t="shared" ref="D88:V88" si="89">IF(D6=0,0,D6*1000000/D26)</f>
        <v>130943.34318344104</v>
      </c>
      <c r="E88" s="36">
        <f t="shared" si="89"/>
        <v>121866.10198692221</v>
      </c>
      <c r="F88" s="36">
        <f t="shared" si="89"/>
        <v>121366.19021556614</v>
      </c>
      <c r="G88" s="36">
        <f t="shared" si="89"/>
        <v>130618.02199490782</v>
      </c>
      <c r="H88" s="36">
        <f t="shared" si="89"/>
        <v>138021.03997075421</v>
      </c>
      <c r="I88" s="36">
        <f t="shared" si="89"/>
        <v>138727.08961114465</v>
      </c>
      <c r="J88" s="36">
        <f t="shared" si="89"/>
        <v>128793.57242660048</v>
      </c>
      <c r="K88" s="36">
        <f t="shared" si="89"/>
        <v>134032.7319387242</v>
      </c>
      <c r="L88" s="36">
        <f t="shared" si="89"/>
        <v>131358.01200891176</v>
      </c>
      <c r="M88" s="36">
        <f t="shared" si="89"/>
        <v>131395.17594326127</v>
      </c>
      <c r="N88" s="36">
        <f t="shared" si="89"/>
        <v>141202.22601874295</v>
      </c>
      <c r="O88" s="36">
        <f t="shared" si="89"/>
        <v>154721.29416017153</v>
      </c>
      <c r="P88" s="36">
        <f t="shared" si="89"/>
        <v>174277.35472526748</v>
      </c>
      <c r="Q88" s="36">
        <f t="shared" si="89"/>
        <v>172124.86757254266</v>
      </c>
      <c r="R88" s="36">
        <f t="shared" si="89"/>
        <v>180335.90169754057</v>
      </c>
      <c r="S88" s="36">
        <f t="shared" si="89"/>
        <v>189283.68321327982</v>
      </c>
      <c r="T88" s="36">
        <f t="shared" si="89"/>
        <v>190110.40552702293</v>
      </c>
      <c r="U88" s="36">
        <f t="shared" si="89"/>
        <v>195098.71903951687</v>
      </c>
      <c r="V88" s="36">
        <f t="shared" si="89"/>
        <v>134199.68240075314</v>
      </c>
      <c r="W88" s="36">
        <f t="shared" ref="W88:Y88" si="90">IF(W6=0,0,W6*1000000/W26)</f>
        <v>130522.393689505</v>
      </c>
      <c r="X88" s="36">
        <f t="shared" si="90"/>
        <v>184302.08166527699</v>
      </c>
      <c r="Y88" s="36">
        <f t="shared" si="90"/>
        <v>195342.1339869767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709178.9834749999</v>
      </c>
      <c r="C89" s="36">
        <f t="shared" si="84"/>
        <v>689467.57660979417</v>
      </c>
      <c r="D89" s="36">
        <f t="shared" ref="D89:V89" si="91">IF(D7=0,0,D7*1000000/D27)</f>
        <v>687993.49350578978</v>
      </c>
      <c r="E89" s="36">
        <f t="shared" si="91"/>
        <v>651524.27231892326</v>
      </c>
      <c r="F89" s="36">
        <f t="shared" si="91"/>
        <v>735686.79876490636</v>
      </c>
      <c r="G89" s="36">
        <f t="shared" si="91"/>
        <v>809610.5986932856</v>
      </c>
      <c r="H89" s="36">
        <f t="shared" si="91"/>
        <v>861875.12736280588</v>
      </c>
      <c r="I89" s="36">
        <f t="shared" si="91"/>
        <v>971463.10368296399</v>
      </c>
      <c r="J89" s="36">
        <f t="shared" si="91"/>
        <v>917139.4068464986</v>
      </c>
      <c r="K89" s="36">
        <f t="shared" si="91"/>
        <v>917259.95427083981</v>
      </c>
      <c r="L89" s="36">
        <f t="shared" si="91"/>
        <v>983370.63810726604</v>
      </c>
      <c r="M89" s="36">
        <f t="shared" si="91"/>
        <v>984615.44847339066</v>
      </c>
      <c r="N89" s="36">
        <f t="shared" si="91"/>
        <v>1095571.4149838914</v>
      </c>
      <c r="O89" s="36">
        <f t="shared" si="91"/>
        <v>1060134.47852609</v>
      </c>
      <c r="P89" s="36">
        <f t="shared" si="91"/>
        <v>926272.43539778714</v>
      </c>
      <c r="Q89" s="36">
        <f t="shared" si="91"/>
        <v>911585.23142036411</v>
      </c>
      <c r="R89" s="36">
        <f t="shared" si="91"/>
        <v>991428.96109831089</v>
      </c>
      <c r="S89" s="36">
        <f t="shared" si="91"/>
        <v>1082315.5903297132</v>
      </c>
      <c r="T89" s="36">
        <f t="shared" si="91"/>
        <v>1035048.9662534161</v>
      </c>
      <c r="U89" s="36">
        <f t="shared" si="91"/>
        <v>1047475.5365310553</v>
      </c>
      <c r="V89" s="36">
        <f t="shared" si="91"/>
        <v>901532.59896290046</v>
      </c>
      <c r="W89" s="36">
        <f t="shared" ref="W89:Y89" si="92">IF(W7=0,0,W7*1000000/W27)</f>
        <v>452887.25582633703</v>
      </c>
      <c r="X89" s="36">
        <f t="shared" si="92"/>
        <v>1330329.451674884</v>
      </c>
      <c r="Y89" s="36">
        <f t="shared" si="92"/>
        <v>1896197.7755570745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46012.4395637856</v>
      </c>
      <c r="C90" s="13">
        <f t="shared" si="84"/>
        <v>46026.293921281431</v>
      </c>
      <c r="D90" s="13">
        <f t="shared" ref="D90:V90" si="93">IF(D8=0,0,D8*1000000/D28)</f>
        <v>48116.074603582929</v>
      </c>
      <c r="E90" s="13">
        <f t="shared" si="93"/>
        <v>44065.79852022275</v>
      </c>
      <c r="F90" s="13">
        <f t="shared" si="93"/>
        <v>44048.527262622098</v>
      </c>
      <c r="G90" s="13">
        <f t="shared" si="93"/>
        <v>47705.303611852607</v>
      </c>
      <c r="H90" s="13">
        <f t="shared" si="93"/>
        <v>40743.537001623474</v>
      </c>
      <c r="I90" s="13">
        <f t="shared" si="93"/>
        <v>43907.129334913814</v>
      </c>
      <c r="J90" s="13">
        <f t="shared" si="93"/>
        <v>39979.479961972487</v>
      </c>
      <c r="K90" s="13">
        <f t="shared" si="93"/>
        <v>31518.333320987938</v>
      </c>
      <c r="L90" s="13">
        <f t="shared" si="93"/>
        <v>28691.057788325983</v>
      </c>
      <c r="M90" s="13">
        <f t="shared" si="93"/>
        <v>42181.180674107578</v>
      </c>
      <c r="N90" s="13">
        <f t="shared" si="93"/>
        <v>54439.646649484195</v>
      </c>
      <c r="O90" s="13">
        <f t="shared" si="93"/>
        <v>50125.202696068191</v>
      </c>
      <c r="P90" s="13">
        <f t="shared" si="93"/>
        <v>48590.168113361418</v>
      </c>
      <c r="Q90" s="13">
        <f t="shared" si="93"/>
        <v>43868.10000649462</v>
      </c>
      <c r="R90" s="13">
        <f t="shared" si="93"/>
        <v>54069.885556125744</v>
      </c>
      <c r="S90" s="13">
        <f t="shared" si="93"/>
        <v>54581.11665232051</v>
      </c>
      <c r="T90" s="13">
        <f t="shared" si="93"/>
        <v>55915.817614329389</v>
      </c>
      <c r="U90" s="13">
        <f t="shared" si="93"/>
        <v>52203.521872626763</v>
      </c>
      <c r="V90" s="13">
        <f t="shared" si="93"/>
        <v>35879.348798110244</v>
      </c>
      <c r="W90" s="13">
        <f t="shared" ref="W90:Y90" si="94">IF(W8=0,0,W8*1000000/W28)</f>
        <v>33272.150352636541</v>
      </c>
      <c r="X90" s="13">
        <f t="shared" si="94"/>
        <v>63942.092101546652</v>
      </c>
      <c r="Y90" s="13">
        <f t="shared" si="94"/>
        <v>122430.427823588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3060.0959701427323</v>
      </c>
      <c r="C91" s="34">
        <f t="shared" si="84"/>
        <v>3036.7588934210307</v>
      </c>
      <c r="D91" s="34">
        <f t="shared" ref="D91:V91" si="95">IF(D9=0,0,D9*1000000/D29)</f>
        <v>3122.7842582708827</v>
      </c>
      <c r="E91" s="34">
        <f t="shared" si="95"/>
        <v>3321.6838043331718</v>
      </c>
      <c r="F91" s="34">
        <f t="shared" si="95"/>
        <v>3127.8743163313634</v>
      </c>
      <c r="G91" s="34">
        <f t="shared" si="95"/>
        <v>3180.0600232246884</v>
      </c>
      <c r="H91" s="34">
        <f t="shared" si="95"/>
        <v>2525.2113041128478</v>
      </c>
      <c r="I91" s="34">
        <f t="shared" si="95"/>
        <v>2526.5716405914472</v>
      </c>
      <c r="J91" s="34">
        <f t="shared" si="95"/>
        <v>2070.3017618791528</v>
      </c>
      <c r="K91" s="34">
        <f t="shared" si="95"/>
        <v>1952.0994313437013</v>
      </c>
      <c r="L91" s="34">
        <f t="shared" si="95"/>
        <v>1905.6882819911841</v>
      </c>
      <c r="M91" s="34">
        <f t="shared" si="95"/>
        <v>2812.7617517048993</v>
      </c>
      <c r="N91" s="34">
        <f t="shared" si="95"/>
        <v>3743.018662058636</v>
      </c>
      <c r="O91" s="34">
        <f t="shared" si="95"/>
        <v>3745.4857953240221</v>
      </c>
      <c r="P91" s="34">
        <f t="shared" si="95"/>
        <v>4239.2490369527995</v>
      </c>
      <c r="Q91" s="34">
        <f t="shared" si="95"/>
        <v>4253.2194913234252</v>
      </c>
      <c r="R91" s="34">
        <f t="shared" si="95"/>
        <v>4942.2620677325285</v>
      </c>
      <c r="S91" s="34">
        <f t="shared" si="95"/>
        <v>4616.6780133756765</v>
      </c>
      <c r="T91" s="34">
        <f t="shared" si="95"/>
        <v>4883.1404978293476</v>
      </c>
      <c r="U91" s="34">
        <f t="shared" si="95"/>
        <v>4953.9791218148912</v>
      </c>
      <c r="V91" s="34">
        <f t="shared" si="95"/>
        <v>4019.8909343591999</v>
      </c>
      <c r="W91" s="34">
        <f t="shared" ref="W91:Y91" si="96">IF(W9=0,0,W9*1000000/W29)</f>
        <v>5024.6964644855243</v>
      </c>
      <c r="X91" s="34">
        <f t="shared" si="96"/>
        <v>4811.6073875839029</v>
      </c>
      <c r="Y91" s="34">
        <f t="shared" si="96"/>
        <v>3815.8193157340374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27762.041669657185</v>
      </c>
      <c r="C92" s="34">
        <f t="shared" si="84"/>
        <v>29210.787651218841</v>
      </c>
      <c r="D92" s="34">
        <f t="shared" ref="D92:V92" si="97">IF(D10=0,0,D10*1000000/D30)</f>
        <v>27433.756035167928</v>
      </c>
      <c r="E92" s="34">
        <f t="shared" si="97"/>
        <v>28026.214979990174</v>
      </c>
      <c r="F92" s="34">
        <f t="shared" si="97"/>
        <v>25445.451522128569</v>
      </c>
      <c r="G92" s="34">
        <f t="shared" si="97"/>
        <v>25324.596202785371</v>
      </c>
      <c r="H92" s="34">
        <f t="shared" si="97"/>
        <v>21509.56923698396</v>
      </c>
      <c r="I92" s="34">
        <f t="shared" si="97"/>
        <v>21132.958384265999</v>
      </c>
      <c r="J92" s="34">
        <f t="shared" si="97"/>
        <v>19577.995108625852</v>
      </c>
      <c r="K92" s="34">
        <f t="shared" si="97"/>
        <v>19815.596763832262</v>
      </c>
      <c r="L92" s="34">
        <f t="shared" si="97"/>
        <v>18802.04266940356</v>
      </c>
      <c r="M92" s="34">
        <f t="shared" si="97"/>
        <v>19528.917516662623</v>
      </c>
      <c r="N92" s="34">
        <f t="shared" si="97"/>
        <v>20932.627529425303</v>
      </c>
      <c r="O92" s="34">
        <f t="shared" si="97"/>
        <v>22577.583021670816</v>
      </c>
      <c r="P92" s="34">
        <f t="shared" si="97"/>
        <v>28652.543370948024</v>
      </c>
      <c r="Q92" s="34">
        <f t="shared" si="97"/>
        <v>27695.393242435523</v>
      </c>
      <c r="R92" s="34">
        <f t="shared" si="97"/>
        <v>31057.380975863947</v>
      </c>
      <c r="S92" s="34">
        <f t="shared" si="97"/>
        <v>30227.530984761866</v>
      </c>
      <c r="T92" s="34">
        <f t="shared" si="97"/>
        <v>31349.258510611482</v>
      </c>
      <c r="U92" s="34">
        <f t="shared" si="97"/>
        <v>31983.31045409157</v>
      </c>
      <c r="V92" s="34">
        <f t="shared" si="97"/>
        <v>24672.329135853153</v>
      </c>
      <c r="W92" s="34">
        <f t="shared" ref="W92:Y92" si="98">IF(W10=0,0,W10*1000000/W30)</f>
        <v>23005.078434876283</v>
      </c>
      <c r="X92" s="34">
        <f t="shared" si="98"/>
        <v>24719.580928552412</v>
      </c>
      <c r="Y92" s="34">
        <f t="shared" si="98"/>
        <v>23540.173832873577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235767.14406018186</v>
      </c>
      <c r="C93" s="35">
        <f t="shared" si="84"/>
        <v>247065.24059651923</v>
      </c>
      <c r="D93" s="35">
        <f t="shared" ref="D93:V93" si="99">IF(D11=0,0,D11*1000000/D31)</f>
        <v>233273.75500451328</v>
      </c>
      <c r="E93" s="35">
        <f t="shared" si="99"/>
        <v>211958.84604159053</v>
      </c>
      <c r="F93" s="35">
        <f t="shared" si="99"/>
        <v>205722.52532189392</v>
      </c>
      <c r="G93" s="35">
        <f t="shared" si="99"/>
        <v>208907.48231660813</v>
      </c>
      <c r="H93" s="35">
        <f t="shared" si="99"/>
        <v>182210.4647310001</v>
      </c>
      <c r="I93" s="35">
        <f t="shared" si="99"/>
        <v>160205.76605581422</v>
      </c>
      <c r="J93" s="35">
        <f t="shared" si="99"/>
        <v>110538.70204726246</v>
      </c>
      <c r="K93" s="35">
        <f t="shared" si="99"/>
        <v>85222.195535883904</v>
      </c>
      <c r="L93" s="35">
        <f t="shared" si="99"/>
        <v>60314.405802931244</v>
      </c>
      <c r="M93" s="35">
        <f t="shared" si="99"/>
        <v>92113.86952309827</v>
      </c>
      <c r="N93" s="35">
        <f t="shared" si="99"/>
        <v>123810.08394286716</v>
      </c>
      <c r="O93" s="35">
        <f t="shared" si="99"/>
        <v>118695.06543414037</v>
      </c>
      <c r="P93" s="35">
        <f t="shared" si="99"/>
        <v>105193.75287941389</v>
      </c>
      <c r="Q93" s="35">
        <f t="shared" si="99"/>
        <v>96888.222887600146</v>
      </c>
      <c r="R93" s="35">
        <f t="shared" si="99"/>
        <v>119520.1458407371</v>
      </c>
      <c r="S93" s="35">
        <f t="shared" si="99"/>
        <v>114796.76293178847</v>
      </c>
      <c r="T93" s="35">
        <f t="shared" si="99"/>
        <v>99195.920916402596</v>
      </c>
      <c r="U93" s="35">
        <f t="shared" si="99"/>
        <v>91304.958653055655</v>
      </c>
      <c r="V93" s="35">
        <f t="shared" si="99"/>
        <v>55182.119802530739</v>
      </c>
      <c r="W93" s="35">
        <f t="shared" ref="W93:Y93" si="100">IF(W11=0,0,W11*1000000/W31)</f>
        <v>45012.413771997293</v>
      </c>
      <c r="X93" s="35">
        <f t="shared" si="100"/>
        <v>127474.64173425868</v>
      </c>
      <c r="Y93" s="35">
        <f t="shared" si="100"/>
        <v>326436.55450597062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1542.1685488898336</v>
      </c>
      <c r="C95" s="62">
        <f t="shared" si="101"/>
        <v>1529.2116461128908</v>
      </c>
      <c r="D95" s="62">
        <f t="shared" ref="D95:V95" si="102">IF(D23=0,0,D23/D43)</f>
        <v>1514.589249901645</v>
      </c>
      <c r="E95" s="62">
        <f t="shared" si="102"/>
        <v>1506.1647824581062</v>
      </c>
      <c r="F95" s="62">
        <f t="shared" si="102"/>
        <v>1478.9022341858672</v>
      </c>
      <c r="G95" s="62">
        <f t="shared" si="102"/>
        <v>1453.2287219190964</v>
      </c>
      <c r="H95" s="62">
        <f t="shared" si="102"/>
        <v>1431.2038128482111</v>
      </c>
      <c r="I95" s="62">
        <f t="shared" si="102"/>
        <v>1341.4076706771523</v>
      </c>
      <c r="J95" s="62">
        <f t="shared" si="102"/>
        <v>1314.2977576294438</v>
      </c>
      <c r="K95" s="62">
        <f t="shared" si="102"/>
        <v>1305.6589203387457</v>
      </c>
      <c r="L95" s="62">
        <f t="shared" si="102"/>
        <v>1292.2730104870268</v>
      </c>
      <c r="M95" s="62">
        <f t="shared" si="102"/>
        <v>1264.3669875188684</v>
      </c>
      <c r="N95" s="62">
        <f t="shared" si="102"/>
        <v>1200.8246482724378</v>
      </c>
      <c r="O95" s="62">
        <f t="shared" si="102"/>
        <v>1173.6852842997889</v>
      </c>
      <c r="P95" s="62">
        <f t="shared" si="102"/>
        <v>1162.1803213465419</v>
      </c>
      <c r="Q95" s="62">
        <f t="shared" si="102"/>
        <v>1153.3143509857321</v>
      </c>
      <c r="R95" s="62">
        <f t="shared" si="102"/>
        <v>1134.3822404112093</v>
      </c>
      <c r="S95" s="62">
        <f t="shared" si="102"/>
        <v>1125.9198513863917</v>
      </c>
      <c r="T95" s="62">
        <f t="shared" si="102"/>
        <v>1096.1399534492357</v>
      </c>
      <c r="U95" s="62">
        <f t="shared" si="102"/>
        <v>1075.3279458518032</v>
      </c>
      <c r="V95" s="62">
        <f t="shared" si="102"/>
        <v>398.54460326791587</v>
      </c>
      <c r="W95" s="62">
        <f t="shared" ref="W95:Y95" si="103">IF(W23=0,0,W23/W43)</f>
        <v>396.64217354008758</v>
      </c>
      <c r="X95" s="62">
        <f t="shared" si="103"/>
        <v>778.03073511578634</v>
      </c>
      <c r="Y95" s="62">
        <f t="shared" si="103"/>
        <v>874.45431483611708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1559.2293739765471</v>
      </c>
      <c r="C96" s="11">
        <f t="shared" si="104"/>
        <v>1547.6460102037724</v>
      </c>
      <c r="D96" s="11">
        <f t="shared" ref="D96:V96" si="105">IF(D24=0,0,D24/D44)</f>
        <v>1531.0094145388719</v>
      </c>
      <c r="E96" s="11">
        <f t="shared" si="105"/>
        <v>1524.1581645970048</v>
      </c>
      <c r="F96" s="11">
        <f t="shared" si="105"/>
        <v>1498.027255526169</v>
      </c>
      <c r="G96" s="11">
        <f t="shared" si="105"/>
        <v>1473.084081968512</v>
      </c>
      <c r="H96" s="11">
        <f t="shared" si="105"/>
        <v>1450.1988297455453</v>
      </c>
      <c r="I96" s="11">
        <f t="shared" si="105"/>
        <v>1358.2046656411571</v>
      </c>
      <c r="J96" s="11">
        <f t="shared" si="105"/>
        <v>1330.660188299533</v>
      </c>
      <c r="K96" s="11">
        <f t="shared" si="105"/>
        <v>1324.3810100778276</v>
      </c>
      <c r="L96" s="11">
        <f t="shared" si="105"/>
        <v>1305.0649382612335</v>
      </c>
      <c r="M96" s="11">
        <f t="shared" si="105"/>
        <v>1276.600406254975</v>
      </c>
      <c r="N96" s="11">
        <f t="shared" si="105"/>
        <v>1212.1041813540512</v>
      </c>
      <c r="O96" s="11">
        <f t="shared" si="105"/>
        <v>1181.7109472952391</v>
      </c>
      <c r="P96" s="11">
        <f t="shared" si="105"/>
        <v>1169.805271210422</v>
      </c>
      <c r="Q96" s="11">
        <f t="shared" si="105"/>
        <v>1160.5197982190587</v>
      </c>
      <c r="R96" s="11">
        <f t="shared" si="105"/>
        <v>1143.1504952783046</v>
      </c>
      <c r="S96" s="11">
        <f t="shared" si="105"/>
        <v>1133.9750586591008</v>
      </c>
      <c r="T96" s="11">
        <f t="shared" si="105"/>
        <v>1102.3906223239505</v>
      </c>
      <c r="U96" s="11">
        <f t="shared" si="105"/>
        <v>1078.0152524852076</v>
      </c>
      <c r="V96" s="11">
        <f t="shared" si="105"/>
        <v>386.35022500736937</v>
      </c>
      <c r="W96" s="11">
        <f t="shared" ref="W96:Y96" si="106">IF(W24=0,0,W24/W44)</f>
        <v>383.43715760877558</v>
      </c>
      <c r="X96" s="11">
        <f t="shared" si="106"/>
        <v>777.65403552640657</v>
      </c>
      <c r="Y96" s="11">
        <f t="shared" si="106"/>
        <v>881.75158059620458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2233</v>
      </c>
      <c r="C97" s="36">
        <f t="shared" si="104"/>
        <v>2233</v>
      </c>
      <c r="D97" s="36">
        <f t="shared" ref="D97:V97" si="107">IF(D25=0,0,D25/D45)</f>
        <v>2233</v>
      </c>
      <c r="E97" s="36">
        <f t="shared" si="107"/>
        <v>2233</v>
      </c>
      <c r="F97" s="36">
        <f t="shared" si="107"/>
        <v>2233</v>
      </c>
      <c r="G97" s="36">
        <f t="shared" si="107"/>
        <v>2216</v>
      </c>
      <c r="H97" s="36">
        <f t="shared" si="107"/>
        <v>2254</v>
      </c>
      <c r="I97" s="36">
        <f t="shared" si="107"/>
        <v>2211</v>
      </c>
      <c r="J97" s="36">
        <f t="shared" si="107"/>
        <v>2226</v>
      </c>
      <c r="K97" s="36">
        <f t="shared" si="107"/>
        <v>2205</v>
      </c>
      <c r="L97" s="36">
        <f t="shared" si="107"/>
        <v>2191</v>
      </c>
      <c r="M97" s="36">
        <f t="shared" si="107"/>
        <v>2189</v>
      </c>
      <c r="N97" s="36">
        <f t="shared" si="107"/>
        <v>2060.1243448257983</v>
      </c>
      <c r="O97" s="36">
        <f t="shared" si="107"/>
        <v>2122.5319619868719</v>
      </c>
      <c r="P97" s="36">
        <f t="shared" si="107"/>
        <v>2183</v>
      </c>
      <c r="Q97" s="36">
        <f t="shared" si="107"/>
        <v>2189</v>
      </c>
      <c r="R97" s="36">
        <f t="shared" si="107"/>
        <v>2187</v>
      </c>
      <c r="S97" s="36">
        <f t="shared" si="107"/>
        <v>2179</v>
      </c>
      <c r="T97" s="36">
        <f t="shared" si="107"/>
        <v>2151</v>
      </c>
      <c r="U97" s="36">
        <f t="shared" si="107"/>
        <v>2143</v>
      </c>
      <c r="V97" s="36">
        <f t="shared" si="107"/>
        <v>951.71934534968284</v>
      </c>
      <c r="W97" s="36">
        <f t="shared" ref="W97:Y97" si="108">IF(W25=0,0,W25/W45)</f>
        <v>1029.6389019587943</v>
      </c>
      <c r="X97" s="36">
        <f t="shared" si="108"/>
        <v>1687.5875527454004</v>
      </c>
      <c r="Y97" s="36">
        <f t="shared" si="108"/>
        <v>1912.3454135028999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1258.339485046863</v>
      </c>
      <c r="C98" s="36">
        <f t="shared" si="104"/>
        <v>1260.1562806637096</v>
      </c>
      <c r="D98" s="36">
        <f t="shared" ref="D98:V98" si="109">IF(D26=0,0,D26/D46)</f>
        <v>1253.764764435525</v>
      </c>
      <c r="E98" s="36">
        <f t="shared" si="109"/>
        <v>1263.3941696174211</v>
      </c>
      <c r="F98" s="36">
        <f t="shared" si="109"/>
        <v>1261.1236011005572</v>
      </c>
      <c r="G98" s="36">
        <f t="shared" si="109"/>
        <v>1249.8416102554258</v>
      </c>
      <c r="H98" s="36">
        <f t="shared" si="109"/>
        <v>1235.3789816678143</v>
      </c>
      <c r="I98" s="36">
        <f t="shared" si="109"/>
        <v>1211.4454600568324</v>
      </c>
      <c r="J98" s="36">
        <f t="shared" si="109"/>
        <v>1218.1583070953225</v>
      </c>
      <c r="K98" s="36">
        <f t="shared" si="109"/>
        <v>1197.8577398966809</v>
      </c>
      <c r="L98" s="36">
        <f t="shared" si="109"/>
        <v>1225.0942424210161</v>
      </c>
      <c r="M98" s="36">
        <f t="shared" si="109"/>
        <v>1224.7391328720951</v>
      </c>
      <c r="N98" s="36">
        <f t="shared" si="109"/>
        <v>1224.5757259494508</v>
      </c>
      <c r="O98" s="36">
        <f t="shared" si="109"/>
        <v>1207.9835868814093</v>
      </c>
      <c r="P98" s="36">
        <f t="shared" si="109"/>
        <v>1200.2917270251803</v>
      </c>
      <c r="Q98" s="36">
        <f t="shared" si="109"/>
        <v>1199.7985418767094</v>
      </c>
      <c r="R98" s="36">
        <f t="shared" si="109"/>
        <v>1182.863415902219</v>
      </c>
      <c r="S98" s="36">
        <f t="shared" si="109"/>
        <v>1181.8882795896068</v>
      </c>
      <c r="T98" s="36">
        <f t="shared" si="109"/>
        <v>1167.8903060537061</v>
      </c>
      <c r="U98" s="36">
        <f t="shared" si="109"/>
        <v>1176.3211799616934</v>
      </c>
      <c r="V98" s="36">
        <f t="shared" si="109"/>
        <v>391.14583630526357</v>
      </c>
      <c r="W98" s="36">
        <f t="shared" ref="W98:Y98" si="110">IF(W26=0,0,W26/W46)</f>
        <v>377.25937523244164</v>
      </c>
      <c r="X98" s="36">
        <f t="shared" si="110"/>
        <v>961.72902129098782</v>
      </c>
      <c r="Y98" s="36">
        <f t="shared" si="110"/>
        <v>1121.2860586269194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451</v>
      </c>
      <c r="C99" s="36">
        <f t="shared" si="104"/>
        <v>451.00000000000006</v>
      </c>
      <c r="D99" s="36">
        <f t="shared" ref="D99:V99" si="111">IF(D27=0,0,D27/D47)</f>
        <v>451</v>
      </c>
      <c r="E99" s="36">
        <f t="shared" si="111"/>
        <v>451</v>
      </c>
      <c r="F99" s="36">
        <f t="shared" si="111"/>
        <v>451</v>
      </c>
      <c r="G99" s="36">
        <f t="shared" si="111"/>
        <v>433</v>
      </c>
      <c r="H99" s="36">
        <f t="shared" si="111"/>
        <v>415</v>
      </c>
      <c r="I99" s="36">
        <f t="shared" si="111"/>
        <v>398.00000000000006</v>
      </c>
      <c r="J99" s="36">
        <f t="shared" si="111"/>
        <v>411</v>
      </c>
      <c r="K99" s="36">
        <f t="shared" si="111"/>
        <v>409.5345771386323</v>
      </c>
      <c r="L99" s="36">
        <f t="shared" si="111"/>
        <v>400</v>
      </c>
      <c r="M99" s="36">
        <f t="shared" si="111"/>
        <v>380</v>
      </c>
      <c r="N99" s="36">
        <f t="shared" si="111"/>
        <v>370</v>
      </c>
      <c r="O99" s="36">
        <f t="shared" si="111"/>
        <v>368</v>
      </c>
      <c r="P99" s="36">
        <f t="shared" si="111"/>
        <v>386</v>
      </c>
      <c r="Q99" s="36">
        <f t="shared" si="111"/>
        <v>390</v>
      </c>
      <c r="R99" s="36">
        <f t="shared" si="111"/>
        <v>380</v>
      </c>
      <c r="S99" s="36">
        <f t="shared" si="111"/>
        <v>381</v>
      </c>
      <c r="T99" s="36">
        <f t="shared" si="111"/>
        <v>388</v>
      </c>
      <c r="U99" s="36">
        <f t="shared" si="111"/>
        <v>385.99999999999994</v>
      </c>
      <c r="V99" s="36">
        <f t="shared" si="111"/>
        <v>108.37700385723835</v>
      </c>
      <c r="W99" s="36">
        <f t="shared" ref="W99:Y99" si="112">IF(W27=0,0,W27/W47)</f>
        <v>105.26511539138887</v>
      </c>
      <c r="X99" s="36">
        <f t="shared" si="112"/>
        <v>157.08675272942878</v>
      </c>
      <c r="Y99" s="36">
        <f t="shared" si="112"/>
        <v>184.18999484145897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1036.9758661051724</v>
      </c>
      <c r="C100" s="13">
        <f t="shared" si="104"/>
        <v>933.40663983386958</v>
      </c>
      <c r="D100" s="13">
        <f t="shared" ref="D100:V100" si="113">IF(D28=0,0,D28/D48)</f>
        <v>957.54772814121384</v>
      </c>
      <c r="E100" s="13">
        <f t="shared" si="113"/>
        <v>984.2185938161175</v>
      </c>
      <c r="F100" s="13">
        <f t="shared" si="113"/>
        <v>1000.0941576157019</v>
      </c>
      <c r="G100" s="13">
        <f t="shared" si="113"/>
        <v>970.92868381739868</v>
      </c>
      <c r="H100" s="13">
        <f t="shared" si="113"/>
        <v>991.43606255813631</v>
      </c>
      <c r="I100" s="13">
        <f t="shared" si="113"/>
        <v>963.29858126172292</v>
      </c>
      <c r="J100" s="13">
        <f t="shared" si="113"/>
        <v>909.74833217873675</v>
      </c>
      <c r="K100" s="13">
        <f t="shared" si="113"/>
        <v>843.65223178190115</v>
      </c>
      <c r="L100" s="13">
        <f t="shared" si="113"/>
        <v>955.96105499204361</v>
      </c>
      <c r="M100" s="13">
        <f t="shared" si="113"/>
        <v>902.04404564285574</v>
      </c>
      <c r="N100" s="13">
        <f t="shared" si="113"/>
        <v>891.51451891719068</v>
      </c>
      <c r="O100" s="13">
        <f t="shared" si="113"/>
        <v>950.16469656167158</v>
      </c>
      <c r="P100" s="13">
        <f t="shared" si="113"/>
        <v>937.34441419807354</v>
      </c>
      <c r="Q100" s="13">
        <f t="shared" si="113"/>
        <v>946.05757518196208</v>
      </c>
      <c r="R100" s="13">
        <f t="shared" si="113"/>
        <v>877.12998341384389</v>
      </c>
      <c r="S100" s="13">
        <f t="shared" si="113"/>
        <v>872.57727085456372</v>
      </c>
      <c r="T100" s="13">
        <f t="shared" si="113"/>
        <v>862.76593303670984</v>
      </c>
      <c r="U100" s="13">
        <f t="shared" si="113"/>
        <v>980.54076133692149</v>
      </c>
      <c r="V100" s="13">
        <f t="shared" si="113"/>
        <v>823.02785883193849</v>
      </c>
      <c r="W100" s="13">
        <f t="shared" ref="W100:Y100" si="114">IF(W28=0,0,W28/W48)</f>
        <v>830.5579216265744</v>
      </c>
      <c r="X100" s="13">
        <f t="shared" si="114"/>
        <v>789.65978910119304</v>
      </c>
      <c r="Y100" s="13">
        <f t="shared" si="114"/>
        <v>704.31362594371967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1483</v>
      </c>
      <c r="C101" s="34">
        <f t="shared" si="104"/>
        <v>1247.0134539549988</v>
      </c>
      <c r="D101" s="34">
        <f t="shared" ref="D101:V101" si="115">IF(D29=0,0,D29/D49)</f>
        <v>1327.4243215031315</v>
      </c>
      <c r="E101" s="34">
        <f t="shared" si="115"/>
        <v>1271.585147628989</v>
      </c>
      <c r="F101" s="34">
        <f t="shared" si="115"/>
        <v>1483</v>
      </c>
      <c r="G101" s="34">
        <f t="shared" si="115"/>
        <v>1475</v>
      </c>
      <c r="H101" s="34">
        <f t="shared" si="115"/>
        <v>1512</v>
      </c>
      <c r="I101" s="34">
        <f t="shared" si="115"/>
        <v>1470.4818327300131</v>
      </c>
      <c r="J101" s="34">
        <f t="shared" si="115"/>
        <v>1532.8543453023522</v>
      </c>
      <c r="K101" s="34">
        <f t="shared" si="115"/>
        <v>1548.9999999999998</v>
      </c>
      <c r="L101" s="34">
        <f t="shared" si="115"/>
        <v>1520.3475773024325</v>
      </c>
      <c r="M101" s="34">
        <f t="shared" si="115"/>
        <v>1510</v>
      </c>
      <c r="N101" s="34">
        <f t="shared" si="115"/>
        <v>1457</v>
      </c>
      <c r="O101" s="34">
        <f t="shared" si="115"/>
        <v>1470</v>
      </c>
      <c r="P101" s="34">
        <f t="shared" si="115"/>
        <v>1464.9999999999998</v>
      </c>
      <c r="Q101" s="34">
        <f t="shared" si="115"/>
        <v>1470</v>
      </c>
      <c r="R101" s="34">
        <f t="shared" si="115"/>
        <v>1471</v>
      </c>
      <c r="S101" s="34">
        <f t="shared" si="115"/>
        <v>1470</v>
      </c>
      <c r="T101" s="34">
        <f t="shared" si="115"/>
        <v>1459</v>
      </c>
      <c r="U101" s="34">
        <f t="shared" si="115"/>
        <v>1477</v>
      </c>
      <c r="V101" s="34">
        <f t="shared" si="115"/>
        <v>1503.9999999999998</v>
      </c>
      <c r="W101" s="34">
        <f t="shared" ref="W101:Y101" si="116">IF(W29=0,0,W29/W49)</f>
        <v>1463</v>
      </c>
      <c r="X101" s="34">
        <f t="shared" si="116"/>
        <v>1473</v>
      </c>
      <c r="Y101" s="34">
        <f t="shared" si="116"/>
        <v>1514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1030.3620373609933</v>
      </c>
      <c r="C102" s="34">
        <f t="shared" si="104"/>
        <v>987.14844021282852</v>
      </c>
      <c r="D102" s="34">
        <f t="shared" ref="D102:V102" si="117">IF(D30=0,0,D30/D50)</f>
        <v>956.62647365542307</v>
      </c>
      <c r="E102" s="34">
        <f t="shared" si="117"/>
        <v>1035.5387538329103</v>
      </c>
      <c r="F102" s="34">
        <f t="shared" si="117"/>
        <v>1052.3004944032821</v>
      </c>
      <c r="G102" s="34">
        <f t="shared" si="117"/>
        <v>1049.9492303380891</v>
      </c>
      <c r="H102" s="34">
        <f t="shared" si="117"/>
        <v>1053.3511054347694</v>
      </c>
      <c r="I102" s="34">
        <f t="shared" si="117"/>
        <v>1044.3826269710644</v>
      </c>
      <c r="J102" s="34">
        <f t="shared" si="117"/>
        <v>910.02095042746953</v>
      </c>
      <c r="K102" s="34">
        <f t="shared" si="117"/>
        <v>858.73625055999889</v>
      </c>
      <c r="L102" s="34">
        <f t="shared" si="117"/>
        <v>922.8808383785788</v>
      </c>
      <c r="M102" s="34">
        <f t="shared" si="117"/>
        <v>854.8964160184297</v>
      </c>
      <c r="N102" s="34">
        <f t="shared" si="117"/>
        <v>890.93804667934751</v>
      </c>
      <c r="O102" s="34">
        <f t="shared" si="117"/>
        <v>1027.3213838992419</v>
      </c>
      <c r="P102" s="34">
        <f t="shared" si="117"/>
        <v>1062.7557520862088</v>
      </c>
      <c r="Q102" s="34">
        <f t="shared" si="117"/>
        <v>1072.2168614213751</v>
      </c>
      <c r="R102" s="34">
        <f t="shared" si="117"/>
        <v>930.19987588431161</v>
      </c>
      <c r="S102" s="34">
        <f t="shared" si="117"/>
        <v>873.3880686948645</v>
      </c>
      <c r="T102" s="34">
        <f t="shared" si="117"/>
        <v>784.21737525009996</v>
      </c>
      <c r="U102" s="34">
        <f t="shared" si="117"/>
        <v>939.03855572121313</v>
      </c>
      <c r="V102" s="34">
        <f t="shared" si="117"/>
        <v>723.15348088479163</v>
      </c>
      <c r="W102" s="34">
        <f t="shared" ref="W102:Y102" si="118">IF(W30=0,0,W30/W50)</f>
        <v>649.62994402287177</v>
      </c>
      <c r="X102" s="34">
        <f t="shared" si="118"/>
        <v>789.59756351794226</v>
      </c>
      <c r="Y102" s="34">
        <f t="shared" si="118"/>
        <v>966.02087185201549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576</v>
      </c>
      <c r="C103" s="35">
        <f t="shared" si="104"/>
        <v>474.95702005730664</v>
      </c>
      <c r="D103" s="35">
        <f t="shared" ref="D103:V103" si="119">IF(D31=0,0,D31/D51)</f>
        <v>576</v>
      </c>
      <c r="E103" s="35">
        <f t="shared" si="119"/>
        <v>576</v>
      </c>
      <c r="F103" s="35">
        <f t="shared" si="119"/>
        <v>576</v>
      </c>
      <c r="G103" s="35">
        <f t="shared" si="119"/>
        <v>548</v>
      </c>
      <c r="H103" s="35">
        <f t="shared" si="119"/>
        <v>586</v>
      </c>
      <c r="I103" s="35">
        <f t="shared" si="119"/>
        <v>628</v>
      </c>
      <c r="J103" s="35">
        <f t="shared" si="119"/>
        <v>767</v>
      </c>
      <c r="K103" s="35">
        <f t="shared" si="119"/>
        <v>630.1322189100141</v>
      </c>
      <c r="L103" s="35">
        <f t="shared" si="119"/>
        <v>913.55292415786528</v>
      </c>
      <c r="M103" s="35">
        <f t="shared" si="119"/>
        <v>896</v>
      </c>
      <c r="N103" s="35">
        <f t="shared" si="119"/>
        <v>810</v>
      </c>
      <c r="O103" s="35">
        <f t="shared" si="119"/>
        <v>763.52448914383092</v>
      </c>
      <c r="P103" s="35">
        <f t="shared" si="119"/>
        <v>690.84656930107701</v>
      </c>
      <c r="Q103" s="35">
        <f t="shared" si="119"/>
        <v>675.02498275601022</v>
      </c>
      <c r="R103" s="35">
        <f t="shared" si="119"/>
        <v>712.68490230905866</v>
      </c>
      <c r="S103" s="35">
        <f t="shared" si="119"/>
        <v>812.33130796290391</v>
      </c>
      <c r="T103" s="35">
        <f t="shared" si="119"/>
        <v>974</v>
      </c>
      <c r="U103" s="35">
        <f t="shared" si="119"/>
        <v>1025</v>
      </c>
      <c r="V103" s="35">
        <f t="shared" si="119"/>
        <v>963.69761588922233</v>
      </c>
      <c r="W103" s="35">
        <f t="shared" ref="W103:Y103" si="120">IF(W31=0,0,W31/W51)</f>
        <v>1090</v>
      </c>
      <c r="X103" s="35">
        <f t="shared" si="120"/>
        <v>755</v>
      </c>
      <c r="Y103" s="35">
        <f t="shared" si="120"/>
        <v>445.00000000000006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0.15530855641952651</v>
      </c>
      <c r="C107" s="43">
        <f t="shared" si="124"/>
        <v>0.15161105562649915</v>
      </c>
      <c r="D107" s="43">
        <f t="shared" ref="D107:V107" si="125">IF(D5=0,0,D5/D$4)</f>
        <v>0.15286868297965817</v>
      </c>
      <c r="E107" s="43">
        <f t="shared" si="125"/>
        <v>0.13446515462765246</v>
      </c>
      <c r="F107" s="43">
        <f t="shared" si="125"/>
        <v>0.1251364875651329</v>
      </c>
      <c r="G107" s="43">
        <f t="shared" si="125"/>
        <v>0.11506849378049867</v>
      </c>
      <c r="H107" s="43">
        <f t="shared" si="125"/>
        <v>0.10136033763422639</v>
      </c>
      <c r="I107" s="43">
        <f t="shared" si="125"/>
        <v>9.1784709395342376E-2</v>
      </c>
      <c r="J107" s="43">
        <f t="shared" si="125"/>
        <v>8.1747452099796628E-2</v>
      </c>
      <c r="K107" s="43">
        <f t="shared" si="125"/>
        <v>7.8397296218414597E-2</v>
      </c>
      <c r="L107" s="43">
        <f t="shared" si="125"/>
        <v>7.2185865449021572E-2</v>
      </c>
      <c r="M107" s="43">
        <f t="shared" si="125"/>
        <v>7.4831147736406603E-2</v>
      </c>
      <c r="N107" s="43">
        <f t="shared" si="125"/>
        <v>7.1284830290681167E-2</v>
      </c>
      <c r="O107" s="43">
        <f t="shared" si="125"/>
        <v>6.3266335745675764E-2</v>
      </c>
      <c r="P107" s="43">
        <f t="shared" si="125"/>
        <v>6.3804773279980867E-2</v>
      </c>
      <c r="Q107" s="43">
        <f t="shared" si="125"/>
        <v>6.4643587259630861E-2</v>
      </c>
      <c r="R107" s="43">
        <f t="shared" si="125"/>
        <v>6.4946467199031077E-2</v>
      </c>
      <c r="S107" s="43">
        <f t="shared" si="125"/>
        <v>6.063537849527087E-2</v>
      </c>
      <c r="T107" s="43">
        <f t="shared" si="125"/>
        <v>6.110459325141257E-2</v>
      </c>
      <c r="U107" s="43">
        <f t="shared" si="125"/>
        <v>5.7027709992652491E-2</v>
      </c>
      <c r="V107" s="43">
        <f t="shared" si="125"/>
        <v>9.2221791705914741E-2</v>
      </c>
      <c r="W107" s="43">
        <f t="shared" ref="W107:Y107" si="126">IF(W5=0,0,W5/W$4)</f>
        <v>0.1200898469542775</v>
      </c>
      <c r="X107" s="43">
        <f t="shared" si="126"/>
        <v>6.3089743545014954E-2</v>
      </c>
      <c r="Y107" s="43">
        <f t="shared" si="126"/>
        <v>4.8181539262329591E-2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0.5908759627711162</v>
      </c>
      <c r="C108" s="43">
        <f t="shared" si="127"/>
        <v>0.60169734354243432</v>
      </c>
      <c r="D108" s="43">
        <f t="shared" ref="D108:V108" si="128">IF(D6=0,0,D6/D$4)</f>
        <v>0.5835428335313374</v>
      </c>
      <c r="E108" s="43">
        <f t="shared" si="128"/>
        <v>0.60447132594430375</v>
      </c>
      <c r="F108" s="43">
        <f t="shared" si="128"/>
        <v>0.57732943547395943</v>
      </c>
      <c r="G108" s="43">
        <f t="shared" si="128"/>
        <v>0.56412269185459996</v>
      </c>
      <c r="H108" s="43">
        <f t="shared" si="128"/>
        <v>0.55299341824608295</v>
      </c>
      <c r="I108" s="43">
        <f t="shared" si="128"/>
        <v>0.50092004889309738</v>
      </c>
      <c r="J108" s="43">
        <f t="shared" si="128"/>
        <v>0.46590789607274247</v>
      </c>
      <c r="K108" s="43">
        <f t="shared" si="128"/>
        <v>0.46618660272993589</v>
      </c>
      <c r="L108" s="43">
        <f t="shared" si="128"/>
        <v>0.44918760706917871</v>
      </c>
      <c r="M108" s="43">
        <f t="shared" si="128"/>
        <v>0.44659511962369419</v>
      </c>
      <c r="N108" s="43">
        <f t="shared" si="128"/>
        <v>0.42574293479326852</v>
      </c>
      <c r="O108" s="43">
        <f t="shared" si="128"/>
        <v>0.44415847263037905</v>
      </c>
      <c r="P108" s="43">
        <f t="shared" si="128"/>
        <v>0.47707569677997391</v>
      </c>
      <c r="Q108" s="43">
        <f t="shared" si="128"/>
        <v>0.46805932608660611</v>
      </c>
      <c r="R108" s="43">
        <f t="shared" si="128"/>
        <v>0.46416114671776088</v>
      </c>
      <c r="S108" s="43">
        <f t="shared" si="128"/>
        <v>0.45759269584787993</v>
      </c>
      <c r="T108" s="43">
        <f t="shared" si="128"/>
        <v>0.44657947425642608</v>
      </c>
      <c r="U108" s="43">
        <f t="shared" si="128"/>
        <v>0.42822913863256856</v>
      </c>
      <c r="V108" s="43">
        <f t="shared" si="128"/>
        <v>0.39448733539076863</v>
      </c>
      <c r="W108" s="43">
        <f t="shared" ref="W108:Y108" si="129">IF(W6=0,0,W6/W$4)</f>
        <v>0.51936297527033082</v>
      </c>
      <c r="X108" s="43">
        <f t="shared" si="129"/>
        <v>0.50149433662317622</v>
      </c>
      <c r="Y108" s="43">
        <f t="shared" si="129"/>
        <v>0.43115306955137506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0.25381548080935717</v>
      </c>
      <c r="C109" s="43">
        <f t="shared" si="130"/>
        <v>0.24669160083106659</v>
      </c>
      <c r="D109" s="43">
        <f t="shared" ref="D109:V109" si="131">IF(D7=0,0,D7/D$4)</f>
        <v>0.26358848348900438</v>
      </c>
      <c r="E109" s="43">
        <f t="shared" si="131"/>
        <v>0.26106351942804373</v>
      </c>
      <c r="F109" s="43">
        <f t="shared" si="131"/>
        <v>0.29753407696090767</v>
      </c>
      <c r="G109" s="43">
        <f t="shared" si="131"/>
        <v>0.32080881436490138</v>
      </c>
      <c r="H109" s="43">
        <f t="shared" si="131"/>
        <v>0.34564624411969058</v>
      </c>
      <c r="I109" s="43">
        <f t="shared" si="131"/>
        <v>0.40729524171156029</v>
      </c>
      <c r="J109" s="43">
        <f t="shared" si="131"/>
        <v>0.45234465182746098</v>
      </c>
      <c r="K109" s="43">
        <f t="shared" si="131"/>
        <v>0.45541610105164942</v>
      </c>
      <c r="L109" s="43">
        <f t="shared" si="131"/>
        <v>0.47862652748179974</v>
      </c>
      <c r="M109" s="43">
        <f t="shared" si="131"/>
        <v>0.47857373263989911</v>
      </c>
      <c r="N109" s="43">
        <f t="shared" si="131"/>
        <v>0.50297223491605025</v>
      </c>
      <c r="O109" s="43">
        <f t="shared" si="131"/>
        <v>0.49257519162394514</v>
      </c>
      <c r="P109" s="43">
        <f t="shared" si="131"/>
        <v>0.45911952994004518</v>
      </c>
      <c r="Q109" s="43">
        <f t="shared" si="131"/>
        <v>0.46729708665376307</v>
      </c>
      <c r="R109" s="43">
        <f t="shared" si="131"/>
        <v>0.47089238608320805</v>
      </c>
      <c r="S109" s="43">
        <f t="shared" si="131"/>
        <v>0.48177192565684923</v>
      </c>
      <c r="T109" s="43">
        <f t="shared" si="131"/>
        <v>0.49231593249216143</v>
      </c>
      <c r="U109" s="43">
        <f t="shared" si="131"/>
        <v>0.514743151374779</v>
      </c>
      <c r="V109" s="43">
        <f t="shared" si="131"/>
        <v>0.51329087290331665</v>
      </c>
      <c r="W109" s="43">
        <f t="shared" ref="W109:Y109" si="132">IF(W7=0,0,W7/W$4)</f>
        <v>0.36054717777539175</v>
      </c>
      <c r="X109" s="43">
        <f t="shared" si="132"/>
        <v>0.43541591983180883</v>
      </c>
      <c r="Y109" s="43">
        <f t="shared" si="132"/>
        <v>0.52066539118629518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2.376448909803211E-2</v>
      </c>
      <c r="C111" s="44">
        <f t="shared" si="136"/>
        <v>2.1479397493647981E-2</v>
      </c>
      <c r="D111" s="44">
        <f t="shared" ref="D111:V111" si="137">IF(D9=0,0,D9/D$8)</f>
        <v>2.1718110903361652E-2</v>
      </c>
      <c r="E111" s="44">
        <f t="shared" si="137"/>
        <v>1.6741425664275663E-2</v>
      </c>
      <c r="F111" s="44">
        <f t="shared" si="137"/>
        <v>1.2509374545408033E-2</v>
      </c>
      <c r="G111" s="44">
        <f t="shared" si="137"/>
        <v>1.1359826224136543E-2</v>
      </c>
      <c r="H111" s="44">
        <f t="shared" si="137"/>
        <v>9.7816171454724495E-3</v>
      </c>
      <c r="I111" s="44">
        <f t="shared" si="137"/>
        <v>6.9839420788876498E-3</v>
      </c>
      <c r="J111" s="44">
        <f t="shared" si="137"/>
        <v>5.8046648523420036E-3</v>
      </c>
      <c r="K111" s="44">
        <f t="shared" si="137"/>
        <v>8.4057988510939183E-3</v>
      </c>
      <c r="L111" s="44">
        <f t="shared" si="137"/>
        <v>6.3267643993834459E-3</v>
      </c>
      <c r="M111" s="44">
        <f t="shared" si="137"/>
        <v>5.6945045243993507E-3</v>
      </c>
      <c r="N111" s="44">
        <f t="shared" si="137"/>
        <v>6.1377073506080565E-3</v>
      </c>
      <c r="O111" s="44">
        <f t="shared" si="137"/>
        <v>5.7031272851493942E-3</v>
      </c>
      <c r="P111" s="44">
        <f t="shared" si="137"/>
        <v>5.4564792570944215E-3</v>
      </c>
      <c r="Q111" s="44">
        <f t="shared" si="137"/>
        <v>5.6864008663712684E-3</v>
      </c>
      <c r="R111" s="44">
        <f t="shared" si="137"/>
        <v>6.2216345142941361E-3</v>
      </c>
      <c r="S111" s="44">
        <f t="shared" si="137"/>
        <v>4.5737675358581871E-3</v>
      </c>
      <c r="T111" s="44">
        <f t="shared" si="137"/>
        <v>3.3229095728590872E-3</v>
      </c>
      <c r="U111" s="44">
        <f t="shared" si="137"/>
        <v>3.2399563119258732E-3</v>
      </c>
      <c r="V111" s="44">
        <f t="shared" si="137"/>
        <v>4.8296478259141403E-3</v>
      </c>
      <c r="W111" s="44">
        <f t="shared" ref="W111:Y111" si="138">IF(W9=0,0,W9/W$8)</f>
        <v>5.0036112842539336E-3</v>
      </c>
      <c r="X111" s="44">
        <f t="shared" si="138"/>
        <v>2.9053842454189564E-3</v>
      </c>
      <c r="Y111" s="44">
        <f t="shared" si="138"/>
        <v>1.1649327585462016E-3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0.30921892105153465</v>
      </c>
      <c r="C112" s="44">
        <f t="shared" si="139"/>
        <v>0.35423231119976273</v>
      </c>
      <c r="D112" s="44">
        <f t="shared" ref="D112:V112" si="140">IF(D10=0,0,D10/D$8)</f>
        <v>0.29954144799257576</v>
      </c>
      <c r="E112" s="44">
        <f t="shared" si="140"/>
        <v>0.42032068547274692</v>
      </c>
      <c r="F112" s="44">
        <f t="shared" si="140"/>
        <v>0.40369549623451068</v>
      </c>
      <c r="G112" s="44">
        <f t="shared" si="140"/>
        <v>0.36476120285277763</v>
      </c>
      <c r="H112" s="44">
        <f t="shared" si="140"/>
        <v>0.37157752864367488</v>
      </c>
      <c r="I112" s="44">
        <f t="shared" si="140"/>
        <v>0.33626134780873373</v>
      </c>
      <c r="J112" s="44">
        <f t="shared" si="140"/>
        <v>0.31440877481211166</v>
      </c>
      <c r="K112" s="44">
        <f t="shared" si="140"/>
        <v>0.40758124264331302</v>
      </c>
      <c r="L112" s="44">
        <f t="shared" si="140"/>
        <v>0.41138800816612847</v>
      </c>
      <c r="M112" s="44">
        <f t="shared" si="140"/>
        <v>0.26984946568463031</v>
      </c>
      <c r="N112" s="44">
        <f t="shared" si="140"/>
        <v>0.21921614437895812</v>
      </c>
      <c r="O112" s="44">
        <f t="shared" si="140"/>
        <v>0.2802169092528341</v>
      </c>
      <c r="P112" s="44">
        <f t="shared" si="140"/>
        <v>0.38743457250692548</v>
      </c>
      <c r="Q112" s="44">
        <f t="shared" si="140"/>
        <v>0.43419680202888028</v>
      </c>
      <c r="R112" s="44">
        <f t="shared" si="140"/>
        <v>0.37433308205878635</v>
      </c>
      <c r="S112" s="44">
        <f t="shared" si="140"/>
        <v>0.35531207974967655</v>
      </c>
      <c r="T112" s="44">
        <f t="shared" si="140"/>
        <v>0.32799082895909615</v>
      </c>
      <c r="U112" s="44">
        <f t="shared" si="140"/>
        <v>0.37338596154363429</v>
      </c>
      <c r="V112" s="44">
        <f t="shared" si="140"/>
        <v>0.38534940756363545</v>
      </c>
      <c r="W112" s="44">
        <f t="shared" ref="W112:Y112" si="141">IF(W10=0,0,W10/W$8)</f>
        <v>0.32722769668753904</v>
      </c>
      <c r="X112" s="44">
        <f t="shared" si="141"/>
        <v>0.22120895377233113</v>
      </c>
      <c r="Y112" s="44">
        <f t="shared" si="141"/>
        <v>0.12184532551184961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0.66701658985043322</v>
      </c>
      <c r="C113" s="45">
        <f t="shared" si="142"/>
        <v>0.62428829130658925</v>
      </c>
      <c r="D113" s="45">
        <f t="shared" ref="D113:V113" si="143">IF(D11=0,0,D11/D$8)</f>
        <v>0.67874044110406262</v>
      </c>
      <c r="E113" s="45">
        <f t="shared" si="143"/>
        <v>0.56293788886297746</v>
      </c>
      <c r="F113" s="45">
        <f t="shared" si="143"/>
        <v>0.58379512922008125</v>
      </c>
      <c r="G113" s="45">
        <f t="shared" si="143"/>
        <v>0.62387897092308575</v>
      </c>
      <c r="H113" s="45">
        <f t="shared" si="143"/>
        <v>0.6186408542108528</v>
      </c>
      <c r="I113" s="45">
        <f t="shared" si="143"/>
        <v>0.65675471011237863</v>
      </c>
      <c r="J113" s="45">
        <f t="shared" si="143"/>
        <v>0.6797865603355463</v>
      </c>
      <c r="K113" s="45">
        <f t="shared" si="143"/>
        <v>0.58401295850559309</v>
      </c>
      <c r="L113" s="45">
        <f t="shared" si="143"/>
        <v>0.58228522743448807</v>
      </c>
      <c r="M113" s="45">
        <f t="shared" si="143"/>
        <v>0.72445602979097035</v>
      </c>
      <c r="N113" s="45">
        <f t="shared" si="143"/>
        <v>0.77464614827043377</v>
      </c>
      <c r="O113" s="45">
        <f t="shared" si="143"/>
        <v>0.71407996346201641</v>
      </c>
      <c r="P113" s="45">
        <f t="shared" si="143"/>
        <v>0.60710894823597994</v>
      </c>
      <c r="Q113" s="45">
        <f t="shared" si="143"/>
        <v>0.56011679710474838</v>
      </c>
      <c r="R113" s="45">
        <f t="shared" si="143"/>
        <v>0.61944528342691962</v>
      </c>
      <c r="S113" s="45">
        <f t="shared" si="143"/>
        <v>0.64011415271446526</v>
      </c>
      <c r="T113" s="45">
        <f t="shared" si="143"/>
        <v>0.66868626146804477</v>
      </c>
      <c r="U113" s="45">
        <f t="shared" si="143"/>
        <v>0.62337408214443979</v>
      </c>
      <c r="V113" s="45">
        <f t="shared" si="143"/>
        <v>0.60982094461045033</v>
      </c>
      <c r="W113" s="45">
        <f t="shared" ref="W113:Y113" si="144">IF(W11=0,0,W11/W$8)</f>
        <v>0.6677686920282071</v>
      </c>
      <c r="X113" s="45">
        <f t="shared" si="144"/>
        <v>0.77588566198224995</v>
      </c>
      <c r="Y113" s="45">
        <f t="shared" si="144"/>
        <v>0.8769897417296042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0.27319075516597668</v>
      </c>
      <c r="C117" s="43">
        <f t="shared" si="148"/>
        <v>0.26286505981942676</v>
      </c>
      <c r="D117" s="43">
        <f t="shared" ref="D117:V117" si="149">IF(D15=0,0,D15/D$14)</f>
        <v>0.2622080395989318</v>
      </c>
      <c r="E117" s="43">
        <f t="shared" si="149"/>
        <v>0.2496916949434323</v>
      </c>
      <c r="F117" s="43">
        <f t="shared" si="149"/>
        <v>0.2343249496534954</v>
      </c>
      <c r="G117" s="43">
        <f t="shared" si="149"/>
        <v>0.23560591705820857</v>
      </c>
      <c r="H117" s="43">
        <f t="shared" si="149"/>
        <v>0.21563151459412844</v>
      </c>
      <c r="I117" s="43">
        <f t="shared" si="149"/>
        <v>0.19114007999084856</v>
      </c>
      <c r="J117" s="43">
        <f t="shared" si="149"/>
        <v>0.17621152083670907</v>
      </c>
      <c r="K117" s="43">
        <f t="shared" si="149"/>
        <v>0.18781639280644513</v>
      </c>
      <c r="L117" s="43">
        <f t="shared" si="149"/>
        <v>0.17629657561892398</v>
      </c>
      <c r="M117" s="43">
        <f t="shared" si="149"/>
        <v>0.16667271138797526</v>
      </c>
      <c r="N117" s="43">
        <f t="shared" si="149"/>
        <v>0.15282251957770795</v>
      </c>
      <c r="O117" s="43">
        <f t="shared" si="149"/>
        <v>0.13309611116185191</v>
      </c>
      <c r="P117" s="43">
        <f t="shared" si="149"/>
        <v>0.12853439808142941</v>
      </c>
      <c r="Q117" s="43">
        <f t="shared" si="149"/>
        <v>0.12408367056415492</v>
      </c>
      <c r="R117" s="43">
        <f t="shared" si="149"/>
        <v>0.12090552575350193</v>
      </c>
      <c r="S117" s="43">
        <f t="shared" si="149"/>
        <v>0.11740803824732475</v>
      </c>
      <c r="T117" s="43">
        <f t="shared" si="149"/>
        <v>0.11270537917081641</v>
      </c>
      <c r="U117" s="43">
        <f t="shared" si="149"/>
        <v>0.10844131436249115</v>
      </c>
      <c r="V117" s="43">
        <f t="shared" si="149"/>
        <v>0.15364063951352083</v>
      </c>
      <c r="W117" s="43">
        <f t="shared" ref="W117:Y117" si="150">IF(W15=0,0,W15/W$14)</f>
        <v>0.16074427000775177</v>
      </c>
      <c r="X117" s="43">
        <f t="shared" si="150"/>
        <v>0.10843473101834913</v>
      </c>
      <c r="Y117" s="43">
        <f t="shared" si="150"/>
        <v>9.4940885643618314E-2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0.59055164225633749</v>
      </c>
      <c r="C118" s="43">
        <f t="shared" si="151"/>
        <v>0.60167796126666273</v>
      </c>
      <c r="D118" s="43">
        <f t="shared" ref="D118:V118" si="152">IF(D16=0,0,D16/D$14)</f>
        <v>0.58399476748222612</v>
      </c>
      <c r="E118" s="43">
        <f t="shared" si="152"/>
        <v>0.60145337461954773</v>
      </c>
      <c r="F118" s="43">
        <f t="shared" si="152"/>
        <v>0.60793603673372765</v>
      </c>
      <c r="G118" s="43">
        <f t="shared" si="152"/>
        <v>0.591437108348983</v>
      </c>
      <c r="H118" s="43">
        <f t="shared" si="152"/>
        <v>0.59194299584695953</v>
      </c>
      <c r="I118" s="43">
        <f t="shared" si="152"/>
        <v>0.58536670284705905</v>
      </c>
      <c r="J118" s="43">
        <f t="shared" si="152"/>
        <v>0.57368671274043181</v>
      </c>
      <c r="K118" s="43">
        <f t="shared" si="152"/>
        <v>0.56054456179571277</v>
      </c>
      <c r="L118" s="43">
        <f t="shared" si="152"/>
        <v>0.55818758096559795</v>
      </c>
      <c r="M118" s="43">
        <f t="shared" si="152"/>
        <v>0.55280705921949846</v>
      </c>
      <c r="N118" s="43">
        <f t="shared" si="152"/>
        <v>0.5375264339918322</v>
      </c>
      <c r="O118" s="43">
        <f t="shared" si="152"/>
        <v>0.54517298558636351</v>
      </c>
      <c r="P118" s="43">
        <f t="shared" si="152"/>
        <v>0.54165888317490529</v>
      </c>
      <c r="Q118" s="43">
        <f t="shared" si="152"/>
        <v>0.53968021772272734</v>
      </c>
      <c r="R118" s="43">
        <f t="shared" si="152"/>
        <v>0.54090882126835449</v>
      </c>
      <c r="S118" s="43">
        <f t="shared" si="152"/>
        <v>0.54400755008223933</v>
      </c>
      <c r="T118" s="43">
        <f t="shared" si="152"/>
        <v>0.53804293736399733</v>
      </c>
      <c r="U118" s="43">
        <f t="shared" si="152"/>
        <v>0.51668651066553573</v>
      </c>
      <c r="V118" s="43">
        <f t="shared" si="152"/>
        <v>0.48495036914368317</v>
      </c>
      <c r="W118" s="43">
        <f t="shared" ref="W118:Y118" si="153">IF(W16=0,0,W16/W$14)</f>
        <v>0.48928948973790348</v>
      </c>
      <c r="X118" s="43">
        <f t="shared" si="153"/>
        <v>0.58788038368911044</v>
      </c>
      <c r="Y118" s="43">
        <f t="shared" si="153"/>
        <v>0.5617368739662536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0.13625760257768585</v>
      </c>
      <c r="C119" s="43">
        <f t="shared" si="154"/>
        <v>0.13545697891391056</v>
      </c>
      <c r="D119" s="43">
        <f t="shared" ref="D119:V119" si="155">IF(D17=0,0,D17/D$14)</f>
        <v>0.15379719291884208</v>
      </c>
      <c r="E119" s="43">
        <f t="shared" si="155"/>
        <v>0.14885493043701994</v>
      </c>
      <c r="F119" s="43">
        <f t="shared" si="155"/>
        <v>0.1577390136127769</v>
      </c>
      <c r="G119" s="43">
        <f t="shared" si="155"/>
        <v>0.1729569745928084</v>
      </c>
      <c r="H119" s="43">
        <f t="shared" si="155"/>
        <v>0.19242548955891198</v>
      </c>
      <c r="I119" s="43">
        <f t="shared" si="155"/>
        <v>0.22349321716209228</v>
      </c>
      <c r="J119" s="43">
        <f t="shared" si="155"/>
        <v>0.25010176642285908</v>
      </c>
      <c r="K119" s="43">
        <f t="shared" si="155"/>
        <v>0.25163904539784215</v>
      </c>
      <c r="L119" s="43">
        <f t="shared" si="155"/>
        <v>0.26551584341547801</v>
      </c>
      <c r="M119" s="43">
        <f t="shared" si="155"/>
        <v>0.28052022939252624</v>
      </c>
      <c r="N119" s="43">
        <f t="shared" si="155"/>
        <v>0.30965104643045993</v>
      </c>
      <c r="O119" s="43">
        <f t="shared" si="155"/>
        <v>0.32173090325178444</v>
      </c>
      <c r="P119" s="43">
        <f t="shared" si="155"/>
        <v>0.32980671874366546</v>
      </c>
      <c r="Q119" s="43">
        <f t="shared" si="155"/>
        <v>0.3362361117131179</v>
      </c>
      <c r="R119" s="43">
        <f t="shared" si="155"/>
        <v>0.33818565297814362</v>
      </c>
      <c r="S119" s="43">
        <f t="shared" si="155"/>
        <v>0.33858441167043585</v>
      </c>
      <c r="T119" s="43">
        <f t="shared" si="155"/>
        <v>0.34925168346518631</v>
      </c>
      <c r="U119" s="43">
        <f t="shared" si="155"/>
        <v>0.37487217497197312</v>
      </c>
      <c r="V119" s="43">
        <f t="shared" si="155"/>
        <v>0.36140899134279608</v>
      </c>
      <c r="W119" s="43">
        <f t="shared" ref="W119:Y119" si="156">IF(W17=0,0,W17/W$14)</f>
        <v>0.34996624025434486</v>
      </c>
      <c r="X119" s="43">
        <f t="shared" si="156"/>
        <v>0.30368488529254045</v>
      </c>
      <c r="Y119" s="43">
        <f t="shared" si="156"/>
        <v>0.34332224039012804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9.4140512711781602E-2</v>
      </c>
      <c r="C121" s="44">
        <f t="shared" si="160"/>
        <v>8.600144197706143E-2</v>
      </c>
      <c r="D121" s="44">
        <f t="shared" ref="D121:V121" si="161">IF(D19=0,0,D19/D$18)</f>
        <v>8.6374621759667786E-2</v>
      </c>
      <c r="E121" s="44">
        <f t="shared" si="161"/>
        <v>5.6009826780518801E-2</v>
      </c>
      <c r="F121" s="44">
        <f t="shared" si="161"/>
        <v>4.2653738522526449E-2</v>
      </c>
      <c r="G121" s="44">
        <f t="shared" si="161"/>
        <v>3.9970634325351848E-2</v>
      </c>
      <c r="H121" s="44">
        <f t="shared" si="161"/>
        <v>3.1733464294544433E-2</v>
      </c>
      <c r="I121" s="44">
        <f t="shared" si="161"/>
        <v>2.3363065384262343E-2</v>
      </c>
      <c r="J121" s="44">
        <f t="shared" si="161"/>
        <v>2.0329015525773667E-2</v>
      </c>
      <c r="K121" s="44">
        <f t="shared" si="161"/>
        <v>2.6908319506808477E-2</v>
      </c>
      <c r="L121" s="44">
        <f t="shared" si="161"/>
        <v>1.903515919452382E-2</v>
      </c>
      <c r="M121" s="44">
        <f t="shared" si="161"/>
        <v>2.034578992860004E-2</v>
      </c>
      <c r="N121" s="44">
        <f t="shared" si="161"/>
        <v>2.5969045389934952E-2</v>
      </c>
      <c r="O121" s="44">
        <f t="shared" si="161"/>
        <v>2.0204449570085544E-2</v>
      </c>
      <c r="P121" s="44">
        <f t="shared" si="161"/>
        <v>1.8155110391326845E-2</v>
      </c>
      <c r="Q121" s="44">
        <f t="shared" si="161"/>
        <v>1.7024952464223819E-2</v>
      </c>
      <c r="R121" s="44">
        <f t="shared" si="161"/>
        <v>1.8247058883831695E-2</v>
      </c>
      <c r="S121" s="44">
        <f t="shared" si="161"/>
        <v>1.3764137948582089E-2</v>
      </c>
      <c r="T121" s="44">
        <f t="shared" si="161"/>
        <v>1.0200241522872057E-2</v>
      </c>
      <c r="U121" s="44">
        <f t="shared" si="161"/>
        <v>8.5989815230850773E-3</v>
      </c>
      <c r="V121" s="44">
        <f t="shared" si="161"/>
        <v>1.1920322575122834E-2</v>
      </c>
      <c r="W121" s="44">
        <f t="shared" ref="W121:Y121" si="162">IF(W19=0,0,W19/W$18)</f>
        <v>1.1907836439475959E-2</v>
      </c>
      <c r="X121" s="44">
        <f t="shared" si="162"/>
        <v>8.3355978907917131E-3</v>
      </c>
      <c r="Y121" s="44">
        <f t="shared" si="162"/>
        <v>4.3124850822912645E-3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0.57105103925012068</v>
      </c>
      <c r="C122" s="44">
        <f t="shared" si="163"/>
        <v>0.61406336890013458</v>
      </c>
      <c r="D122" s="44">
        <f t="shared" ref="D122:V122" si="164">IF(D20=0,0,D20/D$18)</f>
        <v>0.56084544780618006</v>
      </c>
      <c r="E122" s="44">
        <f t="shared" si="164"/>
        <v>0.65585323034859733</v>
      </c>
      <c r="F122" s="44">
        <f t="shared" si="164"/>
        <v>0.66187901062326426</v>
      </c>
      <c r="G122" s="44">
        <f t="shared" si="164"/>
        <v>0.62095610357523756</v>
      </c>
      <c r="H122" s="44">
        <f t="shared" si="164"/>
        <v>0.65980592512585245</v>
      </c>
      <c r="I122" s="44">
        <f t="shared" si="164"/>
        <v>0.63451794475662504</v>
      </c>
      <c r="J122" s="44">
        <f t="shared" si="164"/>
        <v>0.61566124158652558</v>
      </c>
      <c r="K122" s="44">
        <f t="shared" si="164"/>
        <v>0.7174487944896849</v>
      </c>
      <c r="L122" s="44">
        <f t="shared" si="164"/>
        <v>0.72892118935938688</v>
      </c>
      <c r="M122" s="44">
        <f t="shared" si="164"/>
        <v>0.58153084927134691</v>
      </c>
      <c r="N122" s="44">
        <f t="shared" si="164"/>
        <v>0.50084700396816595</v>
      </c>
      <c r="O122" s="44">
        <f t="shared" si="164"/>
        <v>0.57222231000398405</v>
      </c>
      <c r="P122" s="44">
        <f t="shared" si="164"/>
        <v>0.66654686439446842</v>
      </c>
      <c r="Q122" s="44">
        <f t="shared" si="164"/>
        <v>0.71692345429598769</v>
      </c>
      <c r="R122" s="44">
        <f t="shared" si="164"/>
        <v>0.67651594745313048</v>
      </c>
      <c r="S122" s="44">
        <f t="shared" si="164"/>
        <v>0.68644729952301686</v>
      </c>
      <c r="T122" s="44">
        <f t="shared" si="164"/>
        <v>0.66647361537587435</v>
      </c>
      <c r="U122" s="44">
        <f t="shared" si="164"/>
        <v>0.71782185632822704</v>
      </c>
      <c r="V122" s="44">
        <f t="shared" si="164"/>
        <v>0.64246900865704493</v>
      </c>
      <c r="W122" s="44">
        <f t="shared" ref="W122:Y122" si="165">IF(W20=0,0,W20/W$18)</f>
        <v>0.56500730351388773</v>
      </c>
      <c r="X122" s="44">
        <f t="shared" si="165"/>
        <v>0.49679031208589797</v>
      </c>
      <c r="Y122" s="44">
        <f t="shared" si="165"/>
        <v>0.35625653203220536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0.33480844803809762</v>
      </c>
      <c r="C123" s="45">
        <f t="shared" si="166"/>
        <v>0.29993518912280392</v>
      </c>
      <c r="D123" s="45">
        <f t="shared" ref="D123:V123" si="167">IF(D21=0,0,D21/D$18)</f>
        <v>0.35277993043415207</v>
      </c>
      <c r="E123" s="45">
        <f t="shared" si="167"/>
        <v>0.28813694287088398</v>
      </c>
      <c r="F123" s="45">
        <f t="shared" si="167"/>
        <v>0.29546725085420922</v>
      </c>
      <c r="G123" s="45">
        <f t="shared" si="167"/>
        <v>0.33907326209941052</v>
      </c>
      <c r="H123" s="45">
        <f t="shared" si="167"/>
        <v>0.30846061057960322</v>
      </c>
      <c r="I123" s="45">
        <f t="shared" si="167"/>
        <v>0.34211898985911277</v>
      </c>
      <c r="J123" s="45">
        <f t="shared" si="167"/>
        <v>0.36400974288770083</v>
      </c>
      <c r="K123" s="45">
        <f t="shared" si="167"/>
        <v>0.25564288600350676</v>
      </c>
      <c r="L123" s="45">
        <f t="shared" si="167"/>
        <v>0.25204365144608931</v>
      </c>
      <c r="M123" s="45">
        <f t="shared" si="167"/>
        <v>0.39812336080005306</v>
      </c>
      <c r="N123" s="45">
        <f t="shared" si="167"/>
        <v>0.47318395064189905</v>
      </c>
      <c r="O123" s="45">
        <f t="shared" si="167"/>
        <v>0.40757324042593041</v>
      </c>
      <c r="P123" s="45">
        <f t="shared" si="167"/>
        <v>0.3152980252142048</v>
      </c>
      <c r="Q123" s="45">
        <f t="shared" si="167"/>
        <v>0.26605159323978844</v>
      </c>
      <c r="R123" s="45">
        <f t="shared" si="167"/>
        <v>0.30523699366303775</v>
      </c>
      <c r="S123" s="45">
        <f t="shared" si="167"/>
        <v>0.29978856252840103</v>
      </c>
      <c r="T123" s="45">
        <f t="shared" si="167"/>
        <v>0.32332614310125363</v>
      </c>
      <c r="U123" s="45">
        <f t="shared" si="167"/>
        <v>0.27357916214868783</v>
      </c>
      <c r="V123" s="45">
        <f t="shared" si="167"/>
        <v>0.34561066876783231</v>
      </c>
      <c r="W123" s="45">
        <f t="shared" ref="W123:Y123" si="168">IF(W21=0,0,W21/W$18)</f>
        <v>0.42308486004663642</v>
      </c>
      <c r="X123" s="45">
        <f t="shared" si="168"/>
        <v>0.49487409002331023</v>
      </c>
      <c r="Y123" s="45">
        <f t="shared" si="168"/>
        <v>0.63943098288550337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470.58142734307819</v>
      </c>
      <c r="C3" s="79">
        <f t="shared" si="0"/>
        <v>477.82080825451402</v>
      </c>
      <c r="D3" s="79">
        <f t="shared" ref="D3" si="1">SUM(D4:D5)</f>
        <v>458.17093723129847</v>
      </c>
      <c r="E3" s="79">
        <f t="shared" ref="E3" si="2">SUM(E4:E5)</f>
        <v>469.53757523645743</v>
      </c>
      <c r="F3" s="79">
        <f t="shared" ref="F3" si="3">SUM(F4:F5)</f>
        <v>527.45296646603583</v>
      </c>
      <c r="G3" s="79">
        <f t="shared" ref="G3" si="4">SUM(G4:G5)</f>
        <v>524.34084264832336</v>
      </c>
      <c r="H3" s="79">
        <f t="shared" ref="H3" si="5">SUM(H4:H5)</f>
        <v>566.75262252794494</v>
      </c>
      <c r="I3" s="79">
        <f t="shared" ref="I3" si="6">SUM(I4:I5)</f>
        <v>631.90739466895957</v>
      </c>
      <c r="J3" s="79">
        <f t="shared" ref="J3" si="7">SUM(J4:J5)</f>
        <v>673.27549441100621</v>
      </c>
      <c r="K3" s="79">
        <f t="shared" ref="K3" si="8">SUM(K4:K5)</f>
        <v>592.60773860705058</v>
      </c>
      <c r="L3" s="79">
        <f t="shared" ref="L3" si="9">SUM(L4:L5)</f>
        <v>618.46276870163365</v>
      </c>
      <c r="M3" s="79">
        <f t="shared" ref="M3" si="10">SUM(M4:M5)</f>
        <v>726.01986242476346</v>
      </c>
      <c r="N3" s="79">
        <f t="shared" ref="N3" si="11">SUM(N4:N5)</f>
        <v>689.82278589853809</v>
      </c>
      <c r="O3" s="79">
        <f t="shared" ref="O3" si="12">SUM(O4:O5)</f>
        <v>699.13061049011185</v>
      </c>
      <c r="P3" s="79">
        <f t="shared" ref="P3" si="13">SUM(P4:P5)</f>
        <v>689.82278589853809</v>
      </c>
      <c r="Q3" s="79">
        <f t="shared" ref="Q3" si="14">SUM(Q4:Q5)</f>
        <v>701.19896818572636</v>
      </c>
      <c r="R3" s="79">
        <f t="shared" ref="R3" si="15">SUM(R4:R5)</f>
        <v>704.30163370593277</v>
      </c>
      <c r="S3" s="79">
        <f t="shared" ref="S3" si="16">SUM(S4:S5)</f>
        <v>744.63551160791053</v>
      </c>
      <c r="T3" s="79">
        <f t="shared" ref="T3" si="17">SUM(T4:T5)</f>
        <v>849.09002579535684</v>
      </c>
      <c r="U3" s="79">
        <f t="shared" ref="U3" si="18">SUM(U4:U5)</f>
        <v>907.0054170249357</v>
      </c>
      <c r="V3" s="79">
        <f t="shared" ref="V3:W3" si="19">SUM(V4:V5)</f>
        <v>312.33877901977638</v>
      </c>
      <c r="W3" s="79">
        <f t="shared" si="19"/>
        <v>303.03095442820285</v>
      </c>
      <c r="X3" s="79">
        <f t="shared" ref="X3:Y3" si="20">SUM(X4:X5)</f>
        <v>576.06053310404127</v>
      </c>
      <c r="Y3" s="79">
        <f t="shared" si="20"/>
        <v>676.37815993121239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124.12347377472054</v>
      </c>
      <c r="C4" s="96">
        <f t="shared" si="21"/>
        <v>122.05503009458295</v>
      </c>
      <c r="D4" s="96">
        <f t="shared" ref="D4:V4" si="22">SUM(D7,D11)</f>
        <v>106.54204643164235</v>
      </c>
      <c r="E4" s="96">
        <f t="shared" si="22"/>
        <v>106.53241616509032</v>
      </c>
      <c r="F4" s="96">
        <f t="shared" si="22"/>
        <v>108.60085984522782</v>
      </c>
      <c r="G4" s="96">
        <f t="shared" si="22"/>
        <v>103.4202923473775</v>
      </c>
      <c r="H4" s="96">
        <f t="shared" si="22"/>
        <v>98.258813413585557</v>
      </c>
      <c r="I4" s="96">
        <f t="shared" si="22"/>
        <v>92.05356835769561</v>
      </c>
      <c r="J4" s="96">
        <f t="shared" si="22"/>
        <v>88.950988822012036</v>
      </c>
      <c r="K4" s="96">
        <f t="shared" si="22"/>
        <v>80.677386070507296</v>
      </c>
      <c r="L4" s="96">
        <f t="shared" si="22"/>
        <v>78.60894239036972</v>
      </c>
      <c r="M4" s="96">
        <f t="shared" si="22"/>
        <v>87.91676698194324</v>
      </c>
      <c r="N4" s="96">
        <f t="shared" si="22"/>
        <v>73.437919174548568</v>
      </c>
      <c r="O4" s="96">
        <f t="shared" si="22"/>
        <v>63.095958727429057</v>
      </c>
      <c r="P4" s="96">
        <f t="shared" si="22"/>
        <v>63.095958727429057</v>
      </c>
      <c r="Q4" s="96">
        <f t="shared" si="22"/>
        <v>61.02751504729148</v>
      </c>
      <c r="R4" s="96">
        <f t="shared" si="22"/>
        <v>62.061736887360269</v>
      </c>
      <c r="S4" s="96">
        <f t="shared" si="22"/>
        <v>64.130094582975048</v>
      </c>
      <c r="T4" s="96">
        <f t="shared" si="22"/>
        <v>70.335339638864994</v>
      </c>
      <c r="U4" s="96">
        <f t="shared" si="22"/>
        <v>67.23276010318142</v>
      </c>
      <c r="V4" s="96">
        <f t="shared" si="22"/>
        <v>28.967239896818569</v>
      </c>
      <c r="W4" s="96">
        <f t="shared" ref="W4:Y4" si="23">SUM(W7,W11)</f>
        <v>25.864660361134995</v>
      </c>
      <c r="X4" s="96">
        <f t="shared" si="23"/>
        <v>44.480309544282022</v>
      </c>
      <c r="Y4" s="96">
        <f t="shared" si="23"/>
        <v>48.617110920034385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346.45795356835765</v>
      </c>
      <c r="C5" s="96">
        <f t="shared" si="24"/>
        <v>355.76577815993107</v>
      </c>
      <c r="D5" s="96">
        <f t="shared" ref="D5:V5" si="25">SUM(D8:D9,D12:D13)</f>
        <v>351.62889079965612</v>
      </c>
      <c r="E5" s="96">
        <f t="shared" si="25"/>
        <v>363.00515907136707</v>
      </c>
      <c r="F5" s="96">
        <f t="shared" si="25"/>
        <v>418.85210662080806</v>
      </c>
      <c r="G5" s="96">
        <f t="shared" si="25"/>
        <v>420.92055030094582</v>
      </c>
      <c r="H5" s="96">
        <f t="shared" si="25"/>
        <v>468.49380911435941</v>
      </c>
      <c r="I5" s="96">
        <f t="shared" si="25"/>
        <v>539.85382631126402</v>
      </c>
      <c r="J5" s="96">
        <f t="shared" si="25"/>
        <v>584.32450558899416</v>
      </c>
      <c r="K5" s="96">
        <f t="shared" si="25"/>
        <v>511.9303525365433</v>
      </c>
      <c r="L5" s="96">
        <f t="shared" si="25"/>
        <v>539.8538263112639</v>
      </c>
      <c r="M5" s="96">
        <f t="shared" si="25"/>
        <v>638.10309544282018</v>
      </c>
      <c r="N5" s="96">
        <f t="shared" si="25"/>
        <v>616.38486672398949</v>
      </c>
      <c r="O5" s="96">
        <f t="shared" si="25"/>
        <v>636.03465176268276</v>
      </c>
      <c r="P5" s="96">
        <f t="shared" si="25"/>
        <v>626.72682717110899</v>
      </c>
      <c r="Q5" s="96">
        <f t="shared" si="25"/>
        <v>640.17145313843491</v>
      </c>
      <c r="R5" s="96">
        <f t="shared" si="25"/>
        <v>642.23989681857256</v>
      </c>
      <c r="S5" s="96">
        <f t="shared" si="25"/>
        <v>680.50541702493547</v>
      </c>
      <c r="T5" s="96">
        <f t="shared" si="25"/>
        <v>778.75468615649186</v>
      </c>
      <c r="U5" s="96">
        <f t="shared" si="25"/>
        <v>839.77265692175422</v>
      </c>
      <c r="V5" s="96">
        <f t="shared" si="25"/>
        <v>283.37153912295781</v>
      </c>
      <c r="W5" s="96">
        <f t="shared" ref="W5:Y5" si="26">SUM(W8:W9,W12:W13)</f>
        <v>277.16629406706784</v>
      </c>
      <c r="X5" s="96">
        <f t="shared" si="26"/>
        <v>531.58022355975925</v>
      </c>
      <c r="Y5" s="96">
        <f t="shared" si="26"/>
        <v>627.76104901117799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460.02569935585672</v>
      </c>
      <c r="C6" s="21">
        <f t="shared" si="27"/>
        <v>469.1684476272182</v>
      </c>
      <c r="D6" s="21">
        <f t="shared" ref="D6:V6" si="28">SUM(D7:D9)</f>
        <v>449.71621155913647</v>
      </c>
      <c r="E6" s="21">
        <f t="shared" si="28"/>
        <v>459.38036493420054</v>
      </c>
      <c r="F6" s="21">
        <f t="shared" si="28"/>
        <v>513.77684239472899</v>
      </c>
      <c r="G6" s="21">
        <f t="shared" si="28"/>
        <v>510.05053351128896</v>
      </c>
      <c r="H6" s="21">
        <f t="shared" si="28"/>
        <v>551.51252678914636</v>
      </c>
      <c r="I6" s="21">
        <f t="shared" si="28"/>
        <v>615.34709592308855</v>
      </c>
      <c r="J6" s="21">
        <f t="shared" si="28"/>
        <v>659.2397326986644</v>
      </c>
      <c r="K6" s="21">
        <f t="shared" si="28"/>
        <v>581.85223899766402</v>
      </c>
      <c r="L6" s="21">
        <f t="shared" si="28"/>
        <v>607.20280559914477</v>
      </c>
      <c r="M6" s="21">
        <f t="shared" si="28"/>
        <v>714.14014838351829</v>
      </c>
      <c r="N6" s="21">
        <f t="shared" si="28"/>
        <v>676.9222488214707</v>
      </c>
      <c r="O6" s="21">
        <f t="shared" si="28"/>
        <v>685.41847846743258</v>
      </c>
      <c r="P6" s="21">
        <f t="shared" si="28"/>
        <v>677.78360630254065</v>
      </c>
      <c r="Q6" s="21">
        <f t="shared" si="28"/>
        <v>688.50954262782705</v>
      </c>
      <c r="R6" s="21">
        <f t="shared" si="28"/>
        <v>692.06466635426341</v>
      </c>
      <c r="S6" s="21">
        <f t="shared" si="28"/>
        <v>731.47058117675681</v>
      </c>
      <c r="T6" s="21">
        <f t="shared" si="28"/>
        <v>836.42467978680588</v>
      </c>
      <c r="U6" s="21">
        <f t="shared" si="28"/>
        <v>889.24429294568677</v>
      </c>
      <c r="V6" s="21">
        <f t="shared" si="28"/>
        <v>302.65101614725086</v>
      </c>
      <c r="W6" s="21">
        <f t="shared" ref="W6:Y6" si="29">SUM(W7:W9)</f>
        <v>293.4224436966374</v>
      </c>
      <c r="X6" s="21">
        <f t="shared" si="29"/>
        <v>564.94178435749291</v>
      </c>
      <c r="Y6" s="21">
        <f t="shared" si="29"/>
        <v>656.03662955890877</v>
      </c>
      <c r="DA6" s="189" t="s">
        <v>280</v>
      </c>
    </row>
    <row r="7" spans="1:105" ht="11.45" customHeight="1" x14ac:dyDescent="0.25">
      <c r="A7" s="83" t="s">
        <v>27</v>
      </c>
      <c r="B7" s="96">
        <v>122.56534882800047</v>
      </c>
      <c r="C7" s="96">
        <v>120.86186208810759</v>
      </c>
      <c r="D7" s="96">
        <v>105.48955151892343</v>
      </c>
      <c r="E7" s="96">
        <v>105.65890021703829</v>
      </c>
      <c r="F7" s="96">
        <v>107.72447054755888</v>
      </c>
      <c r="G7" s="96">
        <v>102.60279222264047</v>
      </c>
      <c r="H7" s="96">
        <v>97.484788166300888</v>
      </c>
      <c r="I7" s="96">
        <v>91.422744252676054</v>
      </c>
      <c r="J7" s="96">
        <v>88.445984440203986</v>
      </c>
      <c r="K7" s="96">
        <v>80.185821767915186</v>
      </c>
      <c r="L7" s="96">
        <v>78.231166129543084</v>
      </c>
      <c r="M7" s="96">
        <v>87.569619748309549</v>
      </c>
      <c r="N7" s="96">
        <v>73.059521641655195</v>
      </c>
      <c r="O7" s="96">
        <v>62.782086564021434</v>
      </c>
      <c r="P7" s="96">
        <v>62.847388052559559</v>
      </c>
      <c r="Q7" s="96">
        <v>60.788942397267995</v>
      </c>
      <c r="R7" s="96">
        <v>61.799117937684414</v>
      </c>
      <c r="S7" s="96">
        <v>63.92262127680722</v>
      </c>
      <c r="T7" s="96">
        <v>70.19351235312746</v>
      </c>
      <c r="U7" s="96">
        <v>67.083041115053064</v>
      </c>
      <c r="V7" s="96">
        <v>28.813348461928165</v>
      </c>
      <c r="W7" s="96">
        <v>25.751746827247562</v>
      </c>
      <c r="X7" s="96">
        <v>44.332229321709285</v>
      </c>
      <c r="Y7" s="96">
        <v>48.448059287433914</v>
      </c>
      <c r="DA7" s="171" t="s">
        <v>281</v>
      </c>
    </row>
    <row r="8" spans="1:105" ht="11.45" customHeight="1" x14ac:dyDescent="0.25">
      <c r="A8" s="83" t="s">
        <v>181</v>
      </c>
      <c r="B8" s="96">
        <v>229.86370505702621</v>
      </c>
      <c r="C8" s="96">
        <v>239.12364390488725</v>
      </c>
      <c r="D8" s="96">
        <v>224.44295817578845</v>
      </c>
      <c r="E8" s="96">
        <v>235.58678777858378</v>
      </c>
      <c r="F8" s="96">
        <v>266.07773855192954</v>
      </c>
      <c r="G8" s="96">
        <v>265.58696424182676</v>
      </c>
      <c r="H8" s="96">
        <v>301.73630066385493</v>
      </c>
      <c r="I8" s="96">
        <v>352.27766626581428</v>
      </c>
      <c r="J8" s="96">
        <v>382.34471718587139</v>
      </c>
      <c r="K8" s="96">
        <v>330.05844078559949</v>
      </c>
      <c r="L8" s="96">
        <v>348.39707955209246</v>
      </c>
      <c r="M8" s="96">
        <v>414.15456276202929</v>
      </c>
      <c r="N8" s="96">
        <v>391.40460402950106</v>
      </c>
      <c r="O8" s="96">
        <v>403.37732542968575</v>
      </c>
      <c r="P8" s="96">
        <v>401.74408833160379</v>
      </c>
      <c r="Q8" s="96">
        <v>413.12188517776968</v>
      </c>
      <c r="R8" s="96">
        <v>422.76873931002223</v>
      </c>
      <c r="S8" s="96">
        <v>454.45019339144972</v>
      </c>
      <c r="T8" s="96">
        <v>520.71410213088177</v>
      </c>
      <c r="U8" s="96">
        <v>554.18352539998943</v>
      </c>
      <c r="V8" s="96">
        <v>166.07813455179581</v>
      </c>
      <c r="W8" s="96">
        <v>171.03933566924169</v>
      </c>
      <c r="X8" s="96">
        <v>358.27418272365776</v>
      </c>
      <c r="Y8" s="96">
        <v>412.70104092166639</v>
      </c>
      <c r="DA8" s="171" t="s">
        <v>282</v>
      </c>
    </row>
    <row r="9" spans="1:105" ht="11.45" customHeight="1" x14ac:dyDescent="0.25">
      <c r="A9" s="83" t="s">
        <v>182</v>
      </c>
      <c r="B9" s="96">
        <v>107.59664547083003</v>
      </c>
      <c r="C9" s="96">
        <v>109.18294163422335</v>
      </c>
      <c r="D9" s="96">
        <v>119.78370186442456</v>
      </c>
      <c r="E9" s="96">
        <v>118.13467693857848</v>
      </c>
      <c r="F9" s="96">
        <v>139.97463329524052</v>
      </c>
      <c r="G9" s="96">
        <v>141.86077704682174</v>
      </c>
      <c r="H9" s="96">
        <v>152.29143795899051</v>
      </c>
      <c r="I9" s="96">
        <v>171.64668540459817</v>
      </c>
      <c r="J9" s="96">
        <v>188.44903107258904</v>
      </c>
      <c r="K9" s="96">
        <v>171.60797644414941</v>
      </c>
      <c r="L9" s="96">
        <v>180.57455991750922</v>
      </c>
      <c r="M9" s="96">
        <v>212.41596587317949</v>
      </c>
      <c r="N9" s="96">
        <v>212.45812315031444</v>
      </c>
      <c r="O9" s="96">
        <v>219.25906647372543</v>
      </c>
      <c r="P9" s="96">
        <v>213.19212991837728</v>
      </c>
      <c r="Q9" s="96">
        <v>214.5987150527894</v>
      </c>
      <c r="R9" s="96">
        <v>207.49680910655678</v>
      </c>
      <c r="S9" s="96">
        <v>213.0977665084998</v>
      </c>
      <c r="T9" s="96">
        <v>245.51706530279668</v>
      </c>
      <c r="U9" s="96">
        <v>267.97772643064417</v>
      </c>
      <c r="V9" s="96">
        <v>107.75953313352684</v>
      </c>
      <c r="W9" s="96">
        <v>96.631361200148163</v>
      </c>
      <c r="X9" s="96">
        <v>162.33537231212586</v>
      </c>
      <c r="Y9" s="96">
        <v>194.88752934980843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10.555727987221477</v>
      </c>
      <c r="C10" s="22">
        <f t="shared" si="30"/>
        <v>8.6523606272958489</v>
      </c>
      <c r="D10" s="22">
        <f t="shared" ref="D10:V10" si="31">SUM(D11:D13)</f>
        <v>8.4547256721620041</v>
      </c>
      <c r="E10" s="22">
        <f t="shared" si="31"/>
        <v>10.157210302256821</v>
      </c>
      <c r="F10" s="22">
        <f t="shared" si="31"/>
        <v>13.676124071306916</v>
      </c>
      <c r="G10" s="22">
        <f t="shared" si="31"/>
        <v>14.290309137034349</v>
      </c>
      <c r="H10" s="22">
        <f t="shared" si="31"/>
        <v>15.240095738798594</v>
      </c>
      <c r="I10" s="22">
        <f t="shared" si="31"/>
        <v>16.56029874587108</v>
      </c>
      <c r="J10" s="22">
        <f t="shared" si="31"/>
        <v>14.035761712341724</v>
      </c>
      <c r="K10" s="22">
        <f t="shared" si="31"/>
        <v>10.755499609386504</v>
      </c>
      <c r="L10" s="22">
        <f t="shared" si="31"/>
        <v>11.259963102488904</v>
      </c>
      <c r="M10" s="22">
        <f t="shared" si="31"/>
        <v>11.879714041245135</v>
      </c>
      <c r="N10" s="22">
        <f t="shared" si="31"/>
        <v>12.900537077067492</v>
      </c>
      <c r="O10" s="22">
        <f t="shared" si="31"/>
        <v>13.712132022679103</v>
      </c>
      <c r="P10" s="22">
        <f t="shared" si="31"/>
        <v>12.03917959599746</v>
      </c>
      <c r="Q10" s="22">
        <f t="shared" si="31"/>
        <v>12.6894255578994</v>
      </c>
      <c r="R10" s="22">
        <f t="shared" si="31"/>
        <v>12.236967351669312</v>
      </c>
      <c r="S10" s="22">
        <f t="shared" si="31"/>
        <v>13.164930431153753</v>
      </c>
      <c r="T10" s="22">
        <f t="shared" si="31"/>
        <v>12.665346008550866</v>
      </c>
      <c r="U10" s="22">
        <f t="shared" si="31"/>
        <v>17.761124079248983</v>
      </c>
      <c r="V10" s="22">
        <f t="shared" si="31"/>
        <v>9.6877628725255676</v>
      </c>
      <c r="W10" s="22">
        <f t="shared" ref="W10:Y10" si="32">SUM(W11:W13)</f>
        <v>9.6085107315654223</v>
      </c>
      <c r="X10" s="22">
        <f t="shared" si="32"/>
        <v>11.118748746548434</v>
      </c>
      <c r="Y10" s="22">
        <f t="shared" si="32"/>
        <v>20.34153037230357</v>
      </c>
      <c r="DA10" s="193" t="s">
        <v>284</v>
      </c>
    </row>
    <row r="11" spans="1:105" ht="11.45" customHeight="1" x14ac:dyDescent="0.25">
      <c r="A11" s="92" t="s">
        <v>27</v>
      </c>
      <c r="B11" s="97">
        <v>1.5581249467200677</v>
      </c>
      <c r="C11" s="97">
        <v>1.1931680064753614</v>
      </c>
      <c r="D11" s="97">
        <v>1.0524949127189105</v>
      </c>
      <c r="E11" s="97">
        <v>0.87351594805202537</v>
      </c>
      <c r="F11" s="97">
        <v>0.87638929766893348</v>
      </c>
      <c r="G11" s="97">
        <v>0.8175001247370226</v>
      </c>
      <c r="H11" s="97">
        <v>0.77402524728467037</v>
      </c>
      <c r="I11" s="97">
        <v>0.63082410501955921</v>
      </c>
      <c r="J11" s="97">
        <v>0.50500438180805274</v>
      </c>
      <c r="K11" s="97">
        <v>0.49156430259211514</v>
      </c>
      <c r="L11" s="97">
        <v>0.37777626082663807</v>
      </c>
      <c r="M11" s="97">
        <v>0.34714723363369765</v>
      </c>
      <c r="N11" s="97">
        <v>0.37839753289336825</v>
      </c>
      <c r="O11" s="97">
        <v>0.31387216340762181</v>
      </c>
      <c r="P11" s="97">
        <v>0.2485706748695001</v>
      </c>
      <c r="Q11" s="97">
        <v>0.23857265002348824</v>
      </c>
      <c r="R11" s="97">
        <v>0.26261894967585431</v>
      </c>
      <c r="S11" s="97">
        <v>0.20747330616782977</v>
      </c>
      <c r="T11" s="97">
        <v>0.14182728573753822</v>
      </c>
      <c r="U11" s="97">
        <v>0.14971898812835494</v>
      </c>
      <c r="V11" s="97">
        <v>0.15389143489040336</v>
      </c>
      <c r="W11" s="97">
        <v>0.11291353388743204</v>
      </c>
      <c r="X11" s="97">
        <v>0.14808022257273648</v>
      </c>
      <c r="Y11" s="97">
        <v>0.16905163260047368</v>
      </c>
      <c r="DA11" s="175" t="s">
        <v>285</v>
      </c>
    </row>
    <row r="12" spans="1:105" ht="11.45" customHeight="1" x14ac:dyDescent="0.25">
      <c r="A12" s="92" t="s">
        <v>181</v>
      </c>
      <c r="B12" s="97">
        <v>5.0751416946756738</v>
      </c>
      <c r="C12" s="97">
        <v>4.5254599490862981</v>
      </c>
      <c r="D12" s="97">
        <v>4.0554762438974947</v>
      </c>
      <c r="E12" s="97">
        <v>5.8943320112822217</v>
      </c>
      <c r="F12" s="97">
        <v>8.0870981074451755</v>
      </c>
      <c r="G12" s="97">
        <v>8.2797240533378211</v>
      </c>
      <c r="H12" s="97">
        <v>10.199522870006303</v>
      </c>
      <c r="I12" s="97">
        <v>11.619000639564755</v>
      </c>
      <c r="J12" s="97">
        <v>9.8159450696128907</v>
      </c>
      <c r="K12" s="97">
        <v>8.0982348408119478</v>
      </c>
      <c r="L12" s="97">
        <v>8.5064447233326206</v>
      </c>
      <c r="M12" s="97">
        <v>7.8437044442956037</v>
      </c>
      <c r="N12" s="97">
        <v>7.6973786508721647</v>
      </c>
      <c r="O12" s="97">
        <v>9.1674754645326502</v>
      </c>
      <c r="P12" s="97">
        <v>9.0375384056464299</v>
      </c>
      <c r="Q12" s="97">
        <v>10.135455364401462</v>
      </c>
      <c r="R12" s="97">
        <v>9.6737565747097918</v>
      </c>
      <c r="S12" s="97">
        <v>10.734834933466601</v>
      </c>
      <c r="T12" s="97">
        <v>10.284762170760434</v>
      </c>
      <c r="U12" s="97">
        <v>15.581026356407499</v>
      </c>
      <c r="V12" s="97">
        <v>7.3279986602630256</v>
      </c>
      <c r="W12" s="97">
        <v>7.1414722044190189</v>
      </c>
      <c r="X12" s="97">
        <v>8.0497332760348996</v>
      </c>
      <c r="Y12" s="97">
        <v>11.19433555352027</v>
      </c>
      <c r="DA12" s="175" t="s">
        <v>286</v>
      </c>
    </row>
    <row r="13" spans="1:105" ht="11.45" customHeight="1" x14ac:dyDescent="0.25">
      <c r="A13" s="85" t="s">
        <v>182</v>
      </c>
      <c r="B13" s="98">
        <v>3.9224613458257358</v>
      </c>
      <c r="C13" s="98">
        <v>2.9337326717341896</v>
      </c>
      <c r="D13" s="98">
        <v>3.3467545155455984</v>
      </c>
      <c r="E13" s="98">
        <v>3.389362342922575</v>
      </c>
      <c r="F13" s="98">
        <v>4.7126366661928065</v>
      </c>
      <c r="G13" s="98">
        <v>5.1930849589595045</v>
      </c>
      <c r="H13" s="98">
        <v>4.2665476215076206</v>
      </c>
      <c r="I13" s="98">
        <v>4.3104740012867655</v>
      </c>
      <c r="J13" s="98">
        <v>3.7148122609207799</v>
      </c>
      <c r="K13" s="98">
        <v>2.1657004659824417</v>
      </c>
      <c r="L13" s="98">
        <v>2.3757421183296459</v>
      </c>
      <c r="M13" s="98">
        <v>3.6888623633158342</v>
      </c>
      <c r="N13" s="98">
        <v>4.8247608933019581</v>
      </c>
      <c r="O13" s="98">
        <v>4.2307843947388308</v>
      </c>
      <c r="P13" s="98">
        <v>2.7530705154815314</v>
      </c>
      <c r="Q13" s="98">
        <v>2.3153975434744485</v>
      </c>
      <c r="R13" s="98">
        <v>2.3005918272836667</v>
      </c>
      <c r="S13" s="98">
        <v>2.2226221915193234</v>
      </c>
      <c r="T13" s="98">
        <v>2.238756552052894</v>
      </c>
      <c r="U13" s="98">
        <v>2.0303787347131315</v>
      </c>
      <c r="V13" s="98">
        <v>2.2058727773721385</v>
      </c>
      <c r="W13" s="98">
        <v>2.3541249932589721</v>
      </c>
      <c r="X13" s="98">
        <v>2.9209352479407973</v>
      </c>
      <c r="Y13" s="98">
        <v>8.9781431861828267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445.31172455888958</v>
      </c>
      <c r="C17" s="62">
        <f>IF(C3=0,0,C3/TrAvia_act!C13*100)</f>
        <v>448.48626169696877</v>
      </c>
      <c r="D17" s="62">
        <f>IF(D3=0,0,D3/TrAvia_act!D13*100)</f>
        <v>458.14537672823172</v>
      </c>
      <c r="E17" s="62">
        <f>IF(E3=0,0,E3/TrAvia_act!E13*100)</f>
        <v>440.02375928907878</v>
      </c>
      <c r="F17" s="62">
        <f>IF(F3=0,0,F3/TrAvia_act!F13*100)</f>
        <v>454.06677718775438</v>
      </c>
      <c r="G17" s="62">
        <f>IF(G3=0,0,G3/TrAvia_act!G13*100)</f>
        <v>443.89429743358761</v>
      </c>
      <c r="H17" s="62">
        <f>IF(H3=0,0,H3/TrAvia_act!H13*100)</f>
        <v>451.56669033197011</v>
      </c>
      <c r="I17" s="62">
        <f>IF(I3=0,0,I3/TrAvia_act!I13*100)</f>
        <v>457.7824494566463</v>
      </c>
      <c r="J17" s="62">
        <f>IF(J3=0,0,J3/TrAvia_act!J13*100)</f>
        <v>466.90325006052495</v>
      </c>
      <c r="K17" s="62">
        <f>IF(K3=0,0,K3/TrAvia_act!K13*100)</f>
        <v>435.83835224125886</v>
      </c>
      <c r="L17" s="62">
        <f>IF(L3=0,0,L3/TrAvia_act!L13*100)</f>
        <v>447.90636623433591</v>
      </c>
      <c r="M17" s="62">
        <f>IF(M3=0,0,M3/TrAvia_act!M13*100)</f>
        <v>458.43730942132669</v>
      </c>
      <c r="N17" s="62">
        <f>IF(N3=0,0,N3/TrAvia_act!N13*100)</f>
        <v>469.09181452687562</v>
      </c>
      <c r="O17" s="62">
        <f>IF(O3=0,0,O3/TrAvia_act!O13*100)</f>
        <v>475.15138703471325</v>
      </c>
      <c r="P17" s="62">
        <f>IF(P3=0,0,P3/TrAvia_act!P13*100)</f>
        <v>463.74255351103136</v>
      </c>
      <c r="Q17" s="62">
        <f>IF(Q3=0,0,Q3/TrAvia_act!Q13*100)</f>
        <v>473.70141622162174</v>
      </c>
      <c r="R17" s="62">
        <f>IF(R3=0,0,R3/TrAvia_act!R13*100)</f>
        <v>477.49925451333797</v>
      </c>
      <c r="S17" s="62">
        <f>IF(S3=0,0,S3/TrAvia_act!S13*100)</f>
        <v>471.32546766514037</v>
      </c>
      <c r="T17" s="62">
        <f>IF(T3=0,0,T3/TrAvia_act!T13*100)</f>
        <v>479.22996235845432</v>
      </c>
      <c r="U17" s="62">
        <f>IF(U3=0,0,U3/TrAvia_act!U13*100)</f>
        <v>491.59616737384022</v>
      </c>
      <c r="V17" s="62">
        <f>IF(V3=0,0,V3/TrAvia_act!V13*100)</f>
        <v>517.49257804712693</v>
      </c>
      <c r="W17" s="62">
        <f>IF(W3=0,0,W3/TrAvia_act!W13*100)</f>
        <v>513.30861495200236</v>
      </c>
      <c r="X17" s="62">
        <f>IF(X3=0,0,X3/TrAvia_act!X13*100)</f>
        <v>454.16357126495808</v>
      </c>
      <c r="Y17" s="62">
        <f>IF(Y3=0,0,Y3/TrAvia_act!Y13*100)</f>
        <v>452.74967045578086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446.49245122375402</v>
      </c>
      <c r="C18" s="14">
        <f>IF(C6=0,0,C6/TrAvia_act!C14*100)</f>
        <v>449.6068654839525</v>
      </c>
      <c r="D18" s="14">
        <f>IF(D6=0,0,D6/TrAvia_act!D14*100)</f>
        <v>459.16412857838401</v>
      </c>
      <c r="E18" s="14">
        <f>IF(E6=0,0,E6/TrAvia_act!E14*100)</f>
        <v>441.54034762324841</v>
      </c>
      <c r="F18" s="14">
        <f>IF(F6=0,0,F6/TrAvia_act!F14*100)</f>
        <v>456.04203151353505</v>
      </c>
      <c r="G18" s="14">
        <f>IF(G6=0,0,G6/TrAvia_act!G14*100)</f>
        <v>446.10165389048984</v>
      </c>
      <c r="H18" s="14">
        <f>IF(H6=0,0,H6/TrAvia_act!H14*100)</f>
        <v>454.23792855705977</v>
      </c>
      <c r="I18" s="14">
        <f>IF(I6=0,0,I6/TrAvia_act!I14*100)</f>
        <v>460.87792892222899</v>
      </c>
      <c r="J18" s="14">
        <f>IF(J6=0,0,J6/TrAvia_act!J14*100)</f>
        <v>469.15561203427359</v>
      </c>
      <c r="K18" s="14">
        <f>IF(K6=0,0,K6/TrAvia_act!K14*100)</f>
        <v>436.8837502580111</v>
      </c>
      <c r="L18" s="14">
        <f>IF(L6=0,0,L6/TrAvia_act!L14*100)</f>
        <v>448.49143483334029</v>
      </c>
      <c r="M18" s="14">
        <f>IF(M6=0,0,M6/TrAvia_act!M14*100)</f>
        <v>459.55178003699518</v>
      </c>
      <c r="N18" s="14">
        <f>IF(N6=0,0,N6/TrAvia_act!N14*100)</f>
        <v>470.49333547123274</v>
      </c>
      <c r="O18" s="14">
        <f>IF(O6=0,0,O6/TrAvia_act!O14*100)</f>
        <v>476.66391327390596</v>
      </c>
      <c r="P18" s="14">
        <f>IF(P6=0,0,P6/TrAvia_act!P14*100)</f>
        <v>464.69104210462461</v>
      </c>
      <c r="Q18" s="14">
        <f>IF(Q6=0,0,Q6/TrAvia_act!Q14*100)</f>
        <v>474.42772959061983</v>
      </c>
      <c r="R18" s="14">
        <f>IF(R6=0,0,R6/TrAvia_act!R14*100)</f>
        <v>478.36845846057469</v>
      </c>
      <c r="S18" s="14">
        <f>IF(S6=0,0,S6/TrAvia_act!S14*100)</f>
        <v>471.86386364385618</v>
      </c>
      <c r="T18" s="14">
        <f>IF(T6=0,0,T6/TrAvia_act!T14*100)</f>
        <v>479.47961114571359</v>
      </c>
      <c r="U18" s="14">
        <f>IF(U6=0,0,U6/TrAvia_act!U14*100)</f>
        <v>490.80607711446936</v>
      </c>
      <c r="V18" s="14">
        <f>IF(V6=0,0,V6/TrAvia_act!V14*100)</f>
        <v>520.109056182774</v>
      </c>
      <c r="W18" s="14">
        <f>IF(W6=0,0,W6/TrAvia_act!W14*100)</f>
        <v>515.45826212736154</v>
      </c>
      <c r="X18" s="14">
        <f>IF(X6=0,0,X6/TrAvia_act!X14*100)</f>
        <v>457.18611563809361</v>
      </c>
      <c r="Y18" s="14">
        <f>IF(Y6=0,0,Y6/TrAvia_act!Y14*100)</f>
        <v>456.24720738599495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435.44542644397353</v>
      </c>
      <c r="C19" s="87">
        <f>IF(C7=0,0,C7/TrAvia_act!C15*100)</f>
        <v>440.6162953464227</v>
      </c>
      <c r="D19" s="87">
        <f>IF(D7=0,0,D7/TrAvia_act!D15*100)</f>
        <v>410.76445097121643</v>
      </c>
      <c r="E19" s="87">
        <f>IF(E7=0,0,E7/TrAvia_act!E15*100)</f>
        <v>406.72414537963573</v>
      </c>
      <c r="F19" s="87">
        <f>IF(F7=0,0,F7/TrAvia_act!F15*100)</f>
        <v>408.06202669699456</v>
      </c>
      <c r="G19" s="87">
        <f>IF(G7=0,0,G7/TrAvia_act!G15*100)</f>
        <v>380.8847755957155</v>
      </c>
      <c r="H19" s="87">
        <f>IF(H7=0,0,H7/TrAvia_act!H15*100)</f>
        <v>372.35109244561363</v>
      </c>
      <c r="I19" s="87">
        <f>IF(I7=0,0,I7/TrAvia_act!I15*100)</f>
        <v>358.23519022401143</v>
      </c>
      <c r="J19" s="87">
        <f>IF(J7=0,0,J7/TrAvia_act!J15*100)</f>
        <v>357.20486219857258</v>
      </c>
      <c r="K19" s="87">
        <f>IF(K7=0,0,K7/TrAvia_act!K15*100)</f>
        <v>320.56586172879679</v>
      </c>
      <c r="L19" s="87">
        <f>IF(L7=0,0,L7/TrAvia_act!L15*100)</f>
        <v>327.76027186806135</v>
      </c>
      <c r="M19" s="87">
        <f>IF(M7=0,0,M7/TrAvia_act!M15*100)</f>
        <v>338.09594857571165</v>
      </c>
      <c r="N19" s="87">
        <f>IF(N7=0,0,N7/TrAvia_act!N15*100)</f>
        <v>332.2799651270517</v>
      </c>
      <c r="O19" s="87">
        <f>IF(O7=0,0,O7/TrAvia_act!O15*100)</f>
        <v>328.04003125111757</v>
      </c>
      <c r="P19" s="87">
        <f>IF(P7=0,0,P7/TrAvia_act!P15*100)</f>
        <v>335.22863239079555</v>
      </c>
      <c r="Q19" s="87">
        <f>IF(Q7=0,0,Q7/TrAvia_act!Q15*100)</f>
        <v>337.57482926408494</v>
      </c>
      <c r="R19" s="87">
        <f>IF(R7=0,0,R7/TrAvia_act!R15*100)</f>
        <v>353.3067918349708</v>
      </c>
      <c r="S19" s="87">
        <f>IF(S7=0,0,S7/TrAvia_act!S15*100)</f>
        <v>351.21786585114864</v>
      </c>
      <c r="T19" s="87">
        <f>IF(T7=0,0,T7/TrAvia_act!T15*100)</f>
        <v>357.02254008729182</v>
      </c>
      <c r="U19" s="87">
        <f>IF(U7=0,0,U7/TrAvia_act!U15*100)</f>
        <v>341.43403819588468</v>
      </c>
      <c r="V19" s="87">
        <f>IF(V7=0,0,V7/TrAvia_act!V15*100)</f>
        <v>322.28486046950763</v>
      </c>
      <c r="W19" s="87">
        <f>IF(W7=0,0,W7/TrAvia_act!W15*100)</f>
        <v>281.43063383496821</v>
      </c>
      <c r="X19" s="87">
        <f>IF(X7=0,0,X7/TrAvia_act!X15*100)</f>
        <v>330.85713142408139</v>
      </c>
      <c r="Y19" s="87">
        <f>IF(Y7=0,0,Y7/TrAvia_act!Y15*100)</f>
        <v>354.89120508160681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377.78485848213023</v>
      </c>
      <c r="C20" s="87">
        <f>IF(C8=0,0,C8/TrAvia_act!C16*100)</f>
        <v>380.85753558984737</v>
      </c>
      <c r="D20" s="87">
        <f>IF(D8=0,0,D8/TrAvia_act!D16*100)</f>
        <v>392.39768533390833</v>
      </c>
      <c r="E20" s="87">
        <f>IF(E8=0,0,E8/TrAvia_act!E16*100)</f>
        <v>376.48435316374196</v>
      </c>
      <c r="F20" s="87">
        <f>IF(F8=0,0,F8/TrAvia_act!F16*100)</f>
        <v>388.49103312943953</v>
      </c>
      <c r="G20" s="87">
        <f>IF(G8=0,0,G8/TrAvia_act!G16*100)</f>
        <v>392.75236797848316</v>
      </c>
      <c r="H20" s="87">
        <f>IF(H8=0,0,H8/TrAvia_act!H16*100)</f>
        <v>419.83214593721544</v>
      </c>
      <c r="I20" s="87">
        <f>IF(I8=0,0,I8/TrAvia_act!I16*100)</f>
        <v>450.73662747637781</v>
      </c>
      <c r="J20" s="87">
        <f>IF(J8=0,0,J8/TrAvia_act!J16*100)</f>
        <v>474.30078544004095</v>
      </c>
      <c r="K20" s="87">
        <f>IF(K8=0,0,K8/TrAvia_act!K16*100)</f>
        <v>442.11360742675765</v>
      </c>
      <c r="L20" s="87">
        <f>IF(L8=0,0,L8/TrAvia_act!L16*100)</f>
        <v>461.01464311812811</v>
      </c>
      <c r="M20" s="87">
        <f>IF(M8=0,0,M8/TrAvia_act!M16*100)</f>
        <v>482.10304366260004</v>
      </c>
      <c r="N20" s="87">
        <f>IF(N8=0,0,N8/TrAvia_act!N16*100)</f>
        <v>506.10518997781958</v>
      </c>
      <c r="O20" s="87">
        <f>IF(O8=0,0,O8/TrAvia_act!O16*100)</f>
        <v>514.55715330498833</v>
      </c>
      <c r="P20" s="87">
        <f>IF(P8=0,0,P8/TrAvia_act!P16*100)</f>
        <v>508.50691751137128</v>
      </c>
      <c r="Q20" s="87">
        <f>IF(Q8=0,0,Q8/TrAvia_act!Q16*100)</f>
        <v>527.47490721223824</v>
      </c>
      <c r="R20" s="87">
        <f>IF(R8=0,0,R8/TrAvia_act!R16*100)</f>
        <v>540.24985938591874</v>
      </c>
      <c r="S20" s="87">
        <f>IF(S8=0,0,S8/TrAvia_act!S16*100)</f>
        <v>538.89136017603209</v>
      </c>
      <c r="T20" s="87">
        <f>IF(T8=0,0,T8/TrAvia_act!T16*100)</f>
        <v>554.78627732158554</v>
      </c>
      <c r="U20" s="87">
        <f>IF(U8=0,0,U8/TrAvia_act!U16*100)</f>
        <v>591.99131119934248</v>
      </c>
      <c r="V20" s="87">
        <f>IF(V8=0,0,V8/TrAvia_act!V16*100)</f>
        <v>588.52842471514725</v>
      </c>
      <c r="W20" s="87">
        <f>IF(W8=0,0,W8/TrAvia_act!W16*100)</f>
        <v>614.08754578469473</v>
      </c>
      <c r="X20" s="87">
        <f>IF(X8=0,0,X8/TrAvia_act!X16*100)</f>
        <v>493.19183775474505</v>
      </c>
      <c r="Y20" s="87">
        <f>IF(Y8=0,0,Y8/TrAvia_act!Y16*100)</f>
        <v>510.94571539017591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766.4256215297313</v>
      </c>
      <c r="C21" s="87">
        <f>IF(C9=0,0,C9/TrAvia_act!C17*100)</f>
        <v>772.42717165613089</v>
      </c>
      <c r="D21" s="87">
        <f>IF(D9=0,0,D9/TrAvia_act!D17*100)</f>
        <v>795.20431955924857</v>
      </c>
      <c r="E21" s="87">
        <f>IF(E9=0,0,E9/TrAvia_act!E17*100)</f>
        <v>762.80255785843315</v>
      </c>
      <c r="F21" s="87">
        <f>IF(F9=0,0,F9/TrAvia_act!F17*100)</f>
        <v>787.66321545510039</v>
      </c>
      <c r="G21" s="87">
        <f>IF(G9=0,0,G9/TrAvia_act!G17*100)</f>
        <v>717.37276001993939</v>
      </c>
      <c r="H21" s="87">
        <f>IF(H9=0,0,H9/TrAvia_act!H17*100)</f>
        <v>651.83983993398795</v>
      </c>
      <c r="I21" s="87">
        <f>IF(I9=0,0,I9/TrAvia_act!I17*100)</f>
        <v>575.22377708574857</v>
      </c>
      <c r="J21" s="87">
        <f>IF(J9=0,0,J9/TrAvia_act!J17*100)</f>
        <v>536.22948564043588</v>
      </c>
      <c r="K21" s="87">
        <f>IF(K9=0,0,K9/TrAvia_act!K17*100)</f>
        <v>512.05029771333773</v>
      </c>
      <c r="L21" s="87">
        <f>IF(L9=0,0,L9/TrAvia_act!L17*100)</f>
        <v>502.32698407582899</v>
      </c>
      <c r="M21" s="87">
        <f>IF(M9=0,0,M9/TrAvia_act!M17*100)</f>
        <v>487.27482530121648</v>
      </c>
      <c r="N21" s="87">
        <f>IF(N9=0,0,N9/TrAvia_act!N17*100)</f>
        <v>476.88699167677572</v>
      </c>
      <c r="O21" s="87">
        <f>IF(O9=0,0,O9/TrAvia_act!O17*100)</f>
        <v>473.93769061574744</v>
      </c>
      <c r="P21" s="87">
        <f>IF(P9=0,0,P9/TrAvia_act!P17*100)</f>
        <v>443.18485430338808</v>
      </c>
      <c r="Q21" s="87">
        <f>IF(Q9=0,0,Q9/TrAvia_act!Q17*100)</f>
        <v>439.78748197057246</v>
      </c>
      <c r="R21" s="87">
        <f>IF(R9=0,0,R9/TrAvia_act!R17*100)</f>
        <v>424.10374049759679</v>
      </c>
      <c r="S21" s="87">
        <f>IF(S9=0,0,S9/TrAvia_act!S17*100)</f>
        <v>406.00538497565759</v>
      </c>
      <c r="T21" s="87">
        <f>IF(T9=0,0,T9/TrAvia_act!T17*100)</f>
        <v>402.98277373180832</v>
      </c>
      <c r="U21" s="87">
        <f>IF(U9=0,0,U9/TrAvia_act!U17*100)</f>
        <v>394.55207985913876</v>
      </c>
      <c r="V21" s="87">
        <f>IF(V9=0,0,V9/TrAvia_act!V17*100)</f>
        <v>512.39988969146384</v>
      </c>
      <c r="W21" s="87">
        <f>IF(W9=0,0,W9/TrAvia_act!W17*100)</f>
        <v>485.05626793880003</v>
      </c>
      <c r="X21" s="87">
        <f>IF(X9=0,0,X9/TrAvia_act!X17*100)</f>
        <v>432.59283269390511</v>
      </c>
      <c r="Y21" s="87">
        <f>IF(Y9=0,0,Y9/TrAvia_act!Y17*100)</f>
        <v>394.7791817526101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399.29430417614975</v>
      </c>
      <c r="C22" s="15">
        <f>IF(C10=0,0,C10/TrAvia_act!C18*100)</f>
        <v>395.09016017432231</v>
      </c>
      <c r="D22" s="15">
        <f>IF(D10=0,0,D10/TrAvia_act!D18*100)</f>
        <v>409.78441605913514</v>
      </c>
      <c r="E22" s="15">
        <f>IF(E10=0,0,E10/TrAvia_act!E18*100)</f>
        <v>380.85942206821699</v>
      </c>
      <c r="F22" s="15">
        <f>IF(F10=0,0,F10/TrAvia_act!F18*100)</f>
        <v>390.5225931231767</v>
      </c>
      <c r="G22" s="15">
        <f>IF(G10=0,0,G10/TrAvia_act!G18*100)</f>
        <v>377.26610797794444</v>
      </c>
      <c r="H22" s="15">
        <f>IF(H10=0,0,H10/TrAvia_act!H18*100)</f>
        <v>372.33020829426533</v>
      </c>
      <c r="I22" s="15">
        <f>IF(I10=0,0,I10/TrAvia_act!I18*100)</f>
        <v>366.35171070950008</v>
      </c>
      <c r="J22" s="15">
        <f>IF(J10=0,0,J10/TrAvia_act!J18*100)</f>
        <v>380.99289148049303</v>
      </c>
      <c r="K22" s="15">
        <f>IF(K10=0,0,K10/TrAvia_act!K18*100)</f>
        <v>385.88590019559382</v>
      </c>
      <c r="L22" s="15">
        <f>IF(L10=0,0,L10/TrAvia_act!L18*100)</f>
        <v>418.46812741432001</v>
      </c>
      <c r="M22" s="15">
        <f>IF(M10=0,0,M10/TrAvia_act!M18*100)</f>
        <v>400.10776174076045</v>
      </c>
      <c r="N22" s="15">
        <f>IF(N10=0,0,N10/TrAvia_act!N18*100)</f>
        <v>405.68119575610825</v>
      </c>
      <c r="O22" s="15">
        <f>IF(O10=0,0,O10/TrAvia_act!O18*100)</f>
        <v>410.10327405175673</v>
      </c>
      <c r="P22" s="15">
        <f>IF(P10=0,0,P10/TrAvia_act!P18*100)</f>
        <v>415.94576809277771</v>
      </c>
      <c r="Q22" s="15">
        <f>IF(Q10=0,0,Q10/TrAvia_act!Q18*100)</f>
        <v>437.3708775782128</v>
      </c>
      <c r="R22" s="15">
        <f>IF(R10=0,0,R10/TrAvia_act!R18*100)</f>
        <v>433.0030484518694</v>
      </c>
      <c r="S22" s="15">
        <f>IF(S10=0,0,S10/TrAvia_act!S18*100)</f>
        <v>443.22657681020996</v>
      </c>
      <c r="T22" s="15">
        <f>IF(T10=0,0,T10/TrAvia_act!T18*100)</f>
        <v>463.29940968420493</v>
      </c>
      <c r="U22" s="15">
        <f>IF(U10=0,0,U10/TrAvia_act!U18*100)</f>
        <v>534.6904701013973</v>
      </c>
      <c r="V22" s="15">
        <f>IF(V10=0,0,V10/TrAvia_act!V18*100)</f>
        <v>447.20927931757251</v>
      </c>
      <c r="W22" s="15">
        <f>IF(W10=0,0,W10/TrAvia_act!W18*100)</f>
        <v>455.32178595964473</v>
      </c>
      <c r="X22" s="15">
        <f>IF(X10=0,0,X10/TrAvia_act!X18*100)</f>
        <v>339.96480889859771</v>
      </c>
      <c r="Y22" s="15">
        <f>IF(Y10=0,0,Y10/TrAvia_act!Y18*100)</f>
        <v>363.00326118426989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626.08117645297762</v>
      </c>
      <c r="C23" s="101">
        <f>IF(C11=0,0,C11/TrAvia_act!C19*100)</f>
        <v>633.51582495110802</v>
      </c>
      <c r="D23" s="101">
        <f>IF(D11=0,0,D11/TrAvia_act!D19*100)</f>
        <v>590.59499788364315</v>
      </c>
      <c r="E23" s="101">
        <f>IF(E11=0,0,E11/TrAvia_act!E19*100)</f>
        <v>584.78586745215864</v>
      </c>
      <c r="F23" s="101">
        <f>IF(F11=0,0,F11/TrAvia_act!F19*100)</f>
        <v>586.70946627363878</v>
      </c>
      <c r="G23" s="101">
        <f>IF(G11=0,0,G11/TrAvia_act!G19*100)</f>
        <v>539.94926587692578</v>
      </c>
      <c r="H23" s="101">
        <f>IF(H11=0,0,H11/TrAvia_act!H19*100)</f>
        <v>595.90663205696512</v>
      </c>
      <c r="I23" s="101">
        <f>IF(I11=0,0,I11/TrAvia_act!I19*100)</f>
        <v>597.32200268799488</v>
      </c>
      <c r="J23" s="101">
        <f>IF(J11=0,0,J11/TrAvia_act!J19*100)</f>
        <v>674.31013164750368</v>
      </c>
      <c r="K23" s="101">
        <f>IF(K11=0,0,K11/TrAvia_act!K19*100)</f>
        <v>655.42361121200554</v>
      </c>
      <c r="L23" s="101">
        <f>IF(L11=0,0,L11/TrAvia_act!L19*100)</f>
        <v>737.57055160514267</v>
      </c>
      <c r="M23" s="101">
        <f>IF(M11=0,0,M11/TrAvia_act!M19*100)</f>
        <v>574.65890675610797</v>
      </c>
      <c r="N23" s="101">
        <f>IF(N11=0,0,N11/TrAvia_act!N19*100)</f>
        <v>458.21510028513978</v>
      </c>
      <c r="O23" s="101">
        <f>IF(O11=0,0,O11/TrAvia_act!O19*100)</f>
        <v>464.61585693664142</v>
      </c>
      <c r="P23" s="101">
        <f>IF(P11=0,0,P11/TrAvia_act!P19*100)</f>
        <v>473.03231934595652</v>
      </c>
      <c r="Q23" s="101">
        <f>IF(Q11=0,0,Q11/TrAvia_act!Q19*100)</f>
        <v>482.99501281337643</v>
      </c>
      <c r="R23" s="101">
        <f>IF(R11=0,0,R11/TrAvia_act!R19*100)</f>
        <v>509.2726332035096</v>
      </c>
      <c r="S23" s="101">
        <f>IF(S11=0,0,S11/TrAvia_act!S19*100)</f>
        <v>507.48175875146472</v>
      </c>
      <c r="T23" s="101">
        <f>IF(T11=0,0,T11/TrAvia_act!T19*100)</f>
        <v>508.62069184793353</v>
      </c>
      <c r="U23" s="101">
        <f>IF(U11=0,0,U11/TrAvia_act!U19*100)</f>
        <v>524.15757066000936</v>
      </c>
      <c r="V23" s="101">
        <f>IF(V11=0,0,V11/TrAvia_act!V19*100)</f>
        <v>595.95538359402588</v>
      </c>
      <c r="W23" s="101">
        <f>IF(W11=0,0,W11/TrAvia_act!W19*100)</f>
        <v>449.34042344678795</v>
      </c>
      <c r="X23" s="101">
        <f>IF(X11=0,0,X11/TrAvia_act!X19*100)</f>
        <v>543.17321992973154</v>
      </c>
      <c r="Y23" s="101">
        <f>IF(Y11=0,0,Y11/TrAvia_act!Y19*100)</f>
        <v>699.54984828586748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336.18487502935125</v>
      </c>
      <c r="C24" s="101">
        <f>IF(C12=0,0,C12/TrAvia_act!C20*100)</f>
        <v>336.52019816075403</v>
      </c>
      <c r="D24" s="101">
        <f>IF(D12=0,0,D12/TrAvia_act!D20*100)</f>
        <v>350.47301132579781</v>
      </c>
      <c r="E24" s="101">
        <f>IF(E12=0,0,E12/TrAvia_act!E20*100)</f>
        <v>336.99091468614228</v>
      </c>
      <c r="F24" s="101">
        <f>IF(F12=0,0,F12/TrAvia_act!F20*100)</f>
        <v>348.89699985402996</v>
      </c>
      <c r="G24" s="101">
        <f>IF(G12=0,0,G12/TrAvia_act!G20*100)</f>
        <v>352.01496803303837</v>
      </c>
      <c r="H24" s="101">
        <f>IF(H12=0,0,H12/TrAvia_act!H20*100)</f>
        <v>377.6628123566453</v>
      </c>
      <c r="I24" s="101">
        <f>IF(I12=0,0,I12/TrAvia_act!I20*100)</f>
        <v>405.09317239331699</v>
      </c>
      <c r="J24" s="101">
        <f>IF(J12=0,0,J12/TrAvia_act!J20*100)</f>
        <v>432.78399526461681</v>
      </c>
      <c r="K24" s="101">
        <f>IF(K12=0,0,K12/TrAvia_act!K20*100)</f>
        <v>404.97459332030019</v>
      </c>
      <c r="L24" s="101">
        <f>IF(L12=0,0,L12/TrAvia_act!L20*100)</f>
        <v>433.70350035703541</v>
      </c>
      <c r="M24" s="101">
        <f>IF(M12=0,0,M12/TrAvia_act!M20*100)</f>
        <v>454.27564336701334</v>
      </c>
      <c r="N24" s="101">
        <f>IF(N12=0,0,N12/TrAvia_act!N20*100)</f>
        <v>483.29784331144134</v>
      </c>
      <c r="O24" s="101">
        <f>IF(O12=0,0,O12/TrAvia_act!O20*100)</f>
        <v>479.15190650138737</v>
      </c>
      <c r="P24" s="101">
        <f>IF(P12=0,0,P12/TrAvia_act!P20*100)</f>
        <v>468.44572833673385</v>
      </c>
      <c r="Q24" s="101">
        <f>IF(Q12=0,0,Q12/TrAvia_act!Q20*100)</f>
        <v>487.27976440707437</v>
      </c>
      <c r="R24" s="101">
        <f>IF(R12=0,0,R12/TrAvia_act!R20*100)</f>
        <v>505.98106958906578</v>
      </c>
      <c r="S24" s="101">
        <f>IF(S12=0,0,S12/TrAvia_act!S20*100)</f>
        <v>526.4963869505101</v>
      </c>
      <c r="T24" s="101">
        <f>IF(T12=0,0,T12/TrAvia_act!T20*100)</f>
        <v>564.48964573237674</v>
      </c>
      <c r="U24" s="101">
        <f>IF(U12=0,0,U12/TrAvia_act!U20*100)</f>
        <v>653.44852192508301</v>
      </c>
      <c r="V24" s="101">
        <f>IF(V12=0,0,V12/TrAvia_act!V20*100)</f>
        <v>526.52682786146124</v>
      </c>
      <c r="W24" s="101">
        <f>IF(W12=0,0,W12/TrAvia_act!W20*100)</f>
        <v>598.95754440092787</v>
      </c>
      <c r="X24" s="101">
        <f>IF(X12=0,0,X12/TrAvia_act!X20*100)</f>
        <v>495.43469849351379</v>
      </c>
      <c r="Y24" s="101">
        <f>IF(Y12=0,0,Y12/TrAvia_act!Y20*100)</f>
        <v>560.74109856957216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443.16677141642629</v>
      </c>
      <c r="C25" s="88">
        <f>IF(C13=0,0,C13/TrAvia_act!C21*100)</f>
        <v>446.63702021591433</v>
      </c>
      <c r="D25" s="88">
        <f>IF(D13=0,0,D13/TrAvia_act!D21*100)</f>
        <v>459.8073459654006</v>
      </c>
      <c r="E25" s="88">
        <f>IF(E13=0,0,E13/TrAvia_act!E21*100)</f>
        <v>441.07182392936227</v>
      </c>
      <c r="F25" s="88">
        <f>IF(F13=0,0,F13/TrAvia_act!F21*100)</f>
        <v>455.44688793154711</v>
      </c>
      <c r="G25" s="88">
        <f>IF(G13=0,0,G13/TrAvia_act!G21*100)</f>
        <v>404.331941476363</v>
      </c>
      <c r="H25" s="88">
        <f>IF(H13=0,0,H13/TrAvia_act!H21*100)</f>
        <v>337.92277391442218</v>
      </c>
      <c r="I25" s="88">
        <f>IF(I13=0,0,I13/TrAvia_act!I21*100)</f>
        <v>278.72627170611651</v>
      </c>
      <c r="J25" s="88">
        <f>IF(J13=0,0,J13/TrAvia_act!J21*100)</f>
        <v>277.01593282013357</v>
      </c>
      <c r="K25" s="88">
        <f>IF(K13=0,0,K13/TrAvia_act!K21*100)</f>
        <v>303.94359761346692</v>
      </c>
      <c r="L25" s="88">
        <f>IF(L13=0,0,L13/TrAvia_act!L21*100)</f>
        <v>350.30711041983614</v>
      </c>
      <c r="M25" s="88">
        <f>IF(M13=0,0,M13/TrAvia_act!M21*100)</f>
        <v>312.06551507835655</v>
      </c>
      <c r="N25" s="88">
        <f>IF(N13=0,0,N13/TrAvia_act!N21*100)</f>
        <v>320.64382142677789</v>
      </c>
      <c r="O25" s="88">
        <f>IF(O13=0,0,O13/TrAvia_act!O21*100)</f>
        <v>310.45844787932515</v>
      </c>
      <c r="P25" s="88">
        <f>IF(P13=0,0,P13/TrAvia_act!P21*100)</f>
        <v>301.67262446358137</v>
      </c>
      <c r="Q25" s="88">
        <f>IF(Q13=0,0,Q13/TrAvia_act!Q21*100)</f>
        <v>299.96294164427491</v>
      </c>
      <c r="R25" s="88">
        <f>IF(R13=0,0,R13/TrAvia_act!R21*100)</f>
        <v>266.69787650101438</v>
      </c>
      <c r="S25" s="88">
        <f>IF(S13=0,0,S13/TrAvia_act!S21*100)</f>
        <v>249.60760415425676</v>
      </c>
      <c r="T25" s="88">
        <f>IF(T13=0,0,T13/TrAvia_act!T21*100)</f>
        <v>253.28573793884618</v>
      </c>
      <c r="U25" s="88">
        <f>IF(U13=0,0,U13/TrAvia_act!U21*100)</f>
        <v>223.42205207751684</v>
      </c>
      <c r="V25" s="88">
        <f>IF(V13=0,0,V13/TrAvia_act!V21*100)</f>
        <v>294.63248383013098</v>
      </c>
      <c r="W25" s="88">
        <f>IF(W13=0,0,W13/TrAvia_act!W21*100)</f>
        <v>263.67222546803248</v>
      </c>
      <c r="X25" s="88">
        <f>IF(X13=0,0,X13/TrAvia_act!X21*100)</f>
        <v>180.47010071841629</v>
      </c>
      <c r="Y25" s="88">
        <f>IF(Y13=0,0,Y13/TrAvia_act!Y21*100)</f>
        <v>250.56462392843108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45.169659006012488</v>
      </c>
      <c r="C28" s="14">
        <f>IF(C6=0,0,C6/TrAvia_act!C4*1000)</f>
        <v>45.74074657098906</v>
      </c>
      <c r="D28" s="14">
        <f>IF(D6=0,0,D6/TrAvia_act!D4*1000)</f>
        <v>44.054758813203023</v>
      </c>
      <c r="E28" s="14">
        <f>IF(E6=0,0,E6/TrAvia_act!E4*1000)</f>
        <v>45.777697391316678</v>
      </c>
      <c r="F28" s="14">
        <f>IF(F6=0,0,F6/TrAvia_act!F4*1000)</f>
        <v>45.034016773219747</v>
      </c>
      <c r="G28" s="14">
        <f>IF(G6=0,0,G6/TrAvia_act!G4*1000)</f>
        <v>41.432536104816577</v>
      </c>
      <c r="H28" s="14">
        <f>IF(H6=0,0,H6/TrAvia_act!H4*1000)</f>
        <v>40.412659109522203</v>
      </c>
      <c r="I28" s="14">
        <f>IF(I6=0,0,I6/TrAvia_act!I4*1000)</f>
        <v>38.818865976771256</v>
      </c>
      <c r="J28" s="14">
        <f>IF(J6=0,0,J6/TrAvia_act!J4*1000)</f>
        <v>39.958866874446954</v>
      </c>
      <c r="K28" s="14">
        <f>IF(K6=0,0,K6/TrAvia_act!K4*1000)</f>
        <v>37.146385224952532</v>
      </c>
      <c r="L28" s="14">
        <f>IF(L6=0,0,L6/TrAvia_act!L4*1000)</f>
        <v>36.740176319689425</v>
      </c>
      <c r="M28" s="14">
        <f>IF(M6=0,0,M6/TrAvia_act!M4*1000)</f>
        <v>37.762057236974421</v>
      </c>
      <c r="N28" s="14">
        <f>IF(N6=0,0,N6/TrAvia_act!N4*1000)</f>
        <v>34.128284776324215</v>
      </c>
      <c r="O28" s="14">
        <f>IF(O6=0,0,O6/TrAvia_act!O4*1000)</f>
        <v>33.980917778997963</v>
      </c>
      <c r="P28" s="14">
        <f>IF(P6=0,0,P6/TrAvia_act!P4*1000)</f>
        <v>32.525187563448512</v>
      </c>
      <c r="Q28" s="14">
        <f>IF(Q6=0,0,Q6/TrAvia_act!Q4*1000)</f>
        <v>33.233894739853348</v>
      </c>
      <c r="R28" s="14">
        <f>IF(R6=0,0,R6/TrAvia_act!R4*1000)</f>
        <v>31.888370995226435</v>
      </c>
      <c r="S28" s="14">
        <f>IF(S6=0,0,S6/TrAvia_act!S4*1000)</f>
        <v>29.375679505513698</v>
      </c>
      <c r="T28" s="14">
        <f>IF(T6=0,0,T6/TrAvia_act!T4*1000)</f>
        <v>30.23569470362866</v>
      </c>
      <c r="U28" s="14">
        <f>IF(U6=0,0,U6/TrAvia_act!U4*1000)</f>
        <v>29.926465749944771</v>
      </c>
      <c r="V28" s="14">
        <f>IF(V6=0,0,V6/TrAvia_act!V4*1000)</f>
        <v>42.484087707759386</v>
      </c>
      <c r="W28" s="14">
        <f>IF(W6=0,0,W6/TrAvia_act!W4*1000)</f>
        <v>59.942510004826524</v>
      </c>
      <c r="X28" s="14">
        <f>IF(X6=0,0,X6/TrAvia_act!X4*1000)</f>
        <v>32.146220393537817</v>
      </c>
      <c r="Y28" s="14">
        <f>IF(Y6=0,0,Y6/TrAvia_act!Y4*1000)</f>
        <v>27.007061472943967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77.4884618768656</v>
      </c>
      <c r="C29" s="87">
        <f>IF(C7=0,0,C7/TrAvia_act!C5*1000)</f>
        <v>77.720012326408636</v>
      </c>
      <c r="D29" s="87">
        <f>IF(D7=0,0,D7/TrAvia_act!D5*1000)</f>
        <v>67.599768153477783</v>
      </c>
      <c r="E29" s="87">
        <f>IF(E7=0,0,E7/TrAvia_act!E5*1000)</f>
        <v>78.30289983338902</v>
      </c>
      <c r="F29" s="87">
        <f>IF(F7=0,0,F7/TrAvia_act!F5*1000)</f>
        <v>75.456484478103292</v>
      </c>
      <c r="G29" s="87">
        <f>IF(G7=0,0,G7/TrAvia_act!G5*1000)</f>
        <v>72.432097670723721</v>
      </c>
      <c r="H29" s="87">
        <f>IF(H7=0,0,H7/TrAvia_act!H5*1000)</f>
        <v>70.474312848883699</v>
      </c>
      <c r="I29" s="87">
        <f>IF(I7=0,0,I7/TrAvia_act!I5*1000)</f>
        <v>62.835721335254242</v>
      </c>
      <c r="J29" s="87">
        <f>IF(J7=0,0,J7/TrAvia_act!J5*1000)</f>
        <v>65.580343089479811</v>
      </c>
      <c r="K29" s="87">
        <f>IF(K7=0,0,K7/TrAvia_act!K5*1000)</f>
        <v>65.298070408109126</v>
      </c>
      <c r="L29" s="87">
        <f>IF(L7=0,0,L7/TrAvia_act!L5*1000)</f>
        <v>65.574517381777497</v>
      </c>
      <c r="M29" s="87">
        <f>IF(M7=0,0,M7/TrAvia_act!M5*1000)</f>
        <v>61.878995387885254</v>
      </c>
      <c r="N29" s="87">
        <f>IF(N7=0,0,N7/TrAvia_act!N5*1000)</f>
        <v>51.672012640005711</v>
      </c>
      <c r="O29" s="87">
        <f>IF(O7=0,0,O7/TrAvia_act!O5*1000)</f>
        <v>49.197423543167623</v>
      </c>
      <c r="P29" s="87">
        <f>IF(P7=0,0,P7/TrAvia_act!P5*1000)</f>
        <v>47.267519569141257</v>
      </c>
      <c r="Q29" s="87">
        <f>IF(Q7=0,0,Q7/TrAvia_act!Q5*1000)</f>
        <v>45.39106943583446</v>
      </c>
      <c r="R29" s="87">
        <f>IF(R7=0,0,R7/TrAvia_act!R5*1000)</f>
        <v>43.844225363476298</v>
      </c>
      <c r="S29" s="87">
        <f>IF(S7=0,0,S7/TrAvia_act!S5*1000)</f>
        <v>42.336947315221536</v>
      </c>
      <c r="T29" s="87">
        <f>IF(T7=0,0,T7/TrAvia_act!T5*1000)</f>
        <v>41.525629951173293</v>
      </c>
      <c r="U29" s="87">
        <f>IF(U7=0,0,U7/TrAvia_act!U5*1000)</f>
        <v>39.587780550075664</v>
      </c>
      <c r="V29" s="87">
        <f>IF(V7=0,0,V7/TrAvia_act!V5*1000)</f>
        <v>43.857546888386601</v>
      </c>
      <c r="W29" s="87">
        <f>IF(W7=0,0,W7/TrAvia_act!W5*1000)</f>
        <v>43.806847150278749</v>
      </c>
      <c r="X29" s="87">
        <f>IF(X7=0,0,X7/TrAvia_act!X5*1000)</f>
        <v>39.984072810385719</v>
      </c>
      <c r="Y29" s="87">
        <f>IF(Y7=0,0,Y7/TrAvia_act!Y5*1000)</f>
        <v>41.394720908408608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38.197839310562934</v>
      </c>
      <c r="C30" s="87">
        <f>IF(C8=0,0,C8/TrAvia_act!C6*1000)</f>
        <v>38.745286571326922</v>
      </c>
      <c r="D30" s="87">
        <f>IF(D8=0,0,D8/TrAvia_act!D6*1000)</f>
        <v>37.677972837916442</v>
      </c>
      <c r="E30" s="87">
        <f>IF(E8=0,0,E8/TrAvia_act!E6*1000)</f>
        <v>38.837989672685801</v>
      </c>
      <c r="F30" s="87">
        <f>IF(F8=0,0,F8/TrAvia_act!F6*1000)</f>
        <v>40.397175388543417</v>
      </c>
      <c r="G30" s="87">
        <f>IF(G8=0,0,G8/TrAvia_act!G6*1000)</f>
        <v>38.243840349027366</v>
      </c>
      <c r="H30" s="87">
        <f>IF(H8=0,0,H8/TrAvia_act!H6*1000)</f>
        <v>39.982472335700322</v>
      </c>
      <c r="I30" s="87">
        <f>IF(I8=0,0,I8/TrAvia_act!I6*1000)</f>
        <v>44.36488755275527</v>
      </c>
      <c r="J30" s="87">
        <f>IF(J8=0,0,J8/TrAvia_act!J6*1000)</f>
        <v>49.742179784504152</v>
      </c>
      <c r="K30" s="87">
        <f>IF(K8=0,0,K8/TrAvia_act!K6*1000)</f>
        <v>45.199632473998584</v>
      </c>
      <c r="L30" s="87">
        <f>IF(L8=0,0,L8/TrAvia_act!L6*1000)</f>
        <v>46.930394699157972</v>
      </c>
      <c r="M30" s="87">
        <f>IF(M8=0,0,M8/TrAvia_act!M6*1000)</f>
        <v>49.03663657874894</v>
      </c>
      <c r="N30" s="87">
        <f>IF(N8=0,0,N8/TrAvia_act!N6*1000)</f>
        <v>46.350471221942513</v>
      </c>
      <c r="O30" s="87">
        <f>IF(O8=0,0,O8/TrAvia_act!O6*1000)</f>
        <v>45.024907256981521</v>
      </c>
      <c r="P30" s="87">
        <f>IF(P8=0,0,P8/TrAvia_act!P6*1000)</f>
        <v>40.410195452669512</v>
      </c>
      <c r="Q30" s="87">
        <f>IF(Q8=0,0,Q8/TrAvia_act!Q6*1000)</f>
        <v>42.603823373768144</v>
      </c>
      <c r="R30" s="87">
        <f>IF(R8=0,0,R8/TrAvia_act!R6*1000)</f>
        <v>41.968141722479352</v>
      </c>
      <c r="S30" s="87">
        <f>IF(S8=0,0,S8/TrAvia_act!S6*1000)</f>
        <v>39.883959471152345</v>
      </c>
      <c r="T30" s="87">
        <f>IF(T8=0,0,T8/TrAvia_act!T6*1000)</f>
        <v>42.149622970565751</v>
      </c>
      <c r="U30" s="87">
        <f>IF(U8=0,0,U8/TrAvia_act!U6*1000)</f>
        <v>43.552364652693676</v>
      </c>
      <c r="V30" s="87">
        <f>IF(V8=0,0,V8/TrAvia_act!V6*1000)</f>
        <v>59.096743948037947</v>
      </c>
      <c r="W30" s="87">
        <f>IF(W8=0,0,W8/TrAvia_act!W6*1000)</f>
        <v>67.276998826327684</v>
      </c>
      <c r="X30" s="87">
        <f>IF(X8=0,0,X8/TrAvia_act!X6*1000)</f>
        <v>40.651418228550618</v>
      </c>
      <c r="Y30" s="87">
        <f>IF(Y8=0,0,Y8/TrAvia_act!Y6*1000)</f>
        <v>39.405180950087569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41.624146567628237</v>
      </c>
      <c r="C31" s="87">
        <f>IF(C9=0,0,C9/TrAvia_act!C7*1000)</f>
        <v>43.14941172808448</v>
      </c>
      <c r="D31" s="87">
        <f>IF(D9=0,0,D9/TrAvia_act!D7*1000)</f>
        <v>44.516968643607697</v>
      </c>
      <c r="E31" s="87">
        <f>IF(E9=0,0,E9/TrAvia_act!E7*1000)</f>
        <v>45.093373324462661</v>
      </c>
      <c r="F31" s="87">
        <f>IF(F9=0,0,F9/TrAvia_act!F7*1000)</f>
        <v>41.236214033455546</v>
      </c>
      <c r="G31" s="87">
        <f>IF(G9=0,0,G9/TrAvia_act!G7*1000)</f>
        <v>35.920663784586843</v>
      </c>
      <c r="H31" s="87">
        <f>IF(H9=0,0,H9/TrAvia_act!H7*1000)</f>
        <v>32.28536432152471</v>
      </c>
      <c r="I31" s="87">
        <f>IF(I9=0,0,I9/TrAvia_act!I7*1000)</f>
        <v>26.58574125934345</v>
      </c>
      <c r="J31" s="87">
        <f>IF(J9=0,0,J9/TrAvia_act!J7*1000)</f>
        <v>25.251910337469816</v>
      </c>
      <c r="K31" s="87">
        <f>IF(K9=0,0,K9/TrAvia_act!K7*1000)</f>
        <v>24.056527478240209</v>
      </c>
      <c r="L31" s="87">
        <f>IF(L9=0,0,L9/TrAvia_act!L7*1000)</f>
        <v>22.827968593471958</v>
      </c>
      <c r="M31" s="87">
        <f>IF(M9=0,0,M9/TrAvia_act!M7*1000)</f>
        <v>23.469859807254981</v>
      </c>
      <c r="N31" s="87">
        <f>IF(N9=0,0,N9/TrAvia_act!N7*1000)</f>
        <v>21.296341495292591</v>
      </c>
      <c r="O31" s="87">
        <f>IF(O9=0,0,O9/TrAvia_act!O7*1000)</f>
        <v>22.068068409760937</v>
      </c>
      <c r="P31" s="87">
        <f>IF(P9=0,0,P9/TrAvia_act!P7*1000)</f>
        <v>22.283025169003647</v>
      </c>
      <c r="Q31" s="87">
        <f>IF(Q9=0,0,Q9/TrAvia_act!Q7*1000)</f>
        <v>22.166918264154106</v>
      </c>
      <c r="R31" s="87">
        <f>IF(R9=0,0,R9/TrAvia_act!R7*1000)</f>
        <v>20.303710456642513</v>
      </c>
      <c r="S31" s="87">
        <f>IF(S9=0,0,S9/TrAvia_act!S7*1000)</f>
        <v>17.763496977456239</v>
      </c>
      <c r="T31" s="87">
        <f>IF(T9=0,0,T9/TrAvia_act!T7*1000)</f>
        <v>18.027309140138417</v>
      </c>
      <c r="U31" s="87">
        <f>IF(U9=0,0,U9/TrAvia_act!U7*1000)</f>
        <v>17.520337389164204</v>
      </c>
      <c r="V31" s="87">
        <f>IF(V9=0,0,V9/TrAvia_act!V7*1000)</f>
        <v>29.469741041749266</v>
      </c>
      <c r="W31" s="87">
        <f>IF(W9=0,0,W9/TrAvia_act!W7*1000)</f>
        <v>54.751697902896098</v>
      </c>
      <c r="X31" s="87">
        <f>IF(X9=0,0,X9/TrAvia_act!X7*1000)</f>
        <v>21.214611262480251</v>
      </c>
      <c r="Y31" s="87">
        <f>IF(Y9=0,0,Y9/TrAvia_act!Y7*1000)</f>
        <v>15.409004545328139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85.56893293423245</v>
      </c>
      <c r="C32" s="15">
        <f>IF(C10=0,0,C10/TrAvia_act!C8*1000)</f>
        <v>84.412816061185907</v>
      </c>
      <c r="D32" s="15">
        <f>IF(D10=0,0,D10/TrAvia_act!D8*1000)</f>
        <v>85.714731707099205</v>
      </c>
      <c r="E32" s="15">
        <f>IF(E10=0,0,E10/TrAvia_act!E8*1000)</f>
        <v>89.03089713498052</v>
      </c>
      <c r="F32" s="15">
        <f>IF(F10=0,0,F10/TrAvia_act!F8*1000)</f>
        <v>95.122113106155595</v>
      </c>
      <c r="G32" s="15">
        <f>IF(G10=0,0,G10/TrAvia_act!G8*1000)</f>
        <v>90.994497934690131</v>
      </c>
      <c r="H32" s="15">
        <f>IF(H10=0,0,H10/TrAvia_act!H8*1000)</f>
        <v>101.25863675129236</v>
      </c>
      <c r="I32" s="15">
        <f>IF(I10=0,0,I10/TrAvia_act!I8*1000)</f>
        <v>96.982903121421899</v>
      </c>
      <c r="J32" s="15">
        <f>IF(J10=0,0,J10/TrAvia_act!J8*1000)</f>
        <v>100.13523792877024</v>
      </c>
      <c r="K32" s="15">
        <f>IF(K10=0,0,K10/TrAvia_act!K8*1000)</f>
        <v>110.00832478962403</v>
      </c>
      <c r="L32" s="15">
        <f>IF(L10=0,0,L10/TrAvia_act!L8*1000)</f>
        <v>118.67417254014562</v>
      </c>
      <c r="M32" s="15">
        <f>IF(M10=0,0,M10/TrAvia_act!M8*1000)</f>
        <v>89.408066123347339</v>
      </c>
      <c r="N32" s="15">
        <f>IF(N10=0,0,N10/TrAvia_act!N8*1000)</f>
        <v>75.014093890625958</v>
      </c>
      <c r="O32" s="15">
        <f>IF(O10=0,0,O10/TrAvia_act!O8*1000)</f>
        <v>85.220447781615007</v>
      </c>
      <c r="P32" s="15">
        <f>IF(P10=0,0,P10/TrAvia_act!P8*1000)</f>
        <v>83.311993665703</v>
      </c>
      <c r="Q32" s="15">
        <f>IF(Q10=0,0,Q10/TrAvia_act!Q8*1000)</f>
        <v>94.778233109491694</v>
      </c>
      <c r="R32" s="15">
        <f>IF(R10=0,0,R10/TrAvia_act!R8*1000)</f>
        <v>81.939757955389851</v>
      </c>
      <c r="S32" s="15">
        <f>IF(S10=0,0,S10/TrAvia_act!S8*1000)</f>
        <v>88.125451401549782</v>
      </c>
      <c r="T32" s="15">
        <f>IF(T10=0,0,T10/TrAvia_act!T8*1000)</f>
        <v>89.777008246738347</v>
      </c>
      <c r="U32" s="15">
        <f>IF(U10=0,0,U10/TrAvia_act!U8*1000)</f>
        <v>108.5604544761424</v>
      </c>
      <c r="V32" s="15">
        <f>IF(V10=0,0,V10/TrAvia_act!V8*1000)</f>
        <v>104.85803490797888</v>
      </c>
      <c r="W32" s="15">
        <f>IF(W10=0,0,W10/TrAvia_act!W8*1000)</f>
        <v>108.7294369220858</v>
      </c>
      <c r="X32" s="15">
        <f>IF(X10=0,0,X10/TrAvia_act!X8*1000)</f>
        <v>67.138140822447298</v>
      </c>
      <c r="Y32" s="15">
        <f>IF(Y10=0,0,Y10/TrAvia_act!Y8*1000)</f>
        <v>56.455205717727935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531.49811054635097</v>
      </c>
      <c r="C33" s="101">
        <f>IF(C11=0,0,C11/TrAvia_act!C9*1000)</f>
        <v>541.94258820290213</v>
      </c>
      <c r="D33" s="101">
        <f>IF(D11=0,0,D11/TrAvia_act!D9*1000)</f>
        <v>491.30808183164299</v>
      </c>
      <c r="E33" s="101">
        <f>IF(E11=0,0,E11/TrAvia_act!E9*1000)</f>
        <v>457.34581014108068</v>
      </c>
      <c r="F33" s="101">
        <f>IF(F11=0,0,F11/TrAvia_act!F9*1000)</f>
        <v>487.28150371510333</v>
      </c>
      <c r="G33" s="101">
        <f>IF(G11=0,0,G11/TrAvia_act!G9*1000)</f>
        <v>458.23646819309482</v>
      </c>
      <c r="H33" s="101">
        <f>IF(H11=0,0,H11/TrAvia_act!H9*1000)</f>
        <v>525.76158046227704</v>
      </c>
      <c r="I33" s="101">
        <f>IF(I11=0,0,I11/TrAvia_act!I9*1000)</f>
        <v>528.97441198617059</v>
      </c>
      <c r="J33" s="101">
        <f>IF(J11=0,0,J11/TrAvia_act!J9*1000)</f>
        <v>620.6817047898104</v>
      </c>
      <c r="K33" s="101">
        <f>IF(K11=0,0,K11/TrAvia_act!K9*1000)</f>
        <v>598.13099235873494</v>
      </c>
      <c r="L33" s="101">
        <f>IF(L11=0,0,L11/TrAvia_act!L9*1000)</f>
        <v>629.32103232374811</v>
      </c>
      <c r="M33" s="101">
        <f>IF(M11=0,0,M11/TrAvia_act!M9*1000)</f>
        <v>458.80535791018821</v>
      </c>
      <c r="N33" s="101">
        <f>IF(N11=0,0,N11/TrAvia_act!N9*1000)</f>
        <v>358.49012366081229</v>
      </c>
      <c r="O33" s="101">
        <f>IF(O11=0,0,O11/TrAvia_act!O9*1000)</f>
        <v>342.04131080964055</v>
      </c>
      <c r="P33" s="101">
        <f>IF(P11=0,0,P11/TrAvia_act!P9*1000)</f>
        <v>315.24486203660865</v>
      </c>
      <c r="Q33" s="101">
        <f>IF(Q11=0,0,Q11/TrAvia_act!Q9*1000)</f>
        <v>313.3645238410125</v>
      </c>
      <c r="R33" s="101">
        <f>IF(R11=0,0,R11/TrAvia_act!R9*1000)</f>
        <v>282.64573744616303</v>
      </c>
      <c r="S33" s="101">
        <f>IF(S11=0,0,S11/TrAvia_act!S9*1000)</f>
        <v>303.64835044476678</v>
      </c>
      <c r="T33" s="101">
        <f>IF(T11=0,0,T11/TrAvia_act!T9*1000)</f>
        <v>302.54455312574811</v>
      </c>
      <c r="U33" s="101">
        <f>IF(U11=0,0,U11/TrAvia_act!U9*1000)</f>
        <v>282.44827951387066</v>
      </c>
      <c r="V33" s="101">
        <f>IF(V11=0,0,V11/TrAvia_act!V9*1000)</f>
        <v>344.88729818187738</v>
      </c>
      <c r="W33" s="101">
        <f>IF(W11=0,0,W11/TrAvia_act!W9*1000)</f>
        <v>255.36036827277007</v>
      </c>
      <c r="X33" s="101">
        <f>IF(X11=0,0,X11/TrAvia_act!X9*1000)</f>
        <v>307.75624577111091</v>
      </c>
      <c r="Y33" s="101">
        <f>IF(Y11=0,0,Y11/TrAvia_act!Y9*1000)</f>
        <v>402.75309087716431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133.04851680911247</v>
      </c>
      <c r="C34" s="101">
        <f>IF(C12=0,0,C12/TrAvia_act!C10*1000)</f>
        <v>124.63738525048895</v>
      </c>
      <c r="D34" s="101">
        <f>IF(D12=0,0,D12/TrAvia_act!D10*1000)</f>
        <v>137.25901761497494</v>
      </c>
      <c r="E34" s="101">
        <f>IF(E12=0,0,E12/TrAvia_act!E10*1000)</f>
        <v>122.91931637863922</v>
      </c>
      <c r="F34" s="101">
        <f>IF(F12=0,0,F12/TrAvia_act!F10*1000)</f>
        <v>139.33405124416936</v>
      </c>
      <c r="G34" s="101">
        <f>IF(G12=0,0,G12/TrAvia_act!G10*1000)</f>
        <v>144.53756466383973</v>
      </c>
      <c r="H34" s="101">
        <f>IF(H12=0,0,H12/TrAvia_act!H10*1000)</f>
        <v>182.37898529347527</v>
      </c>
      <c r="I34" s="101">
        <f>IF(I12=0,0,I12/TrAvia_act!I10*1000)</f>
        <v>202.35728289235684</v>
      </c>
      <c r="J34" s="101">
        <f>IF(J12=0,0,J12/TrAvia_act!J10*1000)</f>
        <v>222.73497047208636</v>
      </c>
      <c r="K34" s="101">
        <f>IF(K12=0,0,K12/TrAvia_act!K10*1000)</f>
        <v>203.22219605108302</v>
      </c>
      <c r="L34" s="101">
        <f>IF(L12=0,0,L12/TrAvia_act!L10*1000)</f>
        <v>217.92933874909804</v>
      </c>
      <c r="M34" s="101">
        <f>IF(M12=0,0,M12/TrAvia_act!M10*1000)</f>
        <v>218.76123819901724</v>
      </c>
      <c r="N34" s="101">
        <f>IF(N12=0,0,N12/TrAvia_act!N10*1000)</f>
        <v>204.17632959200975</v>
      </c>
      <c r="O34" s="101">
        <f>IF(O12=0,0,O12/TrAvia_act!O10*1000)</f>
        <v>203.32662107195989</v>
      </c>
      <c r="P34" s="101">
        <f>IF(P12=0,0,P12/TrAvia_act!P10*1000)</f>
        <v>161.42188627683527</v>
      </c>
      <c r="Q34" s="101">
        <f>IF(Q12=0,0,Q12/TrAvia_act!Q10*1000)</f>
        <v>174.35053758782163</v>
      </c>
      <c r="R34" s="101">
        <f>IF(R12=0,0,R12/TrAvia_act!R10*1000)</f>
        <v>173.04450791741644</v>
      </c>
      <c r="S34" s="101">
        <f>IF(S12=0,0,S12/TrAvia_act!S10*1000)</f>
        <v>202.24052510137079</v>
      </c>
      <c r="T34" s="101">
        <f>IF(T12=0,0,T12/TrAvia_act!T10*1000)</f>
        <v>222.26988393655586</v>
      </c>
      <c r="U34" s="101">
        <f>IF(U12=0,0,U12/TrAvia_act!U10*1000)</f>
        <v>255.05819461410033</v>
      </c>
      <c r="V34" s="101">
        <f>IF(V12=0,0,V12/TrAvia_act!V10*1000)</f>
        <v>205.83010715801322</v>
      </c>
      <c r="W34" s="101">
        <f>IF(W12=0,0,W12/TrAvia_act!W10*1000)</f>
        <v>246.96121561415328</v>
      </c>
      <c r="X34" s="101">
        <f>IF(X12=0,0,X12/TrAvia_act!X10*1000)</f>
        <v>219.73143043629307</v>
      </c>
      <c r="Y34" s="101">
        <f>IF(Y12=0,0,Y12/TrAvia_act!Y10*1000)</f>
        <v>254.9821737167623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47.670528063534718</v>
      </c>
      <c r="C35" s="88">
        <f>IF(C13=0,0,C13/TrAvia_act!C11*1000)</f>
        <v>45.846810119344887</v>
      </c>
      <c r="D35" s="88">
        <f>IF(D13=0,0,D13/TrAvia_act!D11*1000)</f>
        <v>49.989187849986443</v>
      </c>
      <c r="E35" s="88">
        <f>IF(E13=0,0,E13/TrAvia_act!E11*1000)</f>
        <v>52.774463260112704</v>
      </c>
      <c r="F35" s="88">
        <f>IF(F13=0,0,F13/TrAvia_act!F11*1000)</f>
        <v>56.146404221535157</v>
      </c>
      <c r="G35" s="88">
        <f>IF(G13=0,0,G13/TrAvia_act!G11*1000)</f>
        <v>53.002772786739506</v>
      </c>
      <c r="H35" s="88">
        <f>IF(H13=0,0,H13/TrAvia_act!H11*1000)</f>
        <v>45.822880006336128</v>
      </c>
      <c r="I35" s="88">
        <f>IF(I13=0,0,I13/TrAvia_act!I11*1000)</f>
        <v>38.436943647165037</v>
      </c>
      <c r="J35" s="88">
        <f>IF(J13=0,0,J13/TrAvia_act!J11*1000)</f>
        <v>38.986589357492988</v>
      </c>
      <c r="K35" s="88">
        <f>IF(K13=0,0,K13/TrAvia_act!K11*1000)</f>
        <v>37.928954245688679</v>
      </c>
      <c r="L35" s="88">
        <f>IF(L13=0,0,L13/TrAvia_act!L11*1000)</f>
        <v>43.001417292388183</v>
      </c>
      <c r="M35" s="88">
        <f>IF(M13=0,0,M13/TrAvia_act!M11*1000)</f>
        <v>38.322261883038863</v>
      </c>
      <c r="N35" s="88">
        <f>IF(N13=0,0,N13/TrAvia_act!N11*1000)</f>
        <v>36.21658577860849</v>
      </c>
      <c r="O35" s="88">
        <f>IF(O13=0,0,O13/TrAvia_act!O11*1000)</f>
        <v>36.822466207007871</v>
      </c>
      <c r="P35" s="88">
        <f>IF(P13=0,0,P13/TrAvia_act!P11*1000)</f>
        <v>31.380606672860718</v>
      </c>
      <c r="Q35" s="88">
        <f>IF(Q13=0,0,Q13/TrAvia_act!Q11*1000)</f>
        <v>30.875472841336251</v>
      </c>
      <c r="R35" s="88">
        <f>IF(R13=0,0,R13/TrAvia_act!R11*1000)</f>
        <v>24.868952771228226</v>
      </c>
      <c r="S35" s="88">
        <f>IF(S13=0,0,S13/TrAvia_act!S11*1000)</f>
        <v>23.242936884681846</v>
      </c>
      <c r="T35" s="88">
        <f>IF(T13=0,0,T13/TrAvia_act!T11*1000)</f>
        <v>23.731901617221638</v>
      </c>
      <c r="U35" s="88">
        <f>IF(U13=0,0,U13/TrAvia_act!U11*1000)</f>
        <v>19.908086492588641</v>
      </c>
      <c r="V35" s="88">
        <f>IF(V13=0,0,V13/TrAvia_act!V11*1000)</f>
        <v>39.152215215043327</v>
      </c>
      <c r="W35" s="88">
        <f>IF(W13=0,0,W13/TrAvia_act!W11*1000)</f>
        <v>39.89280040122874</v>
      </c>
      <c r="X35" s="88">
        <f>IF(X13=0,0,X13/TrAvia_act!X11*1000)</f>
        <v>22.731997381913182</v>
      </c>
      <c r="Y35" s="88">
        <f>IF(Y13=0,0,Y13/TrAvia_act!Y11*1000)</f>
        <v>28.412692083693923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3855.6130416225856</v>
      </c>
      <c r="C37" s="62">
        <f>IF(C3=0,0,C3/TrAvia_act!C23*1000000)</f>
        <v>3930.4171115778072</v>
      </c>
      <c r="D37" s="62">
        <f>IF(D3=0,0,D3/TrAvia_act!D23*1000000)</f>
        <v>4045.8738408330551</v>
      </c>
      <c r="E37" s="62">
        <f>IF(E3=0,0,E3/TrAvia_act!E23*1000000)</f>
        <v>3949.344564189229</v>
      </c>
      <c r="F37" s="62">
        <f>IF(F3=0,0,F3/TrAvia_act!F23*1000000)</f>
        <v>4197.2607265770839</v>
      </c>
      <c r="G37" s="62">
        <f>IF(G3=0,0,G3/TrAvia_act!G23*1000000)</f>
        <v>4207.7201811058421</v>
      </c>
      <c r="H37" s="62">
        <f>IF(H3=0,0,H3/TrAvia_act!H23*1000000)</f>
        <v>4400.5949415944169</v>
      </c>
      <c r="I37" s="62">
        <f>IF(I3=0,0,I3/TrAvia_act!I23*1000000)</f>
        <v>4963.1042378630364</v>
      </c>
      <c r="J37" s="62">
        <f>IF(J3=0,0,J3/TrAvia_act!J23*1000000)</f>
        <v>5167.316431259881</v>
      </c>
      <c r="K37" s="62">
        <f>IF(K3=0,0,K3/TrAvia_act!K23*1000000)</f>
        <v>4807.4352725101253</v>
      </c>
      <c r="L37" s="62">
        <f>IF(L3=0,0,L3/TrAvia_act!L23*1000000)</f>
        <v>5069.2838535567744</v>
      </c>
      <c r="M37" s="62">
        <f>IF(M3=0,0,M3/TrAvia_act!M23*1000000)</f>
        <v>5370.6049711856685</v>
      </c>
      <c r="N37" s="62">
        <f>IF(N3=0,0,N3/TrAvia_act!N23*1000000)</f>
        <v>5703.9846027149515</v>
      </c>
      <c r="O37" s="62">
        <f>IF(O3=0,0,O3/TrAvia_act!O23*1000000)</f>
        <v>6111.4418253110816</v>
      </c>
      <c r="P37" s="62">
        <f>IF(P3=0,0,P3/TrAvia_act!P23*1000000)</f>
        <v>6136.3398973325684</v>
      </c>
      <c r="Q37" s="62">
        <f>IF(Q3=0,0,Q3/TrAvia_act!Q23*1000000)</f>
        <v>6331.9393912382729</v>
      </c>
      <c r="R37" s="62">
        <f>IF(R3=0,0,R3/TrAvia_act!R23*1000000)</f>
        <v>6498.8662647147603</v>
      </c>
      <c r="S37" s="62">
        <f>IF(S3=0,0,S3/TrAvia_act!S23*1000000)</f>
        <v>6497.4085913172248</v>
      </c>
      <c r="T37" s="62">
        <f>IF(T3=0,0,T3/TrAvia_act!T23*1000000)</f>
        <v>6909.6873945782754</v>
      </c>
      <c r="U37" s="62">
        <f>IF(U3=0,0,U3/TrAvia_act!U23*1000000)</f>
        <v>7275.4834279188844</v>
      </c>
      <c r="V37" s="62">
        <f>IF(V3=0,0,V3/TrAvia_act!V23*1000000)</f>
        <v>6994.9560830371847</v>
      </c>
      <c r="W37" s="62">
        <f>IF(W3=0,0,W3/TrAvia_act!W23*1000000)</f>
        <v>7055.7640502049653</v>
      </c>
      <c r="X37" s="62">
        <f>IF(X3=0,0,X3/TrAvia_act!X23*1000000)</f>
        <v>7083.0017595480294</v>
      </c>
      <c r="Y37" s="62">
        <f>IF(Y3=0,0,Y3/TrAvia_act!Y23*1000000)</f>
        <v>7612.7561670629884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3853.7798387857647</v>
      </c>
      <c r="C38" s="14">
        <f>IF(C6=0,0,C6/TrAvia_act!C24*1000000)</f>
        <v>3931.2607159801432</v>
      </c>
      <c r="D38" s="14">
        <f>IF(D6=0,0,D6/TrAvia_act!D24*1000000)</f>
        <v>4044.4287601771357</v>
      </c>
      <c r="E38" s="14">
        <f>IF(E6=0,0,E6/TrAvia_act!E24*1000000)</f>
        <v>3949.9261823561324</v>
      </c>
      <c r="F38" s="14">
        <f>IF(F6=0,0,F6/TrAvia_act!F24*1000000)</f>
        <v>4197.4546363190875</v>
      </c>
      <c r="G38" s="14">
        <f>IF(G6=0,0,G6/TrAvia_act!G24*1000000)</f>
        <v>4204.1058794883775</v>
      </c>
      <c r="H38" s="14">
        <f>IF(H6=0,0,H6/TrAvia_act!H24*1000000)</f>
        <v>4408.7143217140947</v>
      </c>
      <c r="I38" s="14">
        <f>IF(I6=0,0,I6/TrAvia_act!I24*1000000)</f>
        <v>4985.3125277325862</v>
      </c>
      <c r="J38" s="14">
        <f>IF(J6=0,0,J6/TrAvia_act!J24*1000000)</f>
        <v>5199.5025806549811</v>
      </c>
      <c r="K38" s="14">
        <f>IF(K6=0,0,K6/TrAvia_act!K24*1000000)</f>
        <v>4842.030166332388</v>
      </c>
      <c r="L38" s="14">
        <f>IF(L6=0,0,L6/TrAvia_act!L24*1000000)</f>
        <v>5115.6561405210396</v>
      </c>
      <c r="M38" s="14">
        <f>IF(M6=0,0,M6/TrAvia_act!M24*1000000)</f>
        <v>5408.75947395003</v>
      </c>
      <c r="N38" s="14">
        <f>IF(N6=0,0,N6/TrAvia_act!N24*1000000)</f>
        <v>5747.442211800766</v>
      </c>
      <c r="O38" s="14">
        <f>IF(O6=0,0,O6/TrAvia_act!O24*1000000)</f>
        <v>6164.5559145172783</v>
      </c>
      <c r="P38" s="14">
        <f>IF(P6=0,0,P6/TrAvia_act!P24*1000000)</f>
        <v>6193.0849792816343</v>
      </c>
      <c r="Q38" s="14">
        <f>IF(Q6=0,0,Q6/TrAvia_act!Q24*1000000)</f>
        <v>6393.5586381753501</v>
      </c>
      <c r="R38" s="14">
        <f>IF(R6=0,0,R6/TrAvia_act!R24*1000000)</f>
        <v>6552.9600738016243</v>
      </c>
      <c r="S38" s="14">
        <f>IF(S6=0,0,S6/TrAvia_act!S24*1000000)</f>
        <v>6538.6936494507527</v>
      </c>
      <c r="T38" s="14">
        <f>IF(T6=0,0,T6/TrAvia_act!T24*1000000)</f>
        <v>6949.2998544944448</v>
      </c>
      <c r="U38" s="14">
        <f>IF(U6=0,0,U6/TrAvia_act!U24*1000000)</f>
        <v>7316.9559699970941</v>
      </c>
      <c r="V38" s="14">
        <f>IF(V6=0,0,V6/TrAvia_act!V24*1000000)</f>
        <v>7192.7897936461932</v>
      </c>
      <c r="W38" s="14">
        <f>IF(W6=0,0,W6/TrAvia_act!W24*1000000)</f>
        <v>7282.399575514678</v>
      </c>
      <c r="X38" s="14">
        <f>IF(X6=0,0,X6/TrAvia_act!X24*1000000)</f>
        <v>7174.7750108901819</v>
      </c>
      <c r="Y38" s="14">
        <f>IF(Y6=0,0,Y6/TrAvia_act!Y24*1000000)</f>
        <v>7636.7688674571764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1809.7771665583907</v>
      </c>
      <c r="C39" s="87">
        <f>IF(C7=0,0,C7/TrAvia_act!C25*1000000)</f>
        <v>1831.2680811543748</v>
      </c>
      <c r="D39" s="87">
        <f>IF(D7=0,0,D7/TrAvia_act!D25*1000000)</f>
        <v>1707.1992930835145</v>
      </c>
      <c r="E39" s="87">
        <f>IF(E7=0,0,E7/TrAvia_act!E25*1000000)</f>
        <v>1690.4071708989406</v>
      </c>
      <c r="F39" s="87">
        <f>IF(F7=0,0,F7/TrAvia_act!F25*1000000)</f>
        <v>1695.9676083560389</v>
      </c>
      <c r="G39" s="87">
        <f>IF(G7=0,0,G7/TrAvia_act!G25*1000000)</f>
        <v>1621.4863571699111</v>
      </c>
      <c r="H39" s="87">
        <f>IF(H7=0,0,H7/TrAvia_act!H25*1000000)</f>
        <v>1501.0360792409097</v>
      </c>
      <c r="I39" s="87">
        <f>IF(I7=0,0,I7/TrAvia_act!I25*1000000)</f>
        <v>1535.2781663981334</v>
      </c>
      <c r="J39" s="87">
        <f>IF(J7=0,0,J7/TrAvia_act!J25*1000000)</f>
        <v>1499.8216825253767</v>
      </c>
      <c r="K39" s="87">
        <f>IF(K7=0,0,K7/TrAvia_act!K25*1000000)</f>
        <v>1384.686694087537</v>
      </c>
      <c r="L39" s="87">
        <f>IF(L7=0,0,L7/TrAvia_act!L25*1000000)</f>
        <v>1445.0858232884418</v>
      </c>
      <c r="M39" s="87">
        <f>IF(M7=0,0,M7/TrAvia_act!M25*1000000)</f>
        <v>1495.2807142324559</v>
      </c>
      <c r="N39" s="87">
        <f>IF(N7=0,0,N7/TrAvia_act!N25*1000000)</f>
        <v>1495.0380953109436</v>
      </c>
      <c r="O39" s="87">
        <f>IF(O7=0,0,O7/TrAvia_act!O25*1000000)</f>
        <v>1429.7576134458661</v>
      </c>
      <c r="P39" s="87">
        <f>IF(P7=0,0,P7/TrAvia_act!P25*1000000)</f>
        <v>1493.947609883036</v>
      </c>
      <c r="Q39" s="87">
        <f>IF(Q7=0,0,Q7/TrAvia_act!Q25*1000000)</f>
        <v>1492.4124127778648</v>
      </c>
      <c r="R39" s="87">
        <f>IF(R7=0,0,R7/TrAvia_act!R25*1000000)</f>
        <v>1566.7955768497432</v>
      </c>
      <c r="S39" s="87">
        <f>IF(S7=0,0,S7/TrAvia_act!S25*1000000)</f>
        <v>1574.9530952474245</v>
      </c>
      <c r="T39" s="87">
        <f>IF(T7=0,0,T7/TrAvia_act!T25*1000000)</f>
        <v>1662.5654275965767</v>
      </c>
      <c r="U39" s="87">
        <f>IF(U7=0,0,U7/TrAvia_act!U25*1000000)</f>
        <v>1608.3588941248429</v>
      </c>
      <c r="V39" s="87">
        <f>IF(V7=0,0,V7/TrAvia_act!V25*1000000)</f>
        <v>1686.9641956632415</v>
      </c>
      <c r="W39" s="87">
        <f>IF(W7=0,0,W7/TrAvia_act!W25*1000000)</f>
        <v>1522.2407535170278</v>
      </c>
      <c r="X39" s="87">
        <f>IF(X7=0,0,X7/TrAvia_act!X25*1000000)</f>
        <v>1761.4522139903561</v>
      </c>
      <c r="Y39" s="87">
        <f>IF(Y7=0,0,Y7/TrAvia_act!Y25*1000000)</f>
        <v>1891.0249526711129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4788.7274235333889</v>
      </c>
      <c r="C40" s="87">
        <f>IF(C8=0,0,C8/TrAvia_act!C26*1000000)</f>
        <v>4813.8592403447929</v>
      </c>
      <c r="D40" s="87">
        <f>IF(D8=0,0,D8/TrAvia_act!D26*1000000)</f>
        <v>4933.6797277716623</v>
      </c>
      <c r="E40" s="87">
        <f>IF(E8=0,0,E8/TrAvia_act!E26*1000000)</f>
        <v>4733.0344104185588</v>
      </c>
      <c r="F40" s="87">
        <f>IF(F8=0,0,F8/TrAvia_act!F26*1000000)</f>
        <v>4902.8512723775484</v>
      </c>
      <c r="G40" s="87">
        <f>IF(G8=0,0,G8/TrAvia_act!G26*1000000)</f>
        <v>4995.3347798790001</v>
      </c>
      <c r="H40" s="87">
        <f>IF(H8=0,0,H8/TrAvia_act!H26*1000000)</f>
        <v>5518.4224123752683</v>
      </c>
      <c r="I40" s="87">
        <f>IF(I8=0,0,I8/TrAvia_act!I26*1000000)</f>
        <v>6154.6117311194357</v>
      </c>
      <c r="J40" s="87">
        <f>IF(J8=0,0,J8/TrAvia_act!J26*1000000)</f>
        <v>6406.4730347325176</v>
      </c>
      <c r="K40" s="87">
        <f>IF(K8=0,0,K8/TrAvia_act!K26*1000000)</f>
        <v>6058.2302231163058</v>
      </c>
      <c r="L40" s="87">
        <f>IF(L8=0,0,L8/TrAvia_act!L26*1000000)</f>
        <v>6164.6833504749611</v>
      </c>
      <c r="M40" s="87">
        <f>IF(M8=0,0,M8/TrAvia_act!M26*1000000)</f>
        <v>6443.1774909304786</v>
      </c>
      <c r="N40" s="87">
        <f>IF(N8=0,0,N8/TrAvia_act!N26*1000000)</f>
        <v>6544.7897135559679</v>
      </c>
      <c r="O40" s="87">
        <f>IF(O8=0,0,O8/TrAvia_act!O26*1000000)</f>
        <v>6966.3119202418784</v>
      </c>
      <c r="P40" s="87">
        <f>IF(P8=0,0,P8/TrAvia_act!P26*1000000)</f>
        <v>7042.5819674222766</v>
      </c>
      <c r="Q40" s="87">
        <f>IF(Q8=0,0,Q8/TrAvia_act!Q26*1000000)</f>
        <v>7333.1774562938381</v>
      </c>
      <c r="R40" s="87">
        <f>IF(R8=0,0,R8/TrAvia_act!R26*1000000)</f>
        <v>7568.3626800934881</v>
      </c>
      <c r="S40" s="87">
        <f>IF(S8=0,0,S8/TrAvia_act!S26*1000000)</f>
        <v>7549.3827498288902</v>
      </c>
      <c r="T40" s="87">
        <f>IF(T8=0,0,T8/TrAvia_act!T26*1000000)</f>
        <v>8013.0819157453752</v>
      </c>
      <c r="U40" s="87">
        <f>IF(U8=0,0,U8/TrAvia_act!U26*1000000)</f>
        <v>8497.0105548824667</v>
      </c>
      <c r="V40" s="87">
        <f>IF(V8=0,0,V8/TrAvia_act!V26*1000000)</f>
        <v>7930.7642687453226</v>
      </c>
      <c r="W40" s="87">
        <f>IF(W8=0,0,W8/TrAvia_act!W26*1000000)</f>
        <v>8781.1549270583055</v>
      </c>
      <c r="X40" s="87">
        <f>IF(X8=0,0,X8/TrAvia_act!X26*1000000)</f>
        <v>7492.1410021676656</v>
      </c>
      <c r="Y40" s="87">
        <f>IF(Y8=0,0,Y8/TrAvia_act!Y26*1000000)</f>
        <v>7697.4921369330668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29518.969950844999</v>
      </c>
      <c r="C41" s="87">
        <f>IF(C9=0,0,C9/TrAvia_act!C27*1000000)</f>
        <v>29750.120336300643</v>
      </c>
      <c r="D41" s="87">
        <f>IF(D9=0,0,D9/TrAvia_act!D27*1000000)</f>
        <v>30627.384777403364</v>
      </c>
      <c r="E41" s="87">
        <f>IF(E9=0,0,E9/TrAvia_act!E27*1000000)</f>
        <v>29379.427241626083</v>
      </c>
      <c r="F41" s="87">
        <f>IF(F9=0,0,F9/TrAvia_act!F27*1000000)</f>
        <v>30336.938295457418</v>
      </c>
      <c r="G41" s="87">
        <f>IF(G9=0,0,G9/TrAvia_act!G27*1000000)</f>
        <v>29081.750112099577</v>
      </c>
      <c r="H41" s="87">
        <f>IF(H9=0,0,H9/TrAvia_act!H27*1000000)</f>
        <v>27825.952486568702</v>
      </c>
      <c r="I41" s="87">
        <f>IF(I9=0,0,I9/TrAvia_act!I27*1000000)</f>
        <v>25827.066717514019</v>
      </c>
      <c r="J41" s="87">
        <f>IF(J9=0,0,J9/TrAvia_act!J27*1000000)</f>
        <v>23159.522068648035</v>
      </c>
      <c r="K41" s="87">
        <f>IF(K9=0,0,K9/TrAvia_act!K27*1000000)</f>
        <v>22066.089294605812</v>
      </c>
      <c r="L41" s="87">
        <f>IF(L9=0,0,L9/TrAvia_act!L27*1000000)</f>
        <v>22448.35404245515</v>
      </c>
      <c r="M41" s="87">
        <f>IF(M9=0,0,M9/TrAvia_act!M27*1000000)</f>
        <v>23108.786539727971</v>
      </c>
      <c r="N41" s="87">
        <f>IF(N9=0,0,N9/TrAvia_act!N27*1000000)</f>
        <v>23331.662985977866</v>
      </c>
      <c r="O41" s="87">
        <f>IF(O9=0,0,O9/TrAvia_act!O27*1000000)</f>
        <v>23395.120195659991</v>
      </c>
      <c r="P41" s="87">
        <f>IF(P9=0,0,P9/TrAvia_act!P27*1000000)</f>
        <v>20640.151991323197</v>
      </c>
      <c r="Q41" s="87">
        <f>IF(Q9=0,0,Q9/TrAvia_act!Q27*1000000)</f>
        <v>20207.035315705216</v>
      </c>
      <c r="R41" s="87">
        <f>IF(R9=0,0,R9/TrAvia_act!R27*1000000)</f>
        <v>20129.686564470001</v>
      </c>
      <c r="S41" s="87">
        <f>IF(S9=0,0,S9/TrAvia_act!S27*1000000)</f>
        <v>19225.70971747562</v>
      </c>
      <c r="T41" s="87">
        <f>IF(T9=0,0,T9/TrAvia_act!T27*1000000)</f>
        <v>18659.147689831028</v>
      </c>
      <c r="U41" s="87">
        <f>IF(U9=0,0,U9/TrAvia_act!U27*1000000)</f>
        <v>18352.124806919885</v>
      </c>
      <c r="V41" s="87">
        <f>IF(V9=0,0,V9/TrAvia_act!V27*1000000)</f>
        <v>26567.932232131865</v>
      </c>
      <c r="W41" s="87">
        <f>IF(W9=0,0,W9/TrAvia_act!W27*1000000)</f>
        <v>24796.346215075228</v>
      </c>
      <c r="X41" s="87">
        <f>IF(X9=0,0,X9/TrAvia_act!X27*1000000)</f>
        <v>28222.422168311172</v>
      </c>
      <c r="Y41" s="87">
        <f>IF(Y9=0,0,Y9/TrAvia_act!Y27*1000000)</f>
        <v>29218.520142400066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3937.2353551739934</v>
      </c>
      <c r="C42" s="15">
        <f>IF(C10=0,0,C10/TrAvia_act!C28*1000000)</f>
        <v>3885.2090827552083</v>
      </c>
      <c r="D42" s="15">
        <f>IF(D10=0,0,D10/TrAvia_act!D28*1000000)</f>
        <v>4124.2564254448807</v>
      </c>
      <c r="E42" s="15">
        <f>IF(E10=0,0,E10/TrAvia_act!E28*1000000)</f>
        <v>3923.2175752247285</v>
      </c>
      <c r="F42" s="15">
        <f>IF(F10=0,0,F10/TrAvia_act!F28*1000000)</f>
        <v>4189.9889924347162</v>
      </c>
      <c r="G42" s="15">
        <f>IF(G10=0,0,G10/TrAvia_act!G28*1000000)</f>
        <v>4340.9201509824879</v>
      </c>
      <c r="H42" s="15">
        <f>IF(H10=0,0,H10/TrAvia_act!H28*1000000)</f>
        <v>4125.6350132102316</v>
      </c>
      <c r="I42" s="15">
        <f>IF(I10=0,0,I10/TrAvia_act!I28*1000000)</f>
        <v>4258.2408706276883</v>
      </c>
      <c r="J42" s="15">
        <f>IF(J10=0,0,J10/TrAvia_act!J28*1000000)</f>
        <v>4003.3547382606175</v>
      </c>
      <c r="K42" s="15">
        <f>IF(K10=0,0,K10/TrAvia_act!K28*1000000)</f>
        <v>3467.2790488028704</v>
      </c>
      <c r="L42" s="15">
        <f>IF(L10=0,0,L10/TrAvia_act!L28*1000000)</f>
        <v>3404.8875423310869</v>
      </c>
      <c r="M42" s="15">
        <f>IF(M10=0,0,M10/TrAvia_act!M28*1000000)</f>
        <v>3771.3377908714715</v>
      </c>
      <c r="N42" s="15">
        <f>IF(N10=0,0,N10/TrAvia_act!N28*1000000)</f>
        <v>4083.7407651369076</v>
      </c>
      <c r="O42" s="15">
        <f>IF(O10=0,0,O10/TrAvia_act!O28*1000000)</f>
        <v>4271.6922189031475</v>
      </c>
      <c r="P42" s="15">
        <f>IF(P10=0,0,P10/TrAvia_act!P28*1000000)</f>
        <v>4048.1437780758101</v>
      </c>
      <c r="Q42" s="15">
        <f>IF(Q10=0,0,Q10/TrAvia_act!Q28*1000000)</f>
        <v>4157.7410084860421</v>
      </c>
      <c r="R42" s="15">
        <f>IF(R10=0,0,R10/TrAvia_act!R28*1000000)</f>
        <v>4430.4733351445739</v>
      </c>
      <c r="S42" s="15">
        <f>IF(S10=0,0,S10/TrAvia_act!S28*1000000)</f>
        <v>4809.985542986391</v>
      </c>
      <c r="T42" s="15">
        <f>IF(T10=0,0,T10/TrAvia_act!T28*1000000)</f>
        <v>5019.9548190847663</v>
      </c>
      <c r="U42" s="15">
        <f>IF(U10=0,0,U10/TrAvia_act!U28*1000000)</f>
        <v>5667.2380597476013</v>
      </c>
      <c r="V42" s="15">
        <f>IF(V10=0,0,V10/TrAvia_act!V28*1000000)</f>
        <v>3762.2380087477932</v>
      </c>
      <c r="W42" s="15">
        <f>IF(W10=0,0,W10/TrAvia_act!W28*1000000)</f>
        <v>3617.6621730291499</v>
      </c>
      <c r="X42" s="15">
        <f>IF(X10=0,0,X10/TrAvia_act!X28*1000000)</f>
        <v>4292.9531839955343</v>
      </c>
      <c r="Y42" s="15">
        <f>IF(Y10=0,0,Y10/TrAvia_act!Y28*1000000)</f>
        <v>6911.8349888901021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1626.4352262213652</v>
      </c>
      <c r="C43" s="101">
        <f>IF(C11=0,0,C11/TrAvia_act!C29*1000000)</f>
        <v>1645.7489744487743</v>
      </c>
      <c r="D43" s="101">
        <f>IF(D11=0,0,D11/TrAvia_act!D29*1000000)</f>
        <v>1534.2491439051173</v>
      </c>
      <c r="E43" s="101">
        <f>IF(E11=0,0,E11/TrAvia_act!E29*1000000)</f>
        <v>1519.1581705252615</v>
      </c>
      <c r="F43" s="101">
        <f>IF(F11=0,0,F11/TrAvia_act!F29*1000000)</f>
        <v>1524.1553002937974</v>
      </c>
      <c r="G43" s="101">
        <f>IF(G11=0,0,G11/TrAvia_act!G29*1000000)</f>
        <v>1457.2194736845322</v>
      </c>
      <c r="H43" s="101">
        <f>IF(H11=0,0,H11/TrAvia_act!H29*1000000)</f>
        <v>1327.6590862515786</v>
      </c>
      <c r="I43" s="101">
        <f>IF(I11=0,0,I11/TrAvia_act!I29*1000000)</f>
        <v>1336.491747922795</v>
      </c>
      <c r="J43" s="101">
        <f>IF(J11=0,0,J11/TrAvia_act!J29*1000000)</f>
        <v>1284.9984269925008</v>
      </c>
      <c r="K43" s="101">
        <f>IF(K11=0,0,K11/TrAvia_act!K29*1000000)</f>
        <v>1167.61117005253</v>
      </c>
      <c r="L43" s="101">
        <f>IF(L11=0,0,L11/TrAvia_act!L29*1000000)</f>
        <v>1199.289716909962</v>
      </c>
      <c r="M43" s="101">
        <f>IF(M11=0,0,M11/TrAvia_act!M29*1000000)</f>
        <v>1290.5101622070545</v>
      </c>
      <c r="N43" s="101">
        <f>IF(N11=0,0,N11/TrAvia_act!N29*1000000)</f>
        <v>1341.8352230261287</v>
      </c>
      <c r="O43" s="101">
        <f>IF(O11=0,0,O11/TrAvia_act!O29*1000000)</f>
        <v>1281.1108710515175</v>
      </c>
      <c r="P43" s="101">
        <f>IF(P11=0,0,P11/TrAvia_act!P29*1000000)</f>
        <v>1336.4014777930115</v>
      </c>
      <c r="Q43" s="101">
        <f>IF(Q11=0,0,Q11/TrAvia_act!Q29*1000000)</f>
        <v>1332.8081006898785</v>
      </c>
      <c r="R43" s="101">
        <f>IF(R11=0,0,R11/TrAvia_act!R29*1000000)</f>
        <v>1396.9093067864592</v>
      </c>
      <c r="S43" s="101">
        <f>IF(S11=0,0,S11/TrAvia_act!S29*1000000)</f>
        <v>1401.8466632961472</v>
      </c>
      <c r="T43" s="101">
        <f>IF(T11=0,0,T11/TrAvia_act!T29*1000000)</f>
        <v>1477.3675597660231</v>
      </c>
      <c r="U43" s="101">
        <f>IF(U11=0,0,U11/TrAvia_act!U29*1000000)</f>
        <v>1399.2428797042517</v>
      </c>
      <c r="V43" s="101">
        <f>IF(V11=0,0,V11/TrAvia_act!V29*1000000)</f>
        <v>1386.4093233369672</v>
      </c>
      <c r="W43" s="101">
        <f>IF(W11=0,0,W11/TrAvia_act!W29*1000000)</f>
        <v>1283.1083396299096</v>
      </c>
      <c r="X43" s="101">
        <f>IF(X11=0,0,X11/TrAvia_act!X29*1000000)</f>
        <v>1480.8022257273649</v>
      </c>
      <c r="Y43" s="101">
        <f>IF(Y11=0,0,Y11/TrAvia_act!Y29*1000000)</f>
        <v>1536.8330236406698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3693.6984677406654</v>
      </c>
      <c r="C44" s="101">
        <f>IF(C12=0,0,C12/TrAvia_act!C30*1000000)</f>
        <v>3640.7561939551874</v>
      </c>
      <c r="D44" s="101">
        <f>IF(D12=0,0,D12/TrAvia_act!D30*1000000)</f>
        <v>3765.5304028760397</v>
      </c>
      <c r="E44" s="101">
        <f>IF(E12=0,0,E12/TrAvia_act!E30*1000000)</f>
        <v>3444.9631860211698</v>
      </c>
      <c r="F44" s="101">
        <f>IF(F12=0,0,F12/TrAvia_act!F30*1000000)</f>
        <v>3545.4178463152894</v>
      </c>
      <c r="G44" s="101">
        <f>IF(G12=0,0,G12/TrAvia_act!G30*1000000)</f>
        <v>3660.355461245721</v>
      </c>
      <c r="H44" s="101">
        <f>IF(H12=0,0,H12/TrAvia_act!H30*1000000)</f>
        <v>3922.8934115408856</v>
      </c>
      <c r="I44" s="101">
        <f>IF(I12=0,0,I12/TrAvia_act!I30*1000000)</f>
        <v>4276.4080381173189</v>
      </c>
      <c r="J44" s="101">
        <f>IF(J12=0,0,J12/TrAvia_act!J30*1000000)</f>
        <v>4360.7041624224303</v>
      </c>
      <c r="K44" s="101">
        <f>IF(K12=0,0,K12/TrAvia_act!K30*1000000)</f>
        <v>4026.9690904087256</v>
      </c>
      <c r="L44" s="101">
        <f>IF(L12=0,0,L12/TrAvia_act!L30*1000000)</f>
        <v>4097.5167260754433</v>
      </c>
      <c r="M44" s="101">
        <f>IF(M12=0,0,M12/TrAvia_act!M30*1000000)</f>
        <v>4272.1701766315928</v>
      </c>
      <c r="N44" s="101">
        <f>IF(N12=0,0,N12/TrAvia_act!N30*1000000)</f>
        <v>4273.9470576747171</v>
      </c>
      <c r="O44" s="101">
        <f>IF(O12=0,0,O12/TrAvia_act!O30*1000000)</f>
        <v>4590.6236677679772</v>
      </c>
      <c r="P44" s="101">
        <f>IF(P12=0,0,P12/TrAvia_act!P30*1000000)</f>
        <v>4625.147597567262</v>
      </c>
      <c r="Q44" s="101">
        <f>IF(Q12=0,0,Q12/TrAvia_act!Q30*1000000)</f>
        <v>4828.7067005247554</v>
      </c>
      <c r="R44" s="101">
        <f>IF(R12=0,0,R12/TrAvia_act!R30*1000000)</f>
        <v>5374.3092081721061</v>
      </c>
      <c r="S44" s="101">
        <f>IF(S12=0,0,S12/TrAvia_act!S30*1000000)</f>
        <v>6113.2317388761967</v>
      </c>
      <c r="T44" s="101">
        <f>IF(T12=0,0,T12/TrAvia_act!T30*1000000)</f>
        <v>6967.9960506507005</v>
      </c>
      <c r="U44" s="101">
        <f>IF(U12=0,0,U12/TrAvia_act!U30*1000000)</f>
        <v>8157.6054222028788</v>
      </c>
      <c r="V44" s="101">
        <f>IF(V12=0,0,V12/TrAvia_act!V30*1000000)</f>
        <v>5078.3081498704269</v>
      </c>
      <c r="W44" s="101">
        <f>IF(W12=0,0,W12/TrAvia_act!W30*1000000)</f>
        <v>5681.3621355759897</v>
      </c>
      <c r="X44" s="101">
        <f>IF(X12=0,0,X12/TrAvia_act!X30*1000000)</f>
        <v>5431.6688772165317</v>
      </c>
      <c r="Y44" s="101">
        <f>IF(Y12=0,0,Y12/TrAvia_act!Y30*1000000)</f>
        <v>6002.3246935765528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11239.144257380332</v>
      </c>
      <c r="C45" s="88">
        <f>IF(C13=0,0,C13/TrAvia_act!C31*1000000)</f>
        <v>11327.153172718879</v>
      </c>
      <c r="D45" s="88">
        <f>IF(D13=0,0,D13/TrAvia_act!D31*1000000)</f>
        <v>11661.165559392328</v>
      </c>
      <c r="E45" s="88">
        <f>IF(E13=0,0,E13/TrAvia_act!E31*1000000)</f>
        <v>11186.014333077806</v>
      </c>
      <c r="F45" s="88">
        <f>IF(F13=0,0,F13/TrAvia_act!F31*1000000)</f>
        <v>11550.580064198055</v>
      </c>
      <c r="G45" s="88">
        <f>IF(G13=0,0,G13/TrAvia_act!G31*1000000)</f>
        <v>11072.675818676982</v>
      </c>
      <c r="H45" s="88">
        <f>IF(H13=0,0,H13/TrAvia_act!H31*1000000)</f>
        <v>8349.4082612673592</v>
      </c>
      <c r="I45" s="88">
        <f>IF(I13=0,0,I13/TrAvia_act!I31*1000000)</f>
        <v>6157.8200018382367</v>
      </c>
      <c r="J45" s="88">
        <f>IF(J13=0,0,J13/TrAvia_act!J31*1000000)</f>
        <v>4309.5269848268908</v>
      </c>
      <c r="K45" s="88">
        <f>IF(K13=0,0,K13/TrAvia_act!K31*1000000)</f>
        <v>3232.3887551976741</v>
      </c>
      <c r="L45" s="88">
        <f>IF(L13=0,0,L13/TrAvia_act!L31*1000000)</f>
        <v>2593.6049326742855</v>
      </c>
      <c r="M45" s="88">
        <f>IF(M13=0,0,M13/TrAvia_act!M31*1000000)</f>
        <v>3530.011830924243</v>
      </c>
      <c r="N45" s="88">
        <f>IF(N13=0,0,N13/TrAvia_act!N31*1000000)</f>
        <v>4483.9785253735672</v>
      </c>
      <c r="O45" s="88">
        <f>IF(O13=0,0,O13/TrAvia_act!O31*1000000)</f>
        <v>4370.6450358872225</v>
      </c>
      <c r="P45" s="88">
        <f>IF(P13=0,0,P13/TrAvia_act!P31*1000000)</f>
        <v>3301.0437835509965</v>
      </c>
      <c r="Q45" s="88">
        <f>IF(Q13=0,0,Q13/TrAvia_act!Q31*1000000)</f>
        <v>2991.4696944114321</v>
      </c>
      <c r="R45" s="88">
        <f>IF(R13=0,0,R13/TrAvia_act!R31*1000000)</f>
        <v>2972.3408621236003</v>
      </c>
      <c r="S45" s="88">
        <f>IF(S13=0,0,S13/TrAvia_act!S31*1000000)</f>
        <v>2668.2139153893436</v>
      </c>
      <c r="T45" s="88">
        <f>IF(T13=0,0,T13/TrAvia_act!T31*1000000)</f>
        <v>2354.1078360177644</v>
      </c>
      <c r="U45" s="88">
        <f>IF(U13=0,0,U13/TrAvia_act!U31*1000000)</f>
        <v>1817.707014067262</v>
      </c>
      <c r="V45" s="88">
        <f>IF(V13=0,0,V13/TrAvia_act!V31*1000000)</f>
        <v>2160.5022305309881</v>
      </c>
      <c r="W45" s="88">
        <f>IF(W13=0,0,W13/TrAvia_act!W31*1000000)</f>
        <v>1795.6712381838076</v>
      </c>
      <c r="X45" s="88">
        <f>IF(X13=0,0,X13/TrAvia_act!X31*1000000)</f>
        <v>2897.7532221634892</v>
      </c>
      <c r="Y45" s="88">
        <f>IF(Y13=0,0,Y13/TrAvia_act!Y31*1000000)</f>
        <v>9274.94130804011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0.97756875351664529</v>
      </c>
      <c r="C48" s="16">
        <f t="shared" si="36"/>
        <v>0.98189203886096332</v>
      </c>
      <c r="D48" s="16">
        <f t="shared" ref="D48:V48" si="37">IF(D6=0,0,D6/D$3)</f>
        <v>0.98154678748666724</v>
      </c>
      <c r="E48" s="16">
        <f t="shared" si="37"/>
        <v>0.97836763054130071</v>
      </c>
      <c r="F48" s="16">
        <f t="shared" si="37"/>
        <v>0.97407138656753112</v>
      </c>
      <c r="G48" s="16">
        <f t="shared" si="37"/>
        <v>0.97274614530339198</v>
      </c>
      <c r="H48" s="16">
        <f t="shared" si="37"/>
        <v>0.97310979229205574</v>
      </c>
      <c r="I48" s="16">
        <f t="shared" si="37"/>
        <v>0.97379315563390967</v>
      </c>
      <c r="J48" s="16">
        <f t="shared" si="37"/>
        <v>0.9791530185951286</v>
      </c>
      <c r="K48" s="16">
        <f t="shared" si="37"/>
        <v>0.98185055828891499</v>
      </c>
      <c r="L48" s="16">
        <f t="shared" si="37"/>
        <v>0.98179362821447214</v>
      </c>
      <c r="M48" s="16">
        <f t="shared" si="37"/>
        <v>0.98363720518393361</v>
      </c>
      <c r="N48" s="16">
        <f t="shared" si="37"/>
        <v>0.98129876637771019</v>
      </c>
      <c r="O48" s="16">
        <f t="shared" si="37"/>
        <v>0.98038688076743397</v>
      </c>
      <c r="P48" s="16">
        <f t="shared" si="37"/>
        <v>0.9825474312503093</v>
      </c>
      <c r="Q48" s="16">
        <f t="shared" si="37"/>
        <v>0.98190324553566899</v>
      </c>
      <c r="R48" s="16">
        <f t="shared" si="37"/>
        <v>0.98262538837617031</v>
      </c>
      <c r="S48" s="16">
        <f t="shared" si="37"/>
        <v>0.98232030271733028</v>
      </c>
      <c r="T48" s="16">
        <f t="shared" si="37"/>
        <v>0.9850836240872255</v>
      </c>
      <c r="U48" s="16">
        <f t="shared" si="37"/>
        <v>0.98041784123240727</v>
      </c>
      <c r="V48" s="16">
        <f t="shared" si="37"/>
        <v>0.96898315699725479</v>
      </c>
      <c r="W48" s="16">
        <f t="shared" ref="W48:Y48" si="38">IF(W6=0,0,W6/W$3)</f>
        <v>0.9682919827458023</v>
      </c>
      <c r="X48" s="16">
        <f t="shared" si="38"/>
        <v>0.98069864518119965</v>
      </c>
      <c r="Y48" s="16">
        <f t="shared" si="38"/>
        <v>0.96992580249135729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0.26045513423682992</v>
      </c>
      <c r="C49" s="103">
        <f t="shared" si="39"/>
        <v>0.25294390700484065</v>
      </c>
      <c r="D49" s="103">
        <f t="shared" ref="D49:V49" si="40">IF(D7=0,0,D7/D$3)</f>
        <v>0.23024060006160788</v>
      </c>
      <c r="E49" s="103">
        <f t="shared" si="40"/>
        <v>0.22502757135854112</v>
      </c>
      <c r="F49" s="103">
        <f t="shared" si="40"/>
        <v>0.20423521602185465</v>
      </c>
      <c r="G49" s="103">
        <f t="shared" si="40"/>
        <v>0.19567957305102859</v>
      </c>
      <c r="H49" s="103">
        <f t="shared" si="40"/>
        <v>0.17200588809184414</v>
      </c>
      <c r="I49" s="103">
        <f t="shared" si="40"/>
        <v>0.14467744011853215</v>
      </c>
      <c r="J49" s="103">
        <f t="shared" si="40"/>
        <v>0.13136670675586992</v>
      </c>
      <c r="K49" s="103">
        <f t="shared" si="40"/>
        <v>0.1353101158557182</v>
      </c>
      <c r="L49" s="103">
        <f t="shared" si="40"/>
        <v>0.12649292744618604</v>
      </c>
      <c r="M49" s="103">
        <f t="shared" si="40"/>
        <v>0.12061601104940056</v>
      </c>
      <c r="N49" s="103">
        <f t="shared" si="40"/>
        <v>0.10591056592381262</v>
      </c>
      <c r="O49" s="103">
        <f t="shared" si="40"/>
        <v>8.9800225625951746E-2</v>
      </c>
      <c r="P49" s="103">
        <f t="shared" si="40"/>
        <v>9.1106570176131302E-2</v>
      </c>
      <c r="Q49" s="103">
        <f t="shared" si="40"/>
        <v>8.6692857741294968E-2</v>
      </c>
      <c r="R49" s="103">
        <f t="shared" si="40"/>
        <v>8.7745242918870495E-2</v>
      </c>
      <c r="S49" s="103">
        <f t="shared" si="40"/>
        <v>8.5844175143859933E-2</v>
      </c>
      <c r="T49" s="103">
        <f t="shared" si="40"/>
        <v>8.2669104830640328E-2</v>
      </c>
      <c r="U49" s="103">
        <f t="shared" si="40"/>
        <v>7.3961014847179013E-2</v>
      </c>
      <c r="V49" s="103">
        <f t="shared" si="40"/>
        <v>9.2250307670261419E-2</v>
      </c>
      <c r="W49" s="103">
        <f t="shared" ref="W49:Y49" si="41">IF(W7=0,0,W7/W$3)</f>
        <v>8.4980581854547557E-2</v>
      </c>
      <c r="X49" s="103">
        <f t="shared" si="41"/>
        <v>7.6957588263909971E-2</v>
      </c>
      <c r="Y49" s="103">
        <f t="shared" si="41"/>
        <v>7.1628657099692683E-2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0.48846743985381236</v>
      </c>
      <c r="C50" s="103">
        <f t="shared" si="42"/>
        <v>0.50044627562037158</v>
      </c>
      <c r="D50" s="103">
        <f t="shared" ref="D50:V50" si="43">IF(D8=0,0,D8/D$3)</f>
        <v>0.48986729610586999</v>
      </c>
      <c r="E50" s="103">
        <f t="shared" si="43"/>
        <v>0.50174213993404704</v>
      </c>
      <c r="F50" s="103">
        <f t="shared" si="43"/>
        <v>0.5044577535219209</v>
      </c>
      <c r="G50" s="103">
        <f t="shared" si="43"/>
        <v>0.50651588173144957</v>
      </c>
      <c r="H50" s="103">
        <f t="shared" si="43"/>
        <v>0.53239506738934794</v>
      </c>
      <c r="I50" s="103">
        <f t="shared" si="43"/>
        <v>0.55748305722923797</v>
      </c>
      <c r="J50" s="103">
        <f t="shared" si="43"/>
        <v>0.56788747007694607</v>
      </c>
      <c r="K50" s="103">
        <f t="shared" si="43"/>
        <v>0.55695938355684615</v>
      </c>
      <c r="L50" s="103">
        <f t="shared" si="43"/>
        <v>0.5633274906483019</v>
      </c>
      <c r="M50" s="103">
        <f t="shared" si="43"/>
        <v>0.57044522360426142</v>
      </c>
      <c r="N50" s="103">
        <f t="shared" si="43"/>
        <v>0.56739877549807471</v>
      </c>
      <c r="O50" s="103">
        <f t="shared" si="43"/>
        <v>0.5769699100242599</v>
      </c>
      <c r="P50" s="103">
        <f t="shared" si="43"/>
        <v>0.58238738491119357</v>
      </c>
      <c r="Q50" s="103">
        <f t="shared" si="43"/>
        <v>0.58916499299289649</v>
      </c>
      <c r="R50" s="103">
        <f t="shared" si="43"/>
        <v>0.60026658902589025</v>
      </c>
      <c r="S50" s="103">
        <f t="shared" si="43"/>
        <v>0.61029884595504147</v>
      </c>
      <c r="T50" s="103">
        <f t="shared" si="43"/>
        <v>0.61326135782023838</v>
      </c>
      <c r="U50" s="103">
        <f t="shared" si="43"/>
        <v>0.61100354529057199</v>
      </c>
      <c r="V50" s="103">
        <f t="shared" si="43"/>
        <v>0.53172435095316883</v>
      </c>
      <c r="W50" s="103">
        <f t="shared" ref="W50:Y50" si="44">IF(W8=0,0,W8/W$3)</f>
        <v>0.56442859440541426</v>
      </c>
      <c r="X50" s="103">
        <f t="shared" si="44"/>
        <v>0.62193842857648174</v>
      </c>
      <c r="Y50" s="103">
        <f t="shared" si="44"/>
        <v>0.61016316813605875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0.22864617942600296</v>
      </c>
      <c r="C51" s="103">
        <f t="shared" si="45"/>
        <v>0.22850185623575109</v>
      </c>
      <c r="D51" s="103">
        <f t="shared" ref="D51:V51" si="46">IF(D9=0,0,D9/D$3)</f>
        <v>0.26143889131918935</v>
      </c>
      <c r="E51" s="103">
        <f t="shared" si="46"/>
        <v>0.2515979192487125</v>
      </c>
      <c r="F51" s="103">
        <f t="shared" si="46"/>
        <v>0.26537841702375536</v>
      </c>
      <c r="G51" s="103">
        <f t="shared" si="46"/>
        <v>0.27055069052091391</v>
      </c>
      <c r="H51" s="103">
        <f t="shared" si="46"/>
        <v>0.26870883681086355</v>
      </c>
      <c r="I51" s="103">
        <f t="shared" si="46"/>
        <v>0.27163265828613947</v>
      </c>
      <c r="J51" s="103">
        <f t="shared" si="46"/>
        <v>0.27989884176231267</v>
      </c>
      <c r="K51" s="103">
        <f t="shared" si="46"/>
        <v>0.28958105887635077</v>
      </c>
      <c r="L51" s="103">
        <f t="shared" si="46"/>
        <v>0.29197321011998412</v>
      </c>
      <c r="M51" s="103">
        <f t="shared" si="46"/>
        <v>0.29257597053027168</v>
      </c>
      <c r="N51" s="103">
        <f t="shared" si="46"/>
        <v>0.30798942495582282</v>
      </c>
      <c r="O51" s="103">
        <f t="shared" si="46"/>
        <v>0.31361674511722232</v>
      </c>
      <c r="P51" s="103">
        <f t="shared" si="46"/>
        <v>0.30905347616298434</v>
      </c>
      <c r="Q51" s="103">
        <f t="shared" si="46"/>
        <v>0.30604539480147769</v>
      </c>
      <c r="R51" s="103">
        <f t="shared" si="46"/>
        <v>0.29461355643140957</v>
      </c>
      <c r="S51" s="103">
        <f t="shared" si="46"/>
        <v>0.28617728161842876</v>
      </c>
      <c r="T51" s="103">
        <f t="shared" si="46"/>
        <v>0.28915316143634678</v>
      </c>
      <c r="U51" s="103">
        <f t="shared" si="46"/>
        <v>0.29545328109465618</v>
      </c>
      <c r="V51" s="103">
        <f t="shared" si="46"/>
        <v>0.34500849837382447</v>
      </c>
      <c r="W51" s="103">
        <f t="shared" ref="W51:Y51" si="47">IF(W9=0,0,W9/W$3)</f>
        <v>0.3188828064858405</v>
      </c>
      <c r="X51" s="103">
        <f t="shared" si="47"/>
        <v>0.28180262834080799</v>
      </c>
      <c r="Y51" s="103">
        <f t="shared" si="47"/>
        <v>0.28813397725560574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2.243124648335474E-2</v>
      </c>
      <c r="C52" s="17">
        <f t="shared" si="48"/>
        <v>1.8107961139036705E-2</v>
      </c>
      <c r="D52" s="17">
        <f t="shared" ref="D52:V52" si="49">IF(D10=0,0,D10/D$3)</f>
        <v>1.8453212513332779E-2</v>
      </c>
      <c r="E52" s="17">
        <f t="shared" si="49"/>
        <v>2.1632369458699206E-2</v>
      </c>
      <c r="F52" s="17">
        <f t="shared" si="49"/>
        <v>2.5928613432469071E-2</v>
      </c>
      <c r="G52" s="17">
        <f t="shared" si="49"/>
        <v>2.7253854696607894E-2</v>
      </c>
      <c r="H52" s="17">
        <f t="shared" si="49"/>
        <v>2.6890207707944303E-2</v>
      </c>
      <c r="I52" s="17">
        <f t="shared" si="49"/>
        <v>2.6206844366090391E-2</v>
      </c>
      <c r="J52" s="17">
        <f t="shared" si="49"/>
        <v>2.084698140487122E-2</v>
      </c>
      <c r="K52" s="17">
        <f t="shared" si="49"/>
        <v>1.8149441711084905E-2</v>
      </c>
      <c r="L52" s="17">
        <f t="shared" si="49"/>
        <v>1.8206371785527919E-2</v>
      </c>
      <c r="M52" s="17">
        <f t="shared" si="49"/>
        <v>1.6362794816066364E-2</v>
      </c>
      <c r="N52" s="17">
        <f t="shared" si="49"/>
        <v>1.8701233622289992E-2</v>
      </c>
      <c r="O52" s="17">
        <f t="shared" si="49"/>
        <v>1.9613119232565829E-2</v>
      </c>
      <c r="P52" s="17">
        <f t="shared" si="49"/>
        <v>1.745256874969078E-2</v>
      </c>
      <c r="Q52" s="17">
        <f t="shared" si="49"/>
        <v>1.8096754464331094E-2</v>
      </c>
      <c r="R52" s="17">
        <f t="shared" si="49"/>
        <v>1.7374611623829649E-2</v>
      </c>
      <c r="S52" s="17">
        <f t="shared" si="49"/>
        <v>1.7679697282669719E-2</v>
      </c>
      <c r="T52" s="17">
        <f t="shared" si="49"/>
        <v>1.4916375912774414E-2</v>
      </c>
      <c r="U52" s="17">
        <f t="shared" si="49"/>
        <v>1.9582158767592773E-2</v>
      </c>
      <c r="V52" s="17">
        <f t="shared" si="49"/>
        <v>3.101684300274532E-2</v>
      </c>
      <c r="W52" s="17">
        <f t="shared" ref="W52:Y52" si="50">IF(W10=0,0,W10/W$3)</f>
        <v>3.1708017254197599E-2</v>
      </c>
      <c r="X52" s="17">
        <f t="shared" si="50"/>
        <v>1.9301354818800433E-2</v>
      </c>
      <c r="Y52" s="17">
        <f t="shared" si="50"/>
        <v>3.0074197508642653E-2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3.3110634125900471E-3</v>
      </c>
      <c r="C53" s="104">
        <f t="shared" si="51"/>
        <v>2.4971034870457411E-3</v>
      </c>
      <c r="D53" s="104">
        <f t="shared" ref="D53:V53" si="52">IF(D11=0,0,D11/D$3)</f>
        <v>2.29716646603357E-3</v>
      </c>
      <c r="E53" s="104">
        <f t="shared" si="52"/>
        <v>1.8603749606453241E-3</v>
      </c>
      <c r="F53" s="104">
        <f t="shared" si="52"/>
        <v>1.6615496610831303E-3</v>
      </c>
      <c r="G53" s="104">
        <f t="shared" si="52"/>
        <v>1.5591006044999663E-3</v>
      </c>
      <c r="H53" s="104">
        <f t="shared" si="52"/>
        <v>1.3657197452959389E-3</v>
      </c>
      <c r="I53" s="104">
        <f t="shared" si="52"/>
        <v>9.9828568290458468E-4</v>
      </c>
      <c r="J53" s="104">
        <f t="shared" si="52"/>
        <v>7.5007093827147216E-4</v>
      </c>
      <c r="K53" s="104">
        <f t="shared" si="52"/>
        <v>8.2949355968175119E-4</v>
      </c>
      <c r="L53" s="104">
        <f t="shared" si="52"/>
        <v>6.1083104746906681E-4</v>
      </c>
      <c r="M53" s="104">
        <f t="shared" si="52"/>
        <v>4.7815115205566717E-4</v>
      </c>
      <c r="N53" s="104">
        <f t="shared" si="52"/>
        <v>5.4854310502440331E-4</v>
      </c>
      <c r="O53" s="104">
        <f t="shared" si="52"/>
        <v>4.4894638955600565E-4</v>
      </c>
      <c r="P53" s="104">
        <f t="shared" si="52"/>
        <v>3.6033990171217812E-4</v>
      </c>
      <c r="Q53" s="104">
        <f t="shared" si="52"/>
        <v>3.4023531244030235E-4</v>
      </c>
      <c r="R53" s="104">
        <f t="shared" si="52"/>
        <v>3.7287851838990006E-4</v>
      </c>
      <c r="S53" s="104">
        <f t="shared" si="52"/>
        <v>2.786239749966092E-4</v>
      </c>
      <c r="T53" s="104">
        <f t="shared" si="52"/>
        <v>1.6703445032779208E-4</v>
      </c>
      <c r="U53" s="104">
        <f t="shared" si="52"/>
        <v>1.6506956333232E-4</v>
      </c>
      <c r="V53" s="104">
        <f t="shared" si="52"/>
        <v>4.9270678259473954E-4</v>
      </c>
      <c r="W53" s="104">
        <f t="shared" ref="W53:Y53" si="53">IF(W11=0,0,W11/W$3)</f>
        <v>3.7261386085290062E-4</v>
      </c>
      <c r="X53" s="104">
        <f t="shared" si="53"/>
        <v>2.5705670509108109E-4</v>
      </c>
      <c r="Y53" s="104">
        <f t="shared" si="53"/>
        <v>2.4993656302809396E-4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1.0784832124230082E-2</v>
      </c>
      <c r="C54" s="104">
        <f t="shared" si="54"/>
        <v>9.4710399189559483E-3</v>
      </c>
      <c r="D54" s="104">
        <f t="shared" ref="D54:V54" si="55">IF(D12=0,0,D12/D$3)</f>
        <v>8.85144803903214E-3</v>
      </c>
      <c r="E54" s="104">
        <f t="shared" si="55"/>
        <v>1.2553483090919523E-2</v>
      </c>
      <c r="F54" s="104">
        <f t="shared" si="55"/>
        <v>1.5332358753481247E-2</v>
      </c>
      <c r="G54" s="104">
        <f t="shared" si="55"/>
        <v>1.5790728815857382E-2</v>
      </c>
      <c r="H54" s="104">
        <f t="shared" si="55"/>
        <v>1.7996428185038341E-2</v>
      </c>
      <c r="I54" s="104">
        <f t="shared" si="55"/>
        <v>1.838718891025426E-2</v>
      </c>
      <c r="J54" s="104">
        <f t="shared" si="55"/>
        <v>1.4579388602580968E-2</v>
      </c>
      <c r="K54" s="104">
        <f t="shared" si="55"/>
        <v>1.3665422020723504E-2</v>
      </c>
      <c r="L54" s="104">
        <f t="shared" si="55"/>
        <v>1.3754174307356573E-2</v>
      </c>
      <c r="M54" s="104">
        <f t="shared" si="55"/>
        <v>1.0803705036524999E-2</v>
      </c>
      <c r="N54" s="104">
        <f t="shared" si="55"/>
        <v>1.1158487090051452E-2</v>
      </c>
      <c r="O54" s="104">
        <f t="shared" si="55"/>
        <v>1.3112679271911683E-2</v>
      </c>
      <c r="P54" s="104">
        <f t="shared" si="55"/>
        <v>1.3101246567079486E-2</v>
      </c>
      <c r="Q54" s="104">
        <f t="shared" si="55"/>
        <v>1.4454464173878943E-2</v>
      </c>
      <c r="R54" s="104">
        <f t="shared" si="55"/>
        <v>1.373524653607275E-2</v>
      </c>
      <c r="S54" s="104">
        <f t="shared" si="55"/>
        <v>1.4416227491335455E-2</v>
      </c>
      <c r="T54" s="104">
        <f t="shared" si="55"/>
        <v>1.2112687534076879E-2</v>
      </c>
      <c r="U54" s="104">
        <f t="shared" si="55"/>
        <v>1.7178537265537787E-2</v>
      </c>
      <c r="V54" s="104">
        <f t="shared" si="55"/>
        <v>2.3461699771193119E-2</v>
      </c>
      <c r="W54" s="104">
        <f t="shared" ref="W54:Y54" si="56">IF(W12=0,0,W12/W$3)</f>
        <v>2.3566807615065109E-2</v>
      </c>
      <c r="X54" s="104">
        <f t="shared" si="56"/>
        <v>1.3973762848601627E-2</v>
      </c>
      <c r="Y54" s="104">
        <f t="shared" si="56"/>
        <v>1.6550409544061465E-2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8.3353509465346129E-3</v>
      </c>
      <c r="C55" s="105">
        <f t="shared" si="57"/>
        <v>6.1398177330350169E-3</v>
      </c>
      <c r="D55" s="105">
        <f t="shared" ref="D55:V55" si="58">IF(D13=0,0,D13/D$3)</f>
        <v>7.3045980082670674E-3</v>
      </c>
      <c r="E55" s="105">
        <f t="shared" si="58"/>
        <v>7.2185114071343587E-3</v>
      </c>
      <c r="F55" s="105">
        <f t="shared" si="58"/>
        <v>8.9347050179046945E-3</v>
      </c>
      <c r="G55" s="105">
        <f t="shared" si="58"/>
        <v>9.9040252762505453E-3</v>
      </c>
      <c r="H55" s="105">
        <f t="shared" si="58"/>
        <v>7.5280597776100269E-3</v>
      </c>
      <c r="I55" s="105">
        <f t="shared" si="58"/>
        <v>6.8213697729315459E-3</v>
      </c>
      <c r="J55" s="105">
        <f t="shared" si="58"/>
        <v>5.5175218640187785E-3</v>
      </c>
      <c r="K55" s="105">
        <f t="shared" si="58"/>
        <v>3.6545261306796493E-3</v>
      </c>
      <c r="L55" s="105">
        <f t="shared" si="58"/>
        <v>3.8413664307022826E-3</v>
      </c>
      <c r="M55" s="105">
        <f t="shared" si="58"/>
        <v>5.0809386274856998E-3</v>
      </c>
      <c r="N55" s="105">
        <f t="shared" si="58"/>
        <v>6.9942034272141356E-3</v>
      </c>
      <c r="O55" s="105">
        <f t="shared" si="58"/>
        <v>6.0514935710981417E-3</v>
      </c>
      <c r="P55" s="105">
        <f t="shared" si="58"/>
        <v>3.9909822808991179E-3</v>
      </c>
      <c r="Q55" s="105">
        <f t="shared" si="58"/>
        <v>3.3020549780118469E-3</v>
      </c>
      <c r="R55" s="105">
        <f t="shared" si="58"/>
        <v>3.2664865693670013E-3</v>
      </c>
      <c r="S55" s="105">
        <f t="shared" si="58"/>
        <v>2.9848458163376579E-3</v>
      </c>
      <c r="T55" s="105">
        <f t="shared" si="58"/>
        <v>2.6366539283697431E-3</v>
      </c>
      <c r="U55" s="105">
        <f t="shared" si="58"/>
        <v>2.2385519387226678E-3</v>
      </c>
      <c r="V55" s="105">
        <f t="shared" si="58"/>
        <v>7.0624364489574607E-3</v>
      </c>
      <c r="W55" s="105">
        <f t="shared" ref="W55:Y55" si="59">IF(W13=0,0,W13/W$3)</f>
        <v>7.7685957782795923E-3</v>
      </c>
      <c r="X55" s="105">
        <f t="shared" si="59"/>
        <v>5.070535265107725E-3</v>
      </c>
      <c r="Y55" s="105">
        <f t="shared" si="59"/>
        <v>1.3273851401553094E-2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470.20526833242246</v>
      </c>
      <c r="C57" s="62">
        <v>468.85745744805592</v>
      </c>
      <c r="D57" s="62">
        <v>474.72436565281851</v>
      </c>
      <c r="E57" s="62">
        <v>470.60889314943097</v>
      </c>
      <c r="F57" s="62">
        <v>470.82275466663521</v>
      </c>
      <c r="G57" s="62">
        <v>483.20804607185369</v>
      </c>
      <c r="H57" s="62">
        <v>497.20250749700966</v>
      </c>
      <c r="I57" s="62">
        <v>508.62545270661849</v>
      </c>
      <c r="J57" s="62">
        <v>500.87190268253477</v>
      </c>
      <c r="K57" s="62">
        <v>492.39076374146885</v>
      </c>
      <c r="L57" s="62">
        <v>499.87891142010113</v>
      </c>
      <c r="M57" s="62">
        <v>511.05617800584969</v>
      </c>
      <c r="N57" s="62">
        <v>525.84074850348998</v>
      </c>
      <c r="O57" s="62">
        <v>526.2873283785724</v>
      </c>
      <c r="P57" s="62">
        <v>521.25657228695957</v>
      </c>
      <c r="Q57" s="62">
        <v>521.46764025000766</v>
      </c>
      <c r="R57" s="62">
        <v>524.52332464970857</v>
      </c>
      <c r="S57" s="62">
        <v>523.4221571135688</v>
      </c>
      <c r="T57" s="62">
        <v>522.8004434894923</v>
      </c>
      <c r="U57" s="62">
        <v>530.41303826416572</v>
      </c>
      <c r="V57" s="62">
        <v>531.97987408362064</v>
      </c>
      <c r="W57" s="62">
        <v>518.69384146136883</v>
      </c>
      <c r="X57" s="62">
        <v>510.56425766422365</v>
      </c>
      <c r="Y57" s="62">
        <v>539.31340395094321</v>
      </c>
      <c r="DA57" s="172" t="s">
        <v>314</v>
      </c>
    </row>
    <row r="58" spans="1:105" ht="11.45" customHeight="1" x14ac:dyDescent="0.25">
      <c r="A58" s="10" t="s">
        <v>33</v>
      </c>
      <c r="B58" s="14">
        <v>472.19471104120288</v>
      </c>
      <c r="C58" s="14">
        <v>470.54059887291947</v>
      </c>
      <c r="D58" s="14">
        <v>476.39990957828309</v>
      </c>
      <c r="E58" s="14">
        <v>472.7701685015079</v>
      </c>
      <c r="F58" s="14">
        <v>473.46488550813518</v>
      </c>
      <c r="G58" s="14">
        <v>486.04019930824091</v>
      </c>
      <c r="H58" s="14">
        <v>500.89791470896864</v>
      </c>
      <c r="I58" s="14">
        <v>512.79822046713457</v>
      </c>
      <c r="J58" s="14">
        <v>503.93535706087573</v>
      </c>
      <c r="K58" s="14">
        <v>494.62671040845999</v>
      </c>
      <c r="L58" s="14">
        <v>501.5835634870661</v>
      </c>
      <c r="M58" s="14">
        <v>512.48323200180846</v>
      </c>
      <c r="N58" s="14">
        <v>526.99801254372528</v>
      </c>
      <c r="O58" s="14">
        <v>528.20483756159103</v>
      </c>
      <c r="P58" s="14">
        <v>523.18387657291248</v>
      </c>
      <c r="Q58" s="14">
        <v>523.64155208990042</v>
      </c>
      <c r="R58" s="14">
        <v>526.82594341660274</v>
      </c>
      <c r="S58" s="14">
        <v>525.82905777198221</v>
      </c>
      <c r="T58" s="14">
        <v>524.72280821178356</v>
      </c>
      <c r="U58" s="14">
        <v>533.21585477714257</v>
      </c>
      <c r="V58" s="14">
        <v>536.79577756572507</v>
      </c>
      <c r="W58" s="14">
        <v>522.99197147222878</v>
      </c>
      <c r="X58" s="14">
        <v>514.40680869895868</v>
      </c>
      <c r="Y58" s="14">
        <v>540.59802091791357</v>
      </c>
      <c r="DA58" s="189" t="s">
        <v>315</v>
      </c>
    </row>
    <row r="59" spans="1:105" ht="11.45" customHeight="1" x14ac:dyDescent="0.25">
      <c r="A59" s="83" t="s">
        <v>27</v>
      </c>
      <c r="B59" s="87">
        <v>534.89272496425031</v>
      </c>
      <c r="C59" s="87">
        <v>534.89272496425019</v>
      </c>
      <c r="D59" s="87">
        <v>534.89272496425019</v>
      </c>
      <c r="E59" s="87">
        <v>534.89272496425031</v>
      </c>
      <c r="F59" s="87">
        <v>534.89272496425019</v>
      </c>
      <c r="G59" s="87">
        <v>525.6306479833695</v>
      </c>
      <c r="H59" s="87">
        <v>546.96236416560339</v>
      </c>
      <c r="I59" s="87">
        <v>522.98566073563109</v>
      </c>
      <c r="J59" s="87">
        <v>530.75478851405342</v>
      </c>
      <c r="K59" s="87">
        <v>519.91502842786701</v>
      </c>
      <c r="L59" s="87">
        <v>512.27095276592809</v>
      </c>
      <c r="M59" s="87">
        <v>511.19108544660367</v>
      </c>
      <c r="N59" s="87">
        <v>505.03298599235069</v>
      </c>
      <c r="O59" s="87">
        <v>516.72297586492778</v>
      </c>
      <c r="P59" s="87">
        <v>508.68186797845868</v>
      </c>
      <c r="Q59" s="87">
        <v>511.69488188458678</v>
      </c>
      <c r="R59" s="87">
        <v>510.6734809660926</v>
      </c>
      <c r="S59" s="87">
        <v>506.75415481485237</v>
      </c>
      <c r="T59" s="87">
        <v>493.56908914050473</v>
      </c>
      <c r="U59" s="87">
        <v>489.64464572224904</v>
      </c>
      <c r="V59" s="87">
        <v>456.08762652704019</v>
      </c>
      <c r="W59" s="87">
        <v>445.85927246180694</v>
      </c>
      <c r="X59" s="87">
        <v>450.45428174594412</v>
      </c>
      <c r="Y59" s="87">
        <v>449.84829980785742</v>
      </c>
      <c r="DA59" s="171" t="s">
        <v>316</v>
      </c>
    </row>
    <row r="60" spans="1:105" ht="11.45" customHeight="1" x14ac:dyDescent="0.25">
      <c r="A60" s="83" t="s">
        <v>181</v>
      </c>
      <c r="B60" s="87">
        <v>388.06097868342493</v>
      </c>
      <c r="C60" s="87">
        <v>388.26155888563233</v>
      </c>
      <c r="D60" s="87">
        <v>388.32006590967904</v>
      </c>
      <c r="E60" s="87">
        <v>387.9879137288209</v>
      </c>
      <c r="F60" s="87">
        <v>388.12171337332484</v>
      </c>
      <c r="G60" s="87">
        <v>387.13928096782394</v>
      </c>
      <c r="H60" s="87">
        <v>382.42110427853004</v>
      </c>
      <c r="I60" s="87">
        <v>378.6080011080997</v>
      </c>
      <c r="J60" s="87">
        <v>377.29251493431451</v>
      </c>
      <c r="K60" s="87">
        <v>373.80215497505543</v>
      </c>
      <c r="L60" s="87">
        <v>372.60053237775765</v>
      </c>
      <c r="M60" s="87">
        <v>376.8577919646936</v>
      </c>
      <c r="N60" s="87">
        <v>383.95680171935931</v>
      </c>
      <c r="O60" s="87">
        <v>382.61744326675301</v>
      </c>
      <c r="P60" s="87">
        <v>381.96826992463724</v>
      </c>
      <c r="Q60" s="87">
        <v>382.55465836571085</v>
      </c>
      <c r="R60" s="87">
        <v>384.06936071664927</v>
      </c>
      <c r="S60" s="87">
        <v>385.61034699370163</v>
      </c>
      <c r="T60" s="87">
        <v>386.47556202262138</v>
      </c>
      <c r="U60" s="87">
        <v>385.03953062635242</v>
      </c>
      <c r="V60" s="87">
        <v>388.54235012860971</v>
      </c>
      <c r="W60" s="87">
        <v>371.34586322914987</v>
      </c>
      <c r="X60" s="87">
        <v>377.84234510794118</v>
      </c>
      <c r="Y60" s="87">
        <v>379.44627001338949</v>
      </c>
      <c r="DA60" s="171" t="s">
        <v>317</v>
      </c>
    </row>
    <row r="61" spans="1:105" ht="11.45" customHeight="1" x14ac:dyDescent="0.25">
      <c r="A61" s="83" t="s">
        <v>182</v>
      </c>
      <c r="B61" s="87">
        <v>711.1303405113805</v>
      </c>
      <c r="C61" s="87">
        <v>711.13034051138061</v>
      </c>
      <c r="D61" s="87">
        <v>711.1303405113805</v>
      </c>
      <c r="E61" s="87">
        <v>711.1303405113805</v>
      </c>
      <c r="F61" s="87">
        <v>711.1303405113805</v>
      </c>
      <c r="G61" s="87">
        <v>770.30701945363603</v>
      </c>
      <c r="H61" s="87">
        <v>813.73885505059229</v>
      </c>
      <c r="I61" s="87">
        <v>855.55250663923664</v>
      </c>
      <c r="J61" s="87">
        <v>775.53449032130982</v>
      </c>
      <c r="K61" s="87">
        <v>744.89783470661462</v>
      </c>
      <c r="L61" s="87">
        <v>765.64530491254368</v>
      </c>
      <c r="M61" s="87">
        <v>780.521178480608</v>
      </c>
      <c r="N61" s="87">
        <v>786.14515121321676</v>
      </c>
      <c r="O61" s="87">
        <v>779.65256836558353</v>
      </c>
      <c r="P61" s="87">
        <v>760.76149484614928</v>
      </c>
      <c r="Q61" s="87">
        <v>754.5037037412942</v>
      </c>
      <c r="R61" s="87">
        <v>760.93172568182354</v>
      </c>
      <c r="S61" s="87">
        <v>757.73454885692024</v>
      </c>
      <c r="T61" s="87">
        <v>747.75436347807215</v>
      </c>
      <c r="U61" s="87">
        <v>750.05143899480254</v>
      </c>
      <c r="V61" s="87">
        <v>770.0373634731119</v>
      </c>
      <c r="W61" s="87">
        <v>770.43722863822438</v>
      </c>
      <c r="X61" s="87">
        <v>801.60662843401508</v>
      </c>
      <c r="Y61" s="87">
        <v>829.36678687009635</v>
      </c>
      <c r="DA61" s="171" t="s">
        <v>318</v>
      </c>
    </row>
    <row r="62" spans="1:105" ht="11.45" customHeight="1" x14ac:dyDescent="0.25">
      <c r="A62" s="12" t="s">
        <v>34</v>
      </c>
      <c r="B62" s="15">
        <v>384.61123367928678</v>
      </c>
      <c r="C62" s="15">
        <v>381.11039979083836</v>
      </c>
      <c r="D62" s="15">
        <v>387.66526592938283</v>
      </c>
      <c r="E62" s="15">
        <v>381.29173015129453</v>
      </c>
      <c r="F62" s="15">
        <v>382.03806911339063</v>
      </c>
      <c r="G62" s="15">
        <v>394.16135812098122</v>
      </c>
      <c r="H62" s="15">
        <v>383.99377077999918</v>
      </c>
      <c r="I62" s="15">
        <v>382.42661029735967</v>
      </c>
      <c r="J62" s="15">
        <v>381.59989855648388</v>
      </c>
      <c r="K62" s="15">
        <v>382.5956986622117</v>
      </c>
      <c r="L62" s="15">
        <v>412.4435032360937</v>
      </c>
      <c r="M62" s="15">
        <v>434.81535370155927</v>
      </c>
      <c r="N62" s="15">
        <v>472.08534843447455</v>
      </c>
      <c r="O62" s="15">
        <v>442.12189296254076</v>
      </c>
      <c r="P62" s="15">
        <v>422.33887912179836</v>
      </c>
      <c r="Q62" s="15">
        <v>410.84418149443502</v>
      </c>
      <c r="R62" s="15">
        <v>404.45702621877825</v>
      </c>
      <c r="S62" s="15">
        <v>396.05286207718621</v>
      </c>
      <c r="T62" s="15">
        <v>398.86662615611482</v>
      </c>
      <c r="U62" s="15">
        <v>376.21158834437836</v>
      </c>
      <c r="V62" s="15">
        <v>401.05540110987266</v>
      </c>
      <c r="W62" s="15">
        <v>401.35433190892661</v>
      </c>
      <c r="X62" s="15">
        <v>364.16339607895543</v>
      </c>
      <c r="Y62" s="15">
        <v>506.2075065303876</v>
      </c>
      <c r="DA62" s="193" t="s">
        <v>319</v>
      </c>
    </row>
    <row r="63" spans="1:105" ht="11.45" customHeight="1" x14ac:dyDescent="0.25">
      <c r="A63" s="92" t="s">
        <v>27</v>
      </c>
      <c r="B63" s="101">
        <v>769.06598665319734</v>
      </c>
      <c r="C63" s="101">
        <v>769.06598665319723</v>
      </c>
      <c r="D63" s="101">
        <v>769.06598665319734</v>
      </c>
      <c r="E63" s="101">
        <v>769.06598665319723</v>
      </c>
      <c r="F63" s="101">
        <v>769.06598665319723</v>
      </c>
      <c r="G63" s="101">
        <v>745.14367778848464</v>
      </c>
      <c r="H63" s="101">
        <v>875.35260914924606</v>
      </c>
      <c r="I63" s="101">
        <v>872.0272345449016</v>
      </c>
      <c r="J63" s="101">
        <v>1001.9273789070068</v>
      </c>
      <c r="K63" s="101">
        <v>1063.0095906590227</v>
      </c>
      <c r="L63" s="101">
        <v>1152.7814736343457</v>
      </c>
      <c r="M63" s="101">
        <v>868.86728913413799</v>
      </c>
      <c r="N63" s="101">
        <v>696.44205071258034</v>
      </c>
      <c r="O63" s="101">
        <v>731.85485111283037</v>
      </c>
      <c r="P63" s="101">
        <v>717.78762483085211</v>
      </c>
      <c r="Q63" s="101">
        <v>732.12234623998768</v>
      </c>
      <c r="R63" s="101">
        <v>736.10820501940316</v>
      </c>
      <c r="S63" s="101">
        <v>732.21927112627327</v>
      </c>
      <c r="T63" s="101">
        <v>703.14734619281717</v>
      </c>
      <c r="U63" s="101">
        <v>751.68530163126684</v>
      </c>
      <c r="V63" s="101">
        <v>843.37773739492047</v>
      </c>
      <c r="W63" s="101">
        <v>711.87202173288188</v>
      </c>
      <c r="X63" s="101">
        <v>739.51769331356263</v>
      </c>
      <c r="Y63" s="101">
        <v>886.72614417108264</v>
      </c>
      <c r="DA63" s="175" t="s">
        <v>320</v>
      </c>
    </row>
    <row r="64" spans="1:105" ht="11.45" customHeight="1" x14ac:dyDescent="0.25">
      <c r="A64" s="92" t="s">
        <v>181</v>
      </c>
      <c r="B64" s="101">
        <v>342.23883618382195</v>
      </c>
      <c r="C64" s="101">
        <v>344.10035276795037</v>
      </c>
      <c r="D64" s="101">
        <v>344.12705065021606</v>
      </c>
      <c r="E64" s="101">
        <v>348.08262887229586</v>
      </c>
      <c r="F64" s="101">
        <v>348.62731595924089</v>
      </c>
      <c r="G64" s="101">
        <v>345.97424492355526</v>
      </c>
      <c r="H64" s="101">
        <v>344.38125085414691</v>
      </c>
      <c r="I64" s="101">
        <v>340.26494967514793</v>
      </c>
      <c r="J64" s="101">
        <v>344.02208711500242</v>
      </c>
      <c r="K64" s="101">
        <v>343.86686158856924</v>
      </c>
      <c r="L64" s="101">
        <v>349.92027240723615</v>
      </c>
      <c r="M64" s="101">
        <v>352.25448049805249</v>
      </c>
      <c r="N64" s="101">
        <v>363.22454726364123</v>
      </c>
      <c r="O64" s="101">
        <v>352.84289833976209</v>
      </c>
      <c r="P64" s="101">
        <v>349.94411916806467</v>
      </c>
      <c r="Q64" s="101">
        <v>351.11345134953984</v>
      </c>
      <c r="R64" s="101">
        <v>347.05516421417735</v>
      </c>
      <c r="S64" s="101">
        <v>342.96691719809883</v>
      </c>
      <c r="T64" s="101">
        <v>339.03170772139077</v>
      </c>
      <c r="U64" s="101">
        <v>339.73404396895262</v>
      </c>
      <c r="V64" s="101">
        <v>352.1472938758061</v>
      </c>
      <c r="W64" s="101">
        <v>353.44373110171796</v>
      </c>
      <c r="X64" s="101">
        <v>356.78187612873535</v>
      </c>
      <c r="Y64" s="101">
        <v>364.99436911656716</v>
      </c>
      <c r="DA64" s="175" t="s">
        <v>321</v>
      </c>
    </row>
    <row r="65" spans="1:105" ht="11.45" customHeight="1" x14ac:dyDescent="0.25">
      <c r="A65" s="85" t="s">
        <v>182</v>
      </c>
      <c r="B65" s="88">
        <v>456.8818163575084</v>
      </c>
      <c r="C65" s="88">
        <v>456.88181635750851</v>
      </c>
      <c r="D65" s="88">
        <v>456.88181635750846</v>
      </c>
      <c r="E65" s="88">
        <v>456.88181635750846</v>
      </c>
      <c r="F65" s="88">
        <v>456.88181635750846</v>
      </c>
      <c r="G65" s="88">
        <v>482.40801569682941</v>
      </c>
      <c r="H65" s="88">
        <v>468.72606547114987</v>
      </c>
      <c r="I65" s="88">
        <v>460.62259192512278</v>
      </c>
      <c r="J65" s="88">
        <v>445.15644477591894</v>
      </c>
      <c r="K65" s="88">
        <v>491.28621575366321</v>
      </c>
      <c r="L65" s="88">
        <v>593.26340295140335</v>
      </c>
      <c r="M65" s="88">
        <v>555.41037383335163</v>
      </c>
      <c r="N65" s="88">
        <v>587.31031758658389</v>
      </c>
      <c r="O65" s="88">
        <v>567.46729710264378</v>
      </c>
      <c r="P65" s="88">
        <v>575.38297197004465</v>
      </c>
      <c r="Q65" s="88">
        <v>571.79928370464654</v>
      </c>
      <c r="R65" s="88">
        <v>531.68038336691586</v>
      </c>
      <c r="S65" s="88">
        <v>517.60754447580177</v>
      </c>
      <c r="T65" s="88">
        <v>522.20460938385088</v>
      </c>
      <c r="U65" s="88">
        <v>471.92201604000951</v>
      </c>
      <c r="V65" s="88">
        <v>491.97256892181639</v>
      </c>
      <c r="W65" s="88">
        <v>465.33638829550449</v>
      </c>
      <c r="X65" s="88">
        <v>371.57349831236462</v>
      </c>
      <c r="Y65" s="88">
        <v>584.88386716811272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0.94705813513783554</v>
      </c>
      <c r="C67" s="59">
        <f t="shared" ref="C67:W67" si="61">IF(C3=0,0,C17/C57)</f>
        <v>0.95655140933032068</v>
      </c>
      <c r="D67" s="59">
        <f t="shared" si="61"/>
        <v>0.96507659997230577</v>
      </c>
      <c r="E67" s="59">
        <f t="shared" si="61"/>
        <v>0.9350094434984666</v>
      </c>
      <c r="F67" s="59">
        <f t="shared" si="61"/>
        <v>0.96441128362467343</v>
      </c>
      <c r="G67" s="59">
        <f t="shared" si="61"/>
        <v>0.91864012001070849</v>
      </c>
      <c r="H67" s="59">
        <f t="shared" si="61"/>
        <v>0.90821482901448558</v>
      </c>
      <c r="I67" s="59">
        <f t="shared" si="61"/>
        <v>0.90003842124019884</v>
      </c>
      <c r="J67" s="59">
        <f t="shared" si="61"/>
        <v>0.93218095796533429</v>
      </c>
      <c r="K67" s="59">
        <f t="shared" si="61"/>
        <v>0.88514729425366923</v>
      </c>
      <c r="L67" s="59">
        <f t="shared" si="61"/>
        <v>0.89602973040387535</v>
      </c>
      <c r="M67" s="59">
        <f t="shared" si="61"/>
        <v>0.89703897369983321</v>
      </c>
      <c r="N67" s="59">
        <f t="shared" si="61"/>
        <v>0.89207961889960352</v>
      </c>
      <c r="O67" s="59">
        <f t="shared" si="61"/>
        <v>0.90283645722308614</v>
      </c>
      <c r="P67" s="59">
        <f t="shared" si="61"/>
        <v>0.88966274607609963</v>
      </c>
      <c r="Q67" s="59">
        <f t="shared" si="61"/>
        <v>0.90840040619685369</v>
      </c>
      <c r="R67" s="59">
        <f t="shared" si="61"/>
        <v>0.91034894364750207</v>
      </c>
      <c r="S67" s="59">
        <f t="shared" si="61"/>
        <v>0.9004690788488634</v>
      </c>
      <c r="T67" s="59">
        <f t="shared" si="61"/>
        <v>0.91665944114312192</v>
      </c>
      <c r="U67" s="59">
        <f t="shared" si="61"/>
        <v>0.92681765324367227</v>
      </c>
      <c r="V67" s="59">
        <f t="shared" si="61"/>
        <v>0.97276721029822921</v>
      </c>
      <c r="W67" s="59">
        <f t="shared" si="61"/>
        <v>0.98961771650460684</v>
      </c>
      <c r="X67" s="59">
        <f t="shared" ref="X67:Y67" si="62">IF(X3=0,0,X17/X57)</f>
        <v>0.88953263854134124</v>
      </c>
      <c r="Y67" s="59">
        <f t="shared" si="62"/>
        <v>0.83949270894992201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0.94556851397006403</v>
      </c>
      <c r="C68" s="23">
        <f t="shared" ref="C68:W68" si="64">IF(C6=0,0,C18/C58)</f>
        <v>0.95551131307455872</v>
      </c>
      <c r="D68" s="23">
        <f t="shared" si="64"/>
        <v>0.9638207718906654</v>
      </c>
      <c r="E68" s="23">
        <f t="shared" si="64"/>
        <v>0.93394291146320518</v>
      </c>
      <c r="F68" s="23">
        <f t="shared" si="64"/>
        <v>0.96320138086713347</v>
      </c>
      <c r="G68" s="23">
        <f t="shared" si="64"/>
        <v>0.91782871977545522</v>
      </c>
      <c r="H68" s="23">
        <f t="shared" si="64"/>
        <v>0.90684731403000707</v>
      </c>
      <c r="I68" s="23">
        <f t="shared" si="64"/>
        <v>0.89875103018569624</v>
      </c>
      <c r="J68" s="23">
        <f t="shared" si="64"/>
        <v>0.93098371737706687</v>
      </c>
      <c r="K68" s="23">
        <f t="shared" si="64"/>
        <v>0.88325951887481968</v>
      </c>
      <c r="L68" s="23">
        <f t="shared" si="64"/>
        <v>0.89415097997904225</v>
      </c>
      <c r="M68" s="23">
        <f t="shared" si="64"/>
        <v>0.89671573885830769</v>
      </c>
      <c r="N68" s="23">
        <f t="shared" si="64"/>
        <v>0.89278009455907703</v>
      </c>
      <c r="O68" s="23">
        <f t="shared" si="64"/>
        <v>0.90242246828783512</v>
      </c>
      <c r="P68" s="23">
        <f t="shared" si="64"/>
        <v>0.88819832359620488</v>
      </c>
      <c r="Q68" s="23">
        <f t="shared" si="64"/>
        <v>0.90601620077157019</v>
      </c>
      <c r="R68" s="23">
        <f t="shared" si="64"/>
        <v>0.90801993417072679</v>
      </c>
      <c r="S68" s="23">
        <f t="shared" si="64"/>
        <v>0.89737122106415201</v>
      </c>
      <c r="T68" s="23">
        <f t="shared" si="64"/>
        <v>0.91377695736105802</v>
      </c>
      <c r="U68" s="23">
        <f t="shared" si="64"/>
        <v>0.92046414733785742</v>
      </c>
      <c r="V68" s="23">
        <f t="shared" si="64"/>
        <v>0.96891420894064695</v>
      </c>
      <c r="W68" s="23">
        <f t="shared" si="64"/>
        <v>0.98559498088725961</v>
      </c>
      <c r="X68" s="23">
        <f t="shared" ref="X68:Y68" si="65">IF(X6=0,0,X18/X58)</f>
        <v>0.88876373311312096</v>
      </c>
      <c r="Y68" s="23">
        <f t="shared" si="65"/>
        <v>0.84396758724959009</v>
      </c>
      <c r="DA68" s="189"/>
    </row>
    <row r="69" spans="1:105" ht="11.45" customHeight="1" x14ac:dyDescent="0.25">
      <c r="A69" s="83" t="s">
        <v>27</v>
      </c>
      <c r="B69" s="91">
        <f t="shared" si="63"/>
        <v>0.81407991943258651</v>
      </c>
      <c r="C69" s="91">
        <f t="shared" ref="C69:W69" si="66">IF(C7=0,0,C19/C59)</f>
        <v>0.82374703334368871</v>
      </c>
      <c r="D69" s="91">
        <f t="shared" si="66"/>
        <v>0.76793800289332792</v>
      </c>
      <c r="E69" s="91">
        <f t="shared" si="66"/>
        <v>0.7603845152442843</v>
      </c>
      <c r="F69" s="91">
        <f t="shared" si="66"/>
        <v>0.76288572951570355</v>
      </c>
      <c r="G69" s="91">
        <f t="shared" si="66"/>
        <v>0.72462436704749822</v>
      </c>
      <c r="H69" s="91">
        <f t="shared" si="66"/>
        <v>0.68076181624240084</v>
      </c>
      <c r="I69" s="91">
        <f t="shared" si="66"/>
        <v>0.68498090314774251</v>
      </c>
      <c r="J69" s="91">
        <f t="shared" si="66"/>
        <v>0.67301298062450632</v>
      </c>
      <c r="K69" s="91">
        <f t="shared" si="66"/>
        <v>0.61657356337271574</v>
      </c>
      <c r="L69" s="91">
        <f t="shared" si="66"/>
        <v>0.63981818625157305</v>
      </c>
      <c r="M69" s="91">
        <f t="shared" si="66"/>
        <v>0.66138858481918372</v>
      </c>
      <c r="N69" s="91">
        <f t="shared" si="66"/>
        <v>0.65793715330127855</v>
      </c>
      <c r="O69" s="91">
        <f t="shared" si="66"/>
        <v>0.6348470003719513</v>
      </c>
      <c r="P69" s="91">
        <f t="shared" si="66"/>
        <v>0.65901431423734491</v>
      </c>
      <c r="Q69" s="91">
        <f t="shared" si="66"/>
        <v>0.65971898726207157</v>
      </c>
      <c r="R69" s="91">
        <f t="shared" si="66"/>
        <v>0.69184479908097962</v>
      </c>
      <c r="S69" s="91">
        <f t="shared" si="66"/>
        <v>0.69307348053114548</v>
      </c>
      <c r="T69" s="91">
        <f t="shared" si="66"/>
        <v>0.72334866170206602</v>
      </c>
      <c r="U69" s="91">
        <f t="shared" si="66"/>
        <v>0.69730985762593867</v>
      </c>
      <c r="V69" s="91">
        <f t="shared" si="66"/>
        <v>0.70662925658300058</v>
      </c>
      <c r="W69" s="91">
        <f t="shared" si="66"/>
        <v>0.63120955695516245</v>
      </c>
      <c r="X69" s="91">
        <f t="shared" ref="X69:Y69" si="67">IF(X7=0,0,X19/X59)</f>
        <v>0.73449658451839195</v>
      </c>
      <c r="Y69" s="91">
        <f t="shared" si="67"/>
        <v>0.78891307410340461</v>
      </c>
      <c r="DA69" s="171"/>
    </row>
    <row r="70" spans="1:105" ht="11.45" customHeight="1" x14ac:dyDescent="0.25">
      <c r="A70" s="83" t="s">
        <v>181</v>
      </c>
      <c r="B70" s="91">
        <f t="shared" si="63"/>
        <v>0.97351931586587626</v>
      </c>
      <c r="C70" s="91">
        <f t="shared" ref="C70:W70" si="68">IF(C8=0,0,C20/C60)</f>
        <v>0.98093032100052457</v>
      </c>
      <c r="D70" s="91">
        <f t="shared" si="68"/>
        <v>1.0105006662858822</v>
      </c>
      <c r="E70" s="91">
        <f t="shared" si="68"/>
        <v>0.97035072444777437</v>
      </c>
      <c r="F70" s="91">
        <f t="shared" si="68"/>
        <v>1.0009515565437057</v>
      </c>
      <c r="G70" s="91">
        <f t="shared" si="68"/>
        <v>1.01449888266731</v>
      </c>
      <c r="H70" s="91">
        <f t="shared" si="68"/>
        <v>1.0978268229449955</v>
      </c>
      <c r="I70" s="91">
        <f t="shared" si="68"/>
        <v>1.1905100424639046</v>
      </c>
      <c r="J70" s="91">
        <f t="shared" si="68"/>
        <v>1.2571168699771722</v>
      </c>
      <c r="K70" s="91">
        <f t="shared" si="68"/>
        <v>1.1827476153963339</v>
      </c>
      <c r="L70" s="91">
        <f t="shared" si="68"/>
        <v>1.2372892764703101</v>
      </c>
      <c r="M70" s="91">
        <f t="shared" si="68"/>
        <v>1.2792704673803494</v>
      </c>
      <c r="N70" s="91">
        <f t="shared" si="68"/>
        <v>1.3181305493521134</v>
      </c>
      <c r="O70" s="91">
        <f t="shared" si="68"/>
        <v>1.344834539982668</v>
      </c>
      <c r="P70" s="91">
        <f t="shared" si="68"/>
        <v>1.3312805213158156</v>
      </c>
      <c r="Q70" s="91">
        <f t="shared" si="68"/>
        <v>1.3788223347367736</v>
      </c>
      <c r="R70" s="91">
        <f t="shared" si="68"/>
        <v>1.4066465973173348</v>
      </c>
      <c r="S70" s="91">
        <f t="shared" si="68"/>
        <v>1.3975023346166437</v>
      </c>
      <c r="T70" s="91">
        <f t="shared" si="68"/>
        <v>1.4355015732899368</v>
      </c>
      <c r="U70" s="91">
        <f t="shared" si="68"/>
        <v>1.5374819053938098</v>
      </c>
      <c r="V70" s="91">
        <f t="shared" si="68"/>
        <v>1.514708562709679</v>
      </c>
      <c r="W70" s="91">
        <f t="shared" si="68"/>
        <v>1.6536808581754794</v>
      </c>
      <c r="X70" s="91">
        <f t="shared" ref="X70:Y70" si="69">IF(X8=0,0,X20/X60)</f>
        <v>1.3052847150148061</v>
      </c>
      <c r="Y70" s="91">
        <f t="shared" si="69"/>
        <v>1.3465561682083373</v>
      </c>
      <c r="DA70" s="171"/>
    </row>
    <row r="71" spans="1:105" ht="11.45" customHeight="1" x14ac:dyDescent="0.25">
      <c r="A71" s="83" t="s">
        <v>182</v>
      </c>
      <c r="B71" s="91">
        <f t="shared" si="63"/>
        <v>1.0777568862813356</v>
      </c>
      <c r="C71" s="91">
        <f t="shared" ref="C71:W71" si="70">IF(C9=0,0,C21/C61)</f>
        <v>1.0861963379324684</v>
      </c>
      <c r="D71" s="91">
        <f t="shared" si="70"/>
        <v>1.1182258360505468</v>
      </c>
      <c r="E71" s="91">
        <f t="shared" si="70"/>
        <v>1.0726620907636912</v>
      </c>
      <c r="F71" s="91">
        <f t="shared" si="70"/>
        <v>1.1076214451610717</v>
      </c>
      <c r="G71" s="91">
        <f t="shared" si="70"/>
        <v>0.93128160837578511</v>
      </c>
      <c r="H71" s="91">
        <f t="shared" si="70"/>
        <v>0.80104303228025331</v>
      </c>
      <c r="I71" s="91">
        <f t="shared" si="70"/>
        <v>0.67234187571412829</v>
      </c>
      <c r="J71" s="91">
        <f t="shared" si="70"/>
        <v>0.69143215721878715</v>
      </c>
      <c r="K71" s="91">
        <f t="shared" si="70"/>
        <v>0.68741010358153853</v>
      </c>
      <c r="L71" s="91">
        <f t="shared" si="70"/>
        <v>0.65608315084385926</v>
      </c>
      <c r="M71" s="91">
        <f t="shared" si="70"/>
        <v>0.62429417514302954</v>
      </c>
      <c r="N71" s="91">
        <f t="shared" si="70"/>
        <v>0.60661442857062842</v>
      </c>
      <c r="O71" s="91">
        <f t="shared" si="70"/>
        <v>0.60788319034115634</v>
      </c>
      <c r="P71" s="91">
        <f t="shared" si="70"/>
        <v>0.5825542660949401</v>
      </c>
      <c r="Q71" s="91">
        <f t="shared" si="70"/>
        <v>0.58288313203743758</v>
      </c>
      <c r="R71" s="91">
        <f t="shared" si="70"/>
        <v>0.55734795407246795</v>
      </c>
      <c r="S71" s="91">
        <f t="shared" si="70"/>
        <v>0.5358147989795855</v>
      </c>
      <c r="T71" s="91">
        <f t="shared" si="70"/>
        <v>0.53892400153626885</v>
      </c>
      <c r="U71" s="91">
        <f t="shared" si="70"/>
        <v>0.52603336164237768</v>
      </c>
      <c r="V71" s="91">
        <f t="shared" si="70"/>
        <v>0.66542211326003509</v>
      </c>
      <c r="W71" s="91">
        <f t="shared" si="70"/>
        <v>0.62958570784040968</v>
      </c>
      <c r="X71" s="91">
        <f t="shared" ref="X71:Y71" si="71">IF(X9=0,0,X21/X61)</f>
        <v>0.539657255004241</v>
      </c>
      <c r="Y71" s="91">
        <f t="shared" si="71"/>
        <v>0.47600071283592926</v>
      </c>
      <c r="DA71" s="171"/>
    </row>
    <row r="72" spans="1:105" ht="11.45" customHeight="1" x14ac:dyDescent="0.25">
      <c r="A72" s="12" t="s">
        <v>34</v>
      </c>
      <c r="B72" s="24">
        <f t="shared" si="63"/>
        <v>1.0381763953080649</v>
      </c>
      <c r="C72" s="24">
        <f t="shared" ref="C72:W72" si="72">IF(C10=0,0,C22/C62)</f>
        <v>1.0366816554760938</v>
      </c>
      <c r="D72" s="24">
        <f t="shared" si="72"/>
        <v>1.0570573432126404</v>
      </c>
      <c r="E72" s="24">
        <f t="shared" si="72"/>
        <v>0.99886620126036829</v>
      </c>
      <c r="F72" s="24">
        <f t="shared" si="72"/>
        <v>1.0222085825883174</v>
      </c>
      <c r="G72" s="24">
        <f t="shared" si="72"/>
        <v>0.95713620882681483</v>
      </c>
      <c r="H72" s="24">
        <f t="shared" si="72"/>
        <v>0.96962564662952244</v>
      </c>
      <c r="I72" s="24">
        <f t="shared" si="72"/>
        <v>0.9579660537341782</v>
      </c>
      <c r="J72" s="24">
        <f t="shared" si="72"/>
        <v>0.99840931017464352</v>
      </c>
      <c r="K72" s="24">
        <f t="shared" si="72"/>
        <v>1.0085996824974424</v>
      </c>
      <c r="L72" s="24">
        <f t="shared" si="72"/>
        <v>1.0146071501453076</v>
      </c>
      <c r="M72" s="24">
        <f t="shared" si="72"/>
        <v>0.9201785501240124</v>
      </c>
      <c r="N72" s="24">
        <f t="shared" si="72"/>
        <v>0.85933867064806146</v>
      </c>
      <c r="O72" s="24">
        <f t="shared" si="72"/>
        <v>0.92757965750975191</v>
      </c>
      <c r="P72" s="24">
        <f t="shared" si="72"/>
        <v>0.98486260359852651</v>
      </c>
      <c r="Q72" s="24">
        <f t="shared" si="72"/>
        <v>1.0645663180315408</v>
      </c>
      <c r="R72" s="24">
        <f t="shared" si="72"/>
        <v>1.0705786285874783</v>
      </c>
      <c r="S72" s="24">
        <f t="shared" si="72"/>
        <v>1.1191096422977753</v>
      </c>
      <c r="T72" s="24">
        <f t="shared" si="72"/>
        <v>1.1615396709146364</v>
      </c>
      <c r="U72" s="24">
        <f t="shared" si="72"/>
        <v>1.4212493359240965</v>
      </c>
      <c r="V72" s="24">
        <f t="shared" si="72"/>
        <v>1.1150810538393812</v>
      </c>
      <c r="W72" s="24">
        <f t="shared" si="72"/>
        <v>1.1344633650620823</v>
      </c>
      <c r="X72" s="24">
        <f t="shared" ref="X72:Y72" si="73">IF(X10=0,0,X22/X62)</f>
        <v>0.93355019356445379</v>
      </c>
      <c r="Y72" s="24">
        <f t="shared" si="73"/>
        <v>0.71710367092803828</v>
      </c>
      <c r="DA72" s="193"/>
    </row>
    <row r="73" spans="1:105" ht="11.45" customHeight="1" x14ac:dyDescent="0.25">
      <c r="A73" s="92" t="s">
        <v>27</v>
      </c>
      <c r="B73" s="93">
        <f t="shared" si="63"/>
        <v>0.81407991943258662</v>
      </c>
      <c r="C73" s="93">
        <f t="shared" ref="C73:W73" si="74">IF(C11=0,0,C23/C63)</f>
        <v>0.82374703334368859</v>
      </c>
      <c r="D73" s="93">
        <f t="shared" si="74"/>
        <v>0.76793800289332792</v>
      </c>
      <c r="E73" s="93">
        <f t="shared" si="74"/>
        <v>0.76038451524428441</v>
      </c>
      <c r="F73" s="93">
        <f t="shared" si="74"/>
        <v>0.76288572951570366</v>
      </c>
      <c r="G73" s="93">
        <f t="shared" si="74"/>
        <v>0.72462436704749844</v>
      </c>
      <c r="H73" s="93">
        <f t="shared" si="74"/>
        <v>0.68076181624240073</v>
      </c>
      <c r="I73" s="93">
        <f t="shared" si="74"/>
        <v>0.6849809031477424</v>
      </c>
      <c r="J73" s="93">
        <f t="shared" si="74"/>
        <v>0.67301298062450621</v>
      </c>
      <c r="K73" s="93">
        <f t="shared" si="74"/>
        <v>0.61657356337271574</v>
      </c>
      <c r="L73" s="93">
        <f t="shared" si="74"/>
        <v>0.63981818625157305</v>
      </c>
      <c r="M73" s="93">
        <f t="shared" si="74"/>
        <v>0.66138858481918361</v>
      </c>
      <c r="N73" s="93">
        <f t="shared" si="74"/>
        <v>0.65793715330127855</v>
      </c>
      <c r="O73" s="93">
        <f t="shared" si="74"/>
        <v>0.6348470003719513</v>
      </c>
      <c r="P73" s="93">
        <f t="shared" si="74"/>
        <v>0.6590143142373448</v>
      </c>
      <c r="Q73" s="93">
        <f t="shared" si="74"/>
        <v>0.65971898726207168</v>
      </c>
      <c r="R73" s="93">
        <f t="shared" si="74"/>
        <v>0.69184479908097973</v>
      </c>
      <c r="S73" s="93">
        <f t="shared" si="74"/>
        <v>0.69307348053114548</v>
      </c>
      <c r="T73" s="93">
        <f t="shared" si="74"/>
        <v>0.72334866170206591</v>
      </c>
      <c r="U73" s="93">
        <f t="shared" si="74"/>
        <v>0.69730985762593856</v>
      </c>
      <c r="V73" s="93">
        <f t="shared" si="74"/>
        <v>0.70662925658300069</v>
      </c>
      <c r="W73" s="93">
        <f t="shared" si="74"/>
        <v>0.63120955695516223</v>
      </c>
      <c r="X73" s="93">
        <f t="shared" ref="X73:Y73" si="75">IF(X11=0,0,X23/X63)</f>
        <v>0.73449658451839217</v>
      </c>
      <c r="Y73" s="93">
        <f t="shared" si="75"/>
        <v>0.7889130741034045</v>
      </c>
      <c r="DA73" s="175"/>
    </row>
    <row r="74" spans="1:105" ht="11.45" customHeight="1" x14ac:dyDescent="0.25">
      <c r="A74" s="92" t="s">
        <v>181</v>
      </c>
      <c r="B74" s="93">
        <f t="shared" si="63"/>
        <v>0.98231071253637903</v>
      </c>
      <c r="C74" s="93">
        <f t="shared" ref="C74:W74" si="76">IF(C12=0,0,C24/C64)</f>
        <v>0.97797109318191211</v>
      </c>
      <c r="D74" s="93">
        <f t="shared" si="76"/>
        <v>1.0184407493209013</v>
      </c>
      <c r="E74" s="93">
        <f t="shared" si="76"/>
        <v>0.96813482413044261</v>
      </c>
      <c r="F74" s="93">
        <f t="shared" si="76"/>
        <v>1.0007735592778984</v>
      </c>
      <c r="G74" s="93">
        <f t="shared" si="76"/>
        <v>1.0174600369770814</v>
      </c>
      <c r="H74" s="93">
        <f t="shared" si="76"/>
        <v>1.0966416186129537</v>
      </c>
      <c r="I74" s="93">
        <f t="shared" si="76"/>
        <v>1.1905227757959225</v>
      </c>
      <c r="J74" s="93">
        <f t="shared" si="76"/>
        <v>1.2580122366385806</v>
      </c>
      <c r="K74" s="93">
        <f t="shared" si="76"/>
        <v>1.1777075332279192</v>
      </c>
      <c r="L74" s="93">
        <f t="shared" si="76"/>
        <v>1.2394351929753089</v>
      </c>
      <c r="M74" s="93">
        <f t="shared" si="76"/>
        <v>1.2896234640499482</v>
      </c>
      <c r="N74" s="93">
        <f t="shared" si="76"/>
        <v>1.3305759397385846</v>
      </c>
      <c r="O74" s="93">
        <f t="shared" si="76"/>
        <v>1.3579752030037995</v>
      </c>
      <c r="P74" s="93">
        <f t="shared" si="76"/>
        <v>1.3386300917140357</v>
      </c>
      <c r="Q74" s="93">
        <f t="shared" si="76"/>
        <v>1.387812863717313</v>
      </c>
      <c r="R74" s="93">
        <f t="shared" si="76"/>
        <v>1.4579269285179426</v>
      </c>
      <c r="S74" s="93">
        <f t="shared" si="76"/>
        <v>1.5351229536999456</v>
      </c>
      <c r="T74" s="93">
        <f t="shared" si="76"/>
        <v>1.6650054637257192</v>
      </c>
      <c r="U74" s="93">
        <f t="shared" si="76"/>
        <v>1.923411955690846</v>
      </c>
      <c r="V74" s="93">
        <f t="shared" si="76"/>
        <v>1.4951891921882967</v>
      </c>
      <c r="W74" s="93">
        <f t="shared" si="76"/>
        <v>1.694633379219713</v>
      </c>
      <c r="X74" s="93">
        <f t="shared" ref="X74:Y74" si="77">IF(X12=0,0,X24/X64)</f>
        <v>1.3886206997654478</v>
      </c>
      <c r="Y74" s="93">
        <f t="shared" si="77"/>
        <v>1.5363006830127013</v>
      </c>
      <c r="DA74" s="175"/>
    </row>
    <row r="75" spans="1:105" ht="11.45" customHeight="1" x14ac:dyDescent="0.25">
      <c r="A75" s="85" t="s">
        <v>182</v>
      </c>
      <c r="B75" s="94">
        <f t="shared" si="63"/>
        <v>0.96998119765320201</v>
      </c>
      <c r="C75" s="94">
        <f t="shared" ref="C75:W75" si="78">IF(C13=0,0,C25/C65)</f>
        <v>0.97757670413922171</v>
      </c>
      <c r="D75" s="94">
        <f t="shared" si="78"/>
        <v>1.0064032524454922</v>
      </c>
      <c r="E75" s="94">
        <f t="shared" si="78"/>
        <v>0.9653958816873226</v>
      </c>
      <c r="F75" s="94">
        <f t="shared" si="78"/>
        <v>0.99685930064496475</v>
      </c>
      <c r="G75" s="94">
        <f t="shared" si="78"/>
        <v>0.83815344753820686</v>
      </c>
      <c r="H75" s="94">
        <f t="shared" si="78"/>
        <v>0.720938729052228</v>
      </c>
      <c r="I75" s="94">
        <f t="shared" si="78"/>
        <v>0.60510768814271554</v>
      </c>
      <c r="J75" s="94">
        <f t="shared" si="78"/>
        <v>0.62228894149690839</v>
      </c>
      <c r="K75" s="94">
        <f t="shared" si="78"/>
        <v>0.61866909322338459</v>
      </c>
      <c r="L75" s="94">
        <f t="shared" si="78"/>
        <v>0.59047483575947335</v>
      </c>
      <c r="M75" s="94">
        <f t="shared" si="78"/>
        <v>0.56186475762872656</v>
      </c>
      <c r="N75" s="94">
        <f t="shared" si="78"/>
        <v>0.54595298571356554</v>
      </c>
      <c r="O75" s="94">
        <f t="shared" si="78"/>
        <v>0.54709487130704071</v>
      </c>
      <c r="P75" s="94">
        <f t="shared" si="78"/>
        <v>0.52429883948544609</v>
      </c>
      <c r="Q75" s="94">
        <f t="shared" si="78"/>
        <v>0.52459481883369374</v>
      </c>
      <c r="R75" s="94">
        <f t="shared" si="78"/>
        <v>0.50161315866522116</v>
      </c>
      <c r="S75" s="94">
        <f t="shared" si="78"/>
        <v>0.48223331908162703</v>
      </c>
      <c r="T75" s="94">
        <f t="shared" si="78"/>
        <v>0.4850316013826419</v>
      </c>
      <c r="U75" s="94">
        <f t="shared" si="78"/>
        <v>0.47343002547813989</v>
      </c>
      <c r="V75" s="94">
        <f t="shared" si="78"/>
        <v>0.59887990193403151</v>
      </c>
      <c r="W75" s="94">
        <f t="shared" si="78"/>
        <v>0.5666271370563688</v>
      </c>
      <c r="X75" s="94">
        <f t="shared" ref="X75:Y75" si="79">IF(X13=0,0,X25/X65)</f>
        <v>0.48569152950381689</v>
      </c>
      <c r="Y75" s="94">
        <f t="shared" si="79"/>
        <v>0.42840064155233654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1416.4295385600005</v>
      </c>
      <c r="C3" s="79">
        <f t="shared" si="0"/>
        <v>1438.2223135199997</v>
      </c>
      <c r="D3" s="79">
        <f t="shared" ref="D3" si="1">SUM(D4:D5)</f>
        <v>1379.0701260000008</v>
      </c>
      <c r="E3" s="79">
        <f t="shared" ref="E3" si="2">SUM(E4:E5)</f>
        <v>1413.3702517199999</v>
      </c>
      <c r="F3" s="79">
        <f t="shared" ref="F3" si="3">SUM(F4:F5)</f>
        <v>1587.71348676</v>
      </c>
      <c r="G3" s="79">
        <f t="shared" ref="G3" si="4">SUM(G4:G5)</f>
        <v>1578.4280625600004</v>
      </c>
      <c r="H3" s="79">
        <f t="shared" ref="H3" si="5">SUM(H4:H5)</f>
        <v>1706.0176029600002</v>
      </c>
      <c r="I3" s="79">
        <f t="shared" ref="I3" si="6">SUM(I4:I5)</f>
        <v>1902.1536129599999</v>
      </c>
      <c r="J3" s="79">
        <f t="shared" ref="J3" si="7">SUM(J4:J5)</f>
        <v>2026.6843842000001</v>
      </c>
      <c r="K3" s="79">
        <f t="shared" ref="K3" si="8">SUM(K4:K5)</f>
        <v>1783.8494967600004</v>
      </c>
      <c r="L3" s="79">
        <f t="shared" ref="L3" si="9">SUM(L4:L5)</f>
        <v>1861.6811317200008</v>
      </c>
      <c r="M3" s="79">
        <f t="shared" ref="M3" si="10">SUM(M4:M5)</f>
        <v>2185.4612404800005</v>
      </c>
      <c r="N3" s="79">
        <f t="shared" ref="N3" si="11">SUM(N4:N5)</f>
        <v>2076.4968480000007</v>
      </c>
      <c r="O3" s="79">
        <f t="shared" ref="O3" si="12">SUM(O4:O5)</f>
        <v>2104.5162779999996</v>
      </c>
      <c r="P3" s="79">
        <f t="shared" ref="P3" si="13">SUM(P4:P5)</f>
        <v>2076.4968480000002</v>
      </c>
      <c r="Q3" s="79">
        <f t="shared" ref="Q3" si="14">SUM(Q4:Q5)</f>
        <v>2110.7426742000002</v>
      </c>
      <c r="R3" s="79">
        <f t="shared" ref="R3" si="15">SUM(R4:R5)</f>
        <v>2120.0826567599997</v>
      </c>
      <c r="S3" s="79">
        <f t="shared" ref="S3" si="16">SUM(S4:S5)</f>
        <v>2241.5001004799997</v>
      </c>
      <c r="T3" s="79">
        <f t="shared" ref="T3" si="17">SUM(T4:T5)</f>
        <v>2555.94048552</v>
      </c>
      <c r="U3" s="79">
        <f t="shared" ref="U3" si="18">SUM(U4:U5)</f>
        <v>2730.2837205600008</v>
      </c>
      <c r="V3" s="79">
        <f t="shared" ref="V3:W3" si="19">SUM(V4:V5)</f>
        <v>940.15326923999987</v>
      </c>
      <c r="W3" s="79">
        <f t="shared" si="19"/>
        <v>912.13383924000004</v>
      </c>
      <c r="X3" s="79">
        <f t="shared" ref="X3:Y3" si="20">SUM(X4:X5)</f>
        <v>1734.0372918000003</v>
      </c>
      <c r="Y3" s="79">
        <f t="shared" si="20"/>
        <v>2023.5713155200001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373.48397352000001</v>
      </c>
      <c r="C4" s="96">
        <f t="shared" si="21"/>
        <v>367.25731847999998</v>
      </c>
      <c r="D4" s="96">
        <f t="shared" ref="D4:V4" si="22">SUM(D7,D11)</f>
        <v>320.55844104000022</v>
      </c>
      <c r="E4" s="96">
        <f t="shared" si="22"/>
        <v>320.61248172000012</v>
      </c>
      <c r="F4" s="96">
        <f t="shared" si="22"/>
        <v>326.83913675999992</v>
      </c>
      <c r="G4" s="96">
        <f t="shared" si="22"/>
        <v>311.3270575200001</v>
      </c>
      <c r="H4" s="96">
        <f t="shared" si="22"/>
        <v>295.70637924000005</v>
      </c>
      <c r="I4" s="96">
        <f t="shared" si="22"/>
        <v>277.02667296000004</v>
      </c>
      <c r="J4" s="96">
        <f t="shared" si="22"/>
        <v>267.68694924000005</v>
      </c>
      <c r="K4" s="96">
        <f t="shared" si="22"/>
        <v>242.78084676000009</v>
      </c>
      <c r="L4" s="96">
        <f t="shared" si="22"/>
        <v>236.55419172000001</v>
      </c>
      <c r="M4" s="96">
        <f t="shared" si="22"/>
        <v>264.57362172000001</v>
      </c>
      <c r="N4" s="96">
        <f t="shared" si="22"/>
        <v>220.98781296000001</v>
      </c>
      <c r="O4" s="96">
        <f t="shared" si="22"/>
        <v>189.85531428000002</v>
      </c>
      <c r="P4" s="96">
        <f t="shared" si="22"/>
        <v>189.85531428000002</v>
      </c>
      <c r="Q4" s="96">
        <f t="shared" si="22"/>
        <v>183.62865924000005</v>
      </c>
      <c r="R4" s="96">
        <f t="shared" si="22"/>
        <v>186.74198676000003</v>
      </c>
      <c r="S4" s="96">
        <f t="shared" si="22"/>
        <v>192.96838296000001</v>
      </c>
      <c r="T4" s="96">
        <f t="shared" si="22"/>
        <v>211.64808924000002</v>
      </c>
      <c r="U4" s="96">
        <f t="shared" si="22"/>
        <v>202.30836552000005</v>
      </c>
      <c r="V4" s="96">
        <f t="shared" si="22"/>
        <v>87.117317999999997</v>
      </c>
      <c r="W4" s="96">
        <f t="shared" ref="W4:Y4" si="23">SUM(W7,W11)</f>
        <v>77.777594280000002</v>
      </c>
      <c r="X4" s="96">
        <f t="shared" si="23"/>
        <v>133.81645428000002</v>
      </c>
      <c r="Y4" s="96">
        <f t="shared" si="23"/>
        <v>133.81645428000004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1042.9455650400005</v>
      </c>
      <c r="C5" s="96">
        <f t="shared" si="24"/>
        <v>1070.9649950399998</v>
      </c>
      <c r="D5" s="96">
        <f t="shared" ref="D5:V5" si="25">SUM(D8:D9,D12:D13)</f>
        <v>1058.5116849600006</v>
      </c>
      <c r="E5" s="96">
        <f t="shared" si="25"/>
        <v>1092.7577699999999</v>
      </c>
      <c r="F5" s="96">
        <f t="shared" si="25"/>
        <v>1260.87435</v>
      </c>
      <c r="G5" s="96">
        <f t="shared" si="25"/>
        <v>1267.1010050400002</v>
      </c>
      <c r="H5" s="96">
        <f t="shared" si="25"/>
        <v>1410.3112237200003</v>
      </c>
      <c r="I5" s="96">
        <f t="shared" si="25"/>
        <v>1625.1269399999999</v>
      </c>
      <c r="J5" s="96">
        <f t="shared" si="25"/>
        <v>1758.99743496</v>
      </c>
      <c r="K5" s="96">
        <f t="shared" si="25"/>
        <v>1541.0686500000004</v>
      </c>
      <c r="L5" s="96">
        <f t="shared" si="25"/>
        <v>1625.1269400000008</v>
      </c>
      <c r="M5" s="96">
        <f t="shared" si="25"/>
        <v>1920.8876187600004</v>
      </c>
      <c r="N5" s="96">
        <f t="shared" si="25"/>
        <v>1855.5090350400008</v>
      </c>
      <c r="O5" s="96">
        <f t="shared" si="25"/>
        <v>1914.6609637199997</v>
      </c>
      <c r="P5" s="96">
        <f t="shared" si="25"/>
        <v>1886.6415337200003</v>
      </c>
      <c r="Q5" s="96">
        <f t="shared" si="25"/>
        <v>1927.1140149600001</v>
      </c>
      <c r="R5" s="96">
        <f t="shared" si="25"/>
        <v>1933.3406699999998</v>
      </c>
      <c r="S5" s="96">
        <f t="shared" si="25"/>
        <v>2048.5317175199998</v>
      </c>
      <c r="T5" s="96">
        <f t="shared" si="25"/>
        <v>2344.29239628</v>
      </c>
      <c r="U5" s="96">
        <f t="shared" si="25"/>
        <v>2527.9753550400005</v>
      </c>
      <c r="V5" s="96">
        <f t="shared" si="25"/>
        <v>853.03595123999992</v>
      </c>
      <c r="W5" s="96">
        <f t="shared" ref="W5:Y5" si="26">SUM(W8:W9,W12:W13)</f>
        <v>834.35624496000003</v>
      </c>
      <c r="X5" s="96">
        <f t="shared" si="26"/>
        <v>1600.2208375200003</v>
      </c>
      <c r="Y5" s="96">
        <f t="shared" si="26"/>
        <v>1889.7548612400001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1384.6556180616178</v>
      </c>
      <c r="C6" s="21">
        <f t="shared" si="27"/>
        <v>1412.1776560822539</v>
      </c>
      <c r="D6" s="21">
        <f t="shared" ref="D6:V6" si="28">SUM(D7:D9)</f>
        <v>1353.6204279944334</v>
      </c>
      <c r="E6" s="21">
        <f t="shared" si="28"/>
        <v>1382.7945889141495</v>
      </c>
      <c r="F6" s="21">
        <f t="shared" si="28"/>
        <v>1546.5447946910199</v>
      </c>
      <c r="G6" s="21">
        <f t="shared" si="28"/>
        <v>1535.4098134939418</v>
      </c>
      <c r="H6" s="21">
        <f t="shared" si="28"/>
        <v>1660.1408566161963</v>
      </c>
      <c r="I6" s="21">
        <f t="shared" si="28"/>
        <v>1852.3025622832172</v>
      </c>
      <c r="J6" s="21">
        <f t="shared" si="28"/>
        <v>1984.4328729816016</v>
      </c>
      <c r="K6" s="21">
        <f t="shared" si="28"/>
        <v>1751.4726232385901</v>
      </c>
      <c r="L6" s="21">
        <f t="shared" si="28"/>
        <v>1827.7855602274035</v>
      </c>
      <c r="M6" s="21">
        <f t="shared" si="28"/>
        <v>2149.699955862668</v>
      </c>
      <c r="N6" s="21">
        <f t="shared" si="28"/>
        <v>2037.6626703777392</v>
      </c>
      <c r="O6" s="21">
        <f t="shared" si="28"/>
        <v>2063.2389338587627</v>
      </c>
      <c r="P6" s="21">
        <f t="shared" si="28"/>
        <v>2040.2555220068509</v>
      </c>
      <c r="Q6" s="21">
        <f t="shared" si="28"/>
        <v>2072.5439042894777</v>
      </c>
      <c r="R6" s="21">
        <f t="shared" si="28"/>
        <v>2083.2459527121327</v>
      </c>
      <c r="S6" s="21">
        <f t="shared" si="28"/>
        <v>2201.8698579063657</v>
      </c>
      <c r="T6" s="21">
        <f t="shared" si="28"/>
        <v>2517.814045336168</v>
      </c>
      <c r="U6" s="21">
        <f t="shared" si="28"/>
        <v>2676.8174302410634</v>
      </c>
      <c r="V6" s="21">
        <f t="shared" si="28"/>
        <v>910.99054864685195</v>
      </c>
      <c r="W6" s="21">
        <f t="shared" ref="W6:Y6" si="29">SUM(W7:W9)</f>
        <v>883.20961346161562</v>
      </c>
      <c r="X6" s="21">
        <f t="shared" si="29"/>
        <v>1700.5666965750186</v>
      </c>
      <c r="Y6" s="21">
        <f t="shared" si="29"/>
        <v>1962.3806100178176</v>
      </c>
      <c r="DA6" s="189" t="s">
        <v>327</v>
      </c>
    </row>
    <row r="7" spans="1:105" ht="11.45" customHeight="1" x14ac:dyDescent="0.25">
      <c r="A7" s="83" t="s">
        <v>27</v>
      </c>
      <c r="B7" s="96">
        <v>368.79562023238708</v>
      </c>
      <c r="C7" s="96">
        <v>363.66713721328205</v>
      </c>
      <c r="D7" s="96">
        <v>317.39174639010747</v>
      </c>
      <c r="E7" s="96">
        <v>317.9836094386003</v>
      </c>
      <c r="F7" s="96">
        <v>324.20160403766204</v>
      </c>
      <c r="G7" s="96">
        <v>308.8661293735031</v>
      </c>
      <c r="H7" s="96">
        <v>293.37697798464916</v>
      </c>
      <c r="I7" s="96">
        <v>275.12826634573946</v>
      </c>
      <c r="J7" s="96">
        <v>266.16720129667448</v>
      </c>
      <c r="K7" s="96">
        <v>241.30159212083757</v>
      </c>
      <c r="L7" s="96">
        <v>235.41736739297792</v>
      </c>
      <c r="M7" s="96">
        <v>263.52892906323513</v>
      </c>
      <c r="N7" s="96">
        <v>219.84914721124952</v>
      </c>
      <c r="O7" s="96">
        <v>188.91087505711849</v>
      </c>
      <c r="P7" s="96">
        <v>189.10736679572437</v>
      </c>
      <c r="Q7" s="96">
        <v>182.91080638590302</v>
      </c>
      <c r="R7" s="96">
        <v>185.95177387065885</v>
      </c>
      <c r="S7" s="96">
        <v>192.34409277831674</v>
      </c>
      <c r="T7" s="96">
        <v>211.22131268382543</v>
      </c>
      <c r="U7" s="96">
        <v>201.85784997179005</v>
      </c>
      <c r="V7" s="96">
        <v>86.654498307182251</v>
      </c>
      <c r="W7" s="96">
        <v>77.438052105279851</v>
      </c>
      <c r="X7" s="96">
        <v>133.37096344289264</v>
      </c>
      <c r="Y7" s="96">
        <v>133.35114711475015</v>
      </c>
      <c r="DA7" s="171" t="s">
        <v>328</v>
      </c>
    </row>
    <row r="8" spans="1:105" ht="11.45" customHeight="1" x14ac:dyDescent="0.25">
      <c r="A8" s="83" t="s">
        <v>181</v>
      </c>
      <c r="B8" s="96">
        <v>691.9608260792528</v>
      </c>
      <c r="C8" s="96">
        <v>719.83610518440605</v>
      </c>
      <c r="D8" s="96">
        <v>675.64270187179136</v>
      </c>
      <c r="E8" s="96">
        <v>709.18907464831841</v>
      </c>
      <c r="F8" s="96">
        <v>800.9762642780687</v>
      </c>
      <c r="G8" s="96">
        <v>799.49888185724217</v>
      </c>
      <c r="H8" s="96">
        <v>908.3195618623688</v>
      </c>
      <c r="I8" s="96">
        <v>1060.4646997145103</v>
      </c>
      <c r="J8" s="96">
        <v>1150.9758197160265</v>
      </c>
      <c r="K8" s="96">
        <v>993.57796083454593</v>
      </c>
      <c r="L8" s="96">
        <v>1048.7829338287963</v>
      </c>
      <c r="M8" s="96">
        <v>1246.7332905045146</v>
      </c>
      <c r="N8" s="96">
        <v>1178.2488804323648</v>
      </c>
      <c r="O8" s="96">
        <v>1214.2904738123768</v>
      </c>
      <c r="P8" s="96">
        <v>1209.37392515024</v>
      </c>
      <c r="Q8" s="96">
        <v>1243.624611671984</v>
      </c>
      <c r="R8" s="96">
        <v>1272.664625417362</v>
      </c>
      <c r="S8" s="96">
        <v>1368.0355981080602</v>
      </c>
      <c r="T8" s="96">
        <v>1567.5104522143331</v>
      </c>
      <c r="U8" s="96">
        <v>1668.263765000022</v>
      </c>
      <c r="V8" s="96">
        <v>499.94653636010889</v>
      </c>
      <c r="W8" s="96">
        <v>514.88128572700657</v>
      </c>
      <c r="X8" s="96">
        <v>1078.5160683755082</v>
      </c>
      <c r="Y8" s="96">
        <v>1242.3577403360691</v>
      </c>
      <c r="DA8" s="171" t="s">
        <v>329</v>
      </c>
    </row>
    <row r="9" spans="1:105" ht="11.45" customHeight="1" x14ac:dyDescent="0.25">
      <c r="A9" s="83" t="s">
        <v>182</v>
      </c>
      <c r="B9" s="96">
        <v>323.89917174997805</v>
      </c>
      <c r="C9" s="96">
        <v>328.67441368456565</v>
      </c>
      <c r="D9" s="96">
        <v>360.5859797325345</v>
      </c>
      <c r="E9" s="96">
        <v>355.62190482723071</v>
      </c>
      <c r="F9" s="96">
        <v>421.3669263752891</v>
      </c>
      <c r="G9" s="96">
        <v>427.0448022631964</v>
      </c>
      <c r="H9" s="96">
        <v>458.44431676917844</v>
      </c>
      <c r="I9" s="96">
        <v>516.70959622296755</v>
      </c>
      <c r="J9" s="96">
        <v>567.28985196890051</v>
      </c>
      <c r="K9" s="96">
        <v>516.59307028320643</v>
      </c>
      <c r="L9" s="96">
        <v>543.58525900562938</v>
      </c>
      <c r="M9" s="96">
        <v>639.43773629491841</v>
      </c>
      <c r="N9" s="96">
        <v>639.56464273412473</v>
      </c>
      <c r="O9" s="96">
        <v>660.03758498926732</v>
      </c>
      <c r="P9" s="96">
        <v>641.77423006088657</v>
      </c>
      <c r="Q9" s="96">
        <v>646.0084862315905</v>
      </c>
      <c r="R9" s="96">
        <v>624.62955342411169</v>
      </c>
      <c r="S9" s="96">
        <v>641.4901670199888</v>
      </c>
      <c r="T9" s="96">
        <v>739.08228043800966</v>
      </c>
      <c r="U9" s="96">
        <v>806.6958152692514</v>
      </c>
      <c r="V9" s="96">
        <v>324.38951397956072</v>
      </c>
      <c r="W9" s="96">
        <v>290.89027562932915</v>
      </c>
      <c r="X9" s="96">
        <v>488.6796647566178</v>
      </c>
      <c r="Y9" s="96">
        <v>586.67172256699837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31.77392049838231</v>
      </c>
      <c r="C10" s="22">
        <f t="shared" si="30"/>
        <v>26.044657437745993</v>
      </c>
      <c r="D10" s="22">
        <f t="shared" ref="D10:V10" si="31">SUM(D11:D13)</f>
        <v>25.449698005567264</v>
      </c>
      <c r="E10" s="22">
        <f t="shared" si="31"/>
        <v>30.575662805850605</v>
      </c>
      <c r="F10" s="22">
        <f t="shared" si="31"/>
        <v>41.168692068980221</v>
      </c>
      <c r="G10" s="22">
        <f t="shared" si="31"/>
        <v>43.018249066058566</v>
      </c>
      <c r="H10" s="22">
        <f t="shared" si="31"/>
        <v>45.876746343803788</v>
      </c>
      <c r="I10" s="22">
        <f t="shared" si="31"/>
        <v>49.851050676782613</v>
      </c>
      <c r="J10" s="22">
        <f t="shared" si="31"/>
        <v>42.25151121839852</v>
      </c>
      <c r="K10" s="22">
        <f t="shared" si="31"/>
        <v>32.376873521410495</v>
      </c>
      <c r="L10" s="22">
        <f t="shared" si="31"/>
        <v>33.895571492596957</v>
      </c>
      <c r="M10" s="22">
        <f t="shared" si="31"/>
        <v>35.761284617332244</v>
      </c>
      <c r="N10" s="22">
        <f t="shared" si="31"/>
        <v>38.834177622261663</v>
      </c>
      <c r="O10" s="22">
        <f t="shared" si="31"/>
        <v>41.277344141237165</v>
      </c>
      <c r="P10" s="22">
        <f t="shared" si="31"/>
        <v>36.241325993149246</v>
      </c>
      <c r="Q10" s="22">
        <f t="shared" si="31"/>
        <v>38.198769910522628</v>
      </c>
      <c r="R10" s="22">
        <f t="shared" si="31"/>
        <v>36.8367040478674</v>
      </c>
      <c r="S10" s="22">
        <f t="shared" si="31"/>
        <v>39.630242573633964</v>
      </c>
      <c r="T10" s="22">
        <f t="shared" si="31"/>
        <v>38.126440183831811</v>
      </c>
      <c r="U10" s="22">
        <f t="shared" si="31"/>
        <v>53.466290318937261</v>
      </c>
      <c r="V10" s="22">
        <f t="shared" si="31"/>
        <v>29.162720593148109</v>
      </c>
      <c r="W10" s="22">
        <f t="shared" ref="W10:Y10" si="32">SUM(W11:W13)</f>
        <v>28.924225778384432</v>
      </c>
      <c r="X10" s="22">
        <f t="shared" si="32"/>
        <v>33.470595224981835</v>
      </c>
      <c r="Y10" s="22">
        <f t="shared" si="32"/>
        <v>61.190705502182539</v>
      </c>
      <c r="DA10" s="193" t="s">
        <v>331</v>
      </c>
    </row>
    <row r="11" spans="1:105" ht="11.45" customHeight="1" x14ac:dyDescent="0.25">
      <c r="A11" s="92" t="s">
        <v>27</v>
      </c>
      <c r="B11" s="97">
        <v>4.6883532876129381</v>
      </c>
      <c r="C11" s="97">
        <v>3.5901812667179596</v>
      </c>
      <c r="D11" s="97">
        <v>3.1666946498927335</v>
      </c>
      <c r="E11" s="97">
        <v>2.6288722813998437</v>
      </c>
      <c r="F11" s="97">
        <v>2.6375327223378666</v>
      </c>
      <c r="G11" s="97">
        <v>2.460928146497007</v>
      </c>
      <c r="H11" s="97">
        <v>2.3294012553508949</v>
      </c>
      <c r="I11" s="97">
        <v>1.898406614260584</v>
      </c>
      <c r="J11" s="97">
        <v>1.519747943325584</v>
      </c>
      <c r="K11" s="97">
        <v>1.4792546391625077</v>
      </c>
      <c r="L11" s="97">
        <v>1.1368243270220768</v>
      </c>
      <c r="M11" s="97">
        <v>1.0446926567648938</v>
      </c>
      <c r="N11" s="97">
        <v>1.1386657487504874</v>
      </c>
      <c r="O11" s="97">
        <v>0.94443922288151994</v>
      </c>
      <c r="P11" s="97">
        <v>0.74794748427564739</v>
      </c>
      <c r="Q11" s="97">
        <v>0.71785285409701804</v>
      </c>
      <c r="R11" s="97">
        <v>0.79021288934118727</v>
      </c>
      <c r="S11" s="97">
        <v>0.62429018168327499</v>
      </c>
      <c r="T11" s="97">
        <v>0.42677655617459764</v>
      </c>
      <c r="U11" s="97">
        <v>0.45051554820999379</v>
      </c>
      <c r="V11" s="97">
        <v>0.46281969281774732</v>
      </c>
      <c r="W11" s="97">
        <v>0.33954217472014553</v>
      </c>
      <c r="X11" s="97">
        <v>0.44549083710736281</v>
      </c>
      <c r="Y11" s="97">
        <v>0.46530716524988947</v>
      </c>
      <c r="DA11" s="175" t="s">
        <v>332</v>
      </c>
    </row>
    <row r="12" spans="1:105" ht="11.45" customHeight="1" x14ac:dyDescent="0.25">
      <c r="A12" s="92" t="s">
        <v>181</v>
      </c>
      <c r="B12" s="97">
        <v>15.277745734785775</v>
      </c>
      <c r="C12" s="97">
        <v>13.62303371896602</v>
      </c>
      <c r="D12" s="97">
        <v>12.208237447386072</v>
      </c>
      <c r="E12" s="97">
        <v>17.743761881417377</v>
      </c>
      <c r="F12" s="97">
        <v>24.344665834144813</v>
      </c>
      <c r="G12" s="97">
        <v>24.924529491224138</v>
      </c>
      <c r="H12" s="97">
        <v>30.703717531190385</v>
      </c>
      <c r="I12" s="97">
        <v>34.976784520087662</v>
      </c>
      <c r="J12" s="97">
        <v>29.549029749750318</v>
      </c>
      <c r="K12" s="97">
        <v>24.378190845056753</v>
      </c>
      <c r="L12" s="97">
        <v>25.607028809939656</v>
      </c>
      <c r="M12" s="97">
        <v>23.611975650743947</v>
      </c>
      <c r="N12" s="97">
        <v>23.171489768604069</v>
      </c>
      <c r="O12" s="97">
        <v>27.596935731656909</v>
      </c>
      <c r="P12" s="97">
        <v>27.205785007870794</v>
      </c>
      <c r="Q12" s="97">
        <v>30.510854529647077</v>
      </c>
      <c r="R12" s="97">
        <v>29.120998415409378</v>
      </c>
      <c r="S12" s="97">
        <v>32.315172360695904</v>
      </c>
      <c r="T12" s="97">
        <v>30.960314182452109</v>
      </c>
      <c r="U12" s="97">
        <v>46.903706986135973</v>
      </c>
      <c r="V12" s="97">
        <v>22.059541784577462</v>
      </c>
      <c r="W12" s="97">
        <v>21.498039478506865</v>
      </c>
      <c r="X12" s="97">
        <v>24.232186138394002</v>
      </c>
      <c r="Y12" s="97">
        <v>33.698411304649163</v>
      </c>
      <c r="DA12" s="175" t="s">
        <v>333</v>
      </c>
    </row>
    <row r="13" spans="1:105" ht="11.45" customHeight="1" x14ac:dyDescent="0.25">
      <c r="A13" s="85" t="s">
        <v>182</v>
      </c>
      <c r="B13" s="98">
        <v>11.807821475983598</v>
      </c>
      <c r="C13" s="98">
        <v>8.8314424520620136</v>
      </c>
      <c r="D13" s="98">
        <v>10.074765908288461</v>
      </c>
      <c r="E13" s="98">
        <v>10.203028643033383</v>
      </c>
      <c r="F13" s="98">
        <v>14.186493512497542</v>
      </c>
      <c r="G13" s="98">
        <v>15.632791428337422</v>
      </c>
      <c r="H13" s="98">
        <v>12.84362755726251</v>
      </c>
      <c r="I13" s="98">
        <v>12.975859542434362</v>
      </c>
      <c r="J13" s="98">
        <v>11.182733525322622</v>
      </c>
      <c r="K13" s="98">
        <v>6.5194280371912336</v>
      </c>
      <c r="L13" s="98">
        <v>7.1517183556352242</v>
      </c>
      <c r="M13" s="98">
        <v>11.104616309823401</v>
      </c>
      <c r="N13" s="98">
        <v>14.524022104907109</v>
      </c>
      <c r="O13" s="98">
        <v>12.735969186698735</v>
      </c>
      <c r="P13" s="98">
        <v>8.2875935010027995</v>
      </c>
      <c r="Q13" s="98">
        <v>6.9700625267785332</v>
      </c>
      <c r="R13" s="98">
        <v>6.925492743116834</v>
      </c>
      <c r="S13" s="98">
        <v>6.690780031254782</v>
      </c>
      <c r="T13" s="98">
        <v>6.7393494452051055</v>
      </c>
      <c r="U13" s="98">
        <v>6.1120677845912992</v>
      </c>
      <c r="V13" s="98">
        <v>6.6403591157529007</v>
      </c>
      <c r="W13" s="98">
        <v>7.0866441251574246</v>
      </c>
      <c r="X13" s="98">
        <v>8.792918249480465</v>
      </c>
      <c r="Y13" s="98">
        <v>27.026987032283483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3.0089713263895552</v>
      </c>
      <c r="C18" s="97">
        <f>IF(C4=0,0,C4/TrAvia_ene!C4)</f>
        <v>3.0089486536966543</v>
      </c>
      <c r="D18" s="97">
        <f>IF(D4=0,0,D4/TrAvia_ene!D4)</f>
        <v>3.0087505522589275</v>
      </c>
      <c r="E18" s="97">
        <f>IF(E4=0,0,E4/TrAvia_ene!E4)</f>
        <v>3.0095298056805158</v>
      </c>
      <c r="F18" s="97">
        <f>IF(F4=0,0,F4/TrAvia_ene!F4)</f>
        <v>3.0095446502522512</v>
      </c>
      <c r="G18" s="97">
        <f>IF(G4=0,0,G4/TrAvia_ene!G4)</f>
        <v>3.0103092</v>
      </c>
      <c r="H18" s="97">
        <f>IF(H4=0,0,H4/TrAvia_ene!H4)</f>
        <v>3.0094641790078325</v>
      </c>
      <c r="I18" s="97">
        <f>IF(I4=0,0,I4/TrAvia_ene!I4)</f>
        <v>3.0094072169320834</v>
      </c>
      <c r="J18" s="97">
        <f>IF(J4=0,0,J4/TrAvia_ene!J4)</f>
        <v>3.0093757560765595</v>
      </c>
      <c r="K18" s="97">
        <f>IF(K4=0,0,K4/TrAvia_ene!K4)</f>
        <v>3.0092800298193088</v>
      </c>
      <c r="L18" s="97">
        <f>IF(L4=0,0,L4/TrAvia_ene!L4)</f>
        <v>3.009252949178209</v>
      </c>
      <c r="M18" s="97">
        <f>IF(M4=0,0,M4/TrAvia_ene!M4)</f>
        <v>3.009364775371453</v>
      </c>
      <c r="N18" s="97">
        <f>IF(N4=0,0,N4/TrAvia_ene!N4)</f>
        <v>3.009178574827974</v>
      </c>
      <c r="O18" s="97">
        <f>IF(O4=0,0,O4/TrAvia_ene!O4)</f>
        <v>3.0089932558147527</v>
      </c>
      <c r="P18" s="97">
        <f>IF(P4=0,0,P4/TrAvia_ene!P4)</f>
        <v>3.0089932558147527</v>
      </c>
      <c r="Q18" s="97">
        <f>IF(Q4=0,0,Q4/TrAvia_ene!Q4)</f>
        <v>3.0089486536966548</v>
      </c>
      <c r="R18" s="97">
        <f>IF(R4=0,0,R4/TrAvia_ene!R4)</f>
        <v>3.0089713263895557</v>
      </c>
      <c r="S18" s="97">
        <f>IF(S4=0,0,S4/TrAvia_ene!S4)</f>
        <v>3.0090144761961466</v>
      </c>
      <c r="T18" s="97">
        <f>IF(T4=0,0,T4/TrAvia_ene!T4)</f>
        <v>3.00912870154181</v>
      </c>
      <c r="U18" s="97">
        <f>IF(U4=0,0,U4/TrAvia_ene!U4)</f>
        <v>3.0090742252663656</v>
      </c>
      <c r="V18" s="97">
        <f>IF(V4=0,0,V4/TrAvia_ene!V4)</f>
        <v>3.0074428323275622</v>
      </c>
      <c r="W18" s="97">
        <f>IF(W4=0,0,W4/TrAvia_ene!W4)</f>
        <v>3.0070989989441701</v>
      </c>
      <c r="X18" s="97">
        <f>IF(X4=0,0,X4/TrAvia_ene!X4)</f>
        <v>3.0084425142495941</v>
      </c>
      <c r="Y18" s="97">
        <f>IF(Y4=0,0,Y4/TrAvia_ene!Y4)</f>
        <v>2.752455910021101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3.0103092000000018</v>
      </c>
      <c r="C19" s="98">
        <f>IF(C5=0,0,C5/TrAvia_ene!C5)</f>
        <v>3.0103092000000009</v>
      </c>
      <c r="D19" s="98">
        <f>IF(D5=0,0,D5/TrAvia_ene!D5)</f>
        <v>3.0103092000000014</v>
      </c>
      <c r="E19" s="98">
        <f>IF(E5=0,0,E5/TrAvia_ene!E5)</f>
        <v>3.0103092000000005</v>
      </c>
      <c r="F19" s="98">
        <f>IF(F5=0,0,F5/TrAvia_ene!F5)</f>
        <v>3.0103092000000014</v>
      </c>
      <c r="G19" s="98">
        <f>IF(G5=0,0,G5/TrAvia_ene!G5)</f>
        <v>3.0103092000000005</v>
      </c>
      <c r="H19" s="98">
        <f>IF(H5=0,0,H5/TrAvia_ene!H5)</f>
        <v>3.0103092000000005</v>
      </c>
      <c r="I19" s="98">
        <f>IF(I5=0,0,I5/TrAvia_ene!I5)</f>
        <v>3.0103091999999996</v>
      </c>
      <c r="J19" s="98">
        <f>IF(J5=0,0,J5/TrAvia_ene!J5)</f>
        <v>3.0103091999999991</v>
      </c>
      <c r="K19" s="98">
        <f>IF(K5=0,0,K5/TrAvia_ene!K5)</f>
        <v>3.0103092000000014</v>
      </c>
      <c r="L19" s="98">
        <f>IF(L5=0,0,L5/TrAvia_ene!L5)</f>
        <v>3.0103092000000018</v>
      </c>
      <c r="M19" s="98">
        <f>IF(M5=0,0,M5/TrAvia_ene!M5)</f>
        <v>3.0103092000000009</v>
      </c>
      <c r="N19" s="98">
        <f>IF(N5=0,0,N5/TrAvia_ene!N5)</f>
        <v>3.0103092000000022</v>
      </c>
      <c r="O19" s="98">
        <f>IF(O5=0,0,O5/TrAvia_ene!O5)</f>
        <v>3.0103091999999991</v>
      </c>
      <c r="P19" s="98">
        <f>IF(P5=0,0,P5/TrAvia_ene!P5)</f>
        <v>3.0103092000000014</v>
      </c>
      <c r="Q19" s="98">
        <f>IF(Q5=0,0,Q5/TrAvia_ene!Q5)</f>
        <v>3.0103092000000009</v>
      </c>
      <c r="R19" s="98">
        <f>IF(R5=0,0,R5/TrAvia_ene!R5)</f>
        <v>3.0103092</v>
      </c>
      <c r="S19" s="98">
        <f>IF(S5=0,0,S5/TrAvia_ene!S5)</f>
        <v>3.0103092</v>
      </c>
      <c r="T19" s="98">
        <f>IF(T5=0,0,T5/TrAvia_ene!T5)</f>
        <v>3.0103092</v>
      </c>
      <c r="U19" s="98">
        <f>IF(U5=0,0,U5/TrAvia_ene!U5)</f>
        <v>3.0103092</v>
      </c>
      <c r="V19" s="98">
        <f>IF(V5=0,0,V5/TrAvia_ene!V5)</f>
        <v>3.0103092000000005</v>
      </c>
      <c r="W19" s="98">
        <f>IF(W5=0,0,W5/TrAvia_ene!W5)</f>
        <v>3.0103092000000009</v>
      </c>
      <c r="X19" s="98">
        <f>IF(X5=0,0,X5/TrAvia_ene!X5)</f>
        <v>3.0103092000000005</v>
      </c>
      <c r="Y19" s="98">
        <f>IF(Y5=0,0,Y5/TrAvia_ene!Y5)</f>
        <v>3.0103092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13403.688371076632</v>
      </c>
      <c r="C21" s="54">
        <f>IF(C3=0,0,C3/TrAvia_act!C13*1000)</f>
        <v>13499.264530484306</v>
      </c>
      <c r="D21" s="54">
        <f>IF(D3=0,0,D3/TrAvia_act!D13*1000)</f>
        <v>13789.93190246725</v>
      </c>
      <c r="E21" s="54">
        <f>IF(E3=0,0,E3/TrAvia_act!E13*1000)</f>
        <v>13245.29759127352</v>
      </c>
      <c r="F21" s="54">
        <f>IF(F3=0,0,F3/TrAvia_act!F13*1000)</f>
        <v>13668.099183532948</v>
      </c>
      <c r="G21" s="54">
        <f>IF(G3=0,0,G3/TrAvia_act!G13*1000)</f>
        <v>13362.590873918654</v>
      </c>
      <c r="H21" s="54">
        <f>IF(H3=0,0,H3/TrAvia_act!H13*1000)</f>
        <v>13592.89206603968</v>
      </c>
      <c r="I21" s="54">
        <f>IF(I3=0,0,I3/TrAvia_act!I13*1000)</f>
        <v>13780.06567939934</v>
      </c>
      <c r="J21" s="54">
        <f>IF(J3=0,0,J3/TrAvia_act!J13*1000)</f>
        <v>14054.655689758976</v>
      </c>
      <c r="K21" s="54">
        <f>IF(K3=0,0,K3/TrAvia_act!K13*1000)</f>
        <v>13119.471357929842</v>
      </c>
      <c r="L21" s="54">
        <f>IF(L3=0,0,L3/TrAvia_act!L13*1000)</f>
        <v>13482.765220391333</v>
      </c>
      <c r="M21" s="54">
        <f>IF(M3=0,0,M3/TrAvia_act!M13*1000)</f>
        <v>13799.856213080835</v>
      </c>
      <c r="N21" s="54">
        <f>IF(N3=0,0,N3/TrAvia_act!N13*1000)</f>
        <v>14120.549425152332</v>
      </c>
      <c r="O21" s="54">
        <f>IF(O3=0,0,O3/TrAvia_act!O13*1000)</f>
        <v>14302.96161439458</v>
      </c>
      <c r="P21" s="54">
        <f>IF(P3=0,0,P3/TrAvia_act!P13*1000)</f>
        <v>13959.526567317016</v>
      </c>
      <c r="Q21" s="54">
        <f>IF(Q3=0,0,Q3/TrAvia_act!Q13*1000)</f>
        <v>14259.316391109125</v>
      </c>
      <c r="R21" s="54">
        <f>IF(R3=0,0,R3/TrAvia_act!R13*1000)</f>
        <v>14373.641060333513</v>
      </c>
      <c r="S21" s="54">
        <f>IF(S3=0,0,S3/TrAvia_act!S13*1000)</f>
        <v>14187.828362481923</v>
      </c>
      <c r="T21" s="54">
        <f>IF(T3=0,0,T3/TrAvia_act!T13*1000)</f>
        <v>14425.835016950416</v>
      </c>
      <c r="U21" s="54">
        <f>IF(U3=0,0,U3/TrAvia_act!U13*1000)</f>
        <v>14798.114627286566</v>
      </c>
      <c r="V21" s="54">
        <f>IF(V3=0,0,V3/TrAvia_act!V13*1000)</f>
        <v>15576.751006881439</v>
      </c>
      <c r="W21" s="54">
        <f>IF(W3=0,0,W3/TrAvia_act!W13*1000)</f>
        <v>15450.769989970413</v>
      </c>
      <c r="X21" s="54">
        <f>IF(X3=0,0,X3/TrAvia_act!X13*1000)</f>
        <v>13671.073158005578</v>
      </c>
      <c r="Y21" s="54">
        <f>IF(Y3=0,0,Y3/TrAvia_act!Y13*1000)</f>
        <v>13545.251761804751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13439.211806530628</v>
      </c>
      <c r="C22" s="11">
        <f>IF(C6=0,0,C6/TrAvia_act!C14*1000)</f>
        <v>13532.981015000016</v>
      </c>
      <c r="D22" s="11">
        <f>IF(D6=0,0,D6/TrAvia_act!D14*1000)</f>
        <v>13820.581252589183</v>
      </c>
      <c r="E22" s="11">
        <f>IF(E6=0,0,E6/TrAvia_act!E14*1000)</f>
        <v>13290.938187315734</v>
      </c>
      <c r="F22" s="11">
        <f>IF(F6=0,0,F6/TrAvia_act!F14*1000)</f>
        <v>13727.544174825025</v>
      </c>
      <c r="G22" s="11">
        <f>IF(G6=0,0,G6/TrAvia_act!G14*1000)</f>
        <v>13429.039128417577</v>
      </c>
      <c r="H22" s="11">
        <f>IF(H6=0,0,H6/TrAvia_act!H14*1000)</f>
        <v>13673.287680564144</v>
      </c>
      <c r="I22" s="11">
        <f>IF(I6=0,0,I6/TrAvia_act!I14*1000)</f>
        <v>13873.233079320949</v>
      </c>
      <c r="J22" s="11">
        <f>IF(J6=0,0,J6/TrAvia_act!J14*1000)</f>
        <v>14122.447008062465</v>
      </c>
      <c r="K22" s="11">
        <f>IF(K6=0,0,K6/TrAvia_act!K14*1000)</f>
        <v>13150.932089440388</v>
      </c>
      <c r="L22" s="11">
        <f>IF(L6=0,0,L6/TrAvia_act!L14*1000)</f>
        <v>13500.368590444526</v>
      </c>
      <c r="M22" s="11">
        <f>IF(M6=0,0,M6/TrAvia_act!M14*1000)</f>
        <v>13833.397317015188</v>
      </c>
      <c r="N22" s="11">
        <f>IF(N6=0,0,N6/TrAvia_act!N14*1000)</f>
        <v>14162.730033181224</v>
      </c>
      <c r="O22" s="11">
        <f>IF(O6=0,0,O6/TrAvia_act!O14*1000)</f>
        <v>14348.483081915172</v>
      </c>
      <c r="P22" s="11">
        <f>IF(P6=0,0,P6/TrAvia_act!P14*1000)</f>
        <v>13988.070172619111</v>
      </c>
      <c r="Q22" s="11">
        <f>IF(Q6=0,0,Q6/TrAvia_act!Q14*1000)</f>
        <v>14281.171692059503</v>
      </c>
      <c r="R22" s="11">
        <f>IF(R6=0,0,R6/TrAvia_act!R14*1000)</f>
        <v>14399.798218899417</v>
      </c>
      <c r="S22" s="11">
        <f>IF(S6=0,0,S6/TrAvia_act!S14*1000)</f>
        <v>14204.027409020029</v>
      </c>
      <c r="T22" s="11">
        <f>IF(T6=0,0,T6/TrAvia_act!T14*1000)</f>
        <v>14433.343833215349</v>
      </c>
      <c r="U22" s="11">
        <f>IF(U6=0,0,U6/TrAvia_act!U14*1000)</f>
        <v>14774.323237275981</v>
      </c>
      <c r="V22" s="11">
        <f>IF(V6=0,0,V6/TrAvia_act!V14*1000)</f>
        <v>15655.471456194069</v>
      </c>
      <c r="W22" s="11">
        <f>IF(W6=0,0,W6/TrAvia_act!W14*1000)</f>
        <v>15515.435244612147</v>
      </c>
      <c r="X22" s="11">
        <f>IF(X6=0,0,X6/TrAvia_act!X14*1000)</f>
        <v>13762.046000453984</v>
      </c>
      <c r="Y22" s="11">
        <f>IF(Y6=0,0,Y6/TrAvia_act!Y14*1000)</f>
        <v>13647.571382577173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13102.428023773886</v>
      </c>
      <c r="C23" s="84">
        <f>IF(C7=0,0,C7/TrAvia_act!C15*1000)</f>
        <v>13257.918086794261</v>
      </c>
      <c r="D23" s="84">
        <f>IF(D7=0,0,D7/TrAvia_act!D15*1000)</f>
        <v>12358.877687079825</v>
      </c>
      <c r="E23" s="84">
        <f>IF(E7=0,0,E7/TrAvia_act!E15*1000)</f>
        <v>12240.48438209949</v>
      </c>
      <c r="F23" s="84">
        <f>IF(F7=0,0,F7/TrAvia_act!F15*1000)</f>
        <v>12280.808894170314</v>
      </c>
      <c r="G23" s="84">
        <f>IF(G7=0,0,G7/TrAvia_act!G15*1000)</f>
        <v>11465.80944115718</v>
      </c>
      <c r="H23" s="84">
        <f>IF(H7=0,0,H7/TrAvia_act!H15*1000)</f>
        <v>11205.772747295081</v>
      </c>
      <c r="I23" s="84">
        <f>IF(I7=0,0,I7/TrAvia_act!I15*1000)</f>
        <v>10780.755668191776</v>
      </c>
      <c r="J23" s="84">
        <f>IF(J7=0,0,J7/TrAvia_act!J15*1000)</f>
        <v>10749.636522530525</v>
      </c>
      <c r="K23" s="84">
        <f>IF(K7=0,0,K7/TrAvia_act!K15*1000)</f>
        <v>9646.7244594228596</v>
      </c>
      <c r="L23" s="84">
        <f>IF(L7=0,0,L7/TrAvia_act!L15*1000)</f>
        <v>9863.1356474241511</v>
      </c>
      <c r="M23" s="84">
        <f>IF(M7=0,0,M7/TrAvia_act!M15*1000)</f>
        <v>10174.54038339545</v>
      </c>
      <c r="N23" s="84">
        <f>IF(N7=0,0,N7/TrAvia_act!N15*1000)</f>
        <v>9998.8975190491037</v>
      </c>
      <c r="O23" s="84">
        <f>IF(O7=0,0,O7/TrAvia_act!O15*1000)</f>
        <v>9870.7024167187355</v>
      </c>
      <c r="P23" s="84">
        <f>IF(P7=0,0,P7/TrAvia_act!P15*1000)</f>
        <v>10087.006940199068</v>
      </c>
      <c r="Q23" s="84">
        <f>IF(Q7=0,0,Q7/TrAvia_act!Q15*1000)</f>
        <v>10157.453280360463</v>
      </c>
      <c r="R23" s="84">
        <f>IF(R7=0,0,R7/TrAvia_act!R15*1000)</f>
        <v>10630.900060501108</v>
      </c>
      <c r="S23" s="84">
        <f>IF(S7=0,0,S7/TrAvia_act!S15*1000)</f>
        <v>10568.196426448227</v>
      </c>
      <c r="T23" s="84">
        <f>IF(T7=0,0,T7/TrAvia_act!T15*1000)</f>
        <v>10743.267724740313</v>
      </c>
      <c r="U23" s="84">
        <f>IF(U7=0,0,U7/TrAvia_act!U15*1000)</f>
        <v>10274.003639638484</v>
      </c>
      <c r="V23" s="84">
        <f>IF(V7=0,0,V7/TrAvia_act!V15*1000)</f>
        <v>9692.5329358670915</v>
      </c>
      <c r="W23" s="84">
        <f>IF(W7=0,0,W7/TrAvia_act!W15*1000)</f>
        <v>8462.8977727735601</v>
      </c>
      <c r="X23" s="84">
        <f>IF(X7=0,0,X7/TrAvia_act!X15*1000)</f>
        <v>9953.6466031887176</v>
      </c>
      <c r="Y23" s="84">
        <f>IF(Y7=0,0,Y7/TrAvia_act!Y15*1000)</f>
        <v>9768.2239484137917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11372.492351094552</v>
      </c>
      <c r="C24" s="84">
        <f>IF(C8=0,0,C8/TrAvia_act!C16*1000)</f>
        <v>11464.98943275445</v>
      </c>
      <c r="D24" s="84">
        <f>IF(D8=0,0,D8/TrAvia_act!D16*1000)</f>
        <v>11812.383622193696</v>
      </c>
      <c r="E24" s="84">
        <f>IF(E8=0,0,E8/TrAvia_act!E16*1000)</f>
        <v>11333.343119848618</v>
      </c>
      <c r="F24" s="84">
        <f>IF(F8=0,0,F8/TrAvia_act!F16*1000)</f>
        <v>11694.781311470575</v>
      </c>
      <c r="G24" s="84">
        <f>IF(G8=0,0,G8/TrAvia_act!G16*1000)</f>
        <v>11823.060666474134</v>
      </c>
      <c r="H24" s="84">
        <f>IF(H8=0,0,H8/TrAvia_act!H16*1000)</f>
        <v>12638.245713705426</v>
      </c>
      <c r="I24" s="84">
        <f>IF(I8=0,0,I8/TrAvia_act!I16*1000)</f>
        <v>13568.566164691129</v>
      </c>
      <c r="J24" s="84">
        <f>IF(J8=0,0,J8/TrAvia_act!J16*1000)</f>
        <v>14277.92017977381</v>
      </c>
      <c r="K24" s="84">
        <f>IF(K8=0,0,K8/TrAvia_act!K16*1000)</f>
        <v>13308.986598819578</v>
      </c>
      <c r="L24" s="84">
        <f>IF(L8=0,0,L8/TrAvia_act!L16*1000)</f>
        <v>13877.966215132183</v>
      </c>
      <c r="M24" s="84">
        <f>IF(M8=0,0,M8/TrAvia_act!M16*1000)</f>
        <v>14512.792276855273</v>
      </c>
      <c r="N24" s="84">
        <f>IF(N8=0,0,N8/TrAvia_act!N16*1000)</f>
        <v>15235.331095579788</v>
      </c>
      <c r="O24" s="84">
        <f>IF(O8=0,0,O8/TrAvia_act!O16*1000)</f>
        <v>15489.761325198166</v>
      </c>
      <c r="P24" s="84">
        <f>IF(P8=0,0,P8/TrAvia_act!P16*1000)</f>
        <v>15307.630520481223</v>
      </c>
      <c r="Q24" s="84">
        <f>IF(Q8=0,0,Q8/TrAvia_act!Q16*1000)</f>
        <v>15878.625659501475</v>
      </c>
      <c r="R24" s="84">
        <f>IF(R8=0,0,R8/TrAvia_act!R16*1000)</f>
        <v>16263.191220081382</v>
      </c>
      <c r="S24" s="84">
        <f>IF(S8=0,0,S8/TrAvia_act!S16*1000)</f>
        <v>16222.296193384231</v>
      </c>
      <c r="T24" s="84">
        <f>IF(T8=0,0,T8/TrAvia_act!T16*1000)</f>
        <v>16700.782346549204</v>
      </c>
      <c r="U24" s="84">
        <f>IF(U8=0,0,U8/TrAvia_act!U16*1000)</f>
        <v>17820.768904234439</v>
      </c>
      <c r="V24" s="84">
        <f>IF(V8=0,0,V8/TrAvia_act!V16*1000)</f>
        <v>17716.525313815153</v>
      </c>
      <c r="W24" s="84">
        <f>IF(W8=0,0,W8/TrAvia_act!W16*1000)</f>
        <v>18485.933886810883</v>
      </c>
      <c r="X24" s="84">
        <f>IF(X8=0,0,X8/TrAvia_act!X16*1000)</f>
        <v>14846.599265580166</v>
      </c>
      <c r="Y24" s="84">
        <f>IF(Y8=0,0,Y8/TrAvia_act!Y16*1000)</f>
        <v>15381.045877396286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23071.780996066689</v>
      </c>
      <c r="C25" s="84">
        <f>IF(C9=0,0,C9/TrAvia_act!C17*1000)</f>
        <v>23252.446211664304</v>
      </c>
      <c r="D25" s="84">
        <f>IF(D9=0,0,D9/TrAvia_act!D17*1000)</f>
        <v>23938.108790489467</v>
      </c>
      <c r="E25" s="84">
        <f>IF(E9=0,0,E9/TrAvia_act!E17*1000)</f>
        <v>22962.715577047744</v>
      </c>
      <c r="F25" s="84">
        <f>IF(F9=0,0,F9/TrAvia_act!F17*1000)</f>
        <v>23711.098239860727</v>
      </c>
      <c r="G25" s="84">
        <f>IF(G9=0,0,G9/TrAvia_act!G17*1000)</f>
        <v>21595.13819317416</v>
      </c>
      <c r="H25" s="84">
        <f>IF(H9=0,0,H9/TrAvia_act!H17*1000)</f>
        <v>19622.394670798116</v>
      </c>
      <c r="I25" s="84">
        <f>IF(I9=0,0,I9/TrAvia_act!I17*1000)</f>
        <v>17316.014282199776</v>
      </c>
      <c r="J25" s="84">
        <f>IF(J9=0,0,J9/TrAvia_act!J17*1000)</f>
        <v>16142.165539346717</v>
      </c>
      <c r="K25" s="84">
        <f>IF(K9=0,0,K9/TrAvia_act!K17*1000)</f>
        <v>15414.297220691999</v>
      </c>
      <c r="L25" s="84">
        <f>IF(L9=0,0,L9/TrAvia_act!L17*1000)</f>
        <v>15121.595415717218</v>
      </c>
      <c r="M25" s="84">
        <f>IF(M9=0,0,M9/TrAvia_act!M17*1000)</f>
        <v>14668.478895326452</v>
      </c>
      <c r="N25" s="84">
        <f>IF(N9=0,0,N9/TrAvia_act!N17*1000)</f>
        <v>14355.772984049217</v>
      </c>
      <c r="O25" s="84">
        <f>IF(O9=0,0,O9/TrAvia_act!O17*1000)</f>
        <v>14266.989902873385</v>
      </c>
      <c r="P25" s="84">
        <f>IF(P9=0,0,P9/TrAvia_act!P17*1000)</f>
        <v>13341.234442101491</v>
      </c>
      <c r="Q25" s="84">
        <f>IF(Q9=0,0,Q9/TrAvia_act!Q17*1000)</f>
        <v>13238.963030208484</v>
      </c>
      <c r="R25" s="84">
        <f>IF(R9=0,0,R9/TrAvia_act!R17*1000)</f>
        <v>12766.833917743283</v>
      </c>
      <c r="S25" s="84">
        <f>IF(S9=0,0,S9/TrAvia_act!S17*1000)</f>
        <v>12222.01745641764</v>
      </c>
      <c r="T25" s="84">
        <f>IF(T9=0,0,T9/TrAvia_act!T17*1000)</f>
        <v>12131.027512063809</v>
      </c>
      <c r="U25" s="84">
        <f>IF(U9=0,0,U9/TrAvia_act!U17*1000)</f>
        <v>11877.237558791003</v>
      </c>
      <c r="V25" s="84">
        <f>IF(V9=0,0,V9/TrAvia_act!V17*1000)</f>
        <v>15424.82102017199</v>
      </c>
      <c r="W25" s="84">
        <f>IF(W9=0,0,W9/TrAvia_act!W17*1000)</f>
        <v>14601.693458938353</v>
      </c>
      <c r="X25" s="84">
        <f>IF(X9=0,0,X9/TrAvia_act!X17*1000)</f>
        <v>13022.381841125234</v>
      </c>
      <c r="Y25" s="84">
        <f>IF(Y9=0,0,Y9/TrAvia_act!Y17*1000)</f>
        <v>11884.074027983545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12019.204636296648</v>
      </c>
      <c r="C26" s="13">
        <f>IF(C10=0,0,C10/TrAvia_act!C18*1000)</f>
        <v>11892.694169845741</v>
      </c>
      <c r="D26" s="13">
        <f>IF(D10=0,0,D10/TrAvia_act!D18*1000)</f>
        <v>12334.982872869354</v>
      </c>
      <c r="E26" s="13">
        <f>IF(E10=0,0,E10/TrAvia_act!E18*1000)</f>
        <v>11464.790940679393</v>
      </c>
      <c r="F26" s="13">
        <f>IF(F10=0,0,F10/TrAvia_act!F18*1000)</f>
        <v>11755.746217598726</v>
      </c>
      <c r="G26" s="13">
        <f>IF(G10=0,0,G10/TrAvia_act!G18*1000)</f>
        <v>11356.876356941997</v>
      </c>
      <c r="H26" s="13">
        <f>IF(H10=0,0,H10/TrAvia_act!H18*1000)</f>
        <v>11208.130719655303</v>
      </c>
      <c r="I26" s="13">
        <f>IF(I10=0,0,I10/TrAvia_act!I18*1000)</f>
        <v>11028.193377645885</v>
      </c>
      <c r="J26" s="13">
        <f>IF(J10=0,0,J10/TrAvia_act!J18*1000)</f>
        <v>11468.936106519601</v>
      </c>
      <c r="K26" s="13">
        <f>IF(K10=0,0,K10/TrAvia_act!K18*1000)</f>
        <v>11616.177247056796</v>
      </c>
      <c r="L26" s="13">
        <f>IF(L10=0,0,L10/TrAvia_act!L18*1000)</f>
        <v>12597.03624340472</v>
      </c>
      <c r="M26" s="13">
        <f>IF(M10=0,0,M10/TrAvia_act!M18*1000)</f>
        <v>12044.370340513182</v>
      </c>
      <c r="N26" s="13">
        <f>IF(N10=0,0,N10/TrAvia_act!N18*1000)</f>
        <v>12212.123820805627</v>
      </c>
      <c r="O26" s="13">
        <f>IF(O10=0,0,O10/TrAvia_act!O18*1000)</f>
        <v>12345.253056552061</v>
      </c>
      <c r="P26" s="13">
        <f>IF(P10=0,0,P10/TrAvia_act!P18*1000)</f>
        <v>12521.140711226577</v>
      </c>
      <c r="Q26" s="13">
        <f>IF(Q10=0,0,Q10/TrAvia_act!Q18*1000)</f>
        <v>13166.103888582316</v>
      </c>
      <c r="R26" s="13">
        <f>IF(R10=0,0,R10/TrAvia_act!R18*1000)</f>
        <v>13034.60627887515</v>
      </c>
      <c r="S26" s="13">
        <f>IF(S10=0,0,S10/TrAvia_act!S18*1000)</f>
        <v>13342.399981471564</v>
      </c>
      <c r="T26" s="13">
        <f>IF(T10=0,0,T10/TrAvia_act!T18*1000)</f>
        <v>13946.683508373007</v>
      </c>
      <c r="U26" s="13">
        <f>IF(U10=0,0,U10/TrAvia_act!U18*1000)</f>
        <v>16095.7807499418</v>
      </c>
      <c r="V26" s="13">
        <f>IF(V10=0,0,V10/TrAvia_act!V18*1000)</f>
        <v>13462.178452352573</v>
      </c>
      <c r="W26" s="13">
        <f>IF(W10=0,0,W10/TrAvia_act!W18*1000)</f>
        <v>13706.421845009858</v>
      </c>
      <c r="X26" s="13">
        <f>IF(X10=0,0,X10/TrAvia_act!X18*1000)</f>
        <v>10233.907401599994</v>
      </c>
      <c r="Y26" s="13">
        <f>IF(Y10=0,0,Y10/TrAvia_act!Y18*1000)</f>
        <v>10919.741654100073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18838.603079392495</v>
      </c>
      <c r="C27" s="102">
        <f>IF(C11=0,0,C11/TrAvia_act!C19*1000)</f>
        <v>19062.165885821618</v>
      </c>
      <c r="D27" s="102">
        <f>IF(D11=0,0,D11/TrAvia_act!D19*1000)</f>
        <v>17769.53026043771</v>
      </c>
      <c r="E27" s="102">
        <f>IF(E11=0,0,E11/TrAvia_act!E19*1000)</f>
        <v>17599.304980380071</v>
      </c>
      <c r="F27" s="102">
        <f>IF(F11=0,0,F11/TrAvia_act!F19*1000)</f>
        <v>17657.283354761832</v>
      </c>
      <c r="G27" s="102">
        <f>IF(G11=0,0,G11/TrAvia_act!G19*1000)</f>
        <v>16254.142426025559</v>
      </c>
      <c r="H27" s="102">
        <f>IF(H11=0,0,H11/TrAvia_act!H19*1000)</f>
        <v>17933.59663208637</v>
      </c>
      <c r="I27" s="102">
        <f>IF(I11=0,0,I11/TrAvia_act!I19*1000)</f>
        <v>17975.851457215773</v>
      </c>
      <c r="J27" s="102">
        <f>IF(J11=0,0,J11/TrAvia_act!J19*1000)</f>
        <v>20292.525622567904</v>
      </c>
      <c r="K27" s="102">
        <f>IF(K11=0,0,K11/TrAvia_act!K19*1000)</f>
        <v>19723.531842923425</v>
      </c>
      <c r="L27" s="102">
        <f>IF(L11=0,0,L11/TrAvia_act!L19*1000)</f>
        <v>22195.363576447737</v>
      </c>
      <c r="M27" s="102">
        <f>IF(M11=0,0,M11/TrAvia_act!M19*1000)</f>
        <v>17293.582718452995</v>
      </c>
      <c r="N27" s="102">
        <f>IF(N11=0,0,N11/TrAvia_act!N19*1000)</f>
        <v>13788.510624406943</v>
      </c>
      <c r="O27" s="102">
        <f>IF(O11=0,0,O11/TrAvia_act!O19*1000)</f>
        <v>13980.259800669459</v>
      </c>
      <c r="P27" s="102">
        <f>IF(P11=0,0,P11/TrAvia_act!P19*1000)</f>
        <v>14233.510586943932</v>
      </c>
      <c r="Q27" s="102">
        <f>IF(Q11=0,0,Q11/TrAvia_act!Q19*1000)</f>
        <v>14533.071935470072</v>
      </c>
      <c r="R27" s="102">
        <f>IF(R11=0,0,R11/TrAvia_act!R19*1000)</f>
        <v>15323.867506242661</v>
      </c>
      <c r="S27" s="102">
        <f>IF(S11=0,0,S11/TrAvia_act!S19*1000)</f>
        <v>15270.199584886377</v>
      </c>
      <c r="T27" s="102">
        <f>IF(T11=0,0,T11/TrAvia_act!T19*1000)</f>
        <v>15305.051220376692</v>
      </c>
      <c r="U27" s="102">
        <f>IF(U11=0,0,U11/TrAvia_act!U19*1000)</f>
        <v>15772.290358512681</v>
      </c>
      <c r="V27" s="102">
        <f>IF(V11=0,0,V11/TrAvia_act!V19*1000)</f>
        <v>17923.017467768757</v>
      </c>
      <c r="W27" s="102">
        <f>IF(W11=0,0,W11/TrAvia_act!W19*1000)</f>
        <v>13512.111375319857</v>
      </c>
      <c r="X27" s="102">
        <f>IF(X11=0,0,X11/TrAvia_act!X19*1000)</f>
        <v>16341.05407438449</v>
      </c>
      <c r="Y27" s="102">
        <f>IF(Y11=0,0,Y11/TrAvia_act!Y19*1000)</f>
        <v>19254.801142688004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10120.204222017064</v>
      </c>
      <c r="C28" s="102">
        <f>IF(C12=0,0,C12/TrAvia_act!C20*1000)</f>
        <v>10130.298485091414</v>
      </c>
      <c r="D28" s="102">
        <f>IF(D12=0,0,D12/TrAvia_act!D20*1000)</f>
        <v>10550.321303457533</v>
      </c>
      <c r="E28" s="102">
        <f>IF(E12=0,0,E12/TrAvia_act!E20*1000)</f>
        <v>10144.468507961094</v>
      </c>
      <c r="F28" s="102">
        <f>IF(F12=0,0,F12/TrAvia_act!F20*1000)</f>
        <v>10502.878485129855</v>
      </c>
      <c r="G28" s="102">
        <f>IF(G12=0,0,G12/TrAvia_act!G20*1000)</f>
        <v>10596.738968075617</v>
      </c>
      <c r="H28" s="102">
        <f>IF(H12=0,0,H12/TrAvia_act!H20*1000)</f>
        <v>11368.818385350833</v>
      </c>
      <c r="I28" s="102">
        <f>IF(I12=0,0,I12/TrAvia_act!I20*1000)</f>
        <v>12194.557037127881</v>
      </c>
      <c r="J28" s="102">
        <f>IF(J12=0,0,J12/TrAvia_act!J20*1000)</f>
        <v>13028.136425578321</v>
      </c>
      <c r="K28" s="102">
        <f>IF(K12=0,0,K12/TrAvia_act!K20*1000)</f>
        <v>12190.987440383587</v>
      </c>
      <c r="L28" s="102">
        <f>IF(L12=0,0,L12/TrAvia_act!L20*1000)</f>
        <v>13055.816371969877</v>
      </c>
      <c r="M28" s="102">
        <f>IF(M12=0,0,M12/TrAvia_act!M20*1000)</f>
        <v>13675.101485636396</v>
      </c>
      <c r="N28" s="102">
        <f>IF(N12=0,0,N12/TrAvia_act!N20*1000)</f>
        <v>14548.759440605903</v>
      </c>
      <c r="O28" s="102">
        <f>IF(O12=0,0,O12/TrAvia_act!O20*1000)</f>
        <v>14423.95392338666</v>
      </c>
      <c r="P28" s="102">
        <f>IF(P12=0,0,P12/TrAvia_act!P20*1000)</f>
        <v>14101.664857127715</v>
      </c>
      <c r="Q28" s="102">
        <f>IF(Q12=0,0,Q12/TrAvia_act!Q20*1000)</f>
        <v>14668.627577684485</v>
      </c>
      <c r="R28" s="102">
        <f>IF(R12=0,0,R12/TrAvia_act!R20*1000)</f>
        <v>15231.594688098052</v>
      </c>
      <c r="S28" s="102">
        <f>IF(S12=0,0,S12/TrAvia_act!S20*1000)</f>
        <v>15849.169174038807</v>
      </c>
      <c r="T28" s="102">
        <f>IF(T12=0,0,T12/TrAvia_act!T20*1000)</f>
        <v>16992.883738529148</v>
      </c>
      <c r="U28" s="102">
        <f>IF(U12=0,0,U12/TrAvia_act!U20*1000)</f>
        <v>19670.820972774793</v>
      </c>
      <c r="V28" s="102">
        <f>IF(V12=0,0,V12/TrAvia_act!V20*1000)</f>
        <v>15850.085539581731</v>
      </c>
      <c r="W28" s="102">
        <f>IF(W12=0,0,W12/TrAvia_act!W20*1000)</f>
        <v>18030.474063195226</v>
      </c>
      <c r="X28" s="102">
        <f>IF(X12=0,0,X12/TrAvia_act!X20*1000)</f>
        <v>14914.116308742508</v>
      </c>
      <c r="Y28" s="102">
        <f>IF(Y12=0,0,Y12/TrAvia_act!Y20*1000)</f>
        <v>16880.040878420896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13340.690091291657</v>
      </c>
      <c r="C29" s="86">
        <f>IF(C13=0,0,C13/TrAvia_act!C21*1000)</f>
        <v>13445.155310165534</v>
      </c>
      <c r="D29" s="86">
        <f>IF(D13=0,0,D13/TrAvia_act!D21*1000)</f>
        <v>13841.622837872288</v>
      </c>
      <c r="E29" s="86">
        <f>IF(E13=0,0,E13/TrAvia_act!E21*1000)</f>
        <v>13277.625694353394</v>
      </c>
      <c r="F29" s="86">
        <f>IF(F13=0,0,F13/TrAvia_act!F21*1000)</f>
        <v>13710.35956851706</v>
      </c>
      <c r="G29" s="86">
        <f>IF(G13=0,0,G13/TrAvia_act!G21*1000)</f>
        <v>12171.641632801573</v>
      </c>
      <c r="H29" s="86">
        <f>IF(H13=0,0,H13/TrAvia_act!H21*1000)</f>
        <v>10172.520352041051</v>
      </c>
      <c r="I29" s="86">
        <f>IF(I13=0,0,I13/TrAvia_act!I21*1000)</f>
        <v>8390.5225999862214</v>
      </c>
      <c r="J29" s="86">
        <f>IF(J13=0,0,J13/TrAvia_act!J21*1000)</f>
        <v>8339.0361111502971</v>
      </c>
      <c r="K29" s="86">
        <f>IF(K13=0,0,K13/TrAvia_act!K21*1000)</f>
        <v>9149.6420817691778</v>
      </c>
      <c r="L29" s="86">
        <f>IF(L13=0,0,L13/TrAvia_act!L21*1000)</f>
        <v>10545.327173222489</v>
      </c>
      <c r="M29" s="86">
        <f>IF(M13=0,0,M13/TrAvia_act!M21*1000)</f>
        <v>9394.1369104311561</v>
      </c>
      <c r="N29" s="86">
        <f>IF(N13=0,0,N13/TrAvia_act!N21*1000)</f>
        <v>9652.3704556418706</v>
      </c>
      <c r="O29" s="86">
        <f>IF(O13=0,0,O13/TrAvia_act!O21*1000)</f>
        <v>9345.7592186885322</v>
      </c>
      <c r="P29" s="86">
        <f>IF(P13=0,0,P13/TrAvia_act!P21*1000)</f>
        <v>9081.2787681086447</v>
      </c>
      <c r="Q29" s="86">
        <f>IF(Q13=0,0,Q13/TrAvia_act!Q21*1000)</f>
        <v>9029.8120289082417</v>
      </c>
      <c r="R29" s="86">
        <f>IF(R13=0,0,R13/TrAvia_act!R21*1000)</f>
        <v>8028.4307125146752</v>
      </c>
      <c r="S29" s="86">
        <f>IF(S13=0,0,S13/TrAvia_act!S21*1000)</f>
        <v>7513.9606717551742</v>
      </c>
      <c r="T29" s="86">
        <f>IF(T13=0,0,T13/TrAvia_act!T21*1000)</f>
        <v>7624.6838714609776</v>
      </c>
      <c r="U29" s="86">
        <f>IF(U13=0,0,U13/TrAvia_act!U21*1000)</f>
        <v>6725.6945885182813</v>
      </c>
      <c r="V29" s="86">
        <f>IF(V13=0,0,V13/TrAvia_act!V21*1000)</f>
        <v>8869.3487669269452</v>
      </c>
      <c r="W29" s="86">
        <f>IF(W13=0,0,W13/TrAvia_act!W21*1000)</f>
        <v>7937.3492611089277</v>
      </c>
      <c r="X29" s="86">
        <f>IF(X13=0,0,X13/TrAvia_act!X21*1000)</f>
        <v>5432.7080451757529</v>
      </c>
      <c r="Y29" s="86">
        <f>IF(Y13=0,0,Y13/TrAvia_act!Y21*1000)</f>
        <v>7542.7699260629643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135.95853926460964</v>
      </c>
      <c r="C32" s="14">
        <f>IF(C6=0,0,C6/TrAvia_act!C4*1000)</f>
        <v>137.67775861047562</v>
      </c>
      <c r="D32" s="14">
        <f>IF(D6=0,0,D6/TrAvia_act!D4*1000)</f>
        <v>132.60233886871518</v>
      </c>
      <c r="E32" s="14">
        <f>IF(E6=0,0,E6/TrAvia_act!E4*1000)</f>
        <v>137.79681736011733</v>
      </c>
      <c r="F32" s="14">
        <f>IF(F6=0,0,F6/TrAvia_act!F4*1000)</f>
        <v>135.5590958518562</v>
      </c>
      <c r="G32" s="14">
        <f>IF(G6=0,0,G6/TrAvia_act!G4*1000)</f>
        <v>124.72474461566154</v>
      </c>
      <c r="H32" s="14">
        <f>IF(H6=0,0,H6/TrAvia_act!H4*1000)</f>
        <v>121.64856327528268</v>
      </c>
      <c r="I32" s="14">
        <f>IF(I6=0,0,I6/TrAvia_act!I4*1000)</f>
        <v>116.85158732379787</v>
      </c>
      <c r="J32" s="14">
        <f>IF(J6=0,0,J6/TrAvia_act!J4*1000)</f>
        <v>120.28354035662143</v>
      </c>
      <c r="K32" s="14">
        <f>IF(K6=0,0,K6/TrAvia_act!K4*1000)</f>
        <v>111.81683666948994</v>
      </c>
      <c r="L32" s="14">
        <f>IF(L6=0,0,L6/TrAvia_act!L4*1000)</f>
        <v>110.59429096523218</v>
      </c>
      <c r="M32" s="14">
        <f>IF(M6=0,0,M6/TrAvia_act!M4*1000)</f>
        <v>113.67109517558242</v>
      </c>
      <c r="N32" s="14">
        <f>IF(N6=0,0,N6/TrAvia_act!N4*1000)</f>
        <v>102.73252506297442</v>
      </c>
      <c r="O32" s="14">
        <f>IF(O6=0,0,O6/TrAvia_act!O4*1000)</f>
        <v>102.28897348470497</v>
      </c>
      <c r="P32" s="14">
        <f>IF(P6=0,0,P6/TrAvia_act!P4*1000)</f>
        <v>97.90690260663159</v>
      </c>
      <c r="Q32" s="14">
        <f>IF(Q6=0,0,Q6/TrAvia_act!Q4*1000)</f>
        <v>100.04030691570746</v>
      </c>
      <c r="R32" s="14">
        <f>IF(R6=0,0,R6/TrAvia_act!R4*1000)</f>
        <v>95.990046947986613</v>
      </c>
      <c r="S32" s="14">
        <f>IF(S6=0,0,S6/TrAvia_act!S4*1000)</f>
        <v>88.426554564438987</v>
      </c>
      <c r="T32" s="14">
        <f>IF(T6=0,0,T6/TrAvia_act!T4*1000)</f>
        <v>91.015794529994807</v>
      </c>
      <c r="U32" s="14">
        <f>IF(U6=0,0,U6/TrAvia_act!U4*1000)</f>
        <v>90.085127091006456</v>
      </c>
      <c r="V32" s="14">
        <f>IF(V6=0,0,V6/TrAvia_act!V4*1000)</f>
        <v>127.87864670780571</v>
      </c>
      <c r="W32" s="14">
        <f>IF(W6=0,0,W6/TrAvia_act!W4*1000)</f>
        <v>180.42860124911627</v>
      </c>
      <c r="X32" s="14">
        <f>IF(X6=0,0,X6/TrAvia_act!X4*1000)</f>
        <v>96.765354122608443</v>
      </c>
      <c r="Y32" s="14">
        <f>IF(Y6=0,0,Y6/TrAvia_act!Y4*1000)</f>
        <v>80.785327190797531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233.16055991351877</v>
      </c>
      <c r="C33" s="87">
        <f>IF(C7=0,0,C7/TrAvia_act!C5*1000)</f>
        <v>233.85552645483466</v>
      </c>
      <c r="D33" s="87">
        <f>IF(D7=0,0,D7/TrAvia_act!D5*1000)</f>
        <v>203.39083976435171</v>
      </c>
      <c r="E33" s="87">
        <f>IF(E7=0,0,E7/TrAvia_act!E5*1000)</f>
        <v>235.65491091980016</v>
      </c>
      <c r="F33" s="87">
        <f>IF(F7=0,0,F7/TrAvia_act!F5*1000)</f>
        <v>227.08965918791779</v>
      </c>
      <c r="G33" s="87">
        <f>IF(G7=0,0,G7/TrAvia_act!G5*1000)</f>
        <v>218.04300999347822</v>
      </c>
      <c r="H33" s="87">
        <f>IF(H7=0,0,H7/TrAvia_act!H5*1000)</f>
        <v>212.0899200589069</v>
      </c>
      <c r="I33" s="87">
        <f>IF(I7=0,0,I7/TrAvia_act!I5*1000)</f>
        <v>189.09827326744738</v>
      </c>
      <c r="J33" s="87">
        <f>IF(J7=0,0,J7/TrAvia_act!J5*1000)</f>
        <v>197.35589456866347</v>
      </c>
      <c r="K33" s="87">
        <f>IF(K7=0,0,K7/TrAvia_act!K5*1000)</f>
        <v>196.50017926485796</v>
      </c>
      <c r="L33" s="87">
        <f>IF(L7=0,0,L7/TrAvia_act!L5*1000)</f>
        <v>197.33030982205165</v>
      </c>
      <c r="M33" s="87">
        <f>IF(M7=0,0,M7/TrAvia_act!M5*1000)</f>
        <v>186.21646905567448</v>
      </c>
      <c r="N33" s="87">
        <f>IF(N7=0,0,N7/TrAvia_act!N5*1000)</f>
        <v>155.49031335454544</v>
      </c>
      <c r="O33" s="87">
        <f>IF(O7=0,0,O7/TrAvia_act!O5*1000)</f>
        <v>148.03471564485332</v>
      </c>
      <c r="P33" s="87">
        <f>IF(P7=0,0,P7/TrAvia_act!P5*1000)</f>
        <v>142.22764760263789</v>
      </c>
      <c r="Q33" s="87">
        <f>IF(Q7=0,0,Q7/TrAvia_act!Q5*1000)</f>
        <v>136.57939726880545</v>
      </c>
      <c r="R33" s="87">
        <f>IF(R7=0,0,R7/TrAvia_act!R5*1000)</f>
        <v>131.92601694646186</v>
      </c>
      <c r="S33" s="87">
        <f>IF(S7=0,0,S7/TrAvia_act!S5*1000)</f>
        <v>127.39248734945518</v>
      </c>
      <c r="T33" s="87">
        <f>IF(T7=0,0,T7/TrAvia_act!T5*1000)</f>
        <v>124.9559649356798</v>
      </c>
      <c r="U33" s="87">
        <f>IF(U7=0,0,U7/TrAvia_act!U5*1000)</f>
        <v>119.12257008873381</v>
      </c>
      <c r="V33" s="87">
        <f>IF(V7=0,0,V7/TrAvia_act!V5*1000)</f>
        <v>131.89906503294827</v>
      </c>
      <c r="W33" s="87">
        <f>IF(W7=0,0,W7/TrAvia_act!W5*1000)</f>
        <v>131.7315262125035</v>
      </c>
      <c r="X33" s="87">
        <f>IF(X7=0,0,X7/TrAvia_act!X5*1000)</f>
        <v>120.28978453561564</v>
      </c>
      <c r="Y33" s="87">
        <f>IF(Y7=0,0,Y7/TrAvia_act!Y5*1000)</f>
        <v>113.9371442080233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114.98730709670929</v>
      </c>
      <c r="C34" s="87">
        <f>IF(C8=0,0,C8/TrAvia_act!C6*1000)</f>
        <v>116.63529262230189</v>
      </c>
      <c r="D34" s="87">
        <f>IF(D8=0,0,D8/TrAvia_act!D6*1000)</f>
        <v>113.42234827132999</v>
      </c>
      <c r="E34" s="87">
        <f>IF(E8=0,0,E8/TrAvia_act!E6*1000)</f>
        <v>116.91435762119107</v>
      </c>
      <c r="F34" s="87">
        <f>IF(F8=0,0,F8/TrAvia_act!F6*1000)</f>
        <v>121.60798872614592</v>
      </c>
      <c r="G34" s="87">
        <f>IF(G8=0,0,G8/TrAvia_act!G6*1000)</f>
        <v>115.12578444600828</v>
      </c>
      <c r="H34" s="87">
        <f>IF(H8=0,0,H8/TrAvia_act!H6*1000)</f>
        <v>120.35960431090419</v>
      </c>
      <c r="I34" s="87">
        <f>IF(I8=0,0,I8/TrAvia_act!I6*1000)</f>
        <v>133.55202915702466</v>
      </c>
      <c r="J34" s="87">
        <f>IF(J8=0,0,J8/TrAvia_act!J6*1000)</f>
        <v>149.73934143334682</v>
      </c>
      <c r="K34" s="87">
        <f>IF(K8=0,0,K8/TrAvia_act!K6*1000)</f>
        <v>136.06486947309679</v>
      </c>
      <c r="L34" s="87">
        <f>IF(L8=0,0,L8/TrAvia_act!L6*1000)</f>
        <v>141.27499892250657</v>
      </c>
      <c r="M34" s="87">
        <f>IF(M8=0,0,M8/TrAvia_act!M6*1000)</f>
        <v>147.61543823006451</v>
      </c>
      <c r="N34" s="87">
        <f>IF(N8=0,0,N8/TrAvia_act!N6*1000)</f>
        <v>139.52924994374888</v>
      </c>
      <c r="O34" s="87">
        <f>IF(O8=0,0,O8/TrAvia_act!O6*1000)</f>
        <v>135.53889254483823</v>
      </c>
      <c r="P34" s="87">
        <f>IF(P8=0,0,P8/TrAvia_act!P6*1000)</f>
        <v>121.64718314496926</v>
      </c>
      <c r="Q34" s="87">
        <f>IF(Q8=0,0,Q8/TrAvia_act!Q6*1000)</f>
        <v>128.25068145722932</v>
      </c>
      <c r="R34" s="87">
        <f>IF(R8=0,0,R8/TrAvia_act!R6*1000)</f>
        <v>126.33708313408351</v>
      </c>
      <c r="S34" s="87">
        <f>IF(S8=0,0,S8/TrAvia_act!S6*1000)</f>
        <v>120.06305012843701</v>
      </c>
      <c r="T34" s="87">
        <f>IF(T8=0,0,T8/TrAvia_act!T6*1000)</f>
        <v>126.88339780482544</v>
      </c>
      <c r="U34" s="87">
        <f>IF(U8=0,0,U8/TrAvia_act!U6*1000)</f>
        <v>131.10608399575858</v>
      </c>
      <c r="V34" s="87">
        <f>IF(V8=0,0,V8/TrAvia_act!V6*1000)</f>
        <v>177.899471996823</v>
      </c>
      <c r="W34" s="87">
        <f>IF(W8=0,0,W8/TrAvia_act!W6*1000)</f>
        <v>202.52456851528348</v>
      </c>
      <c r="X34" s="87">
        <f>IF(X8=0,0,X8/TrAvia_act!X6*1000)</f>
        <v>122.37333828645365</v>
      </c>
      <c r="Y34" s="87">
        <f>IF(Y8=0,0,Y8/TrAvia_act!Y6*1000)</f>
        <v>118.62177874171338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125.30155135467975</v>
      </c>
      <c r="C35" s="87">
        <f>IF(C9=0,0,C9/TrAvia_act!C7*1000)</f>
        <v>129.89307109964062</v>
      </c>
      <c r="D35" s="87">
        <f>IF(D9=0,0,D9/TrAvia_act!D7*1000)</f>
        <v>134.00984026396381</v>
      </c>
      <c r="E35" s="87">
        <f>IF(E9=0,0,E9/TrAvia_act!E7*1000)</f>
        <v>135.74499657766455</v>
      </c>
      <c r="F35" s="87">
        <f>IF(F9=0,0,F9/TrAvia_act!F7*1000)</f>
        <v>124.13375447808041</v>
      </c>
      <c r="G35" s="87">
        <f>IF(G9=0,0,G9/TrAvia_act!G7*1000)</f>
        <v>108.13230466084862</v>
      </c>
      <c r="H35" s="87">
        <f>IF(H9=0,0,H9/TrAvia_act!H7*1000)</f>
        <v>97.188929242437624</v>
      </c>
      <c r="I35" s="87">
        <f>IF(I9=0,0,I9/TrAvia_act!I7*1000)</f>
        <v>80.031301501821162</v>
      </c>
      <c r="J35" s="87">
        <f>IF(J9=0,0,J9/TrAvia_act!J7*1000)</f>
        <v>76.016058006460469</v>
      </c>
      <c r="K35" s="87">
        <f>IF(K9=0,0,K9/TrAvia_act!K7*1000)</f>
        <v>72.417585987799328</v>
      </c>
      <c r="L35" s="87">
        <f>IF(L9=0,0,L9/TrAvia_act!L7*1000)</f>
        <v>68.719243874239709</v>
      </c>
      <c r="M35" s="87">
        <f>IF(M9=0,0,M9/TrAvia_act!M7*1000)</f>
        <v>70.651534900489906</v>
      </c>
      <c r="N35" s="87">
        <f>IF(N9=0,0,N9/TrAvia_act!N7*1000)</f>
        <v>64.108572729621059</v>
      </c>
      <c r="O35" s="87">
        <f>IF(O9=0,0,O9/TrAvia_act!O7*1000)</f>
        <v>66.431709360132729</v>
      </c>
      <c r="P35" s="87">
        <f>IF(P9=0,0,P9/TrAvia_act!P7*1000)</f>
        <v>67.078795670083252</v>
      </c>
      <c r="Q35" s="87">
        <f>IF(Q9=0,0,Q9/TrAvia_act!Q7*1000)</f>
        <v>66.729277986231139</v>
      </c>
      <c r="R35" s="87">
        <f>IF(R9=0,0,R9/TrAvia_act!R7*1000)</f>
        <v>61.120446381767167</v>
      </c>
      <c r="S35" s="87">
        <f>IF(S9=0,0,S9/TrAvia_act!S7*1000)</f>
        <v>53.473618375408705</v>
      </c>
      <c r="T35" s="87">
        <f>IF(T9=0,0,T9/TrAvia_act!T7*1000)</f>
        <v>54.26777455580276</v>
      </c>
      <c r="U35" s="87">
        <f>IF(U9=0,0,U9/TrAvia_act!U7*1000)</f>
        <v>52.741632829704997</v>
      </c>
      <c r="V35" s="87">
        <f>IF(V9=0,0,V9/TrAvia_act!V7*1000)</f>
        <v>88.713032579595392</v>
      </c>
      <c r="W35" s="87">
        <f>IF(W9=0,0,W9/TrAvia_act!W7*1000)</f>
        <v>164.8195399127089</v>
      </c>
      <c r="X35" s="87">
        <f>IF(X9=0,0,X9/TrAvia_act!X7*1000)</f>
        <v>63.862539457867918</v>
      </c>
      <c r="Y35" s="87">
        <f>IF(Y9=0,0,Y9/TrAvia_act!Y7*1000)</f>
        <v>46.385868145643116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257.57204765745195</v>
      </c>
      <c r="C36" s="15">
        <f>IF(C10=0,0,C10/TrAvia_act!C8*1000)</f>
        <v>254.09283921122866</v>
      </c>
      <c r="D36" s="15">
        <f>IF(D10=0,0,D10/TrAvia_act!D8*1000)</f>
        <v>258.01121422028052</v>
      </c>
      <c r="E36" s="15">
        <f>IF(E10=0,0,E10/TrAvia_act!E8*1000)</f>
        <v>268.00456120286265</v>
      </c>
      <c r="F36" s="15">
        <f>IF(F10=0,0,F10/TrAvia_act!F8*1000)</f>
        <v>286.34231182752075</v>
      </c>
      <c r="G36" s="15">
        <f>IF(G10=0,0,G10/TrAvia_act!G8*1000)</f>
        <v>273.92157428217871</v>
      </c>
      <c r="H36" s="15">
        <f>IF(H10=0,0,H10/TrAvia_act!H8*1000)</f>
        <v>304.81546001919111</v>
      </c>
      <c r="I36" s="15">
        <f>IF(I10=0,0,I10/TrAvia_act!I8*1000)</f>
        <v>291.94519328903533</v>
      </c>
      <c r="J36" s="15">
        <f>IF(J10=0,0,J10/TrAvia_act!J8*1000)</f>
        <v>301.4346649234019</v>
      </c>
      <c r="K36" s="15">
        <f>IF(K10=0,0,K10/TrAvia_act!K8*1000)</f>
        <v>331.15389776106048</v>
      </c>
      <c r="L36" s="15">
        <f>IF(L10=0,0,L10/TrAvia_act!L8*1000)</f>
        <v>357.24174786773079</v>
      </c>
      <c r="M36" s="15">
        <f>IF(M10=0,0,M10/TrAvia_act!M8*1000)</f>
        <v>269.143456536195</v>
      </c>
      <c r="N36" s="15">
        <f>IF(N10=0,0,N10/TrAvia_act!N8*1000)</f>
        <v>225.8131292456066</v>
      </c>
      <c r="O36" s="15">
        <f>IF(O10=0,0,O10/TrAvia_act!O8*1000)</f>
        <v>256.53733096603924</v>
      </c>
      <c r="P36" s="15">
        <f>IF(P10=0,0,P10/TrAvia_act!P8*1000)</f>
        <v>250.79259741101751</v>
      </c>
      <c r="Q36" s="15">
        <f>IF(Q10=0,0,Q10/TrAvia_act!Q8*1000)</f>
        <v>285.3093627096128</v>
      </c>
      <c r="R36" s="15">
        <f>IF(R10=0,0,R10/TrAvia_act!R8*1000)</f>
        <v>246.66165454342161</v>
      </c>
      <c r="S36" s="15">
        <f>IF(S10=0,0,S10/TrAvia_act!S8*1000)</f>
        <v>265.28305897385121</v>
      </c>
      <c r="T36" s="15">
        <f>IF(T10=0,0,T10/TrAvia_act!T8*1000)</f>
        <v>270.25536708525192</v>
      </c>
      <c r="U36" s="15">
        <f>IF(U10=0,0,U10/TrAvia_act!U8*1000)</f>
        <v>326.79940471552823</v>
      </c>
      <c r="V36" s="15">
        <f>IF(V10=0,0,V10/TrAvia_act!V8*1000)</f>
        <v>315.65033271409573</v>
      </c>
      <c r="W36" s="15">
        <f>IF(W10=0,0,W10/TrAvia_act!W8*1000)</f>
        <v>327.3051225263759</v>
      </c>
      <c r="X36" s="15">
        <f>IF(X10=0,0,X10/TrAvia_act!X8*1000)</f>
        <v>202.10489389136896</v>
      </c>
      <c r="Y36" s="15">
        <f>IF(Y10=0,0,Y10/TrAvia_act!Y8*1000)</f>
        <v>169.82664548397076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1599.2625746641963</v>
      </c>
      <c r="C37" s="101">
        <f>IF(C11=0,0,C11/TrAvia_act!C9*1000)</f>
        <v>1630.6774211540028</v>
      </c>
      <c r="D37" s="101">
        <f>IF(D11=0,0,D11/TrAvia_act!D9*1000)</f>
        <v>1478.22346254023</v>
      </c>
      <c r="E37" s="101">
        <f>IF(E11=0,0,E11/TrAvia_act!E9*1000)</f>
        <v>1376.3958471226847</v>
      </c>
      <c r="F37" s="101">
        <f>IF(F11=0,0,F11/TrAvia_act!F9*1000)</f>
        <v>1466.4954426726617</v>
      </c>
      <c r="G37" s="101">
        <f>IF(G11=0,0,G11/TrAvia_act!G9*1000)</f>
        <v>1379.4334559771808</v>
      </c>
      <c r="H37" s="101">
        <f>IF(H11=0,0,H11/TrAvia_act!H9*1000)</f>
        <v>1582.2606430997671</v>
      </c>
      <c r="I37" s="101">
        <f>IF(I11=0,0,I11/TrAvia_act!I9*1000)</f>
        <v>1591.8994130035869</v>
      </c>
      <c r="J37" s="101">
        <f>IF(J11=0,0,J11/TrAvia_act!J9*1000)</f>
        <v>1867.8644746347236</v>
      </c>
      <c r="K37" s="101">
        <f>IF(K11=0,0,K11/TrAvia_act!K9*1000)</f>
        <v>1799.9436505211461</v>
      </c>
      <c r="L37" s="101">
        <f>IF(L11=0,0,L11/TrAvia_act!L9*1000)</f>
        <v>1893.7861725001139</v>
      </c>
      <c r="M37" s="101">
        <f>IF(M11=0,0,M11/TrAvia_act!M9*1000)</f>
        <v>1380.7126828466126</v>
      </c>
      <c r="N37" s="101">
        <f>IF(N11=0,0,N11/TrAvia_act!N9*1000)</f>
        <v>1078.7607994075474</v>
      </c>
      <c r="O37" s="101">
        <f>IF(O11=0,0,O11/TrAvia_act!O9*1000)</f>
        <v>1029.1999974362461</v>
      </c>
      <c r="P37" s="101">
        <f>IF(P11=0,0,P11/TrAvia_act!P9*1000)</f>
        <v>948.56966379840753</v>
      </c>
      <c r="Q37" s="101">
        <f>IF(Q11=0,0,Q11/TrAvia_act!Q9*1000)</f>
        <v>942.89776212770767</v>
      </c>
      <c r="R37" s="101">
        <f>IF(R11=0,0,R11/TrAvia_act!R9*1000)</f>
        <v>850.47291950173519</v>
      </c>
      <c r="S37" s="101">
        <f>IF(S11=0,0,S11/TrAvia_act!S9*1000)</f>
        <v>913.6822821613838</v>
      </c>
      <c r="T37" s="101">
        <f>IF(T11=0,0,T11/TrAvia_act!T9*1000)</f>
        <v>910.39549830582951</v>
      </c>
      <c r="U37" s="101">
        <f>IF(U11=0,0,U11/TrAvia_act!U9*1000)</f>
        <v>849.90783785601809</v>
      </c>
      <c r="V37" s="101">
        <f>IF(V11=0,0,V11/TrAvia_act!V9*1000)</f>
        <v>1037.2288328779059</v>
      </c>
      <c r="W37" s="101">
        <f>IF(W11=0,0,W11/TrAvia_act!W9*1000)</f>
        <v>767.89390780306167</v>
      </c>
      <c r="X37" s="101">
        <f>IF(X11=0,0,X11/TrAvia_act!X9*1000)</f>
        <v>925.86697380365706</v>
      </c>
      <c r="Y37" s="101">
        <f>IF(Y11=0,0,Y11/TrAvia_act!Y9*1000)</f>
        <v>1108.5601252641161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400.51717419682603</v>
      </c>
      <c r="C38" s="101">
        <f>IF(C12=0,0,C12/TrAvia_act!C10*1000)</f>
        <v>375.19706748349137</v>
      </c>
      <c r="D38" s="101">
        <f>IF(D12=0,0,D12/TrAvia_act!D10*1000)</f>
        <v>413.19208350932109</v>
      </c>
      <c r="E38" s="101">
        <f>IF(E12=0,0,E12/TrAvia_act!E10*1000)</f>
        <v>370.02514895232838</v>
      </c>
      <c r="F38" s="101">
        <f>IF(F12=0,0,F12/TrAvia_act!F10*1000)</f>
        <v>419.43857633359471</v>
      </c>
      <c r="G38" s="101">
        <f>IF(G12=0,0,G12/TrAvia_act!G10*1000)</f>
        <v>435.10276065315179</v>
      </c>
      <c r="H38" s="101">
        <f>IF(H12=0,0,H12/TrAvia_act!H10*1000)</f>
        <v>549.01713731561347</v>
      </c>
      <c r="I38" s="101">
        <f>IF(I12=0,0,I12/TrAvia_act!I10*1000)</f>
        <v>609.15799037786428</v>
      </c>
      <c r="J38" s="101">
        <f>IF(J12=0,0,J12/TrAvia_act!J10*1000)</f>
        <v>670.5011307738497</v>
      </c>
      <c r="K38" s="101">
        <f>IF(K12=0,0,K12/TrAvia_act!K10*1000)</f>
        <v>611.76164641677917</v>
      </c>
      <c r="L38" s="101">
        <f>IF(L12=0,0,L12/TrAvia_act!L10*1000)</f>
        <v>656.03469338632658</v>
      </c>
      <c r="M38" s="101">
        <f>IF(M12=0,0,M12/TrAvia_act!M10*1000)</f>
        <v>658.53896795389323</v>
      </c>
      <c r="N38" s="101">
        <f>IF(N12=0,0,N12/TrAvia_act!N10*1000)</f>
        <v>614.63388339305925</v>
      </c>
      <c r="O38" s="101">
        <f>IF(O12=0,0,O12/TrAvia_act!O10*1000)</f>
        <v>612.07599801783476</v>
      </c>
      <c r="P38" s="101">
        <f>IF(P12=0,0,P12/TrAvia_act!P10*1000)</f>
        <v>485.92978934051115</v>
      </c>
      <c r="Q38" s="101">
        <f>IF(Q12=0,0,Q12/TrAvia_act!Q10*1000)</f>
        <v>524.84902732556532</v>
      </c>
      <c r="R38" s="101">
        <f>IF(R12=0,0,R12/TrAvia_act!R10*1000)</f>
        <v>520.91747419327157</v>
      </c>
      <c r="S38" s="101">
        <f>IF(S12=0,0,S12/TrAvia_act!S10*1000)</f>
        <v>608.80651332548769</v>
      </c>
      <c r="T38" s="101">
        <f>IF(T12=0,0,T12/TrAvia_act!T10*1000)</f>
        <v>669.10107649714632</v>
      </c>
      <c r="U38" s="101">
        <f>IF(U12=0,0,U12/TrAvia_act!U10*1000)</f>
        <v>767.80402978221673</v>
      </c>
      <c r="V38" s="101">
        <f>IF(V12=0,0,V12/TrAvia_act!V10*1000)</f>
        <v>619.61226521475305</v>
      </c>
      <c r="W38" s="101">
        <f>IF(W12=0,0,W12/TrAvia_act!W10*1000)</f>
        <v>743.42961940646967</v>
      </c>
      <c r="X38" s="101">
        <f>IF(X12=0,0,X12/TrAvia_act!X10*1000)</f>
        <v>661.45954657153311</v>
      </c>
      <c r="Y38" s="101">
        <f>IF(Y12=0,0,Y12/TrAvia_act!Y10*1000)</f>
        <v>767.57518337556769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143.5030291985168</v>
      </c>
      <c r="C39" s="88">
        <f>IF(C13=0,0,C13/TrAvia_act!C11*1000)</f>
        <v>138.01307429291705</v>
      </c>
      <c r="D39" s="88">
        <f>IF(D13=0,0,D13/TrAvia_act!D11*1000)</f>
        <v>150.48291208534246</v>
      </c>
      <c r="E39" s="88">
        <f>IF(E13=0,0,E13/TrAvia_act!E11*1000)</f>
        <v>158.86745227697926</v>
      </c>
      <c r="F39" s="88">
        <f>IF(F13=0,0,F13/TrAvia_act!F11*1000)</f>
        <v>169.01803717500619</v>
      </c>
      <c r="G39" s="88">
        <f>IF(G13=0,0,G13/TrAvia_act!G11*1000)</f>
        <v>159.55473454543159</v>
      </c>
      <c r="H39" s="88">
        <f>IF(H13=0,0,H13/TrAvia_act!H11*1000)</f>
        <v>137.9410372535697</v>
      </c>
      <c r="I39" s="88">
        <f>IF(I13=0,0,I13/TrAvia_act!I11*1000)</f>
        <v>115.70708508094248</v>
      </c>
      <c r="J39" s="88">
        <f>IF(J13=0,0,J13/TrAvia_act!J11*1000)</f>
        <v>117.3616886194832</v>
      </c>
      <c r="K39" s="88">
        <f>IF(K13=0,0,K13/TrAvia_act!K11*1000)</f>
        <v>114.17787991217573</v>
      </c>
      <c r="L39" s="88">
        <f>IF(L13=0,0,L13/TrAvia_act!L11*1000)</f>
        <v>129.44756208831529</v>
      </c>
      <c r="M39" s="88">
        <f>IF(M13=0,0,M13/TrAvia_act!M11*1000)</f>
        <v>115.36185751132123</v>
      </c>
      <c r="N39" s="88">
        <f>IF(N13=0,0,N13/TrAvia_act!N11*1000)</f>
        <v>109.02312136193436</v>
      </c>
      <c r="O39" s="88">
        <f>IF(O13=0,0,O13/TrAvia_act!O11*1000)</f>
        <v>110.84700878964492</v>
      </c>
      <c r="P39" s="88">
        <f>IF(P13=0,0,P13/TrAvia_act!P11*1000)</f>
        <v>94.465328968894042</v>
      </c>
      <c r="Q39" s="88">
        <f>IF(Q13=0,0,Q13/TrAvia_act!Q11*1000)</f>
        <v>92.94471994862468</v>
      </c>
      <c r="R39" s="88">
        <f>IF(R13=0,0,R13/TrAvia_act!R11*1000)</f>
        <v>74.863237321593829</v>
      </c>
      <c r="S39" s="88">
        <f>IF(S13=0,0,S13/TrAvia_act!S11*1000)</f>
        <v>69.968426738977115</v>
      </c>
      <c r="T39" s="88">
        <f>IF(T13=0,0,T13/TrAvia_act!T11*1000)</f>
        <v>71.44036177181718</v>
      </c>
      <c r="U39" s="88">
        <f>IF(U13=0,0,U13/TrAvia_act!U11*1000)</f>
        <v>59.929495923035319</v>
      </c>
      <c r="V39" s="88">
        <f>IF(V13=0,0,V13/TrAvia_act!V11*1000)</f>
        <v>117.8602736622249</v>
      </c>
      <c r="W39" s="88">
        <f>IF(W13=0,0,W13/TrAvia_act!W11*1000)</f>
        <v>120.08966406158262</v>
      </c>
      <c r="X39" s="88">
        <f>IF(X13=0,0,X13/TrAvia_act!X11*1000)</f>
        <v>68.430340853149175</v>
      </c>
      <c r="Y39" s="88">
        <f>IF(Y13=0,0,Y13/TrAvia_act!Y11*1000)</f>
        <v>85.530988376311015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11605.2268196082</v>
      </c>
      <c r="C41" s="54">
        <f>IF(C3=0,0,C3/TrAvia_act!C23*1000000)</f>
        <v>11830.404816319813</v>
      </c>
      <c r="D41" s="54">
        <f>IF(D3=0,0,D3/TrAvia_act!D23*1000000)</f>
        <v>12177.864840521359</v>
      </c>
      <c r="E41" s="54">
        <f>IF(E3=0,0,E3/TrAvia_act!E23*1000000)</f>
        <v>11888.049892505676</v>
      </c>
      <c r="F41" s="54">
        <f>IF(F3=0,0,F3/TrAvia_act!F23*1000000)</f>
        <v>12634.391854280395</v>
      </c>
      <c r="G41" s="54">
        <f>IF(G3=0,0,G3/TrAvia_act!G23*1000000)</f>
        <v>12666.538772208583</v>
      </c>
      <c r="H41" s="54">
        <f>IF(H3=0,0,H3/TrAvia_act!H23*1000000)</f>
        <v>13246.506739343118</v>
      </c>
      <c r="I41" s="54">
        <f>IF(I3=0,0,I3/TrAvia_act!I23*1000000)</f>
        <v>14939.82621060155</v>
      </c>
      <c r="J41" s="54">
        <f>IF(J3=0,0,J3/TrAvia_act!J23*1000000)</f>
        <v>15554.58294025097</v>
      </c>
      <c r="K41" s="54">
        <f>IF(K3=0,0,K3/TrAvia_act!K23*1000000)</f>
        <v>14471.193055512744</v>
      </c>
      <c r="L41" s="54">
        <f>IF(L3=0,0,L3/TrAvia_act!L23*1000000)</f>
        <v>15259.431252930286</v>
      </c>
      <c r="M41" s="54">
        <f>IF(M3=0,0,M3/TrAvia_act!M23*1000000)</f>
        <v>16166.567348798677</v>
      </c>
      <c r="N41" s="54">
        <f>IF(N3=0,0,N3/TrAvia_act!N23*1000000)</f>
        <v>17170.070764116859</v>
      </c>
      <c r="O41" s="54">
        <f>IF(O3=0,0,O3/TrAvia_act!O23*1000000)</f>
        <v>18396.603739608552</v>
      </c>
      <c r="P41" s="54">
        <f>IF(P3=0,0,P3/TrAvia_act!P23*1000000)</f>
        <v>18471.541844577288</v>
      </c>
      <c r="Q41" s="54">
        <f>IF(Q3=0,0,Q3/TrAvia_act!Q23*1000000)</f>
        <v>19060.345622178076</v>
      </c>
      <c r="R41" s="54">
        <f>IF(R3=0,0,R3/TrAvia_act!R23*1000000)</f>
        <v>19562.830748987293</v>
      </c>
      <c r="S41" s="54">
        <f>IF(S3=0,0,S3/TrAvia_act!S23*1000000)</f>
        <v>19558.484363509444</v>
      </c>
      <c r="T41" s="54">
        <f>IF(T3=0,0,T3/TrAvia_act!T23*1000000)</f>
        <v>20799.619848963248</v>
      </c>
      <c r="U41" s="54">
        <f>IF(U3=0,0,U3/TrAvia_act!U23*1000000)</f>
        <v>21900.788671811086</v>
      </c>
      <c r="V41" s="54">
        <f>IF(V3=0,0,V3/TrAvia_act!V23*1000000)</f>
        <v>21055.121142166081</v>
      </c>
      <c r="W41" s="54">
        <f>IF(W3=0,0,W3/TrAvia_act!W23*1000000)</f>
        <v>21238.098147527246</v>
      </c>
      <c r="X41" s="54">
        <f>IF(X3=0,0,X3/TrAvia_act!X23*1000000)</f>
        <v>21321.004448542979</v>
      </c>
      <c r="Y41" s="54">
        <f>IF(Y3=0,0,Y3/TrAvia_act!Y23*1000000)</f>
        <v>22775.654100486227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11599.695217069766</v>
      </c>
      <c r="C42" s="11">
        <f>IF(C6=0,0,C6/TrAvia_act!C24*1000000)</f>
        <v>11832.93243912298</v>
      </c>
      <c r="D42" s="11">
        <f>IF(D6=0,0,D6/TrAvia_act!D24*1000000)</f>
        <v>12173.502419145218</v>
      </c>
      <c r="E42" s="11">
        <f>IF(E6=0,0,E6/TrAvia_act!E24*1000000)</f>
        <v>11889.791050069643</v>
      </c>
      <c r="F42" s="11">
        <f>IF(F6=0,0,F6/TrAvia_act!F24*1000000)</f>
        <v>12634.963437615561</v>
      </c>
      <c r="G42" s="11">
        <f>IF(G6=0,0,G6/TrAvia_act!G24*1000000)</f>
        <v>12655.658606797957</v>
      </c>
      <c r="H42" s="11">
        <f>IF(H6=0,0,H6/TrAvia_act!H24*1000000)</f>
        <v>13270.934775022353</v>
      </c>
      <c r="I42" s="11">
        <f>IF(I6=0,0,I6/TrAvia_act!I24*1000000)</f>
        <v>15006.664092643863</v>
      </c>
      <c r="J42" s="11">
        <f>IF(J6=0,0,J6/TrAvia_act!J24*1000000)</f>
        <v>15651.459298374477</v>
      </c>
      <c r="K42" s="11">
        <f>IF(K6=0,0,K6/TrAvia_act!K24*1000000)</f>
        <v>14575.32120497799</v>
      </c>
      <c r="L42" s="11">
        <f>IF(L6=0,0,L6/TrAvia_act!L24*1000000)</f>
        <v>15399.010575234031</v>
      </c>
      <c r="M42" s="11">
        <f>IF(M6=0,0,M6/TrAvia_act!M24*1000000)</f>
        <v>16281.412029194509</v>
      </c>
      <c r="N42" s="11">
        <f>IF(N6=0,0,N6/TrAvia_act!N24*1000000)</f>
        <v>17300.876822307557</v>
      </c>
      <c r="O42" s="11">
        <f>IF(O6=0,0,O6/TrAvia_act!O24*1000000)</f>
        <v>18556.476331394522</v>
      </c>
      <c r="P42" s="11">
        <f>IF(P6=0,0,P6/TrAvia_act!P24*1000000)</f>
        <v>18642.345004722603</v>
      </c>
      <c r="Q42" s="11">
        <f>IF(Q6=0,0,Q6/TrAvia_act!Q24*1000000)</f>
        <v>19245.820372645769</v>
      </c>
      <c r="R42" s="11">
        <f>IF(R6=0,0,R6/TrAvia_act!R24*1000000)</f>
        <v>19725.653129997187</v>
      </c>
      <c r="S42" s="11">
        <f>IF(S6=0,0,S6/TrAvia_act!S24*1000000)</f>
        <v>19682.749829319964</v>
      </c>
      <c r="T42" s="11">
        <f>IF(T6=0,0,T6/TrAvia_act!T24*1000000)</f>
        <v>20918.852828874536</v>
      </c>
      <c r="U42" s="11">
        <f>IF(U6=0,0,U6/TrAvia_act!U24*1000000)</f>
        <v>22025.618193077244</v>
      </c>
      <c r="V42" s="11">
        <f>IF(V6=0,0,V6/TrAvia_act!V24*1000000)</f>
        <v>21650.558467734198</v>
      </c>
      <c r="W42" s="11">
        <f>IF(W6=0,0,W6/TrAvia_act!W24*1000000)</f>
        <v>21920.222710751903</v>
      </c>
      <c r="X42" s="11">
        <f>IF(X6=0,0,X6/TrAvia_act!X24*1000000)</f>
        <v>21597.240240983218</v>
      </c>
      <c r="Y42" s="11">
        <f>IF(Y6=0,0,Y6/TrAvia_act!Y24*1000000)</f>
        <v>22843.613410369799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5445.567601328733</v>
      </c>
      <c r="C43" s="84">
        <f>IF(C7=0,0,C7/TrAvia_act!C25*1000000)</f>
        <v>5510.1916273471115</v>
      </c>
      <c r="D43" s="84">
        <f>IF(D7=0,0,D7/TrAvia_act!D25*1000000)</f>
        <v>5136.5368158810743</v>
      </c>
      <c r="E43" s="84">
        <f>IF(E7=0,0,E7/TrAvia_act!E25*1000000)</f>
        <v>5087.33076455644</v>
      </c>
      <c r="F43" s="84">
        <f>IF(F7=0,0,F7/TrAvia_act!F25*1000000)</f>
        <v>5104.0902427290221</v>
      </c>
      <c r="G43" s="84">
        <f>IF(G7=0,0,G7/TrAvia_act!G25*1000000)</f>
        <v>4881.1752986630709</v>
      </c>
      <c r="H43" s="84">
        <f>IF(H7=0,0,H7/TrAvia_act!H25*1000000)</f>
        <v>4517.3143118738808</v>
      </c>
      <c r="I43" s="84">
        <f>IF(I7=0,0,I7/TrAvia_act!I25*1000000)</f>
        <v>4620.2771939567992</v>
      </c>
      <c r="J43" s="84">
        <f>IF(J7=0,0,J7/TrAvia_act!J25*1000000)</f>
        <v>4513.5270098298224</v>
      </c>
      <c r="K43" s="84">
        <f>IF(K7=0,0,K7/TrAvia_act!K25*1000000)</f>
        <v>4166.9100160741427</v>
      </c>
      <c r="L43" s="84">
        <f>IF(L7=0,0,L7/TrAvia_act!L25*1000000)</f>
        <v>4348.6287755463636</v>
      </c>
      <c r="M43" s="84">
        <f>IF(M7=0,0,M7/TrAvia_act!M25*1000000)</f>
        <v>4499.8451107034207</v>
      </c>
      <c r="N43" s="84">
        <f>IF(N7=0,0,N7/TrAvia_act!N25*1000000)</f>
        <v>4498.8366049613142</v>
      </c>
      <c r="O43" s="84">
        <f>IF(O7=0,0,O7/TrAvia_act!O25*1000000)</f>
        <v>4302.1310163084072</v>
      </c>
      <c r="P43" s="84">
        <f>IF(P7=0,0,P7/TrAvia_act!P25*1000000)</f>
        <v>4495.2782826786242</v>
      </c>
      <c r="Q43" s="84">
        <f>IF(Q7=0,0,Q7/TrAvia_act!Q25*1000000)</f>
        <v>4490.5923201881324</v>
      </c>
      <c r="R43" s="84">
        <f>IF(R7=0,0,R7/TrAvia_act!R25*1000000)</f>
        <v>4714.44296505486</v>
      </c>
      <c r="S43" s="84">
        <f>IF(S7=0,0,S7/TrAvia_act!S25*1000000)</f>
        <v>4739.056662929429</v>
      </c>
      <c r="T43" s="84">
        <f>IF(T7=0,0,T7/TrAvia_act!T25*1000000)</f>
        <v>5002.8733463719909</v>
      </c>
      <c r="U43" s="84">
        <f>IF(U7=0,0,U7/TrAvia_act!U25*1000000)</f>
        <v>4839.6712932889795</v>
      </c>
      <c r="V43" s="84">
        <f>IF(V7=0,0,V7/TrAvia_act!V25*1000000)</f>
        <v>5073.4483786406472</v>
      </c>
      <c r="W43" s="84">
        <f>IF(W7=0,0,W7/TrAvia_act!W25*1000000)</f>
        <v>4577.5286460530742</v>
      </c>
      <c r="X43" s="84">
        <f>IF(X7=0,0,X7/TrAvia_act!X25*1000000)</f>
        <v>5299.2277273876607</v>
      </c>
      <c r="Y43" s="84">
        <f>IF(Y7=0,0,Y7/TrAvia_act!Y25*1000000)</f>
        <v>5204.9628069769769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14415.550219354864</v>
      </c>
      <c r="C44" s="84">
        <f>IF(C8=0,0,C8/TrAvia_act!C26*1000000)</f>
        <v>14491.204758714943</v>
      </c>
      <c r="D44" s="84">
        <f>IF(D8=0,0,D8/TrAvia_act!D26*1000000)</f>
        <v>14851.901474364533</v>
      </c>
      <c r="E44" s="84">
        <f>IF(E8=0,0,E8/TrAvia_act!E26*1000000)</f>
        <v>14247.897029599566</v>
      </c>
      <c r="F44" s="84">
        <f>IF(F8=0,0,F8/TrAvia_act!F26*1000000)</f>
        <v>14759.098291469849</v>
      </c>
      <c r="G44" s="84">
        <f>IF(G8=0,0,G8/TrAvia_act!G26*1000000)</f>
        <v>15037.502244949728</v>
      </c>
      <c r="H44" s="84">
        <f>IF(H8=0,0,H8/TrAvia_act!H26*1000000)</f>
        <v>16612.15775745947</v>
      </c>
      <c r="I44" s="84">
        <f>IF(I8=0,0,I8/TrAvia_act!I26*1000000)</f>
        <v>18527.284316616762</v>
      </c>
      <c r="J44" s="84">
        <f>IF(J8=0,0,J8/TrAvia_act!J26*1000000)</f>
        <v>19285.464716007213</v>
      </c>
      <c r="K44" s="84">
        <f>IF(K8=0,0,K8/TrAvia_act!K26*1000000)</f>
        <v>18237.14617636508</v>
      </c>
      <c r="L44" s="84">
        <f>IF(L8=0,0,L8/TrAvia_act!L26*1000000)</f>
        <v>18557.60300502161</v>
      </c>
      <c r="M44" s="84">
        <f>IF(M8=0,0,M8/TrAvia_act!M26*1000000)</f>
        <v>19395.956478180942</v>
      </c>
      <c r="N44" s="84">
        <f>IF(N8=0,0,N8/TrAvia_act!N26*1000000)</f>
        <v>19701.840686782904</v>
      </c>
      <c r="O44" s="84">
        <f>IF(O8=0,0,O8/TrAvia_act!O26*1000000)</f>
        <v>20970.752863573791</v>
      </c>
      <c r="P44" s="84">
        <f>IF(P8=0,0,P8/TrAvia_act!P26*1000000)</f>
        <v>21200.34928828539</v>
      </c>
      <c r="Q44" s="84">
        <f>IF(Q8=0,0,Q8/TrAvia_act!Q26*1000000)</f>
        <v>22075.131561913942</v>
      </c>
      <c r="R44" s="84">
        <f>IF(R8=0,0,R8/TrAvia_act!R26*1000000)</f>
        <v>22783.111804822092</v>
      </c>
      <c r="S44" s="84">
        <f>IF(S8=0,0,S8/TrAvia_act!S26*1000000)</f>
        <v>22725.976346131207</v>
      </c>
      <c r="T44" s="84">
        <f>IF(T8=0,0,T8/TrAvia_act!T26*1000000)</f>
        <v>24121.85421132193</v>
      </c>
      <c r="U44" s="84">
        <f>IF(U8=0,0,U8/TrAvia_act!U26*1000000)</f>
        <v>25578.629045859801</v>
      </c>
      <c r="V44" s="84">
        <f>IF(V8=0,0,V8/TrAvia_act!V26*1000000)</f>
        <v>23874.052641235321</v>
      </c>
      <c r="W44" s="84">
        <f>IF(W8=0,0,W8/TrAvia_act!W26*1000000)</f>
        <v>26433.991463548955</v>
      </c>
      <c r="X44" s="84">
        <f>IF(X8=0,0,X8/TrAvia_act!X26*1000000)</f>
        <v>22553.660986522547</v>
      </c>
      <c r="Y44" s="84">
        <f>IF(Y8=0,0,Y8/TrAvia_act!Y26*1000000)</f>
        <v>23171.831396737278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88861.226817552277</v>
      </c>
      <c r="C45" s="84">
        <f>IF(C9=0,0,C9/TrAvia_act!C27*1000000)</f>
        <v>89557.060949472929</v>
      </c>
      <c r="D45" s="84">
        <f>IF(D9=0,0,D9/TrAvia_act!D27*1000000)</f>
        <v>92197.898167357329</v>
      </c>
      <c r="E45" s="84">
        <f>IF(E9=0,0,E9/TrAvia_act!E27*1000000)</f>
        <v>88441.160116197643</v>
      </c>
      <c r="F45" s="84">
        <f>IF(F9=0,0,F9/TrAvia_act!F27*1000000)</f>
        <v>91323.564450647827</v>
      </c>
      <c r="G45" s="84">
        <f>IF(G9=0,0,G9/TrAvia_act!G27*1000000)</f>
        <v>87545.059914554411</v>
      </c>
      <c r="H45" s="84">
        <f>IF(H9=0,0,H9/TrAvia_act!H27*1000000)</f>
        <v>83764.720769080668</v>
      </c>
      <c r="I45" s="84">
        <f>IF(I9=0,0,I9/TrAvia_act!I27*1000000)</f>
        <v>77747.456548746253</v>
      </c>
      <c r="J45" s="84">
        <f>IF(J9=0,0,J9/TrAvia_act!J27*1000000)</f>
        <v>69717.322350854185</v>
      </c>
      <c r="K45" s="84">
        <f>IF(K9=0,0,K9/TrAvia_act!K27*1000000)</f>
        <v>66425.751611573403</v>
      </c>
      <c r="L45" s="84">
        <f>IF(L9=0,0,L9/TrAvia_act!L27*1000000)</f>
        <v>67576.486698859953</v>
      </c>
      <c r="M45" s="84">
        <f>IF(M9=0,0,M9/TrAvia_act!M27*1000000)</f>
        <v>69564.592721379289</v>
      </c>
      <c r="N45" s="84">
        <f>IF(N9=0,0,N9/TrAvia_act!N27*1000000)</f>
        <v>70235.519737988652</v>
      </c>
      <c r="O45" s="84">
        <f>IF(O9=0,0,O9/TrAvia_act!O27*1000000)</f>
        <v>70426.545560101091</v>
      </c>
      <c r="P45" s="84">
        <f>IF(P9=0,0,P9/TrAvia_act!P27*1000000)</f>
        <v>62133.239428878551</v>
      </c>
      <c r="Q45" s="84">
        <f>IF(Q9=0,0,Q9/TrAvia_act!Q27*1000000)</f>
        <v>60829.424315592325</v>
      </c>
      <c r="R45" s="84">
        <f>IF(R9=0,0,R9/TrAvia_act!R27*1000000)</f>
        <v>60596.580658140439</v>
      </c>
      <c r="S45" s="84">
        <f>IF(S9=0,0,S9/TrAvia_act!S27*1000000)</f>
        <v>57875.330839046263</v>
      </c>
      <c r="T45" s="84">
        <f>IF(T9=0,0,T9/TrAvia_act!T27*1000000)</f>
        <v>56169.803954857096</v>
      </c>
      <c r="U45" s="84">
        <f>IF(U9=0,0,U9/TrAvia_act!U27*1000000)</f>
        <v>55245.570145819162</v>
      </c>
      <c r="V45" s="84">
        <f>IF(V9=0,0,V9/TrAvia_act!V27*1000000)</f>
        <v>79977.690823363097</v>
      </c>
      <c r="W45" s="84">
        <f>IF(W9=0,0,W9/TrAvia_act!W27*1000000)</f>
        <v>74644.669137626159</v>
      </c>
      <c r="X45" s="84">
        <f>IF(X9=0,0,X9/TrAvia_act!X27*1000000)</f>
        <v>84958.217099551082</v>
      </c>
      <c r="Y45" s="84">
        <f>IF(Y9=0,0,Y9/TrAvia_act!Y27*1000000)</f>
        <v>87956.779995052231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11851.518276159011</v>
      </c>
      <c r="C46" s="13">
        <f>IF(C10=0,0,C10/TrAvia_act!C28*1000000)</f>
        <v>11694.951700828915</v>
      </c>
      <c r="D46" s="13">
        <f>IF(D10=0,0,D10/TrAvia_act!D28*1000000)</f>
        <v>12414.486831984032</v>
      </c>
      <c r="E46" s="13">
        <f>IF(E10=0,0,E10/TrAvia_act!E28*1000000)</f>
        <v>11809.83499646605</v>
      </c>
      <c r="F46" s="13">
        <f>IF(F10=0,0,F10/TrAvia_act!F28*1000000)</f>
        <v>12612.957128976783</v>
      </c>
      <c r="G46" s="13">
        <f>IF(G10=0,0,G10/TrAvia_act!G28*1000000)</f>
        <v>13067.511866967972</v>
      </c>
      <c r="H46" s="13">
        <f>IF(H10=0,0,H10/TrAvia_act!H28*1000000)</f>
        <v>12419.259973958793</v>
      </c>
      <c r="I46" s="13">
        <f>IF(I10=0,0,I10/TrAvia_act!I28*1000000)</f>
        <v>12818.475360448087</v>
      </c>
      <c r="J46" s="13">
        <f>IF(J10=0,0,J10/TrAvia_act!J28*1000000)</f>
        <v>12051.201146149037</v>
      </c>
      <c r="K46" s="13">
        <f>IF(K10=0,0,K10/TrAvia_act!K28*1000000)</f>
        <v>10437.418930177464</v>
      </c>
      <c r="L46" s="13">
        <f>IF(L10=0,0,L10/TrAvia_act!L28*1000000)</f>
        <v>10249.643632475643</v>
      </c>
      <c r="M46" s="13">
        <f>IF(M10=0,0,M10/TrAvia_act!M28*1000000)</f>
        <v>11352.788767407063</v>
      </c>
      <c r="N46" s="13">
        <f>IF(N10=0,0,N10/TrAvia_act!N28*1000000)</f>
        <v>12293.186964945129</v>
      </c>
      <c r="O46" s="13">
        <f>IF(O10=0,0,O10/TrAvia_act!O28*1000000)</f>
        <v>12858.985713781049</v>
      </c>
      <c r="P46" s="13">
        <f>IF(P10=0,0,P10/TrAvia_act!P28*1000000)</f>
        <v>12186.05446978791</v>
      </c>
      <c r="Q46" s="13">
        <f>IF(Q10=0,0,Q10/TrAvia_act!Q28*1000000)</f>
        <v>12515.979656134545</v>
      </c>
      <c r="R46" s="13">
        <f>IF(R10=0,0,R10/TrAvia_act!R28*1000000)</f>
        <v>13336.967432247429</v>
      </c>
      <c r="S46" s="13">
        <f>IF(S10=0,0,S10/TrAvia_act!S28*1000000)</f>
        <v>14479.445587736196</v>
      </c>
      <c r="T46" s="13">
        <f>IF(T10=0,0,T10/TrAvia_act!T28*1000000)</f>
        <v>15111.549815232585</v>
      </c>
      <c r="U46" s="13">
        <f>IF(U10=0,0,U10/TrAvia_act!U28*1000000)</f>
        <v>17060.079872028484</v>
      </c>
      <c r="V46" s="13">
        <f>IF(V10=0,0,V10/TrAvia_act!V28*1000000)</f>
        <v>11325.328385688586</v>
      </c>
      <c r="W46" s="13">
        <f>IF(W10=0,0,W10/TrAvia_act!W28*1000000)</f>
        <v>10890.145247885705</v>
      </c>
      <c r="X46" s="13">
        <f>IF(X10=0,0,X10/TrAvia_act!X28*1000000)</f>
        <v>12923.009739375226</v>
      </c>
      <c r="Y46" s="13">
        <f>IF(Y10=0,0,Y10/TrAvia_act!Y28*1000000)</f>
        <v>20791.948862447349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4893.896959929998</v>
      </c>
      <c r="C47" s="102">
        <f>IF(C11=0,0,C11/TrAvia_act!C29*1000000)</f>
        <v>4951.9741609902894</v>
      </c>
      <c r="D47" s="102">
        <f>IF(D11=0,0,D11/TrAvia_act!D29*1000000)</f>
        <v>4616.172959027308</v>
      </c>
      <c r="E47" s="102">
        <f>IF(E11=0,0,E11/TrAvia_act!E29*1000000)</f>
        <v>4571.9517937388591</v>
      </c>
      <c r="F47" s="102">
        <f>IF(F11=0,0,F11/TrAvia_act!F29*1000000)</f>
        <v>4587.0134301528115</v>
      </c>
      <c r="G47" s="102">
        <f>IF(G11=0,0,G11/TrAvia_act!G29*1000000)</f>
        <v>4386.6811880517062</v>
      </c>
      <c r="H47" s="102">
        <f>IF(H11=0,0,H11/TrAvia_act!H29*1000000)</f>
        <v>3995.5424620083963</v>
      </c>
      <c r="I47" s="102">
        <f>IF(I11=0,0,I11/TrAvia_act!I29*1000000)</f>
        <v>4022.0479115690337</v>
      </c>
      <c r="J47" s="102">
        <f>IF(J11=0,0,J11/TrAvia_act!J29*1000000)</f>
        <v>3867.0431127877459</v>
      </c>
      <c r="K47" s="102">
        <f>IF(K11=0,0,K11/TrAvia_act!K29*1000000)</f>
        <v>3513.6689766330346</v>
      </c>
      <c r="L47" s="102">
        <f>IF(L11=0,0,L11/TrAvia_act!L29*1000000)</f>
        <v>3608.9661175304022</v>
      </c>
      <c r="M47" s="102">
        <f>IF(M11=0,0,M11/TrAvia_act!M29*1000000)</f>
        <v>3883.6158244048097</v>
      </c>
      <c r="N47" s="102">
        <f>IF(N11=0,0,N11/TrAvia_act!N29*1000000)</f>
        <v>4037.8218040797424</v>
      </c>
      <c r="O47" s="102">
        <f>IF(O11=0,0,O11/TrAvia_act!O29*1000000)</f>
        <v>3854.8539709449797</v>
      </c>
      <c r="P47" s="102">
        <f>IF(P11=0,0,P11/TrAvia_act!P29*1000000)</f>
        <v>4021.2230337400392</v>
      </c>
      <c r="Q47" s="102">
        <f>IF(Q11=0,0,Q11/TrAvia_act!Q29*1000000)</f>
        <v>4010.3511402068052</v>
      </c>
      <c r="R47" s="102">
        <f>IF(R11=0,0,R11/TrAvia_act!R29*1000000)</f>
        <v>4203.2600496871664</v>
      </c>
      <c r="S47" s="102">
        <f>IF(S11=0,0,S11/TrAvia_act!S29*1000000)</f>
        <v>4218.1769032653719</v>
      </c>
      <c r="T47" s="102">
        <f>IF(T11=0,0,T11/TrAvia_act!T29*1000000)</f>
        <v>4445.5891268187252</v>
      </c>
      <c r="U47" s="102">
        <f>IF(U11=0,0,U11/TrAvia_act!U29*1000000)</f>
        <v>4210.4256842055493</v>
      </c>
      <c r="V47" s="102">
        <f>IF(V11=0,0,V11/TrAvia_act!V29*1000000)</f>
        <v>4169.5467821418679</v>
      </c>
      <c r="W47" s="102">
        <f>IF(W11=0,0,W11/TrAvia_act!W29*1000000)</f>
        <v>3858.4338036380173</v>
      </c>
      <c r="X47" s="102">
        <f>IF(X11=0,0,X11/TrAvia_act!X29*1000000)</f>
        <v>4454.9083710736277</v>
      </c>
      <c r="Y47" s="102">
        <f>IF(Y11=0,0,Y11/TrAvia_act!Y29*1000000)</f>
        <v>4230.0651386353593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11119.17447946563</v>
      </c>
      <c r="C48" s="102">
        <f>IF(C12=0,0,C12/TrAvia_act!C30*1000000)</f>
        <v>10959.801865620291</v>
      </c>
      <c r="D48" s="102">
        <f>IF(D12=0,0,D12/TrAvia_act!D30*1000000)</f>
        <v>11335.410814657447</v>
      </c>
      <c r="E48" s="102">
        <f>IF(E12=0,0,E12/TrAvia_act!E30*1000000)</f>
        <v>10370.404372540839</v>
      </c>
      <c r="F48" s="102">
        <f>IF(F12=0,0,F12/TrAvia_act!F30*1000000)</f>
        <v>10672.803960607107</v>
      </c>
      <c r="G48" s="102">
        <f>IF(G12=0,0,G12/TrAvia_act!G30*1000000)</f>
        <v>11018.80172025824</v>
      </c>
      <c r="H48" s="102">
        <f>IF(H12=0,0,H12/TrAvia_act!H30*1000000)</f>
        <v>11809.122127380917</v>
      </c>
      <c r="I48" s="102">
        <f>IF(I12=0,0,I12/TrAvia_act!I30*1000000)</f>
        <v>12873.310460098513</v>
      </c>
      <c r="J48" s="102">
        <f>IF(J12=0,0,J12/TrAvia_act!J30*1000000)</f>
        <v>13127.067858618533</v>
      </c>
      <c r="K48" s="102">
        <f>IF(K12=0,0,K12/TrAvia_act!K30*1000000)</f>
        <v>12122.422100973026</v>
      </c>
      <c r="L48" s="102">
        <f>IF(L12=0,0,L12/TrAvia_act!L30*1000000)</f>
        <v>12334.792297658794</v>
      </c>
      <c r="M48" s="102">
        <f>IF(M12=0,0,M12/TrAvia_act!M30*1000000)</f>
        <v>12860.55318667971</v>
      </c>
      <c r="N48" s="102">
        <f>IF(N12=0,0,N12/TrAvia_act!N30*1000000)</f>
        <v>12865.902148031133</v>
      </c>
      <c r="O48" s="102">
        <f>IF(O12=0,0,O12/TrAvia_act!O30*1000000)</f>
        <v>13819.196660819684</v>
      </c>
      <c r="P48" s="102">
        <f>IF(P12=0,0,P12/TrAvia_act!P30*1000000)</f>
        <v>13923.124364314634</v>
      </c>
      <c r="Q48" s="102">
        <f>IF(Q12=0,0,Q12/TrAvia_act!Q30*1000000)</f>
        <v>14535.900204691319</v>
      </c>
      <c r="R48" s="102">
        <f>IF(R12=0,0,R12/TrAvia_act!R30*1000000)</f>
        <v>16178.33245300521</v>
      </c>
      <c r="S48" s="102">
        <f>IF(S12=0,0,S12/TrAvia_act!S30*1000000)</f>
        <v>18402.717745271017</v>
      </c>
      <c r="T48" s="102">
        <f>IF(T12=0,0,T12/TrAvia_act!T30*1000000)</f>
        <v>20975.822616837471</v>
      </c>
      <c r="U48" s="102">
        <f>IF(U12=0,0,U12/TrAvia_act!U30*1000000)</f>
        <v>24556.914652427211</v>
      </c>
      <c r="V48" s="102">
        <f>IF(V12=0,0,V12/TrAvia_act!V30*1000000)</f>
        <v>15287.277743989926</v>
      </c>
      <c r="W48" s="102">
        <f>IF(W12=0,0,W12/TrAvia_act!W30*1000000)</f>
        <v>17102.65670525606</v>
      </c>
      <c r="X48" s="102">
        <f>IF(X12=0,0,X12/TrAvia_act!X30*1000000)</f>
        <v>16351.002792438598</v>
      </c>
      <c r="Y48" s="102">
        <f>IF(Y12=0,0,Y12/TrAvia_act!Y30*1000000)</f>
        <v>18068.853246460676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33833.299358119191</v>
      </c>
      <c r="C49" s="86">
        <f>IF(C13=0,0,C13/TrAvia_act!C31*1000000)</f>
        <v>34098.233405644845</v>
      </c>
      <c r="D49" s="86">
        <f>IF(D13=0,0,D13/TrAvia_act!D31*1000000)</f>
        <v>35103.713966161878</v>
      </c>
      <c r="E49" s="86">
        <f>IF(E13=0,0,E13/TrAvia_act!E31*1000000)</f>
        <v>33673.361858195982</v>
      </c>
      <c r="F49" s="86">
        <f>IF(F13=0,0,F13/TrAvia_act!F31*1000000)</f>
        <v>34770.817432592012</v>
      </c>
      <c r="G49" s="86">
        <f>IF(G13=0,0,G13/TrAvia_act!G31*1000000)</f>
        <v>33332.177885580859</v>
      </c>
      <c r="H49" s="86">
        <f>IF(H13=0,0,H13/TrAvia_act!H31*1000000)</f>
        <v>25134.30050344914</v>
      </c>
      <c r="I49" s="86">
        <f>IF(I13=0,0,I13/TrAvia_act!I31*1000000)</f>
        <v>18536.942203477658</v>
      </c>
      <c r="J49" s="86">
        <f>IF(J13=0,0,J13/TrAvia_act!J31*1000000)</f>
        <v>12973.008730072648</v>
      </c>
      <c r="K49" s="86">
        <f>IF(K13=0,0,K13/TrAvia_act!K31*1000000)</f>
        <v>9730.4896077481098</v>
      </c>
      <c r="L49" s="86">
        <f>IF(L13=0,0,L13/TrAvia_act!L31*1000000)</f>
        <v>7807.5527899947865</v>
      </c>
      <c r="M49" s="86">
        <f>IF(M13=0,0,M13/TrAvia_act!M31*1000000)</f>
        <v>10626.427090740097</v>
      </c>
      <c r="N49" s="86">
        <f>IF(N13=0,0,N13/TrAvia_act!N31*1000000)</f>
        <v>13498.161807534489</v>
      </c>
      <c r="O49" s="86">
        <f>IF(O13=0,0,O13/TrAvia_act!O31*1000000)</f>
        <v>13156.992961465636</v>
      </c>
      <c r="P49" s="86">
        <f>IF(P13=0,0,P13/TrAvia_act!P31*1000000)</f>
        <v>9937.1624712263783</v>
      </c>
      <c r="Q49" s="86">
        <f>IF(Q13=0,0,Q13/TrAvia_act!Q31*1000000)</f>
        <v>9005.2487426079242</v>
      </c>
      <c r="R49" s="86">
        <f>IF(R13=0,0,R13/TrAvia_act!R31*1000000)</f>
        <v>8947.665042786608</v>
      </c>
      <c r="S49" s="86">
        <f>IF(S13=0,0,S13/TrAvia_act!S31*1000000)</f>
        <v>8032.1488970645642</v>
      </c>
      <c r="T49" s="86">
        <f>IF(T13=0,0,T13/TrAvia_act!T31*1000000)</f>
        <v>7086.5924765563677</v>
      </c>
      <c r="U49" s="86">
        <f>IF(U13=0,0,U13/TrAvia_act!U31*1000000)</f>
        <v>5471.8601473512081</v>
      </c>
      <c r="V49" s="86">
        <f>IF(V13=0,0,V13/TrAvia_act!V31*1000000)</f>
        <v>6503.7797411879537</v>
      </c>
      <c r="W49" s="86">
        <f>IF(W13=0,0,W13/TrAvia_act!W31*1000000)</f>
        <v>5405.5256484801102</v>
      </c>
      <c r="X49" s="86">
        <f>IF(X13=0,0,X13/TrAvia_act!X31*1000000)</f>
        <v>8723.1331840083985</v>
      </c>
      <c r="Y49" s="86">
        <f>IF(Y13=0,0,Y13/TrAvia_act!Y31*1000000)</f>
        <v>27920.441149053182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0.97756759539857851</v>
      </c>
      <c r="C52" s="16">
        <f t="shared" si="36"/>
        <v>0.98189107678770293</v>
      </c>
      <c r="D52" s="16">
        <f t="shared" ref="D52:V52" si="37">IF(D6=0,0,D6/D$3)</f>
        <v>0.98154575497956409</v>
      </c>
      <c r="E52" s="16">
        <f t="shared" si="37"/>
        <v>0.97836684140716745</v>
      </c>
      <c r="F52" s="16">
        <f t="shared" si="37"/>
        <v>0.97407045262744985</v>
      </c>
      <c r="G52" s="16">
        <f t="shared" si="37"/>
        <v>0.9727461453033921</v>
      </c>
      <c r="H52" s="16">
        <f t="shared" si="37"/>
        <v>0.97310886695177934</v>
      </c>
      <c r="I52" s="16">
        <f t="shared" si="37"/>
        <v>0.97379231081173934</v>
      </c>
      <c r="J52" s="16">
        <f t="shared" si="37"/>
        <v>0.97915239711333912</v>
      </c>
      <c r="K52" s="16">
        <f t="shared" si="37"/>
        <v>0.98184999711006093</v>
      </c>
      <c r="L52" s="16">
        <f t="shared" si="37"/>
        <v>0.98179303054907086</v>
      </c>
      <c r="M52" s="16">
        <f t="shared" si="37"/>
        <v>0.98363673353937953</v>
      </c>
      <c r="N52" s="16">
        <f t="shared" si="37"/>
        <v>0.98129822462304006</v>
      </c>
      <c r="O52" s="16">
        <f t="shared" si="37"/>
        <v>0.98038630322191456</v>
      </c>
      <c r="P52" s="16">
        <f t="shared" si="37"/>
        <v>0.98254689091964886</v>
      </c>
      <c r="Q52" s="16">
        <f t="shared" si="37"/>
        <v>0.98190268743914966</v>
      </c>
      <c r="R52" s="16">
        <f t="shared" si="37"/>
        <v>0.98262487364329354</v>
      </c>
      <c r="S52" s="16">
        <f t="shared" si="37"/>
        <v>0.98231976765687079</v>
      </c>
      <c r="T52" s="16">
        <f t="shared" si="37"/>
        <v>0.98508320502772762</v>
      </c>
      <c r="U52" s="16">
        <f t="shared" si="37"/>
        <v>0.98041731344024163</v>
      </c>
      <c r="V52" s="16">
        <f t="shared" si="37"/>
        <v>0.96898088689653505</v>
      </c>
      <c r="W52" s="16">
        <f t="shared" ref="W52:Y52" si="38">IF(W6=0,0,W6/W$3)</f>
        <v>0.96828949378472307</v>
      </c>
      <c r="X52" s="16">
        <f t="shared" si="38"/>
        <v>0.98069788038396921</v>
      </c>
      <c r="Y52" s="16">
        <f t="shared" si="38"/>
        <v>0.96976103336073516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0.2603699020618559</v>
      </c>
      <c r="C53" s="103">
        <f t="shared" si="39"/>
        <v>0.25285877836453474</v>
      </c>
      <c r="D53" s="103">
        <f t="shared" ref="D53:V53" si="40">IF(D7=0,0,D7/D$3)</f>
        <v>0.23014909858913679</v>
      </c>
      <c r="E53" s="103">
        <f t="shared" si="40"/>
        <v>0.22498252602361651</v>
      </c>
      <c r="F53" s="103">
        <f t="shared" si="40"/>
        <v>0.20419402287704355</v>
      </c>
      <c r="G53" s="103">
        <f t="shared" si="40"/>
        <v>0.19567957305102857</v>
      </c>
      <c r="H53" s="103">
        <f t="shared" si="40"/>
        <v>0.17196597354894219</v>
      </c>
      <c r="I53" s="103">
        <f t="shared" si="40"/>
        <v>0.14464040363049538</v>
      </c>
      <c r="J53" s="103">
        <f t="shared" si="40"/>
        <v>0.13133135251433811</v>
      </c>
      <c r="K53" s="103">
        <f t="shared" si="40"/>
        <v>0.13527015174716969</v>
      </c>
      <c r="L53" s="103">
        <f t="shared" si="40"/>
        <v>0.12645418346990314</v>
      </c>
      <c r="M53" s="103">
        <f t="shared" si="40"/>
        <v>0.12058275122067841</v>
      </c>
      <c r="N53" s="103">
        <f t="shared" si="40"/>
        <v>0.10587502091467151</v>
      </c>
      <c r="O53" s="103">
        <f t="shared" si="40"/>
        <v>8.9764511223760904E-2</v>
      </c>
      <c r="P53" s="103">
        <f t="shared" si="40"/>
        <v>9.107038470964457E-2</v>
      </c>
      <c r="Q53" s="103">
        <f t="shared" si="40"/>
        <v>8.6657084552113239E-2</v>
      </c>
      <c r="R53" s="103">
        <f t="shared" si="40"/>
        <v>8.7709681166317471E-2</v>
      </c>
      <c r="S53" s="103">
        <f t="shared" si="40"/>
        <v>8.5810432369433198E-2</v>
      </c>
      <c r="T53" s="103">
        <f t="shared" si="40"/>
        <v>8.2639370470652007E-2</v>
      </c>
      <c r="U53" s="103">
        <f t="shared" si="40"/>
        <v>7.3932920762677198E-2</v>
      </c>
      <c r="V53" s="103">
        <f t="shared" si="40"/>
        <v>9.2170607859750273E-2</v>
      </c>
      <c r="W53" s="103">
        <f t="shared" ref="W53:Y53" si="41">IF(W7=0,0,W7/W$3)</f>
        <v>8.4897685815276944E-2</v>
      </c>
      <c r="X53" s="103">
        <f t="shared" si="41"/>
        <v>7.6913549710599494E-2</v>
      </c>
      <c r="Y53" s="103">
        <f t="shared" si="41"/>
        <v>6.5898911539217342E-2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0.48852470754226723</v>
      </c>
      <c r="C54" s="103">
        <f t="shared" si="42"/>
        <v>0.5005040586685322</v>
      </c>
      <c r="D54" s="103">
        <f t="shared" ref="D54:V54" si="43">IF(D8=0,0,D8/D$3)</f>
        <v>0.48992628375722713</v>
      </c>
      <c r="E54" s="103">
        <f t="shared" si="43"/>
        <v>0.50177161560127026</v>
      </c>
      <c r="F54" s="103">
        <f t="shared" si="43"/>
        <v>0.50448413454785046</v>
      </c>
      <c r="G54" s="103">
        <f t="shared" si="43"/>
        <v>0.50651588173144957</v>
      </c>
      <c r="H54" s="103">
        <f t="shared" si="43"/>
        <v>0.53242097870877925</v>
      </c>
      <c r="I54" s="103">
        <f t="shared" si="43"/>
        <v>0.55750739187898102</v>
      </c>
      <c r="J54" s="103">
        <f t="shared" si="43"/>
        <v>0.56791073572630058</v>
      </c>
      <c r="K54" s="103">
        <f t="shared" si="43"/>
        <v>0.5569853076950595</v>
      </c>
      <c r="L54" s="103">
        <f t="shared" si="43"/>
        <v>0.56335261498827638</v>
      </c>
      <c r="M54" s="103">
        <f t="shared" si="43"/>
        <v>0.57046689614622959</v>
      </c>
      <c r="N54" s="103">
        <f t="shared" si="43"/>
        <v>0.56742146349377187</v>
      </c>
      <c r="O54" s="103">
        <f t="shared" si="43"/>
        <v>0.57699267356884609</v>
      </c>
      <c r="P54" s="103">
        <f t="shared" si="43"/>
        <v>0.58241067224111664</v>
      </c>
      <c r="Q54" s="103">
        <f t="shared" si="43"/>
        <v>0.58918816910892957</v>
      </c>
      <c r="R54" s="103">
        <f t="shared" si="43"/>
        <v>0.60029009782208309</v>
      </c>
      <c r="S54" s="103">
        <f t="shared" si="43"/>
        <v>0.61032145294800844</v>
      </c>
      <c r="T54" s="103">
        <f t="shared" si="43"/>
        <v>0.61328127986337944</v>
      </c>
      <c r="U54" s="103">
        <f t="shared" si="43"/>
        <v>0.61102212654216359</v>
      </c>
      <c r="V54" s="103">
        <f t="shared" si="43"/>
        <v>0.53177131082494156</v>
      </c>
      <c r="W54" s="103">
        <f t="shared" ref="W54:Y54" si="44">IF(W8=0,0,W8/W$3)</f>
        <v>0.56447997385560356</v>
      </c>
      <c r="X54" s="103">
        <f t="shared" si="44"/>
        <v>0.62196820880130277</v>
      </c>
      <c r="Y54" s="103">
        <f t="shared" si="44"/>
        <v>0.61394314636092706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0.22867298579445541</v>
      </c>
      <c r="C55" s="103">
        <f t="shared" si="45"/>
        <v>0.22852823975463593</v>
      </c>
      <c r="D55" s="103">
        <f t="shared" ref="D55:V55" si="46">IF(D9=0,0,D9/D$3)</f>
        <v>0.26147037263320017</v>
      </c>
      <c r="E55" s="103">
        <f t="shared" si="46"/>
        <v>0.25161269978228062</v>
      </c>
      <c r="F55" s="103">
        <f t="shared" si="46"/>
        <v>0.26539229520255581</v>
      </c>
      <c r="G55" s="103">
        <f t="shared" si="46"/>
        <v>0.27055069052091391</v>
      </c>
      <c r="H55" s="103">
        <f t="shared" si="46"/>
        <v>0.26872191469405798</v>
      </c>
      <c r="I55" s="103">
        <f t="shared" si="46"/>
        <v>0.27164451530226302</v>
      </c>
      <c r="J55" s="103">
        <f t="shared" si="46"/>
        <v>0.27991030887270035</v>
      </c>
      <c r="K55" s="103">
        <f t="shared" si="46"/>
        <v>0.28959453766783161</v>
      </c>
      <c r="L55" s="103">
        <f t="shared" si="46"/>
        <v>0.29198623209089131</v>
      </c>
      <c r="M55" s="103">
        <f t="shared" si="46"/>
        <v>0.29258708617247153</v>
      </c>
      <c r="N55" s="103">
        <f t="shared" si="46"/>
        <v>0.30800174021459653</v>
      </c>
      <c r="O55" s="103">
        <f t="shared" si="46"/>
        <v>0.31362911842930752</v>
      </c>
      <c r="P55" s="103">
        <f t="shared" si="46"/>
        <v>0.30906583396888765</v>
      </c>
      <c r="Q55" s="103">
        <f t="shared" si="46"/>
        <v>0.30605743377810674</v>
      </c>
      <c r="R55" s="103">
        <f t="shared" si="46"/>
        <v>0.29462509465489289</v>
      </c>
      <c r="S55" s="103">
        <f t="shared" si="46"/>
        <v>0.28618788233942916</v>
      </c>
      <c r="T55" s="103">
        <f t="shared" si="46"/>
        <v>0.28916255469369628</v>
      </c>
      <c r="U55" s="103">
        <f t="shared" si="46"/>
        <v>0.29546226613540089</v>
      </c>
      <c r="V55" s="103">
        <f t="shared" si="46"/>
        <v>0.34503896821184316</v>
      </c>
      <c r="W55" s="103">
        <f t="shared" ref="W55:Y55" si="47">IF(W9=0,0,W9/W$3)</f>
        <v>0.3189118341138425</v>
      </c>
      <c r="X55" s="103">
        <f t="shared" si="47"/>
        <v>0.28181612187206695</v>
      </c>
      <c r="Y55" s="103">
        <f t="shared" si="47"/>
        <v>0.28991897546059081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2.2432404601421232E-2</v>
      </c>
      <c r="C56" s="17">
        <f t="shared" si="48"/>
        <v>1.8108923212297123E-2</v>
      </c>
      <c r="D56" s="17">
        <f t="shared" ref="D56:V56" si="49">IF(D10=0,0,D10/D$3)</f>
        <v>1.8454245020435786E-2</v>
      </c>
      <c r="E56" s="17">
        <f t="shared" si="49"/>
        <v>2.1633158592832682E-2</v>
      </c>
      <c r="F56" s="17">
        <f t="shared" si="49"/>
        <v>2.5929547372550165E-2</v>
      </c>
      <c r="G56" s="17">
        <f t="shared" si="49"/>
        <v>2.7253854696607894E-2</v>
      </c>
      <c r="H56" s="17">
        <f t="shared" si="49"/>
        <v>2.689113304822062E-2</v>
      </c>
      <c r="I56" s="17">
        <f t="shared" si="49"/>
        <v>2.6207689188260594E-2</v>
      </c>
      <c r="J56" s="17">
        <f t="shared" si="49"/>
        <v>2.0847602886660915E-2</v>
      </c>
      <c r="K56" s="17">
        <f t="shared" si="49"/>
        <v>1.8150002889939145E-2</v>
      </c>
      <c r="L56" s="17">
        <f t="shared" si="49"/>
        <v>1.8206969450928985E-2</v>
      </c>
      <c r="M56" s="17">
        <f t="shared" si="49"/>
        <v>1.6363266460620397E-2</v>
      </c>
      <c r="N56" s="17">
        <f t="shared" si="49"/>
        <v>1.8701775376960095E-2</v>
      </c>
      <c r="O56" s="17">
        <f t="shared" si="49"/>
        <v>1.961369677808554E-2</v>
      </c>
      <c r="P56" s="17">
        <f t="shared" si="49"/>
        <v>1.7453109080351102E-2</v>
      </c>
      <c r="Q56" s="17">
        <f t="shared" si="49"/>
        <v>1.8097312560850402E-2</v>
      </c>
      <c r="R56" s="17">
        <f t="shared" si="49"/>
        <v>1.7375126356706683E-2</v>
      </c>
      <c r="S56" s="17">
        <f t="shared" si="49"/>
        <v>1.7680232343129255E-2</v>
      </c>
      <c r="T56" s="17">
        <f t="shared" si="49"/>
        <v>1.4916794972272242E-2</v>
      </c>
      <c r="U56" s="17">
        <f t="shared" si="49"/>
        <v>1.9582686559758318E-2</v>
      </c>
      <c r="V56" s="17">
        <f t="shared" si="49"/>
        <v>3.1019113103465182E-2</v>
      </c>
      <c r="W56" s="17">
        <f t="shared" ref="W56:Y56" si="50">IF(W10=0,0,W10/W$3)</f>
        <v>3.1710506215276935E-2</v>
      </c>
      <c r="X56" s="17">
        <f t="shared" si="50"/>
        <v>1.9302119616030872E-2</v>
      </c>
      <c r="Y56" s="17">
        <f t="shared" si="50"/>
        <v>3.0238966639264835E-2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3.3099798895604134E-3</v>
      </c>
      <c r="C57" s="104">
        <f t="shared" si="51"/>
        <v>2.4962630832302372E-3</v>
      </c>
      <c r="D57" s="104">
        <f t="shared" ref="D57:V57" si="52">IF(D11=0,0,D11/D$3)</f>
        <v>2.2962535335876977E-3</v>
      </c>
      <c r="E57" s="104">
        <f t="shared" si="52"/>
        <v>1.8600025564431113E-3</v>
      </c>
      <c r="F57" s="104">
        <f t="shared" si="52"/>
        <v>1.6612145354513563E-3</v>
      </c>
      <c r="G57" s="104">
        <f t="shared" si="52"/>
        <v>1.559100604499966E-3</v>
      </c>
      <c r="H57" s="104">
        <f t="shared" si="52"/>
        <v>1.3654028254510987E-3</v>
      </c>
      <c r="I57" s="104">
        <f t="shared" si="52"/>
        <v>9.9803012823260619E-4</v>
      </c>
      <c r="J57" s="104">
        <f t="shared" si="52"/>
        <v>7.4986907442200438E-4</v>
      </c>
      <c r="K57" s="104">
        <f t="shared" si="52"/>
        <v>8.2924856712927441E-4</v>
      </c>
      <c r="L57" s="104">
        <f t="shared" si="52"/>
        <v>6.1064395381811099E-4</v>
      </c>
      <c r="M57" s="104">
        <f t="shared" si="52"/>
        <v>4.7801930201948775E-4</v>
      </c>
      <c r="N57" s="104">
        <f t="shared" si="52"/>
        <v>5.4835900658708201E-4</v>
      </c>
      <c r="O57" s="104">
        <f t="shared" si="52"/>
        <v>4.4876783931510178E-4</v>
      </c>
      <c r="P57" s="104">
        <f t="shared" si="52"/>
        <v>3.6019678286342737E-4</v>
      </c>
      <c r="Q57" s="104">
        <f t="shared" si="52"/>
        <v>3.4009491676624857E-4</v>
      </c>
      <c r="R57" s="104">
        <f t="shared" si="52"/>
        <v>3.7272739665198908E-4</v>
      </c>
      <c r="S57" s="104">
        <f t="shared" si="52"/>
        <v>2.7851445625614208E-4</v>
      </c>
      <c r="T57" s="104">
        <f t="shared" si="52"/>
        <v>1.6697437150527822E-4</v>
      </c>
      <c r="U57" s="104">
        <f t="shared" si="52"/>
        <v>1.650068616742841E-4</v>
      </c>
      <c r="V57" s="104">
        <f t="shared" si="52"/>
        <v>4.9228110773031828E-4</v>
      </c>
      <c r="W57" s="104">
        <f t="shared" ref="W57:Y57" si="53">IF(W11=0,0,W11/W$3)</f>
        <v>3.7225038707373886E-4</v>
      </c>
      <c r="X57" s="104">
        <f t="shared" si="53"/>
        <v>2.5690960581645016E-4</v>
      </c>
      <c r="Y57" s="104">
        <f t="shared" si="53"/>
        <v>2.2994354667965768E-4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1.0786096532777584E-2</v>
      </c>
      <c r="C58" s="104">
        <f t="shared" si="54"/>
        <v>9.4721334740135634E-3</v>
      </c>
      <c r="D58" s="104">
        <f t="shared" ref="D58:V58" si="55">IF(D12=0,0,D12/D$3)</f>
        <v>8.8525138912232994E-3</v>
      </c>
      <c r="E58" s="104">
        <f t="shared" si="55"/>
        <v>1.2554220565930349E-2</v>
      </c>
      <c r="F58" s="104">
        <f t="shared" si="55"/>
        <v>1.5333160571574064E-2</v>
      </c>
      <c r="G58" s="104">
        <f t="shared" si="55"/>
        <v>1.5790728815857382E-2</v>
      </c>
      <c r="H58" s="104">
        <f t="shared" si="55"/>
        <v>1.7997304059417886E-2</v>
      </c>
      <c r="I58" s="104">
        <f t="shared" si="55"/>
        <v>1.8387991528012928E-2</v>
      </c>
      <c r="J58" s="104">
        <f t="shared" si="55"/>
        <v>1.4579985902153337E-2</v>
      </c>
      <c r="K58" s="104">
        <f t="shared" si="55"/>
        <v>1.3666058089168832E-2</v>
      </c>
      <c r="L58" s="104">
        <f t="shared" si="55"/>
        <v>1.3754787741916581E-2</v>
      </c>
      <c r="M58" s="104">
        <f t="shared" si="55"/>
        <v>1.0804115494428978E-2</v>
      </c>
      <c r="N58" s="104">
        <f t="shared" si="55"/>
        <v>1.1158933273085354E-2</v>
      </c>
      <c r="O58" s="104">
        <f t="shared" si="55"/>
        <v>1.3113196614417878E-2</v>
      </c>
      <c r="P58" s="104">
        <f t="shared" si="55"/>
        <v>1.3101770433253647E-2</v>
      </c>
      <c r="Q58" s="104">
        <f t="shared" si="55"/>
        <v>1.4455032772391877E-2</v>
      </c>
      <c r="R58" s="104">
        <f t="shared" si="55"/>
        <v>1.3735784462249847E-2</v>
      </c>
      <c r="S58" s="104">
        <f t="shared" si="55"/>
        <v>1.441676150439425E-2</v>
      </c>
      <c r="T58" s="104">
        <f t="shared" si="55"/>
        <v>1.2113081019628399E-2</v>
      </c>
      <c r="U58" s="104">
        <f t="shared" si="55"/>
        <v>1.7179059682674913E-2</v>
      </c>
      <c r="V58" s="104">
        <f t="shared" si="55"/>
        <v>2.3463771819258718E-2</v>
      </c>
      <c r="W58" s="104">
        <f t="shared" ref="W58:Y58" si="56">IF(W12=0,0,W12/W$3)</f>
        <v>2.3568952881321964E-2</v>
      </c>
      <c r="X58" s="104">
        <f t="shared" si="56"/>
        <v>1.3974431953098321E-2</v>
      </c>
      <c r="Y58" s="104">
        <f t="shared" si="56"/>
        <v>1.6652939803107277E-2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8.3363281790832366E-3</v>
      </c>
      <c r="C59" s="105">
        <f t="shared" si="57"/>
        <v>6.1405266550533218E-3</v>
      </c>
      <c r="D59" s="105">
        <f t="shared" ref="D59:V59" si="58">IF(D13=0,0,D13/D$3)</f>
        <v>7.3054775956247894E-3</v>
      </c>
      <c r="E59" s="105">
        <f t="shared" si="58"/>
        <v>7.2189354704592194E-3</v>
      </c>
      <c r="F59" s="105">
        <f t="shared" si="58"/>
        <v>8.9351722655247445E-3</v>
      </c>
      <c r="G59" s="105">
        <f t="shared" si="58"/>
        <v>9.9040252762505453E-3</v>
      </c>
      <c r="H59" s="105">
        <f t="shared" si="58"/>
        <v>7.5284261633516364E-3</v>
      </c>
      <c r="I59" s="105">
        <f t="shared" si="58"/>
        <v>6.8216675320150544E-3</v>
      </c>
      <c r="J59" s="105">
        <f t="shared" si="58"/>
        <v>5.5177479100855754E-3</v>
      </c>
      <c r="K59" s="105">
        <f t="shared" si="58"/>
        <v>3.6546962336410373E-3</v>
      </c>
      <c r="L59" s="105">
        <f t="shared" si="58"/>
        <v>3.8415377551942937E-3</v>
      </c>
      <c r="M59" s="105">
        <f t="shared" si="58"/>
        <v>5.0811316641719327E-3</v>
      </c>
      <c r="N59" s="105">
        <f t="shared" si="58"/>
        <v>6.9944830972876607E-3</v>
      </c>
      <c r="O59" s="105">
        <f t="shared" si="58"/>
        <v>6.0517323243525602E-3</v>
      </c>
      <c r="P59" s="105">
        <f t="shared" si="58"/>
        <v>3.9911418642340256E-3</v>
      </c>
      <c r="Q59" s="105">
        <f t="shared" si="58"/>
        <v>3.3021848716922732E-3</v>
      </c>
      <c r="R59" s="105">
        <f t="shared" si="58"/>
        <v>3.2666144978048478E-3</v>
      </c>
      <c r="S59" s="105">
        <f t="shared" si="58"/>
        <v>2.9849563824788606E-3</v>
      </c>
      <c r="T59" s="105">
        <f t="shared" si="58"/>
        <v>2.6367395811385651E-3</v>
      </c>
      <c r="U59" s="105">
        <f t="shared" si="58"/>
        <v>2.2386200154091204E-3</v>
      </c>
      <c r="V59" s="105">
        <f t="shared" si="58"/>
        <v>7.0630601764761474E-3</v>
      </c>
      <c r="W59" s="105">
        <f t="shared" ref="W59:Y59" si="59">IF(W13=0,0,W13/W$3)</f>
        <v>7.7693029468812328E-3</v>
      </c>
      <c r="X59" s="105">
        <f t="shared" si="59"/>
        <v>5.0707780571160972E-3</v>
      </c>
      <c r="Y59" s="105">
        <f t="shared" si="59"/>
        <v>1.3356083289477899E-2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13090827</v>
      </c>
      <c r="C4" s="11">
        <f t="shared" si="0"/>
        <v>12699594</v>
      </c>
      <c r="D4" s="11">
        <f t="shared" ref="D4" si="1">SUM(D5:D7)</f>
        <v>12401906</v>
      </c>
      <c r="E4" s="11">
        <f t="shared" ref="E4" si="2">SUM(E5:E7)</f>
        <v>12108905</v>
      </c>
      <c r="F4" s="11">
        <f t="shared" ref="F4" si="3">SUM(F5:F7)</f>
        <v>12638234</v>
      </c>
      <c r="G4" s="11">
        <f t="shared" ref="G4" si="4">SUM(G5:G7)</f>
        <v>12428000</v>
      </c>
      <c r="H4" s="11">
        <f t="shared" ref="H4" si="5">SUM(H5:H7)</f>
        <v>12491143</v>
      </c>
      <c r="I4" s="11">
        <f t="shared" ref="I4" si="6">SUM(I5:I7)</f>
        <v>12807795</v>
      </c>
      <c r="J4" s="11">
        <f t="shared" ref="J4" si="7">SUM(J5:J7)</f>
        <v>13598956</v>
      </c>
      <c r="K4" s="11">
        <f t="shared" ref="K4" si="8">SUM(K5:K7)</f>
        <v>12711048</v>
      </c>
      <c r="L4" s="11">
        <f t="shared" ref="L4" si="9">SUM(L5:L7)</f>
        <v>12871887</v>
      </c>
      <c r="M4" s="11">
        <f t="shared" ref="M4" si="10">SUM(M5:M7)</f>
        <v>14677278</v>
      </c>
      <c r="N4" s="11">
        <f t="shared" ref="N4" si="11">SUM(N5:N7)</f>
        <v>13389928</v>
      </c>
      <c r="O4" s="11">
        <f t="shared" ref="O4" si="12">SUM(O5:O7)</f>
        <v>13326227</v>
      </c>
      <c r="P4" s="11">
        <f t="shared" ref="P4" si="13">SUM(P5:P7)</f>
        <v>13710907</v>
      </c>
      <c r="Q4" s="11">
        <f t="shared" ref="Q4" si="14">SUM(Q5:Q7)</f>
        <v>13764501</v>
      </c>
      <c r="R4" s="11">
        <f t="shared" ref="R4" si="15">SUM(R5:R7)</f>
        <v>13976026</v>
      </c>
      <c r="S4" s="11">
        <f t="shared" ref="S4" si="16">SUM(S5:S7)</f>
        <v>15196589</v>
      </c>
      <c r="T4" s="11">
        <f t="shared" ref="T4" si="17">SUM(T5:T7)</f>
        <v>17005920</v>
      </c>
      <c r="U4" s="11">
        <f t="shared" ref="U4" si="18">SUM(U5:U7)</f>
        <v>17523594</v>
      </c>
      <c r="V4" s="11">
        <f t="shared" ref="V4:W4" si="19">SUM(V5:V7)</f>
        <v>5963930</v>
      </c>
      <c r="W4" s="11">
        <f t="shared" si="19"/>
        <v>5345309</v>
      </c>
      <c r="X4" s="11">
        <f t="shared" ref="X4:Y4" si="20">SUM(X5:X7)</f>
        <v>11092375</v>
      </c>
      <c r="Y4" s="11">
        <f t="shared" si="20"/>
        <v>12105710</v>
      </c>
      <c r="DA4" s="189" t="s">
        <v>362</v>
      </c>
    </row>
    <row r="5" spans="1:105" ht="11.45" customHeight="1" x14ac:dyDescent="0.25">
      <c r="A5" s="83" t="s">
        <v>27</v>
      </c>
      <c r="B5" s="84">
        <v>6845246</v>
      </c>
      <c r="C5" s="84">
        <v>6644650</v>
      </c>
      <c r="D5" s="84">
        <v>6560200</v>
      </c>
      <c r="E5" s="84">
        <v>5620986</v>
      </c>
      <c r="F5" s="84">
        <v>5502976</v>
      </c>
      <c r="G5" s="84">
        <v>5334029</v>
      </c>
      <c r="H5" s="84">
        <v>5140105</v>
      </c>
      <c r="I5" s="84">
        <v>4775315</v>
      </c>
      <c r="J5" s="84">
        <v>4923152</v>
      </c>
      <c r="K5" s="84">
        <v>4682691</v>
      </c>
      <c r="L5" s="84">
        <v>4580033</v>
      </c>
      <c r="M5" s="84">
        <v>5167994</v>
      </c>
      <c r="N5" s="84">
        <v>4388648</v>
      </c>
      <c r="O5" s="84">
        <v>4076350</v>
      </c>
      <c r="P5" s="84">
        <v>4112275</v>
      </c>
      <c r="Q5" s="84">
        <v>4092179</v>
      </c>
      <c r="R5" s="84">
        <v>4164122</v>
      </c>
      <c r="S5" s="84">
        <v>4317820</v>
      </c>
      <c r="T5" s="84">
        <v>4685894</v>
      </c>
      <c r="U5" s="84">
        <v>4623438</v>
      </c>
      <c r="V5" s="84">
        <v>1785720</v>
      </c>
      <c r="W5" s="84">
        <v>1551278</v>
      </c>
      <c r="X5" s="84">
        <v>2693685</v>
      </c>
      <c r="Y5" s="84">
        <v>2654676</v>
      </c>
      <c r="DA5" s="171" t="s">
        <v>363</v>
      </c>
    </row>
    <row r="6" spans="1:105" ht="11.45" customHeight="1" x14ac:dyDescent="0.25">
      <c r="A6" s="83" t="s">
        <v>181</v>
      </c>
      <c r="B6" s="84">
        <v>5468261</v>
      </c>
      <c r="C6" s="84">
        <v>5334149</v>
      </c>
      <c r="D6" s="84">
        <v>5014798</v>
      </c>
      <c r="E6" s="84">
        <v>5599595</v>
      </c>
      <c r="F6" s="84">
        <v>6053934</v>
      </c>
      <c r="G6" s="84">
        <v>6081951</v>
      </c>
      <c r="H6" s="84">
        <v>6234677</v>
      </c>
      <c r="I6" s="84">
        <v>6676637</v>
      </c>
      <c r="J6" s="84">
        <v>7074703</v>
      </c>
      <c r="K6" s="84">
        <v>6520928</v>
      </c>
      <c r="L6" s="84">
        <v>6675370</v>
      </c>
      <c r="M6" s="84">
        <v>7640998</v>
      </c>
      <c r="N6" s="84">
        <v>7105057</v>
      </c>
      <c r="O6" s="84">
        <v>7336031</v>
      </c>
      <c r="P6" s="84">
        <v>7564118</v>
      </c>
      <c r="Q6" s="84">
        <v>7585784</v>
      </c>
      <c r="R6" s="84">
        <v>7765938</v>
      </c>
      <c r="S6" s="84">
        <v>8621840</v>
      </c>
      <c r="T6" s="84">
        <v>9576322</v>
      </c>
      <c r="U6" s="84">
        <v>9798507</v>
      </c>
      <c r="V6" s="84">
        <v>3003606</v>
      </c>
      <c r="W6" s="84">
        <v>2676150</v>
      </c>
      <c r="X6" s="84">
        <v>6882177</v>
      </c>
      <c r="Y6" s="84">
        <v>7830961</v>
      </c>
      <c r="DA6" s="171" t="s">
        <v>364</v>
      </c>
    </row>
    <row r="7" spans="1:105" ht="11.45" customHeight="1" x14ac:dyDescent="0.25">
      <c r="A7" s="85" t="s">
        <v>182</v>
      </c>
      <c r="B7" s="86">
        <v>777320</v>
      </c>
      <c r="C7" s="86">
        <v>720795</v>
      </c>
      <c r="D7" s="86">
        <v>826908</v>
      </c>
      <c r="E7" s="86">
        <v>888324</v>
      </c>
      <c r="F7" s="86">
        <v>1081324</v>
      </c>
      <c r="G7" s="86">
        <v>1012020</v>
      </c>
      <c r="H7" s="86">
        <v>1116361</v>
      </c>
      <c r="I7" s="86">
        <v>1355843</v>
      </c>
      <c r="J7" s="86">
        <v>1601101</v>
      </c>
      <c r="K7" s="86">
        <v>1507429</v>
      </c>
      <c r="L7" s="86">
        <v>1616484</v>
      </c>
      <c r="M7" s="86">
        <v>1868286</v>
      </c>
      <c r="N7" s="86">
        <v>1896223</v>
      </c>
      <c r="O7" s="86">
        <v>1913846</v>
      </c>
      <c r="P7" s="86">
        <v>2034514</v>
      </c>
      <c r="Q7" s="86">
        <v>2086538</v>
      </c>
      <c r="R7" s="86">
        <v>2045966</v>
      </c>
      <c r="S7" s="86">
        <v>2256929</v>
      </c>
      <c r="T7" s="86">
        <v>2743704</v>
      </c>
      <c r="U7" s="86">
        <v>3101649</v>
      </c>
      <c r="V7" s="86">
        <v>1174604</v>
      </c>
      <c r="W7" s="86">
        <v>1117881</v>
      </c>
      <c r="X7" s="86">
        <v>1516513</v>
      </c>
      <c r="Y7" s="86">
        <v>1620073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109.66597134958532</v>
      </c>
      <c r="C12" s="14">
        <f>IF(C4=0,0,C4/TrAvia_act!C24)</f>
        <v>106.41255875920666</v>
      </c>
      <c r="D12" s="14">
        <f>IF(D4=0,0,D4/TrAvia_act!D24)</f>
        <v>111.53394967354353</v>
      </c>
      <c r="E12" s="14">
        <f>IF(E4=0,0,E4/TrAvia_act!E24)</f>
        <v>104.11694654388182</v>
      </c>
      <c r="F12" s="14">
        <f>IF(F4=0,0,F4/TrAvia_act!F24)</f>
        <v>103.25185862976095</v>
      </c>
      <c r="G12" s="14">
        <f>IF(G4=0,0,G4/TrAvia_act!G24)</f>
        <v>102.43813982624751</v>
      </c>
      <c r="H12" s="14">
        <f>IF(H4=0,0,H4/TrAvia_act!H24)</f>
        <v>99.852457312783784</v>
      </c>
      <c r="I12" s="14">
        <f>IF(I4=0,0,I4/TrAvia_act!I24)</f>
        <v>103.76397530624149</v>
      </c>
      <c r="J12" s="14">
        <f>IF(J4=0,0,J4/TrAvia_act!J24)</f>
        <v>107.2565916601598</v>
      </c>
      <c r="K12" s="14">
        <f>IF(K4=0,0,K4/TrAvia_act!K24)</f>
        <v>105.77819201611091</v>
      </c>
      <c r="L12" s="14">
        <f>IF(L4=0,0,L4/TrAvia_act!L24)</f>
        <v>108.44506508277517</v>
      </c>
      <c r="M12" s="14">
        <f>IF(M4=0,0,M4/TrAvia_act!M24)</f>
        <v>111.16286714028205</v>
      </c>
      <c r="N12" s="14">
        <f>IF(N4=0,0,N4/TrAvia_act!N24)</f>
        <v>113.68785341914449</v>
      </c>
      <c r="O12" s="14">
        <f>IF(O4=0,0,O4/TrAvia_act!O24)</f>
        <v>119.85418259328878</v>
      </c>
      <c r="P12" s="14">
        <f>IF(P4=0,0,P4/TrAvia_act!P24)</f>
        <v>125.28012097732132</v>
      </c>
      <c r="Q12" s="14">
        <f>IF(Q4=0,0,Q4/TrAvia_act!Q24)</f>
        <v>127.81833630488077</v>
      </c>
      <c r="R12" s="14">
        <f>IF(R4=0,0,R4/TrAvia_act!R24)</f>
        <v>132.33494617037999</v>
      </c>
      <c r="S12" s="14">
        <f>IF(S4=0,0,S4/TrAvia_act!S24)</f>
        <v>135.84393213430113</v>
      </c>
      <c r="T12" s="14">
        <f>IF(T4=0,0,T4/TrAvia_act!T24)</f>
        <v>141.29094972624023</v>
      </c>
      <c r="U12" s="14">
        <f>IF(U4=0,0,U4/TrAvia_act!U24)</f>
        <v>144.18913537175393</v>
      </c>
      <c r="V12" s="14">
        <f>IF(V4=0,0,V4/TrAvia_act!V24)</f>
        <v>141.73847945433371</v>
      </c>
      <c r="W12" s="14">
        <f>IF(W4=0,0,W4/TrAvia_act!W24)</f>
        <v>132.66427578675669</v>
      </c>
      <c r="X12" s="14">
        <f>IF(X4=0,0,X4/TrAvia_act!X24)</f>
        <v>140.87344424688848</v>
      </c>
      <c r="Y12" s="14">
        <f>IF(Y4=0,0,Y4/TrAvia_act!Y24)</f>
        <v>140.91973691868924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101.07563050026579</v>
      </c>
      <c r="C13" s="87">
        <f>IF(C5=0,0,C5/TrAvia_act!C25)</f>
        <v>100.67804057637237</v>
      </c>
      <c r="D13" s="87">
        <f>IF(D5=0,0,D5/TrAvia_act!D25)</f>
        <v>106.16756485572333</v>
      </c>
      <c r="E13" s="87">
        <f>IF(E5=0,0,E5/TrAvia_act!E25)</f>
        <v>89.928581713462918</v>
      </c>
      <c r="F13" s="87">
        <f>IF(F5=0,0,F5/TrAvia_act!F25)</f>
        <v>86.636480997512521</v>
      </c>
      <c r="G13" s="87">
        <f>IF(G5=0,0,G5/TrAvia_act!G25)</f>
        <v>84.296490035874015</v>
      </c>
      <c r="H13" s="87">
        <f>IF(H5=0,0,H5/TrAvia_act!H25)</f>
        <v>79.145507737316194</v>
      </c>
      <c r="I13" s="87">
        <f>IF(I5=0,0,I5/TrAvia_act!I25)</f>
        <v>80.192701686034795</v>
      </c>
      <c r="J13" s="87">
        <f>IF(J5=0,0,J5/TrAvia_act!J25)</f>
        <v>83.484288887758396</v>
      </c>
      <c r="K13" s="87">
        <f>IF(K5=0,0,K5/TrAvia_act!K25)</f>
        <v>80.862922861731334</v>
      </c>
      <c r="L13" s="87">
        <f>IF(L5=0,0,L5/TrAvia_act!L25)</f>
        <v>84.602353332348159</v>
      </c>
      <c r="M13" s="87">
        <f>IF(M5=0,0,M5/TrAvia_act!M25)</f>
        <v>88.245235981148824</v>
      </c>
      <c r="N13" s="87">
        <f>IF(N5=0,0,N5/TrAvia_act!N25)</f>
        <v>89.806171727920116</v>
      </c>
      <c r="O13" s="87">
        <f>IF(O5=0,0,O5/TrAvia_act!O25)</f>
        <v>92.832092186468088</v>
      </c>
      <c r="P13" s="87">
        <f>IF(P5=0,0,P5/TrAvia_act!P25)</f>
        <v>97.753042692783112</v>
      </c>
      <c r="Q13" s="87">
        <f>IF(Q5=0,0,Q5/TrAvia_act!Q25)</f>
        <v>100.46594814887558</v>
      </c>
      <c r="R13" s="87">
        <f>IF(R5=0,0,R5/TrAvia_act!R25)</f>
        <v>105.5731562000862</v>
      </c>
      <c r="S13" s="87">
        <f>IF(S5=0,0,S5/TrAvia_act!S25)</f>
        <v>106.38431024712347</v>
      </c>
      <c r="T13" s="87">
        <f>IF(T5=0,0,T5/TrAvia_act!T25)</f>
        <v>110.98754144954998</v>
      </c>
      <c r="U13" s="87">
        <f>IF(U5=0,0,U5/TrAvia_act!U25)</f>
        <v>110.84988851327051</v>
      </c>
      <c r="V13" s="87">
        <f>IF(V5=0,0,V5/TrAvia_act!V25)</f>
        <v>104.55035128805621</v>
      </c>
      <c r="W13" s="87">
        <f>IF(W5=0,0,W5/TrAvia_act!W25)</f>
        <v>91.699355677720632</v>
      </c>
      <c r="X13" s="87">
        <f>IF(X5=0,0,X5/TrAvia_act!X25)</f>
        <v>107.02817069294342</v>
      </c>
      <c r="Y13" s="87">
        <f>IF(Y5=0,0,Y5/TrAvia_act!Y25)</f>
        <v>103.61733021077283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113.91973083894085</v>
      </c>
      <c r="C14" s="87">
        <f>IF(C6=0,0,C6/TrAvia_act!C26)</f>
        <v>107.38311792889641</v>
      </c>
      <c r="D14" s="87">
        <f>IF(D6=0,0,D6/TrAvia_act!D26)</f>
        <v>110.234722588587</v>
      </c>
      <c r="E14" s="87">
        <f>IF(E6=0,0,E6/TrAvia_act!E26)</f>
        <v>112.49814163736815</v>
      </c>
      <c r="F14" s="87">
        <f>IF(F6=0,0,F6/TrAvia_act!F26)</f>
        <v>111.55212824765063</v>
      </c>
      <c r="G14" s="87">
        <f>IF(G6=0,0,G6/TrAvia_act!G26)</f>
        <v>114.39334549626648</v>
      </c>
      <c r="H14" s="87">
        <f>IF(H6=0,0,H6/TrAvia_act!H26)</f>
        <v>114.02533011448845</v>
      </c>
      <c r="I14" s="87">
        <f>IF(I6=0,0,I6/TrAvia_act!I26)</f>
        <v>116.64693036094901</v>
      </c>
      <c r="J14" s="87">
        <f>IF(J6=0,0,J6/TrAvia_act!J26)</f>
        <v>118.54196477941053</v>
      </c>
      <c r="K14" s="87">
        <f>IF(K6=0,0,K6/TrAvia_act!K26)</f>
        <v>119.69178245626915</v>
      </c>
      <c r="L14" s="87">
        <f>IF(L6=0,0,L6/TrAvia_act!L26)</f>
        <v>118.11678315491463</v>
      </c>
      <c r="M14" s="87">
        <f>IF(M6=0,0,M6/TrAvia_act!M26)</f>
        <v>118.87423379694452</v>
      </c>
      <c r="N14" s="87">
        <f>IF(N6=0,0,N6/TrAvia_act!N26)</f>
        <v>118.80571533676677</v>
      </c>
      <c r="O14" s="87">
        <f>IF(O6=0,0,O6/TrAvia_act!O26)</f>
        <v>126.69299184857695</v>
      </c>
      <c r="P14" s="87">
        <f>IF(P6=0,0,P6/TrAvia_act!P26)</f>
        <v>132.59914102901217</v>
      </c>
      <c r="Q14" s="87">
        <f>IF(Q6=0,0,Q6/TrAvia_act!Q26)</f>
        <v>134.65251349048566</v>
      </c>
      <c r="R14" s="87">
        <f>IF(R6=0,0,R6/TrAvia_act!R26)</f>
        <v>139.02502685284639</v>
      </c>
      <c r="S14" s="87">
        <f>IF(S6=0,0,S6/TrAvia_act!S26)</f>
        <v>143.22707111650081</v>
      </c>
      <c r="T14" s="87">
        <f>IF(T6=0,0,T6/TrAvia_act!T26)</f>
        <v>147.36657279596201</v>
      </c>
      <c r="U14" s="87">
        <f>IF(U6=0,0,U6/TrAvia_act!U26)</f>
        <v>150.2354609711596</v>
      </c>
      <c r="V14" s="87">
        <f>IF(V6=0,0,V6/TrAvia_act!V26)</f>
        <v>143.43183229072156</v>
      </c>
      <c r="W14" s="87">
        <f>IF(W6=0,0,W6/TrAvia_act!W26)</f>
        <v>137.39346955539582</v>
      </c>
      <c r="X14" s="87">
        <f>IF(X6=0,0,X6/TrAvia_act!X26)</f>
        <v>143.91838143036387</v>
      </c>
      <c r="Y14" s="87">
        <f>IF(Y6=0,0,Y6/TrAvia_act!Y26)</f>
        <v>146.05914389629768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213.2565157750343</v>
      </c>
      <c r="C15" s="88">
        <f>IF(C7=0,0,C7/TrAvia_act!C27)</f>
        <v>196.40190735694824</v>
      </c>
      <c r="D15" s="88">
        <f>IF(D7=0,0,D7/TrAvia_act!D27)</f>
        <v>211.43134748146255</v>
      </c>
      <c r="E15" s="88">
        <f>IF(E7=0,0,E7/TrAvia_act!E27)</f>
        <v>220.9211638895797</v>
      </c>
      <c r="F15" s="88">
        <f>IF(F7=0,0,F7/TrAvia_act!F27)</f>
        <v>234.3571738188123</v>
      </c>
      <c r="G15" s="88">
        <f>IF(G7=0,0,G7/TrAvia_act!G27)</f>
        <v>207.46617466174661</v>
      </c>
      <c r="H15" s="88">
        <f>IF(H7=0,0,H7/TrAvia_act!H27)</f>
        <v>203.97606431573178</v>
      </c>
      <c r="I15" s="88">
        <f>IF(I7=0,0,I7/TrAvia_act!I27)</f>
        <v>204.00887752031298</v>
      </c>
      <c r="J15" s="88">
        <f>IF(J7=0,0,J7/TrAvia_act!J27)</f>
        <v>196.76797345459013</v>
      </c>
      <c r="K15" s="88">
        <f>IF(K7=0,0,K7/TrAvia_act!K27)</f>
        <v>193.83168316831683</v>
      </c>
      <c r="L15" s="88">
        <f>IF(L7=0,0,L7/TrAvia_act!L27)</f>
        <v>200.95524614619592</v>
      </c>
      <c r="M15" s="88">
        <f>IF(M7=0,0,M7/TrAvia_act!M27)</f>
        <v>203.25130548302872</v>
      </c>
      <c r="N15" s="88">
        <f>IF(N7=0,0,N7/TrAvia_act!N27)</f>
        <v>208.23885350318471</v>
      </c>
      <c r="O15" s="88">
        <f>IF(O7=0,0,O7/TrAvia_act!O27)</f>
        <v>204.20892018779344</v>
      </c>
      <c r="P15" s="88">
        <f>IF(P7=0,0,P7/TrAvia_act!P27)</f>
        <v>196.97105237680319</v>
      </c>
      <c r="Q15" s="88">
        <f>IF(Q7=0,0,Q7/TrAvia_act!Q27)</f>
        <v>196.47250470809792</v>
      </c>
      <c r="R15" s="88">
        <f>IF(R7=0,0,R7/TrAvia_act!R27)</f>
        <v>198.48331393092744</v>
      </c>
      <c r="S15" s="88">
        <f>IF(S7=0,0,S7/TrAvia_act!S27)</f>
        <v>203.6204438830747</v>
      </c>
      <c r="T15" s="88">
        <f>IF(T7=0,0,T7/TrAvia_act!T27)</f>
        <v>208.51983584131327</v>
      </c>
      <c r="U15" s="88">
        <f>IF(U7=0,0,U7/TrAvia_act!U27)</f>
        <v>212.41261471031365</v>
      </c>
      <c r="V15" s="88">
        <f>IF(V7=0,0,V7/TrAvia_act!V27)</f>
        <v>289.59664694280082</v>
      </c>
      <c r="W15" s="88">
        <f>IF(W7=0,0,W7/TrAvia_act!W27)</f>
        <v>286.85681293302542</v>
      </c>
      <c r="X15" s="88">
        <f>IF(X7=0,0,X7/TrAvia_act!X27)</f>
        <v>263.64968706536854</v>
      </c>
      <c r="Y15" s="88">
        <f>IF(Y7=0,0,Y7/TrAvia_act!Y27)</f>
        <v>242.88950524737632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0.53506107750106235</v>
      </c>
      <c r="C18" s="25">
        <f>IF(TrAvia_act!C34=0,0,(TrAvia_act!C34/TrAvia_act!C24)/TrAvia_png!C12)</f>
        <v>0.55214694265029252</v>
      </c>
      <c r="D18" s="25">
        <f>IF(TrAvia_act!D34=0,0,(TrAvia_act!D34/TrAvia_act!D24)/TrAvia_png!D12)</f>
        <v>0.56165608737882711</v>
      </c>
      <c r="E18" s="25">
        <f>IF(TrAvia_act!E34=0,0,(TrAvia_act!E34/TrAvia_act!E24)/TrAvia_png!E12)</f>
        <v>0.5493017741901518</v>
      </c>
      <c r="F18" s="25">
        <f>IF(TrAvia_act!F34=0,0,(TrAvia_act!F34/TrAvia_act!F24)/TrAvia_png!F12)</f>
        <v>0.5807855749466263</v>
      </c>
      <c r="G18" s="25">
        <f>IF(TrAvia_act!G34=0,0,(TrAvia_act!G34/TrAvia_act!G24)/TrAvia_png!G12)</f>
        <v>0.60647022851625365</v>
      </c>
      <c r="H18" s="25">
        <f>IF(TrAvia_act!H34=0,0,(TrAvia_act!H34/TrAvia_act!H24)/TrAvia_png!H12)</f>
        <v>0.6538372829452036</v>
      </c>
      <c r="I18" s="25">
        <f>IF(TrAvia_act!I34=0,0,(TrAvia_act!I34/TrAvia_act!I24)/TrAvia_png!I12)</f>
        <v>0.67854162250410788</v>
      </c>
      <c r="J18" s="25">
        <f>IF(TrAvia_act!J34=0,0,(TrAvia_act!J34/TrAvia_act!J24)/TrAvia_png!J12)</f>
        <v>0.64952133090216624</v>
      </c>
      <c r="K18" s="25">
        <f>IF(TrAvia_act!K34=0,0,(TrAvia_act!K34/TrAvia_act!K24)/TrAvia_png!K12)</f>
        <v>0.6408839774659022</v>
      </c>
      <c r="L18" s="25">
        <f>IF(TrAvia_act!L34=0,0,(TrAvia_act!L34/TrAvia_act!L24)/TrAvia_png!L12)</f>
        <v>0.64761056401442929</v>
      </c>
      <c r="M18" s="25">
        <f>IF(TrAvia_act!M34=0,0,(TrAvia_act!M34/TrAvia_act!M24)/TrAvia_png!M12)</f>
        <v>0.65644174621479545</v>
      </c>
      <c r="N18" s="25">
        <f>IF(TrAvia_act!N34=0,0,(TrAvia_act!N34/TrAvia_act!N24)/TrAvia_png!N12)</f>
        <v>0.72104330956820684</v>
      </c>
      <c r="O18" s="25">
        <f>IF(TrAvia_act!O34=0,0,(TrAvia_act!O34/TrAvia_act!O24)/TrAvia_png!O12)</f>
        <v>0.71718971919058561</v>
      </c>
      <c r="P18" s="25">
        <f>IF(TrAvia_act!P34=0,0,(TrAvia_act!P34/TrAvia_act!P24)/TrAvia_png!P12)</f>
        <v>0.72160813285364722</v>
      </c>
      <c r="Q18" s="25">
        <f>IF(TrAvia_act!Q34=0,0,(TrAvia_act!Q34/TrAvia_act!Q24)/TrAvia_png!Q12)</f>
        <v>0.72999231864634972</v>
      </c>
      <c r="R18" s="25">
        <f>IF(TrAvia_act!R34=0,0,(TrAvia_act!R34/TrAvia_act!R24)/TrAvia_png!R12)</f>
        <v>0.74486488505387716</v>
      </c>
      <c r="S18" s="25">
        <f>IF(TrAvia_act!S34=0,0,(TrAvia_act!S34/TrAvia_act!S24)/TrAvia_png!S12)</f>
        <v>0.75624687882260955</v>
      </c>
      <c r="T18" s="25">
        <f>IF(TrAvia_act!T34=0,0,(TrAvia_act!T34/TrAvia_act!T24)/TrAvia_png!T12)</f>
        <v>0.74678994138511756</v>
      </c>
      <c r="U18" s="25">
        <f>IF(TrAvia_act!U34=0,0,(TrAvia_act!U34/TrAvia_act!U24)/TrAvia_png!U12)</f>
        <v>0.75486541174144994</v>
      </c>
      <c r="V18" s="25">
        <f>IF(TrAvia_act!V34=0,0,(TrAvia_act!V34/TrAvia_act!V24)/TrAvia_png!V12)</f>
        <v>0.54297736559617571</v>
      </c>
      <c r="W18" s="25">
        <f>IF(TrAvia_act!W34=0,0,(TrAvia_act!W34/TrAvia_act!W24)/TrAvia_png!W12)</f>
        <v>0.51508322531026729</v>
      </c>
      <c r="X18" s="25">
        <f>IF(TrAvia_act!X34=0,0,(TrAvia_act!X34/TrAvia_act!X24)/TrAvia_png!X12)</f>
        <v>0.70588670145032073</v>
      </c>
      <c r="Y18" s="25">
        <f>IF(TrAvia_act!Y34=0,0,(TrAvia_act!Y34/TrAvia_act!Y24)/TrAvia_png!Y12)</f>
        <v>0.76470425939494679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0.4730764971777493</v>
      </c>
      <c r="C19" s="89">
        <f>IF(TrAvia_act!C35=0,0,(TrAvia_act!C35/TrAvia_act!C25)/TrAvia_png!C13)</f>
        <v>0.47915285229470322</v>
      </c>
      <c r="D19" s="89">
        <f>IF(TrAvia_act!D35=0,0,(TrAvia_act!D35/TrAvia_act!D25)/TrAvia_png!D13)</f>
        <v>0.48700893265449224</v>
      </c>
      <c r="E19" s="89">
        <f>IF(TrAvia_act!E35=0,0,(TrAvia_act!E35/TrAvia_act!E25)/TrAvia_png!E13)</f>
        <v>0.49147960873768409</v>
      </c>
      <c r="F19" s="89">
        <f>IF(TrAvia_act!F35=0,0,(TrAvia_act!F35/TrAvia_act!F25)/TrAvia_png!F13)</f>
        <v>0.53114114980694083</v>
      </c>
      <c r="G19" s="89">
        <f>IF(TrAvia_act!G35=0,0,(TrAvia_act!G35/TrAvia_act!G25)/TrAvia_png!G13)</f>
        <v>0.53080401325152149</v>
      </c>
      <c r="H19" s="89">
        <f>IF(TrAvia_act!H35=0,0,(TrAvia_act!H35/TrAvia_act!H25)/TrAvia_png!H13)</f>
        <v>0.56803703426291874</v>
      </c>
      <c r="I19" s="89">
        <f>IF(TrAvia_act!I35=0,0,(TrAvia_act!I35/TrAvia_act!I25)/TrAvia_png!I13)</f>
        <v>0.6049339153542751</v>
      </c>
      <c r="J19" s="89">
        <f>IF(TrAvia_act!J35=0,0,(TrAvia_act!J35/TrAvia_act!J25)/TrAvia_png!J13)</f>
        <v>0.55516242439802788</v>
      </c>
      <c r="K19" s="89">
        <f>IF(TrAvia_act!K35=0,0,(TrAvia_act!K35/TrAvia_act!K25)/TrAvia_png!K13)</f>
        <v>0.51659312989048389</v>
      </c>
      <c r="L19" s="89">
        <f>IF(TrAvia_act!L35=0,0,(TrAvia_act!L35/TrAvia_act!L25)/TrAvia_png!L13)</f>
        <v>0.50271275337972454</v>
      </c>
      <c r="M19" s="89">
        <f>IF(TrAvia_act!M35=0,0,(TrAvia_act!M35/TrAvia_act!M25)/TrAvia_png!M13)</f>
        <v>0.5386025989968255</v>
      </c>
      <c r="N19" s="89">
        <f>IF(TrAvia_act!N35=0,0,(TrAvia_act!N35/TrAvia_act!N25)/TrAvia_png!N13)</f>
        <v>0.62694889177714863</v>
      </c>
      <c r="O19" s="89">
        <f>IF(TrAvia_act!O35=0,0,(TrAvia_act!O35/TrAvia_act!O25)/TrAvia_png!O13)</f>
        <v>0.60664270732395398</v>
      </c>
      <c r="P19" s="89">
        <f>IF(TrAvia_act!P35=0,0,(TrAvia_act!P35/TrAvia_act!P25)/TrAvia_png!P13)</f>
        <v>0.62213665185329292</v>
      </c>
      <c r="Q19" s="89">
        <f>IF(TrAvia_act!Q35=0,0,(TrAvia_act!Q35/TrAvia_act!Q25)/TrAvia_png!Q13)</f>
        <v>0.63589544836626155</v>
      </c>
      <c r="R19" s="89">
        <f>IF(TrAvia_act!R35=0,0,(TrAvia_act!R35/TrAvia_act!R25)/TrAvia_png!R13)</f>
        <v>0.64649858961865181</v>
      </c>
      <c r="S19" s="89">
        <f>IF(TrAvia_act!S35=0,0,(TrAvia_act!S35/TrAvia_act!S25)/TrAvia_png!S13)</f>
        <v>0.65496315270205796</v>
      </c>
      <c r="T19" s="89">
        <f>IF(TrAvia_act!T35=0,0,(TrAvia_act!T35/TrAvia_act!T25)/TrAvia_png!T13)</f>
        <v>0.65836231037236437</v>
      </c>
      <c r="U19" s="89">
        <f>IF(TrAvia_act!U35=0,0,(TrAvia_act!U35/TrAvia_act!U25)/TrAvia_png!U13)</f>
        <v>0.66257988103225351</v>
      </c>
      <c r="V19" s="89">
        <f>IF(TrAvia_act!V35=0,0,(TrAvia_act!V35/TrAvia_act!V25)/TrAvia_png!V13)</f>
        <v>0.59246186412203483</v>
      </c>
      <c r="W19" s="89">
        <f>IF(TrAvia_act!W35=0,0,(TrAvia_act!W35/TrAvia_act!W25)/TrAvia_png!W13)</f>
        <v>0.58662212704621608</v>
      </c>
      <c r="X19" s="89">
        <f>IF(TrAvia_act!X35=0,0,(TrAvia_act!X35/TrAvia_act!X25)/TrAvia_png!X13)</f>
        <v>0.65283208689954475</v>
      </c>
      <c r="Y19" s="89">
        <f>IF(TrAvia_act!Y35=0,0,(TrAvia_act!Y35/TrAvia_act!Y25)/TrAvia_png!Y13)</f>
        <v>0.70460500641132862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0.60276768062095054</v>
      </c>
      <c r="C20" s="89">
        <f>IF(TrAvia_act!C36=0,0,(TrAvia_act!C36/TrAvia_act!C26)/TrAvia_png!C14)</f>
        <v>0.63143942923229179</v>
      </c>
      <c r="D20" s="89">
        <f>IF(TrAvia_act!D36=0,0,(TrAvia_act!D36/TrAvia_act!D26)/TrAvia_png!D14)</f>
        <v>0.654367533846827</v>
      </c>
      <c r="E20" s="89">
        <f>IF(TrAvia_act!E36=0,0,(TrAvia_act!E36/TrAvia_act!E26)/TrAvia_png!E14)</f>
        <v>0.60942550309442023</v>
      </c>
      <c r="F20" s="89">
        <f>IF(TrAvia_act!F36=0,0,(TrAvia_act!F36/TrAvia_act!F26)/TrAvia_png!F14)</f>
        <v>0.6277065458592711</v>
      </c>
      <c r="G20" s="89">
        <f>IF(TrAvia_act!G36=0,0,(TrAvia_act!G36/TrAvia_act!G26)/TrAvia_png!G14)</f>
        <v>0.66158260729164053</v>
      </c>
      <c r="H20" s="89">
        <f>IF(TrAvia_act!H36=0,0,(TrAvia_act!H36/TrAvia_act!H26)/TrAvia_png!H14)</f>
        <v>0.71754013880751155</v>
      </c>
      <c r="I20" s="89">
        <f>IF(TrAvia_act!I36=0,0,(TrAvia_act!I36/TrAvia_act!I26)/TrAvia_png!I14)</f>
        <v>0.71816634632076004</v>
      </c>
      <c r="J20" s="89">
        <f>IF(TrAvia_act!J36=0,0,(TrAvia_act!J36/TrAvia_act!J26)/TrAvia_png!J14)</f>
        <v>0.69115184057903201</v>
      </c>
      <c r="K20" s="89">
        <f>IF(TrAvia_act!K36=0,0,(TrAvia_act!K36/TrAvia_act!K26)/TrAvia_png!K14)</f>
        <v>0.70052851373301472</v>
      </c>
      <c r="L20" s="89">
        <f>IF(TrAvia_act!L36=0,0,(TrAvia_act!L36/TrAvia_act!L26)/TrAvia_png!L14)</f>
        <v>0.7181675322865998</v>
      </c>
      <c r="M20" s="89">
        <f>IF(TrAvia_act!M36=0,0,(TrAvia_act!M36/TrAvia_act!M26)/TrAvia_png!M14)</f>
        <v>0.7141903452925914</v>
      </c>
      <c r="N20" s="89">
        <f>IF(TrAvia_act!N36=0,0,(TrAvia_act!N36/TrAvia_act!N26)/TrAvia_png!N14)</f>
        <v>0.76133041578695293</v>
      </c>
      <c r="O20" s="89">
        <f>IF(TrAvia_act!O36=0,0,(TrAvia_act!O36/TrAvia_act!O26)/TrAvia_png!O14)</f>
        <v>0.75269311157491026</v>
      </c>
      <c r="P20" s="89">
        <f>IF(TrAvia_act!P36=0,0,(TrAvia_act!P36/TrAvia_act!P26)/TrAvia_png!P14)</f>
        <v>0.75732147488973611</v>
      </c>
      <c r="Q20" s="89">
        <f>IF(TrAvia_act!Q36=0,0,(TrAvia_act!Q36/TrAvia_act!Q26)/TrAvia_png!Q14)</f>
        <v>0.76700457065479322</v>
      </c>
      <c r="R20" s="89">
        <f>IF(TrAvia_act!R36=0,0,(TrAvia_act!R36/TrAvia_act!R26)/TrAvia_png!R14)</f>
        <v>0.78269476269318661</v>
      </c>
      <c r="S20" s="89">
        <f>IF(TrAvia_act!S36=0,0,(TrAvia_act!S36/TrAvia_act!S26)/TrAvia_png!S14)</f>
        <v>0.7826160077199299</v>
      </c>
      <c r="T20" s="89">
        <f>IF(TrAvia_act!T36=0,0,(TrAvia_act!T36/TrAvia_act!T26)/TrAvia_png!T14)</f>
        <v>0.76595555161992257</v>
      </c>
      <c r="U20" s="89">
        <f>IF(TrAvia_act!U36=0,0,(TrAvia_act!U36/TrAvia_act!U26)/TrAvia_png!U14)</f>
        <v>0.77940210687199585</v>
      </c>
      <c r="V20" s="89">
        <f>IF(TrAvia_act!V36=0,0,(TrAvia_act!V36/TrAvia_act!V26)/TrAvia_png!V14)</f>
        <v>0.54961935753224622</v>
      </c>
      <c r="W20" s="89">
        <f>IF(TrAvia_act!W36=0,0,(TrAvia_act!W36/TrAvia_act!W26)/TrAvia_png!W14)</f>
        <v>0.57447340395717728</v>
      </c>
      <c r="X20" s="89">
        <f>IF(TrAvia_act!X36=0,0,(TrAvia_act!X36/TrAvia_act!X26)/TrAvia_png!X14)</f>
        <v>0.74190710294140938</v>
      </c>
      <c r="Y20" s="89">
        <f>IF(TrAvia_act!Y36=0,0,(TrAvia_act!Y36/TrAvia_act!Y26)/TrAvia_png!Y14)</f>
        <v>0.77554606644063218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0.60461071373436925</v>
      </c>
      <c r="C21" s="90">
        <f>IF(TrAvia_act!C37=0,0,(TrAvia_act!C37/TrAvia_act!C27)/TrAvia_png!C15)</f>
        <v>0.63824943291781988</v>
      </c>
      <c r="D21" s="90">
        <f>IF(TrAvia_act!D37=0,0,(TrAvia_act!D37/TrAvia_act!D27)/TrAvia_png!D15)</f>
        <v>0.59161236800224448</v>
      </c>
      <c r="E21" s="90">
        <f>IF(TrAvia_act!E37=0,0,(TrAvia_act!E37/TrAvia_act!E27)/TrAvia_png!E15)</f>
        <v>0.53618612128007348</v>
      </c>
      <c r="F21" s="90">
        <f>IF(TrAvia_act!F37=0,0,(TrAvia_act!F37/TrAvia_act!F27)/TrAvia_png!F15)</f>
        <v>0.57073828010845962</v>
      </c>
      <c r="G21" s="90">
        <f>IF(TrAvia_act!G37=0,0,(TrAvia_act!G37/TrAvia_act!G27)/TrAvia_png!G15)</f>
        <v>0.67407264678563672</v>
      </c>
      <c r="H21" s="90">
        <f>IF(TrAvia_act!H37=0,0,(TrAvia_act!H37/TrAvia_act!H27)/TrAvia_png!H15)</f>
        <v>0.69312166942413789</v>
      </c>
      <c r="I21" s="90">
        <f>IF(TrAvia_act!I37=0,0,(TrAvia_act!I37/TrAvia_act!I27)/TrAvia_png!I15)</f>
        <v>0.74266415801829555</v>
      </c>
      <c r="J21" s="90">
        <f>IF(TrAvia_act!J37=0,0,(TrAvia_act!J37/TrAvia_act!J27)/TrAvia_png!J15)</f>
        <v>0.75571060164224491</v>
      </c>
      <c r="K21" s="90">
        <f>IF(TrAvia_act!K37=0,0,(TrAvia_act!K37/TrAvia_act!K27)/TrAvia_png!K15)</f>
        <v>0.7689682233790115</v>
      </c>
      <c r="L21" s="90">
        <f>IF(TrAvia_act!L37=0,0,(TrAvia_act!L37/TrAvia_act!L27)/TrAvia_png!L15)</f>
        <v>0.76678457689652357</v>
      </c>
      <c r="M21" s="90">
        <f>IF(TrAvia_act!M37=0,0,(TrAvia_act!M37/TrAvia_act!M27)/TrAvia_png!M15)</f>
        <v>0.74622193818291205</v>
      </c>
      <c r="N21" s="90">
        <f>IF(TrAvia_act!N37=0,0,(TrAvia_act!N37/TrAvia_act!N27)/TrAvia_png!N15)</f>
        <v>0.78786303087769738</v>
      </c>
      <c r="O21" s="90">
        <f>IF(TrAvia_act!O37=0,0,(TrAvia_act!O37/TrAvia_act!O27)/TrAvia_png!O15)</f>
        <v>0.81655734055927165</v>
      </c>
      <c r="P21" s="90">
        <f>IF(TrAvia_act!P37=0,0,(TrAvia_act!P37/TrAvia_act!P27)/TrAvia_png!P15)</f>
        <v>0.78988692139744432</v>
      </c>
      <c r="Q21" s="90">
        <f>IF(TrAvia_act!Q37=0,0,(TrAvia_act!Q37/TrAvia_act!Q27)/TrAvia_png!Q15)</f>
        <v>0.77997668865843817</v>
      </c>
      <c r="R21" s="90">
        <f>IF(TrAvia_act!R37=0,0,(TrAvia_act!R37/TrAvia_act!R27)/TrAvia_png!R15)</f>
        <v>0.80147617311333619</v>
      </c>
      <c r="S21" s="90">
        <f>IF(TrAvia_act!S37=0,0,(TrAvia_act!S37/TrAvia_act!S27)/TrAvia_png!S15)</f>
        <v>0.84928236555071079</v>
      </c>
      <c r="T21" s="90">
        <f>IF(TrAvia_act!T37=0,0,(TrAvia_act!T37/TrAvia_act!T27)/TrAvia_png!T15)</f>
        <v>0.83091944320524369</v>
      </c>
      <c r="U21" s="90">
        <f>IF(TrAvia_act!U37=0,0,(TrAvia_act!U37/TrAvia_act!U27)/TrAvia_png!U15)</f>
        <v>0.81491522735164423</v>
      </c>
      <c r="V21" s="90">
        <f>IF(TrAvia_act!V37=0,0,(TrAvia_act!V37/TrAvia_act!V27)/TrAvia_png!V15)</f>
        <v>0.45076298054493252</v>
      </c>
      <c r="W21" s="90">
        <f>IF(TrAvia_act!W37=0,0,(TrAvia_act!W37/TrAvia_act!W27)/TrAvia_png!W15)</f>
        <v>0.2736319876623719</v>
      </c>
      <c r="X21" s="90">
        <f>IF(TrAvia_act!X37=0,0,(TrAvia_act!X37/TrAvia_act!X27)/TrAvia_png!X15)</f>
        <v>0.63665791193349486</v>
      </c>
      <c r="Y21" s="90">
        <f>IF(TrAvia_act!Y37=0,0,(TrAvia_act!Y37/TrAvia_act!Y27)/TrAvia_png!Y15)</f>
        <v>0.81077766248804839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4.0713855513161638E-2</v>
      </c>
      <c r="C24" s="23">
        <f>IF(TrAvia_ene!C6=0,0,TrAvia_ene!C6/(C12*TrAvia_act!C14))</f>
        <v>4.2251297283559891E-2</v>
      </c>
      <c r="D24" s="23">
        <f>IF(TrAvia_ene!D6=0,0,TrAvia_ene!D6/(D12*TrAvia_act!D14))</f>
        <v>4.116810441326102E-2</v>
      </c>
      <c r="E24" s="23">
        <f>IF(TrAvia_ene!E6=0,0,TrAvia_ene!E6/(E12*TrAvia_act!E14))</f>
        <v>4.2408115324161354E-2</v>
      </c>
      <c r="F24" s="23">
        <f>IF(TrAvia_ene!F6=0,0,TrAvia_ene!F6/(F12*TrAvia_act!F14))</f>
        <v>4.4167924681027204E-2</v>
      </c>
      <c r="G24" s="23">
        <f>IF(TrAvia_ene!G6=0,0,TrAvia_ene!G6/(G12*TrAvia_act!G14))</f>
        <v>4.354839463574349E-2</v>
      </c>
      <c r="H24" s="23">
        <f>IF(TrAvia_ene!H6=0,0,TrAvia_ene!H6/(H12*TrAvia_act!H14))</f>
        <v>4.5490911368778621E-2</v>
      </c>
      <c r="I24" s="23">
        <f>IF(TrAvia_ene!I6=0,0,TrAvia_ene!I6/(I12*TrAvia_act!I14))</f>
        <v>4.4415986141821115E-2</v>
      </c>
      <c r="J24" s="23">
        <f>IF(TrAvia_ene!J6=0,0,TrAvia_ene!J6/(J12*TrAvia_act!J14))</f>
        <v>4.374142463157725E-2</v>
      </c>
      <c r="K24" s="23">
        <f>IF(TrAvia_ene!K6=0,0,TrAvia_ene!K6/(K12*TrAvia_act!K14))</f>
        <v>4.1301873470428581E-2</v>
      </c>
      <c r="L24" s="23">
        <f>IF(TrAvia_ene!L6=0,0,TrAvia_ene!L6/(L12*TrAvia_act!L14))</f>
        <v>4.1356555458840906E-2</v>
      </c>
      <c r="M24" s="23">
        <f>IF(TrAvia_ene!M6=0,0,TrAvia_ene!M6/(M12*TrAvia_act!M14))</f>
        <v>4.1340403667086377E-2</v>
      </c>
      <c r="N24" s="23">
        <f>IF(TrAvia_ene!N6=0,0,TrAvia_ene!N6/(N12*TrAvia_act!N14))</f>
        <v>4.1384661713738009E-2</v>
      </c>
      <c r="O24" s="23">
        <f>IF(TrAvia_ene!O6=0,0,TrAvia_ene!O6/(O12*TrAvia_act!O14))</f>
        <v>3.9770319479914142E-2</v>
      </c>
      <c r="P24" s="23">
        <f>IF(TrAvia_ene!P6=0,0,TrAvia_ene!P6/(P12*TrAvia_act!P14))</f>
        <v>3.7092161029182329E-2</v>
      </c>
      <c r="Q24" s="23">
        <f>IF(TrAvia_ene!Q6=0,0,TrAvia_ene!Q6/(Q12*TrAvia_act!Q14))</f>
        <v>3.7117345077859833E-2</v>
      </c>
      <c r="R24" s="23">
        <f>IF(TrAvia_ene!R6=0,0,TrAvia_ene!R6/(R12*TrAvia_act!R14))</f>
        <v>3.614830944538866E-2</v>
      </c>
      <c r="S24" s="23">
        <f>IF(TrAvia_ene!S6=0,0,TrAvia_ene!S6/(S12*TrAvia_act!S14))</f>
        <v>3.4735733590025304E-2</v>
      </c>
      <c r="T24" s="23">
        <f>IF(TrAvia_ene!T6=0,0,TrAvia_ene!T6/(T12*TrAvia_act!T14))</f>
        <v>3.3935620935009243E-2</v>
      </c>
      <c r="U24" s="23">
        <f>IF(TrAvia_ene!U6=0,0,TrAvia_ene!U6/(U12*TrAvia_act!U14))</f>
        <v>3.4039047106361679E-2</v>
      </c>
      <c r="V24" s="23">
        <f>IF(TrAvia_ene!V6=0,0,TrAvia_ene!V6/(V12*TrAvia_act!V14))</f>
        <v>3.6694979245233572E-2</v>
      </c>
      <c r="W24" s="23">
        <f>IF(TrAvia_ene!W6=0,0,TrAvia_ene!W6/(W12*TrAvia_act!W14))</f>
        <v>3.8854338070326053E-2</v>
      </c>
      <c r="X24" s="23">
        <f>IF(TrAvia_ene!X6=0,0,TrAvia_ene!X6/(X12*TrAvia_act!X14))</f>
        <v>3.2453676282440412E-2</v>
      </c>
      <c r="Y24" s="23">
        <f>IF(TrAvia_ene!Y6=0,0,TrAvia_ene!Y6/(Y12*TrAvia_act!Y14))</f>
        <v>3.2376387961130654E-2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4.3081148669443965E-2</v>
      </c>
      <c r="C25" s="91">
        <f>IF(TrAvia_ene!C7=0,0,TrAvia_ene!C7/(C13*TrAvia_act!C15))</f>
        <v>4.3764885850373685E-2</v>
      </c>
      <c r="D25" s="91">
        <f>IF(TrAvia_ene!D7=0,0,TrAvia_ene!D7/(D13*TrAvia_act!D15))</f>
        <v>3.8690201807814448E-2</v>
      </c>
      <c r="E25" s="91">
        <f>IF(TrAvia_ene!E7=0,0,TrAvia_ene!E7/(E13*TrAvia_act!E15))</f>
        <v>4.5227461351005201E-2</v>
      </c>
      <c r="F25" s="91">
        <f>IF(TrAvia_ene!F7=0,0,TrAvia_ene!F7/(F13*TrAvia_act!F15))</f>
        <v>4.7100484922594062E-2</v>
      </c>
      <c r="G25" s="91">
        <f>IF(TrAvia_ene!G7=0,0,TrAvia_ene!G7/(G13*TrAvia_act!G15))</f>
        <v>4.5183942467073371E-2</v>
      </c>
      <c r="H25" s="91">
        <f>IF(TrAvia_ene!H7=0,0,TrAvia_ene!H7/(H13*TrAvia_act!H15))</f>
        <v>4.7046396326301455E-2</v>
      </c>
      <c r="I25" s="91">
        <f>IF(TrAvia_ene!I7=0,0,TrAvia_ene!I7/(I13*TrAvia_act!I15))</f>
        <v>4.4671794651157948E-2</v>
      </c>
      <c r="J25" s="91">
        <f>IF(TrAvia_ene!J7=0,0,TrAvia_ene!J7/(J13*TrAvia_act!J15))</f>
        <v>4.2787076102285736E-2</v>
      </c>
      <c r="K25" s="91">
        <f>IF(TrAvia_ene!K7=0,0,TrAvia_ene!K7/(K13*TrAvia_act!K15))</f>
        <v>3.9643120775752431E-2</v>
      </c>
      <c r="L25" s="91">
        <f>IF(TrAvia_ene!L7=0,0,TrAvia_ene!L7/(L13*TrAvia_act!L15))</f>
        <v>3.8741271248153387E-2</v>
      </c>
      <c r="M25" s="91">
        <f>IF(TrAvia_ene!M7=0,0,TrAvia_ene!M7/(M13*TrAvia_act!M15))</f>
        <v>3.8313223917032367E-2</v>
      </c>
      <c r="N25" s="91">
        <f>IF(TrAvia_ene!N7=0,0,TrAvia_ene!N7/(N13*TrAvia_act!N15))</f>
        <v>3.6999680393207113E-2</v>
      </c>
      <c r="O25" s="91">
        <f>IF(TrAvia_ene!O7=0,0,TrAvia_ene!O7/(O13*TrAvia_act!O15))</f>
        <v>3.5336921050125293E-2</v>
      </c>
      <c r="P25" s="91">
        <f>IF(TrAvia_ene!P7=0,0,TrAvia_ene!P7/(P13*TrAvia_act!P15))</f>
        <v>3.4293421785790069E-2</v>
      </c>
      <c r="Q25" s="91">
        <f>IF(TrAvia_ene!Q7=0,0,TrAvia_ene!Q7/(Q13*TrAvia_act!Q15))</f>
        <v>3.360092006137734E-2</v>
      </c>
      <c r="R25" s="91">
        <f>IF(TrAvia_ene!R7=0,0,TrAvia_ene!R7/(R13*TrAvia_act!R15))</f>
        <v>3.3465589601713766E-2</v>
      </c>
      <c r="S25" s="91">
        <f>IF(TrAvia_ene!S7=0,0,TrAvia_ene!S7/(S13*TrAvia_act!S15))</f>
        <v>3.3014066175293483E-2</v>
      </c>
      <c r="T25" s="91">
        <f>IF(TrAvia_ene!T7=0,0,TrAvia_ene!T7/(T13*TrAvia_act!T15))</f>
        <v>3.2167803288946487E-2</v>
      </c>
      <c r="U25" s="91">
        <f>IF(TrAvia_ene!U7=0,0,TrAvia_ene!U7/(U13*TrAvia_act!U15))</f>
        <v>3.0801477816101687E-2</v>
      </c>
      <c r="V25" s="91">
        <f>IF(TrAvia_ene!V7=0,0,TrAvia_ene!V7/(V13*TrAvia_act!V15))</f>
        <v>3.0825803691615652E-2</v>
      </c>
      <c r="W25" s="91">
        <f>IF(TrAvia_ene!W7=0,0,TrAvia_ene!W7/(W13*TrAvia_act!W15))</f>
        <v>3.0690579203638272E-2</v>
      </c>
      <c r="X25" s="91">
        <f>IF(TrAvia_ene!X7=0,0,TrAvia_ene!X7/(X13*TrAvia_act!X15))</f>
        <v>3.0913088515105817E-2</v>
      </c>
      <c r="Y25" s="91">
        <f>IF(TrAvia_ene!Y7=0,0,TrAvia_ene!Y7/(Y13*TrAvia_act!Y15))</f>
        <v>3.425017845564117E-2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3.3162372812857208E-2</v>
      </c>
      <c r="C26" s="93">
        <f>IF(TrAvia_ene!C8=0,0,TrAvia_ene!C8/(C14*TrAvia_act!C16))</f>
        <v>3.5467170532525578E-2</v>
      </c>
      <c r="D26" s="93">
        <f>IF(TrAvia_ene!D8=0,0,TrAvia_ene!D8/(D14*TrAvia_act!D16))</f>
        <v>3.5596559425145655E-2</v>
      </c>
      <c r="E26" s="93">
        <f>IF(TrAvia_ene!E8=0,0,TrAvia_ene!E8/(E14*TrAvia_act!E16))</f>
        <v>3.3465828651402928E-2</v>
      </c>
      <c r="F26" s="93">
        <f>IF(TrAvia_ene!F8=0,0,TrAvia_ene!F8/(F14*TrAvia_act!F16))</f>
        <v>3.4825963361897715E-2</v>
      </c>
      <c r="G26" s="93">
        <f>IF(TrAvia_ene!G8=0,0,TrAvia_ene!G8/(G14*TrAvia_act!G16))</f>
        <v>3.4333497833691877E-2</v>
      </c>
      <c r="H26" s="93">
        <f>IF(TrAvia_ene!H8=0,0,TrAvia_ene!H8/(H14*TrAvia_act!H16))</f>
        <v>3.6819200217677782E-2</v>
      </c>
      <c r="I26" s="93">
        <f>IF(TrAvia_ene!I8=0,0,TrAvia_ene!I8/(I14*TrAvia_act!I16))</f>
        <v>3.8641104920775111E-2</v>
      </c>
      <c r="J26" s="93">
        <f>IF(TrAvia_ene!J8=0,0,TrAvia_ene!J8/(J14*TrAvia_act!J16))</f>
        <v>4.0011213440121915E-2</v>
      </c>
      <c r="K26" s="93">
        <f>IF(TrAvia_ene!K8=0,0,TrAvia_ene!K8/(K14*TrAvia_act!K16))</f>
        <v>3.6937674279208701E-2</v>
      </c>
      <c r="L26" s="93">
        <f>IF(TrAvia_ene!L8=0,0,TrAvia_ene!L8/(L14*TrAvia_act!L16))</f>
        <v>3.9030409633954391E-2</v>
      </c>
      <c r="M26" s="93">
        <f>IF(TrAvia_ene!M8=0,0,TrAvia_ene!M8/(M14*TrAvia_act!M16))</f>
        <v>4.0555722486178648E-2</v>
      </c>
      <c r="N26" s="93">
        <f>IF(TrAvia_ene!N8=0,0,TrAvia_ene!N8/(N14*TrAvia_act!N16))</f>
        <v>4.2599397557871135E-2</v>
      </c>
      <c r="O26" s="93">
        <f>IF(TrAvia_ene!O8=0,0,TrAvia_ene!O8/(O14*TrAvia_act!O16))</f>
        <v>4.0614492230161024E-2</v>
      </c>
      <c r="P26" s="93">
        <f>IF(TrAvia_ene!P8=0,0,TrAvia_ene!P8/(P14*TrAvia_act!P16))</f>
        <v>3.8349186394813217E-2</v>
      </c>
      <c r="Q26" s="93">
        <f>IF(TrAvia_ene!Q8=0,0,TrAvia_ene!Q8/(Q14*TrAvia_act!Q16))</f>
        <v>3.917304575599391E-2</v>
      </c>
      <c r="R26" s="93">
        <f>IF(TrAvia_ene!R8=0,0,TrAvia_ene!R8/(R14*TrAvia_act!R16))</f>
        <v>3.8859899660926248E-2</v>
      </c>
      <c r="S26" s="93">
        <f>IF(TrAvia_ene!S8=0,0,TrAvia_ene!S8/(S14*TrAvia_act!S16))</f>
        <v>3.7624965446490091E-2</v>
      </c>
      <c r="T26" s="93">
        <f>IF(TrAvia_ene!T8=0,0,TrAvia_ene!T8/(T14*TrAvia_act!T16))</f>
        <v>3.7646683830377246E-2</v>
      </c>
      <c r="U26" s="93">
        <f>IF(TrAvia_ene!U8=0,0,TrAvia_ene!U8/(U14*TrAvia_act!U16))</f>
        <v>3.9404233020124711E-2</v>
      </c>
      <c r="V26" s="93">
        <f>IF(TrAvia_ene!V8=0,0,TrAvia_ene!V8/(V14*TrAvia_act!V16))</f>
        <v>4.1031925432163538E-2</v>
      </c>
      <c r="W26" s="93">
        <f>IF(TrAvia_ene!W8=0,0,TrAvia_ene!W8/(W14*TrAvia_act!W16))</f>
        <v>4.4695541045136795E-2</v>
      </c>
      <c r="X26" s="93">
        <f>IF(TrAvia_ene!X8=0,0,TrAvia_ene!X8/(X14*TrAvia_act!X16))</f>
        <v>3.4268856615329579E-2</v>
      </c>
      <c r="Y26" s="93">
        <f>IF(TrAvia_ene!Y8=0,0,TrAvia_ene!Y8/(Y14*TrAvia_act!Y16))</f>
        <v>3.4982110791567322E-2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3.5939142058301225E-2</v>
      </c>
      <c r="C27" s="94">
        <f>IF(TrAvia_ene!C9=0,0,TrAvia_ene!C9/(C15*TrAvia_act!C17))</f>
        <v>3.9328903779548972E-2</v>
      </c>
      <c r="D27" s="94">
        <f>IF(TrAvia_ene!D9=0,0,TrAvia_ene!D9/(D15*TrAvia_act!D17))</f>
        <v>3.7610521288900592E-2</v>
      </c>
      <c r="E27" s="94">
        <f>IF(TrAvia_ene!E9=0,0,TrAvia_ene!E9/(E15*TrAvia_act!E17))</f>
        <v>3.4528269923459906E-2</v>
      </c>
      <c r="F27" s="94">
        <f>IF(TrAvia_ene!F9=0,0,TrAvia_ene!F9/(F15*TrAvia_act!F17))</f>
        <v>3.3609520144839415E-2</v>
      </c>
      <c r="G27" s="94">
        <f>IF(TrAvia_ene!G9=0,0,TrAvia_ene!G9/(G15*TrAvia_act!G17))</f>
        <v>3.4577817863058684E-2</v>
      </c>
      <c r="H27" s="94">
        <f>IF(TrAvia_ene!H9=0,0,TrAvia_ene!H9/(H15*TrAvia_act!H17))</f>
        <v>3.1956682864760735E-2</v>
      </c>
      <c r="I27" s="94">
        <f>IF(TrAvia_ene!I9=0,0,TrAvia_ene!I9/(I15*TrAvia_act!I17))</f>
        <v>2.8196016961491002E-2</v>
      </c>
      <c r="J27" s="94">
        <f>IF(TrAvia_ene!J9=0,0,TrAvia_ene!J9/(J15*TrAvia_act!J17))</f>
        <v>2.7251868087373794E-2</v>
      </c>
      <c r="K27" s="94">
        <f>IF(TrAvia_ene!K9=0,0,TrAvia_ene!K9/(K15*TrAvia_act!K17))</f>
        <v>2.6417265193363185E-2</v>
      </c>
      <c r="L27" s="94">
        <f>IF(TrAvia_ene!L9=0,0,TrAvia_ene!L9/(L15*TrAvia_act!L17))</f>
        <v>2.4996957964978115E-2</v>
      </c>
      <c r="M27" s="94">
        <f>IF(TrAvia_ene!M9=0,0,TrAvia_ene!M9/(M15*TrAvia_act!M17))</f>
        <v>2.3974007160406822E-2</v>
      </c>
      <c r="N27" s="94">
        <f>IF(TrAvia_ene!N9=0,0,TrAvia_ene!N9/(N15*TrAvia_act!N17))</f>
        <v>2.2900961259349345E-2</v>
      </c>
      <c r="O27" s="94">
        <f>IF(TrAvia_ene!O9=0,0,TrAvia_ene!O9/(O15*TrAvia_act!O17))</f>
        <v>2.3208471509467244E-2</v>
      </c>
      <c r="P27" s="94">
        <f>IF(TrAvia_ene!P9=0,0,TrAvia_ene!P9/(P15*TrAvia_act!P17))</f>
        <v>2.2499999312364995E-2</v>
      </c>
      <c r="Q27" s="94">
        <f>IF(TrAvia_ene!Q9=0,0,TrAvia_ene!Q9/(Q15*TrAvia_act!Q17))</f>
        <v>2.2384174448428353E-2</v>
      </c>
      <c r="R27" s="94">
        <f>IF(TrAvia_ene!R9=0,0,TrAvia_ene!R9/(R15*TrAvia_act!R17))</f>
        <v>2.1367223878838788E-2</v>
      </c>
      <c r="S27" s="94">
        <f>IF(TrAvia_ene!S9=0,0,TrAvia_ene!S9/(S15*TrAvia_act!S17))</f>
        <v>1.9939323244418362E-2</v>
      </c>
      <c r="T27" s="94">
        <f>IF(TrAvia_ene!T9=0,0,TrAvia_ene!T9/(T15*TrAvia_act!T17))</f>
        <v>1.9325872385516564E-2</v>
      </c>
      <c r="U27" s="94">
        <f>IF(TrAvia_ene!U9=0,0,TrAvia_ene!U9/(U15*TrAvia_act!U17))</f>
        <v>1.8574795117381575E-2</v>
      </c>
      <c r="V27" s="94">
        <f>IF(TrAvia_ene!V9=0,0,TrAvia_ene!V9/(V15*TrAvia_act!V17))</f>
        <v>1.7693571217095951E-2</v>
      </c>
      <c r="W27" s="94">
        <f>IF(TrAvia_ene!W9=0,0,TrAvia_ene!W9/(W15*TrAvia_act!W17))</f>
        <v>1.6909351497677333E-2</v>
      </c>
      <c r="X27" s="94">
        <f>IF(TrAvia_ene!X9=0,0,TrAvia_ene!X9/(X15*TrAvia_act!X17))</f>
        <v>1.6407864447290216E-2</v>
      </c>
      <c r="Y27" s="94">
        <f>IF(TrAvia_ene!Y9=0,0,TrAvia_ene!Y9/(Y15*TrAvia_act!Y17))</f>
        <v>1.6253447482242524E-2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977.06600000000003</v>
      </c>
      <c r="C3" s="54">
        <f t="shared" si="0"/>
        <v>887.59100000000001</v>
      </c>
      <c r="D3" s="54">
        <f t="shared" si="0"/>
        <v>947.62199999999996</v>
      </c>
      <c r="E3" s="54">
        <f t="shared" si="0"/>
        <v>867.39400000000001</v>
      </c>
      <c r="F3" s="54">
        <f t="shared" si="0"/>
        <v>845.00300000000004</v>
      </c>
      <c r="G3" s="54">
        <f t="shared" si="0"/>
        <v>753.52700000000004</v>
      </c>
      <c r="H3" s="54">
        <f t="shared" si="0"/>
        <v>847.45100000000002</v>
      </c>
      <c r="I3" s="54">
        <f t="shared" si="0"/>
        <v>949.70699999999999</v>
      </c>
      <c r="J3" s="54">
        <f t="shared" si="0"/>
        <v>928.26199999999994</v>
      </c>
      <c r="K3" s="54">
        <f t="shared" si="0"/>
        <v>799.39200000000005</v>
      </c>
      <c r="L3" s="54">
        <f t="shared" si="0"/>
        <v>1188.45</v>
      </c>
      <c r="M3" s="54">
        <f t="shared" si="0"/>
        <v>1264.1220000000001</v>
      </c>
      <c r="N3" s="54">
        <f t="shared" si="0"/>
        <v>949.20500000000004</v>
      </c>
      <c r="O3" s="54">
        <f t="shared" si="0"/>
        <v>729.10400000000004</v>
      </c>
      <c r="P3" s="54">
        <f t="shared" si="0"/>
        <v>809.24800000000005</v>
      </c>
      <c r="Q3" s="54">
        <f t="shared" si="0"/>
        <v>879.31</v>
      </c>
      <c r="R3" s="54">
        <f t="shared" ref="R3:V3" si="1">SUM(R4:R5)</f>
        <v>953.48500000000001</v>
      </c>
      <c r="S3" s="54">
        <f t="shared" si="1"/>
        <v>1014.2103333333333</v>
      </c>
      <c r="T3" s="54">
        <f t="shared" si="1"/>
        <v>1191.3357777777778</v>
      </c>
      <c r="U3" s="54">
        <f t="shared" si="1"/>
        <v>1882.558</v>
      </c>
      <c r="V3" s="54">
        <f t="shared" si="1"/>
        <v>1131.2469999999998</v>
      </c>
      <c r="W3" s="54">
        <f t="shared" ref="W3:Y3" si="2">SUM(W4:W5)</f>
        <v>790.274</v>
      </c>
      <c r="X3" s="54">
        <f t="shared" si="2"/>
        <v>1051.4299999999998</v>
      </c>
      <c r="Y3" s="54">
        <f t="shared" si="2"/>
        <v>856.88400000000001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859.06600000000003</v>
      </c>
      <c r="C4" s="56">
        <v>786.59100000000001</v>
      </c>
      <c r="D4" s="56">
        <v>835.62199999999996</v>
      </c>
      <c r="E4" s="56">
        <v>758.39400000000001</v>
      </c>
      <c r="F4" s="56">
        <v>727.00300000000004</v>
      </c>
      <c r="G4" s="56">
        <v>678.52700000000004</v>
      </c>
      <c r="H4" s="56">
        <v>781.45100000000002</v>
      </c>
      <c r="I4" s="56">
        <v>847.70699999999999</v>
      </c>
      <c r="J4" s="56">
        <v>848.26199999999994</v>
      </c>
      <c r="K4" s="56">
        <v>738.39200000000005</v>
      </c>
      <c r="L4" s="56">
        <v>1112.45</v>
      </c>
      <c r="M4" s="56">
        <v>1174.1220000000001</v>
      </c>
      <c r="N4" s="56">
        <v>825.20500000000004</v>
      </c>
      <c r="O4" s="56">
        <v>608.10400000000004</v>
      </c>
      <c r="P4" s="56">
        <v>673.24800000000005</v>
      </c>
      <c r="Q4" s="56">
        <v>751.31</v>
      </c>
      <c r="R4" s="56">
        <v>850.48500000000001</v>
      </c>
      <c r="S4" s="56">
        <v>891.87699999999995</v>
      </c>
      <c r="T4" s="56">
        <v>1073.558</v>
      </c>
      <c r="U4" s="56">
        <v>1760.558</v>
      </c>
      <c r="V4" s="56">
        <v>1004.247</v>
      </c>
      <c r="W4" s="56">
        <v>642.274</v>
      </c>
      <c r="X4" s="56">
        <v>857.43</v>
      </c>
      <c r="Y4" s="56">
        <v>635.88400000000001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118</v>
      </c>
      <c r="C5" s="58">
        <v>101</v>
      </c>
      <c r="D5" s="58">
        <v>112</v>
      </c>
      <c r="E5" s="58">
        <v>109</v>
      </c>
      <c r="F5" s="58">
        <v>118</v>
      </c>
      <c r="G5" s="58">
        <v>75</v>
      </c>
      <c r="H5" s="58">
        <v>66</v>
      </c>
      <c r="I5" s="58">
        <v>102</v>
      </c>
      <c r="J5" s="58">
        <v>80</v>
      </c>
      <c r="K5" s="58">
        <v>61</v>
      </c>
      <c r="L5" s="58">
        <v>76</v>
      </c>
      <c r="M5" s="58">
        <v>90</v>
      </c>
      <c r="N5" s="58">
        <v>124</v>
      </c>
      <c r="O5" s="58">
        <v>121</v>
      </c>
      <c r="P5" s="58">
        <v>136</v>
      </c>
      <c r="Q5" s="58">
        <v>128</v>
      </c>
      <c r="R5" s="58">
        <v>103</v>
      </c>
      <c r="S5" s="58">
        <v>122.33333333333333</v>
      </c>
      <c r="T5" s="58">
        <v>117.77777777777777</v>
      </c>
      <c r="U5" s="58">
        <v>122</v>
      </c>
      <c r="V5" s="58">
        <v>127</v>
      </c>
      <c r="W5" s="58">
        <v>148</v>
      </c>
      <c r="X5" s="58">
        <v>194</v>
      </c>
      <c r="Y5" s="58">
        <v>221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1.2040000000000002</v>
      </c>
      <c r="C7" s="59">
        <f t="shared" si="3"/>
        <v>1.0089999999999999</v>
      </c>
      <c r="D7" s="59">
        <f t="shared" si="3"/>
        <v>1.0489999999999999</v>
      </c>
      <c r="E7" s="59">
        <f t="shared" si="3"/>
        <v>1.0629999999999999</v>
      </c>
      <c r="F7" s="59">
        <f t="shared" si="3"/>
        <v>1.1180000000000001</v>
      </c>
      <c r="G7" s="59">
        <f t="shared" si="3"/>
        <v>0.86799999999999988</v>
      </c>
      <c r="H7" s="59">
        <f t="shared" si="3"/>
        <v>0.77400000000000002</v>
      </c>
      <c r="I7" s="59">
        <f t="shared" si="3"/>
        <v>1.04</v>
      </c>
      <c r="J7" s="59">
        <f t="shared" si="3"/>
        <v>0.76900000000000002</v>
      </c>
      <c r="K7" s="59">
        <f t="shared" si="3"/>
        <v>0.62999999999999989</v>
      </c>
      <c r="L7" s="59">
        <f t="shared" si="3"/>
        <v>0.72699999999999998</v>
      </c>
      <c r="M7" s="59">
        <f t="shared" si="3"/>
        <v>0.85099999999999998</v>
      </c>
      <c r="N7" s="59">
        <f t="shared" si="3"/>
        <v>0.88100000000000001</v>
      </c>
      <c r="O7" s="59">
        <f t="shared" si="3"/>
        <v>0.76200000000000001</v>
      </c>
      <c r="P7" s="59">
        <f t="shared" si="3"/>
        <v>0.748</v>
      </c>
      <c r="Q7" s="59">
        <f t="shared" si="3"/>
        <v>0.69599999999999995</v>
      </c>
      <c r="R7" s="59">
        <f t="shared" ref="R7:V7" si="4">SUM(R8:R9)</f>
        <v>0.64400000000000002</v>
      </c>
      <c r="S7" s="59">
        <f t="shared" si="4"/>
        <v>0.71599999999999997</v>
      </c>
      <c r="T7" s="59">
        <f t="shared" si="4"/>
        <v>0.77700000000000002</v>
      </c>
      <c r="U7" s="59">
        <f t="shared" si="4"/>
        <v>1.0569999999999999</v>
      </c>
      <c r="V7" s="59">
        <f t="shared" si="4"/>
        <v>0.753</v>
      </c>
      <c r="W7" s="59">
        <f t="shared" ref="W7:Y7" si="5">SUM(W8:W9)</f>
        <v>0.68900000000000006</v>
      </c>
      <c r="X7" s="59">
        <f t="shared" si="5"/>
        <v>0.90500000000000003</v>
      </c>
      <c r="Y7" s="59">
        <f t="shared" si="5"/>
        <v>0.88100000000000001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0.40600000000000003</v>
      </c>
      <c r="C8" s="60">
        <v>0.36599999999999999</v>
      </c>
      <c r="D8" s="60">
        <v>0.373</v>
      </c>
      <c r="E8" s="60">
        <v>0.32900000000000001</v>
      </c>
      <c r="F8" s="60">
        <v>0.311</v>
      </c>
      <c r="G8" s="60">
        <v>0.28699999999999998</v>
      </c>
      <c r="H8" s="60">
        <v>0.31900000000000001</v>
      </c>
      <c r="I8" s="60">
        <v>0.33700000000000002</v>
      </c>
      <c r="J8" s="60">
        <v>0.32900000000000001</v>
      </c>
      <c r="K8" s="60">
        <v>0.28399999999999997</v>
      </c>
      <c r="L8" s="60">
        <v>0.43099999999999999</v>
      </c>
      <c r="M8" s="60">
        <v>0.48699999999999999</v>
      </c>
      <c r="N8" s="60">
        <v>0.33900000000000002</v>
      </c>
      <c r="O8" s="60">
        <v>0.24299999999999999</v>
      </c>
      <c r="P8" s="60">
        <v>0.26900000000000002</v>
      </c>
      <c r="Q8" s="60">
        <v>0.28499999999999998</v>
      </c>
      <c r="R8" s="60">
        <v>0.31</v>
      </c>
      <c r="S8" s="60">
        <v>0.32300000000000001</v>
      </c>
      <c r="T8" s="60">
        <v>0.39800000000000002</v>
      </c>
      <c r="U8" s="60">
        <v>0.66400000000000003</v>
      </c>
      <c r="V8" s="60">
        <v>0.34899999999999998</v>
      </c>
      <c r="W8" s="60">
        <v>0.223</v>
      </c>
      <c r="X8" s="60">
        <v>0.311</v>
      </c>
      <c r="Y8" s="60">
        <v>0.222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0.79800000000000004</v>
      </c>
      <c r="C9" s="61">
        <v>0.64300000000000002</v>
      </c>
      <c r="D9" s="61">
        <v>0.67600000000000005</v>
      </c>
      <c r="E9" s="61">
        <v>0.73399999999999999</v>
      </c>
      <c r="F9" s="61">
        <v>0.80700000000000005</v>
      </c>
      <c r="G9" s="61">
        <v>0.58099999999999996</v>
      </c>
      <c r="H9" s="61">
        <v>0.45500000000000002</v>
      </c>
      <c r="I9" s="61">
        <v>0.70299999999999996</v>
      </c>
      <c r="J9" s="61">
        <v>0.44</v>
      </c>
      <c r="K9" s="61">
        <v>0.34599999999999997</v>
      </c>
      <c r="L9" s="61">
        <v>0.29599999999999999</v>
      </c>
      <c r="M9" s="61">
        <v>0.36399999999999999</v>
      </c>
      <c r="N9" s="61">
        <v>0.54200000000000004</v>
      </c>
      <c r="O9" s="61">
        <v>0.51900000000000002</v>
      </c>
      <c r="P9" s="61">
        <v>0.47899999999999998</v>
      </c>
      <c r="Q9" s="61">
        <v>0.41099999999999998</v>
      </c>
      <c r="R9" s="61">
        <v>0.33400000000000002</v>
      </c>
      <c r="S9" s="61">
        <v>0.39300000000000002</v>
      </c>
      <c r="T9" s="61">
        <v>0.379</v>
      </c>
      <c r="U9" s="61">
        <v>0.39300000000000002</v>
      </c>
      <c r="V9" s="61">
        <v>0.40400000000000003</v>
      </c>
      <c r="W9" s="61">
        <v>0.46600000000000003</v>
      </c>
      <c r="X9" s="61">
        <v>0.59399999999999997</v>
      </c>
      <c r="Y9" s="61">
        <v>0.65900000000000003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811.51661129568095</v>
      </c>
      <c r="C13" s="62">
        <f t="shared" si="6"/>
        <v>879.67393458870174</v>
      </c>
      <c r="D13" s="62">
        <f t="shared" si="6"/>
        <v>903.35748331744526</v>
      </c>
      <c r="E13" s="62">
        <f t="shared" si="6"/>
        <v>815.98682972718723</v>
      </c>
      <c r="F13" s="62">
        <f t="shared" ref="F13:V13" si="7">IF(F3=0,0,F3/F7)</f>
        <v>755.81663685152057</v>
      </c>
      <c r="G13" s="62">
        <f t="shared" si="7"/>
        <v>868.11866359447026</v>
      </c>
      <c r="H13" s="62">
        <f t="shared" si="7"/>
        <v>1094.8979328165374</v>
      </c>
      <c r="I13" s="62">
        <f t="shared" si="7"/>
        <v>913.17980769230769</v>
      </c>
      <c r="J13" s="62">
        <f t="shared" si="7"/>
        <v>1207.1027308192456</v>
      </c>
      <c r="K13" s="62">
        <f t="shared" si="7"/>
        <v>1268.8761904761907</v>
      </c>
      <c r="L13" s="62">
        <f t="shared" si="7"/>
        <v>1634.7317744154059</v>
      </c>
      <c r="M13" s="62">
        <f t="shared" si="7"/>
        <v>1485.4547591069331</v>
      </c>
      <c r="N13" s="62">
        <f t="shared" si="7"/>
        <v>1077.4177071509648</v>
      </c>
      <c r="O13" s="62">
        <f t="shared" si="7"/>
        <v>956.82939632545936</v>
      </c>
      <c r="P13" s="62">
        <f t="shared" si="7"/>
        <v>1081.8823529411766</v>
      </c>
      <c r="Q13" s="62">
        <f t="shared" si="7"/>
        <v>1263.3764367816093</v>
      </c>
      <c r="R13" s="62">
        <f t="shared" si="7"/>
        <v>1480.5667701863354</v>
      </c>
      <c r="S13" s="62">
        <f t="shared" si="7"/>
        <v>1416.4948789571695</v>
      </c>
      <c r="T13" s="62">
        <f t="shared" si="7"/>
        <v>1533.2506792506792</v>
      </c>
      <c r="U13" s="62">
        <f t="shared" si="7"/>
        <v>1781.038789025544</v>
      </c>
      <c r="V13" s="62">
        <f t="shared" si="7"/>
        <v>1502.3200531208497</v>
      </c>
      <c r="W13" s="62">
        <f t="shared" ref="W13:Y13" si="8">IF(W3=0,0,W3/W7)</f>
        <v>1146.986937590711</v>
      </c>
      <c r="X13" s="62">
        <f t="shared" si="8"/>
        <v>1161.8011049723755</v>
      </c>
      <c r="Y13" s="62">
        <f t="shared" si="8"/>
        <v>972.62656072644722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2115.9261083743841</v>
      </c>
      <c r="C14" s="63">
        <f t="shared" si="6"/>
        <v>2149.155737704918</v>
      </c>
      <c r="D14" s="63">
        <f t="shared" si="6"/>
        <v>2240.27345844504</v>
      </c>
      <c r="E14" s="63">
        <f t="shared" si="6"/>
        <v>2305.1489361702129</v>
      </c>
      <c r="F14" s="63">
        <f t="shared" ref="F14:V14" si="9">IF(F4=0,0,F4/F8)</f>
        <v>2337.630225080386</v>
      </c>
      <c r="G14" s="63">
        <f t="shared" si="9"/>
        <v>2364.2055749128922</v>
      </c>
      <c r="H14" s="63">
        <f t="shared" si="9"/>
        <v>2449.6896551724139</v>
      </c>
      <c r="I14" s="63">
        <f t="shared" si="9"/>
        <v>2515.4510385756676</v>
      </c>
      <c r="J14" s="63">
        <f t="shared" si="9"/>
        <v>2578.3039513677809</v>
      </c>
      <c r="K14" s="63">
        <f t="shared" si="9"/>
        <v>2599.9718309859159</v>
      </c>
      <c r="L14" s="63">
        <f t="shared" si="9"/>
        <v>2581.0904872389792</v>
      </c>
      <c r="M14" s="63">
        <f t="shared" si="9"/>
        <v>2410.9281314168379</v>
      </c>
      <c r="N14" s="63">
        <f t="shared" si="9"/>
        <v>2434.2330383480826</v>
      </c>
      <c r="O14" s="63">
        <f t="shared" si="9"/>
        <v>2502.4855967078192</v>
      </c>
      <c r="P14" s="63">
        <f t="shared" si="9"/>
        <v>2502.7806691449814</v>
      </c>
      <c r="Q14" s="63">
        <f t="shared" si="9"/>
        <v>2636.1754385964914</v>
      </c>
      <c r="R14" s="63">
        <f t="shared" si="9"/>
        <v>2743.5</v>
      </c>
      <c r="S14" s="63">
        <f t="shared" si="9"/>
        <v>2761.2291021671826</v>
      </c>
      <c r="T14" s="63">
        <f t="shared" si="9"/>
        <v>2697.3819095477384</v>
      </c>
      <c r="U14" s="63">
        <f t="shared" si="9"/>
        <v>2651.442771084337</v>
      </c>
      <c r="V14" s="63">
        <f t="shared" si="9"/>
        <v>2877.4985673352435</v>
      </c>
      <c r="W14" s="63">
        <f t="shared" ref="W14:Y14" si="10">IF(W4=0,0,W4/W8)</f>
        <v>2880.1524663677128</v>
      </c>
      <c r="X14" s="63">
        <f t="shared" si="10"/>
        <v>2757.0096463022505</v>
      </c>
      <c r="Y14" s="63">
        <f t="shared" si="10"/>
        <v>2864.3423423423424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147.86967418546365</v>
      </c>
      <c r="C15" s="64">
        <f t="shared" si="6"/>
        <v>157.07620528771383</v>
      </c>
      <c r="D15" s="64">
        <f t="shared" si="6"/>
        <v>165.68047337278105</v>
      </c>
      <c r="E15" s="64">
        <f t="shared" si="6"/>
        <v>148.50136239782017</v>
      </c>
      <c r="F15" s="64">
        <f t="shared" ref="F15:V15" si="11">IF(F5=0,0,F5/F9)</f>
        <v>146.22057001239156</v>
      </c>
      <c r="G15" s="64">
        <f t="shared" si="11"/>
        <v>129.08777969018934</v>
      </c>
      <c r="H15" s="64">
        <f t="shared" si="11"/>
        <v>145.05494505494505</v>
      </c>
      <c r="I15" s="64">
        <f t="shared" si="11"/>
        <v>145.09246088193458</v>
      </c>
      <c r="J15" s="64">
        <f t="shared" si="11"/>
        <v>181.81818181818181</v>
      </c>
      <c r="K15" s="64">
        <f t="shared" si="11"/>
        <v>176.3005780346821</v>
      </c>
      <c r="L15" s="64">
        <f t="shared" si="11"/>
        <v>256.75675675675677</v>
      </c>
      <c r="M15" s="64">
        <f t="shared" si="11"/>
        <v>247.25274725274727</v>
      </c>
      <c r="N15" s="64">
        <f t="shared" si="11"/>
        <v>228.7822878228782</v>
      </c>
      <c r="O15" s="64">
        <f t="shared" si="11"/>
        <v>233.14065510597302</v>
      </c>
      <c r="P15" s="64">
        <f t="shared" si="11"/>
        <v>283.92484342379959</v>
      </c>
      <c r="Q15" s="64">
        <f t="shared" si="11"/>
        <v>311.43552311435525</v>
      </c>
      <c r="R15" s="64">
        <f t="shared" si="11"/>
        <v>308.38323353293413</v>
      </c>
      <c r="S15" s="64">
        <f t="shared" si="11"/>
        <v>311.28074639525016</v>
      </c>
      <c r="T15" s="64">
        <f t="shared" si="11"/>
        <v>310.75930812078565</v>
      </c>
      <c r="U15" s="64">
        <f t="shared" si="11"/>
        <v>310.43256997455467</v>
      </c>
      <c r="V15" s="64">
        <f t="shared" si="11"/>
        <v>314.35643564356434</v>
      </c>
      <c r="W15" s="64">
        <f t="shared" ref="W15:Y15" si="12">IF(W5=0,0,W5/W9)</f>
        <v>317.59656652360513</v>
      </c>
      <c r="X15" s="64">
        <f t="shared" si="12"/>
        <v>326.59932659932662</v>
      </c>
      <c r="Y15" s="64">
        <f t="shared" si="12"/>
        <v>335.35660091047038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0.87923026694204898</v>
      </c>
      <c r="C18" s="66">
        <f t="shared" si="16"/>
        <v>0.88620885069812561</v>
      </c>
      <c r="D18" s="66">
        <f t="shared" si="16"/>
        <v>0.88180941345810882</v>
      </c>
      <c r="E18" s="66">
        <f t="shared" si="16"/>
        <v>0.87433623013301909</v>
      </c>
      <c r="F18" s="66">
        <f t="shared" ref="F18:V18" si="17">IF(F4=0,0,F4/F$3)</f>
        <v>0.86035552536499871</v>
      </c>
      <c r="G18" s="66">
        <f t="shared" si="17"/>
        <v>0.90046806551059222</v>
      </c>
      <c r="H18" s="66">
        <f t="shared" si="17"/>
        <v>0.92211939097363738</v>
      </c>
      <c r="I18" s="66">
        <f t="shared" si="17"/>
        <v>0.8925984540495121</v>
      </c>
      <c r="J18" s="66">
        <f t="shared" si="17"/>
        <v>0.91381743516377922</v>
      </c>
      <c r="K18" s="66">
        <f t="shared" si="17"/>
        <v>0.92369200592450262</v>
      </c>
      <c r="L18" s="66">
        <f t="shared" si="17"/>
        <v>0.93605115907274183</v>
      </c>
      <c r="M18" s="66">
        <f t="shared" si="17"/>
        <v>0.92880434008742829</v>
      </c>
      <c r="N18" s="66">
        <f t="shared" si="17"/>
        <v>0.86936436280887686</v>
      </c>
      <c r="O18" s="66">
        <f t="shared" si="17"/>
        <v>0.83404288002808924</v>
      </c>
      <c r="P18" s="66">
        <f t="shared" si="17"/>
        <v>0.83194274190359441</v>
      </c>
      <c r="Q18" s="66">
        <f t="shared" si="17"/>
        <v>0.85443131546326101</v>
      </c>
      <c r="R18" s="66">
        <f t="shared" si="17"/>
        <v>0.89197522771726878</v>
      </c>
      <c r="S18" s="66">
        <f t="shared" si="17"/>
        <v>0.87938070702625459</v>
      </c>
      <c r="T18" s="66">
        <f t="shared" si="17"/>
        <v>0.90113805026701121</v>
      </c>
      <c r="U18" s="66">
        <f t="shared" si="17"/>
        <v>0.93519455974264809</v>
      </c>
      <c r="V18" s="66">
        <f t="shared" si="17"/>
        <v>0.88773450890919503</v>
      </c>
      <c r="W18" s="66">
        <f t="shared" ref="W18:Y18" si="18">IF(W4=0,0,W4/W$3)</f>
        <v>0.81272318208621319</v>
      </c>
      <c r="X18" s="66">
        <f t="shared" si="18"/>
        <v>0.81548938112855829</v>
      </c>
      <c r="Y18" s="66">
        <f t="shared" si="18"/>
        <v>0.74208877747746482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0.12076973305795105</v>
      </c>
      <c r="C19" s="67">
        <f t="shared" si="19"/>
        <v>0.11379114930187439</v>
      </c>
      <c r="D19" s="67">
        <f t="shared" si="19"/>
        <v>0.11819058654189118</v>
      </c>
      <c r="E19" s="67">
        <f t="shared" si="19"/>
        <v>0.12566376986698086</v>
      </c>
      <c r="F19" s="67">
        <f t="shared" ref="F19:V19" si="20">IF(F5=0,0,F5/F$3)</f>
        <v>0.13964447463500129</v>
      </c>
      <c r="G19" s="67">
        <f t="shared" si="20"/>
        <v>9.9531934489407808E-2</v>
      </c>
      <c r="H19" s="67">
        <f t="shared" si="20"/>
        <v>7.7880609026362582E-2</v>
      </c>
      <c r="I19" s="67">
        <f t="shared" si="20"/>
        <v>0.10740154595048788</v>
      </c>
      <c r="J19" s="67">
        <f t="shared" si="20"/>
        <v>8.6182564836220818E-2</v>
      </c>
      <c r="K19" s="67">
        <f t="shared" si="20"/>
        <v>7.6307994075497376E-2</v>
      </c>
      <c r="L19" s="67">
        <f t="shared" si="20"/>
        <v>6.3948840927258194E-2</v>
      </c>
      <c r="M19" s="67">
        <f t="shared" si="20"/>
        <v>7.1195659912571721E-2</v>
      </c>
      <c r="N19" s="67">
        <f t="shared" si="20"/>
        <v>0.13063563719112309</v>
      </c>
      <c r="O19" s="67">
        <f t="shared" si="20"/>
        <v>0.16595711997191073</v>
      </c>
      <c r="P19" s="67">
        <f t="shared" si="20"/>
        <v>0.16805725809640554</v>
      </c>
      <c r="Q19" s="67">
        <f t="shared" si="20"/>
        <v>0.14556868453673905</v>
      </c>
      <c r="R19" s="67">
        <f t="shared" si="20"/>
        <v>0.10802477228273125</v>
      </c>
      <c r="S19" s="67">
        <f t="shared" si="20"/>
        <v>0.12061929297374542</v>
      </c>
      <c r="T19" s="67">
        <f t="shared" si="20"/>
        <v>9.8861949732988785E-2</v>
      </c>
      <c r="U19" s="67">
        <f t="shared" si="20"/>
        <v>6.4805440257351965E-2</v>
      </c>
      <c r="V19" s="67">
        <f t="shared" si="20"/>
        <v>0.11226549109080512</v>
      </c>
      <c r="W19" s="67">
        <f t="shared" ref="W19:Y19" si="21">IF(W5=0,0,W5/W$3)</f>
        <v>0.18727681791378686</v>
      </c>
      <c r="X19" s="67">
        <f t="shared" si="21"/>
        <v>0.18451061887144177</v>
      </c>
      <c r="Y19" s="67">
        <f t="shared" si="21"/>
        <v>0.25791122252253512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0.33720930232558138</v>
      </c>
      <c r="C22" s="66">
        <f t="shared" si="25"/>
        <v>0.36273538156590684</v>
      </c>
      <c r="D22" s="66">
        <f t="shared" si="25"/>
        <v>0.35557673975214493</v>
      </c>
      <c r="E22" s="66">
        <f t="shared" si="25"/>
        <v>0.30950141110065854</v>
      </c>
      <c r="F22" s="66">
        <f t="shared" ref="F22:V22" si="26">IF(F8=0,0,F8/F$7)</f>
        <v>0.27817531305903398</v>
      </c>
      <c r="G22" s="66">
        <f t="shared" si="26"/>
        <v>0.33064516129032262</v>
      </c>
      <c r="H22" s="66">
        <f t="shared" si="26"/>
        <v>0.41214470284237725</v>
      </c>
      <c r="I22" s="66">
        <f t="shared" si="26"/>
        <v>0.32403846153846155</v>
      </c>
      <c r="J22" s="66">
        <f t="shared" si="26"/>
        <v>0.42782834850455137</v>
      </c>
      <c r="K22" s="66">
        <f t="shared" si="26"/>
        <v>0.45079365079365086</v>
      </c>
      <c r="L22" s="66">
        <f t="shared" si="26"/>
        <v>0.59284731774415411</v>
      </c>
      <c r="M22" s="66">
        <f t="shared" si="26"/>
        <v>0.57226792009400707</v>
      </c>
      <c r="N22" s="66">
        <f t="shared" si="26"/>
        <v>0.38479001135073782</v>
      </c>
      <c r="O22" s="66">
        <f t="shared" si="26"/>
        <v>0.31889763779527558</v>
      </c>
      <c r="P22" s="66">
        <f t="shared" si="26"/>
        <v>0.35962566844919791</v>
      </c>
      <c r="Q22" s="66">
        <f t="shared" si="26"/>
        <v>0.40948275862068967</v>
      </c>
      <c r="R22" s="66">
        <f t="shared" si="26"/>
        <v>0.48136645962732916</v>
      </c>
      <c r="S22" s="66">
        <f t="shared" si="26"/>
        <v>0.4511173184357542</v>
      </c>
      <c r="T22" s="66">
        <f t="shared" si="26"/>
        <v>0.51222651222651228</v>
      </c>
      <c r="U22" s="66">
        <f t="shared" si="26"/>
        <v>0.62819299905392623</v>
      </c>
      <c r="V22" s="66">
        <f t="shared" si="26"/>
        <v>0.46347941567065071</v>
      </c>
      <c r="W22" s="66">
        <f t="shared" ref="W22:Y22" si="27">IF(W8=0,0,W8/W$7)</f>
        <v>0.3236574746008708</v>
      </c>
      <c r="X22" s="66">
        <f t="shared" si="27"/>
        <v>0.34364640883977898</v>
      </c>
      <c r="Y22" s="66">
        <f t="shared" si="27"/>
        <v>0.25198637911464244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0.66279069767441856</v>
      </c>
      <c r="C23" s="67">
        <f t="shared" si="28"/>
        <v>0.63726461843409321</v>
      </c>
      <c r="D23" s="67">
        <f t="shared" si="28"/>
        <v>0.64442326024785523</v>
      </c>
      <c r="E23" s="67">
        <f t="shared" si="28"/>
        <v>0.69049858889934146</v>
      </c>
      <c r="F23" s="67">
        <f t="shared" ref="F23:V23" si="29">IF(F9=0,0,F9/F$7)</f>
        <v>0.72182468694096602</v>
      </c>
      <c r="G23" s="67">
        <f t="shared" si="29"/>
        <v>0.66935483870967749</v>
      </c>
      <c r="H23" s="67">
        <f t="shared" si="29"/>
        <v>0.58785529715762275</v>
      </c>
      <c r="I23" s="67">
        <f t="shared" si="29"/>
        <v>0.67596153846153839</v>
      </c>
      <c r="J23" s="67">
        <f t="shared" si="29"/>
        <v>0.57217165149544857</v>
      </c>
      <c r="K23" s="67">
        <f t="shared" si="29"/>
        <v>0.54920634920634925</v>
      </c>
      <c r="L23" s="67">
        <f t="shared" si="29"/>
        <v>0.40715268225584594</v>
      </c>
      <c r="M23" s="67">
        <f t="shared" si="29"/>
        <v>0.42773207990599293</v>
      </c>
      <c r="N23" s="67">
        <f t="shared" si="29"/>
        <v>0.61520998864926224</v>
      </c>
      <c r="O23" s="67">
        <f t="shared" si="29"/>
        <v>0.68110236220472442</v>
      </c>
      <c r="P23" s="67">
        <f t="shared" si="29"/>
        <v>0.64037433155080214</v>
      </c>
      <c r="Q23" s="67">
        <f t="shared" si="29"/>
        <v>0.59051724137931039</v>
      </c>
      <c r="R23" s="67">
        <f t="shared" si="29"/>
        <v>0.51863354037267084</v>
      </c>
      <c r="S23" s="67">
        <f t="shared" si="29"/>
        <v>0.5488826815642458</v>
      </c>
      <c r="T23" s="67">
        <f t="shared" si="29"/>
        <v>0.48777348777348778</v>
      </c>
      <c r="U23" s="67">
        <f t="shared" si="29"/>
        <v>0.37180700094607383</v>
      </c>
      <c r="V23" s="67">
        <f t="shared" si="29"/>
        <v>0.53652058432934935</v>
      </c>
      <c r="W23" s="67">
        <f t="shared" ref="W23:Y23" si="30">IF(W9=0,0,W9/W$7)</f>
        <v>0.6763425253991292</v>
      </c>
      <c r="X23" s="67">
        <f t="shared" si="30"/>
        <v>0.65635359116022096</v>
      </c>
      <c r="Y23" s="67">
        <f t="shared" si="30"/>
        <v>0.74801362088535761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161.8754084264832</v>
      </c>
      <c r="C3" s="62">
        <f t="shared" ref="C3:V3" si="0">SUM(C4,C10)</f>
        <v>148.08684436801371</v>
      </c>
      <c r="D3" s="62">
        <f t="shared" si="0"/>
        <v>153.97678417884779</v>
      </c>
      <c r="E3" s="62">
        <f t="shared" si="0"/>
        <v>158.88512467755805</v>
      </c>
      <c r="F3" s="62">
        <f t="shared" si="0"/>
        <v>152.84987102321583</v>
      </c>
      <c r="G3" s="62">
        <f t="shared" si="0"/>
        <v>154.91547721410149</v>
      </c>
      <c r="H3" s="62">
        <f t="shared" si="0"/>
        <v>166.00601891659502</v>
      </c>
      <c r="I3" s="62">
        <f t="shared" si="0"/>
        <v>171.01530524505588</v>
      </c>
      <c r="J3" s="62">
        <f t="shared" si="0"/>
        <v>142.80670679277731</v>
      </c>
      <c r="K3" s="62">
        <f t="shared" si="0"/>
        <v>147.48890799656064</v>
      </c>
      <c r="L3" s="62">
        <f t="shared" si="0"/>
        <v>169.1519346517627</v>
      </c>
      <c r="M3" s="62">
        <f t="shared" si="0"/>
        <v>160.56319862424763</v>
      </c>
      <c r="N3" s="62">
        <f t="shared" si="0"/>
        <v>149.61152192605331</v>
      </c>
      <c r="O3" s="62">
        <f t="shared" si="0"/>
        <v>148.02682717110918</v>
      </c>
      <c r="P3" s="62">
        <f t="shared" si="0"/>
        <v>130.03069647463457</v>
      </c>
      <c r="Q3" s="62">
        <f t="shared" si="0"/>
        <v>131.69226139294926</v>
      </c>
      <c r="R3" s="62">
        <f t="shared" si="0"/>
        <v>123.51693895098879</v>
      </c>
      <c r="S3" s="62">
        <f t="shared" si="0"/>
        <v>127.90524505588994</v>
      </c>
      <c r="T3" s="62">
        <f t="shared" si="0"/>
        <v>127.84883920894238</v>
      </c>
      <c r="U3" s="62">
        <f t="shared" si="0"/>
        <v>131.93860705073089</v>
      </c>
      <c r="V3" s="62">
        <f t="shared" si="0"/>
        <v>112.58555460017197</v>
      </c>
      <c r="W3" s="62">
        <f t="shared" ref="W3:Y3" si="1">SUM(W4,W10)</f>
        <v>117.37687016337057</v>
      </c>
      <c r="X3" s="62">
        <f t="shared" si="1"/>
        <v>113.53559759243336</v>
      </c>
      <c r="Y3" s="62">
        <f t="shared" si="1"/>
        <v>105.40558899398106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138.80776418512909</v>
      </c>
      <c r="C4" s="71">
        <f t="shared" ref="C4:V4" si="2">SUM(C5:C9)</f>
        <v>128.78717148522759</v>
      </c>
      <c r="D4" s="71">
        <f t="shared" si="2"/>
        <v>134.25698258475603</v>
      </c>
      <c r="E4" s="71">
        <f t="shared" si="2"/>
        <v>134.48847025712769</v>
      </c>
      <c r="F4" s="71">
        <f t="shared" si="2"/>
        <v>126.2403391873324</v>
      </c>
      <c r="G4" s="71">
        <f t="shared" si="2"/>
        <v>133.96795048039189</v>
      </c>
      <c r="H4" s="71">
        <f t="shared" si="2"/>
        <v>149.24006549728927</v>
      </c>
      <c r="I4" s="71">
        <f t="shared" si="2"/>
        <v>146.90287043202582</v>
      </c>
      <c r="J4" s="71">
        <f t="shared" si="2"/>
        <v>129.55163859506902</v>
      </c>
      <c r="K4" s="71">
        <f t="shared" si="2"/>
        <v>134.49025854431903</v>
      </c>
      <c r="L4" s="71">
        <f t="shared" si="2"/>
        <v>160.27087596806291</v>
      </c>
      <c r="M4" s="71">
        <f t="shared" si="2"/>
        <v>151.54772511852462</v>
      </c>
      <c r="N4" s="71">
        <f t="shared" si="2"/>
        <v>132.49133783453291</v>
      </c>
      <c r="O4" s="71">
        <f t="shared" si="2"/>
        <v>125.67074067197981</v>
      </c>
      <c r="P4" s="71">
        <f t="shared" si="2"/>
        <v>113.13041591887469</v>
      </c>
      <c r="Q4" s="71">
        <f t="shared" si="2"/>
        <v>117.08620269542857</v>
      </c>
      <c r="R4" s="71">
        <f t="shared" si="2"/>
        <v>113.45175099405273</v>
      </c>
      <c r="S4" s="71">
        <f t="shared" si="2"/>
        <v>116.98309521080039</v>
      </c>
      <c r="T4" s="71">
        <f t="shared" si="2"/>
        <v>118.90971039266283</v>
      </c>
      <c r="U4" s="71">
        <f t="shared" si="2"/>
        <v>125.92543978621806</v>
      </c>
      <c r="V4" s="71">
        <f t="shared" si="2"/>
        <v>102.48703357698069</v>
      </c>
      <c r="W4" s="71">
        <f t="shared" ref="W4:Y4" si="3">SUM(W5:W9)</f>
        <v>99.837856802013377</v>
      </c>
      <c r="X4" s="71">
        <f t="shared" si="3"/>
        <v>98.521506471621166</v>
      </c>
      <c r="Y4" s="71">
        <f t="shared" si="3"/>
        <v>85.21448818384205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53.721594036522205</v>
      </c>
      <c r="C5" s="73">
        <v>53.591241589086145</v>
      </c>
      <c r="D5" s="73">
        <v>53.730307936936683</v>
      </c>
      <c r="E5" s="73">
        <v>52.160231121283047</v>
      </c>
      <c r="F5" s="73">
        <v>52.346331806994968</v>
      </c>
      <c r="G5" s="73">
        <v>58.346092701702176</v>
      </c>
      <c r="H5" s="73">
        <v>67.04582790691444</v>
      </c>
      <c r="I5" s="73">
        <v>64.944855933483794</v>
      </c>
      <c r="J5" s="73">
        <v>59.320170202089116</v>
      </c>
      <c r="K5" s="73">
        <v>62.427366957950049</v>
      </c>
      <c r="L5" s="73">
        <v>82.303070588259743</v>
      </c>
      <c r="M5" s="73">
        <v>80.046106833602622</v>
      </c>
      <c r="N5" s="73">
        <v>69.674184256699675</v>
      </c>
      <c r="O5" s="73">
        <v>70.954557244372737</v>
      </c>
      <c r="P5" s="73">
        <v>69.123505005458867</v>
      </c>
      <c r="Q5" s="73">
        <v>76.043447651131117</v>
      </c>
      <c r="R5" s="73">
        <v>72.813335083218774</v>
      </c>
      <c r="S5" s="73">
        <v>76.054370686926319</v>
      </c>
      <c r="T5" s="73">
        <v>77.310481169872432</v>
      </c>
      <c r="U5" s="73">
        <v>82.299048524047279</v>
      </c>
      <c r="V5" s="73">
        <v>60.744096188156092</v>
      </c>
      <c r="W5" s="73">
        <v>56.086915177238197</v>
      </c>
      <c r="X5" s="73">
        <v>61.145056057137474</v>
      </c>
      <c r="Y5" s="73">
        <v>50.715420365118383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85.086170148606897</v>
      </c>
      <c r="C6" s="73">
        <v>75.195929896141436</v>
      </c>
      <c r="D6" s="73">
        <v>80.526674647819348</v>
      </c>
      <c r="E6" s="73">
        <v>82.328239135844655</v>
      </c>
      <c r="F6" s="73">
        <v>73.894007380337428</v>
      </c>
      <c r="G6" s="73">
        <v>75.621857778689701</v>
      </c>
      <c r="H6" s="73">
        <v>82.194237590374826</v>
      </c>
      <c r="I6" s="73">
        <v>81.958014498542028</v>
      </c>
      <c r="J6" s="73">
        <v>69.06492470297853</v>
      </c>
      <c r="K6" s="73">
        <v>70.268168099530868</v>
      </c>
      <c r="L6" s="73">
        <v>75.886408812316844</v>
      </c>
      <c r="M6" s="73">
        <v>69.655793206551195</v>
      </c>
      <c r="N6" s="73">
        <v>61.070153457178158</v>
      </c>
      <c r="O6" s="73">
        <v>53.602153079761003</v>
      </c>
      <c r="P6" s="73">
        <v>42.284359153398832</v>
      </c>
      <c r="Q6" s="73">
        <v>39.840534839431832</v>
      </c>
      <c r="R6" s="73">
        <v>39.330701690485135</v>
      </c>
      <c r="S6" s="73">
        <v>39.098172627235598</v>
      </c>
      <c r="T6" s="73">
        <v>39.759621191916118</v>
      </c>
      <c r="U6" s="73">
        <v>41.721317275078839</v>
      </c>
      <c r="V6" s="73">
        <v>39.240346123898107</v>
      </c>
      <c r="W6" s="73">
        <v>38.550950401742647</v>
      </c>
      <c r="X6" s="73">
        <v>32.133710305299815</v>
      </c>
      <c r="Y6" s="73">
        <v>28.261191024858391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1.1665436900013715</v>
      </c>
      <c r="K7" s="73">
        <v>1.7947234868381106</v>
      </c>
      <c r="L7" s="73">
        <v>2.0813965674863124</v>
      </c>
      <c r="M7" s="73">
        <v>1.8458250783708054</v>
      </c>
      <c r="N7" s="73">
        <v>1.747000120655092</v>
      </c>
      <c r="O7" s="73">
        <v>1.1140303478460618</v>
      </c>
      <c r="P7" s="73">
        <v>1.7225517600169875</v>
      </c>
      <c r="Q7" s="73">
        <v>1.2022202048656319</v>
      </c>
      <c r="R7" s="73">
        <v>1.3077142203488232</v>
      </c>
      <c r="S7" s="73">
        <v>1.8305518966384724</v>
      </c>
      <c r="T7" s="73">
        <v>1.8396080308742881</v>
      </c>
      <c r="U7" s="73">
        <v>1.9050739870919318</v>
      </c>
      <c r="V7" s="73">
        <v>2.5025912649264943</v>
      </c>
      <c r="W7" s="73">
        <v>5.1999912230325354</v>
      </c>
      <c r="X7" s="73">
        <v>5.242740109183873</v>
      </c>
      <c r="Y7" s="73">
        <v>6.237876793865281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23.06764424135411</v>
      </c>
      <c r="C10" s="71">
        <f t="shared" ref="C10:V10" si="4">SUM(C11:C15)</f>
        <v>19.299672882786126</v>
      </c>
      <c r="D10" s="71">
        <f t="shared" si="4"/>
        <v>19.71980159409177</v>
      </c>
      <c r="E10" s="71">
        <f t="shared" si="4"/>
        <v>24.396654420430352</v>
      </c>
      <c r="F10" s="71">
        <f t="shared" si="4"/>
        <v>26.609531835883427</v>
      </c>
      <c r="G10" s="71">
        <f t="shared" si="4"/>
        <v>20.947526733709608</v>
      </c>
      <c r="H10" s="71">
        <f t="shared" si="4"/>
        <v>16.765953419305749</v>
      </c>
      <c r="I10" s="71">
        <f t="shared" si="4"/>
        <v>24.11243481303006</v>
      </c>
      <c r="J10" s="71">
        <f t="shared" si="4"/>
        <v>13.255068197708288</v>
      </c>
      <c r="K10" s="71">
        <f t="shared" si="4"/>
        <v>12.998649452241596</v>
      </c>
      <c r="L10" s="71">
        <f t="shared" si="4"/>
        <v>8.8810586836997878</v>
      </c>
      <c r="M10" s="71">
        <f t="shared" si="4"/>
        <v>9.0154735057230067</v>
      </c>
      <c r="N10" s="71">
        <f t="shared" si="4"/>
        <v>17.120184091520404</v>
      </c>
      <c r="O10" s="71">
        <f t="shared" si="4"/>
        <v>22.356086499129351</v>
      </c>
      <c r="P10" s="71">
        <f t="shared" si="4"/>
        <v>16.900280555759871</v>
      </c>
      <c r="Q10" s="71">
        <f t="shared" si="4"/>
        <v>14.60605869752068</v>
      </c>
      <c r="R10" s="71">
        <f t="shared" si="4"/>
        <v>10.065187956936064</v>
      </c>
      <c r="S10" s="71">
        <f t="shared" si="4"/>
        <v>10.922149845089551</v>
      </c>
      <c r="T10" s="71">
        <f t="shared" si="4"/>
        <v>8.9391288162795437</v>
      </c>
      <c r="U10" s="71">
        <f t="shared" si="4"/>
        <v>6.013167264512818</v>
      </c>
      <c r="V10" s="71">
        <f t="shared" si="4"/>
        <v>10.098521023191276</v>
      </c>
      <c r="W10" s="71">
        <f t="shared" ref="W10:Y10" si="5">SUM(W11:W15)</f>
        <v>17.539013361357195</v>
      </c>
      <c r="X10" s="71">
        <f t="shared" si="5"/>
        <v>15.014091120812189</v>
      </c>
      <c r="Y10" s="71">
        <f t="shared" si="5"/>
        <v>20.191100810139009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8.9276750950341093</v>
      </c>
      <c r="C11" s="73">
        <v>8.0310284023153926</v>
      </c>
      <c r="D11" s="73">
        <v>7.8919620544648721</v>
      </c>
      <c r="E11" s="73">
        <v>9.462038870118505</v>
      </c>
      <c r="F11" s="73">
        <v>11.033805768241486</v>
      </c>
      <c r="G11" s="73">
        <v>9.123124839140484</v>
      </c>
      <c r="H11" s="73">
        <v>7.5320740707295819</v>
      </c>
      <c r="I11" s="73">
        <v>10.659959199792208</v>
      </c>
      <c r="J11" s="73">
        <v>6.0693396861310109</v>
      </c>
      <c r="K11" s="73">
        <v>6.0336820532279338</v>
      </c>
      <c r="L11" s="73">
        <v>4.560643943124604</v>
      </c>
      <c r="M11" s="73">
        <v>4.7618897270164666</v>
      </c>
      <c r="N11" s="73">
        <v>9.003115829284857</v>
      </c>
      <c r="O11" s="73">
        <v>12.622398903520621</v>
      </c>
      <c r="P11" s="73">
        <v>10.326194048711377</v>
      </c>
      <c r="Q11" s="73">
        <v>9.4861310247072108</v>
      </c>
      <c r="R11" s="73">
        <v>6.4598377456720106</v>
      </c>
      <c r="S11" s="73">
        <v>7.100831376702228</v>
      </c>
      <c r="T11" s="73">
        <v>5.8118748060518897</v>
      </c>
      <c r="U11" s="73">
        <v>3.929928260131557</v>
      </c>
      <c r="V11" s="73">
        <v>5.9853965031594694</v>
      </c>
      <c r="W11" s="73">
        <v>9.8530676258572338</v>
      </c>
      <c r="X11" s="73">
        <v>9.3181425671101508</v>
      </c>
      <c r="Y11" s="73">
        <v>12.016737846403542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14.13996914632</v>
      </c>
      <c r="C12" s="73">
        <v>11.268644480470732</v>
      </c>
      <c r="D12" s="73">
        <v>11.827839539626899</v>
      </c>
      <c r="E12" s="73">
        <v>14.934615550311845</v>
      </c>
      <c r="F12" s="73">
        <v>15.575726067641941</v>
      </c>
      <c r="G12" s="73">
        <v>11.824401894569124</v>
      </c>
      <c r="H12" s="73">
        <v>9.233879348576167</v>
      </c>
      <c r="I12" s="73">
        <v>13.452475613237851</v>
      </c>
      <c r="J12" s="73">
        <v>7.0663736633155372</v>
      </c>
      <c r="K12" s="73">
        <v>6.7915051592825533</v>
      </c>
      <c r="L12" s="73">
        <v>4.2050787199273598</v>
      </c>
      <c r="M12" s="73">
        <v>4.143776870834869</v>
      </c>
      <c r="N12" s="73">
        <v>7.8913254766137682</v>
      </c>
      <c r="O12" s="73">
        <v>9.5355081412191964</v>
      </c>
      <c r="P12" s="73">
        <v>6.316758645397381</v>
      </c>
      <c r="Q12" s="73">
        <v>4.9699552723480611</v>
      </c>
      <c r="R12" s="73">
        <v>3.4893327033239703</v>
      </c>
      <c r="S12" s="73">
        <v>3.6504086281384351</v>
      </c>
      <c r="T12" s="73">
        <v>2.9889600634579181</v>
      </c>
      <c r="U12" s="73">
        <v>1.9922682795213438</v>
      </c>
      <c r="V12" s="73">
        <v>3.8665326379247666</v>
      </c>
      <c r="W12" s="73">
        <v>6.7724373884551108</v>
      </c>
      <c r="X12" s="73">
        <v>4.8969861693347525</v>
      </c>
      <c r="Y12" s="73">
        <v>6.69633262088536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0.11935484826174166</v>
      </c>
      <c r="K13" s="73">
        <v>0.17346223973110775</v>
      </c>
      <c r="L13" s="73">
        <v>0.1153360206478234</v>
      </c>
      <c r="M13" s="73">
        <v>0.10980690787167056</v>
      </c>
      <c r="N13" s="73">
        <v>0.22574278562177802</v>
      </c>
      <c r="O13" s="73">
        <v>0.1981794543895351</v>
      </c>
      <c r="P13" s="73">
        <v>0.25732786165111282</v>
      </c>
      <c r="Q13" s="73">
        <v>0.14997240046540805</v>
      </c>
      <c r="R13" s="73">
        <v>0.11601750794008459</v>
      </c>
      <c r="S13" s="73">
        <v>0.17090984024888736</v>
      </c>
      <c r="T13" s="73">
        <v>0.13829394676973583</v>
      </c>
      <c r="U13" s="73">
        <v>9.0970724859917237E-2</v>
      </c>
      <c r="V13" s="73">
        <v>0.24659188210703981</v>
      </c>
      <c r="W13" s="73">
        <v>0.91350834704485095</v>
      </c>
      <c r="X13" s="73">
        <v>0.79896238436728684</v>
      </c>
      <c r="Y13" s="73">
        <v>1.4780303428501087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13444.801364325845</v>
      </c>
      <c r="C19" s="62">
        <f>IF(C3=0,0,C3/TrNavi_act!C7*100)</f>
        <v>14676.595081071728</v>
      </c>
      <c r="D19" s="62">
        <f>IF(D3=0,0,D3/TrNavi_act!D7*100)</f>
        <v>14678.435098078913</v>
      </c>
      <c r="E19" s="62">
        <f>IF(E3=0,0,E3/TrNavi_act!E7*100)</f>
        <v>14946.860270701605</v>
      </c>
      <c r="F19" s="62">
        <f>IF(F3=0,0,F3/TrNavi_act!F7*100)</f>
        <v>13671.723705117694</v>
      </c>
      <c r="G19" s="62">
        <f>IF(G3=0,0,G3/TrNavi_act!G7*100)</f>
        <v>17847.405208997869</v>
      </c>
      <c r="H19" s="62">
        <f>IF(H3=0,0,H3/TrNavi_act!H7*100)</f>
        <v>21447.806061575586</v>
      </c>
      <c r="I19" s="62">
        <f>IF(I3=0,0,I3/TrNavi_act!I7*100)</f>
        <v>16443.77935048614</v>
      </c>
      <c r="J19" s="62">
        <f>IF(J3=0,0,J3/TrNavi_act!J7*100)</f>
        <v>18570.443015965837</v>
      </c>
      <c r="K19" s="62">
        <f>IF(K3=0,0,K3/TrNavi_act!K7*100)</f>
        <v>23410.937777231851</v>
      </c>
      <c r="L19" s="62">
        <f>IF(L3=0,0,L3/TrNavi_act!L7*100)</f>
        <v>23267.116183186066</v>
      </c>
      <c r="M19" s="62">
        <f>IF(M3=0,0,M3/TrNavi_act!M7*100)</f>
        <v>18867.590907667174</v>
      </c>
      <c r="N19" s="62">
        <f>IF(N3=0,0,N3/TrNavi_act!N7*100)</f>
        <v>16982.01156935906</v>
      </c>
      <c r="O19" s="62">
        <f>IF(O3=0,0,O3/TrNavi_act!O7*100)</f>
        <v>19426.092804607502</v>
      </c>
      <c r="P19" s="62">
        <f>IF(P3=0,0,P3/TrNavi_act!P7*100)</f>
        <v>17383.782951154353</v>
      </c>
      <c r="Q19" s="62">
        <f>IF(Q3=0,0,Q3/TrNavi_act!Q7*100)</f>
        <v>18921.301924274321</v>
      </c>
      <c r="R19" s="62">
        <f>IF(R3=0,0,R3/TrNavi_act!R7*100)</f>
        <v>19179.648905433041</v>
      </c>
      <c r="S19" s="62">
        <f>IF(S3=0,0,S3/TrNavi_act!S7*100)</f>
        <v>17863.86104132541</v>
      </c>
      <c r="T19" s="62">
        <f>IF(T3=0,0,T3/TrNavi_act!T7*100)</f>
        <v>16454.162060352945</v>
      </c>
      <c r="U19" s="62">
        <f>IF(U3=0,0,U3/TrNavi_act!U7*100)</f>
        <v>12482.365851535564</v>
      </c>
      <c r="V19" s="62">
        <f>IF(V3=0,0,V3/TrNavi_act!V7*100)</f>
        <v>14951.600876516863</v>
      </c>
      <c r="W19" s="62">
        <f>IF(W3=0,0,W3/TrNavi_act!W7*100)</f>
        <v>17035.830212390501</v>
      </c>
      <c r="X19" s="62">
        <f>IF(X3=0,0,X3/TrNavi_act!X7*100)</f>
        <v>12545.369899716392</v>
      </c>
      <c r="Y19" s="62">
        <f>IF(Y3=0,0,Y3/TrNavi_act!Y7*100)</f>
        <v>11964.312031098871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34189.104479095833</v>
      </c>
      <c r="C20" s="63">
        <f>IF(C4=0,0,C4/TrNavi_act!C8*100)</f>
        <v>35187.751771920106</v>
      </c>
      <c r="D20" s="63">
        <f>IF(D4=0,0,D4/TrNavi_act!D8*100)</f>
        <v>35993.829111194646</v>
      </c>
      <c r="E20" s="63">
        <f>IF(E4=0,0,E4/TrNavi_act!E8*100)</f>
        <v>40877.95448544914</v>
      </c>
      <c r="F20" s="63">
        <f>IF(F4=0,0,F4/TrNavi_act!F8*100)</f>
        <v>40591.748934833566</v>
      </c>
      <c r="G20" s="63">
        <f>IF(G4=0,0,G4/TrNavi_act!G8*100)</f>
        <v>46678.728390380456</v>
      </c>
      <c r="H20" s="63">
        <f>IF(H4=0,0,H4/TrNavi_act!H8*100)</f>
        <v>46783.719591626723</v>
      </c>
      <c r="I20" s="63">
        <f>IF(I4=0,0,I4/TrNavi_act!I8*100)</f>
        <v>43591.356211283623</v>
      </c>
      <c r="J20" s="63">
        <f>IF(J4=0,0,J4/TrNavi_act!J8*100)</f>
        <v>39377.397749261101</v>
      </c>
      <c r="K20" s="63">
        <f>IF(K4=0,0,K4/TrNavi_act!K8*100)</f>
        <v>47355.724839548959</v>
      </c>
      <c r="L20" s="63">
        <f>IF(L4=0,0,L4/TrNavi_act!L8*100)</f>
        <v>37185.818090037799</v>
      </c>
      <c r="M20" s="63">
        <f>IF(M4=0,0,M4/TrNavi_act!M8*100)</f>
        <v>31118.629387787398</v>
      </c>
      <c r="N20" s="63">
        <f>IF(N4=0,0,N4/TrNavi_act!N8*100)</f>
        <v>39082.990511661628</v>
      </c>
      <c r="O20" s="63">
        <f>IF(O4=0,0,O4/TrNavi_act!O8*100)</f>
        <v>51716.354185999924</v>
      </c>
      <c r="P20" s="63">
        <f>IF(P4=0,0,P4/TrNavi_act!P8*100)</f>
        <v>42055.916698466426</v>
      </c>
      <c r="Q20" s="63">
        <f>IF(Q4=0,0,Q4/TrNavi_act!Q8*100)</f>
        <v>41082.87813874687</v>
      </c>
      <c r="R20" s="63">
        <f>IF(R4=0,0,R4/TrNavi_act!R8*100)</f>
        <v>36597.339030339586</v>
      </c>
      <c r="S20" s="63">
        <f>IF(S4=0,0,S4/TrNavi_act!S8*100)</f>
        <v>36217.676535851511</v>
      </c>
      <c r="T20" s="63">
        <f>IF(T4=0,0,T4/TrNavi_act!T8*100)</f>
        <v>29876.811656447942</v>
      </c>
      <c r="U20" s="63">
        <f>IF(U4=0,0,U4/TrNavi_act!U8*100)</f>
        <v>18964.674666599105</v>
      </c>
      <c r="V20" s="63">
        <f>IF(V4=0,0,V4/TrNavi_act!V8*100)</f>
        <v>29365.912199707935</v>
      </c>
      <c r="W20" s="63">
        <f>IF(W4=0,0,W4/TrNavi_act!W8*100)</f>
        <v>44770.339373100171</v>
      </c>
      <c r="X20" s="63">
        <f>IF(X4=0,0,X4/TrNavi_act!X8*100)</f>
        <v>31678.940987659542</v>
      </c>
      <c r="Y20" s="63">
        <f>IF(Y4=0,0,Y4/TrNavi_act!Y8*100)</f>
        <v>38384.904587316239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2890.6822357586602</v>
      </c>
      <c r="C21" s="64">
        <f>IF(C10=0,0,C10/TrNavi_act!C9*100)</f>
        <v>3001.504336358651</v>
      </c>
      <c r="D21" s="64">
        <f>IF(D10=0,0,D10/TrNavi_act!D9*100)</f>
        <v>2917.1304133271847</v>
      </c>
      <c r="E21" s="64">
        <f>IF(E10=0,0,E10/TrNavi_act!E9*100)</f>
        <v>3323.7948801676234</v>
      </c>
      <c r="F21" s="64">
        <f>IF(F10=0,0,F10/TrNavi_act!F9*100)</f>
        <v>3297.3397566150466</v>
      </c>
      <c r="G21" s="64">
        <f>IF(G10=0,0,G10/TrNavi_act!G9*100)</f>
        <v>3605.4262880739429</v>
      </c>
      <c r="H21" s="64">
        <f>IF(H10=0,0,H10/TrNavi_act!H9*100)</f>
        <v>3684.8249273199449</v>
      </c>
      <c r="I21" s="64">
        <f>IF(I10=0,0,I10/TrNavi_act!I9*100)</f>
        <v>3429.9338283115303</v>
      </c>
      <c r="J21" s="64">
        <f>IF(J10=0,0,J10/TrNavi_act!J9*100)</f>
        <v>3012.5154994791565</v>
      </c>
      <c r="K21" s="64">
        <f>IF(K10=0,0,K10/TrNavi_act!K9*100)</f>
        <v>3756.8351018039293</v>
      </c>
      <c r="L21" s="64">
        <f>IF(L10=0,0,L10/TrNavi_act!L9*100)</f>
        <v>3000.3576634120909</v>
      </c>
      <c r="M21" s="64">
        <f>IF(M10=0,0,M10/TrNavi_act!M9*100)</f>
        <v>2476.778435638189</v>
      </c>
      <c r="N21" s="64">
        <f>IF(N10=0,0,N10/TrNavi_act!N9*100)</f>
        <v>3158.7055519410337</v>
      </c>
      <c r="O21" s="64">
        <f>IF(O10=0,0,O10/TrNavi_act!O9*100)</f>
        <v>4307.5311173659638</v>
      </c>
      <c r="P21" s="64">
        <f>IF(P10=0,0,P10/TrNavi_act!P9*100)</f>
        <v>3528.2422872150041</v>
      </c>
      <c r="Q21" s="64">
        <f>IF(Q10=0,0,Q10/TrNavi_act!Q9*100)</f>
        <v>3553.7855711729153</v>
      </c>
      <c r="R21" s="64">
        <f>IF(R10=0,0,R10/TrNavi_act!R9*100)</f>
        <v>3013.529328423971</v>
      </c>
      <c r="S21" s="64">
        <f>IF(S10=0,0,S10/TrNavi_act!S9*100)</f>
        <v>2779.1729885724048</v>
      </c>
      <c r="T21" s="64">
        <f>IF(T10=0,0,T10/TrNavi_act!T9*100)</f>
        <v>2358.6091863534416</v>
      </c>
      <c r="U21" s="64">
        <f>IF(U10=0,0,U10/TrNavi_act!U9*100)</f>
        <v>1530.0680062373581</v>
      </c>
      <c r="V21" s="64">
        <f>IF(V10=0,0,V10/TrNavi_act!V9*100)</f>
        <v>2499.6339166315038</v>
      </c>
      <c r="W21" s="64">
        <f>IF(W10=0,0,W10/TrNavi_act!W9*100)</f>
        <v>3763.7367728234321</v>
      </c>
      <c r="X21" s="64">
        <f>IF(X10=0,0,X10/TrNavi_act!X9*100)</f>
        <v>2527.6247678135001</v>
      </c>
      <c r="Y21" s="64">
        <f>IF(Y10=0,0,Y10/TrNavi_act!Y9*100)</f>
        <v>3063.8999711895308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165.67499885011168</v>
      </c>
      <c r="C23" s="62">
        <f>IF(C3=0,0,C3/TrNavi_act!C3*1000)</f>
        <v>166.8413090804365</v>
      </c>
      <c r="D23" s="62">
        <f>IF(D3=0,0,D3/TrNavi_act!D3*1000)</f>
        <v>162.48755746368045</v>
      </c>
      <c r="E23" s="62">
        <f>IF(E3=0,0,E3/TrNavi_act!E3*1000)</f>
        <v>183.17526369511208</v>
      </c>
      <c r="F23" s="62">
        <f>IF(F3=0,0,F3/TrNavi_act!F3*1000)</f>
        <v>180.88677912766678</v>
      </c>
      <c r="G23" s="62">
        <f>IF(G3=0,0,G3/TrNavi_act!G3*1000)</f>
        <v>205.58716172625731</v>
      </c>
      <c r="H23" s="62">
        <f>IF(H3=0,0,H3/TrNavi_act!H3*1000)</f>
        <v>195.88863417070135</v>
      </c>
      <c r="I23" s="62">
        <f>IF(I3=0,0,I3/TrNavi_act!I3*1000)</f>
        <v>180.07164867170178</v>
      </c>
      <c r="J23" s="62">
        <f>IF(J3=0,0,J3/TrNavi_act!J3*1000)</f>
        <v>153.84310334019634</v>
      </c>
      <c r="K23" s="62">
        <f>IF(K3=0,0,K3/TrNavi_act!K3*1000)</f>
        <v>184.50135602628077</v>
      </c>
      <c r="L23" s="62">
        <f>IF(L3=0,0,L3/TrNavi_act!L3*1000)</f>
        <v>142.3298705471519</v>
      </c>
      <c r="M23" s="62">
        <f>IF(M3=0,0,M3/TrNavi_act!M3*1000)</f>
        <v>127.01558759696266</v>
      </c>
      <c r="N23" s="62">
        <f>IF(N3=0,0,N3/TrNavi_act!N3*1000)</f>
        <v>157.61771369309403</v>
      </c>
      <c r="O23" s="62">
        <f>IF(O3=0,0,O3/TrNavi_act!O3*1000)</f>
        <v>203.02566872642197</v>
      </c>
      <c r="P23" s="62">
        <f>IF(P3=0,0,P3/TrNavi_act!P3*1000)</f>
        <v>160.68089939627228</v>
      </c>
      <c r="Q23" s="62">
        <f>IF(Q3=0,0,Q3/TrNavi_act!Q3*1000)</f>
        <v>149.76772855187505</v>
      </c>
      <c r="R23" s="62">
        <f>IF(R3=0,0,R3/TrNavi_act!R3*1000)</f>
        <v>129.54261362369496</v>
      </c>
      <c r="S23" s="62">
        <f>IF(S3=0,0,S3/TrNavi_act!S3*1000)</f>
        <v>126.11313536464652</v>
      </c>
      <c r="T23" s="62">
        <f>IF(T3=0,0,T3/TrNavi_act!T3*1000)</f>
        <v>107.3155373940178</v>
      </c>
      <c r="U23" s="62">
        <f>IF(U3=0,0,U3/TrNavi_act!U3*1000)</f>
        <v>70.084750138232607</v>
      </c>
      <c r="V23" s="62">
        <f>IF(V3=0,0,V3/TrNavi_act!V3*1000)</f>
        <v>99.523406117472121</v>
      </c>
      <c r="W23" s="62">
        <f>IF(W3=0,0,W3/TrNavi_act!W3*1000)</f>
        <v>148.52680230321454</v>
      </c>
      <c r="X23" s="62">
        <f>IF(X3=0,0,X3/TrNavi_act!X3*1000)</f>
        <v>107.98207925628276</v>
      </c>
      <c r="Y23" s="62">
        <f>IF(Y3=0,0,Y3/TrNavi_act!Y3*1000)</f>
        <v>123.01033628120149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161.5798602029752</v>
      </c>
      <c r="C24" s="63">
        <f>IF(C4=0,0,C4/TrNavi_act!C4*1000)</f>
        <v>163.72825456333416</v>
      </c>
      <c r="D24" s="63">
        <f>IF(D4=0,0,D4/TrNavi_act!D4*1000)</f>
        <v>160.66712291533258</v>
      </c>
      <c r="E24" s="63">
        <f>IF(E4=0,0,E4/TrNavi_act!E4*1000)</f>
        <v>177.33324664637072</v>
      </c>
      <c r="F24" s="63">
        <f>IF(F4=0,0,F4/TrNavi_act!F4*1000)</f>
        <v>173.64486692260195</v>
      </c>
      <c r="G24" s="63">
        <f>IF(G4=0,0,G4/TrNavi_act!G4*1000)</f>
        <v>197.43938042316944</v>
      </c>
      <c r="H24" s="63">
        <f>IF(H4=0,0,H4/TrNavi_act!H4*1000)</f>
        <v>190.97814897836111</v>
      </c>
      <c r="I24" s="63">
        <f>IF(I4=0,0,I4/TrNavi_act!I4*1000)</f>
        <v>173.29439350155872</v>
      </c>
      <c r="J24" s="63">
        <f>IF(J4=0,0,J4/TrNavi_act!J4*1000)</f>
        <v>152.72597215844755</v>
      </c>
      <c r="K24" s="63">
        <f>IF(K4=0,0,K4/TrNavi_act!K4*1000)</f>
        <v>182.13937657005903</v>
      </c>
      <c r="L24" s="63">
        <f>IF(L4=0,0,L4/TrNavi_act!L4*1000)</f>
        <v>144.07018379977788</v>
      </c>
      <c r="M24" s="63">
        <f>IF(M4=0,0,M4/TrNavi_act!M4*1000)</f>
        <v>129.07323525027607</v>
      </c>
      <c r="N24" s="63">
        <f>IF(N4=0,0,N4/TrNavi_act!N4*1000)</f>
        <v>160.55566536137434</v>
      </c>
      <c r="O24" s="63">
        <f>IF(O4=0,0,O4/TrNavi_act!O4*1000)</f>
        <v>206.65994743001164</v>
      </c>
      <c r="P24" s="63">
        <f>IF(P4=0,0,P4/TrNavi_act!P4*1000)</f>
        <v>168.03676493487492</v>
      </c>
      <c r="Q24" s="63">
        <f>IF(Q4=0,0,Q4/TrNavi_act!Q4*1000)</f>
        <v>155.8427316226705</v>
      </c>
      <c r="R24" s="63">
        <f>IF(R4=0,0,R4/TrNavi_act!R4*1000)</f>
        <v>133.39653373551883</v>
      </c>
      <c r="S24" s="63">
        <f>IF(S4=0,0,S4/TrNavi_act!S4*1000)</f>
        <v>131.16505438619944</v>
      </c>
      <c r="T24" s="63">
        <f>IF(T4=0,0,T4/TrNavi_act!T4*1000)</f>
        <v>110.76226006667812</v>
      </c>
      <c r="U24" s="63">
        <f>IF(U4=0,0,U4/TrNavi_act!U4*1000)</f>
        <v>71.525868381625642</v>
      </c>
      <c r="V24" s="63">
        <f>IF(V4=0,0,V4/TrNavi_act!V4*1000)</f>
        <v>102.05361188729535</v>
      </c>
      <c r="W24" s="63">
        <f>IF(W4=0,0,W4/TrNavi_act!W4*1000)</f>
        <v>155.44433808937211</v>
      </c>
      <c r="X24" s="63">
        <f>IF(X4=0,0,X4/TrNavi_act!X4*1000)</f>
        <v>114.90326495646428</v>
      </c>
      <c r="Y24" s="63">
        <f>IF(Y4=0,0,Y4/TrNavi_act!Y4*1000)</f>
        <v>134.00948629599432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195.4885105199501</v>
      </c>
      <c r="C25" s="64">
        <f>IF(C10=0,0,C10/TrNavi_act!C5*1000)</f>
        <v>191.0858701265953</v>
      </c>
      <c r="D25" s="64">
        <f>IF(D10=0,0,D10/TrNavi_act!D5*1000)</f>
        <v>176.06965709010507</v>
      </c>
      <c r="E25" s="64">
        <f>IF(E10=0,0,E10/TrNavi_act!E5*1000)</f>
        <v>223.8225176186271</v>
      </c>
      <c r="F25" s="64">
        <f>IF(F10=0,0,F10/TrNavi_act!F5*1000)</f>
        <v>225.50450708375786</v>
      </c>
      <c r="G25" s="64">
        <f>IF(G10=0,0,G10/TrNavi_act!G5*1000)</f>
        <v>279.30035644946145</v>
      </c>
      <c r="H25" s="64">
        <f>IF(H10=0,0,H10/TrNavi_act!H5*1000)</f>
        <v>254.02959726220831</v>
      </c>
      <c r="I25" s="64">
        <f>IF(I10=0,0,I10/TrNavi_act!I5*1000)</f>
        <v>236.39641973558881</v>
      </c>
      <c r="J25" s="64">
        <f>IF(J10=0,0,J10/TrNavi_act!J5*1000)</f>
        <v>165.6883524713536</v>
      </c>
      <c r="K25" s="64">
        <f>IF(K10=0,0,K10/TrNavi_act!K5*1000)</f>
        <v>213.09261397117371</v>
      </c>
      <c r="L25" s="64">
        <f>IF(L10=0,0,L10/TrNavi_act!L5*1000)</f>
        <v>116.85603531183932</v>
      </c>
      <c r="M25" s="64">
        <f>IF(M10=0,0,M10/TrNavi_act!M5*1000)</f>
        <v>100.17192784136674</v>
      </c>
      <c r="N25" s="64">
        <f>IF(N10=0,0,N10/TrNavi_act!N5*1000)</f>
        <v>138.06600073806777</v>
      </c>
      <c r="O25" s="64">
        <f>IF(O10=0,0,O10/TrNavi_act!O5*1000)</f>
        <v>184.76104544735</v>
      </c>
      <c r="P25" s="64">
        <f>IF(P10=0,0,P10/TrNavi_act!P5*1000)</f>
        <v>124.266768792352</v>
      </c>
      <c r="Q25" s="64">
        <f>IF(Q10=0,0,Q10/TrNavi_act!Q5*1000)</f>
        <v>114.10983357438032</v>
      </c>
      <c r="R25" s="64">
        <f>IF(R10=0,0,R10/TrNavi_act!R5*1000)</f>
        <v>97.720271426563727</v>
      </c>
      <c r="S25" s="64">
        <f>IF(S10=0,0,S10/TrNavi_act!S5*1000)</f>
        <v>89.281878842693885</v>
      </c>
      <c r="T25" s="64">
        <f>IF(T10=0,0,T10/TrNavi_act!T5*1000)</f>
        <v>75.898263534448958</v>
      </c>
      <c r="U25" s="64">
        <f>IF(U10=0,0,U10/TrNavi_act!U5*1000)</f>
        <v>49.288256266498507</v>
      </c>
      <c r="V25" s="64">
        <f>IF(V10=0,0,V10/TrNavi_act!V5*1000)</f>
        <v>79.515913568435252</v>
      </c>
      <c r="W25" s="64">
        <f>IF(W10=0,0,W10/TrNavi_act!W5*1000)</f>
        <v>118.50684703619727</v>
      </c>
      <c r="X25" s="64">
        <f>IF(X10=0,0,X10/TrNavi_act!X5*1000)</f>
        <v>77.392222272227784</v>
      </c>
      <c r="Y25" s="64">
        <f>IF(Y10=0,0,Y10/TrNavi_act!Y5*1000)</f>
        <v>91.362447104701403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0.85749753797946127</v>
      </c>
      <c r="C28" s="77">
        <f t="shared" si="9"/>
        <v>0.86967327877671496</v>
      </c>
      <c r="D28" s="77">
        <f t="shared" si="9"/>
        <v>0.87193003348357545</v>
      </c>
      <c r="E28" s="77">
        <f t="shared" si="9"/>
        <v>0.84645098482352576</v>
      </c>
      <c r="F28" s="77">
        <f t="shared" si="9"/>
        <v>0.82591066869894969</v>
      </c>
      <c r="G28" s="77">
        <f t="shared" si="9"/>
        <v>0.86478093015355084</v>
      </c>
      <c r="H28" s="77">
        <f t="shared" si="9"/>
        <v>0.89900394257554406</v>
      </c>
      <c r="I28" s="77">
        <f t="shared" si="9"/>
        <v>0.85900422901635487</v>
      </c>
      <c r="J28" s="77">
        <f t="shared" si="9"/>
        <v>0.90718175290644909</v>
      </c>
      <c r="K28" s="77">
        <f t="shared" si="9"/>
        <v>0.91186693542713915</v>
      </c>
      <c r="L28" s="77">
        <f t="shared" si="9"/>
        <v>0.94749655862947446</v>
      </c>
      <c r="M28" s="77">
        <f t="shared" si="9"/>
        <v>0.94385093481588422</v>
      </c>
      <c r="N28" s="77">
        <f t="shared" si="9"/>
        <v>0.88556908003394164</v>
      </c>
      <c r="O28" s="77">
        <f t="shared" si="9"/>
        <v>0.84897273739923362</v>
      </c>
      <c r="P28" s="77">
        <f t="shared" si="9"/>
        <v>0.87002853161632754</v>
      </c>
      <c r="Q28" s="77">
        <f t="shared" si="9"/>
        <v>0.88908946856081028</v>
      </c>
      <c r="R28" s="77">
        <f t="shared" si="9"/>
        <v>0.91851167910718789</v>
      </c>
      <c r="S28" s="77">
        <f t="shared" si="9"/>
        <v>0.9146074905660283</v>
      </c>
      <c r="T28" s="77">
        <f t="shared" si="9"/>
        <v>0.93008048511359265</v>
      </c>
      <c r="U28" s="77">
        <f t="shared" si="9"/>
        <v>0.95442450546563107</v>
      </c>
      <c r="V28" s="77">
        <f t="shared" ref="V28:W28" si="10">IF(V4=0,0,V4/V$3)</f>
        <v>0.91030358149360791</v>
      </c>
      <c r="W28" s="77">
        <f t="shared" si="10"/>
        <v>0.85057521693204474</v>
      </c>
      <c r="X28" s="77">
        <f t="shared" ref="X28:Y28" si="11">IF(X4=0,0,X4/X$3)</f>
        <v>0.86775873436004336</v>
      </c>
      <c r="Y28" s="77">
        <f t="shared" si="11"/>
        <v>0.80844373621125565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0.14250246202053868</v>
      </c>
      <c r="C29" s="78">
        <f t="shared" si="12"/>
        <v>0.13032672122328506</v>
      </c>
      <c r="D29" s="78">
        <f t="shared" si="12"/>
        <v>0.12806996651642458</v>
      </c>
      <c r="E29" s="78">
        <f t="shared" si="12"/>
        <v>0.15354901517647418</v>
      </c>
      <c r="F29" s="78">
        <f t="shared" si="12"/>
        <v>0.17408933130105028</v>
      </c>
      <c r="G29" s="78">
        <f t="shared" si="12"/>
        <v>0.13521906984644927</v>
      </c>
      <c r="H29" s="78">
        <f t="shared" si="12"/>
        <v>0.10099605742445593</v>
      </c>
      <c r="I29" s="78">
        <f t="shared" si="12"/>
        <v>0.1409957709836451</v>
      </c>
      <c r="J29" s="78">
        <f t="shared" si="12"/>
        <v>9.2818247093550979E-2</v>
      </c>
      <c r="K29" s="78">
        <f t="shared" si="12"/>
        <v>8.8133064572860742E-2</v>
      </c>
      <c r="L29" s="78">
        <f t="shared" si="12"/>
        <v>5.2503441370525525E-2</v>
      </c>
      <c r="M29" s="78">
        <f t="shared" si="12"/>
        <v>5.6149065184115762E-2</v>
      </c>
      <c r="N29" s="78">
        <f t="shared" si="12"/>
        <v>0.11443091996605843</v>
      </c>
      <c r="O29" s="78">
        <f t="shared" si="12"/>
        <v>0.15102726260076629</v>
      </c>
      <c r="P29" s="78">
        <f t="shared" si="12"/>
        <v>0.12997146838367241</v>
      </c>
      <c r="Q29" s="78">
        <f t="shared" si="12"/>
        <v>0.11091053143918965</v>
      </c>
      <c r="R29" s="78">
        <f t="shared" si="12"/>
        <v>8.1488320892812161E-2</v>
      </c>
      <c r="S29" s="78">
        <f t="shared" si="12"/>
        <v>8.5392509433971767E-2</v>
      </c>
      <c r="T29" s="78">
        <f t="shared" si="12"/>
        <v>6.9919514886407325E-2</v>
      </c>
      <c r="U29" s="78">
        <f t="shared" si="12"/>
        <v>4.5575494534368793E-2</v>
      </c>
      <c r="V29" s="78">
        <f t="shared" ref="V29:W29" si="13">IF(V10=0,0,V10/V$3)</f>
        <v>8.9696418506392039E-2</v>
      </c>
      <c r="W29" s="78">
        <f t="shared" si="13"/>
        <v>0.14942478306795523</v>
      </c>
      <c r="X29" s="78">
        <f t="shared" ref="X29:Y29" si="14">IF(X10=0,0,X10/X$3)</f>
        <v>0.13224126563995653</v>
      </c>
      <c r="Y29" s="78">
        <f t="shared" si="14"/>
        <v>0.19155626378874441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500.24133035999995</v>
      </c>
      <c r="C3" s="54">
        <f t="shared" ref="C3:V3" si="1">SUM(C4:C5)</f>
        <v>455.70023603999988</v>
      </c>
      <c r="D3" s="54">
        <f t="shared" si="1"/>
        <v>474.78707603999999</v>
      </c>
      <c r="E3" s="54">
        <f t="shared" si="1"/>
        <v>490.69296180000009</v>
      </c>
      <c r="F3" s="54">
        <f t="shared" si="1"/>
        <v>470.87193348000005</v>
      </c>
      <c r="G3" s="54">
        <f t="shared" si="1"/>
        <v>477.02114892000009</v>
      </c>
      <c r="H3" s="54">
        <f t="shared" si="1"/>
        <v>511.62716448000003</v>
      </c>
      <c r="I3" s="54">
        <f t="shared" si="1"/>
        <v>527.36647536000009</v>
      </c>
      <c r="J3" s="54">
        <f t="shared" si="1"/>
        <v>436.68836424000011</v>
      </c>
      <c r="K3" s="54">
        <f t="shared" si="1"/>
        <v>449.57432808000004</v>
      </c>
      <c r="L3" s="54">
        <f t="shared" si="1"/>
        <v>515.79534672</v>
      </c>
      <c r="M3" s="54">
        <f t="shared" si="1"/>
        <v>492.16286664000006</v>
      </c>
      <c r="N3" s="54">
        <f t="shared" si="1"/>
        <v>457.46464176000001</v>
      </c>
      <c r="O3" s="54">
        <f t="shared" si="1"/>
        <v>452.29275395999991</v>
      </c>
      <c r="P3" s="54">
        <f t="shared" si="1"/>
        <v>392.73291935999998</v>
      </c>
      <c r="Q3" s="54">
        <f t="shared" si="1"/>
        <v>398.95988399999993</v>
      </c>
      <c r="R3" s="54">
        <f t="shared" si="1"/>
        <v>373.45117932000005</v>
      </c>
      <c r="S3" s="54">
        <f t="shared" si="1"/>
        <v>385.61486292000006</v>
      </c>
      <c r="T3" s="54">
        <f t="shared" si="1"/>
        <v>385.51296059999999</v>
      </c>
      <c r="U3" s="54">
        <f t="shared" si="1"/>
        <v>398.27817611999996</v>
      </c>
      <c r="V3" s="54">
        <f t="shared" si="1"/>
        <v>334.05881976000001</v>
      </c>
      <c r="W3" s="54">
        <f t="shared" ref="W3:Y3" si="2">SUM(W4:W5)</f>
        <v>337.38605783999992</v>
      </c>
      <c r="X3" s="54">
        <f t="shared" si="2"/>
        <v>327.35811852</v>
      </c>
      <c r="Y3" s="54">
        <f t="shared" si="2"/>
        <v>297.35798111999998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428.95570917927034</v>
      </c>
      <c r="C4" s="56">
        <v>396.31031841622962</v>
      </c>
      <c r="D4" s="56">
        <v>413.98111110912606</v>
      </c>
      <c r="E4" s="56">
        <v>415.34754076158282</v>
      </c>
      <c r="F4" s="56">
        <v>388.89815345203419</v>
      </c>
      <c r="G4" s="56">
        <v>412.51879286595312</v>
      </c>
      <c r="H4" s="56">
        <v>459.95483799626641</v>
      </c>
      <c r="I4" s="56">
        <v>453.01003257568937</v>
      </c>
      <c r="J4" s="56">
        <v>396.15571574509318</v>
      </c>
      <c r="K4" s="56">
        <v>409.9519647930249</v>
      </c>
      <c r="L4" s="56">
        <v>488.7143159742966</v>
      </c>
      <c r="M4" s="56">
        <v>464.52838175982941</v>
      </c>
      <c r="N4" s="56">
        <v>405.11654195145985</v>
      </c>
      <c r="O4" s="56">
        <v>383.98421743525921</v>
      </c>
      <c r="P4" s="56">
        <v>341.68884514817438</v>
      </c>
      <c r="Q4" s="56">
        <v>354.71103124264249</v>
      </c>
      <c r="R4" s="56">
        <v>343.01926978177272</v>
      </c>
      <c r="S4" s="56">
        <v>352.68624210022421</v>
      </c>
      <c r="T4" s="56">
        <v>358.55808141242534</v>
      </c>
      <c r="U4" s="56">
        <v>380.12645128108454</v>
      </c>
      <c r="V4" s="56">
        <v>304.09494005705568</v>
      </c>
      <c r="W4" s="56">
        <v>286.97221933710534</v>
      </c>
      <c r="X4" s="56">
        <v>284.06786660940031</v>
      </c>
      <c r="Y4" s="56">
        <v>240.39719724888877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71.285621180729621</v>
      </c>
      <c r="C5" s="58">
        <v>59.389917623770273</v>
      </c>
      <c r="D5" s="58">
        <v>60.80596493087392</v>
      </c>
      <c r="E5" s="58">
        <v>75.345421038417257</v>
      </c>
      <c r="F5" s="58">
        <v>81.973780027965859</v>
      </c>
      <c r="G5" s="58">
        <v>64.50235605404697</v>
      </c>
      <c r="H5" s="58">
        <v>51.672326483733649</v>
      </c>
      <c r="I5" s="58">
        <v>74.356442784310687</v>
      </c>
      <c r="J5" s="58">
        <v>40.532648494906923</v>
      </c>
      <c r="K5" s="58">
        <v>39.622363286975123</v>
      </c>
      <c r="L5" s="58">
        <v>27.081030745703405</v>
      </c>
      <c r="M5" s="58">
        <v>27.634484880170636</v>
      </c>
      <c r="N5" s="58">
        <v>52.348099808540155</v>
      </c>
      <c r="O5" s="58">
        <v>68.308536524740703</v>
      </c>
      <c r="P5" s="58">
        <v>51.044074211825617</v>
      </c>
      <c r="Q5" s="58">
        <v>44.248852757357447</v>
      </c>
      <c r="R5" s="58">
        <v>30.431909538227302</v>
      </c>
      <c r="S5" s="58">
        <v>32.92862081977583</v>
      </c>
      <c r="T5" s="58">
        <v>26.954879187574662</v>
      </c>
      <c r="U5" s="58">
        <v>18.151724838915435</v>
      </c>
      <c r="V5" s="58">
        <v>29.96387970294435</v>
      </c>
      <c r="W5" s="58">
        <v>50.413838502894592</v>
      </c>
      <c r="X5" s="58">
        <v>43.2902519105997</v>
      </c>
      <c r="Y5" s="58">
        <v>56.96078387111119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3.0902861356312061</v>
      </c>
      <c r="C9" s="79">
        <f>IF(C3=0,0,C3/TrNavi_ene!C3)</f>
        <v>3.0772499608913924</v>
      </c>
      <c r="D9" s="79">
        <f>IF(D3=0,0,D3/TrNavi_ene!D3)</f>
        <v>3.0834978050231467</v>
      </c>
      <c r="E9" s="79">
        <f>IF(E3=0,0,E3/TrNavi_ene!E3)</f>
        <v>3.0883505475784081</v>
      </c>
      <c r="F9" s="79">
        <f>IF(F3=0,0,F3/TrNavi_ene!F3)</f>
        <v>3.0806171462747325</v>
      </c>
      <c r="G9" s="79">
        <f>IF(G3=0,0,G3/TrNavi_ene!G3)</f>
        <v>3.0792349318379033</v>
      </c>
      <c r="H9" s="79">
        <f>IF(H3=0,0,H3/TrNavi_ene!H3)</f>
        <v>3.0819796042277989</v>
      </c>
      <c r="I9" s="79">
        <f>IF(I3=0,0,I3/TrNavi_ene!I3)</f>
        <v>3.0837384677606008</v>
      </c>
      <c r="J9" s="79">
        <f>IF(J3=0,0,J3/TrNavi_ene!J3)</f>
        <v>3.0578981481147522</v>
      </c>
      <c r="K9" s="79">
        <f>IF(K3=0,0,K3/TrNavi_ene!K3)</f>
        <v>3.0481907703220901</v>
      </c>
      <c r="L9" s="79">
        <f>IF(L3=0,0,L3/TrNavi_ene!L3)</f>
        <v>3.0493020832536186</v>
      </c>
      <c r="M9" s="79">
        <f>IF(M3=0,0,M3/TrNavi_ene!M3)</f>
        <v>3.0652283391025787</v>
      </c>
      <c r="N9" s="79">
        <f>IF(N3=0,0,N3/TrNavi_ene!N3)</f>
        <v>3.0576832310154933</v>
      </c>
      <c r="O9" s="79">
        <f>IF(O3=0,0,O3/TrNavi_ene!O3)</f>
        <v>3.0554782710918982</v>
      </c>
      <c r="P9" s="79">
        <f>IF(P3=0,0,P3/TrNavi_ene!P3)</f>
        <v>3.0203092808674716</v>
      </c>
      <c r="Q9" s="79">
        <f>IF(Q3=0,0,Q3/TrNavi_ene!Q3)</f>
        <v>3.0294861655504994</v>
      </c>
      <c r="R9" s="79">
        <f>IF(R3=0,0,R3/TrNavi_ene!R3)</f>
        <v>3.0234814956690639</v>
      </c>
      <c r="S9" s="79">
        <f>IF(S3=0,0,S3/TrNavi_ene!S3)</f>
        <v>3.0148479270846198</v>
      </c>
      <c r="T9" s="79">
        <f>IF(T3=0,0,T3/TrNavi_ene!T3)</f>
        <v>3.0153809998224474</v>
      </c>
      <c r="U9" s="79">
        <f>IF(U3=0,0,U3/TrNavi_ene!U3)</f>
        <v>3.0186628843736427</v>
      </c>
      <c r="V9" s="79">
        <f>IF(V3=0,0,V3/TrNavi_ene!V3)</f>
        <v>2.9671552531437255</v>
      </c>
      <c r="W9" s="79">
        <f>IF(W3=0,0,W3/TrNavi_ene!W3)</f>
        <v>2.8743828095808857</v>
      </c>
      <c r="X9" s="79">
        <f>IF(X3=0,0,X3/TrNavi_ene!X3)</f>
        <v>2.8833081911026728</v>
      </c>
      <c r="Y9" s="79">
        <f>IF(Y3=0,0,Y3/TrNavi_ene!Y3)</f>
        <v>2.8210836252428693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3.0902861356312066</v>
      </c>
      <c r="C10" s="80">
        <f>IF(C4=0,0,C4/TrNavi_ene!C4)</f>
        <v>3.0772499608913924</v>
      </c>
      <c r="D10" s="80">
        <f>IF(D4=0,0,D4/TrNavi_ene!D4)</f>
        <v>3.0834978050231467</v>
      </c>
      <c r="E10" s="80">
        <f>IF(E4=0,0,E4/TrNavi_ene!E4)</f>
        <v>3.0883505475784085</v>
      </c>
      <c r="F10" s="80">
        <f>IF(F4=0,0,F4/TrNavi_ene!F4)</f>
        <v>3.0806171462747325</v>
      </c>
      <c r="G10" s="80">
        <f>IF(G4=0,0,G4/TrNavi_ene!G4)</f>
        <v>3.0792349318379033</v>
      </c>
      <c r="H10" s="80">
        <f>IF(H4=0,0,H4/TrNavi_ene!H4)</f>
        <v>3.0819796042277994</v>
      </c>
      <c r="I10" s="80">
        <f>IF(I4=0,0,I4/TrNavi_ene!I4)</f>
        <v>3.0837384677606008</v>
      </c>
      <c r="J10" s="80">
        <f>IF(J4=0,0,J4/TrNavi_ene!J4)</f>
        <v>3.0578981481147518</v>
      </c>
      <c r="K10" s="80">
        <f>IF(K4=0,0,K4/TrNavi_ene!K4)</f>
        <v>3.0481907703220901</v>
      </c>
      <c r="L10" s="80">
        <f>IF(L4=0,0,L4/TrNavi_ene!L4)</f>
        <v>3.0493020832536191</v>
      </c>
      <c r="M10" s="80">
        <f>IF(M4=0,0,M4/TrNavi_ene!M4)</f>
        <v>3.0652283391025787</v>
      </c>
      <c r="N10" s="80">
        <f>IF(N4=0,0,N4/TrNavi_ene!N4)</f>
        <v>3.0576832310154933</v>
      </c>
      <c r="O10" s="80">
        <f>IF(O4=0,0,O4/TrNavi_ene!O4)</f>
        <v>3.0554782710918986</v>
      </c>
      <c r="P10" s="80">
        <f>IF(P4=0,0,P4/TrNavi_ene!P4)</f>
        <v>3.0203092808674716</v>
      </c>
      <c r="Q10" s="80">
        <f>IF(Q4=0,0,Q4/TrNavi_ene!Q4)</f>
        <v>3.0294861655504999</v>
      </c>
      <c r="R10" s="80">
        <f>IF(R4=0,0,R4/TrNavi_ene!R4)</f>
        <v>3.0234814956690634</v>
      </c>
      <c r="S10" s="80">
        <f>IF(S4=0,0,S4/TrNavi_ene!S4)</f>
        <v>3.0148479270846194</v>
      </c>
      <c r="T10" s="80">
        <f>IF(T4=0,0,T4/TrNavi_ene!T4)</f>
        <v>3.0153809998224474</v>
      </c>
      <c r="U10" s="80">
        <f>IF(U4=0,0,U4/TrNavi_ene!U4)</f>
        <v>3.0186628843736432</v>
      </c>
      <c r="V10" s="80">
        <f>IF(V4=0,0,V4/TrNavi_ene!V4)</f>
        <v>2.967155253143726</v>
      </c>
      <c r="W10" s="80">
        <f>IF(W4=0,0,W4/TrNavi_ene!W4)</f>
        <v>2.8743828095808857</v>
      </c>
      <c r="X10" s="80">
        <f>IF(X4=0,0,X4/TrNavi_ene!X4)</f>
        <v>2.8833081911026728</v>
      </c>
      <c r="Y10" s="80">
        <f>IF(Y4=0,0,Y4/TrNavi_ene!Y4)</f>
        <v>2.8210836252428693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3.0902861356312052</v>
      </c>
      <c r="C11" s="81">
        <f>IF(C5=0,0,C5/TrNavi_ene!C10)</f>
        <v>3.0772499608913924</v>
      </c>
      <c r="D11" s="81">
        <f>IF(D5=0,0,D5/TrNavi_ene!D10)</f>
        <v>3.0834978050231467</v>
      </c>
      <c r="E11" s="81">
        <f>IF(E5=0,0,E5/TrNavi_ene!E10)</f>
        <v>3.0883505475784077</v>
      </c>
      <c r="F11" s="81">
        <f>IF(F5=0,0,F5/TrNavi_ene!F10)</f>
        <v>3.0806171462747329</v>
      </c>
      <c r="G11" s="81">
        <f>IF(G5=0,0,G5/TrNavi_ene!G10)</f>
        <v>3.0792349318379038</v>
      </c>
      <c r="H11" s="81">
        <f>IF(H5=0,0,H5/TrNavi_ene!H10)</f>
        <v>3.0819796042277994</v>
      </c>
      <c r="I11" s="81">
        <f>IF(I5=0,0,I5/TrNavi_ene!I10)</f>
        <v>3.0837384677606008</v>
      </c>
      <c r="J11" s="81">
        <f>IF(J5=0,0,J5/TrNavi_ene!J10)</f>
        <v>3.0578981481147522</v>
      </c>
      <c r="K11" s="81">
        <f>IF(K5=0,0,K5/TrNavi_ene!K10)</f>
        <v>3.0481907703220901</v>
      </c>
      <c r="L11" s="81">
        <f>IF(L5=0,0,L5/TrNavi_ene!L10)</f>
        <v>3.0493020832536191</v>
      </c>
      <c r="M11" s="81">
        <f>IF(M5=0,0,M5/TrNavi_ene!M10)</f>
        <v>3.0652283391025787</v>
      </c>
      <c r="N11" s="81">
        <f>IF(N5=0,0,N5/TrNavi_ene!N10)</f>
        <v>3.0576832310154933</v>
      </c>
      <c r="O11" s="81">
        <f>IF(O5=0,0,O5/TrNavi_ene!O10)</f>
        <v>3.0554782710918995</v>
      </c>
      <c r="P11" s="81">
        <f>IF(P5=0,0,P5/TrNavi_ene!P10)</f>
        <v>3.0203092808674721</v>
      </c>
      <c r="Q11" s="81">
        <f>IF(Q5=0,0,Q5/TrNavi_ene!Q10)</f>
        <v>3.0294861655504994</v>
      </c>
      <c r="R11" s="81">
        <f>IF(R5=0,0,R5/TrNavi_ene!R10)</f>
        <v>3.0234814956690639</v>
      </c>
      <c r="S11" s="81">
        <f>IF(S5=0,0,S5/TrNavi_ene!S10)</f>
        <v>3.0148479270846194</v>
      </c>
      <c r="T11" s="81">
        <f>IF(T5=0,0,T5/TrNavi_ene!T10)</f>
        <v>3.0153809998224474</v>
      </c>
      <c r="U11" s="81">
        <f>IF(U5=0,0,U5/TrNavi_ene!U10)</f>
        <v>3.0186628843736436</v>
      </c>
      <c r="V11" s="81">
        <f>IF(V5=0,0,V5/TrNavi_ene!V10)</f>
        <v>2.967155253143726</v>
      </c>
      <c r="W11" s="81">
        <f>IF(W5=0,0,W5/TrNavi_ene!W10)</f>
        <v>2.8743828095808857</v>
      </c>
      <c r="X11" s="81">
        <f>IF(X5=0,0,X5/TrNavi_ene!X10)</f>
        <v>2.8833081911026732</v>
      </c>
      <c r="Y11" s="81">
        <f>IF(Y5=0,0,Y5/TrNavi_ene!Y10)</f>
        <v>2.8210836252428693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415482.83252491686</v>
      </c>
      <c r="C13" s="54">
        <f>IF(C3=0,0,C3/TrNavi_act!C7*1000)</f>
        <v>451635.51639246772</v>
      </c>
      <c r="D13" s="54">
        <f>IF(D3=0,0,D3/TrNavi_act!D7*1000)</f>
        <v>452609.22406101046</v>
      </c>
      <c r="E13" s="54">
        <f>IF(E3=0,0,E3/TrNavi_act!E7*1000)</f>
        <v>461611.44101599255</v>
      </c>
      <c r="F13" s="54">
        <f>IF(F3=0,0,F3/TrNavi_act!F7*1000)</f>
        <v>421173.46465116279</v>
      </c>
      <c r="G13" s="54">
        <f>IF(G3=0,0,G3/TrNavi_act!G7*1000)</f>
        <v>549563.5356221199</v>
      </c>
      <c r="H13" s="54">
        <f>IF(H3=0,0,H3/TrNavi_act!H7*1000)</f>
        <v>661017.00837209309</v>
      </c>
      <c r="I13" s="54">
        <f>IF(I3=0,0,I3/TrNavi_act!I7*1000)</f>
        <v>507083.14938461548</v>
      </c>
      <c r="J13" s="54">
        <f>IF(J3=0,0,J3/TrNavi_act!J7*1000)</f>
        <v>567865.23308192461</v>
      </c>
      <c r="K13" s="54">
        <f>IF(K3=0,0,K3/TrNavi_act!K7*1000)</f>
        <v>713610.04457142868</v>
      </c>
      <c r="L13" s="54">
        <f>IF(L3=0,0,L3/TrNavi_act!L7*1000)</f>
        <v>709484.65848693263</v>
      </c>
      <c r="M13" s="54">
        <f>IF(M3=0,0,M3/TrNavi_act!M7*1000)</f>
        <v>578334.74340775574</v>
      </c>
      <c r="N13" s="54">
        <f>IF(N3=0,0,N3/TrNavi_act!N7*1000)</f>
        <v>519256.12004540302</v>
      </c>
      <c r="O13" s="54">
        <f>IF(O3=0,0,O3/TrNavi_act!O7*1000)</f>
        <v>593560.04456692899</v>
      </c>
      <c r="P13" s="54">
        <f>IF(P3=0,0,P3/TrNavi_act!P7*1000)</f>
        <v>525044.00983957213</v>
      </c>
      <c r="Q13" s="54">
        <f>IF(Q3=0,0,Q3/TrNavi_act!Q7*1000)</f>
        <v>573218.22413793101</v>
      </c>
      <c r="R13" s="54">
        <f>IF(R3=0,0,R3/TrNavi_act!R7*1000)</f>
        <v>579893.13559006224</v>
      </c>
      <c r="S13" s="54">
        <f>IF(S3=0,0,S3/TrNavi_act!S7*1000)</f>
        <v>538568.24430167617</v>
      </c>
      <c r="T13" s="54">
        <f>IF(T3=0,0,T3/TrNavi_act!T7*1000)</f>
        <v>496155.67644787644</v>
      </c>
      <c r="U13" s="54">
        <f>IF(U3=0,0,U3/TrNavi_act!U7*1000)</f>
        <v>376800.54505203402</v>
      </c>
      <c r="V13" s="54">
        <f>IF(V3=0,0,V3/TrNavi_act!V7*1000)</f>
        <v>443637.21083665336</v>
      </c>
      <c r="W13" s="54">
        <f>IF(W3=0,0,W3/TrNavi_act!W7*1000)</f>
        <v>489674.97509433946</v>
      </c>
      <c r="X13" s="54">
        <f>IF(X3=0,0,X3/TrNavi_act!X7*1000)</f>
        <v>361721.67792265193</v>
      </c>
      <c r="Y13" s="54">
        <f>IF(Y3=0,0,Y3/TrNavi_act!Y7*1000)</f>
        <v>337523.24758229282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1056541.1556139663</v>
      </c>
      <c r="C14" s="56">
        <f>IF(C4=0,0,C4/TrNavi_act!C8*1000)</f>
        <v>1082815.0776399716</v>
      </c>
      <c r="D14" s="56">
        <f>IF(D4=0,0,D4/TrNavi_act!D8*1000)</f>
        <v>1109868.9305874694</v>
      </c>
      <c r="E14" s="56">
        <f>IF(E4=0,0,E4/TrNavi_act!E8*1000)</f>
        <v>1262454.5311902214</v>
      </c>
      <c r="F14" s="56">
        <f>IF(F4=0,0,F4/TrNavi_act!F8*1000)</f>
        <v>1250476.377659274</v>
      </c>
      <c r="G14" s="56">
        <f>IF(G4=0,0,G4/TrNavi_act!G8*1000)</f>
        <v>1437347.7103343317</v>
      </c>
      <c r="H14" s="56">
        <f>IF(H4=0,0,H4/TrNavi_act!H8*1000)</f>
        <v>1441864.6959130608</v>
      </c>
      <c r="I14" s="56">
        <f>IF(I4=0,0,I4/TrNavi_act!I8*1000)</f>
        <v>1344243.4201059032</v>
      </c>
      <c r="J14" s="56">
        <f>IF(J4=0,0,J4/TrNavi_act!J8*1000)</f>
        <v>1204120.7165504352</v>
      </c>
      <c r="K14" s="56">
        <f>IF(K4=0,0,K4/TrNavi_act!K8*1000)</f>
        <v>1443492.833778257</v>
      </c>
      <c r="L14" s="56">
        <f>IF(L4=0,0,L4/TrNavi_act!L8*1000)</f>
        <v>1133907.9256944237</v>
      </c>
      <c r="M14" s="56">
        <f>IF(M4=0,0,M4/TrNavi_act!M8*1000)</f>
        <v>953857.04673476261</v>
      </c>
      <c r="N14" s="56">
        <f>IF(N4=0,0,N4/TrNavi_act!N8*1000)</f>
        <v>1195034.0470544538</v>
      </c>
      <c r="O14" s="56">
        <f>IF(O4=0,0,O4/TrNavi_act!O8*1000)</f>
        <v>1580181.964754153</v>
      </c>
      <c r="P14" s="56">
        <f>IF(P4=0,0,P4/TrNavi_act!P8*1000)</f>
        <v>1270218.7551976743</v>
      </c>
      <c r="Q14" s="56">
        <f>IF(Q4=0,0,Q4/TrNavi_act!Q8*1000)</f>
        <v>1244600.1096233071</v>
      </c>
      <c r="R14" s="56">
        <f>IF(R4=0,0,R4/TrNavi_act!R8*1000)</f>
        <v>1106513.7734895896</v>
      </c>
      <c r="S14" s="56">
        <f>IF(S4=0,0,S4/TrNavi_act!S8*1000)</f>
        <v>1091907.8702793319</v>
      </c>
      <c r="T14" s="56">
        <f>IF(T4=0,0,T4/TrNavi_act!T8*1000)</f>
        <v>900899.70204126963</v>
      </c>
      <c r="U14" s="56">
        <f>IF(U4=0,0,U4/TrNavi_act!U8*1000)</f>
        <v>572479.59530283813</v>
      </c>
      <c r="V14" s="56">
        <f>IF(V4=0,0,V4/TrNavi_act!V8*1000)</f>
        <v>871332.20646720822</v>
      </c>
      <c r="W14" s="56">
        <f>IF(W4=0,0,W4/TrNavi_act!W8*1000)</f>
        <v>1286870.938731414</v>
      </c>
      <c r="X14" s="56">
        <f>IF(X4=0,0,X4/TrNavi_act!X8*1000)</f>
        <v>913401.5003517695</v>
      </c>
      <c r="Y14" s="56">
        <f>IF(Y4=0,0,Y4/TrNavi_act!Y8*1000)</f>
        <v>1082870.2578778772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89330.352356804025</v>
      </c>
      <c r="C15" s="58">
        <f>IF(C5=0,0,C5/TrNavi_act!C9*1000)</f>
        <v>92363.791016750023</v>
      </c>
      <c r="D15" s="58">
        <f>IF(D5=0,0,D5/TrNavi_act!D9*1000)</f>
        <v>89949.652264606382</v>
      </c>
      <c r="E15" s="58">
        <f>IF(E5=0,0,E5/TrNavi_act!E9*1000)</f>
        <v>102650.43738203986</v>
      </c>
      <c r="F15" s="58">
        <f>IF(F5=0,0,F5/TrNavi_act!F9*1000)</f>
        <v>101578.41391321666</v>
      </c>
      <c r="G15" s="58">
        <f>IF(G5=0,0,G5/TrNavi_act!G9*1000)</f>
        <v>111019.54570403954</v>
      </c>
      <c r="H15" s="58">
        <f>IF(H5=0,0,H5/TrNavi_act!H9*1000)</f>
        <v>113565.55271150252</v>
      </c>
      <c r="I15" s="58">
        <f>IF(I5=0,0,I5/TrNavi_act!I9*1000)</f>
        <v>105770.18888237652</v>
      </c>
      <c r="J15" s="58">
        <f>IF(J5=0,0,J5/TrNavi_act!J9*1000)</f>
        <v>92119.65567024301</v>
      </c>
      <c r="K15" s="58">
        <f>IF(K5=0,0,K5/TrNavi_act!K9*1000)</f>
        <v>114515.50082940789</v>
      </c>
      <c r="L15" s="58">
        <f>IF(L5=0,0,L5/TrNavi_act!L9*1000)</f>
        <v>91489.968735484479</v>
      </c>
      <c r="M15" s="58">
        <f>IF(M5=0,0,M5/TrNavi_act!M9*1000)</f>
        <v>75918.914505963287</v>
      </c>
      <c r="N15" s="58">
        <f>IF(N5=0,0,N5/TrNavi_act!N9*1000)</f>
        <v>96583.209978856379</v>
      </c>
      <c r="O15" s="58">
        <f>IF(O5=0,0,O5/TrNavi_act!O9*1000)</f>
        <v>131615.6773116391</v>
      </c>
      <c r="P15" s="58">
        <f>IF(P5=0,0,P5/TrNavi_act!P9*1000)</f>
        <v>106563.82925224556</v>
      </c>
      <c r="Q15" s="58">
        <f>IF(Q5=0,0,Q5/TrNavi_act!Q9*1000)</f>
        <v>107661.44223201326</v>
      </c>
      <c r="R15" s="58">
        <f>IF(R5=0,0,R5/TrNavi_act!R9*1000)</f>
        <v>91113.501611458982</v>
      </c>
      <c r="S15" s="58">
        <f>IF(S5=0,0,S5/TrNavi_act!S9*1000)</f>
        <v>83787.839236070809</v>
      </c>
      <c r="T15" s="58">
        <f>IF(T5=0,0,T5/TrNavi_act!T9*1000)</f>
        <v>71121.053265368508</v>
      </c>
      <c r="U15" s="58">
        <f>IF(U5=0,0,U5/TrNavi_act!U9*1000)</f>
        <v>46187.595009962934</v>
      </c>
      <c r="V15" s="58">
        <f>IF(V5=0,0,V5/TrNavi_act!V9*1000)</f>
        <v>74168.019066693931</v>
      </c>
      <c r="W15" s="58">
        <f>IF(W5=0,0,W5/TrNavi_act!W9*1000)</f>
        <v>108184.20279591113</v>
      </c>
      <c r="X15" s="58">
        <f>IF(X5=0,0,X5/TrNavi_act!X9*1000)</f>
        <v>72879.211970706558</v>
      </c>
      <c r="Y15" s="58">
        <f>IF(Y5=0,0,Y5/TrNavi_act!Y9*1000)</f>
        <v>86435.180381048835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511.98315196721609</v>
      </c>
      <c r="C17" s="62">
        <f>IF(C3=0,0,C3/TrNavi_act!C3*1000)</f>
        <v>513.41241184284195</v>
      </c>
      <c r="D17" s="62">
        <f>IF(D3=0,0,D3/TrNavi_act!D3*1000)</f>
        <v>501.03002678283116</v>
      </c>
      <c r="E17" s="62">
        <f>IF(E3=0,0,E3/TrNavi_act!E3*1000)</f>
        <v>565.70942593561881</v>
      </c>
      <c r="F17" s="62">
        <f>IF(F3=0,0,F3/TrNavi_act!F3*1000)</f>
        <v>557.24291331510062</v>
      </c>
      <c r="G17" s="62">
        <f>IF(G3=0,0,G3/TrNavi_act!G3*1000)</f>
        <v>633.05116992489991</v>
      </c>
      <c r="H17" s="62">
        <f>IF(H3=0,0,H3/TrNavi_act!H3*1000)</f>
        <v>603.72477521414226</v>
      </c>
      <c r="I17" s="62">
        <f>IF(I3=0,0,I3/TrNavi_act!I3*1000)</f>
        <v>555.29386996199889</v>
      </c>
      <c r="J17" s="62">
        <f>IF(J3=0,0,J3/TrNavi_act!J3*1000)</f>
        <v>470.43654080421277</v>
      </c>
      <c r="K17" s="62">
        <f>IF(K3=0,0,K3/TrNavi_act!K3*1000)</f>
        <v>562.39533055121888</v>
      </c>
      <c r="L17" s="62">
        <f>IF(L3=0,0,L3/TrNavi_act!L3*1000)</f>
        <v>434.00677076864827</v>
      </c>
      <c r="M17" s="62">
        <f>IF(M3=0,0,M3/TrNavi_act!M3*1000)</f>
        <v>389.33177860997597</v>
      </c>
      <c r="N17" s="62">
        <f>IF(N3=0,0,N3/TrNavi_act!N3*1000)</f>
        <v>481.94504007037466</v>
      </c>
      <c r="O17" s="62">
        <f>IF(O3=0,0,O3/TrNavi_act!O3*1000)</f>
        <v>620.3405192674843</v>
      </c>
      <c r="P17" s="62">
        <f>IF(P3=0,0,P3/TrNavi_act!P3*1000)</f>
        <v>485.30601170469367</v>
      </c>
      <c r="Q17" s="62">
        <f>IF(Q3=0,0,Q3/TrNavi_act!Q3*1000)</f>
        <v>453.71926169382812</v>
      </c>
      <c r="R17" s="62">
        <f>IF(R3=0,0,R3/TrNavi_act!R3*1000)</f>
        <v>391.66969519184892</v>
      </c>
      <c r="S17" s="62">
        <f>IF(S3=0,0,S3/TrNavi_act!S3*1000)</f>
        <v>380.21192473224659</v>
      </c>
      <c r="T17" s="62">
        <f>IF(T3=0,0,T3/TrNavi_act!T3*1000)</f>
        <v>323.59723244365659</v>
      </c>
      <c r="U17" s="62">
        <f>IF(U3=0,0,U3/TrNavi_act!U3*1000)</f>
        <v>211.56223400288329</v>
      </c>
      <c r="V17" s="62">
        <f>IF(V3=0,0,V3/TrNavi_act!V3*1000)</f>
        <v>295.30139727221382</v>
      </c>
      <c r="W17" s="62">
        <f>IF(W3=0,0,W3/TrNavi_act!W3*1000)</f>
        <v>426.92288730237857</v>
      </c>
      <c r="X17" s="62">
        <f>IF(X3=0,0,X3/TrNavi_act!X3*1000)</f>
        <v>311.34561361193806</v>
      </c>
      <c r="Y17" s="62">
        <f>IF(Y3=0,0,Y3/TrNavi_act!Y3*1000)</f>
        <v>347.02244541851633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499.32800178248277</v>
      </c>
      <c r="C18" s="63">
        <f>IF(C4=0,0,C4/TrNavi_act!C4*1000)</f>
        <v>503.83276495183594</v>
      </c>
      <c r="D18" s="63">
        <f>IF(D4=0,0,D4/TrNavi_act!D4*1000)</f>
        <v>495.41672084881213</v>
      </c>
      <c r="E18" s="63">
        <f>IF(E4=0,0,E4/TrNavi_act!E4*1000)</f>
        <v>547.66722938417615</v>
      </c>
      <c r="F18" s="63">
        <f>IF(F4=0,0,F4/TrNavi_act!F4*1000)</f>
        <v>534.93335440436169</v>
      </c>
      <c r="G18" s="63">
        <f>IF(G4=0,0,G4/TrNavi_act!G4*1000)</f>
        <v>607.96223711945595</v>
      </c>
      <c r="H18" s="63">
        <f>IF(H4=0,0,H4/TrNavi_act!H4*1000)</f>
        <v>588.59076000448704</v>
      </c>
      <c r="I18" s="63">
        <f>IF(I4=0,0,I4/TrNavi_act!I4*1000)</f>
        <v>534.39458748799927</v>
      </c>
      <c r="J18" s="63">
        <f>IF(J4=0,0,J4/TrNavi_act!J4*1000)</f>
        <v>467.02046743234189</v>
      </c>
      <c r="K18" s="63">
        <f>IF(K4=0,0,K4/TrNavi_act!K4*1000)</f>
        <v>555.19556657307351</v>
      </c>
      <c r="L18" s="63">
        <f>IF(L4=0,0,L4/TrNavi_act!L4*1000)</f>
        <v>439.31351159539446</v>
      </c>
      <c r="M18" s="63">
        <f>IF(M4=0,0,M4/TrNavi_act!M4*1000)</f>
        <v>395.63893850880009</v>
      </c>
      <c r="N18" s="63">
        <f>IF(N4=0,0,N4/TrNavi_act!N4*1000)</f>
        <v>490.92836562000934</v>
      </c>
      <c r="O18" s="63">
        <f>IF(O4=0,0,O4/TrNavi_act!O4*1000)</f>
        <v>631.44497887739465</v>
      </c>
      <c r="P18" s="63">
        <f>IF(P4=0,0,P4/TrNavi_act!P4*1000)</f>
        <v>507.52300065974856</v>
      </c>
      <c r="Q18" s="63">
        <f>IF(Q4=0,0,Q4/TrNavi_act!Q4*1000)</f>
        <v>472.12339945247965</v>
      </c>
      <c r="R18" s="63">
        <f>IF(R4=0,0,R4/TrNavi_act!R4*1000)</f>
        <v>403.32195133573515</v>
      </c>
      <c r="S18" s="63">
        <f>IF(S4=0,0,S4/TrNavi_act!S4*1000)</f>
        <v>395.44269232217471</v>
      </c>
      <c r="T18" s="63">
        <f>IF(T4=0,0,T4/TrNavi_act!T4*1000)</f>
        <v>333.9904145024538</v>
      </c>
      <c r="U18" s="63">
        <f>IF(U4=0,0,U4/TrNavi_act!U4*1000)</f>
        <v>215.9124841562076</v>
      </c>
      <c r="V18" s="63">
        <f>IF(V4=0,0,V4/TrNavi_act!V4*1000)</f>
        <v>302.80891061367936</v>
      </c>
      <c r="W18" s="63">
        <f>IF(W4=0,0,W4/TrNavi_act!W4*1000)</f>
        <v>446.80653325077049</v>
      </c>
      <c r="X18" s="63">
        <f>IF(X4=0,0,X4/TrNavi_act!X4*1000)</f>
        <v>331.30152503341418</v>
      </c>
      <c r="Y18" s="63">
        <f>IF(Y4=0,0,Y4/TrNavi_act!Y4*1000)</f>
        <v>378.05196741683824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604.11543373499671</v>
      </c>
      <c r="C19" s="64">
        <f>IF(C5=0,0,C5/TrNavi_act!C5*1000)</f>
        <v>588.01898637396312</v>
      </c>
      <c r="D19" s="64">
        <f>IF(D5=0,0,D5/TrNavi_act!D5*1000)</f>
        <v>542.91040116851718</v>
      </c>
      <c r="E19" s="64">
        <f>IF(E5=0,0,E5/TrNavi_act!E5*1000)</f>
        <v>691.24239484786472</v>
      </c>
      <c r="F19" s="64">
        <f>IF(F5=0,0,F5/TrNavi_act!F5*1000)</f>
        <v>694.69305108445644</v>
      </c>
      <c r="G19" s="64">
        <f>IF(G5=0,0,G5/TrNavi_act!G5*1000)</f>
        <v>860.03141405395957</v>
      </c>
      <c r="H19" s="64">
        <f>IF(H5=0,0,H5/TrNavi_act!H5*1000)</f>
        <v>782.91403763232802</v>
      </c>
      <c r="I19" s="64">
        <f>IF(I5=0,0,I5/TrNavi_act!I5*1000)</f>
        <v>728.98473317951652</v>
      </c>
      <c r="J19" s="64">
        <f>IF(J5=0,0,J5/TrNavi_act!J5*1000)</f>
        <v>506.65810618633657</v>
      </c>
      <c r="K19" s="64">
        <f>IF(K5=0,0,K5/TrNavi_act!K5*1000)</f>
        <v>649.5469391307397</v>
      </c>
      <c r="L19" s="64">
        <f>IF(L5=0,0,L5/TrNavi_act!L5*1000)</f>
        <v>356.32935191715006</v>
      </c>
      <c r="M19" s="64">
        <f>IF(M5=0,0,M5/TrNavi_act!M5*1000)</f>
        <v>307.04983200189594</v>
      </c>
      <c r="N19" s="64">
        <f>IF(N5=0,0,N5/TrNavi_act!N5*1000)</f>
        <v>422.16209523016249</v>
      </c>
      <c r="O19" s="64">
        <f>IF(O5=0,0,O5/TrNavi_act!O5*1000)</f>
        <v>564.53335970860087</v>
      </c>
      <c r="P19" s="64">
        <f>IF(P5=0,0,P5/TrNavi_act!P5*1000)</f>
        <v>375.32407508695309</v>
      </c>
      <c r="Q19" s="64">
        <f>IF(Q5=0,0,Q5/TrNavi_act!Q5*1000)</f>
        <v>345.69416216685505</v>
      </c>
      <c r="R19" s="64">
        <f>IF(R5=0,0,R5/TrNavi_act!R5*1000)</f>
        <v>295.45543240997381</v>
      </c>
      <c r="S19" s="64">
        <f>IF(S5=0,0,S5/TrNavi_act!S5*1000)</f>
        <v>269.17128735511579</v>
      </c>
      <c r="T19" s="64">
        <f>IF(T5=0,0,T5/TrNavi_act!T5*1000)</f>
        <v>228.86218178129431</v>
      </c>
      <c r="U19" s="64">
        <f>IF(U5=0,0,U5/TrNavi_act!U5*1000)</f>
        <v>148.78462982717568</v>
      </c>
      <c r="V19" s="64">
        <f>IF(V5=0,0,V5/TrNavi_act!V5*1000)</f>
        <v>235.93606065310513</v>
      </c>
      <c r="W19" s="64">
        <f>IF(W5=0,0,W5/TrNavi_act!W5*1000)</f>
        <v>340.63404393847696</v>
      </c>
      <c r="X19" s="64">
        <f>IF(X5=0,0,X5/TrNavi_act!X5*1000)</f>
        <v>223.1456284051531</v>
      </c>
      <c r="Y19" s="64">
        <f>IF(Y5=0,0,Y5/TrNavi_act!Y5*1000)</f>
        <v>257.74110348919089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0.85749753797946138</v>
      </c>
      <c r="C22" s="77">
        <f t="shared" si="6"/>
        <v>0.86967327877671496</v>
      </c>
      <c r="D22" s="77">
        <f t="shared" si="6"/>
        <v>0.87193003348357545</v>
      </c>
      <c r="E22" s="77">
        <f t="shared" si="6"/>
        <v>0.84645098482352588</v>
      </c>
      <c r="F22" s="77">
        <f t="shared" si="6"/>
        <v>0.82591066869894969</v>
      </c>
      <c r="G22" s="77">
        <f t="shared" si="6"/>
        <v>0.86478093015355073</v>
      </c>
      <c r="H22" s="77">
        <f t="shared" si="6"/>
        <v>0.89900394257554406</v>
      </c>
      <c r="I22" s="77">
        <f t="shared" si="6"/>
        <v>0.85900422901635487</v>
      </c>
      <c r="J22" s="77">
        <f t="shared" si="6"/>
        <v>0.90718175290644898</v>
      </c>
      <c r="K22" s="77">
        <f t="shared" si="6"/>
        <v>0.91186693542713926</v>
      </c>
      <c r="L22" s="77">
        <f t="shared" si="6"/>
        <v>0.94749655862947446</v>
      </c>
      <c r="M22" s="77">
        <f t="shared" si="6"/>
        <v>0.94385093481588422</v>
      </c>
      <c r="N22" s="77">
        <f t="shared" si="6"/>
        <v>0.88556908003394152</v>
      </c>
      <c r="O22" s="77">
        <f t="shared" si="6"/>
        <v>0.84897273739923362</v>
      </c>
      <c r="P22" s="77">
        <f t="shared" si="6"/>
        <v>0.87002853161632754</v>
      </c>
      <c r="Q22" s="77">
        <f t="shared" si="6"/>
        <v>0.88908946856081039</v>
      </c>
      <c r="R22" s="77">
        <f t="shared" si="6"/>
        <v>0.91851167910718778</v>
      </c>
      <c r="S22" s="77">
        <f t="shared" si="6"/>
        <v>0.91460749056602819</v>
      </c>
      <c r="T22" s="77">
        <f t="shared" si="6"/>
        <v>0.93008048511359276</v>
      </c>
      <c r="U22" s="77">
        <f t="shared" si="6"/>
        <v>0.95442450546563129</v>
      </c>
      <c r="V22" s="77">
        <f t="shared" ref="V22:W22" si="7">IF(V4=0,0,V4/V$3)</f>
        <v>0.91030358149360802</v>
      </c>
      <c r="W22" s="77">
        <f t="shared" si="7"/>
        <v>0.85057521693204474</v>
      </c>
      <c r="X22" s="77">
        <f t="shared" ref="X22:Y22" si="8">IF(X4=0,0,X4/X$3)</f>
        <v>0.86775873436004347</v>
      </c>
      <c r="Y22" s="77">
        <f t="shared" si="8"/>
        <v>0.80844373621125554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0.14250246202053865</v>
      </c>
      <c r="C23" s="78">
        <f t="shared" si="9"/>
        <v>0.13032672122328509</v>
      </c>
      <c r="D23" s="78">
        <f t="shared" si="9"/>
        <v>0.12806996651642455</v>
      </c>
      <c r="E23" s="78">
        <f t="shared" si="9"/>
        <v>0.15354901517647412</v>
      </c>
      <c r="F23" s="78">
        <f t="shared" si="9"/>
        <v>0.17408933130105031</v>
      </c>
      <c r="G23" s="78">
        <f t="shared" si="9"/>
        <v>0.13521906984644927</v>
      </c>
      <c r="H23" s="78">
        <f t="shared" si="9"/>
        <v>0.10099605742445594</v>
      </c>
      <c r="I23" s="78">
        <f t="shared" si="9"/>
        <v>0.1409957709836451</v>
      </c>
      <c r="J23" s="78">
        <f t="shared" si="9"/>
        <v>9.2818247093550979E-2</v>
      </c>
      <c r="K23" s="78">
        <f t="shared" si="9"/>
        <v>8.8133064572860742E-2</v>
      </c>
      <c r="L23" s="78">
        <f t="shared" si="9"/>
        <v>5.2503441370525525E-2</v>
      </c>
      <c r="M23" s="78">
        <f t="shared" si="9"/>
        <v>5.6149065184115762E-2</v>
      </c>
      <c r="N23" s="78">
        <f t="shared" si="9"/>
        <v>0.11443091996605843</v>
      </c>
      <c r="O23" s="78">
        <f t="shared" si="9"/>
        <v>0.15102726260076632</v>
      </c>
      <c r="P23" s="78">
        <f t="shared" si="9"/>
        <v>0.12997146838367243</v>
      </c>
      <c r="Q23" s="78">
        <f t="shared" si="9"/>
        <v>0.11091053143918965</v>
      </c>
      <c r="R23" s="78">
        <f t="shared" si="9"/>
        <v>8.1488320892812161E-2</v>
      </c>
      <c r="S23" s="78">
        <f t="shared" si="9"/>
        <v>8.5392509433971753E-2</v>
      </c>
      <c r="T23" s="78">
        <f t="shared" si="9"/>
        <v>6.9919514886407325E-2</v>
      </c>
      <c r="U23" s="78">
        <f t="shared" si="9"/>
        <v>4.5575494534368807E-2</v>
      </c>
      <c r="V23" s="78">
        <f t="shared" ref="V23:W23" si="10">IF(V5=0,0,V5/V$3)</f>
        <v>8.9696418506392053E-2</v>
      </c>
      <c r="W23" s="78">
        <f t="shared" si="10"/>
        <v>0.14942478306795526</v>
      </c>
      <c r="X23" s="78">
        <f t="shared" ref="X23:Y23" si="11">IF(X5=0,0,X5/X$3)</f>
        <v>0.13224126563995656</v>
      </c>
      <c r="Y23" s="78">
        <f t="shared" si="11"/>
        <v>0.19155626378874438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114311.951642</v>
      </c>
      <c r="C3" s="54">
        <f t="shared" si="0"/>
        <v>132044.14726300002</v>
      </c>
      <c r="D3" s="54">
        <f t="shared" si="0"/>
        <v>149399.20454900002</v>
      </c>
      <c r="E3" s="54">
        <f t="shared" si="0"/>
        <v>162369.50329999998</v>
      </c>
      <c r="F3" s="54">
        <f t="shared" si="0"/>
        <v>166973.96856800001</v>
      </c>
      <c r="G3" s="54">
        <f t="shared" si="0"/>
        <v>152912.612517</v>
      </c>
      <c r="H3" s="54">
        <f t="shared" si="0"/>
        <v>163665.43560699999</v>
      </c>
      <c r="I3" s="54">
        <f t="shared" si="0"/>
        <v>168976.64244699999</v>
      </c>
      <c r="J3" s="54">
        <f t="shared" si="0"/>
        <v>183894.454486</v>
      </c>
      <c r="K3" s="54">
        <f t="shared" si="0"/>
        <v>157682.84138699999</v>
      </c>
      <c r="L3" s="54">
        <f t="shared" si="0"/>
        <v>177547.19013899998</v>
      </c>
      <c r="M3" s="54">
        <f t="shared" si="0"/>
        <v>192443.118136</v>
      </c>
      <c r="N3" s="54">
        <f t="shared" si="0"/>
        <v>182630.12815899999</v>
      </c>
      <c r="O3" s="54">
        <f t="shared" si="0"/>
        <v>188716.55197999999</v>
      </c>
      <c r="P3" s="54">
        <f t="shared" si="0"/>
        <v>186497.899393</v>
      </c>
      <c r="Q3" s="54">
        <f t="shared" si="0"/>
        <v>153921.69265699998</v>
      </c>
      <c r="R3" s="54">
        <f t="shared" ref="R3:W3" si="1">SUM(R4:R5)</f>
        <v>175675.52304499998</v>
      </c>
      <c r="S3" s="54">
        <f t="shared" si="1"/>
        <v>178694.77658800001</v>
      </c>
      <c r="T3" s="54">
        <f t="shared" si="1"/>
        <v>187598.05703600001</v>
      </c>
      <c r="U3" s="54">
        <f t="shared" si="1"/>
        <v>194856.43445100001</v>
      </c>
      <c r="V3" s="54">
        <f t="shared" si="1"/>
        <v>178076.04207</v>
      </c>
      <c r="W3" s="54">
        <f t="shared" si="1"/>
        <v>167561.21124500001</v>
      </c>
      <c r="X3" s="54">
        <f t="shared" ref="X3:Y3" si="2">SUM(X4:X5)</f>
        <v>164254.06692700001</v>
      </c>
      <c r="Y3" s="54">
        <f t="shared" si="2"/>
        <v>135518.45063899999</v>
      </c>
      <c r="DA3" s="172" t="s">
        <v>388</v>
      </c>
    </row>
    <row r="4" spans="1:105" ht="11.45" customHeight="1" x14ac:dyDescent="0.25">
      <c r="A4" s="55" t="s">
        <v>166</v>
      </c>
      <c r="B4" s="56">
        <v>56515.607217000004</v>
      </c>
      <c r="C4" s="56">
        <v>54445.728969999996</v>
      </c>
      <c r="D4" s="56">
        <v>55928.535715999999</v>
      </c>
      <c r="E4" s="56">
        <v>57491.764978000007</v>
      </c>
      <c r="F4" s="56">
        <v>59341.023832999999</v>
      </c>
      <c r="G4" s="56">
        <v>55498.506164999999</v>
      </c>
      <c r="H4" s="56">
        <v>63809.77003</v>
      </c>
      <c r="I4" s="56">
        <v>64006.124450999996</v>
      </c>
      <c r="J4" s="56">
        <v>65254.399216999998</v>
      </c>
      <c r="K4" s="56">
        <v>48467.442371999998</v>
      </c>
      <c r="L4" s="56">
        <v>57429.393904999997</v>
      </c>
      <c r="M4" s="56">
        <v>57854.305908000002</v>
      </c>
      <c r="N4" s="56">
        <v>56365.691634999996</v>
      </c>
      <c r="O4" s="56">
        <v>57378.213283999998</v>
      </c>
      <c r="P4" s="56">
        <v>55537.508907000003</v>
      </c>
      <c r="Q4" s="56">
        <v>53373.181297999996</v>
      </c>
      <c r="R4" s="56">
        <v>57950.844926999998</v>
      </c>
      <c r="S4" s="56">
        <v>60467.226788999993</v>
      </c>
      <c r="T4" s="56">
        <v>61395.314228000003</v>
      </c>
      <c r="U4" s="56">
        <v>60122.295743999995</v>
      </c>
      <c r="V4" s="56">
        <v>58721.975590999995</v>
      </c>
      <c r="W4" s="56">
        <v>58294.945533999999</v>
      </c>
      <c r="X4" s="56">
        <v>61731.737516000001</v>
      </c>
      <c r="Y4" s="56">
        <v>61172.630992999999</v>
      </c>
      <c r="DA4" s="181" t="s">
        <v>389</v>
      </c>
    </row>
    <row r="5" spans="1:105" ht="11.45" customHeight="1" x14ac:dyDescent="0.25">
      <c r="A5" s="57" t="s">
        <v>167</v>
      </c>
      <c r="B5" s="58">
        <v>57796.344425000003</v>
      </c>
      <c r="C5" s="58">
        <v>77598.41829300001</v>
      </c>
      <c r="D5" s="58">
        <v>93470.668833000003</v>
      </c>
      <c r="E5" s="58">
        <v>104877.73832199999</v>
      </c>
      <c r="F5" s="58">
        <v>107632.944735</v>
      </c>
      <c r="G5" s="58">
        <v>97414.106352000003</v>
      </c>
      <c r="H5" s="58">
        <v>99855.665576999992</v>
      </c>
      <c r="I5" s="58">
        <v>104970.517996</v>
      </c>
      <c r="J5" s="58">
        <v>118640.055269</v>
      </c>
      <c r="K5" s="58">
        <v>109215.399015</v>
      </c>
      <c r="L5" s="58">
        <v>120117.79623399999</v>
      </c>
      <c r="M5" s="58">
        <v>134588.812228</v>
      </c>
      <c r="N5" s="58">
        <v>126264.43652399999</v>
      </c>
      <c r="O5" s="58">
        <v>131338.33869599999</v>
      </c>
      <c r="P5" s="58">
        <v>130960.39048599999</v>
      </c>
      <c r="Q5" s="58">
        <v>100548.511359</v>
      </c>
      <c r="R5" s="58">
        <v>117724.678118</v>
      </c>
      <c r="S5" s="58">
        <v>118227.549799</v>
      </c>
      <c r="T5" s="58">
        <v>126202.74280800001</v>
      </c>
      <c r="U5" s="58">
        <v>134734.13870700001</v>
      </c>
      <c r="V5" s="58">
        <v>119354.066479</v>
      </c>
      <c r="W5" s="58">
        <v>109266.265711</v>
      </c>
      <c r="X5" s="58">
        <v>102522.329411</v>
      </c>
      <c r="Y5" s="58">
        <v>74345.819646000004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13.860082999999999</v>
      </c>
      <c r="C7" s="59">
        <f t="shared" si="3"/>
        <v>13.847612999999999</v>
      </c>
      <c r="D7" s="59">
        <f t="shared" si="3"/>
        <v>14.068861999999999</v>
      </c>
      <c r="E7" s="59">
        <f t="shared" si="3"/>
        <v>14.521046</v>
      </c>
      <c r="F7" s="59">
        <f t="shared" si="3"/>
        <v>14.670414000000001</v>
      </c>
      <c r="G7" s="59">
        <f t="shared" si="3"/>
        <v>13.459243000000001</v>
      </c>
      <c r="H7" s="59">
        <f t="shared" si="3"/>
        <v>14.535802</v>
      </c>
      <c r="I7" s="59">
        <f t="shared" si="3"/>
        <v>14.326253999999999</v>
      </c>
      <c r="J7" s="59">
        <f t="shared" si="3"/>
        <v>14.412151</v>
      </c>
      <c r="K7" s="59">
        <f t="shared" si="3"/>
        <v>11.283258999999999</v>
      </c>
      <c r="L7" s="59">
        <f t="shared" si="3"/>
        <v>12.854791000000001</v>
      </c>
      <c r="M7" s="59">
        <f t="shared" si="3"/>
        <v>13.819152000000001</v>
      </c>
      <c r="N7" s="59">
        <f t="shared" si="3"/>
        <v>13.036534</v>
      </c>
      <c r="O7" s="59">
        <f t="shared" si="3"/>
        <v>13.106074</v>
      </c>
      <c r="P7" s="59">
        <f t="shared" si="3"/>
        <v>12.84928</v>
      </c>
      <c r="Q7" s="59">
        <f t="shared" si="3"/>
        <v>11.027577999999998</v>
      </c>
      <c r="R7" s="59">
        <f t="shared" si="3"/>
        <v>11.82343</v>
      </c>
      <c r="S7" s="59">
        <f t="shared" si="3"/>
        <v>12.024635999999999</v>
      </c>
      <c r="T7" s="59">
        <f t="shared" si="3"/>
        <v>12.546199999999999</v>
      </c>
      <c r="U7" s="59">
        <f t="shared" si="3"/>
        <v>12.584538999999999</v>
      </c>
      <c r="V7" s="59">
        <f t="shared" si="3"/>
        <v>11.171581</v>
      </c>
      <c r="W7" s="59">
        <f t="shared" si="3"/>
        <v>11.103418</v>
      </c>
      <c r="X7" s="59">
        <f t="shared" ref="X7:Y7" si="4">SUM(X8:X9)</f>
        <v>11.821408</v>
      </c>
      <c r="Y7" s="59">
        <f t="shared" si="4"/>
        <v>10.478054</v>
      </c>
      <c r="DA7" s="172" t="s">
        <v>963</v>
      </c>
    </row>
    <row r="8" spans="1:105" ht="11.45" customHeight="1" x14ac:dyDescent="0.25">
      <c r="A8" s="55" t="s">
        <v>166</v>
      </c>
      <c r="B8" s="60">
        <v>10.049244999999999</v>
      </c>
      <c r="C8" s="60">
        <v>9.5105249999999995</v>
      </c>
      <c r="D8" s="60">
        <v>9.4135929999999988</v>
      </c>
      <c r="E8" s="60">
        <v>9.3762819999999998</v>
      </c>
      <c r="F8" s="60">
        <v>9.5542230000000004</v>
      </c>
      <c r="G8" s="60">
        <v>8.8443140000000007</v>
      </c>
      <c r="H8" s="60">
        <v>9.8166440000000001</v>
      </c>
      <c r="I8" s="60">
        <v>9.5868679999999991</v>
      </c>
      <c r="J8" s="60">
        <v>9.561852</v>
      </c>
      <c r="K8" s="60">
        <v>7.0390069999999998</v>
      </c>
      <c r="L8" s="60">
        <v>8.4308750000000003</v>
      </c>
      <c r="M8" s="60">
        <v>9.0778700000000008</v>
      </c>
      <c r="N8" s="60">
        <v>8.7529020000000006</v>
      </c>
      <c r="O8" s="60">
        <v>8.6976779999999998</v>
      </c>
      <c r="P8" s="60">
        <v>8.4056700000000006</v>
      </c>
      <c r="Q8" s="60">
        <v>7.6590869999999995</v>
      </c>
      <c r="R8" s="60">
        <v>7.9904679999999999</v>
      </c>
      <c r="S8" s="60">
        <v>8.2696109999999994</v>
      </c>
      <c r="T8" s="60">
        <v>8.5833919999999999</v>
      </c>
      <c r="U8" s="60">
        <v>8.4887169999999994</v>
      </c>
      <c r="V8" s="60">
        <v>7.4981790000000004</v>
      </c>
      <c r="W8" s="60">
        <v>7.8433099999999998</v>
      </c>
      <c r="X8" s="60">
        <v>8.4868240000000004</v>
      </c>
      <c r="Y8" s="60">
        <v>7.9980570000000002</v>
      </c>
      <c r="DA8" s="181" t="s">
        <v>964</v>
      </c>
    </row>
    <row r="9" spans="1:105" ht="11.45" customHeight="1" x14ac:dyDescent="0.25">
      <c r="A9" s="57" t="s">
        <v>167</v>
      </c>
      <c r="B9" s="61">
        <v>3.8108379999999999</v>
      </c>
      <c r="C9" s="61">
        <v>4.3370879999999996</v>
      </c>
      <c r="D9" s="61">
        <v>4.6552690000000005</v>
      </c>
      <c r="E9" s="61">
        <v>5.1447640000000003</v>
      </c>
      <c r="F9" s="61">
        <v>5.1161909999999997</v>
      </c>
      <c r="G9" s="61">
        <v>4.6149290000000001</v>
      </c>
      <c r="H9" s="61">
        <v>4.7191580000000002</v>
      </c>
      <c r="I9" s="61">
        <v>4.7393859999999997</v>
      </c>
      <c r="J9" s="61">
        <v>4.8502989999999997</v>
      </c>
      <c r="K9" s="61">
        <v>4.2442519999999995</v>
      </c>
      <c r="L9" s="61">
        <v>4.4239160000000002</v>
      </c>
      <c r="M9" s="61">
        <v>4.741282</v>
      </c>
      <c r="N9" s="61">
        <v>4.2836319999999999</v>
      </c>
      <c r="O9" s="61">
        <v>4.4083959999999998</v>
      </c>
      <c r="P9" s="61">
        <v>4.4436099999999996</v>
      </c>
      <c r="Q9" s="61">
        <v>3.3684909999999997</v>
      </c>
      <c r="R9" s="61">
        <v>3.8329620000000002</v>
      </c>
      <c r="S9" s="61">
        <v>3.7550249999999998</v>
      </c>
      <c r="T9" s="61">
        <v>3.9628079999999999</v>
      </c>
      <c r="U9" s="61">
        <v>4.0958220000000001</v>
      </c>
      <c r="V9" s="61">
        <v>3.6734019999999998</v>
      </c>
      <c r="W9" s="61">
        <v>3.2601080000000002</v>
      </c>
      <c r="X9" s="61">
        <v>3.334584</v>
      </c>
      <c r="Y9" s="61">
        <v>2.479997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8247.5661683988474</v>
      </c>
      <c r="C13" s="62">
        <f t="shared" si="5"/>
        <v>9535.5168622202273</v>
      </c>
      <c r="D13" s="62">
        <f t="shared" si="5"/>
        <v>10619.139241610304</v>
      </c>
      <c r="E13" s="62">
        <f t="shared" si="5"/>
        <v>11181.667167778409</v>
      </c>
      <c r="F13" s="62">
        <f t="shared" si="5"/>
        <v>11381.680746569251</v>
      </c>
      <c r="G13" s="62">
        <f t="shared" si="5"/>
        <v>11361.159949114523</v>
      </c>
      <c r="H13" s="62">
        <f t="shared" si="5"/>
        <v>11259.470623430341</v>
      </c>
      <c r="I13" s="62">
        <f t="shared" si="5"/>
        <v>11794.8936579653</v>
      </c>
      <c r="J13" s="62">
        <f t="shared" si="5"/>
        <v>12759.681360957155</v>
      </c>
      <c r="K13" s="62">
        <f t="shared" si="5"/>
        <v>13974.937683075432</v>
      </c>
      <c r="L13" s="62">
        <f t="shared" si="5"/>
        <v>13811.752376137425</v>
      </c>
      <c r="M13" s="62">
        <f t="shared" si="5"/>
        <v>13925.826862313983</v>
      </c>
      <c r="N13" s="62">
        <f t="shared" si="5"/>
        <v>14009.10151110717</v>
      </c>
      <c r="O13" s="62">
        <f t="shared" si="5"/>
        <v>14399.167285336554</v>
      </c>
      <c r="P13" s="62">
        <f t="shared" si="5"/>
        <v>14514.26845652052</v>
      </c>
      <c r="Q13" s="62">
        <f t="shared" si="5"/>
        <v>13957.887457880597</v>
      </c>
      <c r="R13" s="62">
        <f t="shared" si="5"/>
        <v>14858.253742357334</v>
      </c>
      <c r="S13" s="62">
        <f t="shared" si="5"/>
        <v>14860.722319411583</v>
      </c>
      <c r="T13" s="62">
        <f t="shared" si="5"/>
        <v>14952.57982783632</v>
      </c>
      <c r="U13" s="62">
        <f t="shared" si="5"/>
        <v>15483.795985772702</v>
      </c>
      <c r="V13" s="62">
        <f t="shared" si="5"/>
        <v>15940.093176605889</v>
      </c>
      <c r="W13" s="62">
        <f t="shared" si="5"/>
        <v>15090.957689334944</v>
      </c>
      <c r="X13" s="62">
        <f t="shared" ref="X13:Y13" si="6">IF(X3=0,0,X3/X7)</f>
        <v>13894.6280279811</v>
      </c>
      <c r="Y13" s="62">
        <f t="shared" si="6"/>
        <v>12933.551462800247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5623.8659936144468</v>
      </c>
      <c r="C14" s="63">
        <f t="shared" si="5"/>
        <v>5724.7869039826928</v>
      </c>
      <c r="D14" s="63">
        <f t="shared" si="5"/>
        <v>5941.2527943368705</v>
      </c>
      <c r="E14" s="63">
        <f t="shared" si="5"/>
        <v>6131.616452875458</v>
      </c>
      <c r="F14" s="63">
        <f t="shared" si="5"/>
        <v>6210.9732872050399</v>
      </c>
      <c r="G14" s="63">
        <f t="shared" si="5"/>
        <v>6275.0492762920894</v>
      </c>
      <c r="H14" s="63">
        <f t="shared" si="5"/>
        <v>6500.1613616629065</v>
      </c>
      <c r="I14" s="63">
        <f t="shared" si="5"/>
        <v>6676.4374403611273</v>
      </c>
      <c r="J14" s="63">
        <f t="shared" si="5"/>
        <v>6824.4519175783098</v>
      </c>
      <c r="K14" s="63">
        <f t="shared" si="5"/>
        <v>6885.5510971931126</v>
      </c>
      <c r="L14" s="63">
        <f t="shared" si="5"/>
        <v>6811.7952057170805</v>
      </c>
      <c r="M14" s="63">
        <f t="shared" si="5"/>
        <v>6373.1146081624875</v>
      </c>
      <c r="N14" s="63">
        <f t="shared" si="5"/>
        <v>6439.6575712832146</v>
      </c>
      <c r="O14" s="63">
        <f t="shared" si="5"/>
        <v>6596.9576344399047</v>
      </c>
      <c r="P14" s="63">
        <f t="shared" si="5"/>
        <v>6607.1483780590961</v>
      </c>
      <c r="Q14" s="63">
        <f t="shared" si="5"/>
        <v>6968.6088300080673</v>
      </c>
      <c r="R14" s="63">
        <f t="shared" si="5"/>
        <v>7252.4969660100005</v>
      </c>
      <c r="S14" s="63">
        <f t="shared" si="5"/>
        <v>7311.9795827155594</v>
      </c>
      <c r="T14" s="63">
        <f t="shared" si="5"/>
        <v>7152.8032540049435</v>
      </c>
      <c r="U14" s="63">
        <f t="shared" si="5"/>
        <v>7082.6128075656188</v>
      </c>
      <c r="V14" s="63">
        <f t="shared" si="5"/>
        <v>7831.4982332376958</v>
      </c>
      <c r="W14" s="63">
        <f t="shared" si="5"/>
        <v>7432.4418560531203</v>
      </c>
      <c r="X14" s="63">
        <f t="shared" ref="X14:Y14" si="7">IF(X4=0,0,X4/X8)</f>
        <v>7273.8326511778723</v>
      </c>
      <c r="Y14" s="63">
        <f t="shared" si="7"/>
        <v>7648.4364881370557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15166.308414317273</v>
      </c>
      <c r="C15" s="64">
        <f t="shared" si="5"/>
        <v>17891.824720411489</v>
      </c>
      <c r="D15" s="64">
        <f t="shared" si="5"/>
        <v>20078.467824952757</v>
      </c>
      <c r="E15" s="64">
        <f t="shared" si="5"/>
        <v>20385.335133351109</v>
      </c>
      <c r="F15" s="64">
        <f t="shared" si="5"/>
        <v>21037.71042461081</v>
      </c>
      <c r="G15" s="64">
        <f t="shared" si="5"/>
        <v>21108.473467739157</v>
      </c>
      <c r="H15" s="64">
        <f t="shared" si="5"/>
        <v>21159.636014941647</v>
      </c>
      <c r="I15" s="64">
        <f t="shared" si="5"/>
        <v>22148.547933424288</v>
      </c>
      <c r="J15" s="64">
        <f t="shared" si="5"/>
        <v>24460.359097243287</v>
      </c>
      <c r="K15" s="64">
        <f t="shared" si="5"/>
        <v>25732.543452886403</v>
      </c>
      <c r="L15" s="64">
        <f t="shared" si="5"/>
        <v>27151.91613810027</v>
      </c>
      <c r="M15" s="64">
        <f t="shared" si="5"/>
        <v>28386.586629523408</v>
      </c>
      <c r="N15" s="64">
        <f t="shared" si="5"/>
        <v>29476.023272774131</v>
      </c>
      <c r="O15" s="64">
        <f t="shared" si="5"/>
        <v>29792.772404293988</v>
      </c>
      <c r="P15" s="64">
        <f t="shared" si="5"/>
        <v>29471.621156222081</v>
      </c>
      <c r="Q15" s="64">
        <f t="shared" si="5"/>
        <v>29849.719461622433</v>
      </c>
      <c r="R15" s="64">
        <f t="shared" si="5"/>
        <v>30713.760824657274</v>
      </c>
      <c r="S15" s="64">
        <f t="shared" si="5"/>
        <v>31485.156503352177</v>
      </c>
      <c r="T15" s="64">
        <f t="shared" si="5"/>
        <v>31846.797222575511</v>
      </c>
      <c r="U15" s="64">
        <f t="shared" si="5"/>
        <v>32895.506373812146</v>
      </c>
      <c r="V15" s="64">
        <f t="shared" si="5"/>
        <v>32491.425245317558</v>
      </c>
      <c r="W15" s="64">
        <f t="shared" si="5"/>
        <v>33516.149069601372</v>
      </c>
      <c r="X15" s="64">
        <f t="shared" ref="X15:Y15" si="8">IF(X5=0,0,X5/X9)</f>
        <v>30745.163238053083</v>
      </c>
      <c r="Y15" s="64">
        <f t="shared" si="8"/>
        <v>29978.189347003245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1</v>
      </c>
      <c r="C17" s="65">
        <f t="shared" si="9"/>
        <v>1</v>
      </c>
      <c r="D17" s="65">
        <f t="shared" si="9"/>
        <v>1</v>
      </c>
      <c r="E17" s="65">
        <f t="shared" si="9"/>
        <v>1</v>
      </c>
      <c r="F17" s="65">
        <f t="shared" si="9"/>
        <v>1</v>
      </c>
      <c r="G17" s="65">
        <f t="shared" si="9"/>
        <v>1</v>
      </c>
      <c r="H17" s="65">
        <f t="shared" si="9"/>
        <v>1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1</v>
      </c>
      <c r="Y17" s="65">
        <f t="shared" si="10"/>
        <v>1</v>
      </c>
      <c r="DA17" s="172"/>
    </row>
    <row r="18" spans="1:105" ht="11.45" customHeight="1" x14ac:dyDescent="0.25">
      <c r="A18" s="55" t="s">
        <v>166</v>
      </c>
      <c r="B18" s="66">
        <f t="shared" si="9"/>
        <v>0.49439806079065562</v>
      </c>
      <c r="C18" s="66">
        <f t="shared" si="9"/>
        <v>0.41232974045837312</v>
      </c>
      <c r="D18" s="66">
        <f t="shared" si="9"/>
        <v>0.37435631524836221</v>
      </c>
      <c r="E18" s="66">
        <f t="shared" si="9"/>
        <v>0.35407982293187201</v>
      </c>
      <c r="F18" s="66">
        <f t="shared" si="9"/>
        <v>0.35539086925896124</v>
      </c>
      <c r="G18" s="66">
        <f t="shared" si="9"/>
        <v>0.36294263273299299</v>
      </c>
      <c r="H18" s="66">
        <f t="shared" si="9"/>
        <v>0.38987932786995161</v>
      </c>
      <c r="I18" s="66">
        <f t="shared" si="9"/>
        <v>0.37878681647421003</v>
      </c>
      <c r="J18" s="66">
        <f t="shared" si="9"/>
        <v>0.35484702026165699</v>
      </c>
      <c r="K18" s="66">
        <f t="shared" si="9"/>
        <v>0.30737296427229305</v>
      </c>
      <c r="L18" s="66">
        <f t="shared" si="9"/>
        <v>0.32345988612964854</v>
      </c>
      <c r="M18" s="66">
        <f t="shared" si="9"/>
        <v>0.30063068229394529</v>
      </c>
      <c r="N18" s="66">
        <f t="shared" si="9"/>
        <v>0.30863303992168994</v>
      </c>
      <c r="O18" s="66">
        <f t="shared" si="9"/>
        <v>0.30404441307342711</v>
      </c>
      <c r="P18" s="66">
        <f t="shared" si="9"/>
        <v>0.29779160563073098</v>
      </c>
      <c r="Q18" s="66">
        <f t="shared" si="9"/>
        <v>0.34675542073810944</v>
      </c>
      <c r="R18" s="66">
        <f t="shared" si="9"/>
        <v>0.32987432695535884</v>
      </c>
      <c r="S18" s="66">
        <f t="shared" si="9"/>
        <v>0.33838273252056872</v>
      </c>
      <c r="T18" s="66">
        <f t="shared" si="9"/>
        <v>0.3272705229362704</v>
      </c>
      <c r="U18" s="66">
        <f t="shared" si="9"/>
        <v>0.3085466277436108</v>
      </c>
      <c r="V18" s="66">
        <f t="shared" si="9"/>
        <v>0.32975786584428324</v>
      </c>
      <c r="W18" s="66">
        <f t="shared" si="9"/>
        <v>0.34790238803396994</v>
      </c>
      <c r="X18" s="66">
        <f t="shared" ref="X18:Y18" si="11">IF(X4=0,0,X4/X$3)</f>
        <v>0.37583080084973269</v>
      </c>
      <c r="Y18" s="66">
        <f t="shared" si="11"/>
        <v>0.45139706589440243</v>
      </c>
      <c r="DA18" s="181"/>
    </row>
    <row r="19" spans="1:105" ht="11.45" customHeight="1" x14ac:dyDescent="0.25">
      <c r="A19" s="57" t="s">
        <v>167</v>
      </c>
      <c r="B19" s="67">
        <f t="shared" si="9"/>
        <v>0.50560193920934438</v>
      </c>
      <c r="C19" s="67">
        <f t="shared" si="9"/>
        <v>0.58767025954162677</v>
      </c>
      <c r="D19" s="67">
        <f t="shared" si="9"/>
        <v>0.62564368475163767</v>
      </c>
      <c r="E19" s="67">
        <f t="shared" si="9"/>
        <v>0.6459201770681281</v>
      </c>
      <c r="F19" s="67">
        <f t="shared" si="9"/>
        <v>0.64460913074103865</v>
      </c>
      <c r="G19" s="67">
        <f t="shared" si="9"/>
        <v>0.63705736726700701</v>
      </c>
      <c r="H19" s="67">
        <f t="shared" si="9"/>
        <v>0.61012067213004839</v>
      </c>
      <c r="I19" s="67">
        <f t="shared" si="9"/>
        <v>0.62121318352578991</v>
      </c>
      <c r="J19" s="67">
        <f t="shared" si="9"/>
        <v>0.64515297973834307</v>
      </c>
      <c r="K19" s="67">
        <f t="shared" si="9"/>
        <v>0.69262703572770701</v>
      </c>
      <c r="L19" s="67">
        <f t="shared" si="9"/>
        <v>0.67654011387035151</v>
      </c>
      <c r="M19" s="67">
        <f t="shared" si="9"/>
        <v>0.69936931770605471</v>
      </c>
      <c r="N19" s="67">
        <f t="shared" si="9"/>
        <v>0.69136696007831</v>
      </c>
      <c r="O19" s="67">
        <f t="shared" si="9"/>
        <v>0.69595558692657289</v>
      </c>
      <c r="P19" s="67">
        <f t="shared" si="9"/>
        <v>0.70220839436926896</v>
      </c>
      <c r="Q19" s="67">
        <f t="shared" si="9"/>
        <v>0.65324457926189061</v>
      </c>
      <c r="R19" s="67">
        <f t="shared" si="9"/>
        <v>0.67012567304464121</v>
      </c>
      <c r="S19" s="67">
        <f t="shared" si="9"/>
        <v>0.66161726747943117</v>
      </c>
      <c r="T19" s="67">
        <f t="shared" si="9"/>
        <v>0.67272947706372965</v>
      </c>
      <c r="U19" s="67">
        <f t="shared" si="9"/>
        <v>0.69145337225638914</v>
      </c>
      <c r="V19" s="67">
        <f t="shared" si="9"/>
        <v>0.67024213415571676</v>
      </c>
      <c r="W19" s="67">
        <f t="shared" si="9"/>
        <v>0.65209761196603</v>
      </c>
      <c r="X19" s="67">
        <f t="shared" ref="X19:Y19" si="12">IF(X5=0,0,X5/X$3)</f>
        <v>0.62416919915026725</v>
      </c>
      <c r="Y19" s="67">
        <f t="shared" si="12"/>
        <v>0.54860293410559768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1</v>
      </c>
      <c r="C21" s="65">
        <f t="shared" si="13"/>
        <v>1</v>
      </c>
      <c r="D21" s="65">
        <f t="shared" si="13"/>
        <v>1</v>
      </c>
      <c r="E21" s="65">
        <f t="shared" si="13"/>
        <v>1</v>
      </c>
      <c r="F21" s="65">
        <f t="shared" si="13"/>
        <v>1</v>
      </c>
      <c r="G21" s="65">
        <f t="shared" si="13"/>
        <v>1</v>
      </c>
      <c r="H21" s="65">
        <f t="shared" si="13"/>
        <v>1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1</v>
      </c>
      <c r="Y21" s="65">
        <f t="shared" si="14"/>
        <v>1</v>
      </c>
      <c r="DA21" s="172"/>
    </row>
    <row r="22" spans="1:105" ht="11.45" customHeight="1" x14ac:dyDescent="0.25">
      <c r="A22" s="55" t="s">
        <v>166</v>
      </c>
      <c r="B22" s="66">
        <f t="shared" si="13"/>
        <v>0.72504940987727129</v>
      </c>
      <c r="C22" s="66">
        <f t="shared" si="13"/>
        <v>0.68679887284544994</v>
      </c>
      <c r="D22" s="66">
        <f t="shared" si="13"/>
        <v>0.66910834721386847</v>
      </c>
      <c r="E22" s="66">
        <f t="shared" si="13"/>
        <v>0.64570293352145569</v>
      </c>
      <c r="F22" s="66">
        <f t="shared" si="13"/>
        <v>0.65125789906133524</v>
      </c>
      <c r="G22" s="66">
        <f t="shared" si="13"/>
        <v>0.65711823465851682</v>
      </c>
      <c r="H22" s="66">
        <f t="shared" si="13"/>
        <v>0.67534244068541938</v>
      </c>
      <c r="I22" s="66">
        <f t="shared" si="13"/>
        <v>0.66918176935854967</v>
      </c>
      <c r="J22" s="66">
        <f t="shared" si="13"/>
        <v>0.66345766152463992</v>
      </c>
      <c r="K22" s="66">
        <f t="shared" si="13"/>
        <v>0.62384520287977085</v>
      </c>
      <c r="L22" s="66">
        <f t="shared" si="13"/>
        <v>0.65585469262005114</v>
      </c>
      <c r="M22" s="66">
        <f t="shared" si="13"/>
        <v>0.65690499677548952</v>
      </c>
      <c r="N22" s="66">
        <f t="shared" si="13"/>
        <v>0.67141327595202838</v>
      </c>
      <c r="O22" s="66">
        <f t="shared" si="13"/>
        <v>0.66363718074535516</v>
      </c>
      <c r="P22" s="66">
        <f t="shared" si="13"/>
        <v>0.65417439732031679</v>
      </c>
      <c r="Q22" s="66">
        <f t="shared" si="13"/>
        <v>0.69453936304055164</v>
      </c>
      <c r="R22" s="66">
        <f t="shared" si="13"/>
        <v>0.67581640860562453</v>
      </c>
      <c r="S22" s="66">
        <f t="shared" si="13"/>
        <v>0.68772235600312559</v>
      </c>
      <c r="T22" s="66">
        <f t="shared" si="13"/>
        <v>0.68414276832825882</v>
      </c>
      <c r="U22" s="66">
        <f t="shared" si="13"/>
        <v>0.67453539617144498</v>
      </c>
      <c r="V22" s="66">
        <f t="shared" si="13"/>
        <v>0.6711833356442567</v>
      </c>
      <c r="W22" s="66">
        <f t="shared" si="13"/>
        <v>0.7063869882229058</v>
      </c>
      <c r="X22" s="66">
        <f t="shared" ref="X22:Y22" si="15">IF(X8=0,0,X8/X$7)</f>
        <v>0.71791989583643512</v>
      </c>
      <c r="Y22" s="66">
        <f t="shared" si="15"/>
        <v>0.76331511557394149</v>
      </c>
      <c r="DA22" s="181"/>
    </row>
    <row r="23" spans="1:105" ht="11.45" customHeight="1" x14ac:dyDescent="0.25">
      <c r="A23" s="57" t="s">
        <v>167</v>
      </c>
      <c r="B23" s="67">
        <f t="shared" si="13"/>
        <v>0.27495059012272871</v>
      </c>
      <c r="C23" s="67">
        <f t="shared" si="13"/>
        <v>0.31320112715455001</v>
      </c>
      <c r="D23" s="67">
        <f t="shared" si="13"/>
        <v>0.33089165278613158</v>
      </c>
      <c r="E23" s="67">
        <f t="shared" si="13"/>
        <v>0.35429706647854431</v>
      </c>
      <c r="F23" s="67">
        <f t="shared" si="13"/>
        <v>0.3487421009386647</v>
      </c>
      <c r="G23" s="67">
        <f t="shared" si="13"/>
        <v>0.34288176534148318</v>
      </c>
      <c r="H23" s="67">
        <f t="shared" si="13"/>
        <v>0.32465755931458068</v>
      </c>
      <c r="I23" s="67">
        <f t="shared" si="13"/>
        <v>0.33081823064145033</v>
      </c>
      <c r="J23" s="67">
        <f t="shared" si="13"/>
        <v>0.33654233847536014</v>
      </c>
      <c r="K23" s="67">
        <f t="shared" si="13"/>
        <v>0.37615479712022915</v>
      </c>
      <c r="L23" s="67">
        <f t="shared" si="13"/>
        <v>0.34414530737994886</v>
      </c>
      <c r="M23" s="67">
        <f t="shared" si="13"/>
        <v>0.34309500322451042</v>
      </c>
      <c r="N23" s="67">
        <f t="shared" si="13"/>
        <v>0.32858672404797162</v>
      </c>
      <c r="O23" s="67">
        <f t="shared" si="13"/>
        <v>0.33636281925464484</v>
      </c>
      <c r="P23" s="67">
        <f t="shared" si="13"/>
        <v>0.34582560267968321</v>
      </c>
      <c r="Q23" s="67">
        <f t="shared" si="13"/>
        <v>0.30546063695944842</v>
      </c>
      <c r="R23" s="67">
        <f t="shared" si="13"/>
        <v>0.32418359139437541</v>
      </c>
      <c r="S23" s="67">
        <f t="shared" si="13"/>
        <v>0.31227764399687441</v>
      </c>
      <c r="T23" s="67">
        <f t="shared" si="13"/>
        <v>0.31585723167174129</v>
      </c>
      <c r="U23" s="67">
        <f t="shared" si="13"/>
        <v>0.32546460382855502</v>
      </c>
      <c r="V23" s="67">
        <f t="shared" si="13"/>
        <v>0.32881666435574336</v>
      </c>
      <c r="W23" s="67">
        <f t="shared" si="13"/>
        <v>0.29361301177709426</v>
      </c>
      <c r="X23" s="67">
        <f t="shared" ref="X23:Y23" si="16">IF(X9=0,0,X9/X$7)</f>
        <v>0.28208010416356494</v>
      </c>
      <c r="Y23" s="67">
        <f t="shared" si="16"/>
        <v>0.23668488442605851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678.02141014617359</v>
      </c>
      <c r="C3" s="62">
        <f t="shared" ref="C3:W3" si="0">SUM(C4,C10)</f>
        <v>579.73155631986242</v>
      </c>
      <c r="D3" s="62">
        <f t="shared" si="0"/>
        <v>650.55889939810834</v>
      </c>
      <c r="E3" s="62">
        <f t="shared" si="0"/>
        <v>646.26921754084265</v>
      </c>
      <c r="F3" s="62">
        <f t="shared" si="0"/>
        <v>519.32269991401552</v>
      </c>
      <c r="G3" s="62">
        <f t="shared" si="0"/>
        <v>510.48779019776441</v>
      </c>
      <c r="H3" s="62">
        <f t="shared" si="0"/>
        <v>561.98177128116936</v>
      </c>
      <c r="I3" s="62">
        <f t="shared" si="0"/>
        <v>461.4760103181427</v>
      </c>
      <c r="J3" s="62">
        <f t="shared" si="0"/>
        <v>403.14135855545987</v>
      </c>
      <c r="K3" s="62">
        <f t="shared" si="0"/>
        <v>250.45614789337915</v>
      </c>
      <c r="L3" s="62">
        <f t="shared" si="0"/>
        <v>212.99415305245054</v>
      </c>
      <c r="M3" s="62">
        <f t="shared" si="0"/>
        <v>201.22201203783322</v>
      </c>
      <c r="N3" s="62">
        <f t="shared" si="0"/>
        <v>123.22854686156491</v>
      </c>
      <c r="O3" s="62">
        <f t="shared" si="0"/>
        <v>130.46423043852104</v>
      </c>
      <c r="P3" s="62">
        <f t="shared" si="0"/>
        <v>96.735081685296649</v>
      </c>
      <c r="Q3" s="62">
        <f t="shared" si="0"/>
        <v>295.95769561478926</v>
      </c>
      <c r="R3" s="62">
        <f t="shared" si="0"/>
        <v>286.54849527085128</v>
      </c>
      <c r="S3" s="62">
        <f t="shared" si="0"/>
        <v>354.47214101461725</v>
      </c>
      <c r="T3" s="62">
        <f t="shared" si="0"/>
        <v>326.06552020636286</v>
      </c>
      <c r="U3" s="62">
        <f t="shared" si="0"/>
        <v>335.77781599312118</v>
      </c>
      <c r="V3" s="62">
        <f t="shared" si="0"/>
        <v>308.87386070507301</v>
      </c>
      <c r="W3" s="62">
        <f t="shared" si="0"/>
        <v>280.56311263972475</v>
      </c>
      <c r="X3" s="62">
        <f t="shared" ref="X3:Y3" si="1">SUM(X4,X10)</f>
        <v>337.27549441100609</v>
      </c>
      <c r="Y3" s="62">
        <f t="shared" si="1"/>
        <v>285.44350816852966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402.91239797889062</v>
      </c>
      <c r="C4" s="71">
        <f t="shared" ref="C4:W4" si="2">SUM(C5:C9)</f>
        <v>329.82999266008818</v>
      </c>
      <c r="D4" s="71">
        <f t="shared" si="2"/>
        <v>364.51313191274471</v>
      </c>
      <c r="E4" s="71">
        <f t="shared" si="2"/>
        <v>353.33196989040141</v>
      </c>
      <c r="F4" s="71">
        <f t="shared" si="2"/>
        <v>285.78806666013617</v>
      </c>
      <c r="G4" s="71">
        <f t="shared" si="2"/>
        <v>283.47943975604221</v>
      </c>
      <c r="H4" s="71">
        <f t="shared" si="2"/>
        <v>318.06018821574298</v>
      </c>
      <c r="I4" s="71">
        <f t="shared" si="2"/>
        <v>260.03123488659128</v>
      </c>
      <c r="J4" s="71">
        <f t="shared" si="2"/>
        <v>226.23715295906436</v>
      </c>
      <c r="K4" s="71">
        <f t="shared" si="2"/>
        <v>134.74197067405564</v>
      </c>
      <c r="L4" s="71">
        <f t="shared" si="2"/>
        <v>117.98810253875838</v>
      </c>
      <c r="M4" s="71">
        <f t="shared" si="2"/>
        <v>109.50732769521989</v>
      </c>
      <c r="N4" s="71">
        <f t="shared" si="2"/>
        <v>68.119050085682744</v>
      </c>
      <c r="O4" s="71">
        <f t="shared" si="2"/>
        <v>71.305621029490297</v>
      </c>
      <c r="P4" s="71">
        <f t="shared" si="2"/>
        <v>52.026886774481838</v>
      </c>
      <c r="Q4" s="71">
        <f t="shared" si="2"/>
        <v>168.17012177618597</v>
      </c>
      <c r="R4" s="71">
        <f t="shared" si="2"/>
        <v>159.46174258010234</v>
      </c>
      <c r="S4" s="71">
        <f t="shared" si="2"/>
        <v>200.09379366432776</v>
      </c>
      <c r="T4" s="71">
        <f t="shared" si="2"/>
        <v>182.43479442868141</v>
      </c>
      <c r="U4" s="71">
        <f t="shared" si="2"/>
        <v>185.9509725777481</v>
      </c>
      <c r="V4" s="71">
        <f t="shared" si="2"/>
        <v>160.84288766025347</v>
      </c>
      <c r="W4" s="71">
        <f t="shared" si="2"/>
        <v>147.00673729195083</v>
      </c>
      <c r="X4" s="71">
        <f t="shared" ref="X4:Y4" si="3">SUM(X5:X9)</f>
        <v>196.14727372226625</v>
      </c>
      <c r="Y4" s="71">
        <f t="shared" si="3"/>
        <v>177.07368677328557</v>
      </c>
      <c r="DA4" s="186" t="s">
        <v>971</v>
      </c>
    </row>
    <row r="5" spans="1:105" ht="11.45" customHeight="1" x14ac:dyDescent="0.25">
      <c r="A5" s="72" t="s">
        <v>144</v>
      </c>
      <c r="B5" s="73">
        <v>170.996783170817</v>
      </c>
      <c r="C5" s="73">
        <v>127.5582382565027</v>
      </c>
      <c r="D5" s="73">
        <v>91.293559979959923</v>
      </c>
      <c r="E5" s="73">
        <v>83.345284007509434</v>
      </c>
      <c r="F5" s="73">
        <v>43.306637107502965</v>
      </c>
      <c r="G5" s="73">
        <v>43.398003052546926</v>
      </c>
      <c r="H5" s="73">
        <v>54.342740308722718</v>
      </c>
      <c r="I5" s="73">
        <v>67.547173095810578</v>
      </c>
      <c r="J5" s="73">
        <v>65.833501845548369</v>
      </c>
      <c r="K5" s="73">
        <v>42.185934100759695</v>
      </c>
      <c r="L5" s="73">
        <v>55.947839815244315</v>
      </c>
      <c r="M5" s="73">
        <v>53.901490158721757</v>
      </c>
      <c r="N5" s="73">
        <v>37.331703531214714</v>
      </c>
      <c r="O5" s="73">
        <v>41.849807243398899</v>
      </c>
      <c r="P5" s="73">
        <v>29.310303685237994</v>
      </c>
      <c r="Q5" s="73">
        <v>39.61830435688006</v>
      </c>
      <c r="R5" s="73">
        <v>36.676690388309872</v>
      </c>
      <c r="S5" s="73">
        <v>62.821961040822217</v>
      </c>
      <c r="T5" s="73">
        <v>51.076915169822151</v>
      </c>
      <c r="U5" s="73">
        <v>63.296081965180477</v>
      </c>
      <c r="V5" s="73">
        <v>63.030487657588026</v>
      </c>
      <c r="W5" s="73">
        <v>87.639828271288451</v>
      </c>
      <c r="X5" s="73">
        <v>125.3385519493724</v>
      </c>
      <c r="Y5" s="73">
        <v>66.217232142950948</v>
      </c>
      <c r="DA5" s="187" t="s">
        <v>972</v>
      </c>
    </row>
    <row r="6" spans="1:105" ht="11.45" customHeight="1" x14ac:dyDescent="0.25">
      <c r="A6" s="72" t="s">
        <v>145</v>
      </c>
      <c r="B6" s="73">
        <v>231.91561480807363</v>
      </c>
      <c r="C6" s="73">
        <v>202.27175440358548</v>
      </c>
      <c r="D6" s="73">
        <v>273.21957193278479</v>
      </c>
      <c r="E6" s="73">
        <v>269.98668588289195</v>
      </c>
      <c r="F6" s="73">
        <v>242.48142955263322</v>
      </c>
      <c r="G6" s="73">
        <v>240.08143670349529</v>
      </c>
      <c r="H6" s="73">
        <v>263.71744790702024</v>
      </c>
      <c r="I6" s="73">
        <v>192.48406179078069</v>
      </c>
      <c r="J6" s="73">
        <v>160.40365111351599</v>
      </c>
      <c r="K6" s="73">
        <v>92.556036573295941</v>
      </c>
      <c r="L6" s="73">
        <v>62.040262723514068</v>
      </c>
      <c r="M6" s="73">
        <v>55.605837536498122</v>
      </c>
      <c r="N6" s="73">
        <v>30.787346554468026</v>
      </c>
      <c r="O6" s="73">
        <v>29.455813786091401</v>
      </c>
      <c r="P6" s="73">
        <v>22.716583089243844</v>
      </c>
      <c r="Q6" s="73">
        <v>128.55181741930591</v>
      </c>
      <c r="R6" s="73">
        <v>122.66542809617997</v>
      </c>
      <c r="S6" s="73">
        <v>134.61443881591549</v>
      </c>
      <c r="T6" s="73">
        <v>130.65886071919257</v>
      </c>
      <c r="U6" s="73">
        <v>122.41627923820268</v>
      </c>
      <c r="V6" s="73">
        <v>97.060842290203922</v>
      </c>
      <c r="W6" s="73">
        <v>58.678403941577294</v>
      </c>
      <c r="X6" s="73">
        <v>69.831564297915605</v>
      </c>
      <c r="Y6" s="73">
        <v>96.905607927215257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0.11916948557594802</v>
      </c>
      <c r="S8" s="73">
        <v>2.6444264566398905</v>
      </c>
      <c r="T8" s="73">
        <v>0.69586716195247877</v>
      </c>
      <c r="U8" s="73">
        <v>0.23757073031101017</v>
      </c>
      <c r="V8" s="73">
        <v>0.74817899008327349</v>
      </c>
      <c r="W8" s="73">
        <v>0.684278529581268</v>
      </c>
      <c r="X8" s="73">
        <v>0.96500362580065968</v>
      </c>
      <c r="Y8" s="73">
        <v>13.809415221373659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4.5461003653947851E-4</v>
      </c>
      <c r="S9" s="75">
        <v>1.2967350950179042E-2</v>
      </c>
      <c r="T9" s="75">
        <v>3.1513777142164415E-3</v>
      </c>
      <c r="U9" s="75">
        <v>1.0406440539467605E-3</v>
      </c>
      <c r="V9" s="75">
        <v>3.3787223782312929E-3</v>
      </c>
      <c r="W9" s="75">
        <v>4.2265495038149668E-3</v>
      </c>
      <c r="X9" s="75">
        <v>1.2153849177582129E-2</v>
      </c>
      <c r="Y9" s="75">
        <v>0.14143148174570092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275.10901216728303</v>
      </c>
      <c r="C10" s="71">
        <f t="shared" ref="C10:W10" si="4">SUM(C11:C15)</f>
        <v>249.90156365977424</v>
      </c>
      <c r="D10" s="71">
        <f t="shared" si="4"/>
        <v>286.04576748536363</v>
      </c>
      <c r="E10" s="71">
        <f t="shared" si="4"/>
        <v>292.93724765044118</v>
      </c>
      <c r="F10" s="71">
        <f t="shared" si="4"/>
        <v>233.53463325387935</v>
      </c>
      <c r="G10" s="71">
        <f t="shared" si="4"/>
        <v>227.0083504417222</v>
      </c>
      <c r="H10" s="71">
        <f t="shared" si="4"/>
        <v>243.92158306542643</v>
      </c>
      <c r="I10" s="71">
        <f t="shared" si="4"/>
        <v>201.44477543155142</v>
      </c>
      <c r="J10" s="71">
        <f t="shared" si="4"/>
        <v>176.90420559639554</v>
      </c>
      <c r="K10" s="71">
        <f t="shared" si="4"/>
        <v>115.71417721932352</v>
      </c>
      <c r="L10" s="71">
        <f t="shared" si="4"/>
        <v>95.006050513692173</v>
      </c>
      <c r="M10" s="71">
        <f t="shared" si="4"/>
        <v>91.714684342613339</v>
      </c>
      <c r="N10" s="71">
        <f t="shared" si="4"/>
        <v>55.109496775882164</v>
      </c>
      <c r="O10" s="71">
        <f t="shared" si="4"/>
        <v>59.158609409030745</v>
      </c>
      <c r="P10" s="71">
        <f t="shared" si="4"/>
        <v>44.708194910814811</v>
      </c>
      <c r="Q10" s="71">
        <f t="shared" si="4"/>
        <v>127.78757383860329</v>
      </c>
      <c r="R10" s="71">
        <f t="shared" si="4"/>
        <v>127.08675269074891</v>
      </c>
      <c r="S10" s="71">
        <f t="shared" si="4"/>
        <v>154.37834735028952</v>
      </c>
      <c r="T10" s="71">
        <f t="shared" si="4"/>
        <v>143.63072577768148</v>
      </c>
      <c r="U10" s="71">
        <f t="shared" si="4"/>
        <v>149.82684341537305</v>
      </c>
      <c r="V10" s="71">
        <f t="shared" si="4"/>
        <v>148.03097304481955</v>
      </c>
      <c r="W10" s="71">
        <f t="shared" si="4"/>
        <v>133.55637534777392</v>
      </c>
      <c r="X10" s="71">
        <f t="shared" ref="X10:Y10" si="5">SUM(X11:X15)</f>
        <v>141.12822068873982</v>
      </c>
      <c r="Y10" s="71">
        <f t="shared" si="5"/>
        <v>108.36982139524412</v>
      </c>
      <c r="DA10" s="186" t="s">
        <v>977</v>
      </c>
    </row>
    <row r="11" spans="1:105" ht="11.45" customHeight="1" x14ac:dyDescent="0.25">
      <c r="A11" s="72" t="s">
        <v>144</v>
      </c>
      <c r="B11" s="73">
        <v>22.086277878194199</v>
      </c>
      <c r="C11" s="73">
        <v>18.281056670410411</v>
      </c>
      <c r="D11" s="73">
        <v>13.464221619352179</v>
      </c>
      <c r="E11" s="73">
        <v>13.196246516996153</v>
      </c>
      <c r="F11" s="73">
        <v>6.784162548558947</v>
      </c>
      <c r="G11" s="73">
        <v>6.6927966035149851</v>
      </c>
      <c r="H11" s="73">
        <v>7.975832348199031</v>
      </c>
      <c r="I11" s="73">
        <v>10.101064221472306</v>
      </c>
      <c r="J11" s="73">
        <v>9.7731189627061372</v>
      </c>
      <c r="K11" s="73">
        <v>6.8607554951130467</v>
      </c>
      <c r="L11" s="73">
        <v>8.4335015433111451</v>
      </c>
      <c r="M11" s="73">
        <v>8.4272286718887379</v>
      </c>
      <c r="N11" s="73">
        <v>5.5831717912272438</v>
      </c>
      <c r="O11" s="73">
        <v>6.6454636078478746</v>
      </c>
      <c r="P11" s="73">
        <v>4.739567337977828</v>
      </c>
      <c r="Q11" s="73">
        <v>5.722710260488812</v>
      </c>
      <c r="R11" s="73">
        <v>5.5337137389472177</v>
      </c>
      <c r="S11" s="73">
        <v>9.0405497072431302</v>
      </c>
      <c r="T11" s="73">
        <v>7.4165500064461192</v>
      </c>
      <c r="U11" s="73">
        <v>9.5879249135813307</v>
      </c>
      <c r="V11" s="73">
        <v>10.885247510081783</v>
      </c>
      <c r="W11" s="73">
        <v>15.025691935074354</v>
      </c>
      <c r="X11" s="73">
        <v>15.339350028271618</v>
      </c>
      <c r="Y11" s="73">
        <v>6.6447626979776881</v>
      </c>
      <c r="DA11" s="187" t="s">
        <v>978</v>
      </c>
    </row>
    <row r="12" spans="1:105" ht="11.45" customHeight="1" x14ac:dyDescent="0.25">
      <c r="A12" s="72" t="s">
        <v>145</v>
      </c>
      <c r="B12" s="73">
        <v>253.02273428908882</v>
      </c>
      <c r="C12" s="73">
        <v>231.62050698936383</v>
      </c>
      <c r="D12" s="73">
        <v>272.58154586601142</v>
      </c>
      <c r="E12" s="73">
        <v>279.74100113344502</v>
      </c>
      <c r="F12" s="73">
        <v>226.7504707053204</v>
      </c>
      <c r="G12" s="73">
        <v>220.31555383820722</v>
      </c>
      <c r="H12" s="73">
        <v>235.94575071722741</v>
      </c>
      <c r="I12" s="73">
        <v>191.34371121007911</v>
      </c>
      <c r="J12" s="73">
        <v>167.13108663368939</v>
      </c>
      <c r="K12" s="73">
        <v>108.85342172421046</v>
      </c>
      <c r="L12" s="73">
        <v>86.572548970381035</v>
      </c>
      <c r="M12" s="73">
        <v>83.287455670724597</v>
      </c>
      <c r="N12" s="73">
        <v>49.52632498465492</v>
      </c>
      <c r="O12" s="73">
        <v>52.513145801182873</v>
      </c>
      <c r="P12" s="73">
        <v>39.968627572836979</v>
      </c>
      <c r="Q12" s="73">
        <v>122.06486357811448</v>
      </c>
      <c r="R12" s="73">
        <v>121.45770174044944</v>
      </c>
      <c r="S12" s="73">
        <v>143.2875388281085</v>
      </c>
      <c r="T12" s="73">
        <v>135.66383919482294</v>
      </c>
      <c r="U12" s="73">
        <v>140.04666143247653</v>
      </c>
      <c r="V12" s="73">
        <v>136.45403303223793</v>
      </c>
      <c r="W12" s="73">
        <v>117.90517301457058</v>
      </c>
      <c r="X12" s="73">
        <v>125.08580457568721</v>
      </c>
      <c r="Y12" s="73">
        <v>93.187083388347972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9.4974899286997108E-2</v>
      </c>
      <c r="S14" s="73">
        <v>2.0402541157788487</v>
      </c>
      <c r="T14" s="73">
        <v>0.54785549998337779</v>
      </c>
      <c r="U14" s="73">
        <v>0.19141858801249939</v>
      </c>
      <c r="V14" s="73">
        <v>0.68858291171482222</v>
      </c>
      <c r="W14" s="73">
        <v>0.62167055621186551</v>
      </c>
      <c r="X14" s="73">
        <v>0.69432137435805552</v>
      </c>
      <c r="Y14" s="73">
        <v>8.4514186629495534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3.6231206526169128E-4</v>
      </c>
      <c r="S15" s="75">
        <v>1.0004699159026131E-2</v>
      </c>
      <c r="T15" s="75">
        <v>2.4810764290331992E-3</v>
      </c>
      <c r="U15" s="75">
        <v>8.3848130268116754E-4</v>
      </c>
      <c r="V15" s="75">
        <v>3.1095907849799233E-3</v>
      </c>
      <c r="W15" s="75">
        <v>3.8398419171525068E-3</v>
      </c>
      <c r="X15" s="75">
        <v>8.7447104229456275E-3</v>
      </c>
      <c r="Y15" s="75">
        <v>8.6556645968917933E-2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4891.9000712057323</v>
      </c>
      <c r="C19" s="62">
        <f>IF(C3=0,0,C3/MBunk_act!C7*100)</f>
        <v>4186.508940709582</v>
      </c>
      <c r="D19" s="62">
        <f>IF(D3=0,0,D3/MBunk_act!D7*100)</f>
        <v>4624.1046319034785</v>
      </c>
      <c r="E19" s="62">
        <f>IF(E3=0,0,E3/MBunk_act!E7*100)</f>
        <v>4450.5693153292304</v>
      </c>
      <c r="F19" s="62">
        <f>IF(F3=0,0,F3/MBunk_act!F7*100)</f>
        <v>3539.9321376616604</v>
      </c>
      <c r="G19" s="62">
        <f>IF(G3=0,0,G3/MBunk_act!G7*100)</f>
        <v>3792.841768276005</v>
      </c>
      <c r="H19" s="62">
        <f>IF(H3=0,0,H3/MBunk_act!H7*100)</f>
        <v>3866.1903297882659</v>
      </c>
      <c r="I19" s="62">
        <f>IF(I3=0,0,I3/MBunk_act!I7*100)</f>
        <v>3221.1910407154774</v>
      </c>
      <c r="J19" s="62">
        <f>IF(J3=0,0,J3/MBunk_act!J7*100)</f>
        <v>2797.2324086492008</v>
      </c>
      <c r="K19" s="62">
        <f>IF(K3=0,0,K3/MBunk_act!K7*100)</f>
        <v>2219.7146045604304</v>
      </c>
      <c r="L19" s="62">
        <f>IF(L3=0,0,L3/MBunk_act!L7*100)</f>
        <v>1656.9242786790585</v>
      </c>
      <c r="M19" s="62">
        <f>IF(M3=0,0,M3/MBunk_act!M7*100)</f>
        <v>1456.1096949931023</v>
      </c>
      <c r="N19" s="62">
        <f>IF(N3=0,0,N3/MBunk_act!N7*100)</f>
        <v>945.2554403000438</v>
      </c>
      <c r="O19" s="62">
        <f>IF(O3=0,0,O3/MBunk_act!O7*100)</f>
        <v>995.4486022169649</v>
      </c>
      <c r="P19" s="62">
        <f>IF(P3=0,0,P3/MBunk_act!P7*100)</f>
        <v>752.84437482331032</v>
      </c>
      <c r="Q19" s="62">
        <f>IF(Q3=0,0,Q3/MBunk_act!Q7*100)</f>
        <v>2683.7959850729626</v>
      </c>
      <c r="R19" s="62">
        <f>IF(R3=0,0,R3/MBunk_act!R7*100)</f>
        <v>2423.5648646023301</v>
      </c>
      <c r="S19" s="62">
        <f>IF(S3=0,0,S3/MBunk_act!S7*100)</f>
        <v>2947.8825056710016</v>
      </c>
      <c r="T19" s="62">
        <f>IF(T3=0,0,T3/MBunk_act!T7*100)</f>
        <v>2598.9185586581025</v>
      </c>
      <c r="U19" s="62">
        <f>IF(U3=0,0,U3/MBunk_act!U7*100)</f>
        <v>2668.1773245179756</v>
      </c>
      <c r="V19" s="62">
        <f>IF(V3=0,0,V3/MBunk_act!V7*100)</f>
        <v>2764.8178060479804</v>
      </c>
      <c r="W19" s="62">
        <f>IF(W3=0,0,W3/MBunk_act!W7*100)</f>
        <v>2526.8175316801075</v>
      </c>
      <c r="X19" s="62">
        <f>IF(X3=0,0,X3/MBunk_act!X7*100)</f>
        <v>2853.0907182207575</v>
      </c>
      <c r="Y19" s="62">
        <f>IF(Y3=0,0,Y3/MBunk_act!Y7*100)</f>
        <v>2724.2034462556658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4009.3797890178876</v>
      </c>
      <c r="C20" s="63">
        <f>IF(C4=0,0,C4/MBunk_act!C8*100)</f>
        <v>3468.0524225538356</v>
      </c>
      <c r="D20" s="63">
        <f>IF(D4=0,0,D4/MBunk_act!D8*100)</f>
        <v>3872.1998275551614</v>
      </c>
      <c r="E20" s="63">
        <f>IF(E4=0,0,E4/MBunk_act!E8*100)</f>
        <v>3768.3590349607812</v>
      </c>
      <c r="F20" s="63">
        <f>IF(F4=0,0,F4/MBunk_act!F8*100)</f>
        <v>2991.2224851789219</v>
      </c>
      <c r="G20" s="63">
        <f>IF(G4=0,0,G4/MBunk_act!G8*100)</f>
        <v>3205.2168179017863</v>
      </c>
      <c r="H20" s="63">
        <f>IF(H4=0,0,H4/MBunk_act!H8*100)</f>
        <v>3240.0093984842783</v>
      </c>
      <c r="I20" s="63">
        <f>IF(I4=0,0,I4/MBunk_act!I8*100)</f>
        <v>2712.3689914849283</v>
      </c>
      <c r="J20" s="63">
        <f>IF(J4=0,0,J4/MBunk_act!J8*100)</f>
        <v>2366.0390576957725</v>
      </c>
      <c r="K20" s="63">
        <f>IF(K4=0,0,K4/MBunk_act!K8*100)</f>
        <v>1914.2184497622413</v>
      </c>
      <c r="L20" s="63">
        <f>IF(L4=0,0,L4/MBunk_act!L8*100)</f>
        <v>1399.4763596751036</v>
      </c>
      <c r="M20" s="63">
        <f>IF(M4=0,0,M4/MBunk_act!M8*100)</f>
        <v>1206.3108162511676</v>
      </c>
      <c r="N20" s="63">
        <f>IF(N4=0,0,N4/MBunk_act!N8*100)</f>
        <v>778.24531893174105</v>
      </c>
      <c r="O20" s="63">
        <f>IF(O4=0,0,O4/MBunk_act!O8*100)</f>
        <v>819.82364752397473</v>
      </c>
      <c r="P20" s="63">
        <f>IF(P4=0,0,P4/MBunk_act!P8*100)</f>
        <v>618.94990850796944</v>
      </c>
      <c r="Q20" s="63">
        <f>IF(Q4=0,0,Q4/MBunk_act!Q8*100)</f>
        <v>2195.6941052658885</v>
      </c>
      <c r="R20" s="63">
        <f>IF(R4=0,0,R4/MBunk_act!R8*100)</f>
        <v>1995.6495987481876</v>
      </c>
      <c r="S20" s="63">
        <f>IF(S4=0,0,S4/MBunk_act!S8*100)</f>
        <v>2419.6276422715382</v>
      </c>
      <c r="T20" s="63">
        <f>IF(T4=0,0,T4/MBunk_act!T8*100)</f>
        <v>2125.4393883989151</v>
      </c>
      <c r="U20" s="63">
        <f>IF(U4=0,0,U4/MBunk_act!U8*100)</f>
        <v>2190.5662843719269</v>
      </c>
      <c r="V20" s="63">
        <f>IF(V4=0,0,V4/MBunk_act!V8*100)</f>
        <v>2145.0926639688578</v>
      </c>
      <c r="W20" s="63">
        <f>IF(W4=0,0,W4/MBunk_act!W8*100)</f>
        <v>1874.2946191333867</v>
      </c>
      <c r="X20" s="63">
        <f>IF(X4=0,0,X4/MBunk_act!X8*100)</f>
        <v>2311.1976131738588</v>
      </c>
      <c r="Y20" s="63">
        <f>IF(Y4=0,0,Y4/MBunk_act!Y8*100)</f>
        <v>2213.9587999095975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7219.121153071399</v>
      </c>
      <c r="C21" s="64">
        <f>IF(C10=0,0,C10/MBunk_act!C9*100)</f>
        <v>5761.9666389008999</v>
      </c>
      <c r="D21" s="64">
        <f>IF(D10=0,0,D10/MBunk_act!D9*100)</f>
        <v>6144.5593688649051</v>
      </c>
      <c r="E21" s="64">
        <f>IF(E10=0,0,E10/MBunk_act!E9*100)</f>
        <v>5693.8908694439851</v>
      </c>
      <c r="F21" s="64">
        <f>IF(F10=0,0,F10/MBunk_act!F9*100)</f>
        <v>4564.619132746986</v>
      </c>
      <c r="G21" s="64">
        <f>IF(G10=0,0,G10/MBunk_act!G9*100)</f>
        <v>4918.9998468388612</v>
      </c>
      <c r="H21" s="64">
        <f>IF(H10=0,0,H10/MBunk_act!H9*100)</f>
        <v>5168.7522025205863</v>
      </c>
      <c r="I21" s="64">
        <f>IF(I10=0,0,I10/MBunk_act!I9*100)</f>
        <v>4250.440361505719</v>
      </c>
      <c r="J21" s="64">
        <f>IF(J10=0,0,J10/MBunk_act!J9*100)</f>
        <v>3647.2845405282342</v>
      </c>
      <c r="K21" s="64">
        <f>IF(K10=0,0,K10/MBunk_act!K9*100)</f>
        <v>2726.3738632702189</v>
      </c>
      <c r="L21" s="64">
        <f>IF(L10=0,0,L10/MBunk_act!L9*100)</f>
        <v>2147.5554805672659</v>
      </c>
      <c r="M21" s="64">
        <f>IF(M10=0,0,M10/MBunk_act!M9*100)</f>
        <v>1934.3857704016202</v>
      </c>
      <c r="N21" s="64">
        <f>IF(N10=0,0,N10/MBunk_act!N9*100)</f>
        <v>1286.5133320481818</v>
      </c>
      <c r="O21" s="64">
        <f>IF(O10=0,0,O10/MBunk_act!O9*100)</f>
        <v>1341.953159585272</v>
      </c>
      <c r="P21" s="64">
        <f>IF(P10=0,0,P10/MBunk_act!P9*100)</f>
        <v>1006.1232851401185</v>
      </c>
      <c r="Q21" s="64">
        <f>IF(Q10=0,0,Q10/MBunk_act!Q9*100)</f>
        <v>3793.6148215507574</v>
      </c>
      <c r="R21" s="64">
        <f>IF(R10=0,0,R10/MBunk_act!R9*100)</f>
        <v>3315.627775353601</v>
      </c>
      <c r="S21" s="64">
        <f>IF(S10=0,0,S10/MBunk_act!S9*100)</f>
        <v>4111.2468585505958</v>
      </c>
      <c r="T21" s="64">
        <f>IF(T10=0,0,T10/MBunk_act!T9*100)</f>
        <v>3624.4684521097533</v>
      </c>
      <c r="U21" s="64">
        <f>IF(U10=0,0,U10/MBunk_act!U9*100)</f>
        <v>3658.0408869177672</v>
      </c>
      <c r="V21" s="64">
        <f>IF(V10=0,0,V10/MBunk_act!V9*100)</f>
        <v>4029.8059685495773</v>
      </c>
      <c r="W21" s="64">
        <f>IF(W10=0,0,W10/MBunk_act!W9*100)</f>
        <v>4096.6856112672931</v>
      </c>
      <c r="X21" s="64">
        <f>IF(X10=0,0,X10/MBunk_act!X9*100)</f>
        <v>4232.2586772065069</v>
      </c>
      <c r="Y21" s="64">
        <f>IF(Y10=0,0,Y10/MBunk_act!Y9*100)</f>
        <v>4369.7561487067969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5.9313256436176349</v>
      </c>
      <c r="C23" s="62">
        <f>IF(C3=0,0,C3/MBunk_act!C3*1000)</f>
        <v>4.3904373524801317</v>
      </c>
      <c r="D23" s="62">
        <f>IF(D3=0,0,D3/MBunk_act!D3*1000)</f>
        <v>4.3545004229573241</v>
      </c>
      <c r="E23" s="62">
        <f>IF(E3=0,0,E3/MBunk_act!E3*1000)</f>
        <v>3.9802376949245901</v>
      </c>
      <c r="F23" s="62">
        <f>IF(F3=0,0,F3/MBunk_act!F3*1000)</f>
        <v>3.1102015743401448</v>
      </c>
      <c r="G23" s="62">
        <f>IF(G3=0,0,G3/MBunk_act!G3*1000)</f>
        <v>3.3384282813231714</v>
      </c>
      <c r="H23" s="62">
        <f>IF(H3=0,0,H3/MBunk_act!H3*1000)</f>
        <v>3.4337230044749489</v>
      </c>
      <c r="I23" s="62">
        <f>IF(I3=0,0,I3/MBunk_act!I3*1000)</f>
        <v>2.7310047331712486</v>
      </c>
      <c r="J23" s="62">
        <f>IF(J3=0,0,J3/MBunk_act!J3*1000)</f>
        <v>2.1922431520965264</v>
      </c>
      <c r="K23" s="62">
        <f>IF(K3=0,0,K3/MBunk_act!K3*1000)</f>
        <v>1.5883538480809478</v>
      </c>
      <c r="L23" s="62">
        <f>IF(L3=0,0,L3/MBunk_act!L3*1000)</f>
        <v>1.1996481210753009</v>
      </c>
      <c r="M23" s="62">
        <f>IF(M3=0,0,M3/MBunk_act!M3*1000)</f>
        <v>1.0456181233543989</v>
      </c>
      <c r="N23" s="62">
        <f>IF(N3=0,0,N3/MBunk_act!N3*1000)</f>
        <v>0.67474380105718723</v>
      </c>
      <c r="O23" s="62">
        <f>IF(O3=0,0,O3/MBunk_act!O3*1000)</f>
        <v>0.69132372899833139</v>
      </c>
      <c r="P23" s="62">
        <f>IF(P3=0,0,P3/MBunk_act!P3*1000)</f>
        <v>0.51869260726336897</v>
      </c>
      <c r="Q23" s="62">
        <f>IF(Q3=0,0,Q3/MBunk_act!Q3*1000)</f>
        <v>1.9227809316929951</v>
      </c>
      <c r="R23" s="62">
        <f>IF(R3=0,0,R3/MBunk_act!R3*1000)</f>
        <v>1.6311236210035405</v>
      </c>
      <c r="S23" s="62">
        <f>IF(S3=0,0,S3/MBunk_act!S3*1000)</f>
        <v>1.98367376922209</v>
      </c>
      <c r="T23" s="62">
        <f>IF(T3=0,0,T3/MBunk_act!T3*1000)</f>
        <v>1.7381071283898797</v>
      </c>
      <c r="U23" s="62">
        <f>IF(U3=0,0,U3/MBunk_act!U3*1000)</f>
        <v>1.7232062001912403</v>
      </c>
      <c r="V23" s="62">
        <f>IF(V3=0,0,V3/MBunk_act!V3*1000)</f>
        <v>1.7345054231588191</v>
      </c>
      <c r="W23" s="62">
        <f>IF(W3=0,0,W3/MBunk_act!W3*1000)</f>
        <v>1.6743917673732898</v>
      </c>
      <c r="X23" s="62">
        <f>IF(X3=0,0,X3/MBunk_act!X3*1000)</f>
        <v>2.0533768248240851</v>
      </c>
      <c r="Y23" s="62">
        <f>IF(Y3=0,0,Y3/MBunk_act!Y3*1000)</f>
        <v>2.1063073465096398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7.1292235511484305</v>
      </c>
      <c r="C24" s="63">
        <f>IF(C4=0,0,C4/MBunk_act!C4*1000)</f>
        <v>6.0579589785973287</v>
      </c>
      <c r="D24" s="63">
        <f>IF(D4=0,0,D4/MBunk_act!D4*1000)</f>
        <v>6.5174803389044396</v>
      </c>
      <c r="E24" s="63">
        <f>IF(E4=0,0,E4/MBunk_act!E4*1000)</f>
        <v>6.1457840096857108</v>
      </c>
      <c r="F24" s="63">
        <f>IF(F4=0,0,F4/MBunk_act!F4*1000)</f>
        <v>4.8160285785498571</v>
      </c>
      <c r="G24" s="63">
        <f>IF(G4=0,0,G4/MBunk_act!G4*1000)</f>
        <v>5.1078751365530959</v>
      </c>
      <c r="H24" s="63">
        <f>IF(H4=0,0,H4/MBunk_act!H4*1000)</f>
        <v>4.9845061040998555</v>
      </c>
      <c r="I24" s="63">
        <f>IF(I4=0,0,I4/MBunk_act!I4*1000)</f>
        <v>4.0625992765060888</v>
      </c>
      <c r="J24" s="63">
        <f>IF(J4=0,0,J4/MBunk_act!J4*1000)</f>
        <v>3.467002312085119</v>
      </c>
      <c r="K24" s="63">
        <f>IF(K4=0,0,K4/MBunk_act!K4*1000)</f>
        <v>2.7800511865238651</v>
      </c>
      <c r="L24" s="63">
        <f>IF(L4=0,0,L4/MBunk_act!L4*1000)</f>
        <v>2.0544897745906026</v>
      </c>
      <c r="M24" s="63">
        <f>IF(M4=0,0,M4/MBunk_act!M4*1000)</f>
        <v>1.8928120556723744</v>
      </c>
      <c r="N24" s="63">
        <f>IF(N4=0,0,N4/MBunk_act!N4*1000)</f>
        <v>1.2085197237850367</v>
      </c>
      <c r="O24" s="63">
        <f>IF(O4=0,0,O4/MBunk_act!O4*1000)</f>
        <v>1.2427298960418132</v>
      </c>
      <c r="P24" s="63">
        <f>IF(P4=0,0,P4/MBunk_act!P4*1000)</f>
        <v>0.93678826793623649</v>
      </c>
      <c r="Q24" s="63">
        <f>IF(Q4=0,0,Q4/MBunk_act!Q4*1000)</f>
        <v>3.1508356385435778</v>
      </c>
      <c r="R24" s="63">
        <f>IF(R4=0,0,R4/MBunk_act!R4*1000)</f>
        <v>2.751672435164223</v>
      </c>
      <c r="S24" s="63">
        <f>IF(S4=0,0,S4/MBunk_act!S4*1000)</f>
        <v>3.3091280068549165</v>
      </c>
      <c r="T24" s="63">
        <f>IF(T4=0,0,T4/MBunk_act!T4*1000)</f>
        <v>2.971477493399326</v>
      </c>
      <c r="U24" s="63">
        <f>IF(U4=0,0,U4/MBunk_act!U4*1000)</f>
        <v>3.0928787777753044</v>
      </c>
      <c r="V24" s="63">
        <f>IF(V4=0,0,V4/MBunk_act!V4*1000)</f>
        <v>2.7390578406375177</v>
      </c>
      <c r="W24" s="63">
        <f>IF(W4=0,0,W4/MBunk_act!W4*1000)</f>
        <v>2.5217750174620281</v>
      </c>
      <c r="X24" s="63">
        <f>IF(X4=0,0,X4/MBunk_act!X4*1000)</f>
        <v>3.1774137844642332</v>
      </c>
      <c r="Y24" s="63">
        <f>IF(Y4=0,0,Y4/MBunk_act!Y4*1000)</f>
        <v>2.894655402242682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4.7599725363994425</v>
      </c>
      <c r="C25" s="64">
        <f>IF(C10=0,0,C10/MBunk_act!C5*1000)</f>
        <v>3.2204466167877719</v>
      </c>
      <c r="D25" s="64">
        <f>IF(D10=0,0,D10/MBunk_act!D5*1000)</f>
        <v>3.0602730359876764</v>
      </c>
      <c r="E25" s="64">
        <f>IF(E10=0,0,E10/MBunk_act!E5*1000)</f>
        <v>2.7931308620620046</v>
      </c>
      <c r="F25" s="64">
        <f>IF(F10=0,0,F10/MBunk_act!F5*1000)</f>
        <v>2.1697318960180669</v>
      </c>
      <c r="G25" s="64">
        <f>IF(G10=0,0,G10/MBunk_act!G5*1000)</f>
        <v>2.3303437145072317</v>
      </c>
      <c r="H25" s="64">
        <f>IF(H10=0,0,H10/MBunk_act!H5*1000)</f>
        <v>2.4427415475723344</v>
      </c>
      <c r="I25" s="64">
        <f>IF(I10=0,0,I10/MBunk_act!I5*1000)</f>
        <v>1.9190605064864754</v>
      </c>
      <c r="J25" s="64">
        <f>IF(J10=0,0,J10/MBunk_act!J5*1000)</f>
        <v>1.4911001617058386</v>
      </c>
      <c r="K25" s="64">
        <f>IF(K10=0,0,K10/MBunk_act!K5*1000)</f>
        <v>1.0595042298332944</v>
      </c>
      <c r="L25" s="64">
        <f>IF(L10=0,0,L10/MBunk_act!L5*1000)</f>
        <v>0.79094067234310605</v>
      </c>
      <c r="M25" s="64">
        <f>IF(M10=0,0,M10/MBunk_act!M5*1000)</f>
        <v>0.6814435971635161</v>
      </c>
      <c r="N25" s="64">
        <f>IF(N10=0,0,N10/MBunk_act!N5*1000)</f>
        <v>0.43646095680636965</v>
      </c>
      <c r="O25" s="64">
        <f>IF(O10=0,0,O10/MBunk_act!O5*1000)</f>
        <v>0.45042909782771956</v>
      </c>
      <c r="P25" s="64">
        <f>IF(P10=0,0,P10/MBunk_act!P5*1000)</f>
        <v>0.34138715335912373</v>
      </c>
      <c r="Q25" s="64">
        <f>IF(Q10=0,0,Q10/MBunk_act!Q5*1000)</f>
        <v>1.2709046818440557</v>
      </c>
      <c r="R25" s="64">
        <f>IF(R10=0,0,R10/MBunk_act!R5*1000)</f>
        <v>1.0795251660264888</v>
      </c>
      <c r="S25" s="64">
        <f>IF(S10=0,0,S10/MBunk_act!S5*1000)</f>
        <v>1.3057730420088203</v>
      </c>
      <c r="T25" s="64">
        <f>IF(T10=0,0,T10/MBunk_act!T5*1000)</f>
        <v>1.1380951204538854</v>
      </c>
      <c r="U25" s="64">
        <f>IF(U10=0,0,U10/MBunk_act!U5*1000)</f>
        <v>1.1120184153267527</v>
      </c>
      <c r="V25" s="64">
        <f>IF(V10=0,0,V10/MBunk_act!V5*1000)</f>
        <v>1.2402675284705542</v>
      </c>
      <c r="W25" s="64">
        <f>IF(W10=0,0,W10/MBunk_act!W5*1000)</f>
        <v>1.2223020021661508</v>
      </c>
      <c r="X25" s="64">
        <f>IF(X10=0,0,X10/MBunk_act!X5*1000)</f>
        <v>1.3765608087480468</v>
      </c>
      <c r="Y25" s="64">
        <f>IF(Y10=0,0,Y10/MBunk_act!Y5*1000)</f>
        <v>1.457645122634339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6">IF(C3=0,0,C3/C$3)</f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1</v>
      </c>
      <c r="Y27" s="76">
        <f t="shared" si="7"/>
        <v>1</v>
      </c>
      <c r="DA27" s="183"/>
    </row>
    <row r="28" spans="1:105" ht="11.45" customHeight="1" x14ac:dyDescent="0.25">
      <c r="A28" s="55" t="s">
        <v>166</v>
      </c>
      <c r="B28" s="77">
        <f>IF(B4=0,0,B4/B$3)</f>
        <v>0.5942473083438875</v>
      </c>
      <c r="C28" s="77">
        <f t="shared" si="6"/>
        <v>0.5689357238958147</v>
      </c>
      <c r="D28" s="77">
        <f t="shared" si="6"/>
        <v>0.56030765584790132</v>
      </c>
      <c r="E28" s="77">
        <f t="shared" si="6"/>
        <v>0.54672566834435632</v>
      </c>
      <c r="F28" s="77">
        <f t="shared" si="6"/>
        <v>0.55030921372675257</v>
      </c>
      <c r="G28" s="77">
        <f t="shared" si="6"/>
        <v>0.55531091085689133</v>
      </c>
      <c r="H28" s="77">
        <f t="shared" si="6"/>
        <v>0.56596175262170889</v>
      </c>
      <c r="I28" s="77">
        <f t="shared" si="6"/>
        <v>0.56347725357884826</v>
      </c>
      <c r="J28" s="77">
        <f t="shared" si="6"/>
        <v>0.56118566889222077</v>
      </c>
      <c r="K28" s="77">
        <f t="shared" si="6"/>
        <v>0.53798627746768746</v>
      </c>
      <c r="L28" s="77">
        <f t="shared" si="6"/>
        <v>0.55394995988318707</v>
      </c>
      <c r="M28" s="77">
        <f t="shared" si="6"/>
        <v>0.54421147361666677</v>
      </c>
      <c r="N28" s="77">
        <f t="shared" si="6"/>
        <v>0.55278628061895241</v>
      </c>
      <c r="O28" s="77">
        <f t="shared" si="6"/>
        <v>0.54655303442035641</v>
      </c>
      <c r="P28" s="77">
        <f t="shared" si="6"/>
        <v>0.53782852991987207</v>
      </c>
      <c r="Q28" s="77">
        <f t="shared" si="6"/>
        <v>0.56822351392771953</v>
      </c>
      <c r="R28" s="77">
        <f t="shared" si="6"/>
        <v>0.55649129278929199</v>
      </c>
      <c r="S28" s="77">
        <f t="shared" si="6"/>
        <v>0.56448383529264878</v>
      </c>
      <c r="T28" s="77">
        <f t="shared" si="6"/>
        <v>0.55950348357354884</v>
      </c>
      <c r="U28" s="77">
        <f t="shared" si="6"/>
        <v>0.55379171499989011</v>
      </c>
      <c r="V28" s="77">
        <f t="shared" si="6"/>
        <v>0.52073971974544542</v>
      </c>
      <c r="W28" s="77">
        <f t="shared" si="6"/>
        <v>0.523970296411433</v>
      </c>
      <c r="X28" s="77">
        <f t="shared" ref="X28:Y28" si="8">IF(X4=0,0,X4/X$3)</f>
        <v>0.58156396468947114</v>
      </c>
      <c r="Y28" s="77">
        <f t="shared" si="8"/>
        <v>0.62034581872059569</v>
      </c>
      <c r="DA28" s="184"/>
    </row>
    <row r="29" spans="1:105" ht="11.45" customHeight="1" x14ac:dyDescent="0.25">
      <c r="A29" s="57" t="s">
        <v>167</v>
      </c>
      <c r="B29" s="78">
        <f>IF(B10=0,0,B10/B$3)</f>
        <v>0.40575269165611261</v>
      </c>
      <c r="C29" s="78">
        <f t="shared" ref="C29:W29" si="9">IF(C10=0,0,C10/C$3)</f>
        <v>0.43106427610418535</v>
      </c>
      <c r="D29" s="78">
        <f t="shared" si="9"/>
        <v>0.43969234415209874</v>
      </c>
      <c r="E29" s="78">
        <f t="shared" si="9"/>
        <v>0.45327433165564357</v>
      </c>
      <c r="F29" s="78">
        <f t="shared" si="9"/>
        <v>0.44969078627324738</v>
      </c>
      <c r="G29" s="78">
        <f t="shared" si="9"/>
        <v>0.44468908914310862</v>
      </c>
      <c r="H29" s="78">
        <f t="shared" si="9"/>
        <v>0.43403824737829116</v>
      </c>
      <c r="I29" s="78">
        <f t="shared" si="9"/>
        <v>0.43652274642115174</v>
      </c>
      <c r="J29" s="78">
        <f t="shared" si="9"/>
        <v>0.43881433110777929</v>
      </c>
      <c r="K29" s="78">
        <f t="shared" si="9"/>
        <v>0.46201372253231254</v>
      </c>
      <c r="L29" s="78">
        <f t="shared" si="9"/>
        <v>0.44605004011681298</v>
      </c>
      <c r="M29" s="78">
        <f t="shared" si="9"/>
        <v>0.45578852638333317</v>
      </c>
      <c r="N29" s="78">
        <f t="shared" si="9"/>
        <v>0.44721371938104759</v>
      </c>
      <c r="O29" s="78">
        <f t="shared" si="9"/>
        <v>0.45344696557964365</v>
      </c>
      <c r="P29" s="78">
        <f t="shared" si="9"/>
        <v>0.46217147008012793</v>
      </c>
      <c r="Q29" s="78">
        <f t="shared" si="9"/>
        <v>0.43177648607228053</v>
      </c>
      <c r="R29" s="78">
        <f t="shared" si="9"/>
        <v>0.44350870721070795</v>
      </c>
      <c r="S29" s="78">
        <f t="shared" si="9"/>
        <v>0.43551616470735133</v>
      </c>
      <c r="T29" s="78">
        <f t="shared" si="9"/>
        <v>0.44049651642645121</v>
      </c>
      <c r="U29" s="78">
        <f t="shared" si="9"/>
        <v>0.44620828500010984</v>
      </c>
      <c r="V29" s="78">
        <f t="shared" si="9"/>
        <v>0.47926028025455458</v>
      </c>
      <c r="W29" s="78">
        <f t="shared" si="9"/>
        <v>0.47602970358856705</v>
      </c>
      <c r="X29" s="78">
        <f t="shared" ref="X29:Y29" si="10">IF(X10=0,0,X10/X$3)</f>
        <v>0.41843603531052881</v>
      </c>
      <c r="Y29" s="78">
        <f t="shared" si="10"/>
        <v>0.37965418127940442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2170.5075856800004</v>
      </c>
      <c r="C3" s="62">
        <f t="shared" ref="C3:W3" si="1">SUM(C4:C5)</f>
        <v>1858.5185432400001</v>
      </c>
      <c r="D3" s="62">
        <f t="shared" si="1"/>
        <v>2093.7164439600001</v>
      </c>
      <c r="E3" s="62">
        <f t="shared" si="1"/>
        <v>2080.9505663999998</v>
      </c>
      <c r="F3" s="62">
        <f t="shared" si="1"/>
        <v>1675.9876514400005</v>
      </c>
      <c r="G3" s="62">
        <f t="shared" si="1"/>
        <v>1647.3573914400004</v>
      </c>
      <c r="H3" s="62">
        <f t="shared" si="1"/>
        <v>1812.5384785200004</v>
      </c>
      <c r="I3" s="62">
        <f t="shared" si="1"/>
        <v>1484.72318412</v>
      </c>
      <c r="J3" s="62">
        <f t="shared" si="1"/>
        <v>1295.9669703599998</v>
      </c>
      <c r="K3" s="62">
        <f t="shared" si="1"/>
        <v>804.84747876000006</v>
      </c>
      <c r="L3" s="62">
        <f t="shared" si="1"/>
        <v>681.33006467999996</v>
      </c>
      <c r="M3" s="62">
        <f t="shared" si="1"/>
        <v>643.46506164000016</v>
      </c>
      <c r="N3" s="62">
        <f t="shared" si="1"/>
        <v>393.40305072000007</v>
      </c>
      <c r="O3" s="62">
        <f t="shared" si="1"/>
        <v>416.07987336000008</v>
      </c>
      <c r="P3" s="62">
        <f t="shared" si="1"/>
        <v>308.77360056000003</v>
      </c>
      <c r="Q3" s="62">
        <f t="shared" si="1"/>
        <v>952.81102223999983</v>
      </c>
      <c r="R3" s="62">
        <f t="shared" si="1"/>
        <v>922.55864581761546</v>
      </c>
      <c r="S3" s="62">
        <f t="shared" si="1"/>
        <v>1134.5154377281578</v>
      </c>
      <c r="T3" s="62">
        <f t="shared" si="1"/>
        <v>1047.433342480997</v>
      </c>
      <c r="U3" s="62">
        <f t="shared" si="1"/>
        <v>1077.6573172001335</v>
      </c>
      <c r="V3" s="62">
        <f t="shared" si="1"/>
        <v>989.41660720378127</v>
      </c>
      <c r="W3" s="62">
        <f t="shared" si="1"/>
        <v>893.81261930177573</v>
      </c>
      <c r="X3" s="62">
        <f t="shared" ref="X3:Y3" si="2">SUM(X4:X5)</f>
        <v>1071.9851327318831</v>
      </c>
      <c r="Y3" s="62">
        <f t="shared" si="2"/>
        <v>894.34573539116229</v>
      </c>
      <c r="DA3" s="172" t="s">
        <v>987</v>
      </c>
    </row>
    <row r="4" spans="1:105" ht="11.45" customHeight="1" x14ac:dyDescent="0.25">
      <c r="A4" s="55" t="s">
        <v>166</v>
      </c>
      <c r="B4" s="63">
        <v>1282.0454800133812</v>
      </c>
      <c r="C4" s="63">
        <v>1051.2175256166383</v>
      </c>
      <c r="D4" s="63">
        <v>1168.6216115173295</v>
      </c>
      <c r="E4" s="63">
        <v>1133.4862944920135</v>
      </c>
      <c r="F4" s="63">
        <v>920.13657204734182</v>
      </c>
      <c r="G4" s="63">
        <v>912.64265096588929</v>
      </c>
      <c r="H4" s="63">
        <v>1023.1922704116643</v>
      </c>
      <c r="I4" s="63">
        <v>833.32023660626282</v>
      </c>
      <c r="J4" s="63">
        <v>724.04447081258525</v>
      </c>
      <c r="K4" s="63">
        <v>430.8139722277665</v>
      </c>
      <c r="L4" s="63">
        <v>374.62026316760841</v>
      </c>
      <c r="M4" s="63">
        <v>347.42033935913861</v>
      </c>
      <c r="N4" s="63">
        <v>215.58753688825394</v>
      </c>
      <c r="O4" s="63">
        <v>225.28964406583313</v>
      </c>
      <c r="P4" s="63">
        <v>164.54781470719934</v>
      </c>
      <c r="Q4" s="63">
        <v>539.49543211937669</v>
      </c>
      <c r="R4" s="63">
        <v>511.57388395980024</v>
      </c>
      <c r="S4" s="63">
        <v>637.34053700053619</v>
      </c>
      <c r="T4" s="63">
        <v>583.50734001810144</v>
      </c>
      <c r="U4" s="63">
        <v>593.62909745693207</v>
      </c>
      <c r="V4" s="63">
        <v>511.83802370693036</v>
      </c>
      <c r="W4" s="63">
        <v>463.65493072553818</v>
      </c>
      <c r="X4" s="63">
        <v>617.41426952431652</v>
      </c>
      <c r="Y4" s="63">
        <v>551.89975358197921</v>
      </c>
      <c r="DA4" s="181" t="s">
        <v>988</v>
      </c>
    </row>
    <row r="5" spans="1:105" ht="11.45" customHeight="1" x14ac:dyDescent="0.25">
      <c r="A5" s="57" t="s">
        <v>167</v>
      </c>
      <c r="B5" s="64">
        <v>888.46210566661921</v>
      </c>
      <c r="C5" s="64">
        <v>807.30101762336176</v>
      </c>
      <c r="D5" s="64">
        <v>925.09483244267062</v>
      </c>
      <c r="E5" s="64">
        <v>947.46427190798636</v>
      </c>
      <c r="F5" s="64">
        <v>755.85107939265868</v>
      </c>
      <c r="G5" s="64">
        <v>734.71474047411095</v>
      </c>
      <c r="H5" s="64">
        <v>789.34620810833599</v>
      </c>
      <c r="I5" s="64">
        <v>651.40294751373722</v>
      </c>
      <c r="J5" s="64">
        <v>571.92249954741442</v>
      </c>
      <c r="K5" s="64">
        <v>374.03350653223356</v>
      </c>
      <c r="L5" s="64">
        <v>306.70980151239155</v>
      </c>
      <c r="M5" s="64">
        <v>296.04472228086149</v>
      </c>
      <c r="N5" s="64">
        <v>177.81551383174613</v>
      </c>
      <c r="O5" s="64">
        <v>190.79022929416692</v>
      </c>
      <c r="P5" s="64">
        <v>144.2257858528007</v>
      </c>
      <c r="Q5" s="64">
        <v>413.31559012062314</v>
      </c>
      <c r="R5" s="64">
        <v>410.98476185781522</v>
      </c>
      <c r="S5" s="64">
        <v>497.17490072762166</v>
      </c>
      <c r="T5" s="64">
        <v>463.92600246289567</v>
      </c>
      <c r="U5" s="64">
        <v>484.02821974320159</v>
      </c>
      <c r="V5" s="64">
        <v>477.57858349685091</v>
      </c>
      <c r="W5" s="64">
        <v>430.15768857623755</v>
      </c>
      <c r="X5" s="64">
        <v>454.57086320756662</v>
      </c>
      <c r="Y5" s="64">
        <v>342.44598180918308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3.2012375320302406</v>
      </c>
      <c r="C9" s="79">
        <f>IF(C3=0,0,C3/MBunk_ene!C3)</f>
        <v>3.2058260810190862</v>
      </c>
      <c r="D9" s="79">
        <f>IF(D3=0,0,D3/MBunk_ene!D3)</f>
        <v>3.2183349515272006</v>
      </c>
      <c r="E9" s="79">
        <f>IF(E3=0,0,E3/MBunk_ene!E3)</f>
        <v>3.2199438096685902</v>
      </c>
      <c r="F9" s="79">
        <f>IF(F3=0,0,F3/MBunk_ene!F3)</f>
        <v>3.2272566782031569</v>
      </c>
      <c r="G9" s="79">
        <f>IF(G3=0,0,G3/MBunk_ene!G3)</f>
        <v>3.2270260387654117</v>
      </c>
      <c r="H9" s="79">
        <f>IF(H3=0,0,H3/MBunk_ene!H3)</f>
        <v>3.2252620478915062</v>
      </c>
      <c r="I9" s="79">
        <f>IF(I3=0,0,I3/MBunk_ene!I3)</f>
        <v>3.2173355730808808</v>
      </c>
      <c r="J9" s="79">
        <f>IF(J3=0,0,J3/MBunk_ene!J3)</f>
        <v>3.2146713376263887</v>
      </c>
      <c r="K9" s="79">
        <f>IF(K3=0,0,K3/MBunk_ene!K3)</f>
        <v>3.2135265415909413</v>
      </c>
      <c r="L9" s="79">
        <f>IF(L3=0,0,L3/MBunk_ene!L3)</f>
        <v>3.1988205071160807</v>
      </c>
      <c r="M9" s="79">
        <f>IF(M3=0,0,M3/MBunk_ene!M3)</f>
        <v>3.1977866393613916</v>
      </c>
      <c r="N9" s="79">
        <f>IF(N3=0,0,N3/MBunk_ene!N3)</f>
        <v>3.1924668491137003</v>
      </c>
      <c r="O9" s="79">
        <f>IF(O3=0,0,O3/MBunk_ene!O3)</f>
        <v>3.1892256748187418</v>
      </c>
      <c r="P9" s="79">
        <f>IF(P3=0,0,P3/MBunk_ene!P3)</f>
        <v>3.1919505848407468</v>
      </c>
      <c r="Q9" s="79">
        <f>IF(Q3=0,0,Q3/MBunk_ene!Q3)</f>
        <v>3.2194162758996256</v>
      </c>
      <c r="R9" s="79">
        <f>IF(R3=0,0,R3/MBunk_ene!R3)</f>
        <v>3.2195550178883154</v>
      </c>
      <c r="S9" s="79">
        <f>IF(S3=0,0,S3/MBunk_ene!S3)</f>
        <v>3.2005771581394153</v>
      </c>
      <c r="T9" s="79">
        <f>IF(T3=0,0,T3/MBunk_ene!T3)</f>
        <v>3.2123400898631949</v>
      </c>
      <c r="U9" s="79">
        <f>IF(U3=0,0,U3/MBunk_ene!U3)</f>
        <v>3.2094357216922593</v>
      </c>
      <c r="V9" s="79">
        <f>IF(V3=0,0,V3/MBunk_ene!V3)</f>
        <v>3.2033031378738839</v>
      </c>
      <c r="W9" s="79">
        <f>IF(W3=0,0,W3/MBunk_ene!W3)</f>
        <v>3.1857809492209825</v>
      </c>
      <c r="X9" s="79">
        <f>IF(X3=0,0,X3/MBunk_ene!X3)</f>
        <v>3.1783665000741355</v>
      </c>
      <c r="Y9" s="79">
        <f>IF(Y3=0,0,Y3/MBunk_ene!Y3)</f>
        <v>3.1331794551205161</v>
      </c>
      <c r="DA9" s="172"/>
    </row>
    <row r="10" spans="1:105" ht="11.45" customHeight="1" x14ac:dyDescent="0.25">
      <c r="A10" s="55" t="s">
        <v>166</v>
      </c>
      <c r="B10" s="80">
        <f>IF(B4=0,0,B4/MBunk_ene!B4)</f>
        <v>3.1819459675215804</v>
      </c>
      <c r="C10" s="80">
        <f>IF(C4=0,0,C4/MBunk_ene!C4)</f>
        <v>3.1871495892127317</v>
      </c>
      <c r="D10" s="80">
        <f>IF(D4=0,0,D4/MBunk_ene!D4)</f>
        <v>3.2059794537033803</v>
      </c>
      <c r="E10" s="80">
        <f>IF(E4=0,0,E4/MBunk_ene!E4)</f>
        <v>3.2079924577546857</v>
      </c>
      <c r="F10" s="80">
        <f>IF(F4=0,0,F4/MBunk_ene!F4)</f>
        <v>3.2196465821702178</v>
      </c>
      <c r="G10" s="80">
        <f>IF(G4=0,0,G4/MBunk_ene!G4)</f>
        <v>3.2194315459043334</v>
      </c>
      <c r="H10" s="80">
        <f>IF(H4=0,0,H4/MBunk_ene!H4)</f>
        <v>3.2169768751995584</v>
      </c>
      <c r="I10" s="80">
        <f>IF(I4=0,0,I4/MBunk_ene!I4)</f>
        <v>3.2046928399571035</v>
      </c>
      <c r="J10" s="80">
        <f>IF(J4=0,0,J4/MBunk_ene!J4)</f>
        <v>3.2003782815618917</v>
      </c>
      <c r="K10" s="80">
        <f>IF(K4=0,0,K4/MBunk_ene!K4)</f>
        <v>3.1973257484107664</v>
      </c>
      <c r="L10" s="80">
        <f>IF(L4=0,0,L4/MBunk_ene!L4)</f>
        <v>3.1750681221824708</v>
      </c>
      <c r="M10" s="80">
        <f>IF(M4=0,0,M4/MBunk_ene!M4)</f>
        <v>3.1725761797975451</v>
      </c>
      <c r="N10" s="80">
        <f>IF(N4=0,0,N4/MBunk_ene!N4)</f>
        <v>3.1648641109510436</v>
      </c>
      <c r="O10" s="80">
        <f>IF(O4=0,0,O4/MBunk_ene!O4)</f>
        <v>3.1594934706852738</v>
      </c>
      <c r="P10" s="80">
        <f>IF(P4=0,0,P4/MBunk_ene!P4)</f>
        <v>3.1627457437623732</v>
      </c>
      <c r="Q10" s="80">
        <f>IF(Q4=0,0,Q4/MBunk_ene!Q4)</f>
        <v>3.2080337840117621</v>
      </c>
      <c r="R10" s="80">
        <f>IF(R4=0,0,R4/MBunk_ene!R4)</f>
        <v>3.2081292708990783</v>
      </c>
      <c r="S10" s="80">
        <f>IF(S4=0,0,S4/MBunk_ene!S4)</f>
        <v>3.18520892292003</v>
      </c>
      <c r="T10" s="80">
        <f>IF(T4=0,0,T4/MBunk_ene!T4)</f>
        <v>3.1984432676092931</v>
      </c>
      <c r="U10" s="80">
        <f>IF(U4=0,0,U4/MBunk_ene!U4)</f>
        <v>3.1923957655490582</v>
      </c>
      <c r="V10" s="80">
        <f>IF(V4=0,0,V4/MBunk_ene!V4)</f>
        <v>3.1822235421940435</v>
      </c>
      <c r="W10" s="80">
        <f>IF(W4=0,0,W4/MBunk_ene!W4)</f>
        <v>3.1539706224806134</v>
      </c>
      <c r="X10" s="80">
        <f>IF(X4=0,0,X4/MBunk_ene!X4)</f>
        <v>3.1477076270687361</v>
      </c>
      <c r="Y10" s="80">
        <f>IF(Y4=0,0,Y4/MBunk_ene!Y4)</f>
        <v>3.1167801588081137</v>
      </c>
      <c r="DA10" s="181"/>
    </row>
    <row r="11" spans="1:105" ht="11.45" customHeight="1" x14ac:dyDescent="0.25">
      <c r="A11" s="57" t="s">
        <v>167</v>
      </c>
      <c r="B11" s="81">
        <f>IF(B5=0,0,B5/MBunk_ene!B10)</f>
        <v>3.2294910976103544</v>
      </c>
      <c r="C11" s="81">
        <f>IF(C5=0,0,C5/MBunk_ene!C10)</f>
        <v>3.2304760554537904</v>
      </c>
      <c r="D11" s="81">
        <f>IF(D5=0,0,D5/MBunk_ene!D10)</f>
        <v>3.2340797788242255</v>
      </c>
      <c r="E11" s="81">
        <f>IF(E5=0,0,E5/MBunk_ene!E10)</f>
        <v>3.2343591656824233</v>
      </c>
      <c r="F11" s="81">
        <f>IF(F5=0,0,F5/MBunk_ene!F10)</f>
        <v>3.236569535153103</v>
      </c>
      <c r="G11" s="81">
        <f>IF(G5=0,0,G5/MBunk_ene!G10)</f>
        <v>3.236509754132272</v>
      </c>
      <c r="H11" s="81">
        <f>IF(H5=0,0,H5/MBunk_ene!H10)</f>
        <v>3.236065452627912</v>
      </c>
      <c r="I11" s="81">
        <f>IF(I5=0,0,I5/MBunk_ene!I10)</f>
        <v>3.2336552095642528</v>
      </c>
      <c r="J11" s="81">
        <f>IF(J5=0,0,J5/MBunk_ene!J10)</f>
        <v>3.2329502716981615</v>
      </c>
      <c r="K11" s="81">
        <f>IF(K5=0,0,K5/MBunk_ene!K10)</f>
        <v>3.2323913587813369</v>
      </c>
      <c r="L11" s="81">
        <f>IF(L5=0,0,L5/MBunk_ene!L10)</f>
        <v>3.2283186160673929</v>
      </c>
      <c r="M11" s="81">
        <f>IF(M5=0,0,M5/MBunk_ene!M10)</f>
        <v>3.2278879265935654</v>
      </c>
      <c r="N11" s="81">
        <f>IF(N5=0,0,N5/MBunk_ene!N10)</f>
        <v>3.2265856927505894</v>
      </c>
      <c r="O11" s="81">
        <f>IF(O5=0,0,O5/MBunk_ene!O10)</f>
        <v>3.225062779535893</v>
      </c>
      <c r="P11" s="81">
        <f>IF(P5=0,0,P5/MBunk_ene!P10)</f>
        <v>3.2259362325074057</v>
      </c>
      <c r="Q11" s="81">
        <f>IF(Q5=0,0,Q5/MBunk_ene!Q10)</f>
        <v>3.2343957843870168</v>
      </c>
      <c r="R11" s="81">
        <f>IF(R5=0,0,R5/MBunk_ene!R10)</f>
        <v>3.2338914415249849</v>
      </c>
      <c r="S11" s="81">
        <f>IF(S5=0,0,S5/MBunk_ene!S10)</f>
        <v>3.2204963277623095</v>
      </c>
      <c r="T11" s="81">
        <f>IF(T5=0,0,T5/MBunk_ene!T10)</f>
        <v>3.2299913542244614</v>
      </c>
      <c r="U11" s="81">
        <f>IF(U5=0,0,U5/MBunk_ene!U10)</f>
        <v>3.2305841110281155</v>
      </c>
      <c r="V11" s="81">
        <f>IF(V5=0,0,V5/MBunk_ene!V10)</f>
        <v>3.2262071489069641</v>
      </c>
      <c r="W11" s="81">
        <f>IF(W5=0,0,W5/MBunk_ene!W10)</f>
        <v>3.220794870002492</v>
      </c>
      <c r="X11" s="81">
        <f>IF(X5=0,0,X5/MBunk_ene!X10)</f>
        <v>3.2209777816878224</v>
      </c>
      <c r="Y11" s="81">
        <f>IF(Y5=0,0,Y5/MBunk_ene!Y10)</f>
        <v>3.159975511634566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15660.134110885198</v>
      </c>
      <c r="C13" s="62">
        <f>IF(C3=0,0,C3/MBunk_act!C7*100)</f>
        <v>13421.219550546366</v>
      </c>
      <c r="D13" s="62">
        <f>IF(D3=0,0,D3/MBunk_act!D7*100)</f>
        <v>14881.917556373788</v>
      </c>
      <c r="E13" s="62">
        <f>IF(E3=0,0,E3/MBunk_act!E7*100)</f>
        <v>14330.583116395332</v>
      </c>
      <c r="F13" s="62">
        <f>IF(F3=0,0,F3/MBunk_act!F7*100)</f>
        <v>11424.26963165457</v>
      </c>
      <c r="G13" s="62">
        <f>IF(G3=0,0,G3/MBunk_act!G7*100)</f>
        <v>12239.599147143716</v>
      </c>
      <c r="H13" s="62">
        <f>IF(H3=0,0,H3/MBunk_act!H7*100)</f>
        <v>12469.476940591239</v>
      </c>
      <c r="I13" s="62">
        <f>IF(I3=0,0,I3/MBunk_act!I7*100)</f>
        <v>10363.65252298333</v>
      </c>
      <c r="J13" s="62">
        <f>IF(J3=0,0,J3/MBunk_act!J7*100)</f>
        <v>8992.1828487642124</v>
      </c>
      <c r="K13" s="62">
        <f>IF(K3=0,0,K3/MBunk_act!K7*100)</f>
        <v>7133.1117965119847</v>
      </c>
      <c r="L13" s="62">
        <f>IF(L3=0,0,L3/MBunk_act!L7*100)</f>
        <v>5300.2033613770927</v>
      </c>
      <c r="M13" s="62">
        <f>IF(M3=0,0,M3/MBunk_act!M7*100)</f>
        <v>4656.3281280935335</v>
      </c>
      <c r="N13" s="62">
        <f>IF(N3=0,0,N3/MBunk_act!N7*100)</f>
        <v>3017.6966571022645</v>
      </c>
      <c r="O13" s="62">
        <f>IF(O3=0,0,O3/MBunk_act!O7*100)</f>
        <v>3174.7102401527727</v>
      </c>
      <c r="P13" s="62">
        <f>IF(P3=0,0,P3/MBunk_act!P7*100)</f>
        <v>2403.0420425113316</v>
      </c>
      <c r="Q13" s="62">
        <f>IF(Q3=0,0,Q3/MBunk_act!Q7*100)</f>
        <v>8640.2564755379644</v>
      </c>
      <c r="R13" s="62">
        <f>IF(R3=0,0,R3/MBunk_act!R7*100)</f>
        <v>7802.8004210082472</v>
      </c>
      <c r="S13" s="62">
        <f>IF(S3=0,0,S3/MBunk_act!S7*100)</f>
        <v>9434.9254125293919</v>
      </c>
      <c r="T13" s="62">
        <f>IF(T3=0,0,T3/MBunk_act!T7*100)</f>
        <v>8348.6102762668943</v>
      </c>
      <c r="U13" s="62">
        <f>IF(U3=0,0,U3/MBunk_act!U7*100)</f>
        <v>8563.3436171172707</v>
      </c>
      <c r="V13" s="62">
        <f>IF(V3=0,0,V3/MBunk_act!V7*100)</f>
        <v>8856.5495537630832</v>
      </c>
      <c r="W13" s="62">
        <f>IF(W3=0,0,W3/MBunk_act!W7*100)</f>
        <v>8049.887154584073</v>
      </c>
      <c r="X13" s="62">
        <f>IF(X3=0,0,X3/MBunk_act!X7*100)</f>
        <v>9068.1679604653109</v>
      </c>
      <c r="Y13" s="62">
        <f>IF(Y3=0,0,Y3/MBunk_act!Y7*100)</f>
        <v>8535.418269376758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12757.629851927994</v>
      </c>
      <c r="C14" s="63">
        <f>IF(C4=0,0,C4/MBunk_act!C8*100)</f>
        <v>11053.201853910678</v>
      </c>
      <c r="D14" s="63">
        <f>IF(D4=0,0,D4/MBunk_act!D8*100)</f>
        <v>12414.19308777562</v>
      </c>
      <c r="E14" s="63">
        <f>IF(E4=0,0,E4/MBunk_act!E8*100)</f>
        <v>12088.867362265913</v>
      </c>
      <c r="F14" s="63">
        <f>IF(F4=0,0,F4/MBunk_act!F8*100)</f>
        <v>9630.6792509170227</v>
      </c>
      <c r="G14" s="63">
        <f>IF(G4=0,0,G4/MBunk_act!G8*100)</f>
        <v>10318.976135016117</v>
      </c>
      <c r="H14" s="63">
        <f>IF(H4=0,0,H4/MBunk_act!H8*100)</f>
        <v>10423.035310353154</v>
      </c>
      <c r="I14" s="63">
        <f>IF(I4=0,0,I4/MBunk_act!I8*100)</f>
        <v>8692.309486333419</v>
      </c>
      <c r="J14" s="63">
        <f>IF(J4=0,0,J4/MBunk_act!J8*100)</f>
        <v>7572.2200135767143</v>
      </c>
      <c r="K14" s="63">
        <f>IF(K4=0,0,K4/MBunk_act!K8*100)</f>
        <v>6120.3799375077551</v>
      </c>
      <c r="L14" s="63">
        <f>IF(L4=0,0,L4/MBunk_act!L8*100)</f>
        <v>4443.432777352391</v>
      </c>
      <c r="M14" s="63">
        <f>IF(M4=0,0,M4/MBunk_act!M8*100)</f>
        <v>3827.1129610705875</v>
      </c>
      <c r="N14" s="63">
        <f>IF(N4=0,0,N4/MBunk_act!N8*100)</f>
        <v>2463.0406794027158</v>
      </c>
      <c r="O14" s="63">
        <f>IF(O4=0,0,O4/MBunk_act!O8*100)</f>
        <v>2590.2274614653834</v>
      </c>
      <c r="P14" s="63">
        <f>IF(P4=0,0,P4/MBunk_act!P8*100)</f>
        <v>1957.5811887356906</v>
      </c>
      <c r="Q14" s="63">
        <f>IF(Q4=0,0,Q4/MBunk_act!Q8*100)</f>
        <v>7043.8608690484489</v>
      </c>
      <c r="R14" s="63">
        <f>IF(R4=0,0,R4/MBunk_act!R8*100)</f>
        <v>6402.3018922020628</v>
      </c>
      <c r="S14" s="63">
        <f>IF(S4=0,0,S4/MBunk_act!S8*100)</f>
        <v>7707.0195563072584</v>
      </c>
      <c r="T14" s="63">
        <f>IF(T4=0,0,T4/MBunk_act!T8*100)</f>
        <v>6798.0973025361236</v>
      </c>
      <c r="U14" s="63">
        <f>IF(U4=0,0,U4/MBunk_act!U8*100)</f>
        <v>6993.1545303834737</v>
      </c>
      <c r="V14" s="63">
        <f>IF(V4=0,0,V4/MBunk_act!V8*100)</f>
        <v>6826.1643754694351</v>
      </c>
      <c r="W14" s="63">
        <f>IF(W4=0,0,W4/MBunk_act!W8*100)</f>
        <v>5911.4701666201927</v>
      </c>
      <c r="X14" s="63">
        <f>IF(X4=0,0,X4/MBunk_act!X8*100)</f>
        <v>7274.9743546504151</v>
      </c>
      <c r="Y14" s="63">
        <f>IF(Y4=0,0,Y4/MBunk_act!Y8*100)</f>
        <v>6900.4228599768567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23314.087496414679</v>
      </c>
      <c r="C15" s="64">
        <f>IF(C5=0,0,C5/MBunk_act!C9*100)</f>
        <v>18613.895259292913</v>
      </c>
      <c r="D15" s="64">
        <f>IF(D5=0,0,D5/MBunk_act!D9*100)</f>
        <v>19871.995204630934</v>
      </c>
      <c r="E15" s="64">
        <f>IF(E5=0,0,E5/MBunk_act!E9*100)</f>
        <v>18416.088121981615</v>
      </c>
      <c r="F15" s="64">
        <f>IF(F5=0,0,F5/MBunk_act!F9*100)</f>
        <v>14773.707224625874</v>
      </c>
      <c r="G15" s="64">
        <f>IF(G5=0,0,G5/MBunk_act!G9*100)</f>
        <v>15920.390984869127</v>
      </c>
      <c r="H15" s="64">
        <f>IF(H5=0,0,H5/MBunk_act!H9*100)</f>
        <v>16726.420435771295</v>
      </c>
      <c r="I15" s="64">
        <f>IF(I5=0,0,I5/MBunk_act!I9*100)</f>
        <v>13744.458617925133</v>
      </c>
      <c r="J15" s="64">
        <f>IF(J5=0,0,J5/MBunk_act!J9*100)</f>
        <v>11791.48954626126</v>
      </c>
      <c r="K15" s="64">
        <f>IF(K5=0,0,K5/MBunk_act!K9*100)</f>
        <v>8812.7073164419453</v>
      </c>
      <c r="L15" s="64">
        <f>IF(L5=0,0,L5/MBunk_act!L9*100)</f>
        <v>6932.9933369528617</v>
      </c>
      <c r="M15" s="64">
        <f>IF(M5=0,0,M5/MBunk_act!M9*100)</f>
        <v>6243.9804736537817</v>
      </c>
      <c r="N15" s="64">
        <f>IF(N5=0,0,N5/MBunk_act!N9*100)</f>
        <v>4151.0455107195512</v>
      </c>
      <c r="O15" s="64">
        <f>IF(O5=0,0,O5/MBunk_act!O9*100)</f>
        <v>4327.8831868590505</v>
      </c>
      <c r="P15" s="64">
        <f>IF(P5=0,0,P5/MBunk_act!P9*100)</f>
        <v>3245.6895599028876</v>
      </c>
      <c r="Q15" s="64">
        <f>IF(Q5=0,0,Q5/MBunk_act!Q9*100)</f>
        <v>12270.051786411874</v>
      </c>
      <c r="R15" s="64">
        <f>IF(R5=0,0,R5/MBunk_act!R9*100)</f>
        <v>10722.380285998535</v>
      </c>
      <c r="S15" s="64">
        <f>IF(S5=0,0,S5/MBunk_act!S9*100)</f>
        <v>13240.255410486527</v>
      </c>
      <c r="T15" s="64">
        <f>IF(T5=0,0,T5/MBunk_act!T9*100)</f>
        <v>11707.001763973822</v>
      </c>
      <c r="U15" s="64">
        <f>IF(U5=0,0,U5/MBunk_act!U9*100)</f>
        <v>11817.608766767735</v>
      </c>
      <c r="V15" s="64">
        <f>IF(V5=0,0,V5/MBunk_act!V9*100)</f>
        <v>13000.988824442598</v>
      </c>
      <c r="W15" s="64">
        <f>IF(W5=0,0,W5/MBunk_act!W9*100)</f>
        <v>13194.584000782721</v>
      </c>
      <c r="X15" s="64">
        <f>IF(X5=0,0,X5/MBunk_act!X9*100)</f>
        <v>13632.011165637652</v>
      </c>
      <c r="Y15" s="64">
        <f>IF(Y5=0,0,Y5/MBunk_act!Y9*100)</f>
        <v>13808.322421728053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18.987582265042196</v>
      </c>
      <c r="C17" s="62">
        <f>IF(C3=0,0,C3/MBunk_act!C3*1000)</f>
        <v>14.074978571661193</v>
      </c>
      <c r="D17" s="62">
        <f>IF(D3=0,0,D3/MBunk_act!D3*1000)</f>
        <v>14.014240907643535</v>
      </c>
      <c r="E17" s="62">
        <f>IF(E3=0,0,E3/MBunk_act!E3*1000)</f>
        <v>12.816141726782014</v>
      </c>
      <c r="F17" s="62">
        <f>IF(F3=0,0,F3/MBunk_act!F3*1000)</f>
        <v>10.037418801347204</v>
      </c>
      <c r="G17" s="62">
        <f>IF(G3=0,0,G3/MBunk_act!G3*1000)</f>
        <v>10.773194992380736</v>
      </c>
      <c r="H17" s="62">
        <f>IF(H3=0,0,H3/MBunk_act!H3*1000)</f>
        <v>11.074656489305051</v>
      </c>
      <c r="I17" s="62">
        <f>IF(I3=0,0,I3/MBunk_act!I3*1000)</f>
        <v>8.7865586782841163</v>
      </c>
      <c r="J17" s="62">
        <f>IF(J3=0,0,J3/MBunk_act!J3*1000)</f>
        <v>7.0473412261524313</v>
      </c>
      <c r="K17" s="62">
        <f>IF(K3=0,0,K3/MBunk_act!K3*1000)</f>
        <v>5.1042172482462309</v>
      </c>
      <c r="L17" s="62">
        <f>IF(L3=0,0,L3/MBunk_act!L3*1000)</f>
        <v>3.8374590110189479</v>
      </c>
      <c r="M17" s="62">
        <f>IF(M3=0,0,M3/MBunk_act!M3*1000)</f>
        <v>3.3436636647368281</v>
      </c>
      <c r="N17" s="62">
        <f>IF(N3=0,0,N3/MBunk_act!N3*1000)</f>
        <v>2.1540972165200398</v>
      </c>
      <c r="O17" s="62">
        <f>IF(O3=0,0,O3/MBunk_act!O3*1000)</f>
        <v>2.2047873861329124</v>
      </c>
      <c r="P17" s="62">
        <f>IF(P3=0,0,P3/MBunk_act!P3*1000)</f>
        <v>1.6556411711068824</v>
      </c>
      <c r="Q17" s="62">
        <f>IF(Q3=0,0,Q3/MBunk_act!Q3*1000)</f>
        <v>6.190232226481875</v>
      </c>
      <c r="R17" s="62">
        <f>IF(R3=0,0,R3/MBunk_act!R3*1000)</f>
        <v>5.2514922387981073</v>
      </c>
      <c r="S17" s="62">
        <f>IF(S3=0,0,S3/MBunk_act!S3*1000)</f>
        <v>6.3489009549725397</v>
      </c>
      <c r="T17" s="62">
        <f>IF(T3=0,0,T3/MBunk_act!T3*1000)</f>
        <v>5.583391209003806</v>
      </c>
      <c r="U17" s="62">
        <f>IF(U3=0,0,U3/MBunk_act!U3*1000)</f>
        <v>5.5305195347353493</v>
      </c>
      <c r="V17" s="62">
        <f>IF(V3=0,0,V3/MBunk_act!V3*1000)</f>
        <v>5.5561466646639142</v>
      </c>
      <c r="W17" s="62">
        <f>IF(W3=0,0,W3/MBunk_act!W3*1000)</f>
        <v>5.3342453940302779</v>
      </c>
      <c r="X17" s="62">
        <f>IF(X3=0,0,X3/MBunk_act!X3*1000)</f>
        <v>6.5263841120494703</v>
      </c>
      <c r="Y17" s="62">
        <f>IF(Y3=0,0,Y3/MBunk_act!Y3*1000)</f>
        <v>6.5994389042534127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22.68480413013663</v>
      </c>
      <c r="C18" s="63">
        <f>IF(C4=0,0,C4/MBunk_act!C4*1000)</f>
        <v>19.307621470104056</v>
      </c>
      <c r="D18" s="63">
        <f>IF(D4=0,0,D4/MBunk_act!D4*1000)</f>
        <v>20.894908056443377</v>
      </c>
      <c r="E18" s="63">
        <f>IF(E4=0,0,E4/MBunk_act!E4*1000)</f>
        <v>19.715628750061114</v>
      </c>
      <c r="F18" s="63">
        <f>IF(F4=0,0,F4/MBunk_act!F4*1000)</f>
        <v>15.50590995256214</v>
      </c>
      <c r="G18" s="63">
        <f>IF(G4=0,0,G4/MBunk_act!G4*1000)</f>
        <v>16.444454347159439</v>
      </c>
      <c r="H18" s="63">
        <f>IF(H4=0,0,H4/MBunk_act!H4*1000)</f>
        <v>16.035040871180275</v>
      </c>
      <c r="I18" s="63">
        <f>IF(I4=0,0,I4/MBunk_act!I4*1000)</f>
        <v>13.019382813033971</v>
      </c>
      <c r="J18" s="63">
        <f>IF(J4=0,0,J4/MBunk_act!J4*1000)</f>
        <v>11.095718901722078</v>
      </c>
      <c r="K18" s="63">
        <f>IF(K4=0,0,K4/MBunk_act!K4*1000)</f>
        <v>8.8887292405726548</v>
      </c>
      <c r="L18" s="63">
        <f>IF(L4=0,0,L4/MBunk_act!L4*1000)</f>
        <v>6.5231449906524732</v>
      </c>
      <c r="M18" s="63">
        <f>IF(M4=0,0,M4/MBunk_act!M4*1000)</f>
        <v>6.0050904406597994</v>
      </c>
      <c r="N18" s="63">
        <f>IF(N4=0,0,N4/MBunk_act!N4*1000)</f>
        <v>3.8248007011837308</v>
      </c>
      <c r="O18" s="63">
        <f>IF(O4=0,0,O4/MBunk_act!O4*1000)</f>
        <v>3.9263969923694977</v>
      </c>
      <c r="P18" s="63">
        <f>IF(P4=0,0,P4/MBunk_act!P4*1000)</f>
        <v>2.9628231072218574</v>
      </c>
      <c r="Q18" s="63">
        <f>IF(Q4=0,0,Q4/MBunk_act!Q4*1000)</f>
        <v>10.107987176316071</v>
      </c>
      <c r="R18" s="63">
        <f>IF(R4=0,0,R4/MBunk_act!R4*1000)</f>
        <v>8.8277208831764895</v>
      </c>
      <c r="S18" s="63">
        <f>IF(S4=0,0,S4/MBunk_act!S4*1000)</f>
        <v>10.540264054518856</v>
      </c>
      <c r="T18" s="63">
        <f>IF(T4=0,0,T4/MBunk_act!T4*1000)</f>
        <v>9.5041021836156112</v>
      </c>
      <c r="U18" s="63">
        <f>IF(U4=0,0,U4/MBunk_act!U4*1000)</f>
        <v>9.8736931135264285</v>
      </c>
      <c r="V18" s="63">
        <f>IF(V4=0,0,V4/MBunk_act!V4*1000)</f>
        <v>8.7162943439078902</v>
      </c>
      <c r="W18" s="63">
        <f>IF(W4=0,0,W4/MBunk_act!W4*1000)</f>
        <v>7.9536043215807739</v>
      </c>
      <c r="X18" s="63">
        <f>IF(X4=0,0,X4/MBunk_act!X4*1000)</f>
        <v>10.001569603711404</v>
      </c>
      <c r="Y18" s="63">
        <f>IF(Y4=0,0,Y4/MBunk_act!Y4*1000)</f>
        <v>9.0220045242967117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15.372288931171779</v>
      </c>
      <c r="C19" s="64">
        <f>IF(C5=0,0,C5/MBunk_act!C5*1000)</f>
        <v>10.403575683400065</v>
      </c>
      <c r="D19" s="64">
        <f>IF(D5=0,0,D5/MBunk_act!D5*1000)</f>
        <v>9.8971671433687671</v>
      </c>
      <c r="E19" s="64">
        <f>IF(E5=0,0,E5/MBunk_act!E5*1000)</f>
        <v>9.0339884046606933</v>
      </c>
      <c r="F19" s="64">
        <f>IF(F5=0,0,F5/MBunk_act!F5*1000)</f>
        <v>7.0224881541020556</v>
      </c>
      <c r="G19" s="64">
        <f>IF(G5=0,0,G5/MBunk_act!G5*1000)</f>
        <v>7.5421801624834854</v>
      </c>
      <c r="H19" s="64">
        <f>IF(H5=0,0,H5/MBunk_act!H5*1000)</f>
        <v>7.9048715317976725</v>
      </c>
      <c r="I19" s="64">
        <f>IF(I5=0,0,I5/MBunk_act!I5*1000)</f>
        <v>6.2055800042690041</v>
      </c>
      <c r="J19" s="64">
        <f>IF(J5=0,0,J5/MBunk_act!J5*1000)</f>
        <v>4.8206526729160641</v>
      </c>
      <c r="K19" s="64">
        <f>IF(K5=0,0,K5/MBunk_act!K5*1000)</f>
        <v>3.4247323171054163</v>
      </c>
      <c r="L19" s="64">
        <f>IF(L5=0,0,L5/MBunk_act!L5*1000)</f>
        <v>2.5534084967301096</v>
      </c>
      <c r="M19" s="64">
        <f>IF(M5=0,0,M5/MBunk_act!M5*1000)</f>
        <v>2.1996235599386029</v>
      </c>
      <c r="N19" s="64">
        <f>IF(N5=0,0,N5/MBunk_act!N5*1000)</f>
        <v>1.4082786786756654</v>
      </c>
      <c r="O19" s="64">
        <f>IF(O5=0,0,O5/MBunk_act!O5*1000)</f>
        <v>1.45266211822411</v>
      </c>
      <c r="P19" s="64">
        <f>IF(P5=0,0,P5/MBunk_act!P5*1000)</f>
        <v>1.1012931873337595</v>
      </c>
      <c r="Q19" s="64">
        <f>IF(Q5=0,0,Q5/MBunk_act!Q5*1000)</f>
        <v>4.1106087453141358</v>
      </c>
      <c r="R19" s="64">
        <f>IF(R5=0,0,R5/MBunk_act!R5*1000)</f>
        <v>3.4910671953239008</v>
      </c>
      <c r="S19" s="64">
        <f>IF(S5=0,0,S5/MBunk_act!S5*1000)</f>
        <v>4.2052372866804255</v>
      </c>
      <c r="T19" s="64">
        <f>IF(T5=0,0,T5/MBunk_act!T5*1000)</f>
        <v>3.6760373993510966</v>
      </c>
      <c r="U19" s="64">
        <f>IF(U5=0,0,U5/MBunk_act!U5*1000)</f>
        <v>3.5924690237252714</v>
      </c>
      <c r="V19" s="64">
        <f>IF(V5=0,0,V5/MBunk_act!V5*1000)</f>
        <v>4.0013599669088737</v>
      </c>
      <c r="W19" s="64">
        <f>IF(W5=0,0,W5/MBunk_act!W5*1000)</f>
        <v>3.9367840181705134</v>
      </c>
      <c r="X19" s="64">
        <f>IF(X5=0,0,X5/MBunk_act!X5*1000)</f>
        <v>4.433871780119679</v>
      </c>
      <c r="Y19" s="64">
        <f>IF(Y5=0,0,Y5/MBunk_act!Y5*1000)</f>
        <v>4.6061228921780755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1</v>
      </c>
      <c r="Y21" s="76">
        <f t="shared" si="4"/>
        <v>1</v>
      </c>
      <c r="DA21" s="183"/>
    </row>
    <row r="22" spans="1:105" ht="11.45" customHeight="1" x14ac:dyDescent="0.25">
      <c r="A22" s="55" t="s">
        <v>166</v>
      </c>
      <c r="B22" s="77">
        <f t="shared" si="3"/>
        <v>0.59066620567083983</v>
      </c>
      <c r="C22" s="77">
        <f t="shared" si="3"/>
        <v>0.56562121989056158</v>
      </c>
      <c r="D22" s="77">
        <f t="shared" si="3"/>
        <v>0.55815658079612218</v>
      </c>
      <c r="E22" s="77">
        <f t="shared" si="3"/>
        <v>0.54469640595687996</v>
      </c>
      <c r="F22" s="77">
        <f t="shared" si="3"/>
        <v>0.54901154627050197</v>
      </c>
      <c r="G22" s="77">
        <f t="shared" si="3"/>
        <v>0.55400404047607621</v>
      </c>
      <c r="H22" s="77">
        <f t="shared" si="3"/>
        <v>0.56450788909437977</v>
      </c>
      <c r="I22" s="77">
        <f t="shared" si="3"/>
        <v>0.56126303240841102</v>
      </c>
      <c r="J22" s="77">
        <f t="shared" si="3"/>
        <v>0.55869052790092077</v>
      </c>
      <c r="K22" s="77">
        <f t="shared" si="3"/>
        <v>0.53527405327964284</v>
      </c>
      <c r="L22" s="77">
        <f t="shared" si="3"/>
        <v>0.54983668355154147</v>
      </c>
      <c r="M22" s="77">
        <f t="shared" si="3"/>
        <v>0.53992106187345745</v>
      </c>
      <c r="N22" s="77">
        <f t="shared" si="3"/>
        <v>0.54800677446117674</v>
      </c>
      <c r="O22" s="77">
        <f t="shared" si="3"/>
        <v>0.54145768274378492</v>
      </c>
      <c r="P22" s="77">
        <f t="shared" si="3"/>
        <v>0.53290765275519358</v>
      </c>
      <c r="Q22" s="77">
        <f t="shared" si="3"/>
        <v>0.56621451633825171</v>
      </c>
      <c r="R22" s="77">
        <f t="shared" si="3"/>
        <v>0.55451638362395816</v>
      </c>
      <c r="S22" s="77">
        <f t="shared" si="3"/>
        <v>0.56177334904917342</v>
      </c>
      <c r="T22" s="77">
        <f t="shared" si="3"/>
        <v>0.557083029871839</v>
      </c>
      <c r="U22" s="77">
        <f t="shared" si="3"/>
        <v>0.5508514515534888</v>
      </c>
      <c r="V22" s="77">
        <f t="shared" si="3"/>
        <v>0.51731294985380372</v>
      </c>
      <c r="W22" s="77">
        <f t="shared" si="3"/>
        <v>0.51873840300860141</v>
      </c>
      <c r="X22" s="77">
        <f t="shared" ref="X22:Y22" si="5">IF(X4=0,0,X4/X$3)</f>
        <v>0.57595413469110068</v>
      </c>
      <c r="Y22" s="77">
        <f t="shared" si="5"/>
        <v>0.61709888216841935</v>
      </c>
      <c r="DA22" s="184"/>
    </row>
    <row r="23" spans="1:105" ht="11.45" customHeight="1" x14ac:dyDescent="0.25">
      <c r="A23" s="57" t="s">
        <v>167</v>
      </c>
      <c r="B23" s="78">
        <f t="shared" si="3"/>
        <v>0.40933379432916012</v>
      </c>
      <c r="C23" s="78">
        <f t="shared" si="3"/>
        <v>0.43437878010943837</v>
      </c>
      <c r="D23" s="78">
        <f t="shared" si="3"/>
        <v>0.44184341920387776</v>
      </c>
      <c r="E23" s="78">
        <f t="shared" si="3"/>
        <v>0.4553035940431201</v>
      </c>
      <c r="F23" s="78">
        <f t="shared" si="3"/>
        <v>0.45098845372949797</v>
      </c>
      <c r="G23" s="78">
        <f t="shared" si="3"/>
        <v>0.44599595952392374</v>
      </c>
      <c r="H23" s="78">
        <f t="shared" si="3"/>
        <v>0.43549211090562012</v>
      </c>
      <c r="I23" s="78">
        <f t="shared" si="3"/>
        <v>0.43873696759158898</v>
      </c>
      <c r="J23" s="78">
        <f t="shared" si="3"/>
        <v>0.44130947209907911</v>
      </c>
      <c r="K23" s="78">
        <f t="shared" si="3"/>
        <v>0.46472594672035716</v>
      </c>
      <c r="L23" s="78">
        <f t="shared" si="3"/>
        <v>0.45016331644845853</v>
      </c>
      <c r="M23" s="78">
        <f t="shared" si="3"/>
        <v>0.46007893812654249</v>
      </c>
      <c r="N23" s="78">
        <f t="shared" si="3"/>
        <v>0.45199322553882332</v>
      </c>
      <c r="O23" s="78">
        <f t="shared" si="3"/>
        <v>0.45854231725621503</v>
      </c>
      <c r="P23" s="78">
        <f t="shared" si="3"/>
        <v>0.46709234724480647</v>
      </c>
      <c r="Q23" s="78">
        <f t="shared" si="3"/>
        <v>0.43378548366174829</v>
      </c>
      <c r="R23" s="78">
        <f t="shared" si="3"/>
        <v>0.44548361637604178</v>
      </c>
      <c r="S23" s="78">
        <f t="shared" si="3"/>
        <v>0.43822665095082658</v>
      </c>
      <c r="T23" s="78">
        <f t="shared" si="3"/>
        <v>0.44291697012816106</v>
      </c>
      <c r="U23" s="78">
        <f t="shared" si="3"/>
        <v>0.44914854844651131</v>
      </c>
      <c r="V23" s="78">
        <f t="shared" si="3"/>
        <v>0.48268705014619623</v>
      </c>
      <c r="W23" s="78">
        <f t="shared" si="3"/>
        <v>0.48126159699139859</v>
      </c>
      <c r="X23" s="78">
        <f t="shared" ref="X23:Y23" si="6">IF(X5=0,0,X5/X$3)</f>
        <v>0.42404586530889926</v>
      </c>
      <c r="Y23" s="78">
        <f t="shared" si="6"/>
        <v>0.38290111783158065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2025-11-06T10:23:57Z</dcterms:created>
  <dcterms:modified xsi:type="dcterms:W3CDTF">2025-11-06T10:23:57Z</dcterms:modified>
</cp:coreProperties>
</file>