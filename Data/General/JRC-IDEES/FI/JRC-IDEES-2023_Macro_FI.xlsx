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FI\"/>
    </mc:Choice>
  </mc:AlternateContent>
  <bookViews>
    <workbookView xWindow="480" yWindow="120" windowWidth="27795" windowHeight="12075"/>
  </bookViews>
  <sheets>
    <sheet name="cover" sheetId="60" r:id="rId1"/>
    <sheet name="index" sheetId="4" r:id="rId2"/>
    <sheet name="Macro_CurrPrices" sheetId="57" r:id="rId3"/>
    <sheet name="Macro_euro2023" sheetId="55" r:id="rId4"/>
    <sheet name="Macro_JRC-IDEES" sheetId="59" r:id="rId5"/>
    <sheet name="definitions" sheetId="58" r:id="rId6"/>
  </sheets>
  <definedNames>
    <definedName name="_xlnm.Print_Area" localSheetId="5">definitions!$A$1:$D$112</definedName>
  </definedNames>
  <calcPr calcId="162913"/>
</workbook>
</file>

<file path=xl/calcChain.xml><?xml version="1.0" encoding="utf-8"?>
<calcChain xmlns="http://schemas.openxmlformats.org/spreadsheetml/2006/main">
  <c r="AA78" i="59" l="1"/>
  <c r="AA88" i="59"/>
  <c r="AA84" i="59"/>
  <c r="AA82" i="59"/>
  <c r="AA81" i="59"/>
  <c r="AA79" i="59"/>
  <c r="AA110" i="59"/>
  <c r="AA74" i="59"/>
  <c r="AA105" i="59"/>
  <c r="AA70" i="59"/>
  <c r="AA101" i="59"/>
  <c r="AA66" i="59"/>
  <c r="AA97" i="59"/>
  <c r="AA94" i="59"/>
  <c r="AA5" i="59"/>
  <c r="Z115" i="59"/>
  <c r="Z111" i="59"/>
  <c r="Z107" i="59"/>
  <c r="Z103" i="59"/>
  <c r="Z99" i="59"/>
  <c r="Y75" i="57"/>
  <c r="K75" i="57"/>
  <c r="J75" i="57"/>
  <c r="F75" i="57"/>
  <c r="E75" i="57"/>
  <c r="S54" i="57"/>
  <c r="K54" i="57"/>
  <c r="J54" i="57"/>
  <c r="U39" i="57"/>
  <c r="Q39" i="57"/>
  <c r="O39" i="57"/>
  <c r="I39" i="57"/>
  <c r="H39" i="57"/>
  <c r="O16" i="57"/>
  <c r="G16" i="57"/>
  <c r="E16" i="57"/>
  <c r="T75" i="57"/>
  <c r="Q75" i="57"/>
  <c r="D75" i="57"/>
  <c r="U75" i="57"/>
  <c r="O75" i="57"/>
  <c r="P54" i="57"/>
  <c r="L54" i="57"/>
  <c r="R54" i="57"/>
  <c r="Q54" i="57"/>
  <c r="I54" i="57"/>
  <c r="E39" i="57"/>
  <c r="S16" i="57"/>
  <c r="Y16" i="57"/>
  <c r="M16" i="57"/>
  <c r="N16" i="57" l="1"/>
  <c r="X16" i="57"/>
  <c r="J39" i="57"/>
  <c r="D39" i="57"/>
  <c r="T39" i="57"/>
  <c r="N39" i="57"/>
  <c r="W16" i="57"/>
  <c r="Q16" i="57"/>
  <c r="U16" i="57"/>
  <c r="S39" i="57"/>
  <c r="G39" i="57"/>
  <c r="Y39" i="57"/>
  <c r="W54" i="57"/>
  <c r="AA89" i="59"/>
  <c r="AA80" i="59"/>
  <c r="F16" i="57"/>
  <c r="V16" i="57"/>
  <c r="J16" i="57"/>
  <c r="R39" i="57"/>
  <c r="L39" i="57"/>
  <c r="V39" i="57"/>
  <c r="I16" i="57"/>
  <c r="K39" i="57"/>
  <c r="W39" i="57"/>
  <c r="O54" i="57"/>
  <c r="AA98" i="59"/>
  <c r="AA102" i="59"/>
  <c r="AA106" i="59"/>
  <c r="AA113" i="59"/>
  <c r="AA114" i="59"/>
  <c r="Z54" i="55"/>
  <c r="AA93" i="59"/>
  <c r="AA109" i="59"/>
  <c r="AA117" i="59"/>
  <c r="AA121" i="59"/>
  <c r="P16" i="57"/>
  <c r="F39" i="57"/>
  <c r="D54" i="57"/>
  <c r="T54" i="57"/>
  <c r="F54" i="57"/>
  <c r="N54" i="57"/>
  <c r="V54" i="57"/>
  <c r="H54" i="57"/>
  <c r="X54" i="57"/>
  <c r="V75" i="57"/>
  <c r="H16" i="57"/>
  <c r="K16" i="57"/>
  <c r="M39" i="57"/>
  <c r="E54" i="57"/>
  <c r="M54" i="57"/>
  <c r="U54" i="57"/>
  <c r="G54" i="57"/>
  <c r="Y54" i="57"/>
  <c r="G75" i="57"/>
  <c r="W75" i="57"/>
  <c r="I75" i="57"/>
  <c r="S75" i="57"/>
  <c r="M75" i="57"/>
  <c r="AA54" i="57"/>
  <c r="Z5" i="59"/>
  <c r="AA39" i="55"/>
  <c r="AA16" i="57"/>
  <c r="AA75" i="57"/>
  <c r="AA21" i="59"/>
  <c r="AA68" i="59"/>
  <c r="AA72" i="59"/>
  <c r="AA76" i="59"/>
  <c r="AA86" i="59"/>
  <c r="AA90" i="59"/>
  <c r="Z80" i="59"/>
  <c r="Z87" i="59"/>
  <c r="AA54" i="55"/>
  <c r="AA69" i="59"/>
  <c r="AA73" i="59"/>
  <c r="AA87" i="59"/>
  <c r="L16" i="57"/>
  <c r="R16" i="57"/>
  <c r="P39" i="57"/>
  <c r="X39" i="57"/>
  <c r="Z75" i="55"/>
  <c r="Z39" i="57"/>
  <c r="Z79" i="59"/>
  <c r="Z84" i="59"/>
  <c r="Z88" i="59"/>
  <c r="D16" i="57"/>
  <c r="T16" i="57"/>
  <c r="AA16" i="55"/>
  <c r="AA75" i="55"/>
  <c r="AA39" i="57"/>
  <c r="N75" i="57"/>
  <c r="H75" i="57"/>
  <c r="P75" i="57"/>
  <c r="X75" i="57"/>
  <c r="R75" i="57"/>
  <c r="L75" i="57"/>
  <c r="Z16" i="55"/>
  <c r="Z54" i="57"/>
  <c r="Z67" i="59"/>
  <c r="Z71" i="59"/>
  <c r="Z75" i="59"/>
  <c r="Z83" i="59"/>
  <c r="AA20" i="59"/>
  <c r="AA67" i="59"/>
  <c r="AA71" i="59"/>
  <c r="AA75" i="59"/>
  <c r="AA77" i="59"/>
  <c r="AA83" i="59"/>
  <c r="Z39" i="55"/>
  <c r="Z16" i="57"/>
  <c r="Z75" i="57"/>
  <c r="Z68" i="59"/>
  <c r="Z72" i="59"/>
  <c r="Z76" i="59"/>
  <c r="AA118" i="59"/>
  <c r="AA122" i="59"/>
  <c r="Z65" i="59"/>
  <c r="Z69" i="59"/>
  <c r="Z73" i="59"/>
  <c r="Z77" i="59"/>
  <c r="Z81" i="59"/>
  <c r="Z85" i="59"/>
  <c r="Z89" i="59"/>
  <c r="Z119" i="59"/>
  <c r="AA65" i="59"/>
  <c r="AA85" i="59"/>
  <c r="AA99" i="59"/>
  <c r="AA103" i="59"/>
  <c r="AA107" i="59"/>
  <c r="AA111" i="59"/>
  <c r="AA115" i="59"/>
  <c r="AA119" i="59"/>
  <c r="Z66" i="59"/>
  <c r="Z70" i="59"/>
  <c r="Z74" i="59"/>
  <c r="Z78" i="59"/>
  <c r="Z82" i="59"/>
  <c r="Z86" i="59"/>
  <c r="Z90" i="59"/>
  <c r="Z100" i="59"/>
  <c r="Z104" i="59"/>
  <c r="Z108" i="59"/>
  <c r="Z112" i="59"/>
  <c r="Z116" i="59"/>
  <c r="Z120" i="59"/>
  <c r="AA100" i="59"/>
  <c r="AA104" i="59"/>
  <c r="AA108" i="59"/>
  <c r="AA112" i="59"/>
  <c r="AA116" i="59"/>
  <c r="AA120" i="59"/>
  <c r="Z20" i="59"/>
  <c r="AA95" i="59" s="1"/>
  <c r="Z93" i="59"/>
  <c r="Z97" i="59"/>
  <c r="Z101" i="59"/>
  <c r="Z105" i="59"/>
  <c r="Z109" i="59"/>
  <c r="Z113" i="59"/>
  <c r="Z117" i="59"/>
  <c r="Z121" i="59"/>
  <c r="Z21" i="59"/>
  <c r="Z94" i="59"/>
  <c r="Z98" i="59"/>
  <c r="Z102" i="59"/>
  <c r="Z106" i="59"/>
  <c r="Z110" i="59"/>
  <c r="Z114" i="59"/>
  <c r="Z118" i="59"/>
  <c r="Z122" i="59"/>
  <c r="AA9" i="59" l="1"/>
  <c r="AA10" i="59" s="1"/>
  <c r="Z9" i="59"/>
  <c r="Z10" i="59" s="1"/>
  <c r="AA12" i="59"/>
  <c r="AA13" i="59" s="1"/>
  <c r="Z12" i="59"/>
  <c r="Z13" i="59" s="1"/>
  <c r="AA96" i="59"/>
  <c r="X12" i="59"/>
  <c r="X13" i="59" s="1"/>
  <c r="P12" i="59"/>
  <c r="H12" i="59"/>
  <c r="O12" i="59"/>
  <c r="M12" i="59"/>
  <c r="J12" i="59"/>
  <c r="W12" i="59"/>
  <c r="W13" i="59" s="1"/>
  <c r="G12" i="59"/>
  <c r="Y12" i="59"/>
  <c r="Y13" i="59" s="1"/>
  <c r="V12" i="59"/>
  <c r="V13" i="59" s="1"/>
  <c r="N12" i="59"/>
  <c r="F12" i="59"/>
  <c r="U12" i="59"/>
  <c r="U13" i="59" s="1"/>
  <c r="E12" i="59"/>
  <c r="Q12" i="59"/>
  <c r="T12" i="59"/>
  <c r="T13" i="59" s="1"/>
  <c r="L12" i="59"/>
  <c r="D12" i="59"/>
  <c r="S12" i="59"/>
  <c r="K12" i="59"/>
  <c r="R12" i="59"/>
  <c r="I12" i="59"/>
  <c r="U9" i="59"/>
  <c r="U10" i="59" s="1"/>
  <c r="M9" i="59"/>
  <c r="E9" i="59"/>
  <c r="T9" i="59"/>
  <c r="D9" i="59"/>
  <c r="V9" i="59"/>
  <c r="V10" i="59" s="1"/>
  <c r="N9" i="59"/>
  <c r="L9" i="59"/>
  <c r="R9" i="59"/>
  <c r="J9" i="59"/>
  <c r="O9" i="59"/>
  <c r="G9" i="59"/>
  <c r="F9" i="59"/>
  <c r="S9" i="59"/>
  <c r="K9" i="59"/>
  <c r="X9" i="59"/>
  <c r="X10" i="59" s="1"/>
  <c r="W9" i="59"/>
  <c r="W10" i="59" s="1"/>
  <c r="Q9" i="59"/>
  <c r="I9" i="59"/>
  <c r="Y9" i="59"/>
  <c r="Y10" i="59" s="1"/>
  <c r="P9" i="59"/>
  <c r="H9" i="59"/>
  <c r="Y21" i="59"/>
  <c r="Z96" i="59" s="1"/>
  <c r="W21" i="59"/>
  <c r="Y20" i="59"/>
  <c r="Z95" i="59" s="1"/>
  <c r="W20" i="59"/>
  <c r="V20" i="59"/>
  <c r="U93" i="59"/>
  <c r="Y89" i="59"/>
  <c r="T118" i="59"/>
  <c r="W117" i="59"/>
  <c r="U117" i="59"/>
  <c r="Y84" i="59"/>
  <c r="U116" i="59"/>
  <c r="Y115" i="59"/>
  <c r="Y114" i="59"/>
  <c r="W81" i="59"/>
  <c r="W112" i="59"/>
  <c r="T112" i="59"/>
  <c r="V111" i="59"/>
  <c r="W78" i="59"/>
  <c r="U110" i="59"/>
  <c r="Y77" i="59"/>
  <c r="U109" i="59"/>
  <c r="Y107" i="59"/>
  <c r="U107" i="59"/>
  <c r="Y74" i="59"/>
  <c r="T106" i="59"/>
  <c r="R106" i="59"/>
  <c r="L106" i="59"/>
  <c r="J106" i="59"/>
  <c r="Y105" i="59"/>
  <c r="W73" i="59"/>
  <c r="W105" i="59"/>
  <c r="Y71" i="59"/>
  <c r="Y103" i="59"/>
  <c r="U103" i="59"/>
  <c r="Y102" i="59"/>
  <c r="X102" i="59"/>
  <c r="W69" i="59"/>
  <c r="W101" i="59"/>
  <c r="U101" i="59"/>
  <c r="Y68" i="59"/>
  <c r="X100" i="59"/>
  <c r="T67" i="59"/>
  <c r="Y66" i="59"/>
  <c r="W98" i="59"/>
  <c r="T98" i="59"/>
  <c r="Y97" i="59"/>
  <c r="W67" i="59"/>
  <c r="V74" i="59"/>
  <c r="E106" i="59"/>
  <c r="X122" i="59"/>
  <c r="U115" i="59"/>
  <c r="V113" i="59"/>
  <c r="X110" i="59"/>
  <c r="W104" i="59"/>
  <c r="Y93" i="59"/>
  <c r="W90" i="59"/>
  <c r="T80" i="59"/>
  <c r="Y122" i="59"/>
  <c r="W122" i="59"/>
  <c r="T90" i="59"/>
  <c r="U121" i="59"/>
  <c r="Y120" i="59"/>
  <c r="W87" i="59"/>
  <c r="W84" i="59"/>
  <c r="V115" i="59"/>
  <c r="T83" i="59"/>
  <c r="Y82" i="59"/>
  <c r="W113" i="59"/>
  <c r="U113" i="59"/>
  <c r="Y80" i="59"/>
  <c r="W80" i="59"/>
  <c r="Y111" i="59"/>
  <c r="W110" i="59"/>
  <c r="U108" i="59"/>
  <c r="Y75" i="59"/>
  <c r="W75" i="59"/>
  <c r="W74" i="59"/>
  <c r="Y73" i="59"/>
  <c r="Y72" i="59"/>
  <c r="W72" i="59"/>
  <c r="V103" i="59"/>
  <c r="T71" i="59"/>
  <c r="Y70" i="59"/>
  <c r="V101" i="59"/>
  <c r="U100" i="59"/>
  <c r="Y67" i="59"/>
  <c r="Y99" i="59"/>
  <c r="Y65" i="59"/>
  <c r="W65" i="59"/>
  <c r="U94" i="59"/>
  <c r="X20" i="59"/>
  <c r="U20" i="59"/>
  <c r="T10" i="59"/>
  <c r="W5" i="59"/>
  <c r="T5" i="59"/>
  <c r="Y5" i="59"/>
  <c r="X21" i="59"/>
  <c r="U5" i="59"/>
  <c r="U71" i="59" l="1"/>
  <c r="Y69" i="59"/>
  <c r="V94" i="59"/>
  <c r="U104" i="59"/>
  <c r="W111" i="59"/>
  <c r="X112" i="59"/>
  <c r="Y118" i="59"/>
  <c r="T119" i="59"/>
  <c r="W85" i="59"/>
  <c r="M106" i="59"/>
  <c r="G106" i="59"/>
  <c r="O106" i="59"/>
  <c r="W88" i="59"/>
  <c r="X78" i="59"/>
  <c r="W114" i="59"/>
  <c r="T110" i="59"/>
  <c r="X72" i="59"/>
  <c r="W76" i="59"/>
  <c r="X77" i="59"/>
  <c r="W86" i="59"/>
  <c r="W102" i="59"/>
  <c r="Y112" i="59"/>
  <c r="U75" i="59"/>
  <c r="X80" i="59"/>
  <c r="U87" i="59"/>
  <c r="U67" i="59"/>
  <c r="W79" i="59"/>
  <c r="V87" i="59"/>
  <c r="N106" i="59"/>
  <c r="V21" i="59"/>
  <c r="W96" i="59" s="1"/>
  <c r="T78" i="59"/>
  <c r="X69" i="59"/>
  <c r="X73" i="59"/>
  <c r="X76" i="59"/>
  <c r="V80" i="59"/>
  <c r="X114" i="59"/>
  <c r="H106" i="59"/>
  <c r="P106" i="59"/>
  <c r="X106" i="59"/>
  <c r="T75" i="59"/>
  <c r="Y98" i="59"/>
  <c r="V105" i="59"/>
  <c r="I106" i="59"/>
  <c r="Q106" i="59"/>
  <c r="Y106" i="59"/>
  <c r="W118" i="59"/>
  <c r="U120" i="59"/>
  <c r="W94" i="59"/>
  <c r="W68" i="59"/>
  <c r="V75" i="59"/>
  <c r="U99" i="59"/>
  <c r="K106" i="59"/>
  <c r="S106" i="59"/>
  <c r="T20" i="59"/>
  <c r="U95" i="59" s="1"/>
  <c r="U106" i="59"/>
  <c r="W97" i="59"/>
  <c r="V67" i="59"/>
  <c r="V72" i="59"/>
  <c r="F106" i="59"/>
  <c r="V106" i="59"/>
  <c r="W106" i="59"/>
  <c r="Y85" i="59"/>
  <c r="Y90" i="59"/>
  <c r="Y76" i="59"/>
  <c r="Y81" i="59"/>
  <c r="Y83" i="59"/>
  <c r="U90" i="59"/>
  <c r="V68" i="59"/>
  <c r="Y101" i="59"/>
  <c r="T70" i="59"/>
  <c r="W71" i="59"/>
  <c r="V76" i="59"/>
  <c r="W77" i="59"/>
  <c r="Y78" i="59"/>
  <c r="U111" i="59"/>
  <c r="U80" i="59"/>
  <c r="Y113" i="59"/>
  <c r="T82" i="59"/>
  <c r="W83" i="59"/>
  <c r="X84" i="59"/>
  <c r="Y119" i="59"/>
  <c r="W89" i="59"/>
  <c r="Y88" i="59"/>
  <c r="Y86" i="59"/>
  <c r="Y79" i="59"/>
  <c r="Y95" i="59"/>
  <c r="W95" i="59"/>
  <c r="Y94" i="59"/>
  <c r="W93" i="59"/>
  <c r="V95" i="59"/>
  <c r="Y96" i="59"/>
  <c r="U78" i="59"/>
  <c r="Y87" i="59"/>
  <c r="U66" i="59"/>
  <c r="U70" i="59"/>
  <c r="U74" i="59"/>
  <c r="U112" i="59"/>
  <c r="U84" i="59"/>
  <c r="W121" i="59"/>
  <c r="U97" i="59"/>
  <c r="U105" i="59"/>
  <c r="Y110" i="59"/>
  <c r="X81" i="59"/>
  <c r="U86" i="59"/>
  <c r="V97" i="59"/>
  <c r="X98" i="59"/>
  <c r="W109" i="59"/>
  <c r="U83" i="59"/>
  <c r="W108" i="59"/>
  <c r="X74" i="59"/>
  <c r="T79" i="59"/>
  <c r="U88" i="59"/>
  <c r="U68" i="59"/>
  <c r="U72" i="59"/>
  <c r="U76" i="59"/>
  <c r="U79" i="59"/>
  <c r="U82" i="59"/>
  <c r="W100" i="59"/>
  <c r="X96" i="59"/>
  <c r="X95" i="59"/>
  <c r="W70" i="59"/>
  <c r="T66" i="59"/>
  <c r="X68" i="59"/>
  <c r="V71" i="59"/>
  <c r="T74" i="59"/>
  <c r="V83" i="59"/>
  <c r="T86" i="59"/>
  <c r="X88" i="59"/>
  <c r="V93" i="59"/>
  <c r="X94" i="59"/>
  <c r="T100" i="59"/>
  <c r="T104" i="59"/>
  <c r="T116" i="59"/>
  <c r="V117" i="59"/>
  <c r="X118" i="59"/>
  <c r="V121" i="59"/>
  <c r="V5" i="59"/>
  <c r="T65" i="59"/>
  <c r="V66" i="59"/>
  <c r="X67" i="59"/>
  <c r="T69" i="59"/>
  <c r="V70" i="59"/>
  <c r="X71" i="59"/>
  <c r="T73" i="59"/>
  <c r="X75" i="59"/>
  <c r="T77" i="59"/>
  <c r="V78" i="59"/>
  <c r="X79" i="59"/>
  <c r="T81" i="59"/>
  <c r="V82" i="59"/>
  <c r="X83" i="59"/>
  <c r="T85" i="59"/>
  <c r="V86" i="59"/>
  <c r="X87" i="59"/>
  <c r="T89" i="59"/>
  <c r="V90" i="59"/>
  <c r="X93" i="59"/>
  <c r="X97" i="59"/>
  <c r="T99" i="59"/>
  <c r="V100" i="59"/>
  <c r="X101" i="59"/>
  <c r="T103" i="59"/>
  <c r="V104" i="59"/>
  <c r="X105" i="59"/>
  <c r="T107" i="59"/>
  <c r="V108" i="59"/>
  <c r="X109" i="59"/>
  <c r="T111" i="59"/>
  <c r="V112" i="59"/>
  <c r="X113" i="59"/>
  <c r="T115" i="59"/>
  <c r="V116" i="59"/>
  <c r="X117" i="59"/>
  <c r="V120" i="59"/>
  <c r="X121" i="59"/>
  <c r="W66" i="59"/>
  <c r="U89" i="59"/>
  <c r="Y117" i="59"/>
  <c r="Y121" i="59"/>
  <c r="T21" i="59"/>
  <c r="V65" i="59"/>
  <c r="V69" i="59"/>
  <c r="T84" i="59"/>
  <c r="T94" i="59"/>
  <c r="T102" i="59"/>
  <c r="V107" i="59"/>
  <c r="T122" i="59"/>
  <c r="U21" i="59"/>
  <c r="U98" i="59"/>
  <c r="W99" i="59"/>
  <c r="Y100" i="59"/>
  <c r="U102" i="59"/>
  <c r="W103" i="59"/>
  <c r="Y104" i="59"/>
  <c r="W107" i="59"/>
  <c r="Y108" i="59"/>
  <c r="U114" i="59"/>
  <c r="W115" i="59"/>
  <c r="Y116" i="59"/>
  <c r="U118" i="59"/>
  <c r="W119" i="59"/>
  <c r="U122" i="59"/>
  <c r="U81" i="59"/>
  <c r="Y109" i="59"/>
  <c r="W116" i="59"/>
  <c r="U119" i="59"/>
  <c r="X5" i="59"/>
  <c r="X66" i="59"/>
  <c r="X70" i="59"/>
  <c r="V73" i="59"/>
  <c r="T76" i="59"/>
  <c r="V77" i="59"/>
  <c r="V81" i="59"/>
  <c r="V85" i="59"/>
  <c r="T88" i="59"/>
  <c r="X90" i="59"/>
  <c r="V99" i="59"/>
  <c r="X104" i="59"/>
  <c r="X108" i="59"/>
  <c r="X120" i="59"/>
  <c r="X65" i="59"/>
  <c r="V84" i="59"/>
  <c r="X85" i="59"/>
  <c r="T87" i="59"/>
  <c r="V88" i="59"/>
  <c r="X89" i="59"/>
  <c r="T93" i="59"/>
  <c r="T97" i="59"/>
  <c r="V98" i="59"/>
  <c r="X99" i="59"/>
  <c r="T101" i="59"/>
  <c r="V102" i="59"/>
  <c r="X103" i="59"/>
  <c r="T105" i="59"/>
  <c r="X107" i="59"/>
  <c r="T109" i="59"/>
  <c r="V110" i="59"/>
  <c r="X111" i="59"/>
  <c r="T113" i="59"/>
  <c r="V114" i="59"/>
  <c r="X115" i="59"/>
  <c r="T117" i="59"/>
  <c r="V118" i="59"/>
  <c r="X119" i="59"/>
  <c r="T121" i="59"/>
  <c r="V122" i="59"/>
  <c r="U69" i="59"/>
  <c r="U73" i="59"/>
  <c r="W82" i="59"/>
  <c r="U85" i="59"/>
  <c r="W120" i="59"/>
  <c r="T68" i="59"/>
  <c r="T72" i="59"/>
  <c r="X82" i="59"/>
  <c r="X86" i="59"/>
  <c r="V89" i="59"/>
  <c r="T114" i="59"/>
  <c r="X116" i="59"/>
  <c r="V119" i="59"/>
  <c r="U65" i="59"/>
  <c r="U77" i="59"/>
  <c r="V79" i="59"/>
  <c r="T108" i="59"/>
  <c r="V109" i="59"/>
  <c r="T120" i="59"/>
  <c r="V96" i="59" l="1"/>
  <c r="U96" i="59"/>
  <c r="D13" i="59" l="1"/>
  <c r="D10" i="59"/>
  <c r="O13" i="59"/>
  <c r="E13" i="59"/>
  <c r="S13" i="59"/>
  <c r="R13" i="59"/>
  <c r="Q13" i="59"/>
  <c r="P13" i="59"/>
  <c r="N13" i="59"/>
  <c r="M13" i="59"/>
  <c r="L13" i="59"/>
  <c r="K13" i="59"/>
  <c r="J13" i="59"/>
  <c r="I13" i="59"/>
  <c r="H13" i="59"/>
  <c r="G13" i="59"/>
  <c r="F13" i="59"/>
  <c r="S10" i="59"/>
  <c r="R10" i="59"/>
  <c r="Q10" i="59"/>
  <c r="P10" i="59"/>
  <c r="O10" i="59"/>
  <c r="N10" i="59"/>
  <c r="M10" i="59"/>
  <c r="L10" i="59"/>
  <c r="K10" i="59"/>
  <c r="J10" i="59"/>
  <c r="I10" i="59"/>
  <c r="H10" i="59"/>
  <c r="G10" i="59"/>
  <c r="F10" i="59"/>
  <c r="E10" i="59"/>
  <c r="B6" i="4"/>
  <c r="B5" i="4"/>
  <c r="B7" i="4"/>
  <c r="B4" i="4"/>
  <c r="G5" i="59" l="1"/>
  <c r="S5" i="59"/>
  <c r="O5" i="59"/>
  <c r="R5" i="59"/>
  <c r="N5" i="59"/>
  <c r="J5" i="59"/>
  <c r="F5" i="59"/>
  <c r="K5" i="59"/>
  <c r="Q5" i="59"/>
  <c r="M5" i="59"/>
  <c r="I5" i="59"/>
  <c r="E5" i="59"/>
  <c r="P5" i="59"/>
  <c r="L5" i="59"/>
  <c r="H5" i="59"/>
  <c r="D5" i="59"/>
  <c r="S21" i="59" l="1"/>
  <c r="T96" i="59" s="1"/>
  <c r="N21" i="59" l="1"/>
  <c r="F21" i="59"/>
  <c r="I21" i="59"/>
  <c r="P21" i="59"/>
  <c r="K21" i="59"/>
  <c r="I94" i="59"/>
  <c r="H21" i="59"/>
  <c r="Q94" i="59"/>
  <c r="I96" i="59" l="1"/>
  <c r="F94" i="59"/>
  <c r="E21" i="59"/>
  <c r="F96" i="59" s="1"/>
  <c r="P94" i="59"/>
  <c r="O21" i="59"/>
  <c r="P96" i="59" s="1"/>
  <c r="N94" i="59"/>
  <c r="M21" i="59"/>
  <c r="N96" i="59" s="1"/>
  <c r="Q21" i="59"/>
  <c r="O94" i="59"/>
  <c r="O96" i="59" l="1"/>
  <c r="S94" i="59"/>
  <c r="R21" i="59"/>
  <c r="S96" i="59" s="1"/>
  <c r="E94" i="59"/>
  <c r="D21" i="59"/>
  <c r="E96" i="59" s="1"/>
  <c r="G21" i="59"/>
  <c r="H94" i="59"/>
  <c r="G94" i="59"/>
  <c r="M94" i="59"/>
  <c r="L21" i="59"/>
  <c r="L94" i="59"/>
  <c r="J21" i="59"/>
  <c r="K94" i="59"/>
  <c r="J94" i="59"/>
  <c r="R94" i="59"/>
  <c r="Q96" i="59"/>
  <c r="R96" i="59" l="1"/>
  <c r="H96" i="59"/>
  <c r="G96" i="59"/>
  <c r="K96" i="59"/>
  <c r="J96" i="59"/>
  <c r="M96" i="59"/>
  <c r="L96" i="59"/>
  <c r="S20" i="59" l="1"/>
  <c r="T95" i="59" s="1"/>
  <c r="S71" i="59"/>
  <c r="S70" i="59"/>
  <c r="S66" i="59"/>
  <c r="S72" i="59" l="1"/>
  <c r="G108" i="59"/>
  <c r="S69" i="59"/>
  <c r="S73" i="59"/>
  <c r="F108" i="59"/>
  <c r="I108" i="59"/>
  <c r="S108" i="59"/>
  <c r="M108" i="59"/>
  <c r="R108" i="59"/>
  <c r="L108" i="59"/>
  <c r="P108" i="59"/>
  <c r="S84" i="59"/>
  <c r="O103" i="59"/>
  <c r="N71" i="59"/>
  <c r="I81" i="59"/>
  <c r="J113" i="59"/>
  <c r="H77" i="59"/>
  <c r="I109" i="59"/>
  <c r="N100" i="59"/>
  <c r="M68" i="59"/>
  <c r="E81" i="59"/>
  <c r="F113" i="59"/>
  <c r="K107" i="59"/>
  <c r="J75" i="59"/>
  <c r="P102" i="59"/>
  <c r="O70" i="59"/>
  <c r="O73" i="59"/>
  <c r="P105" i="59"/>
  <c r="K70" i="59"/>
  <c r="L102" i="59"/>
  <c r="N105" i="59"/>
  <c r="M73" i="59"/>
  <c r="M100" i="59"/>
  <c r="L68" i="59"/>
  <c r="O99" i="59"/>
  <c r="N67" i="59"/>
  <c r="R70" i="59"/>
  <c r="S102" i="59"/>
  <c r="R73" i="59"/>
  <c r="S105" i="59"/>
  <c r="O107" i="59"/>
  <c r="N75" i="59"/>
  <c r="E103" i="59"/>
  <c r="D71" i="59"/>
  <c r="H70" i="59"/>
  <c r="I102" i="59"/>
  <c r="R65" i="59"/>
  <c r="R76" i="59"/>
  <c r="S97" i="59"/>
  <c r="Q101" i="59"/>
  <c r="P69" i="59"/>
  <c r="Q69" i="59"/>
  <c r="R101" i="59"/>
  <c r="K115" i="59"/>
  <c r="J83" i="59"/>
  <c r="K75" i="59"/>
  <c r="L107" i="59"/>
  <c r="O100" i="59"/>
  <c r="N68" i="59"/>
  <c r="K20" i="59"/>
  <c r="L93" i="59"/>
  <c r="Q70" i="59"/>
  <c r="R102" i="59"/>
  <c r="F115" i="59"/>
  <c r="E83" i="59"/>
  <c r="Q109" i="59"/>
  <c r="P77" i="59"/>
  <c r="O93" i="59"/>
  <c r="N20" i="59"/>
  <c r="G97" i="59"/>
  <c r="F65" i="59"/>
  <c r="F76" i="59"/>
  <c r="K104" i="59"/>
  <c r="J72" i="59"/>
  <c r="G105" i="59"/>
  <c r="F73" i="59"/>
  <c r="Q81" i="59"/>
  <c r="R113" i="59"/>
  <c r="E104" i="59"/>
  <c r="D72" i="59"/>
  <c r="I83" i="59"/>
  <c r="J115" i="59"/>
  <c r="F74" i="59"/>
  <c r="L99" i="59"/>
  <c r="K67" i="59"/>
  <c r="H68" i="59"/>
  <c r="I100" i="59"/>
  <c r="H82" i="59"/>
  <c r="I114" i="59"/>
  <c r="O77" i="59"/>
  <c r="P109" i="59"/>
  <c r="M77" i="59"/>
  <c r="N109" i="59"/>
  <c r="H73" i="59"/>
  <c r="I105" i="59"/>
  <c r="K74" i="59"/>
  <c r="F100" i="59"/>
  <c r="E68" i="59"/>
  <c r="N74" i="59"/>
  <c r="S82" i="59"/>
  <c r="H113" i="59"/>
  <c r="G81" i="59"/>
  <c r="I93" i="59"/>
  <c r="H20" i="59"/>
  <c r="M107" i="59"/>
  <c r="L75" i="59"/>
  <c r="S65" i="59"/>
  <c r="S76" i="59"/>
  <c r="E71" i="59"/>
  <c r="F103" i="59"/>
  <c r="H71" i="59"/>
  <c r="I103" i="59"/>
  <c r="H83" i="59"/>
  <c r="I115" i="59"/>
  <c r="J103" i="59"/>
  <c r="I71" i="59"/>
  <c r="K103" i="59"/>
  <c r="J71" i="59"/>
  <c r="K71" i="59"/>
  <c r="L103" i="59"/>
  <c r="Q102" i="59"/>
  <c r="P70" i="59"/>
  <c r="J100" i="59"/>
  <c r="I68" i="59"/>
  <c r="M104" i="59"/>
  <c r="L72" i="59"/>
  <c r="H115" i="59"/>
  <c r="G83" i="59"/>
  <c r="L105" i="59"/>
  <c r="K73" i="59"/>
  <c r="R67" i="59"/>
  <c r="S99" i="59"/>
  <c r="K102" i="59"/>
  <c r="J70" i="59"/>
  <c r="L114" i="59"/>
  <c r="K82" i="59"/>
  <c r="H85" i="59"/>
  <c r="S85" i="59"/>
  <c r="K98" i="59"/>
  <c r="J66" i="59"/>
  <c r="R116" i="59"/>
  <c r="Q84" i="59"/>
  <c r="S80" i="59"/>
  <c r="L66" i="59"/>
  <c r="H98" i="59"/>
  <c r="G66" i="59"/>
  <c r="Q98" i="59"/>
  <c r="P66" i="59"/>
  <c r="F84" i="59"/>
  <c r="S86" i="59"/>
  <c r="H80" i="59"/>
  <c r="P116" i="59"/>
  <c r="O84" i="59"/>
  <c r="M119" i="59"/>
  <c r="L87" i="59"/>
  <c r="G93" i="59"/>
  <c r="F20" i="59"/>
  <c r="M102" i="59"/>
  <c r="L70" i="59"/>
  <c r="J74" i="59"/>
  <c r="N102" i="59"/>
  <c r="M70" i="59"/>
  <c r="M82" i="59"/>
  <c r="N114" i="59"/>
  <c r="P101" i="59"/>
  <c r="O69" i="59"/>
  <c r="O74" i="59"/>
  <c r="M20" i="59"/>
  <c r="N93" i="59"/>
  <c r="D69" i="59"/>
  <c r="E101" i="59"/>
  <c r="N99" i="59"/>
  <c r="M67" i="59"/>
  <c r="Q74" i="59"/>
  <c r="Q103" i="59"/>
  <c r="P71" i="59"/>
  <c r="L113" i="59"/>
  <c r="K81" i="59"/>
  <c r="K113" i="59"/>
  <c r="J81" i="59"/>
  <c r="P104" i="59"/>
  <c r="O72" i="59"/>
  <c r="H74" i="59"/>
  <c r="R68" i="59"/>
  <c r="S100" i="59"/>
  <c r="F107" i="59"/>
  <c r="E75" i="59"/>
  <c r="M114" i="59"/>
  <c r="L82" i="59"/>
  <c r="Q71" i="59"/>
  <c r="R103" i="59"/>
  <c r="R75" i="59"/>
  <c r="S107" i="59"/>
  <c r="P74" i="59"/>
  <c r="P76" i="59"/>
  <c r="Q97" i="59"/>
  <c r="P65" i="59"/>
  <c r="Q72" i="59"/>
  <c r="R104" i="59"/>
  <c r="H103" i="59"/>
  <c r="G71" i="59"/>
  <c r="M113" i="59"/>
  <c r="L81" i="59"/>
  <c r="G113" i="59"/>
  <c r="F81" i="59"/>
  <c r="P103" i="59"/>
  <c r="O71" i="59"/>
  <c r="L74" i="59"/>
  <c r="G115" i="59"/>
  <c r="F83" i="59"/>
  <c r="R74" i="59"/>
  <c r="H100" i="59"/>
  <c r="G68" i="59"/>
  <c r="O109" i="59"/>
  <c r="N77" i="59"/>
  <c r="M103" i="59"/>
  <c r="L71" i="59"/>
  <c r="S81" i="59"/>
  <c r="P115" i="59"/>
  <c r="O83" i="59"/>
  <c r="F102" i="59"/>
  <c r="E70" i="59"/>
  <c r="G100" i="59"/>
  <c r="F68" i="59"/>
  <c r="P114" i="59"/>
  <c r="O82" i="59"/>
  <c r="L65" i="59"/>
  <c r="M97" i="59"/>
  <c r="L76" i="59"/>
  <c r="M76" i="59"/>
  <c r="N97" i="59"/>
  <c r="M65" i="59"/>
  <c r="E73" i="59"/>
  <c r="F105" i="59"/>
  <c r="G109" i="59"/>
  <c r="F77" i="59"/>
  <c r="H75" i="59"/>
  <c r="I107" i="59"/>
  <c r="G77" i="59"/>
  <c r="H109" i="59"/>
  <c r="J105" i="59"/>
  <c r="I73" i="59"/>
  <c r="F114" i="59"/>
  <c r="E82" i="59"/>
  <c r="K105" i="59"/>
  <c r="J73" i="59"/>
  <c r="G72" i="59"/>
  <c r="H104" i="59"/>
  <c r="H81" i="59"/>
  <c r="I113" i="59"/>
  <c r="J102" i="59"/>
  <c r="I70" i="59"/>
  <c r="J20" i="59"/>
  <c r="K93" i="59"/>
  <c r="O102" i="59"/>
  <c r="N70" i="59"/>
  <c r="H67" i="59"/>
  <c r="I99" i="59"/>
  <c r="G74" i="59"/>
  <c r="Q100" i="59"/>
  <c r="P68" i="59"/>
  <c r="P20" i="59"/>
  <c r="Q93" i="59"/>
  <c r="H72" i="59"/>
  <c r="I104" i="59"/>
  <c r="H66" i="59"/>
  <c r="F98" i="59"/>
  <c r="E66" i="59"/>
  <c r="R98" i="59"/>
  <c r="Q66" i="59"/>
  <c r="K84" i="59"/>
  <c r="K66" i="59"/>
  <c r="L98" i="59"/>
  <c r="R84" i="59"/>
  <c r="S116" i="59"/>
  <c r="K101" i="59"/>
  <c r="J69" i="59"/>
  <c r="Q105" i="59"/>
  <c r="P73" i="59"/>
  <c r="D81" i="59"/>
  <c r="E113" i="59"/>
  <c r="N104" i="59"/>
  <c r="M72" i="59"/>
  <c r="R115" i="59"/>
  <c r="Q83" i="59"/>
  <c r="P93" i="59"/>
  <c r="O20" i="59"/>
  <c r="O81" i="59"/>
  <c r="P113" i="59"/>
  <c r="N101" i="59"/>
  <c r="M69" i="59"/>
  <c r="Q82" i="59"/>
  <c r="R114" i="59"/>
  <c r="Q76" i="59"/>
  <c r="R97" i="59"/>
  <c r="Q65" i="59"/>
  <c r="R69" i="59"/>
  <c r="S101" i="59"/>
  <c r="S77" i="59"/>
  <c r="O115" i="59"/>
  <c r="N83" i="59"/>
  <c r="E77" i="59"/>
  <c r="F109" i="59"/>
  <c r="O65" i="59"/>
  <c r="P97" i="59"/>
  <c r="O76" i="59"/>
  <c r="Q73" i="59"/>
  <c r="R105" i="59"/>
  <c r="R77" i="59"/>
  <c r="S109" i="59"/>
  <c r="E107" i="59"/>
  <c r="D75" i="59"/>
  <c r="F97" i="59"/>
  <c r="E65" i="59"/>
  <c r="E76" i="59"/>
  <c r="Q99" i="59"/>
  <c r="P67" i="59"/>
  <c r="M81" i="59"/>
  <c r="N113" i="59"/>
  <c r="G114" i="59"/>
  <c r="F82" i="59"/>
  <c r="P107" i="59"/>
  <c r="O75" i="59"/>
  <c r="G107" i="59"/>
  <c r="F75" i="59"/>
  <c r="G102" i="59"/>
  <c r="F70" i="59"/>
  <c r="G65" i="59"/>
  <c r="H97" i="59"/>
  <c r="G76" i="59"/>
  <c r="S75" i="59"/>
  <c r="D77" i="59"/>
  <c r="E109" i="59"/>
  <c r="M99" i="59"/>
  <c r="L67" i="59"/>
  <c r="K99" i="59"/>
  <c r="J67" i="59"/>
  <c r="O101" i="59"/>
  <c r="N69" i="59"/>
  <c r="K114" i="59"/>
  <c r="J82" i="59"/>
  <c r="M93" i="59"/>
  <c r="L20" i="59"/>
  <c r="F104" i="59"/>
  <c r="E72" i="59"/>
  <c r="O105" i="59"/>
  <c r="N73" i="59"/>
  <c r="O114" i="59"/>
  <c r="N82" i="59"/>
  <c r="K69" i="59"/>
  <c r="L101" i="59"/>
  <c r="G101" i="59"/>
  <c r="F69" i="59"/>
  <c r="M101" i="59"/>
  <c r="L69" i="59"/>
  <c r="G20" i="59"/>
  <c r="H93" i="59"/>
  <c r="E67" i="59"/>
  <c r="F99" i="59"/>
  <c r="J114" i="59"/>
  <c r="I82" i="59"/>
  <c r="S68" i="59"/>
  <c r="I67" i="59"/>
  <c r="J99" i="59"/>
  <c r="M74" i="59"/>
  <c r="O113" i="59"/>
  <c r="N81" i="59"/>
  <c r="L109" i="59"/>
  <c r="K77" i="59"/>
  <c r="J104" i="59"/>
  <c r="I72" i="59"/>
  <c r="O104" i="59"/>
  <c r="N72" i="59"/>
  <c r="S67" i="59"/>
  <c r="M109" i="59"/>
  <c r="L77" i="59"/>
  <c r="E105" i="59"/>
  <c r="D73" i="59"/>
  <c r="E99" i="59"/>
  <c r="D67" i="59"/>
  <c r="H84" i="59"/>
  <c r="I116" i="59"/>
  <c r="I84" i="59"/>
  <c r="J116" i="59"/>
  <c r="S88" i="59"/>
  <c r="G98" i="59"/>
  <c r="F66" i="59"/>
  <c r="K116" i="59"/>
  <c r="J84" i="59"/>
  <c r="R93" i="59"/>
  <c r="Q20" i="59"/>
  <c r="Q107" i="59"/>
  <c r="P75" i="59"/>
  <c r="E114" i="59"/>
  <c r="D82" i="59"/>
  <c r="I75" i="59"/>
  <c r="J107" i="59"/>
  <c r="K72" i="59"/>
  <c r="L104" i="59"/>
  <c r="N76" i="59"/>
  <c r="O97" i="59"/>
  <c r="N65" i="59"/>
  <c r="Q113" i="59"/>
  <c r="P81" i="59"/>
  <c r="M105" i="59"/>
  <c r="L73" i="59"/>
  <c r="N103" i="59"/>
  <c r="M71" i="59"/>
  <c r="R72" i="59"/>
  <c r="S104" i="59"/>
  <c r="Q115" i="59"/>
  <c r="P83" i="59"/>
  <c r="R71" i="59"/>
  <c r="S103" i="59"/>
  <c r="G103" i="59"/>
  <c r="F71" i="59"/>
  <c r="K83" i="59"/>
  <c r="L115" i="59"/>
  <c r="K76" i="59"/>
  <c r="L97" i="59"/>
  <c r="K65" i="59"/>
  <c r="E97" i="59"/>
  <c r="D76" i="59"/>
  <c r="D65" i="59"/>
  <c r="S74" i="59"/>
  <c r="G99" i="59"/>
  <c r="F67" i="59"/>
  <c r="Q67" i="59"/>
  <c r="R99" i="59"/>
  <c r="I77" i="59"/>
  <c r="J109" i="59"/>
  <c r="R82" i="59"/>
  <c r="S114" i="59"/>
  <c r="S93" i="59"/>
  <c r="R20" i="59"/>
  <c r="S95" i="59" s="1"/>
  <c r="R100" i="59"/>
  <c r="Q68" i="59"/>
  <c r="D74" i="59"/>
  <c r="H107" i="59"/>
  <c r="G75" i="59"/>
  <c r="G82" i="59"/>
  <c r="H114" i="59"/>
  <c r="J76" i="59"/>
  <c r="K97" i="59"/>
  <c r="J65" i="59"/>
  <c r="N107" i="59"/>
  <c r="M75" i="59"/>
  <c r="Q75" i="59"/>
  <c r="R107" i="59"/>
  <c r="G104" i="59"/>
  <c r="F72" i="59"/>
  <c r="E93" i="59"/>
  <c r="D20" i="59"/>
  <c r="S83" i="59"/>
  <c r="H99" i="59"/>
  <c r="G67" i="59"/>
  <c r="Q114" i="59"/>
  <c r="P82" i="59"/>
  <c r="I20" i="59"/>
  <c r="J93" i="59"/>
  <c r="E102" i="59"/>
  <c r="D70" i="59"/>
  <c r="O67" i="59"/>
  <c r="P99" i="59"/>
  <c r="I76" i="59"/>
  <c r="I65" i="59"/>
  <c r="J97" i="59"/>
  <c r="E74" i="59"/>
  <c r="L100" i="59"/>
  <c r="K68" i="59"/>
  <c r="R83" i="59"/>
  <c r="S115" i="59"/>
  <c r="G70" i="59"/>
  <c r="H102" i="59"/>
  <c r="R81" i="59"/>
  <c r="S113" i="59"/>
  <c r="Q104" i="59"/>
  <c r="P72" i="59"/>
  <c r="F101" i="59"/>
  <c r="E69" i="59"/>
  <c r="M83" i="59"/>
  <c r="N115" i="59"/>
  <c r="E100" i="59"/>
  <c r="D68" i="59"/>
  <c r="J101" i="59"/>
  <c r="I69" i="59"/>
  <c r="Q77" i="59"/>
  <c r="R109" i="59"/>
  <c r="H76" i="59"/>
  <c r="H65" i="59"/>
  <c r="I97" i="59"/>
  <c r="K100" i="59"/>
  <c r="J68" i="59"/>
  <c r="H105" i="59"/>
  <c r="G73" i="59"/>
  <c r="I74" i="59"/>
  <c r="H69" i="59"/>
  <c r="I101" i="59"/>
  <c r="F93" i="59"/>
  <c r="E20" i="59"/>
  <c r="K109" i="59"/>
  <c r="J77" i="59"/>
  <c r="O68" i="59"/>
  <c r="P100" i="59"/>
  <c r="H101" i="59"/>
  <c r="G69" i="59"/>
  <c r="E115" i="59"/>
  <c r="D83" i="59"/>
  <c r="M115" i="59"/>
  <c r="L83" i="59"/>
  <c r="O98" i="59"/>
  <c r="N66" i="59"/>
  <c r="S90" i="59"/>
  <c r="Q116" i="59"/>
  <c r="P84" i="59"/>
  <c r="M84" i="59"/>
  <c r="N116" i="59"/>
  <c r="S87" i="59"/>
  <c r="S89" i="59"/>
  <c r="N95" i="59" l="1"/>
  <c r="F95" i="59"/>
  <c r="P95" i="59"/>
  <c r="H95" i="59"/>
  <c r="J95" i="59"/>
  <c r="M95" i="59"/>
  <c r="K95" i="59"/>
  <c r="E108" i="59"/>
  <c r="K108" i="59"/>
  <c r="H108" i="59"/>
  <c r="J108" i="59"/>
  <c r="Q108" i="59"/>
  <c r="O108" i="59"/>
  <c r="N108" i="59"/>
  <c r="R118" i="59"/>
  <c r="Q86" i="59"/>
  <c r="H87" i="59"/>
  <c r="I119" i="59"/>
  <c r="F117" i="59"/>
  <c r="E85" i="59"/>
  <c r="O80" i="59"/>
  <c r="P112" i="59"/>
  <c r="R89" i="59"/>
  <c r="S121" i="59"/>
  <c r="O118" i="59"/>
  <c r="N86" i="59"/>
  <c r="E119" i="59"/>
  <c r="D87" i="59"/>
  <c r="E116" i="59"/>
  <c r="D84" i="59"/>
  <c r="K110" i="59"/>
  <c r="J78" i="59"/>
  <c r="O110" i="59"/>
  <c r="N78" i="59"/>
  <c r="N121" i="59"/>
  <c r="M89" i="59"/>
  <c r="E122" i="59"/>
  <c r="D90" i="59"/>
  <c r="J98" i="59"/>
  <c r="I66" i="59"/>
  <c r="E120" i="59"/>
  <c r="D88" i="59"/>
  <c r="S78" i="59"/>
  <c r="E121" i="59"/>
  <c r="D89" i="59"/>
  <c r="P117" i="59"/>
  <c r="O85" i="59"/>
  <c r="M118" i="59"/>
  <c r="L86" i="59"/>
  <c r="L122" i="59"/>
  <c r="K90" i="59"/>
  <c r="F116" i="59"/>
  <c r="E84" i="59"/>
  <c r="M87" i="59"/>
  <c r="N119" i="59"/>
  <c r="K112" i="59"/>
  <c r="J80" i="59"/>
  <c r="R122" i="59"/>
  <c r="Q90" i="59"/>
  <c r="F120" i="59"/>
  <c r="E88" i="59"/>
  <c r="P121" i="59"/>
  <c r="O89" i="59"/>
  <c r="R88" i="59"/>
  <c r="S120" i="59"/>
  <c r="H120" i="59"/>
  <c r="G88" i="59"/>
  <c r="M88" i="59"/>
  <c r="N120" i="59"/>
  <c r="Q79" i="59"/>
  <c r="R111" i="59"/>
  <c r="H112" i="59"/>
  <c r="G80" i="59"/>
  <c r="H117" i="59"/>
  <c r="G85" i="59"/>
  <c r="H121" i="59"/>
  <c r="G89" i="59"/>
  <c r="R86" i="59"/>
  <c r="S118" i="59"/>
  <c r="I88" i="59"/>
  <c r="J120" i="59"/>
  <c r="O121" i="59"/>
  <c r="N89" i="59"/>
  <c r="M122" i="59"/>
  <c r="L90" i="59"/>
  <c r="M111" i="59"/>
  <c r="L79" i="59"/>
  <c r="M78" i="59"/>
  <c r="N110" i="59"/>
  <c r="G121" i="59"/>
  <c r="F89" i="59"/>
  <c r="R79" i="59"/>
  <c r="S111" i="59"/>
  <c r="G110" i="59"/>
  <c r="F78" i="59"/>
  <c r="H86" i="59"/>
  <c r="I118" i="59"/>
  <c r="Q89" i="59"/>
  <c r="R121" i="59"/>
  <c r="I86" i="59"/>
  <c r="J118" i="59"/>
  <c r="L120" i="59"/>
  <c r="K88" i="59"/>
  <c r="Q111" i="59"/>
  <c r="P79" i="59"/>
  <c r="I90" i="59"/>
  <c r="J122" i="59"/>
  <c r="G90" i="59"/>
  <c r="H122" i="59"/>
  <c r="Q95" i="59"/>
  <c r="G95" i="59"/>
  <c r="M85" i="59"/>
  <c r="N117" i="59"/>
  <c r="Q80" i="59"/>
  <c r="R112" i="59"/>
  <c r="L111" i="59"/>
  <c r="K79" i="59"/>
  <c r="J117" i="59"/>
  <c r="I85" i="59"/>
  <c r="J121" i="59"/>
  <c r="I89" i="59"/>
  <c r="H110" i="59"/>
  <c r="G78" i="59"/>
  <c r="I95" i="59"/>
  <c r="J111" i="59"/>
  <c r="I79" i="59"/>
  <c r="K89" i="59"/>
  <c r="L121" i="59"/>
  <c r="E118" i="59"/>
  <c r="D86" i="59"/>
  <c r="G117" i="59"/>
  <c r="F85" i="59"/>
  <c r="O112" i="59"/>
  <c r="N80" i="59"/>
  <c r="F112" i="59"/>
  <c r="E80" i="59"/>
  <c r="H111" i="59"/>
  <c r="G79" i="59"/>
  <c r="J112" i="59"/>
  <c r="I80" i="59"/>
  <c r="E95" i="59"/>
  <c r="I98" i="59"/>
  <c r="R87" i="59"/>
  <c r="S119" i="59"/>
  <c r="F118" i="59"/>
  <c r="E86" i="59"/>
  <c r="K122" i="59"/>
  <c r="J90" i="59"/>
  <c r="O119" i="59"/>
  <c r="N87" i="59"/>
  <c r="O117" i="59"/>
  <c r="N85" i="59"/>
  <c r="Q112" i="59"/>
  <c r="P80" i="59"/>
  <c r="H118" i="59"/>
  <c r="G86" i="59"/>
  <c r="E110" i="59"/>
  <c r="D78" i="59"/>
  <c r="I117" i="59"/>
  <c r="R95" i="59"/>
  <c r="M117" i="59"/>
  <c r="L85" i="59"/>
  <c r="P120" i="59"/>
  <c r="O88" i="59"/>
  <c r="K120" i="59"/>
  <c r="J88" i="59"/>
  <c r="M90" i="59"/>
  <c r="N122" i="59"/>
  <c r="G112" i="59"/>
  <c r="F80" i="59"/>
  <c r="F119" i="59"/>
  <c r="E87" i="59"/>
  <c r="M121" i="59"/>
  <c r="L89" i="59"/>
  <c r="M116" i="59"/>
  <c r="L84" i="59"/>
  <c r="P98" i="59"/>
  <c r="O66" i="59"/>
  <c r="H90" i="59"/>
  <c r="I122" i="59"/>
  <c r="F111" i="59"/>
  <c r="E79" i="59"/>
  <c r="H79" i="59"/>
  <c r="I111" i="59"/>
  <c r="N98" i="59"/>
  <c r="M66" i="59"/>
  <c r="M86" i="59"/>
  <c r="N118" i="59"/>
  <c r="G118" i="59"/>
  <c r="F86" i="59"/>
  <c r="G119" i="59"/>
  <c r="F87" i="59"/>
  <c r="P111" i="59"/>
  <c r="O79" i="59"/>
  <c r="L117" i="59"/>
  <c r="K85" i="59"/>
  <c r="E98" i="59"/>
  <c r="D66" i="59"/>
  <c r="M120" i="59"/>
  <c r="L88" i="59"/>
  <c r="K80" i="59"/>
  <c r="L112" i="59"/>
  <c r="O95" i="59"/>
  <c r="E112" i="59"/>
  <c r="D80" i="59"/>
  <c r="K121" i="59"/>
  <c r="J89" i="59"/>
  <c r="P110" i="59"/>
  <c r="O78" i="59"/>
  <c r="Q78" i="59"/>
  <c r="R110" i="59"/>
  <c r="R120" i="59"/>
  <c r="Q88" i="59"/>
  <c r="P88" i="59"/>
  <c r="Q120" i="59"/>
  <c r="K111" i="59"/>
  <c r="J79" i="59"/>
  <c r="R78" i="59"/>
  <c r="S110" i="59"/>
  <c r="O90" i="59"/>
  <c r="P122" i="59"/>
  <c r="E111" i="59"/>
  <c r="D79" i="59"/>
  <c r="L116" i="59"/>
  <c r="M80" i="59"/>
  <c r="N112" i="59"/>
  <c r="H89" i="59"/>
  <c r="I121" i="59"/>
  <c r="G87" i="59"/>
  <c r="H119" i="59"/>
  <c r="L110" i="59"/>
  <c r="K78" i="59"/>
  <c r="R90" i="59"/>
  <c r="S122" i="59"/>
  <c r="O116" i="59"/>
  <c r="N84" i="59"/>
  <c r="M112" i="59"/>
  <c r="L80" i="59"/>
  <c r="R119" i="59"/>
  <c r="Q87" i="59"/>
  <c r="I87" i="59"/>
  <c r="J119" i="59"/>
  <c r="F122" i="59"/>
  <c r="E90" i="59"/>
  <c r="Q119" i="59"/>
  <c r="P87" i="59"/>
  <c r="O120" i="59"/>
  <c r="N88" i="59"/>
  <c r="P118" i="59"/>
  <c r="O86" i="59"/>
  <c r="H78" i="59"/>
  <c r="I110" i="59"/>
  <c r="G120" i="59"/>
  <c r="F88" i="59"/>
  <c r="K87" i="59"/>
  <c r="L119" i="59"/>
  <c r="R85" i="59"/>
  <c r="S117" i="59"/>
  <c r="L118" i="59"/>
  <c r="K86" i="59"/>
  <c r="E89" i="59"/>
  <c r="F121" i="59"/>
  <c r="S79" i="59"/>
  <c r="Q118" i="59"/>
  <c r="P86" i="59"/>
  <c r="P89" i="59"/>
  <c r="Q121" i="59"/>
  <c r="R80" i="59"/>
  <c r="S112" i="59"/>
  <c r="K117" i="59"/>
  <c r="J85" i="59"/>
  <c r="G111" i="59"/>
  <c r="F79" i="59"/>
  <c r="K118" i="59"/>
  <c r="J86" i="59"/>
  <c r="I112" i="59"/>
  <c r="M98" i="59"/>
  <c r="J110" i="59"/>
  <c r="I78" i="59"/>
  <c r="P90" i="59"/>
  <c r="Q122" i="59"/>
  <c r="P119" i="59"/>
  <c r="O87" i="59"/>
  <c r="R66" i="59"/>
  <c r="S98" i="59"/>
  <c r="Q110" i="59"/>
  <c r="P78" i="59"/>
  <c r="D85" i="59"/>
  <c r="E117" i="59"/>
  <c r="M79" i="59"/>
  <c r="N111" i="59"/>
  <c r="O111" i="59"/>
  <c r="N79" i="59"/>
  <c r="F110" i="59"/>
  <c r="E78" i="59"/>
  <c r="H116" i="59"/>
  <c r="G84" i="59"/>
  <c r="Q85" i="59"/>
  <c r="R117" i="59"/>
  <c r="O122" i="59"/>
  <c r="N90" i="59"/>
  <c r="K119" i="59"/>
  <c r="J87" i="59"/>
  <c r="G116" i="59"/>
  <c r="H88" i="59"/>
  <c r="I120" i="59"/>
  <c r="M110" i="59"/>
  <c r="L78" i="59"/>
  <c r="Q117" i="59"/>
  <c r="P85" i="59"/>
  <c r="G122" i="59"/>
  <c r="F90" i="59"/>
  <c r="L95" i="59"/>
  <c r="S16" i="55" l="1"/>
  <c r="V54" i="55"/>
  <c r="J16" i="55"/>
  <c r="P16" i="55"/>
  <c r="Y16" i="55"/>
  <c r="O16" i="55"/>
  <c r="R54" i="55"/>
  <c r="M16" i="55"/>
  <c r="X54" i="55"/>
  <c r="H54" i="55"/>
  <c r="L16" i="55"/>
  <c r="G54" i="55"/>
  <c r="F54" i="55"/>
  <c r="N16" i="55"/>
  <c r="W54" i="55"/>
  <c r="I54" i="55"/>
  <c r="E16" i="55"/>
  <c r="R16" i="55"/>
  <c r="T54" i="55"/>
  <c r="D54" i="55"/>
  <c r="X16" i="55"/>
  <c r="H16" i="55"/>
  <c r="Q54" i="55"/>
  <c r="W16" i="55"/>
  <c r="G16" i="55"/>
  <c r="Y54" i="55"/>
  <c r="N54" i="55"/>
  <c r="K54" i="55"/>
  <c r="M54" i="55"/>
  <c r="P54" i="55"/>
  <c r="Q16" i="55"/>
  <c r="O54" i="55"/>
  <c r="K16" i="55"/>
  <c r="U54" i="55"/>
  <c r="J54" i="55"/>
  <c r="V16" i="55"/>
  <c r="U16" i="55"/>
  <c r="T16" i="55"/>
  <c r="D16" i="55"/>
  <c r="L54" i="55"/>
  <c r="S54" i="55"/>
  <c r="F16" i="55"/>
  <c r="I16" i="55"/>
  <c r="E54" i="55"/>
  <c r="Y39" i="55" l="1"/>
  <c r="T39" i="55"/>
  <c r="G75" i="55"/>
  <c r="S39" i="55"/>
  <c r="R75" i="55"/>
  <c r="P75" i="55"/>
  <c r="Y75" i="55"/>
  <c r="I39" i="55"/>
  <c r="L75" i="55"/>
  <c r="H75" i="55"/>
  <c r="M75" i="55"/>
  <c r="O39" i="55"/>
  <c r="X39" i="55"/>
  <c r="J39" i="55"/>
  <c r="H39" i="55"/>
  <c r="K75" i="55"/>
  <c r="K39" i="55"/>
  <c r="Q39" i="55"/>
  <c r="N75" i="55"/>
  <c r="E75" i="55"/>
  <c r="G39" i="55"/>
  <c r="W75" i="55"/>
  <c r="D75" i="55"/>
  <c r="U75" i="55"/>
  <c r="X75" i="55"/>
  <c r="R39" i="55"/>
  <c r="I75" i="55"/>
  <c r="M39" i="55"/>
  <c r="U39" i="55"/>
  <c r="E39" i="55"/>
  <c r="F39" i="55"/>
  <c r="V39" i="55"/>
  <c r="F75" i="55"/>
  <c r="L39" i="55"/>
  <c r="S75" i="55"/>
  <c r="D39" i="55"/>
  <c r="V75" i="55"/>
  <c r="Q75" i="55"/>
  <c r="J75" i="55"/>
  <c r="W39" i="55"/>
  <c r="P39" i="55"/>
  <c r="N39" i="55"/>
  <c r="T75" i="55"/>
  <c r="O75" i="55"/>
</calcChain>
</file>

<file path=xl/sharedStrings.xml><?xml version="1.0" encoding="utf-8"?>
<sst xmlns="http://schemas.openxmlformats.org/spreadsheetml/2006/main" count="722" uniqueCount="281">
  <si>
    <t>Wood and wood products</t>
  </si>
  <si>
    <t>Textiles and leather</t>
  </si>
  <si>
    <t>Food, beverages and tobacco</t>
  </si>
  <si>
    <t>Pulp, paper and printing</t>
  </si>
  <si>
    <t>Non-metallic mineral products</t>
  </si>
  <si>
    <t>Iron and steel</t>
  </si>
  <si>
    <t>Click on the link to jump to the sheet</t>
  </si>
  <si>
    <t>Printing and reproduction of recorded media</t>
  </si>
  <si>
    <t>Pulp production</t>
  </si>
  <si>
    <t>Ceramics &amp; other NMM</t>
  </si>
  <si>
    <t>Cement</t>
  </si>
  <si>
    <t>Pharmaceutical products etc.</t>
  </si>
  <si>
    <t>Other chemicals</t>
  </si>
  <si>
    <t>Other non-ferrous metals</t>
  </si>
  <si>
    <t>Alumina production</t>
  </si>
  <si>
    <t>Electric arc</t>
  </si>
  <si>
    <t>Printing and media reproduction</t>
  </si>
  <si>
    <t xml:space="preserve">Paper production </t>
  </si>
  <si>
    <t xml:space="preserve">Glass production </t>
  </si>
  <si>
    <t>Aluminium production</t>
  </si>
  <si>
    <t xml:space="preserve">Basic chemicals </t>
  </si>
  <si>
    <t>Paper and paper products</t>
  </si>
  <si>
    <t>Legal Notice</t>
  </si>
  <si>
    <t>Neither the European Commission nor any person acting on behalf of the Commission is responsible for the use which might be made of this information.</t>
  </si>
  <si>
    <t>B1GM</t>
  </si>
  <si>
    <t>Gross domestic product at market prices</t>
  </si>
  <si>
    <t>P31_S14_S15</t>
  </si>
  <si>
    <t>Household and NPISH final consumption expenditure</t>
  </si>
  <si>
    <t>B1G</t>
  </si>
  <si>
    <t>Value added, gross</t>
  </si>
  <si>
    <t/>
  </si>
  <si>
    <t>nace 10</t>
  </si>
  <si>
    <t>A</t>
  </si>
  <si>
    <t>Agriculture, forestry and fishing</t>
  </si>
  <si>
    <t>B_E</t>
  </si>
  <si>
    <t>Industry (except construction)</t>
  </si>
  <si>
    <t>F</t>
  </si>
  <si>
    <t>Construction</t>
  </si>
  <si>
    <t>G_I</t>
  </si>
  <si>
    <t>Wholesale and retail trade, transport, accomodation and food service activities</t>
  </si>
  <si>
    <t>J</t>
  </si>
  <si>
    <t>Information and communication</t>
  </si>
  <si>
    <t>K</t>
  </si>
  <si>
    <t>Financial and insurance activities</t>
  </si>
  <si>
    <t>L</t>
  </si>
  <si>
    <t>Real estate activities</t>
  </si>
  <si>
    <t>M_N</t>
  </si>
  <si>
    <t>Professional, scientific and technical activities; administrative and support service activities</t>
  </si>
  <si>
    <t>O_Q</t>
  </si>
  <si>
    <t>Public administration, defence, education, human health and social work activities</t>
  </si>
  <si>
    <t>R_U</t>
  </si>
  <si>
    <t>Arts, entertainment and recreation; other service activities; activities of household and extra-territorial organizations and bodies</t>
  </si>
  <si>
    <t>TOTAL</t>
  </si>
  <si>
    <t>Total - All NACE activities</t>
  </si>
  <si>
    <t>nace 21</t>
  </si>
  <si>
    <t>B</t>
  </si>
  <si>
    <t>Mining and quarrying</t>
  </si>
  <si>
    <t>C</t>
  </si>
  <si>
    <t>Manufacturing</t>
  </si>
  <si>
    <t>D</t>
  </si>
  <si>
    <t>Electricity, gas, steam and air conditioning supply</t>
  </si>
  <si>
    <t>E</t>
  </si>
  <si>
    <t>Water supply; sewerage, waste management and remediation activities</t>
  </si>
  <si>
    <t>G</t>
  </si>
  <si>
    <t>Wholesale and retail trade; repair of motor vehicles and motorcycles</t>
  </si>
  <si>
    <t>H</t>
  </si>
  <si>
    <t>Transportation and storage</t>
  </si>
  <si>
    <t>I</t>
  </si>
  <si>
    <t>Accommodation and food service activities</t>
  </si>
  <si>
    <t>M</t>
  </si>
  <si>
    <t>Professional, scientific and technical activities</t>
  </si>
  <si>
    <t>N</t>
  </si>
  <si>
    <t>Administrative and support service activities</t>
  </si>
  <si>
    <t>O</t>
  </si>
  <si>
    <t>Public administration and defence; compulsory social security</t>
  </si>
  <si>
    <t>P</t>
  </si>
  <si>
    <t>Education</t>
  </si>
  <si>
    <t>Q</t>
  </si>
  <si>
    <t>Human health and social work activities</t>
  </si>
  <si>
    <t>R</t>
  </si>
  <si>
    <t>Arts, entertainment and recreation</t>
  </si>
  <si>
    <t>S</t>
  </si>
  <si>
    <t>Other service activities</t>
  </si>
  <si>
    <t>T</t>
  </si>
  <si>
    <t>Activities of households as employers; undifferentiated goods- and services-producing activities of households for own use</t>
  </si>
  <si>
    <t>U</t>
  </si>
  <si>
    <t>Activities of extraterritorial organisations and bodies</t>
  </si>
  <si>
    <t>nace 38 - industry</t>
  </si>
  <si>
    <t>C10_C12</t>
  </si>
  <si>
    <t>Manufacture of food products; beverages and tobacco products</t>
  </si>
  <si>
    <t>C13_C15</t>
  </si>
  <si>
    <t>Manufacture of textiles, wearing apparel, leather and related products</t>
  </si>
  <si>
    <t>C16_C18</t>
  </si>
  <si>
    <t>Manufacture of wood, paper, printing and reproduction</t>
  </si>
  <si>
    <t>C19</t>
  </si>
  <si>
    <t>Manufacture of coke and refined petroleum products</t>
  </si>
  <si>
    <t>C20</t>
  </si>
  <si>
    <t>Manufacture of chemicals and chemical products</t>
  </si>
  <si>
    <t>C21</t>
  </si>
  <si>
    <t>Manufacture of basic pharmaceutical products and pharmaceutical preparations</t>
  </si>
  <si>
    <t>C22_C23</t>
  </si>
  <si>
    <t>Manufacture of rubber and plastic products and other non-metallic mineral products</t>
  </si>
  <si>
    <t>C24_C25</t>
  </si>
  <si>
    <t>Manufacture of basic metals and fabricated metal products, except machinery and equipment</t>
  </si>
  <si>
    <t>C26</t>
  </si>
  <si>
    <t>Manufacture of computer, electronic and optical products</t>
  </si>
  <si>
    <t>C27</t>
  </si>
  <si>
    <t>Manufacture of electrical equipment</t>
  </si>
  <si>
    <t>C28</t>
  </si>
  <si>
    <t>Manufacture of machinery and equipment n.e.c.</t>
  </si>
  <si>
    <t>C29_C30</t>
  </si>
  <si>
    <t>Manufacture of motor vehicles, trailers, semi-trailers and of other transport equipment</t>
  </si>
  <si>
    <t>C31_C33</t>
  </si>
  <si>
    <t>Manufacture of furniture; jewellery, musical instruments, toys; repair and installation of machinery and equipment</t>
  </si>
  <si>
    <t>nace 64 - industry</t>
  </si>
  <si>
    <t>C16</t>
  </si>
  <si>
    <t>Manufacture of wood and of products of wood and cork, except furniture; manufacture of articles of straw and plaiting materials</t>
  </si>
  <si>
    <t>C17</t>
  </si>
  <si>
    <t>Manufacture of paper and paper products</t>
  </si>
  <si>
    <t>C18</t>
  </si>
  <si>
    <t>C22</t>
  </si>
  <si>
    <t>Manufacture of rubber and plastic products</t>
  </si>
  <si>
    <t>C23</t>
  </si>
  <si>
    <t>Manufacture of other non-metallic mineral products</t>
  </si>
  <si>
    <t>C24</t>
  </si>
  <si>
    <t>Manufacture of basic metals</t>
  </si>
  <si>
    <t>C25</t>
  </si>
  <si>
    <t>Manufacture of fabricated metal products, except machinery and equipment</t>
  </si>
  <si>
    <t>C29</t>
  </si>
  <si>
    <t>Manufacture of motor vehicles, trailers and semi-trailers</t>
  </si>
  <si>
    <t>C30</t>
  </si>
  <si>
    <t>Manufacture of other transport equipment</t>
  </si>
  <si>
    <t>C31_C32</t>
  </si>
  <si>
    <t>Manufacture of furniture; other manufacturing</t>
  </si>
  <si>
    <t>C33</t>
  </si>
  <si>
    <t>Repair and installation of machinery and equipment</t>
  </si>
  <si>
    <t>NACE code</t>
  </si>
  <si>
    <t>NACE Description</t>
  </si>
  <si>
    <t>Source</t>
  </si>
  <si>
    <t>Gross domestic product</t>
  </si>
  <si>
    <t>EUROSTAT Statistics: nama_gdp</t>
  </si>
  <si>
    <t>Household consumption expenditure</t>
  </si>
  <si>
    <t>Gross value added</t>
  </si>
  <si>
    <t>Gross value added (at basic prices)</t>
  </si>
  <si>
    <t>EUROSTAT Statistics: nama_nace10</t>
  </si>
  <si>
    <t>EUROSTAT Statistics: nama_nace21</t>
  </si>
  <si>
    <t>Services</t>
  </si>
  <si>
    <t>C33, E, G to U</t>
  </si>
  <si>
    <t>Heat-use intensive services</t>
  </si>
  <si>
    <t>H,I,O,P,Q,R</t>
  </si>
  <si>
    <t>Offices</t>
  </si>
  <si>
    <t>J,K,L,M,N,S,T,U</t>
  </si>
  <si>
    <t>Trade</t>
  </si>
  <si>
    <t>C33,E,G</t>
  </si>
  <si>
    <t>Energy sector</t>
  </si>
  <si>
    <t>C19, D</t>
  </si>
  <si>
    <t>EUROSTAT Statistics: nama_nace64</t>
  </si>
  <si>
    <t>C excluding C33</t>
  </si>
  <si>
    <t>Basic metals</t>
  </si>
  <si>
    <t>C241</t>
  </si>
  <si>
    <t>Manufacture of basic iron and steel and of ferro-alloys</t>
  </si>
  <si>
    <t>EUROSTAT Structural business statistics: sbs_ind_co</t>
  </si>
  <si>
    <t>C242</t>
  </si>
  <si>
    <t>Manufacture of tubes, pipes, hollow profiles and related fittings, of steel</t>
  </si>
  <si>
    <t>C243</t>
  </si>
  <si>
    <t>Manufacture of other products of first processing of steel</t>
  </si>
  <si>
    <t>C2451</t>
  </si>
  <si>
    <t>Casting of iron</t>
  </si>
  <si>
    <t>C2452</t>
  </si>
  <si>
    <t>Casting of steel</t>
  </si>
  <si>
    <t>Non ferrous metals</t>
  </si>
  <si>
    <t>C2442</t>
  </si>
  <si>
    <t>C2453</t>
  </si>
  <si>
    <t>Casting of light metals</t>
  </si>
  <si>
    <t>C2441</t>
  </si>
  <si>
    <t>Precious metals production</t>
  </si>
  <si>
    <t>C2443</t>
  </si>
  <si>
    <t>Lead, zinc and tin production</t>
  </si>
  <si>
    <t>C2444</t>
  </si>
  <si>
    <t>Copper production</t>
  </si>
  <si>
    <t>C2445</t>
  </si>
  <si>
    <t>Other non-ferrous metal production</t>
  </si>
  <si>
    <t>C2446</t>
  </si>
  <si>
    <t>Processing of nuclear fuel</t>
  </si>
  <si>
    <t>C2454</t>
  </si>
  <si>
    <t>Casting of other non-ferrous metals</t>
  </si>
  <si>
    <t>C20, C21</t>
  </si>
  <si>
    <t>C2013</t>
  </si>
  <si>
    <t>Manufacture of other inorganic basic chemicals</t>
  </si>
  <si>
    <t>C2014</t>
  </si>
  <si>
    <t>Manufacture of other organic basic chemicals</t>
  </si>
  <si>
    <t>C2015</t>
  </si>
  <si>
    <t>Manufacture of fertilisers and nitrogen compounds</t>
  </si>
  <si>
    <t>C2016</t>
  </si>
  <si>
    <t>Manufacture of plastics in primary forms</t>
  </si>
  <si>
    <t>C2011</t>
  </si>
  <si>
    <t>Manufacture of industrial gases</t>
  </si>
  <si>
    <t>C2012</t>
  </si>
  <si>
    <t>Manufacture of dyes and pigments</t>
  </si>
  <si>
    <t>C202</t>
  </si>
  <si>
    <t>Manufacture of pesticides and other agrochemical products</t>
  </si>
  <si>
    <t>C203</t>
  </si>
  <si>
    <t>Manufacture of paints, varnishes and similar coatings, printing ink and mastics</t>
  </si>
  <si>
    <t>C204</t>
  </si>
  <si>
    <t>Manufacture of soap and detergents, cleaning and polishing preparations, perfumes and toilet preparations</t>
  </si>
  <si>
    <t>C205</t>
  </si>
  <si>
    <t>Manufacture of other chemical products</t>
  </si>
  <si>
    <t>C206</t>
  </si>
  <si>
    <t>Manufacture of man-made fibres</t>
  </si>
  <si>
    <t>Cement (incl. lime)</t>
  </si>
  <si>
    <t>C235</t>
  </si>
  <si>
    <t>Manufacture of cement, lime and plaster</t>
  </si>
  <si>
    <t>C236</t>
  </si>
  <si>
    <t>Manufacture of articles of concrete, cement and plaster</t>
  </si>
  <si>
    <t>C231</t>
  </si>
  <si>
    <t>Manufacture of glass and glass products</t>
  </si>
  <si>
    <t>C232</t>
  </si>
  <si>
    <t>Manufacture of refractory products</t>
  </si>
  <si>
    <t>C233</t>
  </si>
  <si>
    <t>Manufacture of clay building materials</t>
  </si>
  <si>
    <t>C234</t>
  </si>
  <si>
    <t>Manufacture of other porcelain and ceramic products</t>
  </si>
  <si>
    <t>C237</t>
  </si>
  <si>
    <t>Cutting, shaping and finishing of stone</t>
  </si>
  <si>
    <t>C239</t>
  </si>
  <si>
    <t>Manufacture of abrasive products and non-metallic mineral products n.e.c.</t>
  </si>
  <si>
    <t>C17, C18</t>
  </si>
  <si>
    <t>C1711</t>
  </si>
  <si>
    <t>Manufacture of pulp</t>
  </si>
  <si>
    <t>C1712</t>
  </si>
  <si>
    <t>Manufacture of paper and paperboard</t>
  </si>
  <si>
    <t>C172</t>
  </si>
  <si>
    <t>Manufacture of articles of paper and paperboard</t>
  </si>
  <si>
    <t>EUROSTAT Statistics: nama_nace38</t>
  </si>
  <si>
    <t>C25, C26, C27, C28</t>
  </si>
  <si>
    <t>C22, C31_C32</t>
  </si>
  <si>
    <t>Annual growth rates (%)</t>
  </si>
  <si>
    <t>Demographics</t>
  </si>
  <si>
    <t>Population</t>
  </si>
  <si>
    <t>Number of households</t>
  </si>
  <si>
    <t>Inhabitants per household</t>
  </si>
  <si>
    <t>Market shares (%)</t>
  </si>
  <si>
    <t>Gross domestic product per capita</t>
  </si>
  <si>
    <t>Household consumption expenditure per capita</t>
  </si>
  <si>
    <t>JRC-IDEES Description</t>
  </si>
  <si>
    <t>JRC-IDEES structure</t>
  </si>
  <si>
    <t>Macro-economic data at current prices  - NACE structure</t>
  </si>
  <si>
    <t>JRC-IDEES and NACE structure correspondence</t>
  </si>
  <si>
    <t>Climate</t>
  </si>
  <si>
    <t>Actual heating degree-days</t>
  </si>
  <si>
    <t>Relative heating degree-days</t>
  </si>
  <si>
    <t>Actual cooling degree-days</t>
  </si>
  <si>
    <t>Relative cooling degree-days</t>
  </si>
  <si>
    <t>Prepared by JRC C.6</t>
  </si>
  <si>
    <t>The information made available is property of the Joint Research Centre of the European Commission.</t>
  </si>
  <si>
    <t>Use conditions</t>
  </si>
  <si>
    <t>This work is licensed under</t>
  </si>
  <si>
    <t>CC BY 4.0</t>
  </si>
  <si>
    <t>Macro-economic and demographic data</t>
  </si>
  <si>
    <t>Mean heating degree-days over period 2000-2020</t>
  </si>
  <si>
    <t>Mean cooling degree-days over period 2000-2020</t>
  </si>
  <si>
    <t>Demographic and macro-economic data at 2015 prices - JRC-IDEES structure</t>
  </si>
  <si>
    <t>ESA2010 [million euro, current prices]</t>
  </si>
  <si>
    <t>Non-ferrous metals</t>
  </si>
  <si>
    <t>Integrated steelworks</t>
  </si>
  <si>
    <t>Chemical industry</t>
  </si>
  <si>
    <t>Basic and other chemicals</t>
  </si>
  <si>
    <t>Primary production</t>
  </si>
  <si>
    <t>Secondary production</t>
  </si>
  <si>
    <t>Transport equipment</t>
  </si>
  <si>
    <t>Machinery equipment</t>
  </si>
  <si>
    <t>Non-specifed industries</t>
  </si>
  <si>
    <t>Non-specified industries</t>
  </si>
  <si>
    <t>Macro-economic data at 2023 prices - NACE structure</t>
  </si>
  <si>
    <t>ESA2010 [million euro, 2023 prices]</t>
  </si>
  <si>
    <t>ESA2010 [euro, 2023 prices per capita]</t>
  </si>
  <si>
    <t>Gross value added [million euro, 2023 prices]</t>
  </si>
  <si>
    <t>JRC-IDEES-2023 - Integrated Database of the European Energy System</t>
  </si>
  <si>
    <t>v2023-1.00</t>
  </si>
  <si>
    <t>FI</t>
  </si>
  <si>
    <t>Finland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</si>
</sst>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_(* #,##0.00_);_(* \(#,##0.00\);_(* &quot;-&quot;??_);_(@_)"/>
    <numFmt numFmtId="165" formatCode="#,##0.000;\-#,##0.000;&quot;-&quot;"/>
    <numFmt numFmtId="166" formatCode="0.00%;\-0.00%;&quot;-&quot;"/>
    <numFmt numFmtId="167" formatCode="#,##0;\-#,##0;&quot;-&quot;"/>
    <numFmt numFmtId="168" formatCode="0.000"/>
    <numFmt numFmtId="169" formatCode="0.0"/>
    <numFmt numFmtId="170" formatCode="mmmm\ yyyy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sz val="8"/>
      <name val="Calibri"/>
      <family val="2"/>
      <scheme val="minor"/>
    </font>
    <font>
      <sz val="11"/>
      <color indexed="8"/>
      <name val="Calibri"/>
      <family val="2"/>
    </font>
    <font>
      <u/>
      <sz val="9"/>
      <color rgb="FF0564C3"/>
      <name val="Calibri"/>
      <family val="2"/>
      <scheme val="minor"/>
    </font>
    <font>
      <sz val="8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8"/>
      <color indexed="8"/>
      <name val="Calibri"/>
      <family val="2"/>
      <scheme val="minor"/>
    </font>
    <font>
      <i/>
      <sz val="8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0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b/>
      <sz val="14"/>
      <color rgb="FF006EBE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D7C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auto="1"/>
      </top>
      <bottom/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dotted">
        <color auto="1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ashed">
        <color auto="1"/>
      </top>
      <bottom/>
      <diagonal/>
    </border>
    <border>
      <left/>
      <right/>
      <top/>
      <bottom style="dashed">
        <color auto="1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8" fillId="0" borderId="0"/>
    <xf numFmtId="0" fontId="9" fillId="0" borderId="0"/>
    <xf numFmtId="9" fontId="8" fillId="0" borderId="0" applyFont="0" applyFill="0" applyBorder="0" applyAlignment="0" applyProtection="0"/>
    <xf numFmtId="9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9" fontId="11" fillId="0" borderId="0" applyFont="0" applyFill="0" applyBorder="0" applyAlignment="0" applyProtection="0"/>
    <xf numFmtId="0" fontId="1" fillId="0" borderId="0"/>
  </cellStyleXfs>
  <cellXfs count="154">
    <xf numFmtId="0" fontId="0" fillId="0" borderId="0" xfId="0"/>
    <xf numFmtId="0" fontId="10" fillId="2" borderId="0" xfId="4" applyFont="1" applyFill="1" applyAlignment="1">
      <alignment vertical="center"/>
    </xf>
    <xf numFmtId="0" fontId="7" fillId="2" borderId="0" xfId="0" applyFont="1" applyFill="1"/>
    <xf numFmtId="0" fontId="2" fillId="2" borderId="0" xfId="0" applyFont="1" applyFill="1"/>
    <xf numFmtId="0" fontId="6" fillId="2" borderId="0" xfId="0" applyFont="1" applyFill="1"/>
    <xf numFmtId="0" fontId="0" fillId="2" borderId="0" xfId="0" applyFill="1"/>
    <xf numFmtId="0" fontId="6" fillId="2" borderId="1" xfId="0" applyFont="1" applyFill="1" applyBorder="1"/>
    <xf numFmtId="0" fontId="5" fillId="2" borderId="0" xfId="0" applyFont="1" applyFill="1"/>
    <xf numFmtId="0" fontId="12" fillId="2" borderId="0" xfId="2" applyFont="1" applyFill="1"/>
    <xf numFmtId="0" fontId="4" fillId="2" borderId="0" xfId="2" applyFont="1" applyFill="1"/>
    <xf numFmtId="0" fontId="10" fillId="2" borderId="0" xfId="5" applyFont="1" applyFill="1"/>
    <xf numFmtId="3" fontId="10" fillId="2" borderId="0" xfId="5" applyNumberFormat="1" applyFont="1" applyFill="1"/>
    <xf numFmtId="0" fontId="10" fillId="2" borderId="0" xfId="5" applyFont="1" applyFill="1" applyAlignment="1">
      <alignment wrapText="1"/>
    </xf>
    <xf numFmtId="0" fontId="13" fillId="2" borderId="0" xfId="5" applyFont="1" applyFill="1"/>
    <xf numFmtId="3" fontId="14" fillId="2" borderId="0" xfId="5" applyNumberFormat="1" applyFont="1" applyFill="1"/>
    <xf numFmtId="0" fontId="14" fillId="2" borderId="0" xfId="5" applyFont="1" applyFill="1" applyBorder="1"/>
    <xf numFmtId="0" fontId="13" fillId="2" borderId="8" xfId="5" applyFont="1" applyFill="1" applyBorder="1" applyAlignment="1">
      <alignment horizontal="center" vertical="center" textRotation="90"/>
    </xf>
    <xf numFmtId="0" fontId="13" fillId="2" borderId="8" xfId="5" applyFont="1" applyFill="1" applyBorder="1"/>
    <xf numFmtId="0" fontId="13" fillId="2" borderId="8" xfId="5" applyFont="1" applyFill="1" applyBorder="1" applyAlignment="1"/>
    <xf numFmtId="3" fontId="13" fillId="2" borderId="8" xfId="5" applyNumberFormat="1" applyFont="1" applyFill="1" applyBorder="1"/>
    <xf numFmtId="0" fontId="13" fillId="2" borderId="0" xfId="5" applyFont="1" applyFill="1" applyBorder="1" applyAlignment="1">
      <alignment horizontal="center" vertical="center" textRotation="90"/>
    </xf>
    <xf numFmtId="0" fontId="13" fillId="2" borderId="0" xfId="5" applyFont="1" applyFill="1" applyBorder="1"/>
    <xf numFmtId="0" fontId="13" fillId="2" borderId="0" xfId="5" applyFont="1" applyFill="1" applyBorder="1" applyAlignment="1"/>
    <xf numFmtId="3" fontId="13" fillId="2" borderId="0" xfId="5" applyNumberFormat="1" applyFont="1" applyFill="1" applyBorder="1"/>
    <xf numFmtId="0" fontId="13" fillId="2" borderId="1" xfId="5" applyFont="1" applyFill="1" applyBorder="1" applyAlignment="1">
      <alignment horizontal="center" vertical="center" textRotation="90"/>
    </xf>
    <xf numFmtId="0" fontId="13" fillId="2" borderId="1" xfId="5" applyFont="1" applyFill="1" applyBorder="1"/>
    <xf numFmtId="0" fontId="13" fillId="2" borderId="1" xfId="5" applyFont="1" applyFill="1" applyBorder="1" applyAlignment="1"/>
    <xf numFmtId="3" fontId="13" fillId="2" borderId="1" xfId="5" applyNumberFormat="1" applyFont="1" applyFill="1" applyBorder="1"/>
    <xf numFmtId="0" fontId="14" fillId="2" borderId="1" xfId="5" applyFont="1" applyFill="1" applyBorder="1"/>
    <xf numFmtId="0" fontId="14" fillId="2" borderId="1" xfId="5" applyFont="1" applyFill="1" applyBorder="1" applyAlignment="1"/>
    <xf numFmtId="3" fontId="14" fillId="2" borderId="1" xfId="5" applyNumberFormat="1" applyFont="1" applyFill="1" applyBorder="1"/>
    <xf numFmtId="0" fontId="14" fillId="2" borderId="1" xfId="5" applyFont="1" applyFill="1" applyBorder="1" applyAlignment="1">
      <alignment wrapText="1"/>
    </xf>
    <xf numFmtId="0" fontId="14" fillId="2" borderId="0" xfId="5" applyFont="1" applyFill="1"/>
    <xf numFmtId="0" fontId="15" fillId="2" borderId="0" xfId="5" applyFont="1" applyFill="1"/>
    <xf numFmtId="1" fontId="10" fillId="2" borderId="0" xfId="4" applyNumberFormat="1" applyFont="1" applyFill="1" applyBorder="1" applyAlignment="1">
      <alignment vertical="center"/>
    </xf>
    <xf numFmtId="0" fontId="10" fillId="2" borderId="0" xfId="4" applyFont="1" applyFill="1" applyBorder="1" applyAlignment="1">
      <alignment horizontal="left" vertical="center"/>
    </xf>
    <xf numFmtId="164" fontId="10" fillId="2" borderId="0" xfId="8" applyFont="1" applyFill="1" applyBorder="1" applyAlignment="1">
      <alignment vertical="center"/>
    </xf>
    <xf numFmtId="1" fontId="10" fillId="2" borderId="0" xfId="4" applyNumberFormat="1" applyFont="1" applyFill="1" applyAlignment="1">
      <alignment vertical="center"/>
    </xf>
    <xf numFmtId="0" fontId="10" fillId="2" borderId="0" xfId="4" applyFont="1" applyFill="1" applyBorder="1" applyAlignment="1">
      <alignment horizontal="left" vertical="center" indent="2"/>
    </xf>
    <xf numFmtId="0" fontId="13" fillId="2" borderId="0" xfId="4" applyFont="1" applyFill="1" applyBorder="1" applyAlignment="1">
      <alignment vertical="center"/>
    </xf>
    <xf numFmtId="169" fontId="13" fillId="2" borderId="8" xfId="4" applyNumberFormat="1" applyFont="1" applyFill="1" applyBorder="1" applyAlignment="1">
      <alignment vertical="center"/>
    </xf>
    <xf numFmtId="1" fontId="13" fillId="2" borderId="8" xfId="4" applyNumberFormat="1" applyFont="1" applyFill="1" applyBorder="1" applyAlignment="1">
      <alignment vertical="center"/>
    </xf>
    <xf numFmtId="167" fontId="13" fillId="2" borderId="8" xfId="4" applyNumberFormat="1" applyFont="1" applyFill="1" applyBorder="1" applyAlignment="1">
      <alignment vertical="center"/>
    </xf>
    <xf numFmtId="169" fontId="13" fillId="2" borderId="0" xfId="4" applyNumberFormat="1" applyFont="1" applyFill="1" applyBorder="1" applyAlignment="1">
      <alignment vertical="center"/>
    </xf>
    <xf numFmtId="1" fontId="13" fillId="2" borderId="0" xfId="4" applyNumberFormat="1" applyFont="1" applyFill="1" applyBorder="1" applyAlignment="1">
      <alignment vertical="center"/>
    </xf>
    <xf numFmtId="167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/>
    </xf>
    <xf numFmtId="1" fontId="13" fillId="2" borderId="1" xfId="4" applyNumberFormat="1" applyFont="1" applyFill="1" applyBorder="1" applyAlignment="1">
      <alignment vertical="center"/>
    </xf>
    <xf numFmtId="168" fontId="13" fillId="2" borderId="1" xfId="4" applyNumberFormat="1" applyFont="1" applyFill="1" applyBorder="1" applyAlignment="1">
      <alignment vertical="center"/>
    </xf>
    <xf numFmtId="0" fontId="14" fillId="3" borderId="2" xfId="5" applyFont="1" applyFill="1" applyBorder="1"/>
    <xf numFmtId="0" fontId="14" fillId="3" borderId="2" xfId="4" applyFont="1" applyFill="1" applyBorder="1" applyAlignment="1">
      <alignment horizontal="right" vertical="center"/>
    </xf>
    <xf numFmtId="169" fontId="16" fillId="2" borderId="13" xfId="4" applyNumberFormat="1" applyFont="1" applyFill="1" applyBorder="1" applyAlignment="1">
      <alignment vertical="center"/>
    </xf>
    <xf numFmtId="1" fontId="13" fillId="2" borderId="13" xfId="4" applyNumberFormat="1" applyFont="1" applyFill="1" applyBorder="1" applyAlignment="1">
      <alignment vertical="center"/>
    </xf>
    <xf numFmtId="165" fontId="16" fillId="2" borderId="13" xfId="4" applyNumberFormat="1" applyFont="1" applyFill="1" applyBorder="1" applyAlignment="1">
      <alignment vertical="center"/>
    </xf>
    <xf numFmtId="0" fontId="16" fillId="2" borderId="1" xfId="4" applyFont="1" applyFill="1" applyBorder="1" applyAlignment="1">
      <alignment horizontal="left" vertical="center"/>
    </xf>
    <xf numFmtId="165" fontId="16" fillId="2" borderId="1" xfId="4" applyNumberFormat="1" applyFont="1" applyFill="1" applyBorder="1" applyAlignment="1">
      <alignment vertical="center"/>
    </xf>
    <xf numFmtId="1" fontId="14" fillId="3" borderId="2" xfId="4" applyNumberFormat="1" applyFont="1" applyFill="1" applyBorder="1" applyAlignment="1">
      <alignment horizontal="right" vertical="center"/>
    </xf>
    <xf numFmtId="167" fontId="13" fillId="2" borderId="1" xfId="4" applyNumberFormat="1" applyFont="1" applyFill="1" applyBorder="1" applyAlignment="1">
      <alignment vertical="center"/>
    </xf>
    <xf numFmtId="0" fontId="14" fillId="3" borderId="2" xfId="4" applyFont="1" applyFill="1" applyBorder="1" applyAlignment="1">
      <alignment horizontal="left" vertical="center"/>
    </xf>
    <xf numFmtId="1" fontId="13" fillId="3" borderId="2" xfId="4" applyNumberFormat="1" applyFont="1" applyFill="1" applyBorder="1" applyAlignment="1">
      <alignment vertical="center"/>
    </xf>
    <xf numFmtId="167" fontId="13" fillId="3" borderId="2" xfId="4" applyNumberFormat="1" applyFont="1" applyFill="1" applyBorder="1" applyAlignment="1">
      <alignment vertical="center"/>
    </xf>
    <xf numFmtId="0" fontId="13" fillId="2" borderId="6" xfId="4" applyFont="1" applyFill="1" applyBorder="1" applyAlignment="1">
      <alignment horizontal="left" vertical="center" wrapText="1" indent="1"/>
    </xf>
    <xf numFmtId="1" fontId="13" fillId="2" borderId="6" xfId="4" applyNumberFormat="1" applyFont="1" applyFill="1" applyBorder="1" applyAlignment="1">
      <alignment vertical="center"/>
    </xf>
    <xf numFmtId="167" fontId="13" fillId="2" borderId="6" xfId="4" applyNumberFormat="1" applyFont="1" applyFill="1" applyBorder="1" applyAlignment="1">
      <alignment vertical="center"/>
    </xf>
    <xf numFmtId="0" fontId="13" fillId="2" borderId="4" xfId="4" applyFont="1" applyFill="1" applyBorder="1" applyAlignment="1">
      <alignment horizontal="left" vertical="center" wrapText="1" indent="1"/>
    </xf>
    <xf numFmtId="1" fontId="13" fillId="2" borderId="4" xfId="4" applyNumberFormat="1" applyFont="1" applyFill="1" applyBorder="1" applyAlignment="1">
      <alignment vertical="center"/>
    </xf>
    <xf numFmtId="167" fontId="13" fillId="2" borderId="4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1"/>
    </xf>
    <xf numFmtId="0" fontId="13" fillId="2" borderId="0" xfId="4" applyFont="1" applyFill="1" applyBorder="1" applyAlignment="1">
      <alignment horizontal="left" vertical="center" wrapText="1" indent="2"/>
    </xf>
    <xf numFmtId="1" fontId="13" fillId="2" borderId="0" xfId="4" applyNumberFormat="1" applyFont="1" applyFill="1" applyBorder="1" applyAlignment="1">
      <alignment horizontal="left" vertical="center" wrapText="1" indent="1"/>
    </xf>
    <xf numFmtId="167" fontId="13" fillId="2" borderId="0" xfId="4" applyNumberFormat="1" applyFont="1" applyFill="1" applyAlignment="1">
      <alignment vertical="center"/>
    </xf>
    <xf numFmtId="1" fontId="13" fillId="2" borderId="0" xfId="4" applyNumberFormat="1" applyFont="1" applyFill="1" applyAlignment="1">
      <alignment vertical="center"/>
    </xf>
    <xf numFmtId="0" fontId="13" fillId="2" borderId="4" xfId="4" applyFont="1" applyFill="1" applyBorder="1" applyAlignment="1">
      <alignment horizontal="left" vertical="center" wrapText="1" indent="2"/>
    </xf>
    <xf numFmtId="0" fontId="13" fillId="2" borderId="4" xfId="4" applyFont="1" applyFill="1" applyBorder="1" applyAlignment="1">
      <alignment horizontal="left" vertical="center" wrapText="1" indent="3"/>
    </xf>
    <xf numFmtId="0" fontId="16" fillId="2" borderId="0" xfId="4" applyFont="1" applyFill="1" applyBorder="1" applyAlignment="1">
      <alignment horizontal="left" vertical="center" wrapText="1" indent="4"/>
    </xf>
    <xf numFmtId="0" fontId="16" fillId="2" borderId="0" xfId="4" applyFont="1" applyFill="1" applyBorder="1" applyAlignment="1">
      <alignment horizontal="left" vertical="center" wrapText="1" indent="5"/>
    </xf>
    <xf numFmtId="1" fontId="16" fillId="2" borderId="0" xfId="4" applyNumberFormat="1" applyFont="1" applyFill="1" applyBorder="1" applyAlignment="1">
      <alignment vertical="center"/>
    </xf>
    <xf numFmtId="0" fontId="16" fillId="2" borderId="0" xfId="4" applyFont="1" applyFill="1" applyBorder="1" applyAlignment="1">
      <alignment horizontal="left" vertical="center" wrapText="1" indent="3"/>
    </xf>
    <xf numFmtId="0" fontId="13" fillId="2" borderId="7" xfId="4" applyFont="1" applyFill="1" applyBorder="1" applyAlignment="1">
      <alignment horizontal="left" vertical="center" wrapText="1" indent="2"/>
    </xf>
    <xf numFmtId="1" fontId="13" fillId="2" borderId="7" xfId="4" applyNumberFormat="1" applyFont="1" applyFill="1" applyBorder="1" applyAlignment="1">
      <alignment vertical="center"/>
    </xf>
    <xf numFmtId="167" fontId="13" fillId="2" borderId="7" xfId="4" applyNumberFormat="1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/>
    </xf>
    <xf numFmtId="166" fontId="13" fillId="2" borderId="8" xfId="4" applyNumberFormat="1" applyFont="1" applyFill="1" applyBorder="1" applyAlignment="1">
      <alignment vertical="center"/>
    </xf>
    <xf numFmtId="166" fontId="13" fillId="2" borderId="4" xfId="4" applyNumberFormat="1" applyFont="1" applyFill="1" applyBorder="1" applyAlignment="1">
      <alignment vertical="center"/>
    </xf>
    <xf numFmtId="166" fontId="13" fillId="2" borderId="0" xfId="4" applyNumberFormat="1" applyFont="1" applyFill="1" applyAlignment="1">
      <alignment vertical="center"/>
    </xf>
    <xf numFmtId="0" fontId="13" fillId="2" borderId="3" xfId="4" applyFont="1" applyFill="1" applyBorder="1" applyAlignment="1">
      <alignment horizontal="left" vertical="center" wrapText="1" indent="2"/>
    </xf>
    <xf numFmtId="1" fontId="13" fillId="2" borderId="3" xfId="4" applyNumberFormat="1" applyFont="1" applyFill="1" applyBorder="1" applyAlignment="1">
      <alignment vertical="center"/>
    </xf>
    <xf numFmtId="166" fontId="13" fillId="2" borderId="3" xfId="4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wrapText="1" indent="3"/>
    </xf>
    <xf numFmtId="166" fontId="13" fillId="2" borderId="0" xfId="4" applyNumberFormat="1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wrapText="1" indent="2"/>
    </xf>
    <xf numFmtId="166" fontId="13" fillId="2" borderId="1" xfId="4" applyNumberFormat="1" applyFont="1" applyFill="1" applyBorder="1" applyAlignment="1">
      <alignment vertical="center"/>
    </xf>
    <xf numFmtId="10" fontId="13" fillId="2" borderId="8" xfId="1" applyNumberFormat="1" applyFont="1" applyFill="1" applyBorder="1" applyAlignment="1">
      <alignment vertical="center"/>
    </xf>
    <xf numFmtId="10" fontId="13" fillId="2" borderId="1" xfId="1" applyNumberFormat="1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left" vertical="center"/>
    </xf>
    <xf numFmtId="0" fontId="14" fillId="2" borderId="0" xfId="4" applyFont="1" applyFill="1" applyBorder="1" applyAlignment="1">
      <alignment horizontal="right" vertical="center"/>
    </xf>
    <xf numFmtId="169" fontId="13" fillId="2" borderId="8" xfId="4" applyNumberFormat="1" applyFont="1" applyFill="1" applyBorder="1" applyAlignment="1">
      <alignment horizontal="right" vertical="center"/>
    </xf>
    <xf numFmtId="0" fontId="13" fillId="2" borderId="8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horizontal="right" vertical="center"/>
    </xf>
    <xf numFmtId="0" fontId="13" fillId="2" borderId="1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/>
    </xf>
    <xf numFmtId="0" fontId="13" fillId="2" borderId="8" xfId="4" applyFont="1" applyFill="1" applyBorder="1" applyAlignment="1">
      <alignment horizontal="left" vertical="center" indent="1"/>
    </xf>
    <xf numFmtId="0" fontId="13" fillId="2" borderId="1" xfId="4" applyFont="1" applyFill="1" applyBorder="1" applyAlignment="1">
      <alignment horizontal="right" vertical="center" indent="1"/>
    </xf>
    <xf numFmtId="0" fontId="13" fillId="2" borderId="0" xfId="4" applyFont="1" applyFill="1" applyBorder="1" applyAlignment="1">
      <alignment horizontal="left" vertical="center" wrapText="1"/>
    </xf>
    <xf numFmtId="0" fontId="13" fillId="2" borderId="0" xfId="4" applyFont="1" applyFill="1" applyBorder="1" applyAlignment="1">
      <alignment horizontal="left" vertical="center" indent="1"/>
    </xf>
    <xf numFmtId="0" fontId="13" fillId="2" borderId="0" xfId="4" applyFont="1" applyFill="1" applyAlignment="1">
      <alignment vertical="center"/>
    </xf>
    <xf numFmtId="0" fontId="13" fillId="2" borderId="5" xfId="4" applyFont="1" applyFill="1" applyBorder="1" applyAlignment="1">
      <alignment horizontal="left" vertical="center" wrapText="1" indent="1"/>
    </xf>
    <xf numFmtId="0" fontId="13" fillId="2" borderId="5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horizontal="right" vertical="center" indent="1"/>
    </xf>
    <xf numFmtId="0" fontId="13" fillId="2" borderId="9" xfId="4" applyFont="1" applyFill="1" applyBorder="1" applyAlignment="1">
      <alignment horizontal="left" vertical="center" indent="1"/>
    </xf>
    <xf numFmtId="0" fontId="13" fillId="2" borderId="9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right" vertical="center" indent="1"/>
    </xf>
    <xf numFmtId="0" fontId="13" fillId="2" borderId="10" xfId="4" applyFont="1" applyFill="1" applyBorder="1" applyAlignment="1">
      <alignment horizontal="left" vertical="center" indent="1"/>
    </xf>
    <xf numFmtId="0" fontId="13" fillId="2" borderId="10" xfId="4" applyFont="1" applyFill="1" applyBorder="1" applyAlignment="1">
      <alignment vertical="center"/>
    </xf>
    <xf numFmtId="0" fontId="13" fillId="2" borderId="1" xfId="4" applyFont="1" applyFill="1" applyBorder="1" applyAlignment="1">
      <alignment horizontal="left" vertical="center" indent="1"/>
    </xf>
    <xf numFmtId="0" fontId="13" fillId="2" borderId="8" xfId="4" applyFont="1" applyFill="1" applyBorder="1" applyAlignment="1">
      <alignment horizontal="left" vertical="center" wrapText="1" indent="1"/>
    </xf>
    <xf numFmtId="0" fontId="13" fillId="2" borderId="11" xfId="4" applyFont="1" applyFill="1" applyBorder="1" applyAlignment="1">
      <alignment horizontal="left" vertical="center" wrapText="1" indent="2"/>
    </xf>
    <xf numFmtId="0" fontId="13" fillId="2" borderId="11" xfId="4" applyFont="1" applyFill="1" applyBorder="1" applyAlignment="1">
      <alignment horizontal="left" vertical="center" indent="2"/>
    </xf>
    <xf numFmtId="0" fontId="13" fillId="2" borderId="11" xfId="4" applyFont="1" applyFill="1" applyBorder="1" applyAlignment="1">
      <alignment vertical="center"/>
    </xf>
    <xf numFmtId="0" fontId="13" fillId="2" borderId="0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2"/>
    </xf>
    <xf numFmtId="0" fontId="13" fillId="2" borderId="12" xfId="4" applyFont="1" applyFill="1" applyBorder="1" applyAlignment="1">
      <alignment horizontal="right" vertical="center" indent="1"/>
    </xf>
    <xf numFmtId="0" fontId="13" fillId="2" borderId="12" xfId="4" applyFont="1" applyFill="1" applyBorder="1" applyAlignment="1">
      <alignment horizontal="left" vertical="center" indent="1"/>
    </xf>
    <xf numFmtId="0" fontId="13" fillId="2" borderId="12" xfId="4" applyFont="1" applyFill="1" applyBorder="1" applyAlignment="1">
      <alignment vertical="center"/>
    </xf>
    <xf numFmtId="0" fontId="13" fillId="2" borderId="8" xfId="4" applyFont="1" applyFill="1" applyBorder="1" applyAlignment="1">
      <alignment horizontal="left" vertical="center" wrapText="1" indent="2"/>
    </xf>
    <xf numFmtId="0" fontId="13" fillId="2" borderId="8" xfId="4" applyFont="1" applyFill="1" applyBorder="1" applyAlignment="1">
      <alignment horizontal="left" vertical="center" indent="2"/>
    </xf>
    <xf numFmtId="0" fontId="13" fillId="2" borderId="10" xfId="4" applyFont="1" applyFill="1" applyBorder="1" applyAlignment="1">
      <alignment horizontal="left" vertical="center" wrapText="1" indent="2"/>
    </xf>
    <xf numFmtId="0" fontId="13" fillId="2" borderId="1" xfId="4" applyFont="1" applyFill="1" applyBorder="1" applyAlignment="1">
      <alignment horizontal="left" vertical="center" wrapText="1" indent="3"/>
    </xf>
    <xf numFmtId="0" fontId="13" fillId="2" borderId="12" xfId="4" applyFont="1" applyFill="1" applyBorder="1" applyAlignment="1">
      <alignment horizontal="left" vertical="center" wrapText="1" indent="3"/>
    </xf>
    <xf numFmtId="0" fontId="17" fillId="2" borderId="0" xfId="5" applyFont="1" applyFill="1"/>
    <xf numFmtId="0" fontId="13" fillId="2" borderId="0" xfId="5" applyFont="1" applyFill="1" applyAlignment="1">
      <alignment vertical="center"/>
    </xf>
    <xf numFmtId="0" fontId="13" fillId="2" borderId="0" xfId="5" applyFont="1" applyFill="1" applyAlignment="1">
      <alignment horizontal="center" vertical="center"/>
    </xf>
    <xf numFmtId="0" fontId="18" fillId="2" borderId="2" xfId="5" applyFont="1" applyFill="1" applyBorder="1" applyAlignment="1">
      <alignment vertical="center"/>
    </xf>
    <xf numFmtId="0" fontId="19" fillId="2" borderId="2" xfId="5" applyFont="1" applyFill="1" applyBorder="1" applyAlignment="1">
      <alignment vertical="center"/>
    </xf>
    <xf numFmtId="0" fontId="20" fillId="2" borderId="0" xfId="5" applyFont="1" applyFill="1" applyAlignment="1">
      <alignment vertical="center"/>
    </xf>
    <xf numFmtId="0" fontId="19" fillId="2" borderId="0" xfId="5" applyFont="1" applyFill="1" applyAlignment="1">
      <alignment vertical="center"/>
    </xf>
    <xf numFmtId="0" fontId="23" fillId="2" borderId="0" xfId="5" applyFont="1" applyFill="1" applyAlignment="1">
      <alignment vertical="center"/>
    </xf>
    <xf numFmtId="0" fontId="24" fillId="2" borderId="0" xfId="5" applyFont="1" applyFill="1" applyAlignment="1">
      <alignment vertical="center"/>
    </xf>
    <xf numFmtId="0" fontId="25" fillId="2" borderId="0" xfId="11" applyFont="1" applyFill="1" applyAlignment="1">
      <alignment vertical="center"/>
    </xf>
    <xf numFmtId="0" fontId="26" fillId="2" borderId="0" xfId="2" applyFont="1" applyFill="1" applyAlignment="1">
      <alignment horizontal="left" vertical="center" indent="1"/>
    </xf>
    <xf numFmtId="0" fontId="27" fillId="2" borderId="0" xfId="0" applyFont="1" applyFill="1"/>
    <xf numFmtId="0" fontId="27" fillId="2" borderId="0" xfId="0" applyFont="1" applyFill="1" applyAlignment="1">
      <alignment horizontal="left"/>
    </xf>
    <xf numFmtId="0" fontId="28" fillId="2" borderId="1" xfId="0" applyFont="1" applyFill="1" applyBorder="1"/>
    <xf numFmtId="0" fontId="29" fillId="2" borderId="0" xfId="0" applyFont="1" applyFill="1"/>
    <xf numFmtId="0" fontId="21" fillId="2" borderId="0" xfId="5" applyFont="1" applyFill="1" applyAlignment="1">
      <alignment horizontal="left" vertical="center"/>
    </xf>
    <xf numFmtId="170" fontId="22" fillId="2" borderId="0" xfId="5" quotePrefix="1" applyNumberFormat="1" applyFont="1" applyFill="1" applyAlignment="1">
      <alignment horizontal="left" vertical="center"/>
    </xf>
    <xf numFmtId="0" fontId="30" fillId="0" borderId="0" xfId="5" applyFont="1" applyAlignment="1">
      <alignment horizontal="left" vertical="center"/>
    </xf>
    <xf numFmtId="0" fontId="13" fillId="2" borderId="8" xfId="5" applyFont="1" applyFill="1" applyBorder="1" applyAlignment="1">
      <alignment horizontal="center" vertical="center" textRotation="90"/>
    </xf>
    <xf numFmtId="0" fontId="13" fillId="2" borderId="0" xfId="5" applyFont="1" applyFill="1" applyBorder="1" applyAlignment="1">
      <alignment horizontal="center" vertical="center" textRotation="90"/>
    </xf>
    <xf numFmtId="0" fontId="13" fillId="2" borderId="1" xfId="5" applyFont="1" applyFill="1" applyBorder="1" applyAlignment="1">
      <alignment horizontal="center" vertical="center" textRotation="90"/>
    </xf>
  </cellXfs>
  <cellStyles count="12">
    <cellStyle name="Comma" xfId="8" builtinId="3"/>
    <cellStyle name="Comma 2" xfId="3"/>
    <cellStyle name="Comma 3" xfId="9"/>
    <cellStyle name="Hyperlink" xfId="2" builtinId="8"/>
    <cellStyle name="Normal" xfId="0" builtinId="0"/>
    <cellStyle name="Normal 2" xfId="4"/>
    <cellStyle name="Normal 2 2" xfId="11"/>
    <cellStyle name="Normal 3" xfId="5"/>
    <cellStyle name="Percent" xfId="1" builtinId="5"/>
    <cellStyle name="Percent 2" xfId="6"/>
    <cellStyle name="Percent 3" xfId="7"/>
    <cellStyle name="Percent 4" xfId="10"/>
  </cellStyles>
  <dxfs count="0"/>
  <tableStyles count="0" defaultTableStyle="TableStyleMedium2" defaultPivotStyle="PivotStyleLight16"/>
  <colors>
    <mruColors>
      <color rgb="FF050505"/>
      <color rgb="FF006EBE"/>
      <color rgb="FFDCD7C3"/>
      <color rgb="FF0564C3"/>
      <color rgb="FF007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39940" y="3505200"/>
          <a:ext cx="295757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134"/>
    <col min="5" max="21" width="9.7109375" style="134" customWidth="1"/>
    <col min="22" max="22" width="9.7109375" style="135" customWidth="1"/>
    <col min="23" max="23" width="107.42578125" style="134" customWidth="1"/>
    <col min="24" max="24" width="44.7109375" style="134" customWidth="1"/>
    <col min="25" max="26" width="9.7109375" style="134" customWidth="1"/>
    <col min="27" max="16384" width="9.140625" style="134"/>
  </cols>
  <sheetData>
    <row r="2" spans="1:23" ht="21" x14ac:dyDescent="0.35">
      <c r="A2" s="133"/>
      <c r="B2" s="150"/>
      <c r="C2" s="150"/>
      <c r="D2" s="150"/>
      <c r="E2" s="150"/>
      <c r="F2" s="150"/>
      <c r="G2" s="150"/>
      <c r="H2" s="150"/>
      <c r="I2" s="150"/>
      <c r="J2" s="150"/>
      <c r="K2" s="150"/>
    </row>
    <row r="3" spans="1:23" ht="15" customHeight="1" x14ac:dyDescent="0.25">
      <c r="B3" s="150"/>
      <c r="C3" s="150"/>
      <c r="D3" s="150"/>
      <c r="E3" s="150"/>
      <c r="F3" s="150"/>
      <c r="G3" s="150"/>
      <c r="H3" s="150"/>
      <c r="I3" s="150"/>
      <c r="J3" s="150"/>
      <c r="K3" s="150"/>
    </row>
    <row r="6" spans="1:23" ht="31.5" x14ac:dyDescent="0.25">
      <c r="A6" s="136"/>
      <c r="B6" s="137" t="s">
        <v>277</v>
      </c>
      <c r="C6" s="137"/>
      <c r="D6" s="137"/>
      <c r="E6" s="137"/>
      <c r="F6" s="137"/>
      <c r="G6" s="137"/>
      <c r="H6" s="137"/>
      <c r="I6" s="137"/>
      <c r="J6" s="137"/>
      <c r="K6" s="137"/>
      <c r="L6" s="137"/>
      <c r="M6" s="137"/>
      <c r="N6" s="137"/>
      <c r="O6" s="137"/>
      <c r="P6" s="137"/>
      <c r="Q6" s="137"/>
      <c r="V6" s="134"/>
    </row>
    <row r="7" spans="1:23" ht="15" customHeight="1" x14ac:dyDescent="0.25">
      <c r="V7" s="134"/>
    </row>
    <row r="8" spans="1:23" ht="15" customHeight="1" x14ac:dyDescent="0.25">
      <c r="V8" s="134"/>
    </row>
    <row r="9" spans="1:23" ht="15" customHeight="1" x14ac:dyDescent="0.25">
      <c r="V9" s="134"/>
    </row>
    <row r="10" spans="1:23" ht="28.5" x14ac:dyDescent="0.25">
      <c r="C10" s="138" t="s">
        <v>280</v>
      </c>
      <c r="V10" s="134"/>
    </row>
    <row r="11" spans="1:23" ht="15" customHeight="1" x14ac:dyDescent="0.25">
      <c r="V11" s="134"/>
    </row>
    <row r="15" spans="1:23" ht="30" customHeight="1" x14ac:dyDescent="0.25">
      <c r="C15" s="138" t="s">
        <v>258</v>
      </c>
    </row>
    <row r="16" spans="1:23" ht="15" customHeight="1" x14ac:dyDescent="0.25">
      <c r="W16" s="139"/>
    </row>
    <row r="17" spans="12:32" ht="15" customHeight="1" x14ac:dyDescent="0.25">
      <c r="W17" s="139"/>
    </row>
    <row r="28" spans="12:32" ht="21" x14ac:dyDescent="0.25">
      <c r="L28" s="148" t="s">
        <v>253</v>
      </c>
      <c r="M28" s="148"/>
      <c r="N28" s="148"/>
      <c r="O28" s="148"/>
    </row>
    <row r="29" spans="12:32" ht="15" customHeight="1" x14ac:dyDescent="0.25">
      <c r="V29" s="134"/>
    </row>
    <row r="30" spans="12:32" ht="18.75" x14ac:dyDescent="0.25">
      <c r="L30" s="149">
        <v>45967.474768518521</v>
      </c>
      <c r="M30" s="149"/>
      <c r="N30" s="149"/>
      <c r="O30" s="149"/>
      <c r="V30" s="134"/>
    </row>
    <row r="31" spans="12:32" ht="15" customHeight="1" x14ac:dyDescent="0.25">
      <c r="L31" s="140" t="s">
        <v>278</v>
      </c>
      <c r="V31" s="134"/>
      <c r="AA31" s="141"/>
      <c r="AB31" s="141"/>
      <c r="AC31" s="141"/>
      <c r="AD31" s="141"/>
      <c r="AE31" s="141"/>
      <c r="AF31" s="141"/>
    </row>
    <row r="32" spans="12:32" ht="15" customHeight="1" x14ac:dyDescent="0.25">
      <c r="V32" s="134"/>
    </row>
    <row r="33" spans="2:32" ht="15" customHeight="1" x14ac:dyDescent="0.25">
      <c r="B33" s="142" t="s">
        <v>22</v>
      </c>
      <c r="V33" s="134"/>
    </row>
    <row r="34" spans="2:32" ht="15" customHeight="1" x14ac:dyDescent="0.25">
      <c r="B34" s="142"/>
      <c r="V34" s="142"/>
    </row>
    <row r="35" spans="2:32" ht="15" customHeight="1" x14ac:dyDescent="0.25">
      <c r="B35" s="142" t="s">
        <v>254</v>
      </c>
      <c r="V35" s="142"/>
    </row>
    <row r="36" spans="2:32" ht="15" customHeight="1" x14ac:dyDescent="0.25">
      <c r="B36" s="142" t="s">
        <v>23</v>
      </c>
      <c r="E36" s="141"/>
      <c r="F36" s="141"/>
      <c r="G36" s="141"/>
      <c r="H36" s="141"/>
      <c r="I36" s="141"/>
      <c r="J36" s="141"/>
      <c r="K36" s="141"/>
      <c r="L36" s="141"/>
      <c r="M36" s="141"/>
      <c r="N36" s="141"/>
      <c r="O36" s="141"/>
      <c r="P36" s="141"/>
      <c r="Q36" s="141"/>
      <c r="R36" s="141"/>
      <c r="S36" s="141"/>
      <c r="T36" s="141"/>
      <c r="U36" s="141"/>
      <c r="W36" s="141"/>
      <c r="X36" s="141"/>
      <c r="Y36" s="141"/>
      <c r="Z36" s="141"/>
    </row>
    <row r="38" spans="2:32" ht="15" customHeight="1" x14ac:dyDescent="0.25">
      <c r="B38" s="142" t="s">
        <v>255</v>
      </c>
    </row>
    <row r="39" spans="2:32" ht="15" customHeight="1" x14ac:dyDescent="0.25">
      <c r="B39" s="142" t="s">
        <v>256</v>
      </c>
    </row>
    <row r="40" spans="2:32" ht="15" customHeight="1" x14ac:dyDescent="0.25">
      <c r="B40" s="143" t="s">
        <v>257</v>
      </c>
      <c r="AA40" s="141"/>
      <c r="AB40" s="141"/>
      <c r="AC40" s="141"/>
      <c r="AD40" s="141"/>
      <c r="AE40" s="141"/>
      <c r="AF40" s="141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7"/>
  <sheetViews>
    <sheetView showGridLines="0" zoomScaleNormal="100" workbookViewId="0"/>
  </sheetViews>
  <sheetFormatPr defaultColWidth="9.140625" defaultRowHeight="15" x14ac:dyDescent="0.25"/>
  <cols>
    <col min="1" max="1" width="7.7109375" style="5" customWidth="1"/>
    <col min="2" max="2" width="15.85546875" style="5" customWidth="1"/>
    <col min="3" max="3" width="2.85546875" style="5" customWidth="1"/>
    <col min="4" max="4" width="54.7109375" style="5" customWidth="1"/>
    <col min="5" max="16384" width="9.140625" style="5"/>
  </cols>
  <sheetData>
    <row r="1" spans="1:4" ht="18.75" x14ac:dyDescent="0.3">
      <c r="A1" s="144" t="s">
        <v>279</v>
      </c>
      <c r="B1" s="145" t="s">
        <v>280</v>
      </c>
      <c r="C1" s="3"/>
      <c r="D1" s="4"/>
    </row>
    <row r="2" spans="1:4" ht="18.75" x14ac:dyDescent="0.3">
      <c r="A2" s="2"/>
      <c r="B2" s="3"/>
      <c r="C2" s="3"/>
      <c r="D2" s="4"/>
    </row>
    <row r="3" spans="1:4" ht="18.75" x14ac:dyDescent="0.3">
      <c r="A3" s="2"/>
      <c r="B3" s="146" t="s">
        <v>6</v>
      </c>
      <c r="C3" s="6"/>
      <c r="D3" s="6"/>
    </row>
    <row r="4" spans="1:4" ht="15" customHeight="1" x14ac:dyDescent="0.3">
      <c r="A4" s="7"/>
      <c r="B4" s="8" t="str">
        <f ca="1">HYPERLINK("#"&amp;CELL("address",Macro_CurrPrices!D$2),MID(CELL("filename",Macro_CurrPrices!D$2),FIND("]",CELL("filename",Macro_CurrPrices!D$2))+1,256))</f>
        <v>Macro_CurrPrices</v>
      </c>
      <c r="C4" s="9"/>
      <c r="D4" s="147" t="s">
        <v>246</v>
      </c>
    </row>
    <row r="5" spans="1:4" ht="15" customHeight="1" x14ac:dyDescent="0.3">
      <c r="A5" s="7"/>
      <c r="B5" s="8" t="str">
        <f ca="1">HYPERLINK("#"&amp;CELL("address",Macro_euro2023!D$2),MID(CELL("filename",Macro_euro2023!D$2),FIND("]",CELL("filename",Macro_euro2023!D$2))+1,256))</f>
        <v>Macro_euro2023</v>
      </c>
      <c r="C5" s="9"/>
      <c r="D5" s="147" t="s">
        <v>273</v>
      </c>
    </row>
    <row r="6" spans="1:4" ht="15" customHeight="1" x14ac:dyDescent="0.3">
      <c r="A6" s="7"/>
      <c r="B6" s="8" t="str">
        <f ca="1">HYPERLINK("#"&amp;CELL("address",'Macro_JRC-IDEES'!$D$2),MID(CELL("filename",'Macro_JRC-IDEES'!$D$2),FIND("]",CELL("filename",'Macro_JRC-IDEES'!$D$2))+1,256))</f>
        <v>Macro_JRC-IDEES</v>
      </c>
      <c r="C6" s="9"/>
      <c r="D6" s="147" t="s">
        <v>261</v>
      </c>
    </row>
    <row r="7" spans="1:4" ht="15" customHeight="1" x14ac:dyDescent="0.3">
      <c r="A7" s="7"/>
      <c r="B7" s="8" t="str">
        <f ca="1">HYPERLINK("#"&amp;CELL("address",definitions!$D$2),MID(CELL("filename",definitions!$D$2),FIND("]",CELL("filename",definitions!$D$2))+1,256))</f>
        <v>definitions</v>
      </c>
      <c r="C7" s="9"/>
      <c r="D7" s="147" t="s">
        <v>247</v>
      </c>
    </row>
  </sheetData>
  <pageMargins left="0.39370078740157483" right="0.39370078740157483" top="0.39370078740157483" bottom="0.39370078740157483" header="0.31496062992125984" footer="0.31496062992125984"/>
  <pageSetup paperSize="9" scale="9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262</v>
      </c>
      <c r="D1" s="33">
        <v>2000</v>
      </c>
      <c r="E1" s="33">
        <v>2001</v>
      </c>
      <c r="F1" s="33">
        <v>2002</v>
      </c>
      <c r="G1" s="33">
        <v>2003</v>
      </c>
      <c r="H1" s="33">
        <v>2004</v>
      </c>
      <c r="I1" s="33">
        <v>2005</v>
      </c>
      <c r="J1" s="33">
        <v>2006</v>
      </c>
      <c r="K1" s="33">
        <v>2007</v>
      </c>
      <c r="L1" s="33">
        <v>2008</v>
      </c>
      <c r="M1" s="33">
        <v>2009</v>
      </c>
      <c r="N1" s="33">
        <v>2010</v>
      </c>
      <c r="O1" s="33">
        <v>2011</v>
      </c>
      <c r="P1" s="33">
        <v>2012</v>
      </c>
      <c r="Q1" s="33">
        <v>2013</v>
      </c>
      <c r="R1" s="33">
        <v>2014</v>
      </c>
      <c r="S1" s="33">
        <v>2015</v>
      </c>
      <c r="T1" s="33">
        <v>2016</v>
      </c>
      <c r="U1" s="33">
        <v>2017</v>
      </c>
      <c r="V1" s="33">
        <v>2018</v>
      </c>
      <c r="W1" s="33">
        <v>2019</v>
      </c>
      <c r="X1" s="33">
        <v>2020</v>
      </c>
      <c r="Y1" s="33">
        <v>2021</v>
      </c>
      <c r="Z1" s="33">
        <v>2022</v>
      </c>
      <c r="AA1" s="33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136386</v>
      </c>
      <c r="E2" s="19">
        <v>144613</v>
      </c>
      <c r="F2" s="19">
        <v>148440</v>
      </c>
      <c r="G2" s="19">
        <v>151714</v>
      </c>
      <c r="H2" s="19">
        <v>158741</v>
      </c>
      <c r="I2" s="19">
        <v>164666</v>
      </c>
      <c r="J2" s="19">
        <v>172861</v>
      </c>
      <c r="K2" s="19">
        <v>187059</v>
      </c>
      <c r="L2" s="19">
        <v>194253</v>
      </c>
      <c r="M2" s="19">
        <v>181735</v>
      </c>
      <c r="N2" s="19">
        <v>188147</v>
      </c>
      <c r="O2" s="19">
        <v>197655</v>
      </c>
      <c r="P2" s="19">
        <v>200378</v>
      </c>
      <c r="Q2" s="19">
        <v>203497</v>
      </c>
      <c r="R2" s="19">
        <v>205855</v>
      </c>
      <c r="S2" s="19">
        <v>210192</v>
      </c>
      <c r="T2" s="19">
        <v>215717</v>
      </c>
      <c r="U2" s="19">
        <v>224706</v>
      </c>
      <c r="V2" s="19">
        <v>231905</v>
      </c>
      <c r="W2" s="19">
        <v>238518</v>
      </c>
      <c r="X2" s="19">
        <v>236387</v>
      </c>
      <c r="Y2" s="19">
        <v>248764</v>
      </c>
      <c r="Z2" s="19">
        <v>266135</v>
      </c>
      <c r="AA2" s="19">
        <v>272848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65208</v>
      </c>
      <c r="E3" s="23">
        <v>68763</v>
      </c>
      <c r="F3" s="23">
        <v>71639</v>
      </c>
      <c r="G3" s="23">
        <v>75339</v>
      </c>
      <c r="H3" s="23">
        <v>78385</v>
      </c>
      <c r="I3" s="23">
        <v>81737</v>
      </c>
      <c r="J3" s="23">
        <v>86126</v>
      </c>
      <c r="K3" s="23">
        <v>90864</v>
      </c>
      <c r="L3" s="23">
        <v>95808</v>
      </c>
      <c r="M3" s="23">
        <v>94766</v>
      </c>
      <c r="N3" s="23">
        <v>98228</v>
      </c>
      <c r="O3" s="23">
        <v>104418</v>
      </c>
      <c r="P3" s="23">
        <v>107778</v>
      </c>
      <c r="Q3" s="23">
        <v>109843</v>
      </c>
      <c r="R3" s="23">
        <v>111849</v>
      </c>
      <c r="S3" s="23">
        <v>113898</v>
      </c>
      <c r="T3" s="23">
        <v>116181</v>
      </c>
      <c r="U3" s="23">
        <v>117900</v>
      </c>
      <c r="V3" s="23">
        <v>120787</v>
      </c>
      <c r="W3" s="23">
        <v>122478</v>
      </c>
      <c r="X3" s="23">
        <v>118723</v>
      </c>
      <c r="Y3" s="23">
        <v>125257</v>
      </c>
      <c r="Z3" s="23">
        <v>134505</v>
      </c>
      <c r="AA3" s="23">
        <v>140246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119325</v>
      </c>
      <c r="E4" s="27">
        <v>127287</v>
      </c>
      <c r="F4" s="27">
        <v>130172</v>
      </c>
      <c r="G4" s="27">
        <v>132388</v>
      </c>
      <c r="H4" s="27">
        <v>139016</v>
      </c>
      <c r="I4" s="27">
        <v>143900</v>
      </c>
      <c r="J4" s="27">
        <v>150722</v>
      </c>
      <c r="K4" s="27">
        <v>164129</v>
      </c>
      <c r="L4" s="27">
        <v>170928</v>
      </c>
      <c r="M4" s="27">
        <v>159054</v>
      </c>
      <c r="N4" s="27">
        <v>164666</v>
      </c>
      <c r="O4" s="27">
        <v>171239</v>
      </c>
      <c r="P4" s="27">
        <v>173004</v>
      </c>
      <c r="Q4" s="27">
        <v>175160</v>
      </c>
      <c r="R4" s="27">
        <v>177368</v>
      </c>
      <c r="S4" s="27">
        <v>181406</v>
      </c>
      <c r="T4" s="27">
        <v>185593</v>
      </c>
      <c r="U4" s="27">
        <v>194113</v>
      </c>
      <c r="V4" s="27">
        <v>199751</v>
      </c>
      <c r="W4" s="27">
        <v>205950</v>
      </c>
      <c r="X4" s="27">
        <v>204507</v>
      </c>
      <c r="Y4" s="27">
        <v>215307</v>
      </c>
      <c r="Z4" s="27">
        <v>231139</v>
      </c>
      <c r="AA4" s="27">
        <v>238964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4030</v>
      </c>
      <c r="E6" s="19">
        <v>3998</v>
      </c>
      <c r="F6" s="19">
        <v>3968</v>
      </c>
      <c r="G6" s="19">
        <v>3848</v>
      </c>
      <c r="H6" s="19">
        <v>3778</v>
      </c>
      <c r="I6" s="19">
        <v>3752</v>
      </c>
      <c r="J6" s="19">
        <v>3460</v>
      </c>
      <c r="K6" s="19">
        <v>4453</v>
      </c>
      <c r="L6" s="19">
        <v>4284</v>
      </c>
      <c r="M6" s="19">
        <v>4096</v>
      </c>
      <c r="N6" s="19">
        <v>4453</v>
      </c>
      <c r="O6" s="19">
        <v>4465</v>
      </c>
      <c r="P6" s="19">
        <v>4385</v>
      </c>
      <c r="Q6" s="19">
        <v>4501</v>
      </c>
      <c r="R6" s="19">
        <v>4565</v>
      </c>
      <c r="S6" s="19">
        <v>4331</v>
      </c>
      <c r="T6" s="19">
        <v>4508</v>
      </c>
      <c r="U6" s="19">
        <v>4647</v>
      </c>
      <c r="V6" s="19">
        <v>4903</v>
      </c>
      <c r="W6" s="19">
        <v>5223</v>
      </c>
      <c r="X6" s="19">
        <v>5296</v>
      </c>
      <c r="Y6" s="19">
        <v>5371</v>
      </c>
      <c r="Z6" s="19">
        <v>5965</v>
      </c>
      <c r="AA6" s="19">
        <v>6379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35758</v>
      </c>
      <c r="E7" s="23">
        <v>37293</v>
      </c>
      <c r="F7" s="23">
        <v>37455</v>
      </c>
      <c r="G7" s="23">
        <v>37158</v>
      </c>
      <c r="H7" s="23">
        <v>38303</v>
      </c>
      <c r="I7" s="23">
        <v>38918</v>
      </c>
      <c r="J7" s="23">
        <v>42382</v>
      </c>
      <c r="K7" s="23">
        <v>46335</v>
      </c>
      <c r="L7" s="23">
        <v>45607</v>
      </c>
      <c r="M7" s="23">
        <v>35904</v>
      </c>
      <c r="N7" s="23">
        <v>38543</v>
      </c>
      <c r="O7" s="23">
        <v>38423</v>
      </c>
      <c r="P7" s="23">
        <v>35400</v>
      </c>
      <c r="Q7" s="23">
        <v>36084</v>
      </c>
      <c r="R7" s="23">
        <v>36389</v>
      </c>
      <c r="S7" s="23">
        <v>37511</v>
      </c>
      <c r="T7" s="23">
        <v>38109</v>
      </c>
      <c r="U7" s="23">
        <v>41350</v>
      </c>
      <c r="V7" s="23">
        <v>41368</v>
      </c>
      <c r="W7" s="23">
        <v>42628</v>
      </c>
      <c r="X7" s="23">
        <v>41902</v>
      </c>
      <c r="Y7" s="23">
        <v>45358</v>
      </c>
      <c r="Z7" s="23">
        <v>51804</v>
      </c>
      <c r="AA7" s="23">
        <v>49112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7344</v>
      </c>
      <c r="E8" s="23">
        <v>7464</v>
      </c>
      <c r="F8" s="23">
        <v>7254</v>
      </c>
      <c r="G8" s="23">
        <v>7652</v>
      </c>
      <c r="H8" s="23">
        <v>8329</v>
      </c>
      <c r="I8" s="23">
        <v>9256</v>
      </c>
      <c r="J8" s="23">
        <v>9904</v>
      </c>
      <c r="K8" s="23">
        <v>11040</v>
      </c>
      <c r="L8" s="23">
        <v>11824</v>
      </c>
      <c r="M8" s="23">
        <v>10733</v>
      </c>
      <c r="N8" s="23">
        <v>10724</v>
      </c>
      <c r="O8" s="23">
        <v>11068</v>
      </c>
      <c r="P8" s="23">
        <v>11406</v>
      </c>
      <c r="Q8" s="23">
        <v>11327</v>
      </c>
      <c r="R8" s="23">
        <v>11085</v>
      </c>
      <c r="S8" s="23">
        <v>11472</v>
      </c>
      <c r="T8" s="23">
        <v>12534</v>
      </c>
      <c r="U8" s="23">
        <v>13637</v>
      </c>
      <c r="V8" s="23">
        <v>14546</v>
      </c>
      <c r="W8" s="23">
        <v>14966</v>
      </c>
      <c r="X8" s="23">
        <v>15368</v>
      </c>
      <c r="Y8" s="23">
        <v>14924</v>
      </c>
      <c r="Z8" s="23">
        <v>15211</v>
      </c>
      <c r="AA8" s="23">
        <v>14925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19924</v>
      </c>
      <c r="E9" s="23">
        <v>21798</v>
      </c>
      <c r="F9" s="23">
        <v>22442</v>
      </c>
      <c r="G9" s="23">
        <v>22611</v>
      </c>
      <c r="H9" s="23">
        <v>23796</v>
      </c>
      <c r="I9" s="23">
        <v>24591</v>
      </c>
      <c r="J9" s="23">
        <v>24548</v>
      </c>
      <c r="K9" s="23">
        <v>26545</v>
      </c>
      <c r="L9" s="23">
        <v>28227</v>
      </c>
      <c r="M9" s="23">
        <v>26021</v>
      </c>
      <c r="N9" s="23">
        <v>26562</v>
      </c>
      <c r="O9" s="23">
        <v>28342</v>
      </c>
      <c r="P9" s="23">
        <v>29545</v>
      </c>
      <c r="Q9" s="23">
        <v>29003</v>
      </c>
      <c r="R9" s="23">
        <v>28489</v>
      </c>
      <c r="S9" s="23">
        <v>28755</v>
      </c>
      <c r="T9" s="23">
        <v>28791</v>
      </c>
      <c r="U9" s="23">
        <v>30101</v>
      </c>
      <c r="V9" s="23">
        <v>30505</v>
      </c>
      <c r="W9" s="23">
        <v>31226</v>
      </c>
      <c r="X9" s="23">
        <v>28806</v>
      </c>
      <c r="Y9" s="23">
        <v>29882</v>
      </c>
      <c r="Z9" s="23">
        <v>32682</v>
      </c>
      <c r="AA9" s="23">
        <v>34688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5735</v>
      </c>
      <c r="E10" s="23">
        <v>6858</v>
      </c>
      <c r="F10" s="23">
        <v>7324</v>
      </c>
      <c r="G10" s="23">
        <v>7196</v>
      </c>
      <c r="H10" s="23">
        <v>7811</v>
      </c>
      <c r="I10" s="23">
        <v>7190</v>
      </c>
      <c r="J10" s="23">
        <v>7139</v>
      </c>
      <c r="K10" s="23">
        <v>7933</v>
      </c>
      <c r="L10" s="23">
        <v>8219</v>
      </c>
      <c r="M10" s="23">
        <v>8087</v>
      </c>
      <c r="N10" s="23">
        <v>8208</v>
      </c>
      <c r="O10" s="23">
        <v>8573</v>
      </c>
      <c r="P10" s="23">
        <v>8949</v>
      </c>
      <c r="Q10" s="23">
        <v>9295</v>
      </c>
      <c r="R10" s="23">
        <v>9820</v>
      </c>
      <c r="S10" s="23">
        <v>10285</v>
      </c>
      <c r="T10" s="23">
        <v>10679</v>
      </c>
      <c r="U10" s="23">
        <v>11332</v>
      </c>
      <c r="V10" s="23">
        <v>11711</v>
      </c>
      <c r="W10" s="23">
        <v>12305</v>
      </c>
      <c r="X10" s="23">
        <v>12670</v>
      </c>
      <c r="Y10" s="23">
        <v>13796</v>
      </c>
      <c r="Z10" s="23">
        <v>14064</v>
      </c>
      <c r="AA10" s="23">
        <v>15062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3936</v>
      </c>
      <c r="E11" s="23">
        <v>4214</v>
      </c>
      <c r="F11" s="23">
        <v>3726</v>
      </c>
      <c r="G11" s="23">
        <v>3503</v>
      </c>
      <c r="H11" s="23">
        <v>3769</v>
      </c>
      <c r="I11" s="23">
        <v>4127</v>
      </c>
      <c r="J11" s="23">
        <v>4499</v>
      </c>
      <c r="K11" s="23">
        <v>5174</v>
      </c>
      <c r="L11" s="23">
        <v>4939</v>
      </c>
      <c r="M11" s="23">
        <v>4911</v>
      </c>
      <c r="N11" s="23">
        <v>4676</v>
      </c>
      <c r="O11" s="23">
        <v>4897</v>
      </c>
      <c r="P11" s="23">
        <v>4984</v>
      </c>
      <c r="Q11" s="23">
        <v>4863</v>
      </c>
      <c r="R11" s="23">
        <v>5759</v>
      </c>
      <c r="S11" s="23">
        <v>5832</v>
      </c>
      <c r="T11" s="23">
        <v>6173</v>
      </c>
      <c r="U11" s="23">
        <v>6516</v>
      </c>
      <c r="V11" s="23">
        <v>6536</v>
      </c>
      <c r="W11" s="23">
        <v>6028</v>
      </c>
      <c r="X11" s="23">
        <v>6175</v>
      </c>
      <c r="Y11" s="23">
        <v>7046</v>
      </c>
      <c r="Z11" s="23">
        <v>8100</v>
      </c>
      <c r="AA11" s="23">
        <v>10078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11275</v>
      </c>
      <c r="E12" s="23">
        <v>11989</v>
      </c>
      <c r="F12" s="23">
        <v>12778</v>
      </c>
      <c r="G12" s="23">
        <v>13500</v>
      </c>
      <c r="H12" s="23">
        <v>14138</v>
      </c>
      <c r="I12" s="23">
        <v>14680</v>
      </c>
      <c r="J12" s="23">
        <v>15288</v>
      </c>
      <c r="K12" s="23">
        <v>16097</v>
      </c>
      <c r="L12" s="23">
        <v>17462</v>
      </c>
      <c r="M12" s="23">
        <v>17904</v>
      </c>
      <c r="N12" s="23">
        <v>18376</v>
      </c>
      <c r="O12" s="23">
        <v>19578</v>
      </c>
      <c r="P12" s="23">
        <v>20113</v>
      </c>
      <c r="Q12" s="23">
        <v>20896</v>
      </c>
      <c r="R12" s="23">
        <v>21714</v>
      </c>
      <c r="S12" s="23">
        <v>22961</v>
      </c>
      <c r="T12" s="23">
        <v>23788</v>
      </c>
      <c r="U12" s="23">
        <v>24593</v>
      </c>
      <c r="V12" s="23">
        <v>25664</v>
      </c>
      <c r="W12" s="23">
        <v>26501</v>
      </c>
      <c r="X12" s="23">
        <v>27287</v>
      </c>
      <c r="Y12" s="23">
        <v>28221</v>
      </c>
      <c r="Z12" s="23">
        <v>28892</v>
      </c>
      <c r="AA12" s="23">
        <v>29943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6613</v>
      </c>
      <c r="E13" s="23">
        <v>7368</v>
      </c>
      <c r="F13" s="23">
        <v>7666</v>
      </c>
      <c r="G13" s="23">
        <v>8044</v>
      </c>
      <c r="H13" s="23">
        <v>8762</v>
      </c>
      <c r="I13" s="23">
        <v>9454</v>
      </c>
      <c r="J13" s="23">
        <v>10277</v>
      </c>
      <c r="K13" s="23">
        <v>11575</v>
      </c>
      <c r="L13" s="23">
        <v>12947</v>
      </c>
      <c r="M13" s="23">
        <v>12557</v>
      </c>
      <c r="N13" s="23">
        <v>13070</v>
      </c>
      <c r="O13" s="23">
        <v>14044</v>
      </c>
      <c r="P13" s="23">
        <v>14605</v>
      </c>
      <c r="Q13" s="23">
        <v>14799</v>
      </c>
      <c r="R13" s="23">
        <v>14863</v>
      </c>
      <c r="S13" s="23">
        <v>15091</v>
      </c>
      <c r="T13" s="23">
        <v>15605</v>
      </c>
      <c r="U13" s="23">
        <v>16779</v>
      </c>
      <c r="V13" s="23">
        <v>18020</v>
      </c>
      <c r="W13" s="23">
        <v>18998</v>
      </c>
      <c r="X13" s="23">
        <v>18558</v>
      </c>
      <c r="Y13" s="23">
        <v>19533</v>
      </c>
      <c r="Z13" s="23">
        <v>20755</v>
      </c>
      <c r="AA13" s="23">
        <v>21219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21792</v>
      </c>
      <c r="E14" s="23">
        <v>23166</v>
      </c>
      <c r="F14" s="23">
        <v>24280</v>
      </c>
      <c r="G14" s="23">
        <v>25446</v>
      </c>
      <c r="H14" s="23">
        <v>26697</v>
      </c>
      <c r="I14" s="23">
        <v>28089</v>
      </c>
      <c r="J14" s="23">
        <v>29111</v>
      </c>
      <c r="K14" s="23">
        <v>30621</v>
      </c>
      <c r="L14" s="23">
        <v>32724</v>
      </c>
      <c r="M14" s="23">
        <v>33916</v>
      </c>
      <c r="N14" s="23">
        <v>34930</v>
      </c>
      <c r="O14" s="23">
        <v>36504</v>
      </c>
      <c r="P14" s="23">
        <v>38143</v>
      </c>
      <c r="Q14" s="23">
        <v>38820</v>
      </c>
      <c r="R14" s="23">
        <v>39079</v>
      </c>
      <c r="S14" s="23">
        <v>39471</v>
      </c>
      <c r="T14" s="23">
        <v>39595</v>
      </c>
      <c r="U14" s="23">
        <v>39210</v>
      </c>
      <c r="V14" s="23">
        <v>40383</v>
      </c>
      <c r="W14" s="23">
        <v>41667</v>
      </c>
      <c r="X14" s="23">
        <v>42394</v>
      </c>
      <c r="Y14" s="23">
        <v>44872</v>
      </c>
      <c r="Z14" s="23">
        <v>46983</v>
      </c>
      <c r="AA14" s="23">
        <v>50444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2918</v>
      </c>
      <c r="E15" s="23">
        <v>3139</v>
      </c>
      <c r="F15" s="23">
        <v>3279</v>
      </c>
      <c r="G15" s="23">
        <v>3430</v>
      </c>
      <c r="H15" s="23">
        <v>3633</v>
      </c>
      <c r="I15" s="23">
        <v>3843</v>
      </c>
      <c r="J15" s="23">
        <v>4114</v>
      </c>
      <c r="K15" s="23">
        <v>4356</v>
      </c>
      <c r="L15" s="23">
        <v>4695</v>
      </c>
      <c r="M15" s="23">
        <v>4925</v>
      </c>
      <c r="N15" s="23">
        <v>5124</v>
      </c>
      <c r="O15" s="23">
        <v>5345</v>
      </c>
      <c r="P15" s="23">
        <v>5474</v>
      </c>
      <c r="Q15" s="23">
        <v>5572</v>
      </c>
      <c r="R15" s="23">
        <v>5605</v>
      </c>
      <c r="S15" s="23">
        <v>5697</v>
      </c>
      <c r="T15" s="23">
        <v>5811</v>
      </c>
      <c r="U15" s="23">
        <v>5948</v>
      </c>
      <c r="V15" s="23">
        <v>6115</v>
      </c>
      <c r="W15" s="23">
        <v>6408</v>
      </c>
      <c r="X15" s="23">
        <v>6051</v>
      </c>
      <c r="Y15" s="23">
        <v>6304</v>
      </c>
      <c r="Z15" s="23">
        <v>6683</v>
      </c>
      <c r="AA15" s="23">
        <v>7114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119325</v>
      </c>
      <c r="E16" s="30">
        <f t="shared" ref="E16:Y16" si="0">SUM(E6:E15)</f>
        <v>127287</v>
      </c>
      <c r="F16" s="30">
        <f t="shared" si="0"/>
        <v>130172</v>
      </c>
      <c r="G16" s="30">
        <f t="shared" si="0"/>
        <v>132388</v>
      </c>
      <c r="H16" s="30">
        <f t="shared" si="0"/>
        <v>139016</v>
      </c>
      <c r="I16" s="30">
        <f t="shared" si="0"/>
        <v>143900</v>
      </c>
      <c r="J16" s="30">
        <f t="shared" si="0"/>
        <v>150722</v>
      </c>
      <c r="K16" s="30">
        <f t="shared" si="0"/>
        <v>164129</v>
      </c>
      <c r="L16" s="30">
        <f t="shared" si="0"/>
        <v>170928</v>
      </c>
      <c r="M16" s="30">
        <f t="shared" si="0"/>
        <v>159054</v>
      </c>
      <c r="N16" s="30">
        <f t="shared" si="0"/>
        <v>164666</v>
      </c>
      <c r="O16" s="30">
        <f t="shared" si="0"/>
        <v>171239</v>
      </c>
      <c r="P16" s="30">
        <f t="shared" si="0"/>
        <v>173004</v>
      </c>
      <c r="Q16" s="30">
        <f t="shared" si="0"/>
        <v>175160</v>
      </c>
      <c r="R16" s="30">
        <f t="shared" si="0"/>
        <v>177368</v>
      </c>
      <c r="S16" s="30">
        <f t="shared" si="0"/>
        <v>181406</v>
      </c>
      <c r="T16" s="30">
        <f t="shared" si="0"/>
        <v>185593</v>
      </c>
      <c r="U16" s="30">
        <f t="shared" si="0"/>
        <v>194113</v>
      </c>
      <c r="V16" s="30">
        <f t="shared" si="0"/>
        <v>199751</v>
      </c>
      <c r="W16" s="30">
        <f t="shared" si="0"/>
        <v>205950</v>
      </c>
      <c r="X16" s="30">
        <f t="shared" si="0"/>
        <v>204507</v>
      </c>
      <c r="Y16" s="30">
        <f t="shared" si="0"/>
        <v>215307</v>
      </c>
      <c r="Z16" s="30">
        <f t="shared" ref="Z16:AA16" si="1">SUM(Z6:Z15)</f>
        <v>231139</v>
      </c>
      <c r="AA16" s="30">
        <f t="shared" si="1"/>
        <v>238964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4030</v>
      </c>
      <c r="E18" s="19">
        <v>3998</v>
      </c>
      <c r="F18" s="19">
        <v>3968</v>
      </c>
      <c r="G18" s="19">
        <v>3848</v>
      </c>
      <c r="H18" s="19">
        <v>3778</v>
      </c>
      <c r="I18" s="19">
        <v>3752</v>
      </c>
      <c r="J18" s="19">
        <v>3460</v>
      </c>
      <c r="K18" s="19">
        <v>4453</v>
      </c>
      <c r="L18" s="19">
        <v>4284</v>
      </c>
      <c r="M18" s="19">
        <v>4096</v>
      </c>
      <c r="N18" s="19">
        <v>4453</v>
      </c>
      <c r="O18" s="19">
        <v>4465</v>
      </c>
      <c r="P18" s="19">
        <v>4385</v>
      </c>
      <c r="Q18" s="19">
        <v>4501</v>
      </c>
      <c r="R18" s="19">
        <v>4565</v>
      </c>
      <c r="S18" s="19">
        <v>4331</v>
      </c>
      <c r="T18" s="19">
        <v>4508</v>
      </c>
      <c r="U18" s="19">
        <v>4647</v>
      </c>
      <c r="V18" s="19">
        <v>4903</v>
      </c>
      <c r="W18" s="19">
        <v>5223</v>
      </c>
      <c r="X18" s="19">
        <v>5296</v>
      </c>
      <c r="Y18" s="19">
        <v>5371</v>
      </c>
      <c r="Z18" s="19">
        <v>5965</v>
      </c>
      <c r="AA18" s="19">
        <v>6379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283</v>
      </c>
      <c r="E19" s="23">
        <v>330</v>
      </c>
      <c r="F19" s="23">
        <v>350</v>
      </c>
      <c r="G19" s="23">
        <v>375</v>
      </c>
      <c r="H19" s="23">
        <v>388</v>
      </c>
      <c r="I19" s="23">
        <v>385</v>
      </c>
      <c r="J19" s="23">
        <v>523</v>
      </c>
      <c r="K19" s="23">
        <v>564</v>
      </c>
      <c r="L19" s="23">
        <v>669</v>
      </c>
      <c r="M19" s="23">
        <v>623</v>
      </c>
      <c r="N19" s="23">
        <v>774</v>
      </c>
      <c r="O19" s="23">
        <v>771.99999999999989</v>
      </c>
      <c r="P19" s="23">
        <v>770.99999999999989</v>
      </c>
      <c r="Q19" s="23">
        <v>556</v>
      </c>
      <c r="R19" s="23">
        <v>504</v>
      </c>
      <c r="S19" s="23">
        <v>602</v>
      </c>
      <c r="T19" s="23">
        <v>636</v>
      </c>
      <c r="U19" s="23">
        <v>902</v>
      </c>
      <c r="V19" s="23">
        <v>949</v>
      </c>
      <c r="W19" s="23">
        <v>819</v>
      </c>
      <c r="X19" s="23">
        <v>964</v>
      </c>
      <c r="Y19" s="23">
        <v>1049</v>
      </c>
      <c r="Z19" s="23">
        <v>1100</v>
      </c>
      <c r="AA19" s="23">
        <v>1049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32951</v>
      </c>
      <c r="E20" s="23">
        <v>34135</v>
      </c>
      <c r="F20" s="23">
        <v>33955</v>
      </c>
      <c r="G20" s="23">
        <v>33305</v>
      </c>
      <c r="H20" s="23">
        <v>34201</v>
      </c>
      <c r="I20" s="23">
        <v>34939</v>
      </c>
      <c r="J20" s="23">
        <v>37710</v>
      </c>
      <c r="K20" s="23">
        <v>41399</v>
      </c>
      <c r="L20" s="23">
        <v>40386</v>
      </c>
      <c r="M20" s="23">
        <v>30295</v>
      </c>
      <c r="N20" s="23">
        <v>32059</v>
      </c>
      <c r="O20" s="23">
        <v>32327</v>
      </c>
      <c r="P20" s="23">
        <v>29246</v>
      </c>
      <c r="Q20" s="23">
        <v>29799</v>
      </c>
      <c r="R20" s="23">
        <v>30060</v>
      </c>
      <c r="S20" s="23">
        <v>31195</v>
      </c>
      <c r="T20" s="23">
        <v>31813</v>
      </c>
      <c r="U20" s="23">
        <v>34547</v>
      </c>
      <c r="V20" s="23">
        <v>34299</v>
      </c>
      <c r="W20" s="23">
        <v>35091</v>
      </c>
      <c r="X20" s="23">
        <v>34331</v>
      </c>
      <c r="Y20" s="23">
        <v>37166</v>
      </c>
      <c r="Z20" s="23">
        <v>41930</v>
      </c>
      <c r="AA20" s="23">
        <v>39456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1741.0000000000002</v>
      </c>
      <c r="E21" s="23">
        <v>2013</v>
      </c>
      <c r="F21" s="23">
        <v>2349</v>
      </c>
      <c r="G21" s="23">
        <v>2625</v>
      </c>
      <c r="H21" s="23">
        <v>2825</v>
      </c>
      <c r="I21" s="23">
        <v>2653</v>
      </c>
      <c r="J21" s="23">
        <v>3100</v>
      </c>
      <c r="K21" s="23">
        <v>3271</v>
      </c>
      <c r="L21" s="23">
        <v>3337</v>
      </c>
      <c r="M21" s="23">
        <v>3693</v>
      </c>
      <c r="N21" s="23">
        <v>4215</v>
      </c>
      <c r="O21" s="23">
        <v>3818</v>
      </c>
      <c r="P21" s="23">
        <v>3840</v>
      </c>
      <c r="Q21" s="23">
        <v>4118</v>
      </c>
      <c r="R21" s="23">
        <v>4144</v>
      </c>
      <c r="S21" s="23">
        <v>3993</v>
      </c>
      <c r="T21" s="23">
        <v>3892.0000000000005</v>
      </c>
      <c r="U21" s="23">
        <v>4152</v>
      </c>
      <c r="V21" s="23">
        <v>4339</v>
      </c>
      <c r="W21" s="23">
        <v>4936</v>
      </c>
      <c r="X21" s="23">
        <v>4780</v>
      </c>
      <c r="Y21" s="23">
        <v>5090</v>
      </c>
      <c r="Z21" s="23">
        <v>6729</v>
      </c>
      <c r="AA21" s="23">
        <v>6719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783.00000000000011</v>
      </c>
      <c r="E22" s="23">
        <v>815</v>
      </c>
      <c r="F22" s="23">
        <v>801</v>
      </c>
      <c r="G22" s="23">
        <v>853</v>
      </c>
      <c r="H22" s="23">
        <v>889</v>
      </c>
      <c r="I22" s="23">
        <v>941</v>
      </c>
      <c r="J22" s="23">
        <v>1049</v>
      </c>
      <c r="K22" s="23">
        <v>1101</v>
      </c>
      <c r="L22" s="23">
        <v>1215</v>
      </c>
      <c r="M22" s="23">
        <v>1293</v>
      </c>
      <c r="N22" s="23">
        <v>1495</v>
      </c>
      <c r="O22" s="23">
        <v>1506</v>
      </c>
      <c r="P22" s="23">
        <v>1543</v>
      </c>
      <c r="Q22" s="23">
        <v>1611</v>
      </c>
      <c r="R22" s="23">
        <v>1681</v>
      </c>
      <c r="S22" s="23">
        <v>1721</v>
      </c>
      <c r="T22" s="23">
        <v>1768</v>
      </c>
      <c r="U22" s="23">
        <v>1748.9999999999998</v>
      </c>
      <c r="V22" s="23">
        <v>1781</v>
      </c>
      <c r="W22" s="23">
        <v>1782</v>
      </c>
      <c r="X22" s="23">
        <v>1827</v>
      </c>
      <c r="Y22" s="23">
        <v>2053</v>
      </c>
      <c r="Z22" s="23">
        <v>2045</v>
      </c>
      <c r="AA22" s="23">
        <v>1888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7344</v>
      </c>
      <c r="E23" s="23">
        <v>7464</v>
      </c>
      <c r="F23" s="23">
        <v>7254</v>
      </c>
      <c r="G23" s="23">
        <v>7652</v>
      </c>
      <c r="H23" s="23">
        <v>8329</v>
      </c>
      <c r="I23" s="23">
        <v>9256</v>
      </c>
      <c r="J23" s="23">
        <v>9904</v>
      </c>
      <c r="K23" s="23">
        <v>11040</v>
      </c>
      <c r="L23" s="23">
        <v>11824</v>
      </c>
      <c r="M23" s="23">
        <v>10733</v>
      </c>
      <c r="N23" s="23">
        <v>10724</v>
      </c>
      <c r="O23" s="23">
        <v>11068</v>
      </c>
      <c r="P23" s="23">
        <v>11406</v>
      </c>
      <c r="Q23" s="23">
        <v>11327</v>
      </c>
      <c r="R23" s="23">
        <v>11085</v>
      </c>
      <c r="S23" s="23">
        <v>11472</v>
      </c>
      <c r="T23" s="23">
        <v>12534</v>
      </c>
      <c r="U23" s="23">
        <v>13637</v>
      </c>
      <c r="V23" s="23">
        <v>14546</v>
      </c>
      <c r="W23" s="23">
        <v>14966</v>
      </c>
      <c r="X23" s="23">
        <v>15368</v>
      </c>
      <c r="Y23" s="23">
        <v>14924</v>
      </c>
      <c r="Z23" s="23">
        <v>15211</v>
      </c>
      <c r="AA23" s="23">
        <v>14925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11034</v>
      </c>
      <c r="E24" s="23">
        <v>12018</v>
      </c>
      <c r="F24" s="23">
        <v>12563</v>
      </c>
      <c r="G24" s="23">
        <v>12735</v>
      </c>
      <c r="H24" s="23">
        <v>13618</v>
      </c>
      <c r="I24" s="23">
        <v>14127</v>
      </c>
      <c r="J24" s="23">
        <v>14100</v>
      </c>
      <c r="K24" s="23">
        <v>15319</v>
      </c>
      <c r="L24" s="23">
        <v>16696</v>
      </c>
      <c r="M24" s="23">
        <v>15291</v>
      </c>
      <c r="N24" s="23">
        <v>15427</v>
      </c>
      <c r="O24" s="23">
        <v>16773</v>
      </c>
      <c r="P24" s="23">
        <v>17543</v>
      </c>
      <c r="Q24" s="23">
        <v>17306</v>
      </c>
      <c r="R24" s="23">
        <v>16805</v>
      </c>
      <c r="S24" s="23">
        <v>16857</v>
      </c>
      <c r="T24" s="23">
        <v>16803</v>
      </c>
      <c r="U24" s="23">
        <v>17534</v>
      </c>
      <c r="V24" s="23">
        <v>17777</v>
      </c>
      <c r="W24" s="23">
        <v>17939</v>
      </c>
      <c r="X24" s="23">
        <v>18421</v>
      </c>
      <c r="Y24" s="23">
        <v>19070</v>
      </c>
      <c r="Z24" s="23">
        <v>19579</v>
      </c>
      <c r="AA24" s="23">
        <v>20447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7356</v>
      </c>
      <c r="E25" s="23">
        <v>7949</v>
      </c>
      <c r="F25" s="23">
        <v>7997</v>
      </c>
      <c r="G25" s="23">
        <v>7949</v>
      </c>
      <c r="H25" s="23">
        <v>8026</v>
      </c>
      <c r="I25" s="23">
        <v>8193</v>
      </c>
      <c r="J25" s="23">
        <v>8057</v>
      </c>
      <c r="K25" s="23">
        <v>8649</v>
      </c>
      <c r="L25" s="23">
        <v>8835</v>
      </c>
      <c r="M25" s="23">
        <v>8136</v>
      </c>
      <c r="N25" s="23">
        <v>8462</v>
      </c>
      <c r="O25" s="23">
        <v>8769</v>
      </c>
      <c r="P25" s="23">
        <v>9054</v>
      </c>
      <c r="Q25" s="23">
        <v>8943</v>
      </c>
      <c r="R25" s="23">
        <v>8885</v>
      </c>
      <c r="S25" s="23">
        <v>8983</v>
      </c>
      <c r="T25" s="23">
        <v>8912</v>
      </c>
      <c r="U25" s="23">
        <v>9217</v>
      </c>
      <c r="V25" s="23">
        <v>9250</v>
      </c>
      <c r="W25" s="23">
        <v>9638</v>
      </c>
      <c r="X25" s="23">
        <v>7835</v>
      </c>
      <c r="Y25" s="23">
        <v>8250</v>
      </c>
      <c r="Z25" s="23">
        <v>9524</v>
      </c>
      <c r="AA25" s="23">
        <v>10129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1534</v>
      </c>
      <c r="E26" s="23">
        <v>1831</v>
      </c>
      <c r="F26" s="23">
        <v>1882</v>
      </c>
      <c r="G26" s="23">
        <v>1927</v>
      </c>
      <c r="H26" s="23">
        <v>2152</v>
      </c>
      <c r="I26" s="23">
        <v>2271</v>
      </c>
      <c r="J26" s="23">
        <v>2391</v>
      </c>
      <c r="K26" s="23">
        <v>2577</v>
      </c>
      <c r="L26" s="23">
        <v>2696</v>
      </c>
      <c r="M26" s="23">
        <v>2594</v>
      </c>
      <c r="N26" s="23">
        <v>2673</v>
      </c>
      <c r="O26" s="23">
        <v>2800</v>
      </c>
      <c r="P26" s="23">
        <v>2948</v>
      </c>
      <c r="Q26" s="23">
        <v>2754</v>
      </c>
      <c r="R26" s="23">
        <v>2799</v>
      </c>
      <c r="S26" s="23">
        <v>2915</v>
      </c>
      <c r="T26" s="23">
        <v>3076</v>
      </c>
      <c r="U26" s="23">
        <v>3350</v>
      </c>
      <c r="V26" s="23">
        <v>3478</v>
      </c>
      <c r="W26" s="23">
        <v>3649</v>
      </c>
      <c r="X26" s="23">
        <v>2550</v>
      </c>
      <c r="Y26" s="23">
        <v>2562</v>
      </c>
      <c r="Z26" s="23">
        <v>3579</v>
      </c>
      <c r="AA26" s="23">
        <v>4112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5735</v>
      </c>
      <c r="E27" s="23">
        <v>6858</v>
      </c>
      <c r="F27" s="23">
        <v>7324</v>
      </c>
      <c r="G27" s="23">
        <v>7196</v>
      </c>
      <c r="H27" s="23">
        <v>7811</v>
      </c>
      <c r="I27" s="23">
        <v>7190</v>
      </c>
      <c r="J27" s="23">
        <v>7139</v>
      </c>
      <c r="K27" s="23">
        <v>7933</v>
      </c>
      <c r="L27" s="23">
        <v>8219</v>
      </c>
      <c r="M27" s="23">
        <v>8087</v>
      </c>
      <c r="N27" s="23">
        <v>8208</v>
      </c>
      <c r="O27" s="23">
        <v>8573</v>
      </c>
      <c r="P27" s="23">
        <v>8949</v>
      </c>
      <c r="Q27" s="23">
        <v>9295</v>
      </c>
      <c r="R27" s="23">
        <v>9820</v>
      </c>
      <c r="S27" s="23">
        <v>10285</v>
      </c>
      <c r="T27" s="23">
        <v>10679</v>
      </c>
      <c r="U27" s="23">
        <v>11332</v>
      </c>
      <c r="V27" s="23">
        <v>11711</v>
      </c>
      <c r="W27" s="23">
        <v>12305</v>
      </c>
      <c r="X27" s="23">
        <v>12670</v>
      </c>
      <c r="Y27" s="23">
        <v>13796</v>
      </c>
      <c r="Z27" s="23">
        <v>14064</v>
      </c>
      <c r="AA27" s="23">
        <v>15062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3936</v>
      </c>
      <c r="E28" s="23">
        <v>4214</v>
      </c>
      <c r="F28" s="23">
        <v>3726</v>
      </c>
      <c r="G28" s="23">
        <v>3503</v>
      </c>
      <c r="H28" s="23">
        <v>3769</v>
      </c>
      <c r="I28" s="23">
        <v>4127</v>
      </c>
      <c r="J28" s="23">
        <v>4499</v>
      </c>
      <c r="K28" s="23">
        <v>5174</v>
      </c>
      <c r="L28" s="23">
        <v>4939</v>
      </c>
      <c r="M28" s="23">
        <v>4911</v>
      </c>
      <c r="N28" s="23">
        <v>4676</v>
      </c>
      <c r="O28" s="23">
        <v>4897</v>
      </c>
      <c r="P28" s="23">
        <v>4984</v>
      </c>
      <c r="Q28" s="23">
        <v>4863</v>
      </c>
      <c r="R28" s="23">
        <v>5759</v>
      </c>
      <c r="S28" s="23">
        <v>5832</v>
      </c>
      <c r="T28" s="23">
        <v>6173</v>
      </c>
      <c r="U28" s="23">
        <v>6516</v>
      </c>
      <c r="V28" s="23">
        <v>6536</v>
      </c>
      <c r="W28" s="23">
        <v>6028</v>
      </c>
      <c r="X28" s="23">
        <v>6175</v>
      </c>
      <c r="Y28" s="23">
        <v>7046</v>
      </c>
      <c r="Z28" s="23">
        <v>8100</v>
      </c>
      <c r="AA28" s="23">
        <v>10078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11275</v>
      </c>
      <c r="E29" s="23">
        <v>11989</v>
      </c>
      <c r="F29" s="23">
        <v>12778</v>
      </c>
      <c r="G29" s="23">
        <v>13500</v>
      </c>
      <c r="H29" s="23">
        <v>14138</v>
      </c>
      <c r="I29" s="23">
        <v>14680</v>
      </c>
      <c r="J29" s="23">
        <v>15288</v>
      </c>
      <c r="K29" s="23">
        <v>16097</v>
      </c>
      <c r="L29" s="23">
        <v>17462</v>
      </c>
      <c r="M29" s="23">
        <v>17904</v>
      </c>
      <c r="N29" s="23">
        <v>18376</v>
      </c>
      <c r="O29" s="23">
        <v>19578</v>
      </c>
      <c r="P29" s="23">
        <v>20113</v>
      </c>
      <c r="Q29" s="23">
        <v>20896</v>
      </c>
      <c r="R29" s="23">
        <v>21714</v>
      </c>
      <c r="S29" s="23">
        <v>22961</v>
      </c>
      <c r="T29" s="23">
        <v>23788</v>
      </c>
      <c r="U29" s="23">
        <v>24593</v>
      </c>
      <c r="V29" s="23">
        <v>25664</v>
      </c>
      <c r="W29" s="23">
        <v>26501</v>
      </c>
      <c r="X29" s="23">
        <v>27287</v>
      </c>
      <c r="Y29" s="23">
        <v>28221</v>
      </c>
      <c r="Z29" s="23">
        <v>28892</v>
      </c>
      <c r="AA29" s="23">
        <v>29943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4454</v>
      </c>
      <c r="E30" s="23">
        <v>4950</v>
      </c>
      <c r="F30" s="23">
        <v>5020</v>
      </c>
      <c r="G30" s="23">
        <v>5248</v>
      </c>
      <c r="H30" s="23">
        <v>5640</v>
      </c>
      <c r="I30" s="23">
        <v>5947</v>
      </c>
      <c r="J30" s="23">
        <v>6370</v>
      </c>
      <c r="K30" s="23">
        <v>7142</v>
      </c>
      <c r="L30" s="23">
        <v>7654</v>
      </c>
      <c r="M30" s="23">
        <v>7525</v>
      </c>
      <c r="N30" s="23">
        <v>7755</v>
      </c>
      <c r="O30" s="23">
        <v>8397</v>
      </c>
      <c r="P30" s="23">
        <v>8774</v>
      </c>
      <c r="Q30" s="23">
        <v>8950</v>
      </c>
      <c r="R30" s="23">
        <v>8893</v>
      </c>
      <c r="S30" s="23">
        <v>9164</v>
      </c>
      <c r="T30" s="23">
        <v>9258</v>
      </c>
      <c r="U30" s="23">
        <v>9809</v>
      </c>
      <c r="V30" s="23">
        <v>10439</v>
      </c>
      <c r="W30" s="23">
        <v>10861</v>
      </c>
      <c r="X30" s="23">
        <v>11018</v>
      </c>
      <c r="Y30" s="23">
        <v>11745</v>
      </c>
      <c r="Z30" s="23">
        <v>12374</v>
      </c>
      <c r="AA30" s="23">
        <v>12620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2159</v>
      </c>
      <c r="E31" s="23">
        <v>2418</v>
      </c>
      <c r="F31" s="23">
        <v>2646</v>
      </c>
      <c r="G31" s="23">
        <v>2796</v>
      </c>
      <c r="H31" s="23">
        <v>3122</v>
      </c>
      <c r="I31" s="23">
        <v>3507</v>
      </c>
      <c r="J31" s="23">
        <v>3907</v>
      </c>
      <c r="K31" s="23">
        <v>4433</v>
      </c>
      <c r="L31" s="23">
        <v>5293</v>
      </c>
      <c r="M31" s="23">
        <v>5032</v>
      </c>
      <c r="N31" s="23">
        <v>5315</v>
      </c>
      <c r="O31" s="23">
        <v>5647</v>
      </c>
      <c r="P31" s="23">
        <v>5831</v>
      </c>
      <c r="Q31" s="23">
        <v>5849</v>
      </c>
      <c r="R31" s="23">
        <v>5970</v>
      </c>
      <c r="S31" s="23">
        <v>5927</v>
      </c>
      <c r="T31" s="23">
        <v>6347</v>
      </c>
      <c r="U31" s="23">
        <v>6970</v>
      </c>
      <c r="V31" s="23">
        <v>7581</v>
      </c>
      <c r="W31" s="23">
        <v>8137</v>
      </c>
      <c r="X31" s="23">
        <v>7540</v>
      </c>
      <c r="Y31" s="23">
        <v>7788</v>
      </c>
      <c r="Z31" s="23">
        <v>8381</v>
      </c>
      <c r="AA31" s="23">
        <v>8599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7039</v>
      </c>
      <c r="E32" s="23">
        <v>7365</v>
      </c>
      <c r="F32" s="23">
        <v>7593</v>
      </c>
      <c r="G32" s="23">
        <v>7938</v>
      </c>
      <c r="H32" s="23">
        <v>8277</v>
      </c>
      <c r="I32" s="23">
        <v>8637</v>
      </c>
      <c r="J32" s="23">
        <v>8957</v>
      </c>
      <c r="K32" s="23">
        <v>9345</v>
      </c>
      <c r="L32" s="23">
        <v>9888</v>
      </c>
      <c r="M32" s="23">
        <v>10075</v>
      </c>
      <c r="N32" s="23">
        <v>10258</v>
      </c>
      <c r="O32" s="23">
        <v>10599</v>
      </c>
      <c r="P32" s="23">
        <v>10897</v>
      </c>
      <c r="Q32" s="23">
        <v>11118</v>
      </c>
      <c r="R32" s="23">
        <v>11128</v>
      </c>
      <c r="S32" s="23">
        <v>10354</v>
      </c>
      <c r="T32" s="23">
        <v>10199</v>
      </c>
      <c r="U32" s="23">
        <v>10019</v>
      </c>
      <c r="V32" s="23">
        <v>10319</v>
      </c>
      <c r="W32" s="23">
        <v>10529</v>
      </c>
      <c r="X32" s="23">
        <v>10635</v>
      </c>
      <c r="Y32" s="23">
        <v>11161</v>
      </c>
      <c r="Z32" s="23">
        <v>11742</v>
      </c>
      <c r="AA32" s="23">
        <v>12237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5992</v>
      </c>
      <c r="E33" s="23">
        <v>6340</v>
      </c>
      <c r="F33" s="23">
        <v>6696</v>
      </c>
      <c r="G33" s="23">
        <v>6993</v>
      </c>
      <c r="H33" s="23">
        <v>7328</v>
      </c>
      <c r="I33" s="23">
        <v>7661</v>
      </c>
      <c r="J33" s="23">
        <v>7841</v>
      </c>
      <c r="K33" s="23">
        <v>8204</v>
      </c>
      <c r="L33" s="23">
        <v>8703</v>
      </c>
      <c r="M33" s="23">
        <v>9042</v>
      </c>
      <c r="N33" s="23">
        <v>9431</v>
      </c>
      <c r="O33" s="23">
        <v>9772</v>
      </c>
      <c r="P33" s="23">
        <v>10125</v>
      </c>
      <c r="Q33" s="23">
        <v>10228</v>
      </c>
      <c r="R33" s="23">
        <v>10275</v>
      </c>
      <c r="S33" s="23">
        <v>10531</v>
      </c>
      <c r="T33" s="23">
        <v>10445</v>
      </c>
      <c r="U33" s="23">
        <v>10288</v>
      </c>
      <c r="V33" s="23">
        <v>10479</v>
      </c>
      <c r="W33" s="23">
        <v>10861</v>
      </c>
      <c r="X33" s="23">
        <v>11012</v>
      </c>
      <c r="Y33" s="23">
        <v>11560</v>
      </c>
      <c r="Z33" s="23">
        <v>12052</v>
      </c>
      <c r="AA33" s="23">
        <v>12989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8761</v>
      </c>
      <c r="E34" s="23">
        <v>9461</v>
      </c>
      <c r="F34" s="23">
        <v>9991</v>
      </c>
      <c r="G34" s="23">
        <v>10515</v>
      </c>
      <c r="H34" s="23">
        <v>11092</v>
      </c>
      <c r="I34" s="23">
        <v>11791</v>
      </c>
      <c r="J34" s="23">
        <v>12313</v>
      </c>
      <c r="K34" s="23">
        <v>13072</v>
      </c>
      <c r="L34" s="23">
        <v>14133</v>
      </c>
      <c r="M34" s="23">
        <v>14799</v>
      </c>
      <c r="N34" s="23">
        <v>15241</v>
      </c>
      <c r="O34" s="23">
        <v>16133</v>
      </c>
      <c r="P34" s="23">
        <v>17121</v>
      </c>
      <c r="Q34" s="23">
        <v>17474</v>
      </c>
      <c r="R34" s="23">
        <v>17676</v>
      </c>
      <c r="S34" s="23">
        <v>18586</v>
      </c>
      <c r="T34" s="23">
        <v>18951</v>
      </c>
      <c r="U34" s="23">
        <v>18903</v>
      </c>
      <c r="V34" s="23">
        <v>19585</v>
      </c>
      <c r="W34" s="23">
        <v>20277</v>
      </c>
      <c r="X34" s="23">
        <v>20747</v>
      </c>
      <c r="Y34" s="23">
        <v>22151</v>
      </c>
      <c r="Z34" s="23">
        <v>23189</v>
      </c>
      <c r="AA34" s="23">
        <v>25218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1243</v>
      </c>
      <c r="E35" s="23">
        <v>1341</v>
      </c>
      <c r="F35" s="23">
        <v>1406</v>
      </c>
      <c r="G35" s="23">
        <v>1474</v>
      </c>
      <c r="H35" s="23">
        <v>1512</v>
      </c>
      <c r="I35" s="23">
        <v>1584</v>
      </c>
      <c r="J35" s="23">
        <v>1673</v>
      </c>
      <c r="K35" s="23">
        <v>1787</v>
      </c>
      <c r="L35" s="23">
        <v>1990</v>
      </c>
      <c r="M35" s="23">
        <v>2011</v>
      </c>
      <c r="N35" s="23">
        <v>2089</v>
      </c>
      <c r="O35" s="23">
        <v>2251</v>
      </c>
      <c r="P35" s="23">
        <v>2284</v>
      </c>
      <c r="Q35" s="23">
        <v>2323</v>
      </c>
      <c r="R35" s="23">
        <v>2285</v>
      </c>
      <c r="S35" s="23">
        <v>2345</v>
      </c>
      <c r="T35" s="23">
        <v>2465</v>
      </c>
      <c r="U35" s="23">
        <v>2535</v>
      </c>
      <c r="V35" s="23">
        <v>2682</v>
      </c>
      <c r="W35" s="23">
        <v>2838</v>
      </c>
      <c r="X35" s="23">
        <v>2555</v>
      </c>
      <c r="Y35" s="23">
        <v>2665</v>
      </c>
      <c r="Z35" s="23">
        <v>2977</v>
      </c>
      <c r="AA35" s="23">
        <v>3306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1619</v>
      </c>
      <c r="E36" s="23">
        <v>1745</v>
      </c>
      <c r="F36" s="23">
        <v>1815</v>
      </c>
      <c r="G36" s="23">
        <v>1878</v>
      </c>
      <c r="H36" s="23">
        <v>2012</v>
      </c>
      <c r="I36" s="23">
        <v>2136</v>
      </c>
      <c r="J36" s="23">
        <v>2316</v>
      </c>
      <c r="K36" s="23">
        <v>2440</v>
      </c>
      <c r="L36" s="23">
        <v>2557</v>
      </c>
      <c r="M36" s="23">
        <v>2753</v>
      </c>
      <c r="N36" s="23">
        <v>2854</v>
      </c>
      <c r="O36" s="23">
        <v>2897</v>
      </c>
      <c r="P36" s="23">
        <v>2963</v>
      </c>
      <c r="Q36" s="23">
        <v>2987</v>
      </c>
      <c r="R36" s="23">
        <v>3007</v>
      </c>
      <c r="S36" s="23">
        <v>3031</v>
      </c>
      <c r="T36" s="23">
        <v>3030</v>
      </c>
      <c r="U36" s="23">
        <v>3093</v>
      </c>
      <c r="V36" s="23">
        <v>3123</v>
      </c>
      <c r="W36" s="23">
        <v>3263</v>
      </c>
      <c r="X36" s="23">
        <v>3168</v>
      </c>
      <c r="Y36" s="23">
        <v>3317</v>
      </c>
      <c r="Z36" s="23">
        <v>3389</v>
      </c>
      <c r="AA36" s="23">
        <v>3525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56</v>
      </c>
      <c r="E37" s="23">
        <v>53</v>
      </c>
      <c r="F37" s="23">
        <v>58</v>
      </c>
      <c r="G37" s="23">
        <v>78</v>
      </c>
      <c r="H37" s="23">
        <v>109</v>
      </c>
      <c r="I37" s="23">
        <v>123</v>
      </c>
      <c r="J37" s="23">
        <v>125</v>
      </c>
      <c r="K37" s="23">
        <v>129</v>
      </c>
      <c r="L37" s="23">
        <v>148</v>
      </c>
      <c r="M37" s="23">
        <v>161</v>
      </c>
      <c r="N37" s="23">
        <v>181</v>
      </c>
      <c r="O37" s="23">
        <v>197</v>
      </c>
      <c r="P37" s="23">
        <v>227</v>
      </c>
      <c r="Q37" s="23">
        <v>262</v>
      </c>
      <c r="R37" s="23">
        <v>313</v>
      </c>
      <c r="S37" s="23">
        <v>321</v>
      </c>
      <c r="T37" s="23">
        <v>316</v>
      </c>
      <c r="U37" s="23">
        <v>320</v>
      </c>
      <c r="V37" s="23">
        <v>310</v>
      </c>
      <c r="W37" s="23">
        <v>307</v>
      </c>
      <c r="X37" s="23">
        <v>328</v>
      </c>
      <c r="Y37" s="23">
        <v>322</v>
      </c>
      <c r="Z37" s="23">
        <v>317</v>
      </c>
      <c r="AA37" s="23">
        <v>283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119325</v>
      </c>
      <c r="E39" s="30">
        <f t="shared" ref="E39:Y39" si="2">SUM(E18:E38)</f>
        <v>127287</v>
      </c>
      <c r="F39" s="30">
        <f t="shared" si="2"/>
        <v>130172</v>
      </c>
      <c r="G39" s="30">
        <f t="shared" si="2"/>
        <v>132388</v>
      </c>
      <c r="H39" s="30">
        <f t="shared" si="2"/>
        <v>139016</v>
      </c>
      <c r="I39" s="30">
        <f t="shared" si="2"/>
        <v>143900</v>
      </c>
      <c r="J39" s="30">
        <f t="shared" si="2"/>
        <v>150722</v>
      </c>
      <c r="K39" s="30">
        <f t="shared" si="2"/>
        <v>164129</v>
      </c>
      <c r="L39" s="30">
        <f t="shared" si="2"/>
        <v>170928</v>
      </c>
      <c r="M39" s="30">
        <f t="shared" si="2"/>
        <v>159054</v>
      </c>
      <c r="N39" s="30">
        <f t="shared" si="2"/>
        <v>164666</v>
      </c>
      <c r="O39" s="30">
        <f t="shared" si="2"/>
        <v>171239</v>
      </c>
      <c r="P39" s="30">
        <f t="shared" si="2"/>
        <v>173004</v>
      </c>
      <c r="Q39" s="30">
        <f t="shared" si="2"/>
        <v>175160</v>
      </c>
      <c r="R39" s="30">
        <f t="shared" si="2"/>
        <v>177368</v>
      </c>
      <c r="S39" s="30">
        <f t="shared" si="2"/>
        <v>181406</v>
      </c>
      <c r="T39" s="30">
        <f t="shared" si="2"/>
        <v>185593</v>
      </c>
      <c r="U39" s="30">
        <f t="shared" si="2"/>
        <v>194113</v>
      </c>
      <c r="V39" s="30">
        <f t="shared" si="2"/>
        <v>199751</v>
      </c>
      <c r="W39" s="30">
        <f t="shared" si="2"/>
        <v>205950</v>
      </c>
      <c r="X39" s="30">
        <f t="shared" si="2"/>
        <v>204507</v>
      </c>
      <c r="Y39" s="30">
        <f t="shared" si="2"/>
        <v>215307</v>
      </c>
      <c r="Z39" s="30">
        <f t="shared" ref="Z39:AA39" si="3">SUM(Z18:Z38)</f>
        <v>231139</v>
      </c>
      <c r="AA39" s="30">
        <f t="shared" si="3"/>
        <v>238964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1899</v>
      </c>
      <c r="E41" s="19">
        <v>2293</v>
      </c>
      <c r="F41" s="19">
        <v>2450</v>
      </c>
      <c r="G41" s="19">
        <v>2450</v>
      </c>
      <c r="H41" s="19">
        <v>2377</v>
      </c>
      <c r="I41" s="19">
        <v>2414</v>
      </c>
      <c r="J41" s="19">
        <v>2340</v>
      </c>
      <c r="K41" s="19">
        <v>2499</v>
      </c>
      <c r="L41" s="19">
        <v>2549</v>
      </c>
      <c r="M41" s="19">
        <v>2815</v>
      </c>
      <c r="N41" s="19">
        <v>2623</v>
      </c>
      <c r="O41" s="19">
        <v>2595</v>
      </c>
      <c r="P41" s="19">
        <v>2701</v>
      </c>
      <c r="Q41" s="19">
        <v>2703</v>
      </c>
      <c r="R41" s="19">
        <v>2659</v>
      </c>
      <c r="S41" s="19">
        <v>2630</v>
      </c>
      <c r="T41" s="19">
        <v>2592</v>
      </c>
      <c r="U41" s="19">
        <v>2728</v>
      </c>
      <c r="V41" s="19">
        <v>2751</v>
      </c>
      <c r="W41" s="19">
        <v>2868</v>
      </c>
      <c r="X41" s="19">
        <v>2959</v>
      </c>
      <c r="Y41" s="19">
        <v>2925</v>
      </c>
      <c r="Z41" s="19">
        <v>2793</v>
      </c>
      <c r="AA41" s="19">
        <v>3200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577</v>
      </c>
      <c r="E42" s="23">
        <v>581</v>
      </c>
      <c r="F42" s="23">
        <v>591</v>
      </c>
      <c r="G42" s="23">
        <v>552</v>
      </c>
      <c r="H42" s="23">
        <v>546</v>
      </c>
      <c r="I42" s="23">
        <v>550</v>
      </c>
      <c r="J42" s="23">
        <v>570</v>
      </c>
      <c r="K42" s="23">
        <v>531</v>
      </c>
      <c r="L42" s="23">
        <v>550</v>
      </c>
      <c r="M42" s="23">
        <v>471</v>
      </c>
      <c r="N42" s="23">
        <v>464</v>
      </c>
      <c r="O42" s="23">
        <v>461</v>
      </c>
      <c r="P42" s="23">
        <v>460</v>
      </c>
      <c r="Q42" s="23">
        <v>414</v>
      </c>
      <c r="R42" s="23">
        <v>387</v>
      </c>
      <c r="S42" s="23">
        <v>391</v>
      </c>
      <c r="T42" s="23">
        <v>415</v>
      </c>
      <c r="U42" s="23">
        <v>419</v>
      </c>
      <c r="V42" s="23">
        <v>415</v>
      </c>
      <c r="W42" s="23">
        <v>402</v>
      </c>
      <c r="X42" s="23">
        <v>424</v>
      </c>
      <c r="Y42" s="23">
        <v>451</v>
      </c>
      <c r="Z42" s="23">
        <v>448</v>
      </c>
      <c r="AA42" s="23">
        <v>421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7852</v>
      </c>
      <c r="E43" s="23">
        <v>8113</v>
      </c>
      <c r="F43" s="23">
        <v>7281</v>
      </c>
      <c r="G43" s="23">
        <v>6507</v>
      </c>
      <c r="H43" s="23">
        <v>6438</v>
      </c>
      <c r="I43" s="23">
        <v>5818</v>
      </c>
      <c r="J43" s="23">
        <v>6337</v>
      </c>
      <c r="K43" s="23">
        <v>6440</v>
      </c>
      <c r="L43" s="23">
        <v>5332</v>
      </c>
      <c r="M43" s="23">
        <v>3662</v>
      </c>
      <c r="N43" s="23">
        <v>4963</v>
      </c>
      <c r="O43" s="23">
        <v>4832</v>
      </c>
      <c r="P43" s="23">
        <v>4519</v>
      </c>
      <c r="Q43" s="23">
        <v>4472</v>
      </c>
      <c r="R43" s="23">
        <v>4606</v>
      </c>
      <c r="S43" s="23">
        <v>4846</v>
      </c>
      <c r="T43" s="23">
        <v>4801</v>
      </c>
      <c r="U43" s="23">
        <v>5060</v>
      </c>
      <c r="V43" s="23">
        <v>5423</v>
      </c>
      <c r="W43" s="23">
        <v>4998</v>
      </c>
      <c r="X43" s="23">
        <v>4160</v>
      </c>
      <c r="Y43" s="23">
        <v>5854</v>
      </c>
      <c r="Z43" s="23">
        <v>6385</v>
      </c>
      <c r="AA43" s="23">
        <v>4257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426</v>
      </c>
      <c r="E44" s="23">
        <v>518</v>
      </c>
      <c r="F44" s="23">
        <v>712</v>
      </c>
      <c r="G44" s="23">
        <v>630</v>
      </c>
      <c r="H44" s="23">
        <v>986</v>
      </c>
      <c r="I44" s="23">
        <v>706</v>
      </c>
      <c r="J44" s="23">
        <v>755</v>
      </c>
      <c r="K44" s="23">
        <v>831</v>
      </c>
      <c r="L44" s="23">
        <v>666</v>
      </c>
      <c r="M44" s="23">
        <v>620</v>
      </c>
      <c r="N44" s="23">
        <v>525</v>
      </c>
      <c r="O44" s="23">
        <v>665</v>
      </c>
      <c r="P44" s="23">
        <v>786</v>
      </c>
      <c r="Q44" s="23">
        <v>643</v>
      </c>
      <c r="R44" s="23">
        <v>420</v>
      </c>
      <c r="S44" s="23">
        <v>597</v>
      </c>
      <c r="T44" s="23">
        <v>610</v>
      </c>
      <c r="U44" s="23">
        <v>1022</v>
      </c>
      <c r="V44" s="23">
        <v>727</v>
      </c>
      <c r="W44" s="23">
        <v>835</v>
      </c>
      <c r="X44" s="23">
        <v>536</v>
      </c>
      <c r="Y44" s="23">
        <v>319</v>
      </c>
      <c r="Z44" s="23">
        <v>1212</v>
      </c>
      <c r="AA44" s="23">
        <v>1317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1390</v>
      </c>
      <c r="E45" s="23">
        <v>1552</v>
      </c>
      <c r="F45" s="23">
        <v>1447</v>
      </c>
      <c r="G45" s="23">
        <v>1434</v>
      </c>
      <c r="H45" s="23">
        <v>1643</v>
      </c>
      <c r="I45" s="23">
        <v>1603</v>
      </c>
      <c r="J45" s="23">
        <v>1619</v>
      </c>
      <c r="K45" s="23">
        <v>1860</v>
      </c>
      <c r="L45" s="23">
        <v>1804</v>
      </c>
      <c r="M45" s="23">
        <v>1545</v>
      </c>
      <c r="N45" s="23">
        <v>1697</v>
      </c>
      <c r="O45" s="23">
        <v>2028</v>
      </c>
      <c r="P45" s="23">
        <v>1629</v>
      </c>
      <c r="Q45" s="23">
        <v>1805</v>
      </c>
      <c r="R45" s="23">
        <v>1783</v>
      </c>
      <c r="S45" s="23">
        <v>2029</v>
      </c>
      <c r="T45" s="23">
        <v>2082</v>
      </c>
      <c r="U45" s="23">
        <v>2235</v>
      </c>
      <c r="V45" s="23">
        <v>2468</v>
      </c>
      <c r="W45" s="23">
        <v>2888</v>
      </c>
      <c r="X45" s="23">
        <v>2820</v>
      </c>
      <c r="Y45" s="23">
        <v>2745</v>
      </c>
      <c r="Z45" s="23">
        <v>4119</v>
      </c>
      <c r="AA45" s="23">
        <v>3537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444</v>
      </c>
      <c r="E46" s="23">
        <v>542</v>
      </c>
      <c r="F46" s="23">
        <v>559</v>
      </c>
      <c r="G46" s="23">
        <v>532</v>
      </c>
      <c r="H46" s="23">
        <v>593</v>
      </c>
      <c r="I46" s="23">
        <v>681</v>
      </c>
      <c r="J46" s="23">
        <v>758</v>
      </c>
      <c r="K46" s="23">
        <v>800</v>
      </c>
      <c r="L46" s="23">
        <v>868</v>
      </c>
      <c r="M46" s="23">
        <v>918</v>
      </c>
      <c r="N46" s="23">
        <v>983</v>
      </c>
      <c r="O46" s="23">
        <v>1029</v>
      </c>
      <c r="P46" s="23">
        <v>1233</v>
      </c>
      <c r="Q46" s="23">
        <v>1155</v>
      </c>
      <c r="R46" s="23">
        <v>1318</v>
      </c>
      <c r="S46" s="23">
        <v>1317</v>
      </c>
      <c r="T46" s="23">
        <v>1537</v>
      </c>
      <c r="U46" s="23">
        <v>1585</v>
      </c>
      <c r="V46" s="23">
        <v>1561</v>
      </c>
      <c r="W46" s="23">
        <v>1596</v>
      </c>
      <c r="X46" s="23">
        <v>1530</v>
      </c>
      <c r="Y46" s="23">
        <v>1501</v>
      </c>
      <c r="Z46" s="23">
        <v>1651</v>
      </c>
      <c r="AA46" s="23">
        <v>1581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1954</v>
      </c>
      <c r="E47" s="23">
        <v>2008</v>
      </c>
      <c r="F47" s="23">
        <v>2018</v>
      </c>
      <c r="G47" s="23">
        <v>1958</v>
      </c>
      <c r="H47" s="23">
        <v>2103</v>
      </c>
      <c r="I47" s="23">
        <v>2165</v>
      </c>
      <c r="J47" s="23">
        <v>2345</v>
      </c>
      <c r="K47" s="23">
        <v>2533</v>
      </c>
      <c r="L47" s="23">
        <v>2486</v>
      </c>
      <c r="M47" s="23">
        <v>1922</v>
      </c>
      <c r="N47" s="23">
        <v>1987</v>
      </c>
      <c r="O47" s="23">
        <v>2225</v>
      </c>
      <c r="P47" s="23">
        <v>2188</v>
      </c>
      <c r="Q47" s="23">
        <v>2054</v>
      </c>
      <c r="R47" s="23">
        <v>2031</v>
      </c>
      <c r="S47" s="23">
        <v>2037</v>
      </c>
      <c r="T47" s="23">
        <v>2122</v>
      </c>
      <c r="U47" s="23">
        <v>2204</v>
      </c>
      <c r="V47" s="23">
        <v>2266</v>
      </c>
      <c r="W47" s="23">
        <v>2252</v>
      </c>
      <c r="X47" s="23">
        <v>2178</v>
      </c>
      <c r="Y47" s="23">
        <v>2156</v>
      </c>
      <c r="Z47" s="23">
        <v>2155</v>
      </c>
      <c r="AA47" s="23">
        <v>2216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3256</v>
      </c>
      <c r="E48" s="23">
        <v>3526</v>
      </c>
      <c r="F48" s="23">
        <v>3325</v>
      </c>
      <c r="G48" s="23">
        <v>3477</v>
      </c>
      <c r="H48" s="23">
        <v>3719</v>
      </c>
      <c r="I48" s="23">
        <v>4227</v>
      </c>
      <c r="J48" s="23">
        <v>5024</v>
      </c>
      <c r="K48" s="23">
        <v>5599</v>
      </c>
      <c r="L48" s="23">
        <v>5632</v>
      </c>
      <c r="M48" s="23">
        <v>3266</v>
      </c>
      <c r="N48" s="23">
        <v>3526</v>
      </c>
      <c r="O48" s="23">
        <v>3868</v>
      </c>
      <c r="P48" s="23">
        <v>3793</v>
      </c>
      <c r="Q48" s="23">
        <v>3789</v>
      </c>
      <c r="R48" s="23">
        <v>3705</v>
      </c>
      <c r="S48" s="23">
        <v>4112</v>
      </c>
      <c r="T48" s="23">
        <v>3948</v>
      </c>
      <c r="U48" s="23">
        <v>4629</v>
      </c>
      <c r="V48" s="23">
        <v>4567</v>
      </c>
      <c r="W48" s="23">
        <v>4340</v>
      </c>
      <c r="X48" s="23">
        <v>4258</v>
      </c>
      <c r="Y48" s="23">
        <v>4702</v>
      </c>
      <c r="Z48" s="23">
        <v>6311</v>
      </c>
      <c r="AA48" s="23">
        <v>5466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8595</v>
      </c>
      <c r="E49" s="23">
        <v>7626</v>
      </c>
      <c r="F49" s="23">
        <v>8670</v>
      </c>
      <c r="G49" s="23">
        <v>8881</v>
      </c>
      <c r="H49" s="23">
        <v>8826</v>
      </c>
      <c r="I49" s="23">
        <v>9204</v>
      </c>
      <c r="J49" s="23">
        <v>9793</v>
      </c>
      <c r="K49" s="23">
        <v>11193</v>
      </c>
      <c r="L49" s="23">
        <v>10584</v>
      </c>
      <c r="M49" s="23">
        <v>6852</v>
      </c>
      <c r="N49" s="23">
        <v>6617</v>
      </c>
      <c r="O49" s="23">
        <v>5423</v>
      </c>
      <c r="P49" s="23">
        <v>2647</v>
      </c>
      <c r="Q49" s="23">
        <v>3973</v>
      </c>
      <c r="R49" s="23">
        <v>4199</v>
      </c>
      <c r="S49" s="23">
        <v>3893</v>
      </c>
      <c r="T49" s="23">
        <v>4196</v>
      </c>
      <c r="U49" s="23">
        <v>4560</v>
      </c>
      <c r="V49" s="23">
        <v>3506</v>
      </c>
      <c r="W49" s="23">
        <v>4108</v>
      </c>
      <c r="X49" s="23">
        <v>4985</v>
      </c>
      <c r="Y49" s="23">
        <v>5021</v>
      </c>
      <c r="Z49" s="23">
        <v>5336</v>
      </c>
      <c r="AA49" s="23">
        <v>4226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1023</v>
      </c>
      <c r="E50" s="23">
        <v>1087</v>
      </c>
      <c r="F50" s="23">
        <v>940</v>
      </c>
      <c r="G50" s="23">
        <v>945</v>
      </c>
      <c r="H50" s="23">
        <v>1028</v>
      </c>
      <c r="I50" s="23">
        <v>1211</v>
      </c>
      <c r="J50" s="23">
        <v>1316</v>
      </c>
      <c r="K50" s="23">
        <v>1469</v>
      </c>
      <c r="L50" s="23">
        <v>1836</v>
      </c>
      <c r="M50" s="23">
        <v>1455</v>
      </c>
      <c r="N50" s="23">
        <v>1651</v>
      </c>
      <c r="O50" s="23">
        <v>1650</v>
      </c>
      <c r="P50" s="23">
        <v>1773</v>
      </c>
      <c r="Q50" s="23">
        <v>1626</v>
      </c>
      <c r="R50" s="23">
        <v>1782</v>
      </c>
      <c r="S50" s="23">
        <v>1821</v>
      </c>
      <c r="T50" s="23">
        <v>1796</v>
      </c>
      <c r="U50" s="23">
        <v>1863</v>
      </c>
      <c r="V50" s="23">
        <v>1760</v>
      </c>
      <c r="W50" s="23">
        <v>1788</v>
      </c>
      <c r="X50" s="23">
        <v>1775</v>
      </c>
      <c r="Y50" s="23">
        <v>1808</v>
      </c>
      <c r="Z50" s="23">
        <v>1969</v>
      </c>
      <c r="AA50" s="23">
        <v>2478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2791</v>
      </c>
      <c r="E51" s="23">
        <v>3197</v>
      </c>
      <c r="F51" s="23">
        <v>2861</v>
      </c>
      <c r="G51" s="23">
        <v>2844</v>
      </c>
      <c r="H51" s="23">
        <v>3038</v>
      </c>
      <c r="I51" s="23">
        <v>3272</v>
      </c>
      <c r="J51" s="23">
        <v>3819</v>
      </c>
      <c r="K51" s="23">
        <v>4347</v>
      </c>
      <c r="L51" s="23">
        <v>4719</v>
      </c>
      <c r="M51" s="23">
        <v>3972</v>
      </c>
      <c r="N51" s="23">
        <v>4285</v>
      </c>
      <c r="O51" s="23">
        <v>4648</v>
      </c>
      <c r="P51" s="23">
        <v>4622</v>
      </c>
      <c r="Q51" s="23">
        <v>4340</v>
      </c>
      <c r="R51" s="23">
        <v>4406</v>
      </c>
      <c r="S51" s="23">
        <v>4701</v>
      </c>
      <c r="T51" s="23">
        <v>4669</v>
      </c>
      <c r="U51" s="23">
        <v>5085</v>
      </c>
      <c r="V51" s="23">
        <v>5492</v>
      </c>
      <c r="W51" s="23">
        <v>5660</v>
      </c>
      <c r="X51" s="23">
        <v>5413</v>
      </c>
      <c r="Y51" s="23">
        <v>6202</v>
      </c>
      <c r="Z51" s="23">
        <v>5953</v>
      </c>
      <c r="AA51" s="23">
        <v>6908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806</v>
      </c>
      <c r="E52" s="23">
        <v>967</v>
      </c>
      <c r="F52" s="23">
        <v>1088</v>
      </c>
      <c r="G52" s="23">
        <v>1055</v>
      </c>
      <c r="H52" s="23">
        <v>878</v>
      </c>
      <c r="I52" s="23">
        <v>988</v>
      </c>
      <c r="J52" s="23">
        <v>1052</v>
      </c>
      <c r="K52" s="23">
        <v>1039</v>
      </c>
      <c r="L52" s="23">
        <v>1092</v>
      </c>
      <c r="M52" s="23">
        <v>779</v>
      </c>
      <c r="N52" s="23">
        <v>779</v>
      </c>
      <c r="O52" s="23">
        <v>899</v>
      </c>
      <c r="P52" s="23">
        <v>882</v>
      </c>
      <c r="Q52" s="23">
        <v>920</v>
      </c>
      <c r="R52" s="23">
        <v>881</v>
      </c>
      <c r="S52" s="23">
        <v>884</v>
      </c>
      <c r="T52" s="23">
        <v>1064</v>
      </c>
      <c r="U52" s="23">
        <v>1075</v>
      </c>
      <c r="V52" s="23">
        <v>1185</v>
      </c>
      <c r="W52" s="23">
        <v>1106</v>
      </c>
      <c r="X52" s="23">
        <v>1106</v>
      </c>
      <c r="Y52" s="23">
        <v>1181</v>
      </c>
      <c r="Z52" s="23">
        <v>1090</v>
      </c>
      <c r="AA52" s="23">
        <v>1287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1938</v>
      </c>
      <c r="E53" s="23">
        <v>2125</v>
      </c>
      <c r="F53" s="23">
        <v>2013</v>
      </c>
      <c r="G53" s="23">
        <v>2040</v>
      </c>
      <c r="H53" s="23">
        <v>2026</v>
      </c>
      <c r="I53" s="23">
        <v>2100</v>
      </c>
      <c r="J53" s="23">
        <v>1982</v>
      </c>
      <c r="K53" s="23">
        <v>2258</v>
      </c>
      <c r="L53" s="23">
        <v>2268</v>
      </c>
      <c r="M53" s="23">
        <v>2018</v>
      </c>
      <c r="N53" s="23">
        <v>1959</v>
      </c>
      <c r="O53" s="23">
        <v>2004</v>
      </c>
      <c r="P53" s="23">
        <v>2013</v>
      </c>
      <c r="Q53" s="23">
        <v>1905</v>
      </c>
      <c r="R53" s="23">
        <v>1883</v>
      </c>
      <c r="S53" s="23">
        <v>1937</v>
      </c>
      <c r="T53" s="23">
        <v>1981</v>
      </c>
      <c r="U53" s="23">
        <v>2082</v>
      </c>
      <c r="V53" s="23">
        <v>2178</v>
      </c>
      <c r="W53" s="23">
        <v>2250</v>
      </c>
      <c r="X53" s="23">
        <v>2187</v>
      </c>
      <c r="Y53" s="23">
        <v>2301</v>
      </c>
      <c r="Z53" s="23">
        <v>2508</v>
      </c>
      <c r="AA53" s="23">
        <v>2562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32951</v>
      </c>
      <c r="E54" s="30">
        <f t="shared" ref="E54:Y54" si="4">SUM(E41:E53)</f>
        <v>34135</v>
      </c>
      <c r="F54" s="30">
        <f t="shared" si="4"/>
        <v>33955</v>
      </c>
      <c r="G54" s="30">
        <f t="shared" si="4"/>
        <v>33305</v>
      </c>
      <c r="H54" s="30">
        <f t="shared" si="4"/>
        <v>34201</v>
      </c>
      <c r="I54" s="30">
        <f t="shared" si="4"/>
        <v>34939</v>
      </c>
      <c r="J54" s="30">
        <f t="shared" si="4"/>
        <v>37710</v>
      </c>
      <c r="K54" s="30">
        <f t="shared" si="4"/>
        <v>41399</v>
      </c>
      <c r="L54" s="30">
        <f t="shared" si="4"/>
        <v>40386</v>
      </c>
      <c r="M54" s="30">
        <f t="shared" si="4"/>
        <v>30295</v>
      </c>
      <c r="N54" s="30">
        <f t="shared" si="4"/>
        <v>32059</v>
      </c>
      <c r="O54" s="30">
        <f t="shared" si="4"/>
        <v>32327</v>
      </c>
      <c r="P54" s="30">
        <f t="shared" si="4"/>
        <v>29246</v>
      </c>
      <c r="Q54" s="30">
        <f t="shared" si="4"/>
        <v>29799</v>
      </c>
      <c r="R54" s="30">
        <f t="shared" si="4"/>
        <v>30060</v>
      </c>
      <c r="S54" s="30">
        <f t="shared" si="4"/>
        <v>31195</v>
      </c>
      <c r="T54" s="30">
        <f t="shared" si="4"/>
        <v>31813</v>
      </c>
      <c r="U54" s="30">
        <f t="shared" si="4"/>
        <v>34547</v>
      </c>
      <c r="V54" s="30">
        <f t="shared" si="4"/>
        <v>34299</v>
      </c>
      <c r="W54" s="30">
        <f t="shared" si="4"/>
        <v>35091</v>
      </c>
      <c r="X54" s="30">
        <f t="shared" si="4"/>
        <v>34331</v>
      </c>
      <c r="Y54" s="30">
        <f t="shared" si="4"/>
        <v>37166</v>
      </c>
      <c r="Z54" s="30">
        <f t="shared" ref="Z54:AA54" si="5">SUM(Z41:Z53)</f>
        <v>41930</v>
      </c>
      <c r="AA54" s="30">
        <f t="shared" si="5"/>
        <v>39456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1899</v>
      </c>
      <c r="E56" s="19">
        <v>2293</v>
      </c>
      <c r="F56" s="19">
        <v>2450</v>
      </c>
      <c r="G56" s="19">
        <v>2450</v>
      </c>
      <c r="H56" s="19">
        <v>2377</v>
      </c>
      <c r="I56" s="19">
        <v>2414</v>
      </c>
      <c r="J56" s="19">
        <v>2340</v>
      </c>
      <c r="K56" s="19">
        <v>2499</v>
      </c>
      <c r="L56" s="19">
        <v>2549</v>
      </c>
      <c r="M56" s="19">
        <v>2815</v>
      </c>
      <c r="N56" s="19">
        <v>2623</v>
      </c>
      <c r="O56" s="19">
        <v>2595</v>
      </c>
      <c r="P56" s="19">
        <v>2701</v>
      </c>
      <c r="Q56" s="19">
        <v>2703</v>
      </c>
      <c r="R56" s="19">
        <v>2659</v>
      </c>
      <c r="S56" s="19">
        <v>2630</v>
      </c>
      <c r="T56" s="19">
        <v>2592</v>
      </c>
      <c r="U56" s="19">
        <v>2728</v>
      </c>
      <c r="V56" s="19">
        <v>2751</v>
      </c>
      <c r="W56" s="19">
        <v>2868</v>
      </c>
      <c r="X56" s="19">
        <v>2959</v>
      </c>
      <c r="Y56" s="19">
        <v>2925</v>
      </c>
      <c r="Z56" s="19">
        <v>2793</v>
      </c>
      <c r="AA56" s="19">
        <v>3200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577</v>
      </c>
      <c r="E57" s="23">
        <v>581</v>
      </c>
      <c r="F57" s="23">
        <v>591</v>
      </c>
      <c r="G57" s="23">
        <v>552</v>
      </c>
      <c r="H57" s="23">
        <v>546</v>
      </c>
      <c r="I57" s="23">
        <v>550</v>
      </c>
      <c r="J57" s="23">
        <v>570</v>
      </c>
      <c r="K57" s="23">
        <v>531</v>
      </c>
      <c r="L57" s="23">
        <v>550</v>
      </c>
      <c r="M57" s="23">
        <v>471</v>
      </c>
      <c r="N57" s="23">
        <v>464</v>
      </c>
      <c r="O57" s="23">
        <v>461</v>
      </c>
      <c r="P57" s="23">
        <v>460</v>
      </c>
      <c r="Q57" s="23">
        <v>414</v>
      </c>
      <c r="R57" s="23">
        <v>387</v>
      </c>
      <c r="S57" s="23">
        <v>391</v>
      </c>
      <c r="T57" s="23">
        <v>415</v>
      </c>
      <c r="U57" s="23">
        <v>419</v>
      </c>
      <c r="V57" s="23">
        <v>415</v>
      </c>
      <c r="W57" s="23">
        <v>402</v>
      </c>
      <c r="X57" s="23">
        <v>424</v>
      </c>
      <c r="Y57" s="23">
        <v>451</v>
      </c>
      <c r="Z57" s="23">
        <v>448</v>
      </c>
      <c r="AA57" s="23">
        <v>421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1411</v>
      </c>
      <c r="E58" s="23">
        <v>1471</v>
      </c>
      <c r="F58" s="23">
        <v>1460</v>
      </c>
      <c r="G58" s="23">
        <v>1446</v>
      </c>
      <c r="H58" s="23">
        <v>1390</v>
      </c>
      <c r="I58" s="23">
        <v>1375</v>
      </c>
      <c r="J58" s="23">
        <v>1541</v>
      </c>
      <c r="K58" s="23">
        <v>1785</v>
      </c>
      <c r="L58" s="23">
        <v>1302</v>
      </c>
      <c r="M58" s="23">
        <v>883</v>
      </c>
      <c r="N58" s="23">
        <v>1244</v>
      </c>
      <c r="O58" s="23">
        <v>1159</v>
      </c>
      <c r="P58" s="23">
        <v>1089</v>
      </c>
      <c r="Q58" s="23">
        <v>1175</v>
      </c>
      <c r="R58" s="23">
        <v>1212</v>
      </c>
      <c r="S58" s="23">
        <v>1207</v>
      </c>
      <c r="T58" s="23">
        <v>1232</v>
      </c>
      <c r="U58" s="23">
        <v>1340</v>
      </c>
      <c r="V58" s="23">
        <v>1388</v>
      </c>
      <c r="W58" s="23">
        <v>1247</v>
      </c>
      <c r="X58" s="23">
        <v>1199</v>
      </c>
      <c r="Y58" s="23">
        <v>2232</v>
      </c>
      <c r="Z58" s="23">
        <v>2669</v>
      </c>
      <c r="AA58" s="23">
        <v>1475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5615</v>
      </c>
      <c r="E59" s="23">
        <v>5737</v>
      </c>
      <c r="F59" s="23">
        <v>4976</v>
      </c>
      <c r="G59" s="23">
        <v>4326</v>
      </c>
      <c r="H59" s="23">
        <v>4332</v>
      </c>
      <c r="I59" s="23">
        <v>3679</v>
      </c>
      <c r="J59" s="23">
        <v>4034</v>
      </c>
      <c r="K59" s="23">
        <v>3890</v>
      </c>
      <c r="L59" s="23">
        <v>3270</v>
      </c>
      <c r="M59" s="23">
        <v>2122</v>
      </c>
      <c r="N59" s="23">
        <v>3070</v>
      </c>
      <c r="O59" s="23">
        <v>3071</v>
      </c>
      <c r="P59" s="23">
        <v>2818</v>
      </c>
      <c r="Q59" s="23">
        <v>2757</v>
      </c>
      <c r="R59" s="23">
        <v>2884</v>
      </c>
      <c r="S59" s="23">
        <v>3131</v>
      </c>
      <c r="T59" s="23">
        <v>3117</v>
      </c>
      <c r="U59" s="23">
        <v>3290</v>
      </c>
      <c r="V59" s="23">
        <v>3633</v>
      </c>
      <c r="W59" s="23">
        <v>3362</v>
      </c>
      <c r="X59" s="23">
        <v>2613</v>
      </c>
      <c r="Y59" s="23">
        <v>3276</v>
      </c>
      <c r="Z59" s="23">
        <v>3377</v>
      </c>
      <c r="AA59" s="23">
        <v>2420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826</v>
      </c>
      <c r="E60" s="23">
        <v>905</v>
      </c>
      <c r="F60" s="23">
        <v>845</v>
      </c>
      <c r="G60" s="23">
        <v>735</v>
      </c>
      <c r="H60" s="23">
        <v>716</v>
      </c>
      <c r="I60" s="23">
        <v>764</v>
      </c>
      <c r="J60" s="23">
        <v>762</v>
      </c>
      <c r="K60" s="23">
        <v>765</v>
      </c>
      <c r="L60" s="23">
        <v>760</v>
      </c>
      <c r="M60" s="23">
        <v>657</v>
      </c>
      <c r="N60" s="23">
        <v>649</v>
      </c>
      <c r="O60" s="23">
        <v>602</v>
      </c>
      <c r="P60" s="23">
        <v>612</v>
      </c>
      <c r="Q60" s="23">
        <v>540</v>
      </c>
      <c r="R60" s="23">
        <v>510</v>
      </c>
      <c r="S60" s="23">
        <v>508</v>
      </c>
      <c r="T60" s="23">
        <v>452</v>
      </c>
      <c r="U60" s="23">
        <v>430</v>
      </c>
      <c r="V60" s="23">
        <v>402</v>
      </c>
      <c r="W60" s="23">
        <v>389</v>
      </c>
      <c r="X60" s="23">
        <v>348</v>
      </c>
      <c r="Y60" s="23">
        <v>346</v>
      </c>
      <c r="Z60" s="23">
        <v>339</v>
      </c>
      <c r="AA60" s="23">
        <v>362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426</v>
      </c>
      <c r="E61" s="23">
        <v>518</v>
      </c>
      <c r="F61" s="23">
        <v>712</v>
      </c>
      <c r="G61" s="23">
        <v>630</v>
      </c>
      <c r="H61" s="23">
        <v>986</v>
      </c>
      <c r="I61" s="23">
        <v>706</v>
      </c>
      <c r="J61" s="23">
        <v>755</v>
      </c>
      <c r="K61" s="23">
        <v>831</v>
      </c>
      <c r="L61" s="23">
        <v>666</v>
      </c>
      <c r="M61" s="23">
        <v>620</v>
      </c>
      <c r="N61" s="23">
        <v>525</v>
      </c>
      <c r="O61" s="23">
        <v>665</v>
      </c>
      <c r="P61" s="23">
        <v>786</v>
      </c>
      <c r="Q61" s="23">
        <v>643</v>
      </c>
      <c r="R61" s="23">
        <v>420</v>
      </c>
      <c r="S61" s="23">
        <v>597</v>
      </c>
      <c r="T61" s="23">
        <v>610</v>
      </c>
      <c r="U61" s="23">
        <v>1022</v>
      </c>
      <c r="V61" s="23">
        <v>727</v>
      </c>
      <c r="W61" s="23">
        <v>835</v>
      </c>
      <c r="X61" s="23">
        <v>536</v>
      </c>
      <c r="Y61" s="23">
        <v>319</v>
      </c>
      <c r="Z61" s="23">
        <v>1212</v>
      </c>
      <c r="AA61" s="23">
        <v>1317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1390</v>
      </c>
      <c r="E62" s="23">
        <v>1552</v>
      </c>
      <c r="F62" s="23">
        <v>1447</v>
      </c>
      <c r="G62" s="23">
        <v>1434</v>
      </c>
      <c r="H62" s="23">
        <v>1643</v>
      </c>
      <c r="I62" s="23">
        <v>1603</v>
      </c>
      <c r="J62" s="23">
        <v>1619</v>
      </c>
      <c r="K62" s="23">
        <v>1860</v>
      </c>
      <c r="L62" s="23">
        <v>1804</v>
      </c>
      <c r="M62" s="23">
        <v>1545</v>
      </c>
      <c r="N62" s="23">
        <v>1697</v>
      </c>
      <c r="O62" s="23">
        <v>2028</v>
      </c>
      <c r="P62" s="23">
        <v>1629</v>
      </c>
      <c r="Q62" s="23">
        <v>1805</v>
      </c>
      <c r="R62" s="23">
        <v>1783</v>
      </c>
      <c r="S62" s="23">
        <v>2029</v>
      </c>
      <c r="T62" s="23">
        <v>2082</v>
      </c>
      <c r="U62" s="23">
        <v>2235</v>
      </c>
      <c r="V62" s="23">
        <v>2468</v>
      </c>
      <c r="W62" s="23">
        <v>2888</v>
      </c>
      <c r="X62" s="23">
        <v>2820</v>
      </c>
      <c r="Y62" s="23">
        <v>2745</v>
      </c>
      <c r="Z62" s="23">
        <v>4119</v>
      </c>
      <c r="AA62" s="23">
        <v>3537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444</v>
      </c>
      <c r="E63" s="23">
        <v>542</v>
      </c>
      <c r="F63" s="23">
        <v>559</v>
      </c>
      <c r="G63" s="23">
        <v>532</v>
      </c>
      <c r="H63" s="23">
        <v>593</v>
      </c>
      <c r="I63" s="23">
        <v>681</v>
      </c>
      <c r="J63" s="23">
        <v>758</v>
      </c>
      <c r="K63" s="23">
        <v>800</v>
      </c>
      <c r="L63" s="23">
        <v>868</v>
      </c>
      <c r="M63" s="23">
        <v>918</v>
      </c>
      <c r="N63" s="23">
        <v>983</v>
      </c>
      <c r="O63" s="23">
        <v>1029</v>
      </c>
      <c r="P63" s="23">
        <v>1233</v>
      </c>
      <c r="Q63" s="23">
        <v>1155</v>
      </c>
      <c r="R63" s="23">
        <v>1318</v>
      </c>
      <c r="S63" s="23">
        <v>1317</v>
      </c>
      <c r="T63" s="23">
        <v>1537</v>
      </c>
      <c r="U63" s="23">
        <v>1585</v>
      </c>
      <c r="V63" s="23">
        <v>1561</v>
      </c>
      <c r="W63" s="23">
        <v>1596</v>
      </c>
      <c r="X63" s="23">
        <v>1530</v>
      </c>
      <c r="Y63" s="23">
        <v>1501</v>
      </c>
      <c r="Z63" s="23">
        <v>1651</v>
      </c>
      <c r="AA63" s="23">
        <v>1581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979</v>
      </c>
      <c r="E64" s="23">
        <v>1010</v>
      </c>
      <c r="F64" s="23">
        <v>1046</v>
      </c>
      <c r="G64" s="23">
        <v>984</v>
      </c>
      <c r="H64" s="23">
        <v>1073</v>
      </c>
      <c r="I64" s="23">
        <v>1020</v>
      </c>
      <c r="J64" s="23">
        <v>1114</v>
      </c>
      <c r="K64" s="23">
        <v>1200</v>
      </c>
      <c r="L64" s="23">
        <v>1175</v>
      </c>
      <c r="M64" s="23">
        <v>954</v>
      </c>
      <c r="N64" s="23">
        <v>958</v>
      </c>
      <c r="O64" s="23">
        <v>1060</v>
      </c>
      <c r="P64" s="23">
        <v>1074</v>
      </c>
      <c r="Q64" s="23">
        <v>958</v>
      </c>
      <c r="R64" s="23">
        <v>997</v>
      </c>
      <c r="S64" s="23">
        <v>1023</v>
      </c>
      <c r="T64" s="23">
        <v>1062</v>
      </c>
      <c r="U64" s="23">
        <v>1071</v>
      </c>
      <c r="V64" s="23">
        <v>1078</v>
      </c>
      <c r="W64" s="23">
        <v>1073</v>
      </c>
      <c r="X64" s="23">
        <v>1054</v>
      </c>
      <c r="Y64" s="23">
        <v>1117</v>
      </c>
      <c r="Z64" s="23">
        <v>1063</v>
      </c>
      <c r="AA64" s="23">
        <v>1110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975</v>
      </c>
      <c r="E65" s="23">
        <v>998</v>
      </c>
      <c r="F65" s="23">
        <v>972</v>
      </c>
      <c r="G65" s="23">
        <v>974</v>
      </c>
      <c r="H65" s="23">
        <v>1030</v>
      </c>
      <c r="I65" s="23">
        <v>1145</v>
      </c>
      <c r="J65" s="23">
        <v>1231</v>
      </c>
      <c r="K65" s="23">
        <v>1333</v>
      </c>
      <c r="L65" s="23">
        <v>1311</v>
      </c>
      <c r="M65" s="23">
        <v>968</v>
      </c>
      <c r="N65" s="23">
        <v>1029</v>
      </c>
      <c r="O65" s="23">
        <v>1165</v>
      </c>
      <c r="P65" s="23">
        <v>1114</v>
      </c>
      <c r="Q65" s="23">
        <v>1096</v>
      </c>
      <c r="R65" s="23">
        <v>1034</v>
      </c>
      <c r="S65" s="23">
        <v>1014</v>
      </c>
      <c r="T65" s="23">
        <v>1060</v>
      </c>
      <c r="U65" s="23">
        <v>1133</v>
      </c>
      <c r="V65" s="23">
        <v>1188</v>
      </c>
      <c r="W65" s="23">
        <v>1179</v>
      </c>
      <c r="X65" s="23">
        <v>1124</v>
      </c>
      <c r="Y65" s="23">
        <v>1039</v>
      </c>
      <c r="Z65" s="23">
        <v>1092</v>
      </c>
      <c r="AA65" s="23">
        <v>1106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1369</v>
      </c>
      <c r="E66" s="23">
        <v>1349</v>
      </c>
      <c r="F66" s="23">
        <v>1188</v>
      </c>
      <c r="G66" s="23">
        <v>1302</v>
      </c>
      <c r="H66" s="23">
        <v>1541</v>
      </c>
      <c r="I66" s="23">
        <v>1820</v>
      </c>
      <c r="J66" s="23">
        <v>2354</v>
      </c>
      <c r="K66" s="23">
        <v>2439</v>
      </c>
      <c r="L66" s="23">
        <v>2275</v>
      </c>
      <c r="M66" s="23">
        <v>808</v>
      </c>
      <c r="N66" s="23">
        <v>1231</v>
      </c>
      <c r="O66" s="23">
        <v>1292</v>
      </c>
      <c r="P66" s="23">
        <v>1115</v>
      </c>
      <c r="Q66" s="23">
        <v>1270</v>
      </c>
      <c r="R66" s="23">
        <v>1279</v>
      </c>
      <c r="S66" s="23">
        <v>1565</v>
      </c>
      <c r="T66" s="23">
        <v>1407</v>
      </c>
      <c r="U66" s="23">
        <v>1899</v>
      </c>
      <c r="V66" s="23">
        <v>1730</v>
      </c>
      <c r="W66" s="23">
        <v>1444</v>
      </c>
      <c r="X66" s="23">
        <v>1313</v>
      </c>
      <c r="Y66" s="23">
        <v>1717</v>
      </c>
      <c r="Z66" s="23">
        <v>2933</v>
      </c>
      <c r="AA66" s="23">
        <v>2081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1887</v>
      </c>
      <c r="E67" s="23">
        <v>2177</v>
      </c>
      <c r="F67" s="23">
        <v>2137</v>
      </c>
      <c r="G67" s="23">
        <v>2175</v>
      </c>
      <c r="H67" s="23">
        <v>2178</v>
      </c>
      <c r="I67" s="23">
        <v>2407</v>
      </c>
      <c r="J67" s="23">
        <v>2670</v>
      </c>
      <c r="K67" s="23">
        <v>3160</v>
      </c>
      <c r="L67" s="23">
        <v>3357</v>
      </c>
      <c r="M67" s="23">
        <v>2458</v>
      </c>
      <c r="N67" s="23">
        <v>2295</v>
      </c>
      <c r="O67" s="23">
        <v>2576</v>
      </c>
      <c r="P67" s="23">
        <v>2678</v>
      </c>
      <c r="Q67" s="23">
        <v>2519</v>
      </c>
      <c r="R67" s="23">
        <v>2426</v>
      </c>
      <c r="S67" s="23">
        <v>2547</v>
      </c>
      <c r="T67" s="23">
        <v>2541</v>
      </c>
      <c r="U67" s="23">
        <v>2730</v>
      </c>
      <c r="V67" s="23">
        <v>2837</v>
      </c>
      <c r="W67" s="23">
        <v>2896</v>
      </c>
      <c r="X67" s="23">
        <v>2945</v>
      </c>
      <c r="Y67" s="23">
        <v>2985</v>
      </c>
      <c r="Z67" s="23">
        <v>3378</v>
      </c>
      <c r="AA67" s="23">
        <v>3385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8595</v>
      </c>
      <c r="E68" s="23">
        <v>7626</v>
      </c>
      <c r="F68" s="23">
        <v>8670</v>
      </c>
      <c r="G68" s="23">
        <v>8881</v>
      </c>
      <c r="H68" s="23">
        <v>8826</v>
      </c>
      <c r="I68" s="23">
        <v>9204</v>
      </c>
      <c r="J68" s="23">
        <v>9793</v>
      </c>
      <c r="K68" s="23">
        <v>11193</v>
      </c>
      <c r="L68" s="23">
        <v>10584</v>
      </c>
      <c r="M68" s="23">
        <v>6852</v>
      </c>
      <c r="N68" s="23">
        <v>6617</v>
      </c>
      <c r="O68" s="23">
        <v>5423</v>
      </c>
      <c r="P68" s="23">
        <v>2647</v>
      </c>
      <c r="Q68" s="23">
        <v>3973</v>
      </c>
      <c r="R68" s="23">
        <v>4199</v>
      </c>
      <c r="S68" s="23">
        <v>3893</v>
      </c>
      <c r="T68" s="23">
        <v>4196</v>
      </c>
      <c r="U68" s="23">
        <v>4560</v>
      </c>
      <c r="V68" s="23">
        <v>3506</v>
      </c>
      <c r="W68" s="23">
        <v>4108</v>
      </c>
      <c r="X68" s="23">
        <v>4985</v>
      </c>
      <c r="Y68" s="23">
        <v>5021</v>
      </c>
      <c r="Z68" s="23">
        <v>5336</v>
      </c>
      <c r="AA68" s="23">
        <v>4226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1023</v>
      </c>
      <c r="E69" s="23">
        <v>1087</v>
      </c>
      <c r="F69" s="23">
        <v>940</v>
      </c>
      <c r="G69" s="23">
        <v>945</v>
      </c>
      <c r="H69" s="23">
        <v>1028</v>
      </c>
      <c r="I69" s="23">
        <v>1211</v>
      </c>
      <c r="J69" s="23">
        <v>1316</v>
      </c>
      <c r="K69" s="23">
        <v>1469</v>
      </c>
      <c r="L69" s="23">
        <v>1836</v>
      </c>
      <c r="M69" s="23">
        <v>1455</v>
      </c>
      <c r="N69" s="23">
        <v>1651</v>
      </c>
      <c r="O69" s="23">
        <v>1650</v>
      </c>
      <c r="P69" s="23">
        <v>1773</v>
      </c>
      <c r="Q69" s="23">
        <v>1626</v>
      </c>
      <c r="R69" s="23">
        <v>1782</v>
      </c>
      <c r="S69" s="23">
        <v>1821</v>
      </c>
      <c r="T69" s="23">
        <v>1796</v>
      </c>
      <c r="U69" s="23">
        <v>1863</v>
      </c>
      <c r="V69" s="23">
        <v>1760</v>
      </c>
      <c r="W69" s="23">
        <v>1788</v>
      </c>
      <c r="X69" s="23">
        <v>1775</v>
      </c>
      <c r="Y69" s="23">
        <v>1808</v>
      </c>
      <c r="Z69" s="23">
        <v>1969</v>
      </c>
      <c r="AA69" s="23">
        <v>2478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2791</v>
      </c>
      <c r="E70" s="23">
        <v>3197</v>
      </c>
      <c r="F70" s="23">
        <v>2861</v>
      </c>
      <c r="G70" s="23">
        <v>2844</v>
      </c>
      <c r="H70" s="23">
        <v>3038</v>
      </c>
      <c r="I70" s="23">
        <v>3272</v>
      </c>
      <c r="J70" s="23">
        <v>3819</v>
      </c>
      <c r="K70" s="23">
        <v>4347</v>
      </c>
      <c r="L70" s="23">
        <v>4719</v>
      </c>
      <c r="M70" s="23">
        <v>3972</v>
      </c>
      <c r="N70" s="23">
        <v>4285</v>
      </c>
      <c r="O70" s="23">
        <v>4648</v>
      </c>
      <c r="P70" s="23">
        <v>4622</v>
      </c>
      <c r="Q70" s="23">
        <v>4340</v>
      </c>
      <c r="R70" s="23">
        <v>4406</v>
      </c>
      <c r="S70" s="23">
        <v>4701</v>
      </c>
      <c r="T70" s="23">
        <v>4669</v>
      </c>
      <c r="U70" s="23">
        <v>5085</v>
      </c>
      <c r="V70" s="23">
        <v>5492</v>
      </c>
      <c r="W70" s="23">
        <v>5660</v>
      </c>
      <c r="X70" s="23">
        <v>5413</v>
      </c>
      <c r="Y70" s="23">
        <v>6202</v>
      </c>
      <c r="Z70" s="23">
        <v>5953</v>
      </c>
      <c r="AA70" s="23">
        <v>6908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401</v>
      </c>
      <c r="E71" s="23">
        <v>407</v>
      </c>
      <c r="F71" s="23">
        <v>429</v>
      </c>
      <c r="G71" s="23">
        <v>389</v>
      </c>
      <c r="H71" s="23">
        <v>379</v>
      </c>
      <c r="I71" s="23">
        <v>449</v>
      </c>
      <c r="J71" s="23">
        <v>476</v>
      </c>
      <c r="K71" s="23">
        <v>542</v>
      </c>
      <c r="L71" s="23">
        <v>517</v>
      </c>
      <c r="M71" s="23">
        <v>353</v>
      </c>
      <c r="N71" s="23">
        <v>384</v>
      </c>
      <c r="O71" s="23">
        <v>464</v>
      </c>
      <c r="P71" s="23">
        <v>417</v>
      </c>
      <c r="Q71" s="23">
        <v>415</v>
      </c>
      <c r="R71" s="23">
        <v>452</v>
      </c>
      <c r="S71" s="23">
        <v>490</v>
      </c>
      <c r="T71" s="23">
        <v>501</v>
      </c>
      <c r="U71" s="23">
        <v>619</v>
      </c>
      <c r="V71" s="23">
        <v>739</v>
      </c>
      <c r="W71" s="23">
        <v>763</v>
      </c>
      <c r="X71" s="23">
        <v>661</v>
      </c>
      <c r="Y71" s="23">
        <v>713</v>
      </c>
      <c r="Z71" s="23">
        <v>608</v>
      </c>
      <c r="AA71" s="23">
        <v>672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405</v>
      </c>
      <c r="E72" s="23">
        <v>560</v>
      </c>
      <c r="F72" s="23">
        <v>659</v>
      </c>
      <c r="G72" s="23">
        <v>666</v>
      </c>
      <c r="H72" s="23">
        <v>499</v>
      </c>
      <c r="I72" s="23">
        <v>539</v>
      </c>
      <c r="J72" s="23">
        <v>576</v>
      </c>
      <c r="K72" s="23">
        <v>497</v>
      </c>
      <c r="L72" s="23">
        <v>575</v>
      </c>
      <c r="M72" s="23">
        <v>426</v>
      </c>
      <c r="N72" s="23">
        <v>395</v>
      </c>
      <c r="O72" s="23">
        <v>435</v>
      </c>
      <c r="P72" s="23">
        <v>465</v>
      </c>
      <c r="Q72" s="23">
        <v>505</v>
      </c>
      <c r="R72" s="23">
        <v>429</v>
      </c>
      <c r="S72" s="23">
        <v>394</v>
      </c>
      <c r="T72" s="23">
        <v>563</v>
      </c>
      <c r="U72" s="23">
        <v>456</v>
      </c>
      <c r="V72" s="23">
        <v>446</v>
      </c>
      <c r="W72" s="23">
        <v>343</v>
      </c>
      <c r="X72" s="23">
        <v>445</v>
      </c>
      <c r="Y72" s="23">
        <v>468</v>
      </c>
      <c r="Z72" s="23">
        <v>482</v>
      </c>
      <c r="AA72" s="23">
        <v>615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1001</v>
      </c>
      <c r="E73" s="23">
        <v>1052</v>
      </c>
      <c r="F73" s="23">
        <v>966</v>
      </c>
      <c r="G73" s="23">
        <v>954</v>
      </c>
      <c r="H73" s="23">
        <v>1029</v>
      </c>
      <c r="I73" s="23">
        <v>921</v>
      </c>
      <c r="J73" s="23">
        <v>927</v>
      </c>
      <c r="K73" s="23">
        <v>928</v>
      </c>
      <c r="L73" s="23">
        <v>801</v>
      </c>
      <c r="M73" s="23">
        <v>667</v>
      </c>
      <c r="N73" s="23">
        <v>663</v>
      </c>
      <c r="O73" s="23">
        <v>682</v>
      </c>
      <c r="P73" s="23">
        <v>676</v>
      </c>
      <c r="Q73" s="23">
        <v>625</v>
      </c>
      <c r="R73" s="23">
        <v>602</v>
      </c>
      <c r="S73" s="23">
        <v>596</v>
      </c>
      <c r="T73" s="23">
        <v>613</v>
      </c>
      <c r="U73" s="23">
        <v>616</v>
      </c>
      <c r="V73" s="23">
        <v>677</v>
      </c>
      <c r="W73" s="23">
        <v>690</v>
      </c>
      <c r="X73" s="23">
        <v>653</v>
      </c>
      <c r="Y73" s="23">
        <v>701</v>
      </c>
      <c r="Z73" s="23">
        <v>804</v>
      </c>
      <c r="AA73" s="23">
        <v>743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937</v>
      </c>
      <c r="E74" s="23">
        <v>1073</v>
      </c>
      <c r="F74" s="23">
        <v>1047</v>
      </c>
      <c r="G74" s="23">
        <v>1086</v>
      </c>
      <c r="H74" s="23">
        <v>997</v>
      </c>
      <c r="I74" s="23">
        <v>1179</v>
      </c>
      <c r="J74" s="23">
        <v>1055</v>
      </c>
      <c r="K74" s="23">
        <v>1330</v>
      </c>
      <c r="L74" s="23">
        <v>1467</v>
      </c>
      <c r="M74" s="23">
        <v>1351</v>
      </c>
      <c r="N74" s="23">
        <v>1296</v>
      </c>
      <c r="O74" s="23">
        <v>1322</v>
      </c>
      <c r="P74" s="23">
        <v>1337</v>
      </c>
      <c r="Q74" s="23">
        <v>1280</v>
      </c>
      <c r="R74" s="23">
        <v>1281</v>
      </c>
      <c r="S74" s="23">
        <v>1341</v>
      </c>
      <c r="T74" s="23">
        <v>1368</v>
      </c>
      <c r="U74" s="23">
        <v>1466</v>
      </c>
      <c r="V74" s="23">
        <v>1501</v>
      </c>
      <c r="W74" s="23">
        <v>1560</v>
      </c>
      <c r="X74" s="23">
        <v>1534</v>
      </c>
      <c r="Y74" s="23">
        <v>1600</v>
      </c>
      <c r="Z74" s="23">
        <v>1704</v>
      </c>
      <c r="AA74" s="23">
        <v>1819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32951</v>
      </c>
      <c r="E75" s="30">
        <f t="shared" ref="E75:Y75" si="6">SUM(E56:E74)</f>
        <v>34135</v>
      </c>
      <c r="F75" s="30">
        <f t="shared" si="6"/>
        <v>33955</v>
      </c>
      <c r="G75" s="30">
        <f t="shared" si="6"/>
        <v>33305</v>
      </c>
      <c r="H75" s="30">
        <f t="shared" si="6"/>
        <v>34201</v>
      </c>
      <c r="I75" s="30">
        <f t="shared" si="6"/>
        <v>34939</v>
      </c>
      <c r="J75" s="30">
        <f t="shared" si="6"/>
        <v>37710</v>
      </c>
      <c r="K75" s="30">
        <f t="shared" si="6"/>
        <v>41399</v>
      </c>
      <c r="L75" s="30">
        <f t="shared" si="6"/>
        <v>40386</v>
      </c>
      <c r="M75" s="30">
        <f t="shared" si="6"/>
        <v>30295</v>
      </c>
      <c r="N75" s="30">
        <f t="shared" si="6"/>
        <v>32059</v>
      </c>
      <c r="O75" s="30">
        <f t="shared" si="6"/>
        <v>32327</v>
      </c>
      <c r="P75" s="30">
        <f t="shared" si="6"/>
        <v>29246</v>
      </c>
      <c r="Q75" s="30">
        <f t="shared" si="6"/>
        <v>29799</v>
      </c>
      <c r="R75" s="30">
        <f t="shared" si="6"/>
        <v>30060</v>
      </c>
      <c r="S75" s="30">
        <f t="shared" si="6"/>
        <v>31195</v>
      </c>
      <c r="T75" s="30">
        <f t="shared" si="6"/>
        <v>31813</v>
      </c>
      <c r="U75" s="30">
        <f t="shared" si="6"/>
        <v>34547</v>
      </c>
      <c r="V75" s="30">
        <f t="shared" si="6"/>
        <v>34299</v>
      </c>
      <c r="W75" s="30">
        <f t="shared" si="6"/>
        <v>35091</v>
      </c>
      <c r="X75" s="30">
        <f t="shared" si="6"/>
        <v>34331</v>
      </c>
      <c r="Y75" s="30">
        <f t="shared" si="6"/>
        <v>37166</v>
      </c>
      <c r="Z75" s="30">
        <f t="shared" ref="Z75:AA75" si="7">SUM(Z56:Z74)</f>
        <v>41930</v>
      </c>
      <c r="AA75" s="30">
        <f t="shared" si="7"/>
        <v>39456</v>
      </c>
    </row>
  </sheetData>
  <mergeCells count="4">
    <mergeCell ref="A6:A16"/>
    <mergeCell ref="A18:A39"/>
    <mergeCell ref="A41:A54"/>
    <mergeCell ref="A56:A75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/>
  <dimension ref="A1:AA75"/>
  <sheetViews>
    <sheetView showGridLines="0" zoomScaleNormal="100" workbookViewId="0">
      <pane xSplit="3" ySplit="1" topLeftCell="D2" activePane="bottomRight" state="frozen"/>
      <selection activeCell="D2" sqref="D2"/>
      <selection pane="topRight" activeCell="D2" sqref="D2"/>
      <selection pane="bottomLeft" activeCell="D2" sqref="D2"/>
      <selection pane="bottomRight" activeCell="D2" sqref="D2"/>
    </sheetView>
  </sheetViews>
  <sheetFormatPr defaultColWidth="9.140625" defaultRowHeight="11.25" x14ac:dyDescent="0.2"/>
  <cols>
    <col min="1" max="1" width="3.28515625" style="10" customWidth="1" collapsed="1"/>
    <col min="2" max="2" width="9.28515625" style="10" customWidth="1"/>
    <col min="3" max="3" width="42.7109375" style="10" customWidth="1" collapsed="1"/>
    <col min="4" max="27" width="8.7109375" style="10" customWidth="1"/>
    <col min="28" max="16384" width="9.140625" style="10"/>
  </cols>
  <sheetData>
    <row r="1" spans="1:27" ht="12.75" customHeight="1" x14ac:dyDescent="0.2">
      <c r="A1" s="13"/>
      <c r="B1" s="14" t="s">
        <v>279</v>
      </c>
      <c r="C1" s="15" t="s">
        <v>274</v>
      </c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ht="12.75" customHeight="1" x14ac:dyDescent="0.2">
      <c r="A2" s="16"/>
      <c r="B2" s="17" t="s">
        <v>24</v>
      </c>
      <c r="C2" s="18" t="s">
        <v>25</v>
      </c>
      <c r="D2" s="19">
        <v>211189.72170330738</v>
      </c>
      <c r="E2" s="19">
        <v>216765.35155877707</v>
      </c>
      <c r="F2" s="19">
        <v>220423.09141053993</v>
      </c>
      <c r="G2" s="19">
        <v>224857.35355313899</v>
      </c>
      <c r="H2" s="19">
        <v>233865.72804811911</v>
      </c>
      <c r="I2" s="19">
        <v>240360.96094570504</v>
      </c>
      <c r="J2" s="19">
        <v>250020.92942884803</v>
      </c>
      <c r="K2" s="19">
        <v>263304.77356446377</v>
      </c>
      <c r="L2" s="19">
        <v>265371.42218412476</v>
      </c>
      <c r="M2" s="19">
        <v>243937.84410829993</v>
      </c>
      <c r="N2" s="19">
        <v>251668.37829429607</v>
      </c>
      <c r="O2" s="19">
        <v>257681.89476898918</v>
      </c>
      <c r="P2" s="19">
        <v>253758.91659603326</v>
      </c>
      <c r="Q2" s="19">
        <v>251274.15435790955</v>
      </c>
      <c r="R2" s="19">
        <v>250070.49657499441</v>
      </c>
      <c r="S2" s="19">
        <v>251238.29376000003</v>
      </c>
      <c r="T2" s="19">
        <v>257700.48049572736</v>
      </c>
      <c r="U2" s="19">
        <v>266211.976846529</v>
      </c>
      <c r="V2" s="19">
        <v>269389.87754626031</v>
      </c>
      <c r="W2" s="19">
        <v>273025.34455712931</v>
      </c>
      <c r="X2" s="19">
        <v>266223.80936946446</v>
      </c>
      <c r="Y2" s="19">
        <v>273348.13465958188</v>
      </c>
      <c r="Z2" s="19">
        <v>275435.39188861568</v>
      </c>
      <c r="AA2" s="19">
        <v>272848</v>
      </c>
    </row>
    <row r="3" spans="1:27" ht="12.75" customHeight="1" x14ac:dyDescent="0.2">
      <c r="A3" s="20"/>
      <c r="B3" s="21" t="s">
        <v>26</v>
      </c>
      <c r="C3" s="22" t="s">
        <v>27</v>
      </c>
      <c r="D3" s="23">
        <v>100448.66241772019</v>
      </c>
      <c r="E3" s="23">
        <v>103145.81175363404</v>
      </c>
      <c r="F3" s="23">
        <v>105728.0092593751</v>
      </c>
      <c r="G3" s="23">
        <v>110096.19848349688</v>
      </c>
      <c r="H3" s="23">
        <v>114229.01738389116</v>
      </c>
      <c r="I3" s="23">
        <v>117855.71907433894</v>
      </c>
      <c r="J3" s="23">
        <v>122480.24991861488</v>
      </c>
      <c r="K3" s="23">
        <v>126771.07963094392</v>
      </c>
      <c r="L3" s="23">
        <v>129268.13681392846</v>
      </c>
      <c r="M3" s="23">
        <v>125490.73950825194</v>
      </c>
      <c r="N3" s="23">
        <v>128255.09934244025</v>
      </c>
      <c r="O3" s="23">
        <v>131964.96473689287</v>
      </c>
      <c r="P3" s="23">
        <v>132482.2263167768</v>
      </c>
      <c r="Q3" s="23">
        <v>131835.74328394659</v>
      </c>
      <c r="R3" s="23">
        <v>132539.96937760586</v>
      </c>
      <c r="S3" s="23">
        <v>134340.41303999998</v>
      </c>
      <c r="T3" s="23">
        <v>136823.82542709654</v>
      </c>
      <c r="U3" s="23">
        <v>137433.47960151802</v>
      </c>
      <c r="V3" s="23">
        <v>139001.92284275845</v>
      </c>
      <c r="W3" s="23">
        <v>139575.21878260869</v>
      </c>
      <c r="X3" s="23">
        <v>134794.63256485536</v>
      </c>
      <c r="Y3" s="23">
        <v>139109.1836953758</v>
      </c>
      <c r="Z3" s="23">
        <v>140305.25452808829</v>
      </c>
      <c r="AA3" s="23">
        <v>140246</v>
      </c>
    </row>
    <row r="4" spans="1:27" ht="12.75" customHeight="1" x14ac:dyDescent="0.2">
      <c r="A4" s="24"/>
      <c r="B4" s="25" t="s">
        <v>28</v>
      </c>
      <c r="C4" s="26" t="s">
        <v>29</v>
      </c>
      <c r="D4" s="27">
        <v>187785.17605772644</v>
      </c>
      <c r="E4" s="27">
        <v>193006.70758826807</v>
      </c>
      <c r="F4" s="27">
        <v>195543.80157077257</v>
      </c>
      <c r="G4" s="27">
        <v>197849.98117776282</v>
      </c>
      <c r="H4" s="27">
        <v>205523.55588482245</v>
      </c>
      <c r="I4" s="27">
        <v>210825.60538390945</v>
      </c>
      <c r="J4" s="27">
        <v>218814.99561073791</v>
      </c>
      <c r="K4" s="27">
        <v>231986.65682142816</v>
      </c>
      <c r="L4" s="27">
        <v>234109.96513383664</v>
      </c>
      <c r="M4" s="27">
        <v>213919.36687447346</v>
      </c>
      <c r="N4" s="27">
        <v>220795.09545780323</v>
      </c>
      <c r="O4" s="27">
        <v>224613.07186520888</v>
      </c>
      <c r="P4" s="27">
        <v>220015.51711099307</v>
      </c>
      <c r="Q4" s="27">
        <v>217492.74015078449</v>
      </c>
      <c r="R4" s="27">
        <v>216540.36861961376</v>
      </c>
      <c r="S4" s="27">
        <v>217204.66003999996</v>
      </c>
      <c r="T4" s="27">
        <v>222264.59818561896</v>
      </c>
      <c r="U4" s="27">
        <v>230606.69083007556</v>
      </c>
      <c r="V4" s="27">
        <v>232442.9629910393</v>
      </c>
      <c r="W4" s="27">
        <v>236210.71219886013</v>
      </c>
      <c r="X4" s="27">
        <v>230475.80676373973</v>
      </c>
      <c r="Y4" s="27">
        <v>236820.49237072491</v>
      </c>
      <c r="Z4" s="27">
        <v>239365.47648742853</v>
      </c>
      <c r="AA4" s="27">
        <v>238964</v>
      </c>
    </row>
    <row r="5" spans="1:27" ht="12.75" customHeight="1" x14ac:dyDescent="0.2">
      <c r="B5" s="10" t="s">
        <v>30</v>
      </c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  <c r="AA5" s="11"/>
    </row>
    <row r="6" spans="1:27" ht="12.75" customHeight="1" x14ac:dyDescent="0.2">
      <c r="A6" s="151" t="s">
        <v>31</v>
      </c>
      <c r="B6" s="17" t="s">
        <v>32</v>
      </c>
      <c r="C6" s="18" t="s">
        <v>33</v>
      </c>
      <c r="D6" s="19">
        <v>6342.1266248702077</v>
      </c>
      <c r="E6" s="19">
        <v>6062.2122992756185</v>
      </c>
      <c r="F6" s="19">
        <v>5960.7120166612294</v>
      </c>
      <c r="G6" s="19">
        <v>5750.7230834519087</v>
      </c>
      <c r="H6" s="19">
        <v>5585.4577468266907</v>
      </c>
      <c r="I6" s="19">
        <v>5496.9956316916496</v>
      </c>
      <c r="J6" s="19">
        <v>5023.1544486747334</v>
      </c>
      <c r="K6" s="19">
        <v>6294.0527440356036</v>
      </c>
      <c r="L6" s="19">
        <v>5867.541249142072</v>
      </c>
      <c r="M6" s="19">
        <v>5508.9072058410557</v>
      </c>
      <c r="N6" s="19">
        <v>5970.8777772800568</v>
      </c>
      <c r="O6" s="19">
        <v>5856.7111807366182</v>
      </c>
      <c r="P6" s="19">
        <v>5576.5649495485923</v>
      </c>
      <c r="Q6" s="19">
        <v>5588.8035134658658</v>
      </c>
      <c r="R6" s="19">
        <v>5573.196871749903</v>
      </c>
      <c r="S6" s="19">
        <v>5185.6795399999992</v>
      </c>
      <c r="T6" s="19">
        <v>5398.7424559157425</v>
      </c>
      <c r="U6" s="19">
        <v>5520.6466969618787</v>
      </c>
      <c r="V6" s="19">
        <v>5705.4425136548289</v>
      </c>
      <c r="W6" s="19">
        <v>5990.4275300541221</v>
      </c>
      <c r="X6" s="19">
        <v>5968.4992328906383</v>
      </c>
      <c r="Y6" s="19">
        <v>5907.6707423500557</v>
      </c>
      <c r="Z6" s="19">
        <v>6177.3005301896746</v>
      </c>
      <c r="AA6" s="19">
        <v>6379</v>
      </c>
    </row>
    <row r="7" spans="1:27" ht="12.75" customHeight="1" x14ac:dyDescent="0.2">
      <c r="A7" s="152"/>
      <c r="B7" s="21" t="s">
        <v>34</v>
      </c>
      <c r="C7" s="22" t="s">
        <v>35</v>
      </c>
      <c r="D7" s="23">
        <v>56273.390534022052</v>
      </c>
      <c r="E7" s="23">
        <v>56547.794716579701</v>
      </c>
      <c r="F7" s="23">
        <v>56264.735026221359</v>
      </c>
      <c r="G7" s="23">
        <v>55531.54062757433</v>
      </c>
      <c r="H7" s="23">
        <v>56627.78932681385</v>
      </c>
      <c r="I7" s="23">
        <v>57018.143921688592</v>
      </c>
      <c r="J7" s="23">
        <v>61529.286660038306</v>
      </c>
      <c r="K7" s="23">
        <v>65491.788433615468</v>
      </c>
      <c r="L7" s="23">
        <v>62465.208625028594</v>
      </c>
      <c r="M7" s="23">
        <v>48289.014726200505</v>
      </c>
      <c r="N7" s="23">
        <v>51681.011041927966</v>
      </c>
      <c r="O7" s="23">
        <v>50399.196796739772</v>
      </c>
      <c r="P7" s="23">
        <v>45019.475305363776</v>
      </c>
      <c r="Q7" s="23">
        <v>44804.795818685248</v>
      </c>
      <c r="R7" s="23">
        <v>44425.64314701144</v>
      </c>
      <c r="S7" s="23">
        <v>44913.420739999994</v>
      </c>
      <c r="T7" s="23">
        <v>45639.014252993125</v>
      </c>
      <c r="U7" s="23">
        <v>49123.895183854896</v>
      </c>
      <c r="V7" s="23">
        <v>48138.434816413006</v>
      </c>
      <c r="W7" s="23">
        <v>48891.431122180184</v>
      </c>
      <c r="X7" s="23">
        <v>47222.820025789937</v>
      </c>
      <c r="Y7" s="23">
        <v>49890.174926738749</v>
      </c>
      <c r="Z7" s="23">
        <v>53647.75803284927</v>
      </c>
      <c r="AA7" s="23">
        <v>49112</v>
      </c>
    </row>
    <row r="8" spans="1:27" ht="12.75" customHeight="1" x14ac:dyDescent="0.2">
      <c r="A8" s="152"/>
      <c r="B8" s="21" t="s">
        <v>36</v>
      </c>
      <c r="C8" s="22" t="s">
        <v>37</v>
      </c>
      <c r="D8" s="23">
        <v>11557.463506959504</v>
      </c>
      <c r="E8" s="23">
        <v>11317.747023960284</v>
      </c>
      <c r="F8" s="23">
        <v>10896.92665545881</v>
      </c>
      <c r="G8" s="23">
        <v>11435.689458049377</v>
      </c>
      <c r="H8" s="23">
        <v>12313.7314910851</v>
      </c>
      <c r="I8" s="23">
        <v>13560.81864790456</v>
      </c>
      <c r="J8" s="23">
        <v>14378.416664645825</v>
      </c>
      <c r="K8" s="23">
        <v>15604.388568190672</v>
      </c>
      <c r="L8" s="23">
        <v>16194.632990162434</v>
      </c>
      <c r="M8" s="23">
        <v>14435.327402415051</v>
      </c>
      <c r="N8" s="23">
        <v>14379.450546497043</v>
      </c>
      <c r="O8" s="23">
        <v>14517.822922372427</v>
      </c>
      <c r="P8" s="23">
        <v>14505.427551779074</v>
      </c>
      <c r="Q8" s="23">
        <v>14064.513974011967</v>
      </c>
      <c r="R8" s="23">
        <v>13533.162611905294</v>
      </c>
      <c r="S8" s="23">
        <v>13735.884479999999</v>
      </c>
      <c r="T8" s="23">
        <v>15010.611788475579</v>
      </c>
      <c r="U8" s="23">
        <v>16200.787391105905</v>
      </c>
      <c r="V8" s="23">
        <v>16926.650378058974</v>
      </c>
      <c r="W8" s="23">
        <v>17164.989166147807</v>
      </c>
      <c r="X8" s="23">
        <v>17319.466807224948</v>
      </c>
      <c r="Y8" s="23">
        <v>16415.207253552828</v>
      </c>
      <c r="Z8" s="23">
        <v>15752.375249742689</v>
      </c>
      <c r="AA8" s="23">
        <v>14925</v>
      </c>
    </row>
    <row r="9" spans="1:27" ht="12.75" customHeight="1" x14ac:dyDescent="0.2">
      <c r="A9" s="152"/>
      <c r="B9" s="21" t="s">
        <v>38</v>
      </c>
      <c r="C9" s="22" t="s">
        <v>39</v>
      </c>
      <c r="D9" s="23">
        <v>31354.970440177174</v>
      </c>
      <c r="E9" s="23">
        <v>33052.552201002989</v>
      </c>
      <c r="F9" s="23">
        <v>33712.272953102649</v>
      </c>
      <c r="G9" s="23">
        <v>33791.475997903093</v>
      </c>
      <c r="H9" s="23">
        <v>35180.400355608239</v>
      </c>
      <c r="I9" s="23">
        <v>36027.883683083513</v>
      </c>
      <c r="J9" s="23">
        <v>35638.264568227554</v>
      </c>
      <c r="K9" s="23">
        <v>37519.791172338897</v>
      </c>
      <c r="L9" s="23">
        <v>38660.851269732324</v>
      </c>
      <c r="M9" s="23">
        <v>34996.893164841335</v>
      </c>
      <c r="N9" s="23">
        <v>35616.09151585737</v>
      </c>
      <c r="O9" s="23">
        <v>37176.015293267017</v>
      </c>
      <c r="P9" s="23">
        <v>37573.457567711092</v>
      </c>
      <c r="Q9" s="23">
        <v>36012.456854265831</v>
      </c>
      <c r="R9" s="23">
        <v>34780.899382099225</v>
      </c>
      <c r="S9" s="23">
        <v>34429.511699999995</v>
      </c>
      <c r="T9" s="23">
        <v>34479.85670990908</v>
      </c>
      <c r="U9" s="23">
        <v>35760.057289702927</v>
      </c>
      <c r="V9" s="23">
        <v>35497.557389157773</v>
      </c>
      <c r="W9" s="23">
        <v>35814.108759998089</v>
      </c>
      <c r="X9" s="23">
        <v>32463.857421194811</v>
      </c>
      <c r="Y9" s="23">
        <v>32867.811789779254</v>
      </c>
      <c r="Z9" s="23">
        <v>33845.186241015748</v>
      </c>
      <c r="AA9" s="23">
        <v>34688</v>
      </c>
    </row>
    <row r="10" spans="1:27" ht="12.75" customHeight="1" x14ac:dyDescent="0.2">
      <c r="A10" s="152"/>
      <c r="B10" s="21" t="s">
        <v>40</v>
      </c>
      <c r="C10" s="22" t="s">
        <v>41</v>
      </c>
      <c r="D10" s="23">
        <v>9025.3340430845255</v>
      </c>
      <c r="E10" s="23">
        <v>10398.862418317207</v>
      </c>
      <c r="F10" s="23">
        <v>11002.080345268863</v>
      </c>
      <c r="G10" s="23">
        <v>10754.210839012458</v>
      </c>
      <c r="H10" s="23">
        <v>11547.91171531585</v>
      </c>
      <c r="I10" s="23">
        <v>10533.954848577547</v>
      </c>
      <c r="J10" s="23">
        <v>10364.248441933214</v>
      </c>
      <c r="K10" s="23">
        <v>11212.827401400054</v>
      </c>
      <c r="L10" s="23">
        <v>11257.077854037978</v>
      </c>
      <c r="M10" s="23">
        <v>10876.594866610501</v>
      </c>
      <c r="N10" s="23">
        <v>11005.830854685539</v>
      </c>
      <c r="O10" s="23">
        <v>11245.147805701014</v>
      </c>
      <c r="P10" s="23">
        <v>11380.770748805096</v>
      </c>
      <c r="Q10" s="23">
        <v>11541.419386284209</v>
      </c>
      <c r="R10" s="23">
        <v>11988.782755878214</v>
      </c>
      <c r="S10" s="23">
        <v>12314.641899999999</v>
      </c>
      <c r="T10" s="23">
        <v>12789.079566709008</v>
      </c>
      <c r="U10" s="23">
        <v>13462.442085210245</v>
      </c>
      <c r="V10" s="23">
        <v>13627.664139794351</v>
      </c>
      <c r="W10" s="23">
        <v>14113.002251065665</v>
      </c>
      <c r="X10" s="23">
        <v>14278.868066602035</v>
      </c>
      <c r="Y10" s="23">
        <v>15174.497404852238</v>
      </c>
      <c r="Z10" s="23">
        <v>14564.552331364222</v>
      </c>
      <c r="AA10" s="23">
        <v>15062</v>
      </c>
    </row>
    <row r="11" spans="1:27" ht="12.75" customHeight="1" x14ac:dyDescent="0.2">
      <c r="A11" s="152"/>
      <c r="B11" s="21" t="s">
        <v>42</v>
      </c>
      <c r="C11" s="22" t="s">
        <v>43</v>
      </c>
      <c r="D11" s="23">
        <v>6194.1961279129373</v>
      </c>
      <c r="E11" s="23">
        <v>6389.7355250493893</v>
      </c>
      <c r="F11" s="23">
        <v>5597.1806890321932</v>
      </c>
      <c r="G11" s="23">
        <v>5235.1307072068703</v>
      </c>
      <c r="H11" s="23">
        <v>5572.1519978268389</v>
      </c>
      <c r="I11" s="23">
        <v>6046.4021780360972</v>
      </c>
      <c r="J11" s="23">
        <v>6531.5525620195449</v>
      </c>
      <c r="K11" s="23">
        <v>7313.1437003458823</v>
      </c>
      <c r="L11" s="23">
        <v>6764.6559826126741</v>
      </c>
      <c r="M11" s="23">
        <v>6605.0398652064023</v>
      </c>
      <c r="N11" s="23">
        <v>6269.8909693603291</v>
      </c>
      <c r="O11" s="23">
        <v>6423.3627440240134</v>
      </c>
      <c r="P11" s="23">
        <v>6338.3351672862445</v>
      </c>
      <c r="Q11" s="23">
        <v>6038.2918209252402</v>
      </c>
      <c r="R11" s="23">
        <v>7030.8961192568868</v>
      </c>
      <c r="S11" s="23">
        <v>6982.8868799999991</v>
      </c>
      <c r="T11" s="23">
        <v>7392.7322937816944</v>
      </c>
      <c r="U11" s="23">
        <v>7741.022999226082</v>
      </c>
      <c r="V11" s="23">
        <v>7605.705133438295</v>
      </c>
      <c r="W11" s="23">
        <v>6913.7080511518761</v>
      </c>
      <c r="X11" s="23">
        <v>6959.1168359327203</v>
      </c>
      <c r="Y11" s="23">
        <v>7750.0368740641397</v>
      </c>
      <c r="Z11" s="23">
        <v>8388.2873922106228</v>
      </c>
      <c r="AA11" s="23">
        <v>10078</v>
      </c>
    </row>
    <row r="12" spans="1:27" ht="12.75" customHeight="1" x14ac:dyDescent="0.2">
      <c r="A12" s="152"/>
      <c r="B12" s="21" t="s">
        <v>44</v>
      </c>
      <c r="C12" s="22" t="s">
        <v>45</v>
      </c>
      <c r="D12" s="23">
        <v>17743.790991417267</v>
      </c>
      <c r="E12" s="23">
        <v>18179.055341674684</v>
      </c>
      <c r="F12" s="23">
        <v>19195.054977040625</v>
      </c>
      <c r="G12" s="23">
        <v>20175.353853066728</v>
      </c>
      <c r="H12" s="23">
        <v>20901.853262211687</v>
      </c>
      <c r="I12" s="23">
        <v>21507.434934230652</v>
      </c>
      <c r="J12" s="23">
        <v>22194.793413681884</v>
      </c>
      <c r="K12" s="23">
        <v>22752.159672297577</v>
      </c>
      <c r="L12" s="23">
        <v>23916.667902081903</v>
      </c>
      <c r="M12" s="23">
        <v>24079.949856781801</v>
      </c>
      <c r="N12" s="23">
        <v>24639.759720480197</v>
      </c>
      <c r="O12" s="23">
        <v>25680.334041760696</v>
      </c>
      <c r="P12" s="23">
        <v>25578.438045671795</v>
      </c>
      <c r="Q12" s="23">
        <v>25946.153791909073</v>
      </c>
      <c r="R12" s="23">
        <v>26509.615963456163</v>
      </c>
      <c r="S12" s="23">
        <v>27492.123739999995</v>
      </c>
      <c r="T12" s="23">
        <v>28488.306464357513</v>
      </c>
      <c r="U12" s="23">
        <v>29216.540610799115</v>
      </c>
      <c r="V12" s="23">
        <v>29864.262017221605</v>
      </c>
      <c r="W12" s="23">
        <v>30394.853527467792</v>
      </c>
      <c r="X12" s="23">
        <v>30751.971028679538</v>
      </c>
      <c r="Y12" s="23">
        <v>31040.844539166064</v>
      </c>
      <c r="Z12" s="23">
        <v>29920.296214290036</v>
      </c>
      <c r="AA12" s="23">
        <v>29943</v>
      </c>
    </row>
    <row r="13" spans="1:27" ht="12.75" customHeight="1" x14ac:dyDescent="0.2">
      <c r="A13" s="152"/>
      <c r="B13" s="21" t="s">
        <v>46</v>
      </c>
      <c r="C13" s="22" t="s">
        <v>47</v>
      </c>
      <c r="D13" s="23">
        <v>10407.067833813073</v>
      </c>
      <c r="E13" s="23">
        <v>11172.181145838609</v>
      </c>
      <c r="F13" s="23">
        <v>11515.831229769403</v>
      </c>
      <c r="G13" s="23">
        <v>12021.521955116204</v>
      </c>
      <c r="H13" s="23">
        <v>12953.885859633527</v>
      </c>
      <c r="I13" s="23">
        <v>13850.905304374428</v>
      </c>
      <c r="J13" s="23">
        <v>14919.93013555787</v>
      </c>
      <c r="K13" s="23">
        <v>16360.579499710782</v>
      </c>
      <c r="L13" s="23">
        <v>17732.739624799815</v>
      </c>
      <c r="M13" s="23">
        <v>16888.512642516147</v>
      </c>
      <c r="N13" s="23">
        <v>17525.122961834793</v>
      </c>
      <c r="O13" s="23">
        <v>18421.422580574483</v>
      </c>
      <c r="P13" s="23">
        <v>18573.712904938926</v>
      </c>
      <c r="Q13" s="23">
        <v>18375.628348318452</v>
      </c>
      <c r="R13" s="23">
        <v>18145.547668087362</v>
      </c>
      <c r="S13" s="23">
        <v>18069.057939999999</v>
      </c>
      <c r="T13" s="23">
        <v>18688.415267206114</v>
      </c>
      <c r="U13" s="23">
        <v>19933.490623697733</v>
      </c>
      <c r="V13" s="23">
        <v>20969.217641456253</v>
      </c>
      <c r="W13" s="23">
        <v>21789.420297906989</v>
      </c>
      <c r="X13" s="23">
        <v>20914.540929755374</v>
      </c>
      <c r="Y13" s="23">
        <v>21484.738895982806</v>
      </c>
      <c r="Z13" s="23">
        <v>21493.691953744627</v>
      </c>
      <c r="AA13" s="23">
        <v>21219</v>
      </c>
    </row>
    <row r="14" spans="1:27" ht="12.75" customHeight="1" x14ac:dyDescent="0.2">
      <c r="A14" s="152"/>
      <c r="B14" s="21" t="s">
        <v>48</v>
      </c>
      <c r="C14" s="22" t="s">
        <v>49</v>
      </c>
      <c r="D14" s="23">
        <v>34294.695635030163</v>
      </c>
      <c r="E14" s="23">
        <v>35126.865964236866</v>
      </c>
      <c r="F14" s="23">
        <v>36473.308408400873</v>
      </c>
      <c r="G14" s="23">
        <v>38028.30030704711</v>
      </c>
      <c r="H14" s="23">
        <v>39469.286783227144</v>
      </c>
      <c r="I14" s="23">
        <v>41152.747947384523</v>
      </c>
      <c r="J14" s="23">
        <v>42262.730969760159</v>
      </c>
      <c r="K14" s="23">
        <v>43280.97666182668</v>
      </c>
      <c r="L14" s="23">
        <v>44820.126012354151</v>
      </c>
      <c r="M14" s="23">
        <v>45615.258006178039</v>
      </c>
      <c r="N14" s="23">
        <v>46836.460983694677</v>
      </c>
      <c r="O14" s="23">
        <v>47882.057097784884</v>
      </c>
      <c r="P14" s="23">
        <v>48507.848773234196</v>
      </c>
      <c r="Q14" s="23">
        <v>48202.033413184829</v>
      </c>
      <c r="R14" s="23">
        <v>47709.739441646103</v>
      </c>
      <c r="S14" s="23">
        <v>47260.207139999991</v>
      </c>
      <c r="T14" s="23">
        <v>47418.635213394809</v>
      </c>
      <c r="U14" s="23">
        <v>46581.570257773892</v>
      </c>
      <c r="V14" s="23">
        <v>46992.226193947165</v>
      </c>
      <c r="W14" s="23">
        <v>47789.229158484603</v>
      </c>
      <c r="X14" s="23">
        <v>47777.295407697449</v>
      </c>
      <c r="Y14" s="23">
        <v>49355.613768522009</v>
      </c>
      <c r="Z14" s="23">
        <v>48655.173647929834</v>
      </c>
      <c r="AA14" s="23">
        <v>50444</v>
      </c>
    </row>
    <row r="15" spans="1:27" ht="12.75" customHeight="1" x14ac:dyDescent="0.2">
      <c r="A15" s="152"/>
      <c r="B15" s="21" t="s">
        <v>50</v>
      </c>
      <c r="C15" s="22" t="s">
        <v>51</v>
      </c>
      <c r="D15" s="23">
        <v>4592.1403204395201</v>
      </c>
      <c r="E15" s="23">
        <v>4759.7009523327079</v>
      </c>
      <c r="F15" s="23">
        <v>4925.6992698165759</v>
      </c>
      <c r="G15" s="23">
        <v>5126.0343493347318</v>
      </c>
      <c r="H15" s="23">
        <v>5371.0873462735217</v>
      </c>
      <c r="I15" s="23">
        <v>5630.3182869379016</v>
      </c>
      <c r="J15" s="23">
        <v>5972.6177461988009</v>
      </c>
      <c r="K15" s="23">
        <v>6156.9489676665371</v>
      </c>
      <c r="L15" s="23">
        <v>6430.4636238846942</v>
      </c>
      <c r="M15" s="23">
        <v>6623.869137882617</v>
      </c>
      <c r="N15" s="23">
        <v>6870.5990861852706</v>
      </c>
      <c r="O15" s="23">
        <v>7011.0014022479781</v>
      </c>
      <c r="P15" s="23">
        <v>6961.4860966542738</v>
      </c>
      <c r="Q15" s="23">
        <v>6918.6432297337933</v>
      </c>
      <c r="R15" s="23">
        <v>6842.8846585231558</v>
      </c>
      <c r="S15" s="23">
        <v>6821.2459799999988</v>
      </c>
      <c r="T15" s="23">
        <v>6959.2041728763043</v>
      </c>
      <c r="U15" s="23">
        <v>7066.2376917429001</v>
      </c>
      <c r="V15" s="23">
        <v>7115.8027678970584</v>
      </c>
      <c r="W15" s="23">
        <v>7349.5423344029896</v>
      </c>
      <c r="X15" s="23">
        <v>6819.3710079722905</v>
      </c>
      <c r="Y15" s="23">
        <v>6933.8961757167663</v>
      </c>
      <c r="Z15" s="23">
        <v>6920.8548940918008</v>
      </c>
      <c r="AA15" s="23">
        <v>7114</v>
      </c>
    </row>
    <row r="16" spans="1:27" ht="12.75" customHeight="1" x14ac:dyDescent="0.2">
      <c r="A16" s="153"/>
      <c r="B16" s="28" t="s">
        <v>52</v>
      </c>
      <c r="C16" s="29" t="s">
        <v>53</v>
      </c>
      <c r="D16" s="30">
        <f>SUM(D6:D15)</f>
        <v>187785.17605772644</v>
      </c>
      <c r="E16" s="30">
        <f t="shared" ref="E16:S16" si="0">SUM(E6:E15)</f>
        <v>193006.70758826804</v>
      </c>
      <c r="F16" s="30">
        <f t="shared" si="0"/>
        <v>195543.80157077254</v>
      </c>
      <c r="G16" s="30">
        <f t="shared" si="0"/>
        <v>197849.98117776285</v>
      </c>
      <c r="H16" s="30">
        <f t="shared" si="0"/>
        <v>205523.55588482245</v>
      </c>
      <c r="I16" s="30">
        <f t="shared" si="0"/>
        <v>210825.60538390942</v>
      </c>
      <c r="J16" s="30">
        <f t="shared" si="0"/>
        <v>218814.99561073791</v>
      </c>
      <c r="K16" s="30">
        <f t="shared" si="0"/>
        <v>231986.65682142816</v>
      </c>
      <c r="L16" s="30">
        <f t="shared" si="0"/>
        <v>234109.96513383664</v>
      </c>
      <c r="M16" s="30">
        <f t="shared" si="0"/>
        <v>213919.36687447343</v>
      </c>
      <c r="N16" s="30">
        <f t="shared" si="0"/>
        <v>220795.09545780325</v>
      </c>
      <c r="O16" s="30">
        <f t="shared" si="0"/>
        <v>224613.07186520891</v>
      </c>
      <c r="P16" s="30">
        <f t="shared" si="0"/>
        <v>220015.51711099307</v>
      </c>
      <c r="Q16" s="30">
        <f t="shared" si="0"/>
        <v>217492.74015078452</v>
      </c>
      <c r="R16" s="30">
        <f t="shared" si="0"/>
        <v>216540.36861961373</v>
      </c>
      <c r="S16" s="30">
        <f t="shared" si="0"/>
        <v>217204.66003999999</v>
      </c>
      <c r="T16" s="30">
        <f t="shared" ref="T16:Y16" si="1">SUM(T6:T15)</f>
        <v>222264.59818561899</v>
      </c>
      <c r="U16" s="30">
        <f t="shared" si="1"/>
        <v>230606.69083007556</v>
      </c>
      <c r="V16" s="30">
        <f t="shared" si="1"/>
        <v>232442.9629910393</v>
      </c>
      <c r="W16" s="30">
        <f t="shared" si="1"/>
        <v>236210.71219886013</v>
      </c>
      <c r="X16" s="30">
        <f t="shared" si="1"/>
        <v>230475.80676373973</v>
      </c>
      <c r="Y16" s="30">
        <f t="shared" si="1"/>
        <v>236820.49237072491</v>
      </c>
      <c r="Z16" s="30">
        <f t="shared" ref="Z16:AA16" si="2">SUM(Z6:Z15)</f>
        <v>239365.47648742853</v>
      </c>
      <c r="AA16" s="30">
        <f t="shared" si="2"/>
        <v>238964</v>
      </c>
    </row>
    <row r="17" spans="1:27" ht="12.75" customHeight="1" x14ac:dyDescent="0.2"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</row>
    <row r="18" spans="1:27" ht="12.75" customHeight="1" x14ac:dyDescent="0.2">
      <c r="A18" s="151" t="s">
        <v>54</v>
      </c>
      <c r="B18" s="17" t="s">
        <v>32</v>
      </c>
      <c r="C18" s="18" t="s">
        <v>33</v>
      </c>
      <c r="D18" s="19">
        <v>6342.1266248702077</v>
      </c>
      <c r="E18" s="19">
        <v>6062.2122992756185</v>
      </c>
      <c r="F18" s="19">
        <v>5960.7120166612294</v>
      </c>
      <c r="G18" s="19">
        <v>5750.7230834519087</v>
      </c>
      <c r="H18" s="19">
        <v>5585.4577468266907</v>
      </c>
      <c r="I18" s="19">
        <v>5496.9956316916496</v>
      </c>
      <c r="J18" s="19">
        <v>5023.1544486747334</v>
      </c>
      <c r="K18" s="19">
        <v>6294.0527440356036</v>
      </c>
      <c r="L18" s="19">
        <v>5867.541249142072</v>
      </c>
      <c r="M18" s="19">
        <v>5508.9072058410557</v>
      </c>
      <c r="N18" s="19">
        <v>5970.8777772800568</v>
      </c>
      <c r="O18" s="19">
        <v>5856.7111807366182</v>
      </c>
      <c r="P18" s="19">
        <v>5576.5649495485923</v>
      </c>
      <c r="Q18" s="19">
        <v>5588.8035134658658</v>
      </c>
      <c r="R18" s="19">
        <v>5573.196871749903</v>
      </c>
      <c r="S18" s="19">
        <v>5185.6795399999992</v>
      </c>
      <c r="T18" s="19">
        <v>5398.7424559157425</v>
      </c>
      <c r="U18" s="19">
        <v>5520.6466969618787</v>
      </c>
      <c r="V18" s="19">
        <v>5705.4425136548289</v>
      </c>
      <c r="W18" s="19">
        <v>5990.4275300541221</v>
      </c>
      <c r="X18" s="19">
        <v>5968.4992328906383</v>
      </c>
      <c r="Y18" s="19">
        <v>5907.6707423500557</v>
      </c>
      <c r="Z18" s="19">
        <v>6177.3005301896746</v>
      </c>
      <c r="AA18" s="19">
        <v>6379</v>
      </c>
    </row>
    <row r="19" spans="1:27" ht="12.75" customHeight="1" x14ac:dyDescent="0.2">
      <c r="A19" s="152"/>
      <c r="B19" s="21" t="s">
        <v>55</v>
      </c>
      <c r="C19" s="22" t="s">
        <v>56</v>
      </c>
      <c r="D19" s="23">
        <v>445.36521956284582</v>
      </c>
      <c r="E19" s="23">
        <v>500.38270604326016</v>
      </c>
      <c r="F19" s="23">
        <v>525.76844905025973</v>
      </c>
      <c r="G19" s="23">
        <v>560.42649591852023</v>
      </c>
      <c r="H19" s="23">
        <v>573.62562354916781</v>
      </c>
      <c r="I19" s="23">
        <v>564.05738758029986</v>
      </c>
      <c r="J19" s="23">
        <v>759.28028227077618</v>
      </c>
      <c r="K19" s="23">
        <v>797.18072033147996</v>
      </c>
      <c r="L19" s="23">
        <v>916.28970487302672</v>
      </c>
      <c r="M19" s="23">
        <v>837.90263409154727</v>
      </c>
      <c r="N19" s="23">
        <v>1037.8305411216627</v>
      </c>
      <c r="O19" s="23">
        <v>1012.6273306895114</v>
      </c>
      <c r="P19" s="23">
        <v>980.50891131173626</v>
      </c>
      <c r="Q19" s="23">
        <v>690.3743064845637</v>
      </c>
      <c r="R19" s="23">
        <v>615.31023512857632</v>
      </c>
      <c r="S19" s="23">
        <v>720.79867999999988</v>
      </c>
      <c r="T19" s="23">
        <v>761.66819031996715</v>
      </c>
      <c r="U19" s="23">
        <v>1071.5780763201237</v>
      </c>
      <c r="V19" s="23">
        <v>1104.3167337259704</v>
      </c>
      <c r="W19" s="23">
        <v>939.33757363858433</v>
      </c>
      <c r="X19" s="23">
        <v>1086.4111141439907</v>
      </c>
      <c r="Y19" s="23">
        <v>1153.8161624884024</v>
      </c>
      <c r="Z19" s="23">
        <v>1139.150139682924</v>
      </c>
      <c r="AA19" s="23">
        <v>1049</v>
      </c>
    </row>
    <row r="20" spans="1:27" ht="12.75" customHeight="1" x14ac:dyDescent="0.2">
      <c r="A20" s="152"/>
      <c r="B20" s="21" t="s">
        <v>57</v>
      </c>
      <c r="C20" s="22" t="s">
        <v>58</v>
      </c>
      <c r="D20" s="23">
        <v>51855.934098287398</v>
      </c>
      <c r="E20" s="23">
        <v>51759.283850868749</v>
      </c>
      <c r="F20" s="23">
        <v>51007.050535718765</v>
      </c>
      <c r="G20" s="23">
        <v>49773.345190843509</v>
      </c>
      <c r="H20" s="23">
        <v>50563.324615992497</v>
      </c>
      <c r="I20" s="23">
        <v>51188.574193943103</v>
      </c>
      <c r="J20" s="23">
        <v>54746.576375585028</v>
      </c>
      <c r="K20" s="23">
        <v>58515.043689721526</v>
      </c>
      <c r="L20" s="23">
        <v>55314.3139327385</v>
      </c>
      <c r="M20" s="23">
        <v>40745.201123279978</v>
      </c>
      <c r="N20" s="23">
        <v>42986.833743952695</v>
      </c>
      <c r="O20" s="23">
        <v>42403.113625906532</v>
      </c>
      <c r="P20" s="23">
        <v>37193.208327137538</v>
      </c>
      <c r="Q20" s="23">
        <v>37000.834458513513</v>
      </c>
      <c r="R20" s="23">
        <v>36698.860452311521</v>
      </c>
      <c r="S20" s="23">
        <v>37351.021299999993</v>
      </c>
      <c r="T20" s="23">
        <v>38098.97820542314</v>
      </c>
      <c r="U20" s="23">
        <v>41041.915523981501</v>
      </c>
      <c r="V20" s="23">
        <v>39912.496996909438</v>
      </c>
      <c r="W20" s="23">
        <v>40247.002193591652</v>
      </c>
      <c r="X20" s="23">
        <v>38690.435642818826</v>
      </c>
      <c r="Y20" s="23">
        <v>40879.62964255859</v>
      </c>
      <c r="Z20" s="23">
        <v>43422.332142640917</v>
      </c>
      <c r="AA20" s="23">
        <v>39456</v>
      </c>
    </row>
    <row r="21" spans="1:27" ht="12.75" customHeight="1" x14ac:dyDescent="0.2">
      <c r="A21" s="152"/>
      <c r="B21" s="21" t="s">
        <v>59</v>
      </c>
      <c r="C21" s="22" t="s">
        <v>60</v>
      </c>
      <c r="D21" s="23">
        <v>2739.8616510915713</v>
      </c>
      <c r="E21" s="23">
        <v>3052.3345068638869</v>
      </c>
      <c r="F21" s="23">
        <v>3528.6573909116</v>
      </c>
      <c r="G21" s="23">
        <v>3922.9854714296416</v>
      </c>
      <c r="H21" s="23">
        <v>4176.5267693979358</v>
      </c>
      <c r="I21" s="23">
        <v>3886.8681798715206</v>
      </c>
      <c r="J21" s="23">
        <v>4500.514101413778</v>
      </c>
      <c r="K21" s="23">
        <v>4623.3654897238848</v>
      </c>
      <c r="L21" s="23">
        <v>4570.4913978494624</v>
      </c>
      <c r="M21" s="23">
        <v>4966.8931423757367</v>
      </c>
      <c r="N21" s="23">
        <v>5651.7515902168061</v>
      </c>
      <c r="O21" s="23">
        <v>5008.0455292390607</v>
      </c>
      <c r="P21" s="23">
        <v>4883.4685077004769</v>
      </c>
      <c r="Q21" s="23">
        <v>5113.2399174522188</v>
      </c>
      <c r="R21" s="23">
        <v>5059.2174888349609</v>
      </c>
      <c r="S21" s="23">
        <v>4780.978619999999</v>
      </c>
      <c r="T21" s="23">
        <v>4661.0260954800515</v>
      </c>
      <c r="U21" s="23">
        <v>4932.5855575179085</v>
      </c>
      <c r="V21" s="23">
        <v>5049.1362567302267</v>
      </c>
      <c r="W21" s="23">
        <v>5661.2579529670966</v>
      </c>
      <c r="X21" s="23">
        <v>5386.9762713778791</v>
      </c>
      <c r="Y21" s="23">
        <v>5598.5932002535437</v>
      </c>
      <c r="Z21" s="23">
        <v>6968.4920817512693</v>
      </c>
      <c r="AA21" s="23">
        <v>6719</v>
      </c>
    </row>
    <row r="22" spans="1:27" ht="12.75" customHeight="1" x14ac:dyDescent="0.2">
      <c r="A22" s="152"/>
      <c r="B22" s="21" t="s">
        <v>61</v>
      </c>
      <c r="C22" s="22" t="s">
        <v>62</v>
      </c>
      <c r="D22" s="23">
        <v>1232.2295650802414</v>
      </c>
      <c r="E22" s="23">
        <v>1235.7936528038092</v>
      </c>
      <c r="F22" s="23">
        <v>1203.2586505407371</v>
      </c>
      <c r="G22" s="23">
        <v>1274.7834693826605</v>
      </c>
      <c r="H22" s="23">
        <v>1314.312317874253</v>
      </c>
      <c r="I22" s="23">
        <v>1378.6441602936679</v>
      </c>
      <c r="J22" s="23">
        <v>1522.9159007687269</v>
      </c>
      <c r="K22" s="23">
        <v>1556.1985338385805</v>
      </c>
      <c r="L22" s="23">
        <v>1664.1135895676045</v>
      </c>
      <c r="M22" s="23">
        <v>1739.0178264532433</v>
      </c>
      <c r="N22" s="23">
        <v>2004.5951666368032</v>
      </c>
      <c r="O22" s="23">
        <v>1975.4103109046689</v>
      </c>
      <c r="P22" s="23">
        <v>1962.2895592140198</v>
      </c>
      <c r="Q22" s="23">
        <v>2000.3471362349501</v>
      </c>
      <c r="R22" s="23">
        <v>2052.2549707363828</v>
      </c>
      <c r="S22" s="23">
        <v>2060.6221399999999</v>
      </c>
      <c r="T22" s="23">
        <v>2117.3417617699715</v>
      </c>
      <c r="U22" s="23">
        <v>2077.8160260353616</v>
      </c>
      <c r="V22" s="23">
        <v>2072.4848290473692</v>
      </c>
      <c r="W22" s="23">
        <v>2043.8334019828537</v>
      </c>
      <c r="X22" s="23">
        <v>2058.9969974492437</v>
      </c>
      <c r="Y22" s="23">
        <v>2258.1359214382173</v>
      </c>
      <c r="Z22" s="23">
        <v>2117.7836687741633</v>
      </c>
      <c r="AA22" s="23">
        <v>1888</v>
      </c>
    </row>
    <row r="23" spans="1:27" ht="12.75" customHeight="1" x14ac:dyDescent="0.2">
      <c r="A23" s="152"/>
      <c r="B23" s="21" t="s">
        <v>36</v>
      </c>
      <c r="C23" s="22" t="s">
        <v>37</v>
      </c>
      <c r="D23" s="23">
        <v>11557.463506959504</v>
      </c>
      <c r="E23" s="23">
        <v>11317.747023960284</v>
      </c>
      <c r="F23" s="23">
        <v>10896.92665545881</v>
      </c>
      <c r="G23" s="23">
        <v>11435.689458049377</v>
      </c>
      <c r="H23" s="23">
        <v>12313.7314910851</v>
      </c>
      <c r="I23" s="23">
        <v>13560.81864790456</v>
      </c>
      <c r="J23" s="23">
        <v>14378.416664645825</v>
      </c>
      <c r="K23" s="23">
        <v>15604.388568190672</v>
      </c>
      <c r="L23" s="23">
        <v>16194.632990162434</v>
      </c>
      <c r="M23" s="23">
        <v>14435.327402415051</v>
      </c>
      <c r="N23" s="23">
        <v>14379.450546497043</v>
      </c>
      <c r="O23" s="23">
        <v>14517.822922372427</v>
      </c>
      <c r="P23" s="23">
        <v>14505.427551779074</v>
      </c>
      <c r="Q23" s="23">
        <v>14064.513974011967</v>
      </c>
      <c r="R23" s="23">
        <v>13533.162611905294</v>
      </c>
      <c r="S23" s="23">
        <v>13735.884479999999</v>
      </c>
      <c r="T23" s="23">
        <v>15010.611788475579</v>
      </c>
      <c r="U23" s="23">
        <v>16200.787391105905</v>
      </c>
      <c r="V23" s="23">
        <v>16926.650378058974</v>
      </c>
      <c r="W23" s="23">
        <v>17164.989166147807</v>
      </c>
      <c r="X23" s="23">
        <v>17319.466807224948</v>
      </c>
      <c r="Y23" s="23">
        <v>16415.207253552828</v>
      </c>
      <c r="Z23" s="23">
        <v>15752.375249742689</v>
      </c>
      <c r="AA23" s="23">
        <v>14925</v>
      </c>
    </row>
    <row r="24" spans="1:27" ht="12.75" customHeight="1" x14ac:dyDescent="0.2">
      <c r="A24" s="152"/>
      <c r="B24" s="21" t="s">
        <v>63</v>
      </c>
      <c r="C24" s="22" t="s">
        <v>64</v>
      </c>
      <c r="D24" s="23">
        <v>17364.522376877885</v>
      </c>
      <c r="E24" s="23">
        <v>18223.028367357274</v>
      </c>
      <c r="F24" s="23">
        <v>18872.082929766893</v>
      </c>
      <c r="G24" s="23">
        <v>19032.083801392946</v>
      </c>
      <c r="H24" s="23">
        <v>20133.076653331358</v>
      </c>
      <c r="I24" s="23">
        <v>20697.243413888042</v>
      </c>
      <c r="J24" s="23">
        <v>20470.080267720732</v>
      </c>
      <c r="K24" s="23">
        <v>21652.502579358053</v>
      </c>
      <c r="L24" s="23">
        <v>22867.52303820636</v>
      </c>
      <c r="M24" s="23">
        <v>20565.600606571188</v>
      </c>
      <c r="N24" s="23">
        <v>20685.54490682673</v>
      </c>
      <c r="O24" s="23">
        <v>22001.033960693236</v>
      </c>
      <c r="P24" s="23">
        <v>22310.07500796601</v>
      </c>
      <c r="Q24" s="23">
        <v>21488.521129535719</v>
      </c>
      <c r="R24" s="23">
        <v>20516.445439158186</v>
      </c>
      <c r="S24" s="23">
        <v>20183.560379999999</v>
      </c>
      <c r="T24" s="23">
        <v>20123.129877274227</v>
      </c>
      <c r="U24" s="23">
        <v>20830.432361637526</v>
      </c>
      <c r="V24" s="23">
        <v>20686.447392462145</v>
      </c>
      <c r="W24" s="23">
        <v>20574.818966425595</v>
      </c>
      <c r="X24" s="23">
        <v>20760.14432950877</v>
      </c>
      <c r="Y24" s="23">
        <v>20975.475899574674</v>
      </c>
      <c r="Z24" s="23">
        <v>20275.836895319972</v>
      </c>
      <c r="AA24" s="23">
        <v>20447</v>
      </c>
    </row>
    <row r="25" spans="1:27" ht="12.75" customHeight="1" x14ac:dyDescent="0.2">
      <c r="A25" s="152"/>
      <c r="B25" s="21" t="s">
        <v>65</v>
      </c>
      <c r="C25" s="22" t="s">
        <v>66</v>
      </c>
      <c r="D25" s="23">
        <v>11576.348251251922</v>
      </c>
      <c r="E25" s="23">
        <v>12053.157970720833</v>
      </c>
      <c r="F25" s="23">
        <v>12013.057963014076</v>
      </c>
      <c r="G25" s="23">
        <v>11879.547242816845</v>
      </c>
      <c r="H25" s="23">
        <v>11865.771274756755</v>
      </c>
      <c r="I25" s="23">
        <v>12003.434224533497</v>
      </c>
      <c r="J25" s="23">
        <v>11696.98132744865</v>
      </c>
      <c r="K25" s="23">
        <v>12224.851152742855</v>
      </c>
      <c r="L25" s="23">
        <v>12100.776595744681</v>
      </c>
      <c r="M25" s="23">
        <v>10942.497320977252</v>
      </c>
      <c r="N25" s="23">
        <v>11346.410903063967</v>
      </c>
      <c r="O25" s="23">
        <v>11502.239718673998</v>
      </c>
      <c r="P25" s="23">
        <v>11514.303090812531</v>
      </c>
      <c r="Q25" s="23">
        <v>11104.347882898297</v>
      </c>
      <c r="R25" s="23">
        <v>10847.284601423415</v>
      </c>
      <c r="S25" s="23">
        <v>10755.705219999998</v>
      </c>
      <c r="T25" s="23">
        <v>10672.935396433251</v>
      </c>
      <c r="U25" s="23">
        <v>10949.817216676918</v>
      </c>
      <c r="V25" s="23">
        <v>10763.888078993916</v>
      </c>
      <c r="W25" s="23">
        <v>11054.133742037455</v>
      </c>
      <c r="X25" s="23">
        <v>8829.907758628804</v>
      </c>
      <c r="Y25" s="23">
        <v>9074.3406487410102</v>
      </c>
      <c r="Z25" s="23">
        <v>9862.9690275819721</v>
      </c>
      <c r="AA25" s="23">
        <v>10129</v>
      </c>
    </row>
    <row r="26" spans="1:27" ht="12.75" customHeight="1" x14ac:dyDescent="0.2">
      <c r="A26" s="152"/>
      <c r="B26" s="21" t="s">
        <v>67</v>
      </c>
      <c r="C26" s="22" t="s">
        <v>68</v>
      </c>
      <c r="D26" s="23">
        <v>2414.0998120473691</v>
      </c>
      <c r="E26" s="23">
        <v>2776.3658629248771</v>
      </c>
      <c r="F26" s="23">
        <v>2827.1320603216823</v>
      </c>
      <c r="G26" s="23">
        <v>2879.8449536933026</v>
      </c>
      <c r="H26" s="23">
        <v>3181.5524275201265</v>
      </c>
      <c r="I26" s="23">
        <v>3327.2060446619762</v>
      </c>
      <c r="J26" s="23">
        <v>3471.2029730581753</v>
      </c>
      <c r="K26" s="23">
        <v>3642.4374402379858</v>
      </c>
      <c r="L26" s="23">
        <v>3692.5516357812858</v>
      </c>
      <c r="M26" s="23">
        <v>3488.7952372928953</v>
      </c>
      <c r="N26" s="23">
        <v>3584.135705966672</v>
      </c>
      <c r="O26" s="23">
        <v>3672.7416138997828</v>
      </c>
      <c r="P26" s="23">
        <v>3749.0794689325539</v>
      </c>
      <c r="Q26" s="23">
        <v>3419.5878418318139</v>
      </c>
      <c r="R26" s="23">
        <v>3417.1693415176292</v>
      </c>
      <c r="S26" s="23">
        <v>3490.2460999999994</v>
      </c>
      <c r="T26" s="23">
        <v>3683.7914362016022</v>
      </c>
      <c r="U26" s="23">
        <v>3979.807711388486</v>
      </c>
      <c r="V26" s="23">
        <v>4047.2219177017123</v>
      </c>
      <c r="W26" s="23">
        <v>4185.1560515350357</v>
      </c>
      <c r="X26" s="23">
        <v>2873.805333057237</v>
      </c>
      <c r="Y26" s="23">
        <v>2817.9952414635718</v>
      </c>
      <c r="Z26" s="23">
        <v>3706.3803181138046</v>
      </c>
      <c r="AA26" s="23">
        <v>4112</v>
      </c>
    </row>
    <row r="27" spans="1:27" ht="12.75" customHeight="1" x14ac:dyDescent="0.2">
      <c r="A27" s="152"/>
      <c r="B27" s="21" t="s">
        <v>40</v>
      </c>
      <c r="C27" s="22" t="s">
        <v>41</v>
      </c>
      <c r="D27" s="23">
        <v>9025.3340430845255</v>
      </c>
      <c r="E27" s="23">
        <v>10398.862418317207</v>
      </c>
      <c r="F27" s="23">
        <v>11002.080345268863</v>
      </c>
      <c r="G27" s="23">
        <v>10754.210839012458</v>
      </c>
      <c r="H27" s="23">
        <v>11547.91171531585</v>
      </c>
      <c r="I27" s="23">
        <v>10533.954848577547</v>
      </c>
      <c r="J27" s="23">
        <v>10364.248441933214</v>
      </c>
      <c r="K27" s="23">
        <v>11212.827401400054</v>
      </c>
      <c r="L27" s="23">
        <v>11257.077854037978</v>
      </c>
      <c r="M27" s="23">
        <v>10876.594866610501</v>
      </c>
      <c r="N27" s="23">
        <v>11005.830854685539</v>
      </c>
      <c r="O27" s="23">
        <v>11245.147805701014</v>
      </c>
      <c r="P27" s="23">
        <v>11380.770748805096</v>
      </c>
      <c r="Q27" s="23">
        <v>11541.419386284209</v>
      </c>
      <c r="R27" s="23">
        <v>11988.782755878214</v>
      </c>
      <c r="S27" s="23">
        <v>12314.641899999999</v>
      </c>
      <c r="T27" s="23">
        <v>12789.079566709008</v>
      </c>
      <c r="U27" s="23">
        <v>13462.442085210245</v>
      </c>
      <c r="V27" s="23">
        <v>13627.664139794351</v>
      </c>
      <c r="W27" s="23">
        <v>14113.002251065665</v>
      </c>
      <c r="X27" s="23">
        <v>14278.868066602035</v>
      </c>
      <c r="Y27" s="23">
        <v>15174.497404852238</v>
      </c>
      <c r="Z27" s="23">
        <v>14564.552331364222</v>
      </c>
      <c r="AA27" s="23">
        <v>15062</v>
      </c>
    </row>
    <row r="28" spans="1:27" ht="12.75" customHeight="1" x14ac:dyDescent="0.2">
      <c r="A28" s="152"/>
      <c r="B28" s="21" t="s">
        <v>42</v>
      </c>
      <c r="C28" s="22" t="s">
        <v>43</v>
      </c>
      <c r="D28" s="23">
        <v>6194.1961279129373</v>
      </c>
      <c r="E28" s="23">
        <v>6389.7355250493893</v>
      </c>
      <c r="F28" s="23">
        <v>5597.1806890321932</v>
      </c>
      <c r="G28" s="23">
        <v>5235.1307072068703</v>
      </c>
      <c r="H28" s="23">
        <v>5572.1519978268389</v>
      </c>
      <c r="I28" s="23">
        <v>6046.4021780360972</v>
      </c>
      <c r="J28" s="23">
        <v>6531.5525620195449</v>
      </c>
      <c r="K28" s="23">
        <v>7313.1437003458823</v>
      </c>
      <c r="L28" s="23">
        <v>6764.6559826126741</v>
      </c>
      <c r="M28" s="23">
        <v>6605.0398652064023</v>
      </c>
      <c r="N28" s="23">
        <v>6269.8909693603291</v>
      </c>
      <c r="O28" s="23">
        <v>6423.3627440240134</v>
      </c>
      <c r="P28" s="23">
        <v>6338.3351672862445</v>
      </c>
      <c r="Q28" s="23">
        <v>6038.2918209252402</v>
      </c>
      <c r="R28" s="23">
        <v>7030.8961192568868</v>
      </c>
      <c r="S28" s="23">
        <v>6982.8868799999991</v>
      </c>
      <c r="T28" s="23">
        <v>7392.7322937816944</v>
      </c>
      <c r="U28" s="23">
        <v>7741.022999226082</v>
      </c>
      <c r="V28" s="23">
        <v>7605.705133438295</v>
      </c>
      <c r="W28" s="23">
        <v>6913.7080511518761</v>
      </c>
      <c r="X28" s="23">
        <v>6959.1168359327203</v>
      </c>
      <c r="Y28" s="23">
        <v>7750.0368740641397</v>
      </c>
      <c r="Z28" s="23">
        <v>8388.2873922106228</v>
      </c>
      <c r="AA28" s="23">
        <v>10078</v>
      </c>
    </row>
    <row r="29" spans="1:27" ht="12.75" customHeight="1" x14ac:dyDescent="0.2">
      <c r="A29" s="152"/>
      <c r="B29" s="21" t="s">
        <v>44</v>
      </c>
      <c r="C29" s="22" t="s">
        <v>45</v>
      </c>
      <c r="D29" s="23">
        <v>17743.790991417267</v>
      </c>
      <c r="E29" s="23">
        <v>18179.055341674684</v>
      </c>
      <c r="F29" s="23">
        <v>19195.054977040625</v>
      </c>
      <c r="G29" s="23">
        <v>20175.353853066728</v>
      </c>
      <c r="H29" s="23">
        <v>20901.853262211687</v>
      </c>
      <c r="I29" s="23">
        <v>21507.434934230652</v>
      </c>
      <c r="J29" s="23">
        <v>22194.793413681884</v>
      </c>
      <c r="K29" s="23">
        <v>22752.159672297577</v>
      </c>
      <c r="L29" s="23">
        <v>23916.667902081903</v>
      </c>
      <c r="M29" s="23">
        <v>24079.949856781801</v>
      </c>
      <c r="N29" s="23">
        <v>24639.759720480197</v>
      </c>
      <c r="O29" s="23">
        <v>25680.334041760696</v>
      </c>
      <c r="P29" s="23">
        <v>25578.438045671795</v>
      </c>
      <c r="Q29" s="23">
        <v>25946.153791909073</v>
      </c>
      <c r="R29" s="23">
        <v>26509.615963456163</v>
      </c>
      <c r="S29" s="23">
        <v>27492.123739999995</v>
      </c>
      <c r="T29" s="23">
        <v>28488.306464357513</v>
      </c>
      <c r="U29" s="23">
        <v>29216.540610799115</v>
      </c>
      <c r="V29" s="23">
        <v>29864.262017221605</v>
      </c>
      <c r="W29" s="23">
        <v>30394.853527467792</v>
      </c>
      <c r="X29" s="23">
        <v>30751.971028679538</v>
      </c>
      <c r="Y29" s="23">
        <v>31040.844539166064</v>
      </c>
      <c r="Z29" s="23">
        <v>29920.296214290036</v>
      </c>
      <c r="AA29" s="23">
        <v>29943</v>
      </c>
    </row>
    <row r="30" spans="1:27" ht="12.75" customHeight="1" x14ac:dyDescent="0.2">
      <c r="A30" s="152"/>
      <c r="B30" s="21" t="s">
        <v>69</v>
      </c>
      <c r="C30" s="22" t="s">
        <v>70</v>
      </c>
      <c r="D30" s="23">
        <v>7009.3875898689594</v>
      </c>
      <c r="E30" s="23">
        <v>7505.740590648903</v>
      </c>
      <c r="F30" s="23">
        <v>7541.0217549494391</v>
      </c>
      <c r="G30" s="23">
        <v>7842.9820015477171</v>
      </c>
      <c r="H30" s="23">
        <v>8338.2693732404805</v>
      </c>
      <c r="I30" s="23">
        <v>8712.8552829611508</v>
      </c>
      <c r="J30" s="23">
        <v>9247.830589034118</v>
      </c>
      <c r="K30" s="23">
        <v>10094.795575545089</v>
      </c>
      <c r="L30" s="23">
        <v>10483.230793868679</v>
      </c>
      <c r="M30" s="23">
        <v>10120.734063465319</v>
      </c>
      <c r="N30" s="23">
        <v>10398.418406199604</v>
      </c>
      <c r="O30" s="23">
        <v>11014.289761398741</v>
      </c>
      <c r="P30" s="23">
        <v>11158.216845459372</v>
      </c>
      <c r="Q30" s="23">
        <v>11113.039645749723</v>
      </c>
      <c r="R30" s="23">
        <v>10857.051430552439</v>
      </c>
      <c r="S30" s="23">
        <v>10972.423759999998</v>
      </c>
      <c r="T30" s="23">
        <v>11087.30205343122</v>
      </c>
      <c r="U30" s="23">
        <v>11653.114579405868</v>
      </c>
      <c r="V30" s="23">
        <v>12147.484070985674</v>
      </c>
      <c r="W30" s="23">
        <v>12456.831974711433</v>
      </c>
      <c r="X30" s="23">
        <v>12417.093003774367</v>
      </c>
      <c r="Y30" s="23">
        <v>12918.561323571292</v>
      </c>
      <c r="Z30" s="23">
        <v>12814.403480396821</v>
      </c>
      <c r="AA30" s="23">
        <v>12620</v>
      </c>
    </row>
    <row r="31" spans="1:27" ht="12.75" customHeight="1" x14ac:dyDescent="0.2">
      <c r="A31" s="152"/>
      <c r="B31" s="21" t="s">
        <v>71</v>
      </c>
      <c r="C31" s="22" t="s">
        <v>72</v>
      </c>
      <c r="D31" s="23">
        <v>3397.6802439441135</v>
      </c>
      <c r="E31" s="23">
        <v>3666.4405551897062</v>
      </c>
      <c r="F31" s="23">
        <v>3974.8094748199633</v>
      </c>
      <c r="G31" s="23">
        <v>4178.5399535684865</v>
      </c>
      <c r="H31" s="23">
        <v>4615.6164863930462</v>
      </c>
      <c r="I31" s="23">
        <v>5138.0500214132762</v>
      </c>
      <c r="J31" s="23">
        <v>5672.099546523752</v>
      </c>
      <c r="K31" s="23">
        <v>6265.783924165693</v>
      </c>
      <c r="L31" s="23">
        <v>7249.5088309311368</v>
      </c>
      <c r="M31" s="23">
        <v>6767.7785790508278</v>
      </c>
      <c r="N31" s="23">
        <v>7126.7045556351904</v>
      </c>
      <c r="O31" s="23">
        <v>7407.1328191757402</v>
      </c>
      <c r="P31" s="23">
        <v>7415.496059479553</v>
      </c>
      <c r="Q31" s="23">
        <v>7262.5887025687289</v>
      </c>
      <c r="R31" s="23">
        <v>7288.4962375349223</v>
      </c>
      <c r="S31" s="23">
        <v>7096.6341799999991</v>
      </c>
      <c r="T31" s="23">
        <v>7601.1132137748928</v>
      </c>
      <c r="U31" s="23">
        <v>8280.3760442918647</v>
      </c>
      <c r="V31" s="23">
        <v>8821.7335704705802</v>
      </c>
      <c r="W31" s="23">
        <v>9332.5883231955559</v>
      </c>
      <c r="X31" s="23">
        <v>8497.4479259810068</v>
      </c>
      <c r="Y31" s="23">
        <v>8566.1775724115123</v>
      </c>
      <c r="Z31" s="23">
        <v>8679.2884733478058</v>
      </c>
      <c r="AA31" s="23">
        <v>8599</v>
      </c>
    </row>
    <row r="32" spans="1:27" ht="12.75" customHeight="1" x14ac:dyDescent="0.2">
      <c r="A32" s="152"/>
      <c r="B32" s="21" t="s">
        <v>73</v>
      </c>
      <c r="C32" s="22" t="s">
        <v>74</v>
      </c>
      <c r="D32" s="23">
        <v>11077.476256193893</v>
      </c>
      <c r="E32" s="23">
        <v>11167.632212147306</v>
      </c>
      <c r="F32" s="23">
        <v>11406.170953253206</v>
      </c>
      <c r="G32" s="23">
        <v>11863.108065603235</v>
      </c>
      <c r="H32" s="23">
        <v>12236.853830197066</v>
      </c>
      <c r="I32" s="23">
        <v>12653.931575405324</v>
      </c>
      <c r="J32" s="23">
        <v>13003.582195601037</v>
      </c>
      <c r="K32" s="23">
        <v>13208.606084215746</v>
      </c>
      <c r="L32" s="23">
        <v>13543.008373369938</v>
      </c>
      <c r="M32" s="23">
        <v>13550.351586632967</v>
      </c>
      <c r="N32" s="23">
        <v>13754.606835692526</v>
      </c>
      <c r="O32" s="23">
        <v>13902.638702044214</v>
      </c>
      <c r="P32" s="23">
        <v>13858.113627190651</v>
      </c>
      <c r="Q32" s="23">
        <v>13805.002768876582</v>
      </c>
      <c r="R32" s="23">
        <v>13585.659318473805</v>
      </c>
      <c r="S32" s="23">
        <v>12397.258359999998</v>
      </c>
      <c r="T32" s="23">
        <v>12214.235649486393</v>
      </c>
      <c r="U32" s="23">
        <v>11902.59506280634</v>
      </c>
      <c r="V32" s="23">
        <v>12007.84444185278</v>
      </c>
      <c r="W32" s="23">
        <v>12076.050443028882</v>
      </c>
      <c r="X32" s="23">
        <v>11985.458712574005</v>
      </c>
      <c r="Y32" s="23">
        <v>12276.207997648291</v>
      </c>
      <c r="Z32" s="23">
        <v>12159.909945597177</v>
      </c>
      <c r="AA32" s="23">
        <v>12237</v>
      </c>
    </row>
    <row r="33" spans="1:27" ht="12.75" customHeight="1" x14ac:dyDescent="0.2">
      <c r="A33" s="152"/>
      <c r="B33" s="21" t="s">
        <v>75</v>
      </c>
      <c r="C33" s="22" t="s">
        <v>76</v>
      </c>
      <c r="D33" s="23">
        <v>9429.7823166804683</v>
      </c>
      <c r="E33" s="23">
        <v>9613.4132009523328</v>
      </c>
      <c r="F33" s="23">
        <v>10058.701528115826</v>
      </c>
      <c r="G33" s="23">
        <v>10450.833295888564</v>
      </c>
      <c r="H33" s="23">
        <v>10833.836518990467</v>
      </c>
      <c r="I33" s="23">
        <v>11224.009470786174</v>
      </c>
      <c r="J33" s="23">
        <v>11383.397119092077</v>
      </c>
      <c r="K33" s="23">
        <v>11595.869910637344</v>
      </c>
      <c r="L33" s="23">
        <v>11919.984008236101</v>
      </c>
      <c r="M33" s="23">
        <v>12161.020252737995</v>
      </c>
      <c r="N33" s="23">
        <v>12645.710378964342</v>
      </c>
      <c r="O33" s="23">
        <v>12817.868232510242</v>
      </c>
      <c r="P33" s="23">
        <v>12876.332979288367</v>
      </c>
      <c r="Q33" s="23">
        <v>12699.907206338341</v>
      </c>
      <c r="R33" s="23">
        <v>12544.271162591513</v>
      </c>
      <c r="S33" s="23">
        <v>12609.187539999999</v>
      </c>
      <c r="T33" s="23">
        <v>12508.843157062984</v>
      </c>
      <c r="U33" s="23">
        <v>12222.167682019326</v>
      </c>
      <c r="V33" s="23">
        <v>12194.030614029973</v>
      </c>
      <c r="W33" s="23">
        <v>12456.831974711433</v>
      </c>
      <c r="X33" s="23">
        <v>12410.331108873055</v>
      </c>
      <c r="Y33" s="23">
        <v>12715.076109023767</v>
      </c>
      <c r="Z33" s="23">
        <v>12480.943166780546</v>
      </c>
      <c r="AA33" s="23">
        <v>12989</v>
      </c>
    </row>
    <row r="34" spans="1:27" ht="12.75" customHeight="1" x14ac:dyDescent="0.2">
      <c r="A34" s="152"/>
      <c r="B34" s="21" t="s">
        <v>77</v>
      </c>
      <c r="C34" s="22" t="s">
        <v>78</v>
      </c>
      <c r="D34" s="23">
        <v>13787.437062155803</v>
      </c>
      <c r="E34" s="23">
        <v>14345.820551137225</v>
      </c>
      <c r="F34" s="23">
        <v>15008.435927031842</v>
      </c>
      <c r="G34" s="23">
        <v>15714.358945555306</v>
      </c>
      <c r="H34" s="23">
        <v>16398.596434039609</v>
      </c>
      <c r="I34" s="23">
        <v>17274.806901193027</v>
      </c>
      <c r="J34" s="23">
        <v>17875.751655067048</v>
      </c>
      <c r="K34" s="23">
        <v>18476.500666973592</v>
      </c>
      <c r="L34" s="23">
        <v>19357.133630748111</v>
      </c>
      <c r="M34" s="23">
        <v>19903.886166807075</v>
      </c>
      <c r="N34" s="23">
        <v>20436.143769037804</v>
      </c>
      <c r="O34" s="23">
        <v>21161.550163230426</v>
      </c>
      <c r="P34" s="23">
        <v>21773.402166755175</v>
      </c>
      <c r="Q34" s="23">
        <v>21697.123437969905</v>
      </c>
      <c r="R34" s="23">
        <v>21579.808960580784</v>
      </c>
      <c r="S34" s="23">
        <v>22253.761239999996</v>
      </c>
      <c r="T34" s="23">
        <v>22695.556406845437</v>
      </c>
      <c r="U34" s="23">
        <v>22456.807512948224</v>
      </c>
      <c r="V34" s="23">
        <v>22790.351138064416</v>
      </c>
      <c r="W34" s="23">
        <v>23256.346740744291</v>
      </c>
      <c r="X34" s="23">
        <v>23381.50558625039</v>
      </c>
      <c r="Y34" s="23">
        <v>24364.329661849952</v>
      </c>
      <c r="Z34" s="23">
        <v>24014.320535552113</v>
      </c>
      <c r="AA34" s="23">
        <v>25218</v>
      </c>
    </row>
    <row r="35" spans="1:27" ht="12.75" customHeight="1" x14ac:dyDescent="0.2">
      <c r="A35" s="152"/>
      <c r="B35" s="21" t="s">
        <v>79</v>
      </c>
      <c r="C35" s="22" t="s">
        <v>80</v>
      </c>
      <c r="D35" s="23">
        <v>1956.1447629562451</v>
      </c>
      <c r="E35" s="23">
        <v>2033.3733600121573</v>
      </c>
      <c r="F35" s="23">
        <v>2112.0869696133291</v>
      </c>
      <c r="G35" s="23">
        <v>2202.84974662373</v>
      </c>
      <c r="H35" s="23">
        <v>2235.3658319751075</v>
      </c>
      <c r="I35" s="23">
        <v>2320.693251758948</v>
      </c>
      <c r="J35" s="23">
        <v>2428.8258360210489</v>
      </c>
      <c r="K35" s="23">
        <v>2525.8190553765153</v>
      </c>
      <c r="L35" s="23">
        <v>2725.5852207732783</v>
      </c>
      <c r="M35" s="23">
        <v>2704.6905251333892</v>
      </c>
      <c r="N35" s="23">
        <v>2801.0697679627306</v>
      </c>
      <c r="O35" s="23">
        <v>2952.6219188887185</v>
      </c>
      <c r="P35" s="23">
        <v>2904.6463728093463</v>
      </c>
      <c r="Q35" s="23">
        <v>2884.4235862655423</v>
      </c>
      <c r="R35" s="23">
        <v>2789.6505699777717</v>
      </c>
      <c r="S35" s="23">
        <v>2807.7622999999999</v>
      </c>
      <c r="T35" s="23">
        <v>2952.0630332369797</v>
      </c>
      <c r="U35" s="23">
        <v>3011.5858353342724</v>
      </c>
      <c r="V35" s="23">
        <v>3120.9457111201818</v>
      </c>
      <c r="W35" s="23">
        <v>3254.9939364912116</v>
      </c>
      <c r="X35" s="23">
        <v>2879.4402454749961</v>
      </c>
      <c r="Y35" s="23">
        <v>2931.2870095630046</v>
      </c>
      <c r="Z35" s="23">
        <v>3082.9545143964228</v>
      </c>
      <c r="AA35" s="23">
        <v>3306</v>
      </c>
    </row>
    <row r="36" spans="1:27" ht="12.75" customHeight="1" x14ac:dyDescent="0.2">
      <c r="A36" s="152"/>
      <c r="B36" s="21" t="s">
        <v>81</v>
      </c>
      <c r="C36" s="22" t="s">
        <v>82</v>
      </c>
      <c r="D36" s="23">
        <v>2547.8667507853265</v>
      </c>
      <c r="E36" s="23">
        <v>2645.9630971075426</v>
      </c>
      <c r="F36" s="23">
        <v>2726.4849572177754</v>
      </c>
      <c r="G36" s="23">
        <v>2806.615891559949</v>
      </c>
      <c r="H36" s="23">
        <v>2974.5741097446535</v>
      </c>
      <c r="I36" s="23">
        <v>3129.4196879779752</v>
      </c>
      <c r="J36" s="23">
        <v>3362.31956737881</v>
      </c>
      <c r="K36" s="23">
        <v>3448.796024129098</v>
      </c>
      <c r="L36" s="23">
        <v>3502.1715625714937</v>
      </c>
      <c r="M36" s="23">
        <v>3702.6419769727604</v>
      </c>
      <c r="N36" s="23">
        <v>3826.832512094606</v>
      </c>
      <c r="O36" s="23">
        <v>3799.9758769527398</v>
      </c>
      <c r="P36" s="23">
        <v>3768.1555177907589</v>
      </c>
      <c r="Q36" s="23">
        <v>3708.8993767435104</v>
      </c>
      <c r="R36" s="23">
        <v>3671.10689887228</v>
      </c>
      <c r="S36" s="23">
        <v>3629.1375399999997</v>
      </c>
      <c r="T36" s="23">
        <v>3628.7022274677679</v>
      </c>
      <c r="U36" s="23">
        <v>3674.4911197983843</v>
      </c>
      <c r="V36" s="23">
        <v>3634.1213481835671</v>
      </c>
      <c r="W36" s="23">
        <v>3742.4401743378517</v>
      </c>
      <c r="X36" s="23">
        <v>3570.2805078922847</v>
      </c>
      <c r="Y36" s="23">
        <v>3648.4349008332033</v>
      </c>
      <c r="Z36" s="23">
        <v>3509.6180212594813</v>
      </c>
      <c r="AA36" s="23">
        <v>3525</v>
      </c>
    </row>
    <row r="37" spans="1:27" ht="12.75" customHeight="1" x14ac:dyDescent="0.2">
      <c r="A37" s="152"/>
      <c r="B37" s="21" t="s">
        <v>83</v>
      </c>
      <c r="C37" s="22" t="s">
        <v>84</v>
      </c>
      <c r="D37" s="23">
        <v>88.128806697948292</v>
      </c>
      <c r="E37" s="23">
        <v>80.364495213008453</v>
      </c>
      <c r="F37" s="23">
        <v>87.1273429854716</v>
      </c>
      <c r="G37" s="23">
        <v>116.5687111510522</v>
      </c>
      <c r="H37" s="23">
        <v>161.14740455376105</v>
      </c>
      <c r="I37" s="23">
        <v>180.20534720097891</v>
      </c>
      <c r="J37" s="23">
        <v>181.47234279894266</v>
      </c>
      <c r="K37" s="23">
        <v>182.33388816092361</v>
      </c>
      <c r="L37" s="23">
        <v>202.70684053992221</v>
      </c>
      <c r="M37" s="23">
        <v>216.53663577646728</v>
      </c>
      <c r="N37" s="23">
        <v>242.69680612793402</v>
      </c>
      <c r="O37" s="23">
        <v>258.40360640652045</v>
      </c>
      <c r="P37" s="23">
        <v>288.68420605416884</v>
      </c>
      <c r="Q37" s="23">
        <v>325.32026672474046</v>
      </c>
      <c r="R37" s="23">
        <v>382.12718967310394</v>
      </c>
      <c r="S37" s="23">
        <v>384.34613999999993</v>
      </c>
      <c r="T37" s="23">
        <v>378.43891217155601</v>
      </c>
      <c r="U37" s="23">
        <v>380.16073661024342</v>
      </c>
      <c r="V37" s="23">
        <v>360.7357085933096</v>
      </c>
      <c r="W37" s="23">
        <v>352.10822357392601</v>
      </c>
      <c r="X37" s="23">
        <v>369.65025460500931</v>
      </c>
      <c r="Y37" s="23">
        <v>354.17426532055816</v>
      </c>
      <c r="Z37" s="23">
        <v>328.28235843589721</v>
      </c>
      <c r="AA37" s="23">
        <v>283</v>
      </c>
    </row>
    <row r="38" spans="1:27" ht="12.75" customHeight="1" x14ac:dyDescent="0.2">
      <c r="A38" s="152"/>
      <c r="B38" s="21" t="s">
        <v>85</v>
      </c>
      <c r="C38" s="22" t="s">
        <v>86</v>
      </c>
      <c r="D38" s="23">
        <v>0</v>
      </c>
      <c r="E38" s="23">
        <v>0</v>
      </c>
      <c r="F38" s="23">
        <v>0</v>
      </c>
      <c r="G38" s="23">
        <v>0</v>
      </c>
      <c r="H38" s="23">
        <v>0</v>
      </c>
      <c r="I38" s="23">
        <v>0</v>
      </c>
      <c r="J38" s="23">
        <v>0</v>
      </c>
      <c r="K38" s="23">
        <v>0</v>
      </c>
      <c r="L38" s="23">
        <v>0</v>
      </c>
      <c r="M38" s="23">
        <v>0</v>
      </c>
      <c r="N38" s="23">
        <v>0</v>
      </c>
      <c r="O38" s="23">
        <v>0</v>
      </c>
      <c r="P38" s="23">
        <v>0</v>
      </c>
      <c r="Q38" s="23">
        <v>0</v>
      </c>
      <c r="R38" s="23">
        <v>0</v>
      </c>
      <c r="S38" s="23">
        <v>0</v>
      </c>
      <c r="T38" s="23">
        <v>0</v>
      </c>
      <c r="U38" s="23">
        <v>0</v>
      </c>
      <c r="V38" s="23">
        <v>0</v>
      </c>
      <c r="W38" s="23">
        <v>0</v>
      </c>
      <c r="X38" s="23">
        <v>0</v>
      </c>
      <c r="Y38" s="23">
        <v>0</v>
      </c>
      <c r="Z38" s="23">
        <v>0</v>
      </c>
      <c r="AA38" s="23">
        <v>0</v>
      </c>
    </row>
    <row r="39" spans="1:27" ht="12.75" customHeight="1" x14ac:dyDescent="0.2">
      <c r="A39" s="153"/>
      <c r="B39" s="28" t="s">
        <v>52</v>
      </c>
      <c r="C39" s="29" t="s">
        <v>53</v>
      </c>
      <c r="D39" s="30">
        <f>SUM(D18:D38)</f>
        <v>187785.17605772646</v>
      </c>
      <c r="E39" s="30">
        <f t="shared" ref="E39:S39" si="3">SUM(E18:E38)</f>
        <v>193006.70758826807</v>
      </c>
      <c r="F39" s="30">
        <f t="shared" si="3"/>
        <v>195543.80157077257</v>
      </c>
      <c r="G39" s="30">
        <f t="shared" si="3"/>
        <v>197849.98117776285</v>
      </c>
      <c r="H39" s="30">
        <f t="shared" si="3"/>
        <v>205523.55588482245</v>
      </c>
      <c r="I39" s="30">
        <f t="shared" si="3"/>
        <v>210825.60538390945</v>
      </c>
      <c r="J39" s="30">
        <f t="shared" si="3"/>
        <v>218814.99561073797</v>
      </c>
      <c r="K39" s="30">
        <f t="shared" si="3"/>
        <v>231986.65682142816</v>
      </c>
      <c r="L39" s="30">
        <f t="shared" si="3"/>
        <v>234109.96513383658</v>
      </c>
      <c r="M39" s="30">
        <f t="shared" si="3"/>
        <v>213919.36687447346</v>
      </c>
      <c r="N39" s="30">
        <f t="shared" si="3"/>
        <v>220795.09545780325</v>
      </c>
      <c r="O39" s="30">
        <f t="shared" si="3"/>
        <v>224613.07186520885</v>
      </c>
      <c r="P39" s="30">
        <f t="shared" si="3"/>
        <v>220015.51711099301</v>
      </c>
      <c r="Q39" s="30">
        <f t="shared" si="3"/>
        <v>217492.74015078449</v>
      </c>
      <c r="R39" s="30">
        <f t="shared" si="3"/>
        <v>216540.36861961373</v>
      </c>
      <c r="S39" s="30">
        <f t="shared" si="3"/>
        <v>217204.66004000002</v>
      </c>
      <c r="T39" s="30">
        <f t="shared" ref="T39:Y39" si="4">SUM(T18:T38)</f>
        <v>222264.59818561896</v>
      </c>
      <c r="U39" s="30">
        <f t="shared" si="4"/>
        <v>230606.69083007556</v>
      </c>
      <c r="V39" s="30">
        <f t="shared" si="4"/>
        <v>232442.9629910393</v>
      </c>
      <c r="W39" s="30">
        <f t="shared" si="4"/>
        <v>236210.7121988601</v>
      </c>
      <c r="X39" s="30">
        <f t="shared" si="4"/>
        <v>230475.80676373976</v>
      </c>
      <c r="Y39" s="30">
        <f t="shared" si="4"/>
        <v>236820.49237072488</v>
      </c>
      <c r="Z39" s="30">
        <f t="shared" ref="Z39:AA39" si="5">SUM(Z18:Z38)</f>
        <v>239365.47648742853</v>
      </c>
      <c r="AA39" s="30">
        <f t="shared" si="5"/>
        <v>238964</v>
      </c>
    </row>
    <row r="40" spans="1:27" ht="12.75" customHeight="1" x14ac:dyDescent="0.2">
      <c r="C40" s="12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</row>
    <row r="41" spans="1:27" ht="12.75" customHeight="1" x14ac:dyDescent="0.2">
      <c r="A41" s="151" t="s">
        <v>87</v>
      </c>
      <c r="B41" s="17" t="s">
        <v>88</v>
      </c>
      <c r="C41" s="18" t="s">
        <v>89</v>
      </c>
      <c r="D41" s="19">
        <v>2988.5107842750681</v>
      </c>
      <c r="E41" s="19">
        <v>3476.9016513854413</v>
      </c>
      <c r="F41" s="19">
        <v>3680.3791433518177</v>
      </c>
      <c r="G41" s="19">
        <v>3661.4531066676655</v>
      </c>
      <c r="H41" s="19">
        <v>3514.1961525164224</v>
      </c>
      <c r="I41" s="19">
        <v>3536.7130743346593</v>
      </c>
      <c r="J41" s="19">
        <v>3397.1622571962066</v>
      </c>
      <c r="K41" s="19">
        <v>3532.1890427453341</v>
      </c>
      <c r="L41" s="19">
        <v>3491.2144360558223</v>
      </c>
      <c r="M41" s="19">
        <v>3786.0287559674248</v>
      </c>
      <c r="N41" s="19">
        <v>3517.0923893567456</v>
      </c>
      <c r="O41" s="19">
        <v>3403.8444600249773</v>
      </c>
      <c r="P41" s="19">
        <v>3434.9605310674451</v>
      </c>
      <c r="Q41" s="19">
        <v>3356.2621410571505</v>
      </c>
      <c r="R41" s="19">
        <v>3246.2498317596915</v>
      </c>
      <c r="S41" s="19">
        <v>3149.0041999999994</v>
      </c>
      <c r="T41" s="19">
        <v>3104.1571530021301</v>
      </c>
      <c r="U41" s="19">
        <v>3240.8702796023254</v>
      </c>
      <c r="V41" s="19">
        <v>3201.2384978715959</v>
      </c>
      <c r="W41" s="19">
        <v>3289.4019062215625</v>
      </c>
      <c r="X41" s="19">
        <v>3334.7411688299467</v>
      </c>
      <c r="Y41" s="19">
        <v>3217.2662300081761</v>
      </c>
      <c r="Z41" s="19">
        <v>2892.4057637585515</v>
      </c>
      <c r="AA41" s="19">
        <v>3200</v>
      </c>
    </row>
    <row r="42" spans="1:27" ht="12.75" customHeight="1" x14ac:dyDescent="0.2">
      <c r="A42" s="152"/>
      <c r="B42" s="21" t="s">
        <v>90</v>
      </c>
      <c r="C42" s="22" t="s">
        <v>91</v>
      </c>
      <c r="D42" s="23">
        <v>908.04145472707444</v>
      </c>
      <c r="E42" s="23">
        <v>880.97682488222472</v>
      </c>
      <c r="F42" s="23">
        <v>887.7975811105814</v>
      </c>
      <c r="G42" s="23">
        <v>824.94780199206173</v>
      </c>
      <c r="H42" s="23">
        <v>807.2154393243444</v>
      </c>
      <c r="I42" s="23">
        <v>805.79626797185688</v>
      </c>
      <c r="J42" s="23">
        <v>827.51388316317855</v>
      </c>
      <c r="K42" s="23">
        <v>750.53716754612742</v>
      </c>
      <c r="L42" s="23">
        <v>753.30244795241356</v>
      </c>
      <c r="M42" s="23">
        <v>633.4705307497893</v>
      </c>
      <c r="N42" s="23">
        <v>622.16197814011821</v>
      </c>
      <c r="O42" s="23">
        <v>604.69067285992855</v>
      </c>
      <c r="P42" s="23">
        <v>584.99883165161964</v>
      </c>
      <c r="Q42" s="23">
        <v>514.05568864138377</v>
      </c>
      <c r="R42" s="23">
        <v>472.47035911658543</v>
      </c>
      <c r="S42" s="23">
        <v>468.15993999999995</v>
      </c>
      <c r="T42" s="23">
        <v>497.00047009872071</v>
      </c>
      <c r="U42" s="23">
        <v>497.77296449903747</v>
      </c>
      <c r="V42" s="23">
        <v>482.92038408459189</v>
      </c>
      <c r="W42" s="23">
        <v>461.06679438670437</v>
      </c>
      <c r="X42" s="23">
        <v>477.84057302598762</v>
      </c>
      <c r="Y42" s="23">
        <v>496.06395546450852</v>
      </c>
      <c r="Z42" s="23">
        <v>463.9447841617727</v>
      </c>
      <c r="AA42" s="23">
        <v>421</v>
      </c>
    </row>
    <row r="43" spans="1:27" ht="12.75" customHeight="1" x14ac:dyDescent="0.2">
      <c r="A43" s="152"/>
      <c r="B43" s="21" t="s">
        <v>92</v>
      </c>
      <c r="C43" s="22" t="s">
        <v>93</v>
      </c>
      <c r="D43" s="23">
        <v>12356.917682005178</v>
      </c>
      <c r="E43" s="23">
        <v>12301.83301251203</v>
      </c>
      <c r="F43" s="23">
        <v>10937.485935814117</v>
      </c>
      <c r="G43" s="23">
        <v>9724.5205571781626</v>
      </c>
      <c r="H43" s="23">
        <v>9518.0457845606761</v>
      </c>
      <c r="I43" s="23">
        <v>8523.85943101866</v>
      </c>
      <c r="J43" s="23">
        <v>9199.9218905351972</v>
      </c>
      <c r="K43" s="23">
        <v>9102.5599981112246</v>
      </c>
      <c r="L43" s="23">
        <v>7302.9248226950349</v>
      </c>
      <c r="M43" s="23">
        <v>4925.199752878405</v>
      </c>
      <c r="N43" s="23">
        <v>6654.7196067013074</v>
      </c>
      <c r="O43" s="23">
        <v>6338.1026708441968</v>
      </c>
      <c r="P43" s="23">
        <v>5746.9776526818896</v>
      </c>
      <c r="Q43" s="23">
        <v>5552.7947816528222</v>
      </c>
      <c r="R43" s="23">
        <v>5623.2518710361564</v>
      </c>
      <c r="S43" s="23">
        <v>5802.3096399999995</v>
      </c>
      <c r="T43" s="23">
        <v>5749.6367637203812</v>
      </c>
      <c r="U43" s="23">
        <v>6011.2916476494747</v>
      </c>
      <c r="V43" s="23">
        <v>6310.5475732307032</v>
      </c>
      <c r="W43" s="23">
        <v>5732.3677570764885</v>
      </c>
      <c r="X43" s="23">
        <v>4688.2471315757275</v>
      </c>
      <c r="Y43" s="23">
        <v>6438.9321403308932</v>
      </c>
      <c r="Z43" s="23">
        <v>6612.2487653413364</v>
      </c>
      <c r="AA43" s="23">
        <v>4257</v>
      </c>
    </row>
    <row r="44" spans="1:27" ht="12.75" customHeight="1" x14ac:dyDescent="0.2">
      <c r="A44" s="152"/>
      <c r="B44" s="21" t="s">
        <v>94</v>
      </c>
      <c r="C44" s="22" t="s">
        <v>95</v>
      </c>
      <c r="D44" s="23">
        <v>670.40842238082098</v>
      </c>
      <c r="E44" s="23">
        <v>785.44921736487504</v>
      </c>
      <c r="F44" s="23">
        <v>1069.5632449250998</v>
      </c>
      <c r="G44" s="23">
        <v>941.51651314311391</v>
      </c>
      <c r="H44" s="23">
        <v>1457.7187237615449</v>
      </c>
      <c r="I44" s="23">
        <v>1034.3493912511472</v>
      </c>
      <c r="J44" s="23">
        <v>1096.0929505056138</v>
      </c>
      <c r="K44" s="23">
        <v>1174.5694655947871</v>
      </c>
      <c r="L44" s="23">
        <v>912.18078242964998</v>
      </c>
      <c r="M44" s="23">
        <v>833.86778994664417</v>
      </c>
      <c r="N44" s="23">
        <v>703.95482440422859</v>
      </c>
      <c r="O44" s="23">
        <v>872.27613330119846</v>
      </c>
      <c r="P44" s="23">
        <v>999.58496016994138</v>
      </c>
      <c r="Q44" s="23">
        <v>798.40050192369517</v>
      </c>
      <c r="R44" s="23">
        <v>512.75852927381356</v>
      </c>
      <c r="S44" s="23">
        <v>714.81197999999995</v>
      </c>
      <c r="T44" s="23">
        <v>730.53081147040871</v>
      </c>
      <c r="U44" s="23">
        <v>1214.138352548965</v>
      </c>
      <c r="V44" s="23">
        <v>845.98341983011642</v>
      </c>
      <c r="W44" s="23">
        <v>957.68849082810493</v>
      </c>
      <c r="X44" s="23">
        <v>604.06261118379564</v>
      </c>
      <c r="Y44" s="23">
        <v>350.87450508465236</v>
      </c>
      <c r="Z44" s="23">
        <v>1255.1363357233672</v>
      </c>
      <c r="AA44" s="23">
        <v>1317</v>
      </c>
    </row>
    <row r="45" spans="1:27" ht="12.75" customHeight="1" x14ac:dyDescent="0.2">
      <c r="A45" s="152"/>
      <c r="B45" s="21" t="s">
        <v>96</v>
      </c>
      <c r="C45" s="22" t="s">
        <v>97</v>
      </c>
      <c r="D45" s="23">
        <v>2187.4828805383595</v>
      </c>
      <c r="E45" s="23">
        <v>2353.3150296337571</v>
      </c>
      <c r="F45" s="23">
        <v>2173.6769879306453</v>
      </c>
      <c r="G45" s="23">
        <v>2143.0709203924212</v>
      </c>
      <c r="H45" s="23">
        <v>2429.0384007507287</v>
      </c>
      <c r="I45" s="23">
        <v>2348.5298501070665</v>
      </c>
      <c r="J45" s="23">
        <v>2350.4297839319056</v>
      </c>
      <c r="K45" s="23">
        <v>2629.0002479016894</v>
      </c>
      <c r="L45" s="23">
        <v>2470.8320292839167</v>
      </c>
      <c r="M45" s="23">
        <v>2077.9447346251054</v>
      </c>
      <c r="N45" s="23">
        <v>2275.4501657409064</v>
      </c>
      <c r="O45" s="23">
        <v>2660.1142832102714</v>
      </c>
      <c r="P45" s="23">
        <v>2071.658906001062</v>
      </c>
      <c r="Q45" s="23">
        <v>2241.2331352601395</v>
      </c>
      <c r="R45" s="23">
        <v>2176.7820421314518</v>
      </c>
      <c r="S45" s="23">
        <v>2429.4028599999997</v>
      </c>
      <c r="T45" s="23">
        <v>2493.3854909531001</v>
      </c>
      <c r="U45" s="23">
        <v>2655.1851447621689</v>
      </c>
      <c r="V45" s="23">
        <v>2871.9217058331874</v>
      </c>
      <c r="W45" s="23">
        <v>3312.3405527084633</v>
      </c>
      <c r="X45" s="23">
        <v>3178.0906036162382</v>
      </c>
      <c r="Y45" s="23">
        <v>3019.2806158538269</v>
      </c>
      <c r="Z45" s="23">
        <v>4265.5994775945128</v>
      </c>
      <c r="AA45" s="23">
        <v>3537</v>
      </c>
    </row>
    <row r="46" spans="1:27" ht="12.75" customHeight="1" x14ac:dyDescent="0.2">
      <c r="A46" s="152"/>
      <c r="B46" s="21" t="s">
        <v>98</v>
      </c>
      <c r="C46" s="22" t="s">
        <v>99</v>
      </c>
      <c r="D46" s="23">
        <v>698.73553881944724</v>
      </c>
      <c r="E46" s="23">
        <v>821.84068689529397</v>
      </c>
      <c r="F46" s="23">
        <v>839.72732291170053</v>
      </c>
      <c r="G46" s="23">
        <v>795.05838887640732</v>
      </c>
      <c r="H46" s="23">
        <v>876.70101743468172</v>
      </c>
      <c r="I46" s="23">
        <v>997.72228816151733</v>
      </c>
      <c r="J46" s="23">
        <v>1100.4482867327883</v>
      </c>
      <c r="K46" s="23">
        <v>1130.7527947964254</v>
      </c>
      <c r="L46" s="23">
        <v>1188.8482269503545</v>
      </c>
      <c r="M46" s="23">
        <v>1234.6623083403538</v>
      </c>
      <c r="N46" s="23">
        <v>1318.0716045511556</v>
      </c>
      <c r="O46" s="23">
        <v>1349.7325431081701</v>
      </c>
      <c r="P46" s="23">
        <v>1568.0512161444501</v>
      </c>
      <c r="Q46" s="23">
        <v>1434.1408704850201</v>
      </c>
      <c r="R46" s="23">
        <v>1609.0850990068723</v>
      </c>
      <c r="S46" s="23">
        <v>1576.8967799999998</v>
      </c>
      <c r="T46" s="23">
        <v>1840.6981266065873</v>
      </c>
      <c r="U46" s="23">
        <v>1882.9836485226119</v>
      </c>
      <c r="V46" s="23">
        <v>1816.4788423037298</v>
      </c>
      <c r="W46" s="23">
        <v>1830.5039896546771</v>
      </c>
      <c r="X46" s="23">
        <v>1724.2831998343422</v>
      </c>
      <c r="Y46" s="23">
        <v>1650.980038031546</v>
      </c>
      <c r="Z46" s="23">
        <v>1709.7608005604613</v>
      </c>
      <c r="AA46" s="23">
        <v>1581</v>
      </c>
    </row>
    <row r="47" spans="1:27" ht="12.75" customHeight="1" x14ac:dyDescent="0.2">
      <c r="A47" s="152"/>
      <c r="B47" s="21" t="s">
        <v>100</v>
      </c>
      <c r="C47" s="22" t="s">
        <v>101</v>
      </c>
      <c r="D47" s="23">
        <v>3075.0658622819815</v>
      </c>
      <c r="E47" s="23">
        <v>3044.7529507117165</v>
      </c>
      <c r="F47" s="23">
        <v>3031.430657666926</v>
      </c>
      <c r="G47" s="23">
        <v>2926.1735440225666</v>
      </c>
      <c r="H47" s="23">
        <v>3109.1100162987109</v>
      </c>
      <c r="I47" s="23">
        <v>3171.9071275619458</v>
      </c>
      <c r="J47" s="23">
        <v>3404.4211509081647</v>
      </c>
      <c r="K47" s="23">
        <v>3580.2460365241823</v>
      </c>
      <c r="L47" s="23">
        <v>3404.9270647449093</v>
      </c>
      <c r="M47" s="23">
        <v>2584.9901488345968</v>
      </c>
      <c r="N47" s="23">
        <v>2664.3014020784804</v>
      </c>
      <c r="O47" s="23">
        <v>2918.5178896167918</v>
      </c>
      <c r="P47" s="23">
        <v>2782.5596601168345</v>
      </c>
      <c r="Q47" s="23">
        <v>2550.4115566893774</v>
      </c>
      <c r="R47" s="23">
        <v>2479.5537451312271</v>
      </c>
      <c r="S47" s="23">
        <v>2438.9815799999997</v>
      </c>
      <c r="T47" s="23">
        <v>2541.2891507216514</v>
      </c>
      <c r="U47" s="23">
        <v>2618.3570734030518</v>
      </c>
      <c r="V47" s="23">
        <v>2636.8616634594823</v>
      </c>
      <c r="W47" s="23">
        <v>2582.8915944250207</v>
      </c>
      <c r="X47" s="23">
        <v>2454.5678491759459</v>
      </c>
      <c r="Y47" s="23">
        <v>2371.4276895376506</v>
      </c>
      <c r="Z47" s="23">
        <v>2231.6986827424557</v>
      </c>
      <c r="AA47" s="23">
        <v>2216</v>
      </c>
    </row>
    <row r="48" spans="1:27" ht="12.75" customHeight="1" x14ac:dyDescent="0.2">
      <c r="A48" s="152"/>
      <c r="B48" s="21" t="s">
        <v>102</v>
      </c>
      <c r="C48" s="22" t="s">
        <v>103</v>
      </c>
      <c r="D48" s="23">
        <v>5124.0606180092791</v>
      </c>
      <c r="E48" s="23">
        <v>5346.5133985107132</v>
      </c>
      <c r="F48" s="23">
        <v>4994.8002659774675</v>
      </c>
      <c r="G48" s="23">
        <v>5196.2744701565189</v>
      </c>
      <c r="H48" s="23">
        <v>5498.231170049884</v>
      </c>
      <c r="I48" s="23">
        <v>6192.9105903946165</v>
      </c>
      <c r="J48" s="23">
        <v>7293.7364017751042</v>
      </c>
      <c r="K48" s="23">
        <v>7913.8561225814829</v>
      </c>
      <c r="L48" s="23">
        <v>7713.8170670327154</v>
      </c>
      <c r="M48" s="23">
        <v>4392.6003257511929</v>
      </c>
      <c r="N48" s="23">
        <v>4727.8946873320192</v>
      </c>
      <c r="O48" s="23">
        <v>5073.6302009158426</v>
      </c>
      <c r="P48" s="23">
        <v>4823.6968879447686</v>
      </c>
      <c r="Q48" s="23">
        <v>4704.7270634352735</v>
      </c>
      <c r="R48" s="23">
        <v>4523.2627403797133</v>
      </c>
      <c r="S48" s="23">
        <v>4923.4620799999993</v>
      </c>
      <c r="T48" s="23">
        <v>4728.0912191560228</v>
      </c>
      <c r="U48" s="23">
        <v>5499.2626555275529</v>
      </c>
      <c r="V48" s="23">
        <v>5314.4515520827254</v>
      </c>
      <c r="W48" s="23">
        <v>4977.6862876574551</v>
      </c>
      <c r="X48" s="23">
        <v>4798.6914149638096</v>
      </c>
      <c r="Y48" s="23">
        <v>5171.8242097430575</v>
      </c>
      <c r="Z48" s="23">
        <v>6535.6150286717575</v>
      </c>
      <c r="AA48" s="23">
        <v>5466</v>
      </c>
    </row>
    <row r="49" spans="1:27" ht="12.75" customHeight="1" x14ac:dyDescent="0.2">
      <c r="A49" s="152"/>
      <c r="B49" s="21" t="s">
        <v>104</v>
      </c>
      <c r="C49" s="22" t="s">
        <v>105</v>
      </c>
      <c r="D49" s="23">
        <v>13526.198099444029</v>
      </c>
      <c r="E49" s="23">
        <v>11563.389443290613</v>
      </c>
      <c r="F49" s="23">
        <v>13024.03558075929</v>
      </c>
      <c r="G49" s="23">
        <v>13272.393894006342</v>
      </c>
      <c r="H49" s="23">
        <v>13048.504519188027</v>
      </c>
      <c r="I49" s="23">
        <v>13484.634273478128</v>
      </c>
      <c r="J49" s="23">
        <v>14217.269224240365</v>
      </c>
      <c r="K49" s="23">
        <v>15820.645040195488</v>
      </c>
      <c r="L49" s="23">
        <v>14496.278380233356</v>
      </c>
      <c r="M49" s="23">
        <v>9215.5840269587188</v>
      </c>
      <c r="N49" s="23">
        <v>8872.5125201576775</v>
      </c>
      <c r="O49" s="23">
        <v>7113.3134900637579</v>
      </c>
      <c r="P49" s="23">
        <v>3366.2867551779073</v>
      </c>
      <c r="Q49" s="23">
        <v>4933.1962583869999</v>
      </c>
      <c r="R49" s="23">
        <v>5126.3644390970085</v>
      </c>
      <c r="S49" s="23">
        <v>4661.2446199999995</v>
      </c>
      <c r="T49" s="23">
        <v>5025.0939097210412</v>
      </c>
      <c r="U49" s="23">
        <v>5417.2904966959686</v>
      </c>
      <c r="V49" s="23">
        <v>4079.8044978327207</v>
      </c>
      <c r="W49" s="23">
        <v>4711.5979884094068</v>
      </c>
      <c r="X49" s="23">
        <v>5618.0076805060098</v>
      </c>
      <c r="Y49" s="23">
        <v>5522.6987148277103</v>
      </c>
      <c r="Z49" s="23">
        <v>5525.913768498257</v>
      </c>
      <c r="AA49" s="23">
        <v>4226</v>
      </c>
    </row>
    <row r="50" spans="1:27" ht="12.75" customHeight="1" x14ac:dyDescent="0.2">
      <c r="A50" s="152"/>
      <c r="B50" s="21" t="s">
        <v>106</v>
      </c>
      <c r="C50" s="22" t="s">
        <v>107</v>
      </c>
      <c r="D50" s="23">
        <v>1609.9244509285911</v>
      </c>
      <c r="E50" s="23">
        <v>1648.2303074818903</v>
      </c>
      <c r="F50" s="23">
        <v>1412.0638345921261</v>
      </c>
      <c r="G50" s="23">
        <v>1412.2747697146708</v>
      </c>
      <c r="H50" s="23">
        <v>1519.8122190941867</v>
      </c>
      <c r="I50" s="23">
        <v>1774.2168736616704</v>
      </c>
      <c r="J50" s="23">
        <v>1910.5408249872685</v>
      </c>
      <c r="K50" s="23">
        <v>2076.3448194449365</v>
      </c>
      <c r="L50" s="23">
        <v>2514.6605353466025</v>
      </c>
      <c r="M50" s="23">
        <v>1956.8994102780116</v>
      </c>
      <c r="N50" s="23">
        <v>2213.770314459774</v>
      </c>
      <c r="O50" s="23">
        <v>2164.2941653338007</v>
      </c>
      <c r="P50" s="23">
        <v>2254.7889750398299</v>
      </c>
      <c r="Q50" s="23">
        <v>2018.9723423451451</v>
      </c>
      <c r="R50" s="23">
        <v>2175.5611884903233</v>
      </c>
      <c r="S50" s="23">
        <v>2180.3561399999999</v>
      </c>
      <c r="T50" s="23">
        <v>2150.8743236079576</v>
      </c>
      <c r="U50" s="23">
        <v>2213.2482884527608</v>
      </c>
      <c r="V50" s="23">
        <v>2048.0478939491127</v>
      </c>
      <c r="W50" s="23">
        <v>2050.7149959289241</v>
      </c>
      <c r="X50" s="23">
        <v>2000.3939083045473</v>
      </c>
      <c r="Y50" s="23">
        <v>1988.6555021725751</v>
      </c>
      <c r="Z50" s="23">
        <v>2039.0787500324341</v>
      </c>
      <c r="AA50" s="23">
        <v>2478</v>
      </c>
    </row>
    <row r="51" spans="1:27" ht="12.75" customHeight="1" x14ac:dyDescent="0.2">
      <c r="A51" s="152"/>
      <c r="B51" s="21" t="s">
        <v>108</v>
      </c>
      <c r="C51" s="22" t="s">
        <v>109</v>
      </c>
      <c r="D51" s="23">
        <v>4392.2767766781017</v>
      </c>
      <c r="E51" s="23">
        <v>4847.6470036978872</v>
      </c>
      <c r="F51" s="23">
        <v>4297.7815220936945</v>
      </c>
      <c r="G51" s="23">
        <v>4250.274545046057</v>
      </c>
      <c r="H51" s="23">
        <v>4491.4294957277625</v>
      </c>
      <c r="I51" s="23">
        <v>4793.7552523707564</v>
      </c>
      <c r="J51" s="23">
        <v>5544.3430171932969</v>
      </c>
      <c r="K51" s="23">
        <v>6144.2279987250768</v>
      </c>
      <c r="L51" s="23">
        <v>6463.3350034317091</v>
      </c>
      <c r="M51" s="23">
        <v>5342.1336478517269</v>
      </c>
      <c r="N51" s="23">
        <v>5745.6122334707034</v>
      </c>
      <c r="O51" s="23">
        <v>6096.7510790736396</v>
      </c>
      <c r="P51" s="23">
        <v>5877.9665215082305</v>
      </c>
      <c r="Q51" s="23">
        <v>5388.8929678831055</v>
      </c>
      <c r="R51" s="23">
        <v>5379.0811428105308</v>
      </c>
      <c r="S51" s="23">
        <v>5628.6953399999993</v>
      </c>
      <c r="T51" s="23">
        <v>5591.5546864841617</v>
      </c>
      <c r="U51" s="23">
        <v>6040.9917051971497</v>
      </c>
      <c r="V51" s="23">
        <v>6390.8403599821168</v>
      </c>
      <c r="W51" s="23">
        <v>6491.6369557929029</v>
      </c>
      <c r="X51" s="23">
        <v>6100.356183466205</v>
      </c>
      <c r="Y51" s="23">
        <v>6821.7043276959685</v>
      </c>
      <c r="Z51" s="23">
        <v>6164.8734377567698</v>
      </c>
      <c r="AA51" s="23">
        <v>6908</v>
      </c>
    </row>
    <row r="52" spans="1:27" ht="12.75" customHeight="1" x14ac:dyDescent="0.2">
      <c r="A52" s="152"/>
      <c r="B52" s="21" t="s">
        <v>110</v>
      </c>
      <c r="C52" s="22" t="s">
        <v>111</v>
      </c>
      <c r="D52" s="23">
        <v>1268.4253249740416</v>
      </c>
      <c r="E52" s="23">
        <v>1466.2729598297958</v>
      </c>
      <c r="F52" s="23">
        <v>1634.3887787619501</v>
      </c>
      <c r="G52" s="23">
        <v>1576.6665418507703</v>
      </c>
      <c r="H52" s="23">
        <v>1298.049735763323</v>
      </c>
      <c r="I52" s="23">
        <v>1447.503114102172</v>
      </c>
      <c r="J52" s="23">
        <v>1527.2712369959015</v>
      </c>
      <c r="K52" s="23">
        <v>1468.5651922418576</v>
      </c>
      <c r="L52" s="23">
        <v>1495.6477693891557</v>
      </c>
      <c r="M52" s="23">
        <v>1047.7145296265094</v>
      </c>
      <c r="N52" s="23">
        <v>1044.5348727826554</v>
      </c>
      <c r="O52" s="23">
        <v>1179.2123967485375</v>
      </c>
      <c r="P52" s="23">
        <v>1121.6716728624533</v>
      </c>
      <c r="Q52" s="23">
        <v>1142.3459747586307</v>
      </c>
      <c r="R52" s="23">
        <v>1075.5720578338805</v>
      </c>
      <c r="S52" s="23">
        <v>1058.4485599999998</v>
      </c>
      <c r="T52" s="23">
        <v>1274.2373498434672</v>
      </c>
      <c r="U52" s="23">
        <v>1277.1024745500365</v>
      </c>
      <c r="V52" s="23">
        <v>1378.9413376873285</v>
      </c>
      <c r="W52" s="23">
        <v>1268.5071507256096</v>
      </c>
      <c r="X52" s="23">
        <v>1246.4426268083546</v>
      </c>
      <c r="Y52" s="23">
        <v>1299.0056128682584</v>
      </c>
      <c r="Z52" s="23">
        <v>1128.7942293221702</v>
      </c>
      <c r="AA52" s="23">
        <v>1287</v>
      </c>
    </row>
    <row r="53" spans="1:27" ht="12.75" customHeight="1" x14ac:dyDescent="0.2">
      <c r="A53" s="152"/>
      <c r="B53" s="21" t="s">
        <v>112</v>
      </c>
      <c r="C53" s="22" t="s">
        <v>113</v>
      </c>
      <c r="D53" s="23">
        <v>3049.8862032254251</v>
      </c>
      <c r="E53" s="23">
        <v>3222.1613646725086</v>
      </c>
      <c r="F53" s="23">
        <v>3023.9196798233506</v>
      </c>
      <c r="G53" s="23">
        <v>3048.7201377967499</v>
      </c>
      <c r="H53" s="23">
        <v>2995.2719415222009</v>
      </c>
      <c r="I53" s="23">
        <v>3076.6766595289082</v>
      </c>
      <c r="J53" s="23">
        <v>2877.4254674200351</v>
      </c>
      <c r="K53" s="23">
        <v>3191.5497633129112</v>
      </c>
      <c r="L53" s="23">
        <v>3106.3453671928619</v>
      </c>
      <c r="M53" s="23">
        <v>2714.1051614714966</v>
      </c>
      <c r="N53" s="23">
        <v>2626.7571447769215</v>
      </c>
      <c r="O53" s="23">
        <v>2628.6336408054158</v>
      </c>
      <c r="P53" s="23">
        <v>2560.0057567711096</v>
      </c>
      <c r="Q53" s="23">
        <v>2365.4011759947734</v>
      </c>
      <c r="R53" s="23">
        <v>2298.8674062442642</v>
      </c>
      <c r="S53" s="23">
        <v>2319.2475799999997</v>
      </c>
      <c r="T53" s="23">
        <v>2372.4287500375076</v>
      </c>
      <c r="U53" s="23">
        <v>2473.4207925703963</v>
      </c>
      <c r="V53" s="23">
        <v>2534.4592687620266</v>
      </c>
      <c r="W53" s="23">
        <v>2580.5977297763307</v>
      </c>
      <c r="X53" s="23">
        <v>2464.7106915279128</v>
      </c>
      <c r="Y53" s="23">
        <v>2530.9161009397653</v>
      </c>
      <c r="Z53" s="23">
        <v>2597.2623184770669</v>
      </c>
      <c r="AA53" s="23">
        <v>2562</v>
      </c>
    </row>
    <row r="54" spans="1:27" ht="12.75" customHeight="1" x14ac:dyDescent="0.2">
      <c r="A54" s="153"/>
      <c r="B54" s="28" t="s">
        <v>52</v>
      </c>
      <c r="C54" s="31" t="s">
        <v>58</v>
      </c>
      <c r="D54" s="30">
        <f>SUM(D41:D53)</f>
        <v>51855.934098287406</v>
      </c>
      <c r="E54" s="30">
        <f t="shared" ref="E54:S54" si="6">SUM(E41:E53)</f>
        <v>51759.283850868756</v>
      </c>
      <c r="F54" s="30">
        <f t="shared" si="6"/>
        <v>51007.050535718779</v>
      </c>
      <c r="G54" s="30">
        <f t="shared" si="6"/>
        <v>49773.345190843502</v>
      </c>
      <c r="H54" s="30">
        <f t="shared" si="6"/>
        <v>50563.324615992489</v>
      </c>
      <c r="I54" s="30">
        <f t="shared" si="6"/>
        <v>51188.57419394311</v>
      </c>
      <c r="J54" s="30">
        <f t="shared" si="6"/>
        <v>54746.576375585035</v>
      </c>
      <c r="K54" s="30">
        <f t="shared" si="6"/>
        <v>58515.043689721519</v>
      </c>
      <c r="L54" s="30">
        <f t="shared" si="6"/>
        <v>55314.3139327385</v>
      </c>
      <c r="M54" s="30">
        <f t="shared" si="6"/>
        <v>40745.201123279978</v>
      </c>
      <c r="N54" s="30">
        <f t="shared" si="6"/>
        <v>42986.833743952702</v>
      </c>
      <c r="O54" s="30">
        <f t="shared" si="6"/>
        <v>42403.113625906524</v>
      </c>
      <c r="P54" s="30">
        <f t="shared" si="6"/>
        <v>37193.208327137538</v>
      </c>
      <c r="Q54" s="30">
        <f t="shared" si="6"/>
        <v>37000.83445851352</v>
      </c>
      <c r="R54" s="30">
        <f t="shared" si="6"/>
        <v>36698.860452311521</v>
      </c>
      <c r="S54" s="30">
        <f t="shared" si="6"/>
        <v>37351.021299999993</v>
      </c>
      <c r="T54" s="30">
        <f t="shared" ref="T54:Y54" si="7">SUM(T41:T53)</f>
        <v>38098.97820542314</v>
      </c>
      <c r="U54" s="30">
        <f t="shared" si="7"/>
        <v>41041.915523981501</v>
      </c>
      <c r="V54" s="30">
        <f t="shared" si="7"/>
        <v>39912.496996909431</v>
      </c>
      <c r="W54" s="30">
        <f t="shared" si="7"/>
        <v>40247.002193591645</v>
      </c>
      <c r="X54" s="30">
        <f t="shared" si="7"/>
        <v>38690.435642818826</v>
      </c>
      <c r="Y54" s="30">
        <f t="shared" si="7"/>
        <v>40879.62964255859</v>
      </c>
      <c r="Z54" s="30">
        <f t="shared" ref="Z54:AA54" si="8">SUM(Z41:Z53)</f>
        <v>43422.332142640909</v>
      </c>
      <c r="AA54" s="30">
        <f t="shared" si="8"/>
        <v>39456</v>
      </c>
    </row>
    <row r="55" spans="1:27" ht="12.75" customHeight="1" x14ac:dyDescent="0.2">
      <c r="C55" s="12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</row>
    <row r="56" spans="1:27" ht="12.75" customHeight="1" x14ac:dyDescent="0.2">
      <c r="A56" s="151" t="s">
        <v>114</v>
      </c>
      <c r="B56" s="17" t="s">
        <v>88</v>
      </c>
      <c r="C56" s="18" t="s">
        <v>89</v>
      </c>
      <c r="D56" s="19">
        <v>2988.5107842750681</v>
      </c>
      <c r="E56" s="19">
        <v>3476.9016513854413</v>
      </c>
      <c r="F56" s="19">
        <v>3680.3791433518177</v>
      </c>
      <c r="G56" s="19">
        <v>3661.4531066676655</v>
      </c>
      <c r="H56" s="19">
        <v>3514.1961525164224</v>
      </c>
      <c r="I56" s="19">
        <v>3536.7130743346593</v>
      </c>
      <c r="J56" s="19">
        <v>3397.1622571962066</v>
      </c>
      <c r="K56" s="19">
        <v>3532.1890427453341</v>
      </c>
      <c r="L56" s="19">
        <v>3491.2144360558223</v>
      </c>
      <c r="M56" s="19">
        <v>3786.0287559674248</v>
      </c>
      <c r="N56" s="19">
        <v>3517.0923893567456</v>
      </c>
      <c r="O56" s="19">
        <v>3403.8444600249773</v>
      </c>
      <c r="P56" s="19">
        <v>3434.9605310674451</v>
      </c>
      <c r="Q56" s="19">
        <v>3356.2621410571505</v>
      </c>
      <c r="R56" s="19">
        <v>3246.2498317596915</v>
      </c>
      <c r="S56" s="19">
        <v>3149.0041999999994</v>
      </c>
      <c r="T56" s="19">
        <v>3104.1571530021301</v>
      </c>
      <c r="U56" s="19">
        <v>3240.8702796023254</v>
      </c>
      <c r="V56" s="19">
        <v>3201.2384978715959</v>
      </c>
      <c r="W56" s="19">
        <v>3289.4019062215625</v>
      </c>
      <c r="X56" s="19">
        <v>3334.7411688299467</v>
      </c>
      <c r="Y56" s="19">
        <v>3217.2662300081761</v>
      </c>
      <c r="Z56" s="19">
        <v>2892.4057637585515</v>
      </c>
      <c r="AA56" s="19">
        <v>3200</v>
      </c>
    </row>
    <row r="57" spans="1:27" ht="12.75" customHeight="1" x14ac:dyDescent="0.2">
      <c r="A57" s="152"/>
      <c r="B57" s="21" t="s">
        <v>90</v>
      </c>
      <c r="C57" s="22" t="s">
        <v>91</v>
      </c>
      <c r="D57" s="23">
        <v>908.04145472707444</v>
      </c>
      <c r="E57" s="23">
        <v>880.97682488222472</v>
      </c>
      <c r="F57" s="23">
        <v>887.7975811105814</v>
      </c>
      <c r="G57" s="23">
        <v>824.94780199206173</v>
      </c>
      <c r="H57" s="23">
        <v>807.2154393243444</v>
      </c>
      <c r="I57" s="23">
        <v>805.79626797185688</v>
      </c>
      <c r="J57" s="23">
        <v>827.51388316317855</v>
      </c>
      <c r="K57" s="23">
        <v>750.53716754612742</v>
      </c>
      <c r="L57" s="23">
        <v>753.30244795241356</v>
      </c>
      <c r="M57" s="23">
        <v>633.4705307497893</v>
      </c>
      <c r="N57" s="23">
        <v>622.16197814011821</v>
      </c>
      <c r="O57" s="23">
        <v>604.69067285992855</v>
      </c>
      <c r="P57" s="23">
        <v>584.99883165161964</v>
      </c>
      <c r="Q57" s="23">
        <v>514.05568864138377</v>
      </c>
      <c r="R57" s="23">
        <v>472.47035911658543</v>
      </c>
      <c r="S57" s="23">
        <v>468.15993999999995</v>
      </c>
      <c r="T57" s="23">
        <v>497.00047009872071</v>
      </c>
      <c r="U57" s="23">
        <v>497.77296449903747</v>
      </c>
      <c r="V57" s="23">
        <v>482.92038408459189</v>
      </c>
      <c r="W57" s="23">
        <v>461.06679438670437</v>
      </c>
      <c r="X57" s="23">
        <v>477.84057302598762</v>
      </c>
      <c r="Y57" s="23">
        <v>496.06395546450852</v>
      </c>
      <c r="Z57" s="23">
        <v>463.9447841617727</v>
      </c>
      <c r="AA57" s="23">
        <v>421</v>
      </c>
    </row>
    <row r="58" spans="1:27" ht="12.75" customHeight="1" x14ac:dyDescent="0.2">
      <c r="A58" s="152"/>
      <c r="B58" s="21" t="s">
        <v>115</v>
      </c>
      <c r="C58" s="22" t="s">
        <v>116</v>
      </c>
      <c r="D58" s="23">
        <v>2220.53118305009</v>
      </c>
      <c r="E58" s="23">
        <v>2230.493819968593</v>
      </c>
      <c r="F58" s="23">
        <v>2193.2055303239404</v>
      </c>
      <c r="G58" s="23">
        <v>2161.0045682618138</v>
      </c>
      <c r="H58" s="23">
        <v>2054.9990121993383</v>
      </c>
      <c r="I58" s="23">
        <v>2014.4906699296423</v>
      </c>
      <c r="J58" s="23">
        <v>2237.1910420253653</v>
      </c>
      <c r="K58" s="23">
        <v>2522.9921733895244</v>
      </c>
      <c r="L58" s="23">
        <v>1783.2723404255319</v>
      </c>
      <c r="M58" s="23">
        <v>1187.5891266498174</v>
      </c>
      <c r="N58" s="23">
        <v>1668.037717254972</v>
      </c>
      <c r="O58" s="23">
        <v>1520.2526894678031</v>
      </c>
      <c r="P58" s="23">
        <v>1384.9211471056822</v>
      </c>
      <c r="Q58" s="23">
        <v>1458.9744786319468</v>
      </c>
      <c r="R58" s="23">
        <v>1479.6746130472907</v>
      </c>
      <c r="S58" s="23">
        <v>1445.1893799999998</v>
      </c>
      <c r="T58" s="23">
        <v>1475.432720871383</v>
      </c>
      <c r="U58" s="23">
        <v>1591.9230845553943</v>
      </c>
      <c r="V58" s="23">
        <v>1615.165043637141</v>
      </c>
      <c r="W58" s="23">
        <v>1430.2246084582596</v>
      </c>
      <c r="X58" s="23">
        <v>1351.2519977786772</v>
      </c>
      <c r="Y58" s="23">
        <v>2455.0216155139315</v>
      </c>
      <c r="Z58" s="23">
        <v>2763.9924752852039</v>
      </c>
      <c r="AA58" s="23">
        <v>1475</v>
      </c>
    </row>
    <row r="59" spans="1:27" ht="12.75" customHeight="1" x14ac:dyDescent="0.2">
      <c r="A59" s="152"/>
      <c r="B59" s="21" t="s">
        <v>117</v>
      </c>
      <c r="C59" s="22" t="s">
        <v>118</v>
      </c>
      <c r="D59" s="23">
        <v>8836.4866001603514</v>
      </c>
      <c r="E59" s="23">
        <v>8699.0775290005568</v>
      </c>
      <c r="F59" s="23">
        <v>7474.9251499259781</v>
      </c>
      <c r="G59" s="23">
        <v>6465.0800569160492</v>
      </c>
      <c r="H59" s="23">
        <v>6404.5005185953478</v>
      </c>
      <c r="I59" s="23">
        <v>5390.0444906699304</v>
      </c>
      <c r="J59" s="23">
        <v>5856.475446807478</v>
      </c>
      <c r="K59" s="23">
        <v>5498.2854646976193</v>
      </c>
      <c r="L59" s="23">
        <v>4478.7254632807135</v>
      </c>
      <c r="M59" s="23">
        <v>2853.9797584948046</v>
      </c>
      <c r="N59" s="23">
        <v>4116.4596398494887</v>
      </c>
      <c r="O59" s="23">
        <v>4028.2105343879402</v>
      </c>
      <c r="P59" s="23">
        <v>3583.7537121614441</v>
      </c>
      <c r="Q59" s="23">
        <v>3423.3128830538531</v>
      </c>
      <c r="R59" s="23">
        <v>3520.9419010135202</v>
      </c>
      <c r="S59" s="23">
        <v>3748.8715399999996</v>
      </c>
      <c r="T59" s="23">
        <v>3732.8926874643676</v>
      </c>
      <c r="U59" s="23">
        <v>3908.5275732740652</v>
      </c>
      <c r="V59" s="23">
        <v>4227.5897719983668</v>
      </c>
      <c r="W59" s="23">
        <v>3855.9864744480101</v>
      </c>
      <c r="X59" s="23">
        <v>2944.8052295210041</v>
      </c>
      <c r="Y59" s="23">
        <v>3603.3381776091574</v>
      </c>
      <c r="Z59" s="23">
        <v>3497.190928826577</v>
      </c>
      <c r="AA59" s="23">
        <v>2420</v>
      </c>
    </row>
    <row r="60" spans="1:27" ht="12.75" customHeight="1" x14ac:dyDescent="0.2">
      <c r="A60" s="152"/>
      <c r="B60" s="21" t="s">
        <v>119</v>
      </c>
      <c r="C60" s="22" t="s">
        <v>7</v>
      </c>
      <c r="D60" s="23">
        <v>1299.8998987947373</v>
      </c>
      <c r="E60" s="23">
        <v>1372.2616635428801</v>
      </c>
      <c r="F60" s="23">
        <v>1269.3552555641984</v>
      </c>
      <c r="G60" s="23">
        <v>1098.4359320002995</v>
      </c>
      <c r="H60" s="23">
        <v>1058.5462537659901</v>
      </c>
      <c r="I60" s="23">
        <v>1119.3242704190884</v>
      </c>
      <c r="J60" s="23">
        <v>1106.2554017023544</v>
      </c>
      <c r="K60" s="23">
        <v>1081.282360024082</v>
      </c>
      <c r="L60" s="23">
        <v>1040.9270189887898</v>
      </c>
      <c r="M60" s="23">
        <v>883.63086773378257</v>
      </c>
      <c r="N60" s="23">
        <v>870.22224959684638</v>
      </c>
      <c r="O60" s="23">
        <v>789.6394469884533</v>
      </c>
      <c r="P60" s="23">
        <v>778.30279341476353</v>
      </c>
      <c r="Q60" s="23">
        <v>670.50741996702232</v>
      </c>
      <c r="R60" s="23">
        <v>622.63535697534508</v>
      </c>
      <c r="S60" s="23">
        <v>608.24871999999993</v>
      </c>
      <c r="T60" s="23">
        <v>541.3113553846307</v>
      </c>
      <c r="U60" s="23">
        <v>510.84098982001461</v>
      </c>
      <c r="V60" s="23">
        <v>467.79275759519504</v>
      </c>
      <c r="W60" s="23">
        <v>446.15667417021893</v>
      </c>
      <c r="X60" s="23">
        <v>392.18990427604643</v>
      </c>
      <c r="Y60" s="23">
        <v>380.57234720780474</v>
      </c>
      <c r="Z60" s="23">
        <v>351.06536122955566</v>
      </c>
      <c r="AA60" s="23">
        <v>362</v>
      </c>
    </row>
    <row r="61" spans="1:27" ht="12.75" customHeight="1" x14ac:dyDescent="0.2">
      <c r="A61" s="152"/>
      <c r="B61" s="21" t="s">
        <v>94</v>
      </c>
      <c r="C61" s="22" t="s">
        <v>95</v>
      </c>
      <c r="D61" s="23">
        <v>670.40842238082098</v>
      </c>
      <c r="E61" s="23">
        <v>785.44921736487504</v>
      </c>
      <c r="F61" s="23">
        <v>1069.5632449250998</v>
      </c>
      <c r="G61" s="23">
        <v>941.51651314311391</v>
      </c>
      <c r="H61" s="23">
        <v>1457.7187237615449</v>
      </c>
      <c r="I61" s="23">
        <v>1034.3493912511472</v>
      </c>
      <c r="J61" s="23">
        <v>1096.0929505056138</v>
      </c>
      <c r="K61" s="23">
        <v>1174.5694655947871</v>
      </c>
      <c r="L61" s="23">
        <v>912.18078242964998</v>
      </c>
      <c r="M61" s="23">
        <v>833.86778994664417</v>
      </c>
      <c r="N61" s="23">
        <v>703.95482440422859</v>
      </c>
      <c r="O61" s="23">
        <v>872.27613330119846</v>
      </c>
      <c r="P61" s="23">
        <v>999.58496016994138</v>
      </c>
      <c r="Q61" s="23">
        <v>798.40050192369517</v>
      </c>
      <c r="R61" s="23">
        <v>512.75852927381356</v>
      </c>
      <c r="S61" s="23">
        <v>714.81197999999995</v>
      </c>
      <c r="T61" s="23">
        <v>730.53081147040871</v>
      </c>
      <c r="U61" s="23">
        <v>1214.138352548965</v>
      </c>
      <c r="V61" s="23">
        <v>845.98341983011642</v>
      </c>
      <c r="W61" s="23">
        <v>957.68849082810493</v>
      </c>
      <c r="X61" s="23">
        <v>604.06261118379564</v>
      </c>
      <c r="Y61" s="23">
        <v>350.87450508465236</v>
      </c>
      <c r="Z61" s="23">
        <v>1255.1363357233672</v>
      </c>
      <c r="AA61" s="23">
        <v>1317</v>
      </c>
    </row>
    <row r="62" spans="1:27" ht="12.75" customHeight="1" x14ac:dyDescent="0.2">
      <c r="A62" s="152"/>
      <c r="B62" s="21" t="s">
        <v>96</v>
      </c>
      <c r="C62" s="22" t="s">
        <v>97</v>
      </c>
      <c r="D62" s="23">
        <v>2187.4828805383595</v>
      </c>
      <c r="E62" s="23">
        <v>2353.3150296337571</v>
      </c>
      <c r="F62" s="23">
        <v>2173.6769879306453</v>
      </c>
      <c r="G62" s="23">
        <v>2143.0709203924212</v>
      </c>
      <c r="H62" s="23">
        <v>2429.0384007507287</v>
      </c>
      <c r="I62" s="23">
        <v>2348.5298501070665</v>
      </c>
      <c r="J62" s="23">
        <v>2350.4297839319056</v>
      </c>
      <c r="K62" s="23">
        <v>2629.0002479016894</v>
      </c>
      <c r="L62" s="23">
        <v>2470.8320292839167</v>
      </c>
      <c r="M62" s="23">
        <v>2077.9447346251054</v>
      </c>
      <c r="N62" s="23">
        <v>2275.4501657409064</v>
      </c>
      <c r="O62" s="23">
        <v>2660.1142832102714</v>
      </c>
      <c r="P62" s="23">
        <v>2071.658906001062</v>
      </c>
      <c r="Q62" s="23">
        <v>2241.2331352601395</v>
      </c>
      <c r="R62" s="23">
        <v>2176.7820421314518</v>
      </c>
      <c r="S62" s="23">
        <v>2429.4028599999997</v>
      </c>
      <c r="T62" s="23">
        <v>2493.3854909531001</v>
      </c>
      <c r="U62" s="23">
        <v>2655.1851447621689</v>
      </c>
      <c r="V62" s="23">
        <v>2871.9217058331874</v>
      </c>
      <c r="W62" s="23">
        <v>3312.3405527084633</v>
      </c>
      <c r="X62" s="23">
        <v>3178.0906036162382</v>
      </c>
      <c r="Y62" s="23">
        <v>3019.2806158538269</v>
      </c>
      <c r="Z62" s="23">
        <v>4265.5994775945128</v>
      </c>
      <c r="AA62" s="23">
        <v>3537</v>
      </c>
    </row>
    <row r="63" spans="1:27" ht="12.75" customHeight="1" x14ac:dyDescent="0.2">
      <c r="A63" s="152"/>
      <c r="B63" s="21" t="s">
        <v>98</v>
      </c>
      <c r="C63" s="22" t="s">
        <v>99</v>
      </c>
      <c r="D63" s="23">
        <v>698.73553881944724</v>
      </c>
      <c r="E63" s="23">
        <v>821.84068689529397</v>
      </c>
      <c r="F63" s="23">
        <v>839.72732291170053</v>
      </c>
      <c r="G63" s="23">
        <v>795.05838887640732</v>
      </c>
      <c r="H63" s="23">
        <v>876.70101743468172</v>
      </c>
      <c r="I63" s="23">
        <v>997.72228816151733</v>
      </c>
      <c r="J63" s="23">
        <v>1100.4482867327883</v>
      </c>
      <c r="K63" s="23">
        <v>1130.7527947964254</v>
      </c>
      <c r="L63" s="23">
        <v>1188.8482269503545</v>
      </c>
      <c r="M63" s="23">
        <v>1234.6623083403538</v>
      </c>
      <c r="N63" s="23">
        <v>1318.0716045511556</v>
      </c>
      <c r="O63" s="23">
        <v>1349.7325431081701</v>
      </c>
      <c r="P63" s="23">
        <v>1568.0512161444501</v>
      </c>
      <c r="Q63" s="23">
        <v>1434.1408704850201</v>
      </c>
      <c r="R63" s="23">
        <v>1609.0850990068723</v>
      </c>
      <c r="S63" s="23">
        <v>1576.8967799999998</v>
      </c>
      <c r="T63" s="23">
        <v>1840.6981266065873</v>
      </c>
      <c r="U63" s="23">
        <v>1882.9836485226119</v>
      </c>
      <c r="V63" s="23">
        <v>1816.4788423037298</v>
      </c>
      <c r="W63" s="23">
        <v>1830.5039896546771</v>
      </c>
      <c r="X63" s="23">
        <v>1724.2831998343422</v>
      </c>
      <c r="Y63" s="23">
        <v>1650.980038031546</v>
      </c>
      <c r="Z63" s="23">
        <v>1709.7608005604613</v>
      </c>
      <c r="AA63" s="23">
        <v>1581</v>
      </c>
    </row>
    <row r="64" spans="1:27" ht="12.75" customHeight="1" x14ac:dyDescent="0.2">
      <c r="A64" s="152"/>
      <c r="B64" s="21" t="s">
        <v>120</v>
      </c>
      <c r="C64" s="22" t="s">
        <v>121</v>
      </c>
      <c r="D64" s="23">
        <v>1540.6803885230604</v>
      </c>
      <c r="E64" s="23">
        <v>1531.4743427384631</v>
      </c>
      <c r="F64" s="23">
        <v>1571.2965648759189</v>
      </c>
      <c r="G64" s="23">
        <v>1470.559125290197</v>
      </c>
      <c r="H64" s="23">
        <v>1586.340964093446</v>
      </c>
      <c r="I64" s="23">
        <v>1494.3858060568982</v>
      </c>
      <c r="J64" s="23">
        <v>1617.281519024177</v>
      </c>
      <c r="K64" s="23">
        <v>1696.1291921946383</v>
      </c>
      <c r="L64" s="23">
        <v>1609.3279569892472</v>
      </c>
      <c r="M64" s="23">
        <v>1283.0804380791913</v>
      </c>
      <c r="N64" s="23">
        <v>1284.5499462461923</v>
      </c>
      <c r="O64" s="23">
        <v>1390.395039547775</v>
      </c>
      <c r="P64" s="23">
        <v>1365.8450982474772</v>
      </c>
      <c r="Q64" s="23">
        <v>1189.5298302377914</v>
      </c>
      <c r="R64" s="23">
        <v>1217.1910802047432</v>
      </c>
      <c r="S64" s="23">
        <v>1224.8788199999999</v>
      </c>
      <c r="T64" s="23">
        <v>1271.8421668550395</v>
      </c>
      <c r="U64" s="23">
        <v>1272.3504653424086</v>
      </c>
      <c r="V64" s="23">
        <v>1254.4293350438313</v>
      </c>
      <c r="W64" s="23">
        <v>1230.6583840222233</v>
      </c>
      <c r="X64" s="23">
        <v>1187.8395376636579</v>
      </c>
      <c r="Y64" s="23">
        <v>1228.610727835601</v>
      </c>
      <c r="Z64" s="23">
        <v>1100.8332713481348</v>
      </c>
      <c r="AA64" s="23">
        <v>1110</v>
      </c>
    </row>
    <row r="65" spans="1:27" ht="12.75" customHeight="1" x14ac:dyDescent="0.2">
      <c r="A65" s="152"/>
      <c r="B65" s="21" t="s">
        <v>122</v>
      </c>
      <c r="C65" s="22" t="s">
        <v>123</v>
      </c>
      <c r="D65" s="23">
        <v>1534.3854737589211</v>
      </c>
      <c r="E65" s="23">
        <v>1513.2786079732534</v>
      </c>
      <c r="F65" s="23">
        <v>1460.1340927910069</v>
      </c>
      <c r="G65" s="23">
        <v>1455.6144187323698</v>
      </c>
      <c r="H65" s="23">
        <v>1522.7690522052651</v>
      </c>
      <c r="I65" s="23">
        <v>1677.5213215050476</v>
      </c>
      <c r="J65" s="23">
        <v>1787.1396318839875</v>
      </c>
      <c r="K65" s="23">
        <v>1884.1168443295439</v>
      </c>
      <c r="L65" s="23">
        <v>1795.5991077556623</v>
      </c>
      <c r="M65" s="23">
        <v>1301.9097107554057</v>
      </c>
      <c r="N65" s="23">
        <v>1379.751455832288</v>
      </c>
      <c r="O65" s="23">
        <v>1528.1228500690167</v>
      </c>
      <c r="P65" s="23">
        <v>1416.7145618693571</v>
      </c>
      <c r="Q65" s="23">
        <v>1360.881726451586</v>
      </c>
      <c r="R65" s="23">
        <v>1262.3626649264841</v>
      </c>
      <c r="S65" s="23">
        <v>1214.1027599999998</v>
      </c>
      <c r="T65" s="23">
        <v>1269.4469838666118</v>
      </c>
      <c r="U65" s="23">
        <v>1346.0066080606432</v>
      </c>
      <c r="V65" s="23">
        <v>1382.432328415651</v>
      </c>
      <c r="W65" s="23">
        <v>1352.2332104027971</v>
      </c>
      <c r="X65" s="23">
        <v>1266.728311512288</v>
      </c>
      <c r="Y65" s="23">
        <v>1142.8169617020496</v>
      </c>
      <c r="Z65" s="23">
        <v>1130.865411394321</v>
      </c>
      <c r="AA65" s="23">
        <v>1106</v>
      </c>
    </row>
    <row r="66" spans="1:27" ht="12.75" customHeight="1" x14ac:dyDescent="0.2">
      <c r="A66" s="152"/>
      <c r="B66" s="21" t="s">
        <v>124</v>
      </c>
      <c r="C66" s="22" t="s">
        <v>125</v>
      </c>
      <c r="D66" s="23">
        <v>2154.434578026629</v>
      </c>
      <c r="E66" s="23">
        <v>2045.5038498556303</v>
      </c>
      <c r="F66" s="23">
        <v>1784.608335633453</v>
      </c>
      <c r="G66" s="23">
        <v>1945.8007938291021</v>
      </c>
      <c r="H66" s="23">
        <v>2278.2399120857413</v>
      </c>
      <c r="I66" s="23">
        <v>2666.4531049250536</v>
      </c>
      <c r="J66" s="23">
        <v>3417.4871595896884</v>
      </c>
      <c r="K66" s="23">
        <v>3447.3825831356021</v>
      </c>
      <c r="L66" s="23">
        <v>3115.9328528940746</v>
      </c>
      <c r="M66" s="23">
        <v>1086.7180230272395</v>
      </c>
      <c r="N66" s="23">
        <v>1650.6064549363912</v>
      </c>
      <c r="O66" s="23">
        <v>1694.7079161280426</v>
      </c>
      <c r="P66" s="23">
        <v>1417.9862984599042</v>
      </c>
      <c r="Q66" s="23">
        <v>1576.9341173298487</v>
      </c>
      <c r="R66" s="23">
        <v>1561.4718070028753</v>
      </c>
      <c r="S66" s="23">
        <v>1873.8370999999997</v>
      </c>
      <c r="T66" s="23">
        <v>1685.0112323587953</v>
      </c>
      <c r="U66" s="23">
        <v>2256.0163713214133</v>
      </c>
      <c r="V66" s="23">
        <v>2013.137986665889</v>
      </c>
      <c r="W66" s="23">
        <v>1656.1702763542316</v>
      </c>
      <c r="X66" s="23">
        <v>1479.728000903589</v>
      </c>
      <c r="Y66" s="23">
        <v>1888.5627750167653</v>
      </c>
      <c r="Z66" s="23">
        <v>3037.3885088091056</v>
      </c>
      <c r="AA66" s="23">
        <v>2081</v>
      </c>
    </row>
    <row r="67" spans="1:27" ht="12.75" customHeight="1" x14ac:dyDescent="0.2">
      <c r="A67" s="152"/>
      <c r="B67" s="21" t="s">
        <v>126</v>
      </c>
      <c r="C67" s="22" t="s">
        <v>127</v>
      </c>
      <c r="D67" s="23">
        <v>2969.6260399826506</v>
      </c>
      <c r="E67" s="23">
        <v>3301.0095486550831</v>
      </c>
      <c r="F67" s="23">
        <v>3210.1919303440141</v>
      </c>
      <c r="G67" s="23">
        <v>3250.4736763274173</v>
      </c>
      <c r="H67" s="23">
        <v>3219.9912579641427</v>
      </c>
      <c r="I67" s="23">
        <v>3526.4574854695629</v>
      </c>
      <c r="J67" s="23">
        <v>3876.2492421854154</v>
      </c>
      <c r="K67" s="23">
        <v>4466.4735394458803</v>
      </c>
      <c r="L67" s="23">
        <v>4597.8842141386413</v>
      </c>
      <c r="M67" s="23">
        <v>3305.8823027239537</v>
      </c>
      <c r="N67" s="23">
        <v>3077.2882323956278</v>
      </c>
      <c r="O67" s="23">
        <v>3378.9222847878</v>
      </c>
      <c r="P67" s="23">
        <v>3405.7105894848642</v>
      </c>
      <c r="Q67" s="23">
        <v>3127.7929461054246</v>
      </c>
      <c r="R67" s="23">
        <v>2961.7909333768375</v>
      </c>
      <c r="S67" s="23">
        <v>3049.6249799999996</v>
      </c>
      <c r="T67" s="23">
        <v>3043.0799867972273</v>
      </c>
      <c r="U67" s="23">
        <v>3243.2462842061391</v>
      </c>
      <c r="V67" s="23">
        <v>3301.3135654168364</v>
      </c>
      <c r="W67" s="23">
        <v>3321.5160113032234</v>
      </c>
      <c r="X67" s="23">
        <v>3318.9634140602207</v>
      </c>
      <c r="Y67" s="23">
        <v>3283.2614347262925</v>
      </c>
      <c r="Z67" s="23">
        <v>3498.2265198626524</v>
      </c>
      <c r="AA67" s="23">
        <v>3385</v>
      </c>
    </row>
    <row r="68" spans="1:27" ht="12.75" customHeight="1" x14ac:dyDescent="0.2">
      <c r="A68" s="152"/>
      <c r="B68" s="21" t="s">
        <v>104</v>
      </c>
      <c r="C68" s="22" t="s">
        <v>105</v>
      </c>
      <c r="D68" s="23">
        <v>13526.198099444029</v>
      </c>
      <c r="E68" s="23">
        <v>11563.389443290613</v>
      </c>
      <c r="F68" s="23">
        <v>13024.03558075929</v>
      </c>
      <c r="G68" s="23">
        <v>13272.393894006342</v>
      </c>
      <c r="H68" s="23">
        <v>13048.504519188027</v>
      </c>
      <c r="I68" s="23">
        <v>13484.634273478128</v>
      </c>
      <c r="J68" s="23">
        <v>14217.269224240365</v>
      </c>
      <c r="K68" s="23">
        <v>15820.645040195488</v>
      </c>
      <c r="L68" s="23">
        <v>14496.278380233356</v>
      </c>
      <c r="M68" s="23">
        <v>9215.5840269587188</v>
      </c>
      <c r="N68" s="23">
        <v>8872.5125201576775</v>
      </c>
      <c r="O68" s="23">
        <v>7113.3134900637579</v>
      </c>
      <c r="P68" s="23">
        <v>3366.2867551779073</v>
      </c>
      <c r="Q68" s="23">
        <v>4933.1962583869999</v>
      </c>
      <c r="R68" s="23">
        <v>5126.3644390970085</v>
      </c>
      <c r="S68" s="23">
        <v>4661.2446199999995</v>
      </c>
      <c r="T68" s="23">
        <v>5025.0939097210412</v>
      </c>
      <c r="U68" s="23">
        <v>5417.2904966959686</v>
      </c>
      <c r="V68" s="23">
        <v>4079.8044978327207</v>
      </c>
      <c r="W68" s="23">
        <v>4711.5979884094068</v>
      </c>
      <c r="X68" s="23">
        <v>5618.0076805060098</v>
      </c>
      <c r="Y68" s="23">
        <v>5522.6987148277103</v>
      </c>
      <c r="Z68" s="23">
        <v>5525.913768498257</v>
      </c>
      <c r="AA68" s="23">
        <v>4226</v>
      </c>
    </row>
    <row r="69" spans="1:27" ht="12.75" customHeight="1" x14ac:dyDescent="0.2">
      <c r="A69" s="152"/>
      <c r="B69" s="21" t="s">
        <v>106</v>
      </c>
      <c r="C69" s="22" t="s">
        <v>107</v>
      </c>
      <c r="D69" s="23">
        <v>1609.9244509285911</v>
      </c>
      <c r="E69" s="23">
        <v>1648.2303074818903</v>
      </c>
      <c r="F69" s="23">
        <v>1412.0638345921261</v>
      </c>
      <c r="G69" s="23">
        <v>1412.2747697146708</v>
      </c>
      <c r="H69" s="23">
        <v>1519.8122190941867</v>
      </c>
      <c r="I69" s="23">
        <v>1774.2168736616704</v>
      </c>
      <c r="J69" s="23">
        <v>1910.5408249872685</v>
      </c>
      <c r="K69" s="23">
        <v>2076.3448194449365</v>
      </c>
      <c r="L69" s="23">
        <v>2514.6605353466025</v>
      </c>
      <c r="M69" s="23">
        <v>1956.8994102780116</v>
      </c>
      <c r="N69" s="23">
        <v>2213.770314459774</v>
      </c>
      <c r="O69" s="23">
        <v>2164.2941653338007</v>
      </c>
      <c r="P69" s="23">
        <v>2254.7889750398299</v>
      </c>
      <c r="Q69" s="23">
        <v>2018.9723423451451</v>
      </c>
      <c r="R69" s="23">
        <v>2175.5611884903233</v>
      </c>
      <c r="S69" s="23">
        <v>2180.3561399999999</v>
      </c>
      <c r="T69" s="23">
        <v>2150.8743236079576</v>
      </c>
      <c r="U69" s="23">
        <v>2213.2482884527608</v>
      </c>
      <c r="V69" s="23">
        <v>2048.0478939491127</v>
      </c>
      <c r="W69" s="23">
        <v>2050.7149959289241</v>
      </c>
      <c r="X69" s="23">
        <v>2000.3939083045473</v>
      </c>
      <c r="Y69" s="23">
        <v>1988.6555021725751</v>
      </c>
      <c r="Z69" s="23">
        <v>2039.0787500324341</v>
      </c>
      <c r="AA69" s="23">
        <v>2478</v>
      </c>
    </row>
    <row r="70" spans="1:27" ht="12.75" customHeight="1" x14ac:dyDescent="0.2">
      <c r="A70" s="152"/>
      <c r="B70" s="21" t="s">
        <v>108</v>
      </c>
      <c r="C70" s="22" t="s">
        <v>109</v>
      </c>
      <c r="D70" s="23">
        <v>4392.2767766781017</v>
      </c>
      <c r="E70" s="23">
        <v>4847.6470036978872</v>
      </c>
      <c r="F70" s="23">
        <v>4297.7815220936945</v>
      </c>
      <c r="G70" s="23">
        <v>4250.274545046057</v>
      </c>
      <c r="H70" s="23">
        <v>4491.4294957277625</v>
      </c>
      <c r="I70" s="23">
        <v>4793.7552523707564</v>
      </c>
      <c r="J70" s="23">
        <v>5544.3430171932969</v>
      </c>
      <c r="K70" s="23">
        <v>6144.2279987250768</v>
      </c>
      <c r="L70" s="23">
        <v>6463.3350034317091</v>
      </c>
      <c r="M70" s="23">
        <v>5342.1336478517269</v>
      </c>
      <c r="N70" s="23">
        <v>5745.6122334707034</v>
      </c>
      <c r="O70" s="23">
        <v>6096.7510790736396</v>
      </c>
      <c r="P70" s="23">
        <v>5877.9665215082305</v>
      </c>
      <c r="Q70" s="23">
        <v>5388.8929678831055</v>
      </c>
      <c r="R70" s="23">
        <v>5379.0811428105308</v>
      </c>
      <c r="S70" s="23">
        <v>5628.6953399999993</v>
      </c>
      <c r="T70" s="23">
        <v>5591.5546864841617</v>
      </c>
      <c r="U70" s="23">
        <v>6040.9917051971497</v>
      </c>
      <c r="V70" s="23">
        <v>6390.8403599821168</v>
      </c>
      <c r="W70" s="23">
        <v>6491.6369557929029</v>
      </c>
      <c r="X70" s="23">
        <v>6100.356183466205</v>
      </c>
      <c r="Y70" s="23">
        <v>6821.7043276959685</v>
      </c>
      <c r="Z70" s="23">
        <v>6164.8734377567698</v>
      </c>
      <c r="AA70" s="23">
        <v>6908</v>
      </c>
    </row>
    <row r="71" spans="1:27" ht="12.75" customHeight="1" x14ac:dyDescent="0.2">
      <c r="A71" s="152"/>
      <c r="B71" s="21" t="s">
        <v>128</v>
      </c>
      <c r="C71" s="22" t="s">
        <v>129</v>
      </c>
      <c r="D71" s="23">
        <v>631.06520510495113</v>
      </c>
      <c r="E71" s="23">
        <v>617.1386707866875</v>
      </c>
      <c r="F71" s="23">
        <v>644.44189897874685</v>
      </c>
      <c r="G71" s="23">
        <v>581.34908509947832</v>
      </c>
      <c r="H71" s="23">
        <v>560.31987454931595</v>
      </c>
      <c r="I71" s="23">
        <v>657.82277148975231</v>
      </c>
      <c r="J71" s="23">
        <v>691.04668137837371</v>
      </c>
      <c r="K71" s="23">
        <v>766.08501847457831</v>
      </c>
      <c r="L71" s="23">
        <v>708.10430107526884</v>
      </c>
      <c r="M71" s="23">
        <v>474.76666105026675</v>
      </c>
      <c r="N71" s="23">
        <v>514.8926715642358</v>
      </c>
      <c r="O71" s="23">
        <v>608.6257531605354</v>
      </c>
      <c r="P71" s="23">
        <v>530.3141582580987</v>
      </c>
      <c r="Q71" s="23">
        <v>515.29736904873016</v>
      </c>
      <c r="R71" s="23">
        <v>551.82584578991373</v>
      </c>
      <c r="S71" s="23">
        <v>586.69659999999988</v>
      </c>
      <c r="T71" s="23">
        <v>599.99333860110619</v>
      </c>
      <c r="U71" s="23">
        <v>735.37342488043964</v>
      </c>
      <c r="V71" s="23">
        <v>859.9473827434058</v>
      </c>
      <c r="W71" s="23">
        <v>875.10936347526228</v>
      </c>
      <c r="X71" s="23">
        <v>744.93542162777783</v>
      </c>
      <c r="Y71" s="23">
        <v>784.2430160669503</v>
      </c>
      <c r="Z71" s="23">
        <v>629.63934993383441</v>
      </c>
      <c r="AA71" s="23">
        <v>672</v>
      </c>
    </row>
    <row r="72" spans="1:27" ht="12.75" customHeight="1" x14ac:dyDescent="0.2">
      <c r="A72" s="152"/>
      <c r="B72" s="21" t="s">
        <v>130</v>
      </c>
      <c r="C72" s="22" t="s">
        <v>131</v>
      </c>
      <c r="D72" s="23">
        <v>637.36011986909034</v>
      </c>
      <c r="E72" s="23">
        <v>849.1342890431082</v>
      </c>
      <c r="F72" s="23">
        <v>989.94687978320326</v>
      </c>
      <c r="G72" s="23">
        <v>995.31745675129184</v>
      </c>
      <c r="H72" s="23">
        <v>737.72986121400697</v>
      </c>
      <c r="I72" s="23">
        <v>789.68034261241974</v>
      </c>
      <c r="J72" s="23">
        <v>836.22455561752781</v>
      </c>
      <c r="K72" s="23">
        <v>702.48017376727933</v>
      </c>
      <c r="L72" s="23">
        <v>787.54346831388693</v>
      </c>
      <c r="M72" s="23">
        <v>572.94786857624263</v>
      </c>
      <c r="N72" s="23">
        <v>529.64220121841959</v>
      </c>
      <c r="O72" s="23">
        <v>570.58664358800195</v>
      </c>
      <c r="P72" s="23">
        <v>591.35751460435472</v>
      </c>
      <c r="Q72" s="23">
        <v>627.04860570990047</v>
      </c>
      <c r="R72" s="23">
        <v>523.74621204396681</v>
      </c>
      <c r="S72" s="23">
        <v>471.75195999999994</v>
      </c>
      <c r="T72" s="23">
        <v>674.2440112423609</v>
      </c>
      <c r="U72" s="23">
        <v>541.72904966959686</v>
      </c>
      <c r="V72" s="23">
        <v>518.99395494392286</v>
      </c>
      <c r="W72" s="23">
        <v>393.39778725034728</v>
      </c>
      <c r="X72" s="23">
        <v>501.50720518057665</v>
      </c>
      <c r="Y72" s="23">
        <v>514.76259680130818</v>
      </c>
      <c r="Z72" s="23">
        <v>499.15487938833581</v>
      </c>
      <c r="AA72" s="23">
        <v>615</v>
      </c>
    </row>
    <row r="73" spans="1:27" ht="12.75" customHeight="1" x14ac:dyDescent="0.2">
      <c r="A73" s="152"/>
      <c r="B73" s="21" t="s">
        <v>132</v>
      </c>
      <c r="C73" s="22" t="s">
        <v>133</v>
      </c>
      <c r="D73" s="23">
        <v>1575.3024197258258</v>
      </c>
      <c r="E73" s="23">
        <v>1595.1594144166961</v>
      </c>
      <c r="F73" s="23">
        <v>1451.1209193787167</v>
      </c>
      <c r="G73" s="23">
        <v>1425.7250056167154</v>
      </c>
      <c r="H73" s="23">
        <v>1521.2906356497258</v>
      </c>
      <c r="I73" s="23">
        <v>1349.3424778219639</v>
      </c>
      <c r="J73" s="23">
        <v>1345.7988941969588</v>
      </c>
      <c r="K73" s="23">
        <v>1311.6732419638536</v>
      </c>
      <c r="L73" s="23">
        <v>1097.0822923816061</v>
      </c>
      <c r="M73" s="23">
        <v>897.08034821679303</v>
      </c>
      <c r="N73" s="23">
        <v>888.99437824762572</v>
      </c>
      <c r="O73" s="23">
        <v>894.5749216713042</v>
      </c>
      <c r="P73" s="23">
        <v>859.69393520977155</v>
      </c>
      <c r="Q73" s="23">
        <v>776.050254591461</v>
      </c>
      <c r="R73" s="23">
        <v>734.95389195913287</v>
      </c>
      <c r="S73" s="23">
        <v>713.61463999999989</v>
      </c>
      <c r="T73" s="23">
        <v>734.12358595305011</v>
      </c>
      <c r="U73" s="23">
        <v>731.8094179747186</v>
      </c>
      <c r="V73" s="23">
        <v>787.80024102474385</v>
      </c>
      <c r="W73" s="23">
        <v>791.38330379807473</v>
      </c>
      <c r="X73" s="23">
        <v>735.91956175936298</v>
      </c>
      <c r="Y73" s="23">
        <v>771.04397512332696</v>
      </c>
      <c r="Z73" s="23">
        <v>832.61519300460998</v>
      </c>
      <c r="AA73" s="23">
        <v>743</v>
      </c>
    </row>
    <row r="74" spans="1:27" ht="12.75" customHeight="1" x14ac:dyDescent="0.2">
      <c r="A74" s="152"/>
      <c r="B74" s="21" t="s">
        <v>134</v>
      </c>
      <c r="C74" s="22" t="s">
        <v>135</v>
      </c>
      <c r="D74" s="23">
        <v>1474.5837834995991</v>
      </c>
      <c r="E74" s="23">
        <v>1627.0019502558127</v>
      </c>
      <c r="F74" s="23">
        <v>1572.7987604446339</v>
      </c>
      <c r="G74" s="23">
        <v>1622.9951321800345</v>
      </c>
      <c r="H74" s="23">
        <v>1473.9813058724749</v>
      </c>
      <c r="I74" s="23">
        <v>1727.334181706944</v>
      </c>
      <c r="J74" s="23">
        <v>1531.6265732230761</v>
      </c>
      <c r="K74" s="23">
        <v>1879.8765213490574</v>
      </c>
      <c r="L74" s="23">
        <v>2009.2630748112558</v>
      </c>
      <c r="M74" s="23">
        <v>1817.0248132547038</v>
      </c>
      <c r="N74" s="23">
        <v>1737.7627665292957</v>
      </c>
      <c r="O74" s="23">
        <v>1734.0587191341117</v>
      </c>
      <c r="P74" s="23">
        <v>1700.3118215613381</v>
      </c>
      <c r="Q74" s="23">
        <v>1589.3509214033122</v>
      </c>
      <c r="R74" s="23">
        <v>1563.9135142851314</v>
      </c>
      <c r="S74" s="23">
        <v>1605.6329399999997</v>
      </c>
      <c r="T74" s="23">
        <v>1638.3051640844576</v>
      </c>
      <c r="U74" s="23">
        <v>1741.6113745956777</v>
      </c>
      <c r="V74" s="23">
        <v>1746.6590277372829</v>
      </c>
      <c r="W74" s="23">
        <v>1789.2144259782558</v>
      </c>
      <c r="X74" s="23">
        <v>1728.7911297685496</v>
      </c>
      <c r="Y74" s="23">
        <v>1759.8721258164383</v>
      </c>
      <c r="Z74" s="23">
        <v>1764.647125472457</v>
      </c>
      <c r="AA74" s="23">
        <v>1819</v>
      </c>
    </row>
    <row r="75" spans="1:27" ht="12.75" customHeight="1" x14ac:dyDescent="0.2">
      <c r="A75" s="153"/>
      <c r="B75" s="28" t="s">
        <v>52</v>
      </c>
      <c r="C75" s="31" t="s">
        <v>58</v>
      </c>
      <c r="D75" s="30">
        <f>SUM(D56:D74)</f>
        <v>51855.934098287406</v>
      </c>
      <c r="E75" s="30">
        <f t="shared" ref="E75:S75" si="9">SUM(E56:E74)</f>
        <v>51759.283850868756</v>
      </c>
      <c r="F75" s="30">
        <f t="shared" si="9"/>
        <v>51007.050535718765</v>
      </c>
      <c r="G75" s="30">
        <f t="shared" si="9"/>
        <v>49773.345190843502</v>
      </c>
      <c r="H75" s="30">
        <f t="shared" si="9"/>
        <v>50563.324615992489</v>
      </c>
      <c r="I75" s="30">
        <f t="shared" si="9"/>
        <v>51188.57419394311</v>
      </c>
      <c r="J75" s="30">
        <f t="shared" si="9"/>
        <v>54746.576375585028</v>
      </c>
      <c r="K75" s="30">
        <f t="shared" si="9"/>
        <v>58515.043689721519</v>
      </c>
      <c r="L75" s="30">
        <f t="shared" si="9"/>
        <v>55314.313932738507</v>
      </c>
      <c r="M75" s="30">
        <f t="shared" si="9"/>
        <v>40745.20112327997</v>
      </c>
      <c r="N75" s="30">
        <f t="shared" si="9"/>
        <v>42986.833743952702</v>
      </c>
      <c r="O75" s="30">
        <f t="shared" si="9"/>
        <v>42403.113625906524</v>
      </c>
      <c r="P75" s="30">
        <f t="shared" si="9"/>
        <v>37193.20832713753</v>
      </c>
      <c r="Q75" s="30">
        <f t="shared" si="9"/>
        <v>37000.834458513513</v>
      </c>
      <c r="R75" s="30">
        <f t="shared" si="9"/>
        <v>36698.860452311521</v>
      </c>
      <c r="S75" s="30">
        <f t="shared" si="9"/>
        <v>37351.021300000008</v>
      </c>
      <c r="T75" s="30">
        <f t="shared" ref="T75:Y75" si="10">SUM(T56:T74)</f>
        <v>38098.978205423133</v>
      </c>
      <c r="U75" s="30">
        <f t="shared" si="10"/>
        <v>41041.915523981501</v>
      </c>
      <c r="V75" s="30">
        <f t="shared" si="10"/>
        <v>39912.496996909431</v>
      </c>
      <c r="W75" s="30">
        <f t="shared" si="10"/>
        <v>40247.002193591645</v>
      </c>
      <c r="X75" s="30">
        <f t="shared" si="10"/>
        <v>38690.435642818826</v>
      </c>
      <c r="Y75" s="30">
        <f t="shared" si="10"/>
        <v>40879.629642558597</v>
      </c>
      <c r="Z75" s="30">
        <f t="shared" ref="Z75:AA75" si="11">SUM(Z56:Z74)</f>
        <v>43422.332142640917</v>
      </c>
      <c r="AA75" s="30">
        <f t="shared" si="11"/>
        <v>39456</v>
      </c>
    </row>
  </sheetData>
  <mergeCells count="4">
    <mergeCell ref="A56:A75"/>
    <mergeCell ref="A6:A16"/>
    <mergeCell ref="A18:A39"/>
    <mergeCell ref="A41:A54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pageSetUpPr fitToPage="1"/>
  </sheetPr>
  <dimension ref="A1:AA122"/>
  <sheetViews>
    <sheetView showGridLines="0" zoomScaleNormal="100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2" sqref="D2"/>
    </sheetView>
  </sheetViews>
  <sheetFormatPr defaultColWidth="9.140625" defaultRowHeight="11.25" x14ac:dyDescent="0.25"/>
  <cols>
    <col min="1" max="1" width="35.28515625" style="1" customWidth="1"/>
    <col min="2" max="2" width="14.5703125" style="1" hidden="1" customWidth="1"/>
    <col min="3" max="3" width="7.7109375" style="1" hidden="1" customWidth="1"/>
    <col min="4" max="27" width="9.28515625" style="1" customWidth="1"/>
    <col min="28" max="16384" width="9.140625" style="1"/>
  </cols>
  <sheetData>
    <row r="1" spans="1:27" x14ac:dyDescent="0.2">
      <c r="A1" s="14" t="s">
        <v>279</v>
      </c>
      <c r="B1" s="15" t="s">
        <v>245</v>
      </c>
      <c r="C1" s="39"/>
      <c r="D1" s="32">
        <v>2000</v>
      </c>
      <c r="E1" s="32">
        <v>2001</v>
      </c>
      <c r="F1" s="32">
        <v>2002</v>
      </c>
      <c r="G1" s="32">
        <v>2003</v>
      </c>
      <c r="H1" s="32">
        <v>2004</v>
      </c>
      <c r="I1" s="32">
        <v>2005</v>
      </c>
      <c r="J1" s="32">
        <v>2006</v>
      </c>
      <c r="K1" s="32">
        <v>2007</v>
      </c>
      <c r="L1" s="32">
        <v>2008</v>
      </c>
      <c r="M1" s="32">
        <v>2009</v>
      </c>
      <c r="N1" s="32">
        <v>2010</v>
      </c>
      <c r="O1" s="32">
        <v>2011</v>
      </c>
      <c r="P1" s="32">
        <v>2012</v>
      </c>
      <c r="Q1" s="32">
        <v>2013</v>
      </c>
      <c r="R1" s="32">
        <v>2014</v>
      </c>
      <c r="S1" s="32">
        <v>2015</v>
      </c>
      <c r="T1" s="32">
        <v>2016</v>
      </c>
      <c r="U1" s="32">
        <v>2017</v>
      </c>
      <c r="V1" s="32">
        <v>2018</v>
      </c>
      <c r="W1" s="32">
        <v>2019</v>
      </c>
      <c r="X1" s="32">
        <v>2020</v>
      </c>
      <c r="Y1" s="32">
        <v>2021</v>
      </c>
      <c r="Z1" s="32">
        <v>2022</v>
      </c>
      <c r="AA1" s="32">
        <v>2023</v>
      </c>
    </row>
    <row r="2" spans="1:27" x14ac:dyDescent="0.2">
      <c r="A2" s="49" t="s">
        <v>237</v>
      </c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</row>
    <row r="3" spans="1:27" x14ac:dyDescent="0.25">
      <c r="A3" s="40" t="s">
        <v>238</v>
      </c>
      <c r="B3" s="41"/>
      <c r="C3" s="41"/>
      <c r="D3" s="42">
        <v>5171302</v>
      </c>
      <c r="E3" s="42">
        <v>5181115</v>
      </c>
      <c r="F3" s="42">
        <v>5194901</v>
      </c>
      <c r="G3" s="42">
        <v>5206295</v>
      </c>
      <c r="H3" s="42">
        <v>5219732</v>
      </c>
      <c r="I3" s="42">
        <v>5236611</v>
      </c>
      <c r="J3" s="42">
        <v>5255580</v>
      </c>
      <c r="K3" s="42">
        <v>5276955</v>
      </c>
      <c r="L3" s="42">
        <v>5300484</v>
      </c>
      <c r="M3" s="42">
        <v>5326314</v>
      </c>
      <c r="N3" s="42">
        <v>5351427</v>
      </c>
      <c r="O3" s="42">
        <v>5375276</v>
      </c>
      <c r="P3" s="42">
        <v>5401267</v>
      </c>
      <c r="Q3" s="42">
        <v>5426674</v>
      </c>
      <c r="R3" s="42">
        <v>5451270</v>
      </c>
      <c r="S3" s="42">
        <v>5471753</v>
      </c>
      <c r="T3" s="42">
        <v>5487308</v>
      </c>
      <c r="U3" s="42">
        <v>5503297</v>
      </c>
      <c r="V3" s="42">
        <v>5513130</v>
      </c>
      <c r="W3" s="42">
        <v>5517919</v>
      </c>
      <c r="X3" s="42">
        <v>5525292</v>
      </c>
      <c r="Y3" s="42">
        <v>5533793</v>
      </c>
      <c r="Z3" s="42">
        <v>5548241</v>
      </c>
      <c r="AA3" s="42">
        <v>5563970</v>
      </c>
    </row>
    <row r="4" spans="1:27" x14ac:dyDescent="0.25">
      <c r="A4" s="43" t="s">
        <v>239</v>
      </c>
      <c r="B4" s="44"/>
      <c r="C4" s="44"/>
      <c r="D4" s="45">
        <v>2275572</v>
      </c>
      <c r="E4" s="45">
        <v>2316466</v>
      </c>
      <c r="F4" s="45">
        <v>2360499</v>
      </c>
      <c r="G4" s="45">
        <v>2404886</v>
      </c>
      <c r="H4" s="45">
        <v>2451729</v>
      </c>
      <c r="I4" s="45">
        <v>2465448</v>
      </c>
      <c r="J4" s="45">
        <v>2484908</v>
      </c>
      <c r="K4" s="45">
        <v>2506867</v>
      </c>
      <c r="L4" s="45">
        <v>2536117</v>
      </c>
      <c r="M4" s="45">
        <v>2558268</v>
      </c>
      <c r="N4" s="45">
        <v>2582735</v>
      </c>
      <c r="O4" s="45">
        <v>2601779</v>
      </c>
      <c r="P4" s="45">
        <v>2625798</v>
      </c>
      <c r="Q4" s="45">
        <v>2648450</v>
      </c>
      <c r="R4" s="45">
        <v>2666962</v>
      </c>
      <c r="S4" s="45">
        <v>2699434</v>
      </c>
      <c r="T4" s="45">
        <v>2707108</v>
      </c>
      <c r="U4" s="45">
        <v>2737959</v>
      </c>
      <c r="V4" s="45">
        <v>2764860</v>
      </c>
      <c r="W4" s="45">
        <v>2818140</v>
      </c>
      <c r="X4" s="45">
        <v>2839307</v>
      </c>
      <c r="Y4" s="45">
        <v>2889709</v>
      </c>
      <c r="Z4" s="45">
        <v>2948056</v>
      </c>
      <c r="AA4" s="45">
        <v>2983362</v>
      </c>
    </row>
    <row r="5" spans="1:27" x14ac:dyDescent="0.25">
      <c r="A5" s="46" t="s">
        <v>240</v>
      </c>
      <c r="B5" s="47"/>
      <c r="C5" s="47"/>
      <c r="D5" s="48">
        <f>D3/D4</f>
        <v>2.2725284016502223</v>
      </c>
      <c r="E5" s="48">
        <f t="shared" ref="E5:S5" si="0">E3/E4</f>
        <v>2.2366462533877036</v>
      </c>
      <c r="F5" s="48">
        <f t="shared" si="0"/>
        <v>2.2007639062757494</v>
      </c>
      <c r="G5" s="48">
        <f t="shared" si="0"/>
        <v>2.1648822438984632</v>
      </c>
      <c r="H5" s="48">
        <f t="shared" si="0"/>
        <v>2.1290003911525295</v>
      </c>
      <c r="I5" s="48">
        <f t="shared" si="0"/>
        <v>2.1239997761056002</v>
      </c>
      <c r="J5" s="48">
        <f t="shared" si="0"/>
        <v>2.114999830979658</v>
      </c>
      <c r="K5" s="48">
        <f t="shared" si="0"/>
        <v>2.1049999860383499</v>
      </c>
      <c r="L5" s="48">
        <f t="shared" si="0"/>
        <v>2.089999791019105</v>
      </c>
      <c r="M5" s="48">
        <f t="shared" si="0"/>
        <v>2.0820000093813471</v>
      </c>
      <c r="N5" s="48">
        <f t="shared" si="0"/>
        <v>2.072000030974916</v>
      </c>
      <c r="O5" s="48">
        <f t="shared" si="0"/>
        <v>2.0660002252305056</v>
      </c>
      <c r="P5" s="48">
        <f t="shared" si="0"/>
        <v>2.0570001957500157</v>
      </c>
      <c r="Q5" s="48">
        <f t="shared" si="0"/>
        <v>2.0489999811210331</v>
      </c>
      <c r="R5" s="48">
        <f t="shared" si="0"/>
        <v>2.0439998770136207</v>
      </c>
      <c r="S5" s="48">
        <f t="shared" si="0"/>
        <v>2.0270001044663437</v>
      </c>
      <c r="T5" s="48">
        <f t="shared" ref="T5:Y5" si="1">T3/T4</f>
        <v>2.0270000310294232</v>
      </c>
      <c r="U5" s="48">
        <f t="shared" si="1"/>
        <v>2.0099997845110171</v>
      </c>
      <c r="V5" s="48">
        <f t="shared" si="1"/>
        <v>1.9939996961871487</v>
      </c>
      <c r="W5" s="48">
        <f t="shared" si="1"/>
        <v>1.9580003122626981</v>
      </c>
      <c r="X5" s="48">
        <f t="shared" si="1"/>
        <v>1.9460002035708008</v>
      </c>
      <c r="Y5" s="48">
        <f t="shared" si="1"/>
        <v>1.9150000917047356</v>
      </c>
      <c r="Z5" s="48">
        <f t="shared" ref="Z5:AA5" si="2">Z3/Z4</f>
        <v>1.8819998670310198</v>
      </c>
      <c r="AA5" s="48">
        <f t="shared" si="2"/>
        <v>1.8649999564249997</v>
      </c>
    </row>
    <row r="6" spans="1:27" x14ac:dyDescent="0.25">
      <c r="A6" s="35"/>
      <c r="B6" s="34"/>
      <c r="C6" s="34"/>
      <c r="D6" s="34"/>
      <c r="E6" s="34"/>
      <c r="F6" s="34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</row>
    <row r="7" spans="1:27" x14ac:dyDescent="0.2">
      <c r="A7" s="49" t="s">
        <v>248</v>
      </c>
      <c r="B7" s="50"/>
      <c r="C7" s="50"/>
      <c r="D7" s="50"/>
      <c r="E7" s="50"/>
      <c r="F7" s="50"/>
      <c r="G7" s="50"/>
      <c r="H7" s="50"/>
      <c r="I7" s="50"/>
      <c r="J7" s="50"/>
      <c r="K7" s="50"/>
      <c r="L7" s="50"/>
      <c r="M7" s="50"/>
      <c r="N7" s="50"/>
      <c r="O7" s="50"/>
      <c r="P7" s="50"/>
      <c r="Q7" s="50"/>
      <c r="R7" s="50"/>
      <c r="S7" s="50"/>
      <c r="T7" s="50"/>
      <c r="U7" s="50"/>
      <c r="V7" s="50"/>
      <c r="W7" s="50"/>
      <c r="X7" s="50"/>
      <c r="Y7" s="50"/>
      <c r="Z7" s="50"/>
      <c r="AA7" s="50"/>
    </row>
    <row r="8" spans="1:27" x14ac:dyDescent="0.25">
      <c r="A8" s="40" t="s">
        <v>249</v>
      </c>
      <c r="B8" s="41"/>
      <c r="C8" s="41"/>
      <c r="D8" s="42">
        <v>6248.09</v>
      </c>
      <c r="E8" s="42">
        <v>6236.37</v>
      </c>
      <c r="F8" s="42">
        <v>5900.31</v>
      </c>
      <c r="G8" s="42">
        <v>5823.45</v>
      </c>
      <c r="H8" s="42">
        <v>5714.55</v>
      </c>
      <c r="I8" s="42">
        <v>6643.14</v>
      </c>
      <c r="J8" s="42">
        <v>6098.6</v>
      </c>
      <c r="K8" s="42">
        <v>6599.93</v>
      </c>
      <c r="L8" s="42">
        <v>6000.73</v>
      </c>
      <c r="M8" s="42">
        <v>5299.94</v>
      </c>
      <c r="N8" s="42">
        <v>5544.27</v>
      </c>
      <c r="O8" s="42">
        <v>5637.49</v>
      </c>
      <c r="P8" s="42">
        <v>6413.2</v>
      </c>
      <c r="Q8" s="42">
        <v>6319.48</v>
      </c>
      <c r="R8" s="42">
        <v>6026.75</v>
      </c>
      <c r="S8" s="42">
        <v>5668.37</v>
      </c>
      <c r="T8" s="42">
        <v>5902.72</v>
      </c>
      <c r="U8" s="42">
        <v>5760.89</v>
      </c>
      <c r="V8" s="42">
        <v>6007.49</v>
      </c>
      <c r="W8" s="42">
        <v>5640.79</v>
      </c>
      <c r="X8" s="42">
        <v>5211.6899999999996</v>
      </c>
      <c r="Y8" s="42">
        <v>5766.64</v>
      </c>
      <c r="Z8" s="42">
        <v>5736.48</v>
      </c>
      <c r="AA8" s="42">
        <v>5665.7</v>
      </c>
    </row>
    <row r="9" spans="1:27" x14ac:dyDescent="0.25">
      <c r="A9" s="43" t="s">
        <v>259</v>
      </c>
      <c r="B9" s="44"/>
      <c r="C9" s="44"/>
      <c r="D9" s="45">
        <f t="shared" ref="D9:W9" si="3">AVERAGE($D8:$X8)</f>
        <v>5938.0119047619046</v>
      </c>
      <c r="E9" s="45">
        <f t="shared" si="3"/>
        <v>5938.0119047619046</v>
      </c>
      <c r="F9" s="45">
        <f t="shared" si="3"/>
        <v>5938.0119047619046</v>
      </c>
      <c r="G9" s="45">
        <f t="shared" si="3"/>
        <v>5938.0119047619046</v>
      </c>
      <c r="H9" s="45">
        <f t="shared" si="3"/>
        <v>5938.0119047619046</v>
      </c>
      <c r="I9" s="45">
        <f t="shared" si="3"/>
        <v>5938.0119047619046</v>
      </c>
      <c r="J9" s="45">
        <f t="shared" si="3"/>
        <v>5938.0119047619046</v>
      </c>
      <c r="K9" s="45">
        <f t="shared" si="3"/>
        <v>5938.0119047619046</v>
      </c>
      <c r="L9" s="45">
        <f t="shared" si="3"/>
        <v>5938.0119047619046</v>
      </c>
      <c r="M9" s="45">
        <f t="shared" si="3"/>
        <v>5938.0119047619046</v>
      </c>
      <c r="N9" s="45">
        <f t="shared" si="3"/>
        <v>5938.0119047619046</v>
      </c>
      <c r="O9" s="45">
        <f t="shared" si="3"/>
        <v>5938.0119047619046</v>
      </c>
      <c r="P9" s="45">
        <f t="shared" si="3"/>
        <v>5938.0119047619046</v>
      </c>
      <c r="Q9" s="45">
        <f t="shared" si="3"/>
        <v>5938.0119047619046</v>
      </c>
      <c r="R9" s="45">
        <f t="shared" si="3"/>
        <v>5938.0119047619046</v>
      </c>
      <c r="S9" s="45">
        <f t="shared" si="3"/>
        <v>5938.0119047619046</v>
      </c>
      <c r="T9" s="45">
        <f t="shared" si="3"/>
        <v>5938.0119047619046</v>
      </c>
      <c r="U9" s="45">
        <f t="shared" si="3"/>
        <v>5938.0119047619046</v>
      </c>
      <c r="V9" s="45">
        <f t="shared" si="3"/>
        <v>5938.0119047619046</v>
      </c>
      <c r="W9" s="45">
        <f t="shared" si="3"/>
        <v>5938.0119047619046</v>
      </c>
      <c r="X9" s="45">
        <f>AVERAGE($D8:$X8)</f>
        <v>5938.0119047619046</v>
      </c>
      <c r="Y9" s="45">
        <f t="shared" ref="Y9:AA9" si="4">AVERAGE($D8:$X8)</f>
        <v>5938.0119047619046</v>
      </c>
      <c r="Z9" s="45">
        <f t="shared" si="4"/>
        <v>5938.0119047619046</v>
      </c>
      <c r="AA9" s="45">
        <f t="shared" si="4"/>
        <v>5938.0119047619046</v>
      </c>
    </row>
    <row r="10" spans="1:27" x14ac:dyDescent="0.25">
      <c r="A10" s="51" t="s">
        <v>250</v>
      </c>
      <c r="B10" s="52"/>
      <c r="C10" s="52"/>
      <c r="D10" s="53">
        <f t="shared" ref="D10:S10" si="5">IF(D8=0,0,D8/D9)</f>
        <v>1.0522191770935039</v>
      </c>
      <c r="E10" s="53">
        <f t="shared" si="5"/>
        <v>1.050245452522389</v>
      </c>
      <c r="F10" s="53">
        <f t="shared" si="5"/>
        <v>0.99365075291754301</v>
      </c>
      <c r="G10" s="53">
        <f t="shared" si="5"/>
        <v>0.98070702676260491</v>
      </c>
      <c r="H10" s="53">
        <f t="shared" si="5"/>
        <v>0.9623675552784422</v>
      </c>
      <c r="I10" s="53">
        <f t="shared" si="5"/>
        <v>1.1187481781019382</v>
      </c>
      <c r="J10" s="53">
        <f t="shared" si="5"/>
        <v>1.0270440844197894</v>
      </c>
      <c r="K10" s="53">
        <f t="shared" si="5"/>
        <v>1.1114713317949532</v>
      </c>
      <c r="L10" s="53">
        <f t="shared" si="5"/>
        <v>1.0105621369987148</v>
      </c>
      <c r="M10" s="53">
        <f t="shared" si="5"/>
        <v>0.89254452247726002</v>
      </c>
      <c r="N10" s="53">
        <f t="shared" si="5"/>
        <v>0.93369129077593316</v>
      </c>
      <c r="O10" s="53">
        <f t="shared" si="5"/>
        <v>0.94939014781682984</v>
      </c>
      <c r="P10" s="53">
        <f t="shared" si="5"/>
        <v>1.0800247798184819</v>
      </c>
      <c r="Q10" s="53">
        <f t="shared" si="5"/>
        <v>1.0642417195108993</v>
      </c>
      <c r="R10" s="53">
        <f t="shared" si="5"/>
        <v>1.0149440749970429</v>
      </c>
      <c r="S10" s="53">
        <f t="shared" si="5"/>
        <v>0.95459054156734358</v>
      </c>
      <c r="T10" s="53">
        <f t="shared" ref="T10:Y10" si="6">IF(T8=0,0,T8/T9)</f>
        <v>0.99405661266296852</v>
      </c>
      <c r="U10" s="53">
        <f t="shared" si="6"/>
        <v>0.97017151403488033</v>
      </c>
      <c r="V10" s="53">
        <f t="shared" si="6"/>
        <v>1.0117005651643067</v>
      </c>
      <c r="W10" s="53">
        <f t="shared" si="6"/>
        <v>0.94994588937695601</v>
      </c>
      <c r="X10" s="53">
        <f t="shared" si="6"/>
        <v>0.87768264590722</v>
      </c>
      <c r="Y10" s="53">
        <f t="shared" si="6"/>
        <v>0.97113985160176675</v>
      </c>
      <c r="Z10" s="53">
        <f t="shared" ref="Z10:AA10" si="7">IF(Z8=0,0,Z8/Z9)</f>
        <v>0.96606071055528042</v>
      </c>
      <c r="AA10" s="53">
        <f t="shared" si="7"/>
        <v>0.95414089612324149</v>
      </c>
    </row>
    <row r="11" spans="1:27" x14ac:dyDescent="0.25">
      <c r="A11" s="43" t="s">
        <v>251</v>
      </c>
      <c r="B11" s="44"/>
      <c r="C11" s="44"/>
      <c r="D11" s="45">
        <v>0.03</v>
      </c>
      <c r="E11" s="45">
        <v>0</v>
      </c>
      <c r="F11" s="45">
        <v>0.01</v>
      </c>
      <c r="G11" s="45">
        <v>0.05</v>
      </c>
      <c r="H11" s="45">
        <v>0</v>
      </c>
      <c r="I11" s="45">
        <v>0.03</v>
      </c>
      <c r="J11" s="45">
        <v>0</v>
      </c>
      <c r="K11" s="45">
        <v>0</v>
      </c>
      <c r="L11" s="45">
        <v>5.17</v>
      </c>
      <c r="M11" s="45">
        <v>0.05</v>
      </c>
      <c r="N11" s="45">
        <v>0</v>
      </c>
      <c r="O11" s="45">
        <v>0</v>
      </c>
      <c r="P11" s="45">
        <v>0</v>
      </c>
      <c r="Q11" s="45">
        <v>0</v>
      </c>
      <c r="R11" s="45">
        <v>1.1100000000000001</v>
      </c>
      <c r="S11" s="45">
        <v>0.03</v>
      </c>
      <c r="T11" s="45">
        <v>0</v>
      </c>
      <c r="U11" s="45">
        <v>0.56999999999999995</v>
      </c>
      <c r="V11" s="45">
        <v>0.12</v>
      </c>
      <c r="W11" s="45">
        <v>2.81</v>
      </c>
      <c r="X11" s="45">
        <v>0.8</v>
      </c>
      <c r="Y11" s="45">
        <v>0.33</v>
      </c>
      <c r="Z11" s="45">
        <v>0.05</v>
      </c>
      <c r="AA11" s="45">
        <v>4.38</v>
      </c>
    </row>
    <row r="12" spans="1:27" x14ac:dyDescent="0.25">
      <c r="A12" s="43" t="s">
        <v>260</v>
      </c>
      <c r="B12" s="44"/>
      <c r="C12" s="44"/>
      <c r="D12" s="45">
        <f t="shared" ref="D12" si="8">AVERAGE($D11:$X11)</f>
        <v>0.51333333333333342</v>
      </c>
      <c r="E12" s="45">
        <f t="shared" ref="E12" si="9">AVERAGE($D11:$X11)</f>
        <v>0.51333333333333342</v>
      </c>
      <c r="F12" s="45">
        <f t="shared" ref="F12" si="10">AVERAGE($D11:$X11)</f>
        <v>0.51333333333333342</v>
      </c>
      <c r="G12" s="45">
        <f t="shared" ref="G12" si="11">AVERAGE($D11:$X11)</f>
        <v>0.51333333333333342</v>
      </c>
      <c r="H12" s="45">
        <f t="shared" ref="H12" si="12">AVERAGE($D11:$X11)</f>
        <v>0.51333333333333342</v>
      </c>
      <c r="I12" s="45">
        <f t="shared" ref="I12" si="13">AVERAGE($D11:$X11)</f>
        <v>0.51333333333333342</v>
      </c>
      <c r="J12" s="45">
        <f t="shared" ref="J12" si="14">AVERAGE($D11:$X11)</f>
        <v>0.51333333333333342</v>
      </c>
      <c r="K12" s="45">
        <f t="shared" ref="K12" si="15">AVERAGE($D11:$X11)</f>
        <v>0.51333333333333342</v>
      </c>
      <c r="L12" s="45">
        <f t="shared" ref="L12" si="16">AVERAGE($D11:$X11)</f>
        <v>0.51333333333333342</v>
      </c>
      <c r="M12" s="45">
        <f t="shared" ref="M12" si="17">AVERAGE($D11:$X11)</f>
        <v>0.51333333333333342</v>
      </c>
      <c r="N12" s="45">
        <f t="shared" ref="N12" si="18">AVERAGE($D11:$X11)</f>
        <v>0.51333333333333342</v>
      </c>
      <c r="O12" s="45">
        <f t="shared" ref="O12" si="19">AVERAGE($D11:$X11)</f>
        <v>0.51333333333333342</v>
      </c>
      <c r="P12" s="45">
        <f t="shared" ref="P12" si="20">AVERAGE($D11:$X11)</f>
        <v>0.51333333333333342</v>
      </c>
      <c r="Q12" s="45">
        <f t="shared" ref="Q12" si="21">AVERAGE($D11:$X11)</f>
        <v>0.51333333333333342</v>
      </c>
      <c r="R12" s="45">
        <f t="shared" ref="R12" si="22">AVERAGE($D11:$X11)</f>
        <v>0.51333333333333342</v>
      </c>
      <c r="S12" s="45">
        <f t="shared" ref="S12" si="23">AVERAGE($D11:$X11)</f>
        <v>0.51333333333333342</v>
      </c>
      <c r="T12" s="45">
        <f t="shared" ref="T12" si="24">AVERAGE($D11:$X11)</f>
        <v>0.51333333333333342</v>
      </c>
      <c r="U12" s="45">
        <f t="shared" ref="U12" si="25">AVERAGE($D11:$X11)</f>
        <v>0.51333333333333342</v>
      </c>
      <c r="V12" s="45">
        <f t="shared" ref="V12" si="26">AVERAGE($D11:$X11)</f>
        <v>0.51333333333333342</v>
      </c>
      <c r="W12" s="45">
        <f t="shared" ref="W12" si="27">AVERAGE($D11:$X11)</f>
        <v>0.51333333333333342</v>
      </c>
      <c r="X12" s="45">
        <f>AVERAGE($D11:$X11)</f>
        <v>0.51333333333333342</v>
      </c>
      <c r="Y12" s="45">
        <f t="shared" ref="Y12:AA12" si="28">AVERAGE($D11:$X11)</f>
        <v>0.51333333333333342</v>
      </c>
      <c r="Z12" s="45">
        <f t="shared" si="28"/>
        <v>0.51333333333333342</v>
      </c>
      <c r="AA12" s="45">
        <f t="shared" si="28"/>
        <v>0.51333333333333342</v>
      </c>
    </row>
    <row r="13" spans="1:27" x14ac:dyDescent="0.25">
      <c r="A13" s="54" t="s">
        <v>252</v>
      </c>
      <c r="B13" s="47"/>
      <c r="C13" s="47"/>
      <c r="D13" s="55">
        <f t="shared" ref="D13:E13" si="29">IF(D11=0,0,D11/D12)</f>
        <v>5.8441558441558426E-2</v>
      </c>
      <c r="E13" s="55">
        <f t="shared" si="29"/>
        <v>0</v>
      </c>
      <c r="F13" s="55">
        <f t="shared" ref="F13" si="30">IF(F11=0,0,F11/F12)</f>
        <v>1.9480519480519477E-2</v>
      </c>
      <c r="G13" s="55">
        <f t="shared" ref="G13" si="31">IF(G11=0,0,G11/G12)</f>
        <v>9.7402597402597393E-2</v>
      </c>
      <c r="H13" s="55">
        <f t="shared" ref="H13" si="32">IF(H11=0,0,H11/H12)</f>
        <v>0</v>
      </c>
      <c r="I13" s="55">
        <f t="shared" ref="I13" si="33">IF(I11=0,0,I11/I12)</f>
        <v>5.8441558441558426E-2</v>
      </c>
      <c r="J13" s="55">
        <f t="shared" ref="J13" si="34">IF(J11=0,0,J11/J12)</f>
        <v>0</v>
      </c>
      <c r="K13" s="55">
        <f t="shared" ref="K13" si="35">IF(K11=0,0,K11/K12)</f>
        <v>0</v>
      </c>
      <c r="L13" s="55">
        <f t="shared" ref="L13" si="36">IF(L11=0,0,L11/L12)</f>
        <v>10.071428571428569</v>
      </c>
      <c r="M13" s="55">
        <f t="shared" ref="M13" si="37">IF(M11=0,0,M11/M12)</f>
        <v>9.7402597402597393E-2</v>
      </c>
      <c r="N13" s="55">
        <f t="shared" ref="N13" si="38">IF(N11=0,0,N11/N12)</f>
        <v>0</v>
      </c>
      <c r="O13" s="55">
        <f t="shared" ref="O13" si="39">IF(O11=0,0,O11/O12)</f>
        <v>0</v>
      </c>
      <c r="P13" s="55">
        <f t="shared" ref="P13" si="40">IF(P11=0,0,P11/P12)</f>
        <v>0</v>
      </c>
      <c r="Q13" s="55">
        <f t="shared" ref="Q13" si="41">IF(Q11=0,0,Q11/Q12)</f>
        <v>0</v>
      </c>
      <c r="R13" s="55">
        <f t="shared" ref="R13" si="42">IF(R11=0,0,R11/R12)</f>
        <v>2.162337662337662</v>
      </c>
      <c r="S13" s="55">
        <f t="shared" ref="S13:Y13" si="43">IF(S11=0,0,S11/S12)</f>
        <v>5.8441558441558426E-2</v>
      </c>
      <c r="T13" s="55">
        <f t="shared" si="43"/>
        <v>0</v>
      </c>
      <c r="U13" s="55">
        <f t="shared" si="43"/>
        <v>1.11038961038961</v>
      </c>
      <c r="V13" s="55">
        <f t="shared" si="43"/>
        <v>0.23376623376623371</v>
      </c>
      <c r="W13" s="55">
        <f t="shared" si="43"/>
        <v>5.4740259740259729</v>
      </c>
      <c r="X13" s="55">
        <f t="shared" si="43"/>
        <v>1.5584415584415583</v>
      </c>
      <c r="Y13" s="55">
        <f t="shared" si="43"/>
        <v>0.64285714285714279</v>
      </c>
      <c r="Z13" s="55">
        <f t="shared" ref="Z13:AA13" si="44">IF(Z11=0,0,Z11/Z12)</f>
        <v>9.7402597402597393E-2</v>
      </c>
      <c r="AA13" s="55">
        <f t="shared" si="44"/>
        <v>8.5324675324675301</v>
      </c>
    </row>
    <row r="14" spans="1:27" x14ac:dyDescent="0.25">
      <c r="A14" s="35"/>
      <c r="B14" s="34"/>
      <c r="C14" s="34"/>
      <c r="D14" s="34"/>
      <c r="E14" s="34"/>
      <c r="F14" s="34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</row>
    <row r="15" spans="1:27" x14ac:dyDescent="0.2">
      <c r="A15" s="49" t="s">
        <v>274</v>
      </c>
      <c r="B15" s="50"/>
      <c r="C15" s="50"/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</row>
    <row r="16" spans="1:27" x14ac:dyDescent="0.25">
      <c r="A16" s="40" t="s">
        <v>139</v>
      </c>
      <c r="B16" s="41"/>
      <c r="C16" s="41"/>
      <c r="D16" s="42">
        <v>211189.72170330738</v>
      </c>
      <c r="E16" s="42">
        <v>216765.35155877707</v>
      </c>
      <c r="F16" s="42">
        <v>220423.09141053993</v>
      </c>
      <c r="G16" s="42">
        <v>224857.35355313899</v>
      </c>
      <c r="H16" s="42">
        <v>233865.72804811911</v>
      </c>
      <c r="I16" s="42">
        <v>240360.96094570504</v>
      </c>
      <c r="J16" s="42">
        <v>250020.92942884803</v>
      </c>
      <c r="K16" s="42">
        <v>263304.77356446377</v>
      </c>
      <c r="L16" s="42">
        <v>265371.42218412476</v>
      </c>
      <c r="M16" s="42">
        <v>243937.84410829993</v>
      </c>
      <c r="N16" s="42">
        <v>251668.37829429607</v>
      </c>
      <c r="O16" s="42">
        <v>257681.89476898918</v>
      </c>
      <c r="P16" s="42">
        <v>253758.91659603326</v>
      </c>
      <c r="Q16" s="42">
        <v>251274.15435790955</v>
      </c>
      <c r="R16" s="42">
        <v>250070.49657499441</v>
      </c>
      <c r="S16" s="42">
        <v>251238.29376000003</v>
      </c>
      <c r="T16" s="42">
        <v>257700.48049572736</v>
      </c>
      <c r="U16" s="42">
        <v>266211.976846529</v>
      </c>
      <c r="V16" s="42">
        <v>269389.87754626031</v>
      </c>
      <c r="W16" s="42">
        <v>273025.34455712931</v>
      </c>
      <c r="X16" s="42">
        <v>266223.80936946446</v>
      </c>
      <c r="Y16" s="42">
        <v>273348.13465958188</v>
      </c>
      <c r="Z16" s="42">
        <v>275435.39188861568</v>
      </c>
      <c r="AA16" s="42">
        <v>272848</v>
      </c>
    </row>
    <row r="17" spans="1:27" x14ac:dyDescent="0.25">
      <c r="A17" s="46" t="s">
        <v>141</v>
      </c>
      <c r="B17" s="47"/>
      <c r="C17" s="47"/>
      <c r="D17" s="57">
        <v>100448.66241772019</v>
      </c>
      <c r="E17" s="57">
        <v>103145.81175363404</v>
      </c>
      <c r="F17" s="57">
        <v>105728.0092593751</v>
      </c>
      <c r="G17" s="57">
        <v>110096.19848349688</v>
      </c>
      <c r="H17" s="57">
        <v>114229.01738389116</v>
      </c>
      <c r="I17" s="57">
        <v>117855.71907433894</v>
      </c>
      <c r="J17" s="57">
        <v>122480.24991861488</v>
      </c>
      <c r="K17" s="57">
        <v>126771.07963094392</v>
      </c>
      <c r="L17" s="57">
        <v>129268.13681392846</v>
      </c>
      <c r="M17" s="57">
        <v>125490.73950825194</v>
      </c>
      <c r="N17" s="57">
        <v>128255.09934244025</v>
      </c>
      <c r="O17" s="57">
        <v>131964.96473689287</v>
      </c>
      <c r="P17" s="57">
        <v>132482.2263167768</v>
      </c>
      <c r="Q17" s="57">
        <v>131835.74328394659</v>
      </c>
      <c r="R17" s="57">
        <v>132539.96937760586</v>
      </c>
      <c r="S17" s="57">
        <v>134340.41303999998</v>
      </c>
      <c r="T17" s="57">
        <v>136823.82542709654</v>
      </c>
      <c r="U17" s="57">
        <v>137433.47960151802</v>
      </c>
      <c r="V17" s="57">
        <v>139001.92284275845</v>
      </c>
      <c r="W17" s="57">
        <v>139575.21878260869</v>
      </c>
      <c r="X17" s="57">
        <v>134794.63256485536</v>
      </c>
      <c r="Y17" s="57">
        <v>139109.1836953758</v>
      </c>
      <c r="Z17" s="57">
        <v>140305.25452808829</v>
      </c>
      <c r="AA17" s="57">
        <v>140246</v>
      </c>
    </row>
    <row r="18" spans="1:27" x14ac:dyDescent="0.25">
      <c r="A18" s="35"/>
      <c r="B18" s="34"/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</row>
    <row r="19" spans="1:27" x14ac:dyDescent="0.2">
      <c r="A19" s="49" t="s">
        <v>275</v>
      </c>
      <c r="B19" s="50"/>
      <c r="C19" s="50"/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</row>
    <row r="20" spans="1:27" x14ac:dyDescent="0.25">
      <c r="A20" s="40" t="s">
        <v>139</v>
      </c>
      <c r="B20" s="41"/>
      <c r="C20" s="41"/>
      <c r="D20" s="42">
        <f>1000000*D16/D$3</f>
        <v>40838.791024640872</v>
      </c>
      <c r="E20" s="42">
        <f t="shared" ref="E20:S20" si="45">1000000*E16/E$3</f>
        <v>41837.587383946709</v>
      </c>
      <c r="F20" s="42">
        <f t="shared" si="45"/>
        <v>42430.662569034503</v>
      </c>
      <c r="G20" s="42">
        <f t="shared" si="45"/>
        <v>43189.514530609391</v>
      </c>
      <c r="H20" s="42">
        <f t="shared" si="45"/>
        <v>44804.163901157975</v>
      </c>
      <c r="I20" s="42">
        <f t="shared" si="45"/>
        <v>45900.098545739798</v>
      </c>
      <c r="J20" s="42">
        <f t="shared" si="45"/>
        <v>47572.471435854466</v>
      </c>
      <c r="K20" s="42">
        <f t="shared" si="45"/>
        <v>49897.104213407882</v>
      </c>
      <c r="L20" s="42">
        <f t="shared" si="45"/>
        <v>50065.507637439288</v>
      </c>
      <c r="M20" s="42">
        <f t="shared" si="45"/>
        <v>45798.622482320781</v>
      </c>
      <c r="N20" s="42">
        <f t="shared" si="45"/>
        <v>47028.274569436544</v>
      </c>
      <c r="O20" s="42">
        <f t="shared" si="45"/>
        <v>47938.356052598821</v>
      </c>
      <c r="P20" s="42">
        <f t="shared" si="45"/>
        <v>46981.368741081169</v>
      </c>
      <c r="Q20" s="42">
        <f t="shared" si="45"/>
        <v>46303.528525559035</v>
      </c>
      <c r="R20" s="42">
        <f t="shared" si="45"/>
        <v>45873.804925273267</v>
      </c>
      <c r="S20" s="42">
        <f t="shared" si="45"/>
        <v>45915.503452001583</v>
      </c>
      <c r="T20" s="42">
        <f t="shared" ref="T20:Y20" si="46">1000000*T16/T$3</f>
        <v>46963.006358623818</v>
      </c>
      <c r="U20" s="42">
        <f t="shared" si="46"/>
        <v>48373.180085779306</v>
      </c>
      <c r="V20" s="42">
        <f t="shared" si="46"/>
        <v>48863.327646230056</v>
      </c>
      <c r="W20" s="42">
        <f t="shared" si="46"/>
        <v>49479.766657888475</v>
      </c>
      <c r="X20" s="42">
        <f t="shared" si="46"/>
        <v>48182.758371768308</v>
      </c>
      <c r="Y20" s="42">
        <f t="shared" si="46"/>
        <v>49396.161847684198</v>
      </c>
      <c r="Z20" s="42">
        <f t="shared" ref="Z20:AA20" si="47">1000000*Z16/Z$3</f>
        <v>49643.73247099678</v>
      </c>
      <c r="AA20" s="42">
        <f t="shared" si="47"/>
        <v>49038.366490114073</v>
      </c>
    </row>
    <row r="21" spans="1:27" x14ac:dyDescent="0.25">
      <c r="A21" s="46" t="s">
        <v>141</v>
      </c>
      <c r="B21" s="47"/>
      <c r="C21" s="47"/>
      <c r="D21" s="57">
        <f>1000000*D17/D$3</f>
        <v>19424.249911863626</v>
      </c>
      <c r="E21" s="57">
        <f t="shared" ref="E21:S21" si="48">1000000*E17/E$3</f>
        <v>19908.033647898967</v>
      </c>
      <c r="F21" s="57">
        <f t="shared" si="48"/>
        <v>20352.266435755966</v>
      </c>
      <c r="G21" s="57">
        <f t="shared" si="48"/>
        <v>21146.746099384854</v>
      </c>
      <c r="H21" s="57">
        <f t="shared" si="48"/>
        <v>21884.077072135344</v>
      </c>
      <c r="I21" s="57">
        <f t="shared" si="48"/>
        <v>22506.105394183174</v>
      </c>
      <c r="J21" s="57">
        <f t="shared" si="48"/>
        <v>23304.801738079314</v>
      </c>
      <c r="K21" s="57">
        <f t="shared" si="48"/>
        <v>24023.528650697972</v>
      </c>
      <c r="L21" s="57">
        <f t="shared" si="48"/>
        <v>24387.987363781962</v>
      </c>
      <c r="M21" s="57">
        <f t="shared" si="48"/>
        <v>23560.522250143709</v>
      </c>
      <c r="N21" s="57">
        <f t="shared" si="48"/>
        <v>23966.523198847757</v>
      </c>
      <c r="O21" s="57">
        <f t="shared" si="48"/>
        <v>24550.360713922943</v>
      </c>
      <c r="P21" s="57">
        <f t="shared" si="48"/>
        <v>24527.990620862995</v>
      </c>
      <c r="Q21" s="57">
        <f t="shared" si="48"/>
        <v>24294.023057944258</v>
      </c>
      <c r="R21" s="57">
        <f t="shared" si="48"/>
        <v>24313.594699511461</v>
      </c>
      <c r="S21" s="57">
        <f t="shared" si="48"/>
        <v>24551.622311898944</v>
      </c>
      <c r="T21" s="57">
        <f t="shared" ref="T21:Y21" si="49">1000000*T17/T$3</f>
        <v>24934.599156288758</v>
      </c>
      <c r="U21" s="57">
        <f t="shared" si="49"/>
        <v>24972.935242549698</v>
      </c>
      <c r="V21" s="57">
        <f t="shared" si="49"/>
        <v>25212.886843364558</v>
      </c>
      <c r="W21" s="57">
        <f t="shared" si="49"/>
        <v>25294.901716137672</v>
      </c>
      <c r="X21" s="57">
        <f t="shared" si="49"/>
        <v>24395.929222357001</v>
      </c>
      <c r="Y21" s="57">
        <f t="shared" si="49"/>
        <v>25138.125639209091</v>
      </c>
      <c r="Z21" s="57">
        <f t="shared" ref="Z21:AA21" si="50">1000000*Z17/Z$3</f>
        <v>25288.240818682585</v>
      </c>
      <c r="AA21" s="57">
        <f t="shared" si="50"/>
        <v>25206.102836643619</v>
      </c>
    </row>
    <row r="22" spans="1:27" x14ac:dyDescent="0.25">
      <c r="A22" s="35"/>
      <c r="B22" s="34"/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4"/>
      <c r="V22" s="34"/>
      <c r="W22" s="34"/>
      <c r="X22" s="34"/>
      <c r="Y22" s="34"/>
      <c r="Z22" s="34"/>
      <c r="AA22" s="34"/>
    </row>
    <row r="23" spans="1:27" x14ac:dyDescent="0.25">
      <c r="A23" s="58" t="s">
        <v>276</v>
      </c>
      <c r="B23" s="59"/>
      <c r="C23" s="59"/>
      <c r="D23" s="60">
        <v>187785.17605772644</v>
      </c>
      <c r="E23" s="60">
        <v>193006.70758826807</v>
      </c>
      <c r="F23" s="60">
        <v>195543.80157077257</v>
      </c>
      <c r="G23" s="60">
        <v>197849.98117776282</v>
      </c>
      <c r="H23" s="60">
        <v>205523.55588482245</v>
      </c>
      <c r="I23" s="60">
        <v>210825.60538390945</v>
      </c>
      <c r="J23" s="60">
        <v>218814.99561073791</v>
      </c>
      <c r="K23" s="60">
        <v>231986.65682142816</v>
      </c>
      <c r="L23" s="60">
        <v>234109.96513383664</v>
      </c>
      <c r="M23" s="60">
        <v>213919.36687447346</v>
      </c>
      <c r="N23" s="60">
        <v>220795.09545780323</v>
      </c>
      <c r="O23" s="60">
        <v>224613.07186520888</v>
      </c>
      <c r="P23" s="60">
        <v>220015.51711099307</v>
      </c>
      <c r="Q23" s="60">
        <v>217492.74015078449</v>
      </c>
      <c r="R23" s="60">
        <v>216540.36861961376</v>
      </c>
      <c r="S23" s="60">
        <v>217204.66003999996</v>
      </c>
      <c r="T23" s="60">
        <v>222264.59818561896</v>
      </c>
      <c r="U23" s="60">
        <v>230606.69083007556</v>
      </c>
      <c r="V23" s="60">
        <v>232442.9629910393</v>
      </c>
      <c r="W23" s="60">
        <v>236210.71219886013</v>
      </c>
      <c r="X23" s="60">
        <v>230475.80676373973</v>
      </c>
      <c r="Y23" s="60">
        <v>236820.49237072491</v>
      </c>
      <c r="Z23" s="60">
        <v>239365.47648742853</v>
      </c>
      <c r="AA23" s="60">
        <v>238964</v>
      </c>
    </row>
    <row r="24" spans="1:27" x14ac:dyDescent="0.25">
      <c r="A24" s="61" t="s">
        <v>33</v>
      </c>
      <c r="B24" s="62"/>
      <c r="C24" s="62"/>
      <c r="D24" s="63">
        <v>6342.1266248702077</v>
      </c>
      <c r="E24" s="63">
        <v>6062.2122992756185</v>
      </c>
      <c r="F24" s="63">
        <v>5960.7120166612294</v>
      </c>
      <c r="G24" s="63">
        <v>5750.7230834519087</v>
      </c>
      <c r="H24" s="63">
        <v>5585.4577468266907</v>
      </c>
      <c r="I24" s="63">
        <v>5496.9956316916496</v>
      </c>
      <c r="J24" s="63">
        <v>5023.1544486747334</v>
      </c>
      <c r="K24" s="63">
        <v>6294.0527440356036</v>
      </c>
      <c r="L24" s="63">
        <v>5867.541249142072</v>
      </c>
      <c r="M24" s="63">
        <v>5508.9072058410557</v>
      </c>
      <c r="N24" s="63">
        <v>5970.8777772800568</v>
      </c>
      <c r="O24" s="63">
        <v>5856.7111807366182</v>
      </c>
      <c r="P24" s="63">
        <v>5576.5649495485923</v>
      </c>
      <c r="Q24" s="63">
        <v>5588.8035134658658</v>
      </c>
      <c r="R24" s="63">
        <v>5573.196871749903</v>
      </c>
      <c r="S24" s="63">
        <v>5185.6795399999992</v>
      </c>
      <c r="T24" s="63">
        <v>5398.7424559157425</v>
      </c>
      <c r="U24" s="63">
        <v>5520.6466969618787</v>
      </c>
      <c r="V24" s="63">
        <v>5705.4425136548289</v>
      </c>
      <c r="W24" s="63">
        <v>5990.4275300541221</v>
      </c>
      <c r="X24" s="63">
        <v>5968.4992328906383</v>
      </c>
      <c r="Y24" s="63">
        <v>5907.6707423500557</v>
      </c>
      <c r="Z24" s="63">
        <v>6177.3005301896746</v>
      </c>
      <c r="AA24" s="63">
        <v>6379</v>
      </c>
    </row>
    <row r="25" spans="1:27" x14ac:dyDescent="0.25">
      <c r="A25" s="64" t="s">
        <v>56</v>
      </c>
      <c r="B25" s="65"/>
      <c r="C25" s="65"/>
      <c r="D25" s="66">
        <v>445.36521956284582</v>
      </c>
      <c r="E25" s="66">
        <v>500.38270604326016</v>
      </c>
      <c r="F25" s="66">
        <v>525.76844905025973</v>
      </c>
      <c r="G25" s="66">
        <v>560.42649591852023</v>
      </c>
      <c r="H25" s="66">
        <v>573.62562354916781</v>
      </c>
      <c r="I25" s="66">
        <v>564.05738758029986</v>
      </c>
      <c r="J25" s="66">
        <v>759.28028227077618</v>
      </c>
      <c r="K25" s="66">
        <v>797.18072033147996</v>
      </c>
      <c r="L25" s="66">
        <v>916.28970487302672</v>
      </c>
      <c r="M25" s="66">
        <v>837.90263409154727</v>
      </c>
      <c r="N25" s="66">
        <v>1037.8305411216627</v>
      </c>
      <c r="O25" s="66">
        <v>1012.6273306895114</v>
      </c>
      <c r="P25" s="66">
        <v>980.50891131173626</v>
      </c>
      <c r="Q25" s="66">
        <v>690.3743064845637</v>
      </c>
      <c r="R25" s="66">
        <v>615.31023512857632</v>
      </c>
      <c r="S25" s="66">
        <v>720.79867999999988</v>
      </c>
      <c r="T25" s="66">
        <v>761.66819031996715</v>
      </c>
      <c r="U25" s="66">
        <v>1071.5780763201237</v>
      </c>
      <c r="V25" s="66">
        <v>1104.3167337259704</v>
      </c>
      <c r="W25" s="66">
        <v>939.33757363858433</v>
      </c>
      <c r="X25" s="66">
        <v>1086.4111141439907</v>
      </c>
      <c r="Y25" s="66">
        <v>1153.8161624884024</v>
      </c>
      <c r="Z25" s="66">
        <v>1139.150139682924</v>
      </c>
      <c r="AA25" s="66">
        <v>1049</v>
      </c>
    </row>
    <row r="26" spans="1:27" x14ac:dyDescent="0.25">
      <c r="A26" s="67" t="s">
        <v>146</v>
      </c>
      <c r="B26" s="44"/>
      <c r="C26" s="44"/>
      <c r="D26" s="45">
        <v>116319.0087404545</v>
      </c>
      <c r="E26" s="45">
        <v>121941.74915151208</v>
      </c>
      <c r="F26" s="45">
        <v>125197.48528341655</v>
      </c>
      <c r="G26" s="45">
        <v>128029.80661024987</v>
      </c>
      <c r="H26" s="45">
        <v>133784.8709438435</v>
      </c>
      <c r="I26" s="45">
        <v>137855.62552462524</v>
      </c>
      <c r="J26" s="45">
        <v>140938.68031137084</v>
      </c>
      <c r="K26" s="45">
        <v>148032.50213077408</v>
      </c>
      <c r="L26" s="45">
        <v>153255.95893388239</v>
      </c>
      <c r="M26" s="45">
        <v>149242.16017972477</v>
      </c>
      <c r="N26" s="45">
        <v>152506.11402526428</v>
      </c>
      <c r="O26" s="45">
        <v>157548.80999539889</v>
      </c>
      <c r="P26" s="45">
        <v>158576.65068507698</v>
      </c>
      <c r="Q26" s="45">
        <v>156624.32490225972</v>
      </c>
      <c r="R26" s="45">
        <v>156624.53447396867</v>
      </c>
      <c r="S26" s="45">
        <v>157035.93035999997</v>
      </c>
      <c r="T26" s="45">
        <v>159971.87661408892</v>
      </c>
      <c r="U26" s="45">
        <v>163580.7889587839</v>
      </c>
      <c r="V26" s="45">
        <v>165491.57913969713</v>
      </c>
      <c r="W26" s="45">
        <v>167996.91220843911</v>
      </c>
      <c r="X26" s="45">
        <v>163752.80882505199</v>
      </c>
      <c r="Y26" s="45">
        <v>168625.44749533795</v>
      </c>
      <c r="Z26" s="45">
        <v>167670.4734688935</v>
      </c>
      <c r="AA26" s="45">
        <v>172255</v>
      </c>
    </row>
    <row r="27" spans="1:27" x14ac:dyDescent="0.25">
      <c r="A27" s="68" t="s">
        <v>148</v>
      </c>
      <c r="B27" s="69"/>
      <c r="C27" s="69"/>
      <c r="D27" s="70">
        <v>50241.288461285701</v>
      </c>
      <c r="E27" s="70">
        <v>51989.763157894726</v>
      </c>
      <c r="F27" s="70">
        <v>53425.585401349963</v>
      </c>
      <c r="G27" s="70">
        <v>54990.542250180988</v>
      </c>
      <c r="H27" s="70">
        <v>56751.97631747913</v>
      </c>
      <c r="I27" s="70">
        <v>58804.08146833894</v>
      </c>
      <c r="J27" s="70">
        <v>59859.741106288035</v>
      </c>
      <c r="K27" s="70">
        <v>61674.084310184044</v>
      </c>
      <c r="L27" s="70">
        <v>63339.03946465339</v>
      </c>
      <c r="M27" s="70">
        <v>62751.241089581577</v>
      </c>
      <c r="N27" s="70">
        <v>64568.077360688039</v>
      </c>
      <c r="O27" s="70">
        <v>66009.660349247381</v>
      </c>
      <c r="P27" s="70">
        <v>66675.877705788633</v>
      </c>
      <c r="Q27" s="70">
        <v>65610.392724180492</v>
      </c>
      <c r="R27" s="70">
        <v>64763.843954564916</v>
      </c>
      <c r="S27" s="70">
        <v>64313.920759999994</v>
      </c>
      <c r="T27" s="70">
        <v>64727.425079266643</v>
      </c>
      <c r="U27" s="70">
        <v>64522.781021173563</v>
      </c>
      <c r="V27" s="70">
        <v>64924.281901762988</v>
      </c>
      <c r="W27" s="70">
        <v>66283.512888548314</v>
      </c>
      <c r="X27" s="70">
        <v>62360.448744858484</v>
      </c>
      <c r="Y27" s="70">
        <v>64179.236668289595</v>
      </c>
      <c r="Z27" s="70">
        <v>65307.477508022035</v>
      </c>
      <c r="AA27" s="70">
        <v>67991</v>
      </c>
    </row>
    <row r="28" spans="1:27" x14ac:dyDescent="0.25">
      <c r="A28" s="68" t="s">
        <v>150</v>
      </c>
      <c r="B28" s="71"/>
      <c r="C28" s="71"/>
      <c r="D28" s="70">
        <v>46006.384553711076</v>
      </c>
      <c r="E28" s="70">
        <v>48866.162023200435</v>
      </c>
      <c r="F28" s="70">
        <v>50123.759541314335</v>
      </c>
      <c r="G28" s="70">
        <v>51109.401957113259</v>
      </c>
      <c r="H28" s="70">
        <v>54111.524349286316</v>
      </c>
      <c r="I28" s="70">
        <v>55248.322300397682</v>
      </c>
      <c r="J28" s="70">
        <v>57554.316463370254</v>
      </c>
      <c r="K28" s="70">
        <v>61269.840186044319</v>
      </c>
      <c r="L28" s="70">
        <v>63376.019766643789</v>
      </c>
      <c r="M28" s="70">
        <v>62369.275843864081</v>
      </c>
      <c r="N28" s="70">
        <v>63510.13382458339</v>
      </c>
      <c r="O28" s="70">
        <v>65828.646655419449</v>
      </c>
      <c r="P28" s="70">
        <v>65928.096590546993</v>
      </c>
      <c r="Q28" s="70">
        <v>65935.712990905231</v>
      </c>
      <c r="R28" s="70">
        <v>67728.076595224004</v>
      </c>
      <c r="S28" s="70">
        <v>68872.194139999978</v>
      </c>
      <c r="T28" s="70">
        <v>71365.674731693653</v>
      </c>
      <c r="U28" s="70">
        <v>74408.148175341805</v>
      </c>
      <c r="V28" s="70">
        <v>76061.705988687376</v>
      </c>
      <c r="W28" s="70">
        <v>77305.53252550411</v>
      </c>
      <c r="X28" s="70">
        <v>76844.427623466952</v>
      </c>
      <c r="Y28" s="70">
        <v>79452.726880219008</v>
      </c>
      <c r="Z28" s="70">
        <v>78204.728271304892</v>
      </c>
      <c r="AA28" s="70">
        <v>80110</v>
      </c>
    </row>
    <row r="29" spans="1:27" x14ac:dyDescent="0.25">
      <c r="A29" s="68" t="s">
        <v>152</v>
      </c>
      <c r="B29" s="71"/>
      <c r="C29" s="71"/>
      <c r="D29" s="70">
        <v>20071.335725457724</v>
      </c>
      <c r="E29" s="70">
        <v>21085.823970416895</v>
      </c>
      <c r="F29" s="70">
        <v>21648.140340752267</v>
      </c>
      <c r="G29" s="70">
        <v>21929.862402955638</v>
      </c>
      <c r="H29" s="70">
        <v>22921.370277078087</v>
      </c>
      <c r="I29" s="70">
        <v>23803.221755888655</v>
      </c>
      <c r="J29" s="70">
        <v>23524.622741712534</v>
      </c>
      <c r="K29" s="70">
        <v>25088.577634545694</v>
      </c>
      <c r="L29" s="70">
        <v>26540.899702585222</v>
      </c>
      <c r="M29" s="70">
        <v>24121.643246279134</v>
      </c>
      <c r="N29" s="70">
        <v>24427.902839992828</v>
      </c>
      <c r="O29" s="70">
        <v>25710.502990732017</v>
      </c>
      <c r="P29" s="70">
        <v>25972.676388741369</v>
      </c>
      <c r="Q29" s="70">
        <v>25078.219187173978</v>
      </c>
      <c r="R29" s="70">
        <v>24132.613924179699</v>
      </c>
      <c r="S29" s="70">
        <v>23849.815459999998</v>
      </c>
      <c r="T29" s="70">
        <v>23878.776803128654</v>
      </c>
      <c r="U29" s="70">
        <v>24649.859762268567</v>
      </c>
      <c r="V29" s="70">
        <v>24505.591249246798</v>
      </c>
      <c r="W29" s="70">
        <v>24407.866794386704</v>
      </c>
      <c r="X29" s="70">
        <v>24547.932456726565</v>
      </c>
      <c r="Y29" s="70">
        <v>24993.483946829328</v>
      </c>
      <c r="Z29" s="70">
        <v>24158.26768956659</v>
      </c>
      <c r="AA29" s="70">
        <v>24154</v>
      </c>
    </row>
    <row r="30" spans="1:27" x14ac:dyDescent="0.25">
      <c r="A30" s="64" t="s">
        <v>154</v>
      </c>
      <c r="B30" s="65"/>
      <c r="C30" s="65"/>
      <c r="D30" s="66">
        <v>3410.2700734723921</v>
      </c>
      <c r="E30" s="66">
        <v>3837.7837242287619</v>
      </c>
      <c r="F30" s="66">
        <v>4598.2206358367002</v>
      </c>
      <c r="G30" s="66">
        <v>4864.5019845727556</v>
      </c>
      <c r="H30" s="66">
        <v>5634.2454931594802</v>
      </c>
      <c r="I30" s="66">
        <v>4921.2175711226682</v>
      </c>
      <c r="J30" s="66">
        <v>5596.6070519193918</v>
      </c>
      <c r="K30" s="66">
        <v>5797.9349553186721</v>
      </c>
      <c r="L30" s="66">
        <v>5482.6721802791126</v>
      </c>
      <c r="M30" s="66">
        <v>5800.7609323223805</v>
      </c>
      <c r="N30" s="66">
        <v>6355.706414621035</v>
      </c>
      <c r="O30" s="66">
        <v>5880.3216625402592</v>
      </c>
      <c r="P30" s="66">
        <v>5883.053467870418</v>
      </c>
      <c r="Q30" s="66">
        <v>5911.6404193759136</v>
      </c>
      <c r="R30" s="66">
        <v>5571.976018108775</v>
      </c>
      <c r="S30" s="66">
        <v>5495.7905999999984</v>
      </c>
      <c r="T30" s="66">
        <v>5391.55690695046</v>
      </c>
      <c r="U30" s="66">
        <v>6146.7239100668739</v>
      </c>
      <c r="V30" s="66">
        <v>5895.1196765603436</v>
      </c>
      <c r="W30" s="66">
        <v>6618.946443795201</v>
      </c>
      <c r="X30" s="66">
        <v>5991.0388825616747</v>
      </c>
      <c r="Y30" s="66">
        <v>5949.4677053381965</v>
      </c>
      <c r="Z30" s="66">
        <v>8223.6284174746361</v>
      </c>
      <c r="AA30" s="66">
        <v>8036</v>
      </c>
    </row>
    <row r="31" spans="1:27" x14ac:dyDescent="0.25">
      <c r="A31" s="64" t="s">
        <v>37</v>
      </c>
      <c r="B31" s="65"/>
      <c r="C31" s="65"/>
      <c r="D31" s="66">
        <v>11557.463506959504</v>
      </c>
      <c r="E31" s="66">
        <v>11317.747023960284</v>
      </c>
      <c r="F31" s="66">
        <v>10896.92665545881</v>
      </c>
      <c r="G31" s="66">
        <v>11435.689458049377</v>
      </c>
      <c r="H31" s="66">
        <v>12313.7314910851</v>
      </c>
      <c r="I31" s="66">
        <v>13560.81864790456</v>
      </c>
      <c r="J31" s="66">
        <v>14378.416664645825</v>
      </c>
      <c r="K31" s="66">
        <v>15604.388568190672</v>
      </c>
      <c r="L31" s="66">
        <v>16194.632990162434</v>
      </c>
      <c r="M31" s="66">
        <v>14435.327402415051</v>
      </c>
      <c r="N31" s="66">
        <v>14379.450546497043</v>
      </c>
      <c r="O31" s="66">
        <v>14517.822922372427</v>
      </c>
      <c r="P31" s="66">
        <v>14505.427551779074</v>
      </c>
      <c r="Q31" s="66">
        <v>14064.513974011967</v>
      </c>
      <c r="R31" s="66">
        <v>13533.162611905294</v>
      </c>
      <c r="S31" s="66">
        <v>13735.884479999999</v>
      </c>
      <c r="T31" s="66">
        <v>15010.611788475579</v>
      </c>
      <c r="U31" s="66">
        <v>16200.787391105905</v>
      </c>
      <c r="V31" s="66">
        <v>16926.650378058974</v>
      </c>
      <c r="W31" s="66">
        <v>17164.989166147807</v>
      </c>
      <c r="X31" s="66">
        <v>17319.466807224948</v>
      </c>
      <c r="Y31" s="66">
        <v>16415.207253552828</v>
      </c>
      <c r="Z31" s="66">
        <v>15752.375249742689</v>
      </c>
      <c r="AA31" s="66">
        <v>14925</v>
      </c>
    </row>
    <row r="32" spans="1:27" x14ac:dyDescent="0.25">
      <c r="A32" s="64" t="s">
        <v>58</v>
      </c>
      <c r="B32" s="65"/>
      <c r="C32" s="65"/>
      <c r="D32" s="66">
        <v>49710.941892406976</v>
      </c>
      <c r="E32" s="66">
        <v>49346.83268324806</v>
      </c>
      <c r="F32" s="66">
        <v>48364.688530349034</v>
      </c>
      <c r="G32" s="66">
        <v>47208.833545520363</v>
      </c>
      <c r="H32" s="66">
        <v>47631.624586358477</v>
      </c>
      <c r="I32" s="66">
        <v>48426.89062098501</v>
      </c>
      <c r="J32" s="66">
        <v>52118.856851856341</v>
      </c>
      <c r="K32" s="66">
        <v>55460.597702777683</v>
      </c>
      <c r="L32" s="66">
        <v>52392.870075497594</v>
      </c>
      <c r="M32" s="66">
        <v>38094.30852007863</v>
      </c>
      <c r="N32" s="66">
        <v>40545.116153019168</v>
      </c>
      <c r="O32" s="66">
        <v>39796.778773471226</v>
      </c>
      <c r="P32" s="66">
        <v>34493.311545406257</v>
      </c>
      <c r="Q32" s="66">
        <v>34613.083035186508</v>
      </c>
      <c r="R32" s="66">
        <v>34622.188408752576</v>
      </c>
      <c r="S32" s="66">
        <v>35030.576379999991</v>
      </c>
      <c r="T32" s="66">
        <v>35730.142229868274</v>
      </c>
      <c r="U32" s="66">
        <v>38086.16579683686</v>
      </c>
      <c r="V32" s="66">
        <v>37319.854549342039</v>
      </c>
      <c r="W32" s="66">
        <v>37500.099276785288</v>
      </c>
      <c r="X32" s="66">
        <v>36357.581901866477</v>
      </c>
      <c r="Y32" s="66">
        <v>38768.883011657497</v>
      </c>
      <c r="Z32" s="66">
        <v>40402.548681445092</v>
      </c>
      <c r="AA32" s="66">
        <v>36320</v>
      </c>
    </row>
    <row r="33" spans="1:27" x14ac:dyDescent="0.25">
      <c r="A33" s="72" t="s">
        <v>158</v>
      </c>
      <c r="B33" s="65"/>
      <c r="C33" s="65"/>
      <c r="D33" s="66">
        <v>2154.434578026629</v>
      </c>
      <c r="E33" s="66">
        <v>2045.5038498556303</v>
      </c>
      <c r="F33" s="66">
        <v>1784.608335633453</v>
      </c>
      <c r="G33" s="66">
        <v>1945.8007938291021</v>
      </c>
      <c r="H33" s="66">
        <v>2278.2399120857413</v>
      </c>
      <c r="I33" s="66">
        <v>2666.4531049250536</v>
      </c>
      <c r="J33" s="66">
        <v>3417.4871595896884</v>
      </c>
      <c r="K33" s="66">
        <v>3447.3825831356021</v>
      </c>
      <c r="L33" s="66">
        <v>3115.9328528940746</v>
      </c>
      <c r="M33" s="66">
        <v>1086.7180230272395</v>
      </c>
      <c r="N33" s="66">
        <v>1650.6064549363912</v>
      </c>
      <c r="O33" s="66">
        <v>1694.7079161280426</v>
      </c>
      <c r="P33" s="66">
        <v>1417.9862984599042</v>
      </c>
      <c r="Q33" s="66">
        <v>1576.9341173298487</v>
      </c>
      <c r="R33" s="66">
        <v>1561.4718070028753</v>
      </c>
      <c r="S33" s="66">
        <v>1873.8370999999997</v>
      </c>
      <c r="T33" s="66">
        <v>1685.0112323587953</v>
      </c>
      <c r="U33" s="66">
        <v>2256.0163713214133</v>
      </c>
      <c r="V33" s="66">
        <v>2013.137986665889</v>
      </c>
      <c r="W33" s="66">
        <v>1656.1702763542316</v>
      </c>
      <c r="X33" s="66">
        <v>1479.728000903589</v>
      </c>
      <c r="Y33" s="66">
        <v>1888.5627750167653</v>
      </c>
      <c r="Z33" s="66">
        <v>3037.3885088091056</v>
      </c>
      <c r="AA33" s="66">
        <v>2081</v>
      </c>
    </row>
    <row r="34" spans="1:27" x14ac:dyDescent="0.25">
      <c r="A34" s="73" t="s">
        <v>5</v>
      </c>
      <c r="B34" s="65"/>
      <c r="C34" s="65"/>
      <c r="D34" s="66">
        <v>1809.4502467256561</v>
      </c>
      <c r="E34" s="66">
        <v>1721.7600845399741</v>
      </c>
      <c r="F34" s="66">
        <v>1506.51901277363</v>
      </c>
      <c r="G34" s="66">
        <v>1629.5095250776119</v>
      </c>
      <c r="H34" s="66">
        <v>1907.9104340635572</v>
      </c>
      <c r="I34" s="66">
        <v>2244.7233080009637</v>
      </c>
      <c r="J34" s="66">
        <v>2857.747905056563</v>
      </c>
      <c r="K34" s="66">
        <v>2691.0847750464313</v>
      </c>
      <c r="L34" s="66">
        <v>2414.2724524245164</v>
      </c>
      <c r="M34" s="66">
        <v>679.19926238530604</v>
      </c>
      <c r="N34" s="66">
        <v>1033.858095899579</v>
      </c>
      <c r="O34" s="66">
        <v>1137.8996220118443</v>
      </c>
      <c r="P34" s="66">
        <v>860.0993702257806</v>
      </c>
      <c r="Q34" s="66">
        <v>1123.7351809907022</v>
      </c>
      <c r="R34" s="66">
        <v>915.7435587834741</v>
      </c>
      <c r="S34" s="66">
        <v>1082.7863688872199</v>
      </c>
      <c r="T34" s="66">
        <v>1045.7659547212411</v>
      </c>
      <c r="U34" s="66">
        <v>1545.5380197377906</v>
      </c>
      <c r="V34" s="66">
        <v>1271.6927853393029</v>
      </c>
      <c r="W34" s="66">
        <v>840.08118755505438</v>
      </c>
      <c r="X34" s="66">
        <v>863.54751987753707</v>
      </c>
      <c r="Y34" s="66">
        <v>1297.115404563094</v>
      </c>
      <c r="Z34" s="66">
        <v>1868.4356180160878</v>
      </c>
      <c r="AA34" s="66">
        <v>975.25071198100341</v>
      </c>
    </row>
    <row r="35" spans="1:27" x14ac:dyDescent="0.25">
      <c r="A35" s="74" t="s">
        <v>264</v>
      </c>
      <c r="B35" s="44"/>
      <c r="C35" s="44"/>
      <c r="D35" s="45">
        <v>1436.3966617570638</v>
      </c>
      <c r="E35" s="45">
        <v>1395.0581414809662</v>
      </c>
      <c r="F35" s="45">
        <v>1212.073116612441</v>
      </c>
      <c r="G35" s="45">
        <v>1224.5857865809248</v>
      </c>
      <c r="H35" s="45">
        <v>1384.9354106270846</v>
      </c>
      <c r="I35" s="45">
        <v>1643.4774250135597</v>
      </c>
      <c r="J35" s="45">
        <v>2040.0731046001167</v>
      </c>
      <c r="K35" s="45">
        <v>1969.3416894590284</v>
      </c>
      <c r="L35" s="45">
        <v>1792.6165652522939</v>
      </c>
      <c r="M35" s="45">
        <v>520.67637472794627</v>
      </c>
      <c r="N35" s="45">
        <v>752.49036304783726</v>
      </c>
      <c r="O35" s="45">
        <v>816.99347827679117</v>
      </c>
      <c r="P35" s="45">
        <v>564.90897599695415</v>
      </c>
      <c r="Q35" s="45">
        <v>753.6725386986401</v>
      </c>
      <c r="R35" s="45">
        <v>651.07958184266533</v>
      </c>
      <c r="S35" s="45">
        <v>757.48918765724648</v>
      </c>
      <c r="T35" s="45">
        <v>745.76935217195285</v>
      </c>
      <c r="U35" s="45">
        <v>1099.6372457270249</v>
      </c>
      <c r="V35" s="45">
        <v>907.93022880122692</v>
      </c>
      <c r="W35" s="45">
        <v>596.98240205396451</v>
      </c>
      <c r="X35" s="45">
        <v>624.50917914994318</v>
      </c>
      <c r="Y35" s="45">
        <v>934.52695039086836</v>
      </c>
      <c r="Z35" s="45">
        <v>1121.6033964379496</v>
      </c>
      <c r="AA35" s="45">
        <v>647.02058038151722</v>
      </c>
    </row>
    <row r="36" spans="1:27" x14ac:dyDescent="0.25">
      <c r="A36" s="74" t="s">
        <v>15</v>
      </c>
      <c r="B36" s="44"/>
      <c r="C36" s="44"/>
      <c r="D36" s="45">
        <v>373.0535849685923</v>
      </c>
      <c r="E36" s="45">
        <v>326.70194305900782</v>
      </c>
      <c r="F36" s="45">
        <v>294.44589616118901</v>
      </c>
      <c r="G36" s="45">
        <v>404.92373849668706</v>
      </c>
      <c r="H36" s="45">
        <v>522.97502343647261</v>
      </c>
      <c r="I36" s="45">
        <v>601.245882987404</v>
      </c>
      <c r="J36" s="45">
        <v>817.67480045644629</v>
      </c>
      <c r="K36" s="45">
        <v>721.7430855874029</v>
      </c>
      <c r="L36" s="45">
        <v>621.65588717222249</v>
      </c>
      <c r="M36" s="45">
        <v>158.52288765735977</v>
      </c>
      <c r="N36" s="45">
        <v>281.36773285174172</v>
      </c>
      <c r="O36" s="45">
        <v>320.90614373505309</v>
      </c>
      <c r="P36" s="45">
        <v>295.19039422882645</v>
      </c>
      <c r="Q36" s="45">
        <v>370.06264229206215</v>
      </c>
      <c r="R36" s="45">
        <v>264.66397694080877</v>
      </c>
      <c r="S36" s="45">
        <v>325.29718122997338</v>
      </c>
      <c r="T36" s="45">
        <v>299.99660254928824</v>
      </c>
      <c r="U36" s="45">
        <v>445.90077401076564</v>
      </c>
      <c r="V36" s="45">
        <v>363.76255653807596</v>
      </c>
      <c r="W36" s="45">
        <v>243.09878550108988</v>
      </c>
      <c r="X36" s="45">
        <v>239.03834072759389</v>
      </c>
      <c r="Y36" s="45">
        <v>362.58845417222562</v>
      </c>
      <c r="Z36" s="45">
        <v>746.83222157813816</v>
      </c>
      <c r="AA36" s="45">
        <v>328.23013159948619</v>
      </c>
    </row>
    <row r="37" spans="1:27" x14ac:dyDescent="0.25">
      <c r="A37" s="73" t="s">
        <v>263</v>
      </c>
      <c r="B37" s="65"/>
      <c r="C37" s="65"/>
      <c r="D37" s="66">
        <v>344.98433130097283</v>
      </c>
      <c r="E37" s="66">
        <v>323.74376531565622</v>
      </c>
      <c r="F37" s="66">
        <v>278.08932285982291</v>
      </c>
      <c r="G37" s="66">
        <v>316.29126875149018</v>
      </c>
      <c r="H37" s="66">
        <v>370.32947802218382</v>
      </c>
      <c r="I37" s="66">
        <v>421.7297969240899</v>
      </c>
      <c r="J37" s="66">
        <v>559.73925453312586</v>
      </c>
      <c r="K37" s="66">
        <v>756.29780808917076</v>
      </c>
      <c r="L37" s="66">
        <v>701.66040046955823</v>
      </c>
      <c r="M37" s="66">
        <v>407.51876064193345</v>
      </c>
      <c r="N37" s="66">
        <v>616.74835903681208</v>
      </c>
      <c r="O37" s="66">
        <v>556.80829411619834</v>
      </c>
      <c r="P37" s="66">
        <v>557.88692823412362</v>
      </c>
      <c r="Q37" s="66">
        <v>453.19893633914648</v>
      </c>
      <c r="R37" s="66">
        <v>645.72824821940117</v>
      </c>
      <c r="S37" s="66">
        <v>791.05073111277989</v>
      </c>
      <c r="T37" s="66">
        <v>639.24527763755418</v>
      </c>
      <c r="U37" s="66">
        <v>710.47835158362273</v>
      </c>
      <c r="V37" s="66">
        <v>741.44520132658613</v>
      </c>
      <c r="W37" s="66">
        <v>816.08908879917715</v>
      </c>
      <c r="X37" s="66">
        <v>616.18048102605189</v>
      </c>
      <c r="Y37" s="66">
        <v>591.44737045367128</v>
      </c>
      <c r="Z37" s="66">
        <v>1168.9528907930176</v>
      </c>
      <c r="AA37" s="66">
        <v>1105.7492880189966</v>
      </c>
    </row>
    <row r="38" spans="1:27" x14ac:dyDescent="0.25">
      <c r="A38" s="74" t="s">
        <v>14</v>
      </c>
      <c r="B38" s="44"/>
      <c r="C38" s="44"/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v>0</v>
      </c>
      <c r="J38" s="45">
        <v>0</v>
      </c>
      <c r="K38" s="45">
        <v>0</v>
      </c>
      <c r="L38" s="45">
        <v>0</v>
      </c>
      <c r="M38" s="45">
        <v>0</v>
      </c>
      <c r="N38" s="45">
        <v>0</v>
      </c>
      <c r="O38" s="45">
        <v>0</v>
      </c>
      <c r="P38" s="45">
        <v>0</v>
      </c>
      <c r="Q38" s="45">
        <v>0</v>
      </c>
      <c r="R38" s="45">
        <v>0</v>
      </c>
      <c r="S38" s="45">
        <v>0</v>
      </c>
      <c r="T38" s="45">
        <v>0</v>
      </c>
      <c r="U38" s="45">
        <v>0</v>
      </c>
      <c r="V38" s="45">
        <v>0</v>
      </c>
      <c r="W38" s="45">
        <v>0</v>
      </c>
      <c r="X38" s="45">
        <v>0</v>
      </c>
      <c r="Y38" s="45">
        <v>0</v>
      </c>
      <c r="Z38" s="45">
        <v>0</v>
      </c>
      <c r="AA38" s="45">
        <v>0</v>
      </c>
    </row>
    <row r="39" spans="1:27" x14ac:dyDescent="0.25">
      <c r="A39" s="74" t="s">
        <v>19</v>
      </c>
      <c r="B39" s="44"/>
      <c r="C39" s="44"/>
      <c r="D39" s="45">
        <v>88.770164726357351</v>
      </c>
      <c r="E39" s="45">
        <v>77.674034305431292</v>
      </c>
      <c r="F39" s="45">
        <v>65.861439092544828</v>
      </c>
      <c r="G39" s="45">
        <v>73.77164521332449</v>
      </c>
      <c r="H39" s="45">
        <v>86.375494880174358</v>
      </c>
      <c r="I39" s="45">
        <v>97.225287898774241</v>
      </c>
      <c r="J39" s="45">
        <v>125.06015176376638</v>
      </c>
      <c r="K39" s="45">
        <v>168.9763901535301</v>
      </c>
      <c r="L39" s="45">
        <v>156.76898745030746</v>
      </c>
      <c r="M39" s="45">
        <v>54.022087589797707</v>
      </c>
      <c r="N39" s="45">
        <v>47.281155506440136</v>
      </c>
      <c r="O39" s="45">
        <v>46.008661845368849</v>
      </c>
      <c r="P39" s="45">
        <v>58.019681517181127</v>
      </c>
      <c r="Q39" s="45">
        <v>53.272841623855768</v>
      </c>
      <c r="R39" s="45">
        <v>55.841900290365331</v>
      </c>
      <c r="S39" s="45">
        <v>35.898597502193454</v>
      </c>
      <c r="T39" s="45">
        <v>68.55081785481039</v>
      </c>
      <c r="U39" s="45">
        <v>77.151580927461282</v>
      </c>
      <c r="V39" s="45">
        <v>71.502222150089267</v>
      </c>
      <c r="W39" s="45">
        <v>72.684700002036237</v>
      </c>
      <c r="X39" s="45">
        <v>72.81350667668147</v>
      </c>
      <c r="Y39" s="45">
        <v>83.239625507403375</v>
      </c>
      <c r="Z39" s="45">
        <v>79.57245746471051</v>
      </c>
      <c r="AA39" s="45">
        <v>56.749382686830913</v>
      </c>
    </row>
    <row r="40" spans="1:27" x14ac:dyDescent="0.25">
      <c r="A40" s="75" t="s">
        <v>267</v>
      </c>
      <c r="B40" s="76"/>
      <c r="C40" s="76"/>
      <c r="D40" s="45">
        <v>0</v>
      </c>
      <c r="E40" s="45">
        <v>0</v>
      </c>
      <c r="F40" s="45">
        <v>0</v>
      </c>
      <c r="G40" s="45">
        <v>0</v>
      </c>
      <c r="H40" s="45">
        <v>0</v>
      </c>
      <c r="I40" s="45">
        <v>0</v>
      </c>
      <c r="J40" s="45">
        <v>0</v>
      </c>
      <c r="K40" s="45">
        <v>0</v>
      </c>
      <c r="L40" s="45">
        <v>0</v>
      </c>
      <c r="M40" s="45">
        <v>0</v>
      </c>
      <c r="N40" s="45">
        <v>0</v>
      </c>
      <c r="O40" s="45">
        <v>0</v>
      </c>
      <c r="P40" s="45">
        <v>0</v>
      </c>
      <c r="Q40" s="45">
        <v>0</v>
      </c>
      <c r="R40" s="45">
        <v>0</v>
      </c>
      <c r="S40" s="45">
        <v>0</v>
      </c>
      <c r="T40" s="45">
        <v>0</v>
      </c>
      <c r="U40" s="45">
        <v>0</v>
      </c>
      <c r="V40" s="45">
        <v>0</v>
      </c>
      <c r="W40" s="45">
        <v>0</v>
      </c>
      <c r="X40" s="45">
        <v>0</v>
      </c>
      <c r="Y40" s="45">
        <v>0</v>
      </c>
      <c r="Z40" s="45">
        <v>0</v>
      </c>
      <c r="AA40" s="45">
        <v>0</v>
      </c>
    </row>
    <row r="41" spans="1:27" x14ac:dyDescent="0.25">
      <c r="A41" s="75" t="s">
        <v>268</v>
      </c>
      <c r="B41" s="76"/>
      <c r="C41" s="76"/>
      <c r="D41" s="45">
        <v>88.770164726357351</v>
      </c>
      <c r="E41" s="45">
        <v>77.674034305431292</v>
      </c>
      <c r="F41" s="45">
        <v>65.861439092544828</v>
      </c>
      <c r="G41" s="45">
        <v>73.77164521332449</v>
      </c>
      <c r="H41" s="45">
        <v>86.375494880174358</v>
      </c>
      <c r="I41" s="45">
        <v>97.225287898774241</v>
      </c>
      <c r="J41" s="45">
        <v>125.06015176376638</v>
      </c>
      <c r="K41" s="45">
        <v>168.9763901535301</v>
      </c>
      <c r="L41" s="45">
        <v>156.76898745030746</v>
      </c>
      <c r="M41" s="45">
        <v>54.022087589797707</v>
      </c>
      <c r="N41" s="45">
        <v>47.281155506440136</v>
      </c>
      <c r="O41" s="45">
        <v>46.008661845368849</v>
      </c>
      <c r="P41" s="45">
        <v>58.019681517181127</v>
      </c>
      <c r="Q41" s="45">
        <v>53.272841623855768</v>
      </c>
      <c r="R41" s="45">
        <v>55.841900290365331</v>
      </c>
      <c r="S41" s="45">
        <v>35.898597502193454</v>
      </c>
      <c r="T41" s="45">
        <v>68.55081785481039</v>
      </c>
      <c r="U41" s="45">
        <v>77.151580927461282</v>
      </c>
      <c r="V41" s="45">
        <v>71.502222150089267</v>
      </c>
      <c r="W41" s="45">
        <v>72.684700002036237</v>
      </c>
      <c r="X41" s="45">
        <v>72.81350667668147</v>
      </c>
      <c r="Y41" s="45">
        <v>83.239625507403375</v>
      </c>
      <c r="Z41" s="45">
        <v>79.57245746471051</v>
      </c>
      <c r="AA41" s="45">
        <v>56.749382686830913</v>
      </c>
    </row>
    <row r="42" spans="1:27" x14ac:dyDescent="0.25">
      <c r="A42" s="74" t="s">
        <v>13</v>
      </c>
      <c r="B42" s="44"/>
      <c r="C42" s="44"/>
      <c r="D42" s="45">
        <v>256.21416657461549</v>
      </c>
      <c r="E42" s="45">
        <v>246.06973101022493</v>
      </c>
      <c r="F42" s="45">
        <v>212.22788376727809</v>
      </c>
      <c r="G42" s="45">
        <v>242.51962353816569</v>
      </c>
      <c r="H42" s="45">
        <v>283.95398314200946</v>
      </c>
      <c r="I42" s="45">
        <v>324.50450902531566</v>
      </c>
      <c r="J42" s="45">
        <v>434.67910276935947</v>
      </c>
      <c r="K42" s="45">
        <v>587.32141793564062</v>
      </c>
      <c r="L42" s="45">
        <v>544.89141301925076</v>
      </c>
      <c r="M42" s="45">
        <v>353.49667305213575</v>
      </c>
      <c r="N42" s="45">
        <v>569.46720353037199</v>
      </c>
      <c r="O42" s="45">
        <v>510.79963227082948</v>
      </c>
      <c r="P42" s="45">
        <v>499.86724671694247</v>
      </c>
      <c r="Q42" s="45">
        <v>399.92609471529073</v>
      </c>
      <c r="R42" s="45">
        <v>589.88634792903588</v>
      </c>
      <c r="S42" s="45">
        <v>755.15213361058647</v>
      </c>
      <c r="T42" s="45">
        <v>570.69445978274382</v>
      </c>
      <c r="U42" s="45">
        <v>633.32677065616144</v>
      </c>
      <c r="V42" s="45">
        <v>669.94297917649692</v>
      </c>
      <c r="W42" s="45">
        <v>743.40438879714088</v>
      </c>
      <c r="X42" s="45">
        <v>543.36697434937037</v>
      </c>
      <c r="Y42" s="45">
        <v>508.20774494626789</v>
      </c>
      <c r="Z42" s="45">
        <v>1089.3804333283069</v>
      </c>
      <c r="AA42" s="45">
        <v>1048.9999053321658</v>
      </c>
    </row>
    <row r="43" spans="1:27" x14ac:dyDescent="0.25">
      <c r="A43" s="72" t="s">
        <v>265</v>
      </c>
      <c r="B43" s="65"/>
      <c r="C43" s="65"/>
      <c r="D43" s="66">
        <v>2886.2184193578069</v>
      </c>
      <c r="E43" s="66">
        <v>3175.155716529051</v>
      </c>
      <c r="F43" s="66">
        <v>3013.4043108423457</v>
      </c>
      <c r="G43" s="66">
        <v>2938.1293092688284</v>
      </c>
      <c r="H43" s="66">
        <v>3305.7394181854106</v>
      </c>
      <c r="I43" s="66">
        <v>3346.2521382685836</v>
      </c>
      <c r="J43" s="66">
        <v>3450.878070664694</v>
      </c>
      <c r="K43" s="66">
        <v>3759.7530426981148</v>
      </c>
      <c r="L43" s="66">
        <v>3659.6802562342709</v>
      </c>
      <c r="M43" s="66">
        <v>3312.6070429654592</v>
      </c>
      <c r="N43" s="66">
        <v>3593.5217702920618</v>
      </c>
      <c r="O43" s="66">
        <v>4009.8468263184413</v>
      </c>
      <c r="P43" s="66">
        <v>3639.7101221455123</v>
      </c>
      <c r="Q43" s="66">
        <v>3675.3740057451596</v>
      </c>
      <c r="R43" s="66">
        <v>3785.8671411383239</v>
      </c>
      <c r="S43" s="66">
        <v>4006.2996399999993</v>
      </c>
      <c r="T43" s="66">
        <v>4334.0836175596869</v>
      </c>
      <c r="U43" s="66">
        <v>4538.1687932847808</v>
      </c>
      <c r="V43" s="66">
        <v>4688.4005481369168</v>
      </c>
      <c r="W43" s="66">
        <v>5142.8445423631401</v>
      </c>
      <c r="X43" s="66">
        <v>4902.3738034505805</v>
      </c>
      <c r="Y43" s="66">
        <v>4670.2606538853724</v>
      </c>
      <c r="Z43" s="66">
        <v>5975.3602781549744</v>
      </c>
      <c r="AA43" s="66">
        <v>5118</v>
      </c>
    </row>
    <row r="44" spans="1:27" x14ac:dyDescent="0.25">
      <c r="A44" s="73" t="s">
        <v>266</v>
      </c>
      <c r="B44" s="65"/>
      <c r="C44" s="65"/>
      <c r="D44" s="66">
        <v>2187.4828805383595</v>
      </c>
      <c r="E44" s="66">
        <v>2353.3150296337571</v>
      </c>
      <c r="F44" s="66">
        <v>2173.6769879306453</v>
      </c>
      <c r="G44" s="66">
        <v>2143.0709203924212</v>
      </c>
      <c r="H44" s="66">
        <v>2429.0384007507287</v>
      </c>
      <c r="I44" s="66">
        <v>2348.5298501070665</v>
      </c>
      <c r="J44" s="66">
        <v>2350.4297839319056</v>
      </c>
      <c r="K44" s="66">
        <v>2629.0002479016894</v>
      </c>
      <c r="L44" s="66">
        <v>2470.8320292839167</v>
      </c>
      <c r="M44" s="66">
        <v>2077.9447346251054</v>
      </c>
      <c r="N44" s="66">
        <v>2275.4501657409064</v>
      </c>
      <c r="O44" s="66">
        <v>2660.1142832102714</v>
      </c>
      <c r="P44" s="66">
        <v>2071.658906001062</v>
      </c>
      <c r="Q44" s="66">
        <v>2241.2331352601395</v>
      </c>
      <c r="R44" s="66">
        <v>2176.7820421314518</v>
      </c>
      <c r="S44" s="66">
        <v>2429.4028599999997</v>
      </c>
      <c r="T44" s="66">
        <v>2493.3854909531001</v>
      </c>
      <c r="U44" s="66">
        <v>2655.1851447621689</v>
      </c>
      <c r="V44" s="66">
        <v>2871.9217058331874</v>
      </c>
      <c r="W44" s="66">
        <v>3312.3405527084633</v>
      </c>
      <c r="X44" s="66">
        <v>3178.0906036162382</v>
      </c>
      <c r="Y44" s="66">
        <v>3019.2806158538269</v>
      </c>
      <c r="Z44" s="66">
        <v>4265.5994775945128</v>
      </c>
      <c r="AA44" s="66">
        <v>3537</v>
      </c>
    </row>
    <row r="45" spans="1:27" x14ac:dyDescent="0.25">
      <c r="A45" s="74" t="s">
        <v>20</v>
      </c>
      <c r="B45" s="44"/>
      <c r="C45" s="44"/>
      <c r="D45" s="45">
        <v>962.03928157783866</v>
      </c>
      <c r="E45" s="45">
        <v>1108.7100868635041</v>
      </c>
      <c r="F45" s="45">
        <v>968.68546469787657</v>
      </c>
      <c r="G45" s="45">
        <v>961.84158764379981</v>
      </c>
      <c r="H45" s="45">
        <v>1024.0059252158976</v>
      </c>
      <c r="I45" s="45">
        <v>1006.8929998143136</v>
      </c>
      <c r="J45" s="45">
        <v>1007.300199944175</v>
      </c>
      <c r="K45" s="45">
        <v>1065.321256932463</v>
      </c>
      <c r="L45" s="45">
        <v>1215.0326960889386</v>
      </c>
      <c r="M45" s="45">
        <v>1052.427058170269</v>
      </c>
      <c r="N45" s="45">
        <v>1318.6593324713592</v>
      </c>
      <c r="O45" s="45">
        <v>1638.669344028443</v>
      </c>
      <c r="P45" s="45">
        <v>1330.3224169479195</v>
      </c>
      <c r="Q45" s="45">
        <v>1266.9003169280918</v>
      </c>
      <c r="R45" s="45">
        <v>1131.3973184022179</v>
      </c>
      <c r="S45" s="45">
        <v>1333.2122466373294</v>
      </c>
      <c r="T45" s="45">
        <v>1251.3018302634482</v>
      </c>
      <c r="U45" s="45">
        <v>1264.9662393698507</v>
      </c>
      <c r="V45" s="45">
        <v>1162.9414414330458</v>
      </c>
      <c r="W45" s="45">
        <v>1427.5159721442078</v>
      </c>
      <c r="X45" s="45">
        <v>1850.9168158126397</v>
      </c>
      <c r="Y45" s="45">
        <v>1643.3211875839443</v>
      </c>
      <c r="Z45" s="45">
        <v>2735.5439796008523</v>
      </c>
      <c r="AA45" s="45">
        <v>2016.1309443452797</v>
      </c>
    </row>
    <row r="46" spans="1:27" x14ac:dyDescent="0.25">
      <c r="A46" s="74" t="s">
        <v>12</v>
      </c>
      <c r="B46" s="44"/>
      <c r="C46" s="44"/>
      <c r="D46" s="45">
        <v>1225.4435989605208</v>
      </c>
      <c r="E46" s="45">
        <v>1244.604942770253</v>
      </c>
      <c r="F46" s="45">
        <v>1204.9915232327687</v>
      </c>
      <c r="G46" s="45">
        <v>1181.2293327486213</v>
      </c>
      <c r="H46" s="45">
        <v>1405.0324755348311</v>
      </c>
      <c r="I46" s="45">
        <v>1341.636850292753</v>
      </c>
      <c r="J46" s="45">
        <v>1343.1295839877307</v>
      </c>
      <c r="K46" s="45">
        <v>1563.6789909692263</v>
      </c>
      <c r="L46" s="45">
        <v>1255.7993331949781</v>
      </c>
      <c r="M46" s="45">
        <v>1025.5176764548364</v>
      </c>
      <c r="N46" s="45">
        <v>956.79083326954719</v>
      </c>
      <c r="O46" s="45">
        <v>1021.4449391818284</v>
      </c>
      <c r="P46" s="45">
        <v>741.33648905314249</v>
      </c>
      <c r="Q46" s="45">
        <v>974.33281833204774</v>
      </c>
      <c r="R46" s="45">
        <v>1045.3847237292339</v>
      </c>
      <c r="S46" s="45">
        <v>1096.1906133626703</v>
      </c>
      <c r="T46" s="45">
        <v>1242.0836606896519</v>
      </c>
      <c r="U46" s="45">
        <v>1390.2189053923182</v>
      </c>
      <c r="V46" s="45">
        <v>1708.9802644001416</v>
      </c>
      <c r="W46" s="45">
        <v>1884.8245805642555</v>
      </c>
      <c r="X46" s="45">
        <v>1327.1737878035985</v>
      </c>
      <c r="Y46" s="45">
        <v>1375.9594282698827</v>
      </c>
      <c r="Z46" s="45">
        <v>1530.0554979936605</v>
      </c>
      <c r="AA46" s="45">
        <v>1520.8690556547203</v>
      </c>
    </row>
    <row r="47" spans="1:27" x14ac:dyDescent="0.25">
      <c r="A47" s="73" t="s">
        <v>11</v>
      </c>
      <c r="B47" s="65"/>
      <c r="C47" s="65"/>
      <c r="D47" s="66">
        <v>698.73553881944724</v>
      </c>
      <c r="E47" s="66">
        <v>821.84068689529397</v>
      </c>
      <c r="F47" s="66">
        <v>839.72732291170053</v>
      </c>
      <c r="G47" s="66">
        <v>795.05838887640732</v>
      </c>
      <c r="H47" s="66">
        <v>876.70101743468172</v>
      </c>
      <c r="I47" s="66">
        <v>997.72228816151733</v>
      </c>
      <c r="J47" s="66">
        <v>1100.4482867327883</v>
      </c>
      <c r="K47" s="66">
        <v>1130.7527947964254</v>
      </c>
      <c r="L47" s="66">
        <v>1188.8482269503545</v>
      </c>
      <c r="M47" s="66">
        <v>1234.6623083403538</v>
      </c>
      <c r="N47" s="66">
        <v>1318.0716045511556</v>
      </c>
      <c r="O47" s="66">
        <v>1349.7325431081701</v>
      </c>
      <c r="P47" s="66">
        <v>1568.0512161444501</v>
      </c>
      <c r="Q47" s="66">
        <v>1434.1408704850201</v>
      </c>
      <c r="R47" s="66">
        <v>1609.0850990068723</v>
      </c>
      <c r="S47" s="66">
        <v>1576.8967799999998</v>
      </c>
      <c r="T47" s="66">
        <v>1840.6981266065873</v>
      </c>
      <c r="U47" s="66">
        <v>1882.9836485226119</v>
      </c>
      <c r="V47" s="66">
        <v>1816.4788423037298</v>
      </c>
      <c r="W47" s="66">
        <v>1830.5039896546771</v>
      </c>
      <c r="X47" s="66">
        <v>1724.2831998343422</v>
      </c>
      <c r="Y47" s="66">
        <v>1650.980038031546</v>
      </c>
      <c r="Z47" s="66">
        <v>1709.7608005604613</v>
      </c>
      <c r="AA47" s="66">
        <v>1581</v>
      </c>
    </row>
    <row r="48" spans="1:27" x14ac:dyDescent="0.25">
      <c r="A48" s="72" t="s">
        <v>4</v>
      </c>
      <c r="B48" s="65"/>
      <c r="C48" s="65"/>
      <c r="D48" s="66">
        <v>1534.3854737589211</v>
      </c>
      <c r="E48" s="66">
        <v>1513.2786079732534</v>
      </c>
      <c r="F48" s="66">
        <v>1460.1340927910069</v>
      </c>
      <c r="G48" s="66">
        <v>1455.6144187323698</v>
      </c>
      <c r="H48" s="66">
        <v>1522.7690522052651</v>
      </c>
      <c r="I48" s="66">
        <v>1677.5213215050476</v>
      </c>
      <c r="J48" s="66">
        <v>1787.1396318839875</v>
      </c>
      <c r="K48" s="66">
        <v>1884.1168443295439</v>
      </c>
      <c r="L48" s="66">
        <v>1795.5991077556623</v>
      </c>
      <c r="M48" s="66">
        <v>1301.9097107554057</v>
      </c>
      <c r="N48" s="66">
        <v>1379.751455832288</v>
      </c>
      <c r="O48" s="66">
        <v>1528.1228500690167</v>
      </c>
      <c r="P48" s="66">
        <v>1416.7145618693571</v>
      </c>
      <c r="Q48" s="66">
        <v>1360.881726451586</v>
      </c>
      <c r="R48" s="66">
        <v>1262.3626649264841</v>
      </c>
      <c r="S48" s="66">
        <v>1214.1027599999998</v>
      </c>
      <c r="T48" s="66">
        <v>1269.4469838666118</v>
      </c>
      <c r="U48" s="66">
        <v>1346.0066080606432</v>
      </c>
      <c r="V48" s="66">
        <v>1382.432328415651</v>
      </c>
      <c r="W48" s="66">
        <v>1352.2332104027971</v>
      </c>
      <c r="X48" s="66">
        <v>1266.728311512288</v>
      </c>
      <c r="Y48" s="66">
        <v>1142.8169617020496</v>
      </c>
      <c r="Z48" s="66">
        <v>1130.865411394321</v>
      </c>
      <c r="AA48" s="66">
        <v>1106</v>
      </c>
    </row>
    <row r="49" spans="1:27" x14ac:dyDescent="0.25">
      <c r="A49" s="77" t="s">
        <v>10</v>
      </c>
      <c r="B49" s="44"/>
      <c r="C49" s="44"/>
      <c r="D49" s="45">
        <v>769.4726869034705</v>
      </c>
      <c r="E49" s="45">
        <v>702.00458260992048</v>
      </c>
      <c r="F49" s="45">
        <v>646.10104987936722</v>
      </c>
      <c r="G49" s="45">
        <v>696.54008775313048</v>
      </c>
      <c r="H49" s="45">
        <v>658.9760621633535</v>
      </c>
      <c r="I49" s="45">
        <v>759.75709840766842</v>
      </c>
      <c r="J49" s="45">
        <v>900.35049382447858</v>
      </c>
      <c r="K49" s="45">
        <v>940.91133645259663</v>
      </c>
      <c r="L49" s="45">
        <v>915.04363415482533</v>
      </c>
      <c r="M49" s="45">
        <v>629.72335857681594</v>
      </c>
      <c r="N49" s="45">
        <v>703.1261083143487</v>
      </c>
      <c r="O49" s="45">
        <v>875.52454343756312</v>
      </c>
      <c r="P49" s="45">
        <v>813.98812038586618</v>
      </c>
      <c r="Q49" s="45">
        <v>739.04670149542983</v>
      </c>
      <c r="R49" s="45">
        <v>673.29645476308235</v>
      </c>
      <c r="S49" s="45">
        <v>548.91725553154129</v>
      </c>
      <c r="T49" s="45">
        <v>651.06429753177008</v>
      </c>
      <c r="U49" s="45">
        <v>844.90752749891897</v>
      </c>
      <c r="V49" s="45">
        <v>769.86081410855002</v>
      </c>
      <c r="W49" s="45">
        <v>770.4516970645418</v>
      </c>
      <c r="X49" s="45">
        <v>723.78552742307033</v>
      </c>
      <c r="Y49" s="45">
        <v>688.57456301756429</v>
      </c>
      <c r="Z49" s="45">
        <v>604.04902585215223</v>
      </c>
      <c r="AA49" s="45">
        <v>544.01788878752609</v>
      </c>
    </row>
    <row r="50" spans="1:27" x14ac:dyDescent="0.25">
      <c r="A50" s="77" t="s">
        <v>18</v>
      </c>
      <c r="B50" s="44"/>
      <c r="C50" s="44"/>
      <c r="D50" s="45">
        <v>625.81710673958662</v>
      </c>
      <c r="E50" s="45">
        <v>674.49664658575716</v>
      </c>
      <c r="F50" s="45">
        <v>642.17638467484971</v>
      </c>
      <c r="G50" s="45">
        <v>578.13792111904741</v>
      </c>
      <c r="H50" s="45">
        <v>647.97385515152826</v>
      </c>
      <c r="I50" s="45">
        <v>696.18715554894823</v>
      </c>
      <c r="J50" s="45">
        <v>691.62148119516473</v>
      </c>
      <c r="K50" s="45">
        <v>737.13903984449689</v>
      </c>
      <c r="L50" s="45">
        <v>643.5505456779174</v>
      </c>
      <c r="M50" s="45">
        <v>384.12024176284513</v>
      </c>
      <c r="N50" s="45">
        <v>393.05997603600105</v>
      </c>
      <c r="O50" s="45">
        <v>504.80315329678325</v>
      </c>
      <c r="P50" s="45">
        <v>463.51006991181049</v>
      </c>
      <c r="Q50" s="45">
        <v>430.14794148654642</v>
      </c>
      <c r="R50" s="45">
        <v>308.95234282064268</v>
      </c>
      <c r="S50" s="45">
        <v>340.37926657780935</v>
      </c>
      <c r="T50" s="45">
        <v>282.92742360615654</v>
      </c>
      <c r="U50" s="45">
        <v>169.57669013232481</v>
      </c>
      <c r="V50" s="45">
        <v>270.15788267882908</v>
      </c>
      <c r="W50" s="45">
        <v>217.05669109328599</v>
      </c>
      <c r="X50" s="45">
        <v>207.42588638783701</v>
      </c>
      <c r="Y50" s="45">
        <v>150.61963619281798</v>
      </c>
      <c r="Z50" s="45">
        <v>209.43742519828055</v>
      </c>
      <c r="AA50" s="45">
        <v>212.18425660868016</v>
      </c>
    </row>
    <row r="51" spans="1:27" x14ac:dyDescent="0.25">
      <c r="A51" s="77" t="s">
        <v>9</v>
      </c>
      <c r="B51" s="44"/>
      <c r="C51" s="44"/>
      <c r="D51" s="45">
        <v>139.09568011586396</v>
      </c>
      <c r="E51" s="45">
        <v>136.77737877757579</v>
      </c>
      <c r="F51" s="45">
        <v>171.85665823678994</v>
      </c>
      <c r="G51" s="45">
        <v>180.93640986019193</v>
      </c>
      <c r="H51" s="45">
        <v>215.81913489038334</v>
      </c>
      <c r="I51" s="45">
        <v>221.57706754843093</v>
      </c>
      <c r="J51" s="45">
        <v>195.16765686434417</v>
      </c>
      <c r="K51" s="45">
        <v>206.06646803245042</v>
      </c>
      <c r="L51" s="45">
        <v>237.00492792291959</v>
      </c>
      <c r="M51" s="45">
        <v>288.06611041574467</v>
      </c>
      <c r="N51" s="45">
        <v>283.56537148193826</v>
      </c>
      <c r="O51" s="45">
        <v>147.79515333467037</v>
      </c>
      <c r="P51" s="45">
        <v>139.21637157168044</v>
      </c>
      <c r="Q51" s="45">
        <v>191.68708346960977</v>
      </c>
      <c r="R51" s="45">
        <v>280.11386734275902</v>
      </c>
      <c r="S51" s="45">
        <v>324.80623789064913</v>
      </c>
      <c r="T51" s="45">
        <v>335.45526272868523</v>
      </c>
      <c r="U51" s="45">
        <v>331.52239042939942</v>
      </c>
      <c r="V51" s="45">
        <v>342.4136316282719</v>
      </c>
      <c r="W51" s="45">
        <v>364.72482224496935</v>
      </c>
      <c r="X51" s="45">
        <v>335.51689770138063</v>
      </c>
      <c r="Y51" s="45">
        <v>303.62276249166734</v>
      </c>
      <c r="Z51" s="45">
        <v>317.3789603438882</v>
      </c>
      <c r="AA51" s="45">
        <v>349.79785460379378</v>
      </c>
    </row>
    <row r="52" spans="1:27" x14ac:dyDescent="0.25">
      <c r="A52" s="72" t="s">
        <v>3</v>
      </c>
      <c r="B52" s="65"/>
      <c r="C52" s="65"/>
      <c r="D52" s="66">
        <v>10136.386498955089</v>
      </c>
      <c r="E52" s="66">
        <v>10071.339192543437</v>
      </c>
      <c r="F52" s="66">
        <v>8744.2804054901771</v>
      </c>
      <c r="G52" s="66">
        <v>7563.5159889163488</v>
      </c>
      <c r="H52" s="66">
        <v>7463.0467723613383</v>
      </c>
      <c r="I52" s="66">
        <v>6509.3687610890192</v>
      </c>
      <c r="J52" s="66">
        <v>6962.7308485098329</v>
      </c>
      <c r="K52" s="66">
        <v>6579.5678247217011</v>
      </c>
      <c r="L52" s="66">
        <v>5519.6524822695028</v>
      </c>
      <c r="M52" s="66">
        <v>3737.6106262285871</v>
      </c>
      <c r="N52" s="66">
        <v>4986.6818894463349</v>
      </c>
      <c r="O52" s="66">
        <v>4817.8499813763938</v>
      </c>
      <c r="P52" s="66">
        <v>4362.0565055762072</v>
      </c>
      <c r="Q52" s="66">
        <v>4093.8203030208751</v>
      </c>
      <c r="R52" s="66">
        <v>4143.5772579888653</v>
      </c>
      <c r="S52" s="66">
        <v>4357.1202599999997</v>
      </c>
      <c r="T52" s="66">
        <v>4274.2040428489981</v>
      </c>
      <c r="U52" s="66">
        <v>4419.3685630940799</v>
      </c>
      <c r="V52" s="66">
        <v>4695.3825295935621</v>
      </c>
      <c r="W52" s="66">
        <v>4302.1431486182291</v>
      </c>
      <c r="X52" s="66">
        <v>3336.9951337970506</v>
      </c>
      <c r="Y52" s="66">
        <v>3983.9105248169622</v>
      </c>
      <c r="Z52" s="66">
        <v>3848.2562900561325</v>
      </c>
      <c r="AA52" s="66">
        <v>2782</v>
      </c>
    </row>
    <row r="53" spans="1:27" x14ac:dyDescent="0.25">
      <c r="A53" s="73" t="s">
        <v>21</v>
      </c>
      <c r="B53" s="65"/>
      <c r="C53" s="65"/>
      <c r="D53" s="66">
        <v>8836.4866001603514</v>
      </c>
      <c r="E53" s="66">
        <v>8699.0775290005568</v>
      </c>
      <c r="F53" s="66">
        <v>7474.9251499259781</v>
      </c>
      <c r="G53" s="66">
        <v>6465.0800569160492</v>
      </c>
      <c r="H53" s="66">
        <v>6404.5005185953478</v>
      </c>
      <c r="I53" s="66">
        <v>5390.0444906699304</v>
      </c>
      <c r="J53" s="66">
        <v>5856.475446807478</v>
      </c>
      <c r="K53" s="66">
        <v>5498.2854646976193</v>
      </c>
      <c r="L53" s="66">
        <v>4478.7254632807135</v>
      </c>
      <c r="M53" s="66">
        <v>2853.9797584948046</v>
      </c>
      <c r="N53" s="66">
        <v>4116.4596398494887</v>
      </c>
      <c r="O53" s="66">
        <v>4028.2105343879402</v>
      </c>
      <c r="P53" s="66">
        <v>3583.7537121614441</v>
      </c>
      <c r="Q53" s="66">
        <v>3423.3128830538531</v>
      </c>
      <c r="R53" s="66">
        <v>3520.9419010135202</v>
      </c>
      <c r="S53" s="66">
        <v>3748.8715399999996</v>
      </c>
      <c r="T53" s="66">
        <v>3732.8926874643676</v>
      </c>
      <c r="U53" s="66">
        <v>3908.5275732740652</v>
      </c>
      <c r="V53" s="66">
        <v>4227.5897719983668</v>
      </c>
      <c r="W53" s="66">
        <v>3855.9864744480101</v>
      </c>
      <c r="X53" s="66">
        <v>2944.8052295210041</v>
      </c>
      <c r="Y53" s="66">
        <v>3603.3381776091574</v>
      </c>
      <c r="Z53" s="66">
        <v>3497.190928826577</v>
      </c>
      <c r="AA53" s="66">
        <v>2420</v>
      </c>
    </row>
    <row r="54" spans="1:27" x14ac:dyDescent="0.25">
      <c r="A54" s="74" t="s">
        <v>8</v>
      </c>
      <c r="B54" s="44"/>
      <c r="C54" s="44"/>
      <c r="D54" s="45">
        <v>956.91437331492614</v>
      </c>
      <c r="E54" s="45">
        <v>946.62707919546529</v>
      </c>
      <c r="F54" s="45">
        <v>835.10495151415228</v>
      </c>
      <c r="G54" s="45">
        <v>720.61329159764591</v>
      </c>
      <c r="H54" s="45">
        <v>701.13967639394309</v>
      </c>
      <c r="I54" s="45">
        <v>589.9932208648047</v>
      </c>
      <c r="J54" s="45">
        <v>659.40407393284056</v>
      </c>
      <c r="K54" s="45">
        <v>600.72479705760247</v>
      </c>
      <c r="L54" s="45">
        <v>483.15608646243703</v>
      </c>
      <c r="M54" s="45">
        <v>352.73907127463877</v>
      </c>
      <c r="N54" s="45">
        <v>482.9366057923981</v>
      </c>
      <c r="O54" s="45">
        <v>472.5833587829427</v>
      </c>
      <c r="P54" s="45">
        <v>405.76498221842019</v>
      </c>
      <c r="Q54" s="45">
        <v>474.68065344640257</v>
      </c>
      <c r="R54" s="45">
        <v>491.27568407703671</v>
      </c>
      <c r="S54" s="45">
        <v>500.28394072074309</v>
      </c>
      <c r="T54" s="45">
        <v>500.56988460000349</v>
      </c>
      <c r="U54" s="45">
        <v>497.57160311960547</v>
      </c>
      <c r="V54" s="45">
        <v>492.83651787106953</v>
      </c>
      <c r="W54" s="45">
        <v>498.43620392517755</v>
      </c>
      <c r="X54" s="45">
        <v>519.2025003738139</v>
      </c>
      <c r="Y54" s="45">
        <v>502.99498868719388</v>
      </c>
      <c r="Z54" s="45">
        <v>505.13519510976988</v>
      </c>
      <c r="AA54" s="45">
        <v>539.84350683124796</v>
      </c>
    </row>
    <row r="55" spans="1:27" x14ac:dyDescent="0.25">
      <c r="A55" s="74" t="s">
        <v>17</v>
      </c>
      <c r="B55" s="44"/>
      <c r="C55" s="44"/>
      <c r="D55" s="45">
        <v>7879.5722268454256</v>
      </c>
      <c r="E55" s="45">
        <v>7752.4504498050919</v>
      </c>
      <c r="F55" s="45">
        <v>6639.8201984118259</v>
      </c>
      <c r="G55" s="45">
        <v>5744.4667653184033</v>
      </c>
      <c r="H55" s="45">
        <v>5703.3608422014049</v>
      </c>
      <c r="I55" s="45">
        <v>4800.0512698051261</v>
      </c>
      <c r="J55" s="45">
        <v>5197.0713728746377</v>
      </c>
      <c r="K55" s="45">
        <v>4897.5606676400166</v>
      </c>
      <c r="L55" s="45">
        <v>3995.5693768182764</v>
      </c>
      <c r="M55" s="45">
        <v>2501.2406872201659</v>
      </c>
      <c r="N55" s="45">
        <v>3633.5230340570906</v>
      </c>
      <c r="O55" s="45">
        <v>3555.6271756049973</v>
      </c>
      <c r="P55" s="45">
        <v>3177.9887299430238</v>
      </c>
      <c r="Q55" s="45">
        <v>2948.6322296074504</v>
      </c>
      <c r="R55" s="45">
        <v>3029.6662169364836</v>
      </c>
      <c r="S55" s="45">
        <v>3248.5875992792567</v>
      </c>
      <c r="T55" s="45">
        <v>3232.3228028643639</v>
      </c>
      <c r="U55" s="45">
        <v>3410.9559701544595</v>
      </c>
      <c r="V55" s="45">
        <v>3734.7532541272972</v>
      </c>
      <c r="W55" s="45">
        <v>3357.5502705228328</v>
      </c>
      <c r="X55" s="45">
        <v>2425.6027291471901</v>
      </c>
      <c r="Y55" s="45">
        <v>3100.3431889219637</v>
      </c>
      <c r="Z55" s="45">
        <v>2992.055733716807</v>
      </c>
      <c r="AA55" s="45">
        <v>1880.1564931687521</v>
      </c>
    </row>
    <row r="56" spans="1:27" x14ac:dyDescent="0.25">
      <c r="A56" s="73" t="s">
        <v>16</v>
      </c>
      <c r="B56" s="65"/>
      <c r="C56" s="65"/>
      <c r="D56" s="66">
        <v>1299.8998987947373</v>
      </c>
      <c r="E56" s="66">
        <v>1372.2616635428801</v>
      </c>
      <c r="F56" s="66">
        <v>1269.3552555641984</v>
      </c>
      <c r="G56" s="66">
        <v>1098.4359320002995</v>
      </c>
      <c r="H56" s="66">
        <v>1058.5462537659901</v>
      </c>
      <c r="I56" s="66">
        <v>1119.3242704190884</v>
      </c>
      <c r="J56" s="66">
        <v>1106.2554017023544</v>
      </c>
      <c r="K56" s="66">
        <v>1081.282360024082</v>
      </c>
      <c r="L56" s="66">
        <v>1040.9270189887898</v>
      </c>
      <c r="M56" s="66">
        <v>883.63086773378257</v>
      </c>
      <c r="N56" s="66">
        <v>870.22224959684638</v>
      </c>
      <c r="O56" s="66">
        <v>789.6394469884533</v>
      </c>
      <c r="P56" s="66">
        <v>778.30279341476353</v>
      </c>
      <c r="Q56" s="66">
        <v>670.50741996702232</v>
      </c>
      <c r="R56" s="66">
        <v>622.63535697534508</v>
      </c>
      <c r="S56" s="66">
        <v>608.24871999999993</v>
      </c>
      <c r="T56" s="66">
        <v>541.3113553846307</v>
      </c>
      <c r="U56" s="66">
        <v>510.84098982001461</v>
      </c>
      <c r="V56" s="66">
        <v>467.79275759519504</v>
      </c>
      <c r="W56" s="66">
        <v>446.15667417021893</v>
      </c>
      <c r="X56" s="66">
        <v>392.18990427604643</v>
      </c>
      <c r="Y56" s="66">
        <v>380.57234720780474</v>
      </c>
      <c r="Z56" s="66">
        <v>351.06536122955566</v>
      </c>
      <c r="AA56" s="66">
        <v>362</v>
      </c>
    </row>
    <row r="57" spans="1:27" x14ac:dyDescent="0.25">
      <c r="A57" s="72" t="s">
        <v>2</v>
      </c>
      <c r="B57" s="65"/>
      <c r="C57" s="65"/>
      <c r="D57" s="66">
        <v>2988.5107842750681</v>
      </c>
      <c r="E57" s="66">
        <v>3476.9016513854413</v>
      </c>
      <c r="F57" s="66">
        <v>3680.3791433518177</v>
      </c>
      <c r="G57" s="66">
        <v>3661.4531066676655</v>
      </c>
      <c r="H57" s="66">
        <v>3514.1961525164224</v>
      </c>
      <c r="I57" s="66">
        <v>3536.7130743346593</v>
      </c>
      <c r="J57" s="66">
        <v>3397.1622571962066</v>
      </c>
      <c r="K57" s="66">
        <v>3532.1890427453341</v>
      </c>
      <c r="L57" s="66">
        <v>3491.2144360558223</v>
      </c>
      <c r="M57" s="66">
        <v>3786.0287559674248</v>
      </c>
      <c r="N57" s="66">
        <v>3517.0923893567456</v>
      </c>
      <c r="O57" s="66">
        <v>3403.8444600249773</v>
      </c>
      <c r="P57" s="66">
        <v>3434.9605310674451</v>
      </c>
      <c r="Q57" s="66">
        <v>3356.2621410571505</v>
      </c>
      <c r="R57" s="66">
        <v>3246.2498317596915</v>
      </c>
      <c r="S57" s="66">
        <v>3149.0041999999994</v>
      </c>
      <c r="T57" s="66">
        <v>3104.1571530021301</v>
      </c>
      <c r="U57" s="66">
        <v>3240.8702796023254</v>
      </c>
      <c r="V57" s="66">
        <v>3201.2384978715959</v>
      </c>
      <c r="W57" s="66">
        <v>3289.4019062215625</v>
      </c>
      <c r="X57" s="66">
        <v>3334.7411688299467</v>
      </c>
      <c r="Y57" s="66">
        <v>3217.2662300081761</v>
      </c>
      <c r="Z57" s="66">
        <v>2892.4057637585515</v>
      </c>
      <c r="AA57" s="66">
        <v>3200</v>
      </c>
    </row>
    <row r="58" spans="1:27" x14ac:dyDescent="0.25">
      <c r="A58" s="72" t="s">
        <v>269</v>
      </c>
      <c r="B58" s="65"/>
      <c r="C58" s="65"/>
      <c r="D58" s="66">
        <v>1268.4253249740416</v>
      </c>
      <c r="E58" s="66">
        <v>1466.2729598297958</v>
      </c>
      <c r="F58" s="66">
        <v>1634.3887787619501</v>
      </c>
      <c r="G58" s="66">
        <v>1576.6665418507703</v>
      </c>
      <c r="H58" s="66">
        <v>1298.049735763323</v>
      </c>
      <c r="I58" s="66">
        <v>1447.503114102172</v>
      </c>
      <c r="J58" s="66">
        <v>1527.2712369959015</v>
      </c>
      <c r="K58" s="66">
        <v>1468.5651922418576</v>
      </c>
      <c r="L58" s="66">
        <v>1495.6477693891557</v>
      </c>
      <c r="M58" s="66">
        <v>1047.7145296265094</v>
      </c>
      <c r="N58" s="66">
        <v>1044.5348727826554</v>
      </c>
      <c r="O58" s="66">
        <v>1179.2123967485375</v>
      </c>
      <c r="P58" s="66">
        <v>1121.6716728624533</v>
      </c>
      <c r="Q58" s="66">
        <v>1142.3459747586307</v>
      </c>
      <c r="R58" s="66">
        <v>1075.5720578338805</v>
      </c>
      <c r="S58" s="66">
        <v>1058.4485599999998</v>
      </c>
      <c r="T58" s="66">
        <v>1274.2373498434672</v>
      </c>
      <c r="U58" s="66">
        <v>1277.1024745500365</v>
      </c>
      <c r="V58" s="66">
        <v>1378.9413376873285</v>
      </c>
      <c r="W58" s="66">
        <v>1268.5071507256096</v>
      </c>
      <c r="X58" s="66">
        <v>1246.4426268083546</v>
      </c>
      <c r="Y58" s="66">
        <v>1299.0056128682584</v>
      </c>
      <c r="Z58" s="66">
        <v>1128.7942293221702</v>
      </c>
      <c r="AA58" s="66">
        <v>1287</v>
      </c>
    </row>
    <row r="59" spans="1:27" x14ac:dyDescent="0.25">
      <c r="A59" s="72" t="s">
        <v>270</v>
      </c>
      <c r="B59" s="65"/>
      <c r="C59" s="65"/>
      <c r="D59" s="66">
        <v>22498.02536703337</v>
      </c>
      <c r="E59" s="66">
        <v>21360.276303125473</v>
      </c>
      <c r="F59" s="66">
        <v>21944.072867789124</v>
      </c>
      <c r="G59" s="66">
        <v>22185.416885094488</v>
      </c>
      <c r="H59" s="66">
        <v>22279.73749197412</v>
      </c>
      <c r="I59" s="66">
        <v>23579.063884980118</v>
      </c>
      <c r="J59" s="66">
        <v>25548.402308606346</v>
      </c>
      <c r="K59" s="66">
        <v>28507.691397811381</v>
      </c>
      <c r="L59" s="66">
        <v>28072.158133150308</v>
      </c>
      <c r="M59" s="66">
        <v>19820.499387812408</v>
      </c>
      <c r="N59" s="66">
        <v>19909.183300483783</v>
      </c>
      <c r="O59" s="66">
        <v>18753.281019258997</v>
      </c>
      <c r="P59" s="66">
        <v>14904.752841210833</v>
      </c>
      <c r="Q59" s="66">
        <v>15468.854514720675</v>
      </c>
      <c r="R59" s="66">
        <v>15642.7977037747</v>
      </c>
      <c r="S59" s="66">
        <v>15519.92108</v>
      </c>
      <c r="T59" s="66">
        <v>15810.602906610387</v>
      </c>
      <c r="U59" s="66">
        <v>16914.776774552018</v>
      </c>
      <c r="V59" s="66">
        <v>15820.006317180785</v>
      </c>
      <c r="W59" s="66">
        <v>16575.465951434457</v>
      </c>
      <c r="X59" s="66">
        <v>17037.721186336981</v>
      </c>
      <c r="Y59" s="66">
        <v>17616.319979422547</v>
      </c>
      <c r="Z59" s="66">
        <v>17228.092476150112</v>
      </c>
      <c r="AA59" s="66">
        <v>16997</v>
      </c>
    </row>
    <row r="60" spans="1:27" x14ac:dyDescent="0.25">
      <c r="A60" s="72" t="s">
        <v>1</v>
      </c>
      <c r="B60" s="65"/>
      <c r="C60" s="65"/>
      <c r="D60" s="66">
        <v>908.04145472707444</v>
      </c>
      <c r="E60" s="66">
        <v>880.97682488222472</v>
      </c>
      <c r="F60" s="66">
        <v>887.7975811105814</v>
      </c>
      <c r="G60" s="66">
        <v>824.94780199206173</v>
      </c>
      <c r="H60" s="66">
        <v>807.2154393243444</v>
      </c>
      <c r="I60" s="66">
        <v>805.79626797185688</v>
      </c>
      <c r="J60" s="66">
        <v>827.51388316317855</v>
      </c>
      <c r="K60" s="66">
        <v>750.53716754612742</v>
      </c>
      <c r="L60" s="66">
        <v>753.30244795241356</v>
      </c>
      <c r="M60" s="66">
        <v>633.4705307497893</v>
      </c>
      <c r="N60" s="66">
        <v>622.16197814011821</v>
      </c>
      <c r="O60" s="66">
        <v>604.69067285992855</v>
      </c>
      <c r="P60" s="66">
        <v>584.99883165161964</v>
      </c>
      <c r="Q60" s="66">
        <v>514.05568864138377</v>
      </c>
      <c r="R60" s="66">
        <v>472.47035911658543</v>
      </c>
      <c r="S60" s="66">
        <v>468.15993999999995</v>
      </c>
      <c r="T60" s="66">
        <v>497.00047009872071</v>
      </c>
      <c r="U60" s="66">
        <v>497.77296449903747</v>
      </c>
      <c r="V60" s="66">
        <v>482.92038408459189</v>
      </c>
      <c r="W60" s="66">
        <v>461.06679438670437</v>
      </c>
      <c r="X60" s="66">
        <v>477.84057302598762</v>
      </c>
      <c r="Y60" s="66">
        <v>496.06395546450852</v>
      </c>
      <c r="Z60" s="66">
        <v>463.9447841617727</v>
      </c>
      <c r="AA60" s="66">
        <v>421</v>
      </c>
    </row>
    <row r="61" spans="1:27" x14ac:dyDescent="0.25">
      <c r="A61" s="72" t="s">
        <v>0</v>
      </c>
      <c r="B61" s="65"/>
      <c r="C61" s="65"/>
      <c r="D61" s="66">
        <v>2220.53118305009</v>
      </c>
      <c r="E61" s="66">
        <v>2230.493819968593</v>
      </c>
      <c r="F61" s="66">
        <v>2193.2055303239404</v>
      </c>
      <c r="G61" s="66">
        <v>2161.0045682618138</v>
      </c>
      <c r="H61" s="66">
        <v>2054.9990121993383</v>
      </c>
      <c r="I61" s="66">
        <v>2014.4906699296423</v>
      </c>
      <c r="J61" s="66">
        <v>2237.1910420253653</v>
      </c>
      <c r="K61" s="66">
        <v>2522.9921733895244</v>
      </c>
      <c r="L61" s="66">
        <v>1783.2723404255319</v>
      </c>
      <c r="M61" s="66">
        <v>1187.5891266498174</v>
      </c>
      <c r="N61" s="66">
        <v>1668.037717254972</v>
      </c>
      <c r="O61" s="66">
        <v>1520.2526894678031</v>
      </c>
      <c r="P61" s="66">
        <v>1384.9211471056822</v>
      </c>
      <c r="Q61" s="66">
        <v>1458.9744786319468</v>
      </c>
      <c r="R61" s="66">
        <v>1479.6746130472907</v>
      </c>
      <c r="S61" s="66">
        <v>1445.1893799999998</v>
      </c>
      <c r="T61" s="66">
        <v>1475.432720871383</v>
      </c>
      <c r="U61" s="66">
        <v>1591.9230845553943</v>
      </c>
      <c r="V61" s="66">
        <v>1615.165043637141</v>
      </c>
      <c r="W61" s="66">
        <v>1430.2246084582596</v>
      </c>
      <c r="X61" s="66">
        <v>1351.2519977786772</v>
      </c>
      <c r="Y61" s="66">
        <v>2455.0216155139315</v>
      </c>
      <c r="Z61" s="66">
        <v>2763.9924752852039</v>
      </c>
      <c r="AA61" s="66">
        <v>1475</v>
      </c>
    </row>
    <row r="62" spans="1:27" x14ac:dyDescent="0.25">
      <c r="A62" s="78" t="s">
        <v>271</v>
      </c>
      <c r="B62" s="79"/>
      <c r="C62" s="79"/>
      <c r="D62" s="80">
        <v>3115.9828082488862</v>
      </c>
      <c r="E62" s="80">
        <v>3126.6337571551594</v>
      </c>
      <c r="F62" s="80">
        <v>3022.4174842546354</v>
      </c>
      <c r="G62" s="80">
        <v>2896.2841309069127</v>
      </c>
      <c r="H62" s="80">
        <v>3107.631599743172</v>
      </c>
      <c r="I62" s="80">
        <v>2843.7282838788624</v>
      </c>
      <c r="J62" s="80">
        <v>2963.080413221136</v>
      </c>
      <c r="K62" s="80">
        <v>3007.8024341584919</v>
      </c>
      <c r="L62" s="80">
        <v>2706.4102493708533</v>
      </c>
      <c r="M62" s="80">
        <v>2180.1607862959845</v>
      </c>
      <c r="N62" s="80">
        <v>2173.5443244938178</v>
      </c>
      <c r="O62" s="80">
        <v>2284.9699612190793</v>
      </c>
      <c r="P62" s="80">
        <v>2225.5390334572485</v>
      </c>
      <c r="Q62" s="80">
        <v>1965.5800848292524</v>
      </c>
      <c r="R62" s="80">
        <v>1952.144972163876</v>
      </c>
      <c r="S62" s="80">
        <v>1938.4934599999997</v>
      </c>
      <c r="T62" s="80">
        <v>2005.9657528080897</v>
      </c>
      <c r="U62" s="80">
        <v>2004.1598833171272</v>
      </c>
      <c r="V62" s="80">
        <v>2042.2295760685752</v>
      </c>
      <c r="W62" s="80">
        <v>2022.0416878202982</v>
      </c>
      <c r="X62" s="80">
        <v>1923.7590994230209</v>
      </c>
      <c r="Y62" s="80">
        <v>1999.6547029589278</v>
      </c>
      <c r="Z62" s="80">
        <v>1933.4484643527448</v>
      </c>
      <c r="AA62" s="80">
        <v>1853</v>
      </c>
    </row>
    <row r="63" spans="1:27" x14ac:dyDescent="0.25">
      <c r="A63" s="38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</row>
    <row r="64" spans="1:27" x14ac:dyDescent="0.25">
      <c r="A64" s="58" t="s">
        <v>241</v>
      </c>
      <c r="B64" s="50"/>
      <c r="C64" s="50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spans="1:27" x14ac:dyDescent="0.25">
      <c r="A65" s="81" t="s">
        <v>142</v>
      </c>
      <c r="B65" s="41"/>
      <c r="C65" s="41"/>
      <c r="D65" s="82">
        <f t="shared" ref="D65:D76" si="51">D23/D$23</f>
        <v>1</v>
      </c>
      <c r="E65" s="82">
        <f t="shared" ref="E65:S65" si="52">E23/E$23</f>
        <v>1</v>
      </c>
      <c r="F65" s="82">
        <f t="shared" si="52"/>
        <v>1</v>
      </c>
      <c r="G65" s="82">
        <f t="shared" si="52"/>
        <v>1</v>
      </c>
      <c r="H65" s="82">
        <f t="shared" si="52"/>
        <v>1</v>
      </c>
      <c r="I65" s="82">
        <f t="shared" si="52"/>
        <v>1</v>
      </c>
      <c r="J65" s="82">
        <f t="shared" si="52"/>
        <v>1</v>
      </c>
      <c r="K65" s="82">
        <f t="shared" si="52"/>
        <v>1</v>
      </c>
      <c r="L65" s="82">
        <f t="shared" si="52"/>
        <v>1</v>
      </c>
      <c r="M65" s="82">
        <f t="shared" si="52"/>
        <v>1</v>
      </c>
      <c r="N65" s="82">
        <f t="shared" si="52"/>
        <v>1</v>
      </c>
      <c r="O65" s="82">
        <f t="shared" si="52"/>
        <v>1</v>
      </c>
      <c r="P65" s="82">
        <f t="shared" si="52"/>
        <v>1</v>
      </c>
      <c r="Q65" s="82">
        <f t="shared" si="52"/>
        <v>1</v>
      </c>
      <c r="R65" s="82">
        <f t="shared" si="52"/>
        <v>1</v>
      </c>
      <c r="S65" s="82">
        <f t="shared" si="52"/>
        <v>1</v>
      </c>
      <c r="T65" s="82">
        <f t="shared" ref="T65:Y65" si="53">T23/T$23</f>
        <v>1</v>
      </c>
      <c r="U65" s="82">
        <f t="shared" si="53"/>
        <v>1</v>
      </c>
      <c r="V65" s="82">
        <f t="shared" si="53"/>
        <v>1</v>
      </c>
      <c r="W65" s="82">
        <f t="shared" si="53"/>
        <v>1</v>
      </c>
      <c r="X65" s="82">
        <f t="shared" si="53"/>
        <v>1</v>
      </c>
      <c r="Y65" s="82">
        <f t="shared" si="53"/>
        <v>1</v>
      </c>
      <c r="Z65" s="82">
        <f t="shared" ref="Z65:AA65" si="54">Z23/Z$23</f>
        <v>1</v>
      </c>
      <c r="AA65" s="82">
        <f t="shared" si="54"/>
        <v>1</v>
      </c>
    </row>
    <row r="66" spans="1:27" x14ac:dyDescent="0.25">
      <c r="A66" s="64" t="s">
        <v>33</v>
      </c>
      <c r="B66" s="65"/>
      <c r="C66" s="65"/>
      <c r="D66" s="83">
        <f t="shared" si="51"/>
        <v>3.3773308191912842E-2</v>
      </c>
      <c r="E66" s="83">
        <f t="shared" ref="E66:S66" si="55">E24/E$23</f>
        <v>3.1409334810310552E-2</v>
      </c>
      <c r="F66" s="83">
        <f t="shared" si="55"/>
        <v>3.0482745905417448E-2</v>
      </c>
      <c r="G66" s="83">
        <f t="shared" si="55"/>
        <v>2.9066078496540471E-2</v>
      </c>
      <c r="H66" s="83">
        <f t="shared" si="55"/>
        <v>2.7176727858663752E-2</v>
      </c>
      <c r="I66" s="83">
        <f t="shared" si="55"/>
        <v>2.6073662265462129E-2</v>
      </c>
      <c r="J66" s="83">
        <f t="shared" si="55"/>
        <v>2.2956170963761097E-2</v>
      </c>
      <c r="K66" s="83">
        <f t="shared" si="55"/>
        <v>2.7131098099665508E-2</v>
      </c>
      <c r="L66" s="83">
        <f t="shared" si="55"/>
        <v>2.5063184498736308E-2</v>
      </c>
      <c r="M66" s="83">
        <f t="shared" si="55"/>
        <v>2.5752260238661083E-2</v>
      </c>
      <c r="N66" s="83">
        <f t="shared" si="55"/>
        <v>2.7042619605747394E-2</v>
      </c>
      <c r="O66" s="83">
        <f t="shared" si="55"/>
        <v>2.6074667569887702E-2</v>
      </c>
      <c r="P66" s="83">
        <f t="shared" si="55"/>
        <v>2.5346234769138287E-2</v>
      </c>
      <c r="Q66" s="83">
        <f t="shared" si="55"/>
        <v>2.5696506051609957E-2</v>
      </c>
      <c r="R66" s="83">
        <f t="shared" si="55"/>
        <v>2.5737449821839339E-2</v>
      </c>
      <c r="S66" s="83">
        <f t="shared" si="55"/>
        <v>2.3874623772091333E-2</v>
      </c>
      <c r="T66" s="83">
        <f t="shared" ref="T66:Y66" si="56">T24/T$23</f>
        <v>2.428970920239449E-2</v>
      </c>
      <c r="U66" s="83">
        <f t="shared" si="56"/>
        <v>2.3939664010138424E-2</v>
      </c>
      <c r="V66" s="83">
        <f t="shared" si="56"/>
        <v>2.4545559221230431E-2</v>
      </c>
      <c r="W66" s="83">
        <f t="shared" si="56"/>
        <v>2.5360524399126002E-2</v>
      </c>
      <c r="X66" s="83">
        <f t="shared" si="56"/>
        <v>2.5896424083283215E-2</v>
      </c>
      <c r="Y66" s="83">
        <f t="shared" si="56"/>
        <v>2.4945775102528017E-2</v>
      </c>
      <c r="Z66" s="83">
        <f t="shared" ref="Z66:AA66" si="57">Z24/Z$23</f>
        <v>2.5806981945928641E-2</v>
      </c>
      <c r="AA66" s="83">
        <f t="shared" si="57"/>
        <v>2.6694397482465979E-2</v>
      </c>
    </row>
    <row r="67" spans="1:27" x14ac:dyDescent="0.25">
      <c r="A67" s="64" t="s">
        <v>56</v>
      </c>
      <c r="B67" s="65"/>
      <c r="C67" s="65"/>
      <c r="D67" s="83">
        <f t="shared" si="51"/>
        <v>2.3716739995809761E-3</v>
      </c>
      <c r="E67" s="83">
        <f t="shared" ref="E67:S67" si="58">E25/E$23</f>
        <v>2.5925664050531474E-3</v>
      </c>
      <c r="F67" s="83">
        <f t="shared" si="58"/>
        <v>2.6887502688750274E-3</v>
      </c>
      <c r="G67" s="83">
        <f t="shared" si="58"/>
        <v>2.8325830135661843E-3</v>
      </c>
      <c r="H67" s="83">
        <f t="shared" si="58"/>
        <v>2.7910456350348162E-3</v>
      </c>
      <c r="I67" s="83">
        <f t="shared" si="58"/>
        <v>2.6754690757470469E-3</v>
      </c>
      <c r="J67" s="83">
        <f t="shared" si="58"/>
        <v>3.4699645705338305E-3</v>
      </c>
      <c r="K67" s="83">
        <f t="shared" si="58"/>
        <v>3.4363214300946205E-3</v>
      </c>
      <c r="L67" s="83">
        <f t="shared" si="58"/>
        <v>3.9139286717214264E-3</v>
      </c>
      <c r="M67" s="83">
        <f t="shared" si="58"/>
        <v>3.9169087228236952E-3</v>
      </c>
      <c r="N67" s="83">
        <f t="shared" si="58"/>
        <v>4.7004238883558234E-3</v>
      </c>
      <c r="O67" s="83">
        <f t="shared" si="58"/>
        <v>4.5083187825203366E-3</v>
      </c>
      <c r="P67" s="83">
        <f t="shared" si="58"/>
        <v>4.4565443573558981E-3</v>
      </c>
      <c r="Q67" s="83">
        <f t="shared" si="58"/>
        <v>3.1742406942224253E-3</v>
      </c>
      <c r="R67" s="83">
        <f t="shared" si="58"/>
        <v>2.8415497722249785E-3</v>
      </c>
      <c r="S67" s="83">
        <f t="shared" si="58"/>
        <v>3.3185230918492221E-3</v>
      </c>
      <c r="T67" s="83">
        <f t="shared" ref="T67:Y67" si="59">T25/T$23</f>
        <v>3.4268533834789028E-3</v>
      </c>
      <c r="U67" s="83">
        <f t="shared" si="59"/>
        <v>4.6467779077135488E-3</v>
      </c>
      <c r="V67" s="83">
        <f t="shared" si="59"/>
        <v>4.7509148890368513E-3</v>
      </c>
      <c r="W67" s="83">
        <f t="shared" si="59"/>
        <v>3.976693372177713E-3</v>
      </c>
      <c r="X67" s="83">
        <f t="shared" si="59"/>
        <v>4.7137750786036669E-3</v>
      </c>
      <c r="Y67" s="83">
        <f t="shared" si="59"/>
        <v>4.872112843521112E-3</v>
      </c>
      <c r="Z67" s="83">
        <f t="shared" ref="Z67:AA67" si="60">Z25/Z$23</f>
        <v>4.7590410964830684E-3</v>
      </c>
      <c r="AA67" s="83">
        <f t="shared" si="60"/>
        <v>4.3897825613900005E-3</v>
      </c>
    </row>
    <row r="68" spans="1:27" x14ac:dyDescent="0.25">
      <c r="A68" s="64" t="s">
        <v>146</v>
      </c>
      <c r="B68" s="65"/>
      <c r="C68" s="65"/>
      <c r="D68" s="83">
        <f t="shared" si="51"/>
        <v>0.61942593756547248</v>
      </c>
      <c r="E68" s="83">
        <f t="shared" ref="E68:S68" si="61">E26/E$23</f>
        <v>0.63180057664961853</v>
      </c>
      <c r="F68" s="83">
        <f t="shared" si="61"/>
        <v>0.64025289616814673</v>
      </c>
      <c r="G68" s="83">
        <f t="shared" si="61"/>
        <v>0.64710547783787042</v>
      </c>
      <c r="H68" s="83">
        <f t="shared" si="61"/>
        <v>0.6509466536226044</v>
      </c>
      <c r="I68" s="83">
        <f t="shared" si="61"/>
        <v>0.65388464211257802</v>
      </c>
      <c r="J68" s="83">
        <f t="shared" si="61"/>
        <v>0.644099733283794</v>
      </c>
      <c r="K68" s="83">
        <f t="shared" si="61"/>
        <v>0.63810782981679059</v>
      </c>
      <c r="L68" s="83">
        <f t="shared" si="61"/>
        <v>0.65463235982401946</v>
      </c>
      <c r="M68" s="83">
        <f t="shared" si="61"/>
        <v>0.69765614193921555</v>
      </c>
      <c r="N68" s="83">
        <f t="shared" si="61"/>
        <v>0.69071332272600305</v>
      </c>
      <c r="O68" s="83">
        <f t="shared" si="61"/>
        <v>0.70142315710790193</v>
      </c>
      <c r="P68" s="83">
        <f t="shared" si="61"/>
        <v>0.72075212133823496</v>
      </c>
      <c r="Q68" s="83">
        <f t="shared" si="61"/>
        <v>0.72013587577072413</v>
      </c>
      <c r="R68" s="83">
        <f t="shared" si="61"/>
        <v>0.72330409092959291</v>
      </c>
      <c r="S68" s="83">
        <f t="shared" si="61"/>
        <v>0.72298600928304468</v>
      </c>
      <c r="T68" s="83">
        <f t="shared" ref="T68:Y68" si="62">T26/T$23</f>
        <v>0.71973619694708302</v>
      </c>
      <c r="U68" s="83">
        <f t="shared" si="62"/>
        <v>0.70934970867484393</v>
      </c>
      <c r="V68" s="83">
        <f t="shared" si="62"/>
        <v>0.71196639816571627</v>
      </c>
      <c r="W68" s="83">
        <f t="shared" si="62"/>
        <v>0.71121631463947554</v>
      </c>
      <c r="X68" s="83">
        <f t="shared" si="62"/>
        <v>0.71049890712787334</v>
      </c>
      <c r="Y68" s="83">
        <f t="shared" si="62"/>
        <v>0.71203908837148822</v>
      </c>
      <c r="Z68" s="83">
        <f t="shared" ref="Z68:AA68" si="63">Z26/Z$23</f>
        <v>0.70047893259034599</v>
      </c>
      <c r="AA68" s="83">
        <f t="shared" si="63"/>
        <v>0.72084079610317875</v>
      </c>
    </row>
    <row r="69" spans="1:27" x14ac:dyDescent="0.25">
      <c r="A69" s="68" t="s">
        <v>148</v>
      </c>
      <c r="B69" s="69"/>
      <c r="C69" s="69"/>
      <c r="D69" s="84">
        <f t="shared" si="51"/>
        <v>0.26754661638382565</v>
      </c>
      <c r="E69" s="84">
        <f t="shared" ref="E69:S69" si="64">E27/E$23</f>
        <v>0.26936764948502201</v>
      </c>
      <c r="F69" s="84">
        <f t="shared" si="64"/>
        <v>0.27321543803582954</v>
      </c>
      <c r="G69" s="84">
        <f t="shared" si="64"/>
        <v>0.27794059884581684</v>
      </c>
      <c r="H69" s="84">
        <f t="shared" si="64"/>
        <v>0.27613368245381825</v>
      </c>
      <c r="I69" s="84">
        <f t="shared" si="64"/>
        <v>0.27892286309937453</v>
      </c>
      <c r="J69" s="84">
        <f t="shared" si="64"/>
        <v>0.27356324889531719</v>
      </c>
      <c r="K69" s="84">
        <f t="shared" si="64"/>
        <v>0.26585186042685938</v>
      </c>
      <c r="L69" s="84">
        <f t="shared" si="64"/>
        <v>0.2705525133389497</v>
      </c>
      <c r="M69" s="84">
        <f t="shared" si="64"/>
        <v>0.29334062645390874</v>
      </c>
      <c r="N69" s="84">
        <f t="shared" si="64"/>
        <v>0.29243438232543451</v>
      </c>
      <c r="O69" s="84">
        <f t="shared" si="64"/>
        <v>0.29388165079216766</v>
      </c>
      <c r="P69" s="84">
        <f t="shared" si="64"/>
        <v>0.30305079651337546</v>
      </c>
      <c r="Q69" s="84">
        <f t="shared" si="64"/>
        <v>0.30166704727106652</v>
      </c>
      <c r="R69" s="84">
        <f t="shared" si="64"/>
        <v>0.29908438951783861</v>
      </c>
      <c r="S69" s="84">
        <f t="shared" si="64"/>
        <v>0.29609825474350354</v>
      </c>
      <c r="T69" s="84">
        <f t="shared" ref="T69:Y69" si="65">T27/T$23</f>
        <v>0.29121787998469773</v>
      </c>
      <c r="U69" s="84">
        <f t="shared" si="65"/>
        <v>0.27979578905070757</v>
      </c>
      <c r="V69" s="84">
        <f t="shared" si="65"/>
        <v>0.27931274436673664</v>
      </c>
      <c r="W69" s="84">
        <f t="shared" si="65"/>
        <v>0.28061179898033506</v>
      </c>
      <c r="X69" s="84">
        <f t="shared" si="65"/>
        <v>0.27057264543511955</v>
      </c>
      <c r="Y69" s="84">
        <f t="shared" si="65"/>
        <v>0.27100372955825869</v>
      </c>
      <c r="Z69" s="84">
        <f t="shared" ref="Z69:AA69" si="66">Z27/Z$23</f>
        <v>0.2728358260613743</v>
      </c>
      <c r="AA69" s="84">
        <f t="shared" si="66"/>
        <v>0.28452402872399191</v>
      </c>
    </row>
    <row r="70" spans="1:27" x14ac:dyDescent="0.25">
      <c r="A70" s="68" t="s">
        <v>150</v>
      </c>
      <c r="B70" s="71"/>
      <c r="C70" s="71"/>
      <c r="D70" s="84">
        <f t="shared" si="51"/>
        <v>0.24499476220406449</v>
      </c>
      <c r="E70" s="84">
        <f t="shared" ref="E70:S70" si="67">E28/E$23</f>
        <v>0.25318375010802358</v>
      </c>
      <c r="F70" s="84">
        <f t="shared" si="67"/>
        <v>0.25633008634729437</v>
      </c>
      <c r="G70" s="84">
        <f t="shared" si="67"/>
        <v>0.25832401728253312</v>
      </c>
      <c r="H70" s="84">
        <f t="shared" si="67"/>
        <v>0.26328624043275595</v>
      </c>
      <c r="I70" s="84">
        <f t="shared" si="67"/>
        <v>0.26205698401667826</v>
      </c>
      <c r="J70" s="84">
        <f t="shared" si="67"/>
        <v>0.26302729528535973</v>
      </c>
      <c r="K70" s="84">
        <f t="shared" si="67"/>
        <v>0.26410932863783976</v>
      </c>
      <c r="L70" s="84">
        <f t="shared" si="67"/>
        <v>0.27071047458579051</v>
      </c>
      <c r="M70" s="84">
        <f t="shared" si="67"/>
        <v>0.29155506934751718</v>
      </c>
      <c r="N70" s="84">
        <f t="shared" si="67"/>
        <v>0.28764286495087021</v>
      </c>
      <c r="O70" s="84">
        <f t="shared" si="67"/>
        <v>0.29307575961083626</v>
      </c>
      <c r="P70" s="84">
        <f t="shared" si="67"/>
        <v>0.29965203116690947</v>
      </c>
      <c r="Q70" s="84">
        <f t="shared" si="67"/>
        <v>0.30316282256222887</v>
      </c>
      <c r="R70" s="84">
        <f t="shared" si="67"/>
        <v>0.3127734427856208</v>
      </c>
      <c r="S70" s="84">
        <f t="shared" si="67"/>
        <v>0.31708433017651011</v>
      </c>
      <c r="T70" s="84">
        <f t="shared" ref="T70:Y70" si="68">T28/T$23</f>
        <v>0.32108430813662153</v>
      </c>
      <c r="U70" s="84">
        <f t="shared" si="68"/>
        <v>0.32266257283128902</v>
      </c>
      <c r="V70" s="84">
        <f t="shared" si="68"/>
        <v>0.32722739811064772</v>
      </c>
      <c r="W70" s="84">
        <f t="shared" si="68"/>
        <v>0.32727361009953876</v>
      </c>
      <c r="X70" s="84">
        <f t="shared" si="68"/>
        <v>0.33341646007227133</v>
      </c>
      <c r="Y70" s="84">
        <f t="shared" si="68"/>
        <v>0.33549768470137992</v>
      </c>
      <c r="Z70" s="84">
        <f t="shared" ref="Z70:AA70" si="69">Z28/Z$23</f>
        <v>0.3267168240755563</v>
      </c>
      <c r="AA70" s="84">
        <f t="shared" si="69"/>
        <v>0.33523878073684737</v>
      </c>
    </row>
    <row r="71" spans="1:27" x14ac:dyDescent="0.25">
      <c r="A71" s="68" t="s">
        <v>152</v>
      </c>
      <c r="B71" s="71"/>
      <c r="C71" s="71"/>
      <c r="D71" s="84">
        <f t="shared" si="51"/>
        <v>0.10688455897758223</v>
      </c>
      <c r="E71" s="84">
        <f t="shared" ref="E71:S71" si="70">E29/E$23</f>
        <v>0.10924917705657293</v>
      </c>
      <c r="F71" s="84">
        <f t="shared" si="70"/>
        <v>0.11070737178502291</v>
      </c>
      <c r="G71" s="84">
        <f t="shared" si="70"/>
        <v>0.11084086170952047</v>
      </c>
      <c r="H71" s="84">
        <f t="shared" si="70"/>
        <v>0.11152673073603039</v>
      </c>
      <c r="I71" s="84">
        <f t="shared" si="70"/>
        <v>0.11290479499652538</v>
      </c>
      <c r="J71" s="84">
        <f t="shared" si="70"/>
        <v>0.10750918910311698</v>
      </c>
      <c r="K71" s="84">
        <f t="shared" si="70"/>
        <v>0.10814664075209135</v>
      </c>
      <c r="L71" s="84">
        <f t="shared" si="70"/>
        <v>0.11336937189927924</v>
      </c>
      <c r="M71" s="84">
        <f t="shared" si="70"/>
        <v>0.11276044613778968</v>
      </c>
      <c r="N71" s="84">
        <f t="shared" si="70"/>
        <v>0.11063607544969817</v>
      </c>
      <c r="O71" s="84">
        <f t="shared" si="70"/>
        <v>0.11446574670489784</v>
      </c>
      <c r="P71" s="84">
        <f t="shared" si="70"/>
        <v>0.11804929365795011</v>
      </c>
      <c r="Q71" s="84">
        <f t="shared" si="70"/>
        <v>0.11530600593742862</v>
      </c>
      <c r="R71" s="84">
        <f t="shared" si="70"/>
        <v>0.11144625862613323</v>
      </c>
      <c r="S71" s="84">
        <f t="shared" si="70"/>
        <v>0.109803424363031</v>
      </c>
      <c r="T71" s="84">
        <f t="shared" ref="T71:Y71" si="71">T29/T$23</f>
        <v>0.1074340088257639</v>
      </c>
      <c r="U71" s="84">
        <f t="shared" si="71"/>
        <v>0.10689134679284748</v>
      </c>
      <c r="V71" s="84">
        <f t="shared" si="71"/>
        <v>0.10542625568833199</v>
      </c>
      <c r="W71" s="84">
        <f t="shared" si="71"/>
        <v>0.10333090555960182</v>
      </c>
      <c r="X71" s="84">
        <f t="shared" si="71"/>
        <v>0.10650980162048244</v>
      </c>
      <c r="Y71" s="84">
        <f t="shared" si="71"/>
        <v>0.1055376741118496</v>
      </c>
      <c r="Z71" s="84">
        <f t="shared" ref="Z71:AA71" si="72">Z29/Z$23</f>
        <v>0.10092628245341546</v>
      </c>
      <c r="AA71" s="84">
        <f t="shared" si="72"/>
        <v>0.10107798664233943</v>
      </c>
    </row>
    <row r="72" spans="1:27" x14ac:dyDescent="0.25">
      <c r="A72" s="64" t="s">
        <v>154</v>
      </c>
      <c r="B72" s="65"/>
      <c r="C72" s="65"/>
      <c r="D72" s="83">
        <f t="shared" si="51"/>
        <v>1.8160486067462813E-2</v>
      </c>
      <c r="E72" s="83">
        <f t="shared" ref="E72:S72" si="73">E30/E$23</f>
        <v>1.9884198700574292E-2</v>
      </c>
      <c r="F72" s="83">
        <f t="shared" si="73"/>
        <v>2.3515041637218452E-2</v>
      </c>
      <c r="G72" s="83">
        <f t="shared" si="73"/>
        <v>2.458682055775448E-2</v>
      </c>
      <c r="H72" s="83">
        <f t="shared" si="73"/>
        <v>2.7414110605973412E-2</v>
      </c>
      <c r="I72" s="83">
        <f t="shared" si="73"/>
        <v>2.3342599027102159E-2</v>
      </c>
      <c r="J72" s="83">
        <f t="shared" si="73"/>
        <v>2.5576889903265614E-2</v>
      </c>
      <c r="K72" s="83">
        <f t="shared" si="73"/>
        <v>2.4992536358595982E-2</v>
      </c>
      <c r="L72" s="83">
        <f t="shared" si="73"/>
        <v>2.341921744828232E-2</v>
      </c>
      <c r="M72" s="83">
        <f t="shared" si="73"/>
        <v>2.7116576760094054E-2</v>
      </c>
      <c r="N72" s="83">
        <f t="shared" si="73"/>
        <v>2.8785541641868997E-2</v>
      </c>
      <c r="O72" s="83">
        <f t="shared" si="73"/>
        <v>2.6179783810930921E-2</v>
      </c>
      <c r="P72" s="83">
        <f t="shared" si="73"/>
        <v>2.6739266144135392E-2</v>
      </c>
      <c r="Q72" s="83">
        <f t="shared" si="73"/>
        <v>2.7180863210778717E-2</v>
      </c>
      <c r="R72" s="83">
        <f t="shared" si="73"/>
        <v>2.573181182625953E-2</v>
      </c>
      <c r="S72" s="83">
        <f t="shared" si="73"/>
        <v>2.5302360451142737E-2</v>
      </c>
      <c r="T72" s="83">
        <f t="shared" ref="T72:Y72" si="74">T30/T$23</f>
        <v>2.4257380396889974E-2</v>
      </c>
      <c r="U72" s="83">
        <f t="shared" si="74"/>
        <v>2.665457748837018E-2</v>
      </c>
      <c r="V72" s="83">
        <f t="shared" si="74"/>
        <v>2.5361575161075543E-2</v>
      </c>
      <c r="W72" s="83">
        <f t="shared" si="74"/>
        <v>2.8021364408837093E-2</v>
      </c>
      <c r="X72" s="83">
        <f t="shared" si="74"/>
        <v>2.5994220246739721E-2</v>
      </c>
      <c r="Y72" s="83">
        <f t="shared" si="74"/>
        <v>2.51222672741713E-2</v>
      </c>
      <c r="Z72" s="83">
        <f t="shared" ref="Z72:AA72" si="75">Z30/Z$23</f>
        <v>3.435595031561095E-2</v>
      </c>
      <c r="AA72" s="83">
        <f t="shared" si="75"/>
        <v>3.3628496342545319E-2</v>
      </c>
    </row>
    <row r="73" spans="1:27" x14ac:dyDescent="0.25">
      <c r="A73" s="64" t="s">
        <v>37</v>
      </c>
      <c r="B73" s="65"/>
      <c r="C73" s="65"/>
      <c r="D73" s="83">
        <f t="shared" si="51"/>
        <v>6.1546197360150844E-2</v>
      </c>
      <c r="E73" s="83">
        <f t="shared" ref="E73:S73" si="76">E31/E$23</f>
        <v>5.8639138325202095E-2</v>
      </c>
      <c r="F73" s="83">
        <f t="shared" si="76"/>
        <v>5.5726269858341275E-2</v>
      </c>
      <c r="G73" s="83">
        <f t="shared" si="76"/>
        <v>5.7799800586155838E-2</v>
      </c>
      <c r="H73" s="83">
        <f t="shared" si="76"/>
        <v>5.9913966737641718E-2</v>
      </c>
      <c r="I73" s="83">
        <f t="shared" si="76"/>
        <v>6.4322446143154979E-2</v>
      </c>
      <c r="J73" s="83">
        <f t="shared" si="76"/>
        <v>6.5710380700893023E-2</v>
      </c>
      <c r="K73" s="83">
        <f t="shared" si="76"/>
        <v>6.7264164163554283E-2</v>
      </c>
      <c r="L73" s="83">
        <f t="shared" si="76"/>
        <v>6.9175325283160158E-2</v>
      </c>
      <c r="M73" s="83">
        <f t="shared" si="76"/>
        <v>6.7480226841198587E-2</v>
      </c>
      <c r="N73" s="83">
        <f t="shared" si="76"/>
        <v>6.512576973995847E-2</v>
      </c>
      <c r="O73" s="83">
        <f t="shared" si="76"/>
        <v>6.4634808659242343E-2</v>
      </c>
      <c r="P73" s="83">
        <f t="shared" si="76"/>
        <v>6.5929111465630852E-2</v>
      </c>
      <c r="Q73" s="83">
        <f t="shared" si="76"/>
        <v>6.4666590545786717E-2</v>
      </c>
      <c r="R73" s="83">
        <f t="shared" si="76"/>
        <v>6.2497181002210085E-2</v>
      </c>
      <c r="S73" s="83">
        <f t="shared" si="76"/>
        <v>6.3239363637365917E-2</v>
      </c>
      <c r="T73" s="83">
        <f t="shared" ref="T73:Y73" si="77">T31/T$23</f>
        <v>6.7534874698937999E-2</v>
      </c>
      <c r="U73" s="83">
        <f t="shared" si="77"/>
        <v>7.0252893932915367E-2</v>
      </c>
      <c r="V73" s="83">
        <f t="shared" si="77"/>
        <v>7.28206617238462E-2</v>
      </c>
      <c r="W73" s="83">
        <f t="shared" si="77"/>
        <v>7.2668123330905568E-2</v>
      </c>
      <c r="X73" s="83">
        <f t="shared" si="77"/>
        <v>7.5146571999980441E-2</v>
      </c>
      <c r="Y73" s="83">
        <f t="shared" si="77"/>
        <v>6.9314978147482428E-2</v>
      </c>
      <c r="Z73" s="83">
        <f t="shared" ref="Z73:AA73" si="78">Z31/Z$23</f>
        <v>6.5808885562367234E-2</v>
      </c>
      <c r="AA73" s="83">
        <f t="shared" si="78"/>
        <v>6.2457106509767164E-2</v>
      </c>
    </row>
    <row r="74" spans="1:27" x14ac:dyDescent="0.25">
      <c r="A74" s="64" t="s">
        <v>58</v>
      </c>
      <c r="B74" s="65"/>
      <c r="C74" s="65"/>
      <c r="D74" s="83">
        <f t="shared" si="51"/>
        <v>0.26472239681542004</v>
      </c>
      <c r="E74" s="83">
        <f t="shared" ref="E74:S74" si="79">E32/E$23</f>
        <v>0.25567418510924134</v>
      </c>
      <c r="F74" s="83">
        <f t="shared" si="79"/>
        <v>0.24733429616200109</v>
      </c>
      <c r="G74" s="83">
        <f t="shared" si="79"/>
        <v>0.23860923950811253</v>
      </c>
      <c r="H74" s="83">
        <f t="shared" si="79"/>
        <v>0.23175749554008174</v>
      </c>
      <c r="I74" s="83">
        <f t="shared" si="79"/>
        <v>0.22970118137595552</v>
      </c>
      <c r="J74" s="83">
        <f t="shared" si="79"/>
        <v>0.23818686057775243</v>
      </c>
      <c r="K74" s="83">
        <f t="shared" si="79"/>
        <v>0.23906805013129917</v>
      </c>
      <c r="L74" s="83">
        <f t="shared" si="79"/>
        <v>0.22379598427408032</v>
      </c>
      <c r="M74" s="83">
        <f t="shared" si="79"/>
        <v>0.17807788549800696</v>
      </c>
      <c r="N74" s="83">
        <f t="shared" si="79"/>
        <v>0.1836323223980664</v>
      </c>
      <c r="O74" s="83">
        <f t="shared" si="79"/>
        <v>0.17717926406951692</v>
      </c>
      <c r="P74" s="83">
        <f t="shared" si="79"/>
        <v>0.1567767219255046</v>
      </c>
      <c r="Q74" s="83">
        <f t="shared" si="79"/>
        <v>0.1591459237268783</v>
      </c>
      <c r="R74" s="83">
        <f t="shared" si="79"/>
        <v>0.15988791664787336</v>
      </c>
      <c r="S74" s="83">
        <f t="shared" si="79"/>
        <v>0.16127911976450612</v>
      </c>
      <c r="T74" s="83">
        <f t="shared" ref="T74:Y74" si="80">T32/T$23</f>
        <v>0.16075498537121552</v>
      </c>
      <c r="U74" s="83">
        <f t="shared" si="80"/>
        <v>0.16515637798601848</v>
      </c>
      <c r="V74" s="83">
        <f t="shared" si="80"/>
        <v>0.16055489083909469</v>
      </c>
      <c r="W74" s="83">
        <f t="shared" si="80"/>
        <v>0.15875697984947801</v>
      </c>
      <c r="X74" s="83">
        <f t="shared" si="80"/>
        <v>0.15775010146351959</v>
      </c>
      <c r="Y74" s="83">
        <f t="shared" si="80"/>
        <v>0.16370577826080898</v>
      </c>
      <c r="Z74" s="83">
        <f t="shared" ref="Z74:AA74" si="81">Z32/Z$23</f>
        <v>0.16879020848926404</v>
      </c>
      <c r="AA74" s="83">
        <f t="shared" si="81"/>
        <v>0.15198942100065282</v>
      </c>
    </row>
    <row r="75" spans="1:27" x14ac:dyDescent="0.25">
      <c r="A75" s="85" t="s">
        <v>158</v>
      </c>
      <c r="B75" s="86"/>
      <c r="C75" s="86"/>
      <c r="D75" s="87">
        <f t="shared" si="51"/>
        <v>1.1472868217054264E-2</v>
      </c>
      <c r="E75" s="87">
        <f t="shared" ref="E75:S75" si="82">E33/E$23</f>
        <v>1.0598097213383928E-2</v>
      </c>
      <c r="F75" s="87">
        <f t="shared" si="82"/>
        <v>9.1263866269243772E-3</v>
      </c>
      <c r="G75" s="87">
        <f t="shared" si="82"/>
        <v>9.8347282231017914E-3</v>
      </c>
      <c r="H75" s="87">
        <f t="shared" si="82"/>
        <v>1.1085054957702711E-2</v>
      </c>
      <c r="I75" s="87">
        <f t="shared" si="82"/>
        <v>1.2647671994440585E-2</v>
      </c>
      <c r="J75" s="87">
        <f t="shared" si="82"/>
        <v>1.5618157933148444E-2</v>
      </c>
      <c r="K75" s="87">
        <f t="shared" si="82"/>
        <v>1.486026235461131E-2</v>
      </c>
      <c r="L75" s="87">
        <f t="shared" si="82"/>
        <v>1.3309697650472714E-2</v>
      </c>
      <c r="M75" s="87">
        <f t="shared" si="82"/>
        <v>5.0800357111421279E-3</v>
      </c>
      <c r="N75" s="87">
        <f t="shared" si="82"/>
        <v>7.475738768173151E-3</v>
      </c>
      <c r="O75" s="87">
        <f t="shared" si="82"/>
        <v>7.5450101904355905E-3</v>
      </c>
      <c r="P75" s="87">
        <f t="shared" si="82"/>
        <v>6.4449376893019814E-3</v>
      </c>
      <c r="Q75" s="87">
        <f t="shared" si="82"/>
        <v>7.2505138159397126E-3</v>
      </c>
      <c r="R75" s="87">
        <f t="shared" si="82"/>
        <v>7.2109963465788636E-3</v>
      </c>
      <c r="S75" s="87">
        <f t="shared" si="82"/>
        <v>8.6270575394419152E-3</v>
      </c>
      <c r="T75" s="87">
        <f t="shared" ref="T75:Y75" si="83">T33/T$23</f>
        <v>7.58110489080946E-3</v>
      </c>
      <c r="U75" s="87">
        <f t="shared" si="83"/>
        <v>9.7829614708958186E-3</v>
      </c>
      <c r="V75" s="87">
        <f t="shared" si="83"/>
        <v>8.6607826744296654E-3</v>
      </c>
      <c r="W75" s="87">
        <f t="shared" si="83"/>
        <v>7.0114105365379946E-3</v>
      </c>
      <c r="X75" s="87">
        <f t="shared" si="83"/>
        <v>6.4203181309197242E-3</v>
      </c>
      <c r="Y75" s="87">
        <f t="shared" si="83"/>
        <v>7.974659439776691E-3</v>
      </c>
      <c r="Z75" s="87">
        <f t="shared" ref="Z75:AA75" si="84">Z33/Z$23</f>
        <v>1.2689334123622581E-2</v>
      </c>
      <c r="AA75" s="87">
        <f t="shared" si="84"/>
        <v>8.7084246999548053E-3</v>
      </c>
    </row>
    <row r="76" spans="1:27" x14ac:dyDescent="0.25">
      <c r="A76" s="88" t="s">
        <v>5</v>
      </c>
      <c r="B76" s="44"/>
      <c r="C76" s="44"/>
      <c r="D76" s="89">
        <f t="shared" si="51"/>
        <v>9.6357459343298681E-3</v>
      </c>
      <c r="E76" s="89">
        <f t="shared" ref="E76:S76" si="85">E34/E$23</f>
        <v>8.9207266734631935E-3</v>
      </c>
      <c r="F76" s="89">
        <f t="shared" si="85"/>
        <v>7.7042534750373058E-3</v>
      </c>
      <c r="G76" s="89">
        <f t="shared" si="85"/>
        <v>8.236086328527582E-3</v>
      </c>
      <c r="H76" s="89">
        <f t="shared" si="85"/>
        <v>9.2831715851236542E-3</v>
      </c>
      <c r="I76" s="89">
        <f t="shared" si="85"/>
        <v>1.0647299240115378E-2</v>
      </c>
      <c r="J76" s="89">
        <f t="shared" si="85"/>
        <v>1.3060109966779282E-2</v>
      </c>
      <c r="K76" s="89">
        <f t="shared" si="85"/>
        <v>1.1600170509452598E-2</v>
      </c>
      <c r="L76" s="89">
        <f t="shared" si="85"/>
        <v>1.031255739602677E-2</v>
      </c>
      <c r="M76" s="89">
        <f t="shared" si="85"/>
        <v>3.1750246474123865E-3</v>
      </c>
      <c r="N76" s="89">
        <f t="shared" si="85"/>
        <v>4.6824323418776419E-3</v>
      </c>
      <c r="O76" s="89">
        <f t="shared" si="85"/>
        <v>5.0660436303311051E-3</v>
      </c>
      <c r="P76" s="89">
        <f t="shared" si="85"/>
        <v>3.9092668622635338E-3</v>
      </c>
      <c r="Q76" s="89">
        <f t="shared" si="85"/>
        <v>5.1667709929611137E-3</v>
      </c>
      <c r="R76" s="89">
        <f t="shared" si="85"/>
        <v>4.228973861183905E-3</v>
      </c>
      <c r="S76" s="89">
        <f t="shared" si="85"/>
        <v>4.9850973210603128E-3</v>
      </c>
      <c r="T76" s="89">
        <f t="shared" ref="T76:Y76" si="86">T34/T$23</f>
        <v>4.7050495817057411E-3</v>
      </c>
      <c r="U76" s="89">
        <f t="shared" si="86"/>
        <v>6.7020519403603648E-3</v>
      </c>
      <c r="V76" s="89">
        <f t="shared" si="86"/>
        <v>5.4709885340272777E-3</v>
      </c>
      <c r="W76" s="89">
        <f t="shared" si="86"/>
        <v>3.5564906423372119E-3</v>
      </c>
      <c r="X76" s="89">
        <f t="shared" si="86"/>
        <v>3.7468033283109747E-3</v>
      </c>
      <c r="Y76" s="89">
        <f t="shared" si="86"/>
        <v>5.4772093055720705E-3</v>
      </c>
      <c r="Z76" s="89">
        <f t="shared" ref="Z76:AA76" si="87">Z34/Z$23</f>
        <v>7.8057857191206849E-3</v>
      </c>
      <c r="AA76" s="89">
        <f t="shared" si="87"/>
        <v>4.0811616477000861E-3</v>
      </c>
    </row>
    <row r="77" spans="1:27" x14ac:dyDescent="0.25">
      <c r="A77" s="88" t="s">
        <v>263</v>
      </c>
      <c r="B77" s="44"/>
      <c r="C77" s="44"/>
      <c r="D77" s="89">
        <f>D37/D$23</f>
        <v>1.8371222827243952E-3</v>
      </c>
      <c r="E77" s="89">
        <f t="shared" ref="E77:S77" si="88">E37/E$23</f>
        <v>1.677370539920733E-3</v>
      </c>
      <c r="F77" s="89">
        <f t="shared" si="88"/>
        <v>1.4221331518870716E-3</v>
      </c>
      <c r="G77" s="89">
        <f t="shared" si="88"/>
        <v>1.5986418945742082E-3</v>
      </c>
      <c r="H77" s="89">
        <f t="shared" si="88"/>
        <v>1.8018833725790553E-3</v>
      </c>
      <c r="I77" s="89">
        <f t="shared" si="88"/>
        <v>2.0003727543252059E-3</v>
      </c>
      <c r="J77" s="89">
        <f t="shared" si="88"/>
        <v>2.5580479663691647E-3</v>
      </c>
      <c r="K77" s="89">
        <f t="shared" si="88"/>
        <v>3.2600918451587127E-3</v>
      </c>
      <c r="L77" s="89">
        <f t="shared" si="88"/>
        <v>2.997140254445944E-3</v>
      </c>
      <c r="M77" s="89">
        <f t="shared" si="88"/>
        <v>1.9050110637297412E-3</v>
      </c>
      <c r="N77" s="89">
        <f t="shared" si="88"/>
        <v>2.793306426295509E-3</v>
      </c>
      <c r="O77" s="89">
        <f t="shared" si="88"/>
        <v>2.4789665601044849E-3</v>
      </c>
      <c r="P77" s="89">
        <f t="shared" si="88"/>
        <v>2.535670827038448E-3</v>
      </c>
      <c r="Q77" s="89">
        <f t="shared" si="88"/>
        <v>2.0837428229785989E-3</v>
      </c>
      <c r="R77" s="89">
        <f t="shared" si="88"/>
        <v>2.982022485394959E-3</v>
      </c>
      <c r="S77" s="89">
        <f t="shared" si="88"/>
        <v>3.6419602183816019E-3</v>
      </c>
      <c r="T77" s="89">
        <f t="shared" ref="T77:Y77" si="89">T37/T$23</f>
        <v>2.8760553091037189E-3</v>
      </c>
      <c r="U77" s="89">
        <f t="shared" si="89"/>
        <v>3.0809095305354543E-3</v>
      </c>
      <c r="V77" s="89">
        <f t="shared" si="89"/>
        <v>3.1897941404023873E-3</v>
      </c>
      <c r="W77" s="89">
        <f t="shared" si="89"/>
        <v>3.4549198942007819E-3</v>
      </c>
      <c r="X77" s="89">
        <f t="shared" si="89"/>
        <v>2.6735148026087495E-3</v>
      </c>
      <c r="Y77" s="89">
        <f t="shared" si="89"/>
        <v>2.4974501342046205E-3</v>
      </c>
      <c r="Z77" s="89">
        <f t="shared" ref="Z77:AA77" si="90">Z37/Z$23</f>
        <v>4.8835484045018952E-3</v>
      </c>
      <c r="AA77" s="89">
        <f t="shared" si="90"/>
        <v>4.6272630522547183E-3</v>
      </c>
    </row>
    <row r="78" spans="1:27" x14ac:dyDescent="0.25">
      <c r="A78" s="68" t="s">
        <v>265</v>
      </c>
      <c r="B78" s="44"/>
      <c r="C78" s="44"/>
      <c r="D78" s="89">
        <f>D43/D$23</f>
        <v>1.5369788393044207E-2</v>
      </c>
      <c r="E78" s="89">
        <f t="shared" ref="E78:S78" si="91">E43/E$23</f>
        <v>1.6451012279337245E-2</v>
      </c>
      <c r="F78" s="89">
        <f t="shared" si="91"/>
        <v>1.5410380112466584E-2</v>
      </c>
      <c r="G78" s="89">
        <f t="shared" si="91"/>
        <v>1.4850288545789646E-2</v>
      </c>
      <c r="H78" s="89">
        <f t="shared" si="91"/>
        <v>1.6084479484375903E-2</v>
      </c>
      <c r="I78" s="89">
        <f t="shared" si="91"/>
        <v>1.5872133425990271E-2</v>
      </c>
      <c r="J78" s="89">
        <f t="shared" si="91"/>
        <v>1.5770756757474025E-2</v>
      </c>
      <c r="K78" s="89">
        <f t="shared" si="91"/>
        <v>1.6206764191581013E-2</v>
      </c>
      <c r="L78" s="89">
        <f t="shared" si="91"/>
        <v>1.5632313020687072E-2</v>
      </c>
      <c r="M78" s="89">
        <f t="shared" si="91"/>
        <v>1.548530687690973E-2</v>
      </c>
      <c r="N78" s="89">
        <f t="shared" si="91"/>
        <v>1.6275369535909051E-2</v>
      </c>
      <c r="O78" s="89">
        <f t="shared" si="91"/>
        <v>1.7852241603840246E-2</v>
      </c>
      <c r="P78" s="89">
        <f t="shared" si="91"/>
        <v>1.6542970104737462E-2</v>
      </c>
      <c r="Q78" s="89">
        <f t="shared" si="91"/>
        <v>1.6898835350536653E-2</v>
      </c>
      <c r="R78" s="89">
        <f t="shared" si="91"/>
        <v>1.7483424292995355E-2</v>
      </c>
      <c r="S78" s="89">
        <f t="shared" si="91"/>
        <v>1.8444814394231724E-2</v>
      </c>
      <c r="T78" s="89">
        <f t="shared" ref="T78:Y78" si="92">T43/T$23</f>
        <v>1.9499657853475075E-2</v>
      </c>
      <c r="U78" s="89">
        <f t="shared" si="92"/>
        <v>1.9679258988321235E-2</v>
      </c>
      <c r="V78" s="89">
        <f t="shared" si="92"/>
        <v>2.0170111789177523E-2</v>
      </c>
      <c r="W78" s="89">
        <f t="shared" si="92"/>
        <v>2.1772274823986401E-2</v>
      </c>
      <c r="X78" s="89">
        <f t="shared" si="92"/>
        <v>2.1270665551790403E-2</v>
      </c>
      <c r="Y78" s="89">
        <f t="shared" si="92"/>
        <v>1.9720677915720342E-2</v>
      </c>
      <c r="Z78" s="89">
        <f t="shared" ref="Z78:AA78" si="93">Z43/Z$23</f>
        <v>2.4963333751552096E-2</v>
      </c>
      <c r="AA78" s="89">
        <f t="shared" si="93"/>
        <v>2.1417452001138246E-2</v>
      </c>
    </row>
    <row r="79" spans="1:27" x14ac:dyDescent="0.25">
      <c r="A79" s="88" t="s">
        <v>266</v>
      </c>
      <c r="B79" s="44"/>
      <c r="C79" s="44"/>
      <c r="D79" s="89">
        <f>D44/D$23</f>
        <v>1.1648858160486067E-2</v>
      </c>
      <c r="E79" s="89">
        <f t="shared" ref="E79:S79" si="94">E44/E$23</f>
        <v>1.2192918365583288E-2</v>
      </c>
      <c r="F79" s="89">
        <f t="shared" si="94"/>
        <v>1.1116061825891898E-2</v>
      </c>
      <c r="G79" s="89">
        <f t="shared" si="94"/>
        <v>1.0831797443877087E-2</v>
      </c>
      <c r="H79" s="89">
        <f t="shared" si="94"/>
        <v>1.1818783449387122E-2</v>
      </c>
      <c r="I79" s="89">
        <f t="shared" si="94"/>
        <v>1.1139680333564977E-2</v>
      </c>
      <c r="J79" s="89">
        <f t="shared" si="94"/>
        <v>1.0741630286222317E-2</v>
      </c>
      <c r="K79" s="89">
        <f t="shared" si="94"/>
        <v>1.1332549397120558E-2</v>
      </c>
      <c r="L79" s="89">
        <f t="shared" si="94"/>
        <v>1.0554151455583638E-2</v>
      </c>
      <c r="M79" s="89">
        <f t="shared" si="94"/>
        <v>9.7136821456863705E-3</v>
      </c>
      <c r="N79" s="89">
        <f t="shared" si="94"/>
        <v>1.0305709739715545E-2</v>
      </c>
      <c r="O79" s="89">
        <f t="shared" si="94"/>
        <v>1.1843096490869488E-2</v>
      </c>
      <c r="P79" s="89">
        <f t="shared" si="94"/>
        <v>9.4159672608725813E-3</v>
      </c>
      <c r="Q79" s="89">
        <f t="shared" si="94"/>
        <v>1.0304864124229277E-2</v>
      </c>
      <c r="R79" s="89">
        <f t="shared" si="94"/>
        <v>1.0052546118803843E-2</v>
      </c>
      <c r="S79" s="89">
        <f t="shared" si="94"/>
        <v>1.1184856068707762E-2</v>
      </c>
      <c r="T79" s="89">
        <f t="shared" ref="T79:Y79" si="95">T44/T$23</f>
        <v>1.121809551006773E-2</v>
      </c>
      <c r="U79" s="89">
        <f t="shared" si="95"/>
        <v>1.1513911999711508E-2</v>
      </c>
      <c r="V79" s="89">
        <f t="shared" si="95"/>
        <v>1.2355382451151685E-2</v>
      </c>
      <c r="W79" s="89">
        <f t="shared" si="95"/>
        <v>1.4022821073075989E-2</v>
      </c>
      <c r="X79" s="89">
        <f t="shared" si="95"/>
        <v>1.3789259047367572E-2</v>
      </c>
      <c r="Y79" s="89">
        <f t="shared" si="95"/>
        <v>1.2749237135810727E-2</v>
      </c>
      <c r="Z79" s="89">
        <f t="shared" ref="Z79:AA79" si="96">Z44/Z$23</f>
        <v>1.782044570583069E-2</v>
      </c>
      <c r="AA79" s="89">
        <f t="shared" si="96"/>
        <v>1.4801392678395073E-2</v>
      </c>
    </row>
    <row r="80" spans="1:27" x14ac:dyDescent="0.25">
      <c r="A80" s="88" t="s">
        <v>11</v>
      </c>
      <c r="B80" s="44"/>
      <c r="C80" s="44"/>
      <c r="D80" s="89">
        <f>D47/D$23</f>
        <v>3.7209302325581397E-3</v>
      </c>
      <c r="E80" s="89">
        <f t="shared" ref="E80:S80" si="97">E47/E$23</f>
        <v>4.2580939137539572E-3</v>
      </c>
      <c r="F80" s="89">
        <f t="shared" si="97"/>
        <v>4.294318286574686E-3</v>
      </c>
      <c r="G80" s="89">
        <f t="shared" si="97"/>
        <v>4.0184911019125599E-3</v>
      </c>
      <c r="H80" s="89">
        <f t="shared" si="97"/>
        <v>4.2656960349887786E-3</v>
      </c>
      <c r="I80" s="89">
        <f t="shared" si="97"/>
        <v>4.7324530924252959E-3</v>
      </c>
      <c r="J80" s="89">
        <f t="shared" si="97"/>
        <v>5.0291264712517079E-3</v>
      </c>
      <c r="K80" s="89">
        <f t="shared" si="97"/>
        <v>4.874214794460454E-3</v>
      </c>
      <c r="L80" s="89">
        <f t="shared" si="97"/>
        <v>5.0781615651034348E-3</v>
      </c>
      <c r="M80" s="89">
        <f t="shared" si="97"/>
        <v>5.7716247312233583E-3</v>
      </c>
      <c r="N80" s="89">
        <f t="shared" si="97"/>
        <v>5.9696597961935074E-3</v>
      </c>
      <c r="O80" s="89">
        <f t="shared" si="97"/>
        <v>6.0091451129707599E-3</v>
      </c>
      <c r="P80" s="89">
        <f t="shared" si="97"/>
        <v>7.127002843864882E-3</v>
      </c>
      <c r="Q80" s="89">
        <f t="shared" si="97"/>
        <v>6.593971226307377E-3</v>
      </c>
      <c r="R80" s="89">
        <f t="shared" si="97"/>
        <v>7.4308781741915112E-3</v>
      </c>
      <c r="S80" s="89">
        <f t="shared" si="97"/>
        <v>7.2599583255239632E-3</v>
      </c>
      <c r="T80" s="89">
        <f t="shared" ref="T80:Y80" si="98">T47/T$23</f>
        <v>8.2815623434073487E-3</v>
      </c>
      <c r="U80" s="89">
        <f t="shared" si="98"/>
        <v>8.1653469886097275E-3</v>
      </c>
      <c r="V80" s="89">
        <f t="shared" si="98"/>
        <v>7.8147293380258429E-3</v>
      </c>
      <c r="W80" s="89">
        <f t="shared" si="98"/>
        <v>7.7494537509104145E-3</v>
      </c>
      <c r="X80" s="89">
        <f t="shared" si="98"/>
        <v>7.481406504422832E-3</v>
      </c>
      <c r="Y80" s="89">
        <f t="shared" si="98"/>
        <v>6.9714407799096167E-3</v>
      </c>
      <c r="Z80" s="89">
        <f t="shared" ref="Z80:AA80" si="99">Z47/Z$23</f>
        <v>7.142888045721405E-3</v>
      </c>
      <c r="AA80" s="89">
        <f t="shared" si="99"/>
        <v>6.6160593227431747E-3</v>
      </c>
    </row>
    <row r="81" spans="1:27" x14ac:dyDescent="0.25">
      <c r="A81" s="68" t="s">
        <v>4</v>
      </c>
      <c r="B81" s="44"/>
      <c r="C81" s="44"/>
      <c r="D81" s="89">
        <f>D48/D$23</f>
        <v>8.1709616593337517E-3</v>
      </c>
      <c r="E81" s="89">
        <f t="shared" ref="E81:S81" si="100">E48/E$23</f>
        <v>7.8405493098273969E-3</v>
      </c>
      <c r="F81" s="89">
        <f t="shared" si="100"/>
        <v>7.4670436038472175E-3</v>
      </c>
      <c r="G81" s="89">
        <f t="shared" si="100"/>
        <v>7.3571622805692358E-3</v>
      </c>
      <c r="H81" s="89">
        <f t="shared" si="100"/>
        <v>7.4092190826955178E-3</v>
      </c>
      <c r="I81" s="89">
        <f t="shared" si="100"/>
        <v>7.9569145239749839E-3</v>
      </c>
      <c r="J81" s="89">
        <f t="shared" si="100"/>
        <v>8.1673544671647131E-3</v>
      </c>
      <c r="K81" s="89">
        <f t="shared" si="100"/>
        <v>8.121660401269732E-3</v>
      </c>
      <c r="L81" s="89">
        <f t="shared" si="100"/>
        <v>7.6698960966020786E-3</v>
      </c>
      <c r="M81" s="89">
        <f t="shared" si="100"/>
        <v>6.0859833767148265E-3</v>
      </c>
      <c r="N81" s="89">
        <f t="shared" si="100"/>
        <v>6.2490131538994092E-3</v>
      </c>
      <c r="O81" s="89">
        <f t="shared" si="100"/>
        <v>6.8033567119639808E-3</v>
      </c>
      <c r="P81" s="89">
        <f t="shared" si="100"/>
        <v>6.4391574761277189E-3</v>
      </c>
      <c r="Q81" s="89">
        <f t="shared" si="100"/>
        <v>6.2571363324960038E-3</v>
      </c>
      <c r="R81" s="89">
        <f t="shared" si="100"/>
        <v>5.8296874295250553E-3</v>
      </c>
      <c r="S81" s="89">
        <f t="shared" si="100"/>
        <v>5.589671785938723E-3</v>
      </c>
      <c r="T81" s="89">
        <f t="shared" ref="T81:Y81" si="101">T48/T$23</f>
        <v>5.7114223057981714E-3</v>
      </c>
      <c r="U81" s="89">
        <f t="shared" si="101"/>
        <v>5.8368063962743353E-3</v>
      </c>
      <c r="V81" s="89">
        <f t="shared" si="101"/>
        <v>5.9474045186256892E-3</v>
      </c>
      <c r="W81" s="89">
        <f t="shared" si="101"/>
        <v>5.7246904588492348E-3</v>
      </c>
      <c r="X81" s="89">
        <f t="shared" si="101"/>
        <v>5.4961443862557276E-3</v>
      </c>
      <c r="Y81" s="89">
        <f t="shared" si="101"/>
        <v>4.8256675351939331E-3</v>
      </c>
      <c r="Z81" s="89">
        <f t="shared" ref="Z81:AA81" si="102">Z48/Z$23</f>
        <v>4.7244298885086465E-3</v>
      </c>
      <c r="AA81" s="89">
        <f t="shared" si="102"/>
        <v>4.6283122143921263E-3</v>
      </c>
    </row>
    <row r="82" spans="1:27" x14ac:dyDescent="0.25">
      <c r="A82" s="68" t="s">
        <v>3</v>
      </c>
      <c r="B82" s="44"/>
      <c r="C82" s="44"/>
      <c r="D82" s="89">
        <f>D52/D$23</f>
        <v>5.3978629792583284E-2</v>
      </c>
      <c r="E82" s="89">
        <f t="shared" ref="E82:S82" si="103">E52/E$23</f>
        <v>5.2181291098069717E-2</v>
      </c>
      <c r="F82" s="89">
        <f t="shared" si="103"/>
        <v>4.4717758043204381E-2</v>
      </c>
      <c r="G82" s="89">
        <f t="shared" si="103"/>
        <v>3.8228540351089219E-2</v>
      </c>
      <c r="H82" s="89">
        <f t="shared" si="103"/>
        <v>3.6312366921793175E-2</v>
      </c>
      <c r="I82" s="89">
        <f t="shared" si="103"/>
        <v>3.0875608061153584E-2</v>
      </c>
      <c r="J82" s="89">
        <f t="shared" si="103"/>
        <v>3.1820172237629542E-2</v>
      </c>
      <c r="K82" s="89">
        <f t="shared" si="103"/>
        <v>2.8361837335266774E-2</v>
      </c>
      <c r="L82" s="89">
        <f t="shared" si="103"/>
        <v>2.3577178695123092E-2</v>
      </c>
      <c r="M82" s="89">
        <f t="shared" si="103"/>
        <v>1.7472053516415807E-2</v>
      </c>
      <c r="N82" s="89">
        <f t="shared" si="103"/>
        <v>2.2585111680614091E-2</v>
      </c>
      <c r="O82" s="89">
        <f t="shared" si="103"/>
        <v>2.1449552963986009E-2</v>
      </c>
      <c r="P82" s="89">
        <f t="shared" si="103"/>
        <v>1.9826131187718202E-2</v>
      </c>
      <c r="Q82" s="89">
        <f t="shared" si="103"/>
        <v>1.8822790591459238E-2</v>
      </c>
      <c r="R82" s="89">
        <f t="shared" si="103"/>
        <v>1.9135356997880115E-2</v>
      </c>
      <c r="S82" s="89">
        <f t="shared" si="103"/>
        <v>2.0059975965513822E-2</v>
      </c>
      <c r="T82" s="89">
        <f t="shared" ref="T82:Y82" si="104">T52/T$23</f>
        <v>1.9230251140937429E-2</v>
      </c>
      <c r="U82" s="89">
        <f t="shared" si="104"/>
        <v>1.9164095140459424E-2</v>
      </c>
      <c r="V82" s="89">
        <f t="shared" si="104"/>
        <v>2.0200149185736243E-2</v>
      </c>
      <c r="W82" s="89">
        <f t="shared" si="104"/>
        <v>1.8213158533624665E-2</v>
      </c>
      <c r="X82" s="89">
        <f t="shared" si="104"/>
        <v>1.4478721999735952E-2</v>
      </c>
      <c r="Y82" s="89">
        <f t="shared" si="104"/>
        <v>1.6822490676104356E-2</v>
      </c>
      <c r="Z82" s="89">
        <f t="shared" ref="Z82:AA82" si="105">Z52/Z$23</f>
        <v>1.6076906104119167E-2</v>
      </c>
      <c r="AA82" s="89">
        <f t="shared" si="105"/>
        <v>1.1641920958805511E-2</v>
      </c>
    </row>
    <row r="83" spans="1:27" x14ac:dyDescent="0.25">
      <c r="A83" s="88" t="s">
        <v>21</v>
      </c>
      <c r="B83" s="44"/>
      <c r="C83" s="44"/>
      <c r="D83" s="89">
        <f>D53/D$23</f>
        <v>4.7056358684265658E-2</v>
      </c>
      <c r="E83" s="89">
        <f t="shared" ref="E83:S83" si="106">E53/E$23</f>
        <v>4.5071374138757295E-2</v>
      </c>
      <c r="F83" s="89">
        <f t="shared" si="106"/>
        <v>3.8226346679777527E-2</v>
      </c>
      <c r="G83" s="89">
        <f t="shared" si="106"/>
        <v>3.2676677644499497E-2</v>
      </c>
      <c r="H83" s="89">
        <f t="shared" si="106"/>
        <v>3.1161880646832021E-2</v>
      </c>
      <c r="I83" s="89">
        <f t="shared" si="106"/>
        <v>2.5566365531619183E-2</v>
      </c>
      <c r="J83" s="89">
        <f t="shared" si="106"/>
        <v>2.6764506840408167E-2</v>
      </c>
      <c r="K83" s="89">
        <f t="shared" si="106"/>
        <v>2.3700869438063963E-2</v>
      </c>
      <c r="L83" s="89">
        <f t="shared" si="106"/>
        <v>1.9130862117382758E-2</v>
      </c>
      <c r="M83" s="89">
        <f t="shared" si="106"/>
        <v>1.3341380914657914E-2</v>
      </c>
      <c r="N83" s="89">
        <f t="shared" si="106"/>
        <v>1.8643800177328654E-2</v>
      </c>
      <c r="O83" s="89">
        <f t="shared" si="106"/>
        <v>1.7933998680207196E-2</v>
      </c>
      <c r="P83" s="89">
        <f t="shared" si="106"/>
        <v>1.6288640725069942E-2</v>
      </c>
      <c r="Q83" s="89">
        <f t="shared" si="106"/>
        <v>1.573989495318566E-2</v>
      </c>
      <c r="R83" s="89">
        <f t="shared" si="106"/>
        <v>1.6259979252176267E-2</v>
      </c>
      <c r="S83" s="89">
        <f t="shared" si="106"/>
        <v>1.7259627575714146E-2</v>
      </c>
      <c r="T83" s="89">
        <f t="shared" ref="T83:Y83" si="107">T53/T$23</f>
        <v>1.6794814459597077E-2</v>
      </c>
      <c r="U83" s="89">
        <f t="shared" si="107"/>
        <v>1.694889059465363E-2</v>
      </c>
      <c r="V83" s="89">
        <f t="shared" si="107"/>
        <v>1.8187643616302297E-2</v>
      </c>
      <c r="W83" s="89">
        <f t="shared" si="107"/>
        <v>1.6324350570526825E-2</v>
      </c>
      <c r="X83" s="89">
        <f t="shared" si="107"/>
        <v>1.2777068755592719E-2</v>
      </c>
      <c r="Y83" s="89">
        <f t="shared" si="107"/>
        <v>1.5215483007983949E-2</v>
      </c>
      <c r="Z83" s="89">
        <f t="shared" ref="Z83:AA83" si="108">Z53/Z$23</f>
        <v>1.461025616620302E-2</v>
      </c>
      <c r="AA83" s="89">
        <f t="shared" si="108"/>
        <v>1.0127048425704291E-2</v>
      </c>
    </row>
    <row r="84" spans="1:27" x14ac:dyDescent="0.25">
      <c r="A84" s="88" t="s">
        <v>16</v>
      </c>
      <c r="B84" s="44"/>
      <c r="C84" s="44"/>
      <c r="D84" s="89">
        <f t="shared" ref="D84:D90" si="109">D56/D$23</f>
        <v>6.9222711083176194E-3</v>
      </c>
      <c r="E84" s="89">
        <f t="shared" ref="E84:S84" si="110">E56/E$23</f>
        <v>7.1099169593124194E-3</v>
      </c>
      <c r="F84" s="89">
        <f t="shared" si="110"/>
        <v>6.491411363426851E-3</v>
      </c>
      <c r="G84" s="89">
        <f t="shared" si="110"/>
        <v>5.5518627065897202E-3</v>
      </c>
      <c r="H84" s="89">
        <f t="shared" si="110"/>
        <v>5.1504862749611555E-3</v>
      </c>
      <c r="I84" s="89">
        <f t="shared" si="110"/>
        <v>5.3092425295343986E-3</v>
      </c>
      <c r="J84" s="89">
        <f t="shared" si="110"/>
        <v>5.0556653972213738E-3</v>
      </c>
      <c r="K84" s="89">
        <f t="shared" si="110"/>
        <v>4.6609678972028105E-3</v>
      </c>
      <c r="L84" s="89">
        <f t="shared" si="110"/>
        <v>4.4463165777403352E-3</v>
      </c>
      <c r="M84" s="89">
        <f t="shared" si="110"/>
        <v>4.1306726017578928E-3</v>
      </c>
      <c r="N84" s="89">
        <f t="shared" si="110"/>
        <v>3.9413115032854388E-3</v>
      </c>
      <c r="O84" s="89">
        <f t="shared" si="110"/>
        <v>3.5155542837788122E-3</v>
      </c>
      <c r="P84" s="89">
        <f t="shared" si="110"/>
        <v>3.5374904626482621E-3</v>
      </c>
      <c r="Q84" s="89">
        <f t="shared" si="110"/>
        <v>3.0828956382735785E-3</v>
      </c>
      <c r="R84" s="89">
        <f t="shared" si="110"/>
        <v>2.8753777457038469E-3</v>
      </c>
      <c r="S84" s="89">
        <f t="shared" si="110"/>
        <v>2.8003483897996763E-3</v>
      </c>
      <c r="T84" s="89">
        <f t="shared" ref="T84:Y84" si="111">T56/T$23</f>
        <v>2.4354366813403522E-3</v>
      </c>
      <c r="U84" s="89">
        <f t="shared" si="111"/>
        <v>2.2152045458057935E-3</v>
      </c>
      <c r="V84" s="89">
        <f t="shared" si="111"/>
        <v>2.0125055694339452E-3</v>
      </c>
      <c r="W84" s="89">
        <f t="shared" si="111"/>
        <v>1.8888079630978393E-3</v>
      </c>
      <c r="X84" s="89">
        <f t="shared" si="111"/>
        <v>1.7016532441432323E-3</v>
      </c>
      <c r="Y84" s="89">
        <f t="shared" si="111"/>
        <v>1.6070076681204048E-3</v>
      </c>
      <c r="Z84" s="89">
        <f t="shared" ref="Z84:AA84" si="112">Z56/Z$23</f>
        <v>1.4666499379161456E-3</v>
      </c>
      <c r="AA84" s="89">
        <f t="shared" si="112"/>
        <v>1.5148725331012203E-3</v>
      </c>
    </row>
    <row r="85" spans="1:27" x14ac:dyDescent="0.25">
      <c r="A85" s="68" t="s">
        <v>2</v>
      </c>
      <c r="B85" s="44"/>
      <c r="C85" s="44"/>
      <c r="D85" s="89">
        <f t="shared" si="109"/>
        <v>1.5914519170333125E-2</v>
      </c>
      <c r="E85" s="89">
        <f t="shared" ref="E85:S85" si="113">E57/E$23</f>
        <v>1.8014408384202627E-2</v>
      </c>
      <c r="F85" s="89">
        <f t="shared" si="113"/>
        <v>1.882125188212519E-2</v>
      </c>
      <c r="G85" s="89">
        <f t="shared" si="113"/>
        <v>1.8506209021965737E-2</v>
      </c>
      <c r="H85" s="89">
        <f t="shared" si="113"/>
        <v>1.709875122288082E-2</v>
      </c>
      <c r="I85" s="89">
        <f t="shared" si="113"/>
        <v>1.6775538568450314E-2</v>
      </c>
      <c r="J85" s="89">
        <f t="shared" si="113"/>
        <v>1.5525271692254613E-2</v>
      </c>
      <c r="K85" s="89">
        <f t="shared" si="113"/>
        <v>1.5225828464195845E-2</v>
      </c>
      <c r="L85" s="89">
        <f t="shared" si="113"/>
        <v>1.4912711785079098E-2</v>
      </c>
      <c r="M85" s="89">
        <f t="shared" si="113"/>
        <v>1.7698391741169665E-2</v>
      </c>
      <c r="N85" s="89">
        <f t="shared" si="113"/>
        <v>1.5929214288316958E-2</v>
      </c>
      <c r="O85" s="89">
        <f t="shared" si="113"/>
        <v>1.5154258083730927E-2</v>
      </c>
      <c r="P85" s="89">
        <f t="shared" si="113"/>
        <v>1.5612355783681302E-2</v>
      </c>
      <c r="Q85" s="89">
        <f t="shared" si="113"/>
        <v>1.5431605389358302E-2</v>
      </c>
      <c r="R85" s="89">
        <f t="shared" si="113"/>
        <v>1.4991430246718685E-2</v>
      </c>
      <c r="S85" s="89">
        <f t="shared" si="113"/>
        <v>1.4497866663726669E-2</v>
      </c>
      <c r="T85" s="89">
        <f t="shared" ref="T85:Y85" si="114">T57/T$23</f>
        <v>1.3966043977951755E-2</v>
      </c>
      <c r="U85" s="89">
        <f t="shared" si="114"/>
        <v>1.4053669769670245E-2</v>
      </c>
      <c r="V85" s="89">
        <f t="shared" si="114"/>
        <v>1.3772146322171105E-2</v>
      </c>
      <c r="W85" s="89">
        <f t="shared" si="114"/>
        <v>1.392571012381646E-2</v>
      </c>
      <c r="X85" s="89">
        <f t="shared" si="114"/>
        <v>1.4468942383390301E-2</v>
      </c>
      <c r="Y85" s="89">
        <f t="shared" si="114"/>
        <v>1.3585252685699954E-2</v>
      </c>
      <c r="Z85" s="89">
        <f t="shared" ref="Z85:AA85" si="115">Z57/Z$23</f>
        <v>1.2083637984070191E-2</v>
      </c>
      <c r="AA85" s="89">
        <f t="shared" si="115"/>
        <v>1.3391138414154433E-2</v>
      </c>
    </row>
    <row r="86" spans="1:27" x14ac:dyDescent="0.25">
      <c r="A86" s="68" t="s">
        <v>269</v>
      </c>
      <c r="B86" s="44"/>
      <c r="C86" s="44"/>
      <c r="D86" s="89">
        <f t="shared" si="109"/>
        <v>6.7546616383825685E-3</v>
      </c>
      <c r="E86" s="89">
        <f t="shared" ref="E86:S86" si="116">E58/E$23</f>
        <v>7.5970051929890722E-3</v>
      </c>
      <c r="F86" s="89">
        <f t="shared" si="116"/>
        <v>8.3581722643886556E-3</v>
      </c>
      <c r="G86" s="89">
        <f t="shared" si="116"/>
        <v>7.9690002114995318E-3</v>
      </c>
      <c r="H86" s="89">
        <f t="shared" si="116"/>
        <v>6.315819761754043E-3</v>
      </c>
      <c r="I86" s="89">
        <f t="shared" si="116"/>
        <v>6.8658790826963178E-3</v>
      </c>
      <c r="J86" s="89">
        <f t="shared" si="116"/>
        <v>6.9797375300221596E-3</v>
      </c>
      <c r="K86" s="89">
        <f t="shared" si="116"/>
        <v>6.3303864643055154E-3</v>
      </c>
      <c r="L86" s="89">
        <f t="shared" si="116"/>
        <v>6.3886548722269024E-3</v>
      </c>
      <c r="M86" s="89">
        <f t="shared" si="116"/>
        <v>4.8977076967570759E-3</v>
      </c>
      <c r="N86" s="89">
        <f t="shared" si="116"/>
        <v>4.7307883837586391E-3</v>
      </c>
      <c r="O86" s="89">
        <f t="shared" si="116"/>
        <v>5.2499722609919471E-3</v>
      </c>
      <c r="P86" s="89">
        <f t="shared" si="116"/>
        <v>5.0981480196989658E-3</v>
      </c>
      <c r="Q86" s="89">
        <f t="shared" si="116"/>
        <v>5.2523407170586896E-3</v>
      </c>
      <c r="R86" s="89">
        <f t="shared" si="116"/>
        <v>4.9670741058139012E-3</v>
      </c>
      <c r="S86" s="89">
        <f t="shared" si="116"/>
        <v>4.8730471979978613E-3</v>
      </c>
      <c r="T86" s="89">
        <f t="shared" ref="T86:Y86" si="117">T58/T$23</f>
        <v>5.7329748428011839E-3</v>
      </c>
      <c r="U86" s="89">
        <f t="shared" si="117"/>
        <v>5.5380113645144844E-3</v>
      </c>
      <c r="V86" s="89">
        <f t="shared" si="117"/>
        <v>5.9323858203463309E-3</v>
      </c>
      <c r="W86" s="89">
        <f t="shared" si="117"/>
        <v>5.370235494051954E-3</v>
      </c>
      <c r="X86" s="89">
        <f t="shared" si="117"/>
        <v>5.4081278391448712E-3</v>
      </c>
      <c r="Y86" s="89">
        <f t="shared" si="117"/>
        <v>5.4851909134398785E-3</v>
      </c>
      <c r="Z86" s="89">
        <f t="shared" ref="Z86:AA86" si="118">Z58/Z$23</f>
        <v>4.7157770865150408E-3</v>
      </c>
      <c r="AA86" s="89">
        <f t="shared" si="118"/>
        <v>5.3857484809427363E-3</v>
      </c>
    </row>
    <row r="87" spans="1:27" x14ac:dyDescent="0.25">
      <c r="A87" s="68" t="s">
        <v>270</v>
      </c>
      <c r="B87" s="44"/>
      <c r="C87" s="44"/>
      <c r="D87" s="89">
        <f t="shared" si="109"/>
        <v>0.11980724910957467</v>
      </c>
      <c r="E87" s="89">
        <f t="shared" ref="E87:S87" si="119">E59/E$23</f>
        <v>0.11067116044843542</v>
      </c>
      <c r="F87" s="89">
        <f t="shared" si="119"/>
        <v>0.11222075407921826</v>
      </c>
      <c r="G87" s="89">
        <f t="shared" si="119"/>
        <v>0.11213251956370668</v>
      </c>
      <c r="H87" s="89">
        <f t="shared" si="119"/>
        <v>0.10840478793807906</v>
      </c>
      <c r="I87" s="89">
        <f t="shared" si="119"/>
        <v>0.11184155663655317</v>
      </c>
      <c r="J87" s="89">
        <f t="shared" si="119"/>
        <v>0.1167580048035456</v>
      </c>
      <c r="K87" s="89">
        <f t="shared" si="119"/>
        <v>0.12288504773684113</v>
      </c>
      <c r="L87" s="89">
        <f t="shared" si="119"/>
        <v>0.11991013760179725</v>
      </c>
      <c r="M87" s="89">
        <f t="shared" si="119"/>
        <v>9.2654067172155352E-2</v>
      </c>
      <c r="N87" s="89">
        <f t="shared" si="119"/>
        <v>9.0170405548200605E-2</v>
      </c>
      <c r="O87" s="89">
        <f t="shared" si="119"/>
        <v>8.3491494344162254E-2</v>
      </c>
      <c r="P87" s="89">
        <f t="shared" si="119"/>
        <v>6.7744098402349087E-2</v>
      </c>
      <c r="Q87" s="89">
        <f t="shared" si="119"/>
        <v>7.1123544188170823E-2</v>
      </c>
      <c r="R87" s="89">
        <f t="shared" si="119"/>
        <v>7.2239637364124309E-2</v>
      </c>
      <c r="S87" s="89">
        <f t="shared" si="119"/>
        <v>7.1452983914534265E-2</v>
      </c>
      <c r="T87" s="89">
        <f t="shared" ref="T87:Y87" si="120">T59/T$23</f>
        <v>7.1134148378440995E-2</v>
      </c>
      <c r="U87" s="89">
        <f t="shared" si="120"/>
        <v>7.3349028658564852E-2</v>
      </c>
      <c r="V87" s="89">
        <f t="shared" si="120"/>
        <v>6.8059734369289762E-2</v>
      </c>
      <c r="W87" s="89">
        <f t="shared" si="120"/>
        <v>7.0172371934935654E-2</v>
      </c>
      <c r="X87" s="89">
        <f t="shared" si="120"/>
        <v>7.3924119956774087E-2</v>
      </c>
      <c r="Y87" s="89">
        <f t="shared" si="120"/>
        <v>7.4386805816810425E-2</v>
      </c>
      <c r="Z87" s="89">
        <f t="shared" ref="Z87:AA87" si="121">Z59/Z$23</f>
        <v>7.1974006982811201E-2</v>
      </c>
      <c r="AA87" s="89">
        <f t="shared" si="121"/>
        <v>7.1127868632932162E-2</v>
      </c>
    </row>
    <row r="88" spans="1:27" x14ac:dyDescent="0.25">
      <c r="A88" s="68" t="s">
        <v>1</v>
      </c>
      <c r="B88" s="44"/>
      <c r="C88" s="44"/>
      <c r="D88" s="89">
        <f t="shared" si="109"/>
        <v>4.8355332076262308E-3</v>
      </c>
      <c r="E88" s="89">
        <f t="shared" ref="E88:S88" si="122">E60/E$23</f>
        <v>4.5644881252602382E-3</v>
      </c>
      <c r="F88" s="89">
        <f t="shared" si="122"/>
        <v>4.5401468825861171E-3</v>
      </c>
      <c r="G88" s="89">
        <f t="shared" si="122"/>
        <v>4.1695621959694229E-3</v>
      </c>
      <c r="H88" s="89">
        <f t="shared" si="122"/>
        <v>3.9276054554871383E-3</v>
      </c>
      <c r="I88" s="89">
        <f t="shared" si="122"/>
        <v>3.8220986796386382E-3</v>
      </c>
      <c r="J88" s="89">
        <f t="shared" si="122"/>
        <v>3.7817969506774058E-3</v>
      </c>
      <c r="K88" s="89">
        <f t="shared" si="122"/>
        <v>3.2352600698231267E-3</v>
      </c>
      <c r="L88" s="89">
        <f t="shared" si="122"/>
        <v>3.2177291023120845E-3</v>
      </c>
      <c r="M88" s="89">
        <f t="shared" si="122"/>
        <v>2.961258440529631E-3</v>
      </c>
      <c r="N88" s="89">
        <f t="shared" si="122"/>
        <v>2.8178251733812689E-3</v>
      </c>
      <c r="O88" s="89">
        <f t="shared" si="122"/>
        <v>2.6921437289402534E-3</v>
      </c>
      <c r="P88" s="89">
        <f t="shared" si="122"/>
        <v>2.6588980601604585E-3</v>
      </c>
      <c r="Q88" s="89">
        <f t="shared" si="122"/>
        <v>2.3635533226764103E-3</v>
      </c>
      <c r="R88" s="89">
        <f t="shared" si="122"/>
        <v>2.181904289387037E-3</v>
      </c>
      <c r="S88" s="89">
        <f t="shared" si="122"/>
        <v>2.1553862606529003E-3</v>
      </c>
      <c r="T88" s="89">
        <f t="shared" ref="T88:Y88" si="123">T60/T$23</f>
        <v>2.2360757140624916E-3</v>
      </c>
      <c r="U88" s="89">
        <f t="shared" si="123"/>
        <v>2.1585365225409944E-3</v>
      </c>
      <c r="V88" s="89">
        <f t="shared" si="123"/>
        <v>2.0775865953111625E-3</v>
      </c>
      <c r="W88" s="89">
        <f t="shared" si="123"/>
        <v>1.9519300801165329E-3</v>
      </c>
      <c r="X88" s="89">
        <f t="shared" si="123"/>
        <v>2.0732786652779612E-3</v>
      </c>
      <c r="Y88" s="89">
        <f t="shared" si="123"/>
        <v>2.0946834055557877E-3</v>
      </c>
      <c r="Z88" s="89">
        <f t="shared" ref="Z88:AA88" si="124">Z60/Z$23</f>
        <v>1.9382276465676497E-3</v>
      </c>
      <c r="AA88" s="89">
        <f t="shared" si="124"/>
        <v>1.7617716476121927E-3</v>
      </c>
    </row>
    <row r="89" spans="1:27" x14ac:dyDescent="0.25">
      <c r="A89" s="68" t="s">
        <v>0</v>
      </c>
      <c r="B89" s="44"/>
      <c r="C89" s="44"/>
      <c r="D89" s="89">
        <f t="shared" si="109"/>
        <v>1.1824848103917871E-2</v>
      </c>
      <c r="E89" s="89">
        <f t="shared" ref="E89:S89" si="125">E61/E$23</f>
        <v>1.1556561157070242E-2</v>
      </c>
      <c r="F89" s="89">
        <f t="shared" si="125"/>
        <v>1.1215929693021541E-2</v>
      </c>
      <c r="G89" s="89">
        <f t="shared" si="125"/>
        <v>1.0922440100311206E-2</v>
      </c>
      <c r="H89" s="89">
        <f t="shared" si="125"/>
        <v>9.9988490533463783E-3</v>
      </c>
      <c r="I89" s="89">
        <f t="shared" si="125"/>
        <v>9.5552466990965965E-3</v>
      </c>
      <c r="J89" s="89">
        <f t="shared" si="125"/>
        <v>1.0224121229813829E-2</v>
      </c>
      <c r="K89" s="89">
        <f t="shared" si="125"/>
        <v>1.0875591760139889E-2</v>
      </c>
      <c r="L89" s="89">
        <f t="shared" si="125"/>
        <v>7.6172423476551536E-3</v>
      </c>
      <c r="M89" s="89">
        <f t="shared" si="125"/>
        <v>5.5515736793793303E-3</v>
      </c>
      <c r="N89" s="89">
        <f t="shared" si="125"/>
        <v>7.5546864562204708E-3</v>
      </c>
      <c r="O89" s="89">
        <f t="shared" si="125"/>
        <v>6.7683179649495745E-3</v>
      </c>
      <c r="P89" s="89">
        <f t="shared" si="125"/>
        <v>6.2946521467711729E-3</v>
      </c>
      <c r="Q89" s="89">
        <f t="shared" si="125"/>
        <v>6.7081525462434352E-3</v>
      </c>
      <c r="R89" s="89">
        <f t="shared" si="125"/>
        <v>6.8332506427314955E-3</v>
      </c>
      <c r="S89" s="89">
        <f t="shared" si="125"/>
        <v>6.6535836741893877E-3</v>
      </c>
      <c r="T89" s="89">
        <f t="shared" ref="T89:Y89" si="126">T61/T$23</f>
        <v>6.6381813969276868E-3</v>
      </c>
      <c r="U89" s="89">
        <f t="shared" si="126"/>
        <v>6.9031955613482873E-3</v>
      </c>
      <c r="V89" s="89">
        <f t="shared" si="126"/>
        <v>6.9486510705828756E-3</v>
      </c>
      <c r="W89" s="89">
        <f t="shared" si="126"/>
        <v>6.0548676863316333E-3</v>
      </c>
      <c r="X89" s="89">
        <f t="shared" si="126"/>
        <v>5.8628799992176302E-3</v>
      </c>
      <c r="Y89" s="89">
        <f t="shared" si="126"/>
        <v>1.0366592818626428E-2</v>
      </c>
      <c r="Z89" s="89">
        <f t="shared" ref="Z89:AA89" si="127">Z61/Z$23</f>
        <v>1.1547164260466645E-2</v>
      </c>
      <c r="AA89" s="89">
        <f t="shared" si="127"/>
        <v>6.1724778627743095E-3</v>
      </c>
    </row>
    <row r="90" spans="1:27" x14ac:dyDescent="0.25">
      <c r="A90" s="90" t="s">
        <v>272</v>
      </c>
      <c r="B90" s="47"/>
      <c r="C90" s="47"/>
      <c r="D90" s="91">
        <f t="shared" si="109"/>
        <v>1.6593337523570083E-2</v>
      </c>
      <c r="E90" s="91">
        <f t="shared" ref="E90:S90" si="128">E62/E$23</f>
        <v>1.6199611900665427E-2</v>
      </c>
      <c r="F90" s="91">
        <f t="shared" si="128"/>
        <v>1.5456472974218725E-2</v>
      </c>
      <c r="G90" s="91">
        <f t="shared" si="128"/>
        <v>1.4638789014110041E-2</v>
      </c>
      <c r="H90" s="91">
        <f t="shared" si="128"/>
        <v>1.5120561661966968E-2</v>
      </c>
      <c r="I90" s="91">
        <f t="shared" si="128"/>
        <v>1.3488533703961086E-2</v>
      </c>
      <c r="J90" s="91">
        <f t="shared" si="128"/>
        <v>1.3541486976022079E-2</v>
      </c>
      <c r="K90" s="91">
        <f t="shared" si="128"/>
        <v>1.2965411353264809E-2</v>
      </c>
      <c r="L90" s="91">
        <f t="shared" si="128"/>
        <v>1.1560423102124871E-2</v>
      </c>
      <c r="M90" s="91">
        <f t="shared" si="128"/>
        <v>1.0191507286833403E-2</v>
      </c>
      <c r="N90" s="91">
        <f t="shared" si="128"/>
        <v>9.8441694095927502E-3</v>
      </c>
      <c r="O90" s="91">
        <f t="shared" si="128"/>
        <v>1.0172916216516099E-2</v>
      </c>
      <c r="P90" s="91">
        <f t="shared" si="128"/>
        <v>1.0115373054958266E-2</v>
      </c>
      <c r="Q90" s="91">
        <f t="shared" si="128"/>
        <v>9.0374514729390266E-3</v>
      </c>
      <c r="R90" s="91">
        <f t="shared" si="128"/>
        <v>9.0151549321185326E-3</v>
      </c>
      <c r="S90" s="91">
        <f t="shared" si="128"/>
        <v>8.9247323682788877E-3</v>
      </c>
      <c r="T90" s="91">
        <f t="shared" ref="T90:Y90" si="129">T62/T$23</f>
        <v>9.0251248700112616E-3</v>
      </c>
      <c r="U90" s="91">
        <f t="shared" si="129"/>
        <v>8.6908141134287766E-3</v>
      </c>
      <c r="V90" s="91">
        <f t="shared" si="129"/>
        <v>8.7859384934243136E-3</v>
      </c>
      <c r="W90" s="91">
        <f t="shared" si="129"/>
        <v>8.5603301772274824E-3</v>
      </c>
      <c r="X90" s="91">
        <f t="shared" si="129"/>
        <v>8.3469025510129243E-3</v>
      </c>
      <c r="Y90" s="91">
        <f t="shared" si="129"/>
        <v>8.4437570538812012E-3</v>
      </c>
      <c r="Z90" s="91">
        <f t="shared" ref="Z90:AA90" si="130">Z62/Z$23</f>
        <v>8.0773906610308085E-3</v>
      </c>
      <c r="AA90" s="91">
        <f t="shared" si="130"/>
        <v>7.7543060879463012E-3</v>
      </c>
    </row>
    <row r="91" spans="1:27" x14ac:dyDescent="0.25">
      <c r="A91" s="38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  <c r="Z91" s="37"/>
      <c r="AA91" s="37"/>
    </row>
    <row r="92" spans="1:27" x14ac:dyDescent="0.25">
      <c r="A92" s="58" t="s">
        <v>236</v>
      </c>
      <c r="B92" s="50"/>
      <c r="C92" s="50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</row>
    <row r="93" spans="1:27" x14ac:dyDescent="0.25">
      <c r="A93" s="40" t="s">
        <v>139</v>
      </c>
      <c r="B93" s="41"/>
      <c r="C93" s="41"/>
      <c r="D93" s="41"/>
      <c r="E93" s="92">
        <f t="shared" ref="E93:E94" si="131">IF(D16=0,"",E16/D16-1)</f>
        <v>2.6401047411306777E-2</v>
      </c>
      <c r="F93" s="92">
        <f t="shared" ref="F93:F94" si="132">IF(E16=0,"",F16/E16-1)</f>
        <v>1.6874190572708114E-2</v>
      </c>
      <c r="G93" s="92">
        <f t="shared" ref="G93:G94" si="133">IF(F16=0,"",G16/F16-1)</f>
        <v>2.0117049054267255E-2</v>
      </c>
      <c r="H93" s="92">
        <f t="shared" ref="H93:H94" si="134">IF(G16=0,"",H16/G16-1)</f>
        <v>4.0062619045506231E-2</v>
      </c>
      <c r="I93" s="92">
        <f t="shared" ref="I93:I94" si="135">IF(H16=0,"",I16/H16-1)</f>
        <v>2.7773342215621666E-2</v>
      </c>
      <c r="J93" s="92">
        <f t="shared" ref="J93:J94" si="136">IF(I16=0,"",J16/I16-1)</f>
        <v>4.0189423628261611E-2</v>
      </c>
      <c r="K93" s="92">
        <f t="shared" ref="K93:K94" si="137">IF(J16=0,"",K16/J16-1)</f>
        <v>5.3130928542508782E-2</v>
      </c>
      <c r="L93" s="92">
        <f t="shared" ref="L93:L94" si="138">IF(K16=0,"",L16/K16-1)</f>
        <v>7.8488839821775347E-3</v>
      </c>
      <c r="M93" s="92">
        <f t="shared" ref="M93:M94" si="139">IF(L16=0,"",M16/L16-1)</f>
        <v>-8.0768222514003063E-2</v>
      </c>
      <c r="N93" s="92">
        <f t="shared" ref="N93:N94" si="140">IF(M16=0,"",N16/M16-1)</f>
        <v>3.1690589929802115E-2</v>
      </c>
      <c r="O93" s="92">
        <f t="shared" ref="O93:O94" si="141">IF(N16=0,"",O16/N16-1)</f>
        <v>2.3894604937856112E-2</v>
      </c>
      <c r="P93" s="92">
        <f t="shared" ref="P93:P94" si="142">IF(O16=0,"",P16/O16-1)</f>
        <v>-1.5224112568998471E-2</v>
      </c>
      <c r="Q93" s="92">
        <f t="shared" ref="Q93:Q94" si="143">IF(P16=0,"",Q16/P16-1)</f>
        <v>-9.7918223779276392E-3</v>
      </c>
      <c r="R93" s="92">
        <f t="shared" ref="R93:R94" si="144">IF(Q16=0,"",R16/Q16-1)</f>
        <v>-4.7902172270398724E-3</v>
      </c>
      <c r="S93" s="92">
        <f t="shared" ref="S93:S94" si="145">IF(R16=0,"",S16/R16-1)</f>
        <v>4.669871900123912E-3</v>
      </c>
      <c r="T93" s="92">
        <f t="shared" ref="T93:T94" si="146">IF(S16=0,"",T16/S16-1)</f>
        <v>2.5721344620738718E-2</v>
      </c>
      <c r="U93" s="92">
        <f t="shared" ref="U93:U94" si="147">IF(T16=0,"",U16/T16-1)</f>
        <v>3.3028639816380823E-2</v>
      </c>
      <c r="V93" s="92">
        <f t="shared" ref="V93:V94" si="148">IF(U16=0,"",V16/U16-1)</f>
        <v>1.1937482067395422E-2</v>
      </c>
      <c r="W93" s="92">
        <f t="shared" ref="W93:W94" si="149">IF(V16=0,"",W16/V16-1)</f>
        <v>1.349518788152948E-2</v>
      </c>
      <c r="X93" s="92">
        <f t="shared" ref="X93:X94" si="150">IF(W16=0,"",X16/W16-1)</f>
        <v>-2.49117355705476E-2</v>
      </c>
      <c r="Y93" s="92">
        <f t="shared" ref="Y93:Y94" si="151">IF(X16=0,"",Y16/X16-1)</f>
        <v>2.6760661666554109E-2</v>
      </c>
      <c r="Z93" s="92">
        <f t="shared" ref="Z93:Z94" si="152">IF(Y16=0,"",Z16/Y16-1)</f>
        <v>7.6358934427454006E-3</v>
      </c>
      <c r="AA93" s="92">
        <f t="shared" ref="AA93:AA94" si="153">IF(Z16=0,"",AA16/Z16-1)</f>
        <v>-9.393825066830952E-3</v>
      </c>
    </row>
    <row r="94" spans="1:27" x14ac:dyDescent="0.25">
      <c r="A94" s="46" t="s">
        <v>141</v>
      </c>
      <c r="B94" s="47"/>
      <c r="C94" s="47"/>
      <c r="D94" s="47"/>
      <c r="E94" s="93">
        <f t="shared" si="131"/>
        <v>2.6851022910565403E-2</v>
      </c>
      <c r="F94" s="93">
        <f t="shared" si="132"/>
        <v>2.5034438741038612E-2</v>
      </c>
      <c r="G94" s="93">
        <f t="shared" si="133"/>
        <v>4.131534542947457E-2</v>
      </c>
      <c r="H94" s="93">
        <f t="shared" si="134"/>
        <v>3.7538252522077542E-2</v>
      </c>
      <c r="I94" s="93">
        <f t="shared" si="135"/>
        <v>3.1749390597132221E-2</v>
      </c>
      <c r="J94" s="93">
        <f t="shared" si="136"/>
        <v>3.9238917556126074E-2</v>
      </c>
      <c r="K94" s="93">
        <f t="shared" si="137"/>
        <v>3.503282949847164E-2</v>
      </c>
      <c r="L94" s="93">
        <f t="shared" si="138"/>
        <v>1.96973725415448E-2</v>
      </c>
      <c r="M94" s="93">
        <f t="shared" si="139"/>
        <v>-2.9221410618099908E-2</v>
      </c>
      <c r="N94" s="93">
        <f t="shared" si="140"/>
        <v>2.2028397035675606E-2</v>
      </c>
      <c r="O94" s="93">
        <f t="shared" si="141"/>
        <v>2.8925675575263377E-2</v>
      </c>
      <c r="P94" s="93">
        <f t="shared" si="142"/>
        <v>3.9196886909735884E-3</v>
      </c>
      <c r="Q94" s="93">
        <f t="shared" si="143"/>
        <v>-4.8797718064037543E-3</v>
      </c>
      <c r="R94" s="93">
        <f t="shared" si="144"/>
        <v>5.3416932018390817E-3</v>
      </c>
      <c r="S94" s="93">
        <f t="shared" si="145"/>
        <v>1.3584156317892893E-2</v>
      </c>
      <c r="T94" s="93">
        <f t="shared" si="146"/>
        <v>1.8485966589645075E-2</v>
      </c>
      <c r="U94" s="93">
        <f t="shared" si="147"/>
        <v>4.4557603364649978E-3</v>
      </c>
      <c r="V94" s="93">
        <f t="shared" si="148"/>
        <v>1.1412381071832289E-2</v>
      </c>
      <c r="W94" s="93">
        <f t="shared" si="149"/>
        <v>4.1243741678218537E-3</v>
      </c>
      <c r="X94" s="93">
        <f t="shared" si="150"/>
        <v>-3.425096703734487E-2</v>
      </c>
      <c r="Y94" s="93">
        <f t="shared" si="151"/>
        <v>3.2008330364671878E-2</v>
      </c>
      <c r="Z94" s="93">
        <f t="shared" si="152"/>
        <v>8.5980723985246144E-3</v>
      </c>
      <c r="AA94" s="93">
        <f t="shared" si="153"/>
        <v>-4.2232579447998297E-4</v>
      </c>
    </row>
    <row r="95" spans="1:27" x14ac:dyDescent="0.25">
      <c r="A95" s="40" t="s">
        <v>242</v>
      </c>
      <c r="B95" s="41"/>
      <c r="C95" s="41"/>
      <c r="D95" s="41"/>
      <c r="E95" s="92">
        <f t="shared" ref="E95:E96" si="154">IF(D20=0,"",E20/D20-1)</f>
        <v>2.4457050129206737E-2</v>
      </c>
      <c r="F95" s="92">
        <f t="shared" ref="F95:F96" si="155">IF(E20=0,"",F20/E20-1)</f>
        <v>1.4175654529146264E-2</v>
      </c>
      <c r="G95" s="92">
        <f t="shared" ref="G95:G96" si="156">IF(F20=0,"",G20/F20-1)</f>
        <v>1.7884518308905584E-2</v>
      </c>
      <c r="H95" s="92">
        <f t="shared" ref="H95:H96" si="157">IF(G20=0,"",H20/G20-1)</f>
        <v>3.7385216946679067E-2</v>
      </c>
      <c r="I95" s="92">
        <f t="shared" ref="I95:I96" si="158">IF(H20=0,"",I20/H20-1)</f>
        <v>2.4460553420873055E-2</v>
      </c>
      <c r="J95" s="92">
        <f t="shared" ref="J95:J96" si="159">IF(I20=0,"",J20/I20-1)</f>
        <v>3.6435060993347035E-2</v>
      </c>
      <c r="K95" s="92">
        <f t="shared" ref="K95:K96" si="160">IF(J20=0,"",K20/J20-1)</f>
        <v>4.8865083259083786E-2</v>
      </c>
      <c r="L95" s="92">
        <f t="shared" ref="L95:L96" si="161">IF(K20=0,"",L20/K20-1)</f>
        <v>3.3750139749824104E-3</v>
      </c>
      <c r="M95" s="92">
        <f t="shared" ref="M95:M96" si="162">IF(L20=0,"",M20/L20-1)</f>
        <v>-8.5226043966599163E-2</v>
      </c>
      <c r="N95" s="92">
        <f t="shared" ref="N95:N96" si="163">IF(M20=0,"",N20/M20-1)</f>
        <v>2.6849106380665289E-2</v>
      </c>
      <c r="O95" s="92">
        <f t="shared" ref="O95:O96" si="164">IF(N20=0,"",O20/N20-1)</f>
        <v>1.9351794032301806E-2</v>
      </c>
      <c r="P95" s="92">
        <f t="shared" ref="P95:P96" si="165">IF(O20=0,"",P20/O20-1)</f>
        <v>-1.9962872954333855E-2</v>
      </c>
      <c r="Q95" s="92">
        <f t="shared" ref="Q95:Q96" si="166">IF(P20=0,"",Q20/P20-1)</f>
        <v>-1.4427851586397478E-2</v>
      </c>
      <c r="R95" s="92">
        <f t="shared" ref="R95:R96" si="167">IF(Q20=0,"",R20/Q20-1)</f>
        <v>-9.2805799896775731E-3</v>
      </c>
      <c r="S95" s="92">
        <f t="shared" ref="S95:S96" si="168">IF(R20=0,"",S20/R20-1)</f>
        <v>9.0898339033018694E-4</v>
      </c>
      <c r="T95" s="92">
        <f t="shared" ref="T95:T96" si="169">IF(S20=0,"",T20/S20-1)</f>
        <v>2.2813708396277388E-2</v>
      </c>
      <c r="U95" s="92">
        <f t="shared" ref="U95:U96" si="170">IF(T20=0,"",U20/T20-1)</f>
        <v>3.0027330797073981E-2</v>
      </c>
      <c r="V95" s="92">
        <f t="shared" ref="V95:V96" si="171">IF(U20=0,"",V20/U20-1)</f>
        <v>1.0132630510989449E-2</v>
      </c>
      <c r="W95" s="92">
        <f t="shared" ref="W95:W96" si="172">IF(V20=0,"",W20/V20-1)</f>
        <v>1.2615575756965036E-2</v>
      </c>
      <c r="X95" s="92">
        <f t="shared" ref="X95:X96" si="173">IF(W20=0,"",X20/W20-1)</f>
        <v>-2.6212902237148783E-2</v>
      </c>
      <c r="Y95" s="92">
        <f t="shared" ref="Y95:Y96" si="174">IF(X20=0,"",Y20/X20-1)</f>
        <v>2.518335431428631E-2</v>
      </c>
      <c r="Z95" s="92">
        <f t="shared" ref="Z95:Z96" si="175">IF(Y20=0,"",Z20/Y20-1)</f>
        <v>5.0119404838777637E-3</v>
      </c>
      <c r="AA95" s="92">
        <f t="shared" ref="AA95:AA96" si="176">IF(Z20=0,"",AA20/Z20-1)</f>
        <v>-1.2194207622007069E-2</v>
      </c>
    </row>
    <row r="96" spans="1:27" x14ac:dyDescent="0.25">
      <c r="A96" s="46" t="s">
        <v>243</v>
      </c>
      <c r="B96" s="47"/>
      <c r="C96" s="47"/>
      <c r="D96" s="47"/>
      <c r="E96" s="93">
        <f t="shared" si="154"/>
        <v>2.4906173377632568E-2</v>
      </c>
      <c r="F96" s="93">
        <f t="shared" si="155"/>
        <v>2.2314247389464414E-2</v>
      </c>
      <c r="G96" s="93">
        <f t="shared" si="156"/>
        <v>3.9036422117249003E-2</v>
      </c>
      <c r="H96" s="93">
        <f t="shared" si="157"/>
        <v>3.4867348824504818E-2</v>
      </c>
      <c r="I96" s="93">
        <f t="shared" si="158"/>
        <v>2.8423785933373802E-2</v>
      </c>
      <c r="J96" s="93">
        <f t="shared" si="159"/>
        <v>3.5487985589126803E-2</v>
      </c>
      <c r="K96" s="93">
        <f t="shared" si="160"/>
        <v>3.0840292944620096E-2</v>
      </c>
      <c r="L96" s="93">
        <f t="shared" si="161"/>
        <v>1.5170906754924163E-2</v>
      </c>
      <c r="M96" s="93">
        <f t="shared" si="162"/>
        <v>-3.3929208724583049E-2</v>
      </c>
      <c r="N96" s="93">
        <f t="shared" si="163"/>
        <v>1.723225590644839E-2</v>
      </c>
      <c r="O96" s="93">
        <f t="shared" si="164"/>
        <v>2.4360542838489652E-2</v>
      </c>
      <c r="P96" s="93">
        <f t="shared" si="165"/>
        <v>-9.1119203178391395E-4</v>
      </c>
      <c r="Q96" s="93">
        <f t="shared" si="166"/>
        <v>-9.5387986131945102E-3</v>
      </c>
      <c r="R96" s="93">
        <f t="shared" si="167"/>
        <v>8.0561550141466931E-4</v>
      </c>
      <c r="S96" s="93">
        <f t="shared" si="168"/>
        <v>9.7898980109372147E-3</v>
      </c>
      <c r="T96" s="93">
        <f t="shared" si="169"/>
        <v>1.5598840660081548E-2</v>
      </c>
      <c r="U96" s="93">
        <f t="shared" si="170"/>
        <v>1.537465512104319E-3</v>
      </c>
      <c r="V96" s="93">
        <f t="shared" si="171"/>
        <v>9.6084660647348663E-3</v>
      </c>
      <c r="W96" s="93">
        <f t="shared" si="172"/>
        <v>3.2528949692525178E-3</v>
      </c>
      <c r="X96" s="93">
        <f t="shared" si="173"/>
        <v>-3.5539671348362778E-2</v>
      </c>
      <c r="Y96" s="93">
        <f t="shared" si="174"/>
        <v>3.0422961555894412E-2</v>
      </c>
      <c r="Z96" s="93">
        <f t="shared" si="175"/>
        <v>5.9716138596805912E-3</v>
      </c>
      <c r="AA96" s="93">
        <f t="shared" si="176"/>
        <v>-3.2480702247300597E-3</v>
      </c>
    </row>
    <row r="97" spans="1:27" x14ac:dyDescent="0.25">
      <c r="A97" s="94" t="s">
        <v>142</v>
      </c>
      <c r="B97" s="44"/>
      <c r="C97" s="44"/>
      <c r="D97" s="89"/>
      <c r="E97" s="89">
        <f t="shared" ref="E97:E106" si="177">IF(D23=0,"",E23/D23-1)</f>
        <v>2.7805877120654632E-2</v>
      </c>
      <c r="F97" s="89">
        <f t="shared" ref="F97:F106" si="178">IF(E23=0,"",F23/E23-1)</f>
        <v>1.3145107826598279E-2</v>
      </c>
      <c r="G97" s="89">
        <f t="shared" ref="G97:G106" si="179">IF(F23=0,"",G23/F23-1)</f>
        <v>1.179367276520682E-2</v>
      </c>
      <c r="H97" s="89">
        <f t="shared" ref="H97:H106" si="180">IF(G23=0,"",H23/G23-1)</f>
        <v>3.8784813935186291E-2</v>
      </c>
      <c r="I97" s="89">
        <f t="shared" ref="I97:I106" si="181">IF(H23=0,"",I23/H23-1)</f>
        <v>2.5797770363891193E-2</v>
      </c>
      <c r="J97" s="89">
        <f t="shared" ref="J97:J106" si="182">IF(I23=0,"",J23/I23-1)</f>
        <v>3.7895730038483455E-2</v>
      </c>
      <c r="K97" s="89">
        <f t="shared" ref="K97:K106" si="183">IF(J23=0,"",K23/J23-1)</f>
        <v>6.0195422959594902E-2</v>
      </c>
      <c r="L97" s="89">
        <f t="shared" ref="L97:L106" si="184">IF(K23=0,"",L23/K23-1)</f>
        <v>9.1527174084107266E-3</v>
      </c>
      <c r="M97" s="89">
        <f t="shared" ref="M97:M106" si="185">IF(L23=0,"",M23/L23-1)</f>
        <v>-8.6244078708142768E-2</v>
      </c>
      <c r="N97" s="89">
        <f t="shared" ref="N97:N106" si="186">IF(M23=0,"",N23/M23-1)</f>
        <v>3.2141683494063544E-2</v>
      </c>
      <c r="O97" s="89">
        <f t="shared" ref="O97:O106" si="187">IF(N23=0,"",O23/N23-1)</f>
        <v>1.7291943915191288E-2</v>
      </c>
      <c r="P97" s="89">
        <f t="shared" ref="P97:P106" si="188">IF(O23=0,"",P23/O23-1)</f>
        <v>-2.0468776443139602E-2</v>
      </c>
      <c r="Q97" s="89">
        <f t="shared" ref="Q97:Q106" si="189">IF(P23=0,"",Q23/P23-1)</f>
        <v>-1.1466359251997127E-2</v>
      </c>
      <c r="R97" s="89">
        <f t="shared" ref="R97:R106" si="190">IF(Q23=0,"",R23/Q23-1)</f>
        <v>-4.3788658440299111E-3</v>
      </c>
      <c r="S97" s="89">
        <f t="shared" ref="S97:S106" si="191">IF(R23=0,"",S23/R23-1)</f>
        <v>3.0677486356049943E-3</v>
      </c>
      <c r="T97" s="89">
        <f t="shared" ref="T97:T106" si="192">IF(S23=0,"",T23/S23-1)</f>
        <v>2.3295716328955329E-2</v>
      </c>
      <c r="U97" s="89">
        <f t="shared" ref="U97:U106" si="193">IF(T23=0,"",U23/T23-1)</f>
        <v>3.7532259804550216E-2</v>
      </c>
      <c r="V97" s="89">
        <f t="shared" ref="V97:V106" si="194">IF(U23=0,"",V23/U23-1)</f>
        <v>7.9627878720864853E-3</v>
      </c>
      <c r="W97" s="89">
        <f t="shared" ref="W97:W106" si="195">IF(V23=0,"",W23/V23-1)</f>
        <v>1.6209349422060537E-2</v>
      </c>
      <c r="X97" s="89">
        <f t="shared" ref="X97:X106" si="196">IF(W23=0,"",X23/W23-1)</f>
        <v>-2.4278769500903574E-2</v>
      </c>
      <c r="Y97" s="89">
        <f t="shared" ref="Y97:Y106" si="197">IF(X23=0,"",Y23/X23-1)</f>
        <v>2.7528640407316507E-2</v>
      </c>
      <c r="Z97" s="89">
        <f t="shared" ref="Z97:Z108" si="198">IF(Y23=0,"",Z23/Y23-1)</f>
        <v>1.0746469155716643E-2</v>
      </c>
      <c r="AA97" s="89">
        <f t="shared" ref="AA97:AA108" si="199">IF(Z23=0,"",AA23/Z23-1)</f>
        <v>-1.6772530998204749E-3</v>
      </c>
    </row>
    <row r="98" spans="1:27" x14ac:dyDescent="0.25">
      <c r="A98" s="64" t="s">
        <v>33</v>
      </c>
      <c r="B98" s="65"/>
      <c r="C98" s="65"/>
      <c r="D98" s="83"/>
      <c r="E98" s="83">
        <f t="shared" si="177"/>
        <v>-4.4135720106395326E-2</v>
      </c>
      <c r="F98" s="83">
        <f t="shared" si="178"/>
        <v>-1.6743109215511587E-2</v>
      </c>
      <c r="G98" s="83">
        <f t="shared" si="179"/>
        <v>-3.5228833841052021E-2</v>
      </c>
      <c r="H98" s="83">
        <f t="shared" si="180"/>
        <v>-2.873818374262882E-2</v>
      </c>
      <c r="I98" s="83">
        <f t="shared" si="181"/>
        <v>-1.5837934712745749E-2</v>
      </c>
      <c r="J98" s="83">
        <f t="shared" si="182"/>
        <v>-8.6200029027691971E-2</v>
      </c>
      <c r="K98" s="83">
        <f t="shared" si="183"/>
        <v>0.25300800689020675</v>
      </c>
      <c r="L98" s="83">
        <f t="shared" si="184"/>
        <v>-6.776420729834276E-2</v>
      </c>
      <c r="M98" s="83">
        <f t="shared" si="185"/>
        <v>-6.1121691024064728E-2</v>
      </c>
      <c r="N98" s="83">
        <f t="shared" si="186"/>
        <v>8.3858840633433962E-2</v>
      </c>
      <c r="O98" s="83">
        <f t="shared" si="187"/>
        <v>-1.9120571681747855E-2</v>
      </c>
      <c r="P98" s="83">
        <f t="shared" si="188"/>
        <v>-4.7833369709173734E-2</v>
      </c>
      <c r="Q98" s="83">
        <f t="shared" si="189"/>
        <v>2.1946420472094275E-3</v>
      </c>
      <c r="R98" s="83">
        <f t="shared" si="190"/>
        <v>-2.7924835214477861E-3</v>
      </c>
      <c r="S98" s="83">
        <f t="shared" si="191"/>
        <v>-6.9532324205914708E-2</v>
      </c>
      <c r="T98" s="83">
        <f t="shared" si="192"/>
        <v>4.108678800382326E-2</v>
      </c>
      <c r="U98" s="83">
        <f t="shared" si="193"/>
        <v>2.2580117877739836E-2</v>
      </c>
      <c r="V98" s="83">
        <f t="shared" si="194"/>
        <v>3.3473581418395515E-2</v>
      </c>
      <c r="W98" s="83">
        <f t="shared" si="195"/>
        <v>4.9949677999075348E-2</v>
      </c>
      <c r="X98" s="83">
        <f t="shared" si="196"/>
        <v>-3.6605562880894782E-3</v>
      </c>
      <c r="Y98" s="83">
        <f t="shared" si="197"/>
        <v>-1.0191588901507176E-2</v>
      </c>
      <c r="Z98" s="83">
        <f t="shared" si="198"/>
        <v>4.5640625484886232E-2</v>
      </c>
      <c r="AA98" s="83">
        <f t="shared" si="199"/>
        <v>3.2651717173963091E-2</v>
      </c>
    </row>
    <row r="99" spans="1:27" x14ac:dyDescent="0.25">
      <c r="A99" s="64" t="s">
        <v>56</v>
      </c>
      <c r="B99" s="65"/>
      <c r="C99" s="65"/>
      <c r="D99" s="83"/>
      <c r="E99" s="83">
        <f t="shared" si="177"/>
        <v>0.12353341496764725</v>
      </c>
      <c r="F99" s="83">
        <f t="shared" si="178"/>
        <v>5.0732654626966411E-2</v>
      </c>
      <c r="G99" s="83">
        <f t="shared" si="179"/>
        <v>6.5918841137893036E-2</v>
      </c>
      <c r="H99" s="83">
        <f t="shared" si="180"/>
        <v>2.3551933619795573E-2</v>
      </c>
      <c r="I99" s="83">
        <f t="shared" si="181"/>
        <v>-1.6680279917878904E-2</v>
      </c>
      <c r="J99" s="83">
        <f t="shared" si="182"/>
        <v>0.34610466769692683</v>
      </c>
      <c r="K99" s="83">
        <f t="shared" si="183"/>
        <v>4.991626800495208E-2</v>
      </c>
      <c r="L99" s="83">
        <f t="shared" si="184"/>
        <v>0.14941277617955873</v>
      </c>
      <c r="M99" s="83">
        <f t="shared" si="185"/>
        <v>-8.5548348262127205E-2</v>
      </c>
      <c r="N99" s="83">
        <f t="shared" si="186"/>
        <v>0.23860517785205082</v>
      </c>
      <c r="O99" s="83">
        <f t="shared" si="187"/>
        <v>-2.4284514122037915E-2</v>
      </c>
      <c r="P99" s="83">
        <f t="shared" si="188"/>
        <v>-3.171790687883691E-2</v>
      </c>
      <c r="Q99" s="83">
        <f t="shared" si="189"/>
        <v>-0.29590205808433412</v>
      </c>
      <c r="R99" s="83">
        <f t="shared" si="190"/>
        <v>-0.10872952636116939</v>
      </c>
      <c r="S99" s="83">
        <f t="shared" si="191"/>
        <v>0.17143944444444426</v>
      </c>
      <c r="T99" s="83">
        <f t="shared" si="192"/>
        <v>5.6700312381214868E-2</v>
      </c>
      <c r="U99" s="83">
        <f t="shared" si="193"/>
        <v>0.40688306264958674</v>
      </c>
      <c r="V99" s="83">
        <f t="shared" si="194"/>
        <v>3.0551817109093493E-2</v>
      </c>
      <c r="W99" s="83">
        <f t="shared" si="195"/>
        <v>-0.14939478416735164</v>
      </c>
      <c r="X99" s="83">
        <f t="shared" si="196"/>
        <v>0.15657155066810291</v>
      </c>
      <c r="Y99" s="83">
        <f t="shared" si="197"/>
        <v>6.2043776492034297E-2</v>
      </c>
      <c r="Z99" s="83">
        <f t="shared" si="198"/>
        <v>-1.2710883485848035E-2</v>
      </c>
      <c r="AA99" s="83">
        <f t="shared" si="199"/>
        <v>-7.9138066653809735E-2</v>
      </c>
    </row>
    <row r="100" spans="1:27" x14ac:dyDescent="0.25">
      <c r="A100" s="64" t="s">
        <v>146</v>
      </c>
      <c r="B100" s="65"/>
      <c r="C100" s="65"/>
      <c r="D100" s="83"/>
      <c r="E100" s="83">
        <f t="shared" si="177"/>
        <v>4.8338964301215315E-2</v>
      </c>
      <c r="F100" s="83">
        <f t="shared" si="178"/>
        <v>2.6699109653242958E-2</v>
      </c>
      <c r="G100" s="83">
        <f t="shared" si="179"/>
        <v>2.262282920796399E-2</v>
      </c>
      <c r="H100" s="83">
        <f t="shared" si="180"/>
        <v>4.4950972636499165E-2</v>
      </c>
      <c r="I100" s="83">
        <f t="shared" si="181"/>
        <v>3.0427615260700591E-2</v>
      </c>
      <c r="J100" s="83">
        <f t="shared" si="182"/>
        <v>2.2364374141517152E-2</v>
      </c>
      <c r="K100" s="83">
        <f t="shared" si="183"/>
        <v>5.0332682296521547E-2</v>
      </c>
      <c r="L100" s="83">
        <f t="shared" si="184"/>
        <v>3.5285877951950262E-2</v>
      </c>
      <c r="M100" s="83">
        <f t="shared" si="185"/>
        <v>-2.6190164363457114E-2</v>
      </c>
      <c r="N100" s="83">
        <f t="shared" si="186"/>
        <v>2.187018629058235E-2</v>
      </c>
      <c r="O100" s="83">
        <f t="shared" si="187"/>
        <v>3.3065533158226135E-2</v>
      </c>
      <c r="P100" s="83">
        <f t="shared" si="188"/>
        <v>6.5239508296388582E-3</v>
      </c>
      <c r="Q100" s="83">
        <f t="shared" si="189"/>
        <v>-1.2311558948829515E-2</v>
      </c>
      <c r="R100" s="83">
        <f t="shared" si="190"/>
        <v>1.3380533903095682E-6</v>
      </c>
      <c r="S100" s="83">
        <f t="shared" si="191"/>
        <v>2.6266375661578856E-3</v>
      </c>
      <c r="T100" s="83">
        <f t="shared" si="192"/>
        <v>1.8696015920422804E-2</v>
      </c>
      <c r="U100" s="83">
        <f t="shared" si="193"/>
        <v>2.2559667493311952E-2</v>
      </c>
      <c r="V100" s="83">
        <f t="shared" si="194"/>
        <v>1.1681018248387742E-2</v>
      </c>
      <c r="W100" s="83">
        <f t="shared" si="195"/>
        <v>1.5138734440542922E-2</v>
      </c>
      <c r="X100" s="83">
        <f t="shared" si="196"/>
        <v>-2.5262984465579508E-2</v>
      </c>
      <c r="Y100" s="83">
        <f t="shared" si="197"/>
        <v>2.9756061622684626E-2</v>
      </c>
      <c r="Z100" s="83">
        <f t="shared" si="198"/>
        <v>-5.6632853500410141E-3</v>
      </c>
      <c r="AA100" s="83">
        <f t="shared" si="199"/>
        <v>2.7342479783460716E-2</v>
      </c>
    </row>
    <row r="101" spans="1:27" x14ac:dyDescent="0.25">
      <c r="A101" s="68" t="s">
        <v>148</v>
      </c>
      <c r="B101" s="69"/>
      <c r="C101" s="69"/>
      <c r="D101" s="84"/>
      <c r="E101" s="84">
        <f t="shared" si="177"/>
        <v>3.4801549684704947E-2</v>
      </c>
      <c r="F101" s="84">
        <f t="shared" si="178"/>
        <v>2.7617403047107469E-2</v>
      </c>
      <c r="G101" s="84">
        <f t="shared" si="179"/>
        <v>2.9292273300789651E-2</v>
      </c>
      <c r="H101" s="84">
        <f t="shared" si="180"/>
        <v>3.2031582072503451E-2</v>
      </c>
      <c r="I101" s="84">
        <f t="shared" si="181"/>
        <v>3.6159183944185935E-2</v>
      </c>
      <c r="J101" s="84">
        <f t="shared" si="182"/>
        <v>1.7952149095594283E-2</v>
      </c>
      <c r="K101" s="84">
        <f t="shared" si="183"/>
        <v>3.0309907299372219E-2</v>
      </c>
      <c r="L101" s="84">
        <f t="shared" si="184"/>
        <v>2.6996025528252865E-2</v>
      </c>
      <c r="M101" s="84">
        <f t="shared" si="185"/>
        <v>-9.2801908592224924E-3</v>
      </c>
      <c r="N101" s="84">
        <f t="shared" si="186"/>
        <v>2.8952993431839991E-2</v>
      </c>
      <c r="O101" s="84">
        <f t="shared" si="187"/>
        <v>2.2326558997667112E-2</v>
      </c>
      <c r="P101" s="84">
        <f t="shared" si="188"/>
        <v>1.0092725110482315E-2</v>
      </c>
      <c r="Q101" s="84">
        <f t="shared" si="189"/>
        <v>-1.5980066828811146E-2</v>
      </c>
      <c r="R101" s="84">
        <f t="shared" si="190"/>
        <v>-1.2902662740861492E-2</v>
      </c>
      <c r="S101" s="84">
        <f t="shared" si="191"/>
        <v>-6.9471354245211892E-3</v>
      </c>
      <c r="T101" s="84">
        <f t="shared" si="192"/>
        <v>6.4294683698373767E-3</v>
      </c>
      <c r="U101" s="84">
        <f t="shared" si="193"/>
        <v>-3.1616282872749535E-3</v>
      </c>
      <c r="V101" s="84">
        <f t="shared" si="194"/>
        <v>6.2226220605350324E-3</v>
      </c>
      <c r="W101" s="84">
        <f t="shared" si="195"/>
        <v>2.0935633740885695E-2</v>
      </c>
      <c r="X101" s="84">
        <f t="shared" si="196"/>
        <v>-5.9186122954681397E-2</v>
      </c>
      <c r="Y101" s="84">
        <f t="shared" si="197"/>
        <v>2.9165728599428453E-2</v>
      </c>
      <c r="Z101" s="84">
        <f t="shared" si="198"/>
        <v>1.7579530363749152E-2</v>
      </c>
      <c r="AA101" s="84">
        <f t="shared" si="199"/>
        <v>4.1090585555816794E-2</v>
      </c>
    </row>
    <row r="102" spans="1:27" x14ac:dyDescent="0.25">
      <c r="A102" s="68" t="s">
        <v>150</v>
      </c>
      <c r="B102" s="71"/>
      <c r="C102" s="71"/>
      <c r="D102" s="84"/>
      <c r="E102" s="84">
        <f t="shared" si="177"/>
        <v>6.2160447886328907E-2</v>
      </c>
      <c r="F102" s="84">
        <f t="shared" si="178"/>
        <v>2.5735549223547149E-2</v>
      </c>
      <c r="G102" s="84">
        <f t="shared" si="179"/>
        <v>1.9664175728608457E-2</v>
      </c>
      <c r="H102" s="84">
        <f t="shared" si="180"/>
        <v>5.8739141473269196E-2</v>
      </c>
      <c r="I102" s="84">
        <f t="shared" si="181"/>
        <v>2.1008425927412588E-2</v>
      </c>
      <c r="J102" s="84">
        <f t="shared" si="182"/>
        <v>4.1738718334908942E-2</v>
      </c>
      <c r="K102" s="84">
        <f t="shared" si="183"/>
        <v>6.455682129486795E-2</v>
      </c>
      <c r="L102" s="84">
        <f t="shared" si="184"/>
        <v>3.4375470446864398E-2</v>
      </c>
      <c r="M102" s="84">
        <f t="shared" si="185"/>
        <v>-1.5885250075448609E-2</v>
      </c>
      <c r="N102" s="84">
        <f t="shared" si="186"/>
        <v>1.8291986964468654E-2</v>
      </c>
      <c r="O102" s="84">
        <f t="shared" si="187"/>
        <v>3.6506187142351987E-2</v>
      </c>
      <c r="P102" s="84">
        <f t="shared" si="188"/>
        <v>1.5107394755982106E-3</v>
      </c>
      <c r="Q102" s="84">
        <f t="shared" si="189"/>
        <v>1.1552586457241887E-4</v>
      </c>
      <c r="R102" s="84">
        <f t="shared" si="190"/>
        <v>2.718350227843902E-2</v>
      </c>
      <c r="S102" s="84">
        <f t="shared" si="191"/>
        <v>1.6892810224240939E-2</v>
      </c>
      <c r="T102" s="84">
        <f t="shared" si="192"/>
        <v>3.6204459910556208E-2</v>
      </c>
      <c r="U102" s="84">
        <f t="shared" si="193"/>
        <v>4.2632168126856884E-2</v>
      </c>
      <c r="V102" s="84">
        <f t="shared" si="194"/>
        <v>2.222280561866663E-2</v>
      </c>
      <c r="W102" s="84">
        <f t="shared" si="195"/>
        <v>1.6352861412308073E-2</v>
      </c>
      <c r="X102" s="84">
        <f t="shared" si="196"/>
        <v>-5.9647076602833415E-3</v>
      </c>
      <c r="Y102" s="84">
        <f t="shared" si="197"/>
        <v>3.3942594634611245E-2</v>
      </c>
      <c r="Z102" s="84">
        <f t="shared" si="198"/>
        <v>-1.5707435829050542E-2</v>
      </c>
      <c r="AA102" s="84">
        <f t="shared" si="199"/>
        <v>2.4362615545257205E-2</v>
      </c>
    </row>
    <row r="103" spans="1:27" x14ac:dyDescent="0.25">
      <c r="A103" s="68" t="s">
        <v>152</v>
      </c>
      <c r="B103" s="71"/>
      <c r="C103" s="71"/>
      <c r="D103" s="84"/>
      <c r="E103" s="84">
        <f t="shared" si="177"/>
        <v>5.0544132131297603E-2</v>
      </c>
      <c r="F103" s="84">
        <f t="shared" si="178"/>
        <v>2.6667981821544728E-2</v>
      </c>
      <c r="G103" s="84">
        <f t="shared" si="179"/>
        <v>1.3013684213467158E-2</v>
      </c>
      <c r="H103" s="84">
        <f t="shared" si="180"/>
        <v>4.5212681042121616E-2</v>
      </c>
      <c r="I103" s="84">
        <f t="shared" si="181"/>
        <v>3.8472895300349474E-2</v>
      </c>
      <c r="J103" s="84">
        <f t="shared" si="182"/>
        <v>-1.1704256551203995E-2</v>
      </c>
      <c r="K103" s="84">
        <f t="shared" si="183"/>
        <v>6.648161417951437E-2</v>
      </c>
      <c r="L103" s="84">
        <f t="shared" si="184"/>
        <v>5.7887780215955864E-2</v>
      </c>
      <c r="M103" s="84">
        <f t="shared" si="185"/>
        <v>-9.1152013813248334E-2</v>
      </c>
      <c r="N103" s="84">
        <f t="shared" si="186"/>
        <v>1.2696464771774441E-2</v>
      </c>
      <c r="O103" s="84">
        <f t="shared" si="187"/>
        <v>5.2505536768360894E-2</v>
      </c>
      <c r="P103" s="84">
        <f t="shared" si="188"/>
        <v>1.0197132203281223E-2</v>
      </c>
      <c r="Q103" s="84">
        <f t="shared" si="189"/>
        <v>-3.4438391645888355E-2</v>
      </c>
      <c r="R103" s="84">
        <f t="shared" si="190"/>
        <v>-3.7706236473038723E-2</v>
      </c>
      <c r="S103" s="84">
        <f t="shared" si="191"/>
        <v>-1.1718517731572842E-2</v>
      </c>
      <c r="T103" s="84">
        <f t="shared" si="192"/>
        <v>1.2143214767104116E-3</v>
      </c>
      <c r="U103" s="84">
        <f t="shared" si="193"/>
        <v>3.229156022091062E-2</v>
      </c>
      <c r="V103" s="84">
        <f t="shared" si="194"/>
        <v>-5.8527113100497186E-3</v>
      </c>
      <c r="W103" s="84">
        <f t="shared" si="195"/>
        <v>-3.9878431769361233E-3</v>
      </c>
      <c r="X103" s="84">
        <f t="shared" si="196"/>
        <v>5.7385458352334773E-3</v>
      </c>
      <c r="Y103" s="84">
        <f t="shared" si="197"/>
        <v>1.8150265440406654E-2</v>
      </c>
      <c r="Z103" s="84">
        <f t="shared" si="198"/>
        <v>-3.3417360262361306E-2</v>
      </c>
      <c r="AA103" s="84">
        <f t="shared" si="199"/>
        <v>-1.7665544655065535E-4</v>
      </c>
    </row>
    <row r="104" spans="1:27" x14ac:dyDescent="0.25">
      <c r="A104" s="64" t="s">
        <v>154</v>
      </c>
      <c r="B104" s="65"/>
      <c r="C104" s="65"/>
      <c r="D104" s="83"/>
      <c r="E104" s="83">
        <f t="shared" si="177"/>
        <v>0.12536064345222608</v>
      </c>
      <c r="F104" s="83">
        <f t="shared" si="178"/>
        <v>0.19814480602623208</v>
      </c>
      <c r="G104" s="83">
        <f t="shared" si="179"/>
        <v>5.7909650237477628E-2</v>
      </c>
      <c r="H104" s="83">
        <f t="shared" si="180"/>
        <v>0.15823685775602181</v>
      </c>
      <c r="I104" s="83">
        <f t="shared" si="181"/>
        <v>-0.12655251229334907</v>
      </c>
      <c r="J104" s="83">
        <f t="shared" si="182"/>
        <v>0.13724032133020447</v>
      </c>
      <c r="K104" s="83">
        <f t="shared" si="183"/>
        <v>3.5973206896888321E-2</v>
      </c>
      <c r="L104" s="83">
        <f t="shared" si="184"/>
        <v>-5.4375010666574797E-2</v>
      </c>
      <c r="M104" s="83">
        <f t="shared" si="185"/>
        <v>5.8017102169160673E-2</v>
      </c>
      <c r="N104" s="83">
        <f t="shared" si="186"/>
        <v>9.5667704422439881E-2</v>
      </c>
      <c r="O104" s="83">
        <f t="shared" si="187"/>
        <v>-7.4796524739905057E-2</v>
      </c>
      <c r="P104" s="83">
        <f t="shared" si="188"/>
        <v>4.6456732929445188E-4</v>
      </c>
      <c r="Q104" s="83">
        <f t="shared" si="189"/>
        <v>4.8592030756851035E-3</v>
      </c>
      <c r="R104" s="83">
        <f t="shared" si="190"/>
        <v>-5.7456877815818985E-2</v>
      </c>
      <c r="S104" s="83">
        <f t="shared" si="191"/>
        <v>-1.367296231376014E-2</v>
      </c>
      <c r="T104" s="83">
        <f t="shared" si="192"/>
        <v>-1.8966096169955704E-2</v>
      </c>
      <c r="U104" s="83">
        <f t="shared" si="193"/>
        <v>0.14006473754230431</v>
      </c>
      <c r="V104" s="83">
        <f t="shared" si="194"/>
        <v>-4.0933062422807476E-2</v>
      </c>
      <c r="W104" s="83">
        <f t="shared" si="195"/>
        <v>0.12278406664293406</v>
      </c>
      <c r="X104" s="83">
        <f t="shared" si="196"/>
        <v>-9.4865182331569708E-2</v>
      </c>
      <c r="Y104" s="83">
        <f t="shared" si="197"/>
        <v>-6.9388929096222407E-3</v>
      </c>
      <c r="Z104" s="83">
        <f t="shared" si="198"/>
        <v>0.38224608061926868</v>
      </c>
      <c r="AA104" s="83">
        <f t="shared" si="199"/>
        <v>-2.2815770357028642E-2</v>
      </c>
    </row>
    <row r="105" spans="1:27" x14ac:dyDescent="0.25">
      <c r="A105" s="64" t="s">
        <v>37</v>
      </c>
      <c r="B105" s="65"/>
      <c r="C105" s="65"/>
      <c r="D105" s="83"/>
      <c r="E105" s="83">
        <f t="shared" si="177"/>
        <v>-2.0741271028445918E-2</v>
      </c>
      <c r="F105" s="83">
        <f t="shared" si="178"/>
        <v>-3.7182344472850848E-2</v>
      </c>
      <c r="G105" s="83">
        <f t="shared" si="179"/>
        <v>4.9441720553443647E-2</v>
      </c>
      <c r="H105" s="83">
        <f t="shared" si="180"/>
        <v>7.67808566555368E-2</v>
      </c>
      <c r="I105" s="83">
        <f t="shared" si="181"/>
        <v>0.10127613694697879</v>
      </c>
      <c r="J105" s="83">
        <f t="shared" si="182"/>
        <v>6.029119907651026E-2</v>
      </c>
      <c r="K105" s="83">
        <f t="shared" si="183"/>
        <v>8.5264736176362987E-2</v>
      </c>
      <c r="L105" s="83">
        <f t="shared" si="184"/>
        <v>3.7825539872479608E-2</v>
      </c>
      <c r="M105" s="83">
        <f t="shared" si="185"/>
        <v>-0.1086351008272981</v>
      </c>
      <c r="N105" s="83">
        <f t="shared" si="186"/>
        <v>-3.8708409141214872E-3</v>
      </c>
      <c r="O105" s="83">
        <f t="shared" si="187"/>
        <v>9.6229251199790866E-3</v>
      </c>
      <c r="P105" s="83">
        <f t="shared" si="188"/>
        <v>-8.5380367701348714E-4</v>
      </c>
      <c r="Q105" s="83">
        <f t="shared" si="189"/>
        <v>-3.0396455133308353E-2</v>
      </c>
      <c r="R105" s="83">
        <f t="shared" si="190"/>
        <v>-3.7779575112832808E-2</v>
      </c>
      <c r="S105" s="83">
        <f t="shared" si="191"/>
        <v>1.4979637347767305E-2</v>
      </c>
      <c r="T105" s="83">
        <f t="shared" si="192"/>
        <v>9.2802710326490789E-2</v>
      </c>
      <c r="U105" s="83">
        <f t="shared" si="193"/>
        <v>7.9288947006416199E-2</v>
      </c>
      <c r="V105" s="83">
        <f t="shared" si="194"/>
        <v>4.4804179539542632E-2</v>
      </c>
      <c r="W105" s="83">
        <f t="shared" si="195"/>
        <v>1.4080682401154565E-2</v>
      </c>
      <c r="X105" s="83">
        <f t="shared" si="196"/>
        <v>8.999576963427236E-3</v>
      </c>
      <c r="Y105" s="83">
        <f t="shared" si="197"/>
        <v>-5.2210588451539475E-2</v>
      </c>
      <c r="Z105" s="83">
        <f t="shared" si="198"/>
        <v>-4.0379143167179832E-2</v>
      </c>
      <c r="AA105" s="83">
        <f t="shared" si="199"/>
        <v>-5.2523840793863963E-2</v>
      </c>
    </row>
    <row r="106" spans="1:27" x14ac:dyDescent="0.25">
      <c r="A106" s="64" t="s">
        <v>58</v>
      </c>
      <c r="B106" s="65"/>
      <c r="C106" s="65"/>
      <c r="D106" s="83"/>
      <c r="E106" s="83">
        <f t="shared" si="177"/>
        <v>-7.324528469949021E-3</v>
      </c>
      <c r="F106" s="83">
        <f t="shared" si="178"/>
        <v>-1.9902881289328156E-2</v>
      </c>
      <c r="G106" s="83">
        <f t="shared" si="179"/>
        <v>-2.3898737280265259E-2</v>
      </c>
      <c r="H106" s="83">
        <f t="shared" si="180"/>
        <v>8.9557612227475492E-3</v>
      </c>
      <c r="I106" s="83">
        <f t="shared" si="181"/>
        <v>1.6696176994439371E-2</v>
      </c>
      <c r="J106" s="83">
        <f t="shared" si="182"/>
        <v>7.6237936888549296E-2</v>
      </c>
      <c r="K106" s="83">
        <f t="shared" si="183"/>
        <v>6.4117692765594869E-2</v>
      </c>
      <c r="L106" s="83">
        <f t="shared" si="184"/>
        <v>-5.5313641654576751E-2</v>
      </c>
      <c r="M106" s="83">
        <f t="shared" si="185"/>
        <v>-0.27291044630337835</v>
      </c>
      <c r="N106" s="83">
        <f t="shared" si="186"/>
        <v>6.4335270232002584E-2</v>
      </c>
      <c r="O106" s="83">
        <f t="shared" si="187"/>
        <v>-1.8456905554880665E-2</v>
      </c>
      <c r="P106" s="83">
        <f t="shared" si="188"/>
        <v>-0.13326373117414947</v>
      </c>
      <c r="Q106" s="83">
        <f t="shared" si="189"/>
        <v>3.472310555702629E-3</v>
      </c>
      <c r="R106" s="83">
        <f t="shared" si="190"/>
        <v>2.6306161623379509E-4</v>
      </c>
      <c r="S106" s="83">
        <f t="shared" si="191"/>
        <v>1.1795556260798756E-2</v>
      </c>
      <c r="T106" s="83">
        <f t="shared" si="192"/>
        <v>1.9970149571038265E-2</v>
      </c>
      <c r="U106" s="83">
        <f t="shared" si="193"/>
        <v>6.5939383946786778E-2</v>
      </c>
      <c r="V106" s="83">
        <f t="shared" si="194"/>
        <v>-2.0120461891138031E-2</v>
      </c>
      <c r="W106" s="83">
        <f t="shared" si="195"/>
        <v>4.8297274900934717E-3</v>
      </c>
      <c r="X106" s="83">
        <f t="shared" si="196"/>
        <v>-3.0467049339949148E-2</v>
      </c>
      <c r="Y106" s="83">
        <f t="shared" si="197"/>
        <v>6.6321822950145881E-2</v>
      </c>
      <c r="Z106" s="83">
        <f t="shared" si="198"/>
        <v>4.2138579780499841E-2</v>
      </c>
      <c r="AA106" s="83">
        <f t="shared" si="199"/>
        <v>-0.10104681052757458</v>
      </c>
    </row>
    <row r="107" spans="1:27" x14ac:dyDescent="0.25">
      <c r="A107" s="85" t="s">
        <v>158</v>
      </c>
      <c r="B107" s="86"/>
      <c r="C107" s="86"/>
      <c r="D107" s="87"/>
      <c r="E107" s="87">
        <f t="shared" ref="E107:E108" si="200">IF(D33=0,"",E33/D33-1)</f>
        <v>-5.0561167780167504E-2</v>
      </c>
      <c r="F107" s="87">
        <f t="shared" ref="F107:F108" si="201">IF(E33=0,"",F33/E33-1)</f>
        <v>-0.12754584365147548</v>
      </c>
      <c r="G107" s="87">
        <f t="shared" ref="G107:G108" si="202">IF(F33=0,"",G33/F33-1)</f>
        <v>9.0323716961925538E-2</v>
      </c>
      <c r="H107" s="87">
        <f t="shared" ref="H107:H108" si="203">IF(G33=0,"",H33/G33-1)</f>
        <v>0.17084951312124752</v>
      </c>
      <c r="I107" s="87">
        <f t="shared" ref="I107:I108" si="204">IF(H33=0,"",I33/H33-1)</f>
        <v>0.17040048801704155</v>
      </c>
      <c r="J107" s="87">
        <f t="shared" ref="J107:J108" si="205">IF(I33=0,"",J33/I33-1)</f>
        <v>0.28166032745051561</v>
      </c>
      <c r="K107" s="87">
        <f t="shared" ref="K107:K108" si="206">IF(J33=0,"",K33/J33-1)</f>
        <v>8.7477793331351972E-3</v>
      </c>
      <c r="L107" s="87">
        <f t="shared" ref="L107:L108" si="207">IF(K33=0,"",L33/K33-1)</f>
        <v>-9.6145328302974176E-2</v>
      </c>
      <c r="M107" s="87">
        <f t="shared" ref="M107:M108" si="208">IF(L33=0,"",M33/L33-1)</f>
        <v>-0.65123830508160752</v>
      </c>
      <c r="N107" s="87">
        <f t="shared" ref="N107:N108" si="209">IF(M33=0,"",N33/M33-1)</f>
        <v>0.51889121185120657</v>
      </c>
      <c r="O107" s="87">
        <f t="shared" ref="O107:O108" si="210">IF(N33=0,"",O33/N33-1)</f>
        <v>2.6718338014345644E-2</v>
      </c>
      <c r="P107" s="87">
        <f t="shared" ref="P107:P108" si="211">IF(O33=0,"",P33/O33-1)</f>
        <v>-0.16328572908325922</v>
      </c>
      <c r="Q107" s="87">
        <f t="shared" ref="Q107:Q108" si="212">IF(P33=0,"",Q33/P33-1)</f>
        <v>0.11209404423905944</v>
      </c>
      <c r="R107" s="87">
        <f t="shared" ref="R107:R108" si="213">IF(Q33=0,"",R33/Q33-1)</f>
        <v>-9.8052988752346248E-3</v>
      </c>
      <c r="S107" s="87">
        <f t="shared" ref="S107:S108" si="214">IF(R33=0,"",S33/R33-1)</f>
        <v>0.20004542611415155</v>
      </c>
      <c r="T107" s="87">
        <f t="shared" ref="T107:T108" si="215">IF(S33=0,"",T33/S33-1)</f>
        <v>-0.10076962807556988</v>
      </c>
      <c r="U107" s="87">
        <f t="shared" ref="U107:U108" si="216">IF(T33=0,"",U33/T33-1)</f>
        <v>0.33887319443163921</v>
      </c>
      <c r="V107" s="87">
        <f t="shared" ref="V107:V108" si="217">IF(U33=0,"",V33/U33-1)</f>
        <v>-0.10765807719438825</v>
      </c>
      <c r="W107" s="87">
        <f t="shared" ref="W107:W108" si="218">IF(V33=0,"",W33/V33-1)</f>
        <v>-0.17731904751489924</v>
      </c>
      <c r="X107" s="87">
        <f t="shared" ref="X107:X108" si="219">IF(W33=0,"",X33/W33-1)</f>
        <v>-0.10653631330653357</v>
      </c>
      <c r="Y107" s="87">
        <f t="shared" ref="Y107:Y108" si="220">IF(X33=0,"",Y33/X33-1)</f>
        <v>0.27629048978158366</v>
      </c>
      <c r="Z107" s="87">
        <f t="shared" si="198"/>
        <v>0.60830688234980279</v>
      </c>
      <c r="AA107" s="87">
        <f t="shared" si="199"/>
        <v>-0.31487197177291126</v>
      </c>
    </row>
    <row r="108" spans="1:27" x14ac:dyDescent="0.25">
      <c r="A108" s="88" t="s">
        <v>5</v>
      </c>
      <c r="B108" s="44"/>
      <c r="C108" s="44"/>
      <c r="D108" s="89"/>
      <c r="E108" s="89">
        <f t="shared" si="200"/>
        <v>-4.84623229317106E-2</v>
      </c>
      <c r="F108" s="89">
        <f t="shared" si="201"/>
        <v>-0.12501223236561032</v>
      </c>
      <c r="G108" s="89">
        <f t="shared" si="202"/>
        <v>8.1638871637966126E-2</v>
      </c>
      <c r="H108" s="89">
        <f t="shared" si="203"/>
        <v>0.17084951312124752</v>
      </c>
      <c r="I108" s="89">
        <f t="shared" si="204"/>
        <v>0.17653495044840573</v>
      </c>
      <c r="J108" s="89">
        <f t="shared" si="205"/>
        <v>0.27309583986167452</v>
      </c>
      <c r="K108" s="89">
        <f t="shared" si="206"/>
        <v>-5.8319745319464378E-2</v>
      </c>
      <c r="L108" s="89">
        <f t="shared" si="207"/>
        <v>-0.10286272851331446</v>
      </c>
      <c r="M108" s="89">
        <f t="shared" si="208"/>
        <v>-0.71867331638431076</v>
      </c>
      <c r="N108" s="89">
        <f t="shared" si="209"/>
        <v>0.52217199451709195</v>
      </c>
      <c r="O108" s="89">
        <f t="shared" si="210"/>
        <v>0.10063424228615903</v>
      </c>
      <c r="P108" s="89">
        <f t="shared" si="211"/>
        <v>-0.2441342332945885</v>
      </c>
      <c r="Q108" s="89">
        <f t="shared" si="212"/>
        <v>0.30651785118237651</v>
      </c>
      <c r="R108" s="89">
        <f t="shared" si="213"/>
        <v>-0.18508953508411075</v>
      </c>
      <c r="S108" s="89">
        <f t="shared" si="214"/>
        <v>0.18241221409807662</v>
      </c>
      <c r="T108" s="89">
        <f t="shared" si="215"/>
        <v>-3.4189952173137028E-2</v>
      </c>
      <c r="U108" s="89">
        <f t="shared" si="216"/>
        <v>0.47790049270610324</v>
      </c>
      <c r="V108" s="89">
        <f t="shared" si="217"/>
        <v>-0.17718440497823995</v>
      </c>
      <c r="W108" s="89">
        <f t="shared" si="218"/>
        <v>-0.33939926589194991</v>
      </c>
      <c r="X108" s="89">
        <f t="shared" si="219"/>
        <v>2.7933410091920186E-2</v>
      </c>
      <c r="Y108" s="89">
        <f t="shared" si="220"/>
        <v>0.50207762133002576</v>
      </c>
      <c r="Z108" s="89">
        <f t="shared" si="198"/>
        <v>0.44045442020282777</v>
      </c>
      <c r="AA108" s="89">
        <f t="shared" si="199"/>
        <v>-0.47803889918533649</v>
      </c>
    </row>
    <row r="109" spans="1:27" x14ac:dyDescent="0.25">
      <c r="A109" s="88" t="s">
        <v>263</v>
      </c>
      <c r="B109" s="44"/>
      <c r="C109" s="44"/>
      <c r="D109" s="89"/>
      <c r="E109" s="89">
        <f t="shared" ref="E109" si="221">IF(D37=0,"",E37/D37-1)</f>
        <v>-6.1569654207819124E-2</v>
      </c>
      <c r="F109" s="89">
        <f t="shared" ref="F109" si="222">IF(E37=0,"",F37/E37-1)</f>
        <v>-0.14102029860349397</v>
      </c>
      <c r="G109" s="89">
        <f t="shared" ref="G109" si="223">IF(F37=0,"",G37/F37-1)</f>
        <v>0.13737293290804908</v>
      </c>
      <c r="H109" s="89">
        <f t="shared" ref="H109" si="224">IF(G37=0,"",H37/G37-1)</f>
        <v>0.1708495131212473</v>
      </c>
      <c r="I109" s="89">
        <f t="shared" ref="I109" si="225">IF(H37=0,"",I37/H37-1)</f>
        <v>0.13879618543038874</v>
      </c>
      <c r="J109" s="89">
        <f t="shared" ref="J109" si="226">IF(I37=0,"",J37/I37-1)</f>
        <v>0.32724616239026916</v>
      </c>
      <c r="K109" s="89">
        <f t="shared" ref="K109" si="227">IF(J37=0,"",K37/J37-1)</f>
        <v>0.35116092352678185</v>
      </c>
      <c r="L109" s="89">
        <f t="shared" ref="L109" si="228">IF(K37=0,"",L37/K37-1)</f>
        <v>-7.2243244704962239E-2</v>
      </c>
      <c r="M109" s="89">
        <f t="shared" ref="M109" si="229">IF(L37=0,"",M37/L37-1)</f>
        <v>-0.41920798099875978</v>
      </c>
      <c r="N109" s="89">
        <f t="shared" ref="N109" si="230">IF(M37=0,"",N37/M37-1)</f>
        <v>0.51342323005030521</v>
      </c>
      <c r="O109" s="89">
        <f t="shared" ref="O109" si="231">IF(N37=0,"",O37/N37-1)</f>
        <v>-9.7187230484444775E-2</v>
      </c>
      <c r="P109" s="89">
        <f t="shared" ref="P109" si="232">IF(O37=0,"",P37/O37-1)</f>
        <v>1.9371732233934846E-3</v>
      </c>
      <c r="Q109" s="89">
        <f t="shared" ref="Q109" si="233">IF(P37=0,"",Q37/P37-1)</f>
        <v>-0.18765091382647281</v>
      </c>
      <c r="R109" s="89">
        <f t="shared" ref="R109" si="234">IF(Q37=0,"",R37/Q37-1)</f>
        <v>0.42482295619550503</v>
      </c>
      <c r="S109" s="89">
        <f t="shared" ref="S109" si="235">IF(R37=0,"",S37/R37-1)</f>
        <v>0.22505207615449097</v>
      </c>
      <c r="T109" s="89">
        <f t="shared" ref="T109" si="236">IF(S37=0,"",T37/S37-1)</f>
        <v>-0.19190356257136543</v>
      </c>
      <c r="U109" s="89">
        <f t="shared" ref="U109" si="237">IF(T37=0,"",U37/T37-1)</f>
        <v>0.11143308591863699</v>
      </c>
      <c r="V109" s="89">
        <f t="shared" ref="V109" si="238">IF(U37=0,"",V37/U37-1)</f>
        <v>4.3585915987362167E-2</v>
      </c>
      <c r="W109" s="89">
        <f t="shared" ref="W109" si="239">IF(V37=0,"",W37/V37-1)</f>
        <v>0.10067350539060604</v>
      </c>
      <c r="X109" s="89">
        <f t="shared" ref="X109" si="240">IF(W37=0,"",X37/W37-1)</f>
        <v>-0.24495929490648871</v>
      </c>
      <c r="Y109" s="89">
        <f t="shared" ref="Y109" si="241">IF(X37=0,"",Y37/X37-1)</f>
        <v>-4.0139393138834079E-2</v>
      </c>
      <c r="Z109" s="89">
        <f t="shared" ref="Z109" si="242">IF(Y37=0,"",Z37/Y37-1)</f>
        <v>0.97642757274644598</v>
      </c>
      <c r="AA109" s="89">
        <f t="shared" ref="AA109" si="243">IF(Z37=0,"",AA37/Z37-1)</f>
        <v>-5.4068562789680641E-2</v>
      </c>
    </row>
    <row r="110" spans="1:27" x14ac:dyDescent="0.25">
      <c r="A110" s="68" t="s">
        <v>265</v>
      </c>
      <c r="B110" s="44"/>
      <c r="C110" s="44"/>
      <c r="D110" s="89"/>
      <c r="E110" s="89">
        <f t="shared" ref="E110:E111" si="244">IF(D43=0,"",E43/D43-1)</f>
        <v>0.10010929707653027</v>
      </c>
      <c r="F110" s="89">
        <f t="shared" ref="F110:F111" si="245">IF(E43=0,"",F43/E43-1)</f>
        <v>-5.0942826156420873E-2</v>
      </c>
      <c r="G110" s="89">
        <f t="shared" ref="G110:G111" si="246">IF(F43=0,"",G43/F43-1)</f>
        <v>-2.4980053722852613E-2</v>
      </c>
      <c r="H110" s="89">
        <f t="shared" ref="H110:H111" si="247">IF(G43=0,"",H43/G43-1)</f>
        <v>0.12511706266871703</v>
      </c>
      <c r="I110" s="89">
        <f t="shared" ref="I110:I111" si="248">IF(H43=0,"",I43/H43-1)</f>
        <v>1.2255267266471748E-2</v>
      </c>
      <c r="J110" s="89">
        <f t="shared" ref="J110:J111" si="249">IF(I43=0,"",J43/I43-1)</f>
        <v>3.1266601580789866E-2</v>
      </c>
      <c r="K110" s="89">
        <f t="shared" ref="K110:K111" si="250">IF(J43=0,"",K43/J43-1)</f>
        <v>8.9506196889166389E-2</v>
      </c>
      <c r="L110" s="89">
        <f t="shared" ref="L110:L111" si="251">IF(K43=0,"",L43/K43-1)</f>
        <v>-2.661685098126243E-2</v>
      </c>
      <c r="M110" s="89">
        <f t="shared" ref="M110:M111" si="252">IF(L43=0,"",M43/L43-1)</f>
        <v>-9.4837031917630488E-2</v>
      </c>
      <c r="N110" s="89">
        <f t="shared" ref="N110:N111" si="253">IF(M43=0,"",N43/M43-1)</f>
        <v>8.4801705630356494E-2</v>
      </c>
      <c r="O110" s="89">
        <f t="shared" ref="O110:O111" si="254">IF(N43=0,"",O43/N43-1)</f>
        <v>0.11585432971859877</v>
      </c>
      <c r="P110" s="89">
        <f t="shared" ref="P110:P111" si="255">IF(O43=0,"",P43/O43-1)</f>
        <v>-9.2306943433238975E-2</v>
      </c>
      <c r="Q110" s="89">
        <f t="shared" ref="Q110:Q111" si="256">IF(P43=0,"",Q43/P43-1)</f>
        <v>9.7985505446307464E-3</v>
      </c>
      <c r="R110" s="89">
        <f t="shared" ref="R110:R111" si="257">IF(Q43=0,"",R43/Q43-1)</f>
        <v>3.0063099760853529E-2</v>
      </c>
      <c r="S110" s="89">
        <f t="shared" ref="S110:S111" si="258">IF(R43=0,"",S43/R43-1)</f>
        <v>5.8225101580135386E-2</v>
      </c>
      <c r="T110" s="89">
        <f t="shared" ref="T110:T111" si="259">IF(S43=0,"",T43/S43-1)</f>
        <v>8.1817139758345148E-2</v>
      </c>
      <c r="U110" s="89">
        <f t="shared" ref="U110:U111" si="260">IF(T43=0,"",U43/T43-1)</f>
        <v>4.7088426005035044E-2</v>
      </c>
      <c r="V110" s="89">
        <f t="shared" ref="V110:V111" si="261">IF(U43=0,"",V43/U43-1)</f>
        <v>3.3104047402211512E-2</v>
      </c>
      <c r="W110" s="89">
        <f t="shared" ref="W110:W111" si="262">IF(V43=0,"",W43/V43-1)</f>
        <v>9.6929430316445853E-2</v>
      </c>
      <c r="X110" s="89">
        <f t="shared" ref="X110:X111" si="263">IF(W43=0,"",X43/W43-1)</f>
        <v>-4.6758313795357886E-2</v>
      </c>
      <c r="Y110" s="89">
        <f t="shared" ref="Y110:Y111" si="264">IF(X43=0,"",Y43/X43-1)</f>
        <v>-4.734709323916364E-2</v>
      </c>
      <c r="Z110" s="89">
        <f t="shared" ref="Z110:Z111" si="265">IF(Y43=0,"",Z43/Y43-1)</f>
        <v>0.27944899032216508</v>
      </c>
      <c r="AA110" s="89">
        <f t="shared" ref="AA110:AA111" si="266">IF(Z43=0,"",AA43/Z43-1)</f>
        <v>-0.14348260828545445</v>
      </c>
    </row>
    <row r="111" spans="1:27" x14ac:dyDescent="0.25">
      <c r="A111" s="88" t="s">
        <v>266</v>
      </c>
      <c r="B111" s="44"/>
      <c r="C111" s="44"/>
      <c r="D111" s="89"/>
      <c r="E111" s="89">
        <f t="shared" si="244"/>
        <v>7.5809575732352696E-2</v>
      </c>
      <c r="F111" s="89">
        <f t="shared" si="245"/>
        <v>-7.6334039191968572E-2</v>
      </c>
      <c r="G111" s="89">
        <f t="shared" si="246"/>
        <v>-1.4080319986899847E-2</v>
      </c>
      <c r="H111" s="89">
        <f t="shared" si="247"/>
        <v>0.13343817866090202</v>
      </c>
      <c r="I111" s="89">
        <f t="shared" si="248"/>
        <v>-3.3144206620521088E-2</v>
      </c>
      <c r="J111" s="89">
        <f t="shared" si="249"/>
        <v>8.089885784301476E-4</v>
      </c>
      <c r="K111" s="89">
        <f t="shared" si="250"/>
        <v>0.11851894741725855</v>
      </c>
      <c r="L111" s="89">
        <f t="shared" si="251"/>
        <v>-6.0162877026737838E-2</v>
      </c>
      <c r="M111" s="89">
        <f t="shared" si="252"/>
        <v>-0.15901011885970884</v>
      </c>
      <c r="N111" s="89">
        <f t="shared" si="253"/>
        <v>9.5048452360035451E-2</v>
      </c>
      <c r="O111" s="89">
        <f t="shared" si="254"/>
        <v>0.16904967784434644</v>
      </c>
      <c r="P111" s="89">
        <f t="shared" si="255"/>
        <v>-0.2212143218520114</v>
      </c>
      <c r="Q111" s="89">
        <f t="shared" si="256"/>
        <v>8.1854319148709553E-2</v>
      </c>
      <c r="R111" s="89">
        <f t="shared" si="257"/>
        <v>-2.8756978519866028E-2</v>
      </c>
      <c r="S111" s="89">
        <f t="shared" si="258"/>
        <v>0.11605241727425675</v>
      </c>
      <c r="T111" s="89">
        <f t="shared" si="259"/>
        <v>2.6336772713398515E-2</v>
      </c>
      <c r="U111" s="89">
        <f t="shared" si="260"/>
        <v>6.4891551826276483E-2</v>
      </c>
      <c r="V111" s="89">
        <f t="shared" si="261"/>
        <v>8.1627664081568962E-2</v>
      </c>
      <c r="W111" s="89">
        <f t="shared" si="262"/>
        <v>0.15335336126355292</v>
      </c>
      <c r="X111" s="89">
        <f t="shared" si="263"/>
        <v>-4.0530237442659822E-2</v>
      </c>
      <c r="Y111" s="89">
        <f t="shared" si="264"/>
        <v>-4.9970251817776035E-2</v>
      </c>
      <c r="Z111" s="89">
        <f t="shared" si="265"/>
        <v>0.4127866933588209</v>
      </c>
      <c r="AA111" s="89">
        <f t="shared" si="266"/>
        <v>-0.17080822553114849</v>
      </c>
    </row>
    <row r="112" spans="1:27" x14ac:dyDescent="0.25">
      <c r="A112" s="88" t="s">
        <v>11</v>
      </c>
      <c r="B112" s="44"/>
      <c r="C112" s="44"/>
      <c r="D112" s="89"/>
      <c r="E112" s="89">
        <f t="shared" ref="E112:E113" si="267">IF(D47=0,"",E47/D47-1)</f>
        <v>0.17618274903240172</v>
      </c>
      <c r="F112" s="89">
        <f t="shared" ref="F112:F113" si="268">IF(E47=0,"",F47/E47-1)</f>
        <v>2.1764115967509046E-2</v>
      </c>
      <c r="G112" s="89">
        <f t="shared" ref="G112:G113" si="269">IF(F47=0,"",G47/F47-1)</f>
        <v>-5.3194570209299075E-2</v>
      </c>
      <c r="H112" s="89">
        <f t="shared" ref="H112:H113" si="270">IF(G47=0,"",H47/G47-1)</f>
        <v>0.10268758835895486</v>
      </c>
      <c r="I112" s="89">
        <f t="shared" ref="I112:I113" si="271">IF(H47=0,"",I47/H47-1)</f>
        <v>0.1380416679348182</v>
      </c>
      <c r="J112" s="89">
        <f t="shared" ref="J112:J113" si="272">IF(I47=0,"",J47/I47-1)</f>
        <v>0.10296051295051467</v>
      </c>
      <c r="K112" s="89">
        <f t="shared" ref="K112:K113" si="273">IF(J47=0,"",K47/J47-1)</f>
        <v>2.7538329996051436E-2</v>
      </c>
      <c r="L112" s="89">
        <f t="shared" ref="L112:L113" si="274">IF(K47=0,"",L47/K47-1)</f>
        <v>5.137765957446816E-2</v>
      </c>
      <c r="M112" s="89">
        <f t="shared" ref="M112:M113" si="275">IF(L47=0,"",M47/L47-1)</f>
        <v>3.8536526657841019E-2</v>
      </c>
      <c r="N112" s="89">
        <f t="shared" ref="N112:N113" si="276">IF(M47=0,"",N47/M47-1)</f>
        <v>6.7556363912105954E-2</v>
      </c>
      <c r="O112" s="89">
        <f t="shared" ref="O112:O113" si="277">IF(N47=0,"",O47/N47-1)</f>
        <v>2.4020651418096506E-2</v>
      </c>
      <c r="P112" s="89">
        <f t="shared" ref="P112:P113" si="278">IF(O47=0,"",P47/O47-1)</f>
        <v>0.16174958079734436</v>
      </c>
      <c r="Q112" s="89">
        <f t="shared" ref="Q112:Q113" si="279">IF(P47=0,"",Q47/P47-1)</f>
        <v>-8.5399216735210337E-2</v>
      </c>
      <c r="R112" s="89">
        <f t="shared" ref="R112:R113" si="280">IF(Q47=0,"",R47/Q47-1)</f>
        <v>0.12198538659782199</v>
      </c>
      <c r="S112" s="89">
        <f t="shared" ref="S112:S113" si="281">IF(R47=0,"",S47/R47-1)</f>
        <v>-2.0004112291350573E-2</v>
      </c>
      <c r="T112" s="89">
        <f t="shared" ref="T112:T113" si="282">IF(S47=0,"",T47/S47-1)</f>
        <v>0.16729144859220746</v>
      </c>
      <c r="U112" s="89">
        <f t="shared" ref="U112:U113" si="283">IF(T47=0,"",U47/T47-1)</f>
        <v>2.2972545744901707E-2</v>
      </c>
      <c r="V112" s="89">
        <f t="shared" ref="V112:V113" si="284">IF(U47=0,"",V47/U47-1)</f>
        <v>-3.5318844256062354E-2</v>
      </c>
      <c r="W112" s="89">
        <f t="shared" ref="W112:W113" si="285">IF(V47=0,"",W47/V47-1)</f>
        <v>7.7210628741262166E-3</v>
      </c>
      <c r="X112" s="89">
        <f t="shared" ref="X112:X113" si="286">IF(W47=0,"",X47/W47-1)</f>
        <v>-5.8028166243097479E-2</v>
      </c>
      <c r="Y112" s="89">
        <f t="shared" ref="Y112:Y113" si="287">IF(X47=0,"",Y47/X47-1)</f>
        <v>-4.2512251937407264E-2</v>
      </c>
      <c r="Z112" s="89">
        <f t="shared" ref="Z112:Z113" si="288">IF(Y47=0,"",Z47/Y47-1)</f>
        <v>3.5603557387041018E-2</v>
      </c>
      <c r="AA112" s="89">
        <f t="shared" ref="AA112:AA113" si="289">IF(Z47=0,"",AA47/Z47-1)</f>
        <v>-7.5309248240018944E-2</v>
      </c>
    </row>
    <row r="113" spans="1:27" x14ac:dyDescent="0.25">
      <c r="A113" s="68" t="s">
        <v>4</v>
      </c>
      <c r="B113" s="44"/>
      <c r="C113" s="44"/>
      <c r="D113" s="89"/>
      <c r="E113" s="89">
        <f t="shared" si="267"/>
        <v>-1.3755908242509829E-2</v>
      </c>
      <c r="F113" s="89">
        <f t="shared" si="268"/>
        <v>-3.5118791015901207E-2</v>
      </c>
      <c r="G113" s="89">
        <f t="shared" si="269"/>
        <v>-3.0953828699374908E-3</v>
      </c>
      <c r="H113" s="89">
        <f t="shared" si="270"/>
        <v>4.6134905376505664E-2</v>
      </c>
      <c r="I113" s="89">
        <f t="shared" si="271"/>
        <v>0.10162556763001662</v>
      </c>
      <c r="J113" s="89">
        <f t="shared" si="272"/>
        <v>6.5345405136545187E-2</v>
      </c>
      <c r="K113" s="89">
        <f t="shared" si="273"/>
        <v>5.4263925837358284E-2</v>
      </c>
      <c r="L113" s="89">
        <f t="shared" si="274"/>
        <v>-4.6981022880977608E-2</v>
      </c>
      <c r="M113" s="89">
        <f t="shared" si="275"/>
        <v>-0.27494410910981348</v>
      </c>
      <c r="N113" s="89">
        <f t="shared" si="276"/>
        <v>5.9790432803298099E-2</v>
      </c>
      <c r="O113" s="89">
        <f t="shared" si="277"/>
        <v>0.1075348705808965</v>
      </c>
      <c r="P113" s="89">
        <f t="shared" si="278"/>
        <v>-7.2905321842826942E-2</v>
      </c>
      <c r="Q113" s="89">
        <f t="shared" si="279"/>
        <v>-3.9410080845148965E-2</v>
      </c>
      <c r="R113" s="89">
        <f t="shared" si="280"/>
        <v>-7.2393551629195807E-2</v>
      </c>
      <c r="S113" s="89">
        <f t="shared" si="281"/>
        <v>-3.8229825918762228E-2</v>
      </c>
      <c r="T113" s="89">
        <f t="shared" si="282"/>
        <v>4.5584464256231527E-2</v>
      </c>
      <c r="U113" s="89">
        <f t="shared" si="283"/>
        <v>6.0309430143225207E-2</v>
      </c>
      <c r="V113" s="89">
        <f t="shared" si="284"/>
        <v>2.7062066513544591E-2</v>
      </c>
      <c r="W113" s="89">
        <f t="shared" si="285"/>
        <v>-2.1844915944250087E-2</v>
      </c>
      <c r="X113" s="89">
        <f t="shared" si="286"/>
        <v>-6.3232361276676086E-2</v>
      </c>
      <c r="Y113" s="89">
        <f t="shared" si="287"/>
        <v>-9.7819989246396788E-2</v>
      </c>
      <c r="Z113" s="89">
        <f t="shared" si="288"/>
        <v>-1.045797420606065E-2</v>
      </c>
      <c r="AA113" s="89">
        <f t="shared" si="289"/>
        <v>-2.1987949356115477E-2</v>
      </c>
    </row>
    <row r="114" spans="1:27" x14ac:dyDescent="0.25">
      <c r="A114" s="68" t="s">
        <v>3</v>
      </c>
      <c r="B114" s="44"/>
      <c r="C114" s="44"/>
      <c r="D114" s="89"/>
      <c r="E114" s="89">
        <f t="shared" ref="E114:E115" si="290">IF(D52=0,"",E52/D52-1)</f>
        <v>-6.4172085800356937E-3</v>
      </c>
      <c r="F114" s="89">
        <f t="shared" ref="F114:F115" si="291">IF(E52=0,"",F52/E52-1)</f>
        <v>-0.13176587161673403</v>
      </c>
      <c r="G114" s="89">
        <f t="shared" ref="G114:G115" si="292">IF(F52=0,"",G52/F52-1)</f>
        <v>-0.13503277134530989</v>
      </c>
      <c r="H114" s="89">
        <f t="shared" ref="H114:H115" si="293">IF(G52=0,"",H52/G52-1)</f>
        <v>-1.3283401093121094E-2</v>
      </c>
      <c r="I114" s="89">
        <f t="shared" ref="I114:I115" si="294">IF(H52=0,"",I52/H52-1)</f>
        <v>-0.12778668556710271</v>
      </c>
      <c r="J114" s="89">
        <f t="shared" ref="J114:J115" si="295">IF(I52=0,"",J52/I52-1)</f>
        <v>6.964762699124849E-2</v>
      </c>
      <c r="K114" s="89">
        <f t="shared" ref="K114:K115" si="296">IF(J52=0,"",K52/J52-1)</f>
        <v>-5.5030566615990373E-2</v>
      </c>
      <c r="L114" s="89">
        <f t="shared" ref="L114:L115" si="297">IF(K52=0,"",L52/K52-1)</f>
        <v>-0.16109193957538237</v>
      </c>
      <c r="M114" s="89">
        <f t="shared" ref="M114:M115" si="298">IF(L52=0,"",M52/L52-1)</f>
        <v>-0.32285399520445857</v>
      </c>
      <c r="N114" s="89">
        <f t="shared" ref="N114:N115" si="299">IF(M52=0,"",N52/M52-1)</f>
        <v>0.33418977740817146</v>
      </c>
      <c r="O114" s="89">
        <f t="shared" ref="O114:O115" si="300">IF(N52=0,"",O52/N52-1)</f>
        <v>-3.3856562702997306E-2</v>
      </c>
      <c r="P114" s="89">
        <f t="shared" ref="P114:P115" si="301">IF(O52=0,"",P52/O52-1)</f>
        <v>-9.4605161547594019E-2</v>
      </c>
      <c r="Q114" s="89">
        <f t="shared" ref="Q114:Q115" si="302">IF(P52=0,"",Q52/P52-1)</f>
        <v>-6.1493060030844204E-2</v>
      </c>
      <c r="R114" s="89">
        <f t="shared" ref="R114:R115" si="303">IF(Q52=0,"",R52/Q52-1)</f>
        <v>1.2154161952656839E-2</v>
      </c>
      <c r="S114" s="89">
        <f t="shared" ref="S114:S115" si="304">IF(R52=0,"",S52/R52-1)</f>
        <v>5.1535904537418853E-2</v>
      </c>
      <c r="T114" s="89">
        <f t="shared" ref="T114:T115" si="305">IF(S52=0,"",T52/S52-1)</f>
        <v>-1.9030050171486734E-2</v>
      </c>
      <c r="U114" s="89">
        <f t="shared" ref="U114:U115" si="306">IF(T52=0,"",U52/T52-1)</f>
        <v>3.3962936441452873E-2</v>
      </c>
      <c r="V114" s="89">
        <f t="shared" ref="V114:V115" si="307">IF(U52=0,"",V52/U52-1)</f>
        <v>6.2455521090605703E-2</v>
      </c>
      <c r="W114" s="89">
        <f t="shared" ref="W114:W115" si="308">IF(V52=0,"",W52/V52-1)</f>
        <v>-8.3750233020816744E-2</v>
      </c>
      <c r="X114" s="89">
        <f t="shared" ref="X114:X115" si="309">IF(W52=0,"",X52/W52-1)</f>
        <v>-0.22434121354868597</v>
      </c>
      <c r="Y114" s="89">
        <f t="shared" ref="Y114:Y115" si="310">IF(X52=0,"",Y52/X52-1)</f>
        <v>0.19386165249926779</v>
      </c>
      <c r="Z114" s="89">
        <f t="shared" ref="Z114:Z115" si="311">IF(Y52=0,"",Z52/Y52-1)</f>
        <v>-3.4050522449186382E-2</v>
      </c>
      <c r="AA114" s="89">
        <f t="shared" ref="AA114:AA115" si="312">IF(Z52=0,"",AA52/Z52-1)</f>
        <v>-0.27707517631071799</v>
      </c>
    </row>
    <row r="115" spans="1:27" x14ac:dyDescent="0.25">
      <c r="A115" s="88" t="s">
        <v>21</v>
      </c>
      <c r="B115" s="44"/>
      <c r="C115" s="44"/>
      <c r="D115" s="89"/>
      <c r="E115" s="89">
        <f t="shared" si="290"/>
        <v>-1.555019289649584E-2</v>
      </c>
      <c r="F115" s="89">
        <f t="shared" si="291"/>
        <v>-0.14072209093361443</v>
      </c>
      <c r="G115" s="89">
        <f t="shared" si="292"/>
        <v>-0.13509768629856167</v>
      </c>
      <c r="H115" s="89">
        <f t="shared" si="293"/>
        <v>-9.3702688578305438E-3</v>
      </c>
      <c r="I115" s="89">
        <f t="shared" si="294"/>
        <v>-0.15839736837868357</v>
      </c>
      <c r="J115" s="89">
        <f t="shared" si="295"/>
        <v>8.6535641207587721E-2</v>
      </c>
      <c r="K115" s="89">
        <f t="shared" si="296"/>
        <v>-6.1161356410213918E-2</v>
      </c>
      <c r="L115" s="89">
        <f t="shared" si="297"/>
        <v>-0.18543235122350576</v>
      </c>
      <c r="M115" s="89">
        <f t="shared" si="298"/>
        <v>-0.36276965804368944</v>
      </c>
      <c r="N115" s="89">
        <f t="shared" si="299"/>
        <v>0.44235768582343371</v>
      </c>
      <c r="O115" s="89">
        <f t="shared" si="300"/>
        <v>-2.1438107787393523E-2</v>
      </c>
      <c r="P115" s="89">
        <f t="shared" si="301"/>
        <v>-0.11033604585268486</v>
      </c>
      <c r="Q115" s="89">
        <f t="shared" si="302"/>
        <v>-4.4768932798907479E-2</v>
      </c>
      <c r="R115" s="89">
        <f t="shared" si="303"/>
        <v>2.8518870840860577E-2</v>
      </c>
      <c r="S115" s="89">
        <f t="shared" si="304"/>
        <v>6.4735416088765652E-2</v>
      </c>
      <c r="T115" s="89">
        <f t="shared" si="305"/>
        <v>-4.262309968517064E-3</v>
      </c>
      <c r="U115" s="89">
        <f t="shared" si="306"/>
        <v>4.7050612089521548E-2</v>
      </c>
      <c r="V115" s="89">
        <f t="shared" si="307"/>
        <v>8.1632326430546964E-2</v>
      </c>
      <c r="W115" s="89">
        <f t="shared" si="308"/>
        <v>-8.789956395762144E-2</v>
      </c>
      <c r="X115" s="89">
        <f t="shared" si="309"/>
        <v>-0.23630301894599948</v>
      </c>
      <c r="Y115" s="89">
        <f t="shared" si="310"/>
        <v>0.22362529836829603</v>
      </c>
      <c r="Z115" s="89">
        <f t="shared" si="311"/>
        <v>-2.9458031289477771E-2</v>
      </c>
      <c r="AA115" s="89">
        <f t="shared" si="312"/>
        <v>-0.30801604795080784</v>
      </c>
    </row>
    <row r="116" spans="1:27" x14ac:dyDescent="0.25">
      <c r="A116" s="88" t="s">
        <v>16</v>
      </c>
      <c r="B116" s="44"/>
      <c r="C116" s="44"/>
      <c r="D116" s="89"/>
      <c r="E116" s="89">
        <f t="shared" ref="E116:E122" si="313">IF(D56=0,"",E56/D56-1)</f>
        <v>5.5667182384763869E-2</v>
      </c>
      <c r="F116" s="89">
        <f t="shared" ref="F116:F122" si="314">IF(E56=0,"",F56/E56-1)</f>
        <v>-7.4990368610167168E-2</v>
      </c>
      <c r="G116" s="89">
        <f t="shared" ref="G116:G122" si="315">IF(F56=0,"",G56/F56-1)</f>
        <v>-0.13465050293420755</v>
      </c>
      <c r="H116" s="89">
        <f t="shared" ref="H116:H122" si="316">IF(G56=0,"",H56/G56-1)</f>
        <v>-3.6314979392260693E-2</v>
      </c>
      <c r="I116" s="89">
        <f t="shared" ref="I116:I122" si="317">IF(H56=0,"",I56/H56-1)</f>
        <v>5.7416495913020782E-2</v>
      </c>
      <c r="J116" s="89">
        <f t="shared" ref="J116:J122" si="318">IF(I56=0,"",J56/I56-1)</f>
        <v>-1.1675677068845092E-2</v>
      </c>
      <c r="K116" s="89">
        <f t="shared" ref="K116:K122" si="319">IF(J56=0,"",K56/J56-1)</f>
        <v>-2.2574390723736015E-2</v>
      </c>
      <c r="L116" s="89">
        <f t="shared" ref="L116:L122" si="320">IF(K56=0,"",L56/K56-1)</f>
        <v>-3.7321741782963547E-2</v>
      </c>
      <c r="M116" s="89">
        <f t="shared" ref="M116:M122" si="321">IF(L56=0,"",M56/L56-1)</f>
        <v>-0.151111603777768</v>
      </c>
      <c r="N116" s="89">
        <f t="shared" ref="N116:N122" si="322">IF(M56=0,"",N56/M56-1)</f>
        <v>-1.5174456468824871E-2</v>
      </c>
      <c r="O116" s="89">
        <f t="shared" ref="O116:O122" si="323">IF(N56=0,"",O56/N56-1)</f>
        <v>-9.26002554470714E-2</v>
      </c>
      <c r="P116" s="89">
        <f t="shared" ref="P116:P122" si="324">IF(O56=0,"",P56/O56-1)</f>
        <v>-1.4356746761988393E-2</v>
      </c>
      <c r="Q116" s="89">
        <f t="shared" ref="Q116:Q122" si="325">IF(P56=0,"",Q56/P56-1)</f>
        <v>-0.13850056091253959</v>
      </c>
      <c r="R116" s="89">
        <f t="shared" ref="R116:R122" si="326">IF(Q56=0,"",R56/Q56-1)</f>
        <v>-7.1396768426562285E-2</v>
      </c>
      <c r="S116" s="89">
        <f t="shared" ref="S116:S122" si="327">IF(R56=0,"",S56/R56-1)</f>
        <v>-2.3106039215686214E-2</v>
      </c>
      <c r="T116" s="89">
        <f t="shared" ref="T116:T122" si="328">IF(S56=0,"",T56/S56-1)</f>
        <v>-0.1100493308319157</v>
      </c>
      <c r="U116" s="89">
        <f t="shared" ref="U116:U122" si="329">IF(T56=0,"",U56/T56-1)</f>
        <v>-5.6289906467905659E-2</v>
      </c>
      <c r="V116" s="89">
        <f t="shared" ref="V116:V122" si="330">IF(U56=0,"",V56/U56-1)</f>
        <v>-8.4269338370804636E-2</v>
      </c>
      <c r="W116" s="89">
        <f t="shared" ref="W116:W122" si="331">IF(V56=0,"",W56/V56-1)</f>
        <v>-4.6251428808350425E-2</v>
      </c>
      <c r="X116" s="89">
        <f t="shared" ref="X116:X122" si="332">IF(W56=0,"",X56/W56-1)</f>
        <v>-0.12095923476779136</v>
      </c>
      <c r="Y116" s="89">
        <f t="shared" ref="Y116:Y122" si="333">IF(X56=0,"",Y56/X56-1)</f>
        <v>-2.9622274672487681E-2</v>
      </c>
      <c r="Z116" s="89">
        <f t="shared" ref="Z116:Z122" si="334">IF(Y56=0,"",Z56/Y56-1)</f>
        <v>-7.753318441220669E-2</v>
      </c>
      <c r="AA116" s="89">
        <f t="shared" ref="AA116:AA122" si="335">IF(Z56=0,"",AA56/Z56-1)</f>
        <v>3.1147016988937182E-2</v>
      </c>
    </row>
    <row r="117" spans="1:27" x14ac:dyDescent="0.25">
      <c r="A117" s="68" t="s">
        <v>2</v>
      </c>
      <c r="B117" s="44"/>
      <c r="C117" s="44"/>
      <c r="D117" s="89"/>
      <c r="E117" s="89">
        <f t="shared" si="313"/>
        <v>0.16342282239039796</v>
      </c>
      <c r="F117" s="89">
        <f t="shared" si="314"/>
        <v>5.8522648141426936E-2</v>
      </c>
      <c r="G117" s="89">
        <f t="shared" si="315"/>
        <v>-5.1424149379664108E-3</v>
      </c>
      <c r="H117" s="89">
        <f t="shared" si="316"/>
        <v>-4.0218172911481997E-2</v>
      </c>
      <c r="I117" s="89">
        <f t="shared" si="317"/>
        <v>6.4074174693160568E-3</v>
      </c>
      <c r="J117" s="89">
        <f t="shared" si="318"/>
        <v>-3.9457771723454105E-2</v>
      </c>
      <c r="K117" s="89">
        <f t="shared" si="319"/>
        <v>3.9746934448921412E-2</v>
      </c>
      <c r="L117" s="89">
        <f t="shared" si="320"/>
        <v>-1.1600343637798383E-2</v>
      </c>
      <c r="M117" s="89">
        <f t="shared" si="321"/>
        <v>8.4444632465677794E-2</v>
      </c>
      <c r="N117" s="89">
        <f t="shared" si="322"/>
        <v>-7.1033894337645953E-2</v>
      </c>
      <c r="O117" s="89">
        <f t="shared" si="323"/>
        <v>-3.2199304651328919E-2</v>
      </c>
      <c r="P117" s="89">
        <f t="shared" si="324"/>
        <v>9.1414491490129368E-3</v>
      </c>
      <c r="Q117" s="89">
        <f t="shared" si="325"/>
        <v>-2.291100270250801E-2</v>
      </c>
      <c r="R117" s="89">
        <f t="shared" si="326"/>
        <v>-3.2778223116626815E-2</v>
      </c>
      <c r="S117" s="89">
        <f t="shared" si="327"/>
        <v>-2.995629936066202E-2</v>
      </c>
      <c r="T117" s="89">
        <f t="shared" si="328"/>
        <v>-1.4241659950110397E-2</v>
      </c>
      <c r="U117" s="89">
        <f t="shared" si="329"/>
        <v>4.4041947576003215E-2</v>
      </c>
      <c r="V117" s="89">
        <f t="shared" si="330"/>
        <v>-1.2228746698122239E-2</v>
      </c>
      <c r="W117" s="89">
        <f t="shared" si="331"/>
        <v>2.7540406129872519E-2</v>
      </c>
      <c r="X117" s="89">
        <f t="shared" si="332"/>
        <v>1.3783436594546172E-2</v>
      </c>
      <c r="Y117" s="89">
        <f t="shared" si="333"/>
        <v>-3.5227603245438277E-2</v>
      </c>
      <c r="Z117" s="89">
        <f t="shared" si="334"/>
        <v>-0.10097407022756677</v>
      </c>
      <c r="AA117" s="89">
        <f t="shared" si="335"/>
        <v>0.1063454651126623</v>
      </c>
    </row>
    <row r="118" spans="1:27" x14ac:dyDescent="0.25">
      <c r="A118" s="68" t="s">
        <v>269</v>
      </c>
      <c r="B118" s="44"/>
      <c r="C118" s="44"/>
      <c r="D118" s="89"/>
      <c r="E118" s="89">
        <f t="shared" si="313"/>
        <v>0.15597893779028982</v>
      </c>
      <c r="F118" s="89">
        <f t="shared" si="314"/>
        <v>0.11465519963736437</v>
      </c>
      <c r="G118" s="89">
        <f t="shared" si="315"/>
        <v>-3.5317323308414084E-2</v>
      </c>
      <c r="H118" s="89">
        <f t="shared" si="316"/>
        <v>-0.17671257598984302</v>
      </c>
      <c r="I118" s="89">
        <f t="shared" si="317"/>
        <v>0.11513686588515992</v>
      </c>
      <c r="J118" s="89">
        <f t="shared" si="318"/>
        <v>5.5107392942091549E-2</v>
      </c>
      <c r="K118" s="89">
        <f t="shared" si="319"/>
        <v>-3.8438519191598908E-2</v>
      </c>
      <c r="L118" s="89">
        <f t="shared" si="320"/>
        <v>1.8441521895228075E-2</v>
      </c>
      <c r="M118" s="89">
        <f t="shared" si="321"/>
        <v>-0.29949112948270484</v>
      </c>
      <c r="N118" s="89">
        <f t="shared" si="322"/>
        <v>-3.0348503852356545E-3</v>
      </c>
      <c r="O118" s="89">
        <f t="shared" si="323"/>
        <v>0.12893540223037192</v>
      </c>
      <c r="P118" s="89">
        <f t="shared" si="324"/>
        <v>-4.8795894653704597E-2</v>
      </c>
      <c r="Q118" s="89">
        <f t="shared" si="325"/>
        <v>1.8431687628713611E-2</v>
      </c>
      <c r="R118" s="89">
        <f t="shared" si="326"/>
        <v>-5.8453321848364714E-2</v>
      </c>
      <c r="S118" s="89">
        <f t="shared" si="327"/>
        <v>-1.5920363223609679E-2</v>
      </c>
      <c r="T118" s="89">
        <f t="shared" si="328"/>
        <v>0.20387272277404533</v>
      </c>
      <c r="U118" s="89">
        <f t="shared" si="329"/>
        <v>2.248501589536156E-3</v>
      </c>
      <c r="V118" s="89">
        <f t="shared" si="330"/>
        <v>7.9742123413528709E-2</v>
      </c>
      <c r="W118" s="89">
        <f t="shared" si="331"/>
        <v>-8.0086211025432119E-2</v>
      </c>
      <c r="X118" s="89">
        <f t="shared" si="332"/>
        <v>-1.7394087139858572E-2</v>
      </c>
      <c r="Y118" s="89">
        <f t="shared" si="333"/>
        <v>4.2170401532637625E-2</v>
      </c>
      <c r="Z118" s="89">
        <f t="shared" si="334"/>
        <v>-0.13103206164772019</v>
      </c>
      <c r="AA118" s="89">
        <f t="shared" si="335"/>
        <v>0.14015465934196958</v>
      </c>
    </row>
    <row r="119" spans="1:27" x14ac:dyDescent="0.25">
      <c r="A119" s="68" t="s">
        <v>270</v>
      </c>
      <c r="B119" s="44"/>
      <c r="C119" s="44"/>
      <c r="D119" s="89"/>
      <c r="E119" s="89">
        <f t="shared" si="313"/>
        <v>-5.0571063253180171E-2</v>
      </c>
      <c r="F119" s="89">
        <f t="shared" si="314"/>
        <v>2.7330946303266268E-2</v>
      </c>
      <c r="G119" s="89">
        <f t="shared" si="315"/>
        <v>1.0998141446186382E-2</v>
      </c>
      <c r="H119" s="89">
        <f t="shared" si="316"/>
        <v>4.2514687629333636E-3</v>
      </c>
      <c r="I119" s="89">
        <f t="shared" si="317"/>
        <v>5.8318747852126096E-2</v>
      </c>
      <c r="J119" s="89">
        <f t="shared" si="318"/>
        <v>8.3520636494848199E-2</v>
      </c>
      <c r="K119" s="89">
        <f t="shared" si="319"/>
        <v>0.11583069083768716</v>
      </c>
      <c r="L119" s="89">
        <f t="shared" si="320"/>
        <v>-1.5277745875083792E-2</v>
      </c>
      <c r="M119" s="89">
        <f t="shared" si="321"/>
        <v>-0.29394458047005467</v>
      </c>
      <c r="N119" s="89">
        <f t="shared" si="322"/>
        <v>4.4743530895041683E-3</v>
      </c>
      <c r="O119" s="89">
        <f t="shared" si="323"/>
        <v>-5.8058749260533338E-2</v>
      </c>
      <c r="P119" s="89">
        <f t="shared" si="324"/>
        <v>-0.20521892537609032</v>
      </c>
      <c r="Q119" s="89">
        <f t="shared" si="325"/>
        <v>3.7847100151176649E-2</v>
      </c>
      <c r="R119" s="89">
        <f t="shared" si="326"/>
        <v>1.1244736246533105E-2</v>
      </c>
      <c r="S119" s="89">
        <f t="shared" si="327"/>
        <v>-7.8551564816982111E-3</v>
      </c>
      <c r="T119" s="89">
        <f t="shared" si="328"/>
        <v>1.8729594378220193E-2</v>
      </c>
      <c r="U119" s="89">
        <f t="shared" si="329"/>
        <v>6.9837556130131873E-2</v>
      </c>
      <c r="V119" s="89">
        <f t="shared" si="330"/>
        <v>-6.4722725694984939E-2</v>
      </c>
      <c r="W119" s="89">
        <f t="shared" si="331"/>
        <v>4.7753434423931207E-2</v>
      </c>
      <c r="X119" s="89">
        <f t="shared" si="332"/>
        <v>2.7887917978107968E-2</v>
      </c>
      <c r="Y119" s="89">
        <f t="shared" si="333"/>
        <v>3.3959869794650821E-2</v>
      </c>
      <c r="Z119" s="89">
        <f t="shared" si="334"/>
        <v>-2.2037945707498507E-2</v>
      </c>
      <c r="AA119" s="89">
        <f t="shared" si="335"/>
        <v>-1.3413700702502473E-2</v>
      </c>
    </row>
    <row r="120" spans="1:27" x14ac:dyDescent="0.25">
      <c r="A120" s="68" t="s">
        <v>1</v>
      </c>
      <c r="B120" s="44"/>
      <c r="C120" s="44"/>
      <c r="D120" s="89"/>
      <c r="E120" s="89">
        <f t="shared" si="313"/>
        <v>-2.9805500292918286E-2</v>
      </c>
      <c r="F120" s="89">
        <f t="shared" si="314"/>
        <v>7.742265217099753E-3</v>
      </c>
      <c r="G120" s="89">
        <f t="shared" si="315"/>
        <v>-7.0792915475054952E-2</v>
      </c>
      <c r="H120" s="89">
        <f t="shared" si="316"/>
        <v>-2.1495132934347683E-2</v>
      </c>
      <c r="I120" s="89">
        <f t="shared" si="317"/>
        <v>-1.7581072949687249E-3</v>
      </c>
      <c r="J120" s="89">
        <f t="shared" si="318"/>
        <v>2.6951744571842795E-2</v>
      </c>
      <c r="K120" s="89">
        <f t="shared" si="319"/>
        <v>-9.3021660643090365E-2</v>
      </c>
      <c r="L120" s="89">
        <f t="shared" si="320"/>
        <v>3.6844016870305474E-3</v>
      </c>
      <c r="M120" s="89">
        <f t="shared" si="321"/>
        <v>-0.15907543846212757</v>
      </c>
      <c r="N120" s="89">
        <f t="shared" si="322"/>
        <v>-1.7851742205412524E-2</v>
      </c>
      <c r="O120" s="89">
        <f t="shared" si="323"/>
        <v>-2.8081602370524372E-2</v>
      </c>
      <c r="P120" s="89">
        <f t="shared" si="324"/>
        <v>-3.2565147921291615E-2</v>
      </c>
      <c r="Q120" s="89">
        <f t="shared" si="325"/>
        <v>-0.1212705721307904</v>
      </c>
      <c r="R120" s="89">
        <f t="shared" si="326"/>
        <v>-8.0896545731661273E-2</v>
      </c>
      <c r="S120" s="89">
        <f t="shared" si="327"/>
        <v>-9.1231524547804588E-3</v>
      </c>
      <c r="T120" s="89">
        <f t="shared" si="328"/>
        <v>6.160401101111046E-2</v>
      </c>
      <c r="U120" s="89">
        <f t="shared" si="329"/>
        <v>1.5543132185837916E-3</v>
      </c>
      <c r="V120" s="89">
        <f t="shared" si="330"/>
        <v>-2.9838061674147598E-2</v>
      </c>
      <c r="W120" s="89">
        <f t="shared" si="331"/>
        <v>-4.5252986658064653E-2</v>
      </c>
      <c r="X120" s="89">
        <f t="shared" si="332"/>
        <v>3.6380365802736181E-2</v>
      </c>
      <c r="Y120" s="89">
        <f t="shared" si="333"/>
        <v>3.8136950830941263E-2</v>
      </c>
      <c r="Z120" s="89">
        <f t="shared" si="334"/>
        <v>-6.4748044982747888E-2</v>
      </c>
      <c r="AA120" s="89">
        <f t="shared" si="335"/>
        <v>-9.2564429276563054E-2</v>
      </c>
    </row>
    <row r="121" spans="1:27" x14ac:dyDescent="0.25">
      <c r="A121" s="68" t="s">
        <v>0</v>
      </c>
      <c r="B121" s="44"/>
      <c r="C121" s="44"/>
      <c r="D121" s="89"/>
      <c r="E121" s="89">
        <f t="shared" si="313"/>
        <v>4.4866007712707212E-3</v>
      </c>
      <c r="F121" s="89">
        <f t="shared" si="314"/>
        <v>-1.6717504128829108E-2</v>
      </c>
      <c r="G121" s="89">
        <f t="shared" si="315"/>
        <v>-1.468214520568456E-2</v>
      </c>
      <c r="H121" s="89">
        <f t="shared" si="316"/>
        <v>-4.9053832471876779E-2</v>
      </c>
      <c r="I121" s="89">
        <f t="shared" si="317"/>
        <v>-1.9712098170958425E-2</v>
      </c>
      <c r="J121" s="89">
        <f t="shared" si="318"/>
        <v>0.11054921991944533</v>
      </c>
      <c r="K121" s="89">
        <f t="shared" si="319"/>
        <v>0.12774998915846658</v>
      </c>
      <c r="L121" s="89">
        <f t="shared" si="320"/>
        <v>-0.29319148936170214</v>
      </c>
      <c r="M121" s="89">
        <f t="shared" si="321"/>
        <v>-0.33403939503349778</v>
      </c>
      <c r="N121" s="89">
        <f t="shared" si="322"/>
        <v>0.40455792312657612</v>
      </c>
      <c r="O121" s="89">
        <f t="shared" si="323"/>
        <v>-8.8598133158747316E-2</v>
      </c>
      <c r="P121" s="89">
        <f t="shared" si="324"/>
        <v>-8.9019110638440369E-2</v>
      </c>
      <c r="Q121" s="89">
        <f t="shared" si="325"/>
        <v>5.3471153705051844E-2</v>
      </c>
      <c r="R121" s="89">
        <f t="shared" si="326"/>
        <v>1.4188140175525277E-2</v>
      </c>
      <c r="S121" s="89">
        <f t="shared" si="327"/>
        <v>-2.3305957095709595E-2</v>
      </c>
      <c r="T121" s="89">
        <f t="shared" si="328"/>
        <v>2.0926905006306562E-2</v>
      </c>
      <c r="U121" s="89">
        <f t="shared" si="329"/>
        <v>7.8953355199559816E-2</v>
      </c>
      <c r="V121" s="89">
        <f t="shared" si="330"/>
        <v>1.4599925905489197E-2</v>
      </c>
      <c r="W121" s="89">
        <f t="shared" si="331"/>
        <v>-0.11450249985748806</v>
      </c>
      <c r="X121" s="89">
        <f t="shared" si="332"/>
        <v>-5.5216929014186511E-2</v>
      </c>
      <c r="Y121" s="89">
        <f t="shared" si="333"/>
        <v>0.81684957324743346</v>
      </c>
      <c r="Z121" s="89">
        <f t="shared" si="334"/>
        <v>0.1258526026079787</v>
      </c>
      <c r="AA121" s="89">
        <f t="shared" si="335"/>
        <v>-0.46635165862823069</v>
      </c>
    </row>
    <row r="122" spans="1:27" x14ac:dyDescent="0.25">
      <c r="A122" s="90" t="s">
        <v>272</v>
      </c>
      <c r="B122" s="47"/>
      <c r="C122" s="47"/>
      <c r="D122" s="91"/>
      <c r="E122" s="91">
        <f t="shared" si="313"/>
        <v>3.4181667748862665E-3</v>
      </c>
      <c r="F122" s="91">
        <f t="shared" si="314"/>
        <v>-3.3331781396535476E-2</v>
      </c>
      <c r="G122" s="91">
        <f t="shared" si="315"/>
        <v>-4.1732604448200039E-2</v>
      </c>
      <c r="H122" s="91">
        <f t="shared" si="316"/>
        <v>7.2971938968598327E-2</v>
      </c>
      <c r="I122" s="91">
        <f t="shared" si="317"/>
        <v>-8.4921042727883145E-2</v>
      </c>
      <c r="J122" s="91">
        <f t="shared" si="318"/>
        <v>4.1970300052533993E-2</v>
      </c>
      <c r="K122" s="91">
        <f t="shared" si="319"/>
        <v>1.5093083784634365E-2</v>
      </c>
      <c r="L122" s="91">
        <f t="shared" si="320"/>
        <v>-0.10020345131875674</v>
      </c>
      <c r="M122" s="91">
        <f t="shared" si="321"/>
        <v>-0.19444556241878097</v>
      </c>
      <c r="N122" s="91">
        <f t="shared" si="322"/>
        <v>-3.0348503852359876E-3</v>
      </c>
      <c r="O122" s="91">
        <f t="shared" si="323"/>
        <v>5.1264487900982036E-2</v>
      </c>
      <c r="P122" s="91">
        <f t="shared" si="324"/>
        <v>-2.6009500680754361E-2</v>
      </c>
      <c r="Q122" s="91">
        <f t="shared" si="325"/>
        <v>-0.11680718456066108</v>
      </c>
      <c r="R122" s="91">
        <f t="shared" si="326"/>
        <v>-6.8351896567692139E-3</v>
      </c>
      <c r="S122" s="91">
        <f t="shared" si="327"/>
        <v>-6.9930831769856594E-3</v>
      </c>
      <c r="T122" s="91">
        <f t="shared" si="328"/>
        <v>3.4806562003097952E-2</v>
      </c>
      <c r="U122" s="91">
        <f t="shared" si="329"/>
        <v>-9.0024941275024251E-4</v>
      </c>
      <c r="V122" s="91">
        <f t="shared" si="330"/>
        <v>1.8995337182599492E-2</v>
      </c>
      <c r="W122" s="91">
        <f t="shared" si="331"/>
        <v>-9.8852198033190231E-3</v>
      </c>
      <c r="X122" s="91">
        <f t="shared" si="332"/>
        <v>-4.8605619255665866E-2</v>
      </c>
      <c r="Y122" s="91">
        <f t="shared" si="333"/>
        <v>3.9451719063301471E-2</v>
      </c>
      <c r="Z122" s="91">
        <f t="shared" si="334"/>
        <v>-3.3108835494556343E-2</v>
      </c>
      <c r="AA122" s="91">
        <f t="shared" si="335"/>
        <v>-4.1608796839421536E-2</v>
      </c>
    </row>
  </sheetData>
  <pageMargins left="0.75" right="0.75" top="1" bottom="1" header="0.5" footer="0.5"/>
  <pageSetup paperSize="9" scale="68" fitToHeight="0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112"/>
  <sheetViews>
    <sheetView showGridLines="0" zoomScale="110" zoomScaleNormal="110" workbookViewId="0">
      <pane ySplit="1" topLeftCell="A2" activePane="bottomLeft" state="frozen"/>
      <selection pane="bottomLeft" activeCell="A2" sqref="A2"/>
    </sheetView>
  </sheetViews>
  <sheetFormatPr defaultColWidth="9.140625" defaultRowHeight="11.25" x14ac:dyDescent="0.25"/>
  <cols>
    <col min="1" max="1" width="33.7109375" style="1" customWidth="1"/>
    <col min="2" max="2" width="14.85546875" style="1" bestFit="1" customWidth="1"/>
    <col min="3" max="3" width="92.42578125" style="1" bestFit="1" customWidth="1"/>
    <col min="4" max="4" width="38.28515625" style="1" bestFit="1" customWidth="1"/>
    <col min="5" max="16384" width="9.140625" style="1"/>
  </cols>
  <sheetData>
    <row r="1" spans="1:4" x14ac:dyDescent="0.25">
      <c r="A1" s="95" t="s">
        <v>244</v>
      </c>
      <c r="B1" s="96" t="s">
        <v>136</v>
      </c>
      <c r="C1" s="95" t="s">
        <v>137</v>
      </c>
      <c r="D1" s="95" t="s">
        <v>138</v>
      </c>
    </row>
    <row r="2" spans="1:4" x14ac:dyDescent="0.25">
      <c r="A2" s="40" t="s">
        <v>139</v>
      </c>
      <c r="B2" s="97" t="s">
        <v>24</v>
      </c>
      <c r="C2" s="40" t="s">
        <v>25</v>
      </c>
      <c r="D2" s="98" t="s">
        <v>140</v>
      </c>
    </row>
    <row r="3" spans="1:4" x14ac:dyDescent="0.25">
      <c r="A3" s="94" t="s">
        <v>141</v>
      </c>
      <c r="B3" s="99" t="s">
        <v>26</v>
      </c>
      <c r="C3" s="94" t="s">
        <v>27</v>
      </c>
      <c r="D3" s="39" t="s">
        <v>140</v>
      </c>
    </row>
    <row r="4" spans="1:4" ht="11.25" customHeight="1" x14ac:dyDescent="0.25">
      <c r="A4" s="46" t="s">
        <v>142</v>
      </c>
      <c r="B4" s="100" t="s">
        <v>28</v>
      </c>
      <c r="C4" s="46" t="s">
        <v>143</v>
      </c>
      <c r="D4" s="101" t="s">
        <v>140</v>
      </c>
    </row>
    <row r="5" spans="1:4" ht="11.25" customHeight="1" x14ac:dyDescent="0.25">
      <c r="A5" s="102" t="s">
        <v>33</v>
      </c>
      <c r="B5" s="103" t="s">
        <v>32</v>
      </c>
      <c r="C5" s="102"/>
      <c r="D5" s="98"/>
    </row>
    <row r="6" spans="1:4" ht="11.25" customHeight="1" x14ac:dyDescent="0.25">
      <c r="A6" s="101"/>
      <c r="B6" s="104" t="s">
        <v>32</v>
      </c>
      <c r="C6" s="101" t="s">
        <v>33</v>
      </c>
      <c r="D6" s="101" t="s">
        <v>144</v>
      </c>
    </row>
    <row r="7" spans="1:4" ht="11.25" customHeight="1" x14ac:dyDescent="0.25">
      <c r="A7" s="102" t="s">
        <v>56</v>
      </c>
      <c r="B7" s="103" t="s">
        <v>55</v>
      </c>
      <c r="C7" s="102"/>
      <c r="D7" s="98"/>
    </row>
    <row r="8" spans="1:4" ht="11.25" customHeight="1" x14ac:dyDescent="0.25">
      <c r="A8" s="101"/>
      <c r="B8" s="104" t="s">
        <v>55</v>
      </c>
      <c r="C8" s="101" t="s">
        <v>56</v>
      </c>
      <c r="D8" s="101" t="s">
        <v>145</v>
      </c>
    </row>
    <row r="9" spans="1:4" ht="11.25" customHeight="1" x14ac:dyDescent="0.25">
      <c r="A9" s="105" t="s">
        <v>146</v>
      </c>
      <c r="B9" s="106" t="s">
        <v>147</v>
      </c>
      <c r="C9" s="105"/>
      <c r="D9" s="107"/>
    </row>
    <row r="10" spans="1:4" x14ac:dyDescent="0.25">
      <c r="A10" s="108" t="s">
        <v>148</v>
      </c>
      <c r="B10" s="109" t="s">
        <v>149</v>
      </c>
      <c r="C10" s="108"/>
      <c r="D10" s="108"/>
    </row>
    <row r="11" spans="1:4" x14ac:dyDescent="0.25">
      <c r="A11" s="110"/>
      <c r="B11" s="110" t="s">
        <v>65</v>
      </c>
      <c r="C11" s="111" t="s">
        <v>66</v>
      </c>
      <c r="D11" s="112" t="s">
        <v>145</v>
      </c>
    </row>
    <row r="12" spans="1:4" x14ac:dyDescent="0.25">
      <c r="A12" s="113"/>
      <c r="B12" s="113" t="s">
        <v>67</v>
      </c>
      <c r="C12" s="106" t="s">
        <v>68</v>
      </c>
      <c r="D12" s="39" t="s">
        <v>145</v>
      </c>
    </row>
    <row r="13" spans="1:4" x14ac:dyDescent="0.25">
      <c r="A13" s="113"/>
      <c r="B13" s="113" t="s">
        <v>73</v>
      </c>
      <c r="C13" s="106" t="s">
        <v>74</v>
      </c>
      <c r="D13" s="39" t="s">
        <v>145</v>
      </c>
    </row>
    <row r="14" spans="1:4" x14ac:dyDescent="0.25">
      <c r="A14" s="113"/>
      <c r="B14" s="113" t="s">
        <v>75</v>
      </c>
      <c r="C14" s="106" t="s">
        <v>76</v>
      </c>
      <c r="D14" s="39" t="s">
        <v>145</v>
      </c>
    </row>
    <row r="15" spans="1:4" x14ac:dyDescent="0.25">
      <c r="A15" s="113"/>
      <c r="B15" s="113" t="s">
        <v>77</v>
      </c>
      <c r="C15" s="106" t="s">
        <v>78</v>
      </c>
      <c r="D15" s="39" t="s">
        <v>145</v>
      </c>
    </row>
    <row r="16" spans="1:4" ht="11.25" customHeight="1" x14ac:dyDescent="0.25">
      <c r="A16" s="114"/>
      <c r="B16" s="114" t="s">
        <v>79</v>
      </c>
      <c r="C16" s="115" t="s">
        <v>80</v>
      </c>
      <c r="D16" s="116" t="s">
        <v>145</v>
      </c>
    </row>
    <row r="17" spans="1:4" ht="11.25" customHeight="1" x14ac:dyDescent="0.25">
      <c r="A17" s="108" t="s">
        <v>150</v>
      </c>
      <c r="B17" s="109" t="s">
        <v>151</v>
      </c>
      <c r="C17" s="108"/>
      <c r="D17" s="107"/>
    </row>
    <row r="18" spans="1:4" ht="11.25" customHeight="1" x14ac:dyDescent="0.25">
      <c r="A18" s="110"/>
      <c r="B18" s="110" t="s">
        <v>40</v>
      </c>
      <c r="C18" s="111" t="s">
        <v>41</v>
      </c>
      <c r="D18" s="112" t="s">
        <v>145</v>
      </c>
    </row>
    <row r="19" spans="1:4" ht="11.25" customHeight="1" x14ac:dyDescent="0.25">
      <c r="A19" s="113"/>
      <c r="B19" s="113" t="s">
        <v>42</v>
      </c>
      <c r="C19" s="106" t="s">
        <v>43</v>
      </c>
      <c r="D19" s="107" t="s">
        <v>145</v>
      </c>
    </row>
    <row r="20" spans="1:4" ht="11.25" customHeight="1" x14ac:dyDescent="0.25">
      <c r="A20" s="113"/>
      <c r="B20" s="113" t="s">
        <v>44</v>
      </c>
      <c r="C20" s="106" t="s">
        <v>45</v>
      </c>
      <c r="D20" s="107" t="s">
        <v>145</v>
      </c>
    </row>
    <row r="21" spans="1:4" ht="11.25" customHeight="1" x14ac:dyDescent="0.25">
      <c r="A21" s="113"/>
      <c r="B21" s="113" t="s">
        <v>69</v>
      </c>
      <c r="C21" s="106" t="s">
        <v>70</v>
      </c>
      <c r="D21" s="107" t="s">
        <v>145</v>
      </c>
    </row>
    <row r="22" spans="1:4" ht="11.25" customHeight="1" x14ac:dyDescent="0.25">
      <c r="A22" s="113"/>
      <c r="B22" s="113" t="s">
        <v>71</v>
      </c>
      <c r="C22" s="106" t="s">
        <v>72</v>
      </c>
      <c r="D22" s="107" t="s">
        <v>145</v>
      </c>
    </row>
    <row r="23" spans="1:4" ht="11.25" customHeight="1" x14ac:dyDescent="0.25">
      <c r="A23" s="113"/>
      <c r="B23" s="113" t="s">
        <v>81</v>
      </c>
      <c r="C23" s="106" t="s">
        <v>82</v>
      </c>
      <c r="D23" s="107" t="s">
        <v>145</v>
      </c>
    </row>
    <row r="24" spans="1:4" ht="11.25" customHeight="1" x14ac:dyDescent="0.25">
      <c r="A24" s="113"/>
      <c r="B24" s="113" t="s">
        <v>83</v>
      </c>
      <c r="C24" s="106" t="s">
        <v>84</v>
      </c>
      <c r="D24" s="107" t="s">
        <v>145</v>
      </c>
    </row>
    <row r="25" spans="1:4" ht="11.25" customHeight="1" x14ac:dyDescent="0.25">
      <c r="A25" s="114"/>
      <c r="B25" s="114" t="s">
        <v>85</v>
      </c>
      <c r="C25" s="115" t="s">
        <v>86</v>
      </c>
      <c r="D25" s="116" t="s">
        <v>145</v>
      </c>
    </row>
    <row r="26" spans="1:4" ht="11.25" customHeight="1" x14ac:dyDescent="0.25">
      <c r="A26" s="67" t="s">
        <v>152</v>
      </c>
      <c r="B26" s="106" t="s">
        <v>153</v>
      </c>
      <c r="C26" s="67"/>
      <c r="D26" s="107"/>
    </row>
    <row r="27" spans="1:4" ht="11.25" customHeight="1" x14ac:dyDescent="0.25">
      <c r="A27" s="110"/>
      <c r="B27" s="110" t="s">
        <v>134</v>
      </c>
      <c r="C27" s="111" t="s">
        <v>135</v>
      </c>
      <c r="D27" s="112" t="s">
        <v>145</v>
      </c>
    </row>
    <row r="28" spans="1:4" ht="11.25" customHeight="1" x14ac:dyDescent="0.25">
      <c r="A28" s="113"/>
      <c r="B28" s="113" t="s">
        <v>61</v>
      </c>
      <c r="C28" s="106" t="s">
        <v>62</v>
      </c>
      <c r="D28" s="107" t="s">
        <v>145</v>
      </c>
    </row>
    <row r="29" spans="1:4" ht="11.25" customHeight="1" x14ac:dyDescent="0.25">
      <c r="A29" s="113"/>
      <c r="B29" s="113" t="s">
        <v>63</v>
      </c>
      <c r="C29" s="106" t="s">
        <v>64</v>
      </c>
      <c r="D29" s="107" t="s">
        <v>145</v>
      </c>
    </row>
    <row r="30" spans="1:4" ht="11.25" customHeight="1" x14ac:dyDescent="0.25">
      <c r="A30" s="102" t="s">
        <v>154</v>
      </c>
      <c r="B30" s="98" t="s">
        <v>155</v>
      </c>
      <c r="C30" s="102"/>
      <c r="D30" s="98"/>
    </row>
    <row r="31" spans="1:4" ht="11.25" customHeight="1" x14ac:dyDescent="0.25">
      <c r="A31" s="113"/>
      <c r="B31" s="113" t="s">
        <v>94</v>
      </c>
      <c r="C31" s="106" t="s">
        <v>95</v>
      </c>
      <c r="D31" s="39" t="s">
        <v>156</v>
      </c>
    </row>
    <row r="32" spans="1:4" ht="11.25" customHeight="1" x14ac:dyDescent="0.25">
      <c r="A32" s="104"/>
      <c r="B32" s="104" t="s">
        <v>59</v>
      </c>
      <c r="C32" s="117" t="s">
        <v>60</v>
      </c>
      <c r="D32" s="101" t="s">
        <v>145</v>
      </c>
    </row>
    <row r="33" spans="1:4" ht="11.25" customHeight="1" x14ac:dyDescent="0.25">
      <c r="A33" s="102" t="s">
        <v>37</v>
      </c>
      <c r="B33" s="103" t="s">
        <v>36</v>
      </c>
      <c r="C33" s="102"/>
      <c r="D33" s="98"/>
    </row>
    <row r="34" spans="1:4" ht="11.25" customHeight="1" x14ac:dyDescent="0.25">
      <c r="A34" s="101"/>
      <c r="B34" s="104" t="s">
        <v>36</v>
      </c>
      <c r="C34" s="101" t="s">
        <v>37</v>
      </c>
      <c r="D34" s="101" t="s">
        <v>144</v>
      </c>
    </row>
    <row r="35" spans="1:4" ht="11.25" customHeight="1" x14ac:dyDescent="0.25">
      <c r="A35" s="102" t="s">
        <v>58</v>
      </c>
      <c r="B35" s="81" t="s">
        <v>157</v>
      </c>
      <c r="C35" s="102"/>
      <c r="D35" s="98"/>
    </row>
    <row r="36" spans="1:4" ht="11.25" customHeight="1" x14ac:dyDescent="0.25">
      <c r="A36" s="118" t="s">
        <v>158</v>
      </c>
      <c r="B36" s="103" t="s">
        <v>124</v>
      </c>
      <c r="C36" s="118"/>
      <c r="D36" s="98"/>
    </row>
    <row r="37" spans="1:4" ht="11.25" customHeight="1" x14ac:dyDescent="0.25">
      <c r="A37" s="113"/>
      <c r="B37" s="113" t="s">
        <v>124</v>
      </c>
      <c r="C37" s="106" t="s">
        <v>125</v>
      </c>
      <c r="D37" s="39" t="s">
        <v>156</v>
      </c>
    </row>
    <row r="38" spans="1:4" ht="11.25" customHeight="1" x14ac:dyDescent="0.25">
      <c r="A38" s="119" t="s">
        <v>5</v>
      </c>
      <c r="B38" s="120"/>
      <c r="C38" s="119"/>
      <c r="D38" s="121"/>
    </row>
    <row r="39" spans="1:4" ht="11.25" customHeight="1" x14ac:dyDescent="0.25">
      <c r="A39" s="68"/>
      <c r="B39" s="113" t="s">
        <v>159</v>
      </c>
      <c r="C39" s="106" t="s">
        <v>160</v>
      </c>
      <c r="D39" s="39" t="s">
        <v>161</v>
      </c>
    </row>
    <row r="40" spans="1:4" ht="11.25" customHeight="1" x14ac:dyDescent="0.25">
      <c r="A40" s="68"/>
      <c r="B40" s="113" t="s">
        <v>162</v>
      </c>
      <c r="C40" s="106" t="s">
        <v>163</v>
      </c>
      <c r="D40" s="39" t="s">
        <v>161</v>
      </c>
    </row>
    <row r="41" spans="1:4" ht="11.25" customHeight="1" x14ac:dyDescent="0.25">
      <c r="A41" s="68"/>
      <c r="B41" s="113" t="s">
        <v>164</v>
      </c>
      <c r="C41" s="106" t="s">
        <v>165</v>
      </c>
      <c r="D41" s="39" t="s">
        <v>161</v>
      </c>
    </row>
    <row r="42" spans="1:4" ht="11.25" customHeight="1" x14ac:dyDescent="0.25">
      <c r="A42" s="68"/>
      <c r="B42" s="113" t="s">
        <v>166</v>
      </c>
      <c r="C42" s="106" t="s">
        <v>167</v>
      </c>
      <c r="D42" s="39" t="s">
        <v>161</v>
      </c>
    </row>
    <row r="43" spans="1:4" ht="11.25" customHeight="1" x14ac:dyDescent="0.25">
      <c r="A43" s="90"/>
      <c r="B43" s="104" t="s">
        <v>168</v>
      </c>
      <c r="C43" s="117" t="s">
        <v>169</v>
      </c>
      <c r="D43" s="101" t="s">
        <v>161</v>
      </c>
    </row>
    <row r="44" spans="1:4" ht="11.25" customHeight="1" x14ac:dyDescent="0.25">
      <c r="A44" s="119" t="s">
        <v>170</v>
      </c>
      <c r="B44" s="120"/>
      <c r="C44" s="119"/>
      <c r="D44" s="121"/>
    </row>
    <row r="45" spans="1:4" ht="11.25" customHeight="1" x14ac:dyDescent="0.25">
      <c r="A45" s="88" t="s">
        <v>14</v>
      </c>
      <c r="B45" s="122"/>
      <c r="C45" s="88"/>
      <c r="D45" s="39"/>
    </row>
    <row r="46" spans="1:4" x14ac:dyDescent="0.25">
      <c r="A46" s="88" t="s">
        <v>19</v>
      </c>
      <c r="B46" s="39"/>
      <c r="C46" s="39"/>
      <c r="D46" s="39"/>
    </row>
    <row r="47" spans="1:4" x14ac:dyDescent="0.25">
      <c r="A47" s="123" t="s">
        <v>13</v>
      </c>
      <c r="B47" s="116"/>
      <c r="C47" s="116"/>
      <c r="D47" s="116"/>
    </row>
    <row r="48" spans="1:4" x14ac:dyDescent="0.25">
      <c r="A48" s="68"/>
      <c r="B48" s="113" t="s">
        <v>171</v>
      </c>
      <c r="C48" s="106" t="s">
        <v>19</v>
      </c>
      <c r="D48" s="39" t="s">
        <v>161</v>
      </c>
    </row>
    <row r="49" spans="1:4" x14ac:dyDescent="0.25">
      <c r="A49" s="68"/>
      <c r="B49" s="113" t="s">
        <v>172</v>
      </c>
      <c r="C49" s="106" t="s">
        <v>173</v>
      </c>
      <c r="D49" s="39" t="s">
        <v>161</v>
      </c>
    </row>
    <row r="50" spans="1:4" x14ac:dyDescent="0.25">
      <c r="A50" s="68"/>
      <c r="B50" s="113" t="s">
        <v>174</v>
      </c>
      <c r="C50" s="106" t="s">
        <v>175</v>
      </c>
      <c r="D50" s="39" t="s">
        <v>161</v>
      </c>
    </row>
    <row r="51" spans="1:4" x14ac:dyDescent="0.25">
      <c r="A51" s="68"/>
      <c r="B51" s="113" t="s">
        <v>176</v>
      </c>
      <c r="C51" s="106" t="s">
        <v>177</v>
      </c>
      <c r="D51" s="39" t="s">
        <v>161</v>
      </c>
    </row>
    <row r="52" spans="1:4" x14ac:dyDescent="0.25">
      <c r="A52" s="68"/>
      <c r="B52" s="113" t="s">
        <v>178</v>
      </c>
      <c r="C52" s="106" t="s">
        <v>179</v>
      </c>
      <c r="D52" s="39" t="s">
        <v>161</v>
      </c>
    </row>
    <row r="53" spans="1:4" x14ac:dyDescent="0.25">
      <c r="A53" s="68"/>
      <c r="B53" s="113" t="s">
        <v>180</v>
      </c>
      <c r="C53" s="106" t="s">
        <v>181</v>
      </c>
      <c r="D53" s="39" t="s">
        <v>161</v>
      </c>
    </row>
    <row r="54" spans="1:4" x14ac:dyDescent="0.25">
      <c r="A54" s="68"/>
      <c r="B54" s="113" t="s">
        <v>182</v>
      </c>
      <c r="C54" s="106" t="s">
        <v>183</v>
      </c>
      <c r="D54" s="39" t="s">
        <v>161</v>
      </c>
    </row>
    <row r="55" spans="1:4" ht="11.25" customHeight="1" thickBot="1" x14ac:dyDescent="0.3">
      <c r="A55" s="124"/>
      <c r="B55" s="125" t="s">
        <v>184</v>
      </c>
      <c r="C55" s="126" t="s">
        <v>185</v>
      </c>
      <c r="D55" s="127" t="s">
        <v>161</v>
      </c>
    </row>
    <row r="56" spans="1:4" ht="11.25" customHeight="1" x14ac:dyDescent="0.25">
      <c r="A56" s="67" t="s">
        <v>265</v>
      </c>
      <c r="B56" s="106" t="s">
        <v>186</v>
      </c>
      <c r="C56" s="67"/>
      <c r="D56" s="39"/>
    </row>
    <row r="57" spans="1:4" x14ac:dyDescent="0.25">
      <c r="A57" s="128" t="s">
        <v>266</v>
      </c>
      <c r="B57" s="129" t="s">
        <v>96</v>
      </c>
      <c r="C57" s="128"/>
      <c r="D57" s="98"/>
    </row>
    <row r="58" spans="1:4" ht="11.25" customHeight="1" x14ac:dyDescent="0.25">
      <c r="A58" s="130"/>
      <c r="B58" s="114" t="s">
        <v>96</v>
      </c>
      <c r="C58" s="115" t="s">
        <v>97</v>
      </c>
      <c r="D58" s="116" t="s">
        <v>156</v>
      </c>
    </row>
    <row r="59" spans="1:4" ht="11.25" customHeight="1" x14ac:dyDescent="0.25">
      <c r="A59" s="88" t="s">
        <v>20</v>
      </c>
      <c r="B59" s="122"/>
      <c r="C59" s="88"/>
      <c r="D59" s="39"/>
    </row>
    <row r="60" spans="1:4" ht="11.25" customHeight="1" x14ac:dyDescent="0.25">
      <c r="A60" s="88"/>
      <c r="B60" s="113" t="s">
        <v>187</v>
      </c>
      <c r="C60" s="106" t="s">
        <v>188</v>
      </c>
      <c r="D60" s="39" t="s">
        <v>161</v>
      </c>
    </row>
    <row r="61" spans="1:4" ht="11.25" customHeight="1" x14ac:dyDescent="0.25">
      <c r="A61" s="88"/>
      <c r="B61" s="113" t="s">
        <v>189</v>
      </c>
      <c r="C61" s="106" t="s">
        <v>190</v>
      </c>
      <c r="D61" s="39" t="s">
        <v>161</v>
      </c>
    </row>
    <row r="62" spans="1:4" ht="11.25" customHeight="1" x14ac:dyDescent="0.25">
      <c r="A62" s="88"/>
      <c r="B62" s="113" t="s">
        <v>191</v>
      </c>
      <c r="C62" s="106" t="s">
        <v>192</v>
      </c>
      <c r="D62" s="39" t="s">
        <v>161</v>
      </c>
    </row>
    <row r="63" spans="1:4" ht="11.25" customHeight="1" x14ac:dyDescent="0.25">
      <c r="A63" s="123"/>
      <c r="B63" s="114" t="s">
        <v>193</v>
      </c>
      <c r="C63" s="115" t="s">
        <v>194</v>
      </c>
      <c r="D63" s="116" t="s">
        <v>161</v>
      </c>
    </row>
    <row r="64" spans="1:4" ht="11.25" customHeight="1" x14ac:dyDescent="0.25">
      <c r="A64" s="88" t="s">
        <v>12</v>
      </c>
      <c r="B64" s="122"/>
      <c r="C64" s="88"/>
      <c r="D64" s="39"/>
    </row>
    <row r="65" spans="1:4" ht="11.25" customHeight="1" x14ac:dyDescent="0.25">
      <c r="A65" s="88"/>
      <c r="B65" s="113" t="s">
        <v>195</v>
      </c>
      <c r="C65" s="106" t="s">
        <v>196</v>
      </c>
      <c r="D65" s="39" t="s">
        <v>161</v>
      </c>
    </row>
    <row r="66" spans="1:4" ht="11.25" customHeight="1" x14ac:dyDescent="0.25">
      <c r="A66" s="88"/>
      <c r="B66" s="113" t="s">
        <v>197</v>
      </c>
      <c r="C66" s="106" t="s">
        <v>198</v>
      </c>
      <c r="D66" s="39" t="s">
        <v>161</v>
      </c>
    </row>
    <row r="67" spans="1:4" ht="11.25" customHeight="1" x14ac:dyDescent="0.25">
      <c r="A67" s="88"/>
      <c r="B67" s="113" t="s">
        <v>199</v>
      </c>
      <c r="C67" s="106" t="s">
        <v>200</v>
      </c>
      <c r="D67" s="39" t="s">
        <v>161</v>
      </c>
    </row>
    <row r="68" spans="1:4" ht="11.25" customHeight="1" x14ac:dyDescent="0.25">
      <c r="A68" s="88"/>
      <c r="B68" s="113" t="s">
        <v>201</v>
      </c>
      <c r="C68" s="106" t="s">
        <v>202</v>
      </c>
      <c r="D68" s="39" t="s">
        <v>161</v>
      </c>
    </row>
    <row r="69" spans="1:4" ht="11.25" customHeight="1" x14ac:dyDescent="0.25">
      <c r="A69" s="88"/>
      <c r="B69" s="113" t="s">
        <v>203</v>
      </c>
      <c r="C69" s="106" t="s">
        <v>204</v>
      </c>
      <c r="D69" s="39" t="s">
        <v>161</v>
      </c>
    </row>
    <row r="70" spans="1:4" ht="11.25" customHeight="1" x14ac:dyDescent="0.25">
      <c r="A70" s="88"/>
      <c r="B70" s="113" t="s">
        <v>205</v>
      </c>
      <c r="C70" s="106" t="s">
        <v>206</v>
      </c>
      <c r="D70" s="39" t="s">
        <v>161</v>
      </c>
    </row>
    <row r="71" spans="1:4" ht="11.25" customHeight="1" x14ac:dyDescent="0.25">
      <c r="A71" s="131"/>
      <c r="B71" s="104" t="s">
        <v>207</v>
      </c>
      <c r="C71" s="117" t="s">
        <v>208</v>
      </c>
      <c r="D71" s="101" t="s">
        <v>161</v>
      </c>
    </row>
    <row r="72" spans="1:4" x14ac:dyDescent="0.25">
      <c r="A72" s="128" t="s">
        <v>11</v>
      </c>
      <c r="B72" s="129" t="s">
        <v>98</v>
      </c>
      <c r="C72" s="128"/>
      <c r="D72" s="98"/>
    </row>
    <row r="73" spans="1:4" ht="11.25" customHeight="1" thickBot="1" x14ac:dyDescent="0.3">
      <c r="A73" s="124"/>
      <c r="B73" s="125" t="s">
        <v>98</v>
      </c>
      <c r="C73" s="126" t="s">
        <v>99</v>
      </c>
      <c r="D73" s="127" t="s">
        <v>156</v>
      </c>
    </row>
    <row r="74" spans="1:4" ht="11.25" customHeight="1" x14ac:dyDescent="0.25">
      <c r="A74" s="67" t="s">
        <v>4</v>
      </c>
      <c r="B74" s="106" t="s">
        <v>122</v>
      </c>
      <c r="C74" s="67"/>
      <c r="D74" s="39"/>
    </row>
    <row r="75" spans="1:4" ht="11.25" customHeight="1" x14ac:dyDescent="0.25">
      <c r="A75" s="104"/>
      <c r="B75" s="104" t="s">
        <v>122</v>
      </c>
      <c r="C75" s="117" t="s">
        <v>123</v>
      </c>
      <c r="D75" s="101" t="s">
        <v>156</v>
      </c>
    </row>
    <row r="76" spans="1:4" ht="11.25" customHeight="1" x14ac:dyDescent="0.25">
      <c r="A76" s="119" t="s">
        <v>209</v>
      </c>
      <c r="B76" s="120"/>
      <c r="C76" s="119"/>
      <c r="D76" s="121"/>
    </row>
    <row r="77" spans="1:4" ht="11.25" customHeight="1" x14ac:dyDescent="0.25">
      <c r="A77" s="88"/>
      <c r="B77" s="113" t="s">
        <v>210</v>
      </c>
      <c r="C77" s="106" t="s">
        <v>211</v>
      </c>
      <c r="D77" s="39" t="s">
        <v>161</v>
      </c>
    </row>
    <row r="78" spans="1:4" ht="11.25" customHeight="1" x14ac:dyDescent="0.25">
      <c r="A78" s="123"/>
      <c r="B78" s="114" t="s">
        <v>212</v>
      </c>
      <c r="C78" s="115" t="s">
        <v>213</v>
      </c>
      <c r="D78" s="116" t="s">
        <v>161</v>
      </c>
    </row>
    <row r="79" spans="1:4" ht="11.25" customHeight="1" x14ac:dyDescent="0.25">
      <c r="A79" s="119" t="s">
        <v>18</v>
      </c>
      <c r="B79" s="120"/>
      <c r="C79" s="119"/>
      <c r="D79" s="121"/>
    </row>
    <row r="80" spans="1:4" ht="11.25" customHeight="1" x14ac:dyDescent="0.25">
      <c r="A80" s="123"/>
      <c r="B80" s="114" t="s">
        <v>214</v>
      </c>
      <c r="C80" s="115" t="s">
        <v>215</v>
      </c>
      <c r="D80" s="116" t="s">
        <v>161</v>
      </c>
    </row>
    <row r="81" spans="1:4" ht="11.25" customHeight="1" x14ac:dyDescent="0.25">
      <c r="A81" s="119" t="s">
        <v>9</v>
      </c>
      <c r="B81" s="120"/>
      <c r="C81" s="119"/>
      <c r="D81" s="121"/>
    </row>
    <row r="82" spans="1:4" ht="11.25" customHeight="1" x14ac:dyDescent="0.25">
      <c r="A82" s="88"/>
      <c r="B82" s="113" t="s">
        <v>216</v>
      </c>
      <c r="C82" s="106" t="s">
        <v>217</v>
      </c>
      <c r="D82" s="39" t="s">
        <v>161</v>
      </c>
    </row>
    <row r="83" spans="1:4" ht="11.25" customHeight="1" x14ac:dyDescent="0.25">
      <c r="A83" s="88"/>
      <c r="B83" s="113" t="s">
        <v>218</v>
      </c>
      <c r="C83" s="106" t="s">
        <v>219</v>
      </c>
      <c r="D83" s="39" t="s">
        <v>161</v>
      </c>
    </row>
    <row r="84" spans="1:4" ht="11.25" customHeight="1" x14ac:dyDescent="0.25">
      <c r="A84" s="88"/>
      <c r="B84" s="113" t="s">
        <v>220</v>
      </c>
      <c r="C84" s="106" t="s">
        <v>221</v>
      </c>
      <c r="D84" s="39" t="s">
        <v>161</v>
      </c>
    </row>
    <row r="85" spans="1:4" ht="11.25" customHeight="1" x14ac:dyDescent="0.25">
      <c r="A85" s="88"/>
      <c r="B85" s="113" t="s">
        <v>222</v>
      </c>
      <c r="C85" s="106" t="s">
        <v>223</v>
      </c>
      <c r="D85" s="39" t="s">
        <v>161</v>
      </c>
    </row>
    <row r="86" spans="1:4" ht="11.25" customHeight="1" thickBot="1" x14ac:dyDescent="0.3">
      <c r="A86" s="132"/>
      <c r="B86" s="125" t="s">
        <v>224</v>
      </c>
      <c r="C86" s="126" t="s">
        <v>225</v>
      </c>
      <c r="D86" s="127" t="s">
        <v>161</v>
      </c>
    </row>
    <row r="87" spans="1:4" ht="11.25" customHeight="1" x14ac:dyDescent="0.25">
      <c r="A87" s="67" t="s">
        <v>3</v>
      </c>
      <c r="B87" s="106" t="s">
        <v>226</v>
      </c>
      <c r="C87" s="67"/>
      <c r="D87" s="39"/>
    </row>
    <row r="88" spans="1:4" x14ac:dyDescent="0.25">
      <c r="A88" s="128" t="s">
        <v>21</v>
      </c>
      <c r="B88" s="129" t="s">
        <v>117</v>
      </c>
      <c r="C88" s="128"/>
      <c r="D88" s="98"/>
    </row>
    <row r="89" spans="1:4" ht="11.25" customHeight="1" x14ac:dyDescent="0.25">
      <c r="A89" s="130"/>
      <c r="B89" s="114" t="s">
        <v>117</v>
      </c>
      <c r="C89" s="115" t="s">
        <v>118</v>
      </c>
      <c r="D89" s="116" t="s">
        <v>156</v>
      </c>
    </row>
    <row r="90" spans="1:4" ht="11.25" customHeight="1" x14ac:dyDescent="0.25">
      <c r="A90" s="88" t="s">
        <v>8</v>
      </c>
      <c r="B90" s="122"/>
      <c r="C90" s="88"/>
      <c r="D90" s="39"/>
    </row>
    <row r="91" spans="1:4" ht="11.25" customHeight="1" x14ac:dyDescent="0.25">
      <c r="A91" s="123"/>
      <c r="B91" s="114" t="s">
        <v>227</v>
      </c>
      <c r="C91" s="115" t="s">
        <v>228</v>
      </c>
      <c r="D91" s="116" t="s">
        <v>161</v>
      </c>
    </row>
    <row r="92" spans="1:4" ht="11.25" customHeight="1" x14ac:dyDescent="0.25">
      <c r="A92" s="88" t="s">
        <v>17</v>
      </c>
      <c r="B92" s="122"/>
      <c r="C92" s="88"/>
      <c r="D92" s="39"/>
    </row>
    <row r="93" spans="1:4" ht="11.25" customHeight="1" x14ac:dyDescent="0.25">
      <c r="A93" s="88"/>
      <c r="B93" s="113" t="s">
        <v>229</v>
      </c>
      <c r="C93" s="106" t="s">
        <v>230</v>
      </c>
      <c r="D93" s="39" t="s">
        <v>161</v>
      </c>
    </row>
    <row r="94" spans="1:4" ht="11.25" customHeight="1" x14ac:dyDescent="0.25">
      <c r="A94" s="131"/>
      <c r="B94" s="104" t="s">
        <v>231</v>
      </c>
      <c r="C94" s="117" t="s">
        <v>232</v>
      </c>
      <c r="D94" s="101" t="s">
        <v>161</v>
      </c>
    </row>
    <row r="95" spans="1:4" x14ac:dyDescent="0.25">
      <c r="A95" s="128" t="s">
        <v>16</v>
      </c>
      <c r="B95" s="129" t="s">
        <v>119</v>
      </c>
      <c r="C95" s="128"/>
      <c r="D95" s="98"/>
    </row>
    <row r="96" spans="1:4" ht="11.25" customHeight="1" thickBot="1" x14ac:dyDescent="0.3">
      <c r="A96" s="124"/>
      <c r="B96" s="125" t="s">
        <v>119</v>
      </c>
      <c r="C96" s="126" t="s">
        <v>7</v>
      </c>
      <c r="D96" s="127" t="s">
        <v>156</v>
      </c>
    </row>
    <row r="97" spans="1:4" ht="11.25" customHeight="1" x14ac:dyDescent="0.25">
      <c r="A97" s="118" t="s">
        <v>2</v>
      </c>
      <c r="B97" s="103" t="s">
        <v>88</v>
      </c>
      <c r="C97" s="118"/>
      <c r="D97" s="98"/>
    </row>
    <row r="98" spans="1:4" ht="11.25" customHeight="1" thickBot="1" x14ac:dyDescent="0.3">
      <c r="A98" s="125"/>
      <c r="B98" s="125" t="s">
        <v>88</v>
      </c>
      <c r="C98" s="126" t="s">
        <v>89</v>
      </c>
      <c r="D98" s="127" t="s">
        <v>233</v>
      </c>
    </row>
    <row r="99" spans="1:4" ht="11.25" customHeight="1" x14ac:dyDescent="0.25">
      <c r="A99" s="118" t="s">
        <v>269</v>
      </c>
      <c r="B99" s="103" t="s">
        <v>110</v>
      </c>
      <c r="C99" s="118"/>
      <c r="D99" s="98"/>
    </row>
    <row r="100" spans="1:4" ht="11.25" customHeight="1" thickBot="1" x14ac:dyDescent="0.3">
      <c r="A100" s="125"/>
      <c r="B100" s="125" t="s">
        <v>110</v>
      </c>
      <c r="C100" s="126" t="s">
        <v>111</v>
      </c>
      <c r="D100" s="127" t="s">
        <v>233</v>
      </c>
    </row>
    <row r="101" spans="1:4" ht="11.25" customHeight="1" x14ac:dyDescent="0.25">
      <c r="A101" s="118" t="s">
        <v>270</v>
      </c>
      <c r="B101" s="103" t="s">
        <v>234</v>
      </c>
      <c r="C101" s="118"/>
      <c r="D101" s="98"/>
    </row>
    <row r="102" spans="1:4" ht="11.25" customHeight="1" x14ac:dyDescent="0.25">
      <c r="A102" s="67"/>
      <c r="B102" s="113" t="s">
        <v>126</v>
      </c>
      <c r="C102" s="106" t="s">
        <v>127</v>
      </c>
      <c r="D102" s="107" t="s">
        <v>156</v>
      </c>
    </row>
    <row r="103" spans="1:4" ht="11.25" customHeight="1" x14ac:dyDescent="0.25">
      <c r="A103" s="67"/>
      <c r="B103" s="113" t="s">
        <v>104</v>
      </c>
      <c r="C103" s="106" t="s">
        <v>105</v>
      </c>
      <c r="D103" s="107" t="s">
        <v>156</v>
      </c>
    </row>
    <row r="104" spans="1:4" ht="11.25" customHeight="1" x14ac:dyDescent="0.25">
      <c r="A104" s="67"/>
      <c r="B104" s="113" t="s">
        <v>106</v>
      </c>
      <c r="C104" s="106" t="s">
        <v>107</v>
      </c>
      <c r="D104" s="107" t="s">
        <v>156</v>
      </c>
    </row>
    <row r="105" spans="1:4" ht="11.25" customHeight="1" thickBot="1" x14ac:dyDescent="0.3">
      <c r="A105" s="125"/>
      <c r="B105" s="125" t="s">
        <v>108</v>
      </c>
      <c r="C105" s="126" t="s">
        <v>109</v>
      </c>
      <c r="D105" s="127" t="s">
        <v>156</v>
      </c>
    </row>
    <row r="106" spans="1:4" ht="11.25" customHeight="1" x14ac:dyDescent="0.25">
      <c r="A106" s="118" t="s">
        <v>1</v>
      </c>
      <c r="B106" s="103" t="s">
        <v>90</v>
      </c>
      <c r="C106" s="118"/>
      <c r="D106" s="98"/>
    </row>
    <row r="107" spans="1:4" ht="11.25" customHeight="1" thickBot="1" x14ac:dyDescent="0.3">
      <c r="A107" s="125"/>
      <c r="B107" s="125" t="s">
        <v>90</v>
      </c>
      <c r="C107" s="126" t="s">
        <v>91</v>
      </c>
      <c r="D107" s="127" t="s">
        <v>233</v>
      </c>
    </row>
    <row r="108" spans="1:4" ht="11.25" customHeight="1" x14ac:dyDescent="0.25">
      <c r="A108" s="118" t="s">
        <v>0</v>
      </c>
      <c r="B108" s="103" t="s">
        <v>115</v>
      </c>
      <c r="C108" s="118"/>
      <c r="D108" s="98"/>
    </row>
    <row r="109" spans="1:4" ht="11.25" customHeight="1" thickBot="1" x14ac:dyDescent="0.3">
      <c r="A109" s="125"/>
      <c r="B109" s="125" t="s">
        <v>115</v>
      </c>
      <c r="C109" s="126" t="s">
        <v>116</v>
      </c>
      <c r="D109" s="127" t="s">
        <v>156</v>
      </c>
    </row>
    <row r="110" spans="1:4" ht="11.25" customHeight="1" x14ac:dyDescent="0.25">
      <c r="A110" s="118" t="s">
        <v>272</v>
      </c>
      <c r="B110" s="103" t="s">
        <v>235</v>
      </c>
      <c r="C110" s="118"/>
      <c r="D110" s="98"/>
    </row>
    <row r="111" spans="1:4" ht="11.25" customHeight="1" x14ac:dyDescent="0.25">
      <c r="A111" s="67"/>
      <c r="B111" s="113" t="s">
        <v>120</v>
      </c>
      <c r="C111" s="106" t="s">
        <v>121</v>
      </c>
      <c r="D111" s="107" t="s">
        <v>156</v>
      </c>
    </row>
    <row r="112" spans="1:4" ht="11.25" customHeight="1" thickBot="1" x14ac:dyDescent="0.3">
      <c r="A112" s="125"/>
      <c r="B112" s="125" t="s">
        <v>132</v>
      </c>
      <c r="C112" s="126" t="s">
        <v>133</v>
      </c>
      <c r="D112" s="127" t="s">
        <v>156</v>
      </c>
    </row>
  </sheetData>
  <pageMargins left="0.19685039370078741" right="0.19685039370078741" top="0.19685039370078741" bottom="0.19685039370078741" header="0.11811023622047244" footer="0.11811023622047244"/>
  <pageSetup paperSize="9" scale="80" fitToHeight="0" orientation="landscape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cover</vt:lpstr>
      <vt:lpstr>index</vt:lpstr>
      <vt:lpstr>Macro_CurrPrices</vt:lpstr>
      <vt:lpstr>Macro_euro2023</vt:lpstr>
      <vt:lpstr>Macro_JRC-IDEES</vt:lpstr>
      <vt:lpstr>definitions</vt:lpstr>
      <vt:lpstr>definitions!Print_Area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2025-11-06T10:23:40Z</dcterms:created>
  <dcterms:modified xsi:type="dcterms:W3CDTF">2025-11-06T10:23:40Z</dcterms:modified>
</cp:coreProperties>
</file>