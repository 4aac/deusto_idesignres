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K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X26" i="12"/>
  <c r="X24" i="12"/>
  <c r="Y16" i="7"/>
  <c r="X16" i="7"/>
  <c r="Y14" i="13"/>
  <c r="X13" i="12"/>
  <c r="X21" i="12"/>
  <c r="X20" i="12"/>
  <c r="X16" i="8"/>
  <c r="Y14" i="12"/>
  <c r="Y6" i="12"/>
  <c r="Y33" i="10"/>
  <c r="X33" i="10"/>
  <c r="Y22" i="13"/>
  <c r="X22" i="13"/>
  <c r="Y21" i="13"/>
  <c r="X21" i="13"/>
  <c r="Y20" i="13"/>
  <c r="Y18" i="13"/>
  <c r="Y17" i="13"/>
  <c r="X17" i="10"/>
  <c r="Y6" i="13"/>
  <c r="Y18" i="10"/>
  <c r="X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24" i="28" s="1"/>
  <c r="Y14" i="24"/>
  <c r="X13" i="23"/>
  <c r="Y10" i="24"/>
  <c r="X9" i="23"/>
  <c r="Y8" i="23"/>
  <c r="Y7" i="25"/>
  <c r="Y7" i="28" s="1"/>
  <c r="X24" i="23"/>
  <c r="Y23" i="23"/>
  <c r="X23" i="23"/>
  <c r="Y22" i="23"/>
  <c r="Y20" i="23"/>
  <c r="Y20" i="26" s="1"/>
  <c r="X5" i="21"/>
  <c r="Y33" i="24"/>
  <c r="Y33" i="27" s="1"/>
  <c r="X33" i="21"/>
  <c r="Y22" i="24"/>
  <c r="Y20" i="21"/>
  <c r="X20" i="21"/>
  <c r="X18" i="24"/>
  <c r="Y17" i="24"/>
  <c r="X15" i="21"/>
  <c r="Y18" i="21"/>
  <c r="Y33" i="25"/>
  <c r="Y33" i="28" s="1"/>
  <c r="X33" i="25"/>
  <c r="X33" i="28" s="1"/>
  <c r="Y26" i="25"/>
  <c r="Y26" i="28" s="1"/>
  <c r="X25" i="25"/>
  <c r="X25" i="28" s="1"/>
  <c r="Y23" i="25"/>
  <c r="X23" i="25"/>
  <c r="Y22" i="25"/>
  <c r="Y19" i="22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X24" i="25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Y10" i="30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17" i="10" l="1"/>
  <c r="X7" i="12"/>
  <c r="X5" i="10"/>
  <c r="X8" i="12"/>
  <c r="Y24" i="23"/>
  <c r="Y24" i="26" s="1"/>
  <c r="Y5" i="10"/>
  <c r="X25" i="23"/>
  <c r="Y24" i="12"/>
  <c r="X25" i="12"/>
  <c r="Y23" i="10"/>
  <c r="Y10" i="12"/>
  <c r="X8" i="13"/>
  <c r="X11" i="12"/>
  <c r="Y8" i="13"/>
  <c r="X8" i="24"/>
  <c r="X8" i="27" s="1"/>
  <c r="X9" i="21"/>
  <c r="X25" i="24"/>
  <c r="X17" i="24"/>
  <c r="X17" i="27" s="1"/>
  <c r="X25" i="13"/>
  <c r="X12" i="12"/>
  <c r="Y23" i="28"/>
  <c r="X7" i="14"/>
  <c r="Y25" i="13"/>
  <c r="X31" i="23"/>
  <c r="X26" i="13"/>
  <c r="Y26" i="24"/>
  <c r="Y26" i="27" s="1"/>
  <c r="Y31" i="23"/>
  <c r="Y10" i="13"/>
  <c r="Y26" i="13"/>
  <c r="X32" i="23"/>
  <c r="X32" i="26" s="1"/>
  <c r="X11" i="13"/>
  <c r="X7" i="21"/>
  <c r="X13" i="29"/>
  <c r="X5" i="29" s="1"/>
  <c r="X12" i="24"/>
  <c r="X12" i="13"/>
  <c r="X30" i="13"/>
  <c r="Y13" i="29"/>
  <c r="Y5" i="29" s="1"/>
  <c r="Y9" i="25"/>
  <c r="Y9" i="28" s="1"/>
  <c r="Y12" i="24"/>
  <c r="Y21" i="25"/>
  <c r="Y21" i="28" s="1"/>
  <c r="X10" i="14"/>
  <c r="X30" i="14"/>
  <c r="Y12" i="13"/>
  <c r="X23" i="21"/>
  <c r="Y11" i="24"/>
  <c r="Y11" i="27" s="1"/>
  <c r="Y52" i="38"/>
  <c r="X14" i="29"/>
  <c r="X6" i="29" s="1"/>
  <c r="X10" i="25"/>
  <c r="X13" i="21"/>
  <c r="X31" i="24"/>
  <c r="X17" i="23"/>
  <c r="X22" i="24"/>
  <c r="Y10" i="14"/>
  <c r="X31" i="13"/>
  <c r="Y33" i="12"/>
  <c r="Y7" i="24"/>
  <c r="Y7" i="27" s="1"/>
  <c r="Y8" i="24"/>
  <c r="X14" i="30"/>
  <c r="Y8" i="25"/>
  <c r="Y8" i="28" s="1"/>
  <c r="Y17" i="23"/>
  <c r="Y17" i="26" s="1"/>
  <c r="X31" i="14"/>
  <c r="Y31" i="13"/>
  <c r="X8" i="25"/>
  <c r="X9" i="36"/>
  <c r="Y53" i="38"/>
  <c r="Y31" i="14"/>
  <c r="X32" i="10"/>
  <c r="Y14" i="21"/>
  <c r="Y32" i="21"/>
  <c r="X17" i="13"/>
  <c r="X21" i="21"/>
  <c r="X27" i="21"/>
  <c r="Y45" i="37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7" i="28" s="1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12" i="36" s="1"/>
  <c r="X22" i="25"/>
  <c r="X17" i="21"/>
  <c r="X32" i="21"/>
  <c r="X7" i="23"/>
  <c r="X7" i="26" s="1"/>
  <c r="X11" i="23"/>
  <c r="X11" i="26" s="1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18" i="27" s="1"/>
  <c r="Y8" i="14"/>
  <c r="Y12" i="12"/>
  <c r="Y18" i="12"/>
  <c r="Y28" i="12"/>
  <c r="X82" i="6"/>
  <c r="X81" i="6" s="1"/>
  <c r="X9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31" i="6" s="1"/>
  <c r="Y12" i="27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7" s="1"/>
  <c r="X5" i="23"/>
  <c r="X5" i="26" s="1"/>
  <c r="X30" i="23"/>
  <c r="X18" i="13"/>
  <c r="X20" i="10"/>
  <c r="X10" i="13"/>
  <c r="X14" i="10"/>
  <c r="X19" i="9"/>
  <c r="X19" i="10" s="1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X17" i="28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5" i="28" s="1"/>
  <c r="X28" i="13"/>
  <c r="Y9" i="13"/>
  <c r="Y16" i="9"/>
  <c r="Y16" i="13" s="1"/>
  <c r="Y9" i="39"/>
  <c r="Y17" i="38"/>
  <c r="Y46" i="37"/>
  <c r="Y17" i="27"/>
  <c r="X6" i="25"/>
  <c r="X6" i="28" s="1"/>
  <c r="Y8" i="27"/>
  <c r="Y15" i="21"/>
  <c r="X51" i="39"/>
  <c r="Y32" i="24"/>
  <c r="Y32" i="27" s="1"/>
  <c r="Y16" i="22"/>
  <c r="X6" i="24"/>
  <c r="X6" i="27" s="1"/>
  <c r="X24" i="24"/>
  <c r="X30" i="24"/>
  <c r="X6" i="13"/>
  <c r="Y11" i="10"/>
  <c r="Y15" i="10"/>
  <c r="X8" i="14"/>
  <c r="Y22" i="26"/>
  <c r="X13" i="13"/>
  <c r="X9" i="39"/>
  <c r="X5" i="39" s="1"/>
  <c r="X46" i="37"/>
  <c r="X21" i="23"/>
  <c r="X21" i="26" s="1"/>
  <c r="Y13" i="13"/>
  <c r="X19" i="7"/>
  <c r="X27" i="12" s="1"/>
  <c r="X29" i="7"/>
  <c r="Y19" i="18"/>
  <c r="Y31" i="25"/>
  <c r="Y31" i="28" s="1"/>
  <c r="Y9" i="38"/>
  <c r="Y52" i="37"/>
  <c r="X32" i="24"/>
  <c r="Y51" i="39"/>
  <c r="Y6" i="24"/>
  <c r="Y24" i="24"/>
  <c r="Y24" i="27" s="1"/>
  <c r="Y18" i="23"/>
  <c r="Y18" i="26" s="1"/>
  <c r="X16" i="9"/>
  <c r="X16" i="13" s="1"/>
  <c r="X19" i="8"/>
  <c r="Y33" i="6"/>
  <c r="Y31" i="6" s="1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14" i="26" s="1"/>
  <c r="X22" i="10"/>
  <c r="Y72" i="29"/>
  <c r="Y6" i="34" s="1"/>
  <c r="Y22" i="10"/>
  <c r="Y25" i="12"/>
  <c r="X29" i="18"/>
  <c r="X17" i="29"/>
  <c r="X5" i="35" s="1"/>
  <c r="X22" i="28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Y22" i="21"/>
  <c r="Y13" i="21"/>
  <c r="Y16" i="19"/>
  <c r="X8" i="10"/>
  <c r="X26" i="10"/>
  <c r="X30" i="25"/>
  <c r="X22" i="27"/>
  <c r="Y23" i="21"/>
  <c r="X14" i="21"/>
  <c r="X33" i="23"/>
  <c r="X4" i="11"/>
  <c r="X4" i="14" s="1"/>
  <c r="Y8" i="10"/>
  <c r="Y26" i="10"/>
  <c r="X15" i="7"/>
  <c r="X15" i="13" s="1"/>
  <c r="Y19" i="7"/>
  <c r="Y27" i="12" s="1"/>
  <c r="Y17" i="37"/>
  <c r="X31" i="25"/>
  <c r="X31" i="28" s="1"/>
  <c r="Y24" i="21"/>
  <c r="X7" i="13"/>
  <c r="X9" i="10"/>
  <c r="X115" i="6"/>
  <c r="X23" i="24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32" i="27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4" i="19"/>
  <c r="X26" i="23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Y12" i="29"/>
  <c r="Y16" i="29"/>
  <c r="X8" i="23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14" s="1"/>
  <c r="Y29" i="8"/>
  <c r="Y29" i="12" s="1"/>
  <c r="Y30" i="12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31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X22" i="26" s="1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4" i="24"/>
  <c r="X14" i="27" s="1"/>
  <c r="Y6" i="27"/>
  <c r="Y10" i="27"/>
  <c r="Y14" i="27"/>
  <c r="Y18" i="27"/>
  <c r="Y22" i="27"/>
  <c r="Y33" i="26"/>
  <c r="X16" i="22"/>
  <c r="Y7" i="21"/>
  <c r="X16" i="20"/>
  <c r="X18" i="21"/>
  <c r="Y28" i="23"/>
  <c r="Y28" i="26" s="1"/>
  <c r="X16" i="18"/>
  <c r="X18" i="23"/>
  <c r="Y7" i="13"/>
  <c r="Y11" i="13"/>
  <c r="Y15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5" i="31" l="1"/>
  <c r="X25" i="26"/>
  <c r="X31" i="26"/>
  <c r="X8" i="26"/>
  <c r="X10" i="27"/>
  <c r="X29" i="13"/>
  <c r="X29" i="16" s="1"/>
  <c r="Y5" i="31"/>
  <c r="X18" i="26"/>
  <c r="X29" i="23"/>
  <c r="X29" i="26" s="1"/>
  <c r="X33" i="26"/>
  <c r="X8" i="28"/>
  <c r="X15" i="12"/>
  <c r="X15" i="15" s="1"/>
  <c r="Y28" i="16"/>
  <c r="X30" i="28"/>
  <c r="X114" i="6"/>
  <c r="Y10" i="17"/>
  <c r="X4" i="13"/>
  <c r="Y16" i="25"/>
  <c r="Y16" i="28" s="1"/>
  <c r="Y16" i="23"/>
  <c r="Y16" i="26" s="1"/>
  <c r="Y5" i="39"/>
  <c r="Y37" i="39" s="1"/>
  <c r="Y5" i="37"/>
  <c r="Y37" i="37" s="1"/>
  <c r="X30" i="26"/>
  <c r="X23" i="28"/>
  <c r="Y30" i="15"/>
  <c r="Y10" i="16"/>
  <c r="X26" i="26"/>
  <c r="X12" i="26"/>
  <c r="X23" i="26"/>
  <c r="X17" i="26"/>
  <c r="X23" i="27"/>
  <c r="X10" i="28"/>
  <c r="X163" i="6"/>
  <c r="Y139" i="6"/>
  <c r="X22" i="15"/>
  <c r="X16" i="10"/>
  <c r="X91" i="6"/>
  <c r="Y19" i="23"/>
  <c r="Y19" i="26" s="1"/>
  <c r="X4" i="23"/>
  <c r="X4" i="26" s="1"/>
  <c r="X29" i="10"/>
  <c r="X3" i="8"/>
  <c r="X3" i="19"/>
  <c r="X3" i="23" s="1"/>
  <c r="X9" i="29"/>
  <c r="X3" i="35" s="1"/>
  <c r="X25" i="27"/>
  <c r="Y27" i="24"/>
  <c r="Y27" i="27" s="1"/>
  <c r="X13" i="26"/>
  <c r="X90" i="6"/>
  <c r="X5" i="32"/>
  <c r="X11" i="27"/>
  <c r="X94" i="6"/>
  <c r="X92" i="6"/>
  <c r="X10" i="26"/>
  <c r="X27" i="13"/>
  <c r="X27" i="16" s="1"/>
  <c r="X28" i="26"/>
  <c r="X33" i="27"/>
  <c r="X9" i="27"/>
  <c r="X13" i="27"/>
  <c r="X113" i="6"/>
  <c r="X167" i="6" s="1"/>
  <c r="X89" i="6"/>
  <c r="X26" i="27"/>
  <c r="X21" i="28"/>
  <c r="X4" i="12"/>
  <c r="X4" i="15" s="1"/>
  <c r="X7" i="27"/>
  <c r="X30" i="27"/>
  <c r="X24" i="27"/>
  <c r="X57" i="6"/>
  <c r="X56" i="6"/>
  <c r="X19" i="13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37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X168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15" i="16"/>
  <c r="Y9" i="16"/>
  <c r="Y18" i="15"/>
  <c r="Y14" i="16"/>
  <c r="Y5" i="15"/>
  <c r="Y32" i="15"/>
  <c r="Y29" i="15"/>
  <c r="Y20" i="15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19" i="1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144" i="6"/>
  <c r="X29" i="25"/>
  <c r="X29" i="28" s="1"/>
  <c r="X4" i="17"/>
  <c r="X140" i="6"/>
  <c r="X16" i="15"/>
  <c r="X20" i="17"/>
  <c r="X32" i="16"/>
  <c r="X8" i="15"/>
  <c r="X23" i="15"/>
  <c r="Y31" i="36"/>
  <c r="Y34" i="36"/>
  <c r="Y32" i="36"/>
  <c r="X8" i="36"/>
  <c r="X3" i="11"/>
  <c r="Y159" i="6"/>
  <c r="Y135" i="6"/>
  <c r="X5" i="38"/>
  <c r="X38" i="38" s="1"/>
  <c r="X44" i="37"/>
  <c r="X3" i="31"/>
  <c r="Y163" i="6"/>
  <c r="Y165" i="6"/>
  <c r="Y3" i="31"/>
  <c r="X158" i="6"/>
  <c r="X125" i="6"/>
  <c r="Y164" i="6"/>
  <c r="X3" i="32"/>
  <c r="X3" i="30"/>
  <c r="X3" i="33"/>
  <c r="Y171" i="6"/>
  <c r="Y162" i="6"/>
  <c r="Y38" i="37"/>
  <c r="Y157" i="6"/>
  <c r="Y124" i="6"/>
  <c r="Y134" i="6"/>
  <c r="Y125" i="6"/>
  <c r="X12" i="15"/>
  <c r="X13" i="16"/>
  <c r="X16" i="16"/>
  <c r="Y169" i="6"/>
  <c r="X35" i="39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X3" i="14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X31" i="36"/>
  <c r="X34" i="36"/>
  <c r="X32" i="36"/>
  <c r="X38" i="39"/>
  <c r="X37" i="39"/>
  <c r="Y33" i="37" l="1"/>
  <c r="Y32" i="37"/>
  <c r="Y40" i="37"/>
  <c r="Y36" i="39"/>
  <c r="Y39" i="37"/>
  <c r="X3" i="12"/>
  <c r="Y35" i="37"/>
  <c r="Y36" i="37"/>
  <c r="Y44" i="39"/>
  <c r="X153" i="6"/>
  <c r="X34" i="37"/>
  <c r="Y35" i="39"/>
  <c r="Y34" i="37"/>
  <c r="Y31" i="37" s="1"/>
  <c r="Y38" i="39"/>
  <c r="X33" i="37"/>
  <c r="X39" i="37"/>
  <c r="X44" i="39"/>
  <c r="X32" i="37"/>
  <c r="X40" i="37"/>
  <c r="Y39" i="38"/>
  <c r="Y44" i="38"/>
  <c r="X36" i="37"/>
  <c r="X38" i="37"/>
  <c r="X35" i="37"/>
  <c r="X31" i="37" s="1"/>
  <c r="X3" i="29"/>
  <c r="X143" i="6"/>
  <c r="X3" i="13"/>
  <c r="X3" i="10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" i="17"/>
  <c r="X39" i="38"/>
  <c r="X37" i="38"/>
  <c r="Y3" i="35"/>
  <c r="X32" i="38"/>
  <c r="Y3" i="14"/>
  <c r="Y3" i="34"/>
  <c r="Y3" i="2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X3" i="15" l="1"/>
  <c r="X3" i="16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R7" i="29"/>
  <c r="T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3" i="34" l="1"/>
  <c r="U19" i="23"/>
  <c r="R3" i="35"/>
  <c r="N3" i="29"/>
  <c r="W3" i="31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W81" i="6"/>
  <c r="W113" i="6" s="1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W90" i="6" l="1"/>
  <c r="S89" i="6"/>
  <c r="R90" i="6"/>
  <c r="T56" i="6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9" i="24" l="1"/>
  <c r="K29" i="12"/>
  <c r="K29" i="13"/>
  <c r="O4" i="24"/>
  <c r="N19" i="24"/>
  <c r="F29" i="23"/>
  <c r="C4" i="24"/>
  <c r="J29" i="23"/>
  <c r="E4" i="24"/>
  <c r="K16" i="24"/>
  <c r="E19" i="14"/>
  <c r="E19" i="17" s="1"/>
  <c r="J29" i="12"/>
  <c r="O4" i="23"/>
  <c r="L16" i="25"/>
  <c r="N19" i="23"/>
  <c r="G16" i="12"/>
  <c r="F4" i="24"/>
  <c r="C4" i="13"/>
  <c r="O4" i="12"/>
  <c r="C16" i="13"/>
  <c r="E4" i="23"/>
  <c r="H4" i="12"/>
  <c r="J29" i="13"/>
  <c r="C4" i="12"/>
  <c r="C4" i="15" s="1"/>
  <c r="G19" i="24"/>
  <c r="P29" i="12"/>
  <c r="P29" i="15" s="1"/>
  <c r="H29" i="23"/>
  <c r="H29" i="26" s="1"/>
  <c r="O29" i="13"/>
  <c r="O29" i="16" s="1"/>
  <c r="P19" i="24"/>
  <c r="P19" i="27" s="1"/>
  <c r="J19" i="23"/>
  <c r="J19" i="26" s="1"/>
  <c r="P29" i="13"/>
  <c r="P29" i="16" s="1"/>
  <c r="H29" i="24"/>
  <c r="H29" i="27" s="1"/>
  <c r="G19" i="23"/>
  <c r="G19" i="26" s="1"/>
  <c r="O29" i="23"/>
  <c r="O29" i="26" s="1"/>
  <c r="O29" i="12"/>
  <c r="C17" i="16"/>
  <c r="E4" i="13"/>
  <c r="P4" i="12"/>
  <c r="O4" i="13"/>
  <c r="O4" i="16" s="1"/>
  <c r="K4" i="24"/>
  <c r="K4" i="27" s="1"/>
  <c r="D16" i="13"/>
  <c r="O16" i="24"/>
  <c r="B16" i="13"/>
  <c r="M29" i="24"/>
  <c r="L19" i="24"/>
  <c r="N29" i="13"/>
  <c r="K19" i="12"/>
  <c r="K19" i="15" s="1"/>
  <c r="H29" i="12"/>
  <c r="D16" i="25"/>
  <c r="D16" i="28" s="1"/>
  <c r="O29" i="24"/>
  <c r="J4" i="12"/>
  <c r="H4" i="23"/>
  <c r="Q16" i="13"/>
  <c r="O16" i="12"/>
  <c r="O16" i="15" s="1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C19" i="23"/>
  <c r="F4" i="12"/>
  <c r="E19" i="24"/>
  <c r="E19" i="27" s="1"/>
  <c r="P16" i="25"/>
  <c r="G29" i="12"/>
  <c r="G29" i="13"/>
  <c r="G29" i="16" s="1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F19" i="15" s="1"/>
  <c r="M16" i="24"/>
  <c r="M16" i="27" s="1"/>
  <c r="J4" i="23"/>
  <c r="J4" i="26" s="1"/>
  <c r="P19" i="12"/>
  <c r="P19" i="15" s="1"/>
  <c r="H4" i="24"/>
  <c r="H4" i="27" s="1"/>
  <c r="M4" i="12"/>
  <c r="M4" i="15" s="1"/>
  <c r="O19" i="24"/>
  <c r="O19" i="27" s="1"/>
  <c r="P16" i="24"/>
  <c r="P16" i="27" s="1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I4" i="15" s="1"/>
  <c r="L16" i="13"/>
  <c r="L16" i="16" s="1"/>
  <c r="B29" i="13"/>
  <c r="B29" i="16" s="1"/>
  <c r="L4" i="24"/>
  <c r="L4" i="27" s="1"/>
  <c r="Q29" i="23"/>
  <c r="Q29" i="26" s="1"/>
  <c r="G16" i="25"/>
  <c r="G16" i="28" s="1"/>
  <c r="Q4" i="24"/>
  <c r="D4" i="23"/>
  <c r="C29" i="13"/>
  <c r="B29" i="12"/>
  <c r="H19" i="24"/>
  <c r="H19" i="27" s="1"/>
  <c r="Q4" i="12"/>
  <c r="Q4" i="15" s="1"/>
  <c r="B4" i="14"/>
  <c r="B4" i="17" s="1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M16" i="15" s="1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4" i="15"/>
  <c r="F3" i="8"/>
  <c r="F16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1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42" i="4"/>
  <c r="B21" i="4"/>
  <c r="B9" i="4"/>
  <c r="B27" i="4"/>
  <c r="B39" i="4"/>
  <c r="B26" i="4"/>
  <c r="B44" i="4"/>
  <c r="B25" i="4"/>
  <c r="B7" i="4"/>
  <c r="B43" i="4"/>
  <c r="B24" i="4"/>
  <c r="B11" i="4"/>
  <c r="B12" i="4"/>
  <c r="B37" i="4"/>
  <c r="B38" i="4"/>
  <c r="B33" i="4"/>
  <c r="B29" i="4"/>
  <c r="B15" i="4"/>
  <c r="B13" i="4"/>
  <c r="B28" i="4"/>
  <c r="B17" i="4"/>
  <c r="B4" i="4"/>
  <c r="B23" i="4"/>
  <c r="B8" i="4"/>
  <c r="B36" i="4"/>
  <c r="B20" i="4"/>
  <c r="B30" i="4"/>
  <c r="B10" i="4"/>
  <c r="B45" i="4"/>
  <c r="B14" i="4"/>
  <c r="B35" i="4"/>
  <c r="B16" i="4"/>
  <c r="B34" i="4"/>
  <c r="B22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<sst xmlns="http://schemas.openxmlformats.org/spreadsheetml/2006/main" count="2101" uniqueCount="1057">
  <si>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</si>
  <si>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</si>
  <si>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</si>
  <si>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</si>
  <si>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</si>
  <si>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</si>
  <si>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</si>
  <si>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</si>
  <si>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</si>
  <si>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</si>
  <si>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</si>
  <si>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</si>
  <si>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</si>
  <si>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</si>
  <si>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</si>
  <si>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</si>
  <si>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</si>
  <si>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</si>
  <si>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</si>
  <si>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</si>
  <si>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</si>
  <si>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</si>
  <si>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</si>
  <si>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</si>
  <si>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</si>
  <si>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</si>
  <si>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</si>
  <si>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</si>
  <si>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</si>
  <si>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</si>
  <si>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</si>
  <si>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</si>
  <si>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</si>
  <si>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</si>
  <si>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</si>
  <si>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</si>
  <si>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</si>
  <si>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</si>
  <si>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</si>
  <si>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</si>
  <si>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</si>
  <si>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</si>
  <si>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</si>
  <si>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</si>
  <si>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</si>
  <si>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</si>
  <si>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</si>
  <si>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</si>
  <si>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</si>
  <si>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</si>
  <si>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</si>
  <si>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</si>
  <si>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</si>
  <si>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</si>
  <si>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</si>
  <si>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</si>
  <si>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</si>
  <si>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</si>
  <si>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</si>
  <si>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</si>
  <si>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</si>
  <si>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</si>
  <si>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</si>
  <si>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</si>
  <si>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</si>
  <si>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</si>
  <si>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</si>
  <si>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</si>
  <si>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</si>
  <si>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</si>
  <si>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</si>
  <si>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</si>
  <si>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</si>
  <si>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</si>
  <si>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</si>
  <si>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</si>
  <si>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</si>
  <si>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</si>
  <si>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</si>
  <si>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</si>
  <si>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</si>
  <si>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</si>
  <si>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</si>
  <si>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</si>
  <si>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</si>
  <si>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</si>
  <si>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</si>
  <si>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</si>
  <si>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</si>
  <si>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</si>
  <si>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</si>
  <si>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</si>
  <si>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</si>
  <si>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</si>
  <si>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</si>
  <si>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</si>
  <si>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</si>
  <si>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</si>
  <si>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</si>
  <si>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</si>
  <si>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</si>
  <si>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</si>
  <si>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</si>
  <si>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</si>
  <si>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</si>
  <si>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</si>
  <si>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</si>
  <si>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</si>
  <si>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</si>
  <si>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</si>
  <si>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</si>
  <si>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</si>
  <si>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</si>
  <si>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</si>
  <si>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</si>
  <si>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</si>
  <si>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</si>
  <si>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</si>
  <si>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</si>
  <si>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</si>
  <si>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</si>
  <si>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</si>
  <si>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</si>
  <si>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</si>
  <si>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</si>
  <si>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</si>
  <si>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</si>
  <si>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</si>
  <si>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</si>
  <si>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</si>
  <si>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</si>
  <si>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</si>
  <si>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</si>
  <si>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</si>
  <si>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</si>
  <si>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</si>
  <si>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</si>
  <si>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</si>
  <si>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</si>
  <si>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</si>
  <si>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</si>
  <si>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</si>
  <si>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</si>
  <si>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</si>
  <si>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</si>
  <si>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</si>
  <si>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</si>
  <si>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</si>
  <si>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</si>
  <si>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</si>
  <si>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</si>
  <si>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</si>
  <si>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</si>
  <si>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</si>
  <si>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</si>
  <si>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</si>
  <si>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</si>
  <si>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</si>
  <si>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</si>
  <si>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</si>
  <si>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</si>
  <si>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</si>
  <si>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</si>
  <si>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</si>
  <si>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</si>
  <si>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</si>
  <si>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</si>
  <si>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</si>
  <si>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</si>
  <si>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</si>
  <si>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</si>
  <si>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</si>
  <si>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</si>
  <si>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</si>
  <si>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</si>
  <si>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</si>
  <si>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</si>
  <si>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</si>
  <si>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</si>
  <si>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</si>
  <si>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</si>
  <si>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</si>
  <si>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</si>
  <si>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</si>
  <si>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</si>
  <si>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SK</t>
  </si>
  <si>
    <t>Slovakia</t>
  </si>
  <si>
    <t>SK - Services sector summary</t>
  </si>
  <si>
    <t>Macro.number.SK.Population</t>
  </si>
  <si>
    <t>Macro.Meuro2015.SK.GDP</t>
  </si>
  <si>
    <t>Macro.Meuro2015.SK.VA</t>
  </si>
  <si>
    <t>Macro.number.SK.Employees</t>
  </si>
  <si>
    <t>NUM.number.SK.Ser.Bld</t>
  </si>
  <si>
    <t>SurfaceArea.ksqm.SK.Ser.Bld</t>
  </si>
  <si>
    <t>NUM.number.SK.Ser.BldNew</t>
  </si>
  <si>
    <t>SurfaceArea.ksqm.SK.Ser.BldNew</t>
  </si>
  <si>
    <t>HDD.Celsius.SK.Actual</t>
  </si>
  <si>
    <t>HDD.Celsius.SK.Mean</t>
  </si>
  <si>
    <t>HDD.ratio.SK.Relative</t>
  </si>
  <si>
    <t>FEC.ktoe.SK.ES.Ser</t>
  </si>
  <si>
    <t>FEC.ktoe.SK.ES.Ser.Solids</t>
  </si>
  <si>
    <t>FEC.ktoe.SK.ES.Ser.LPG</t>
  </si>
  <si>
    <t>FEC.ktoe.SK.ES.Ser.Oil</t>
  </si>
  <si>
    <t>FEC.ktoe.SK.ES.Ser.NG</t>
  </si>
  <si>
    <t>FEC.ktoe.SK.ES.Ser.Biomass_Waste</t>
  </si>
  <si>
    <t>FEC.ktoe.SK.ES.Ser.Biogas</t>
  </si>
  <si>
    <t>FEC.ktoe.SK.ES.Ser.LiqBio</t>
  </si>
  <si>
    <t>FEC.ktoe.SK.ES.Ser.Solar</t>
  </si>
  <si>
    <t>FEC.ktoe.SK.ES.Ser.Geo</t>
  </si>
  <si>
    <t>FEC.ktoe.SK.ES.Ser.Ambient</t>
  </si>
  <si>
    <t>FEC.ktoe.SK.ES.Ser.Steam_Distr</t>
  </si>
  <si>
    <t>FEC.ktoe.SK.ES.Ser.Elec</t>
  </si>
  <si>
    <t>FEC.ktoe.SK.Ser</t>
  </si>
  <si>
    <t>FEC.ktoe.SK.Ser.Bld.Thermal</t>
  </si>
  <si>
    <t>FEC.ktoe.SK.Ser.Bld.Thermal.SH</t>
  </si>
  <si>
    <t>FEC.ktoe.SK.Ser.Bld.Thermal.SC</t>
  </si>
  <si>
    <t>FEC.ktoe.SK.Ser.Bld.Thermal.HW</t>
  </si>
  <si>
    <t>FEC.ktoe.SK.Ser.Bld.Thermal.CA</t>
  </si>
  <si>
    <t>FEC.ktoe.SK.Ser.SEU</t>
  </si>
  <si>
    <t>EMI.ktCO2.SK.ES.Ser</t>
  </si>
  <si>
    <t>EMI.ktCO2.SK.ES.Ser.Solids</t>
  </si>
  <si>
    <t>EMI.ktCO2.SK.ES.Ser.LPG</t>
  </si>
  <si>
    <t>EMI.ktCO2.SK.ES.Ser.Oil</t>
  </si>
  <si>
    <t>EMI.ktCO2.SK.ES.Ser.NG</t>
  </si>
  <si>
    <t>EMI.ktCO2.SK.ES.Ser.Biomass_Waste</t>
  </si>
  <si>
    <t>EMI.ktCO2.SK.ES.Ser.Biogas</t>
  </si>
  <si>
    <t>EMI.ktCO2.SK.ES.Ser.LiqBio</t>
  </si>
  <si>
    <t>EMI.ktCO2.SK.ES.Ser.Solar</t>
  </si>
  <si>
    <t>EMI.ktCO2.SK.ES.Ser.Geo</t>
  </si>
  <si>
    <t>EMI.ktCO2.SK.ES.Ser.Ambient</t>
  </si>
  <si>
    <t>EMI.ktCO2.SK.ES.Ser.Steam_Distr</t>
  </si>
  <si>
    <t>EMI.ktCO2.SK.ES.Ser.Elec</t>
  </si>
  <si>
    <t>EMI.ktCO2.SK.Ser</t>
  </si>
  <si>
    <t>EMI.ktCO2.SK.Ser.Bld.Thermal</t>
  </si>
  <si>
    <t>EMI.ktCO2.SK.Ser.Bld.Thermal.SH</t>
  </si>
  <si>
    <t>EMI.ktCO2.SK.Ser.Bld.Thermal.SC</t>
  </si>
  <si>
    <t>EMI.ktCO2.SK.Ser.Bld.Thermal.HW</t>
  </si>
  <si>
    <t>EMI.ktCO2.SK.Ser.Bld.Thermal.CA</t>
  </si>
  <si>
    <t>EMI.ktCO2.SK.Ser.SEU</t>
  </si>
  <si>
    <t>Eff.ratio.SK.Ser.Bld.Thermal</t>
  </si>
  <si>
    <t>Eff.ratio.SK.Ser.Bld.Thermal.SH</t>
  </si>
  <si>
    <t>Eff.ratio.SK.Ser.Bld.Thermal.SC</t>
  </si>
  <si>
    <t>Eff.ratio.SK.Ser.Bld.Thermal.HW</t>
  </si>
  <si>
    <t>Eff.ratio.SK.Ser.Bld.Thermal.CA</t>
  </si>
  <si>
    <t>SK - Number of buildings</t>
  </si>
  <si>
    <t>NUM.number.SK.Ser.Bld.Thermal</t>
  </si>
  <si>
    <t>NUM.number.SK.Ser.Bld.Thermal.SH</t>
  </si>
  <si>
    <t>NUM.number.SK.Ser.Bld.Thermal.SH.Solids</t>
  </si>
  <si>
    <t>NUM.number.SK.Ser.Bld.Thermal.SH.LPG</t>
  </si>
  <si>
    <t>NUM.number.SK.Ser.Bld.Thermal.SH.Oil</t>
  </si>
  <si>
    <t>NUM.number.SK.Ser.Bld.Thermal.SH.GasHP</t>
  </si>
  <si>
    <t>NUM.number.SK.Ser.Bld.Thermal.SH.GasTH</t>
  </si>
  <si>
    <t>NUM.number.SK.Ser.Bld.Thermal.SH.Biomass</t>
  </si>
  <si>
    <t>NUM.number.SK.Ser.Bld.Thermal.SH.Geo</t>
  </si>
  <si>
    <t>NUM.number.SK.Ser.Bld.Thermal.SH.DistrHeat</t>
  </si>
  <si>
    <t>NUM.number.SK.Ser.Bld.Thermal.SH.AdvElc</t>
  </si>
  <si>
    <t>NUM.number.SK.Ser.Bld.Thermal.SH.ConvElc</t>
  </si>
  <si>
    <t>NUM.number.SK.Ser.Bld.Thermal.SC</t>
  </si>
  <si>
    <t>NUM.number.SK.Ser.Bld.Thermal.SC.GasHP</t>
  </si>
  <si>
    <t>NUM.number.SK.Ser.Bld.Thermal.SC.AC</t>
  </si>
  <si>
    <t>NUM.number.SK.Ser.Bld.Thermal.HW</t>
  </si>
  <si>
    <t>NUM.number.SK.Ser.Bld.Thermal.HW.Solids</t>
  </si>
  <si>
    <t>NUM.number.SK.Ser.Bld.Thermal.HW.LPG</t>
  </si>
  <si>
    <t>NUM.number.SK.Ser.Bld.Thermal.HW.Oil</t>
  </si>
  <si>
    <t>NUM.number.SK.Ser.Bld.Thermal.HW.Gas</t>
  </si>
  <si>
    <t>NUM.number.SK.Ser.Bld.Thermal.HW.Biomass</t>
  </si>
  <si>
    <t>NUM.number.SK.Ser.Bld.Thermal.HW.DistrHeat</t>
  </si>
  <si>
    <t>NUM.number.SK.Ser.Bld.Thermal.HW.Elc</t>
  </si>
  <si>
    <t>NUM.number.SK.Ser.Bld.Thermal.HW.Solar</t>
  </si>
  <si>
    <t>NUM.number.SK.Ser.Bld.Thermal.CA</t>
  </si>
  <si>
    <t>NUM.number.SK.Ser.Bld.Thermal.CA.LPG</t>
  </si>
  <si>
    <t>NUM.number.SK.Ser.Bld.Thermal.CA.Gas</t>
  </si>
  <si>
    <t>NUM.number.SK.Ser.Bld.Thermal.CA.Biomass</t>
  </si>
  <si>
    <t>NUM.number.SK.Ser.Bld.Thermal.CA.Elc</t>
  </si>
  <si>
    <t>SK - Final energy consumption</t>
  </si>
  <si>
    <t>FEC.ktoe.SK.Ser.Bld.Thermal.SH.Solids.Solids</t>
  </si>
  <si>
    <t>FEC.ktoe.SK.Ser.Bld.Thermal.SH.LPG.LPG</t>
  </si>
  <si>
    <t>FEC.ktoe.SK.Ser.Bld.Thermal.SH.Oil.Oil_LiqBio</t>
  </si>
  <si>
    <t>FEC.ktoe.SK.Ser.Bld.Thermal.SH.GasHP.NG_Biogas</t>
  </si>
  <si>
    <t>FEC.ktoe.SK.Ser.Bld.Thermal.SH.GasTH.NG_Biogas</t>
  </si>
  <si>
    <t>FEC.ktoe.SK.Ser.Bld.Thermal.SH.Biomass.Biomass_Waste</t>
  </si>
  <si>
    <t>FEC.ktoe.SK.Ser.Bld.Thermal.SH.Geo.Geo</t>
  </si>
  <si>
    <t>FEC.ktoe.SK.Ser.Bld.Thermal.SH.DistrHeat.Steam_Distr</t>
  </si>
  <si>
    <t>FEC.ktoe.SK.Ser.Bld.Thermal.SH.AdvElc.Elec</t>
  </si>
  <si>
    <t>FEC.ktoe.SK.Ser.Bld.Thermal.SH.ConvElc.Elec</t>
  </si>
  <si>
    <t>FEC.ktoe.SK.Ser.Bld.Thermal.SH.TotalCirculation.Elec</t>
  </si>
  <si>
    <t>FEC.ktoe.SK.Ser.Bld.Thermal.SC.GasHP.NG_Biogas</t>
  </si>
  <si>
    <t>FEC.ktoe.SK.Ser.Bld.Thermal.SC.AC.Elec</t>
  </si>
  <si>
    <t>FEC.ktoe.SK.Ser.Bld.Thermal.HW.Solids.Solids</t>
  </si>
  <si>
    <t>FEC.ktoe.SK.Ser.Bld.Thermal.HW.LPG.LPG</t>
  </si>
  <si>
    <t>FEC.ktoe.SK.Ser.Bld.Thermal.HW.Oil.Oil_LiqBio</t>
  </si>
  <si>
    <t>FEC.ktoe.SK.Ser.Bld.Thermal.HW.Gas.NG_Biogas</t>
  </si>
  <si>
    <t>FEC.ktoe.SK.Ser.Bld.Thermal.HW.Biomass.Biomass_Waste</t>
  </si>
  <si>
    <t>FEC.ktoe.SK.Ser.Bld.Thermal.HW.DistrHeat.Steam_Distr</t>
  </si>
  <si>
    <t>FEC.ktoe.SK.Ser.Bld.Thermal.HW.Elc.Elec</t>
  </si>
  <si>
    <t>FEC.ktoe.SK.Ser.Bld.Thermal.HW.TotalSolar.Solar</t>
  </si>
  <si>
    <t>FEC.ktoe.SK.Ser.Bld.Thermal.CA.LPG</t>
  </si>
  <si>
    <t>FEC.ktoe.SK.Ser.Bld.Thermal.CA.Gas.NG_Biogas</t>
  </si>
  <si>
    <t>FEC.ktoe.SK.Ser.Bld.Thermal.CA.Biomass.Biomass_Waste</t>
  </si>
  <si>
    <t>FEC.ktoe.SK.Ser.Bld.Thermal.CA.Elc.Elec</t>
  </si>
  <si>
    <t>SK - Thermal energy service</t>
  </si>
  <si>
    <t>TES.ktoe.SK.Ser.Bld.Thermal</t>
  </si>
  <si>
    <t>TES.ktoe.SK.Ser.Bld.Thermal.SH</t>
  </si>
  <si>
    <t>TES.ktoe.SK.Ser.Bld.Thermal.SH.Solids.Solids</t>
  </si>
  <si>
    <t>TES.ktoe.SK.Ser.Bld.Thermal.SH.LPG.LPG</t>
  </si>
  <si>
    <t>TES.ktoe.SK.Ser.Bld.Thermal.SH.Oil.Oil_LiqBio</t>
  </si>
  <si>
    <t>TES.ktoe.SK.Ser.Bld.Thermal.SH.GasHP.NG_Biogas</t>
  </si>
  <si>
    <t>TES.ktoe.SK.Ser.Bld.Thermal.SH.GasTH.NG_Biogas</t>
  </si>
  <si>
    <t>TES.ktoe.SK.Ser.Bld.Thermal.SH.Biomass.Biomass_Waste</t>
  </si>
  <si>
    <t>TES.ktoe.SK.Ser.Bld.Thermal.SH.Geo.Geo</t>
  </si>
  <si>
    <t>TES.ktoe.SK.Ser.Bld.Thermal.SH.DistrHeat.Steam_Distr</t>
  </si>
  <si>
    <t>TES.ktoe.SK.Ser.Bld.Thermal.SH.AdvElc.Elec</t>
  </si>
  <si>
    <t>TES.ktoe.SK.Ser.Bld.Thermal.SH.ConvElc.Elec</t>
  </si>
  <si>
    <t>TES.ktoe.SK.Ser.Bld.Thermal.SH.TotalCirculation.Elec</t>
  </si>
  <si>
    <t>TES.ktoe.SK.Ser.Bld.Thermal.SC</t>
  </si>
  <si>
    <t>TES.ktoe.SK.Ser.Bld.Thermal.SC.GasHP.NG_Biogas</t>
  </si>
  <si>
    <t>TES.ktoe.SK.Ser.Bld.Thermal.SC.AC.Elec</t>
  </si>
  <si>
    <t>TES.ktoe.SK.Ser.Bld.Thermal.HW</t>
  </si>
  <si>
    <t>TES.ktoe.SK.Ser.Bld.Thermal.HW.Solids.Solids</t>
  </si>
  <si>
    <t>TES.ktoe.SK.Ser.Bld.Thermal.HW.LPG.LPG</t>
  </si>
  <si>
    <t>TES.ktoe.SK.Ser.Bld.Thermal.HW.Oil.Oil_LiqBio</t>
  </si>
  <si>
    <t>TES.ktoe.SK.Ser.Bld.Thermal.HW.Gas.NG_Biogas</t>
  </si>
  <si>
    <t>TES.ktoe.SK.Ser.Bld.Thermal.HW.Biomass.Biomass_Waste</t>
  </si>
  <si>
    <t>TES.ktoe.SK.Ser.Bld.Thermal.HW.DistrHeat.Steam_Distr</t>
  </si>
  <si>
    <t>TES.ktoe.SK.Ser.Bld.Thermal.HW.Elc.Elec</t>
  </si>
  <si>
    <t>TES.ktoe.SK.Ser.Bld.Thermal.HW.TotalSolar.Solar</t>
  </si>
  <si>
    <t>TES.ktoe.SK.Ser.Bld.Thermal.CA</t>
  </si>
  <si>
    <t>TES.ktoe.SK.Ser.Bld.Thermal.CA.LPG</t>
  </si>
  <si>
    <t>TES.ktoe.SK.Ser.Bld.Thermal.CA.Gas.NG_Biogas</t>
  </si>
  <si>
    <t>TES.ktoe.SK.Ser.Bld.Thermal.CA.Biomass.Biomass_Waste</t>
  </si>
  <si>
    <t>TES.ktoe.SK.Ser.Bld.Thermal.CA.Elc.Elec</t>
  </si>
  <si>
    <t>SK - System efficiency indicator of total stock</t>
  </si>
  <si>
    <t>Eff.ratio.SK.Ser.Bld.Thermal.SH.Solids.Solids</t>
  </si>
  <si>
    <t>Eff.ratio.SK.Ser.Bld.Thermal.SH.LPG.LPG</t>
  </si>
  <si>
    <t>Eff.ratio.SK.Ser.Bld.Thermal.SH.Oil.Oil_LiqBio</t>
  </si>
  <si>
    <t>Eff.ratio.SK.Ser.Bld.Thermal.SH.GasHP.NG_Biogas</t>
  </si>
  <si>
    <t>Eff.ratio.SK.Ser.Bld.Thermal.SH.GasTH.NG_Biogas</t>
  </si>
  <si>
    <t>Eff.ratio.SK.Ser.Bld.Thermal.SH.Biomass.Biomass_Waste</t>
  </si>
  <si>
    <t>Eff.ratio.SK.Ser.Bld.Thermal.SH.Geo.Geo</t>
  </si>
  <si>
    <t>Eff.ratio.SK.Ser.Bld.Thermal.SH.DistrHeat.Steam_Distr</t>
  </si>
  <si>
    <t>Eff.ratio.SK.Ser.Bld.Thermal.SH.AdvElc.Elec</t>
  </si>
  <si>
    <t>Eff.ratio.SK.Ser.Bld.Thermal.SH.ConvElc.Elec</t>
  </si>
  <si>
    <t>Eff.ratio.SK.Ser.Bld.Thermal.SH.TotalCirculation.Elec</t>
  </si>
  <si>
    <t>Eff.ratio.SK.Ser.Bld.Thermal.SC.GasHP.NG_Biogas</t>
  </si>
  <si>
    <t>Eff.ratio.SK.Ser.Bld.Thermal.SC.AC.Elec</t>
  </si>
  <si>
    <t>Eff.ratio.SK.Ser.Bld.Thermal.HW.Solids.Solids</t>
  </si>
  <si>
    <t>Eff.ratio.SK.Ser.Bld.Thermal.HW.LPG.LPG</t>
  </si>
  <si>
    <t>Eff.ratio.SK.Ser.Bld.Thermal.HW.Oil.Oil_LiqBio</t>
  </si>
  <si>
    <t>Eff.ratio.SK.Ser.Bld.Thermal.HW.Gas.NG_Biogas</t>
  </si>
  <si>
    <t>Eff.ratio.SK.Ser.Bld.Thermal.HW.Biomass.Biomass_Waste</t>
  </si>
  <si>
    <t>Eff.ratio.SK.Ser.Bld.Thermal.HW.DistrHeat.Steam_Distr</t>
  </si>
  <si>
    <t>Eff.ratio.SK.Ser.Bld.Thermal.HW.Elc.Elec</t>
  </si>
  <si>
    <t>Eff.ratio.SK.Ser.Bld.Thermal.HW.TotalSolar.Solar</t>
  </si>
  <si>
    <t>Eff.ratio.SK.Ser.Bld.Thermal.CA.LPG</t>
  </si>
  <si>
    <t>Eff.ratio.SK.Ser.Bld.Thermal.CA.Gas.NG_Biogas</t>
  </si>
  <si>
    <t>Eff.ratio.SK.Ser.Bld.Thermal.CA.Biomass.Biomass_Waste</t>
  </si>
  <si>
    <t>Eff.ratio.SK.Ser.Bld.Thermal.CA.Elc.Elec</t>
  </si>
  <si>
    <t>SK - CO2 emissions</t>
  </si>
  <si>
    <t>EMI.ktCO2.SK.Ser.Bld.Thermal.SH.Solids.Solids</t>
  </si>
  <si>
    <t>EMI.ktCO2.SK.Ser.Bld.Thermal.SH.LPG.LPG</t>
  </si>
  <si>
    <t>EMI.ktCO2.SK.Ser.Bld.Thermal.SH.Oil.Oil_LiqBio</t>
  </si>
  <si>
    <t>EMI.ktCO2.SK.Ser.Bld.Thermal.SH.GasHP.NG_Biogas</t>
  </si>
  <si>
    <t>EMI.ktCO2.SK.Ser.Bld.Thermal.SH.GasTH.NG_Biogas</t>
  </si>
  <si>
    <t>EMI.ktCO2.SK.Ser.Bld.Thermal.SH.Biomass.Biomass_Waste</t>
  </si>
  <si>
    <t>EMI.ktCO2.SK.Ser.Bld.Thermal.SH.Geo.Geo</t>
  </si>
  <si>
    <t>EMI.ktCO2.SK.Ser.Bld.Thermal.SH.DistrHeat.Steam_Distr</t>
  </si>
  <si>
    <t>EMI.ktCO2.SK.Ser.Bld.Thermal.SH.AdvElc.Elec</t>
  </si>
  <si>
    <t>EMI.ktCO2.SK.Ser.Bld.Thermal.SH.ConvElc.Elec</t>
  </si>
  <si>
    <t>EMI.ktCO2.SK.Ser.Bld.Thermal.SH.TotalCirculation.Elec</t>
  </si>
  <si>
    <t>EMI.ktCO2.SK.Ser.Bld.Thermal.SC.GasHP.NG_Biogas</t>
  </si>
  <si>
    <t>EMI.ktCO2.SK.Ser.Bld.Thermal.SC.AC.Elec</t>
  </si>
  <si>
    <t>EMI.ktCO2.SK.Ser.Bld.Thermal.HW.Solids.Solids</t>
  </si>
  <si>
    <t>EMI.ktCO2.SK.Ser.Bld.Thermal.HW.LPG.LPG</t>
  </si>
  <si>
    <t>EMI.ktCO2.SK.Ser.Bld.Thermal.HW.Oil.Oil_LiqBio</t>
  </si>
  <si>
    <t>EMI.ktCO2.SK.Ser.Bld.Thermal.HW.Gas.NG_Biogas</t>
  </si>
  <si>
    <t>EMI.ktCO2.SK.Ser.Bld.Thermal.HW.Biomass.Biomass_Waste</t>
  </si>
  <si>
    <t>EMI.ktCO2.SK.Ser.Bld.Thermal.HW.DistrHeat.Steam_Distr</t>
  </si>
  <si>
    <t>EMI.ktCO2.SK.Ser.Bld.Thermal.HW.Elc.Elec</t>
  </si>
  <si>
    <t>EMI.ktCO2.SK.Ser.Bld.Thermal.HW.TotalSolar.Solar</t>
  </si>
  <si>
    <t>EMI.ktCO2.SK.Ser.Bld.Thermal.CA.LPG</t>
  </si>
  <si>
    <t>EMI.ktCO2.SK.Ser.Bld.Thermal.CA.Gas.NG_Biogas</t>
  </si>
  <si>
    <t>EMI.ktCO2.SK.Ser.Bld.Thermal.CA.Biomass.Biomass_Waste</t>
  </si>
  <si>
    <t>EMI.ktCO2.SK.Ser.Bld.Thermal.CA.Elc.Elec</t>
  </si>
  <si>
    <t>SK - Final energy consumption per building</t>
  </si>
  <si>
    <t>FEC_per_building.kWh.SK.Ser.Bld.Thermal</t>
  </si>
  <si>
    <t>FEC_per_building.kWh.SK.Ser.Bld.Thermal.SH</t>
  </si>
  <si>
    <t>FEC_per_building.kWh.SK.Ser.Bld.Thermal.SH.Solids.Solids</t>
  </si>
  <si>
    <t>FEC_per_building.kWh.SK.Ser.Bld.Thermal.SH.LPG.LPG</t>
  </si>
  <si>
    <t>FEC_per_building.kWh.SK.Ser.Bld.Thermal.SH.Oil.Oil_LiqBio</t>
  </si>
  <si>
    <t>FEC_per_building.kWh.SK.Ser.Bld.Thermal.SH.GasHP.NG_Biogas</t>
  </si>
  <si>
    <t>FEC_per_building.kWh.SK.Ser.Bld.Thermal.SH.GasTH.NG_Biogas</t>
  </si>
  <si>
    <t>FEC_per_building.kWh.SK.Ser.Bld.Thermal.SH.Biomass.Biomass_Waste</t>
  </si>
  <si>
    <t>FEC_per_building.kWh.SK.Ser.Bld.Thermal.SH.Geo.Geo</t>
  </si>
  <si>
    <t>FEC_per_building.kWh.SK.Ser.Bld.Thermal.SH.DistrHeat.Steam_Distr</t>
  </si>
  <si>
    <t>FEC_per_building.kWh.SK.Ser.Bld.Thermal.SH.AdvElc.Elec</t>
  </si>
  <si>
    <t>FEC_per_building.kWh.SK.Ser.Bld.Thermal.SH.ConvElc.Elec</t>
  </si>
  <si>
    <t>FEC_per_building.kWh.SK.Ser.Bld.Thermal.SH.TotalCirculation.Elec</t>
  </si>
  <si>
    <t>FEC_per_building.kWh.SK.Ser.Bld.Thermal.SC</t>
  </si>
  <si>
    <t>FEC_per_building.kWh.SK.Ser.Bld.Thermal.SC.GasHP.NG_Biogas</t>
  </si>
  <si>
    <t>FEC_per_building.kWh.SK.Ser.Bld.Thermal.SC.AC.Elec</t>
  </si>
  <si>
    <t>FEC_per_building.kWh.SK.Ser.Bld.Thermal.HW</t>
  </si>
  <si>
    <t>FEC_per_building.kWh.SK.Ser.Bld.Thermal.HW.Solids.Solids</t>
  </si>
  <si>
    <t>FEC_per_building.kWh.SK.Ser.Bld.Thermal.HW.LPG.LPG</t>
  </si>
  <si>
    <t>FEC_per_building.kWh.SK.Ser.Bld.Thermal.HW.Oil.Oil_LiqBio</t>
  </si>
  <si>
    <t>FEC_per_building.kWh.SK.Ser.Bld.Thermal.HW.Gas.NG_Biogas</t>
  </si>
  <si>
    <t>FEC_per_building.kWh.SK.Ser.Bld.Thermal.HW.Biomass.Biomass_Waste</t>
  </si>
  <si>
    <t>FEC_per_building.kWh.SK.Ser.Bld.Thermal.HW.DistrHeat.Steam_Distr</t>
  </si>
  <si>
    <t>FEC_per_building.kWh.SK.Ser.Bld.Thermal.HW.Elc.Elec</t>
  </si>
  <si>
    <t>FEC_per_building.kWh.SK.Ser.Bld.Thermal.HW.TotalSolar.Solar</t>
  </si>
  <si>
    <t>FEC_per_building.kWh.SK.Ser.Bld.Thermal.CA</t>
  </si>
  <si>
    <t>FEC_per_building.kWh.SK.Ser.Bld.Thermal.CA.LPG</t>
  </si>
  <si>
    <t>FEC_per_building.kWh.SK.Ser.Bld.Thermal.CA.Gas.NG_Biogas</t>
  </si>
  <si>
    <t>FEC_per_building.kWh.SK.Ser.Bld.Thermal.CA.Biomass.Biomass_Waste</t>
  </si>
  <si>
    <t>FEC_per_building.kWh.SK.Ser.Bld.Thermal.CA.Elc.Elec</t>
  </si>
  <si>
    <t>SK - Thermal energy service per building</t>
  </si>
  <si>
    <t>TES_per_building.kWh.SK.Ser.Bld.Thermal</t>
  </si>
  <si>
    <t>TES_per_building.kWh.SK.Ser.Bld.Thermal.SH</t>
  </si>
  <si>
    <t>TES_per_building.kWh.SK.Ser.Bld.Thermal.SH.Solids.Solids</t>
  </si>
  <si>
    <t>TES_per_building.kWh.SK.Ser.Bld.Thermal.SH.LPG.LPG</t>
  </si>
  <si>
    <t>TES_per_building.kWh.SK.Ser.Bld.Thermal.SH.Oil.Oil_LiqBio</t>
  </si>
  <si>
    <t>TES_per_building.kWh.SK.Ser.Bld.Thermal.SH.GasHP.NG_Biogas</t>
  </si>
  <si>
    <t>TES_per_building.kWh.SK.Ser.Bld.Thermal.SH.GasTH.NG_Biogas</t>
  </si>
  <si>
    <t>TES_per_building.kWh.SK.Ser.Bld.Thermal.SH.Biomass.Biomass_Waste</t>
  </si>
  <si>
    <t>TES_per_building.kWh.SK.Ser.Bld.Thermal.SH.Geo.Geo</t>
  </si>
  <si>
    <t>TES_per_building.kWh.SK.Ser.Bld.Thermal.SH.DistrHeat.Steam_Distr</t>
  </si>
  <si>
    <t>TES_per_building.kWh.SK.Ser.Bld.Thermal.SH.AdvElc.Elec</t>
  </si>
  <si>
    <t>TES_per_building.kWh.SK.Ser.Bld.Thermal.SH.ConvElc.Elec</t>
  </si>
  <si>
    <t>TES_per_building.kWh.SK.Ser.Bld.Thermal.SH.TotalCirculation.Elec</t>
  </si>
  <si>
    <t>TES_per_building.kWh.SK.Ser.Bld.Thermal.SC</t>
  </si>
  <si>
    <t>TES_per_building.kWh.SK.Ser.Bld.Thermal.SC.GasHP.NG_Biogas</t>
  </si>
  <si>
    <t>TES_per_building.kWh.SK.Ser.Bld.Thermal.SC.AC.Elec</t>
  </si>
  <si>
    <t>TES_per_building.kWh.SK.Ser.Bld.Thermal.HW</t>
  </si>
  <si>
    <t>TES_per_building.kWh.SK.Ser.Bld.Thermal.HW.Solids.Solids</t>
  </si>
  <si>
    <t>TES_per_building.kWh.SK.Ser.Bld.Thermal.HW.LPG.LPG</t>
  </si>
  <si>
    <t>TES_per_building.kWh.SK.Ser.Bld.Thermal.HW.Oil.Oil_LiqBio</t>
  </si>
  <si>
    <t>TES_per_building.kWh.SK.Ser.Bld.Thermal.HW.Gas.NG_Biogas</t>
  </si>
  <si>
    <t>TES_per_building.kWh.SK.Ser.Bld.Thermal.HW.Biomass.Biomass_Waste</t>
  </si>
  <si>
    <t>TES_per_building.kWh.SK.Ser.Bld.Thermal.HW.DistrHeat.Steam_Distr</t>
  </si>
  <si>
    <t>TES_per_building.kWh.SK.Ser.Bld.Thermal.HW.Elc.Elec</t>
  </si>
  <si>
    <t>TES_per_building.kWh.SK.Ser.Bld.Thermal.HW.TotalSolar.Solar</t>
  </si>
  <si>
    <t>TES_per_building.kWh.SK.Ser.Bld.Thermal.CA</t>
  </si>
  <si>
    <t>TES_per_building.kWh.SK.Ser.Bld.Thermal.CA.LPG</t>
  </si>
  <si>
    <t>TES_per_building.kWh.SK.Ser.Bld.Thermal.CA.Gas.NG_Biogas</t>
  </si>
  <si>
    <t>TES_per_building.kWh.SK.Ser.Bld.Thermal.CA.Biomass.Biomass_Waste</t>
  </si>
  <si>
    <t>TES_per_building.kWh.SK.Ser.Bld.Thermal.CA.Elc.Elec</t>
  </si>
  <si>
    <t>SK - CO2 emissions per building</t>
  </si>
  <si>
    <t>EMI_per_building.kgCO2.SK.Ser.Bld.Thermal</t>
  </si>
  <si>
    <t>EMI_per_building.kgCO2.SK.Ser.Bld.Thermal.SH</t>
  </si>
  <si>
    <t>EMI_per_building.kgCO2.SK.Ser.Bld.Thermal.SH.Solids.Solids</t>
  </si>
  <si>
    <t>EMI_per_building.kgCO2.SK.Ser.Bld.Thermal.SH.LPG.LPG</t>
  </si>
  <si>
    <t>EMI_per_building.kgCO2.SK.Ser.Bld.Thermal.SH.Oil.Oil_LiqBio</t>
  </si>
  <si>
    <t>EMI_per_building.kgCO2.SK.Ser.Bld.Thermal.SH.GasHP.NG_Biogas</t>
  </si>
  <si>
    <t>EMI_per_building.kgCO2.SK.Ser.Bld.Thermal.SH.GasTH.NG_Biogas</t>
  </si>
  <si>
    <t>EMI_per_building.kgCO2.SK.Ser.Bld.Thermal.SH.Biomass.Biomass_Waste</t>
  </si>
  <si>
    <t>EMI_per_building.kgCO2.SK.Ser.Bld.Thermal.SH.Geo.Geo</t>
  </si>
  <si>
    <t>EMI_per_building.kgCO2.SK.Ser.Bld.Thermal.SH.DistrHeat.Steam_Distr</t>
  </si>
  <si>
    <t>EMI_per_building.kgCO2.SK.Ser.Bld.Thermal.SH.AdvElc.Elec</t>
  </si>
  <si>
    <t>EMI_per_building.kgCO2.SK.Ser.Bld.Thermal.SH.ConvElc.Elec</t>
  </si>
  <si>
    <t>EMI_per_building.kgCO2.SK.Ser.Bld.Thermal.SH.TotalCirculation.Elec</t>
  </si>
  <si>
    <t>EMI_per_building.kgCO2.SK.Ser.Bld.Thermal.SC</t>
  </si>
  <si>
    <t>EMI_per_building.kgCO2.SK.Ser.Bld.Thermal.SC.GasHP.NG_Biogas</t>
  </si>
  <si>
    <t>EMI_per_building.kgCO2.SK.Ser.Bld.Thermal.SC.AC.Elec</t>
  </si>
  <si>
    <t>EMI_per_building.kgCO2.SK.Ser.Bld.Thermal.HW</t>
  </si>
  <si>
    <t>EMI_per_building.kgCO2.SK.Ser.Bld.Thermal.HW.Solids.Solids</t>
  </si>
  <si>
    <t>EMI_per_building.kgCO2.SK.Ser.Bld.Thermal.HW.LPG.LPG</t>
  </si>
  <si>
    <t>EMI_per_building.kgCO2.SK.Ser.Bld.Thermal.HW.Oil.Oil_LiqBio</t>
  </si>
  <si>
    <t>EMI_per_building.kgCO2.SK.Ser.Bld.Thermal.HW.Gas.NG_Biogas</t>
  </si>
  <si>
    <t>EMI_per_building.kgCO2.SK.Ser.Bld.Thermal.HW.Biomass.Biomass_Waste</t>
  </si>
  <si>
    <t>EMI_per_building.kgCO2.SK.Ser.Bld.Thermal.HW.DistrHeat.Steam_Distr</t>
  </si>
  <si>
    <t>EMI_per_building.kgCO2.SK.Ser.Bld.Thermal.HW.Elc.Elec</t>
  </si>
  <si>
    <t>EMI_per_building.kgCO2.SK.Ser.Bld.Thermal.HW.TotalSolar.Solar</t>
  </si>
  <si>
    <t>EMI_per_building.kgCO2.SK.Ser.Bld.Thermal.CA</t>
  </si>
  <si>
    <t>EMI_per_building.kgCO2.SK.Ser.Bld.Thermal.CA.LPG</t>
  </si>
  <si>
    <t>EMI_per_building.kgCO2.SK.Ser.Bld.Thermal.CA.Gas.NG_Biogas</t>
  </si>
  <si>
    <t>EMI_per_building.kgCO2.SK.Ser.Bld.Thermal.CA.Biomass.Biomass_Waste</t>
  </si>
  <si>
    <t>EMI_per_building.kgCO2.SK.Ser.Bld.Thermal.CA.Elc.Elec</t>
  </si>
  <si>
    <t>SK - Final energy consumption per useful surface area</t>
  </si>
  <si>
    <t>FEC_per_sqm.kWh.SK.Ser.Bld.Thermal</t>
  </si>
  <si>
    <t>FEC_per_sqm.kWh.SK.Ser.Bld.Thermal.SH</t>
  </si>
  <si>
    <t>FEC_per_sqm.kWh.SK.Ser.Bld.Thermal.SH.Solids.Solids</t>
  </si>
  <si>
    <t>FEC_per_sqm.kWh.SK.Ser.Bld.Thermal.SH.LPG.LPG</t>
  </si>
  <si>
    <t>FEC_per_sqm.kWh.SK.Ser.Bld.Thermal.SH.Oil.Oil_LiqBio</t>
  </si>
  <si>
    <t>FEC_per_sqm.kWh.SK.Ser.Bld.Thermal.SH.GasHP.NG_Biogas</t>
  </si>
  <si>
    <t>FEC_per_sqm.kWh.SK.Ser.Bld.Thermal.SH.GasTH.NG_Biogas</t>
  </si>
  <si>
    <t>FEC_per_sqm.kWh.SK.Ser.Bld.Thermal.SH.Biomass.Biomass_Waste</t>
  </si>
  <si>
    <t>FEC_per_sqm.kWh.SK.Ser.Bld.Thermal.SH.Geo.Geo</t>
  </si>
  <si>
    <t>FEC_per_sqm.kWh.SK.Ser.Bld.Thermal.SH.DistrHeat.Steam_Distr</t>
  </si>
  <si>
    <t>FEC_per_sqm.kWh.SK.Ser.Bld.Thermal.SH.AdvElc.Elec</t>
  </si>
  <si>
    <t>FEC_per_sqm.kWh.SK.Ser.Bld.Thermal.SH.ConvElc.Elec</t>
  </si>
  <si>
    <t>FEC_per_sqm.kWh.SK.Ser.Bld.Thermal.SH.TotalCirculation.Elec</t>
  </si>
  <si>
    <t>FEC_per_sqm.kWh.SK.Ser.Bld.Thermal.SC</t>
  </si>
  <si>
    <t>FEC_per_sqm.kWh.SK.Ser.Bld.Thermal.SC.GasHP.NG_Biogas</t>
  </si>
  <si>
    <t>FEC_per_sqm.kWh.SK.Ser.Bld.Thermal.SC.AC.Elec</t>
  </si>
  <si>
    <t>FEC_per_sqm.kWh.SK.Ser.Bld.Thermal.HW</t>
  </si>
  <si>
    <t>FEC_per_sqm.kWh.SK.Ser.Bld.Thermal.HW.Solids.Solids</t>
  </si>
  <si>
    <t>FEC_per_sqm.kWh.SK.Ser.Bld.Thermal.HW.LPG.LPG</t>
  </si>
  <si>
    <t>FEC_per_sqm.kWh.SK.Ser.Bld.Thermal.HW.Oil.Oil_LiqBio</t>
  </si>
  <si>
    <t>FEC_per_sqm.kWh.SK.Ser.Bld.Thermal.HW.Gas.NG_Biogas</t>
  </si>
  <si>
    <t>FEC_per_sqm.kWh.SK.Ser.Bld.Thermal.HW.Biomass.Biomass_Waste</t>
  </si>
  <si>
    <t>FEC_per_sqm.kWh.SK.Ser.Bld.Thermal.HW.DistrHeat.Steam_Distr</t>
  </si>
  <si>
    <t>FEC_per_sqm.kWh.SK.Ser.Bld.Thermal.HW.Elc.Elec</t>
  </si>
  <si>
    <t>FEC_per_sqm.kWh.SK.Ser.Bld.Thermal.HW.TotalSolar.Solar</t>
  </si>
  <si>
    <t>FEC_per_sqm.kWh.SK.Ser.Bld.Thermal.CA</t>
  </si>
  <si>
    <t>FEC_per_sqm.kWh.SK.Ser.Bld.Thermal.CA.LPG</t>
  </si>
  <si>
    <t>FEC_per_sqm.kWh.SK.Ser.Bld.Thermal.CA.Gas.NG_Biogas</t>
  </si>
  <si>
    <t>FEC_per_sqm.kWh.SK.Ser.Bld.Thermal.CA.Biomass.Biomass_Waste</t>
  </si>
  <si>
    <t>FEC_per_sqm.kWh.SK.Ser.Bld.Thermal.CA.Elc.Elec</t>
  </si>
  <si>
    <t>SK - Thermal energy service per useful surface area</t>
  </si>
  <si>
    <t>TES_per_sqm.kWh.SK.Ser.Bld.Thermal</t>
  </si>
  <si>
    <t>TES_per_sqm.kWh.SK.Ser.Bld.Thermal.SH</t>
  </si>
  <si>
    <t>TES_per_sqm.kWh.SK.Ser.Bld.Thermal.SH.Solids.Solids</t>
  </si>
  <si>
    <t>TES_per_sqm.kWh.SK.Ser.Bld.Thermal.SH.LPG.LPG</t>
  </si>
  <si>
    <t>TES_per_sqm.kWh.SK.Ser.Bld.Thermal.SH.Oil.Oil_LiqBio</t>
  </si>
  <si>
    <t>TES_per_sqm.kWh.SK.Ser.Bld.Thermal.SH.GasHP.NG_Biogas</t>
  </si>
  <si>
    <t>TES_per_sqm.kWh.SK.Ser.Bld.Thermal.SH.GasTH.NG_Biogas</t>
  </si>
  <si>
    <t>TES_per_sqm.kWh.SK.Ser.Bld.Thermal.SH.Biomass.Biomass_Waste</t>
  </si>
  <si>
    <t>TES_per_sqm.kWh.SK.Ser.Bld.Thermal.SH.Geo.Geo</t>
  </si>
  <si>
    <t>TES_per_sqm.kWh.SK.Ser.Bld.Thermal.SH.DistrHeat.Steam_Distr</t>
  </si>
  <si>
    <t>TES_per_sqm.kWh.SK.Ser.Bld.Thermal.SH.AdvElc.Elec</t>
  </si>
  <si>
    <t>TES_per_sqm.kWh.SK.Ser.Bld.Thermal.SH.ConvElc.Elec</t>
  </si>
  <si>
    <t>TES_per_sqm.kWh.SK.Ser.Bld.Thermal.SH.TotalCirculation.Elec</t>
  </si>
  <si>
    <t>TES_per_sqm.kWh.SK.Ser.Bld.Thermal.SC</t>
  </si>
  <si>
    <t>TES_per_sqm.kWh.SK.Ser.Bld.Thermal.SC.GasHP.NG_Biogas</t>
  </si>
  <si>
    <t>TES_per_sqm.kWh.SK.Ser.Bld.Thermal.SC.AC.Elec</t>
  </si>
  <si>
    <t>TES_per_sqm.kWh.SK.Ser.Bld.Thermal.HW</t>
  </si>
  <si>
    <t>TES_per_sqm.kWh.SK.Ser.Bld.Thermal.HW.Solids.Solids</t>
  </si>
  <si>
    <t>TES_per_sqm.kWh.SK.Ser.Bld.Thermal.HW.LPG.LPG</t>
  </si>
  <si>
    <t>TES_per_sqm.kWh.SK.Ser.Bld.Thermal.HW.Oil.Oil_LiqBio</t>
  </si>
  <si>
    <t>TES_per_sqm.kWh.SK.Ser.Bld.Thermal.HW.Gas.NG_Biogas</t>
  </si>
  <si>
    <t>TES_per_sqm.kWh.SK.Ser.Bld.Thermal.HW.Biomass.Biomass_Waste</t>
  </si>
  <si>
    <t>TES_per_sqm.kWh.SK.Ser.Bld.Thermal.HW.DistrHeat.Steam_Distr</t>
  </si>
  <si>
    <t>TES_per_sqm.kWh.SK.Ser.Bld.Thermal.HW.Elc.Elec</t>
  </si>
  <si>
    <t>TES_per_sqm.kWh.SK.Ser.Bld.Thermal.HW.TotalSolar.Solar</t>
  </si>
  <si>
    <t>TES_per_sqm.kWh.SK.Ser.Bld.Thermal.CA</t>
  </si>
  <si>
    <t>TES_per_sqm.kWh.SK.Ser.Bld.Thermal.CA.LPG</t>
  </si>
  <si>
    <t>TES_per_sqm.kWh.SK.Ser.Bld.Thermal.CA.Gas.NG_Biogas</t>
  </si>
  <si>
    <t>TES_per_sqm.kWh.SK.Ser.Bld.Thermal.CA.Biomass.Biomass_Waste</t>
  </si>
  <si>
    <t>TES_per_sqm.kWh.SK.Ser.Bld.Thermal.CA.Elc.Elec</t>
  </si>
  <si>
    <t>SK - CO2 emissions per useful surface area</t>
  </si>
  <si>
    <t>EMI_per_sqm.kgCO2.SK.Ser.Bld.Thermal</t>
  </si>
  <si>
    <t>EMI_per_sqm.kgCO2.SK.Ser.Bld.Thermal.SH</t>
  </si>
  <si>
    <t>EMI_per_sqm.kgCO2.SK.Ser.Bld.Thermal.SH.Solids.Solids</t>
  </si>
  <si>
    <t>EMI_per_sqm.kgCO2.SK.Ser.Bld.Thermal.SH.LPG.LPG</t>
  </si>
  <si>
    <t>EMI_per_sqm.kgCO2.SK.Ser.Bld.Thermal.SH.Oil.Oil_LiqBio</t>
  </si>
  <si>
    <t>EMI_per_sqm.kgCO2.SK.Ser.Bld.Thermal.SH.GasHP.NG_Biogas</t>
  </si>
  <si>
    <t>EMI_per_sqm.kgCO2.SK.Ser.Bld.Thermal.SH.GasTH.NG_Biogas</t>
  </si>
  <si>
    <t>EMI_per_sqm.kgCO2.SK.Ser.Bld.Thermal.SH.Biomass.Biomass_Waste</t>
  </si>
  <si>
    <t>EMI_per_sqm.kgCO2.SK.Ser.Bld.Thermal.SH.Geo.Geo</t>
  </si>
  <si>
    <t>EMI_per_sqm.kgCO2.SK.Ser.Bld.Thermal.SH.DistrHeat.Steam_Distr</t>
  </si>
  <si>
    <t>EMI_per_sqm.kgCO2.SK.Ser.Bld.Thermal.SH.AdvElc.Elec</t>
  </si>
  <si>
    <t>EMI_per_sqm.kgCO2.SK.Ser.Bld.Thermal.SH.ConvElc.Elec</t>
  </si>
  <si>
    <t>EMI_per_sqm.kgCO2.SK.Ser.Bld.Thermal.SH.TotalCirculation.Elec</t>
  </si>
  <si>
    <t>EMI_per_sqm.kgCO2.SK.Ser.Bld.Thermal.SC</t>
  </si>
  <si>
    <t>EMI_per_sqm.kgCO2.SK.Ser.Bld.Thermal.SC.GasHP.NG_Biogas</t>
  </si>
  <si>
    <t>EMI_per_sqm.kgCO2.SK.Ser.Bld.Thermal.SC.AC.Elec</t>
  </si>
  <si>
    <t>EMI_per_sqm.kgCO2.SK.Ser.Bld.Thermal.HW</t>
  </si>
  <si>
    <t>EMI_per_sqm.kgCO2.SK.Ser.Bld.Thermal.HW.Solids.Solids</t>
  </si>
  <si>
    <t>EMI_per_sqm.kgCO2.SK.Ser.Bld.Thermal.HW.LPG.LPG</t>
  </si>
  <si>
    <t>EMI_per_sqm.kgCO2.SK.Ser.Bld.Thermal.HW.Oil.Oil_LiqBio</t>
  </si>
  <si>
    <t>EMI_per_sqm.kgCO2.SK.Ser.Bld.Thermal.HW.Gas.NG_Biogas</t>
  </si>
  <si>
    <t>EMI_per_sqm.kgCO2.SK.Ser.Bld.Thermal.HW.Biomass.Biomass_Waste</t>
  </si>
  <si>
    <t>EMI_per_sqm.kgCO2.SK.Ser.Bld.Thermal.HW.DistrHeat.Steam_Distr</t>
  </si>
  <si>
    <t>EMI_per_sqm.kgCO2.SK.Ser.Bld.Thermal.HW.Elc.Elec</t>
  </si>
  <si>
    <t>EMI_per_sqm.kgCO2.SK.Ser.Bld.Thermal.HW.TotalSolar.Solar</t>
  </si>
  <si>
    <t>EMI_per_sqm.kgCO2.SK.Ser.Bld.Thermal.CA</t>
  </si>
  <si>
    <t>EMI_per_sqm.kgCO2.SK.Ser.Bld.Thermal.CA.LPG</t>
  </si>
  <si>
    <t>EMI_per_sqm.kgCO2.SK.Ser.Bld.Thermal.CA.Gas.NG_Biogas</t>
  </si>
  <si>
    <t>EMI_per_sqm.kgCO2.SK.Ser.Bld.Thermal.CA.Biomass.Biomass_Waste</t>
  </si>
  <si>
    <t>EMI_per_sqm.kgCO2.SK.Ser.Bld.Thermal.CA.Elc.Elec</t>
  </si>
  <si>
    <t>SK - Number of new and renovated buildings</t>
  </si>
  <si>
    <t>NUM.number.SK.Ser.BldNew.Thermal</t>
  </si>
  <si>
    <t>NUM.number.SK.Ser.BldNew.Thermal.SH</t>
  </si>
  <si>
    <t>NUM.number.SK.Ser.BldNew.Thermal.SH.Solids</t>
  </si>
  <si>
    <t>NUM.number.SK.Ser.BldNew.Thermal.SH.LPG</t>
  </si>
  <si>
    <t>NUM.number.SK.Ser.BldNew.Thermal.SH.Oil</t>
  </si>
  <si>
    <t>NUM.number.SK.Ser.BldNew.Thermal.SH.GasHP</t>
  </si>
  <si>
    <t>NUM.number.SK.Ser.BldNew.Thermal.SH.GasTH</t>
  </si>
  <si>
    <t>NUM.number.SK.Ser.BldNew.Thermal.SH.Biomass</t>
  </si>
  <si>
    <t>NUM.number.SK.Ser.BldNew.Thermal.SH.Geo</t>
  </si>
  <si>
    <t>NUM.number.SK.Ser.BldNew.Thermal.SH.DistrHeat</t>
  </si>
  <si>
    <t>NUM.number.SK.Ser.BldNew.Thermal.SH.AdvElc</t>
  </si>
  <si>
    <t>NUM.number.SK.Ser.BldNew.Thermal.SH.ConvElc</t>
  </si>
  <si>
    <t>NUM.number.SK.Ser.BldNew.Thermal.SC</t>
  </si>
  <si>
    <t>NUM.number.SK.Ser.BldNew.Thermal.SC.GasHP</t>
  </si>
  <si>
    <t>NUM.number.SK.Ser.BldNew.Thermal.SC.AC</t>
  </si>
  <si>
    <t>NUM.number.SK.Ser.BldNew.Thermal.HW</t>
  </si>
  <si>
    <t>NUM.number.SK.Ser.BldNew.Thermal.HW.Solids</t>
  </si>
  <si>
    <t>NUM.number.SK.Ser.BldNew.Thermal.HW.LPG</t>
  </si>
  <si>
    <t>NUM.number.SK.Ser.BldNew.Thermal.HW.Oil</t>
  </si>
  <si>
    <t>NUM.number.SK.Ser.BldNew.Thermal.HW.Gas</t>
  </si>
  <si>
    <t>NUM.number.SK.Ser.BldNew.Thermal.HW.Biomass</t>
  </si>
  <si>
    <t>NUM.number.SK.Ser.BldNew.Thermal.HW.DistrHeat</t>
  </si>
  <si>
    <t>NUM.number.SK.Ser.BldNew.Thermal.HW.Elc</t>
  </si>
  <si>
    <t>NUM.number.SK.Ser.BldNew.Thermal.HW.Solar</t>
  </si>
  <si>
    <t>NUM.number.SK.Ser.BldNew.Thermal.CA</t>
  </si>
  <si>
    <t>NUM.number.SK.Ser.BldNew.Thermal.CA.LPG</t>
  </si>
  <si>
    <t>NUM.number.SK.Ser.BldNew.Thermal.CA.Gas</t>
  </si>
  <si>
    <t>NUM.number.SK.Ser.BldNew.Thermal.CA.Biomass</t>
  </si>
  <si>
    <t>NUM.number.SK.Ser.BldNew.Thermal.CA.Elc</t>
  </si>
  <si>
    <t>SK - Final energy consumption in new and renovated buildings</t>
  </si>
  <si>
    <t>FEC.ktoe.SK.Ser.BldNew.Thermal</t>
  </si>
  <si>
    <t>FEC.ktoe.SK.Ser.BldNew.Thermal.SH</t>
  </si>
  <si>
    <t>FEC.ktoe.SK.Ser.BldNew.Thermal.SH.Solids.Solids</t>
  </si>
  <si>
    <t>FEC.ktoe.SK.Ser.BldNew.Thermal.SH.LPG.LPG</t>
  </si>
  <si>
    <t>FEC.ktoe.SK.Ser.BldNew.Thermal.SH.Oil.Oil_LiqBio</t>
  </si>
  <si>
    <t>FEC.ktoe.SK.Ser.BldNew.Thermal.SH.GasHP.NG_Biogas</t>
  </si>
  <si>
    <t>FEC.ktoe.SK.Ser.BldNew.Thermal.SH.GasTH.NG_Biogas</t>
  </si>
  <si>
    <t>FEC.ktoe.SK.Ser.BldNew.Thermal.SH.Biomass.Biomass_Waste</t>
  </si>
  <si>
    <t>FEC.ktoe.SK.Ser.BldNew.Thermal.SH.Geo.Geo</t>
  </si>
  <si>
    <t>FEC.ktoe.SK.Ser.BldNew.Thermal.SH.DistrHeat.Steam_Distr</t>
  </si>
  <si>
    <t>FEC.ktoe.SK.Ser.BldNew.Thermal.SH.AdvElc.Elec</t>
  </si>
  <si>
    <t>FEC.ktoe.SK.Ser.BldNew.Thermal.SH.ConvElc.Elec</t>
  </si>
  <si>
    <t>FEC.ktoe.SK.Ser.BldNew.Thermal.SH.TotalCirculation.Elec</t>
  </si>
  <si>
    <t>FEC.ktoe.SK.Ser.BldNew.Thermal.SC</t>
  </si>
  <si>
    <t>FEC.ktoe.SK.Ser.BldNew.Thermal.SC.GasHP.NG_Biogas</t>
  </si>
  <si>
    <t>FEC.ktoe.SK.Ser.BldNew.Thermal.SC.AC.Elec</t>
  </si>
  <si>
    <t>FEC.ktoe.SK.Ser.BldNew.Thermal.HW</t>
  </si>
  <si>
    <t>FEC.ktoe.SK.Ser.BldNew.Thermal.HW.Solids.Solids</t>
  </si>
  <si>
    <t>FEC.ktoe.SK.Ser.BldNew.Thermal.HW.LPG.LPG</t>
  </si>
  <si>
    <t>FEC.ktoe.SK.Ser.BldNew.Thermal.HW.Oil.Oil_LiqBio</t>
  </si>
  <si>
    <t>FEC.ktoe.SK.Ser.BldNew.Thermal.HW.Gas.NG_Biogas</t>
  </si>
  <si>
    <t>FEC.ktoe.SK.Ser.BldNew.Thermal.HW.Biomass.Biomass_Waste</t>
  </si>
  <si>
    <t>FEC.ktoe.SK.Ser.BldNew.Thermal.HW.DistrHeat.Steam_Distr</t>
  </si>
  <si>
    <t>FEC.ktoe.SK.Ser.BldNew.Thermal.HW.Elc.Elec</t>
  </si>
  <si>
    <t>FEC.ktoe.SK.Ser.BldNew.Thermal.HW.TotalSolar.Solar</t>
  </si>
  <si>
    <t>FEC.ktoe.SK.Ser.BldNew.Thermal.CA</t>
  </si>
  <si>
    <t>FEC.ktoe.SK.Ser.BldNew.Thermal.CA.LPG</t>
  </si>
  <si>
    <t>FEC.ktoe.SK.Ser.BldNew.Thermal.CA.Gas.NG_Biogas</t>
  </si>
  <si>
    <t>FEC.ktoe.SK.Ser.BldNew.Thermal.CA.Biomass.Biomass_Waste</t>
  </si>
  <si>
    <t>FEC.ktoe.SK.Ser.BldNew.Thermal.CA.Elc.Elec</t>
  </si>
  <si>
    <t>SK - Thermal energy service in new and renovated buildings</t>
  </si>
  <si>
    <t>TES.ktoe.SK.Ser.BldNew.Thermal</t>
  </si>
  <si>
    <t>TES.ktoe.SK.Ser.BldNew.Thermal.SH</t>
  </si>
  <si>
    <t>TES.ktoe.SK.Ser.BldNew.Thermal.SH.Solids.Solids</t>
  </si>
  <si>
    <t>TES.ktoe.SK.Ser.BldNew.Thermal.SH.LPG.LPG</t>
  </si>
  <si>
    <t>TES.ktoe.SK.Ser.BldNew.Thermal.SH.Oil.Oil_LiqBio</t>
  </si>
  <si>
    <t>TES.ktoe.SK.Ser.BldNew.Thermal.SH.GasHP.NG_Biogas</t>
  </si>
  <si>
    <t>TES.ktoe.SK.Ser.BldNew.Thermal.SH.GasTH.NG_Biogas</t>
  </si>
  <si>
    <t>TES.ktoe.SK.Ser.BldNew.Thermal.SH.Biomass.Biomass_Waste</t>
  </si>
  <si>
    <t>TES.ktoe.SK.Ser.BldNew.Thermal.SH.Geo.Geo</t>
  </si>
  <si>
    <t>TES.ktoe.SK.Ser.BldNew.Thermal.SH.DistrHeat.Steam_Distr</t>
  </si>
  <si>
    <t>TES.ktoe.SK.Ser.BldNew.Thermal.SH.AdvElc.Elec</t>
  </si>
  <si>
    <t>TES.ktoe.SK.Ser.BldNew.Thermal.SH.ConvElc.Elec</t>
  </si>
  <si>
    <t>TES.ktoe.SK.Ser.BldNew.Thermal.SH.TotalCirculation.Elec</t>
  </si>
  <si>
    <t>TES.ktoe.SK.Ser.BldNew.Thermal.SC</t>
  </si>
  <si>
    <t>TES.ktoe.SK.Ser.BldNew.Thermal.SC.GasHP.NG_Biogas</t>
  </si>
  <si>
    <t>TES.ktoe.SK.Ser.BldNew.Thermal.SC.AC.Elec</t>
  </si>
  <si>
    <t>TES.ktoe.SK.Ser.BldNew.Thermal.HW</t>
  </si>
  <si>
    <t>TES.ktoe.SK.Ser.BldNew.Thermal.HW.Solids.Solids</t>
  </si>
  <si>
    <t>TES.ktoe.SK.Ser.BldNew.Thermal.HW.LPG.LPG</t>
  </si>
  <si>
    <t>TES.ktoe.SK.Ser.BldNew.Thermal.HW.Oil.Oil_LiqBio</t>
  </si>
  <si>
    <t>TES.ktoe.SK.Ser.BldNew.Thermal.HW.Gas.NG_Biogas</t>
  </si>
  <si>
    <t>TES.ktoe.SK.Ser.BldNew.Thermal.HW.Biomass.Biomass_Waste</t>
  </si>
  <si>
    <t>TES.ktoe.SK.Ser.BldNew.Thermal.HW.DistrHeat.Steam_Distr</t>
  </si>
  <si>
    <t>TES.ktoe.SK.Ser.BldNew.Thermal.HW.Elc.Elec</t>
  </si>
  <si>
    <t>TES.ktoe.SK.Ser.BldNew.Thermal.HW.TotalSolar.Solar</t>
  </si>
  <si>
    <t>TES.ktoe.SK.Ser.BldNew.Thermal.CA</t>
  </si>
  <si>
    <t>TES.ktoe.SK.Ser.BldNew.Thermal.CA.LPG</t>
  </si>
  <si>
    <t>TES.ktoe.SK.Ser.BldNew.Thermal.CA.Gas.NG_Biogas</t>
  </si>
  <si>
    <t>TES.ktoe.SK.Ser.BldNew.Thermal.CA.Biomass.Biomass_Waste</t>
  </si>
  <si>
    <t>TES.ktoe.SK.Ser.BldNew.Thermal.CA.Elc.Elec</t>
  </si>
  <si>
    <t>SK - System efficiency indicator of new and renovated buildings</t>
  </si>
  <si>
    <t>Eff.ratio.SK.Ser.BldNew.Thermal</t>
  </si>
  <si>
    <t>Eff.ratio.SK.Ser.BldNew.Thermal.SH</t>
  </si>
  <si>
    <t>Eff.ratio.SK.Ser.BldNew.Thermal.SH.Solids.Solids</t>
  </si>
  <si>
    <t>Eff.ratio.SK.Ser.BldNew.Thermal.SH.LPG.LPG</t>
  </si>
  <si>
    <t>Eff.ratio.SK.Ser.BldNew.Thermal.SH.Oil.Oil_LiqBio</t>
  </si>
  <si>
    <t>Eff.ratio.SK.Ser.BldNew.Thermal.SH.GasHP.NG_Biogas</t>
  </si>
  <si>
    <t>Eff.ratio.SK.Ser.BldNew.Thermal.SH.GasTH.NG_Biogas</t>
  </si>
  <si>
    <t>Eff.ratio.SK.Ser.BldNew.Thermal.SH.Biomass.Biomass_Waste</t>
  </si>
  <si>
    <t>Eff.ratio.SK.Ser.BldNew.Thermal.SH.Geo.Geo</t>
  </si>
  <si>
    <t>Eff.ratio.SK.Ser.BldNew.Thermal.SH.DistrHeat.Steam_Distr</t>
  </si>
  <si>
    <t>Eff.ratio.SK.Ser.BldNew.Thermal.SH.AdvElc.Elec</t>
  </si>
  <si>
    <t>Eff.ratio.SK.Ser.BldNew.Thermal.SH.ConvElc.Elec</t>
  </si>
  <si>
    <t>Eff.ratio.SK.Ser.BldNew.Thermal.SH.TotalCirculation.Elec</t>
  </si>
  <si>
    <t>Eff.ratio.SK.Ser.BldNew.Thermal.SC</t>
  </si>
  <si>
    <t>Eff.ratio.SK.Ser.BldNew.Thermal.SC.GasHP.NG_Biogas</t>
  </si>
  <si>
    <t>Eff.ratio.SK.Ser.BldNew.Thermal.SC.AC.Elec</t>
  </si>
  <si>
    <t>Eff.ratio.SK.Ser.BldNew.Thermal.HW</t>
  </si>
  <si>
    <t>Eff.ratio.SK.Ser.BldNew.Thermal.HW.Solids.Solids</t>
  </si>
  <si>
    <t>Eff.ratio.SK.Ser.BldNew.Thermal.HW.LPG.LPG</t>
  </si>
  <si>
    <t>Eff.ratio.SK.Ser.BldNew.Thermal.HW.Oil.Oil_LiqBio</t>
  </si>
  <si>
    <t>Eff.ratio.SK.Ser.BldNew.Thermal.HW.Gas.NG_Biogas</t>
  </si>
  <si>
    <t>Eff.ratio.SK.Ser.BldNew.Thermal.HW.Biomass.Biomass_Waste</t>
  </si>
  <si>
    <t>Eff.ratio.SK.Ser.BldNew.Thermal.HW.DistrHeat.Steam_Distr</t>
  </si>
  <si>
    <t>Eff.ratio.SK.Ser.BldNew.Thermal.HW.Elc.Elec</t>
  </si>
  <si>
    <t>Eff.ratio.SK.Ser.BldNew.Thermal.HW.TotalSolar.Solar</t>
  </si>
  <si>
    <t>Eff.ratio.SK.Ser.BldNew.Thermal.CA</t>
  </si>
  <si>
    <t>Eff.ratio.SK.Ser.BldNew.Thermal.CA.LPG</t>
  </si>
  <si>
    <t>Eff.ratio.SK.Ser.BldNew.Thermal.CA.Gas.NG_Biogas</t>
  </si>
  <si>
    <t>Eff.ratio.SK.Ser.BldNew.Thermal.CA.Biomass.Biomass_Waste</t>
  </si>
  <si>
    <t>Eff.ratio.SK.Ser.BldNew.Thermal.CA.Elc.Elec</t>
  </si>
  <si>
    <t>SK - CO2 emissions in new and renovated buildings</t>
  </si>
  <si>
    <t>EMI.ktCO2.SK.Ser.BldNew.Thermal</t>
  </si>
  <si>
    <t>EMI.ktCO2.SK.Ser.BldNew.Thermal.SH</t>
  </si>
  <si>
    <t>EMI.ktCO2.SK.Ser.BldNew.Thermal.SH.Solids.Solids</t>
  </si>
  <si>
    <t>EMI.ktCO2.SK.Ser.BldNew.Thermal.SH.LPG.LPG</t>
  </si>
  <si>
    <t>EMI.ktCO2.SK.Ser.BldNew.Thermal.SH.Oil.Oil_LiqBio</t>
  </si>
  <si>
    <t>EMI.ktCO2.SK.Ser.BldNew.Thermal.SH.GasHP.NG_Biogas</t>
  </si>
  <si>
    <t>EMI.ktCO2.SK.Ser.BldNew.Thermal.SH.GasTH.NG_Biogas</t>
  </si>
  <si>
    <t>EMI.ktCO2.SK.Ser.BldNew.Thermal.SH.Biomass.Biomass_Waste</t>
  </si>
  <si>
    <t>EMI.ktCO2.SK.Ser.BldNew.Thermal.SH.Geo.Geo</t>
  </si>
  <si>
    <t>EMI.ktCO2.SK.Ser.BldNew.Thermal.SH.DistrHeat.Steam_Distr</t>
  </si>
  <si>
    <t>EMI.ktCO2.SK.Ser.BldNew.Thermal.SH.AdvElc.Elec</t>
  </si>
  <si>
    <t>EMI.ktCO2.SK.Ser.BldNew.Thermal.SH.ConvElc.Elec</t>
  </si>
  <si>
    <t>EMI.ktCO2.SK.Ser.BldNew.Thermal.SH.TotalCirculation.Elec</t>
  </si>
  <si>
    <t>EMI.ktCO2.SK.Ser.BldNew.Thermal.SC</t>
  </si>
  <si>
    <t>EMI.ktCO2.SK.Ser.BldNew.Thermal.SC.GasHP.NG_Biogas</t>
  </si>
  <si>
    <t>EMI.ktCO2.SK.Ser.BldNew.Thermal.SC.AC.Elec</t>
  </si>
  <si>
    <t>EMI.ktCO2.SK.Ser.BldNew.Thermal.HW</t>
  </si>
  <si>
    <t>EMI.ktCO2.SK.Ser.BldNew.Thermal.HW.Solids.Solids</t>
  </si>
  <si>
    <t>EMI.ktCO2.SK.Ser.BldNew.Thermal.HW.LPG.LPG</t>
  </si>
  <si>
    <t>EMI.ktCO2.SK.Ser.BldNew.Thermal.HW.Oil.Oil_LiqBio</t>
  </si>
  <si>
    <t>EMI.ktCO2.SK.Ser.BldNew.Thermal.HW.Gas.NG_Biogas</t>
  </si>
  <si>
    <t>EMI.ktCO2.SK.Ser.BldNew.Thermal.HW.Biomass.Biomass_Waste</t>
  </si>
  <si>
    <t>EMI.ktCO2.SK.Ser.BldNew.Thermal.HW.DistrHeat.Steam_Distr</t>
  </si>
  <si>
    <t>EMI.ktCO2.SK.Ser.BldNew.Thermal.HW.Elc.Elec</t>
  </si>
  <si>
    <t>EMI.ktCO2.SK.Ser.BldNew.Thermal.HW.TotalSolar.Solar</t>
  </si>
  <si>
    <t>EMI.ktCO2.SK.Ser.BldNew.Thermal.CA</t>
  </si>
  <si>
    <t>EMI.ktCO2.SK.Ser.BldNew.Thermal.CA.LPG</t>
  </si>
  <si>
    <t>EMI.ktCO2.SK.Ser.BldNew.Thermal.CA.Gas.NG_Biogas</t>
  </si>
  <si>
    <t>EMI.ktCO2.SK.Ser.BldNew.Thermal.CA.Biomass.Biomass_Waste</t>
  </si>
  <si>
    <t>EMI.ktCO2.SK.Ser.BldNew.Thermal.CA.Elc.Elec</t>
  </si>
  <si>
    <t>SK - Final energy consumption of new and renovated buildings (per building)</t>
  </si>
  <si>
    <t>FEC_per_building.kWh.SK.Ser.BldNew.Thermal</t>
  </si>
  <si>
    <t>FEC_per_building.kWh.SK.Ser.BldNew.Thermal.SH</t>
  </si>
  <si>
    <t>FEC_per_building.kWh.SK.Ser.BldNew.Thermal.SH.Solids.Solids</t>
  </si>
  <si>
    <t>FEC_per_building.kWh.SK.Ser.BldNew.Thermal.SH.LPG.LPG</t>
  </si>
  <si>
    <t>FEC_per_building.kWh.SK.Ser.BldNew.Thermal.SH.Oil.Oil_LiqBio</t>
  </si>
  <si>
    <t>FEC_per_building.kWh.SK.Ser.BldNew.Thermal.SH.GasHP.NG_Biogas</t>
  </si>
  <si>
    <t>FEC_per_building.kWh.SK.Ser.BldNew.Thermal.SH.GasTH.NG_Biogas</t>
  </si>
  <si>
    <t>FEC_per_building.kWh.SK.Ser.BldNew.Thermal.SH.Biomass.Biomass_Waste</t>
  </si>
  <si>
    <t>FEC_per_building.kWh.SK.Ser.BldNew.Thermal.SH.Geo.Geo</t>
  </si>
  <si>
    <t>FEC_per_building.kWh.SK.Ser.BldNew.Thermal.SH.DistrHeat.Steam_Distr</t>
  </si>
  <si>
    <t>FEC_per_building.kWh.SK.Ser.BldNew.Thermal.SH.AdvElc.Elec</t>
  </si>
  <si>
    <t>FEC_per_building.kWh.SK.Ser.BldNew.Thermal.SH.ConvElc.Elec</t>
  </si>
  <si>
    <t>FEC_per_building.kWh.SK.Ser.BldNew.Thermal.SH.TotalCirculation.Elec</t>
  </si>
  <si>
    <t>FEC_per_building.kWh.SK.Ser.BldNew.Thermal.SC</t>
  </si>
  <si>
    <t>FEC_per_building.kWh.SK.Ser.BldNew.Thermal.SC.GasHP.NG_Biogas</t>
  </si>
  <si>
    <t>FEC_per_building.kWh.SK.Ser.BldNew.Thermal.SC.AC.Elec</t>
  </si>
  <si>
    <t>FEC_per_building.kWh.SK.Ser.BldNew.Thermal.HW</t>
  </si>
  <si>
    <t>FEC_per_building.kWh.SK.Ser.BldNew.Thermal.HW.Solids.Solids</t>
  </si>
  <si>
    <t>FEC_per_building.kWh.SK.Ser.BldNew.Thermal.HW.LPG.LPG</t>
  </si>
  <si>
    <t>FEC_per_building.kWh.SK.Ser.BldNew.Thermal.HW.Oil.Oil_LiqBio</t>
  </si>
  <si>
    <t>FEC_per_building.kWh.SK.Ser.BldNew.Thermal.HW.Gas.NG_Biogas</t>
  </si>
  <si>
    <t>FEC_per_building.kWh.SK.Ser.BldNew.Thermal.HW.Biomass.Biomass_Waste</t>
  </si>
  <si>
    <t>FEC_per_building.kWh.SK.Ser.BldNew.Thermal.HW.DistrHeat.Steam_Distr</t>
  </si>
  <si>
    <t>FEC_per_building.kWh.SK.Ser.BldNew.Thermal.HW.Elc.Elec</t>
  </si>
  <si>
    <t>FEC_per_building.kWh.SK.Ser.BldNew.Thermal.HW.TotalSolar.Solar</t>
  </si>
  <si>
    <t>FEC_per_building.kWh.SK.Ser.BldNew.Thermal.CA</t>
  </si>
  <si>
    <t>FEC_per_building.kWh.SK.Ser.BldNew.Thermal.CA.LPG</t>
  </si>
  <si>
    <t>FEC_per_building.kWh.SK.Ser.BldNew.Thermal.CA.Gas.NG_Biogas</t>
  </si>
  <si>
    <t>FEC_per_building.kWh.SK.Ser.BldNew.Thermal.CA.Biomass.Biomass_Waste</t>
  </si>
  <si>
    <t>FEC_per_building.kWh.SK.Ser.BldNew.Thermal.CA.Elc.Elec</t>
  </si>
  <si>
    <t>SK - Thermal energy service of new and renovated buildings (per building)</t>
  </si>
  <si>
    <t>TES_per_building.kWh.SK.Ser.BldNew.Thermal</t>
  </si>
  <si>
    <t>TES_per_building.kWh.SK.Ser.BldNew.Thermal.SH</t>
  </si>
  <si>
    <t>TES_per_building.kWh.SK.Ser.BldNew.Thermal.SH.Solids.Solids</t>
  </si>
  <si>
    <t>TES_per_building.kWh.SK.Ser.BldNew.Thermal.SH.LPG.LPG</t>
  </si>
  <si>
    <t>TES_per_building.kWh.SK.Ser.BldNew.Thermal.SH.Oil.Oil_LiqBio</t>
  </si>
  <si>
    <t>TES_per_building.kWh.SK.Ser.BldNew.Thermal.SH.GasHP.NG_Biogas</t>
  </si>
  <si>
    <t>TES_per_building.kWh.SK.Ser.BldNew.Thermal.SH.GasTH.NG_Biogas</t>
  </si>
  <si>
    <t>TES_per_building.kWh.SK.Ser.BldNew.Thermal.SH.Biomass.Biomass_Waste</t>
  </si>
  <si>
    <t>TES_per_building.kWh.SK.Ser.BldNew.Thermal.SH.Geo.Geo</t>
  </si>
  <si>
    <t>TES_per_building.kWh.SK.Ser.BldNew.Thermal.SH.DistrHeat.Steam_Distr</t>
  </si>
  <si>
    <t>TES_per_building.kWh.SK.Ser.BldNew.Thermal.SH.AdvElc.Elec</t>
  </si>
  <si>
    <t>TES_per_building.kWh.SK.Ser.BldNew.Thermal.SH.ConvElc.Elec</t>
  </si>
  <si>
    <t>TES_per_building.kWh.SK.Ser.BldNew.Thermal.SH.TotalCirculation.Elec</t>
  </si>
  <si>
    <t>TES_per_building.kWh.SK.Ser.BldNew.Thermal.SC</t>
  </si>
  <si>
    <t>TES_per_building.kWh.SK.Ser.BldNew.Thermal.SC.GasHP.NG_Biogas</t>
  </si>
  <si>
    <t>TES_per_building.kWh.SK.Ser.BldNew.Thermal.SC.AC.Elec</t>
  </si>
  <si>
    <t>TES_per_building.kWh.SK.Ser.BldNew.Thermal.HW</t>
  </si>
  <si>
    <t>TES_per_building.kWh.SK.Ser.BldNew.Thermal.HW.Solids.Solids</t>
  </si>
  <si>
    <t>TES_per_building.kWh.SK.Ser.BldNew.Thermal.HW.LPG.LPG</t>
  </si>
  <si>
    <t>TES_per_building.kWh.SK.Ser.BldNew.Thermal.HW.Oil.Oil_LiqBio</t>
  </si>
  <si>
    <t>TES_per_building.kWh.SK.Ser.BldNew.Thermal.HW.Gas.NG_Biogas</t>
  </si>
  <si>
    <t>TES_per_building.kWh.SK.Ser.BldNew.Thermal.HW.Biomass.Biomass_Waste</t>
  </si>
  <si>
    <t>TES_per_building.kWh.SK.Ser.BldNew.Thermal.HW.DistrHeat.Steam_Distr</t>
  </si>
  <si>
    <t>TES_per_building.kWh.SK.Ser.BldNew.Thermal.HW.Elc.Elec</t>
  </si>
  <si>
    <t>TES_per_building.kWh.SK.Ser.BldNew.Thermal.HW.TotalSolar.Solar</t>
  </si>
  <si>
    <t>TES_per_building.kWh.SK.Ser.BldNew.Thermal.CA</t>
  </si>
  <si>
    <t>TES_per_building.kWh.SK.Ser.BldNew.Thermal.CA.LPG</t>
  </si>
  <si>
    <t>TES_per_building.kWh.SK.Ser.BldNew.Thermal.CA.Gas.NG_Biogas</t>
  </si>
  <si>
    <t>TES_per_building.kWh.SK.Ser.BldNew.Thermal.CA.Biomass.Biomass_Waste</t>
  </si>
  <si>
    <t>TES_per_building.kWh.SK.Ser.BldNew.Thermal.CA.Elc.Elec</t>
  </si>
  <si>
    <t>SK - CO2 emissions in new and renovated buildings (per building)</t>
  </si>
  <si>
    <t>EMI_per_building.kgCO2.SK.Ser.BldNew.Thermal</t>
  </si>
  <si>
    <t>EMI_per_building.kgCO2.SK.Ser.BldNew.Thermal.SH</t>
  </si>
  <si>
    <t>EMI_per_building.kgCO2.SK.Ser.BldNew.Thermal.SH.Solids.Solids</t>
  </si>
  <si>
    <t>EMI_per_building.kgCO2.SK.Ser.BldNew.Thermal.SH.LPG.LPG</t>
  </si>
  <si>
    <t>EMI_per_building.kgCO2.SK.Ser.BldNew.Thermal.SH.Oil.Oil_LiqBio</t>
  </si>
  <si>
    <t>EMI_per_building.kgCO2.SK.Ser.BldNew.Thermal.SH.GasHP.NG_Biogas</t>
  </si>
  <si>
    <t>EMI_per_building.kgCO2.SK.Ser.BldNew.Thermal.SH.GasTH.NG_Biogas</t>
  </si>
  <si>
    <t>EMI_per_building.kgCO2.SK.Ser.BldNew.Thermal.SH.Biomass.Biomass_Waste</t>
  </si>
  <si>
    <t>EMI_per_building.kgCO2.SK.Ser.BldNew.Thermal.SH.Geo.Geo</t>
  </si>
  <si>
    <t>EMI_per_building.kgCO2.SK.Ser.BldNew.Thermal.SH.DistrHeat.Steam_Distr</t>
  </si>
  <si>
    <t>EMI_per_building.kgCO2.SK.Ser.BldNew.Thermal.SH.AdvElc.Elec</t>
  </si>
  <si>
    <t>EMI_per_building.kgCO2.SK.Ser.BldNew.Thermal.SH.ConvElc.Elec</t>
  </si>
  <si>
    <t>EMI_per_building.kgCO2.SK.Ser.BldNew.Thermal.SH.TotalCirculation.Elec</t>
  </si>
  <si>
    <t>EMI_per_building.kgCO2.SK.Ser.BldNew.Thermal.SC</t>
  </si>
  <si>
    <t>EMI_per_building.kgCO2.SK.Ser.BldNew.Thermal.SC.GasHP.NG_Biogas</t>
  </si>
  <si>
    <t>EMI_per_building.kgCO2.SK.Ser.BldNew.Thermal.SC.AC.Elec</t>
  </si>
  <si>
    <t>EMI_per_building.kgCO2.SK.Ser.BldNew.Thermal.HW</t>
  </si>
  <si>
    <t>EMI_per_building.kgCO2.SK.Ser.BldNew.Thermal.HW.Solids.Solids</t>
  </si>
  <si>
    <t>EMI_per_building.kgCO2.SK.Ser.BldNew.Thermal.HW.LPG.LPG</t>
  </si>
  <si>
    <t>EMI_per_building.kgCO2.SK.Ser.BldNew.Thermal.HW.Oil.Oil_LiqBio</t>
  </si>
  <si>
    <t>EMI_per_building.kgCO2.SK.Ser.BldNew.Thermal.HW.Gas.NG_Biogas</t>
  </si>
  <si>
    <t>EMI_per_building.kgCO2.SK.Ser.BldNew.Thermal.HW.Biomass.Biomass_Waste</t>
  </si>
  <si>
    <t>EMI_per_building.kgCO2.SK.Ser.BldNew.Thermal.HW.DistrHeat.Steam_Distr</t>
  </si>
  <si>
    <t>EMI_per_building.kgCO2.SK.Ser.BldNew.Thermal.HW.Elc.Elec</t>
  </si>
  <si>
    <t>EMI_per_building.kgCO2.SK.Ser.BldNew.Thermal.HW.TotalSolar.Solar</t>
  </si>
  <si>
    <t>EMI_per_building.kgCO2.SK.Ser.BldNew.Thermal.CA</t>
  </si>
  <si>
    <t>EMI_per_building.kgCO2.SK.Ser.BldNew.Thermal.CA.LPG</t>
  </si>
  <si>
    <t>EMI_per_building.kgCO2.SK.Ser.BldNew.Thermal.CA.Gas.NG_Biogas</t>
  </si>
  <si>
    <t>EMI_per_building.kgCO2.SK.Ser.BldNew.Thermal.CA.Biomass.Biomass_Waste</t>
  </si>
  <si>
    <t>EMI_per_building.kgCO2.SK.Ser.BldNew.Thermal.CA.Elc.Elec</t>
  </si>
  <si>
    <t>SK - Final energy consumption in new and renovated buildings per surface area</t>
  </si>
  <si>
    <t>FEC_per_sqm.kWh.SK.Ser.BldNew.Thermal</t>
  </si>
  <si>
    <t>FEC_per_sqm.kWh.SK.Ser.BldNew.Thermal.SH</t>
  </si>
  <si>
    <t>FEC_per_sqm.kWh.SK.Ser.BldNew.Thermal.SH.Solids.Solids</t>
  </si>
  <si>
    <t>FEC_per_sqm.kWh.SK.Ser.BldNew.Thermal.SH.LPG.LPG</t>
  </si>
  <si>
    <t>FEC_per_sqm.kWh.SK.Ser.BldNew.Thermal.SH.Oil.Oil_LiqBio</t>
  </si>
  <si>
    <t>FEC_per_sqm.kWh.SK.Ser.BldNew.Thermal.SH.GasHP.NG_Biogas</t>
  </si>
  <si>
    <t>FEC_per_sqm.kWh.SK.Ser.BldNew.Thermal.SH.GasTH.NG_Biogas</t>
  </si>
  <si>
    <t>FEC_per_sqm.kWh.SK.Ser.BldNew.Thermal.SH.Biomass.Biomass_Waste</t>
  </si>
  <si>
    <t>FEC_per_sqm.kWh.SK.Ser.BldNew.Thermal.SH.Geo.Geo</t>
  </si>
  <si>
    <t>FEC_per_sqm.kWh.SK.Ser.BldNew.Thermal.SH.DistrHeat.Steam_Distr</t>
  </si>
  <si>
    <t>FEC_per_sqm.kWh.SK.Ser.BldNew.Thermal.SH.AdvElc.Elec</t>
  </si>
  <si>
    <t>FEC_per_sqm.kWh.SK.Ser.BldNew.Thermal.SH.ConvElc.Elec</t>
  </si>
  <si>
    <t>FEC_per_sqm.kWh.SK.Ser.BldNew.Thermal.SH.TotalCirculation.Elec</t>
  </si>
  <si>
    <t>FEC_per_sqm.kWh.SK.Ser.BldNew.Thermal.SC</t>
  </si>
  <si>
    <t>FEC_per_sqm.kWh.SK.Ser.BldNew.Thermal.SC.GasHP.NG_Biogas</t>
  </si>
  <si>
    <t>FEC_per_sqm.kWh.SK.Ser.BldNew.Thermal.SC.AC.Elec</t>
  </si>
  <si>
    <t>FEC_per_sqm.kWh.SK.Ser.BldNew.Thermal.HW</t>
  </si>
  <si>
    <t>FEC_per_sqm.kWh.SK.Ser.BldNew.Thermal.HW.Solids.Solids</t>
  </si>
  <si>
    <t>FEC_per_sqm.kWh.SK.Ser.BldNew.Thermal.HW.LPG.LPG</t>
  </si>
  <si>
    <t>FEC_per_sqm.kWh.SK.Ser.BldNew.Thermal.HW.Oil.Oil_LiqBio</t>
  </si>
  <si>
    <t>FEC_per_sqm.kWh.SK.Ser.BldNew.Thermal.HW.Gas.NG_Biogas</t>
  </si>
  <si>
    <t>FEC_per_sqm.kWh.SK.Ser.BldNew.Thermal.HW.Biomass.Biomass_Waste</t>
  </si>
  <si>
    <t>FEC_per_sqm.kWh.SK.Ser.BldNew.Thermal.HW.DistrHeat.Steam_Distr</t>
  </si>
  <si>
    <t>FEC_per_sqm.kWh.SK.Ser.BldNew.Thermal.HW.Elc.Elec</t>
  </si>
  <si>
    <t>FEC_per_sqm.kWh.SK.Ser.BldNew.Thermal.HW.TotalSolar.Solar</t>
  </si>
  <si>
    <t>FEC_per_sqm.kWh.SK.Ser.BldNew.Thermal.CA</t>
  </si>
  <si>
    <t>FEC_per_sqm.kWh.SK.Ser.BldNew.Thermal.CA.LPG</t>
  </si>
  <si>
    <t>FEC_per_sqm.kWh.SK.Ser.BldNew.Thermal.CA.Gas.NG_Biogas</t>
  </si>
  <si>
    <t>FEC_per_sqm.kWh.SK.Ser.BldNew.Thermal.CA.Biomass.Biomass_Waste</t>
  </si>
  <si>
    <t>FEC_per_sqm.kWh.SK.Ser.BldNew.Thermal.CA.Elc.Elec</t>
  </si>
  <si>
    <t>SK - Thermal energy service in new and renovated buildings per surface area</t>
  </si>
  <si>
    <t>TES_per_sqm.kWh.SK.Ser.BldNew.Thermal</t>
  </si>
  <si>
    <t>TES_per_sqm.kWh.SK.Ser.BldNew.Thermal.SH</t>
  </si>
  <si>
    <t>TES_per_sqm.kWh.SK.Ser.BldNew.Thermal.SH.Solids.Solids</t>
  </si>
  <si>
    <t>TES_per_sqm.kWh.SK.Ser.BldNew.Thermal.SH.LPG.LPG</t>
  </si>
  <si>
    <t>TES_per_sqm.kWh.SK.Ser.BldNew.Thermal.SH.Oil.Oil_LiqBio</t>
  </si>
  <si>
    <t>TES_per_sqm.kWh.SK.Ser.BldNew.Thermal.SH.GasHP.NG_Biogas</t>
  </si>
  <si>
    <t>TES_per_sqm.kWh.SK.Ser.BldNew.Thermal.SH.GasTH.NG_Biogas</t>
  </si>
  <si>
    <t>TES_per_sqm.kWh.SK.Ser.BldNew.Thermal.SH.Biomass.Biomass_Waste</t>
  </si>
  <si>
    <t>TES_per_sqm.kWh.SK.Ser.BldNew.Thermal.SH.Geo.Geo</t>
  </si>
  <si>
    <t>TES_per_sqm.kWh.SK.Ser.BldNew.Thermal.SH.DistrHeat.Steam_Distr</t>
  </si>
  <si>
    <t>TES_per_sqm.kWh.SK.Ser.BldNew.Thermal.SH.AdvElc.Elec</t>
  </si>
  <si>
    <t>TES_per_sqm.kWh.SK.Ser.BldNew.Thermal.SH.ConvElc.Elec</t>
  </si>
  <si>
    <t>TES_per_sqm.kWh.SK.Ser.BldNew.Thermal.SH.TotalCirculation.Elec</t>
  </si>
  <si>
    <t>TES_per_sqm.kWh.SK.Ser.BldNew.Thermal.SC</t>
  </si>
  <si>
    <t>TES_per_sqm.kWh.SK.Ser.BldNew.Thermal.SC.GasHP.NG_Biogas</t>
  </si>
  <si>
    <t>TES_per_sqm.kWh.SK.Ser.BldNew.Thermal.SC.AC.Elec</t>
  </si>
  <si>
    <t>TES_per_sqm.kWh.SK.Ser.BldNew.Thermal.HW</t>
  </si>
  <si>
    <t>TES_per_sqm.kWh.SK.Ser.BldNew.Thermal.HW.Solids.Solids</t>
  </si>
  <si>
    <t>TES_per_sqm.kWh.SK.Ser.BldNew.Thermal.HW.LPG.LPG</t>
  </si>
  <si>
    <t>TES_per_sqm.kWh.SK.Ser.BldNew.Thermal.HW.Oil.Oil_LiqBio</t>
  </si>
  <si>
    <t>TES_per_sqm.kWh.SK.Ser.BldNew.Thermal.HW.Gas.NG_Biogas</t>
  </si>
  <si>
    <t>TES_per_sqm.kWh.SK.Ser.BldNew.Thermal.HW.Biomass.Biomass_Waste</t>
  </si>
  <si>
    <t>TES_per_sqm.kWh.SK.Ser.BldNew.Thermal.HW.DistrHeat.Steam_Distr</t>
  </si>
  <si>
    <t>TES_per_sqm.kWh.SK.Ser.BldNew.Thermal.HW.Elc.Elec</t>
  </si>
  <si>
    <t>TES_per_sqm.kWh.SK.Ser.BldNew.Thermal.HW.TotalSolar.Solar</t>
  </si>
  <si>
    <t>TES_per_sqm.kWh.SK.Ser.BldNew.Thermal.CA</t>
  </si>
  <si>
    <t>TES_per_sqm.kWh.SK.Ser.BldNew.Thermal.CA.LPG</t>
  </si>
  <si>
    <t>TES_per_sqm.kWh.SK.Ser.BldNew.Thermal.CA.Gas.NG_Biogas</t>
  </si>
  <si>
    <t>TES_per_sqm.kWh.SK.Ser.BldNew.Thermal.CA.Biomass.Biomass_Waste</t>
  </si>
  <si>
    <t>TES_per_sqm.kWh.SK.Ser.BldNew.Thermal.CA.Elc.Elec</t>
  </si>
  <si>
    <t>SK - CO2 emissions in new and renovated buildings per surface area</t>
  </si>
  <si>
    <t>EMI_per_sqm.kgCO2.SK.Ser.BldNew.Thermal</t>
  </si>
  <si>
    <t>EMI_per_sqm.kgCO2.SK.Ser.BldNew.Thermal.SH</t>
  </si>
  <si>
    <t>EMI_per_sqm.kgCO2.SK.Ser.BldNew.Thermal.SH.Solids.Solids</t>
  </si>
  <si>
    <t>EMI_per_sqm.kgCO2.SK.Ser.BldNew.Thermal.SH.LPG.LPG</t>
  </si>
  <si>
    <t>EMI_per_sqm.kgCO2.SK.Ser.BldNew.Thermal.SH.Oil.Oil_LiqBio</t>
  </si>
  <si>
    <t>EMI_per_sqm.kgCO2.SK.Ser.BldNew.Thermal.SH.GasHP.NG_Biogas</t>
  </si>
  <si>
    <t>EMI_per_sqm.kgCO2.SK.Ser.BldNew.Thermal.SH.GasTH.NG_Biogas</t>
  </si>
  <si>
    <t>EMI_per_sqm.kgCO2.SK.Ser.BldNew.Thermal.SH.Biomass.Biomass_Waste</t>
  </si>
  <si>
    <t>EMI_per_sqm.kgCO2.SK.Ser.BldNew.Thermal.SH.Geo.Geo</t>
  </si>
  <si>
    <t>EMI_per_sqm.kgCO2.SK.Ser.BldNew.Thermal.SH.DistrHeat.Steam_Distr</t>
  </si>
  <si>
    <t>EMI_per_sqm.kgCO2.SK.Ser.BldNew.Thermal.SH.AdvElc.Elec</t>
  </si>
  <si>
    <t>EMI_per_sqm.kgCO2.SK.Ser.BldNew.Thermal.SH.ConvElc.Elec</t>
  </si>
  <si>
    <t>EMI_per_sqm.kgCO2.SK.Ser.BldNew.Thermal.SH.TotalCirculation.Elec</t>
  </si>
  <si>
    <t>EMI_per_sqm.kgCO2.SK.Ser.BldNew.Thermal.SC</t>
  </si>
  <si>
    <t>EMI_per_sqm.kgCO2.SK.Ser.BldNew.Thermal.SC.GasHP.NG_Biogas</t>
  </si>
  <si>
    <t>EMI_per_sqm.kgCO2.SK.Ser.BldNew.Thermal.SC.AC.Elec</t>
  </si>
  <si>
    <t>EMI_per_sqm.kgCO2.SK.Ser.BldNew.Thermal.HW</t>
  </si>
  <si>
    <t>EMI_per_sqm.kgCO2.SK.Ser.BldNew.Thermal.HW.Solids.Solids</t>
  </si>
  <si>
    <t>EMI_per_sqm.kgCO2.SK.Ser.BldNew.Thermal.HW.LPG.LPG</t>
  </si>
  <si>
    <t>EMI_per_sqm.kgCO2.SK.Ser.BldNew.Thermal.HW.Oil.Oil_LiqBio</t>
  </si>
  <si>
    <t>EMI_per_sqm.kgCO2.SK.Ser.BldNew.Thermal.HW.Gas.NG_Biogas</t>
  </si>
  <si>
    <t>EMI_per_sqm.kgCO2.SK.Ser.BldNew.Thermal.HW.Biomass.Biomass_Waste</t>
  </si>
  <si>
    <t>EMI_per_sqm.kgCO2.SK.Ser.BldNew.Thermal.HW.DistrHeat.Steam_Distr</t>
  </si>
  <si>
    <t>EMI_per_sqm.kgCO2.SK.Ser.BldNew.Thermal.HW.Elc.Elec</t>
  </si>
  <si>
    <t>EMI_per_sqm.kgCO2.SK.Ser.BldNew.Thermal.HW.TotalSolar.Solar</t>
  </si>
  <si>
    <t>EMI_per_sqm.kgCO2.SK.Ser.BldNew.Thermal.CA</t>
  </si>
  <si>
    <t>EMI_per_sqm.kgCO2.SK.Ser.BldNew.Thermal.CA.LPG</t>
  </si>
  <si>
    <t>EMI_per_sqm.kgCO2.SK.Ser.BldNew.Thermal.CA.Gas.NG_Biogas</t>
  </si>
  <si>
    <t>EMI_per_sqm.kgCO2.SK.Ser.BldNew.Thermal.CA.Biomass.Biomass_Waste</t>
  </si>
  <si>
    <t>EMI_per_sqm.kgCO2.SK.Ser.BldNew.Thermal.CA.Elc.Elec</t>
  </si>
  <si>
    <t>FEC.ktoe.SK.Ser.SEU.VE</t>
  </si>
  <si>
    <t>FEC.ktoe.SK.Ser.SEU.SL</t>
  </si>
  <si>
    <t>FEC.ktoe.SK.Ser.SEU.BL</t>
  </si>
  <si>
    <t>FEC.ktoe.SK.Ser.SEU.CR</t>
  </si>
  <si>
    <t>FEC.ktoe.SK.Ser.SEU.BT</t>
  </si>
  <si>
    <t>FEC.ktoe.SK.Ser.SEU.IT</t>
  </si>
  <si>
    <t>Size.MW.SK.Ser.SEU</t>
  </si>
  <si>
    <t>Size.MW.SK.Ser.SEU.VE</t>
  </si>
  <si>
    <t>Size.MW.SK.Ser.SEU.SL</t>
  </si>
  <si>
    <t>Size.MW.SK.Ser.SEU.BL</t>
  </si>
  <si>
    <t>Size.MW.SK.Ser.SEU.CR</t>
  </si>
  <si>
    <t>Size.MW.SK.Ser.SEU.BT</t>
  </si>
  <si>
    <t>Size.MW.SK.Ser.SEU.IT</t>
  </si>
  <si>
    <t>NUM.Msqm.SK.Ser.SEU.VE</t>
  </si>
  <si>
    <t>NUM.k.SK.Ser.SEU.SL</t>
  </si>
  <si>
    <t>NUM.M.SK.Ser.SEU.BL</t>
  </si>
  <si>
    <t>NUM.k.SK.Ser.SEU.CR</t>
  </si>
  <si>
    <t>NUM.Msqm.SK.Ser.SEU.BT</t>
  </si>
  <si>
    <t>NUM.k.SK.Ser.SEU.IT</t>
  </si>
  <si>
    <t>NUM.Msqm.SK.Ser.SEUnew.VE</t>
  </si>
  <si>
    <t>NUM.k.SK.Ser.SEUnew.SL</t>
  </si>
  <si>
    <t>NUM.M.SK.Ser.SEUnew.BL</t>
  </si>
  <si>
    <t>NUM.k.SK.Ser.SEUnew.CR</t>
  </si>
  <si>
    <t>NUM.Msqm.SK.Ser.SEUnew.BT</t>
  </si>
  <si>
    <t>NUM.k.SK.Ser.SEUnew.IT</t>
  </si>
  <si>
    <t>NUM.Msqm.SK.Ser.SEUrepl.VE</t>
  </si>
  <si>
    <t>NUM.k.SK.Ser.SEUrepl.SL</t>
  </si>
  <si>
    <t>NUM.M.SK.Ser.SEUrepl.BL</t>
  </si>
  <si>
    <t>NUM.k.SK.Ser.SEUrepl.CR</t>
  </si>
  <si>
    <t>NUM.Msqm.SK.Ser.SEUrepl.BT</t>
  </si>
  <si>
    <t>NUM.k.SK.Ser.SEUrepl.IT</t>
  </si>
  <si>
    <t>Op.hours.SK.Ser.SEU.VE</t>
  </si>
  <si>
    <t>Op.hours.SK.Ser.SEU.SL</t>
  </si>
  <si>
    <t>Op.hours.SK.Ser.SEU.BL</t>
  </si>
  <si>
    <t>Op.hours.SK.Ser.SEU.CR</t>
  </si>
  <si>
    <t>Op.hours.SK.Ser.SEU.BT</t>
  </si>
  <si>
    <t>Op.hours.SK.Ser.SEU.IT</t>
  </si>
  <si>
    <t>Size_per_appl.W.SK.Ser.SEU.VE</t>
  </si>
  <si>
    <t>Size_per_appl.W.SK.Ser.SEU.SL</t>
  </si>
  <si>
    <t>Size_per_appl.W.SK.Ser.SEU.BL</t>
  </si>
  <si>
    <t>Size_per_appl.W.SK.Ser.SEU.CR</t>
  </si>
  <si>
    <t>Size_per_appl.W.SK.Ser.SEU.BT</t>
  </si>
  <si>
    <t>Size_per_appl.W.SK.Ser.SEU.IT</t>
  </si>
  <si>
    <t>Size_per_appl.W.SK.Ser.SEUnew.VE</t>
  </si>
  <si>
    <t>Size_per_appl.W.SK.Ser.SEUnew.SL</t>
  </si>
  <si>
    <t>Size_per_appl.W.SK.Ser.SEUnew.BL</t>
  </si>
  <si>
    <t>Size_per_appl.W.SK.Ser.SEUnew.CR</t>
  </si>
  <si>
    <t>Size_per_appl.W.SK.Ser.SEUnew.BT</t>
  </si>
  <si>
    <t>Size_per_appl.W.SK.Ser.SEUnew.IT</t>
  </si>
  <si>
    <t>NUM.sqm_per_building.SK.Ser.SEU.VE</t>
  </si>
  <si>
    <t>NUM.number_per_capita.SK.Ser.SEU.SL</t>
  </si>
  <si>
    <t>NUM.number_per_building.SK.Ser.SEU.BL</t>
  </si>
  <si>
    <t>NUM.number_per_capita.SK.Ser.SEU.CR</t>
  </si>
  <si>
    <t>NUM.sqm_per_building.SK.Ser.SEU.BT</t>
  </si>
  <si>
    <t>NUM.number_per_capita.SK.Ser.SEU.IT</t>
  </si>
  <si>
    <t>Lumens_per_sqm.lumen.SK.Ser.SEU.BL</t>
  </si>
  <si>
    <t>FEC.ktoe.SK.Ser.SEU.IT.DataCenters</t>
  </si>
  <si>
    <t>SK - Services / specific electric uses</t>
  </si>
  <si>
    <t>SK - Ventilation and others</t>
  </si>
  <si>
    <t>SK - Street lighting</t>
  </si>
  <si>
    <t>SK - Building lighting</t>
  </si>
  <si>
    <t>SK - Commercial refrigeration</t>
  </si>
  <si>
    <t>SK - Miscellaneous building technologies</t>
  </si>
  <si>
    <t>SK - ICT and multimedia</t>
  </si>
  <si>
    <t>SK - Agriculture, forestry and fishing</t>
  </si>
  <si>
    <t>VA.Meuro2015.Meuro2023.SK.AGR.AGR</t>
  </si>
  <si>
    <t>OUTPUT.index.index.SK.AGR.AGR</t>
  </si>
  <si>
    <t>CAP.index.index.SK.AGR.AGR</t>
  </si>
  <si>
    <t>NEWCAP.index.index.SK.AGR.AGR</t>
  </si>
  <si>
    <t>CAPOUT.index.SK.AGR.AGR</t>
  </si>
  <si>
    <t>CAPIDLE.index.SK.AGR.AGR</t>
  </si>
  <si>
    <t>FEC.ktoe.SK.ES.AGR</t>
  </si>
  <si>
    <t>FEC.ktoe.SK.ES.AGR.Solids</t>
  </si>
  <si>
    <t>FEC.ktoe.SK.ES.AGR.LPG</t>
  </si>
  <si>
    <t>FEC.ktoe.SK.ES.AGR.Diesel</t>
  </si>
  <si>
    <t>FEC.ktoe.SK.ES.AGR.RFO</t>
  </si>
  <si>
    <t>FEC.ktoe.SK.ES.AGR.NG</t>
  </si>
  <si>
    <t>FEC.ktoe.SK.ES.AGR.Biomass_Waste</t>
  </si>
  <si>
    <t>FEC.ktoe.SK.ES.AGR.Biogas</t>
  </si>
  <si>
    <t>FEC.ktoe.SK.ES.AGR.LiqBio</t>
  </si>
  <si>
    <t>FEC.ktoe.SK.ES.AGR.Solar</t>
  </si>
  <si>
    <t>FEC.ktoe.SK.ES.AGR.Geo</t>
  </si>
  <si>
    <t>FEC.ktoe.SK.ES.AGR.Ambient</t>
  </si>
  <si>
    <t>FEC.ktoe.SK.ES.AGR.Steam_Distr</t>
  </si>
  <si>
    <t>FEC.ktoe.SK.ES.AGR.Elec</t>
  </si>
  <si>
    <t>SK - Agriculture, forestry and fishing / final energy consumption</t>
  </si>
  <si>
    <t>FEC.ktoe.ktoe.SK.AGR.AGR.LIGHT.GENERIC.ELEC</t>
  </si>
  <si>
    <t>FEC.ktoe.ktoe.SK.AGR.AGR.FANS.GENERIC.ELEC</t>
  </si>
  <si>
    <t>FEC.ktoe.ktoe.SK.AGR.AGR.MOTOR.GENERIC.ELEC</t>
  </si>
  <si>
    <t>FEC.ktoe.ktoe.SK.AGR.AGR.LOW_ENTH.THERM.DIESEL_LIQBIO</t>
  </si>
  <si>
    <t>FEC.ktoe.ktoe.SK.AGR.AGR.LOW_ENTH.THERM.NG_BIOGAS</t>
  </si>
  <si>
    <t>FEC.ktoe.ktoe.SK.AGR.AGR.LOW_ENTH.THERM.SOLAR_GEO</t>
  </si>
  <si>
    <t>FEC.ktoe.ktoe.SK.AGR.AGR.LOW_ENTH.HP.AMBIENT</t>
  </si>
  <si>
    <t>FEC.ktoe.ktoe.SK.AGR.AGR.LOW_ENTH.THERM.STEAM_DISTR</t>
  </si>
  <si>
    <t>FEC.ktoe.ktoe.SK.AGR.AGR.LOW_ENTH.THERM.ELEC</t>
  </si>
  <si>
    <t>FEC.ktoe.ktoe.SK.AGR.AGR.FARM_DRIVES.MECH.DIESEL_LIQBIO</t>
  </si>
  <si>
    <t>FEC.ktoe.ktoe.SK.AGR.AGR.HEAT_USE.THERM.SOLIDS</t>
  </si>
  <si>
    <t>FEC.ktoe.ktoe.SK.AGR.AGR.HEAT_USE.THERM.LPG</t>
  </si>
  <si>
    <t>FEC.ktoe.ktoe.SK.AGR.AGR.HEAT_USE.THERM.DIESEL_LIQBIO</t>
  </si>
  <si>
    <t>FEC.ktoe.ktoe.SK.AGR.AGR.HEAT_USE.THERM.RFO</t>
  </si>
  <si>
    <t>FEC.ktoe.ktoe.SK.AGR.AGR.HEAT_USE.THERM.NG_BIOGAS</t>
  </si>
  <si>
    <t>FEC.ktoe.ktoe.SK.AGR.AGR.HEAT_USE.THERM.BIOMASS_WASTE</t>
  </si>
  <si>
    <t>FEC.ktoe.ktoe.SK.AGR.AGR.HEAT_USE.THERM.SOLAR_GEO</t>
  </si>
  <si>
    <t>FEC.ktoe.ktoe.SK.AGR.AGR.FARM_PUMP.MECH.DIESEL_LIQBIO</t>
  </si>
  <si>
    <t>FEC.ktoe.ktoe.SK.AGR.AGR.FARM_PUMP_ELEC.MECH.ELEC</t>
  </si>
  <si>
    <t>FEC.ktoe.ktoe.SK.AGR.AGR.GENERIC.MECH.ELEC</t>
  </si>
  <si>
    <t>SK - Agriculture, forestry and fishing / useful energy demand</t>
  </si>
  <si>
    <t>UED.ktoe.ktoe.SK.AGR.AGR.LIGHT.GENERIC.ELEC</t>
  </si>
  <si>
    <t>UED.ktoe.ktoe.SK.AGR.AGR.FANS.GENERIC.ELEC</t>
  </si>
  <si>
    <t>UED.ktoe.ktoe.SK.AGR.AGR.MOTOR.GENERIC.ELEC</t>
  </si>
  <si>
    <t>UED.ktoe.ktoe.SK.AGR.AGR.LOW_ENTH.THERM.DIESEL_LIQBIO</t>
  </si>
  <si>
    <t>UED.ktoe.ktoe.SK.AGR.AGR.LOW_ENTH.THERM.NG_BIOGAS</t>
  </si>
  <si>
    <t>UED.ktoe.ktoe.SK.AGR.AGR.LOW_ENTH.THERM.SOLAR_GEO</t>
  </si>
  <si>
    <t>UED.ktoe.ktoe.SK.AGR.AGR.LOW_ENTH.HP.AMBIENT</t>
  </si>
  <si>
    <t>UED.ktoe.ktoe.SK.AGR.AGR.LOW_ENTH.THERM.STEAM_DISTR</t>
  </si>
  <si>
    <t>UED.ktoe.ktoe.SK.AGR.AGR.LOW_ENTH.THERM.ELEC</t>
  </si>
  <si>
    <t>UED.ktoe.ktoe.SK.AGR.AGR.FARM_DRIVES.MECH.DIESEL_LIQBIO</t>
  </si>
  <si>
    <t>UED.ktoe.ktoe.SK.AGR.AGR.HEAT_USE.THERM.SOLIDS</t>
  </si>
  <si>
    <t>UED.ktoe.ktoe.SK.AGR.AGR.HEAT_USE.THERM.LPG</t>
  </si>
  <si>
    <t>UED.ktoe.ktoe.SK.AGR.AGR.HEAT_USE.THERM.DIESEL_LIQBIO</t>
  </si>
  <si>
    <t>UED.ktoe.ktoe.SK.AGR.AGR.HEAT_USE.THERM.RFO</t>
  </si>
  <si>
    <t>UED.ktoe.ktoe.SK.AGR.AGR.HEAT_USE.THERM.NG_BIOGAS</t>
  </si>
  <si>
    <t>UED.ktoe.ktoe.SK.AGR.AGR.HEAT_USE.THERM.BIOMASS_WASTE</t>
  </si>
  <si>
    <t>UED.ktoe.ktoe.SK.AGR.AGR.HEAT_USE.THERM.SOLAR_GEO</t>
  </si>
  <si>
    <t>UED.ktoe.ktoe.SK.AGR.AGR.FARM_PUMP.MECH.DIESEL_LIQBIO</t>
  </si>
  <si>
    <t>UED.ktoe.ktoe.SK.AGR.AGR.FARM_PUMP_ELEC.MECH.ELEC</t>
  </si>
  <si>
    <t>UED.ktoe.ktoe.SK.AGR.AGR.GENERIC.MECH.ELEC</t>
  </si>
  <si>
    <t>SK - Agriculture, forestry and fishing / CO2 emissions</t>
  </si>
  <si>
    <t>FUEL_EMI.ktCO2.ktCO2.SK.AGR.AGR.LIGHT.GENERIC.ELEC</t>
  </si>
  <si>
    <t>FUEL_EMI.ktCO2.ktCO2.SK.AGR.AGR.FANS.GENERIC.ELEC</t>
  </si>
  <si>
    <t>FUEL_EMI.ktCO2.ktCO2.SK.AGR.AGR.MOTOR.GENERIC.ELEC</t>
  </si>
  <si>
    <t>FUEL_EMI.ktCO2.ktCO2.SK.AGR.AGR.LOW_ENTH.THERM.DIESEL_LIQBIO</t>
  </si>
  <si>
    <t>FUEL_EMI.ktCO2.ktCO2.SK.AGR.AGR.LOW_ENTH.THERM.NG_BIOGAS</t>
  </si>
  <si>
    <t>FUEL_EMI.ktCO2.ktCO2.SK.AGR.AGR.LOW_ENTH.THERM.SOLAR_GEO</t>
  </si>
  <si>
    <t>FUEL_EMI.ktCO2.ktCO2.SK.AGR.AGR.LOW_ENTH.HP.AMBIENT</t>
  </si>
  <si>
    <t>FUEL_EMI.ktCO2.ktCO2.SK.AGR.AGR.LOW_ENTH.THERM.STEAM_DISTR</t>
  </si>
  <si>
    <t>FUEL_EMI.ktCO2.ktCO2.SK.AGR.AGR.LOW_ENTH.THERM.ELEC</t>
  </si>
  <si>
    <t>FUEL_EMI.ktCO2.ktCO2.SK.AGR.AGR.FARM_DRIVES.MECH.DIESEL_LIQBIO</t>
  </si>
  <si>
    <t>FUEL_EMI.ktCO2.ktCO2.SK.AGR.AGR.HEAT_USE.THERM.SOLIDS</t>
  </si>
  <si>
    <t>FUEL_EMI.ktCO2.ktCO2.SK.AGR.AGR.HEAT_USE.THERM.LPG</t>
  </si>
  <si>
    <t>FUEL_EMI.ktCO2.ktCO2.SK.AGR.AGR.HEAT_USE.THERM.DIESEL_LIQBIO</t>
  </si>
  <si>
    <t>FUEL_EMI.ktCO2.ktCO2.SK.AGR.AGR.HEAT_USE.THERM.RFO</t>
  </si>
  <si>
    <t>FUEL_EMI.ktCO2.ktCO2.SK.AGR.AGR.HEAT_USE.THERM.NG_BIOGAS</t>
  </si>
  <si>
    <t>FUEL_EMI.ktCO2.ktCO2.SK.AGR.AGR.HEAT_USE.THERM.BIOMASS_WASTE</t>
  </si>
  <si>
    <t>FUEL_EMI.ktCO2.ktCO2.SK.AGR.AGR.HEAT_USE.THERM.SOLAR_GEO</t>
  </si>
  <si>
    <t>FUEL_EMI.ktCO2.ktCO2.SK.AGR.AGR.FARM_PUMP.MECH.DIESEL_LIQBIO</t>
  </si>
  <si>
    <t>FUEL_EMI.ktCO2.ktCO2.SK.AGR.AGR.FARM_PUMP_ELEC.MECH.ELEC</t>
  </si>
  <si>
    <t>FUEL_EMI.ktCO2.ktCO2.SK.AGR.AGR.GENERIC.MECH.ELEC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</si>
</sst>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45967.480486111112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5398657</v>
      </c>
      <c r="C3" s="34">
        <v>5378783</v>
      </c>
      <c r="D3" s="34">
        <v>5378951</v>
      </c>
      <c r="E3" s="34">
        <v>5374873</v>
      </c>
      <c r="F3" s="34">
        <v>5371875</v>
      </c>
      <c r="G3" s="34">
        <v>5372685</v>
      </c>
      <c r="H3" s="34">
        <v>5372928</v>
      </c>
      <c r="I3" s="34">
        <v>5373180</v>
      </c>
      <c r="J3" s="34">
        <v>5376064</v>
      </c>
      <c r="K3" s="34">
        <v>5382401</v>
      </c>
      <c r="L3" s="34">
        <v>5390410</v>
      </c>
      <c r="M3" s="34">
        <v>5392446</v>
      </c>
      <c r="N3" s="34">
        <v>5404322</v>
      </c>
      <c r="O3" s="34">
        <v>5410836</v>
      </c>
      <c r="P3" s="34">
        <v>5415949</v>
      </c>
      <c r="Q3" s="34">
        <v>5421349</v>
      </c>
      <c r="R3" s="34">
        <v>5426252</v>
      </c>
      <c r="S3" s="34">
        <v>5435343</v>
      </c>
      <c r="T3" s="34">
        <v>5443120</v>
      </c>
      <c r="U3" s="34">
        <v>5450421</v>
      </c>
      <c r="V3" s="34">
        <v>5457873</v>
      </c>
      <c r="W3" s="34">
        <v>5459781</v>
      </c>
      <c r="X3" s="34">
        <v>5434712</v>
      </c>
      <c r="Y3" s="34">
        <v>5428792</v>
      </c>
      <c r="DA3" s="88" t="s">
        <v>188</v>
      </c>
    </row>
    <row r="4" spans="1:105" ht="12" customHeight="1" x14ac:dyDescent="0.25">
      <c r="A4" s="35" t="s">
        <v>178</v>
      </c>
      <c r="B4" s="36">
        <v>57083.649909160165</v>
      </c>
      <c r="C4" s="36">
        <v>58753.262565242789</v>
      </c>
      <c r="D4" s="36">
        <v>61348.894496625122</v>
      </c>
      <c r="E4" s="36">
        <v>64328.418898415257</v>
      </c>
      <c r="F4" s="36">
        <v>67794.70866821555</v>
      </c>
      <c r="G4" s="36">
        <v>72191.542713893388</v>
      </c>
      <c r="H4" s="36">
        <v>78635.500125430757</v>
      </c>
      <c r="I4" s="36">
        <v>87142.688365155846</v>
      </c>
      <c r="J4" s="36">
        <v>91816.110780360643</v>
      </c>
      <c r="K4" s="36">
        <v>86761.704441955953</v>
      </c>
      <c r="L4" s="36">
        <v>92653.163887799557</v>
      </c>
      <c r="M4" s="36">
        <v>95026.859934191831</v>
      </c>
      <c r="N4" s="36">
        <v>96518.387781853162</v>
      </c>
      <c r="O4" s="36">
        <v>97197.192818907686</v>
      </c>
      <c r="P4" s="36">
        <v>99829.181458487219</v>
      </c>
      <c r="Q4" s="36">
        <v>104997.16821600002</v>
      </c>
      <c r="R4" s="36">
        <v>107042.4645483842</v>
      </c>
      <c r="S4" s="36">
        <v>110119.92710098624</v>
      </c>
      <c r="T4" s="36">
        <v>114592.28631063433</v>
      </c>
      <c r="U4" s="36">
        <v>117200.3930425211</v>
      </c>
      <c r="V4" s="36">
        <v>114170.57653076354</v>
      </c>
      <c r="W4" s="36">
        <v>120677.32116510486</v>
      </c>
      <c r="X4" s="36">
        <v>121205.5252712786</v>
      </c>
      <c r="Y4" s="36">
        <v>123833.2</v>
      </c>
      <c r="DA4" s="89" t="s">
        <v>189</v>
      </c>
    </row>
    <row r="5" spans="1:105" ht="12" customHeight="1" x14ac:dyDescent="0.25">
      <c r="A5" s="35" t="s">
        <v>179</v>
      </c>
      <c r="B5" s="36">
        <v>34360.537918252259</v>
      </c>
      <c r="C5" s="36">
        <v>35564.470276211199</v>
      </c>
      <c r="D5" s="36">
        <v>37335.158884503369</v>
      </c>
      <c r="E5" s="36">
        <v>38038.211917989414</v>
      </c>
      <c r="F5" s="36">
        <v>38765.84736977701</v>
      </c>
      <c r="G5" s="36">
        <v>41167.495297584064</v>
      </c>
      <c r="H5" s="36">
        <v>43884.72905437529</v>
      </c>
      <c r="I5" s="36">
        <v>49273.012122887121</v>
      </c>
      <c r="J5" s="36">
        <v>52501.686665177578</v>
      </c>
      <c r="K5" s="36">
        <v>53387.01926294509</v>
      </c>
      <c r="L5" s="36">
        <v>56888.38359833671</v>
      </c>
      <c r="M5" s="36">
        <v>57547.972723214269</v>
      </c>
      <c r="N5" s="36">
        <v>59015.186913587633</v>
      </c>
      <c r="O5" s="36">
        <v>61019.945772201259</v>
      </c>
      <c r="P5" s="36">
        <v>59837.30822413537</v>
      </c>
      <c r="Q5" s="36">
        <v>63236.689894924777</v>
      </c>
      <c r="R5" s="36">
        <v>65872.469727976553</v>
      </c>
      <c r="S5" s="36">
        <v>68106.788077356599</v>
      </c>
      <c r="T5" s="36">
        <v>70055.607575440285</v>
      </c>
      <c r="U5" s="36">
        <v>71048.756437130942</v>
      </c>
      <c r="V5" s="36">
        <v>69990.693810270022</v>
      </c>
      <c r="W5" s="36">
        <v>74583.827154271698</v>
      </c>
      <c r="X5" s="36">
        <v>75589.191064206592</v>
      </c>
      <c r="Y5" s="36">
        <v>76239.100000000006</v>
      </c>
      <c r="DA5" s="89" t="s">
        <v>190</v>
      </c>
    </row>
    <row r="6" spans="1:105" ht="12" customHeight="1" x14ac:dyDescent="0.25">
      <c r="A6" s="37" t="s">
        <v>70</v>
      </c>
      <c r="B6" s="38">
        <v>1257770</v>
      </c>
      <c r="C6" s="38">
        <v>1276890</v>
      </c>
      <c r="D6" s="38">
        <v>1290400</v>
      </c>
      <c r="E6" s="38">
        <v>1301179.9999999998</v>
      </c>
      <c r="F6" s="38">
        <v>1308670</v>
      </c>
      <c r="G6" s="38">
        <v>1330110.0000000002</v>
      </c>
      <c r="H6" s="38">
        <v>1366720</v>
      </c>
      <c r="I6" s="38">
        <v>1400730</v>
      </c>
      <c r="J6" s="38">
        <v>1437430</v>
      </c>
      <c r="K6" s="38">
        <v>1449989.9999999998</v>
      </c>
      <c r="L6" s="38">
        <v>1442900</v>
      </c>
      <c r="M6" s="38">
        <v>1470040</v>
      </c>
      <c r="N6" s="38">
        <v>1483340</v>
      </c>
      <c r="O6" s="38">
        <v>1477390.0000000002</v>
      </c>
      <c r="P6" s="38">
        <v>1502450.0000000002</v>
      </c>
      <c r="Q6" s="38">
        <v>1536479.9999999998</v>
      </c>
      <c r="R6" s="38">
        <v>1571850</v>
      </c>
      <c r="S6" s="38">
        <v>1599009.9999999998</v>
      </c>
      <c r="T6" s="38">
        <v>1633160</v>
      </c>
      <c r="U6" s="38">
        <v>1647489.9999999998</v>
      </c>
      <c r="V6" s="38">
        <v>1625480</v>
      </c>
      <c r="W6" s="38">
        <v>1618190</v>
      </c>
      <c r="X6" s="38">
        <v>1648040.0000000002</v>
      </c>
      <c r="Y6" s="38">
        <v>1658030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29067.916102302002</v>
      </c>
      <c r="C8" s="34">
        <v>29629.813634367878</v>
      </c>
      <c r="D8" s="34">
        <v>30366.108369769281</v>
      </c>
      <c r="E8" s="34">
        <v>31134.212078668075</v>
      </c>
      <c r="F8" s="34">
        <v>31952.28752192359</v>
      </c>
      <c r="G8" s="34">
        <v>33096.026500543398</v>
      </c>
      <c r="H8" s="34">
        <v>34606.277374132114</v>
      </c>
      <c r="I8" s="34">
        <v>36528.400888684555</v>
      </c>
      <c r="J8" s="34">
        <v>37733.884344548584</v>
      </c>
      <c r="K8" s="34">
        <v>37671.585043342558</v>
      </c>
      <c r="L8" s="34">
        <v>38498.244384278783</v>
      </c>
      <c r="M8" s="34">
        <v>38877.516382023052</v>
      </c>
      <c r="N8" s="34">
        <v>39263.407513805534</v>
      </c>
      <c r="O8" s="34">
        <v>39603.976372071091</v>
      </c>
      <c r="P8" s="34">
        <v>39978.477392553505</v>
      </c>
      <c r="Q8" s="34">
        <v>40478.968430540503</v>
      </c>
      <c r="R8" s="34">
        <v>40965.382473694131</v>
      </c>
      <c r="S8" s="34">
        <v>41485.244193597879</v>
      </c>
      <c r="T8" s="34">
        <v>42088.38935268209</v>
      </c>
      <c r="U8" s="34">
        <v>42715.76083857724</v>
      </c>
      <c r="V8" s="34">
        <v>43319.896666666667</v>
      </c>
      <c r="W8" s="34">
        <v>43884.839645805063</v>
      </c>
      <c r="X8" s="34">
        <v>44409.775482531375</v>
      </c>
      <c r="Y8" s="34">
        <v>44897.069049065743</v>
      </c>
      <c r="DA8" s="88" t="s">
        <v>192</v>
      </c>
    </row>
    <row r="9" spans="1:105" ht="12" customHeight="1" x14ac:dyDescent="0.25">
      <c r="A9" s="39" t="s">
        <v>68</v>
      </c>
      <c r="B9" s="40">
        <v>26161.124492071802</v>
      </c>
      <c r="C9" s="40">
        <v>26666.832270931089</v>
      </c>
      <c r="D9" s="40">
        <v>27329.497532792353</v>
      </c>
      <c r="E9" s="40">
        <v>28020.790870801266</v>
      </c>
      <c r="F9" s="40">
        <v>28757.058769731233</v>
      </c>
      <c r="G9" s="40">
        <v>29786.423850489056</v>
      </c>
      <c r="H9" s="40">
        <v>31145.649636718903</v>
      </c>
      <c r="I9" s="40">
        <v>32875.560799816099</v>
      </c>
      <c r="J9" s="40">
        <v>33960.495910093727</v>
      </c>
      <c r="K9" s="40">
        <v>33904.426539008302</v>
      </c>
      <c r="L9" s="40">
        <v>34648.419945850903</v>
      </c>
      <c r="M9" s="40">
        <v>34989.76474382075</v>
      </c>
      <c r="N9" s="40">
        <v>35337.066762424976</v>
      </c>
      <c r="O9" s="40">
        <v>35643.578734863979</v>
      </c>
      <c r="P9" s="40">
        <v>35980.629653298158</v>
      </c>
      <c r="Q9" s="40">
        <v>36431.071587486455</v>
      </c>
      <c r="R9" s="40">
        <v>36868.84422632472</v>
      </c>
      <c r="S9" s="40">
        <v>37336.719774238089</v>
      </c>
      <c r="T9" s="40">
        <v>37879.550417413884</v>
      </c>
      <c r="U9" s="40">
        <v>38444.184754719514</v>
      </c>
      <c r="V9" s="40">
        <v>38987.906999999999</v>
      </c>
      <c r="W9" s="40">
        <v>39496.355681224559</v>
      </c>
      <c r="X9" s="40">
        <v>39968.797934278235</v>
      </c>
      <c r="Y9" s="40">
        <v>40407.362144159168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678.12843798219785</v>
      </c>
      <c r="D10" s="41">
        <v>854.70043997311984</v>
      </c>
      <c r="E10" s="41">
        <v>889.6507893060882</v>
      </c>
      <c r="F10" s="41">
        <v>942.52225520335048</v>
      </c>
      <c r="G10" s="41">
        <v>1271.5688106982509</v>
      </c>
      <c r="H10" s="41">
        <v>1642.6719472730094</v>
      </c>
      <c r="I10" s="41">
        <v>2060.5856956128418</v>
      </c>
      <c r="J10" s="41">
        <v>1351.6782543658485</v>
      </c>
      <c r="K10" s="41">
        <v>151.02768440270455</v>
      </c>
      <c r="L10" s="41">
        <v>977.44538104387777</v>
      </c>
      <c r="M10" s="41">
        <v>533.19941368751074</v>
      </c>
      <c r="N10" s="41">
        <v>541.51005779102297</v>
      </c>
      <c r="O10" s="41">
        <v>497.63765004436414</v>
      </c>
      <c r="P10" s="41">
        <v>533.0196780315016</v>
      </c>
      <c r="Q10" s="41">
        <v>660.45956130633806</v>
      </c>
      <c r="R10" s="41">
        <v>696.14963087665603</v>
      </c>
      <c r="S10" s="41">
        <v>732.11758764308956</v>
      </c>
      <c r="T10" s="41">
        <v>818.09461086450426</v>
      </c>
      <c r="U10" s="41">
        <v>845.44604212665695</v>
      </c>
      <c r="V10" s="41">
        <v>825.46101378154549</v>
      </c>
      <c r="W10" s="41">
        <v>789.39840228173603</v>
      </c>
      <c r="X10" s="41">
        <v>752.31842556469405</v>
      </c>
      <c r="Y10" s="41">
        <v>717.39603017441937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610.31559418397796</v>
      </c>
      <c r="D11" s="42">
        <v>769.23039597580782</v>
      </c>
      <c r="E11" s="42">
        <v>800.6857103754794</v>
      </c>
      <c r="F11" s="42">
        <v>848.27002968301554</v>
      </c>
      <c r="G11" s="42">
        <v>1144.4119296284259</v>
      </c>
      <c r="H11" s="42">
        <v>1478.4047525457083</v>
      </c>
      <c r="I11" s="42">
        <v>1854.5271260515572</v>
      </c>
      <c r="J11" s="42">
        <v>1216.5104289292638</v>
      </c>
      <c r="K11" s="42">
        <v>135.92491596243408</v>
      </c>
      <c r="L11" s="42">
        <v>879.70084293948992</v>
      </c>
      <c r="M11" s="42">
        <v>479.87947231875972</v>
      </c>
      <c r="N11" s="42">
        <v>487.35905201192065</v>
      </c>
      <c r="O11" s="42">
        <v>447.8738850399277</v>
      </c>
      <c r="P11" s="42">
        <v>479.71771022835145</v>
      </c>
      <c r="Q11" s="42">
        <v>594.41360517570433</v>
      </c>
      <c r="R11" s="42">
        <v>626.53466778899042</v>
      </c>
      <c r="S11" s="42">
        <v>658.90582887878054</v>
      </c>
      <c r="T11" s="42">
        <v>736.28514977805389</v>
      </c>
      <c r="U11" s="42">
        <v>760.90143791399123</v>
      </c>
      <c r="V11" s="42">
        <v>742.91491240339087</v>
      </c>
      <c r="W11" s="42">
        <v>710.45856205356245</v>
      </c>
      <c r="X11" s="42">
        <v>677.08658300822469</v>
      </c>
      <c r="Y11" s="42">
        <v>645.65642715697743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3057.85</v>
      </c>
      <c r="C13" s="43">
        <v>3419.03</v>
      </c>
      <c r="D13" s="43">
        <v>3231.5</v>
      </c>
      <c r="E13" s="43">
        <v>3473.71</v>
      </c>
      <c r="F13" s="43">
        <v>3436.66</v>
      </c>
      <c r="G13" s="43">
        <v>3542.9</v>
      </c>
      <c r="H13" s="43">
        <v>3383.84</v>
      </c>
      <c r="I13" s="43">
        <v>3098</v>
      </c>
      <c r="J13" s="43">
        <v>3044.68</v>
      </c>
      <c r="K13" s="43">
        <v>3182.56</v>
      </c>
      <c r="L13" s="43">
        <v>3491.35</v>
      </c>
      <c r="M13" s="43">
        <v>3244.11</v>
      </c>
      <c r="N13" s="43">
        <v>3296.36</v>
      </c>
      <c r="O13" s="43">
        <v>3237.52</v>
      </c>
      <c r="P13" s="43">
        <v>2713.17</v>
      </c>
      <c r="Q13" s="43">
        <v>3058.95</v>
      </c>
      <c r="R13" s="43">
        <v>3176.37</v>
      </c>
      <c r="S13" s="43">
        <v>3289.94</v>
      </c>
      <c r="T13" s="43">
        <v>2923.83</v>
      </c>
      <c r="U13" s="43">
        <v>2899.05</v>
      </c>
      <c r="V13" s="43">
        <v>3048.53</v>
      </c>
      <c r="W13" s="43">
        <v>3382.63</v>
      </c>
      <c r="X13" s="43">
        <v>3042.74</v>
      </c>
      <c r="Y13" s="43">
        <v>2841.65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3202.376666666667</v>
      </c>
      <c r="C14" s="44">
        <f t="shared" ref="C14:Y14" si="0">AVERAGE($B$13:$V$13)</f>
        <v>3202.376666666667</v>
      </c>
      <c r="D14" s="44">
        <f t="shared" si="0"/>
        <v>3202.376666666667</v>
      </c>
      <c r="E14" s="44">
        <f t="shared" si="0"/>
        <v>3202.376666666667</v>
      </c>
      <c r="F14" s="44">
        <f t="shared" si="0"/>
        <v>3202.376666666667</v>
      </c>
      <c r="G14" s="44">
        <f t="shared" si="0"/>
        <v>3202.376666666667</v>
      </c>
      <c r="H14" s="44">
        <f t="shared" si="0"/>
        <v>3202.376666666667</v>
      </c>
      <c r="I14" s="44">
        <f t="shared" si="0"/>
        <v>3202.376666666667</v>
      </c>
      <c r="J14" s="44">
        <f t="shared" si="0"/>
        <v>3202.376666666667</v>
      </c>
      <c r="K14" s="44">
        <f t="shared" si="0"/>
        <v>3202.376666666667</v>
      </c>
      <c r="L14" s="44">
        <f t="shared" si="0"/>
        <v>3202.376666666667</v>
      </c>
      <c r="M14" s="44">
        <f t="shared" si="0"/>
        <v>3202.376666666667</v>
      </c>
      <c r="N14" s="44">
        <f t="shared" si="0"/>
        <v>3202.376666666667</v>
      </c>
      <c r="O14" s="44">
        <f t="shared" si="0"/>
        <v>3202.376666666667</v>
      </c>
      <c r="P14" s="44">
        <f t="shared" si="0"/>
        <v>3202.376666666667</v>
      </c>
      <c r="Q14" s="44">
        <f t="shared" si="0"/>
        <v>3202.376666666667</v>
      </c>
      <c r="R14" s="44">
        <f t="shared" si="0"/>
        <v>3202.376666666667</v>
      </c>
      <c r="S14" s="44">
        <f t="shared" si="0"/>
        <v>3202.376666666667</v>
      </c>
      <c r="T14" s="44">
        <f t="shared" si="0"/>
        <v>3202.376666666667</v>
      </c>
      <c r="U14" s="44">
        <f t="shared" si="0"/>
        <v>3202.376666666667</v>
      </c>
      <c r="V14" s="44">
        <f t="shared" si="0"/>
        <v>3202.376666666667</v>
      </c>
      <c r="W14" s="44">
        <f t="shared" si="0"/>
        <v>3202.376666666667</v>
      </c>
      <c r="X14" s="44">
        <f t="shared" si="0"/>
        <v>3202.376666666667</v>
      </c>
      <c r="Y14" s="44">
        <f t="shared" si="0"/>
        <v>3202.376666666667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0.95486893588407762</v>
      </c>
      <c r="C15" s="46">
        <f t="shared" ref="C15:W15" si="1">C13/C14</f>
        <v>1.067653919536844</v>
      </c>
      <c r="D15" s="46">
        <f t="shared" si="1"/>
        <v>1.0090942872637301</v>
      </c>
      <c r="E15" s="46">
        <f t="shared" si="1"/>
        <v>1.0847287379269355</v>
      </c>
      <c r="F15" s="46">
        <f t="shared" si="1"/>
        <v>1.073159205714922</v>
      </c>
      <c r="G15" s="46">
        <f t="shared" si="1"/>
        <v>1.1063345660983039</v>
      </c>
      <c r="H15" s="46">
        <f t="shared" si="1"/>
        <v>1.0566652059460004</v>
      </c>
      <c r="I15" s="46">
        <f t="shared" si="1"/>
        <v>0.96740649913137422</v>
      </c>
      <c r="J15" s="46">
        <f t="shared" si="1"/>
        <v>0.95075636532450358</v>
      </c>
      <c r="K15" s="46">
        <f t="shared" si="1"/>
        <v>0.99381188762929185</v>
      </c>
      <c r="L15" s="46">
        <f t="shared" si="1"/>
        <v>1.0902371467857725</v>
      </c>
      <c r="M15" s="46">
        <f t="shared" si="1"/>
        <v>1.0130319877008014</v>
      </c>
      <c r="N15" s="46">
        <f t="shared" si="1"/>
        <v>1.0293479946664612</v>
      </c>
      <c r="O15" s="46">
        <f t="shared" si="1"/>
        <v>1.0109741410806348</v>
      </c>
      <c r="P15" s="46">
        <f t="shared" si="1"/>
        <v>0.84723637548362507</v>
      </c>
      <c r="Q15" s="46">
        <f t="shared" si="1"/>
        <v>0.95521243076756523</v>
      </c>
      <c r="R15" s="46">
        <f t="shared" si="1"/>
        <v>0.99187894823948453</v>
      </c>
      <c r="S15" s="46">
        <f t="shared" si="1"/>
        <v>1.0273432336191972</v>
      </c>
      <c r="T15" s="46">
        <f t="shared" si="1"/>
        <v>0.91301876835225493</v>
      </c>
      <c r="U15" s="46">
        <f t="shared" si="1"/>
        <v>0.90528076543150759</v>
      </c>
      <c r="V15" s="46">
        <f t="shared" si="1"/>
        <v>0.95195859741671029</v>
      </c>
      <c r="W15" s="46">
        <f t="shared" si="1"/>
        <v>1.0562873615741641</v>
      </c>
      <c r="X15" s="46">
        <f t="shared" ref="X15:Y15" si="2">X13/X14</f>
        <v>0.95015056525726194</v>
      </c>
      <c r="Y15" s="46">
        <f t="shared" si="2"/>
        <v>0.88735657787497402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10573.675991855042</v>
      </c>
      <c r="C19" s="34">
        <f t="shared" si="3"/>
        <v>10923.151680453142</v>
      </c>
      <c r="D19" s="34">
        <f t="shared" ref="D19:W19" si="4">D4*1000000/D3</f>
        <v>11405.364075007399</v>
      </c>
      <c r="E19" s="34">
        <f t="shared" si="4"/>
        <v>11968.360721902687</v>
      </c>
      <c r="F19" s="34">
        <f t="shared" si="4"/>
        <v>12620.30644201802</v>
      </c>
      <c r="G19" s="34">
        <f t="shared" si="4"/>
        <v>13436.771877356179</v>
      </c>
      <c r="H19" s="34">
        <f t="shared" si="4"/>
        <v>14635.502304410324</v>
      </c>
      <c r="I19" s="34">
        <f t="shared" si="4"/>
        <v>16218.08470312847</v>
      </c>
      <c r="J19" s="34">
        <f t="shared" si="4"/>
        <v>17078.686336390459</v>
      </c>
      <c r="K19" s="34">
        <f t="shared" si="4"/>
        <v>16119.517004020316</v>
      </c>
      <c r="L19" s="34">
        <f t="shared" si="4"/>
        <v>17188.518848807336</v>
      </c>
      <c r="M19" s="34">
        <f t="shared" si="4"/>
        <v>17622.218179689113</v>
      </c>
      <c r="N19" s="34">
        <f t="shared" si="4"/>
        <v>17859.481315482899</v>
      </c>
      <c r="O19" s="34">
        <f t="shared" si="4"/>
        <v>17963.433528369311</v>
      </c>
      <c r="P19" s="34">
        <f t="shared" si="4"/>
        <v>18432.444887957256</v>
      </c>
      <c r="Q19" s="34">
        <f t="shared" si="4"/>
        <v>19367.35085972145</v>
      </c>
      <c r="R19" s="34">
        <f t="shared" si="4"/>
        <v>19726.777257743321</v>
      </c>
      <c r="S19" s="34">
        <f t="shared" si="4"/>
        <v>20259.977539777385</v>
      </c>
      <c r="T19" s="34">
        <f t="shared" si="4"/>
        <v>21052.684179410764</v>
      </c>
      <c r="U19" s="34">
        <f t="shared" si="4"/>
        <v>21502.998216563657</v>
      </c>
      <c r="V19" s="34">
        <f t="shared" si="4"/>
        <v>20918.51102632171</v>
      </c>
      <c r="W19" s="34">
        <f t="shared" si="4"/>
        <v>22102.960020759965</v>
      </c>
      <c r="X19" s="34">
        <f t="shared" ref="X19:Y19" si="5">X4*1000000/X3</f>
        <v>22302.106398881595</v>
      </c>
      <c r="Y19" s="34">
        <f t="shared" si="5"/>
        <v>22810.452122682174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27318.617806317736</v>
      </c>
      <c r="C20" s="36">
        <f t="shared" si="6"/>
        <v>27852.415068025592</v>
      </c>
      <c r="D20" s="36">
        <f t="shared" ref="D20:W20" si="7">D5*1000000/D6</f>
        <v>28933.012154760829</v>
      </c>
      <c r="E20" s="36">
        <f t="shared" si="7"/>
        <v>29233.627874690224</v>
      </c>
      <c r="F20" s="36">
        <f t="shared" si="7"/>
        <v>29622.324474296049</v>
      </c>
      <c r="G20" s="36">
        <f t="shared" si="7"/>
        <v>30950.444171973788</v>
      </c>
      <c r="H20" s="36">
        <f t="shared" si="7"/>
        <v>32109.524302253052</v>
      </c>
      <c r="I20" s="36">
        <f t="shared" si="7"/>
        <v>35176.666540223399</v>
      </c>
      <c r="J20" s="36">
        <f t="shared" si="7"/>
        <v>36524.691056383672</v>
      </c>
      <c r="K20" s="36">
        <f t="shared" si="7"/>
        <v>36818.887897809705</v>
      </c>
      <c r="L20" s="36">
        <f t="shared" si="7"/>
        <v>39426.42151107957</v>
      </c>
      <c r="M20" s="36">
        <f t="shared" si="7"/>
        <v>39147.215533736678</v>
      </c>
      <c r="N20" s="36">
        <f t="shared" si="7"/>
        <v>39785.340457068261</v>
      </c>
      <c r="O20" s="36">
        <f t="shared" si="7"/>
        <v>41302.530660286888</v>
      </c>
      <c r="P20" s="36">
        <f t="shared" si="7"/>
        <v>39826.48888424597</v>
      </c>
      <c r="Q20" s="36">
        <f t="shared" si="7"/>
        <v>41156.858465404548</v>
      </c>
      <c r="R20" s="36">
        <f t="shared" si="7"/>
        <v>41907.605514506191</v>
      </c>
      <c r="S20" s="36">
        <f t="shared" si="7"/>
        <v>42593.097027133415</v>
      </c>
      <c r="T20" s="36">
        <f t="shared" si="7"/>
        <v>42895.740512528027</v>
      </c>
      <c r="U20" s="36">
        <f t="shared" si="7"/>
        <v>43125.455351553544</v>
      </c>
      <c r="V20" s="36">
        <f t="shared" si="7"/>
        <v>43058.477379155709</v>
      </c>
      <c r="W20" s="36">
        <f t="shared" si="7"/>
        <v>46090.896096423596</v>
      </c>
      <c r="X20" s="36">
        <f t="shared" ref="X20:Y20" si="8">X5*1000000/X6</f>
        <v>45866.114332301753</v>
      </c>
      <c r="Y20" s="36">
        <f t="shared" si="8"/>
        <v>45981.737363015141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6364.6454883598381</v>
      </c>
      <c r="C21" s="36">
        <f t="shared" si="9"/>
        <v>6611.992020539069</v>
      </c>
      <c r="D21" s="36">
        <f t="shared" ref="D21:W21" si="10">D5*1000000/D3</f>
        <v>6940.9739714125253</v>
      </c>
      <c r="E21" s="36">
        <f t="shared" si="10"/>
        <v>7077.0438516388049</v>
      </c>
      <c r="F21" s="36">
        <f t="shared" si="10"/>
        <v>7216.4462817502281</v>
      </c>
      <c r="G21" s="36">
        <f t="shared" si="10"/>
        <v>7662.369057107212</v>
      </c>
      <c r="H21" s="36">
        <f t="shared" si="10"/>
        <v>8167.749326693991</v>
      </c>
      <c r="I21" s="36">
        <f t="shared" si="10"/>
        <v>9170.1770874765261</v>
      </c>
      <c r="J21" s="36">
        <f t="shared" si="10"/>
        <v>9765.8224800109492</v>
      </c>
      <c r="K21" s="36">
        <f t="shared" si="10"/>
        <v>9918.8111890855198</v>
      </c>
      <c r="L21" s="36">
        <f t="shared" si="10"/>
        <v>10553.628313678682</v>
      </c>
      <c r="M21" s="36">
        <f t="shared" si="10"/>
        <v>10671.960873268694</v>
      </c>
      <c r="N21" s="36">
        <f t="shared" si="10"/>
        <v>10919.998274267824</v>
      </c>
      <c r="O21" s="36">
        <f t="shared" si="10"/>
        <v>11277.360055304071</v>
      </c>
      <c r="P21" s="36">
        <f t="shared" si="10"/>
        <v>11048.351493733668</v>
      </c>
      <c r="Q21" s="36">
        <f t="shared" si="10"/>
        <v>11664.38277538022</v>
      </c>
      <c r="R21" s="36">
        <f t="shared" si="10"/>
        <v>12139.589117493355</v>
      </c>
      <c r="S21" s="36">
        <f t="shared" si="10"/>
        <v>12530.356976065097</v>
      </c>
      <c r="T21" s="36">
        <f t="shared" si="10"/>
        <v>12870.487436514402</v>
      </c>
      <c r="U21" s="36">
        <f t="shared" si="10"/>
        <v>13035.462111482935</v>
      </c>
      <c r="V21" s="36">
        <f t="shared" si="10"/>
        <v>12823.804036896794</v>
      </c>
      <c r="W21" s="36">
        <f t="shared" si="10"/>
        <v>13660.589528091274</v>
      </c>
      <c r="X21" s="36">
        <f t="shared" ref="X21:Y21" si="11">X5*1000000/X3</f>
        <v>13908.591856239409</v>
      </c>
      <c r="Y21" s="36">
        <f t="shared" si="11"/>
        <v>14043.474128314365</v>
      </c>
      <c r="DA21" s="89"/>
    </row>
    <row r="22" spans="1:105" ht="12" customHeight="1" x14ac:dyDescent="0.25">
      <c r="A22" s="51" t="s">
        <v>148</v>
      </c>
      <c r="B22" s="52">
        <v>0.3472668883262845</v>
      </c>
      <c r="C22" s="52">
        <v>0.35176569041962552</v>
      </c>
      <c r="D22" s="52">
        <v>0.36196435672237326</v>
      </c>
      <c r="E22" s="52">
        <v>0.36502718589456468</v>
      </c>
      <c r="F22" s="52">
        <v>0.36377786950638724</v>
      </c>
      <c r="G22" s="52">
        <v>0.37809855254143793</v>
      </c>
      <c r="H22" s="52">
        <v>0.39105884270032182</v>
      </c>
      <c r="I22" s="52">
        <v>0.42600092395835354</v>
      </c>
      <c r="J22" s="52">
        <v>0.44764295820029215</v>
      </c>
      <c r="K22" s="52">
        <v>0.46517696545718984</v>
      </c>
      <c r="L22" s="52">
        <v>0.48761365517094529</v>
      </c>
      <c r="M22" s="52">
        <v>0.48336841517993367</v>
      </c>
      <c r="N22" s="52">
        <v>0.49617562018360351</v>
      </c>
      <c r="O22" s="52">
        <v>0.50946448714228632</v>
      </c>
      <c r="P22" s="52">
        <v>0.49100253163595481</v>
      </c>
      <c r="Q22" s="52">
        <v>0.50990535983281293</v>
      </c>
      <c r="R22" s="52">
        <v>0.52189537615375714</v>
      </c>
      <c r="S22" s="52">
        <v>0.52459477148707245</v>
      </c>
      <c r="T22" s="52">
        <v>0.52745914730452337</v>
      </c>
      <c r="U22" s="52">
        <v>0.52428303314069435</v>
      </c>
      <c r="V22" s="52">
        <v>0.54494910262500174</v>
      </c>
      <c r="W22" s="52">
        <v>0.54699706876689402</v>
      </c>
      <c r="X22" s="52">
        <v>0.54011652401190902</v>
      </c>
      <c r="Y22" s="52">
        <v>0.54408546871637176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43.270043699499745</v>
      </c>
      <c r="C23" s="53">
        <f t="shared" si="12"/>
        <v>43.094769874587541</v>
      </c>
      <c r="D23" s="53">
        <f t="shared" ref="D23:W23" si="13">D6/D8</f>
        <v>42.494743952262475</v>
      </c>
      <c r="E23" s="53">
        <f t="shared" si="13"/>
        <v>41.792610544061802</v>
      </c>
      <c r="F23" s="53">
        <f t="shared" si="13"/>
        <v>40.957005006357541</v>
      </c>
      <c r="G23" s="53">
        <f t="shared" si="13"/>
        <v>40.189416695631465</v>
      </c>
      <c r="H23" s="53">
        <f t="shared" si="13"/>
        <v>39.493412863344012</v>
      </c>
      <c r="I23" s="53">
        <f t="shared" si="13"/>
        <v>38.346326855876839</v>
      </c>
      <c r="J23" s="53">
        <f t="shared" si="13"/>
        <v>38.093878352803763</v>
      </c>
      <c r="K23" s="53">
        <f t="shared" si="13"/>
        <v>38.490283812898568</v>
      </c>
      <c r="L23" s="53">
        <f t="shared" si="13"/>
        <v>37.479631164407728</v>
      </c>
      <c r="M23" s="53">
        <f t="shared" si="13"/>
        <v>37.812086182535722</v>
      </c>
      <c r="N23" s="53">
        <f t="shared" si="13"/>
        <v>37.779196812666804</v>
      </c>
      <c r="O23" s="53">
        <f t="shared" si="13"/>
        <v>37.304082451727311</v>
      </c>
      <c r="P23" s="53">
        <f t="shared" si="13"/>
        <v>37.581471281341258</v>
      </c>
      <c r="Q23" s="53">
        <f t="shared" si="13"/>
        <v>37.957489026344824</v>
      </c>
      <c r="R23" s="53">
        <f t="shared" si="13"/>
        <v>38.370201987235475</v>
      </c>
      <c r="S23" s="53">
        <f t="shared" si="13"/>
        <v>38.544066235646348</v>
      </c>
      <c r="T23" s="53">
        <f t="shared" si="13"/>
        <v>38.803100454019315</v>
      </c>
      <c r="U23" s="53">
        <f t="shared" si="13"/>
        <v>38.568668043298132</v>
      </c>
      <c r="V23" s="53">
        <f t="shared" si="13"/>
        <v>37.522711850112906</v>
      </c>
      <c r="W23" s="53">
        <f t="shared" si="13"/>
        <v>36.873553898349094</v>
      </c>
      <c r="X23" s="53">
        <f t="shared" ref="X23:Y23" si="14">X6/X8</f>
        <v>37.109847597591624</v>
      </c>
      <c r="Y23" s="53">
        <f t="shared" si="14"/>
        <v>36.929582155753252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4.8458578665160239</v>
      </c>
      <c r="C24" s="54">
        <f t="shared" si="15"/>
        <v>4.9577817641892388</v>
      </c>
      <c r="D24" s="54">
        <f t="shared" ref="D24:W24" si="16">D9*1000/D3</f>
        <v>5.0808229211964102</v>
      </c>
      <c r="E24" s="54">
        <f t="shared" si="16"/>
        <v>5.2132935737832815</v>
      </c>
      <c r="F24" s="54">
        <f t="shared" si="16"/>
        <v>5.3532628308981938</v>
      </c>
      <c r="G24" s="54">
        <f t="shared" si="16"/>
        <v>5.5440480598600246</v>
      </c>
      <c r="H24" s="54">
        <f t="shared" si="16"/>
        <v>5.7967740562908903</v>
      </c>
      <c r="I24" s="54">
        <f t="shared" si="16"/>
        <v>6.1184551419859554</v>
      </c>
      <c r="J24" s="54">
        <f t="shared" si="16"/>
        <v>6.3169813287367349</v>
      </c>
      <c r="K24" s="54">
        <f t="shared" si="16"/>
        <v>6.2991268281587169</v>
      </c>
      <c r="L24" s="54">
        <f t="shared" si="16"/>
        <v>6.427789341784929</v>
      </c>
      <c r="M24" s="54">
        <f t="shared" si="16"/>
        <v>6.4886629822200819</v>
      </c>
      <c r="N24" s="54">
        <f t="shared" si="16"/>
        <v>6.5386678962550668</v>
      </c>
      <c r="O24" s="54">
        <f t="shared" si="16"/>
        <v>6.5874439245366112</v>
      </c>
      <c r="P24" s="54">
        <f t="shared" si="16"/>
        <v>6.6434579892274011</v>
      </c>
      <c r="Q24" s="54">
        <f t="shared" si="16"/>
        <v>6.7199273810792208</v>
      </c>
      <c r="R24" s="54">
        <f t="shared" si="16"/>
        <v>6.794532252892922</v>
      </c>
      <c r="S24" s="54">
        <f t="shared" si="16"/>
        <v>6.8692481365459521</v>
      </c>
      <c r="T24" s="54">
        <f t="shared" si="16"/>
        <v>6.9591613665349801</v>
      </c>
      <c r="U24" s="54">
        <f t="shared" si="16"/>
        <v>7.0534339924786567</v>
      </c>
      <c r="V24" s="54">
        <f t="shared" si="16"/>
        <v>7.1434251035156002</v>
      </c>
      <c r="W24" s="54">
        <f t="shared" si="16"/>
        <v>7.2340549339295039</v>
      </c>
      <c r="X24" s="54">
        <f t="shared" ref="X24:Y24" si="17">X9*1000/X3</f>
        <v>7.3543543676791403</v>
      </c>
      <c r="Y24" s="54">
        <f t="shared" si="17"/>
        <v>7.4431590203049165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20.799609222728957</v>
      </c>
      <c r="C25" s="54">
        <f t="shared" si="18"/>
        <v>20.884204803022254</v>
      </c>
      <c r="D25" s="54">
        <f t="shared" ref="D25:W25" si="19">D9*1000/D6</f>
        <v>21.179089842523521</v>
      </c>
      <c r="E25" s="54">
        <f t="shared" si="19"/>
        <v>21.534907446165228</v>
      </c>
      <c r="F25" s="54">
        <f t="shared" si="19"/>
        <v>21.974263007275503</v>
      </c>
      <c r="G25" s="54">
        <f t="shared" si="19"/>
        <v>22.393955274743483</v>
      </c>
      <c r="H25" s="54">
        <f t="shared" si="19"/>
        <v>22.788610422558317</v>
      </c>
      <c r="I25" s="54">
        <f t="shared" si="19"/>
        <v>23.470305340655301</v>
      </c>
      <c r="J25" s="54">
        <f t="shared" si="19"/>
        <v>23.625843282868541</v>
      </c>
      <c r="K25" s="54">
        <f t="shared" si="19"/>
        <v>23.382524389139448</v>
      </c>
      <c r="L25" s="54">
        <f t="shared" si="19"/>
        <v>24.013043139407376</v>
      </c>
      <c r="M25" s="54">
        <f t="shared" si="19"/>
        <v>23.801913379105841</v>
      </c>
      <c r="N25" s="54">
        <f t="shared" si="19"/>
        <v>23.822634569569335</v>
      </c>
      <c r="O25" s="54">
        <f t="shared" si="19"/>
        <v>24.12604575289123</v>
      </c>
      <c r="P25" s="54">
        <f t="shared" si="19"/>
        <v>23.947971415553361</v>
      </c>
      <c r="Q25" s="54">
        <f t="shared" si="19"/>
        <v>23.710735959782397</v>
      </c>
      <c r="R25" s="54">
        <f t="shared" si="19"/>
        <v>23.455701387743563</v>
      </c>
      <c r="S25" s="54">
        <f t="shared" si="19"/>
        <v>23.349897608043786</v>
      </c>
      <c r="T25" s="54">
        <f t="shared" si="19"/>
        <v>23.194022886559726</v>
      </c>
      <c r="U25" s="54">
        <f t="shared" si="19"/>
        <v>23.335003401974831</v>
      </c>
      <c r="V25" s="54">
        <f t="shared" si="19"/>
        <v>23.985473214065998</v>
      </c>
      <c r="W25" s="54">
        <f t="shared" si="19"/>
        <v>24.40773684253676</v>
      </c>
      <c r="X25" s="54">
        <f t="shared" ref="X25:Y25" si="20">X9*1000/X6</f>
        <v>24.252322719277583</v>
      </c>
      <c r="Y25" s="54">
        <f t="shared" si="20"/>
        <v>24.370706286472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899.99999999999989</v>
      </c>
      <c r="C26" s="55">
        <f t="shared" si="21"/>
        <v>899.99999999999989</v>
      </c>
      <c r="D26" s="55">
        <f t="shared" ref="D26:W26" si="22">D9*1000/D8</f>
        <v>900</v>
      </c>
      <c r="E26" s="55">
        <f t="shared" si="22"/>
        <v>900</v>
      </c>
      <c r="F26" s="55">
        <f t="shared" si="22"/>
        <v>900.00000000000011</v>
      </c>
      <c r="G26" s="55">
        <f t="shared" si="22"/>
        <v>900</v>
      </c>
      <c r="H26" s="55">
        <f t="shared" si="22"/>
        <v>900</v>
      </c>
      <c r="I26" s="55">
        <f t="shared" si="22"/>
        <v>900</v>
      </c>
      <c r="J26" s="55">
        <f t="shared" si="22"/>
        <v>900</v>
      </c>
      <c r="K26" s="55">
        <f t="shared" si="22"/>
        <v>900</v>
      </c>
      <c r="L26" s="55">
        <f t="shared" si="22"/>
        <v>899.99999999999989</v>
      </c>
      <c r="M26" s="55">
        <f t="shared" si="22"/>
        <v>900.00000000000011</v>
      </c>
      <c r="N26" s="55">
        <f t="shared" si="22"/>
        <v>899.99999999999989</v>
      </c>
      <c r="O26" s="55">
        <f t="shared" si="22"/>
        <v>900</v>
      </c>
      <c r="P26" s="55">
        <f t="shared" si="22"/>
        <v>900</v>
      </c>
      <c r="Q26" s="55">
        <f t="shared" si="22"/>
        <v>900</v>
      </c>
      <c r="R26" s="55">
        <f t="shared" si="22"/>
        <v>900.00000000000011</v>
      </c>
      <c r="S26" s="55">
        <f t="shared" si="22"/>
        <v>899.99999999999989</v>
      </c>
      <c r="T26" s="55">
        <f t="shared" si="22"/>
        <v>900</v>
      </c>
      <c r="U26" s="55">
        <f t="shared" si="22"/>
        <v>899.99999999999989</v>
      </c>
      <c r="V26" s="55">
        <f t="shared" si="22"/>
        <v>900</v>
      </c>
      <c r="W26" s="55">
        <f t="shared" si="22"/>
        <v>900.00000000000011</v>
      </c>
      <c r="X26" s="55">
        <f t="shared" ref="X26:Y26" si="23">X9*1000/X8</f>
        <v>899.99999999999989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899.99999999999977</v>
      </c>
      <c r="D27" s="57">
        <f t="shared" ref="D27:W27" si="25">IF(SUM(D11)=0,"",D11*1000/D10)</f>
        <v>899.99999999999989</v>
      </c>
      <c r="E27" s="57">
        <f t="shared" si="25"/>
        <v>900</v>
      </c>
      <c r="F27" s="57">
        <f t="shared" si="25"/>
        <v>900.00000000000011</v>
      </c>
      <c r="G27" s="57">
        <f t="shared" si="25"/>
        <v>900.00000000000011</v>
      </c>
      <c r="H27" s="57">
        <f t="shared" si="25"/>
        <v>899.99999999999989</v>
      </c>
      <c r="I27" s="57">
        <f t="shared" si="25"/>
        <v>899.99999999999977</v>
      </c>
      <c r="J27" s="57">
        <f t="shared" si="25"/>
        <v>900.00000000000011</v>
      </c>
      <c r="K27" s="57">
        <f t="shared" si="25"/>
        <v>899.99999999999989</v>
      </c>
      <c r="L27" s="57">
        <f t="shared" si="25"/>
        <v>899.99999999999989</v>
      </c>
      <c r="M27" s="57">
        <f t="shared" si="25"/>
        <v>900.00000000000011</v>
      </c>
      <c r="N27" s="57">
        <f t="shared" si="25"/>
        <v>900</v>
      </c>
      <c r="O27" s="57">
        <f t="shared" si="25"/>
        <v>899.99999999999989</v>
      </c>
      <c r="P27" s="57">
        <f t="shared" si="25"/>
        <v>900</v>
      </c>
      <c r="Q27" s="57">
        <f t="shared" si="25"/>
        <v>900.00000000000011</v>
      </c>
      <c r="R27" s="57">
        <f t="shared" si="25"/>
        <v>900</v>
      </c>
      <c r="S27" s="57">
        <f t="shared" si="25"/>
        <v>900</v>
      </c>
      <c r="T27" s="57">
        <f t="shared" si="25"/>
        <v>900</v>
      </c>
      <c r="U27" s="57">
        <f t="shared" si="25"/>
        <v>900</v>
      </c>
      <c r="V27" s="57">
        <f t="shared" si="25"/>
        <v>899.99999999999989</v>
      </c>
      <c r="W27" s="57">
        <f t="shared" si="25"/>
        <v>900.00000000000011</v>
      </c>
      <c r="X27" s="57">
        <f t="shared" ref="X27:Y27" si="26">IF(SUM(X11)=0,"",X11*1000/X10)</f>
        <v>900.00000000000011</v>
      </c>
      <c r="Y27" s="57">
        <f t="shared" si="26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2199.5906276870169</v>
      </c>
      <c r="C31" s="80">
        <f t="shared" ref="C31:W31" si="27">SUM(C32:C33,C36:C37,C44:C45)</f>
        <v>1712.5139294926912</v>
      </c>
      <c r="D31" s="80">
        <f t="shared" si="27"/>
        <v>1561.0292347377472</v>
      </c>
      <c r="E31" s="80">
        <f t="shared" si="27"/>
        <v>1307.2245915735166</v>
      </c>
      <c r="F31" s="80">
        <f t="shared" si="27"/>
        <v>1447.7668099742045</v>
      </c>
      <c r="G31" s="80">
        <f t="shared" si="27"/>
        <v>1770.0000859845227</v>
      </c>
      <c r="H31" s="80">
        <f t="shared" si="27"/>
        <v>1886.6108340498711</v>
      </c>
      <c r="I31" s="80">
        <f t="shared" si="27"/>
        <v>1878.6319002579532</v>
      </c>
      <c r="J31" s="80">
        <f t="shared" si="27"/>
        <v>1945.1038693035252</v>
      </c>
      <c r="K31" s="80">
        <f t="shared" si="27"/>
        <v>1951.2084264832329</v>
      </c>
      <c r="L31" s="80">
        <f t="shared" si="27"/>
        <v>2110.3815369924687</v>
      </c>
      <c r="M31" s="80">
        <f t="shared" si="27"/>
        <v>1604.6780974988815</v>
      </c>
      <c r="N31" s="80">
        <f t="shared" si="27"/>
        <v>1454.1047217151286</v>
      </c>
      <c r="O31" s="80">
        <f t="shared" si="27"/>
        <v>1713.8063639068409</v>
      </c>
      <c r="P31" s="80">
        <f t="shared" si="27"/>
        <v>1236.5706107651713</v>
      </c>
      <c r="Q31" s="80">
        <f t="shared" si="27"/>
        <v>1301.3574358808228</v>
      </c>
      <c r="R31" s="80">
        <f t="shared" si="27"/>
        <v>1309.2718255966606</v>
      </c>
      <c r="S31" s="80">
        <f t="shared" si="27"/>
        <v>1426.2109950472459</v>
      </c>
      <c r="T31" s="80">
        <f t="shared" si="27"/>
        <v>1313.1505121875766</v>
      </c>
      <c r="U31" s="80">
        <f t="shared" si="27"/>
        <v>1210.083208235093</v>
      </c>
      <c r="V31" s="80">
        <f t="shared" si="27"/>
        <v>1092.7253447775495</v>
      </c>
      <c r="W31" s="80">
        <f t="shared" si="27"/>
        <v>1390.824139079918</v>
      </c>
      <c r="X31" s="80">
        <f t="shared" ref="X31:Y31" si="28">SUM(X32:X33,X36:X37,X44:X45)</f>
        <v>1262.3460665347495</v>
      </c>
      <c r="Y31" s="80">
        <f t="shared" si="28"/>
        <v>1119.2068678937362</v>
      </c>
      <c r="DA31" s="103" t="s">
        <v>199</v>
      </c>
    </row>
    <row r="32" spans="1:105" ht="12" customHeight="1" x14ac:dyDescent="0.25">
      <c r="A32" s="58" t="s">
        <v>29</v>
      </c>
      <c r="B32" s="59">
        <v>189.10627687016336</v>
      </c>
      <c r="C32" s="59">
        <v>153.60266552020636</v>
      </c>
      <c r="D32" s="59">
        <v>191.41762682717109</v>
      </c>
      <c r="E32" s="59">
        <v>35.702149613069651</v>
      </c>
      <c r="F32" s="59">
        <v>126.87773000859846</v>
      </c>
      <c r="G32" s="59">
        <v>30.056921754084264</v>
      </c>
      <c r="H32" s="59">
        <v>77.727343078245909</v>
      </c>
      <c r="I32" s="59">
        <v>152.47824591573513</v>
      </c>
      <c r="J32" s="59">
        <v>228.10515907136718</v>
      </c>
      <c r="K32" s="59">
        <v>491.30756663800508</v>
      </c>
      <c r="L32" s="59">
        <v>279.64032674118653</v>
      </c>
      <c r="M32" s="59">
        <v>313.70773860705071</v>
      </c>
      <c r="N32" s="59">
        <v>90.611693895098881</v>
      </c>
      <c r="O32" s="59">
        <v>168.15528804815131</v>
      </c>
      <c r="P32" s="59">
        <v>107.29656061908857</v>
      </c>
      <c r="Q32" s="59">
        <v>108.97566638005159</v>
      </c>
      <c r="R32" s="59">
        <v>57.005073086844362</v>
      </c>
      <c r="S32" s="59">
        <v>71.468787618228703</v>
      </c>
      <c r="T32" s="59">
        <v>83.057523645743757</v>
      </c>
      <c r="U32" s="59">
        <v>122.05073086844368</v>
      </c>
      <c r="V32" s="59">
        <v>47.337919174548574</v>
      </c>
      <c r="W32" s="59">
        <v>72.368271711091992</v>
      </c>
      <c r="X32" s="59">
        <v>42.087016337059325</v>
      </c>
      <c r="Y32" s="59">
        <v>34.753654342218397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12.569475494411005</v>
      </c>
      <c r="C33" s="55">
        <f t="shared" ref="C33:W33" si="29">SUM(C34:C35)</f>
        <v>66.676182287188297</v>
      </c>
      <c r="D33" s="55">
        <f t="shared" si="29"/>
        <v>68.658641444539981</v>
      </c>
      <c r="E33" s="55">
        <f t="shared" si="29"/>
        <v>51.480911435941529</v>
      </c>
      <c r="F33" s="55">
        <f t="shared" si="29"/>
        <v>72.627773000859833</v>
      </c>
      <c r="G33" s="55">
        <f t="shared" si="29"/>
        <v>62.002923473774707</v>
      </c>
      <c r="H33" s="55">
        <f t="shared" si="29"/>
        <v>45.985812553740317</v>
      </c>
      <c r="I33" s="55">
        <f t="shared" si="29"/>
        <v>9.8165090283748899</v>
      </c>
      <c r="J33" s="55">
        <f t="shared" si="29"/>
        <v>6.3055889939810825</v>
      </c>
      <c r="K33" s="55">
        <f t="shared" si="29"/>
        <v>21.862166809974198</v>
      </c>
      <c r="L33" s="55">
        <f t="shared" si="29"/>
        <v>19.77644024075666</v>
      </c>
      <c r="M33" s="55">
        <f t="shared" si="29"/>
        <v>2.1974204643164228</v>
      </c>
      <c r="N33" s="55">
        <f t="shared" si="29"/>
        <v>12.085640584694749</v>
      </c>
      <c r="O33" s="55">
        <f t="shared" si="29"/>
        <v>11.990799656061904</v>
      </c>
      <c r="P33" s="55">
        <f t="shared" si="29"/>
        <v>14.894067067927772</v>
      </c>
      <c r="Q33" s="55">
        <f t="shared" si="29"/>
        <v>13.727515047291487</v>
      </c>
      <c r="R33" s="55">
        <f t="shared" si="29"/>
        <v>10.616337059329322</v>
      </c>
      <c r="S33" s="55">
        <f t="shared" si="29"/>
        <v>6.314617368873602</v>
      </c>
      <c r="T33" s="55">
        <f t="shared" si="29"/>
        <v>6.4064488392089416</v>
      </c>
      <c r="U33" s="55">
        <f t="shared" si="29"/>
        <v>8.325193465176266</v>
      </c>
      <c r="V33" s="55">
        <f t="shared" si="29"/>
        <v>5.2130696474634561</v>
      </c>
      <c r="W33" s="55">
        <f t="shared" si="29"/>
        <v>5.2785038693035249</v>
      </c>
      <c r="X33" s="55">
        <f t="shared" ref="X33:Y33" si="30">SUM(X34:X35)</f>
        <v>8.4177128116938942</v>
      </c>
      <c r="Y33" s="55">
        <f t="shared" si="30"/>
        <v>4.2071367153912291</v>
      </c>
      <c r="DA33" s="101"/>
    </row>
    <row r="34" spans="1:105" ht="12" customHeight="1" x14ac:dyDescent="0.25">
      <c r="A34" s="61" t="s">
        <v>52</v>
      </c>
      <c r="B34" s="55">
        <v>6.5935511607910584</v>
      </c>
      <c r="C34" s="55">
        <v>17.579019776440241</v>
      </c>
      <c r="D34" s="55">
        <v>37.355546001719688</v>
      </c>
      <c r="E34" s="55">
        <v>40.651590713671538</v>
      </c>
      <c r="F34" s="55">
        <v>45.0463456577816</v>
      </c>
      <c r="G34" s="55">
        <v>31.862080825451411</v>
      </c>
      <c r="H34" s="55">
        <v>27.467239896818569</v>
      </c>
      <c r="I34" s="55">
        <v>8.7895098882201186</v>
      </c>
      <c r="J34" s="55">
        <v>2.1974204643164228</v>
      </c>
      <c r="K34" s="55">
        <v>10.98693035253654</v>
      </c>
      <c r="L34" s="55">
        <v>19.77644024075666</v>
      </c>
      <c r="M34" s="55">
        <v>2.1974204643164228</v>
      </c>
      <c r="N34" s="55">
        <v>12.085640584694749</v>
      </c>
      <c r="O34" s="55">
        <v>10.98693035253654</v>
      </c>
      <c r="P34" s="55">
        <v>9.8882201203783318</v>
      </c>
      <c r="Q34" s="55">
        <v>7.690799656061909</v>
      </c>
      <c r="R34" s="55">
        <v>6.592175408426483</v>
      </c>
      <c r="S34" s="55">
        <v>3.2960447119518479</v>
      </c>
      <c r="T34" s="55">
        <v>4.3947549441100593</v>
      </c>
      <c r="U34" s="55">
        <v>3.2960447119518479</v>
      </c>
      <c r="V34" s="55">
        <v>2.1974204643164228</v>
      </c>
      <c r="W34" s="55">
        <v>2.1974204643164228</v>
      </c>
      <c r="X34" s="55">
        <v>4.3947549441100593</v>
      </c>
      <c r="Y34" s="55">
        <v>2.1974204643164228</v>
      </c>
      <c r="DA34" s="101" t="s">
        <v>201</v>
      </c>
    </row>
    <row r="35" spans="1:105" ht="12" customHeight="1" x14ac:dyDescent="0.25">
      <c r="A35" s="61" t="s">
        <v>163</v>
      </c>
      <c r="B35" s="55">
        <v>5.9759243336199468</v>
      </c>
      <c r="C35" s="55">
        <v>49.097162510748056</v>
      </c>
      <c r="D35" s="55">
        <v>31.303095442820293</v>
      </c>
      <c r="E35" s="55">
        <v>10.829320722269991</v>
      </c>
      <c r="F35" s="55">
        <v>27.581427343078232</v>
      </c>
      <c r="G35" s="55">
        <v>30.140842648323297</v>
      </c>
      <c r="H35" s="55">
        <v>18.518572656921748</v>
      </c>
      <c r="I35" s="55">
        <v>1.0269991401547713</v>
      </c>
      <c r="J35" s="55">
        <v>4.1081685296646597</v>
      </c>
      <c r="K35" s="55">
        <v>10.875236457437659</v>
      </c>
      <c r="L35" s="55">
        <v>0</v>
      </c>
      <c r="M35" s="55">
        <v>0</v>
      </c>
      <c r="N35" s="55">
        <v>0</v>
      </c>
      <c r="O35" s="55">
        <v>1.0038693035253647</v>
      </c>
      <c r="P35" s="55">
        <v>5.0058469475494398</v>
      </c>
      <c r="Q35" s="55">
        <v>6.0367153912295777</v>
      </c>
      <c r="R35" s="55">
        <v>4.0241616509028386</v>
      </c>
      <c r="S35" s="55">
        <v>3.0185726569217541</v>
      </c>
      <c r="T35" s="55">
        <v>2.0116938950988823</v>
      </c>
      <c r="U35" s="55">
        <v>5.0291487532244181</v>
      </c>
      <c r="V35" s="55">
        <v>3.0156491831470333</v>
      </c>
      <c r="W35" s="55">
        <v>3.0810834049871021</v>
      </c>
      <c r="X35" s="55">
        <v>4.0229578675838349</v>
      </c>
      <c r="Y35" s="55">
        <v>2.0097162510748063</v>
      </c>
      <c r="DA35" s="101" t="s">
        <v>202</v>
      </c>
    </row>
    <row r="36" spans="1:105" ht="12" customHeight="1" x14ac:dyDescent="0.25">
      <c r="A36" s="60" t="s">
        <v>149</v>
      </c>
      <c r="B36" s="55">
        <v>1360.081685296647</v>
      </c>
      <c r="C36" s="55">
        <v>679.17024935511608</v>
      </c>
      <c r="D36" s="55">
        <v>448.68873602751501</v>
      </c>
      <c r="E36" s="55">
        <v>470.48581255374029</v>
      </c>
      <c r="F36" s="55">
        <v>324.20464316423039</v>
      </c>
      <c r="G36" s="55">
        <v>900.55889939810822</v>
      </c>
      <c r="H36" s="55">
        <v>996.17368873602743</v>
      </c>
      <c r="I36" s="55">
        <v>923.68873602751501</v>
      </c>
      <c r="J36" s="55">
        <v>907.80309544282022</v>
      </c>
      <c r="K36" s="55">
        <v>572.87188306104895</v>
      </c>
      <c r="L36" s="55">
        <v>842.97076526225271</v>
      </c>
      <c r="M36" s="55">
        <v>356.79277730008602</v>
      </c>
      <c r="N36" s="55">
        <v>644.23903697334481</v>
      </c>
      <c r="O36" s="55">
        <v>771.94754944110059</v>
      </c>
      <c r="P36" s="55">
        <v>493.40068787618219</v>
      </c>
      <c r="Q36" s="55">
        <v>526.09630266552017</v>
      </c>
      <c r="R36" s="55">
        <v>532.84608770421323</v>
      </c>
      <c r="S36" s="55">
        <v>571.45313843508166</v>
      </c>
      <c r="T36" s="55">
        <v>489.47850386930349</v>
      </c>
      <c r="U36" s="55">
        <v>399.12209802235589</v>
      </c>
      <c r="V36" s="55">
        <v>355.61453138435081</v>
      </c>
      <c r="W36" s="55">
        <v>550.96414445399819</v>
      </c>
      <c r="X36" s="55">
        <v>517.88331900257947</v>
      </c>
      <c r="Y36" s="55">
        <v>430.11607910576089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0.14333619948409279</v>
      </c>
      <c r="C37" s="55">
        <f t="shared" ref="C37:W37" si="31">SUM(C38:C42)</f>
        <v>20.325709372312978</v>
      </c>
      <c r="D37" s="55">
        <f t="shared" si="31"/>
        <v>6.7593293207222702</v>
      </c>
      <c r="E37" s="55">
        <f t="shared" si="31"/>
        <v>5.923387790197765</v>
      </c>
      <c r="F37" s="55">
        <f t="shared" si="31"/>
        <v>8.5030094582975053</v>
      </c>
      <c r="G37" s="55">
        <f t="shared" si="31"/>
        <v>2.2929492691315563</v>
      </c>
      <c r="H37" s="55">
        <f t="shared" si="31"/>
        <v>6.3533104041272548</v>
      </c>
      <c r="I37" s="55">
        <f t="shared" si="31"/>
        <v>3.7260533104041267</v>
      </c>
      <c r="J37" s="55">
        <f t="shared" si="31"/>
        <v>15.644368013757521</v>
      </c>
      <c r="K37" s="55">
        <f t="shared" si="31"/>
        <v>25.890971625107476</v>
      </c>
      <c r="L37" s="55">
        <f t="shared" si="31"/>
        <v>23.502493551160789</v>
      </c>
      <c r="M37" s="55">
        <f t="shared" si="31"/>
        <v>20.397334479793635</v>
      </c>
      <c r="N37" s="55">
        <f t="shared" si="31"/>
        <v>26.559673258813412</v>
      </c>
      <c r="O37" s="55">
        <f t="shared" si="31"/>
        <v>12.849871023215821</v>
      </c>
      <c r="P37" s="55">
        <f t="shared" si="31"/>
        <v>30.548409286328464</v>
      </c>
      <c r="Q37" s="55">
        <f t="shared" si="31"/>
        <v>31.575494411006012</v>
      </c>
      <c r="R37" s="55">
        <f t="shared" si="31"/>
        <v>17.746173688736025</v>
      </c>
      <c r="S37" s="55">
        <f t="shared" si="31"/>
        <v>34.799828030954416</v>
      </c>
      <c r="T37" s="55">
        <f t="shared" si="31"/>
        <v>34.919346517626813</v>
      </c>
      <c r="U37" s="55">
        <f t="shared" si="31"/>
        <v>37.116509028374892</v>
      </c>
      <c r="V37" s="55">
        <f t="shared" si="31"/>
        <v>40.173860705073075</v>
      </c>
      <c r="W37" s="55">
        <f t="shared" si="31"/>
        <v>43.852106620808257</v>
      </c>
      <c r="X37" s="55">
        <f t="shared" ref="X37:Y37" si="32">SUM(X38:X42)</f>
        <v>32.292003439380913</v>
      </c>
      <c r="Y37" s="55">
        <f t="shared" si="32"/>
        <v>40.436543422184009</v>
      </c>
      <c r="DA37" s="101"/>
    </row>
    <row r="38" spans="1:105" ht="12" customHeight="1" x14ac:dyDescent="0.25">
      <c r="A38" s="61" t="s">
        <v>164</v>
      </c>
      <c r="B38" s="55">
        <v>0.14333619948409279</v>
      </c>
      <c r="C38" s="55">
        <v>14.784522785898536</v>
      </c>
      <c r="D38" s="55">
        <v>3.6065348237317281</v>
      </c>
      <c r="E38" s="55">
        <v>3.4871883061049007</v>
      </c>
      <c r="F38" s="55">
        <v>3.0572656921754078</v>
      </c>
      <c r="G38" s="55">
        <v>0.85984522785898565</v>
      </c>
      <c r="H38" s="55">
        <v>0.8359415305245057</v>
      </c>
      <c r="I38" s="55">
        <v>0.740412725709372</v>
      </c>
      <c r="J38" s="55">
        <v>11.798968185726567</v>
      </c>
      <c r="K38" s="55">
        <v>16.719260533104041</v>
      </c>
      <c r="L38" s="55">
        <v>17.483576956147889</v>
      </c>
      <c r="M38" s="55">
        <v>10.126999140154771</v>
      </c>
      <c r="N38" s="55">
        <v>13.279793637145314</v>
      </c>
      <c r="O38" s="55">
        <v>8.359587274290627</v>
      </c>
      <c r="P38" s="55">
        <v>25.126655202063635</v>
      </c>
      <c r="Q38" s="55">
        <v>15.525021496130687</v>
      </c>
      <c r="R38" s="55">
        <v>6.2099742046431636</v>
      </c>
      <c r="S38" s="55">
        <v>24.433877901977635</v>
      </c>
      <c r="T38" s="55">
        <v>24.983319002579528</v>
      </c>
      <c r="U38" s="55">
        <v>28.685296646603611</v>
      </c>
      <c r="V38" s="55">
        <v>32.769647463456572</v>
      </c>
      <c r="W38" s="55">
        <v>36.471797076526229</v>
      </c>
      <c r="X38" s="55">
        <v>25.054944110060188</v>
      </c>
      <c r="Y38" s="55">
        <v>31.002149613069648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4.8963026655202064</v>
      </c>
      <c r="D39" s="55">
        <v>2.507910576096303</v>
      </c>
      <c r="E39" s="55">
        <v>1.7196904557179711</v>
      </c>
      <c r="F39" s="55">
        <v>4.7530524505588989</v>
      </c>
      <c r="G39" s="55">
        <v>0.57325881341358553</v>
      </c>
      <c r="H39" s="55">
        <v>4.3947549441100593</v>
      </c>
      <c r="I39" s="55">
        <v>1.863026655202064</v>
      </c>
      <c r="J39" s="55">
        <v>2.6750644883920889</v>
      </c>
      <c r="K39" s="55">
        <v>8.0251934651762671</v>
      </c>
      <c r="L39" s="55">
        <v>4.4186586414445399</v>
      </c>
      <c r="M39" s="55">
        <v>8.7656061908856397</v>
      </c>
      <c r="N39" s="55">
        <v>11.96620808254514</v>
      </c>
      <c r="O39" s="55">
        <v>3.3199484092863281</v>
      </c>
      <c r="P39" s="55">
        <v>3.6304385210662078</v>
      </c>
      <c r="Q39" s="55">
        <v>14.545743766122101</v>
      </c>
      <c r="R39" s="55">
        <v>9.8643164230438511</v>
      </c>
      <c r="S39" s="55">
        <v>8.9328460877042115</v>
      </c>
      <c r="T39" s="55">
        <v>8.5506448839208939</v>
      </c>
      <c r="U39" s="55">
        <v>7.0459157351676698</v>
      </c>
      <c r="V39" s="55">
        <v>6.6638005159071358</v>
      </c>
      <c r="W39" s="55">
        <v>6.6159931212381773</v>
      </c>
      <c r="X39" s="55">
        <v>6.3294067067927768</v>
      </c>
      <c r="Y39" s="55">
        <v>7.5236457437661217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2.3903697334479789E-2</v>
      </c>
      <c r="H41" s="55">
        <v>2.3903697334479789E-2</v>
      </c>
      <c r="I41" s="55">
        <v>2.3903697334479789E-2</v>
      </c>
      <c r="J41" s="55">
        <v>2.3903697334479789E-2</v>
      </c>
      <c r="K41" s="55">
        <v>2.3903697334479789E-2</v>
      </c>
      <c r="L41" s="55">
        <v>0.45382631126397238</v>
      </c>
      <c r="M41" s="55">
        <v>0.5493551160791057</v>
      </c>
      <c r="N41" s="55">
        <v>0.5493551160791057</v>
      </c>
      <c r="O41" s="55">
        <v>0.28658641444539978</v>
      </c>
      <c r="P41" s="55">
        <v>1.146431642304385</v>
      </c>
      <c r="Q41" s="55">
        <v>0.81203783319002576</v>
      </c>
      <c r="R41" s="55">
        <v>0.85984522785898532</v>
      </c>
      <c r="S41" s="55">
        <v>0.64488392089423896</v>
      </c>
      <c r="T41" s="55">
        <v>0.69269131556319852</v>
      </c>
      <c r="U41" s="55">
        <v>0.7165090283748925</v>
      </c>
      <c r="V41" s="55">
        <v>0.74041272570937233</v>
      </c>
      <c r="W41" s="55">
        <v>0.76431642304385194</v>
      </c>
      <c r="X41" s="55">
        <v>0.90765262252794487</v>
      </c>
      <c r="Y41" s="55">
        <v>1.9107480653482369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0.64488392089423896</v>
      </c>
      <c r="D42" s="55">
        <v>0.64488392089423896</v>
      </c>
      <c r="E42" s="55">
        <v>0.7165090283748925</v>
      </c>
      <c r="F42" s="55">
        <v>0.69269131556319852</v>
      </c>
      <c r="G42" s="55">
        <v>0.83594153052450548</v>
      </c>
      <c r="H42" s="55">
        <v>1.098710232158211</v>
      </c>
      <c r="I42" s="55">
        <v>1.098710232158211</v>
      </c>
      <c r="J42" s="55">
        <v>1.146431642304385</v>
      </c>
      <c r="K42" s="55">
        <v>1.1226139294926909</v>
      </c>
      <c r="L42" s="55">
        <v>1.146431642304385</v>
      </c>
      <c r="M42" s="55">
        <v>0.95537403267411869</v>
      </c>
      <c r="N42" s="55">
        <v>0.76431642304385194</v>
      </c>
      <c r="O42" s="55">
        <v>0.88374892519346515</v>
      </c>
      <c r="P42" s="55">
        <v>0.64488392089423896</v>
      </c>
      <c r="Q42" s="55">
        <v>0.69269131556319852</v>
      </c>
      <c r="R42" s="55">
        <v>0.81203783319002576</v>
      </c>
      <c r="S42" s="55">
        <v>0.78822012037833178</v>
      </c>
      <c r="T42" s="55">
        <v>0.69269131556319852</v>
      </c>
      <c r="U42" s="55">
        <v>0.66878761822871879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5.8575391223128683E-3</v>
      </c>
      <c r="C43" s="309">
        <v>4.7225799331088864E-2</v>
      </c>
      <c r="D43" s="55">
        <v>9.2295814265042797E-2</v>
      </c>
      <c r="E43" s="55">
        <v>0.11987455905777442</v>
      </c>
      <c r="F43" s="55">
        <v>0.19529144832084847</v>
      </c>
      <c r="G43" s="55">
        <v>0.21911998070678756</v>
      </c>
      <c r="H43" s="55">
        <v>0.2496631734955965</v>
      </c>
      <c r="I43" s="55">
        <v>0.38704091558840886</v>
      </c>
      <c r="J43" s="55">
        <v>0.45463850204847078</v>
      </c>
      <c r="K43" s="55">
        <v>0.75059860755608798</v>
      </c>
      <c r="L43" s="55">
        <v>1.2762478879237666</v>
      </c>
      <c r="M43" s="55">
        <v>2.3245224417612054</v>
      </c>
      <c r="N43" s="55">
        <v>3.1087558995726066</v>
      </c>
      <c r="O43" s="55">
        <v>3.697682376800238</v>
      </c>
      <c r="P43" s="55">
        <v>4.4563765099332073</v>
      </c>
      <c r="Q43" s="55">
        <v>9.4072839084759181</v>
      </c>
      <c r="R43" s="55">
        <v>9.6736342032992599</v>
      </c>
      <c r="S43" s="55">
        <v>10.192314297612942</v>
      </c>
      <c r="T43" s="55">
        <v>10.726973308265929</v>
      </c>
      <c r="U43" s="55">
        <v>10.233104041272588</v>
      </c>
      <c r="V43" s="55">
        <v>13.267411865864144</v>
      </c>
      <c r="W43" s="55">
        <v>16.036113499570074</v>
      </c>
      <c r="X43" s="55">
        <v>20.055889939810818</v>
      </c>
      <c r="Y43" s="55">
        <v>23.483233018056737</v>
      </c>
      <c r="DA43" s="101" t="s">
        <v>209</v>
      </c>
    </row>
    <row r="44" spans="1:105" ht="12" customHeight="1" x14ac:dyDescent="0.25">
      <c r="A44" s="60" t="s">
        <v>162</v>
      </c>
      <c r="B44" s="55">
        <v>184.72338779019779</v>
      </c>
      <c r="C44" s="55">
        <v>162.1286328460877</v>
      </c>
      <c r="D44" s="55">
        <v>206.5539122957868</v>
      </c>
      <c r="E44" s="55">
        <v>180.51969045571789</v>
      </c>
      <c r="F44" s="55">
        <v>276.34471195184858</v>
      </c>
      <c r="G44" s="55">
        <v>239.49079965606191</v>
      </c>
      <c r="H44" s="55">
        <v>215.48675838349101</v>
      </c>
      <c r="I44" s="55">
        <v>194.25339638865</v>
      </c>
      <c r="J44" s="55">
        <v>197.04789337919169</v>
      </c>
      <c r="K44" s="55">
        <v>223.79862424763539</v>
      </c>
      <c r="L44" s="55">
        <v>250.42992261392951</v>
      </c>
      <c r="M44" s="55">
        <v>200.79776440240749</v>
      </c>
      <c r="N44" s="55">
        <v>123.1489251934652</v>
      </c>
      <c r="O44" s="55">
        <v>96.5176268271711</v>
      </c>
      <c r="P44" s="55">
        <v>58.80386930352536</v>
      </c>
      <c r="Q44" s="55">
        <v>28.804815133276009</v>
      </c>
      <c r="R44" s="55">
        <v>92.863284608770414</v>
      </c>
      <c r="S44" s="55">
        <v>82.855631986242471</v>
      </c>
      <c r="T44" s="55">
        <v>80.228374892519341</v>
      </c>
      <c r="U44" s="55">
        <v>73.516766981943249</v>
      </c>
      <c r="V44" s="55">
        <v>72.370335339638856</v>
      </c>
      <c r="W44" s="55">
        <v>104.3040412725709</v>
      </c>
      <c r="X44" s="55">
        <v>132.15339638865001</v>
      </c>
      <c r="Y44" s="55">
        <v>126.7793637145314</v>
      </c>
      <c r="DA44" s="101" t="s">
        <v>210</v>
      </c>
    </row>
    <row r="45" spans="1:105" ht="12" customHeight="1" x14ac:dyDescent="0.25">
      <c r="A45" s="62" t="s">
        <v>24</v>
      </c>
      <c r="B45" s="63">
        <v>452.96646603611339</v>
      </c>
      <c r="C45" s="63">
        <v>630.61049011177977</v>
      </c>
      <c r="D45" s="63">
        <v>638.95098882201194</v>
      </c>
      <c r="E45" s="63">
        <v>563.11263972484949</v>
      </c>
      <c r="F45" s="63">
        <v>639.20894239036966</v>
      </c>
      <c r="G45" s="63">
        <v>535.59759243336191</v>
      </c>
      <c r="H45" s="63">
        <v>544.88392089423905</v>
      </c>
      <c r="I45" s="63">
        <v>594.66895958727423</v>
      </c>
      <c r="J45" s="63">
        <v>590.19776440240753</v>
      </c>
      <c r="K45" s="63">
        <v>615.47721410146164</v>
      </c>
      <c r="L45" s="63">
        <v>694.0615885831827</v>
      </c>
      <c r="M45" s="63">
        <v>710.78506224522721</v>
      </c>
      <c r="N45" s="63">
        <v>557.45975180971141</v>
      </c>
      <c r="O45" s="63">
        <v>652.34522891114045</v>
      </c>
      <c r="P45" s="63">
        <v>531.62701661211884</v>
      </c>
      <c r="Q45" s="63">
        <v>592.17764224367738</v>
      </c>
      <c r="R45" s="63">
        <v>598.19486944876724</v>
      </c>
      <c r="S45" s="63">
        <v>659.3189916078652</v>
      </c>
      <c r="T45" s="63">
        <v>619.06031442317419</v>
      </c>
      <c r="U45" s="63">
        <v>569.95190986879902</v>
      </c>
      <c r="V45" s="63">
        <v>572.01562852647476</v>
      </c>
      <c r="W45" s="63">
        <v>614.05707115214523</v>
      </c>
      <c r="X45" s="63">
        <v>529.51261855538598</v>
      </c>
      <c r="Y45" s="63">
        <v>482.91409059365026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2199.5906276870173</v>
      </c>
      <c r="C47" s="82">
        <f t="shared" ref="C47:W47" si="34">SUM(C48,C53)</f>
        <v>1712.5139294926912</v>
      </c>
      <c r="D47" s="82">
        <f t="shared" si="34"/>
        <v>1561.0292347377469</v>
      </c>
      <c r="E47" s="82">
        <f t="shared" si="34"/>
        <v>1307.2245915735166</v>
      </c>
      <c r="F47" s="82">
        <f t="shared" si="34"/>
        <v>1447.7668099742048</v>
      </c>
      <c r="G47" s="82">
        <f t="shared" si="34"/>
        <v>1770.0000859845229</v>
      </c>
      <c r="H47" s="82">
        <f t="shared" si="34"/>
        <v>1886.6108340498706</v>
      </c>
      <c r="I47" s="82">
        <f t="shared" si="34"/>
        <v>1878.6319002579535</v>
      </c>
      <c r="J47" s="82">
        <f t="shared" si="34"/>
        <v>1945.1038693035248</v>
      </c>
      <c r="K47" s="82">
        <f t="shared" si="34"/>
        <v>1951.2084264832326</v>
      </c>
      <c r="L47" s="82">
        <f t="shared" si="34"/>
        <v>2110.3815369924691</v>
      </c>
      <c r="M47" s="82">
        <f t="shared" si="34"/>
        <v>1604.6780974988817</v>
      </c>
      <c r="N47" s="82">
        <f t="shared" si="34"/>
        <v>1454.1047217151286</v>
      </c>
      <c r="O47" s="82">
        <f t="shared" si="34"/>
        <v>1713.8063639068412</v>
      </c>
      <c r="P47" s="82">
        <f t="shared" si="34"/>
        <v>1236.5706107651713</v>
      </c>
      <c r="Q47" s="82">
        <f t="shared" si="34"/>
        <v>1301.3574358808221</v>
      </c>
      <c r="R47" s="82">
        <f t="shared" si="34"/>
        <v>1309.2718255966606</v>
      </c>
      <c r="S47" s="82">
        <f t="shared" si="34"/>
        <v>1426.2109950472459</v>
      </c>
      <c r="T47" s="82">
        <f t="shared" si="34"/>
        <v>1313.1505121875766</v>
      </c>
      <c r="U47" s="82">
        <f t="shared" si="34"/>
        <v>1210.083208235093</v>
      </c>
      <c r="V47" s="82">
        <f t="shared" si="34"/>
        <v>1092.7253447775495</v>
      </c>
      <c r="W47" s="82">
        <f t="shared" si="34"/>
        <v>1390.8241390799174</v>
      </c>
      <c r="X47" s="82">
        <f t="shared" ref="X47:Y47" si="35">SUM(X48,X53)</f>
        <v>1262.3460665347491</v>
      </c>
      <c r="Y47" s="82">
        <f t="shared" si="35"/>
        <v>1119.2068678937364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2043.037785429153</v>
      </c>
      <c r="C48" s="64">
        <f t="shared" ref="C48:W48" si="37">SUM(C49:C52)</f>
        <v>1549.5975034975775</v>
      </c>
      <c r="D48" s="64">
        <f t="shared" si="37"/>
        <v>1391.7395492485189</v>
      </c>
      <c r="E48" s="64">
        <f t="shared" si="37"/>
        <v>1131.1679589652483</v>
      </c>
      <c r="F48" s="64">
        <f t="shared" si="37"/>
        <v>1264.4752467903136</v>
      </c>
      <c r="G48" s="64">
        <f t="shared" si="37"/>
        <v>1578.1241043281354</v>
      </c>
      <c r="H48" s="64">
        <f t="shared" si="37"/>
        <v>1685.7896115362753</v>
      </c>
      <c r="I48" s="64">
        <f t="shared" si="37"/>
        <v>1666.2306217649202</v>
      </c>
      <c r="J48" s="64">
        <f t="shared" si="37"/>
        <v>1724.6940713177346</v>
      </c>
      <c r="K48" s="64">
        <f t="shared" si="37"/>
        <v>1727.1470210497539</v>
      </c>
      <c r="L48" s="64">
        <f t="shared" si="37"/>
        <v>1881.3655582384845</v>
      </c>
      <c r="M48" s="64">
        <f t="shared" si="37"/>
        <v>1373.547568522991</v>
      </c>
      <c r="N48" s="64">
        <f t="shared" si="37"/>
        <v>1220.0698229436125</v>
      </c>
      <c r="O48" s="64">
        <f t="shared" si="37"/>
        <v>1476.9693429674667</v>
      </c>
      <c r="P48" s="64">
        <f t="shared" si="37"/>
        <v>994.99971369209834</v>
      </c>
      <c r="Q48" s="64">
        <f t="shared" si="37"/>
        <v>1052.6336482119038</v>
      </c>
      <c r="R48" s="64">
        <f t="shared" si="37"/>
        <v>1058.6691671710396</v>
      </c>
      <c r="S48" s="64">
        <f t="shared" si="37"/>
        <v>1169.0885511957433</v>
      </c>
      <c r="T48" s="64">
        <f t="shared" si="37"/>
        <v>1055.247881628391</v>
      </c>
      <c r="U48" s="64">
        <f t="shared" si="37"/>
        <v>952.90791549327162</v>
      </c>
      <c r="V48" s="64">
        <f t="shared" si="37"/>
        <v>836.67703964062719</v>
      </c>
      <c r="W48" s="64">
        <f t="shared" si="37"/>
        <v>1126.0288514873509</v>
      </c>
      <c r="X48" s="64">
        <f t="shared" ref="X48:Y48" si="38">SUM(X49:X52)</f>
        <v>1007.3076330660742</v>
      </c>
      <c r="Y48" s="64">
        <f t="shared" si="38"/>
        <v>870.84569254559926</v>
      </c>
      <c r="DA48" s="108" t="s">
        <v>213</v>
      </c>
    </row>
    <row r="49" spans="1:105" ht="12" customHeight="1" x14ac:dyDescent="0.25">
      <c r="A49" s="61" t="s">
        <v>32</v>
      </c>
      <c r="B49" s="65">
        <v>1846.9430305320334</v>
      </c>
      <c r="C49" s="65">
        <v>1347.6142951804597</v>
      </c>
      <c r="D49" s="65">
        <v>1176.2343818054997</v>
      </c>
      <c r="E49" s="65">
        <v>909.70831120997661</v>
      </c>
      <c r="F49" s="65">
        <v>1039.1370248008693</v>
      </c>
      <c r="G49" s="65">
        <v>1340.7277219353389</v>
      </c>
      <c r="H49" s="65">
        <v>1438.2887677280144</v>
      </c>
      <c r="I49" s="65">
        <v>1414.7025394144812</v>
      </c>
      <c r="J49" s="65">
        <v>1471.479761342523</v>
      </c>
      <c r="K49" s="65">
        <v>1466.4105849440737</v>
      </c>
      <c r="L49" s="65">
        <v>1614.7885496927629</v>
      </c>
      <c r="M49" s="65">
        <v>1113.3867526674319</v>
      </c>
      <c r="N49" s="65">
        <v>951.58062217106033</v>
      </c>
      <c r="O49" s="65">
        <v>1204.4086841713611</v>
      </c>
      <c r="P49" s="65">
        <v>721.57470498672672</v>
      </c>
      <c r="Q49" s="65">
        <v>774.20606500060785</v>
      </c>
      <c r="R49" s="65">
        <v>783.20559180195767</v>
      </c>
      <c r="S49" s="65">
        <v>894.72248039152782</v>
      </c>
      <c r="T49" s="65">
        <v>786.64060538918648</v>
      </c>
      <c r="U49" s="65">
        <v>690.61442340414351</v>
      </c>
      <c r="V49" s="65">
        <v>600.89760163085396</v>
      </c>
      <c r="W49" s="65">
        <v>858.51911184745325</v>
      </c>
      <c r="X49" s="65">
        <v>739.34543967336242</v>
      </c>
      <c r="Y49" s="65">
        <v>606.71731847516901</v>
      </c>
      <c r="DA49" s="109" t="s">
        <v>214</v>
      </c>
    </row>
    <row r="50" spans="1:105" ht="12" customHeight="1" x14ac:dyDescent="0.25">
      <c r="A50" s="61" t="s">
        <v>31</v>
      </c>
      <c r="B50" s="65">
        <v>5.2453154714416552</v>
      </c>
      <c r="C50" s="65">
        <v>5.3217437914965666</v>
      </c>
      <c r="D50" s="65">
        <v>5.7008067258217157</v>
      </c>
      <c r="E50" s="65">
        <v>5.8863607085073673</v>
      </c>
      <c r="F50" s="65">
        <v>5.8193735449137431</v>
      </c>
      <c r="G50" s="65">
        <v>5.9596915759041158</v>
      </c>
      <c r="H50" s="65">
        <v>6.2646498122156142</v>
      </c>
      <c r="I50" s="65">
        <v>6.7996966287868528</v>
      </c>
      <c r="J50" s="65">
        <v>6.5167527574709609</v>
      </c>
      <c r="K50" s="65">
        <v>6.6731827834103115</v>
      </c>
      <c r="L50" s="65">
        <v>7.0923877412175589</v>
      </c>
      <c r="M50" s="65">
        <v>6.8351401230730913</v>
      </c>
      <c r="N50" s="65">
        <v>7.5219175423901001</v>
      </c>
      <c r="O50" s="65">
        <v>7.1960468902009573</v>
      </c>
      <c r="P50" s="65">
        <v>6.595265068181785</v>
      </c>
      <c r="Q50" s="65">
        <v>7.7002279179552451</v>
      </c>
      <c r="R50" s="65">
        <v>6.4790478484413754</v>
      </c>
      <c r="S50" s="65">
        <v>6.8711734072914474</v>
      </c>
      <c r="T50" s="65">
        <v>6.754434444572504</v>
      </c>
      <c r="U50" s="65">
        <v>7.0243790975701232</v>
      </c>
      <c r="V50" s="65">
        <v>6.2528436297551879</v>
      </c>
      <c r="W50" s="65">
        <v>6.8159977631767639</v>
      </c>
      <c r="X50" s="65">
        <v>7.0866803276002166</v>
      </c>
      <c r="Y50" s="65">
        <v>6.8131853391491752</v>
      </c>
      <c r="DA50" s="109" t="s">
        <v>215</v>
      </c>
    </row>
    <row r="51" spans="1:105" ht="12" customHeight="1" x14ac:dyDescent="0.25">
      <c r="A51" s="61" t="s">
        <v>35</v>
      </c>
      <c r="B51" s="65">
        <v>101.27474173281979</v>
      </c>
      <c r="C51" s="65">
        <v>102.87301073153546</v>
      </c>
      <c r="D51" s="65">
        <v>105.7115744735475</v>
      </c>
      <c r="E51" s="65">
        <v>108.23550374943041</v>
      </c>
      <c r="F51" s="65">
        <v>109.86776896288228</v>
      </c>
      <c r="G51" s="65">
        <v>116.54676141463985</v>
      </c>
      <c r="H51" s="65">
        <v>122.96471801643369</v>
      </c>
      <c r="I51" s="65">
        <v>128.09639530411377</v>
      </c>
      <c r="J51" s="65">
        <v>130.86338552509233</v>
      </c>
      <c r="K51" s="65">
        <v>134.10107428447273</v>
      </c>
      <c r="L51" s="65">
        <v>137.36691830394565</v>
      </c>
      <c r="M51" s="65">
        <v>137.26448655182571</v>
      </c>
      <c r="N51" s="65">
        <v>140.2143021422938</v>
      </c>
      <c r="O51" s="65">
        <v>141.63944264166918</v>
      </c>
      <c r="P51" s="65">
        <v>143.13323153662492</v>
      </c>
      <c r="Q51" s="65">
        <v>144.49527248755584</v>
      </c>
      <c r="R51" s="65">
        <v>143.4476632354058</v>
      </c>
      <c r="S51" s="65">
        <v>144.07084924202636</v>
      </c>
      <c r="T51" s="65">
        <v>140.81449926242948</v>
      </c>
      <c r="U51" s="65">
        <v>138.72783396270233</v>
      </c>
      <c r="V51" s="65">
        <v>123.119116112003</v>
      </c>
      <c r="W51" s="65">
        <v>135.86365512253235</v>
      </c>
      <c r="X51" s="65">
        <v>136.71826311201389</v>
      </c>
      <c r="Y51" s="65">
        <v>135.30098564577639</v>
      </c>
      <c r="DA51" s="109" t="s">
        <v>216</v>
      </c>
    </row>
    <row r="52" spans="1:105" ht="12" customHeight="1" x14ac:dyDescent="0.25">
      <c r="A52" s="66" t="s">
        <v>34</v>
      </c>
      <c r="B52" s="67">
        <v>89.574697692858123</v>
      </c>
      <c r="C52" s="67">
        <v>93.788453794085711</v>
      </c>
      <c r="D52" s="67">
        <v>104.09278624365015</v>
      </c>
      <c r="E52" s="67">
        <v>107.33778329733386</v>
      </c>
      <c r="F52" s="67">
        <v>109.65107948164804</v>
      </c>
      <c r="G52" s="67">
        <v>114.88992940225252</v>
      </c>
      <c r="H52" s="67">
        <v>118.27147597961184</v>
      </c>
      <c r="I52" s="67">
        <v>116.63199041753852</v>
      </c>
      <c r="J52" s="67">
        <v>115.83417169264821</v>
      </c>
      <c r="K52" s="67">
        <v>119.96217903779711</v>
      </c>
      <c r="L52" s="67">
        <v>122.11770250055831</v>
      </c>
      <c r="M52" s="67">
        <v>116.06118918066021</v>
      </c>
      <c r="N52" s="67">
        <v>120.75298108786822</v>
      </c>
      <c r="O52" s="67">
        <v>123.72516926423548</v>
      </c>
      <c r="P52" s="67">
        <v>123.69651210056489</v>
      </c>
      <c r="Q52" s="67">
        <v>126.23208280578508</v>
      </c>
      <c r="R52" s="67">
        <v>125.53686428523476</v>
      </c>
      <c r="S52" s="67">
        <v>123.42404815489763</v>
      </c>
      <c r="T52" s="67">
        <v>121.03834253220241</v>
      </c>
      <c r="U52" s="67">
        <v>116.54127902885564</v>
      </c>
      <c r="V52" s="67">
        <v>106.4074782680151</v>
      </c>
      <c r="W52" s="67">
        <v>124.83008675418859</v>
      </c>
      <c r="X52" s="67">
        <v>124.15724995309766</v>
      </c>
      <c r="Y52" s="67">
        <v>122.01420308550462</v>
      </c>
      <c r="DA52" s="110" t="s">
        <v>217</v>
      </c>
    </row>
    <row r="53" spans="1:105" ht="12" customHeight="1" x14ac:dyDescent="0.25">
      <c r="A53" s="78" t="s">
        <v>33</v>
      </c>
      <c r="B53" s="68">
        <v>156.55284225786414</v>
      </c>
      <c r="C53" s="68">
        <v>162.9164259951138</v>
      </c>
      <c r="D53" s="68">
        <v>169.28968548922808</v>
      </c>
      <c r="E53" s="68">
        <v>176.05663260826825</v>
      </c>
      <c r="F53" s="68">
        <v>183.29156318389124</v>
      </c>
      <c r="G53" s="68">
        <v>191.87598165638747</v>
      </c>
      <c r="H53" s="68">
        <v>200.82122251359533</v>
      </c>
      <c r="I53" s="68">
        <v>212.4012784930332</v>
      </c>
      <c r="J53" s="68">
        <v>220.40979798579028</v>
      </c>
      <c r="K53" s="68">
        <v>224.06140543347868</v>
      </c>
      <c r="L53" s="68">
        <v>229.01597875398465</v>
      </c>
      <c r="M53" s="68">
        <v>231.13052897589071</v>
      </c>
      <c r="N53" s="68">
        <v>234.03489877151594</v>
      </c>
      <c r="O53" s="68">
        <v>236.83702093937441</v>
      </c>
      <c r="P53" s="68">
        <v>241.57089707307296</v>
      </c>
      <c r="Q53" s="68">
        <v>248.72378766891833</v>
      </c>
      <c r="R53" s="68">
        <v>250.60265842562092</v>
      </c>
      <c r="S53" s="68">
        <v>257.12244385150268</v>
      </c>
      <c r="T53" s="68">
        <v>257.90263055918547</v>
      </c>
      <c r="U53" s="68">
        <v>257.17529274182152</v>
      </c>
      <c r="V53" s="68">
        <v>256.04830513692229</v>
      </c>
      <c r="W53" s="68">
        <v>264.79528759256641</v>
      </c>
      <c r="X53" s="68">
        <v>255.03843346867484</v>
      </c>
      <c r="Y53" s="68">
        <v>248.36117534813718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0.92882637328633844</v>
      </c>
      <c r="C56" s="70">
        <f t="shared" ref="C56:W56" si="43">IF(C48=0,0,C48/C$47)</f>
        <v>0.90486709439883184</v>
      </c>
      <c r="D56" s="70">
        <f t="shared" si="43"/>
        <v>0.89155252078436009</v>
      </c>
      <c r="E56" s="70">
        <f t="shared" si="43"/>
        <v>0.86532028716171294</v>
      </c>
      <c r="F56" s="70">
        <f t="shared" si="43"/>
        <v>0.87339704024078513</v>
      </c>
      <c r="G56" s="70">
        <f t="shared" si="43"/>
        <v>0.89159549585577524</v>
      </c>
      <c r="H56" s="70">
        <f t="shared" si="43"/>
        <v>0.89355450584236029</v>
      </c>
      <c r="I56" s="70">
        <f t="shared" si="43"/>
        <v>0.88693832013399299</v>
      </c>
      <c r="J56" s="70">
        <f t="shared" si="43"/>
        <v>0.8866848185003553</v>
      </c>
      <c r="K56" s="70">
        <f t="shared" si="43"/>
        <v>0.88516787730498037</v>
      </c>
      <c r="L56" s="70">
        <f t="shared" si="43"/>
        <v>0.89148124415438257</v>
      </c>
      <c r="M56" s="70">
        <f t="shared" si="43"/>
        <v>0.85596455180877684</v>
      </c>
      <c r="N56" s="70">
        <f t="shared" si="43"/>
        <v>0.83905223930813599</v>
      </c>
      <c r="O56" s="70">
        <f t="shared" si="43"/>
        <v>0.861806429286752</v>
      </c>
      <c r="P56" s="70">
        <f t="shared" si="43"/>
        <v>0.80464447806697226</v>
      </c>
      <c r="Q56" s="70">
        <f t="shared" si="43"/>
        <v>0.80887358014704858</v>
      </c>
      <c r="R56" s="70">
        <f t="shared" si="43"/>
        <v>0.80859386605114147</v>
      </c>
      <c r="S56" s="70">
        <f t="shared" si="43"/>
        <v>0.81971640609671159</v>
      </c>
      <c r="T56" s="70">
        <f t="shared" si="43"/>
        <v>0.80360009902479057</v>
      </c>
      <c r="U56" s="70">
        <f t="shared" si="43"/>
        <v>0.78747305062028605</v>
      </c>
      <c r="V56" s="70">
        <f t="shared" si="43"/>
        <v>0.76567917422191112</v>
      </c>
      <c r="W56" s="70">
        <f t="shared" si="43"/>
        <v>0.8096126748506548</v>
      </c>
      <c r="X56" s="70">
        <f t="shared" ref="X56:Y56" si="44">IF(X48=0,0,X48/X$47)</f>
        <v>0.79796472597345847</v>
      </c>
      <c r="Y56" s="70">
        <f t="shared" si="44"/>
        <v>0.77809180548048784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0.83967580479927262</v>
      </c>
      <c r="C57" s="71">
        <f t="shared" ref="C57:W57" si="46">IF(C49=0,0,C49/C$47)</f>
        <v>0.78692165475096132</v>
      </c>
      <c r="D57" s="71">
        <f t="shared" si="46"/>
        <v>0.75349926550421531</v>
      </c>
      <c r="E57" s="71">
        <f t="shared" si="46"/>
        <v>0.69590819899964818</v>
      </c>
      <c r="F57" s="71">
        <f t="shared" si="46"/>
        <v>0.71775165561322951</v>
      </c>
      <c r="G57" s="71">
        <f t="shared" si="46"/>
        <v>0.75747325243184327</v>
      </c>
      <c r="H57" s="71">
        <f t="shared" si="46"/>
        <v>0.76236643072833887</v>
      </c>
      <c r="I57" s="71">
        <f t="shared" si="46"/>
        <v>0.75304935427756203</v>
      </c>
      <c r="J57" s="71">
        <f t="shared" si="46"/>
        <v>0.75650446465329879</v>
      </c>
      <c r="K57" s="71">
        <f t="shared" si="46"/>
        <v>0.7515396946020082</v>
      </c>
      <c r="L57" s="71">
        <f t="shared" si="46"/>
        <v>0.76516427071951076</v>
      </c>
      <c r="M57" s="71">
        <f t="shared" si="46"/>
        <v>0.69383806908239287</v>
      </c>
      <c r="N57" s="71">
        <f t="shared" si="46"/>
        <v>0.65440996646284399</v>
      </c>
      <c r="O57" s="71">
        <f t="shared" si="46"/>
        <v>0.70276824122986514</v>
      </c>
      <c r="P57" s="71">
        <f t="shared" si="46"/>
        <v>0.58352891351689751</v>
      </c>
      <c r="Q57" s="71">
        <f t="shared" si="46"/>
        <v>0.59492192049188042</v>
      </c>
      <c r="R57" s="71">
        <f t="shared" si="46"/>
        <v>0.59819937807417156</v>
      </c>
      <c r="S57" s="71">
        <f t="shared" si="46"/>
        <v>0.62734229612490711</v>
      </c>
      <c r="T57" s="71">
        <f t="shared" si="46"/>
        <v>0.59904831783427659</v>
      </c>
      <c r="U57" s="71">
        <f t="shared" si="46"/>
        <v>0.57071647528388147</v>
      </c>
      <c r="V57" s="71">
        <f t="shared" si="46"/>
        <v>0.54990726123697731</v>
      </c>
      <c r="W57" s="71">
        <f t="shared" si="46"/>
        <v>0.6172736636677848</v>
      </c>
      <c r="X57" s="71">
        <f t="shared" ref="X57:Y57" si="47">IF(X49=0,0,X49/X$47)</f>
        <v>0.5856915621426465</v>
      </c>
      <c r="Y57" s="71">
        <f t="shared" si="47"/>
        <v>0.54209577860879787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2.3846780420943028E-3</v>
      </c>
      <c r="C58" s="72">
        <f t="shared" ref="C58:W58" si="49">IF(C50=0,0,C50/C$47)</f>
        <v>3.107562338528283E-3</v>
      </c>
      <c r="D58" s="72">
        <f t="shared" si="49"/>
        <v>3.6519538513187753E-3</v>
      </c>
      <c r="E58" s="72">
        <f t="shared" si="49"/>
        <v>4.5029452065477966E-3</v>
      </c>
      <c r="F58" s="72">
        <f t="shared" si="49"/>
        <v>4.0195517018499884E-3</v>
      </c>
      <c r="G58" s="72">
        <f t="shared" si="49"/>
        <v>3.3670572239487607E-3</v>
      </c>
      <c r="H58" s="72">
        <f t="shared" si="49"/>
        <v>3.3205840330979542E-3</v>
      </c>
      <c r="I58" s="72">
        <f t="shared" si="49"/>
        <v>3.619493860321009E-3</v>
      </c>
      <c r="J58" s="72">
        <f t="shared" si="49"/>
        <v>3.3503366377058245E-3</v>
      </c>
      <c r="K58" s="72">
        <f t="shared" si="49"/>
        <v>3.4200256071247838E-3</v>
      </c>
      <c r="L58" s="72">
        <f t="shared" si="49"/>
        <v>3.3607135093330132E-3</v>
      </c>
      <c r="M58" s="72">
        <f t="shared" si="49"/>
        <v>4.2595085791515604E-3</v>
      </c>
      <c r="N58" s="72">
        <f t="shared" si="49"/>
        <v>5.1728857145295123E-3</v>
      </c>
      <c r="O58" s="72">
        <f t="shared" si="49"/>
        <v>4.1988681112121945E-3</v>
      </c>
      <c r="P58" s="72">
        <f t="shared" si="49"/>
        <v>5.333512709072662E-3</v>
      </c>
      <c r="Q58" s="72">
        <f t="shared" si="49"/>
        <v>5.9170737459561642E-3</v>
      </c>
      <c r="R58" s="72">
        <f t="shared" si="49"/>
        <v>4.9485887664990789E-3</v>
      </c>
      <c r="S58" s="72">
        <f t="shared" si="49"/>
        <v>4.8177818227125831E-3</v>
      </c>
      <c r="T58" s="72">
        <f t="shared" si="49"/>
        <v>5.1436864105701757E-3</v>
      </c>
      <c r="U58" s="72">
        <f t="shared" si="49"/>
        <v>5.8048727969832615E-3</v>
      </c>
      <c r="V58" s="72">
        <f t="shared" si="49"/>
        <v>5.7222463628571777E-3</v>
      </c>
      <c r="W58" s="72">
        <f t="shared" si="49"/>
        <v>4.9006898655683407E-3</v>
      </c>
      <c r="X58" s="72">
        <f t="shared" ref="X58:Y58" si="50">IF(X50=0,0,X50/X$47)</f>
        <v>5.613896629039117E-3</v>
      </c>
      <c r="Y58" s="72">
        <f t="shared" si="50"/>
        <v>6.0875120896738957E-3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4.6042541033790178E-2</v>
      </c>
      <c r="C59" s="72">
        <f t="shared" ref="C59:W59" si="52">IF(C51=0,0,C51/C$47)</f>
        <v>6.0071342463188127E-2</v>
      </c>
      <c r="D59" s="72">
        <f t="shared" si="52"/>
        <v>6.7719151007000239E-2</v>
      </c>
      <c r="E59" s="72">
        <f t="shared" si="52"/>
        <v>8.2797940344089202E-2</v>
      </c>
      <c r="F59" s="72">
        <f t="shared" si="52"/>
        <v>7.5887752230512751E-2</v>
      </c>
      <c r="G59" s="72">
        <f t="shared" si="52"/>
        <v>6.5845624719172435E-2</v>
      </c>
      <c r="H59" s="72">
        <f t="shared" si="52"/>
        <v>6.5177574408640998E-2</v>
      </c>
      <c r="I59" s="72">
        <f t="shared" si="52"/>
        <v>6.8186000294429658E-2</v>
      </c>
      <c r="J59" s="72">
        <f t="shared" si="52"/>
        <v>6.7278353403281255E-2</v>
      </c>
      <c r="K59" s="72">
        <f t="shared" si="52"/>
        <v>6.8727191039334667E-2</v>
      </c>
      <c r="L59" s="72">
        <f t="shared" si="52"/>
        <v>6.5091034912913875E-2</v>
      </c>
      <c r="M59" s="72">
        <f t="shared" si="52"/>
        <v>8.5540200720488346E-2</v>
      </c>
      <c r="N59" s="72">
        <f t="shared" si="52"/>
        <v>9.6426550336010095E-2</v>
      </c>
      <c r="O59" s="72">
        <f t="shared" si="52"/>
        <v>8.2646117802237545E-2</v>
      </c>
      <c r="P59" s="72">
        <f t="shared" si="52"/>
        <v>0.11575014826533539</v>
      </c>
      <c r="Q59" s="72">
        <f t="shared" si="52"/>
        <v>0.11103426968145336</v>
      </c>
      <c r="R59" s="72">
        <f t="shared" si="52"/>
        <v>0.10956293447316329</v>
      </c>
      <c r="S59" s="72">
        <f t="shared" si="52"/>
        <v>0.10101650438983871</v>
      </c>
      <c r="T59" s="72">
        <f t="shared" si="52"/>
        <v>0.10723408928032682</v>
      </c>
      <c r="U59" s="72">
        <f t="shared" si="52"/>
        <v>0.1146432187626477</v>
      </c>
      <c r="V59" s="72">
        <f t="shared" si="52"/>
        <v>0.1126716028876102</v>
      </c>
      <c r="W59" s="72">
        <f t="shared" si="52"/>
        <v>9.7685718348555037E-2</v>
      </c>
      <c r="X59" s="72">
        <f t="shared" ref="X59:Y59" si="53">IF(X51=0,0,X51/X$47)</f>
        <v>0.10830489889933079</v>
      </c>
      <c r="Y59" s="72">
        <f t="shared" si="53"/>
        <v>0.12089006020880011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4.0723349411181352E-2</v>
      </c>
      <c r="C60" s="73">
        <f t="shared" ref="C60:W60" si="55">IF(C52=0,0,C52/C$47)</f>
        <v>5.4766534846154076E-2</v>
      </c>
      <c r="D60" s="73">
        <f t="shared" si="55"/>
        <v>6.6682150421825861E-2</v>
      </c>
      <c r="E60" s="73">
        <f t="shared" si="55"/>
        <v>8.2111202611427708E-2</v>
      </c>
      <c r="F60" s="73">
        <f t="shared" si="55"/>
        <v>7.5738080695192708E-2</v>
      </c>
      <c r="G60" s="73">
        <f t="shared" si="55"/>
        <v>6.4909561480810646E-2</v>
      </c>
      <c r="H60" s="73">
        <f t="shared" si="55"/>
        <v>6.2689916672282534E-2</v>
      </c>
      <c r="I60" s="73">
        <f t="shared" si="55"/>
        <v>6.2083471701680285E-2</v>
      </c>
      <c r="J60" s="73">
        <f t="shared" si="55"/>
        <v>5.9551663806069376E-2</v>
      </c>
      <c r="K60" s="73">
        <f t="shared" si="55"/>
        <v>6.1480966056512668E-2</v>
      </c>
      <c r="L60" s="73">
        <f t="shared" si="55"/>
        <v>5.7865225012624852E-2</v>
      </c>
      <c r="M60" s="73">
        <f t="shared" si="55"/>
        <v>7.2326773426743984E-2</v>
      </c>
      <c r="N60" s="73">
        <f t="shared" si="55"/>
        <v>8.3042836794752356E-2</v>
      </c>
      <c r="O60" s="73">
        <f t="shared" si="55"/>
        <v>7.219320214343708E-2</v>
      </c>
      <c r="P60" s="73">
        <f t="shared" si="55"/>
        <v>0.1000319035756667</v>
      </c>
      <c r="Q60" s="73">
        <f t="shared" si="55"/>
        <v>9.7000316227758801E-2</v>
      </c>
      <c r="R60" s="73">
        <f t="shared" si="55"/>
        <v>9.5882964737307452E-2</v>
      </c>
      <c r="S60" s="73">
        <f t="shared" si="55"/>
        <v>8.6539823759253079E-2</v>
      </c>
      <c r="T60" s="73">
        <f t="shared" si="55"/>
        <v>9.2174005499616879E-2</v>
      </c>
      <c r="U60" s="73">
        <f t="shared" si="55"/>
        <v>9.6308483776773632E-2</v>
      </c>
      <c r="V60" s="73">
        <f t="shared" si="55"/>
        <v>9.7378063734466502E-2</v>
      </c>
      <c r="W60" s="73">
        <f t="shared" si="55"/>
        <v>8.975260296874657E-2</v>
      </c>
      <c r="X60" s="73">
        <f t="shared" ref="X60:Y60" si="56">IF(X52=0,0,X52/X$47)</f>
        <v>9.8354368302442E-2</v>
      </c>
      <c r="Y60" s="73">
        <f t="shared" si="56"/>
        <v>0.10901845457321596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7.1173626713661495E-2</v>
      </c>
      <c r="C61" s="70">
        <f t="shared" ref="C61:W61" si="58">IF(C53=0,0,C53/C$47)</f>
        <v>9.5132905601168188E-2</v>
      </c>
      <c r="D61" s="70">
        <f t="shared" si="58"/>
        <v>0.10844747921563991</v>
      </c>
      <c r="E61" s="70">
        <f t="shared" si="58"/>
        <v>0.13467971283828703</v>
      </c>
      <c r="F61" s="70">
        <f t="shared" si="58"/>
        <v>0.12660295975921496</v>
      </c>
      <c r="G61" s="70">
        <f t="shared" si="58"/>
        <v>0.1084045041442248</v>
      </c>
      <c r="H61" s="70">
        <f t="shared" si="58"/>
        <v>0.10644549415763974</v>
      </c>
      <c r="I61" s="70">
        <f t="shared" si="58"/>
        <v>0.11306167986600704</v>
      </c>
      <c r="J61" s="70">
        <f t="shared" si="58"/>
        <v>0.1133151814996448</v>
      </c>
      <c r="K61" s="70">
        <f t="shared" si="58"/>
        <v>0.11483212269501959</v>
      </c>
      <c r="L61" s="70">
        <f t="shared" si="58"/>
        <v>0.10851875584561746</v>
      </c>
      <c r="M61" s="70">
        <f t="shared" si="58"/>
        <v>0.14403544819122316</v>
      </c>
      <c r="N61" s="70">
        <f t="shared" si="58"/>
        <v>0.16094776069186395</v>
      </c>
      <c r="O61" s="70">
        <f t="shared" si="58"/>
        <v>0.13819357071324795</v>
      </c>
      <c r="P61" s="70">
        <f t="shared" si="58"/>
        <v>0.19535552193302777</v>
      </c>
      <c r="Q61" s="70">
        <f t="shared" si="58"/>
        <v>0.19112641985295145</v>
      </c>
      <c r="R61" s="70">
        <f t="shared" si="58"/>
        <v>0.1914061339488585</v>
      </c>
      <c r="S61" s="70">
        <f t="shared" si="58"/>
        <v>0.18028359390328849</v>
      </c>
      <c r="T61" s="70">
        <f t="shared" si="58"/>
        <v>0.19639990097520935</v>
      </c>
      <c r="U61" s="70">
        <f t="shared" si="58"/>
        <v>0.212526949379714</v>
      </c>
      <c r="V61" s="70">
        <f t="shared" si="58"/>
        <v>0.23432082577808891</v>
      </c>
      <c r="W61" s="70">
        <f t="shared" si="58"/>
        <v>0.19038732514934525</v>
      </c>
      <c r="X61" s="70">
        <f t="shared" ref="X61:Y61" si="59">IF(X53=0,0,X53/X$47)</f>
        <v>0.20203527402654151</v>
      </c>
      <c r="Y61" s="70">
        <f t="shared" si="59"/>
        <v>0.22190819451951213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4054.8531122214913</v>
      </c>
      <c r="C65" s="80">
        <v>2459.5985339574249</v>
      </c>
      <c r="D65" s="80">
        <v>2087.4551687608241</v>
      </c>
      <c r="E65" s="80">
        <v>1404.8136995503373</v>
      </c>
      <c r="F65" s="80">
        <v>1517.7539092107604</v>
      </c>
      <c r="G65" s="80">
        <v>2419.1108524471483</v>
      </c>
      <c r="H65" s="80">
        <v>2797.6826905002999</v>
      </c>
      <c r="I65" s="80">
        <v>2829.3177185742134</v>
      </c>
      <c r="J65" s="80">
        <v>3097.1372629280995</v>
      </c>
      <c r="K65" s="80">
        <v>3512.1257787511177</v>
      </c>
      <c r="L65" s="80">
        <v>3208.209301466507</v>
      </c>
      <c r="M65" s="80">
        <v>2198.0452721007605</v>
      </c>
      <c r="N65" s="80">
        <v>1950.8580498685897</v>
      </c>
      <c r="O65" s="80">
        <v>2540.7433180086032</v>
      </c>
      <c r="P65" s="80">
        <v>1721.5913675539186</v>
      </c>
      <c r="Q65" s="80">
        <v>1785.2837372119577</v>
      </c>
      <c r="R65" s="80">
        <v>1523.0348623112748</v>
      </c>
      <c r="S65" s="80">
        <v>1687.3162511125415</v>
      </c>
      <c r="T65" s="80">
        <v>1503.2105663874402</v>
      </c>
      <c r="U65" s="80">
        <v>1508.7099283691346</v>
      </c>
      <c r="V65" s="80">
        <v>1101.7144663613046</v>
      </c>
      <c r="W65" s="80">
        <v>1653.3262269381164</v>
      </c>
      <c r="X65" s="80">
        <v>1451.7667614276988</v>
      </c>
      <c r="Y65" s="80">
        <v>1213.4911262097846</v>
      </c>
      <c r="DA65" s="103" t="s">
        <v>219</v>
      </c>
    </row>
    <row r="66" spans="1:105" ht="12" customHeight="1" x14ac:dyDescent="0.25">
      <c r="A66" s="58" t="s">
        <v>29</v>
      </c>
      <c r="B66" s="59">
        <v>823.08305638148977</v>
      </c>
      <c r="C66" s="59">
        <v>645.34102336387355</v>
      </c>
      <c r="D66" s="59">
        <v>838.03083980082397</v>
      </c>
      <c r="E66" s="59">
        <v>158.97085183033715</v>
      </c>
      <c r="F66" s="59">
        <v>549.66451145076053</v>
      </c>
      <c r="G66" s="59">
        <v>127.60152692714826</v>
      </c>
      <c r="H66" s="59">
        <v>327.75004762029999</v>
      </c>
      <c r="I66" s="59">
        <v>633.35548761421364</v>
      </c>
      <c r="J66" s="59">
        <v>929.60763166681568</v>
      </c>
      <c r="K66" s="59">
        <v>2074.7547494020528</v>
      </c>
      <c r="L66" s="59">
        <v>1145.9275650402808</v>
      </c>
      <c r="M66" s="59">
        <v>1334.0753131264175</v>
      </c>
      <c r="N66" s="59">
        <v>371.34823106614772</v>
      </c>
      <c r="O66" s="59">
        <v>687.09667313811826</v>
      </c>
      <c r="P66" s="59">
        <v>438.50811359097605</v>
      </c>
      <c r="Q66" s="59">
        <v>461.84009513543754</v>
      </c>
      <c r="R66" s="59">
        <v>234.76810683257611</v>
      </c>
      <c r="S66" s="59">
        <v>289.49404211165484</v>
      </c>
      <c r="T66" s="59">
        <v>334.88652445682254</v>
      </c>
      <c r="U66" s="59">
        <v>502.58843271754023</v>
      </c>
      <c r="V66" s="59">
        <v>205.1197914605045</v>
      </c>
      <c r="W66" s="59">
        <v>290.7904886169764</v>
      </c>
      <c r="X66" s="59">
        <v>179.96098792815144</v>
      </c>
      <c r="Y66" s="59">
        <v>139.9792869780087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36.359094240000005</v>
      </c>
      <c r="C67" s="55">
        <f t="shared" ref="C67:W67" si="60">SUM(C68:C69)</f>
        <v>198.66497903999999</v>
      </c>
      <c r="D67" s="55">
        <f t="shared" si="60"/>
        <v>195.54655896000003</v>
      </c>
      <c r="E67" s="55">
        <f t="shared" si="60"/>
        <v>140.76821772000002</v>
      </c>
      <c r="F67" s="55">
        <f t="shared" si="60"/>
        <v>206.59921776000002</v>
      </c>
      <c r="G67" s="55">
        <f t="shared" si="60"/>
        <v>176.28126551999998</v>
      </c>
      <c r="H67" s="55">
        <f t="shared" si="60"/>
        <v>130.12506288</v>
      </c>
      <c r="I67" s="55">
        <f t="shared" si="60"/>
        <v>26.406930959999997</v>
      </c>
      <c r="J67" s="55">
        <f t="shared" si="60"/>
        <v>18.550560239999999</v>
      </c>
      <c r="K67" s="55">
        <f t="shared" si="60"/>
        <v>63.700556399999996</v>
      </c>
      <c r="L67" s="55">
        <f t="shared" si="60"/>
        <v>52.2468</v>
      </c>
      <c r="M67" s="55">
        <f t="shared" si="60"/>
        <v>5.8053009600000003</v>
      </c>
      <c r="N67" s="55">
        <f t="shared" si="60"/>
        <v>31.92870095999999</v>
      </c>
      <c r="O67" s="55">
        <f t="shared" si="60"/>
        <v>32.140473479999997</v>
      </c>
      <c r="P67" s="55">
        <f t="shared" si="60"/>
        <v>41.653633680000006</v>
      </c>
      <c r="Q67" s="55">
        <f t="shared" si="60"/>
        <v>39.04651836</v>
      </c>
      <c r="R67" s="55">
        <f t="shared" si="60"/>
        <v>29.900310480000002</v>
      </c>
      <c r="S67" s="55">
        <f t="shared" si="60"/>
        <v>18.07260084</v>
      </c>
      <c r="T67" s="55">
        <f t="shared" si="60"/>
        <v>17.851491719999999</v>
      </c>
      <c r="U67" s="55">
        <f t="shared" si="60"/>
        <v>24.310249919999997</v>
      </c>
      <c r="V67" s="55">
        <f t="shared" si="60"/>
        <v>15.161107680000001</v>
      </c>
      <c r="W67" s="55">
        <f t="shared" si="60"/>
        <v>15.36411204</v>
      </c>
      <c r="X67" s="55">
        <f t="shared" ref="X67:Y67" si="61">SUM(X68:X69)</f>
        <v>24.09127488</v>
      </c>
      <c r="Y67" s="55">
        <f t="shared" si="61"/>
        <v>12.040282439999999</v>
      </c>
      <c r="DA67" s="101"/>
    </row>
    <row r="68" spans="1:105" ht="12" customHeight="1" x14ac:dyDescent="0.25">
      <c r="A68" s="61" t="s">
        <v>52</v>
      </c>
      <c r="B68" s="55">
        <v>17.419310280000005</v>
      </c>
      <c r="C68" s="55">
        <v>46.441499040000004</v>
      </c>
      <c r="D68" s="55">
        <v>98.688526200000013</v>
      </c>
      <c r="E68" s="55">
        <v>107.39625048000002</v>
      </c>
      <c r="F68" s="55">
        <v>119.00662524000002</v>
      </c>
      <c r="G68" s="55">
        <v>84.175500959999994</v>
      </c>
      <c r="H68" s="55">
        <v>72.56489904</v>
      </c>
      <c r="I68" s="55">
        <v>23.220749519999998</v>
      </c>
      <c r="J68" s="55">
        <v>5.8053009600000003</v>
      </c>
      <c r="K68" s="55">
        <v>29.026050479999995</v>
      </c>
      <c r="L68" s="55">
        <v>52.2468</v>
      </c>
      <c r="M68" s="55">
        <v>5.8053009600000003</v>
      </c>
      <c r="N68" s="55">
        <v>31.92870095999999</v>
      </c>
      <c r="O68" s="55">
        <v>29.026050479999995</v>
      </c>
      <c r="P68" s="55">
        <v>26.123400000000004</v>
      </c>
      <c r="Q68" s="55">
        <v>20.318099040000003</v>
      </c>
      <c r="R68" s="55">
        <v>17.415675720000003</v>
      </c>
      <c r="S68" s="55">
        <v>8.707724279999999</v>
      </c>
      <c r="T68" s="55">
        <v>11.610374759999999</v>
      </c>
      <c r="U68" s="55">
        <v>8.707724279999999</v>
      </c>
      <c r="V68" s="55">
        <v>5.8053009600000003</v>
      </c>
      <c r="W68" s="55">
        <v>5.8053009600000003</v>
      </c>
      <c r="X68" s="55">
        <v>11.610374759999999</v>
      </c>
      <c r="Y68" s="55">
        <v>5.8053009600000003</v>
      </c>
      <c r="DA68" s="101" t="s">
        <v>221</v>
      </c>
    </row>
    <row r="69" spans="1:105" ht="12" customHeight="1" x14ac:dyDescent="0.25">
      <c r="A69" s="61" t="s">
        <v>163</v>
      </c>
      <c r="B69" s="55">
        <v>18.93978396</v>
      </c>
      <c r="C69" s="55">
        <v>152.22348</v>
      </c>
      <c r="D69" s="55">
        <v>96.858032760000015</v>
      </c>
      <c r="E69" s="55">
        <v>33.371967240000004</v>
      </c>
      <c r="F69" s="55">
        <v>87.592592519999997</v>
      </c>
      <c r="G69" s="55">
        <v>92.105764559999983</v>
      </c>
      <c r="H69" s="55">
        <v>57.560163840000001</v>
      </c>
      <c r="I69" s="55">
        <v>3.1861814399999986</v>
      </c>
      <c r="J69" s="55">
        <v>12.745259279999999</v>
      </c>
      <c r="K69" s="55">
        <v>34.674505920000001</v>
      </c>
      <c r="L69" s="55">
        <v>0</v>
      </c>
      <c r="M69" s="55">
        <v>0</v>
      </c>
      <c r="N69" s="55">
        <v>0</v>
      </c>
      <c r="O69" s="55">
        <v>3.1144230000000022</v>
      </c>
      <c r="P69" s="55">
        <v>15.530233680000002</v>
      </c>
      <c r="Q69" s="55">
        <v>18.728419319999997</v>
      </c>
      <c r="R69" s="55">
        <v>12.484634759999999</v>
      </c>
      <c r="S69" s="55">
        <v>9.3648765600000008</v>
      </c>
      <c r="T69" s="55">
        <v>6.2411169599999994</v>
      </c>
      <c r="U69" s="55">
        <v>15.602525639999998</v>
      </c>
      <c r="V69" s="55">
        <v>9.3558067200000004</v>
      </c>
      <c r="W69" s="55">
        <v>9.5588110799999999</v>
      </c>
      <c r="X69" s="55">
        <v>12.480900120000001</v>
      </c>
      <c r="Y69" s="55">
        <v>6.2349814799999983</v>
      </c>
      <c r="DA69" s="101" t="s">
        <v>222</v>
      </c>
    </row>
    <row r="70" spans="1:105" ht="12" customHeight="1" x14ac:dyDescent="0.25">
      <c r="A70" s="60" t="s">
        <v>149</v>
      </c>
      <c r="B70" s="55">
        <v>3194.5527900000016</v>
      </c>
      <c r="C70" s="55">
        <v>1595.2315500000002</v>
      </c>
      <c r="D70" s="55">
        <v>1053.8777700000001</v>
      </c>
      <c r="E70" s="55">
        <v>1105.0746300000001</v>
      </c>
      <c r="F70" s="55">
        <v>761.49018000000001</v>
      </c>
      <c r="G70" s="55">
        <v>2115.2280599999999</v>
      </c>
      <c r="H70" s="55">
        <v>2339.8075800000001</v>
      </c>
      <c r="I70" s="55">
        <v>2169.5553</v>
      </c>
      <c r="J70" s="55">
        <v>2132.2431900000001</v>
      </c>
      <c r="K70" s="55">
        <v>1345.5585000000001</v>
      </c>
      <c r="L70" s="55">
        <v>1979.9653499999999</v>
      </c>
      <c r="M70" s="55">
        <v>838.03302000000019</v>
      </c>
      <c r="N70" s="55">
        <v>1513.1853000000003</v>
      </c>
      <c r="O70" s="55">
        <v>1813.1463900000001</v>
      </c>
      <c r="P70" s="55">
        <v>1158.89697</v>
      </c>
      <c r="Q70" s="55">
        <v>1235.69226</v>
      </c>
      <c r="R70" s="55">
        <v>1251.5461200000002</v>
      </c>
      <c r="S70" s="55">
        <v>1342.2261600000002</v>
      </c>
      <c r="T70" s="55">
        <v>1149.6845646000002</v>
      </c>
      <c r="U70" s="55">
        <v>937.45590839999988</v>
      </c>
      <c r="V70" s="55">
        <v>835.26556212000014</v>
      </c>
      <c r="W70" s="55">
        <v>1294.1017174799999</v>
      </c>
      <c r="X70" s="55">
        <v>1216.4016466799999</v>
      </c>
      <c r="Y70" s="55">
        <v>1010.25441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0.8581715999999997</v>
      </c>
      <c r="C71" s="55">
        <f t="shared" ref="C71:W71" si="62">SUM(C72:C76)</f>
        <v>20.360981553551305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16.73588102128355</v>
      </c>
      <c r="K71" s="55">
        <f t="shared" si="62"/>
        <v>28.111972949064921</v>
      </c>
      <c r="L71" s="55">
        <f t="shared" si="62"/>
        <v>30.069586426225928</v>
      </c>
      <c r="M71" s="55">
        <f t="shared" si="62"/>
        <v>20.131638014342368</v>
      </c>
      <c r="N71" s="55">
        <f t="shared" si="62"/>
        <v>34.395817842441488</v>
      </c>
      <c r="O71" s="55">
        <f t="shared" si="62"/>
        <v>8.3597813904847502</v>
      </c>
      <c r="P71" s="55">
        <f t="shared" si="62"/>
        <v>82.532650282942583</v>
      </c>
      <c r="Q71" s="55">
        <f t="shared" si="62"/>
        <v>48.704863716519995</v>
      </c>
      <c r="R71" s="55">
        <f t="shared" si="62"/>
        <v>6.8203249986983758</v>
      </c>
      <c r="S71" s="55">
        <f t="shared" si="62"/>
        <v>37.523448160886673</v>
      </c>
      <c r="T71" s="55">
        <f t="shared" si="62"/>
        <v>0.78798561061745398</v>
      </c>
      <c r="U71" s="55">
        <f t="shared" si="62"/>
        <v>44.35533733159447</v>
      </c>
      <c r="V71" s="55">
        <f t="shared" si="62"/>
        <v>46.168005100800009</v>
      </c>
      <c r="W71" s="55">
        <f t="shared" si="62"/>
        <v>53.069908801140002</v>
      </c>
      <c r="X71" s="55">
        <f t="shared" ref="X71:Y71" si="63">SUM(X72:X76)</f>
        <v>31.312851939547475</v>
      </c>
      <c r="Y71" s="55">
        <f t="shared" si="63"/>
        <v>51.217146791775797</v>
      </c>
      <c r="DA71" s="101"/>
    </row>
    <row r="72" spans="1:105" ht="12" customHeight="1" x14ac:dyDescent="0.25">
      <c r="A72" s="61" t="s">
        <v>164</v>
      </c>
      <c r="B72" s="55">
        <v>0.8581715999999997</v>
      </c>
      <c r="C72" s="55">
        <v>20.360981553551305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16.73588102128355</v>
      </c>
      <c r="K72" s="55">
        <v>28.111972949064921</v>
      </c>
      <c r="L72" s="55">
        <v>30.069586426225928</v>
      </c>
      <c r="M72" s="55">
        <v>20.131638014342368</v>
      </c>
      <c r="N72" s="55">
        <v>34.395817842441488</v>
      </c>
      <c r="O72" s="55">
        <v>8.3597813904847502</v>
      </c>
      <c r="P72" s="55">
        <v>82.532650282942583</v>
      </c>
      <c r="Q72" s="55">
        <v>48.704863716519995</v>
      </c>
      <c r="R72" s="55">
        <v>6.8203249986983758</v>
      </c>
      <c r="S72" s="55">
        <v>37.523448160886673</v>
      </c>
      <c r="T72" s="55">
        <v>0.78798561061745398</v>
      </c>
      <c r="U72" s="55">
        <v>44.35533733159447</v>
      </c>
      <c r="V72" s="55">
        <v>46.168005100800009</v>
      </c>
      <c r="W72" s="55">
        <v>53.069908801140002</v>
      </c>
      <c r="X72" s="55">
        <v>31.312851939547475</v>
      </c>
      <c r="Y72" s="55">
        <v>51.217146791775797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4054.8531122214913</v>
      </c>
      <c r="C81" s="82">
        <f t="shared" ref="C81:W81" si="65">C82+C87</f>
        <v>2459.5985339574258</v>
      </c>
      <c r="D81" s="82">
        <f t="shared" si="65"/>
        <v>2087.4551687608246</v>
      </c>
      <c r="E81" s="82">
        <f t="shared" si="65"/>
        <v>1404.8136995503376</v>
      </c>
      <c r="F81" s="82">
        <f t="shared" si="65"/>
        <v>1517.7539092107606</v>
      </c>
      <c r="G81" s="82">
        <f t="shared" si="65"/>
        <v>2419.1108524471483</v>
      </c>
      <c r="H81" s="82">
        <f t="shared" si="65"/>
        <v>2797.6826905003004</v>
      </c>
      <c r="I81" s="82">
        <f t="shared" si="65"/>
        <v>2829.3177185742138</v>
      </c>
      <c r="J81" s="82">
        <f t="shared" si="65"/>
        <v>3097.1372629280991</v>
      </c>
      <c r="K81" s="82">
        <f t="shared" si="65"/>
        <v>3512.1257787511167</v>
      </c>
      <c r="L81" s="82">
        <f t="shared" si="65"/>
        <v>3208.2093014665074</v>
      </c>
      <c r="M81" s="82">
        <f t="shared" si="65"/>
        <v>2198.0452721007596</v>
      </c>
      <c r="N81" s="82">
        <f t="shared" si="65"/>
        <v>1950.8580498685894</v>
      </c>
      <c r="O81" s="82">
        <f t="shared" si="65"/>
        <v>2540.7433180086032</v>
      </c>
      <c r="P81" s="82">
        <f t="shared" si="65"/>
        <v>1721.5913675539186</v>
      </c>
      <c r="Q81" s="82">
        <f t="shared" si="65"/>
        <v>1785.2837372119573</v>
      </c>
      <c r="R81" s="82">
        <f t="shared" si="65"/>
        <v>1523.0348623112745</v>
      </c>
      <c r="S81" s="82">
        <f t="shared" si="65"/>
        <v>1687.3162511125411</v>
      </c>
      <c r="T81" s="82">
        <f t="shared" si="65"/>
        <v>1503.2105663874397</v>
      </c>
      <c r="U81" s="82">
        <f t="shared" si="65"/>
        <v>1508.7099283691352</v>
      </c>
      <c r="V81" s="82">
        <f t="shared" si="65"/>
        <v>1101.7144663613053</v>
      </c>
      <c r="W81" s="82">
        <f t="shared" si="65"/>
        <v>1653.326226938115</v>
      </c>
      <c r="X81" s="82">
        <f t="shared" ref="X81:Y81" si="66">X82+X87</f>
        <v>1451.7667614276984</v>
      </c>
      <c r="Y81" s="82">
        <f t="shared" si="66"/>
        <v>1213.4911262097851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4054.8531122214913</v>
      </c>
      <c r="C82" s="64">
        <f t="shared" ref="C82:W82" si="68">SUM(C83:C86)</f>
        <v>2459.5985339574258</v>
      </c>
      <c r="D82" s="64">
        <f t="shared" si="68"/>
        <v>2087.4551687608246</v>
      </c>
      <c r="E82" s="64">
        <f t="shared" si="68"/>
        <v>1404.8136995503376</v>
      </c>
      <c r="F82" s="64">
        <f t="shared" si="68"/>
        <v>1517.7539092107606</v>
      </c>
      <c r="G82" s="64">
        <f t="shared" si="68"/>
        <v>2419.1108524471483</v>
      </c>
      <c r="H82" s="64">
        <f t="shared" si="68"/>
        <v>2797.6826905003004</v>
      </c>
      <c r="I82" s="64">
        <f t="shared" si="68"/>
        <v>2829.3177185742138</v>
      </c>
      <c r="J82" s="64">
        <f t="shared" si="68"/>
        <v>3097.1372629280991</v>
      </c>
      <c r="K82" s="64">
        <f t="shared" si="68"/>
        <v>3512.1257787511167</v>
      </c>
      <c r="L82" s="64">
        <f t="shared" si="68"/>
        <v>3208.2093014665074</v>
      </c>
      <c r="M82" s="64">
        <f t="shared" si="68"/>
        <v>2198.0452721007596</v>
      </c>
      <c r="N82" s="64">
        <f t="shared" si="68"/>
        <v>1950.8580498685894</v>
      </c>
      <c r="O82" s="64">
        <f t="shared" si="68"/>
        <v>2540.7433180086032</v>
      </c>
      <c r="P82" s="64">
        <f t="shared" si="68"/>
        <v>1721.5913675539186</v>
      </c>
      <c r="Q82" s="64">
        <f t="shared" si="68"/>
        <v>1785.2837372119573</v>
      </c>
      <c r="R82" s="64">
        <f t="shared" si="68"/>
        <v>1523.0348623112745</v>
      </c>
      <c r="S82" s="64">
        <f t="shared" si="68"/>
        <v>1687.3162511125411</v>
      </c>
      <c r="T82" s="64">
        <f t="shared" si="68"/>
        <v>1503.2105663874397</v>
      </c>
      <c r="U82" s="64">
        <f t="shared" si="68"/>
        <v>1508.7099283691352</v>
      </c>
      <c r="V82" s="64">
        <f t="shared" si="68"/>
        <v>1101.7144663613053</v>
      </c>
      <c r="W82" s="64">
        <f t="shared" si="68"/>
        <v>1653.326226938115</v>
      </c>
      <c r="X82" s="64">
        <f t="shared" ref="X82:Y82" si="69">SUM(X83:X86)</f>
        <v>1451.7667614276984</v>
      </c>
      <c r="Y82" s="64">
        <f t="shared" si="69"/>
        <v>1213.4911262097851</v>
      </c>
      <c r="DA82" s="108" t="s">
        <v>233</v>
      </c>
    </row>
    <row r="83" spans="1:105" ht="12" customHeight="1" x14ac:dyDescent="0.25">
      <c r="A83" s="61" t="s">
        <v>32</v>
      </c>
      <c r="B83" s="65">
        <v>3875.2993590045021</v>
      </c>
      <c r="C83" s="65">
        <v>2235.9060426635133</v>
      </c>
      <c r="D83" s="65">
        <v>1806.0557487839937</v>
      </c>
      <c r="E83" s="65">
        <v>1131.2000729558888</v>
      </c>
      <c r="F83" s="65">
        <v>1249.8322758128381</v>
      </c>
      <c r="G83" s="65">
        <v>2162.0767720659469</v>
      </c>
      <c r="H83" s="65">
        <v>2529.1527457886787</v>
      </c>
      <c r="I83" s="65">
        <v>2575.8579839207046</v>
      </c>
      <c r="J83" s="65">
        <v>2851.6740298517279</v>
      </c>
      <c r="K83" s="65">
        <v>3244.9187516685101</v>
      </c>
      <c r="L83" s="65">
        <v>2915.2201798191122</v>
      </c>
      <c r="M83" s="65">
        <v>1965.1633440069947</v>
      </c>
      <c r="N83" s="65">
        <v>1653.6422537812603</v>
      </c>
      <c r="O83" s="65">
        <v>2206.5687687796617</v>
      </c>
      <c r="P83" s="65">
        <v>1377.6745432775319</v>
      </c>
      <c r="Q83" s="65">
        <v>1428.8505249686491</v>
      </c>
      <c r="R83" s="65">
        <v>1193.0299718837011</v>
      </c>
      <c r="S83" s="65">
        <v>1384.2592929236728</v>
      </c>
      <c r="T83" s="65">
        <v>1233.0819893103906</v>
      </c>
      <c r="U83" s="65">
        <v>1265.4595260197821</v>
      </c>
      <c r="V83" s="65">
        <v>926.23141408937408</v>
      </c>
      <c r="W83" s="65">
        <v>1375.2872571674263</v>
      </c>
      <c r="X83" s="65">
        <v>1179.0131975751424</v>
      </c>
      <c r="Y83" s="65">
        <v>963.92303409714418</v>
      </c>
      <c r="DA83" s="109" t="s">
        <v>234</v>
      </c>
    </row>
    <row r="84" spans="1:105" ht="12" customHeight="1" x14ac:dyDescent="0.25">
      <c r="A84" s="61" t="s">
        <v>31</v>
      </c>
      <c r="B84" s="65">
        <v>3.4061961755113369E-2</v>
      </c>
      <c r="C84" s="65">
        <v>5.4341374022130629E-2</v>
      </c>
      <c r="D84" s="65">
        <v>4.8841644665710587E-2</v>
      </c>
      <c r="E84" s="65">
        <v>1.8945984402250565E-2</v>
      </c>
      <c r="F84" s="65">
        <v>5.4681554979539651E-2</v>
      </c>
      <c r="G84" s="65">
        <v>8.2206014025942256E-2</v>
      </c>
      <c r="H84" s="65">
        <v>9.8743190135473516E-2</v>
      </c>
      <c r="I84" s="65">
        <v>0.10768588103077124</v>
      </c>
      <c r="J84" s="65">
        <v>0.11674507153000362</v>
      </c>
      <c r="K84" s="65">
        <v>0.11637686721431827</v>
      </c>
      <c r="L84" s="65">
        <v>0.13000228674400433</v>
      </c>
      <c r="M84" s="65">
        <v>0.13836382620475754</v>
      </c>
      <c r="N84" s="65">
        <v>0.16075578768488286</v>
      </c>
      <c r="O84" s="65">
        <v>0.2004586391404681</v>
      </c>
      <c r="P84" s="65">
        <v>0.26339921516709186</v>
      </c>
      <c r="Q84" s="65">
        <v>0.35571270525908394</v>
      </c>
      <c r="R84" s="65">
        <v>0.45639071987728974</v>
      </c>
      <c r="S84" s="65">
        <v>0.54807033437932751</v>
      </c>
      <c r="T84" s="65">
        <v>0.62625832985630858</v>
      </c>
      <c r="U84" s="65">
        <v>0.69294897414443457</v>
      </c>
      <c r="V84" s="65">
        <v>0.74689276444960695</v>
      </c>
      <c r="W84" s="65">
        <v>0.79597987567401862</v>
      </c>
      <c r="X84" s="65">
        <v>0.87211430016375135</v>
      </c>
      <c r="Y84" s="65">
        <v>0.85321594385935795</v>
      </c>
      <c r="DA84" s="109" t="s">
        <v>235</v>
      </c>
    </row>
    <row r="85" spans="1:105" ht="12" customHeight="1" x14ac:dyDescent="0.25">
      <c r="A85" s="61" t="s">
        <v>35</v>
      </c>
      <c r="B85" s="65">
        <v>45.132404382773515</v>
      </c>
      <c r="C85" s="65">
        <v>64.558748737923253</v>
      </c>
      <c r="D85" s="65">
        <v>73.710890556482752</v>
      </c>
      <c r="E85" s="65">
        <v>65.881382451780738</v>
      </c>
      <c r="F85" s="65">
        <v>69.679855871391595</v>
      </c>
      <c r="G85" s="65">
        <v>64.539594924710244</v>
      </c>
      <c r="H85" s="65">
        <v>78.339733677076325</v>
      </c>
      <c r="I85" s="65">
        <v>103.8986656509413</v>
      </c>
      <c r="J85" s="65">
        <v>113.40924782240627</v>
      </c>
      <c r="K85" s="65">
        <v>117.71720824864593</v>
      </c>
      <c r="L85" s="65">
        <v>123.76753309739615</v>
      </c>
      <c r="M85" s="65">
        <v>124.7524975138605</v>
      </c>
      <c r="N85" s="65">
        <v>150.18800518889304</v>
      </c>
      <c r="O85" s="65">
        <v>165.57019230565416</v>
      </c>
      <c r="P85" s="65">
        <v>171.45762592050502</v>
      </c>
      <c r="Q85" s="65">
        <v>176.42334248427073</v>
      </c>
      <c r="R85" s="65">
        <v>153.06224741199887</v>
      </c>
      <c r="S85" s="65">
        <v>146.65173669850032</v>
      </c>
      <c r="T85" s="65">
        <v>128.23435848714826</v>
      </c>
      <c r="U85" s="65">
        <v>125.74591893779885</v>
      </c>
      <c r="V85" s="65">
        <v>71.45189676893763</v>
      </c>
      <c r="W85" s="65">
        <v>115.89837092255436</v>
      </c>
      <c r="X85" s="65">
        <v>110.14821579877473</v>
      </c>
      <c r="Y85" s="65">
        <v>103.64172720888924</v>
      </c>
      <c r="DA85" s="109" t="s">
        <v>236</v>
      </c>
    </row>
    <row r="86" spans="1:105" ht="12" customHeight="1" x14ac:dyDescent="0.25">
      <c r="A86" s="66" t="s">
        <v>34</v>
      </c>
      <c r="B86" s="67">
        <v>134.38728687246061</v>
      </c>
      <c r="C86" s="67">
        <v>159.079401181967</v>
      </c>
      <c r="D86" s="67">
        <v>207.63968777568201</v>
      </c>
      <c r="E86" s="67">
        <v>207.71329815826562</v>
      </c>
      <c r="F86" s="67">
        <v>198.18709597155134</v>
      </c>
      <c r="G86" s="67">
        <v>192.41227944246538</v>
      </c>
      <c r="H86" s="67">
        <v>190.09146784441</v>
      </c>
      <c r="I86" s="67">
        <v>149.45338312153731</v>
      </c>
      <c r="J86" s="67">
        <v>131.93724018243475</v>
      </c>
      <c r="K86" s="67">
        <v>149.37344196674627</v>
      </c>
      <c r="L86" s="67">
        <v>169.09158626325487</v>
      </c>
      <c r="M86" s="67">
        <v>107.9910667536998</v>
      </c>
      <c r="N86" s="67">
        <v>146.86703511075143</v>
      </c>
      <c r="O86" s="67">
        <v>168.40389828414729</v>
      </c>
      <c r="P86" s="67">
        <v>172.19579914071454</v>
      </c>
      <c r="Q86" s="67">
        <v>179.65415705377845</v>
      </c>
      <c r="R86" s="67">
        <v>176.48625229569708</v>
      </c>
      <c r="S86" s="67">
        <v>155.85715115598856</v>
      </c>
      <c r="T86" s="67">
        <v>141.26796026004465</v>
      </c>
      <c r="U86" s="67">
        <v>116.81153443740986</v>
      </c>
      <c r="V86" s="67">
        <v>103.28426273854389</v>
      </c>
      <c r="W86" s="67">
        <v>161.3446189724603</v>
      </c>
      <c r="X86" s="67">
        <v>161.73323375361758</v>
      </c>
      <c r="Y86" s="67">
        <v>145.07314895989234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0.95571880207551618</v>
      </c>
      <c r="C91" s="71">
        <f t="shared" ref="C91:W91" si="77">IF(C83=0,0,C83/C$81)</f>
        <v>0.90905325068071274</v>
      </c>
      <c r="D91" s="71">
        <f t="shared" si="77"/>
        <v>0.86519498756762381</v>
      </c>
      <c r="E91" s="71">
        <f t="shared" si="77"/>
        <v>0.80523137930529232</v>
      </c>
      <c r="F91" s="71">
        <f t="shared" si="77"/>
        <v>0.82347491792181049</v>
      </c>
      <c r="G91" s="71">
        <f t="shared" si="77"/>
        <v>0.89374853156431899</v>
      </c>
      <c r="H91" s="71">
        <f t="shared" si="77"/>
        <v>0.90401701178499216</v>
      </c>
      <c r="I91" s="71">
        <f t="shared" si="77"/>
        <v>0.91041665876208633</v>
      </c>
      <c r="J91" s="71">
        <f t="shared" si="77"/>
        <v>0.92074512291899357</v>
      </c>
      <c r="K91" s="71">
        <f t="shared" si="77"/>
        <v>0.92391871934107572</v>
      </c>
      <c r="L91" s="71">
        <f t="shared" si="77"/>
        <v>0.90867518477879028</v>
      </c>
      <c r="M91" s="71">
        <f t="shared" si="77"/>
        <v>0.89405044061208516</v>
      </c>
      <c r="N91" s="71">
        <f t="shared" si="77"/>
        <v>0.8476486815084523</v>
      </c>
      <c r="O91" s="71">
        <f t="shared" si="77"/>
        <v>0.86847370733582696</v>
      </c>
      <c r="P91" s="71">
        <f t="shared" si="77"/>
        <v>0.80023318497174356</v>
      </c>
      <c r="Q91" s="71">
        <f t="shared" si="77"/>
        <v>0.80034926392151928</v>
      </c>
      <c r="R91" s="71">
        <f t="shared" si="77"/>
        <v>0.78332413880088336</v>
      </c>
      <c r="S91" s="71">
        <f t="shared" si="77"/>
        <v>0.82039113415220999</v>
      </c>
      <c r="T91" s="71">
        <f t="shared" si="77"/>
        <v>0.82029891013457268</v>
      </c>
      <c r="U91" s="71">
        <f t="shared" si="77"/>
        <v>0.83876927050364236</v>
      </c>
      <c r="V91" s="71">
        <f t="shared" si="77"/>
        <v>0.84071820999908531</v>
      </c>
      <c r="W91" s="71">
        <f t="shared" si="77"/>
        <v>0.83183054545405466</v>
      </c>
      <c r="X91" s="71">
        <f t="shared" ref="X91:Y91" si="78">IF(X83=0,0,X83/X$81)</f>
        <v>0.81212301376543139</v>
      </c>
      <c r="Y91" s="71">
        <f t="shared" si="78"/>
        <v>0.79433875804914933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8.4002948596212376E-6</v>
      </c>
      <c r="C92" s="72">
        <f t="shared" ref="C92:W92" si="80">IF(C84=0,0,C84/C$81)</f>
        <v>2.2093595061100018E-5</v>
      </c>
      <c r="D92" s="72">
        <f t="shared" si="80"/>
        <v>2.3397697539394074E-5</v>
      </c>
      <c r="E92" s="72">
        <f t="shared" si="80"/>
        <v>1.3486474689359114E-5</v>
      </c>
      <c r="F92" s="72">
        <f t="shared" si="80"/>
        <v>3.6027945405177259E-5</v>
      </c>
      <c r="G92" s="72">
        <f t="shared" si="80"/>
        <v>3.3981912793613188E-5</v>
      </c>
      <c r="H92" s="72">
        <f t="shared" si="80"/>
        <v>3.5294635260375294E-5</v>
      </c>
      <c r="I92" s="72">
        <f t="shared" si="80"/>
        <v>3.8060724083344625E-5</v>
      </c>
      <c r="J92" s="72">
        <f t="shared" si="80"/>
        <v>3.76945100003835E-5</v>
      </c>
      <c r="K92" s="72">
        <f t="shared" si="80"/>
        <v>3.3135734465552349E-5</v>
      </c>
      <c r="L92" s="72">
        <f t="shared" si="80"/>
        <v>4.052175981304551E-5</v>
      </c>
      <c r="M92" s="72">
        <f t="shared" si="80"/>
        <v>6.2948578885510268E-5</v>
      </c>
      <c r="N92" s="72">
        <f t="shared" si="80"/>
        <v>8.2402606225353731E-5</v>
      </c>
      <c r="O92" s="72">
        <f t="shared" si="80"/>
        <v>7.8897635081683342E-5</v>
      </c>
      <c r="P92" s="72">
        <f t="shared" si="80"/>
        <v>1.5299752318190132E-4</v>
      </c>
      <c r="Q92" s="72">
        <f t="shared" si="80"/>
        <v>1.9924715486099341E-4</v>
      </c>
      <c r="R92" s="72">
        <f t="shared" si="80"/>
        <v>2.9965874791907E-4</v>
      </c>
      <c r="S92" s="72">
        <f t="shared" si="80"/>
        <v>3.2481778920694587E-4</v>
      </c>
      <c r="T92" s="72">
        <f t="shared" si="80"/>
        <v>4.166138423051078E-4</v>
      </c>
      <c r="U92" s="72">
        <f t="shared" si="80"/>
        <v>4.5929900845385777E-4</v>
      </c>
      <c r="V92" s="72">
        <f t="shared" si="80"/>
        <v>6.7793678603169467E-4</v>
      </c>
      <c r="W92" s="72">
        <f t="shared" si="80"/>
        <v>4.8144151027479745E-4</v>
      </c>
      <c r="X92" s="72">
        <f t="shared" ref="X92:Y92" si="81">IF(X84=0,0,X84/X$81)</f>
        <v>6.0072617953182473E-4</v>
      </c>
      <c r="Y92" s="72">
        <f t="shared" si="81"/>
        <v>7.0310851511892823E-4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1.1130465921624293E-2</v>
      </c>
      <c r="C93" s="72">
        <f t="shared" ref="C93:W93" si="83">IF(C85=0,0,C85/C$81)</f>
        <v>2.6247677353283348E-2</v>
      </c>
      <c r="D93" s="72">
        <f t="shared" si="83"/>
        <v>3.5311364602977187E-2</v>
      </c>
      <c r="E93" s="72">
        <f t="shared" si="83"/>
        <v>4.6896882108188799E-2</v>
      </c>
      <c r="F93" s="72">
        <f t="shared" si="83"/>
        <v>4.5909851029555547E-2</v>
      </c>
      <c r="G93" s="72">
        <f t="shared" si="83"/>
        <v>2.6679056422496156E-2</v>
      </c>
      <c r="H93" s="72">
        <f t="shared" si="83"/>
        <v>2.8001650774436858E-2</v>
      </c>
      <c r="I93" s="72">
        <f t="shared" si="83"/>
        <v>3.6722162721017859E-2</v>
      </c>
      <c r="J93" s="72">
        <f t="shared" si="83"/>
        <v>3.6617443204692443E-2</v>
      </c>
      <c r="K93" s="72">
        <f t="shared" si="83"/>
        <v>3.3517366878160385E-2</v>
      </c>
      <c r="L93" s="72">
        <f t="shared" si="83"/>
        <v>3.8578384845658502E-2</v>
      </c>
      <c r="M93" s="72">
        <f t="shared" si="83"/>
        <v>5.6756109210903363E-2</v>
      </c>
      <c r="N93" s="72">
        <f t="shared" si="83"/>
        <v>7.6985614201407301E-2</v>
      </c>
      <c r="O93" s="72">
        <f t="shared" si="83"/>
        <v>6.5166044571328685E-2</v>
      </c>
      <c r="P93" s="72">
        <f t="shared" si="83"/>
        <v>9.9592521867785874E-2</v>
      </c>
      <c r="Q93" s="72">
        <f t="shared" si="83"/>
        <v>9.8820898217438322E-2</v>
      </c>
      <c r="R93" s="72">
        <f t="shared" si="83"/>
        <v>0.10049819029074618</v>
      </c>
      <c r="S93" s="72">
        <f t="shared" si="83"/>
        <v>8.6914196791386733E-2</v>
      </c>
      <c r="T93" s="72">
        <f t="shared" si="83"/>
        <v>8.5306983169580075E-2</v>
      </c>
      <c r="U93" s="72">
        <f t="shared" si="83"/>
        <v>8.3346650388737065E-2</v>
      </c>
      <c r="V93" s="72">
        <f t="shared" si="83"/>
        <v>6.4855186121796013E-2</v>
      </c>
      <c r="W93" s="72">
        <f t="shared" si="83"/>
        <v>7.0100122428465236E-2</v>
      </c>
      <c r="X93" s="72">
        <f t="shared" ref="X93:Y93" si="84">IF(X85=0,0,X85/X$81)</f>
        <v>7.5871840246881414E-2</v>
      </c>
      <c r="Y93" s="72">
        <f t="shared" si="84"/>
        <v>8.5407898723251094E-2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3.3142331707999947E-2</v>
      </c>
      <c r="C94" s="73">
        <f t="shared" ref="C94:W94" si="86">IF(C86=0,0,C86/C$81)</f>
        <v>6.4676978370942773E-2</v>
      </c>
      <c r="D94" s="73">
        <f t="shared" si="86"/>
        <v>9.9470250131859408E-2</v>
      </c>
      <c r="E94" s="73">
        <f t="shared" si="86"/>
        <v>0.14785825211182943</v>
      </c>
      <c r="F94" s="73">
        <f t="shared" si="86"/>
        <v>0.13057920310322876</v>
      </c>
      <c r="G94" s="73">
        <f t="shared" si="86"/>
        <v>7.9538430100391244E-2</v>
      </c>
      <c r="H94" s="73">
        <f t="shared" si="86"/>
        <v>6.7946042805310622E-2</v>
      </c>
      <c r="I94" s="73">
        <f t="shared" si="86"/>
        <v>5.2823117792812534E-2</v>
      </c>
      <c r="J94" s="73">
        <f t="shared" si="86"/>
        <v>4.2599739366313553E-2</v>
      </c>
      <c r="K94" s="73">
        <f t="shared" si="86"/>
        <v>4.253077804629829E-2</v>
      </c>
      <c r="L94" s="73">
        <f t="shared" si="86"/>
        <v>5.2705908615738151E-2</v>
      </c>
      <c r="M94" s="73">
        <f t="shared" si="86"/>
        <v>4.9130501598126063E-2</v>
      </c>
      <c r="N94" s="73">
        <f t="shared" si="86"/>
        <v>7.5283301683915158E-2</v>
      </c>
      <c r="O94" s="73">
        <f t="shared" si="86"/>
        <v>6.6281350457762789E-2</v>
      </c>
      <c r="P94" s="73">
        <f t="shared" si="86"/>
        <v>0.10002129563728863</v>
      </c>
      <c r="Q94" s="73">
        <f t="shared" si="86"/>
        <v>0.10063059070618144</v>
      </c>
      <c r="R94" s="73">
        <f t="shared" si="86"/>
        <v>0.11587801216045127</v>
      </c>
      <c r="S94" s="73">
        <f t="shared" si="86"/>
        <v>9.236985126719624E-2</v>
      </c>
      <c r="T94" s="73">
        <f t="shared" si="86"/>
        <v>9.3977492853542136E-2</v>
      </c>
      <c r="U94" s="73">
        <f t="shared" si="86"/>
        <v>7.7424780099166715E-2</v>
      </c>
      <c r="V94" s="73">
        <f t="shared" si="86"/>
        <v>9.3748667093086893E-2</v>
      </c>
      <c r="W94" s="73">
        <f t="shared" si="86"/>
        <v>9.7587890607205324E-2</v>
      </c>
      <c r="X94" s="73">
        <f t="shared" ref="X94:Y94" si="87">IF(X86=0,0,X86/X$81)</f>
        <v>0.11140441980815546</v>
      </c>
      <c r="Y94" s="73">
        <f t="shared" si="87"/>
        <v>0.11955023471248069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880050.66857799736</v>
      </c>
      <c r="C99" s="82">
        <f t="shared" ref="C99:W99" si="92">C47*11630*1000/C$8</f>
        <v>672178.94941123202</v>
      </c>
      <c r="D99" s="82">
        <f t="shared" si="92"/>
        <v>597862.91278845014</v>
      </c>
      <c r="E99" s="82">
        <f t="shared" si="92"/>
        <v>488305.9819078095</v>
      </c>
      <c r="F99" s="82">
        <f t="shared" si="92"/>
        <v>526958.4529260128</v>
      </c>
      <c r="G99" s="82">
        <f t="shared" si="92"/>
        <v>621981.04052346037</v>
      </c>
      <c r="H99" s="82">
        <f t="shared" si="92"/>
        <v>634026.1266125351</v>
      </c>
      <c r="I99" s="82">
        <f t="shared" si="92"/>
        <v>598123.3360469396</v>
      </c>
      <c r="J99" s="82">
        <f t="shared" si="92"/>
        <v>599502.50001940574</v>
      </c>
      <c r="K99" s="82">
        <f t="shared" si="92"/>
        <v>602378.52943780751</v>
      </c>
      <c r="L99" s="82">
        <f t="shared" si="92"/>
        <v>637528.74105721933</v>
      </c>
      <c r="M99" s="82">
        <f t="shared" si="92"/>
        <v>480030.82528547233</v>
      </c>
      <c r="N99" s="82">
        <f t="shared" si="92"/>
        <v>430712.43644863809</v>
      </c>
      <c r="O99" s="82">
        <f t="shared" si="92"/>
        <v>503271.88929171255</v>
      </c>
      <c r="P99" s="82">
        <f t="shared" si="92"/>
        <v>359726.46136537567</v>
      </c>
      <c r="Q99" s="82">
        <f t="shared" si="92"/>
        <v>373892.60561973939</v>
      </c>
      <c r="R99" s="82">
        <f t="shared" si="92"/>
        <v>371699.96744121826</v>
      </c>
      <c r="S99" s="82">
        <f t="shared" si="92"/>
        <v>399824.90629666334</v>
      </c>
      <c r="T99" s="82">
        <f t="shared" si="92"/>
        <v>362854.00063113391</v>
      </c>
      <c r="U99" s="82">
        <f t="shared" si="92"/>
        <v>329463.11702036578</v>
      </c>
      <c r="V99" s="82">
        <f t="shared" si="92"/>
        <v>293361.63605259982</v>
      </c>
      <c r="W99" s="82">
        <f t="shared" si="92"/>
        <v>368584.79757588968</v>
      </c>
      <c r="X99" s="82">
        <f t="shared" ref="X99:Y99" si="93">X47*11630*1000/X$8</f>
        <v>330582.27820975921</v>
      </c>
      <c r="Y99" s="82">
        <f t="shared" si="93"/>
        <v>289915.93770584918</v>
      </c>
      <c r="DA99" s="107"/>
    </row>
    <row r="100" spans="1:105" ht="12" customHeight="1" x14ac:dyDescent="0.25">
      <c r="A100" s="77" t="s">
        <v>36</v>
      </c>
      <c r="B100" s="64">
        <f t="shared" si="91"/>
        <v>817414.27080351871</v>
      </c>
      <c r="C100" s="64">
        <f t="shared" ref="C100:W100" si="94">C48*11630*1000/C$8</f>
        <v>608232.61286980088</v>
      </c>
      <c r="D100" s="64">
        <f t="shared" si="94"/>
        <v>533026.18698002282</v>
      </c>
      <c r="E100" s="64">
        <f t="shared" si="94"/>
        <v>422541.07248724793</v>
      </c>
      <c r="F100" s="64">
        <f t="shared" si="94"/>
        <v>460243.95311544277</v>
      </c>
      <c r="G100" s="64">
        <f t="shared" si="94"/>
        <v>554555.49423840572</v>
      </c>
      <c r="H100" s="64">
        <f t="shared" si="94"/>
        <v>566536.90225640952</v>
      </c>
      <c r="I100" s="64">
        <f t="shared" si="94"/>
        <v>530498.50690641231</v>
      </c>
      <c r="J100" s="64">
        <f t="shared" si="94"/>
        <v>531569.76542021602</v>
      </c>
      <c r="K100" s="64">
        <f t="shared" si="94"/>
        <v>533206.12423655973</v>
      </c>
      <c r="L100" s="64">
        <f t="shared" si="94"/>
        <v>568344.91526186711</v>
      </c>
      <c r="M100" s="64">
        <f t="shared" si="94"/>
        <v>410889.37021987652</v>
      </c>
      <c r="N100" s="64">
        <f t="shared" si="94"/>
        <v>361390.23430009297</v>
      </c>
      <c r="O100" s="64">
        <f t="shared" si="94"/>
        <v>433722.94987088843</v>
      </c>
      <c r="P100" s="64">
        <f t="shared" si="94"/>
        <v>289451.91075222153</v>
      </c>
      <c r="Q100" s="64">
        <f t="shared" si="94"/>
        <v>302431.85049814708</v>
      </c>
      <c r="R100" s="64">
        <f t="shared" si="94"/>
        <v>300554.31368437811</v>
      </c>
      <c r="S100" s="64">
        <f t="shared" si="94"/>
        <v>327743.03525745537</v>
      </c>
      <c r="T100" s="64">
        <f t="shared" si="94"/>
        <v>291589.5108387206</v>
      </c>
      <c r="U100" s="64">
        <f t="shared" si="94"/>
        <v>259443.32582689574</v>
      </c>
      <c r="V100" s="64">
        <f t="shared" si="94"/>
        <v>224620.89524114347</v>
      </c>
      <c r="W100" s="64">
        <f t="shared" si="94"/>
        <v>298410.92387470318</v>
      </c>
      <c r="X100" s="64">
        <f t="shared" ref="X100:Y100" si="95">X48*11630*1000/X$8</f>
        <v>263792.99704333214</v>
      </c>
      <c r="Y100" s="64">
        <f t="shared" si="95"/>
        <v>225581.2154071129</v>
      </c>
      <c r="DA100" s="108"/>
    </row>
    <row r="101" spans="1:105" ht="12" customHeight="1" x14ac:dyDescent="0.25">
      <c r="A101" s="61" t="s">
        <v>32</v>
      </c>
      <c r="B101" s="65">
        <f t="shared" si="91"/>
        <v>738957.25340236782</v>
      </c>
      <c r="C101" s="65">
        <f t="shared" ref="C101:W101" si="96">C49*11630*1000/C$8</f>
        <v>528952.17115944938</v>
      </c>
      <c r="D101" s="65">
        <f t="shared" si="96"/>
        <v>450489.26565830788</v>
      </c>
      <c r="E101" s="65">
        <f t="shared" si="96"/>
        <v>339816.13643021852</v>
      </c>
      <c r="F101" s="65">
        <f t="shared" si="96"/>
        <v>378225.30202703178</v>
      </c>
      <c r="G101" s="65">
        <f t="shared" si="96"/>
        <v>471134.0017162477</v>
      </c>
      <c r="H101" s="65">
        <f t="shared" si="96"/>
        <v>483360.23513411224</v>
      </c>
      <c r="I101" s="65">
        <f t="shared" si="96"/>
        <v>450416.39198848908</v>
      </c>
      <c r="J101" s="65">
        <f t="shared" si="96"/>
        <v>453526.31783549476</v>
      </c>
      <c r="K101" s="65">
        <f t="shared" si="96"/>
        <v>452711.37604849675</v>
      </c>
      <c r="L101" s="65">
        <f t="shared" si="96"/>
        <v>487814.21421377501</v>
      </c>
      <c r="M101" s="65">
        <f t="shared" si="96"/>
        <v>333063.66091609962</v>
      </c>
      <c r="N101" s="65">
        <f t="shared" si="96"/>
        <v>281862.51109148306</v>
      </c>
      <c r="O101" s="65">
        <f t="shared" si="96"/>
        <v>353683.50049796829</v>
      </c>
      <c r="P101" s="65">
        <f t="shared" si="96"/>
        <v>209910.79116381585</v>
      </c>
      <c r="Q101" s="65">
        <f t="shared" si="96"/>
        <v>222436.9069930086</v>
      </c>
      <c r="R101" s="65">
        <f t="shared" si="96"/>
        <v>222350.68935352666</v>
      </c>
      <c r="S101" s="65">
        <f t="shared" si="96"/>
        <v>250827.07476407464</v>
      </c>
      <c r="T101" s="65">
        <f t="shared" si="96"/>
        <v>217367.0786975183</v>
      </c>
      <c r="U101" s="65">
        <f t="shared" si="96"/>
        <v>188030.02888190417</v>
      </c>
      <c r="V101" s="65">
        <f t="shared" si="96"/>
        <v>161321.69383368408</v>
      </c>
      <c r="W101" s="65">
        <f t="shared" si="96"/>
        <v>227517.68837191828</v>
      </c>
      <c r="X101" s="65">
        <f t="shared" ref="X101:Y101" si="97">X49*11630*1000/X$8</f>
        <v>193619.25094134887</v>
      </c>
      <c r="Y101" s="65">
        <f t="shared" si="97"/>
        <v>157162.20598175208</v>
      </c>
      <c r="DA101" s="109"/>
    </row>
    <row r="102" spans="1:105" ht="12" customHeight="1" x14ac:dyDescent="0.25">
      <c r="A102" s="61" t="s">
        <v>31</v>
      </c>
      <c r="B102" s="65">
        <f t="shared" si="91"/>
        <v>2098.6375052883609</v>
      </c>
      <c r="C102" s="65">
        <f t="shared" ref="C102:W102" si="98">C50*11630*1000/C$8</f>
        <v>2088.8379879418526</v>
      </c>
      <c r="D102" s="65">
        <f t="shared" si="98"/>
        <v>2183.3677669184417</v>
      </c>
      <c r="E102" s="65">
        <f t="shared" si="98"/>
        <v>2198.8150805603859</v>
      </c>
      <c r="F102" s="65">
        <f t="shared" si="98"/>
        <v>2118.1367462629919</v>
      </c>
      <c r="G102" s="65">
        <f t="shared" si="98"/>
        <v>2094.2457556536842</v>
      </c>
      <c r="H102" s="65">
        <f t="shared" si="98"/>
        <v>2105.3370325965257</v>
      </c>
      <c r="I102" s="65">
        <f t="shared" si="98"/>
        <v>2164.9037425366173</v>
      </c>
      <c r="J102" s="65">
        <f t="shared" si="98"/>
        <v>2008.535190211252</v>
      </c>
      <c r="K102" s="65">
        <f t="shared" si="98"/>
        <v>2060.1499958594718</v>
      </c>
      <c r="L102" s="65">
        <f t="shared" si="98"/>
        <v>2142.5514526590655</v>
      </c>
      <c r="M102" s="65">
        <f t="shared" si="98"/>
        <v>2044.6954185606733</v>
      </c>
      <c r="N102" s="65">
        <f t="shared" si="98"/>
        <v>2228.0262095753601</v>
      </c>
      <c r="O102" s="65">
        <f t="shared" si="98"/>
        <v>2113.172287216486</v>
      </c>
      <c r="P102" s="65">
        <f t="shared" si="98"/>
        <v>1918.605653481967</v>
      </c>
      <c r="Q102" s="65">
        <f t="shared" si="98"/>
        <v>2212.3501205197022</v>
      </c>
      <c r="R102" s="65">
        <f t="shared" si="98"/>
        <v>1839.3902833876862</v>
      </c>
      <c r="S102" s="65">
        <f t="shared" si="98"/>
        <v>1926.2691658238266</v>
      </c>
      <c r="T102" s="65">
        <f t="shared" si="98"/>
        <v>1866.407192067385</v>
      </c>
      <c r="U102" s="65">
        <f t="shared" si="98"/>
        <v>1912.4914856008347</v>
      </c>
      <c r="V102" s="65">
        <f t="shared" si="98"/>
        <v>1678.6875549038205</v>
      </c>
      <c r="W102" s="65">
        <f t="shared" si="98"/>
        <v>1806.3197820827211</v>
      </c>
      <c r="X102" s="65">
        <f t="shared" ref="X102:Y102" si="99">X50*11630*1000/X$8</f>
        <v>1855.8547372618389</v>
      </c>
      <c r="Y102" s="65">
        <f t="shared" si="99"/>
        <v>1764.8667757735011</v>
      </c>
      <c r="DA102" s="109"/>
    </row>
    <row r="103" spans="1:105" ht="12" customHeight="1" x14ac:dyDescent="0.25">
      <c r="A103" s="61" t="s">
        <v>35</v>
      </c>
      <c r="B103" s="65">
        <f t="shared" si="91"/>
        <v>40519.769019816929</v>
      </c>
      <c r="C103" s="65">
        <f t="shared" ref="C103:W103" si="100">C51*11630*1000/C$8</f>
        <v>40378.691866628127</v>
      </c>
      <c r="D103" s="65">
        <f t="shared" si="100"/>
        <v>40486.768872606066</v>
      </c>
      <c r="E103" s="65">
        <f t="shared" si="100"/>
        <v>40430.729559664724</v>
      </c>
      <c r="F103" s="65">
        <f t="shared" si="100"/>
        <v>39989.692511423578</v>
      </c>
      <c r="G103" s="65">
        <f t="shared" si="100"/>
        <v>40954.730176748155</v>
      </c>
      <c r="H103" s="65">
        <f t="shared" si="100"/>
        <v>41324.285044310942</v>
      </c>
      <c r="I103" s="65">
        <f t="shared" si="100"/>
        <v>40783.637967801871</v>
      </c>
      <c r="J103" s="65">
        <f t="shared" si="100"/>
        <v>40333.541062456214</v>
      </c>
      <c r="K103" s="65">
        <f t="shared" si="100"/>
        <v>41399.784270665681</v>
      </c>
      <c r="L103" s="65">
        <f t="shared" si="100"/>
        <v>41497.405542141489</v>
      </c>
      <c r="M103" s="65">
        <f t="shared" si="100"/>
        <v>41061.933146940974</v>
      </c>
      <c r="N103" s="65">
        <f t="shared" si="100"/>
        <v>41532.114433560149</v>
      </c>
      <c r="O103" s="65">
        <f t="shared" si="100"/>
        <v>41593.467848957531</v>
      </c>
      <c r="P103" s="65">
        <f t="shared" si="100"/>
        <v>41638.391238006676</v>
      </c>
      <c r="Q103" s="65">
        <f t="shared" si="100"/>
        <v>41514.892404283426</v>
      </c>
      <c r="R103" s="65">
        <f t="shared" si="100"/>
        <v>40724.539176439124</v>
      </c>
      <c r="S103" s="65">
        <f t="shared" si="100"/>
        <v>40388.914402083748</v>
      </c>
      <c r="T103" s="65">
        <f t="shared" si="100"/>
        <v>38910.318299402774</v>
      </c>
      <c r="U103" s="65">
        <f t="shared" si="100"/>
        <v>37770.712198789588</v>
      </c>
      <c r="V103" s="65">
        <f t="shared" si="100"/>
        <v>33053.52575977816</v>
      </c>
      <c r="W103" s="65">
        <f t="shared" si="100"/>
        <v>36005.470723557541</v>
      </c>
      <c r="X103" s="65">
        <f t="shared" ref="X103:Y103" si="101">X51*11630*1000/X$8</f>
        <v>35803.680219418413</v>
      </c>
      <c r="Y103" s="65">
        <f t="shared" si="101"/>
        <v>35047.955164750856</v>
      </c>
      <c r="DA103" s="109"/>
    </row>
    <row r="104" spans="1:105" ht="12" customHeight="1" x14ac:dyDescent="0.25">
      <c r="A104" s="66" t="s">
        <v>34</v>
      </c>
      <c r="B104" s="67">
        <f t="shared" si="91"/>
        <v>35838.610876045546</v>
      </c>
      <c r="C104" s="67">
        <f t="shared" ref="C104:W104" si="102">C52*11630*1000/C$8</f>
        <v>36812.911855781473</v>
      </c>
      <c r="D104" s="67">
        <f t="shared" si="102"/>
        <v>39866.784682190388</v>
      </c>
      <c r="E104" s="67">
        <f t="shared" si="102"/>
        <v>40095.391416804305</v>
      </c>
      <c r="F104" s="67">
        <f t="shared" si="102"/>
        <v>39910.821830724271</v>
      </c>
      <c r="G104" s="67">
        <f t="shared" si="102"/>
        <v>40372.516589756131</v>
      </c>
      <c r="H104" s="67">
        <f t="shared" si="102"/>
        <v>39747.045045389881</v>
      </c>
      <c r="I104" s="67">
        <f t="shared" si="102"/>
        <v>37133.573207584785</v>
      </c>
      <c r="J104" s="67">
        <f t="shared" si="102"/>
        <v>35701.37133205375</v>
      </c>
      <c r="K104" s="67">
        <f t="shared" si="102"/>
        <v>37034.813921537861</v>
      </c>
      <c r="L104" s="67">
        <f t="shared" si="102"/>
        <v>36890.744053291441</v>
      </c>
      <c r="M104" s="67">
        <f t="shared" si="102"/>
        <v>34719.080738275283</v>
      </c>
      <c r="N104" s="67">
        <f t="shared" si="102"/>
        <v>35767.582565474404</v>
      </c>
      <c r="O104" s="67">
        <f t="shared" si="102"/>
        <v>36332.809236746092</v>
      </c>
      <c r="P104" s="67">
        <f t="shared" si="102"/>
        <v>35984.122696917046</v>
      </c>
      <c r="Q104" s="67">
        <f t="shared" si="102"/>
        <v>36267.700980335423</v>
      </c>
      <c r="R104" s="67">
        <f t="shared" si="102"/>
        <v>35639.694871024658</v>
      </c>
      <c r="S104" s="67">
        <f t="shared" si="102"/>
        <v>34600.776925473125</v>
      </c>
      <c r="T104" s="67">
        <f t="shared" si="102"/>
        <v>33445.706649732128</v>
      </c>
      <c r="U104" s="67">
        <f t="shared" si="102"/>
        <v>31730.093260601174</v>
      </c>
      <c r="V104" s="67">
        <f t="shared" si="102"/>
        <v>28566.988092777432</v>
      </c>
      <c r="W104" s="67">
        <f t="shared" si="102"/>
        <v>33081.444997144659</v>
      </c>
      <c r="X104" s="67">
        <f t="shared" ref="X104:Y104" si="103">X52*11630*1000/X$8</f>
        <v>32514.211145303008</v>
      </c>
      <c r="Y104" s="67">
        <f t="shared" si="103"/>
        <v>31606.187484836431</v>
      </c>
      <c r="DA104" s="110"/>
    </row>
    <row r="105" spans="1:105" ht="12" customHeight="1" x14ac:dyDescent="0.25">
      <c r="A105" s="78" t="s">
        <v>33</v>
      </c>
      <c r="B105" s="68">
        <f t="shared" si="91"/>
        <v>62636.397774478603</v>
      </c>
      <c r="C105" s="68">
        <f t="shared" ref="C105:W105" si="104">C53*11630*1000/C$8</f>
        <v>63946.336541431148</v>
      </c>
      <c r="D105" s="68">
        <f t="shared" si="104"/>
        <v>64836.725808427378</v>
      </c>
      <c r="E105" s="68">
        <f t="shared" si="104"/>
        <v>65764.909420561569</v>
      </c>
      <c r="F105" s="68">
        <f t="shared" si="104"/>
        <v>66714.499810570182</v>
      </c>
      <c r="G105" s="68">
        <f t="shared" si="104"/>
        <v>67425.546285054719</v>
      </c>
      <c r="H105" s="68">
        <f t="shared" si="104"/>
        <v>67489.224356125545</v>
      </c>
      <c r="I105" s="68">
        <f t="shared" si="104"/>
        <v>67624.829140527232</v>
      </c>
      <c r="J105" s="68">
        <f t="shared" si="104"/>
        <v>67932.734599189775</v>
      </c>
      <c r="K105" s="68">
        <f t="shared" si="104"/>
        <v>69172.405201247791</v>
      </c>
      <c r="L105" s="68">
        <f t="shared" si="104"/>
        <v>69183.825795352241</v>
      </c>
      <c r="M105" s="68">
        <f t="shared" si="104"/>
        <v>69141.455065595728</v>
      </c>
      <c r="N105" s="68">
        <f t="shared" si="104"/>
        <v>69322.202148545068</v>
      </c>
      <c r="O105" s="68">
        <f t="shared" si="104"/>
        <v>69548.939420824172</v>
      </c>
      <c r="P105" s="68">
        <f t="shared" si="104"/>
        <v>70274.550613154104</v>
      </c>
      <c r="Q105" s="68">
        <f t="shared" si="104"/>
        <v>71460.755121592287</v>
      </c>
      <c r="R105" s="68">
        <f t="shared" si="104"/>
        <v>71145.653756840169</v>
      </c>
      <c r="S105" s="68">
        <f t="shared" si="104"/>
        <v>72081.871039208039</v>
      </c>
      <c r="T105" s="68">
        <f t="shared" si="104"/>
        <v>71264.489792413238</v>
      </c>
      <c r="U105" s="68">
        <f t="shared" si="104"/>
        <v>70019.791193470068</v>
      </c>
      <c r="V105" s="68">
        <f t="shared" si="104"/>
        <v>68740.740811456373</v>
      </c>
      <c r="W105" s="68">
        <f t="shared" si="104"/>
        <v>70173.873701186516</v>
      </c>
      <c r="X105" s="68">
        <f t="shared" ref="X105:Y105" si="105">X53*11630*1000/X$8</f>
        <v>66789.281166427085</v>
      </c>
      <c r="Y105" s="68">
        <f t="shared" si="105"/>
        <v>64334.722298736342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445147.37628235231</v>
      </c>
      <c r="C107" s="85">
        <f t="shared" ref="C107:W107" si="107">SUM(C108:C111)</f>
        <v>355955.27108968236</v>
      </c>
      <c r="D107" s="85">
        <f t="shared" si="107"/>
        <v>327072.26368351973</v>
      </c>
      <c r="E107" s="85">
        <f t="shared" si="107"/>
        <v>261956.27402991577</v>
      </c>
      <c r="F107" s="85">
        <f t="shared" si="107"/>
        <v>296919.8841188497</v>
      </c>
      <c r="G107" s="85">
        <f t="shared" si="107"/>
        <v>332486.05542432418</v>
      </c>
      <c r="H107" s="85">
        <f t="shared" si="107"/>
        <v>339663.66952465987</v>
      </c>
      <c r="I107" s="85">
        <f t="shared" si="107"/>
        <v>324796.59731877589</v>
      </c>
      <c r="J107" s="85">
        <f t="shared" si="107"/>
        <v>327754.37943403842</v>
      </c>
      <c r="K107" s="85">
        <f t="shared" si="107"/>
        <v>341630.57597921207</v>
      </c>
      <c r="L107" s="85">
        <f t="shared" si="107"/>
        <v>363038.4971290683</v>
      </c>
      <c r="M107" s="85">
        <f t="shared" si="107"/>
        <v>279069.8231863195</v>
      </c>
      <c r="N107" s="85">
        <f t="shared" si="107"/>
        <v>237970.01323027935</v>
      </c>
      <c r="O107" s="85">
        <f t="shared" si="107"/>
        <v>286447.82315857621</v>
      </c>
      <c r="P107" s="85">
        <f t="shared" si="107"/>
        <v>194812.658538046</v>
      </c>
      <c r="Q107" s="85">
        <f t="shared" si="107"/>
        <v>206509.65686026416</v>
      </c>
      <c r="R107" s="85">
        <f t="shared" si="107"/>
        <v>210392.73997336248</v>
      </c>
      <c r="S107" s="85">
        <f t="shared" si="107"/>
        <v>231174.58964679355</v>
      </c>
      <c r="T107" s="85">
        <f t="shared" si="107"/>
        <v>209799.95876790825</v>
      </c>
      <c r="U107" s="85">
        <f t="shared" si="107"/>
        <v>190306.24469643246</v>
      </c>
      <c r="V107" s="85">
        <f t="shared" si="107"/>
        <v>170349.66788928196</v>
      </c>
      <c r="W107" s="85">
        <f t="shared" si="107"/>
        <v>226187.41229955357</v>
      </c>
      <c r="X107" s="85">
        <f t="shared" ref="X107:Y107" si="108">SUM(X108:X111)</f>
        <v>207381.46652089781</v>
      </c>
      <c r="Y107" s="85">
        <f t="shared" si="108"/>
        <v>182322.68191256697</v>
      </c>
      <c r="DA107" s="117"/>
    </row>
    <row r="108" spans="1:105" ht="12" customHeight="1" x14ac:dyDescent="0.25">
      <c r="A108" s="61" t="s">
        <v>32</v>
      </c>
      <c r="B108" s="65">
        <v>391256.14028283174</v>
      </c>
      <c r="C108" s="65">
        <v>302027.69843329402</v>
      </c>
      <c r="D108" s="65">
        <v>271166.13473809481</v>
      </c>
      <c r="E108" s="65">
        <v>205127.09377643204</v>
      </c>
      <c r="F108" s="65">
        <v>239634.97921394641</v>
      </c>
      <c r="G108" s="65">
        <v>273843.21382665535</v>
      </c>
      <c r="H108" s="65">
        <v>280764.41860656341</v>
      </c>
      <c r="I108" s="65">
        <v>266629.18759512715</v>
      </c>
      <c r="J108" s="65">
        <v>270416.00411896757</v>
      </c>
      <c r="K108" s="65">
        <v>282511.54505805467</v>
      </c>
      <c r="L108" s="65">
        <v>303788.73944239295</v>
      </c>
      <c r="M108" s="65">
        <v>220264.61227172182</v>
      </c>
      <c r="N108" s="65">
        <v>178036.82504413225</v>
      </c>
      <c r="O108" s="65">
        <v>226501.9004677225</v>
      </c>
      <c r="P108" s="65">
        <v>135321.31840541959</v>
      </c>
      <c r="Q108" s="65">
        <v>145763.71122730695</v>
      </c>
      <c r="R108" s="65">
        <v>150645.95640014525</v>
      </c>
      <c r="S108" s="65">
        <v>170756.28073349723</v>
      </c>
      <c r="T108" s="65">
        <v>150126.31182842189</v>
      </c>
      <c r="U108" s="65">
        <v>131171.56779048397</v>
      </c>
      <c r="V108" s="65">
        <v>116781.53732233559</v>
      </c>
      <c r="W108" s="65">
        <v>167096.92639867091</v>
      </c>
      <c r="X108" s="65">
        <v>147835.77376786701</v>
      </c>
      <c r="Y108" s="65">
        <v>123252.15445444612</v>
      </c>
      <c r="DA108" s="109"/>
    </row>
    <row r="109" spans="1:105" ht="12" customHeight="1" x14ac:dyDescent="0.25">
      <c r="A109" s="61" t="s">
        <v>31</v>
      </c>
      <c r="B109" s="65">
        <v>3605.8316540369756</v>
      </c>
      <c r="C109" s="65">
        <v>3744.2387847064015</v>
      </c>
      <c r="D109" s="65">
        <v>4117.32175645795</v>
      </c>
      <c r="E109" s="65">
        <v>4342.5662221193752</v>
      </c>
      <c r="F109" s="65">
        <v>4381.4051190287528</v>
      </c>
      <c r="G109" s="65">
        <v>4542.2569494546387</v>
      </c>
      <c r="H109" s="65">
        <v>4812.1689223239691</v>
      </c>
      <c r="I109" s="65">
        <v>5252.5991743402192</v>
      </c>
      <c r="J109" s="65">
        <v>5170.196818181761</v>
      </c>
      <c r="K109" s="65">
        <v>5397.1640119814538</v>
      </c>
      <c r="L109" s="65">
        <v>5762.3258477337313</v>
      </c>
      <c r="M109" s="65">
        <v>5683.5747004782916</v>
      </c>
      <c r="N109" s="65">
        <v>6426.5027016956174</v>
      </c>
      <c r="O109" s="65">
        <v>6308.3537555875482</v>
      </c>
      <c r="P109" s="65">
        <v>5931.4423238359213</v>
      </c>
      <c r="Q109" s="65">
        <v>7088.6785153857372</v>
      </c>
      <c r="R109" s="65">
        <v>6088.1526545491406</v>
      </c>
      <c r="S109" s="65">
        <v>6608.2571919833172</v>
      </c>
      <c r="T109" s="65">
        <v>6581.5300142121714</v>
      </c>
      <c r="U109" s="65">
        <v>6892.4034482356437</v>
      </c>
      <c r="V109" s="65">
        <v>6160.1282065892037</v>
      </c>
      <c r="W109" s="65">
        <v>6765.7340880908487</v>
      </c>
      <c r="X109" s="65">
        <v>7048.6955549536406</v>
      </c>
      <c r="Y109" s="65">
        <v>6783.2639772132407</v>
      </c>
      <c r="DA109" s="109"/>
    </row>
    <row r="110" spans="1:105" ht="12" customHeight="1" x14ac:dyDescent="0.25">
      <c r="A110" s="61" t="s">
        <v>35</v>
      </c>
      <c r="B110" s="65">
        <v>25146.043791565051</v>
      </c>
      <c r="C110" s="65">
        <v>24881.521364118089</v>
      </c>
      <c r="D110" s="65">
        <v>25202.710370397075</v>
      </c>
      <c r="E110" s="65">
        <v>25482.746633341889</v>
      </c>
      <c r="F110" s="65">
        <v>25551.662510671344</v>
      </c>
      <c r="G110" s="65">
        <v>25991.430240559584</v>
      </c>
      <c r="H110" s="65">
        <v>26167.002019275395</v>
      </c>
      <c r="I110" s="65">
        <v>25824.59554049162</v>
      </c>
      <c r="J110" s="65">
        <v>25671.168029644923</v>
      </c>
      <c r="K110" s="65">
        <v>26525.726120298881</v>
      </c>
      <c r="L110" s="65">
        <v>26740.42520104377</v>
      </c>
      <c r="M110" s="65">
        <v>26688.638450226328</v>
      </c>
      <c r="N110" s="65">
        <v>27104.387020664231</v>
      </c>
      <c r="O110" s="65">
        <v>27234.463201716255</v>
      </c>
      <c r="P110" s="65">
        <v>27501.739172631111</v>
      </c>
      <c r="Q110" s="65">
        <v>27532.273519906441</v>
      </c>
      <c r="R110" s="65">
        <v>27800.093733546077</v>
      </c>
      <c r="S110" s="65">
        <v>28080.624816890289</v>
      </c>
      <c r="T110" s="65">
        <v>27726.531216277239</v>
      </c>
      <c r="U110" s="65">
        <v>27466.238219610361</v>
      </c>
      <c r="V110" s="65">
        <v>24885.207109192492</v>
      </c>
      <c r="W110" s="65">
        <v>27262.094931742242</v>
      </c>
      <c r="X110" s="65">
        <v>27788.033112644891</v>
      </c>
      <c r="Y110" s="65">
        <v>27804.685109181562</v>
      </c>
      <c r="DA110" s="109"/>
    </row>
    <row r="111" spans="1:105" ht="12" customHeight="1" x14ac:dyDescent="0.25">
      <c r="A111" s="74" t="s">
        <v>34</v>
      </c>
      <c r="B111" s="68">
        <v>25139.360553918537</v>
      </c>
      <c r="C111" s="68">
        <v>25301.812507563831</v>
      </c>
      <c r="D111" s="68">
        <v>26586.096818569891</v>
      </c>
      <c r="E111" s="68">
        <v>27003.867398022481</v>
      </c>
      <c r="F111" s="68">
        <v>27351.837275203186</v>
      </c>
      <c r="G111" s="68">
        <v>28109.154407654609</v>
      </c>
      <c r="H111" s="68">
        <v>27920.079976497113</v>
      </c>
      <c r="I111" s="68">
        <v>27090.215008816936</v>
      </c>
      <c r="J111" s="68">
        <v>26497.01046724413</v>
      </c>
      <c r="K111" s="68">
        <v>27196.140788877012</v>
      </c>
      <c r="L111" s="68">
        <v>26747.006637897848</v>
      </c>
      <c r="M111" s="68">
        <v>26432.997763893061</v>
      </c>
      <c r="N111" s="68">
        <v>26402.298463787251</v>
      </c>
      <c r="O111" s="68">
        <v>26403.105733549946</v>
      </c>
      <c r="P111" s="68">
        <v>26058.158636159369</v>
      </c>
      <c r="Q111" s="68">
        <v>26124.993597665009</v>
      </c>
      <c r="R111" s="68">
        <v>25858.537185122037</v>
      </c>
      <c r="S111" s="68">
        <v>25729.426904422711</v>
      </c>
      <c r="T111" s="68">
        <v>25365.585708996925</v>
      </c>
      <c r="U111" s="68">
        <v>24776.035238102482</v>
      </c>
      <c r="V111" s="68">
        <v>22522.795251164669</v>
      </c>
      <c r="W111" s="68">
        <v>25062.656881049563</v>
      </c>
      <c r="X111" s="68">
        <v>24708.964085432257</v>
      </c>
      <c r="Y111" s="68">
        <v>24482.578371726053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139495.83100318539</v>
      </c>
      <c r="C113" s="82">
        <f t="shared" ref="C113:W113" si="110">C81*1000000/C$8</f>
        <v>83010.935009881956</v>
      </c>
      <c r="D113" s="82">
        <f t="shared" si="110"/>
        <v>68742.926928330824</v>
      </c>
      <c r="E113" s="82">
        <f t="shared" si="110"/>
        <v>45121.22214625949</v>
      </c>
      <c r="F113" s="82">
        <f t="shared" si="110"/>
        <v>47500.633817512316</v>
      </c>
      <c r="G113" s="82">
        <f t="shared" si="110"/>
        <v>73093.694568060295</v>
      </c>
      <c r="H113" s="82">
        <f t="shared" si="110"/>
        <v>80843.214086688895</v>
      </c>
      <c r="I113" s="82">
        <f t="shared" si="110"/>
        <v>77455.285469412789</v>
      </c>
      <c r="J113" s="82">
        <f t="shared" si="110"/>
        <v>82078.410869342231</v>
      </c>
      <c r="K113" s="82">
        <f t="shared" si="110"/>
        <v>93230.103663285889</v>
      </c>
      <c r="L113" s="82">
        <f t="shared" si="110"/>
        <v>83333.911786809113</v>
      </c>
      <c r="M113" s="82">
        <f t="shared" si="110"/>
        <v>56537.697791753351</v>
      </c>
      <c r="N113" s="82">
        <f t="shared" si="110"/>
        <v>49686.417287716096</v>
      </c>
      <c r="O113" s="82">
        <f t="shared" si="110"/>
        <v>64153.742900431258</v>
      </c>
      <c r="P113" s="82">
        <f t="shared" si="110"/>
        <v>43062.954865674466</v>
      </c>
      <c r="Q113" s="82">
        <f t="shared" si="110"/>
        <v>44103.983041845488</v>
      </c>
      <c r="R113" s="82">
        <f t="shared" si="110"/>
        <v>37178.582753115741</v>
      </c>
      <c r="S113" s="82">
        <f t="shared" si="110"/>
        <v>40672.684563176139</v>
      </c>
      <c r="T113" s="82">
        <f t="shared" si="110"/>
        <v>35715.5640666408</v>
      </c>
      <c r="U113" s="82">
        <f t="shared" si="110"/>
        <v>35319.748466392681</v>
      </c>
      <c r="V113" s="82">
        <f t="shared" si="110"/>
        <v>25432.065889691763</v>
      </c>
      <c r="W113" s="82">
        <f t="shared" si="110"/>
        <v>37674.200026298968</v>
      </c>
      <c r="X113" s="82">
        <f t="shared" ref="X113:Y113" si="111">X81*1000000/X$8</f>
        <v>32690.252217076668</v>
      </c>
      <c r="Y113" s="82">
        <f t="shared" si="111"/>
        <v>27028.292757454205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139495.83100318539</v>
      </c>
      <c r="C114" s="64">
        <f t="shared" ref="C114:W114" si="113">C82*1000000/C$8</f>
        <v>83010.935009881956</v>
      </c>
      <c r="D114" s="64">
        <f t="shared" si="113"/>
        <v>68742.926928330824</v>
      </c>
      <c r="E114" s="64">
        <f t="shared" si="113"/>
        <v>45121.22214625949</v>
      </c>
      <c r="F114" s="64">
        <f t="shared" si="113"/>
        <v>47500.633817512316</v>
      </c>
      <c r="G114" s="64">
        <f t="shared" si="113"/>
        <v>73093.694568060295</v>
      </c>
      <c r="H114" s="64">
        <f t="shared" si="113"/>
        <v>80843.214086688895</v>
      </c>
      <c r="I114" s="64">
        <f t="shared" si="113"/>
        <v>77455.285469412789</v>
      </c>
      <c r="J114" s="64">
        <f t="shared" si="113"/>
        <v>82078.410869342231</v>
      </c>
      <c r="K114" s="64">
        <f t="shared" si="113"/>
        <v>93230.103663285889</v>
      </c>
      <c r="L114" s="64">
        <f t="shared" si="113"/>
        <v>83333.911786809113</v>
      </c>
      <c r="M114" s="64">
        <f t="shared" si="113"/>
        <v>56537.697791753351</v>
      </c>
      <c r="N114" s="64">
        <f t="shared" si="113"/>
        <v>49686.417287716096</v>
      </c>
      <c r="O114" s="64">
        <f t="shared" si="113"/>
        <v>64153.742900431258</v>
      </c>
      <c r="P114" s="64">
        <f t="shared" si="113"/>
        <v>43062.954865674466</v>
      </c>
      <c r="Q114" s="64">
        <f t="shared" si="113"/>
        <v>44103.983041845488</v>
      </c>
      <c r="R114" s="64">
        <f t="shared" si="113"/>
        <v>37178.582753115741</v>
      </c>
      <c r="S114" s="64">
        <f t="shared" si="113"/>
        <v>40672.684563176139</v>
      </c>
      <c r="T114" s="64">
        <f t="shared" si="113"/>
        <v>35715.5640666408</v>
      </c>
      <c r="U114" s="64">
        <f t="shared" si="113"/>
        <v>35319.748466392681</v>
      </c>
      <c r="V114" s="64">
        <f t="shared" si="113"/>
        <v>25432.065889691763</v>
      </c>
      <c r="W114" s="64">
        <f t="shared" si="113"/>
        <v>37674.200026298968</v>
      </c>
      <c r="X114" s="64">
        <f t="shared" ref="X114:Y114" si="114">X82*1000000/X$8</f>
        <v>32690.252217076668</v>
      </c>
      <c r="Y114" s="64">
        <f t="shared" si="114"/>
        <v>27028.292757454205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133318.78850089299</v>
      </c>
      <c r="C115" s="65">
        <f t="shared" ref="C115:W115" si="116">C83*1000000/C$8</f>
        <v>75461.360312778561</v>
      </c>
      <c r="D115" s="65">
        <f t="shared" si="116"/>
        <v>59476.035809119254</v>
      </c>
      <c r="E115" s="65">
        <f t="shared" si="116"/>
        <v>36333.023944773027</v>
      </c>
      <c r="F115" s="65">
        <f t="shared" si="116"/>
        <v>39115.580534109933</v>
      </c>
      <c r="G115" s="65">
        <f t="shared" si="116"/>
        <v>65327.382186814735</v>
      </c>
      <c r="H115" s="65">
        <f t="shared" si="116"/>
        <v>73083.640821742869</v>
      </c>
      <c r="I115" s="65">
        <f t="shared" si="116"/>
        <v>70516.582200526362</v>
      </c>
      <c r="J115" s="65">
        <f t="shared" si="116"/>
        <v>75573.296504888174</v>
      </c>
      <c r="K115" s="65">
        <f t="shared" si="116"/>
        <v>86137.037980618828</v>
      </c>
      <c r="L115" s="65">
        <f t="shared" si="116"/>
        <v>75723.45769121818</v>
      </c>
      <c r="M115" s="65">
        <f t="shared" si="116"/>
        <v>50547.553621910003</v>
      </c>
      <c r="N115" s="65">
        <f t="shared" si="116"/>
        <v>42116.626102811322</v>
      </c>
      <c r="O115" s="65">
        <f t="shared" si="116"/>
        <v>55715.83893620703</v>
      </c>
      <c r="P115" s="65">
        <f t="shared" si="116"/>
        <v>34460.40552645312</v>
      </c>
      <c r="Q115" s="65">
        <f t="shared" si="116"/>
        <v>35298.59036354821</v>
      </c>
      <c r="R115" s="65">
        <f t="shared" si="116"/>
        <v>29122.881316921765</v>
      </c>
      <c r="S115" s="65">
        <f t="shared" si="116"/>
        <v>33367.50981779916</v>
      </c>
      <c r="T115" s="65">
        <f t="shared" si="116"/>
        <v>29297.438278706955</v>
      </c>
      <c r="U115" s="65">
        <f t="shared" si="116"/>
        <v>29625.119655528335</v>
      </c>
      <c r="V115" s="65">
        <f t="shared" si="116"/>
        <v>21381.200911360454</v>
      </c>
      <c r="W115" s="65">
        <f t="shared" si="116"/>
        <v>31338.550357421427</v>
      </c>
      <c r="X115" s="65">
        <f t="shared" ref="X115:Y115" si="117">X83*1000000/X$8</f>
        <v>26548.506151284379</v>
      </c>
      <c r="Y115" s="65">
        <f t="shared" si="117"/>
        <v>21469.620501144989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1.171806112114651</v>
      </c>
      <c r="C116" s="65">
        <f t="shared" ref="C116:W116" si="119">C84*1000000/C$8</f>
        <v>1.8340099837516224</v>
      </c>
      <c r="D116" s="65">
        <f t="shared" si="119"/>
        <v>1.6084262122417525</v>
      </c>
      <c r="E116" s="65">
        <f t="shared" si="119"/>
        <v>0.60852622042847837</v>
      </c>
      <c r="F116" s="65">
        <f t="shared" si="119"/>
        <v>1.7113502418886506</v>
      </c>
      <c r="G116" s="65">
        <f t="shared" si="119"/>
        <v>2.4838635545748229</v>
      </c>
      <c r="H116" s="65">
        <f t="shared" si="119"/>
        <v>2.8533317544661183</v>
      </c>
      <c r="I116" s="65">
        <f t="shared" si="119"/>
        <v>2.9480042490480121</v>
      </c>
      <c r="J116" s="65">
        <f t="shared" si="119"/>
        <v>3.0939054793300063</v>
      </c>
      <c r="K116" s="65">
        <f t="shared" si="119"/>
        <v>3.0892479591825603</v>
      </c>
      <c r="L116" s="65">
        <f t="shared" si="119"/>
        <v>3.376836757706601</v>
      </c>
      <c r="M116" s="65">
        <f t="shared" si="119"/>
        <v>3.5589677294493254</v>
      </c>
      <c r="N116" s="65">
        <f t="shared" si="119"/>
        <v>4.0942902785082769</v>
      </c>
      <c r="O116" s="65">
        <f t="shared" si="119"/>
        <v>5.0615785964823585</v>
      </c>
      <c r="P116" s="65">
        <f t="shared" si="119"/>
        <v>6.5885254353421994</v>
      </c>
      <c r="Q116" s="65">
        <f t="shared" si="119"/>
        <v>8.7875931391252156</v>
      </c>
      <c r="R116" s="65">
        <f t="shared" si="119"/>
        <v>11.140887557204195</v>
      </c>
      <c r="S116" s="65">
        <f t="shared" si="119"/>
        <v>13.211211480922348</v>
      </c>
      <c r="T116" s="65">
        <f t="shared" si="119"/>
        <v>14.879598375897464</v>
      </c>
      <c r="U116" s="65">
        <f t="shared" si="119"/>
        <v>16.222325449453823</v>
      </c>
      <c r="V116" s="65">
        <f t="shared" si="119"/>
        <v>17.241333011403928</v>
      </c>
      <c r="W116" s="65">
        <f t="shared" si="119"/>
        <v>18.137923759056189</v>
      </c>
      <c r="X116" s="65">
        <f t="shared" ref="X116:Y116" si="120">X84*1000000/X$8</f>
        <v>19.637890322296233</v>
      </c>
      <c r="Y116" s="65">
        <f t="shared" si="120"/>
        <v>19.003822786893309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1552.6535931896167</v>
      </c>
      <c r="C117" s="65">
        <f t="shared" ref="C117:W117" si="122">C85*1000000/C$8</f>
        <v>2178.8442389337542</v>
      </c>
      <c r="D117" s="65">
        <f t="shared" si="122"/>
        <v>2427.4065566421082</v>
      </c>
      <c r="E117" s="65">
        <f t="shared" si="122"/>
        <v>2116.0446355705285</v>
      </c>
      <c r="F117" s="65">
        <f t="shared" si="122"/>
        <v>2180.747022371459</v>
      </c>
      <c r="G117" s="65">
        <f t="shared" si="122"/>
        <v>1950.0708015099813</v>
      </c>
      <c r="H117" s="65">
        <f t="shared" si="122"/>
        <v>2263.7434483384964</v>
      </c>
      <c r="I117" s="65">
        <f t="shared" si="122"/>
        <v>2844.3255966106667</v>
      </c>
      <c r="J117" s="65">
        <f t="shared" si="122"/>
        <v>3005.50154833955</v>
      </c>
      <c r="K117" s="65">
        <f t="shared" si="122"/>
        <v>3124.8275885712774</v>
      </c>
      <c r="L117" s="65">
        <f t="shared" si="122"/>
        <v>3214.8877196056787</v>
      </c>
      <c r="M117" s="65">
        <f t="shared" si="122"/>
        <v>3208.8597504018035</v>
      </c>
      <c r="N117" s="65">
        <f t="shared" si="122"/>
        <v>3825.139352362246</v>
      </c>
      <c r="O117" s="65">
        <f t="shared" si="122"/>
        <v>4180.6456692670645</v>
      </c>
      <c r="P117" s="65">
        <f t="shared" si="122"/>
        <v>4288.7482741511603</v>
      </c>
      <c r="Q117" s="65">
        <f t="shared" si="122"/>
        <v>4358.3952191618382</v>
      </c>
      <c r="R117" s="65">
        <f t="shared" si="122"/>
        <v>3736.3802842628797</v>
      </c>
      <c r="S117" s="65">
        <f t="shared" si="122"/>
        <v>3535.0337101578884</v>
      </c>
      <c r="T117" s="65">
        <f t="shared" si="122"/>
        <v>3046.7870227249859</v>
      </c>
      <c r="U117" s="65">
        <f t="shared" si="122"/>
        <v>2943.7827272465629</v>
      </c>
      <c r="V117" s="65">
        <f t="shared" si="122"/>
        <v>1649.4013667377392</v>
      </c>
      <c r="W117" s="65">
        <f t="shared" si="122"/>
        <v>2640.9660342380457</v>
      </c>
      <c r="X117" s="65">
        <f t="shared" ref="X117:Y117" si="123">X85*1000000/X$8</f>
        <v>2480.2695938443021</v>
      </c>
      <c r="Y117" s="65">
        <f t="shared" si="123"/>
        <v>2308.4296904910298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4623.2171029906731</v>
      </c>
      <c r="C118" s="67">
        <f t="shared" ref="C118:W118" si="125">C86*1000000/C$8</f>
        <v>5368.8964481858711</v>
      </c>
      <c r="D118" s="67">
        <f t="shared" si="125"/>
        <v>6837.8761363572003</v>
      </c>
      <c r="E118" s="67">
        <f t="shared" si="125"/>
        <v>6671.5450396954966</v>
      </c>
      <c r="F118" s="67">
        <f t="shared" si="125"/>
        <v>6202.5949107890374</v>
      </c>
      <c r="G118" s="67">
        <f t="shared" si="125"/>
        <v>5813.7577161810095</v>
      </c>
      <c r="H118" s="67">
        <f t="shared" si="125"/>
        <v>5492.976484853054</v>
      </c>
      <c r="I118" s="67">
        <f t="shared" si="125"/>
        <v>4091.4296680267125</v>
      </c>
      <c r="J118" s="67">
        <f t="shared" si="125"/>
        <v>3496.5189106351763</v>
      </c>
      <c r="K118" s="67">
        <f t="shared" si="125"/>
        <v>3965.1488461365925</v>
      </c>
      <c r="L118" s="67">
        <f t="shared" si="125"/>
        <v>4392.1895392275455</v>
      </c>
      <c r="M118" s="67">
        <f t="shared" si="125"/>
        <v>2777.7254517121064</v>
      </c>
      <c r="N118" s="67">
        <f t="shared" si="125"/>
        <v>3740.5575422640286</v>
      </c>
      <c r="O118" s="67">
        <f t="shared" si="125"/>
        <v>4252.196716360696</v>
      </c>
      <c r="P118" s="67">
        <f t="shared" si="125"/>
        <v>4307.2125396348438</v>
      </c>
      <c r="Q118" s="67">
        <f t="shared" si="125"/>
        <v>4438.2098659963203</v>
      </c>
      <c r="R118" s="67">
        <f t="shared" si="125"/>
        <v>4308.1802643738902</v>
      </c>
      <c r="S118" s="67">
        <f t="shared" si="125"/>
        <v>3756.929823738169</v>
      </c>
      <c r="T118" s="67">
        <f t="shared" si="125"/>
        <v>3356.4591668329617</v>
      </c>
      <c r="U118" s="67">
        <f t="shared" si="125"/>
        <v>2734.6237581683345</v>
      </c>
      <c r="V118" s="67">
        <f t="shared" si="125"/>
        <v>2384.2222785821637</v>
      </c>
      <c r="W118" s="67">
        <f t="shared" si="125"/>
        <v>3676.5457108804358</v>
      </c>
      <c r="X118" s="67">
        <f t="shared" ref="X118:Y118" si="126">X86*1000000/X$8</f>
        <v>3641.8385816256941</v>
      </c>
      <c r="Y118" s="67">
        <f t="shared" si="126"/>
        <v>3231.2387430312924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0.54457989318533939</v>
      </c>
      <c r="C121" s="86">
        <f t="shared" ref="C121:W121" si="131">IF(C107=0,"",C107/C100)</f>
        <v>0.58522884757887628</v>
      </c>
      <c r="D121" s="86">
        <f t="shared" si="131"/>
        <v>0.61361387427627079</v>
      </c>
      <c r="E121" s="86">
        <f t="shared" si="131"/>
        <v>0.61995458213786181</v>
      </c>
      <c r="F121" s="86">
        <f t="shared" si="131"/>
        <v>0.64513587220204804</v>
      </c>
      <c r="G121" s="86">
        <f t="shared" si="131"/>
        <v>0.59955416343127421</v>
      </c>
      <c r="H121" s="86">
        <f t="shared" si="131"/>
        <v>0.59954376876747761</v>
      </c>
      <c r="I121" s="86">
        <f t="shared" si="131"/>
        <v>0.61224790096548709</v>
      </c>
      <c r="J121" s="86">
        <f t="shared" si="131"/>
        <v>0.61657829461941338</v>
      </c>
      <c r="K121" s="86">
        <f t="shared" si="131"/>
        <v>0.64071015026010059</v>
      </c>
      <c r="L121" s="86">
        <f t="shared" si="131"/>
        <v>0.63876439707707589</v>
      </c>
      <c r="M121" s="86">
        <f t="shared" si="131"/>
        <v>0.67918482056856988</v>
      </c>
      <c r="N121" s="86">
        <f t="shared" si="131"/>
        <v>0.65848490259056824</v>
      </c>
      <c r="O121" s="86">
        <f t="shared" si="131"/>
        <v>0.66043962682594182</v>
      </c>
      <c r="P121" s="86">
        <f t="shared" si="131"/>
        <v>0.67303980834595623</v>
      </c>
      <c r="Q121" s="86">
        <f t="shared" si="131"/>
        <v>0.6828303848292242</v>
      </c>
      <c r="R121" s="86">
        <f t="shared" si="131"/>
        <v>0.70001570562817728</v>
      </c>
      <c r="S121" s="86">
        <f t="shared" si="131"/>
        <v>0.70535317238761941</v>
      </c>
      <c r="T121" s="86">
        <f t="shared" si="131"/>
        <v>0.71950447793696359</v>
      </c>
      <c r="U121" s="86">
        <f t="shared" si="131"/>
        <v>0.73351759614509215</v>
      </c>
      <c r="V121" s="86">
        <f t="shared" si="131"/>
        <v>0.75838744969118643</v>
      </c>
      <c r="W121" s="86">
        <f t="shared" si="131"/>
        <v>0.75797296346471943</v>
      </c>
      <c r="X121" s="86">
        <f t="shared" ref="X121:Y121" si="132">IF(X107=0,"",X107/X100)</f>
        <v>0.78615228169545437</v>
      </c>
      <c r="Y121" s="86">
        <f t="shared" si="132"/>
        <v>0.80823521401604292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0.52947059993169832</v>
      </c>
      <c r="C122" s="75">
        <f t="shared" ref="C122:W122" si="134">IF(C108=0,"",C108/C101)</f>
        <v>0.5709924543295799</v>
      </c>
      <c r="D122" s="75">
        <f t="shared" si="134"/>
        <v>0.60193695035515438</v>
      </c>
      <c r="E122" s="75">
        <f t="shared" si="134"/>
        <v>0.60364141600602017</v>
      </c>
      <c r="F122" s="75">
        <f t="shared" si="134"/>
        <v>0.63357733586215681</v>
      </c>
      <c r="G122" s="75">
        <f t="shared" si="134"/>
        <v>0.58124273100455248</v>
      </c>
      <c r="H122" s="75">
        <f t="shared" si="134"/>
        <v>0.58085957056161852</v>
      </c>
      <c r="I122" s="75">
        <f t="shared" si="134"/>
        <v>0.59196155454737798</v>
      </c>
      <c r="J122" s="75">
        <f t="shared" si="134"/>
        <v>0.59625206627381244</v>
      </c>
      <c r="K122" s="75">
        <f t="shared" si="134"/>
        <v>0.62404339719484014</v>
      </c>
      <c r="L122" s="75">
        <f t="shared" si="134"/>
        <v>0.62275499686293168</v>
      </c>
      <c r="M122" s="75">
        <f t="shared" si="134"/>
        <v>0.6613288632746025</v>
      </c>
      <c r="N122" s="75">
        <f t="shared" si="134"/>
        <v>0.6316442167307148</v>
      </c>
      <c r="O122" s="75">
        <f t="shared" si="134"/>
        <v>0.6404084446936863</v>
      </c>
      <c r="P122" s="75">
        <f t="shared" si="134"/>
        <v>0.64466108509787801</v>
      </c>
      <c r="Q122" s="75">
        <f t="shared" si="134"/>
        <v>0.65530362383562746</v>
      </c>
      <c r="R122" s="75">
        <f t="shared" si="134"/>
        <v>0.67751513088689186</v>
      </c>
      <c r="S122" s="75">
        <f t="shared" si="134"/>
        <v>0.68077292251687271</v>
      </c>
      <c r="T122" s="75">
        <f t="shared" si="134"/>
        <v>0.69065799995101052</v>
      </c>
      <c r="U122" s="75">
        <f t="shared" si="134"/>
        <v>0.69760967740354263</v>
      </c>
      <c r="V122" s="75">
        <f t="shared" si="134"/>
        <v>0.72390473064789707</v>
      </c>
      <c r="W122" s="75">
        <f t="shared" si="134"/>
        <v>0.73443488106085697</v>
      </c>
      <c r="X122" s="75">
        <f t="shared" ref="X122:Y122" si="135">IF(X108=0,"",X108/X101)</f>
        <v>0.76353861018008695</v>
      </c>
      <c r="Y122" s="75">
        <f t="shared" si="135"/>
        <v>0.78423532989067857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1.7181774579700559</v>
      </c>
      <c r="C123" s="76">
        <f t="shared" ref="C123:W123" si="137">IF(C109=0,"",C109/C102)</f>
        <v>1.7924984160191511</v>
      </c>
      <c r="D123" s="76">
        <f t="shared" si="137"/>
        <v>1.8857664837056056</v>
      </c>
      <c r="E123" s="76">
        <f t="shared" si="137"/>
        <v>1.9749574489059065</v>
      </c>
      <c r="F123" s="76">
        <f t="shared" si="137"/>
        <v>2.0685185348674127</v>
      </c>
      <c r="G123" s="76">
        <f t="shared" si="137"/>
        <v>2.1689226000302186</v>
      </c>
      <c r="H123" s="76">
        <f t="shared" si="137"/>
        <v>2.2857000317849776</v>
      </c>
      <c r="I123" s="76">
        <f t="shared" si="137"/>
        <v>2.426250678557075</v>
      </c>
      <c r="J123" s="76">
        <f t="shared" si="137"/>
        <v>2.5741131364683607</v>
      </c>
      <c r="K123" s="76">
        <f t="shared" si="137"/>
        <v>2.6197917738168459</v>
      </c>
      <c r="L123" s="76">
        <f t="shared" si="137"/>
        <v>2.6894690629633455</v>
      </c>
      <c r="M123" s="76">
        <f t="shared" si="137"/>
        <v>2.7796681348653594</v>
      </c>
      <c r="N123" s="76">
        <f t="shared" si="137"/>
        <v>2.8843927751282807</v>
      </c>
      <c r="O123" s="76">
        <f t="shared" si="137"/>
        <v>2.9852529269617869</v>
      </c>
      <c r="P123" s="76">
        <f t="shared" si="137"/>
        <v>3.0915380203697866</v>
      </c>
      <c r="Q123" s="76">
        <f t="shared" si="137"/>
        <v>3.2041395480931105</v>
      </c>
      <c r="R123" s="76">
        <f t="shared" si="137"/>
        <v>3.3098754024819144</v>
      </c>
      <c r="S123" s="76">
        <f t="shared" si="137"/>
        <v>3.43059906124651</v>
      </c>
      <c r="T123" s="76">
        <f t="shared" si="137"/>
        <v>3.5263098225215961</v>
      </c>
      <c r="U123" s="76">
        <f t="shared" si="137"/>
        <v>3.6038871284544847</v>
      </c>
      <c r="V123" s="76">
        <f t="shared" si="137"/>
        <v>3.6696097427982335</v>
      </c>
      <c r="W123" s="76">
        <f t="shared" si="137"/>
        <v>3.7455904293368412</v>
      </c>
      <c r="X123" s="76">
        <f t="shared" ref="X123:Y123" si="138">IF(X109=0,"",X109/X102)</f>
        <v>3.7980858164327085</v>
      </c>
      <c r="Y123" s="76">
        <f t="shared" si="138"/>
        <v>3.8434991639753036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0.62058704676393694</v>
      </c>
      <c r="C124" s="76">
        <f t="shared" ref="C124:W124" si="140">IF(C110=0,"",C110/C103)</f>
        <v>0.61620424570222343</v>
      </c>
      <c r="D124" s="76">
        <f t="shared" si="140"/>
        <v>0.62249250982954074</v>
      </c>
      <c r="E124" s="76">
        <f t="shared" si="140"/>
        <v>0.63028164247534313</v>
      </c>
      <c r="F124" s="76">
        <f t="shared" si="140"/>
        <v>0.6389562136136</v>
      </c>
      <c r="G124" s="76">
        <f t="shared" si="140"/>
        <v>0.63463805348951097</v>
      </c>
      <c r="H124" s="76">
        <f t="shared" si="140"/>
        <v>0.63321124591066025</v>
      </c>
      <c r="I124" s="76">
        <f t="shared" si="140"/>
        <v>0.63320970926820674</v>
      </c>
      <c r="J124" s="76">
        <f t="shared" si="140"/>
        <v>0.63647196237725057</v>
      </c>
      <c r="K124" s="76">
        <f t="shared" si="140"/>
        <v>0.64072136093457877</v>
      </c>
      <c r="L124" s="76">
        <f t="shared" si="140"/>
        <v>0.64438788043961703</v>
      </c>
      <c r="M124" s="76">
        <f t="shared" si="140"/>
        <v>0.64996059378696291</v>
      </c>
      <c r="N124" s="76">
        <f t="shared" si="140"/>
        <v>0.65261274053416485</v>
      </c>
      <c r="O124" s="76">
        <f t="shared" si="140"/>
        <v>0.65477741121792132</v>
      </c>
      <c r="P124" s="76">
        <f t="shared" si="140"/>
        <v>0.6604899554219108</v>
      </c>
      <c r="Q124" s="76">
        <f t="shared" si="140"/>
        <v>0.66319028968664062</v>
      </c>
      <c r="R124" s="76">
        <f t="shared" si="140"/>
        <v>0.68263740476232604</v>
      </c>
      <c r="S124" s="76">
        <f t="shared" si="140"/>
        <v>0.69525574610248875</v>
      </c>
      <c r="T124" s="76">
        <f t="shared" si="140"/>
        <v>0.71257528666124548</v>
      </c>
      <c r="U124" s="76">
        <f t="shared" si="140"/>
        <v>0.7271834874347578</v>
      </c>
      <c r="V124" s="76">
        <f t="shared" si="140"/>
        <v>0.75287602569389289</v>
      </c>
      <c r="W124" s="76">
        <f t="shared" si="140"/>
        <v>0.75716535248365158</v>
      </c>
      <c r="X124" s="76">
        <f t="shared" ref="X124:Y124" si="141">IF(X110=0,"",X110/X103)</f>
        <v>0.77612225733079332</v>
      </c>
      <c r="Y124" s="76">
        <f t="shared" si="141"/>
        <v>0.79333259182966132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0.70146023909430133</v>
      </c>
      <c r="C125" s="56">
        <f t="shared" ref="C125:W125" si="143">IF(C111=0,"",C111/C104)</f>
        <v>0.68730810012221777</v>
      </c>
      <c r="D125" s="56">
        <f t="shared" si="143"/>
        <v>0.66687336414282361</v>
      </c>
      <c r="E125" s="56">
        <f t="shared" si="143"/>
        <v>0.67349055449562067</v>
      </c>
      <c r="F125" s="56">
        <f t="shared" si="143"/>
        <v>0.68532382999307495</v>
      </c>
      <c r="G125" s="56">
        <f t="shared" si="143"/>
        <v>0.69624479180440413</v>
      </c>
      <c r="H125" s="56">
        <f t="shared" si="143"/>
        <v>0.70244416772651286</v>
      </c>
      <c r="I125" s="56">
        <f t="shared" si="143"/>
        <v>0.72953429117571633</v>
      </c>
      <c r="J125" s="56">
        <f t="shared" si="143"/>
        <v>0.74218466906491987</v>
      </c>
      <c r="K125" s="56">
        <f t="shared" si="143"/>
        <v>0.73433987940360357</v>
      </c>
      <c r="L125" s="56">
        <f t="shared" si="143"/>
        <v>0.72503299470620042</v>
      </c>
      <c r="M125" s="56">
        <f t="shared" si="143"/>
        <v>0.76133921756610878</v>
      </c>
      <c r="N125" s="56">
        <f t="shared" si="143"/>
        <v>0.73816278792273649</v>
      </c>
      <c r="O125" s="56">
        <f t="shared" si="143"/>
        <v>0.72670146592591323</v>
      </c>
      <c r="P125" s="56">
        <f t="shared" si="143"/>
        <v>0.7241571193951023</v>
      </c>
      <c r="Q125" s="56">
        <f t="shared" si="143"/>
        <v>0.72033773554684777</v>
      </c>
      <c r="R125" s="56">
        <f t="shared" si="143"/>
        <v>0.72555439317594228</v>
      </c>
      <c r="S125" s="56">
        <f t="shared" si="143"/>
        <v>0.74360835769212696</v>
      </c>
      <c r="T125" s="56">
        <f t="shared" si="143"/>
        <v>0.75841081710857139</v>
      </c>
      <c r="U125" s="56">
        <f t="shared" si="143"/>
        <v>0.78083713888312289</v>
      </c>
      <c r="V125" s="56">
        <f t="shared" si="143"/>
        <v>0.78842036752411737</v>
      </c>
      <c r="W125" s="56">
        <f t="shared" si="143"/>
        <v>0.7576046597484718</v>
      </c>
      <c r="X125" s="56">
        <f t="shared" ref="X125:Y125" si="144">IF(X111=0,"",X111/X104)</f>
        <v>0.75994352054276137</v>
      </c>
      <c r="Y125" s="56">
        <f t="shared" si="144"/>
        <v>0.77461346400833564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977.83407619777495</v>
      </c>
      <c r="C129" s="82">
        <f t="shared" ref="C129:W129" si="146">IF(C99=0,0,C99/C$26)</f>
        <v>746.86549934581342</v>
      </c>
      <c r="D129" s="82">
        <f t="shared" si="146"/>
        <v>664.29212532050019</v>
      </c>
      <c r="E129" s="82">
        <f t="shared" si="146"/>
        <v>542.56220211978837</v>
      </c>
      <c r="F129" s="82">
        <f t="shared" si="146"/>
        <v>585.50939214001414</v>
      </c>
      <c r="G129" s="82">
        <f t="shared" si="146"/>
        <v>691.09004502606706</v>
      </c>
      <c r="H129" s="82">
        <f t="shared" si="146"/>
        <v>704.4734740139279</v>
      </c>
      <c r="I129" s="82">
        <f t="shared" si="146"/>
        <v>664.5814844965995</v>
      </c>
      <c r="J129" s="82">
        <f t="shared" si="146"/>
        <v>666.11388891045078</v>
      </c>
      <c r="K129" s="82">
        <f t="shared" si="146"/>
        <v>669.30947715311947</v>
      </c>
      <c r="L129" s="82">
        <f t="shared" si="146"/>
        <v>708.36526784135492</v>
      </c>
      <c r="M129" s="82">
        <f t="shared" si="146"/>
        <v>533.36758365052469</v>
      </c>
      <c r="N129" s="82">
        <f t="shared" si="146"/>
        <v>478.56937383182014</v>
      </c>
      <c r="O129" s="82">
        <f t="shared" si="146"/>
        <v>559.1909881019028</v>
      </c>
      <c r="P129" s="82">
        <f t="shared" si="146"/>
        <v>399.69606818375075</v>
      </c>
      <c r="Q129" s="82">
        <f t="shared" si="146"/>
        <v>415.43622846637709</v>
      </c>
      <c r="R129" s="82">
        <f t="shared" si="146"/>
        <v>412.9999638235758</v>
      </c>
      <c r="S129" s="82">
        <f t="shared" si="146"/>
        <v>444.24989588518156</v>
      </c>
      <c r="T129" s="82">
        <f t="shared" si="146"/>
        <v>403.17111181237101</v>
      </c>
      <c r="U129" s="82">
        <f t="shared" si="146"/>
        <v>366.07013002262869</v>
      </c>
      <c r="V129" s="82">
        <f t="shared" si="146"/>
        <v>325.95737339177759</v>
      </c>
      <c r="W129" s="82">
        <f t="shared" si="146"/>
        <v>409.5386639732107</v>
      </c>
      <c r="X129" s="82">
        <f t="shared" ref="X129:Y129" si="147">IF(X99=0,0,X99/X$26)</f>
        <v>367.31364245528806</v>
      </c>
      <c r="Y129" s="82">
        <f t="shared" si="147"/>
        <v>322.12881967316576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908.23807867057644</v>
      </c>
      <c r="C130" s="64">
        <f t="shared" ref="C130:W130" si="149">IF(C100=0,0,C100/C$26)</f>
        <v>675.81401429977882</v>
      </c>
      <c r="D130" s="64">
        <f t="shared" si="149"/>
        <v>592.25131886669203</v>
      </c>
      <c r="E130" s="64">
        <f t="shared" si="149"/>
        <v>469.49008054138659</v>
      </c>
      <c r="F130" s="64">
        <f t="shared" si="149"/>
        <v>511.38217012826965</v>
      </c>
      <c r="G130" s="64">
        <f t="shared" si="149"/>
        <v>616.17277137600638</v>
      </c>
      <c r="H130" s="64">
        <f t="shared" si="149"/>
        <v>629.48544695156613</v>
      </c>
      <c r="I130" s="64">
        <f t="shared" si="149"/>
        <v>589.44278545156919</v>
      </c>
      <c r="J130" s="64">
        <f t="shared" si="149"/>
        <v>590.63307268912888</v>
      </c>
      <c r="K130" s="64">
        <f t="shared" si="149"/>
        <v>592.45124915173301</v>
      </c>
      <c r="L130" s="64">
        <f t="shared" si="149"/>
        <v>631.49435029096355</v>
      </c>
      <c r="M130" s="64">
        <f t="shared" si="149"/>
        <v>456.54374468875164</v>
      </c>
      <c r="N130" s="64">
        <f t="shared" si="149"/>
        <v>401.54470477788112</v>
      </c>
      <c r="O130" s="64">
        <f t="shared" si="149"/>
        <v>481.91438874543161</v>
      </c>
      <c r="P130" s="64">
        <f t="shared" si="149"/>
        <v>321.61323416913501</v>
      </c>
      <c r="Q130" s="64">
        <f t="shared" si="149"/>
        <v>336.03538944238562</v>
      </c>
      <c r="R130" s="64">
        <f t="shared" si="149"/>
        <v>333.94923742708676</v>
      </c>
      <c r="S130" s="64">
        <f t="shared" si="149"/>
        <v>364.15892806383937</v>
      </c>
      <c r="T130" s="64">
        <f t="shared" si="149"/>
        <v>323.98834537635622</v>
      </c>
      <c r="U130" s="64">
        <f t="shared" si="149"/>
        <v>288.27036202988421</v>
      </c>
      <c r="V130" s="64">
        <f t="shared" si="149"/>
        <v>249.57877249015942</v>
      </c>
      <c r="W130" s="64">
        <f t="shared" si="149"/>
        <v>331.56769319411461</v>
      </c>
      <c r="X130" s="64">
        <f t="shared" ref="X130:Y130" si="150">IF(X100=0,0,X100/X$26)</f>
        <v>293.10333004814686</v>
      </c>
      <c r="Y130" s="64">
        <f t="shared" si="150"/>
        <v>250.64579489679213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821.06361489151993</v>
      </c>
      <c r="C131" s="65">
        <f t="shared" ref="C131:W131" si="152">IF(C101=0,0,C101/C$26)</f>
        <v>587.72463462161045</v>
      </c>
      <c r="D131" s="65">
        <f t="shared" si="152"/>
        <v>500.54362850923098</v>
      </c>
      <c r="E131" s="65">
        <f t="shared" si="152"/>
        <v>377.57348492246501</v>
      </c>
      <c r="F131" s="65">
        <f t="shared" si="152"/>
        <v>420.25033558559079</v>
      </c>
      <c r="G131" s="65">
        <f t="shared" si="152"/>
        <v>523.48222412916414</v>
      </c>
      <c r="H131" s="65">
        <f t="shared" si="152"/>
        <v>537.06692792679132</v>
      </c>
      <c r="I131" s="65">
        <f t="shared" si="152"/>
        <v>500.46265776498785</v>
      </c>
      <c r="J131" s="65">
        <f t="shared" si="152"/>
        <v>503.91813092832751</v>
      </c>
      <c r="K131" s="65">
        <f t="shared" si="152"/>
        <v>503.01264005388526</v>
      </c>
      <c r="L131" s="65">
        <f t="shared" si="152"/>
        <v>542.01579357086121</v>
      </c>
      <c r="M131" s="65">
        <f t="shared" si="152"/>
        <v>370.07073435122174</v>
      </c>
      <c r="N131" s="65">
        <f t="shared" si="152"/>
        <v>313.18056787942567</v>
      </c>
      <c r="O131" s="65">
        <f t="shared" si="152"/>
        <v>392.98166721996478</v>
      </c>
      <c r="P131" s="65">
        <f t="shared" si="152"/>
        <v>233.23421240423983</v>
      </c>
      <c r="Q131" s="65">
        <f t="shared" si="152"/>
        <v>247.15211888112066</v>
      </c>
      <c r="R131" s="65">
        <f t="shared" si="152"/>
        <v>247.05632150391847</v>
      </c>
      <c r="S131" s="65">
        <f t="shared" si="152"/>
        <v>278.69674973786073</v>
      </c>
      <c r="T131" s="65">
        <f t="shared" si="152"/>
        <v>241.5189763305759</v>
      </c>
      <c r="U131" s="65">
        <f t="shared" si="152"/>
        <v>208.92225431322689</v>
      </c>
      <c r="V131" s="65">
        <f t="shared" si="152"/>
        <v>179.24632648187119</v>
      </c>
      <c r="W131" s="65">
        <f t="shared" si="152"/>
        <v>252.79743152435361</v>
      </c>
      <c r="X131" s="65">
        <f t="shared" ref="X131:Y131" si="153">IF(X101=0,0,X101/X$26)</f>
        <v>215.13250104594323</v>
      </c>
      <c r="Y131" s="65">
        <f t="shared" si="153"/>
        <v>174.62467331305785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2.3318194503204013</v>
      </c>
      <c r="C132" s="65">
        <f t="shared" ref="C132:W132" si="155">IF(C102=0,0,C102/C$26)</f>
        <v>2.3209310977131699</v>
      </c>
      <c r="D132" s="65">
        <f t="shared" si="155"/>
        <v>2.4259641854649354</v>
      </c>
      <c r="E132" s="65">
        <f t="shared" si="155"/>
        <v>2.4431278672893177</v>
      </c>
      <c r="F132" s="65">
        <f t="shared" si="155"/>
        <v>2.3534852736255463</v>
      </c>
      <c r="G132" s="65">
        <f t="shared" si="155"/>
        <v>2.3269397285040938</v>
      </c>
      <c r="H132" s="65">
        <f t="shared" si="155"/>
        <v>2.3392633695516953</v>
      </c>
      <c r="I132" s="65">
        <f t="shared" si="155"/>
        <v>2.4054486028184638</v>
      </c>
      <c r="J132" s="65">
        <f t="shared" si="155"/>
        <v>2.2317057669013911</v>
      </c>
      <c r="K132" s="65">
        <f t="shared" si="155"/>
        <v>2.2890555509549686</v>
      </c>
      <c r="L132" s="65">
        <f t="shared" si="155"/>
        <v>2.3806127251767397</v>
      </c>
      <c r="M132" s="65">
        <f t="shared" si="155"/>
        <v>2.2718837984007476</v>
      </c>
      <c r="N132" s="65">
        <f t="shared" si="155"/>
        <v>2.4755846773059558</v>
      </c>
      <c r="O132" s="65">
        <f t="shared" si="155"/>
        <v>2.3479692080183177</v>
      </c>
      <c r="P132" s="65">
        <f t="shared" si="155"/>
        <v>2.1317840594244077</v>
      </c>
      <c r="Q132" s="65">
        <f t="shared" si="155"/>
        <v>2.4581668005774469</v>
      </c>
      <c r="R132" s="65">
        <f t="shared" si="155"/>
        <v>2.0437669815418733</v>
      </c>
      <c r="S132" s="65">
        <f t="shared" si="155"/>
        <v>2.1402990731375855</v>
      </c>
      <c r="T132" s="65">
        <f t="shared" si="155"/>
        <v>2.0737857689637611</v>
      </c>
      <c r="U132" s="65">
        <f t="shared" si="155"/>
        <v>2.1249905395564834</v>
      </c>
      <c r="V132" s="65">
        <f t="shared" si="155"/>
        <v>1.8652083943375783</v>
      </c>
      <c r="W132" s="65">
        <f t="shared" si="155"/>
        <v>2.007021980091912</v>
      </c>
      <c r="X132" s="65">
        <f t="shared" ref="X132:Y132" si="156">IF(X102=0,0,X102/X$26)</f>
        <v>2.0620608191798211</v>
      </c>
      <c r="Y132" s="65">
        <f t="shared" si="156"/>
        <v>1.960963084192779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45.02196557757437</v>
      </c>
      <c r="C133" s="65">
        <f t="shared" ref="C133:W133" si="158">IF(C103=0,0,C103/C$26)</f>
        <v>44.865213185142366</v>
      </c>
      <c r="D133" s="65">
        <f t="shared" si="158"/>
        <v>44.985298747340074</v>
      </c>
      <c r="E133" s="65">
        <f t="shared" si="158"/>
        <v>44.923032844071912</v>
      </c>
      <c r="F133" s="65">
        <f t="shared" si="158"/>
        <v>44.432991679359525</v>
      </c>
      <c r="G133" s="65">
        <f t="shared" si="158"/>
        <v>45.505255751942393</v>
      </c>
      <c r="H133" s="65">
        <f t="shared" si="158"/>
        <v>45.9158722714566</v>
      </c>
      <c r="I133" s="65">
        <f t="shared" si="158"/>
        <v>45.315153297557636</v>
      </c>
      <c r="J133" s="65">
        <f t="shared" si="158"/>
        <v>44.815045624951345</v>
      </c>
      <c r="K133" s="65">
        <f t="shared" si="158"/>
        <v>45.999760300739645</v>
      </c>
      <c r="L133" s="65">
        <f t="shared" si="158"/>
        <v>46.108228380157215</v>
      </c>
      <c r="M133" s="65">
        <f t="shared" si="158"/>
        <v>45.624370163267741</v>
      </c>
      <c r="N133" s="65">
        <f t="shared" si="158"/>
        <v>46.146793815066836</v>
      </c>
      <c r="O133" s="65">
        <f t="shared" si="158"/>
        <v>46.214964276619476</v>
      </c>
      <c r="P133" s="65">
        <f t="shared" si="158"/>
        <v>46.26487915334075</v>
      </c>
      <c r="Q133" s="65">
        <f t="shared" si="158"/>
        <v>46.127658226981588</v>
      </c>
      <c r="R133" s="65">
        <f t="shared" si="158"/>
        <v>45.249487973821246</v>
      </c>
      <c r="S133" s="65">
        <f t="shared" si="158"/>
        <v>44.87657155787084</v>
      </c>
      <c r="T133" s="65">
        <f t="shared" si="158"/>
        <v>43.233686999336413</v>
      </c>
      <c r="U133" s="65">
        <f t="shared" si="158"/>
        <v>41.967457998655107</v>
      </c>
      <c r="V133" s="65">
        <f t="shared" si="158"/>
        <v>36.726139733086846</v>
      </c>
      <c r="W133" s="65">
        <f t="shared" si="158"/>
        <v>40.006078581730598</v>
      </c>
      <c r="X133" s="65">
        <f t="shared" ref="X133:Y133" si="159">IF(X103=0,0,X103/X$26)</f>
        <v>39.781866910464906</v>
      </c>
      <c r="Y133" s="65">
        <f t="shared" si="159"/>
        <v>38.942172405278725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39.820678751161722</v>
      </c>
      <c r="C134" s="67">
        <f t="shared" ref="C134:W134" si="161">IF(C104=0,0,C104/C$26)</f>
        <v>40.903235395312755</v>
      </c>
      <c r="D134" s="67">
        <f t="shared" si="161"/>
        <v>44.296427424655988</v>
      </c>
      <c r="E134" s="67">
        <f t="shared" si="161"/>
        <v>44.550434907560337</v>
      </c>
      <c r="F134" s="67">
        <f t="shared" si="161"/>
        <v>44.345357589693627</v>
      </c>
      <c r="G134" s="67">
        <f t="shared" si="161"/>
        <v>44.8583517663957</v>
      </c>
      <c r="H134" s="67">
        <f t="shared" si="161"/>
        <v>44.163383383766536</v>
      </c>
      <c r="I134" s="67">
        <f t="shared" si="161"/>
        <v>41.259525786205316</v>
      </c>
      <c r="J134" s="67">
        <f t="shared" si="161"/>
        <v>39.668190368948608</v>
      </c>
      <c r="K134" s="67">
        <f t="shared" si="161"/>
        <v>41.14979324615318</v>
      </c>
      <c r="L134" s="67">
        <f t="shared" si="161"/>
        <v>40.989715614768272</v>
      </c>
      <c r="M134" s="67">
        <f t="shared" si="161"/>
        <v>38.576756375861422</v>
      </c>
      <c r="N134" s="67">
        <f t="shared" si="161"/>
        <v>39.741758406082674</v>
      </c>
      <c r="O134" s="67">
        <f t="shared" si="161"/>
        <v>40.369788040828993</v>
      </c>
      <c r="P134" s="67">
        <f t="shared" si="161"/>
        <v>39.982358552130052</v>
      </c>
      <c r="Q134" s="67">
        <f t="shared" si="161"/>
        <v>40.297445533706025</v>
      </c>
      <c r="R134" s="67">
        <f t="shared" si="161"/>
        <v>39.599660967805171</v>
      </c>
      <c r="S134" s="67">
        <f t="shared" si="161"/>
        <v>38.445307694970147</v>
      </c>
      <c r="T134" s="67">
        <f t="shared" si="161"/>
        <v>37.161896277480146</v>
      </c>
      <c r="U134" s="67">
        <f t="shared" si="161"/>
        <v>35.255659178445754</v>
      </c>
      <c r="V134" s="67">
        <f t="shared" si="161"/>
        <v>31.741097880863812</v>
      </c>
      <c r="W134" s="67">
        <f t="shared" si="161"/>
        <v>36.757161107938508</v>
      </c>
      <c r="X134" s="67">
        <f t="shared" ref="X134:Y134" si="162">IF(X104=0,0,X104/X$26)</f>
        <v>36.126901272558904</v>
      </c>
      <c r="Y134" s="67">
        <f t="shared" si="162"/>
        <v>35.117986094262704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69.595997527198449</v>
      </c>
      <c r="C135" s="68">
        <f t="shared" ref="C135:W135" si="164">IF(C105=0,0,C105/C$26)</f>
        <v>71.051485046034614</v>
      </c>
      <c r="D135" s="68">
        <f t="shared" si="164"/>
        <v>72.040806453808202</v>
      </c>
      <c r="E135" s="68">
        <f t="shared" si="164"/>
        <v>73.072121578401749</v>
      </c>
      <c r="F135" s="68">
        <f t="shared" si="164"/>
        <v>74.127222011744635</v>
      </c>
      <c r="G135" s="68">
        <f t="shared" si="164"/>
        <v>74.917273650060793</v>
      </c>
      <c r="H135" s="68">
        <f t="shared" si="164"/>
        <v>74.988027062361724</v>
      </c>
      <c r="I135" s="68">
        <f t="shared" si="164"/>
        <v>75.138699045030265</v>
      </c>
      <c r="J135" s="68">
        <f t="shared" si="164"/>
        <v>75.480816221321973</v>
      </c>
      <c r="K135" s="68">
        <f t="shared" si="164"/>
        <v>76.858228001386436</v>
      </c>
      <c r="L135" s="68">
        <f t="shared" si="164"/>
        <v>76.870917550391383</v>
      </c>
      <c r="M135" s="68">
        <f t="shared" si="164"/>
        <v>76.823838961773021</v>
      </c>
      <c r="N135" s="68">
        <f t="shared" si="164"/>
        <v>77.024669053938979</v>
      </c>
      <c r="O135" s="68">
        <f t="shared" si="164"/>
        <v>77.276599356471309</v>
      </c>
      <c r="P135" s="68">
        <f t="shared" si="164"/>
        <v>78.082834014615671</v>
      </c>
      <c r="Q135" s="68">
        <f t="shared" si="164"/>
        <v>79.400839023991423</v>
      </c>
      <c r="R135" s="68">
        <f t="shared" si="164"/>
        <v>79.050726396489068</v>
      </c>
      <c r="S135" s="68">
        <f t="shared" si="164"/>
        <v>80.090967821342275</v>
      </c>
      <c r="T135" s="68">
        <f t="shared" si="164"/>
        <v>79.182766436014703</v>
      </c>
      <c r="U135" s="68">
        <f t="shared" si="164"/>
        <v>77.799767992744535</v>
      </c>
      <c r="V135" s="68">
        <f t="shared" si="164"/>
        <v>76.378600901618199</v>
      </c>
      <c r="W135" s="68">
        <f t="shared" si="164"/>
        <v>77.97097077909612</v>
      </c>
      <c r="X135" s="68">
        <f t="shared" ref="X135:Y135" si="165">IF(X105=0,0,X105/X$26)</f>
        <v>74.210312407141217</v>
      </c>
      <c r="Y135" s="68">
        <f t="shared" si="165"/>
        <v>71.483024776373711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494.60819586928039</v>
      </c>
      <c r="C137" s="85">
        <f t="shared" ref="C137:W137" si="167">IF(C107=0,0,C107/C$26)</f>
        <v>395.5058567663138</v>
      </c>
      <c r="D137" s="85">
        <f t="shared" si="167"/>
        <v>363.41362631502193</v>
      </c>
      <c r="E137" s="85">
        <f t="shared" si="167"/>
        <v>291.06252669990641</v>
      </c>
      <c r="F137" s="85">
        <f t="shared" si="167"/>
        <v>329.91098235427739</v>
      </c>
      <c r="G137" s="85">
        <f t="shared" si="167"/>
        <v>369.4289504714713</v>
      </c>
      <c r="H137" s="85">
        <f t="shared" si="167"/>
        <v>377.40407724962205</v>
      </c>
      <c r="I137" s="85">
        <f t="shared" si="167"/>
        <v>360.8851081319732</v>
      </c>
      <c r="J137" s="85">
        <f t="shared" si="167"/>
        <v>364.17153270448711</v>
      </c>
      <c r="K137" s="85">
        <f t="shared" si="167"/>
        <v>379.58952886579118</v>
      </c>
      <c r="L137" s="85">
        <f t="shared" si="167"/>
        <v>403.37610792118704</v>
      </c>
      <c r="M137" s="85">
        <f t="shared" si="167"/>
        <v>310.07758131813273</v>
      </c>
      <c r="N137" s="85">
        <f t="shared" si="167"/>
        <v>264.41112581142153</v>
      </c>
      <c r="O137" s="85">
        <f t="shared" si="167"/>
        <v>318.27535906508467</v>
      </c>
      <c r="P137" s="85">
        <f t="shared" si="167"/>
        <v>216.45850948671779</v>
      </c>
      <c r="Q137" s="85">
        <f t="shared" si="167"/>
        <v>229.45517428918239</v>
      </c>
      <c r="R137" s="85">
        <f t="shared" si="167"/>
        <v>233.76971108151383</v>
      </c>
      <c r="S137" s="85">
        <f t="shared" si="167"/>
        <v>256.86065516310396</v>
      </c>
      <c r="T137" s="85">
        <f t="shared" si="167"/>
        <v>233.11106529767582</v>
      </c>
      <c r="U137" s="85">
        <f t="shared" si="167"/>
        <v>211.4513829960361</v>
      </c>
      <c r="V137" s="85">
        <f t="shared" si="167"/>
        <v>189.27740876586884</v>
      </c>
      <c r="W137" s="85">
        <f t="shared" si="167"/>
        <v>251.31934699950395</v>
      </c>
      <c r="X137" s="85">
        <f t="shared" ref="X137:Y137" si="168">IF(X107=0,0,X107/X$26)</f>
        <v>230.42385168988648</v>
      </c>
      <c r="Y137" s="85">
        <f t="shared" si="168"/>
        <v>202.58075768062997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434.729044758702</v>
      </c>
      <c r="C138" s="65">
        <f t="shared" ref="C138:W138" si="170">IF(C108=0,0,C108/C$26)</f>
        <v>335.58633159254896</v>
      </c>
      <c r="D138" s="65">
        <f t="shared" si="170"/>
        <v>301.29570526454978</v>
      </c>
      <c r="E138" s="65">
        <f t="shared" si="170"/>
        <v>227.91899308492449</v>
      </c>
      <c r="F138" s="65">
        <f t="shared" si="170"/>
        <v>266.261088015496</v>
      </c>
      <c r="G138" s="65">
        <f t="shared" si="170"/>
        <v>304.27023758517259</v>
      </c>
      <c r="H138" s="65">
        <f t="shared" si="170"/>
        <v>311.96046511840382</v>
      </c>
      <c r="I138" s="65">
        <f t="shared" si="170"/>
        <v>296.25465288347459</v>
      </c>
      <c r="J138" s="65">
        <f t="shared" si="170"/>
        <v>300.46222679885284</v>
      </c>
      <c r="K138" s="65">
        <f t="shared" si="170"/>
        <v>313.90171673117186</v>
      </c>
      <c r="L138" s="65">
        <f t="shared" si="170"/>
        <v>337.54304382488112</v>
      </c>
      <c r="M138" s="65">
        <f t="shared" si="170"/>
        <v>244.73845807969087</v>
      </c>
      <c r="N138" s="65">
        <f t="shared" si="170"/>
        <v>197.81869449348031</v>
      </c>
      <c r="O138" s="65">
        <f t="shared" si="170"/>
        <v>251.66877829746946</v>
      </c>
      <c r="P138" s="65">
        <f t="shared" si="170"/>
        <v>150.35702045046622</v>
      </c>
      <c r="Q138" s="65">
        <f t="shared" si="170"/>
        <v>161.95967914145217</v>
      </c>
      <c r="R138" s="65">
        <f t="shared" si="170"/>
        <v>167.38439600016136</v>
      </c>
      <c r="S138" s="65">
        <f t="shared" si="170"/>
        <v>189.72920081499694</v>
      </c>
      <c r="T138" s="65">
        <f t="shared" si="170"/>
        <v>166.80701314269101</v>
      </c>
      <c r="U138" s="65">
        <f t="shared" si="170"/>
        <v>145.74618643387109</v>
      </c>
      <c r="V138" s="65">
        <f t="shared" si="170"/>
        <v>129.75726369148398</v>
      </c>
      <c r="W138" s="65">
        <f t="shared" si="170"/>
        <v>185.66325155407876</v>
      </c>
      <c r="X138" s="65">
        <f t="shared" ref="X138:Y138" si="171">IF(X108=0,0,X108/X$26)</f>
        <v>164.26197085318557</v>
      </c>
      <c r="Y138" s="65">
        <f t="shared" si="171"/>
        <v>136.94683828271792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4.00647961559664</v>
      </c>
      <c r="C139" s="65">
        <f t="shared" ref="C139:W139" si="173">IF(C109=0,0,C109/C$26)</f>
        <v>4.1602653163404471</v>
      </c>
      <c r="D139" s="65">
        <f t="shared" si="173"/>
        <v>4.5748019516199445</v>
      </c>
      <c r="E139" s="65">
        <f t="shared" si="173"/>
        <v>4.8250735801326394</v>
      </c>
      <c r="F139" s="65">
        <f t="shared" si="173"/>
        <v>4.8682279100319468</v>
      </c>
      <c r="G139" s="65">
        <f t="shared" si="173"/>
        <v>5.0469521660607093</v>
      </c>
      <c r="H139" s="65">
        <f t="shared" si="173"/>
        <v>5.3468543581377439</v>
      </c>
      <c r="I139" s="65">
        <f t="shared" si="173"/>
        <v>5.836221304822466</v>
      </c>
      <c r="J139" s="65">
        <f t="shared" si="173"/>
        <v>5.744663131313068</v>
      </c>
      <c r="K139" s="65">
        <f t="shared" si="173"/>
        <v>5.9968489022016156</v>
      </c>
      <c r="L139" s="65">
        <f t="shared" si="173"/>
        <v>6.4025842752597022</v>
      </c>
      <c r="M139" s="65">
        <f t="shared" si="173"/>
        <v>6.315083000531434</v>
      </c>
      <c r="N139" s="65">
        <f t="shared" si="173"/>
        <v>7.1405585574395758</v>
      </c>
      <c r="O139" s="65">
        <f t="shared" si="173"/>
        <v>7.0092819506528317</v>
      </c>
      <c r="P139" s="65">
        <f t="shared" si="173"/>
        <v>6.5904914709288018</v>
      </c>
      <c r="Q139" s="65">
        <f t="shared" si="173"/>
        <v>7.8763094615397078</v>
      </c>
      <c r="R139" s="65">
        <f t="shared" si="173"/>
        <v>6.764614060610155</v>
      </c>
      <c r="S139" s="65">
        <f t="shared" si="173"/>
        <v>7.3425079910925755</v>
      </c>
      <c r="T139" s="65">
        <f t="shared" si="173"/>
        <v>7.312811126902413</v>
      </c>
      <c r="U139" s="65">
        <f t="shared" si="173"/>
        <v>7.6582260535951603</v>
      </c>
      <c r="V139" s="65">
        <f t="shared" si="173"/>
        <v>6.8445868962102265</v>
      </c>
      <c r="W139" s="65">
        <f t="shared" si="173"/>
        <v>7.5174823201009424</v>
      </c>
      <c r="X139" s="65">
        <f t="shared" ref="X139:Y139" si="174">IF(X109=0,0,X109/X$26)</f>
        <v>7.8318839499484909</v>
      </c>
      <c r="Y139" s="65">
        <f t="shared" si="174"/>
        <v>7.5369599746813787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27.940048657294504</v>
      </c>
      <c r="C140" s="65">
        <f t="shared" ref="C140:W140" si="176">IF(C110=0,0,C110/C$26)</f>
        <v>27.646134849020104</v>
      </c>
      <c r="D140" s="65">
        <f t="shared" si="176"/>
        <v>28.003011522663417</v>
      </c>
      <c r="E140" s="65">
        <f t="shared" si="176"/>
        <v>28.314162925935431</v>
      </c>
      <c r="F140" s="65">
        <f t="shared" si="176"/>
        <v>28.390736122968157</v>
      </c>
      <c r="G140" s="65">
        <f t="shared" si="176"/>
        <v>28.879366933955094</v>
      </c>
      <c r="H140" s="65">
        <f t="shared" si="176"/>
        <v>29.074446688083771</v>
      </c>
      <c r="I140" s="65">
        <f t="shared" si="176"/>
        <v>28.69399504499069</v>
      </c>
      <c r="J140" s="65">
        <f t="shared" si="176"/>
        <v>28.523520032938805</v>
      </c>
      <c r="K140" s="65">
        <f t="shared" si="176"/>
        <v>29.473029022554311</v>
      </c>
      <c r="L140" s="65">
        <f t="shared" si="176"/>
        <v>29.711583556715304</v>
      </c>
      <c r="M140" s="65">
        <f t="shared" si="176"/>
        <v>29.654042722473694</v>
      </c>
      <c r="N140" s="65">
        <f t="shared" si="176"/>
        <v>30.115985578515815</v>
      </c>
      <c r="O140" s="65">
        <f t="shared" si="176"/>
        <v>30.260514668573617</v>
      </c>
      <c r="P140" s="65">
        <f t="shared" si="176"/>
        <v>30.557487969590124</v>
      </c>
      <c r="Q140" s="65">
        <f t="shared" si="176"/>
        <v>30.591415022118269</v>
      </c>
      <c r="R140" s="65">
        <f t="shared" si="176"/>
        <v>30.888993037273416</v>
      </c>
      <c r="S140" s="65">
        <f t="shared" si="176"/>
        <v>31.200694240989215</v>
      </c>
      <c r="T140" s="65">
        <f t="shared" si="176"/>
        <v>30.807256906974711</v>
      </c>
      <c r="U140" s="65">
        <f t="shared" si="176"/>
        <v>30.518042466233737</v>
      </c>
      <c r="V140" s="65">
        <f t="shared" si="176"/>
        <v>27.650230121324991</v>
      </c>
      <c r="W140" s="65">
        <f t="shared" si="176"/>
        <v>30.29121659082471</v>
      </c>
      <c r="X140" s="65">
        <f t="shared" ref="X140:Y140" si="177">IF(X110=0,0,X110/X$26)</f>
        <v>30.875592347383215</v>
      </c>
      <c r="Y140" s="65">
        <f t="shared" si="177"/>
        <v>30.894094565757293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27.932622837687266</v>
      </c>
      <c r="C141" s="68">
        <f t="shared" ref="C141:W141" si="179">IF(C111=0,0,C111/C$26)</f>
        <v>28.113125008404261</v>
      </c>
      <c r="D141" s="68">
        <f t="shared" si="179"/>
        <v>29.540107576188767</v>
      </c>
      <c r="E141" s="68">
        <f t="shared" si="179"/>
        <v>30.004297108913867</v>
      </c>
      <c r="F141" s="68">
        <f t="shared" si="179"/>
        <v>30.390930305781314</v>
      </c>
      <c r="G141" s="68">
        <f t="shared" si="179"/>
        <v>31.232393786282898</v>
      </c>
      <c r="H141" s="68">
        <f t="shared" si="179"/>
        <v>31.02231108499679</v>
      </c>
      <c r="I141" s="68">
        <f t="shared" si="179"/>
        <v>30.100238898685486</v>
      </c>
      <c r="J141" s="68">
        <f t="shared" si="179"/>
        <v>29.441122741382365</v>
      </c>
      <c r="K141" s="68">
        <f t="shared" si="179"/>
        <v>30.217934209863348</v>
      </c>
      <c r="L141" s="68">
        <f t="shared" si="179"/>
        <v>29.718896264330947</v>
      </c>
      <c r="M141" s="68">
        <f t="shared" si="179"/>
        <v>29.369997515436729</v>
      </c>
      <c r="N141" s="68">
        <f t="shared" si="179"/>
        <v>29.335887181985839</v>
      </c>
      <c r="O141" s="68">
        <f t="shared" si="179"/>
        <v>29.33678414838883</v>
      </c>
      <c r="P141" s="68">
        <f t="shared" si="179"/>
        <v>28.953509595732633</v>
      </c>
      <c r="Q141" s="68">
        <f t="shared" si="179"/>
        <v>29.027770664072232</v>
      </c>
      <c r="R141" s="68">
        <f t="shared" si="179"/>
        <v>28.731707983468926</v>
      </c>
      <c r="S141" s="68">
        <f t="shared" si="179"/>
        <v>28.588252116025238</v>
      </c>
      <c r="T141" s="68">
        <f t="shared" si="179"/>
        <v>28.183984121107695</v>
      </c>
      <c r="U141" s="68">
        <f t="shared" si="179"/>
        <v>27.528928042336094</v>
      </c>
      <c r="V141" s="68">
        <f t="shared" si="179"/>
        <v>25.025328056849631</v>
      </c>
      <c r="W141" s="68">
        <f t="shared" si="179"/>
        <v>27.847396534499509</v>
      </c>
      <c r="X141" s="68">
        <f t="shared" ref="X141:Y141" si="180">IF(X111=0,0,X111/X$26)</f>
        <v>27.454404539369179</v>
      </c>
      <c r="Y141" s="68">
        <f t="shared" si="180"/>
        <v>27.202864857473394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154.99536778131713</v>
      </c>
      <c r="C143" s="82">
        <f t="shared" ref="C143:W143" si="182">IF(C113=0,0,C113/C$26)</f>
        <v>92.23437223320218</v>
      </c>
      <c r="D143" s="82">
        <f t="shared" si="182"/>
        <v>76.381029920367581</v>
      </c>
      <c r="E143" s="82">
        <f t="shared" si="182"/>
        <v>50.134691273621655</v>
      </c>
      <c r="F143" s="82">
        <f t="shared" si="182"/>
        <v>52.778482019458124</v>
      </c>
      <c r="G143" s="82">
        <f t="shared" si="182"/>
        <v>81.215216186733656</v>
      </c>
      <c r="H143" s="82">
        <f t="shared" si="182"/>
        <v>89.825793429654325</v>
      </c>
      <c r="I143" s="82">
        <f t="shared" si="182"/>
        <v>86.06142829934754</v>
      </c>
      <c r="J143" s="82">
        <f t="shared" si="182"/>
        <v>91.198234299269146</v>
      </c>
      <c r="K143" s="82">
        <f t="shared" si="182"/>
        <v>103.58900407031766</v>
      </c>
      <c r="L143" s="82">
        <f t="shared" si="182"/>
        <v>92.593235318676804</v>
      </c>
      <c r="M143" s="82">
        <f t="shared" si="182"/>
        <v>62.819664213059269</v>
      </c>
      <c r="N143" s="82">
        <f t="shared" si="182"/>
        <v>55.207130319684559</v>
      </c>
      <c r="O143" s="82">
        <f t="shared" si="182"/>
        <v>71.281936556034736</v>
      </c>
      <c r="P143" s="82">
        <f t="shared" si="182"/>
        <v>47.847727628527188</v>
      </c>
      <c r="Q143" s="82">
        <f t="shared" si="182"/>
        <v>49.004425602050539</v>
      </c>
      <c r="R143" s="82">
        <f t="shared" si="182"/>
        <v>41.309536392350822</v>
      </c>
      <c r="S143" s="82">
        <f t="shared" si="182"/>
        <v>45.191871736862382</v>
      </c>
      <c r="T143" s="82">
        <f t="shared" si="182"/>
        <v>39.683960074045331</v>
      </c>
      <c r="U143" s="82">
        <f t="shared" si="182"/>
        <v>39.244164962658537</v>
      </c>
      <c r="V143" s="82">
        <f t="shared" si="182"/>
        <v>28.257850988546405</v>
      </c>
      <c r="W143" s="82">
        <f t="shared" si="182"/>
        <v>41.86022225144329</v>
      </c>
      <c r="X143" s="82">
        <f t="shared" ref="X143:Y143" si="183">IF(X113=0,0,X113/X$26)</f>
        <v>36.322502463418523</v>
      </c>
      <c r="Y143" s="82">
        <f t="shared" si="183"/>
        <v>30.031436397171337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154.99536778131713</v>
      </c>
      <c r="C144" s="64">
        <f t="shared" ref="C144:W144" si="185">IF(C114=0,0,C114/C$26)</f>
        <v>92.23437223320218</v>
      </c>
      <c r="D144" s="64">
        <f t="shared" si="185"/>
        <v>76.381029920367581</v>
      </c>
      <c r="E144" s="64">
        <f t="shared" si="185"/>
        <v>50.134691273621655</v>
      </c>
      <c r="F144" s="64">
        <f t="shared" si="185"/>
        <v>52.778482019458124</v>
      </c>
      <c r="G144" s="64">
        <f t="shared" si="185"/>
        <v>81.215216186733656</v>
      </c>
      <c r="H144" s="64">
        <f t="shared" si="185"/>
        <v>89.825793429654325</v>
      </c>
      <c r="I144" s="64">
        <f t="shared" si="185"/>
        <v>86.06142829934754</v>
      </c>
      <c r="J144" s="64">
        <f t="shared" si="185"/>
        <v>91.198234299269146</v>
      </c>
      <c r="K144" s="64">
        <f t="shared" si="185"/>
        <v>103.58900407031766</v>
      </c>
      <c r="L144" s="64">
        <f t="shared" si="185"/>
        <v>92.593235318676804</v>
      </c>
      <c r="M144" s="64">
        <f t="shared" si="185"/>
        <v>62.819664213059269</v>
      </c>
      <c r="N144" s="64">
        <f t="shared" si="185"/>
        <v>55.207130319684559</v>
      </c>
      <c r="O144" s="64">
        <f t="shared" si="185"/>
        <v>71.281936556034736</v>
      </c>
      <c r="P144" s="64">
        <f t="shared" si="185"/>
        <v>47.847727628527188</v>
      </c>
      <c r="Q144" s="64">
        <f t="shared" si="185"/>
        <v>49.004425602050539</v>
      </c>
      <c r="R144" s="64">
        <f t="shared" si="185"/>
        <v>41.309536392350822</v>
      </c>
      <c r="S144" s="64">
        <f t="shared" si="185"/>
        <v>45.191871736862382</v>
      </c>
      <c r="T144" s="64">
        <f t="shared" si="185"/>
        <v>39.683960074045331</v>
      </c>
      <c r="U144" s="64">
        <f t="shared" si="185"/>
        <v>39.244164962658537</v>
      </c>
      <c r="V144" s="64">
        <f t="shared" si="185"/>
        <v>28.257850988546405</v>
      </c>
      <c r="W144" s="64">
        <f t="shared" si="185"/>
        <v>41.86022225144329</v>
      </c>
      <c r="X144" s="64">
        <f t="shared" ref="X144:Y144" si="186">IF(X114=0,0,X114/X$26)</f>
        <v>36.322502463418523</v>
      </c>
      <c r="Y144" s="64">
        <f t="shared" si="186"/>
        <v>30.031436397171337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148.13198722321445</v>
      </c>
      <c r="C145" s="65">
        <f t="shared" ref="C145:W145" si="188">IF(C115=0,0,C115/C$26)</f>
        <v>83.845955903087301</v>
      </c>
      <c r="D145" s="65">
        <f t="shared" si="188"/>
        <v>66.084484232354725</v>
      </c>
      <c r="E145" s="65">
        <f t="shared" si="188"/>
        <v>40.370026605303366</v>
      </c>
      <c r="F145" s="65">
        <f t="shared" si="188"/>
        <v>43.46175614901103</v>
      </c>
      <c r="G145" s="65">
        <f t="shared" si="188"/>
        <v>72.585980207571922</v>
      </c>
      <c r="H145" s="65">
        <f t="shared" si="188"/>
        <v>81.204045357492078</v>
      </c>
      <c r="I145" s="65">
        <f t="shared" si="188"/>
        <v>78.351758000584852</v>
      </c>
      <c r="J145" s="65">
        <f t="shared" si="188"/>
        <v>83.970329449875749</v>
      </c>
      <c r="K145" s="65">
        <f t="shared" si="188"/>
        <v>95.707819978465366</v>
      </c>
      <c r="L145" s="65">
        <f t="shared" si="188"/>
        <v>84.137175212464655</v>
      </c>
      <c r="M145" s="65">
        <f t="shared" si="188"/>
        <v>56.163948468788888</v>
      </c>
      <c r="N145" s="65">
        <f t="shared" si="188"/>
        <v>46.79625122534592</v>
      </c>
      <c r="O145" s="65">
        <f t="shared" si="188"/>
        <v>61.906487706896698</v>
      </c>
      <c r="P145" s="65">
        <f t="shared" si="188"/>
        <v>38.289339473836797</v>
      </c>
      <c r="Q145" s="65">
        <f t="shared" si="188"/>
        <v>39.220655959498011</v>
      </c>
      <c r="R145" s="65">
        <f t="shared" si="188"/>
        <v>32.35875701880196</v>
      </c>
      <c r="S145" s="65">
        <f t="shared" si="188"/>
        <v>37.075010908665739</v>
      </c>
      <c r="T145" s="65">
        <f t="shared" si="188"/>
        <v>32.552709198563285</v>
      </c>
      <c r="U145" s="65">
        <f t="shared" si="188"/>
        <v>32.916799617253709</v>
      </c>
      <c r="V145" s="65">
        <f t="shared" si="188"/>
        <v>23.756889901511617</v>
      </c>
      <c r="W145" s="65">
        <f t="shared" si="188"/>
        <v>34.820611508246024</v>
      </c>
      <c r="X145" s="65">
        <f t="shared" ref="X145:Y145" si="189">IF(X115=0,0,X115/X$26)</f>
        <v>29.498340168093758</v>
      </c>
      <c r="Y145" s="65">
        <f t="shared" si="189"/>
        <v>23.855133890161099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1.3020067912385012E-3</v>
      </c>
      <c r="C146" s="65">
        <f t="shared" ref="C146:W146" si="191">IF(C116=0,0,C116/C$26)</f>
        <v>2.0377888708351362E-3</v>
      </c>
      <c r="D146" s="65">
        <f t="shared" si="191"/>
        <v>1.7871402358241694E-3</v>
      </c>
      <c r="E146" s="65">
        <f t="shared" si="191"/>
        <v>6.7614024492053154E-4</v>
      </c>
      <c r="F146" s="65">
        <f t="shared" si="191"/>
        <v>1.901500268765167E-3</v>
      </c>
      <c r="G146" s="65">
        <f t="shared" si="191"/>
        <v>2.7598483939720252E-3</v>
      </c>
      <c r="H146" s="65">
        <f t="shared" si="191"/>
        <v>3.1703686160734646E-3</v>
      </c>
      <c r="I146" s="65">
        <f t="shared" si="191"/>
        <v>3.2755602767200135E-3</v>
      </c>
      <c r="J146" s="65">
        <f t="shared" si="191"/>
        <v>3.4376727548111182E-3</v>
      </c>
      <c r="K146" s="65">
        <f t="shared" si="191"/>
        <v>3.4324977324250668E-3</v>
      </c>
      <c r="L146" s="65">
        <f t="shared" si="191"/>
        <v>3.7520408418962236E-3</v>
      </c>
      <c r="M146" s="65">
        <f t="shared" si="191"/>
        <v>3.9544085882770273E-3</v>
      </c>
      <c r="N146" s="65">
        <f t="shared" si="191"/>
        <v>4.5492114205647523E-3</v>
      </c>
      <c r="O146" s="65">
        <f t="shared" si="191"/>
        <v>5.6239762183137318E-3</v>
      </c>
      <c r="P146" s="65">
        <f t="shared" si="191"/>
        <v>7.3205838170468879E-3</v>
      </c>
      <c r="Q146" s="65">
        <f t="shared" si="191"/>
        <v>9.7639923768057958E-3</v>
      </c>
      <c r="R146" s="65">
        <f t="shared" si="191"/>
        <v>1.2378763952449103E-2</v>
      </c>
      <c r="S146" s="65">
        <f t="shared" si="191"/>
        <v>1.4679123867691499E-2</v>
      </c>
      <c r="T146" s="65">
        <f t="shared" si="191"/>
        <v>1.6532887084330514E-2</v>
      </c>
      <c r="U146" s="65">
        <f t="shared" si="191"/>
        <v>1.8024806054948696E-2</v>
      </c>
      <c r="V146" s="65">
        <f t="shared" si="191"/>
        <v>1.9157036679337696E-2</v>
      </c>
      <c r="W146" s="65">
        <f t="shared" si="191"/>
        <v>2.0153248621173542E-2</v>
      </c>
      <c r="X146" s="65">
        <f t="shared" ref="X146:Y146" si="192">IF(X116=0,0,X116/X$26)</f>
        <v>2.1819878135884707E-2</v>
      </c>
      <c r="Y146" s="65">
        <f t="shared" si="192"/>
        <v>2.1115358652103677E-2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1.7251706590995743</v>
      </c>
      <c r="C147" s="65">
        <f t="shared" ref="C147:W147" si="194">IF(C117=0,0,C117/C$26)</f>
        <v>2.4209380432597274</v>
      </c>
      <c r="D147" s="65">
        <f t="shared" si="194"/>
        <v>2.6971183962690093</v>
      </c>
      <c r="E147" s="65">
        <f t="shared" si="194"/>
        <v>2.3511607061894759</v>
      </c>
      <c r="F147" s="65">
        <f t="shared" si="194"/>
        <v>2.4230522470793985</v>
      </c>
      <c r="G147" s="65">
        <f t="shared" si="194"/>
        <v>2.1667453350110901</v>
      </c>
      <c r="H147" s="65">
        <f t="shared" si="194"/>
        <v>2.5152704981538849</v>
      </c>
      <c r="I147" s="65">
        <f t="shared" si="194"/>
        <v>3.1603617740118519</v>
      </c>
      <c r="J147" s="65">
        <f t="shared" si="194"/>
        <v>3.3394461648217222</v>
      </c>
      <c r="K147" s="65">
        <f t="shared" si="194"/>
        <v>3.4720306539680861</v>
      </c>
      <c r="L147" s="65">
        <f t="shared" si="194"/>
        <v>3.5720974662285325</v>
      </c>
      <c r="M147" s="65">
        <f t="shared" si="194"/>
        <v>3.56539972266867</v>
      </c>
      <c r="N147" s="65">
        <f t="shared" si="194"/>
        <v>4.2501548359580514</v>
      </c>
      <c r="O147" s="65">
        <f t="shared" si="194"/>
        <v>4.6451618547411826</v>
      </c>
      <c r="P147" s="65">
        <f t="shared" si="194"/>
        <v>4.7652758601679563</v>
      </c>
      <c r="Q147" s="65">
        <f t="shared" si="194"/>
        <v>4.8426613546242647</v>
      </c>
      <c r="R147" s="65">
        <f t="shared" si="194"/>
        <v>4.1515336491809771</v>
      </c>
      <c r="S147" s="65">
        <f t="shared" si="194"/>
        <v>3.9278152335087655</v>
      </c>
      <c r="T147" s="65">
        <f t="shared" si="194"/>
        <v>3.3853189141388733</v>
      </c>
      <c r="U147" s="65">
        <f t="shared" si="194"/>
        <v>3.2708696969406259</v>
      </c>
      <c r="V147" s="65">
        <f t="shared" si="194"/>
        <v>1.8326681852641546</v>
      </c>
      <c r="W147" s="65">
        <f t="shared" si="194"/>
        <v>2.9344067047089393</v>
      </c>
      <c r="X147" s="65">
        <f t="shared" ref="X147:Y147" si="195">IF(X117=0,0,X117/X$26)</f>
        <v>2.755855104271447</v>
      </c>
      <c r="Y147" s="65">
        <f t="shared" si="195"/>
        <v>2.5649218783233665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5.1369078922118598</v>
      </c>
      <c r="C148" s="67">
        <f t="shared" ref="C148:W148" si="197">IF(C118=0,0,C118/C$26)</f>
        <v>5.9654404979843019</v>
      </c>
      <c r="D148" s="67">
        <f t="shared" si="197"/>
        <v>7.5976401515080001</v>
      </c>
      <c r="E148" s="67">
        <f t="shared" si="197"/>
        <v>7.4128278218838854</v>
      </c>
      <c r="F148" s="67">
        <f t="shared" si="197"/>
        <v>6.8917721230989297</v>
      </c>
      <c r="G148" s="67">
        <f t="shared" si="197"/>
        <v>6.459730795756677</v>
      </c>
      <c r="H148" s="67">
        <f t="shared" si="197"/>
        <v>6.1033072053922819</v>
      </c>
      <c r="I148" s="67">
        <f t="shared" si="197"/>
        <v>4.5460329644741249</v>
      </c>
      <c r="J148" s="67">
        <f t="shared" si="197"/>
        <v>3.8850210118168627</v>
      </c>
      <c r="K148" s="67">
        <f t="shared" si="197"/>
        <v>4.4057209401517694</v>
      </c>
      <c r="L148" s="67">
        <f t="shared" si="197"/>
        <v>4.8802105991417175</v>
      </c>
      <c r="M148" s="67">
        <f t="shared" si="197"/>
        <v>3.0863616130134512</v>
      </c>
      <c r="N148" s="67">
        <f t="shared" si="197"/>
        <v>4.1561750469600325</v>
      </c>
      <c r="O148" s="67">
        <f t="shared" si="197"/>
        <v>4.7246630181785507</v>
      </c>
      <c r="P148" s="67">
        <f t="shared" si="197"/>
        <v>4.7857917107053822</v>
      </c>
      <c r="Q148" s="67">
        <f t="shared" si="197"/>
        <v>4.931344295551467</v>
      </c>
      <c r="R148" s="67">
        <f t="shared" si="197"/>
        <v>4.7868669604154332</v>
      </c>
      <c r="S148" s="67">
        <f t="shared" si="197"/>
        <v>4.1743664708201882</v>
      </c>
      <c r="T148" s="67">
        <f t="shared" si="197"/>
        <v>3.7293990742588465</v>
      </c>
      <c r="U148" s="67">
        <f t="shared" si="197"/>
        <v>3.0384708424092608</v>
      </c>
      <c r="V148" s="67">
        <f t="shared" si="197"/>
        <v>2.6491358650912931</v>
      </c>
      <c r="W148" s="67">
        <f t="shared" si="197"/>
        <v>4.0850507898671502</v>
      </c>
      <c r="X148" s="67">
        <f t="shared" ref="X148:Y148" si="198">IF(X118=0,0,X118/X$26)</f>
        <v>4.0464873129174386</v>
      </c>
      <c r="Y148" s="67">
        <f t="shared" si="198"/>
        <v>3.5902652700347693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20338.566669581891</v>
      </c>
      <c r="C153" s="82">
        <f t="shared" ref="C153:W153" si="203">IF(C99=0,0,C99/C$23)</f>
        <v>15597.692048649451</v>
      </c>
      <c r="D153" s="82">
        <f t="shared" si="203"/>
        <v>14069.102603843767</v>
      </c>
      <c r="E153" s="82">
        <f t="shared" si="203"/>
        <v>11684.026806437234</v>
      </c>
      <c r="F153" s="82">
        <f t="shared" si="203"/>
        <v>12866.137376114679</v>
      </c>
      <c r="G153" s="82">
        <f t="shared" si="203"/>
        <v>15476.239559134205</v>
      </c>
      <c r="H153" s="82">
        <f t="shared" si="203"/>
        <v>16053.971552329662</v>
      </c>
      <c r="I153" s="82">
        <f t="shared" si="203"/>
        <v>15597.930364881169</v>
      </c>
      <c r="J153" s="82">
        <f t="shared" si="203"/>
        <v>15737.502347940414</v>
      </c>
      <c r="K153" s="82">
        <f t="shared" si="203"/>
        <v>15650.145173414987</v>
      </c>
      <c r="L153" s="82">
        <f t="shared" si="203"/>
        <v>17010.005735132316</v>
      </c>
      <c r="M153" s="82">
        <f t="shared" si="203"/>
        <v>12695.169025272779</v>
      </c>
      <c r="N153" s="82">
        <f t="shared" si="203"/>
        <v>11400.783308983069</v>
      </c>
      <c r="O153" s="82">
        <f t="shared" si="203"/>
        <v>13491.067363550965</v>
      </c>
      <c r="P153" s="82">
        <f t="shared" si="203"/>
        <v>9571.9100157735302</v>
      </c>
      <c r="Q153" s="82">
        <f t="shared" si="203"/>
        <v>9850.2987212941043</v>
      </c>
      <c r="R153" s="82">
        <f t="shared" si="203"/>
        <v>9687.2038245946896</v>
      </c>
      <c r="S153" s="82">
        <f t="shared" si="203"/>
        <v>10373.189581303101</v>
      </c>
      <c r="T153" s="82">
        <f t="shared" si="203"/>
        <v>9351.1599945758626</v>
      </c>
      <c r="U153" s="82">
        <f t="shared" si="203"/>
        <v>8542.2477294394103</v>
      </c>
      <c r="V153" s="82">
        <f t="shared" si="203"/>
        <v>7818.2418484157906</v>
      </c>
      <c r="W153" s="82">
        <f t="shared" si="203"/>
        <v>9995.9119371022171</v>
      </c>
      <c r="X153" s="82">
        <f t="shared" ref="X153:Y153" si="204">IF(X99=0,0,X99/X$23)</f>
        <v>8908.2089960189842</v>
      </c>
      <c r="Y153" s="82">
        <f t="shared" si="204"/>
        <v>7850.5068506626258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18890.997117550149</v>
      </c>
      <c r="C154" s="64">
        <f t="shared" ref="C154:W154" si="206">IF(C100=0,0,C100/C$23)</f>
        <v>14113.838283389192</v>
      </c>
      <c r="D154" s="64">
        <f t="shared" si="206"/>
        <v>12543.343891630715</v>
      </c>
      <c r="E154" s="64">
        <f t="shared" si="206"/>
        <v>10110.425431351419</v>
      </c>
      <c r="F154" s="64">
        <f t="shared" si="206"/>
        <v>11237.246303629905</v>
      </c>
      <c r="G154" s="64">
        <f t="shared" si="206"/>
        <v>13798.545483709027</v>
      </c>
      <c r="H154" s="64">
        <f t="shared" si="206"/>
        <v>14345.098617249239</v>
      </c>
      <c r="I154" s="64">
        <f t="shared" si="206"/>
        <v>13834.402155394702</v>
      </c>
      <c r="J154" s="64">
        <f t="shared" si="206"/>
        <v>13954.204413032461</v>
      </c>
      <c r="K154" s="64">
        <f t="shared" si="206"/>
        <v>13853.005782666529</v>
      </c>
      <c r="L154" s="64">
        <f t="shared" si="206"/>
        <v>15164.101075828941</v>
      </c>
      <c r="M154" s="64">
        <f t="shared" si="206"/>
        <v>10866.614664854278</v>
      </c>
      <c r="N154" s="64">
        <f t="shared" si="206"/>
        <v>9565.8527652690645</v>
      </c>
      <c r="O154" s="64">
        <f t="shared" si="206"/>
        <v>11626.688591848893</v>
      </c>
      <c r="P154" s="64">
        <f t="shared" si="206"/>
        <v>7701.9845387461155</v>
      </c>
      <c r="Q154" s="64">
        <f t="shared" si="206"/>
        <v>7967.6463922110561</v>
      </c>
      <c r="R154" s="64">
        <f t="shared" si="206"/>
        <v>7833.0135917544249</v>
      </c>
      <c r="S154" s="64">
        <f t="shared" si="206"/>
        <v>8503.0736833456303</v>
      </c>
      <c r="T154" s="64">
        <f t="shared" si="206"/>
        <v>7514.5930976378222</v>
      </c>
      <c r="U154" s="64">
        <f t="shared" si="206"/>
        <v>6726.7898786558644</v>
      </c>
      <c r="V154" s="64">
        <f t="shared" si="206"/>
        <v>5986.264962362191</v>
      </c>
      <c r="W154" s="64">
        <f t="shared" si="206"/>
        <v>8092.8170009689156</v>
      </c>
      <c r="X154" s="64">
        <f t="shared" ref="X154:Y154" si="207">IF(X100=0,0,X100/X$23)</f>
        <v>7108.4365504225871</v>
      </c>
      <c r="Y154" s="64">
        <f t="shared" si="207"/>
        <v>6108.4150493690231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17077.802336744833</v>
      </c>
      <c r="C155" s="65">
        <f t="shared" ref="C155:W155" si="209">IF(C101=0,0,C101/C$23)</f>
        <v>12274.161637219138</v>
      </c>
      <c r="D155" s="65">
        <f t="shared" si="209"/>
        <v>10601.058478299721</v>
      </c>
      <c r="E155" s="65">
        <f t="shared" si="209"/>
        <v>8131.0100519313473</v>
      </c>
      <c r="F155" s="65">
        <f t="shared" si="209"/>
        <v>9234.6914030535645</v>
      </c>
      <c r="G155" s="65">
        <f t="shared" si="209"/>
        <v>11722.837514271745</v>
      </c>
      <c r="H155" s="65">
        <f t="shared" si="209"/>
        <v>12239.008991363853</v>
      </c>
      <c r="I155" s="65">
        <f t="shared" si="209"/>
        <v>11746.011389340141</v>
      </c>
      <c r="J155" s="65">
        <f t="shared" si="209"/>
        <v>11905.490788708696</v>
      </c>
      <c r="K155" s="65">
        <f t="shared" si="209"/>
        <v>11761.705324105395</v>
      </c>
      <c r="L155" s="65">
        <f t="shared" si="209"/>
        <v>13015.448633257212</v>
      </c>
      <c r="M155" s="65">
        <f t="shared" si="209"/>
        <v>8808.3915631698692</v>
      </c>
      <c r="N155" s="65">
        <f t="shared" si="209"/>
        <v>7460.7862228817621</v>
      </c>
      <c r="O155" s="65">
        <f t="shared" si="209"/>
        <v>9481.093683396346</v>
      </c>
      <c r="P155" s="65">
        <f t="shared" si="209"/>
        <v>5585.4862517858364</v>
      </c>
      <c r="Q155" s="65">
        <f t="shared" si="209"/>
        <v>5860.1586326910019</v>
      </c>
      <c r="R155" s="65">
        <f t="shared" si="209"/>
        <v>5794.8793031502819</v>
      </c>
      <c r="S155" s="65">
        <f t="shared" si="209"/>
        <v>6507.5405700736519</v>
      </c>
      <c r="T155" s="65">
        <f t="shared" si="209"/>
        <v>5601.7966645498536</v>
      </c>
      <c r="U155" s="65">
        <f t="shared" si="209"/>
        <v>4875.2015151474006</v>
      </c>
      <c r="V155" s="65">
        <f t="shared" si="209"/>
        <v>4299.3079625506507</v>
      </c>
      <c r="W155" s="65">
        <f t="shared" si="209"/>
        <v>6170.2131831156294</v>
      </c>
      <c r="X155" s="65">
        <f t="shared" ref="X155:Y155" si="210">IF(X101=0,0,X101/X$23)</f>
        <v>5217.462842771537</v>
      </c>
      <c r="Y155" s="65">
        <f t="shared" si="210"/>
        <v>4255.7266236836585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48.500933344622986</v>
      </c>
      <c r="C156" s="65">
        <f t="shared" ref="C156:W156" si="212">IF(C102=0,0,C102/C$23)</f>
        <v>48.470800378345096</v>
      </c>
      <c r="D156" s="65">
        <f t="shared" si="212"/>
        <v>51.379713438706254</v>
      </c>
      <c r="E156" s="65">
        <f t="shared" si="212"/>
        <v>52.612532501222503</v>
      </c>
      <c r="F156" s="65">
        <f t="shared" si="212"/>
        <v>51.716104386397511</v>
      </c>
      <c r="G156" s="65">
        <f t="shared" si="212"/>
        <v>52.109384207144416</v>
      </c>
      <c r="H156" s="65">
        <f t="shared" si="212"/>
        <v>53.308561604474647</v>
      </c>
      <c r="I156" s="65">
        <f t="shared" si="212"/>
        <v>56.45661318940202</v>
      </c>
      <c r="J156" s="65">
        <f t="shared" si="212"/>
        <v>52.725930702286213</v>
      </c>
      <c r="K156" s="65">
        <f t="shared" si="212"/>
        <v>53.523897248299591</v>
      </c>
      <c r="L156" s="65">
        <f t="shared" si="212"/>
        <v>57.165756067891209</v>
      </c>
      <c r="M156" s="65">
        <f t="shared" si="212"/>
        <v>54.075181376928555</v>
      </c>
      <c r="N156" s="65">
        <f t="shared" si="212"/>
        <v>58.974949113485017</v>
      </c>
      <c r="O156" s="65">
        <f t="shared" si="212"/>
        <v>56.647212539029724</v>
      </c>
      <c r="P156" s="65">
        <f t="shared" si="212"/>
        <v>51.051903719228022</v>
      </c>
      <c r="Q156" s="65">
        <f t="shared" si="212"/>
        <v>58.284943953594919</v>
      </c>
      <c r="R156" s="65">
        <f t="shared" si="212"/>
        <v>47.937988025176196</v>
      </c>
      <c r="S156" s="65">
        <f t="shared" si="212"/>
        <v>49.975764208353638</v>
      </c>
      <c r="T156" s="65">
        <f t="shared" si="212"/>
        <v>48.09943458716733</v>
      </c>
      <c r="U156" s="65">
        <f t="shared" si="212"/>
        <v>49.586661469714869</v>
      </c>
      <c r="V156" s="65">
        <f t="shared" si="212"/>
        <v>44.737905981035041</v>
      </c>
      <c r="W156" s="65">
        <f t="shared" si="212"/>
        <v>48.986864327270439</v>
      </c>
      <c r="X156" s="65">
        <f t="shared" ref="X156:Y156" si="213">IF(X102=0,0,X102/X$23)</f>
        <v>50.00976445352692</v>
      </c>
      <c r="Y156" s="65">
        <f t="shared" si="213"/>
        <v>47.790055363476483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936.43929045270158</v>
      </c>
      <c r="C157" s="65">
        <f t="shared" ref="C157:W157" si="215">IF(C103=0,0,C103/C$23)</f>
        <v>936.97430068976769</v>
      </c>
      <c r="D157" s="65">
        <f t="shared" si="215"/>
        <v>952.74768376267616</v>
      </c>
      <c r="E157" s="65">
        <f t="shared" si="215"/>
        <v>967.41335449812948</v>
      </c>
      <c r="F157" s="65">
        <f t="shared" si="215"/>
        <v>976.38224536233031</v>
      </c>
      <c r="G157" s="65">
        <f t="shared" si="215"/>
        <v>1019.0426620747616</v>
      </c>
      <c r="H157" s="65">
        <f t="shared" si="215"/>
        <v>1046.3589254061724</v>
      </c>
      <c r="I157" s="65">
        <f t="shared" si="215"/>
        <v>1063.5604844522807</v>
      </c>
      <c r="J157" s="65">
        <f t="shared" si="215"/>
        <v>1058.7932446497039</v>
      </c>
      <c r="K157" s="65">
        <f t="shared" si="215"/>
        <v>1075.5905171266131</v>
      </c>
      <c r="L157" s="65">
        <f t="shared" si="215"/>
        <v>1107.1988771743627</v>
      </c>
      <c r="M157" s="65">
        <f t="shared" si="215"/>
        <v>1085.9473066023597</v>
      </c>
      <c r="N157" s="65">
        <f t="shared" si="215"/>
        <v>1099.3382056135997</v>
      </c>
      <c r="O157" s="65">
        <f t="shared" si="215"/>
        <v>1114.9843426059554</v>
      </c>
      <c r="P157" s="65">
        <f t="shared" si="215"/>
        <v>1107.9500035082349</v>
      </c>
      <c r="Q157" s="65">
        <f t="shared" si="215"/>
        <v>1093.7207246630446</v>
      </c>
      <c r="R157" s="65">
        <f t="shared" si="215"/>
        <v>1061.3584778622449</v>
      </c>
      <c r="S157" s="65">
        <f t="shared" si="215"/>
        <v>1047.8633508763339</v>
      </c>
      <c r="T157" s="65">
        <f t="shared" si="215"/>
        <v>1002.7631257329684</v>
      </c>
      <c r="U157" s="65">
        <f t="shared" si="215"/>
        <v>979.31077517085271</v>
      </c>
      <c r="V157" s="65">
        <f t="shared" si="215"/>
        <v>880.89384082399954</v>
      </c>
      <c r="W157" s="65">
        <f t="shared" si="215"/>
        <v>976.45783812472655</v>
      </c>
      <c r="X157" s="65">
        <f t="shared" ref="X157:Y157" si="216">IF(X103=0,0,X103/X$23)</f>
        <v>964.80267468794511</v>
      </c>
      <c r="Y157" s="65">
        <f t="shared" si="216"/>
        <v>949.0482458462028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828.25455700799034</v>
      </c>
      <c r="C158" s="67">
        <f t="shared" ref="C158:W158" si="218">IF(C104=0,0,C104/C$23)</f>
        <v>854.23154510194047</v>
      </c>
      <c r="D158" s="67">
        <f t="shared" si="218"/>
        <v>938.15801612961195</v>
      </c>
      <c r="E158" s="67">
        <f t="shared" si="218"/>
        <v>959.38949242072056</v>
      </c>
      <c r="F158" s="67">
        <f t="shared" si="218"/>
        <v>974.45655082760868</v>
      </c>
      <c r="G158" s="67">
        <f t="shared" si="218"/>
        <v>1004.5559231553756</v>
      </c>
      <c r="H158" s="67">
        <f t="shared" si="218"/>
        <v>1006.4221388747408</v>
      </c>
      <c r="I158" s="67">
        <f t="shared" si="218"/>
        <v>968.37366841287974</v>
      </c>
      <c r="J158" s="67">
        <f t="shared" si="218"/>
        <v>937.19444897177493</v>
      </c>
      <c r="K158" s="67">
        <f t="shared" si="218"/>
        <v>962.18604418622238</v>
      </c>
      <c r="L158" s="67">
        <f t="shared" si="218"/>
        <v>984.28780932947063</v>
      </c>
      <c r="M158" s="67">
        <f t="shared" si="218"/>
        <v>918.20061370512246</v>
      </c>
      <c r="N158" s="67">
        <f t="shared" si="218"/>
        <v>946.75338766021787</v>
      </c>
      <c r="O158" s="67">
        <f t="shared" si="218"/>
        <v>973.96335330756153</v>
      </c>
      <c r="P158" s="67">
        <f t="shared" si="218"/>
        <v>957.49637973281597</v>
      </c>
      <c r="Q158" s="67">
        <f t="shared" si="218"/>
        <v>955.48209090341606</v>
      </c>
      <c r="R158" s="67">
        <f t="shared" si="218"/>
        <v>928.83782271672248</v>
      </c>
      <c r="S158" s="67">
        <f t="shared" si="218"/>
        <v>897.69399818729073</v>
      </c>
      <c r="T158" s="67">
        <f t="shared" si="218"/>
        <v>861.93387276783301</v>
      </c>
      <c r="U158" s="67">
        <f t="shared" si="218"/>
        <v>822.69092686789691</v>
      </c>
      <c r="V158" s="67">
        <f t="shared" si="218"/>
        <v>761.32525300650605</v>
      </c>
      <c r="W158" s="67">
        <f t="shared" si="218"/>
        <v>897.15911540128991</v>
      </c>
      <c r="X158" s="67">
        <f t="shared" ref="X158:Y158" si="219">IF(X104=0,0,X104/X$23)</f>
        <v>876.16126850957835</v>
      </c>
      <c r="Y158" s="67">
        <f t="shared" si="219"/>
        <v>855.85012447568431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1447.5695520317388</v>
      </c>
      <c r="C159" s="68">
        <f t="shared" ref="C159:W159" si="221">IF(C105=0,0,C105/C$23)</f>
        <v>1483.8537652602602</v>
      </c>
      <c r="D159" s="68">
        <f t="shared" si="221"/>
        <v>1525.7587122130521</v>
      </c>
      <c r="E159" s="68">
        <f t="shared" si="221"/>
        <v>1573.6013750858147</v>
      </c>
      <c r="F159" s="68">
        <f t="shared" si="221"/>
        <v>1628.8910724847785</v>
      </c>
      <c r="G159" s="68">
        <f t="shared" si="221"/>
        <v>1677.6940754251798</v>
      </c>
      <c r="H159" s="68">
        <f t="shared" si="221"/>
        <v>1708.8729350804213</v>
      </c>
      <c r="I159" s="68">
        <f t="shared" si="221"/>
        <v>1763.5282094864651</v>
      </c>
      <c r="J159" s="68">
        <f t="shared" si="221"/>
        <v>1783.2979349079542</v>
      </c>
      <c r="K159" s="68">
        <f t="shared" si="221"/>
        <v>1797.1393907484587</v>
      </c>
      <c r="L159" s="68">
        <f t="shared" si="221"/>
        <v>1845.9046593033761</v>
      </c>
      <c r="M159" s="68">
        <f t="shared" si="221"/>
        <v>1828.5543604184979</v>
      </c>
      <c r="N159" s="68">
        <f t="shared" si="221"/>
        <v>1834.930543714004</v>
      </c>
      <c r="O159" s="68">
        <f t="shared" si="221"/>
        <v>1864.3787717020716</v>
      </c>
      <c r="P159" s="68">
        <f t="shared" si="221"/>
        <v>1869.9254770274138</v>
      </c>
      <c r="Q159" s="68">
        <f t="shared" si="221"/>
        <v>1882.6523290830471</v>
      </c>
      <c r="R159" s="68">
        <f t="shared" si="221"/>
        <v>1854.1902328402657</v>
      </c>
      <c r="S159" s="68">
        <f t="shared" si="221"/>
        <v>1870.1158979574718</v>
      </c>
      <c r="T159" s="68">
        <f t="shared" si="221"/>
        <v>1836.5668969380383</v>
      </c>
      <c r="U159" s="68">
        <f t="shared" si="221"/>
        <v>1815.4578507835463</v>
      </c>
      <c r="V159" s="68">
        <f t="shared" si="221"/>
        <v>1831.9768860536005</v>
      </c>
      <c r="W159" s="68">
        <f t="shared" si="221"/>
        <v>1903.0949361333014</v>
      </c>
      <c r="X159" s="68">
        <f t="shared" ref="X159:Y159" si="222">IF(X105=0,0,X105/X$23)</f>
        <v>1799.7724455963978</v>
      </c>
      <c r="Y159" s="68">
        <f t="shared" si="222"/>
        <v>1742.0918012936047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10287.657192440016</v>
      </c>
      <c r="C161" s="85">
        <f t="shared" ref="C161:W161" si="224">IF(C107=0,0,C107/C$23)</f>
        <v>8259.8253135024825</v>
      </c>
      <c r="D161" s="85">
        <f t="shared" si="224"/>
        <v>7696.7698417231195</v>
      </c>
      <c r="E161" s="85">
        <f t="shared" si="224"/>
        <v>6268.0045735294807</v>
      </c>
      <c r="F161" s="85">
        <f t="shared" si="224"/>
        <v>7249.5506952415199</v>
      </c>
      <c r="G161" s="85">
        <f t="shared" si="224"/>
        <v>8272.9753940535538</v>
      </c>
      <c r="H161" s="85">
        <f t="shared" si="224"/>
        <v>8600.5144883267403</v>
      </c>
      <c r="I161" s="85">
        <f t="shared" si="224"/>
        <v>8470.0836807528176</v>
      </c>
      <c r="J161" s="85">
        <f t="shared" si="224"/>
        <v>8603.859559758248</v>
      </c>
      <c r="K161" s="85">
        <f t="shared" si="224"/>
        <v>8875.7614165663144</v>
      </c>
      <c r="L161" s="85">
        <f t="shared" si="224"/>
        <v>9686.2878809177109</v>
      </c>
      <c r="M161" s="85">
        <f t="shared" si="224"/>
        <v>7380.4397313368427</v>
      </c>
      <c r="N161" s="85">
        <f t="shared" si="224"/>
        <v>6298.9696263339174</v>
      </c>
      <c r="O161" s="85">
        <f t="shared" si="224"/>
        <v>7678.7258748221175</v>
      </c>
      <c r="P161" s="85">
        <f t="shared" si="224"/>
        <v>5183.7421978412031</v>
      </c>
      <c r="Q161" s="85">
        <f t="shared" si="224"/>
        <v>5440.5510521766546</v>
      </c>
      <c r="R161" s="85">
        <f t="shared" si="224"/>
        <v>5483.232536627077</v>
      </c>
      <c r="S161" s="85">
        <f t="shared" si="224"/>
        <v>5997.6699975935217</v>
      </c>
      <c r="T161" s="85">
        <f t="shared" si="224"/>
        <v>5406.7833836246118</v>
      </c>
      <c r="U161" s="85">
        <f t="shared" si="224"/>
        <v>4934.218741564785</v>
      </c>
      <c r="V161" s="85">
        <f t="shared" si="224"/>
        <v>4539.9082179815687</v>
      </c>
      <c r="W161" s="85">
        <f t="shared" si="224"/>
        <v>6134.1364850020727</v>
      </c>
      <c r="X161" s="85">
        <f t="shared" ref="X161:Y161" si="225">IF(X107=0,0,X107/X$23)</f>
        <v>5588.3136134020815</v>
      </c>
      <c r="Y161" s="85">
        <f t="shared" si="225"/>
        <v>4937.03614472559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9042.1942487512479</v>
      </c>
      <c r="C162" s="65">
        <f t="shared" ref="C162:W162" si="227">IF(C108=0,0,C108/C$23)</f>
        <v>7008.4536780737299</v>
      </c>
      <c r="D162" s="65">
        <f t="shared" si="227"/>
        <v>6381.1688109643874</v>
      </c>
      <c r="E162" s="65">
        <f t="shared" si="227"/>
        <v>4908.2144213070223</v>
      </c>
      <c r="F162" s="65">
        <f t="shared" si="227"/>
        <v>5850.8911766558404</v>
      </c>
      <c r="G162" s="65">
        <f t="shared" si="227"/>
        <v>6813.8140919179286</v>
      </c>
      <c r="H162" s="65">
        <f t="shared" si="227"/>
        <v>7109.1455068233963</v>
      </c>
      <c r="I162" s="65">
        <f t="shared" si="227"/>
        <v>6953.1871617649967</v>
      </c>
      <c r="J162" s="65">
        <f t="shared" si="227"/>
        <v>7098.6734827714008</v>
      </c>
      <c r="K162" s="65">
        <f t="shared" si="227"/>
        <v>7339.8145472593678</v>
      </c>
      <c r="L162" s="65">
        <f t="shared" si="227"/>
        <v>8105.435672773744</v>
      </c>
      <c r="M162" s="65">
        <f t="shared" si="227"/>
        <v>5825.2435797487287</v>
      </c>
      <c r="N162" s="65">
        <f t="shared" si="227"/>
        <v>4712.5624699474592</v>
      </c>
      <c r="O162" s="65">
        <f t="shared" si="227"/>
        <v>6071.7724597789875</v>
      </c>
      <c r="P162" s="65">
        <f t="shared" si="227"/>
        <v>3600.7456278755371</v>
      </c>
      <c r="Q162" s="65">
        <f t="shared" si="227"/>
        <v>3840.1831882540491</v>
      </c>
      <c r="R162" s="65">
        <f t="shared" si="227"/>
        <v>3926.1184095476037</v>
      </c>
      <c r="S162" s="65">
        <f t="shared" si="227"/>
        <v>4430.1574122861566</v>
      </c>
      <c r="T162" s="65">
        <f t="shared" si="227"/>
        <v>3868.9256804702436</v>
      </c>
      <c r="U162" s="65">
        <f t="shared" si="227"/>
        <v>3400.9877562592401</v>
      </c>
      <c r="V162" s="65">
        <f t="shared" si="227"/>
        <v>3112.2893726025877</v>
      </c>
      <c r="W162" s="65">
        <f t="shared" si="227"/>
        <v>4531.6197852616588</v>
      </c>
      <c r="X162" s="65">
        <f t="shared" ref="X162:Y162" si="228">IF(X108=0,0,X108/X$23)</f>
        <v>3983.7343276360243</v>
      </c>
      <c r="Y162" s="65">
        <f t="shared" si="228"/>
        <v>3337.4911726490977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83.333210363239445</v>
      </c>
      <c r="C163" s="65">
        <f t="shared" ref="C163:W163" si="230">IF(C109=0,0,C109/C$23)</f>
        <v>86.883832901364059</v>
      </c>
      <c r="D163" s="65">
        <f t="shared" si="230"/>
        <v>96.890141545110751</v>
      </c>
      <c r="E163" s="65">
        <f t="shared" si="230"/>
        <v>103.90751296909349</v>
      </c>
      <c r="F163" s="65">
        <f t="shared" si="230"/>
        <v>106.97572047440114</v>
      </c>
      <c r="G163" s="65">
        <f t="shared" si="230"/>
        <v>113.02122108053327</v>
      </c>
      <c r="H163" s="65">
        <f t="shared" si="230"/>
        <v>121.84738095375913</v>
      </c>
      <c r="I163" s="65">
        <f t="shared" si="230"/>
        <v>136.97789605982098</v>
      </c>
      <c r="J163" s="65">
        <f t="shared" si="230"/>
        <v>135.72251085327539</v>
      </c>
      <c r="K163" s="65">
        <f t="shared" si="230"/>
        <v>140.22146571371337</v>
      </c>
      <c r="L163" s="65">
        <f t="shared" si="230"/>
        <v>153.74553240550253</v>
      </c>
      <c r="M163" s="65">
        <f t="shared" si="230"/>
        <v>150.311058560513</v>
      </c>
      <c r="N163" s="65">
        <f t="shared" si="230"/>
        <v>170.10691713649419</v>
      </c>
      <c r="O163" s="65">
        <f t="shared" si="230"/>
        <v>169.10625703636489</v>
      </c>
      <c r="P163" s="65">
        <f t="shared" si="230"/>
        <v>157.82890136025117</v>
      </c>
      <c r="Q163" s="65">
        <f t="shared" si="230"/>
        <v>186.7530939801039</v>
      </c>
      <c r="R163" s="65">
        <f t="shared" si="230"/>
        <v>158.66876740900327</v>
      </c>
      <c r="S163" s="65">
        <f t="shared" si="230"/>
        <v>171.4468097782549</v>
      </c>
      <c r="T163" s="65">
        <f t="shared" si="230"/>
        <v>169.61350864246316</v>
      </c>
      <c r="U163" s="65">
        <f t="shared" si="230"/>
        <v>178.70473101373537</v>
      </c>
      <c r="V163" s="65">
        <f t="shared" si="230"/>
        <v>164.17065566039753</v>
      </c>
      <c r="W163" s="65">
        <f t="shared" si="230"/>
        <v>183.48473018744647</v>
      </c>
      <c r="X163" s="65">
        <f t="shared" ref="X163:Y163" si="231">IF(X109=0,0,X109/X$23)</f>
        <v>189.94137705408122</v>
      </c>
      <c r="Y163" s="65">
        <f t="shared" si="231"/>
        <v>183.68103783585534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581.14209373575864</v>
      </c>
      <c r="C164" s="65">
        <f t="shared" ref="C164:W164" si="233">IF(C110=0,0,C110/C$23)</f>
        <v>577.36754219890656</v>
      </c>
      <c r="D164" s="65">
        <f t="shared" si="233"/>
        <v>593.07829689970993</v>
      </c>
      <c r="E164" s="65">
        <f t="shared" si="233"/>
        <v>609.74287802566243</v>
      </c>
      <c r="F164" s="65">
        <f t="shared" si="233"/>
        <v>623.86550253625956</v>
      </c>
      <c r="G164" s="65">
        <f t="shared" si="233"/>
        <v>646.72325148189623</v>
      </c>
      <c r="H164" s="65">
        <f t="shared" si="233"/>
        <v>662.56623882618192</v>
      </c>
      <c r="I164" s="65">
        <f t="shared" si="233"/>
        <v>673.45682514918178</v>
      </c>
      <c r="J164" s="65">
        <f t="shared" si="233"/>
        <v>673.89221417397346</v>
      </c>
      <c r="K164" s="65">
        <f t="shared" si="233"/>
        <v>689.15381994169093</v>
      </c>
      <c r="L164" s="65">
        <f t="shared" si="233"/>
        <v>713.46553768751141</v>
      </c>
      <c r="M164" s="65">
        <f t="shared" si="233"/>
        <v>705.82295622062281</v>
      </c>
      <c r="N164" s="65">
        <f t="shared" si="233"/>
        <v>717.44211913940251</v>
      </c>
      <c r="O164" s="65">
        <f t="shared" si="233"/>
        <v>730.06656140004327</v>
      </c>
      <c r="P164" s="65">
        <f t="shared" si="233"/>
        <v>731.78984842685998</v>
      </c>
      <c r="Q164" s="65">
        <f t="shared" si="233"/>
        <v>725.34496422556708</v>
      </c>
      <c r="R164" s="65">
        <f t="shared" si="233"/>
        <v>724.52299685037542</v>
      </c>
      <c r="S164" s="65">
        <f t="shared" si="233"/>
        <v>728.53301582697952</v>
      </c>
      <c r="T164" s="65">
        <f t="shared" si="233"/>
        <v>714.5442217724966</v>
      </c>
      <c r="U164" s="65">
        <f t="shared" si="233"/>
        <v>712.13862477117664</v>
      </c>
      <c r="V164" s="65">
        <f t="shared" si="233"/>
        <v>663.20385393780145</v>
      </c>
      <c r="W164" s="65">
        <f t="shared" si="233"/>
        <v>739.34004318913298</v>
      </c>
      <c r="X164" s="65">
        <f t="shared" ref="X164:Y164" si="234">IF(X110=0,0,X110/X$23)</f>
        <v>748.80482975759492</v>
      </c>
      <c r="Y164" s="65">
        <f t="shared" si="234"/>
        <v>752.91090464856165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580.98763958976963</v>
      </c>
      <c r="C165" s="68">
        <f t="shared" ref="C165:W165" si="236">IF(C111=0,0,C111/C$23)</f>
        <v>587.12026032848132</v>
      </c>
      <c r="D165" s="68">
        <f t="shared" si="236"/>
        <v>625.63259231391169</v>
      </c>
      <c r="E165" s="68">
        <f t="shared" si="236"/>
        <v>646.13976122770316</v>
      </c>
      <c r="F165" s="68">
        <f t="shared" si="236"/>
        <v>667.8182955750184</v>
      </c>
      <c r="G165" s="68">
        <f t="shared" si="236"/>
        <v>699.41682957319551</v>
      </c>
      <c r="H165" s="68">
        <f t="shared" si="236"/>
        <v>706.95536172340428</v>
      </c>
      <c r="I165" s="68">
        <f t="shared" si="236"/>
        <v>706.46179777881844</v>
      </c>
      <c r="J165" s="68">
        <f t="shared" si="236"/>
        <v>695.57135195959677</v>
      </c>
      <c r="K165" s="68">
        <f t="shared" si="236"/>
        <v>706.57158365154089</v>
      </c>
      <c r="L165" s="68">
        <f t="shared" si="236"/>
        <v>713.64113805095178</v>
      </c>
      <c r="M165" s="68">
        <f t="shared" si="236"/>
        <v>699.06213680697886</v>
      </c>
      <c r="N165" s="68">
        <f t="shared" si="236"/>
        <v>698.8581201105618</v>
      </c>
      <c r="O165" s="68">
        <f t="shared" si="236"/>
        <v>707.78059660672307</v>
      </c>
      <c r="P165" s="68">
        <f t="shared" si="236"/>
        <v>693.377820178555</v>
      </c>
      <c r="Q165" s="68">
        <f t="shared" si="236"/>
        <v>688.26980571693412</v>
      </c>
      <c r="R165" s="68">
        <f t="shared" si="236"/>
        <v>673.92236282009503</v>
      </c>
      <c r="S165" s="68">
        <f t="shared" si="236"/>
        <v>667.53275970213042</v>
      </c>
      <c r="T165" s="68">
        <f t="shared" si="236"/>
        <v>653.69997273940771</v>
      </c>
      <c r="U165" s="68">
        <f t="shared" si="236"/>
        <v>642.38762952063314</v>
      </c>
      <c r="V165" s="68">
        <f t="shared" si="236"/>
        <v>600.24433578078117</v>
      </c>
      <c r="W165" s="68">
        <f t="shared" si="236"/>
        <v>679.69192636383411</v>
      </c>
      <c r="X165" s="68">
        <f t="shared" ref="X165:Y165" si="237">IF(X111=0,0,X111/X$23)</f>
        <v>665.83307895438065</v>
      </c>
      <c r="Y165" s="68">
        <f t="shared" si="237"/>
        <v>662.95302959207504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3223.8430811845501</v>
      </c>
      <c r="C167" s="82">
        <f t="shared" ref="C167:W167" si="239">IF(C113=0,0,C113/C$23)</f>
        <v>1926.2415195963836</v>
      </c>
      <c r="D167" s="82">
        <f t="shared" si="239"/>
        <v>1617.6806949479421</v>
      </c>
      <c r="E167" s="82">
        <f t="shared" si="239"/>
        <v>1079.64593641951</v>
      </c>
      <c r="F167" s="82">
        <f t="shared" si="239"/>
        <v>1159.768245020334</v>
      </c>
      <c r="G167" s="82">
        <f t="shared" si="239"/>
        <v>1818.7299189143364</v>
      </c>
      <c r="H167" s="82">
        <f t="shared" si="239"/>
        <v>2047.0050123655908</v>
      </c>
      <c r="I167" s="82">
        <f t="shared" si="239"/>
        <v>2019.8880002385999</v>
      </c>
      <c r="J167" s="82">
        <f t="shared" si="239"/>
        <v>2154.6351912288592</v>
      </c>
      <c r="K167" s="82">
        <f t="shared" si="239"/>
        <v>2422.1724141208679</v>
      </c>
      <c r="L167" s="82">
        <f t="shared" si="239"/>
        <v>2223.4453541246849</v>
      </c>
      <c r="M167" s="82">
        <f t="shared" si="239"/>
        <v>1495.228206103752</v>
      </c>
      <c r="N167" s="82">
        <f t="shared" si="239"/>
        <v>1315.1792912404369</v>
      </c>
      <c r="O167" s="82">
        <f t="shared" si="239"/>
        <v>1719.7512627055839</v>
      </c>
      <c r="P167" s="82">
        <f t="shared" si="239"/>
        <v>1145.8560135471519</v>
      </c>
      <c r="Q167" s="82">
        <f t="shared" si="239"/>
        <v>1161.9309963110211</v>
      </c>
      <c r="R167" s="82">
        <f t="shared" si="239"/>
        <v>968.94415008510646</v>
      </c>
      <c r="S167" s="82">
        <f t="shared" si="239"/>
        <v>1055.2255777715845</v>
      </c>
      <c r="T167" s="82">
        <f t="shared" si="239"/>
        <v>920.43067818672978</v>
      </c>
      <c r="U167" s="82">
        <f t="shared" si="239"/>
        <v>915.76272291129851</v>
      </c>
      <c r="V167" s="82">
        <f t="shared" si="239"/>
        <v>677.77792797284826</v>
      </c>
      <c r="W167" s="82">
        <f t="shared" si="239"/>
        <v>1021.7132888833295</v>
      </c>
      <c r="X167" s="82">
        <f t="shared" ref="X167:Y167" si="240">IF(X113=0,0,X113/X$23)</f>
        <v>880.90505171458096</v>
      </c>
      <c r="Y167" s="82">
        <f t="shared" si="240"/>
        <v>731.88731579632758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3223.8430811845501</v>
      </c>
      <c r="C168" s="64">
        <f t="shared" ref="C168:W168" si="242">IF(C114=0,0,C114/C$23)</f>
        <v>1926.2415195963836</v>
      </c>
      <c r="D168" s="64">
        <f t="shared" si="242"/>
        <v>1617.6806949479421</v>
      </c>
      <c r="E168" s="64">
        <f t="shared" si="242"/>
        <v>1079.64593641951</v>
      </c>
      <c r="F168" s="64">
        <f t="shared" si="242"/>
        <v>1159.768245020334</v>
      </c>
      <c r="G168" s="64">
        <f t="shared" si="242"/>
        <v>1818.7299189143364</v>
      </c>
      <c r="H168" s="64">
        <f t="shared" si="242"/>
        <v>2047.0050123655908</v>
      </c>
      <c r="I168" s="64">
        <f t="shared" si="242"/>
        <v>2019.8880002385999</v>
      </c>
      <c r="J168" s="64">
        <f t="shared" si="242"/>
        <v>2154.6351912288592</v>
      </c>
      <c r="K168" s="64">
        <f t="shared" si="242"/>
        <v>2422.1724141208679</v>
      </c>
      <c r="L168" s="64">
        <f t="shared" si="242"/>
        <v>2223.4453541246849</v>
      </c>
      <c r="M168" s="64">
        <f t="shared" si="242"/>
        <v>1495.228206103752</v>
      </c>
      <c r="N168" s="64">
        <f t="shared" si="242"/>
        <v>1315.1792912404369</v>
      </c>
      <c r="O168" s="64">
        <f t="shared" si="242"/>
        <v>1719.7512627055839</v>
      </c>
      <c r="P168" s="64">
        <f t="shared" si="242"/>
        <v>1145.8560135471519</v>
      </c>
      <c r="Q168" s="64">
        <f t="shared" si="242"/>
        <v>1161.9309963110211</v>
      </c>
      <c r="R168" s="64">
        <f t="shared" si="242"/>
        <v>968.94415008510646</v>
      </c>
      <c r="S168" s="64">
        <f t="shared" si="242"/>
        <v>1055.2255777715845</v>
      </c>
      <c r="T168" s="64">
        <f t="shared" si="242"/>
        <v>920.43067818672978</v>
      </c>
      <c r="U168" s="64">
        <f t="shared" si="242"/>
        <v>915.76272291129851</v>
      </c>
      <c r="V168" s="64">
        <f t="shared" si="242"/>
        <v>677.77792797284826</v>
      </c>
      <c r="W168" s="64">
        <f t="shared" si="242"/>
        <v>1021.7132888833295</v>
      </c>
      <c r="X168" s="64">
        <f t="shared" ref="X168:Y168" si="243">IF(X114=0,0,X114/X$23)</f>
        <v>880.90505171458096</v>
      </c>
      <c r="Y168" s="64">
        <f t="shared" si="243"/>
        <v>731.88731579632758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3081.0874476291392</v>
      </c>
      <c r="C169" s="65">
        <f t="shared" ref="C169:W169" si="245">IF(C115=0,0,C115/C$23)</f>
        <v>1751.0561149852479</v>
      </c>
      <c r="D169" s="65">
        <f t="shared" si="245"/>
        <v>1399.6092287538697</v>
      </c>
      <c r="E169" s="65">
        <f t="shared" si="245"/>
        <v>869.3647865444359</v>
      </c>
      <c r="F169" s="65">
        <f t="shared" si="245"/>
        <v>955.04006037644172</v>
      </c>
      <c r="G169" s="65">
        <f t="shared" si="245"/>
        <v>1625.4871943417813</v>
      </c>
      <c r="H169" s="65">
        <f t="shared" si="245"/>
        <v>1850.5273543876422</v>
      </c>
      <c r="I169" s="65">
        <f t="shared" si="245"/>
        <v>1838.9396842508584</v>
      </c>
      <c r="J169" s="65">
        <f t="shared" si="245"/>
        <v>1983.8698439936052</v>
      </c>
      <c r="K169" s="65">
        <f t="shared" si="245"/>
        <v>2237.8904348778337</v>
      </c>
      <c r="L169" s="65">
        <f t="shared" si="245"/>
        <v>2020.3896180047907</v>
      </c>
      <c r="M169" s="65">
        <f t="shared" si="245"/>
        <v>1336.8094364826773</v>
      </c>
      <c r="N169" s="65">
        <f t="shared" si="245"/>
        <v>1114.8099921671771</v>
      </c>
      <c r="O169" s="65">
        <f t="shared" si="245"/>
        <v>1493.5587548173883</v>
      </c>
      <c r="P169" s="65">
        <f t="shared" si="245"/>
        <v>916.95200723986261</v>
      </c>
      <c r="Q169" s="65">
        <f t="shared" si="245"/>
        <v>929.9506176251233</v>
      </c>
      <c r="R169" s="65">
        <f t="shared" si="245"/>
        <v>758.99734191156995</v>
      </c>
      <c r="S169" s="65">
        <f t="shared" si="245"/>
        <v>865.69770853445141</v>
      </c>
      <c r="T169" s="65">
        <f t="shared" si="245"/>
        <v>755.028282171</v>
      </c>
      <c r="U169" s="65">
        <f t="shared" si="245"/>
        <v>768.11363105073917</v>
      </c>
      <c r="V169" s="65">
        <f t="shared" si="245"/>
        <v>569.82024638222197</v>
      </c>
      <c r="W169" s="65">
        <f t="shared" si="245"/>
        <v>849.89232238947602</v>
      </c>
      <c r="X169" s="65">
        <f t="shared" ref="X169:Y169" si="246">IF(X115=0,0,X115/X$23)</f>
        <v>715.40326543963863</v>
      </c>
      <c r="Y169" s="65">
        <f t="shared" si="246"/>
        <v>581.36646146158034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2.7081232463100069E-2</v>
      </c>
      <c r="C170" s="65">
        <f t="shared" ref="C170:W170" si="248">IF(C116=0,0,C116/C$23)</f>
        <v>4.2557600123840446E-2</v>
      </c>
      <c r="D170" s="65">
        <f t="shared" si="248"/>
        <v>3.7850003615708755E-2</v>
      </c>
      <c r="E170" s="65">
        <f t="shared" si="248"/>
        <v>1.4560617594991136E-2</v>
      </c>
      <c r="F170" s="65">
        <f t="shared" si="248"/>
        <v>4.1784067014250838E-2</v>
      </c>
      <c r="G170" s="65">
        <f t="shared" si="248"/>
        <v>6.1803921499682168E-2</v>
      </c>
      <c r="H170" s="65">
        <f t="shared" si="248"/>
        <v>7.2248295287603542E-2</v>
      </c>
      <c r="I170" s="65">
        <f t="shared" si="248"/>
        <v>7.6878399856340082E-2</v>
      </c>
      <c r="J170" s="65">
        <f t="shared" si="248"/>
        <v>8.1217917762954436E-2</v>
      </c>
      <c r="K170" s="65">
        <f t="shared" si="248"/>
        <v>8.0260461944094974E-2</v>
      </c>
      <c r="L170" s="65">
        <f t="shared" si="248"/>
        <v>9.0097918597272397E-2</v>
      </c>
      <c r="M170" s="65">
        <f t="shared" si="248"/>
        <v>9.4122490683762022E-2</v>
      </c>
      <c r="N170" s="65">
        <f t="shared" si="248"/>
        <v>0.10837420125182551</v>
      </c>
      <c r="O170" s="65">
        <f t="shared" si="248"/>
        <v>0.1356843075562093</v>
      </c>
      <c r="P170" s="65">
        <f t="shared" si="248"/>
        <v>0.1753131319958014</v>
      </c>
      <c r="Q170" s="65">
        <f t="shared" si="248"/>
        <v>0.23151144515977037</v>
      </c>
      <c r="R170" s="65">
        <f t="shared" si="248"/>
        <v>0.29035259081801051</v>
      </c>
      <c r="S170" s="65">
        <f t="shared" si="248"/>
        <v>0.3427560392863882</v>
      </c>
      <c r="T170" s="65">
        <f t="shared" si="248"/>
        <v>0.38346416141486961</v>
      </c>
      <c r="U170" s="65">
        <f t="shared" si="248"/>
        <v>0.42060891061216432</v>
      </c>
      <c r="V170" s="65">
        <f t="shared" si="248"/>
        <v>0.4594905901331342</v>
      </c>
      <c r="W170" s="65">
        <f t="shared" si="248"/>
        <v>0.49189518886782058</v>
      </c>
      <c r="X170" s="65">
        <f t="shared" ref="X170:Y170" si="249">IF(X116=0,0,X116/X$23)</f>
        <v>0.52918272624678475</v>
      </c>
      <c r="Y170" s="65">
        <f t="shared" si="249"/>
        <v>0.51459620384393401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35.882875551788899</v>
      </c>
      <c r="C171" s="65">
        <f t="shared" ref="C171:W171" si="251">IF(C117=0,0,C117/C$23)</f>
        <v>50.559365910864095</v>
      </c>
      <c r="D171" s="65">
        <f t="shared" si="251"/>
        <v>57.122512830504299</v>
      </c>
      <c r="E171" s="65">
        <f t="shared" si="251"/>
        <v>50.632028198850847</v>
      </c>
      <c r="F171" s="65">
        <f t="shared" si="251"/>
        <v>53.244787357692616</v>
      </c>
      <c r="G171" s="65">
        <f t="shared" si="251"/>
        <v>48.521998123997442</v>
      </c>
      <c r="H171" s="65">
        <f t="shared" si="251"/>
        <v>57.319519489783069</v>
      </c>
      <c r="I171" s="65">
        <f t="shared" si="251"/>
        <v>74.17465582299323</v>
      </c>
      <c r="J171" s="65">
        <f t="shared" si="251"/>
        <v>78.897231741654394</v>
      </c>
      <c r="K171" s="65">
        <f t="shared" si="251"/>
        <v>81.184841446248555</v>
      </c>
      <c r="L171" s="65">
        <f t="shared" si="251"/>
        <v>85.77693055471353</v>
      </c>
      <c r="M171" s="65">
        <f t="shared" si="251"/>
        <v>84.863335360847671</v>
      </c>
      <c r="N171" s="65">
        <f t="shared" si="251"/>
        <v>101.24988552111657</v>
      </c>
      <c r="O171" s="65">
        <f t="shared" si="251"/>
        <v>112.06938743707087</v>
      </c>
      <c r="P171" s="65">
        <f t="shared" si="251"/>
        <v>114.11869008652866</v>
      </c>
      <c r="Q171" s="65">
        <f t="shared" si="251"/>
        <v>114.8230647221381</v>
      </c>
      <c r="R171" s="65">
        <f t="shared" si="251"/>
        <v>97.377133576358361</v>
      </c>
      <c r="S171" s="65">
        <f t="shared" si="251"/>
        <v>91.714083525744257</v>
      </c>
      <c r="T171" s="65">
        <f t="shared" si="251"/>
        <v>78.519164372840535</v>
      </c>
      <c r="U171" s="65">
        <f t="shared" si="251"/>
        <v>76.32575550552589</v>
      </c>
      <c r="V171" s="65">
        <f t="shared" si="251"/>
        <v>43.957413667924328</v>
      </c>
      <c r="W171" s="65">
        <f t="shared" si="251"/>
        <v>71.622226637511261</v>
      </c>
      <c r="X171" s="65">
        <f t="shared" ref="X171:Y171" si="252">IF(X117=0,0,X117/X$23)</f>
        <v>66.835887356359507</v>
      </c>
      <c r="Y171" s="65">
        <f t="shared" si="252"/>
        <v>62.508957744364835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106.84567677115896</v>
      </c>
      <c r="C172" s="67">
        <f t="shared" ref="C172:W172" si="254">IF(C118=0,0,C118/C$23)</f>
        <v>124.58348110014722</v>
      </c>
      <c r="D172" s="67">
        <f t="shared" si="254"/>
        <v>160.91110335995197</v>
      </c>
      <c r="E172" s="67">
        <f t="shared" si="254"/>
        <v>159.63456105862807</v>
      </c>
      <c r="F172" s="67">
        <f t="shared" si="254"/>
        <v>151.44161321918537</v>
      </c>
      <c r="G172" s="67">
        <f t="shared" si="254"/>
        <v>144.65892252705817</v>
      </c>
      <c r="H172" s="67">
        <f t="shared" si="254"/>
        <v>139.08589019287783</v>
      </c>
      <c r="I172" s="67">
        <f t="shared" si="254"/>
        <v>106.69678176489211</v>
      </c>
      <c r="J172" s="67">
        <f t="shared" si="254"/>
        <v>91.786897575836548</v>
      </c>
      <c r="K172" s="67">
        <f t="shared" si="254"/>
        <v>103.01687733484113</v>
      </c>
      <c r="L172" s="67">
        <f t="shared" si="254"/>
        <v>117.1887076465832</v>
      </c>
      <c r="M172" s="67">
        <f t="shared" si="254"/>
        <v>73.461311769543542</v>
      </c>
      <c r="N172" s="67">
        <f t="shared" si="254"/>
        <v>99.011039350891522</v>
      </c>
      <c r="O172" s="67">
        <f t="shared" si="254"/>
        <v>113.9874361435689</v>
      </c>
      <c r="P172" s="67">
        <f t="shared" si="254"/>
        <v>114.61000308876471</v>
      </c>
      <c r="Q172" s="67">
        <f t="shared" si="254"/>
        <v>116.92580251859997</v>
      </c>
      <c r="R172" s="67">
        <f t="shared" si="254"/>
        <v>112.2793220063601</v>
      </c>
      <c r="S172" s="67">
        <f t="shared" si="254"/>
        <v>97.471029672102489</v>
      </c>
      <c r="T172" s="67">
        <f t="shared" si="254"/>
        <v>86.499767481474322</v>
      </c>
      <c r="U172" s="67">
        <f t="shared" si="254"/>
        <v>70.90272744442143</v>
      </c>
      <c r="V172" s="67">
        <f t="shared" si="254"/>
        <v>63.540777332568766</v>
      </c>
      <c r="W172" s="67">
        <f t="shared" si="254"/>
        <v>99.706844667474329</v>
      </c>
      <c r="X172" s="67">
        <f t="shared" ref="X172:Y172" si="255">IF(X118=0,0,X118/X$23)</f>
        <v>98.136716192336081</v>
      </c>
      <c r="Y172" s="67">
        <f t="shared" si="255"/>
        <v>87.497300386538456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29067.916102302006</v>
      </c>
      <c r="C3" s="124">
        <f t="shared" si="0"/>
        <v>29629.813634367871</v>
      </c>
      <c r="D3" s="124">
        <f t="shared" si="0"/>
        <v>30366.108369769281</v>
      </c>
      <c r="E3" s="124">
        <f t="shared" si="0"/>
        <v>31134.212078668079</v>
      </c>
      <c r="F3" s="124">
        <f t="shared" si="0"/>
        <v>31952.287521923587</v>
      </c>
      <c r="G3" s="124">
        <f t="shared" si="0"/>
        <v>33096.026500543398</v>
      </c>
      <c r="H3" s="124">
        <f t="shared" si="0"/>
        <v>34606.277374132114</v>
      </c>
      <c r="I3" s="124">
        <f t="shared" si="0"/>
        <v>36528.40088868457</v>
      </c>
      <c r="J3" s="124">
        <f t="shared" si="0"/>
        <v>37733.884344548584</v>
      </c>
      <c r="K3" s="124">
        <f t="shared" si="0"/>
        <v>37671.585043342573</v>
      </c>
      <c r="L3" s="124">
        <f t="shared" si="0"/>
        <v>38498.244384278791</v>
      </c>
      <c r="M3" s="124">
        <f t="shared" si="0"/>
        <v>38877.516382023052</v>
      </c>
      <c r="N3" s="124">
        <f t="shared" si="0"/>
        <v>39263.407513805534</v>
      </c>
      <c r="O3" s="124">
        <f t="shared" si="0"/>
        <v>39603.976372071098</v>
      </c>
      <c r="P3" s="124">
        <f t="shared" si="0"/>
        <v>39978.477392553497</v>
      </c>
      <c r="Q3" s="124">
        <f t="shared" si="0"/>
        <v>40478.968430540524</v>
      </c>
      <c r="R3" s="124">
        <f t="shared" si="0"/>
        <v>40965.382473694139</v>
      </c>
      <c r="S3" s="124">
        <f t="shared" si="0"/>
        <v>41485.244193597871</v>
      </c>
      <c r="T3" s="124">
        <f t="shared" si="0"/>
        <v>42088.38935268209</v>
      </c>
      <c r="U3" s="124">
        <f t="shared" si="0"/>
        <v>42715.76083857724</v>
      </c>
      <c r="V3" s="124">
        <f t="shared" si="0"/>
        <v>43319.896666666638</v>
      </c>
      <c r="W3" s="124">
        <f t="shared" si="0"/>
        <v>43884.839645805077</v>
      </c>
      <c r="X3" s="124">
        <f t="shared" si="0"/>
        <v>44409.77548253136</v>
      </c>
      <c r="Y3" s="124">
        <f t="shared" si="0"/>
        <v>44897.069049065743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29067.916102302006</v>
      </c>
      <c r="C4" s="139">
        <f t="shared" si="1"/>
        <v>29629.813634367871</v>
      </c>
      <c r="D4" s="139">
        <f t="shared" si="1"/>
        <v>30366.108369769281</v>
      </c>
      <c r="E4" s="139">
        <f t="shared" si="1"/>
        <v>31134.212078668079</v>
      </c>
      <c r="F4" s="139">
        <f t="shared" si="1"/>
        <v>31952.287521923587</v>
      </c>
      <c r="G4" s="139">
        <f t="shared" si="1"/>
        <v>33096.026500543398</v>
      </c>
      <c r="H4" s="139">
        <f t="shared" si="1"/>
        <v>34606.277374132114</v>
      </c>
      <c r="I4" s="139">
        <f t="shared" si="1"/>
        <v>36528.40088868457</v>
      </c>
      <c r="J4" s="139">
        <f t="shared" si="1"/>
        <v>37733.884344548584</v>
      </c>
      <c r="K4" s="139">
        <f t="shared" si="1"/>
        <v>37671.585043342573</v>
      </c>
      <c r="L4" s="139">
        <f t="shared" si="1"/>
        <v>38498.244384278791</v>
      </c>
      <c r="M4" s="139">
        <f t="shared" si="1"/>
        <v>38877.516382023052</v>
      </c>
      <c r="N4" s="139">
        <f t="shared" si="1"/>
        <v>39263.407513805534</v>
      </c>
      <c r="O4" s="139">
        <f t="shared" si="1"/>
        <v>39603.976372071098</v>
      </c>
      <c r="P4" s="139">
        <f t="shared" si="1"/>
        <v>39978.477392553497</v>
      </c>
      <c r="Q4" s="139">
        <f t="shared" si="1"/>
        <v>40478.968430540524</v>
      </c>
      <c r="R4" s="139">
        <f t="shared" ref="R4:W4" si="2">SUM(R5:R14)</f>
        <v>40965.382473694139</v>
      </c>
      <c r="S4" s="139">
        <f t="shared" si="2"/>
        <v>41485.244193597871</v>
      </c>
      <c r="T4" s="139">
        <f t="shared" si="2"/>
        <v>42088.38935268209</v>
      </c>
      <c r="U4" s="139">
        <f t="shared" si="2"/>
        <v>42715.76083857724</v>
      </c>
      <c r="V4" s="139">
        <f t="shared" si="2"/>
        <v>43319.896666666638</v>
      </c>
      <c r="W4" s="139">
        <f t="shared" si="2"/>
        <v>43884.839645805077</v>
      </c>
      <c r="X4" s="139">
        <f t="shared" ref="X4:Y4" si="3">SUM(X5:X14)</f>
        <v>44409.77548253136</v>
      </c>
      <c r="Y4" s="139">
        <f t="shared" si="3"/>
        <v>44897.069049065743</v>
      </c>
      <c r="DA4" s="169" t="s">
        <v>246</v>
      </c>
    </row>
    <row r="5" spans="1:105" ht="12" customHeight="1" x14ac:dyDescent="0.25">
      <c r="A5" s="131" t="s">
        <v>29</v>
      </c>
      <c r="B5" s="140">
        <v>3369.1552158959212</v>
      </c>
      <c r="C5" s="140">
        <v>3237.8122501180624</v>
      </c>
      <c r="D5" s="140">
        <v>3059.600241230552</v>
      </c>
      <c r="E5" s="140">
        <v>2215.9849148554772</v>
      </c>
      <c r="F5" s="140">
        <v>2170.3721133898648</v>
      </c>
      <c r="G5" s="140">
        <v>2188.1530907639972</v>
      </c>
      <c r="H5" s="140">
        <v>2419.7631986355968</v>
      </c>
      <c r="I5" s="140">
        <v>4236.5513818907602</v>
      </c>
      <c r="J5" s="140">
        <v>6271.3242305305339</v>
      </c>
      <c r="K5" s="140">
        <v>7688.8720784084953</v>
      </c>
      <c r="L5" s="140">
        <v>7931.1349888369014</v>
      </c>
      <c r="M5" s="140">
        <v>7713.8643535274532</v>
      </c>
      <c r="N5" s="140">
        <v>5544.3969030734434</v>
      </c>
      <c r="O5" s="140">
        <v>5285.4341621401982</v>
      </c>
      <c r="P5" s="140">
        <v>4717.8683808591486</v>
      </c>
      <c r="Q5" s="140">
        <v>4332.8856842408613</v>
      </c>
      <c r="R5" s="140">
        <v>3453.7638995304956</v>
      </c>
      <c r="S5" s="140">
        <v>3497.2300901666586</v>
      </c>
      <c r="T5" s="140">
        <v>3858.6560404210936</v>
      </c>
      <c r="U5" s="140">
        <v>3929.551401018231</v>
      </c>
      <c r="V5" s="140">
        <v>3558.227464208474</v>
      </c>
      <c r="W5" s="140">
        <v>2991.0098387940316</v>
      </c>
      <c r="X5" s="140">
        <v>2248.0593383699293</v>
      </c>
      <c r="Y5" s="140">
        <v>2017.3283245723298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638.27476676705533</v>
      </c>
      <c r="C7" s="140">
        <v>598.95431548136332</v>
      </c>
      <c r="D7" s="140">
        <v>538.42329880694956</v>
      </c>
      <c r="E7" s="140">
        <v>509.33153786008376</v>
      </c>
      <c r="F7" s="140">
        <v>494.25640484917454</v>
      </c>
      <c r="G7" s="140">
        <v>458.50089603965102</v>
      </c>
      <c r="H7" s="140">
        <v>332.64893022250999</v>
      </c>
      <c r="I7" s="140">
        <v>174.73690007458325</v>
      </c>
      <c r="J7" s="140">
        <v>113.28191759952216</v>
      </c>
      <c r="K7" s="140">
        <v>100.82259187063983</v>
      </c>
      <c r="L7" s="140">
        <v>0</v>
      </c>
      <c r="M7" s="140">
        <v>0</v>
      </c>
      <c r="N7" s="140">
        <v>0</v>
      </c>
      <c r="O7" s="140">
        <v>106.81541050239376</v>
      </c>
      <c r="P7" s="140">
        <v>214.72485863489965</v>
      </c>
      <c r="Q7" s="140">
        <v>255.38100442796176</v>
      </c>
      <c r="R7" s="140">
        <v>253.61434273705797</v>
      </c>
      <c r="S7" s="140">
        <v>237.62387864271233</v>
      </c>
      <c r="T7" s="140">
        <v>227.43375849942461</v>
      </c>
      <c r="U7" s="140">
        <v>217.887426760995</v>
      </c>
      <c r="V7" s="140">
        <v>209.37448518556639</v>
      </c>
      <c r="W7" s="140">
        <v>190.67634591089811</v>
      </c>
      <c r="X7" s="140">
        <v>181.28542983242946</v>
      </c>
      <c r="Y7" s="140">
        <v>162.16821748474709</v>
      </c>
      <c r="DA7" s="170" t="s">
        <v>249</v>
      </c>
    </row>
    <row r="8" spans="1:105" ht="12" customHeight="1" x14ac:dyDescent="0.25">
      <c r="A8" s="131" t="s">
        <v>73</v>
      </c>
      <c r="B8" s="140">
        <v>0.5701928261478898</v>
      </c>
      <c r="C8" s="140">
        <v>0.85062656843319828</v>
      </c>
      <c r="D8" s="140">
        <v>1.5888164953970882</v>
      </c>
      <c r="E8" s="140">
        <v>2.3553852891781042</v>
      </c>
      <c r="F8" s="140">
        <v>2.8580378959423847</v>
      </c>
      <c r="G8" s="140">
        <v>3.1740068108448094</v>
      </c>
      <c r="H8" s="140">
        <v>3.4123095811525102</v>
      </c>
      <c r="I8" s="140">
        <v>3.6570861494948481</v>
      </c>
      <c r="J8" s="140">
        <v>3.9101898326220361</v>
      </c>
      <c r="K8" s="140">
        <v>4.6863936517924589</v>
      </c>
      <c r="L8" s="140">
        <v>6.343143751340147</v>
      </c>
      <c r="M8" s="140">
        <v>9.5332440841636803</v>
      </c>
      <c r="N8" s="140">
        <v>14.629189673138265</v>
      </c>
      <c r="O8" s="140">
        <v>21.13487287035769</v>
      </c>
      <c r="P8" s="140">
        <v>29.501483268997305</v>
      </c>
      <c r="Q8" s="140">
        <v>33.773491808672148</v>
      </c>
      <c r="R8" s="140">
        <v>34.467530106483444</v>
      </c>
      <c r="S8" s="140">
        <v>35.114511163122366</v>
      </c>
      <c r="T8" s="140">
        <v>37.557274176161556</v>
      </c>
      <c r="U8" s="140">
        <v>42.416599689390992</v>
      </c>
      <c r="V8" s="140">
        <v>50.459008993896248</v>
      </c>
      <c r="W8" s="140">
        <v>56.425431515376523</v>
      </c>
      <c r="X8" s="140">
        <v>65.997217345272375</v>
      </c>
      <c r="Y8" s="140">
        <v>81.98768197682395</v>
      </c>
      <c r="DA8" s="170" t="s">
        <v>250</v>
      </c>
    </row>
    <row r="9" spans="1:105" ht="12" customHeight="1" x14ac:dyDescent="0.25">
      <c r="A9" s="131" t="s">
        <v>78</v>
      </c>
      <c r="B9" s="140">
        <v>15399.517282315775</v>
      </c>
      <c r="C9" s="140">
        <v>12497.038338643264</v>
      </c>
      <c r="D9" s="140">
        <v>10285.412379496829</v>
      </c>
      <c r="E9" s="140">
        <v>10349.88617850901</v>
      </c>
      <c r="F9" s="140">
        <v>11574.846198160201</v>
      </c>
      <c r="G9" s="140">
        <v>14808.05398827215</v>
      </c>
      <c r="H9" s="140">
        <v>17850.960462465508</v>
      </c>
      <c r="I9" s="140">
        <v>18776.453437940956</v>
      </c>
      <c r="J9" s="140">
        <v>17665.732724097757</v>
      </c>
      <c r="K9" s="140">
        <v>14872.774914196818</v>
      </c>
      <c r="L9" s="140">
        <v>14237.734109199317</v>
      </c>
      <c r="M9" s="140">
        <v>14220.417392069608</v>
      </c>
      <c r="N9" s="140">
        <v>17515.003749112624</v>
      </c>
      <c r="O9" s="140">
        <v>18231.600834181259</v>
      </c>
      <c r="P9" s="140">
        <v>18667.643956938795</v>
      </c>
      <c r="Q9" s="140">
        <v>18522.074525727381</v>
      </c>
      <c r="R9" s="140">
        <v>19341.063494328559</v>
      </c>
      <c r="S9" s="140">
        <v>19256.389253912821</v>
      </c>
      <c r="T9" s="140">
        <v>19220.767626518998</v>
      </c>
      <c r="U9" s="140">
        <v>19873.493738571287</v>
      </c>
      <c r="V9" s="140">
        <v>20381.118059970813</v>
      </c>
      <c r="W9" s="140">
        <v>21567.749017976377</v>
      </c>
      <c r="X9" s="140">
        <v>22870.595402424944</v>
      </c>
      <c r="Y9" s="140">
        <v>23430.235380704347</v>
      </c>
      <c r="DA9" s="170" t="s">
        <v>251</v>
      </c>
    </row>
    <row r="10" spans="1:105" ht="12" customHeight="1" x14ac:dyDescent="0.25">
      <c r="A10" s="131" t="s">
        <v>128</v>
      </c>
      <c r="B10" s="140">
        <v>184.80822993370049</v>
      </c>
      <c r="C10" s="140">
        <v>142.82880005164779</v>
      </c>
      <c r="D10" s="140">
        <v>101.49445065604478</v>
      </c>
      <c r="E10" s="140">
        <v>88.161821636172945</v>
      </c>
      <c r="F10" s="140">
        <v>55.150667093587586</v>
      </c>
      <c r="G10" s="140">
        <v>33.014357770274195</v>
      </c>
      <c r="H10" s="140">
        <v>45.819004824207141</v>
      </c>
      <c r="I10" s="140">
        <v>100.32066742391196</v>
      </c>
      <c r="J10" s="140">
        <v>218.21784860603023</v>
      </c>
      <c r="K10" s="140">
        <v>298.22266499361416</v>
      </c>
      <c r="L10" s="140">
        <v>343.33786465355405</v>
      </c>
      <c r="M10" s="140">
        <v>386.59505422446898</v>
      </c>
      <c r="N10" s="140">
        <v>441.09504749579662</v>
      </c>
      <c r="O10" s="140">
        <v>514.13625812780003</v>
      </c>
      <c r="P10" s="140">
        <v>618.80505735793315</v>
      </c>
      <c r="Q10" s="140">
        <v>665.50422250135739</v>
      </c>
      <c r="R10" s="140">
        <v>738.29532563179339</v>
      </c>
      <c r="S10" s="140">
        <v>875.01582429855944</v>
      </c>
      <c r="T10" s="140">
        <v>1075.7199734797491</v>
      </c>
      <c r="U10" s="140">
        <v>1339.643964771687</v>
      </c>
      <c r="V10" s="140">
        <v>1367.1394565030071</v>
      </c>
      <c r="W10" s="140">
        <v>1411.9257376373798</v>
      </c>
      <c r="X10" s="140">
        <v>1423.3726474785196</v>
      </c>
      <c r="Y10" s="140">
        <v>1412.8754374554799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14.988401307148784</v>
      </c>
      <c r="D11" s="140">
        <v>21.37009034514158</v>
      </c>
      <c r="E11" s="140">
        <v>26.85288842472562</v>
      </c>
      <c r="F11" s="140">
        <v>28.016251283529275</v>
      </c>
      <c r="G11" s="140">
        <v>30.317678007571345</v>
      </c>
      <c r="H11" s="140">
        <v>33.735745452519346</v>
      </c>
      <c r="I11" s="140">
        <v>36.235723496291001</v>
      </c>
      <c r="J11" s="140">
        <v>37.214132113310598</v>
      </c>
      <c r="K11" s="140">
        <v>36.853422891592622</v>
      </c>
      <c r="L11" s="140">
        <v>36.812639494214402</v>
      </c>
      <c r="M11" s="140">
        <v>37.943403097289014</v>
      </c>
      <c r="N11" s="140">
        <v>38.878542729532988</v>
      </c>
      <c r="O11" s="140">
        <v>39.685643122501503</v>
      </c>
      <c r="P11" s="140">
        <v>43.015650853859</v>
      </c>
      <c r="Q11" s="140">
        <v>45.038155558533511</v>
      </c>
      <c r="R11" s="140">
        <v>47.134265144153787</v>
      </c>
      <c r="S11" s="140">
        <v>46.177906301568576</v>
      </c>
      <c r="T11" s="140">
        <v>41.534515941134707</v>
      </c>
      <c r="U11" s="140">
        <v>32.953277332006849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4139.7507864901045</v>
      </c>
      <c r="C12" s="140">
        <v>4800.9213754256771</v>
      </c>
      <c r="D12" s="140">
        <v>6186.4147669175072</v>
      </c>
      <c r="E12" s="140">
        <v>7189.9243388428513</v>
      </c>
      <c r="F12" s="140">
        <v>7471.2728779249928</v>
      </c>
      <c r="G12" s="140">
        <v>7453.6851439281108</v>
      </c>
      <c r="H12" s="140">
        <v>6839.2964162812941</v>
      </c>
      <c r="I12" s="140">
        <v>6370.2264643200861</v>
      </c>
      <c r="J12" s="140">
        <v>6382.5651376560209</v>
      </c>
      <c r="K12" s="140">
        <v>6743.8411401850035</v>
      </c>
      <c r="L12" s="140">
        <v>6943.6828112041267</v>
      </c>
      <c r="M12" s="140">
        <v>6710.8644648847949</v>
      </c>
      <c r="N12" s="140">
        <v>5584.9957081136208</v>
      </c>
      <c r="O12" s="140">
        <v>4662.7004179286032</v>
      </c>
      <c r="P12" s="140">
        <v>4427.1020212387411</v>
      </c>
      <c r="Q12" s="140">
        <v>4020.125767835606</v>
      </c>
      <c r="R12" s="140">
        <v>3826.3788607401657</v>
      </c>
      <c r="S12" s="140">
        <v>4055.5264759812558</v>
      </c>
      <c r="T12" s="140">
        <v>4554.2913571745776</v>
      </c>
      <c r="U12" s="140">
        <v>4883.1563759317805</v>
      </c>
      <c r="V12" s="140">
        <v>5644.1695905988063</v>
      </c>
      <c r="W12" s="140">
        <v>6570.5591967433593</v>
      </c>
      <c r="X12" s="140">
        <v>8077.63732033629</v>
      </c>
      <c r="Y12" s="140">
        <v>9293.9610572999882</v>
      </c>
      <c r="DA12" s="170" t="s">
        <v>254</v>
      </c>
    </row>
    <row r="13" spans="1:105" ht="12" customHeight="1" x14ac:dyDescent="0.25">
      <c r="A13" s="131" t="s">
        <v>77</v>
      </c>
      <c r="B13" s="140">
        <v>2.0297058275636974</v>
      </c>
      <c r="C13" s="140">
        <v>5.1624360925631212</v>
      </c>
      <c r="D13" s="140">
        <v>10.444634032251217</v>
      </c>
      <c r="E13" s="140">
        <v>15.301297267829838</v>
      </c>
      <c r="F13" s="140">
        <v>19.181793237411025</v>
      </c>
      <c r="G13" s="140">
        <v>22.023748906325686</v>
      </c>
      <c r="H13" s="140">
        <v>25.85235817079775</v>
      </c>
      <c r="I13" s="140">
        <v>33.737334157158188</v>
      </c>
      <c r="J13" s="140">
        <v>44.485925100025767</v>
      </c>
      <c r="K13" s="140">
        <v>71.786071073028452</v>
      </c>
      <c r="L13" s="140">
        <v>123.90761820417983</v>
      </c>
      <c r="M13" s="140">
        <v>201.04965910778742</v>
      </c>
      <c r="N13" s="140">
        <v>298.12510208082153</v>
      </c>
      <c r="O13" s="140">
        <v>430.13931544210539</v>
      </c>
      <c r="P13" s="140">
        <v>652.69037197019475</v>
      </c>
      <c r="Q13" s="140">
        <v>909.04305011614235</v>
      </c>
      <c r="R13" s="140">
        <v>1040.0777080665282</v>
      </c>
      <c r="S13" s="140">
        <v>1103.9878134985483</v>
      </c>
      <c r="T13" s="140">
        <v>1235.802339476405</v>
      </c>
      <c r="U13" s="140">
        <v>1385.8619538173309</v>
      </c>
      <c r="V13" s="140">
        <v>1651.2345066443265</v>
      </c>
      <c r="W13" s="140">
        <v>1860.9907996759271</v>
      </c>
      <c r="X13" s="140">
        <v>2232.1356294476086</v>
      </c>
      <c r="Y13" s="140">
        <v>2738.183992235161</v>
      </c>
      <c r="DA13" s="170" t="s">
        <v>255</v>
      </c>
    </row>
    <row r="14" spans="1:105" ht="12" customHeight="1" x14ac:dyDescent="0.25">
      <c r="A14" s="60" t="s">
        <v>76</v>
      </c>
      <c r="B14" s="141">
        <v>5333.809922245734</v>
      </c>
      <c r="C14" s="141">
        <v>8331.25709067971</v>
      </c>
      <c r="D14" s="141">
        <v>10161.359691788613</v>
      </c>
      <c r="E14" s="141">
        <v>10736.413715982751</v>
      </c>
      <c r="F14" s="141">
        <v>10136.333178088882</v>
      </c>
      <c r="G14" s="141">
        <v>8099.1035900444731</v>
      </c>
      <c r="H14" s="141">
        <v>7054.7889484985262</v>
      </c>
      <c r="I14" s="141">
        <v>6796.4818932313265</v>
      </c>
      <c r="J14" s="141">
        <v>6997.1522390127629</v>
      </c>
      <c r="K14" s="141">
        <v>7853.7257660715895</v>
      </c>
      <c r="L14" s="141">
        <v>8875.2912089351612</v>
      </c>
      <c r="M14" s="141">
        <v>9597.2488110274917</v>
      </c>
      <c r="N14" s="141">
        <v>9826.2832715265504</v>
      </c>
      <c r="O14" s="141">
        <v>10312.329457755875</v>
      </c>
      <c r="P14" s="141">
        <v>10607.125611430927</v>
      </c>
      <c r="Q14" s="141">
        <v>11695.14252832401</v>
      </c>
      <c r="R14" s="141">
        <v>12230.587047408902</v>
      </c>
      <c r="S14" s="141">
        <v>12378.178439632624</v>
      </c>
      <c r="T14" s="141">
        <v>11836.626466994543</v>
      </c>
      <c r="U14" s="141">
        <v>11010.796100684533</v>
      </c>
      <c r="V14" s="141">
        <v>10458.174094561753</v>
      </c>
      <c r="W14" s="141">
        <v>9235.5032775517229</v>
      </c>
      <c r="X14" s="141">
        <v>7310.6924972963689</v>
      </c>
      <c r="Y14" s="141">
        <v>5760.3289573368638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23732.076474228707</v>
      </c>
      <c r="C15" s="143">
        <f t="shared" si="4"/>
        <v>21293.394107595599</v>
      </c>
      <c r="D15" s="143">
        <f t="shared" si="4"/>
        <v>20194.304043948418</v>
      </c>
      <c r="E15" s="143">
        <f t="shared" si="4"/>
        <v>20382.497065417498</v>
      </c>
      <c r="F15" s="143">
        <f t="shared" si="4"/>
        <v>21796.772550597292</v>
      </c>
      <c r="G15" s="143">
        <f t="shared" si="4"/>
        <v>24974.899161592599</v>
      </c>
      <c r="H15" s="143">
        <f t="shared" si="4"/>
        <v>27525.636067462787</v>
      </c>
      <c r="I15" s="143">
        <f t="shared" si="4"/>
        <v>29698.181661296083</v>
      </c>
      <c r="J15" s="143">
        <f t="shared" si="4"/>
        <v>30692.246180435795</v>
      </c>
      <c r="K15" s="143">
        <f t="shared" si="4"/>
        <v>29746.073206197954</v>
      </c>
      <c r="L15" s="143">
        <f t="shared" si="4"/>
        <v>29499.045557139452</v>
      </c>
      <c r="M15" s="143">
        <f t="shared" si="4"/>
        <v>29079.217911887776</v>
      </c>
      <c r="N15" s="143">
        <f t="shared" si="4"/>
        <v>29138.999140198157</v>
      </c>
      <c r="O15" s="143">
        <f t="shared" si="4"/>
        <v>28861.507598873119</v>
      </c>
      <c r="P15" s="143">
        <f t="shared" si="4"/>
        <v>28718.661409152377</v>
      </c>
      <c r="Q15" s="143">
        <f t="shared" si="4"/>
        <v>27874.782852100372</v>
      </c>
      <c r="R15" s="143">
        <f t="shared" ref="R15:W15" si="5">SUM(R5:R12)</f>
        <v>27694.717718218708</v>
      </c>
      <c r="S15" s="143">
        <f t="shared" si="5"/>
        <v>28003.077940466697</v>
      </c>
      <c r="T15" s="143">
        <f t="shared" si="5"/>
        <v>29015.960546211139</v>
      </c>
      <c r="U15" s="143">
        <f t="shared" si="5"/>
        <v>30319.102784075378</v>
      </c>
      <c r="V15" s="143">
        <f t="shared" si="5"/>
        <v>31210.488065460562</v>
      </c>
      <c r="W15" s="143">
        <f t="shared" si="5"/>
        <v>32788.345568577424</v>
      </c>
      <c r="X15" s="143">
        <f t="shared" ref="X15:Y15" si="6">SUM(X5:X12)</f>
        <v>34866.947355787386</v>
      </c>
      <c r="Y15" s="143">
        <f t="shared" si="6"/>
        <v>36398.556099493719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3818.436006316952</v>
      </c>
      <c r="C16" s="139">
        <f t="shared" si="7"/>
        <v>4114.675467252333</v>
      </c>
      <c r="D16" s="139">
        <f t="shared" si="7"/>
        <v>4555.919086130878</v>
      </c>
      <c r="E16" s="139">
        <f t="shared" si="7"/>
        <v>4882.4752986468393</v>
      </c>
      <c r="F16" s="139">
        <f t="shared" si="7"/>
        <v>5233.8770974347508</v>
      </c>
      <c r="G16" s="139">
        <f t="shared" si="7"/>
        <v>5572.1445736836968</v>
      </c>
      <c r="H16" s="139">
        <f t="shared" si="7"/>
        <v>6001.3503956814084</v>
      </c>
      <c r="I16" s="139">
        <f t="shared" si="7"/>
        <v>6662.1676937284628</v>
      </c>
      <c r="J16" s="139">
        <f t="shared" si="7"/>
        <v>7225.1737132488051</v>
      </c>
      <c r="K16" s="139">
        <f t="shared" si="7"/>
        <v>7466.5180380015363</v>
      </c>
      <c r="L16" s="139">
        <f t="shared" si="7"/>
        <v>7839.822753682588</v>
      </c>
      <c r="M16" s="139">
        <f t="shared" si="7"/>
        <v>7976.1203780778651</v>
      </c>
      <c r="N16" s="139">
        <f t="shared" si="7"/>
        <v>8237.2830877389242</v>
      </c>
      <c r="O16" s="139">
        <f t="shared" si="7"/>
        <v>8438.3554749431896</v>
      </c>
      <c r="P16" s="139">
        <f t="shared" si="7"/>
        <v>8657.9978212121605</v>
      </c>
      <c r="Q16" s="139">
        <f t="shared" si="7"/>
        <v>8831.2100037042601</v>
      </c>
      <c r="R16" s="139">
        <f t="shared" ref="R16:W16" si="8">SUM(R17:R18)</f>
        <v>9002.3385162662926</v>
      </c>
      <c r="S16" s="139">
        <f t="shared" si="8"/>
        <v>9248.2912868404073</v>
      </c>
      <c r="T16" s="139">
        <f t="shared" si="8"/>
        <v>9497.3173393251473</v>
      </c>
      <c r="U16" s="139">
        <f t="shared" si="8"/>
        <v>9765.5257978888294</v>
      </c>
      <c r="V16" s="139">
        <f t="shared" si="8"/>
        <v>10151.29642977587</v>
      </c>
      <c r="W16" s="139">
        <f t="shared" si="8"/>
        <v>10415.94836443396</v>
      </c>
      <c r="X16" s="139">
        <f t="shared" ref="X16:Y16" si="9">SUM(X17:X18)</f>
        <v>10452.154837704482</v>
      </c>
      <c r="Y16" s="139">
        <f t="shared" si="9"/>
        <v>10616.222254577655</v>
      </c>
      <c r="DA16" s="169" t="s">
        <v>257</v>
      </c>
    </row>
    <row r="17" spans="1:105" ht="12.95" customHeight="1" x14ac:dyDescent="0.25">
      <c r="A17" s="131" t="s">
        <v>73</v>
      </c>
      <c r="B17" s="140">
        <v>6.5308462100685505</v>
      </c>
      <c r="C17" s="140">
        <v>11.104683241439314</v>
      </c>
      <c r="D17" s="140">
        <v>9.8209045117123157</v>
      </c>
      <c r="E17" s="140">
        <v>13.85278791390566</v>
      </c>
      <c r="F17" s="140">
        <v>11.712667155405859</v>
      </c>
      <c r="G17" s="140">
        <v>17.671169582830345</v>
      </c>
      <c r="H17" s="140">
        <v>21.021507845183987</v>
      </c>
      <c r="I17" s="140">
        <v>22.275696108772557</v>
      </c>
      <c r="J17" s="140">
        <v>26.222397763323468</v>
      </c>
      <c r="K17" s="140">
        <v>26.362569948658326</v>
      </c>
      <c r="L17" s="140">
        <v>28.436516979306504</v>
      </c>
      <c r="M17" s="140">
        <v>32.081115906756182</v>
      </c>
      <c r="N17" s="140">
        <v>33.872121024175904</v>
      </c>
      <c r="O17" s="140">
        <v>44.150822276632056</v>
      </c>
      <c r="P17" s="140">
        <v>64.43234640698293</v>
      </c>
      <c r="Q17" s="140">
        <v>76.808530774665257</v>
      </c>
      <c r="R17" s="140">
        <v>115.55823227732309</v>
      </c>
      <c r="S17" s="140">
        <v>130.56076747512978</v>
      </c>
      <c r="T17" s="140">
        <v>153.85333293875524</v>
      </c>
      <c r="U17" s="140">
        <v>166.19327988244459</v>
      </c>
      <c r="V17" s="140">
        <v>188.47150710572762</v>
      </c>
      <c r="W17" s="140">
        <v>206.07360456813154</v>
      </c>
      <c r="X17" s="140">
        <v>215.20964846354318</v>
      </c>
      <c r="Y17" s="140">
        <v>225.92325429011203</v>
      </c>
      <c r="DA17" s="170" t="s">
        <v>258</v>
      </c>
    </row>
    <row r="18" spans="1:105" ht="12" customHeight="1" x14ac:dyDescent="0.25">
      <c r="A18" s="131" t="s">
        <v>72</v>
      </c>
      <c r="B18" s="140">
        <v>3811.9051601068836</v>
      </c>
      <c r="C18" s="140">
        <v>4103.5707840108935</v>
      </c>
      <c r="D18" s="140">
        <v>4546.0981816191661</v>
      </c>
      <c r="E18" s="140">
        <v>4868.6225107329337</v>
      </c>
      <c r="F18" s="140">
        <v>5222.1644302793447</v>
      </c>
      <c r="G18" s="140">
        <v>5554.473404100866</v>
      </c>
      <c r="H18" s="140">
        <v>5980.3288878362246</v>
      </c>
      <c r="I18" s="140">
        <v>6639.8919976196903</v>
      </c>
      <c r="J18" s="140">
        <v>7198.9513154854812</v>
      </c>
      <c r="K18" s="140">
        <v>7440.1554680528779</v>
      </c>
      <c r="L18" s="140">
        <v>7811.3862367032816</v>
      </c>
      <c r="M18" s="140">
        <v>7944.0392621711089</v>
      </c>
      <c r="N18" s="140">
        <v>8203.4109667147477</v>
      </c>
      <c r="O18" s="140">
        <v>8394.2046526665581</v>
      </c>
      <c r="P18" s="140">
        <v>8593.5654748051784</v>
      </c>
      <c r="Q18" s="140">
        <v>8754.4014729295941</v>
      </c>
      <c r="R18" s="140">
        <v>8886.78028398897</v>
      </c>
      <c r="S18" s="140">
        <v>9117.7305193652774</v>
      </c>
      <c r="T18" s="140">
        <v>9343.4640063863917</v>
      </c>
      <c r="U18" s="140">
        <v>9599.3325180063857</v>
      </c>
      <c r="V18" s="140">
        <v>9962.8249226701428</v>
      </c>
      <c r="W18" s="140">
        <v>10209.874759865828</v>
      </c>
      <c r="X18" s="140">
        <v>10236.945189240938</v>
      </c>
      <c r="Y18" s="140">
        <v>10390.299000287543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29067.916102302002</v>
      </c>
      <c r="C19" s="139">
        <f t="shared" si="10"/>
        <v>29629.813634367878</v>
      </c>
      <c r="D19" s="139">
        <f t="shared" si="10"/>
        <v>30366.108369769281</v>
      </c>
      <c r="E19" s="139">
        <f t="shared" si="10"/>
        <v>31134.212078668079</v>
      </c>
      <c r="F19" s="139">
        <f t="shared" si="10"/>
        <v>31952.287521923594</v>
      </c>
      <c r="G19" s="139">
        <f t="shared" si="10"/>
        <v>33096.02650054339</v>
      </c>
      <c r="H19" s="139">
        <f t="shared" si="10"/>
        <v>34606.277374132122</v>
      </c>
      <c r="I19" s="139">
        <f t="shared" si="10"/>
        <v>36528.40088868457</v>
      </c>
      <c r="J19" s="139">
        <f t="shared" si="10"/>
        <v>37733.884344548569</v>
      </c>
      <c r="K19" s="139">
        <f t="shared" si="10"/>
        <v>37671.585043342566</v>
      </c>
      <c r="L19" s="139">
        <f t="shared" si="10"/>
        <v>38498.244384278762</v>
      </c>
      <c r="M19" s="139">
        <f t="shared" si="10"/>
        <v>38877.516382023052</v>
      </c>
      <c r="N19" s="139">
        <f t="shared" si="10"/>
        <v>39263.40751380552</v>
      </c>
      <c r="O19" s="139">
        <f t="shared" si="10"/>
        <v>39603.976372071062</v>
      </c>
      <c r="P19" s="139">
        <f t="shared" si="10"/>
        <v>39978.477392553512</v>
      </c>
      <c r="Q19" s="139">
        <f t="shared" si="10"/>
        <v>40478.968430540495</v>
      </c>
      <c r="R19" s="139">
        <f t="shared" ref="R19:W19" si="11">SUM(R20:R26)</f>
        <v>40965.382473694131</v>
      </c>
      <c r="S19" s="139">
        <f t="shared" si="11"/>
        <v>41485.244193597893</v>
      </c>
      <c r="T19" s="139">
        <f t="shared" si="11"/>
        <v>42088.389352682076</v>
      </c>
      <c r="U19" s="139">
        <f t="shared" si="11"/>
        <v>42715.760838577247</v>
      </c>
      <c r="V19" s="139">
        <f t="shared" si="11"/>
        <v>43319.896666666667</v>
      </c>
      <c r="W19" s="139">
        <f t="shared" si="11"/>
        <v>43884.839645805056</v>
      </c>
      <c r="X19" s="139">
        <f t="shared" ref="X19:Y19" si="12">SUM(X20:X26)</f>
        <v>44409.77548253136</v>
      </c>
      <c r="Y19" s="139">
        <f t="shared" si="12"/>
        <v>44897.069049065736</v>
      </c>
      <c r="DA19" s="169" t="s">
        <v>260</v>
      </c>
    </row>
    <row r="20" spans="1:105" ht="12" customHeight="1" x14ac:dyDescent="0.25">
      <c r="A20" s="131" t="s">
        <v>29</v>
      </c>
      <c r="B20" s="140">
        <v>1632.4998175180369</v>
      </c>
      <c r="C20" s="140">
        <v>1494.0167994505744</v>
      </c>
      <c r="D20" s="140">
        <v>1231.352042894026</v>
      </c>
      <c r="E20" s="140">
        <v>908.80526644879592</v>
      </c>
      <c r="F20" s="140">
        <v>723.24740729713665</v>
      </c>
      <c r="G20" s="140">
        <v>702.76916408539932</v>
      </c>
      <c r="H20" s="140">
        <v>1101.7319170065132</v>
      </c>
      <c r="I20" s="140">
        <v>1727.6858581401113</v>
      </c>
      <c r="J20" s="140">
        <v>2265.0163763893393</v>
      </c>
      <c r="K20" s="140">
        <v>2573.7190140854377</v>
      </c>
      <c r="L20" s="140">
        <v>2676.970234333693</v>
      </c>
      <c r="M20" s="140">
        <v>2734.4167577148623</v>
      </c>
      <c r="N20" s="140">
        <v>2791.7612749114564</v>
      </c>
      <c r="O20" s="140">
        <v>2872.1741049092375</v>
      </c>
      <c r="P20" s="140">
        <v>2813.6434899066799</v>
      </c>
      <c r="Q20" s="140">
        <v>2659.225790053576</v>
      </c>
      <c r="R20" s="140">
        <v>2280.3419752596287</v>
      </c>
      <c r="S20" s="140">
        <v>2152.314236337646</v>
      </c>
      <c r="T20" s="140">
        <v>2125.7972291184078</v>
      </c>
      <c r="U20" s="140">
        <v>2013.9858611980799</v>
      </c>
      <c r="V20" s="140">
        <v>1705.7227281210992</v>
      </c>
      <c r="W20" s="140">
        <v>1437.9100099192956</v>
      </c>
      <c r="X20" s="140">
        <v>1039.0106656902478</v>
      </c>
      <c r="Y20" s="140">
        <v>784.88016599243815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DA22" s="170" t="s">
        <v>263</v>
      </c>
    </row>
    <row r="23" spans="1:105" ht="12" customHeight="1" x14ac:dyDescent="0.25">
      <c r="A23" s="131" t="s">
        <v>149</v>
      </c>
      <c r="B23" s="140">
        <v>2121.2871318690795</v>
      </c>
      <c r="C23" s="140">
        <v>3743.4797810185892</v>
      </c>
      <c r="D23" s="140">
        <v>4749.2679809651036</v>
      </c>
      <c r="E23" s="140">
        <v>5446.8276157501941</v>
      </c>
      <c r="F23" s="140">
        <v>5949.5486197985429</v>
      </c>
      <c r="G23" s="140">
        <v>6379.840775165876</v>
      </c>
      <c r="H23" s="140">
        <v>6970.468334504937</v>
      </c>
      <c r="I23" s="140">
        <v>7637.8091370866014</v>
      </c>
      <c r="J23" s="140">
        <v>8135.7651098184842</v>
      </c>
      <c r="K23" s="140">
        <v>8440.8452939043163</v>
      </c>
      <c r="L23" s="140">
        <v>9116.9571773110456</v>
      </c>
      <c r="M23" s="140">
        <v>10114.716788459749</v>
      </c>
      <c r="N23" s="140">
        <v>11808.653387057237</v>
      </c>
      <c r="O23" s="140">
        <v>13265.60453060488</v>
      </c>
      <c r="P23" s="140">
        <v>13735.950201093903</v>
      </c>
      <c r="Q23" s="140">
        <v>13834.951426635393</v>
      </c>
      <c r="R23" s="140">
        <v>13795.318968398999</v>
      </c>
      <c r="S23" s="140">
        <v>13240.283501619037</v>
      </c>
      <c r="T23" s="140">
        <v>11551.779054959052</v>
      </c>
      <c r="U23" s="140">
        <v>10758.332184690113</v>
      </c>
      <c r="V23" s="140">
        <v>10621.527487986959</v>
      </c>
      <c r="W23" s="140">
        <v>10790.259354315926</v>
      </c>
      <c r="X23" s="140">
        <v>11589.602067256061</v>
      </c>
      <c r="Y23" s="140">
        <v>12243.246628271359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3351.9126701051982</v>
      </c>
      <c r="C25" s="140">
        <v>4151.891372729453</v>
      </c>
      <c r="D25" s="140">
        <v>5561.8224661597433</v>
      </c>
      <c r="E25" s="140">
        <v>6011.4700610820682</v>
      </c>
      <c r="F25" s="140">
        <v>6109.6059635834054</v>
      </c>
      <c r="G25" s="140">
        <v>5928.2388912863244</v>
      </c>
      <c r="H25" s="140">
        <v>5797.338174532254</v>
      </c>
      <c r="I25" s="140">
        <v>5354.8831207882349</v>
      </c>
      <c r="J25" s="140">
        <v>5223.6847961851672</v>
      </c>
      <c r="K25" s="140">
        <v>5123.4785286637834</v>
      </c>
      <c r="L25" s="140">
        <v>4962.7362307938292</v>
      </c>
      <c r="M25" s="140">
        <v>4698.6889353016804</v>
      </c>
      <c r="N25" s="140">
        <v>4314.6613918197982</v>
      </c>
      <c r="O25" s="140">
        <v>4006.4786344289728</v>
      </c>
      <c r="P25" s="140">
        <v>3741.4430756713282</v>
      </c>
      <c r="Q25" s="140">
        <v>3698.8666670772113</v>
      </c>
      <c r="R25" s="140">
        <v>3528.2859840148599</v>
      </c>
      <c r="S25" s="140">
        <v>3397.452779947319</v>
      </c>
      <c r="T25" s="140">
        <v>3265.6996551154743</v>
      </c>
      <c r="U25" s="140">
        <v>3002.3440680050471</v>
      </c>
      <c r="V25" s="140">
        <v>2657.6500664428831</v>
      </c>
      <c r="W25" s="140">
        <v>2519.9894587613476</v>
      </c>
      <c r="X25" s="140">
        <v>2641.4258294816764</v>
      </c>
      <c r="Y25" s="140">
        <v>2650.6014400791819</v>
      </c>
      <c r="DA25" s="170" t="s">
        <v>266</v>
      </c>
    </row>
    <row r="26" spans="1:105" ht="12" customHeight="1" x14ac:dyDescent="0.25">
      <c r="A26" s="131" t="s">
        <v>24</v>
      </c>
      <c r="B26" s="141">
        <v>21962.216482809687</v>
      </c>
      <c r="C26" s="141">
        <v>20240.425681169261</v>
      </c>
      <c r="D26" s="141">
        <v>18823.66587975041</v>
      </c>
      <c r="E26" s="141">
        <v>18767.109135387022</v>
      </c>
      <c r="F26" s="141">
        <v>19169.885531244508</v>
      </c>
      <c r="G26" s="141">
        <v>20085.177670005793</v>
      </c>
      <c r="H26" s="141">
        <v>20736.738948088416</v>
      </c>
      <c r="I26" s="141">
        <v>21808.022772669621</v>
      </c>
      <c r="J26" s="141">
        <v>22109.418062155579</v>
      </c>
      <c r="K26" s="141">
        <v>21533.542206689024</v>
      </c>
      <c r="L26" s="141">
        <v>21741.5807418402</v>
      </c>
      <c r="M26" s="141">
        <v>21329.693900546765</v>
      </c>
      <c r="N26" s="141">
        <v>20348.331460017031</v>
      </c>
      <c r="O26" s="141">
        <v>19459.719102127969</v>
      </c>
      <c r="P26" s="141">
        <v>19687.440625881598</v>
      </c>
      <c r="Q26" s="141">
        <v>20285.924546774317</v>
      </c>
      <c r="R26" s="141">
        <v>21361.435546020646</v>
      </c>
      <c r="S26" s="141">
        <v>22695.193675693892</v>
      </c>
      <c r="T26" s="141">
        <v>25145.113413489144</v>
      </c>
      <c r="U26" s="141">
        <v>26941.098724684012</v>
      </c>
      <c r="V26" s="141">
        <v>28334.996384115722</v>
      </c>
      <c r="W26" s="141">
        <v>29136.680822808485</v>
      </c>
      <c r="X26" s="141">
        <v>29139.736920103376</v>
      </c>
      <c r="Y26" s="141">
        <v>29218.340814722756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14.794459266848087</v>
      </c>
      <c r="H27" s="150">
        <v>14.695194872032149</v>
      </c>
      <c r="I27" s="150">
        <v>14.890039291320669</v>
      </c>
      <c r="J27" s="150">
        <v>14.979031967441168</v>
      </c>
      <c r="K27" s="150">
        <v>14.496459388264061</v>
      </c>
      <c r="L27" s="150">
        <v>295.96470480139948</v>
      </c>
      <c r="M27" s="150">
        <v>336.36477664776123</v>
      </c>
      <c r="N27" s="150">
        <v>340.73235824501461</v>
      </c>
      <c r="O27" s="150">
        <v>187.9101812078859</v>
      </c>
      <c r="P27" s="150">
        <v>694.66800953036284</v>
      </c>
      <c r="Q27" s="150">
        <v>495.48813000375287</v>
      </c>
      <c r="R27" s="150">
        <v>521.18205713035422</v>
      </c>
      <c r="S27" s="150">
        <v>371.28809498921152</v>
      </c>
      <c r="T27" s="150">
        <v>417.23874912131242</v>
      </c>
      <c r="U27" s="150">
        <v>427.61584119977709</v>
      </c>
      <c r="V27" s="150">
        <v>495.57909856720994</v>
      </c>
      <c r="W27" s="150">
        <v>559.40384129271854</v>
      </c>
      <c r="X27" s="150">
        <v>498.7361258137359</v>
      </c>
      <c r="Y27" s="150">
        <v>1304.4038157227442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29067.916102302006</v>
      </c>
      <c r="C29" s="139">
        <f t="shared" si="13"/>
        <v>29629.813634367878</v>
      </c>
      <c r="D29" s="139">
        <f t="shared" si="13"/>
        <v>30366.108369769281</v>
      </c>
      <c r="E29" s="139">
        <f t="shared" si="13"/>
        <v>31134.212078668079</v>
      </c>
      <c r="F29" s="139">
        <f t="shared" si="13"/>
        <v>31952.287521923594</v>
      </c>
      <c r="G29" s="139">
        <f t="shared" si="13"/>
        <v>33096.02650054339</v>
      </c>
      <c r="H29" s="139">
        <f t="shared" si="13"/>
        <v>34606.277374132107</v>
      </c>
      <c r="I29" s="139">
        <f t="shared" si="13"/>
        <v>36528.400888684562</v>
      </c>
      <c r="J29" s="139">
        <f t="shared" si="13"/>
        <v>37733.884344548598</v>
      </c>
      <c r="K29" s="139">
        <f t="shared" si="13"/>
        <v>37671.585043342551</v>
      </c>
      <c r="L29" s="139">
        <f t="shared" si="13"/>
        <v>38498.244384278791</v>
      </c>
      <c r="M29" s="139">
        <f t="shared" si="13"/>
        <v>38877.516382023052</v>
      </c>
      <c r="N29" s="139">
        <f t="shared" si="13"/>
        <v>39263.407513805534</v>
      </c>
      <c r="O29" s="139">
        <f t="shared" si="13"/>
        <v>39603.976372071091</v>
      </c>
      <c r="P29" s="139">
        <f t="shared" si="13"/>
        <v>39978.477392553519</v>
      </c>
      <c r="Q29" s="139">
        <f t="shared" si="13"/>
        <v>40478.968430540517</v>
      </c>
      <c r="R29" s="139">
        <f t="shared" ref="R29:W29" si="14">SUM(R30:R33)</f>
        <v>40965.382473694124</v>
      </c>
      <c r="S29" s="139">
        <f t="shared" si="14"/>
        <v>41485.244193597886</v>
      </c>
      <c r="T29" s="139">
        <f t="shared" si="14"/>
        <v>42088.389352682105</v>
      </c>
      <c r="U29" s="139">
        <f t="shared" si="14"/>
        <v>42715.760838577233</v>
      </c>
      <c r="V29" s="139">
        <f t="shared" si="14"/>
        <v>43319.896666666653</v>
      </c>
      <c r="W29" s="139">
        <f t="shared" si="14"/>
        <v>43884.83964580507</v>
      </c>
      <c r="X29" s="139">
        <f t="shared" ref="X29:Y29" si="15">SUM(X30:X33)</f>
        <v>44409.77548253139</v>
      </c>
      <c r="Y29" s="139">
        <f t="shared" si="15"/>
        <v>44897.069049065714</v>
      </c>
      <c r="DA29" s="169" t="s">
        <v>269</v>
      </c>
    </row>
    <row r="30" spans="1:105" ht="12" customHeight="1" x14ac:dyDescent="0.25">
      <c r="A30" s="131" t="s">
        <v>52</v>
      </c>
      <c r="B30" s="140">
        <v>3951.1490438077053</v>
      </c>
      <c r="C30" s="140">
        <v>6563.0134860756225</v>
      </c>
      <c r="D30" s="140">
        <v>8696.6150518297345</v>
      </c>
      <c r="E30" s="140">
        <v>9178.8512877478861</v>
      </c>
      <c r="F30" s="140">
        <v>9403.2239983427298</v>
      </c>
      <c r="G30" s="140">
        <v>8487.3923943069622</v>
      </c>
      <c r="H30" s="140">
        <v>6266.4508011612606</v>
      </c>
      <c r="I30" s="140">
        <v>3629.501283134965</v>
      </c>
      <c r="J30" s="140">
        <v>2567.2119791489149</v>
      </c>
      <c r="K30" s="140">
        <v>2683.5988461654483</v>
      </c>
      <c r="L30" s="140">
        <v>2774.0933631612861</v>
      </c>
      <c r="M30" s="140">
        <v>2597.3577072704884</v>
      </c>
      <c r="N30" s="140">
        <v>2892.7746038113896</v>
      </c>
      <c r="O30" s="140">
        <v>2724.3532486994168</v>
      </c>
      <c r="P30" s="140">
        <v>2677.8800638199264</v>
      </c>
      <c r="Q30" s="140">
        <v>2193.8743086228956</v>
      </c>
      <c r="R30" s="140">
        <v>1773.7654862801305</v>
      </c>
      <c r="S30" s="140">
        <v>1318.0364318517998</v>
      </c>
      <c r="T30" s="140">
        <v>1150.4566509029119</v>
      </c>
      <c r="U30" s="140">
        <v>946.3869107945693</v>
      </c>
      <c r="V30" s="140">
        <v>868.84183811391051</v>
      </c>
      <c r="W30" s="140">
        <v>827.21838475454797</v>
      </c>
      <c r="X30" s="140">
        <v>982.72676655118528</v>
      </c>
      <c r="Y30" s="140">
        <v>878.94575169248105</v>
      </c>
      <c r="DA30" s="170" t="s">
        <v>270</v>
      </c>
    </row>
    <row r="31" spans="1:105" ht="12" customHeight="1" x14ac:dyDescent="0.25">
      <c r="A31" s="131" t="s">
        <v>149</v>
      </c>
      <c r="B31" s="140">
        <v>14162.622889665829</v>
      </c>
      <c r="C31" s="140">
        <v>13809.170642553541</v>
      </c>
      <c r="D31" s="140">
        <v>12620.177417013532</v>
      </c>
      <c r="E31" s="140">
        <v>11631.010320734842</v>
      </c>
      <c r="F31" s="140">
        <v>11871.690691345668</v>
      </c>
      <c r="G31" s="140">
        <v>11965.615839895379</v>
      </c>
      <c r="H31" s="140">
        <v>13095.094056974813</v>
      </c>
      <c r="I31" s="140">
        <v>14170.340605007481</v>
      </c>
      <c r="J31" s="140">
        <v>14507.325087578483</v>
      </c>
      <c r="K31" s="140">
        <v>14170.377139607541</v>
      </c>
      <c r="L31" s="140">
        <v>13790.297798273883</v>
      </c>
      <c r="M31" s="140">
        <v>13674.326817015814</v>
      </c>
      <c r="N31" s="140">
        <v>14631.788536698574</v>
      </c>
      <c r="O31" s="140">
        <v>16310.154625829395</v>
      </c>
      <c r="P31" s="140">
        <v>17841.926432928089</v>
      </c>
      <c r="Q31" s="140">
        <v>18980.645014354792</v>
      </c>
      <c r="R31" s="140">
        <v>19007.639287101611</v>
      </c>
      <c r="S31" s="140">
        <v>18010.622295720292</v>
      </c>
      <c r="T31" s="140">
        <v>17476.168046900748</v>
      </c>
      <c r="U31" s="140">
        <v>17579.539347139511</v>
      </c>
      <c r="V31" s="140">
        <v>18040.206357612922</v>
      </c>
      <c r="W31" s="140">
        <v>17991.103159374688</v>
      </c>
      <c r="X31" s="140">
        <v>18438.78286850825</v>
      </c>
      <c r="Y31" s="140">
        <v>18876.76348185914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10954.14416882847</v>
      </c>
      <c r="C33" s="152">
        <v>9257.6295057387142</v>
      </c>
      <c r="D33" s="152">
        <v>9049.3159009260144</v>
      </c>
      <c r="E33" s="152">
        <v>10324.350470185349</v>
      </c>
      <c r="F33" s="152">
        <v>10677.372832235196</v>
      </c>
      <c r="G33" s="152">
        <v>12643.018266341051</v>
      </c>
      <c r="H33" s="152">
        <v>15244.732515996035</v>
      </c>
      <c r="I33" s="152">
        <v>18728.559000542118</v>
      </c>
      <c r="J33" s="152">
        <v>20659.347277821198</v>
      </c>
      <c r="K33" s="152">
        <v>20817.609057569567</v>
      </c>
      <c r="L33" s="152">
        <v>21933.85322284362</v>
      </c>
      <c r="M33" s="152">
        <v>22605.831857736746</v>
      </c>
      <c r="N33" s="152">
        <v>21738.844373295571</v>
      </c>
      <c r="O33" s="152">
        <v>20569.468497542279</v>
      </c>
      <c r="P33" s="152">
        <v>19458.670895805502</v>
      </c>
      <c r="Q33" s="152">
        <v>19304.449107562828</v>
      </c>
      <c r="R33" s="152">
        <v>20183.977700312382</v>
      </c>
      <c r="S33" s="152">
        <v>22156.585466025794</v>
      </c>
      <c r="T33" s="152">
        <v>23461.764654878451</v>
      </c>
      <c r="U33" s="152">
        <v>24189.834580643157</v>
      </c>
      <c r="V33" s="152">
        <v>24410.848470939822</v>
      </c>
      <c r="W33" s="152">
        <v>25066.518101675836</v>
      </c>
      <c r="X33" s="152">
        <v>24988.265847471954</v>
      </c>
      <c r="Y33" s="152">
        <v>25141.359815514097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2043.0377854291528</v>
      </c>
      <c r="C3" s="125">
        <f t="shared" si="0"/>
        <v>1549.5975034975775</v>
      </c>
      <c r="D3" s="125">
        <f t="shared" si="0"/>
        <v>1391.7395492485189</v>
      </c>
      <c r="E3" s="125">
        <f t="shared" si="0"/>
        <v>1131.1679589652483</v>
      </c>
      <c r="F3" s="125">
        <f t="shared" si="0"/>
        <v>1264.4752467903136</v>
      </c>
      <c r="G3" s="125">
        <f t="shared" si="0"/>
        <v>1578.1241043281352</v>
      </c>
      <c r="H3" s="125">
        <f t="shared" si="0"/>
        <v>1685.7896115362755</v>
      </c>
      <c r="I3" s="125">
        <f t="shared" si="0"/>
        <v>1666.23062176492</v>
      </c>
      <c r="J3" s="125">
        <f t="shared" si="0"/>
        <v>1724.6940713177348</v>
      </c>
      <c r="K3" s="125">
        <f t="shared" si="0"/>
        <v>1727.1470210497539</v>
      </c>
      <c r="L3" s="125">
        <f t="shared" si="0"/>
        <v>1881.3655582384843</v>
      </c>
      <c r="M3" s="125">
        <f t="shared" si="0"/>
        <v>1373.547568522991</v>
      </c>
      <c r="N3" s="125">
        <f t="shared" si="0"/>
        <v>1220.0698229436123</v>
      </c>
      <c r="O3" s="125">
        <f t="shared" si="0"/>
        <v>1476.9693429674667</v>
      </c>
      <c r="P3" s="125">
        <f t="shared" si="0"/>
        <v>994.99971369209834</v>
      </c>
      <c r="Q3" s="125">
        <f t="shared" si="0"/>
        <v>1052.6336482119038</v>
      </c>
      <c r="R3" s="125">
        <f t="shared" ref="R3:W3" si="1">SUM(R4,R16,R19,R29)</f>
        <v>1058.6691671710396</v>
      </c>
      <c r="S3" s="125">
        <f t="shared" si="1"/>
        <v>1169.0885511957433</v>
      </c>
      <c r="T3" s="125">
        <f t="shared" si="1"/>
        <v>1055.2478816283908</v>
      </c>
      <c r="U3" s="125">
        <f t="shared" si="1"/>
        <v>952.90791549327162</v>
      </c>
      <c r="V3" s="125">
        <f t="shared" si="1"/>
        <v>836.67703964062719</v>
      </c>
      <c r="W3" s="125">
        <f t="shared" si="1"/>
        <v>1126.0288514873509</v>
      </c>
      <c r="X3" s="125">
        <f t="shared" ref="X3:Y3" si="2">SUM(X4,X16,X19,X29)</f>
        <v>1007.3076330660741</v>
      </c>
      <c r="Y3" s="125">
        <f t="shared" si="2"/>
        <v>870.84569254559926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1846.9430305320332</v>
      </c>
      <c r="C4" s="130">
        <f t="shared" si="3"/>
        <v>1347.6142951804597</v>
      </c>
      <c r="D4" s="130">
        <f t="shared" si="3"/>
        <v>1176.2343818054997</v>
      </c>
      <c r="E4" s="130">
        <f t="shared" si="3"/>
        <v>909.70831120997661</v>
      </c>
      <c r="F4" s="130">
        <f t="shared" si="3"/>
        <v>1039.1370248008693</v>
      </c>
      <c r="G4" s="130">
        <f t="shared" si="3"/>
        <v>1340.7277219353386</v>
      </c>
      <c r="H4" s="130">
        <f t="shared" si="3"/>
        <v>1438.2887677280146</v>
      </c>
      <c r="I4" s="130">
        <f t="shared" si="3"/>
        <v>1414.702539414481</v>
      </c>
      <c r="J4" s="130">
        <f t="shared" si="3"/>
        <v>1471.4797613425233</v>
      </c>
      <c r="K4" s="130">
        <f t="shared" si="3"/>
        <v>1466.4105849440737</v>
      </c>
      <c r="L4" s="130">
        <f t="shared" si="3"/>
        <v>1614.7885496927627</v>
      </c>
      <c r="M4" s="130">
        <f t="shared" si="3"/>
        <v>1113.3867526674319</v>
      </c>
      <c r="N4" s="130">
        <f t="shared" si="3"/>
        <v>951.58062217106021</v>
      </c>
      <c r="O4" s="130">
        <f t="shared" si="3"/>
        <v>1204.4086841713611</v>
      </c>
      <c r="P4" s="130">
        <f t="shared" si="3"/>
        <v>721.57470498672672</v>
      </c>
      <c r="Q4" s="130">
        <f t="shared" si="3"/>
        <v>774.20606500060774</v>
      </c>
      <c r="R4" s="130">
        <f t="shared" ref="R4:W4" si="4">SUM(R5:R15)</f>
        <v>783.20559180195767</v>
      </c>
      <c r="S4" s="130">
        <f t="shared" si="4"/>
        <v>894.72248039152771</v>
      </c>
      <c r="T4" s="130">
        <f t="shared" si="4"/>
        <v>786.64060538918636</v>
      </c>
      <c r="U4" s="130">
        <f t="shared" si="4"/>
        <v>690.61442340414351</v>
      </c>
      <c r="V4" s="130">
        <f t="shared" si="4"/>
        <v>600.89760163085396</v>
      </c>
      <c r="W4" s="130">
        <f t="shared" si="4"/>
        <v>858.51911184745325</v>
      </c>
      <c r="X4" s="130">
        <f t="shared" ref="X4:Y4" si="5">SUM(X5:X15)</f>
        <v>739.34543967336242</v>
      </c>
      <c r="Y4" s="130">
        <f t="shared" si="5"/>
        <v>606.71731847516912</v>
      </c>
      <c r="DA4" s="155" t="s">
        <v>214</v>
      </c>
    </row>
    <row r="5" spans="1:105" ht="12" customHeight="1" x14ac:dyDescent="0.25">
      <c r="A5" s="131" t="s">
        <v>29</v>
      </c>
      <c r="B5" s="132">
        <v>182.01938570106083</v>
      </c>
      <c r="C5" s="132">
        <v>147.62933693618692</v>
      </c>
      <c r="D5" s="132">
        <v>185.88692149338468</v>
      </c>
      <c r="E5" s="132">
        <v>32.303093942841841</v>
      </c>
      <c r="F5" s="132">
        <v>123.92272056994571</v>
      </c>
      <c r="G5" s="132">
        <v>28.791824525329275</v>
      </c>
      <c r="H5" s="132">
        <v>74.24950600562542</v>
      </c>
      <c r="I5" s="132">
        <v>145.26615988823394</v>
      </c>
      <c r="J5" s="132">
        <v>219.02825118568464</v>
      </c>
      <c r="K5" s="132">
        <v>481.24375838409094</v>
      </c>
      <c r="L5" s="132">
        <v>269.83594717454292</v>
      </c>
      <c r="M5" s="132">
        <v>303.84206161759045</v>
      </c>
      <c r="N5" s="132">
        <v>80.430354896580184</v>
      </c>
      <c r="O5" s="132">
        <v>157.85679724199036</v>
      </c>
      <c r="P5" s="132">
        <v>96.608634042052032</v>
      </c>
      <c r="Q5" s="132">
        <v>97.499955977543507</v>
      </c>
      <c r="R5" s="132">
        <v>51.016714698814219</v>
      </c>
      <c r="S5" s="132">
        <v>64.126547212241576</v>
      </c>
      <c r="T5" s="132">
        <v>75.212010255601513</v>
      </c>
      <c r="U5" s="132">
        <v>111.29187002824131</v>
      </c>
      <c r="V5" s="132">
        <v>43.34773262528698</v>
      </c>
      <c r="W5" s="132">
        <v>66.596904280217515</v>
      </c>
      <c r="X5" s="132">
        <v>38.767308682431448</v>
      </c>
      <c r="Y5" s="132">
        <v>32.147177612040494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5.9759243336199468</v>
      </c>
      <c r="C7" s="132">
        <v>49.097162510748056</v>
      </c>
      <c r="D7" s="132">
        <v>31.303095442820293</v>
      </c>
      <c r="E7" s="132">
        <v>10.829320722269991</v>
      </c>
      <c r="F7" s="132">
        <v>27.581427343078232</v>
      </c>
      <c r="G7" s="132">
        <v>30.140842648323297</v>
      </c>
      <c r="H7" s="132">
        <v>18.518572656921748</v>
      </c>
      <c r="I7" s="132">
        <v>1.0269991401547711</v>
      </c>
      <c r="J7" s="132">
        <v>4.1081685296646597</v>
      </c>
      <c r="K7" s="132">
        <v>10.87523645743766</v>
      </c>
      <c r="L7" s="132">
        <v>0</v>
      </c>
      <c r="M7" s="132">
        <v>0</v>
      </c>
      <c r="N7" s="132">
        <v>0</v>
      </c>
      <c r="O7" s="132">
        <v>1.0038693035253647</v>
      </c>
      <c r="P7" s="132">
        <v>5.0058469475494407</v>
      </c>
      <c r="Q7" s="132">
        <v>6.0367153912295803</v>
      </c>
      <c r="R7" s="132">
        <v>4.0241616509028386</v>
      </c>
      <c r="S7" s="132">
        <v>3.0185726569217537</v>
      </c>
      <c r="T7" s="132">
        <v>2.0116938950988827</v>
      </c>
      <c r="U7" s="132">
        <v>5.029148753224419</v>
      </c>
      <c r="V7" s="132">
        <v>3.0156491831470342</v>
      </c>
      <c r="W7" s="132">
        <v>3.0810834049871008</v>
      </c>
      <c r="X7" s="132">
        <v>4.022957867583834</v>
      </c>
      <c r="Y7" s="132">
        <v>2.0097162510748081</v>
      </c>
      <c r="DA7" s="156" t="s">
        <v>277</v>
      </c>
    </row>
    <row r="8" spans="1:105" ht="12" customHeight="1" x14ac:dyDescent="0.25">
      <c r="A8" s="131" t="s">
        <v>73</v>
      </c>
      <c r="B8" s="132">
        <v>1.4907728653203665E-2</v>
      </c>
      <c r="C8" s="132">
        <v>1.9454558304493372E-2</v>
      </c>
      <c r="D8" s="132">
        <v>2.634417950612487E-2</v>
      </c>
      <c r="E8" s="132">
        <v>3.888139772374017E-2</v>
      </c>
      <c r="F8" s="132">
        <v>4.9529289455814814E-2</v>
      </c>
      <c r="G8" s="132">
        <v>5.6099457885769567E-2</v>
      </c>
      <c r="H8" s="132">
        <v>6.2517831707347329E-2</v>
      </c>
      <c r="I8" s="132">
        <v>6.3413242007619205E-2</v>
      </c>
      <c r="J8" s="132">
        <v>6.3824706535942424E-2</v>
      </c>
      <c r="K8" s="132">
        <v>7.0792232221802004E-2</v>
      </c>
      <c r="L8" s="132">
        <v>8.0187957404437876E-2</v>
      </c>
      <c r="M8" s="132">
        <v>0.10591201974622697</v>
      </c>
      <c r="N8" s="132">
        <v>0.11666745381984887</v>
      </c>
      <c r="O8" s="132">
        <v>0.17283886030424755</v>
      </c>
      <c r="P8" s="132">
        <v>0.19583725680500944</v>
      </c>
      <c r="Q8" s="132">
        <v>0.23008796768723172</v>
      </c>
      <c r="R8" s="132">
        <v>0.20828126177546488</v>
      </c>
      <c r="S8" s="132">
        <v>0.2112934279895215</v>
      </c>
      <c r="T8" s="132">
        <v>0.20896766587808116</v>
      </c>
      <c r="U8" s="132">
        <v>0.19510310226967459</v>
      </c>
      <c r="V8" s="132">
        <v>0.24633173317994439</v>
      </c>
      <c r="W8" s="132">
        <v>0.2872060404171356</v>
      </c>
      <c r="X8" s="132">
        <v>0.31532931063454839</v>
      </c>
      <c r="Y8" s="132">
        <v>0.37983537182760124</v>
      </c>
      <c r="DA8" s="156" t="s">
        <v>278</v>
      </c>
    </row>
    <row r="9" spans="1:105" ht="12" customHeight="1" x14ac:dyDescent="0.25">
      <c r="A9" s="131" t="s">
        <v>78</v>
      </c>
      <c r="B9" s="132">
        <v>1304.1705261848824</v>
      </c>
      <c r="C9" s="132">
        <v>618.80011483456724</v>
      </c>
      <c r="D9" s="132">
        <v>383.31284414611929</v>
      </c>
      <c r="E9" s="132">
        <v>407.60813467779911</v>
      </c>
      <c r="F9" s="132">
        <v>270.10834567115023</v>
      </c>
      <c r="G9" s="132">
        <v>829.72268164535183</v>
      </c>
      <c r="H9" s="132">
        <v>922.97680009965097</v>
      </c>
      <c r="I9" s="132">
        <v>840.04632266569297</v>
      </c>
      <c r="J9" s="132">
        <v>823.87480833195639</v>
      </c>
      <c r="K9" s="132">
        <v>496.34741465127763</v>
      </c>
      <c r="L9" s="132">
        <v>761.4708983228727</v>
      </c>
      <c r="M9" s="132">
        <v>284.70049415380367</v>
      </c>
      <c r="N9" s="132">
        <v>559.13927311446253</v>
      </c>
      <c r="O9" s="132">
        <v>662.61170147274288</v>
      </c>
      <c r="P9" s="132">
        <v>379.27283591148137</v>
      </c>
      <c r="Q9" s="132">
        <v>414.63284657739428</v>
      </c>
      <c r="R9" s="132">
        <v>417.64780391379281</v>
      </c>
      <c r="S9" s="132">
        <v>465.75652222036069</v>
      </c>
      <c r="T9" s="132">
        <v>399.53630458013259</v>
      </c>
      <c r="U9" s="132">
        <v>323.54870959607683</v>
      </c>
      <c r="V9" s="132">
        <v>295.93705773057667</v>
      </c>
      <c r="W9" s="132">
        <v>449.98953772500579</v>
      </c>
      <c r="X9" s="132">
        <v>417.47409868544537</v>
      </c>
      <c r="Y9" s="132">
        <v>336.21026668320587</v>
      </c>
      <c r="DA9" s="156" t="s">
        <v>279</v>
      </c>
    </row>
    <row r="10" spans="1:105" ht="12" customHeight="1" x14ac:dyDescent="0.25">
      <c r="A10" s="131" t="s">
        <v>128</v>
      </c>
      <c r="B10" s="132">
        <v>0.14333619948409279</v>
      </c>
      <c r="C10" s="132">
        <v>14.784522785898536</v>
      </c>
      <c r="D10" s="132">
        <v>3.6065348237317281</v>
      </c>
      <c r="E10" s="132">
        <v>3.4871883061049007</v>
      </c>
      <c r="F10" s="132">
        <v>3.0572656921754078</v>
      </c>
      <c r="G10" s="132">
        <v>0.85984522785898565</v>
      </c>
      <c r="H10" s="132">
        <v>0.83594153052450582</v>
      </c>
      <c r="I10" s="132">
        <v>0.74041272570937189</v>
      </c>
      <c r="J10" s="132">
        <v>11.798968185726567</v>
      </c>
      <c r="K10" s="132">
        <v>16.719260533104045</v>
      </c>
      <c r="L10" s="132">
        <v>17.483576956147882</v>
      </c>
      <c r="M10" s="132">
        <v>10.126999140154767</v>
      </c>
      <c r="N10" s="132">
        <v>13.279793637145316</v>
      </c>
      <c r="O10" s="132">
        <v>8.3595872742906252</v>
      </c>
      <c r="P10" s="132">
        <v>25.126655202063638</v>
      </c>
      <c r="Q10" s="132">
        <v>15.525021496130691</v>
      </c>
      <c r="R10" s="132">
        <v>6.2099742046431681</v>
      </c>
      <c r="S10" s="132">
        <v>24.433877901977603</v>
      </c>
      <c r="T10" s="132">
        <v>24.983319002579517</v>
      </c>
      <c r="U10" s="132">
        <v>28.685296646603582</v>
      </c>
      <c r="V10" s="132">
        <v>32.769647463456543</v>
      </c>
      <c r="W10" s="132">
        <v>36.471797076526244</v>
      </c>
      <c r="X10" s="132">
        <v>25.054944110060159</v>
      </c>
      <c r="Y10" s="132">
        <v>31.002149613069619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0.64488392089423896</v>
      </c>
      <c r="D11" s="132">
        <v>0.64488392089423885</v>
      </c>
      <c r="E11" s="132">
        <v>0.71650902837489261</v>
      </c>
      <c r="F11" s="132">
        <v>0.69269131556319818</v>
      </c>
      <c r="G11" s="132">
        <v>0.83594153052450526</v>
      </c>
      <c r="H11" s="132">
        <v>1.098710232158211</v>
      </c>
      <c r="I11" s="132">
        <v>1.0987102321582107</v>
      </c>
      <c r="J11" s="132">
        <v>1.1464316423043845</v>
      </c>
      <c r="K11" s="132">
        <v>1.1226139294926905</v>
      </c>
      <c r="L11" s="132">
        <v>1.1464316423043854</v>
      </c>
      <c r="M11" s="132">
        <v>0.95537403267411902</v>
      </c>
      <c r="N11" s="132">
        <v>0.7643164230438515</v>
      </c>
      <c r="O11" s="132">
        <v>0.88374892519346582</v>
      </c>
      <c r="P11" s="132">
        <v>0.64488392089423885</v>
      </c>
      <c r="Q11" s="132">
        <v>0.69269131556319841</v>
      </c>
      <c r="R11" s="132">
        <v>0.81203783319002554</v>
      </c>
      <c r="S11" s="132">
        <v>0.78822012037833211</v>
      </c>
      <c r="T11" s="132">
        <v>0.69269131556319785</v>
      </c>
      <c r="U11" s="132">
        <v>0.66878761822871857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175.87698688929046</v>
      </c>
      <c r="C12" s="132">
        <v>151.09070879619529</v>
      </c>
      <c r="D12" s="132">
        <v>190.27457846520528</v>
      </c>
      <c r="E12" s="132">
        <v>161.70419924576038</v>
      </c>
      <c r="F12" s="132">
        <v>251.54077755220513</v>
      </c>
      <c r="G12" s="132">
        <v>221.68962003702254</v>
      </c>
      <c r="H12" s="132">
        <v>199.93727255569635</v>
      </c>
      <c r="I12" s="132">
        <v>179.10066617882671</v>
      </c>
      <c r="J12" s="132">
        <v>181.97410137874473</v>
      </c>
      <c r="K12" s="132">
        <v>208.45360982328219</v>
      </c>
      <c r="L12" s="132">
        <v>235.95692444526605</v>
      </c>
      <c r="M12" s="132">
        <v>186.65060011305059</v>
      </c>
      <c r="N12" s="132">
        <v>109.02023695462893</v>
      </c>
      <c r="O12" s="132">
        <v>86.804565801917889</v>
      </c>
      <c r="P12" s="132">
        <v>49.447643178770448</v>
      </c>
      <c r="Q12" s="132">
        <v>24.44433569696012</v>
      </c>
      <c r="R12" s="132">
        <v>78.81672697255695</v>
      </c>
      <c r="S12" s="132">
        <v>70.319679052943599</v>
      </c>
      <c r="T12" s="132">
        <v>68.851335520008462</v>
      </c>
      <c r="U12" s="132">
        <v>63.957106992262609</v>
      </c>
      <c r="V12" s="132">
        <v>66.933949498382063</v>
      </c>
      <c r="W12" s="132">
        <v>97.63820874558489</v>
      </c>
      <c r="X12" s="132">
        <v>124.08479335797435</v>
      </c>
      <c r="Y12" s="132">
        <v>119.47760422093408</v>
      </c>
      <c r="DA12" s="156" t="s">
        <v>282</v>
      </c>
    </row>
    <row r="13" spans="1:105" ht="12" customHeight="1" x14ac:dyDescent="0.25">
      <c r="A13" s="131" t="s">
        <v>77</v>
      </c>
      <c r="B13" s="132">
        <v>1.1898363444626631E-2</v>
      </c>
      <c r="C13" s="132">
        <v>8.5227791277563358E-2</v>
      </c>
      <c r="D13" s="132">
        <v>0.14637096714234191</v>
      </c>
      <c r="E13" s="132">
        <v>0.17107397324722837</v>
      </c>
      <c r="F13" s="132">
        <v>0.26464764732134394</v>
      </c>
      <c r="G13" s="132">
        <v>0.28105052672558994</v>
      </c>
      <c r="H13" s="132">
        <v>0.29982887850185186</v>
      </c>
      <c r="I13" s="132">
        <v>0.43185284859118506</v>
      </c>
      <c r="J13" s="132">
        <v>0.46156101741956468</v>
      </c>
      <c r="K13" s="132">
        <v>0.6657730841459919</v>
      </c>
      <c r="L13" s="132">
        <v>1.0057640304557542</v>
      </c>
      <c r="M13" s="132">
        <v>1.66022699823141</v>
      </c>
      <c r="N13" s="132">
        <v>2.0397054714602953</v>
      </c>
      <c r="O13" s="132">
        <v>2.1963721515664938</v>
      </c>
      <c r="P13" s="132">
        <v>2.3960227916769754</v>
      </c>
      <c r="Q13" s="132">
        <v>4.7818684833016354</v>
      </c>
      <c r="R13" s="132">
        <v>4.7531381296082627</v>
      </c>
      <c r="S13" s="132">
        <v>4.8997453340060781</v>
      </c>
      <c r="T13" s="132">
        <v>4.9868775232672391</v>
      </c>
      <c r="U13" s="132">
        <v>4.6011351593982068</v>
      </c>
      <c r="V13" s="132">
        <v>5.7155844767395649</v>
      </c>
      <c r="W13" s="132">
        <v>6.6987113614702904</v>
      </c>
      <c r="X13" s="132">
        <v>8.0796695629969424</v>
      </c>
      <c r="Y13" s="132">
        <v>9.1029269725921917</v>
      </c>
      <c r="DA13" s="156" t="s">
        <v>283</v>
      </c>
    </row>
    <row r="14" spans="1:105" ht="12" customHeight="1" x14ac:dyDescent="0.25">
      <c r="A14" s="60" t="s">
        <v>76</v>
      </c>
      <c r="B14" s="65">
        <v>164.59741967149887</v>
      </c>
      <c r="C14" s="65">
        <v>357.86201236676504</v>
      </c>
      <c r="D14" s="65">
        <v>375.59938878038685</v>
      </c>
      <c r="E14" s="65">
        <v>288.32108129439143</v>
      </c>
      <c r="F14" s="65">
        <v>357.75723398600081</v>
      </c>
      <c r="G14" s="65">
        <v>219.62831816733021</v>
      </c>
      <c r="H14" s="65">
        <v>210.62826114558879</v>
      </c>
      <c r="I14" s="65">
        <v>237.86044553761417</v>
      </c>
      <c r="J14" s="65">
        <v>219.68264231631551</v>
      </c>
      <c r="K14" s="65">
        <v>243.03674588436664</v>
      </c>
      <c r="L14" s="65">
        <v>318.68218615733224</v>
      </c>
      <c r="M14" s="65">
        <v>320.51661370809774</v>
      </c>
      <c r="N14" s="65">
        <v>180.73462242416883</v>
      </c>
      <c r="O14" s="65">
        <v>277.09653292589445</v>
      </c>
      <c r="P14" s="65">
        <v>158.46156016605548</v>
      </c>
      <c r="Q14" s="65">
        <v>205.72179173092454</v>
      </c>
      <c r="R14" s="65">
        <v>215.11839571818999</v>
      </c>
      <c r="S14" s="65">
        <v>255.95467996872972</v>
      </c>
      <c r="T14" s="65">
        <v>205.47796740401301</v>
      </c>
      <c r="U14" s="65">
        <v>148.39798450251752</v>
      </c>
      <c r="V14" s="65">
        <v>149.21139177961163</v>
      </c>
      <c r="W14" s="65">
        <v>191.99265353922931</v>
      </c>
      <c r="X14" s="65">
        <v>116.09329098310512</v>
      </c>
      <c r="Y14" s="65">
        <v>71.818291129954446</v>
      </c>
      <c r="DA14" s="109" t="s">
        <v>284</v>
      </c>
    </row>
    <row r="15" spans="1:105" ht="12" customHeight="1" x14ac:dyDescent="0.25">
      <c r="A15" s="133" t="s">
        <v>80</v>
      </c>
      <c r="B15" s="134">
        <v>14.132645460098658</v>
      </c>
      <c r="C15" s="134">
        <v>7.6008706796223038</v>
      </c>
      <c r="D15" s="134">
        <v>5.4334195863087604</v>
      </c>
      <c r="E15" s="134">
        <v>4.5288286214632105</v>
      </c>
      <c r="F15" s="134">
        <v>4.1623857339733403</v>
      </c>
      <c r="G15" s="134">
        <v>8.721498168986713</v>
      </c>
      <c r="H15" s="134">
        <v>9.6813567916394465</v>
      </c>
      <c r="I15" s="134">
        <v>9.0675569554920656</v>
      </c>
      <c r="J15" s="134">
        <v>9.3410040481707348</v>
      </c>
      <c r="K15" s="134">
        <v>7.8753799646541589</v>
      </c>
      <c r="L15" s="134">
        <v>9.1266330064365899</v>
      </c>
      <c r="M15" s="134">
        <v>4.8284708840829325</v>
      </c>
      <c r="N15" s="134">
        <v>6.0556517957506077</v>
      </c>
      <c r="O15" s="134">
        <v>7.4226702139353176</v>
      </c>
      <c r="P15" s="134">
        <v>4.4147855693780818</v>
      </c>
      <c r="Q15" s="134">
        <v>4.6407503638729732</v>
      </c>
      <c r="R15" s="134">
        <v>4.5983574184839249</v>
      </c>
      <c r="S15" s="134">
        <v>5.2133424959789689</v>
      </c>
      <c r="T15" s="134">
        <v>4.6794382270439199</v>
      </c>
      <c r="U15" s="134">
        <v>4.239281005320688</v>
      </c>
      <c r="V15" s="134">
        <v>3.7202571404735343</v>
      </c>
      <c r="W15" s="134">
        <v>5.7630096740150583</v>
      </c>
      <c r="X15" s="134">
        <v>5.4530471131306433</v>
      </c>
      <c r="Y15" s="134">
        <v>4.5693506204699483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5.2453154714416552</v>
      </c>
      <c r="C16" s="130">
        <f t="shared" si="6"/>
        <v>5.3217437914965666</v>
      </c>
      <c r="D16" s="130">
        <f t="shared" si="6"/>
        <v>5.7008067258217157</v>
      </c>
      <c r="E16" s="130">
        <f t="shared" si="6"/>
        <v>5.8863607085073673</v>
      </c>
      <c r="F16" s="130">
        <f t="shared" si="6"/>
        <v>5.8193735449137431</v>
      </c>
      <c r="G16" s="130">
        <f t="shared" si="6"/>
        <v>5.9596915759041158</v>
      </c>
      <c r="H16" s="130">
        <f t="shared" si="6"/>
        <v>6.2646498122156142</v>
      </c>
      <c r="I16" s="130">
        <f t="shared" si="6"/>
        <v>6.7996966287868528</v>
      </c>
      <c r="J16" s="130">
        <f t="shared" si="6"/>
        <v>6.5167527574709609</v>
      </c>
      <c r="K16" s="130">
        <f t="shared" si="6"/>
        <v>6.6731827834103115</v>
      </c>
      <c r="L16" s="130">
        <f t="shared" si="6"/>
        <v>7.0923877412175589</v>
      </c>
      <c r="M16" s="130">
        <f t="shared" si="6"/>
        <v>6.8351401230730913</v>
      </c>
      <c r="N16" s="130">
        <f t="shared" si="6"/>
        <v>7.5219175423901001</v>
      </c>
      <c r="O16" s="130">
        <f t="shared" si="6"/>
        <v>7.1960468902009573</v>
      </c>
      <c r="P16" s="130">
        <f t="shared" si="6"/>
        <v>6.595265068181785</v>
      </c>
      <c r="Q16" s="130">
        <f t="shared" si="6"/>
        <v>7.7002279179552451</v>
      </c>
      <c r="R16" s="130">
        <f t="shared" ref="R16:W16" si="7">SUM(R17:R18)</f>
        <v>6.4790478484413754</v>
      </c>
      <c r="S16" s="130">
        <f t="shared" si="7"/>
        <v>6.8711734072914474</v>
      </c>
      <c r="T16" s="130">
        <f t="shared" si="7"/>
        <v>6.754434444572504</v>
      </c>
      <c r="U16" s="130">
        <f t="shared" si="7"/>
        <v>7.0243790975701232</v>
      </c>
      <c r="V16" s="130">
        <f t="shared" si="7"/>
        <v>6.2528436297551879</v>
      </c>
      <c r="W16" s="130">
        <f t="shared" si="7"/>
        <v>6.8159977631767639</v>
      </c>
      <c r="X16" s="130">
        <f t="shared" ref="X16:Y16" si="8">SUM(X17:X18)</f>
        <v>7.0866803276002166</v>
      </c>
      <c r="Y16" s="130">
        <f t="shared" si="8"/>
        <v>6.8131853391491752</v>
      </c>
      <c r="DA16" s="155" t="s">
        <v>215</v>
      </c>
    </row>
    <row r="17" spans="1:105" ht="12.95" customHeight="1" x14ac:dyDescent="0.25">
      <c r="A17" s="131" t="s">
        <v>73</v>
      </c>
      <c r="B17" s="132">
        <v>1.4501889119949247E-2</v>
      </c>
      <c r="C17" s="132">
        <v>2.3302646164052278E-2</v>
      </c>
      <c r="D17" s="132">
        <v>2.0910571334827356E-2</v>
      </c>
      <c r="E17" s="132">
        <v>8.0957410945847862E-3</v>
      </c>
      <c r="F17" s="132">
        <v>2.3621996436911073E-2</v>
      </c>
      <c r="G17" s="132">
        <v>3.5021511031375019E-2</v>
      </c>
      <c r="H17" s="132">
        <v>4.2225403884648773E-2</v>
      </c>
      <c r="I17" s="132">
        <v>4.5939763325724713E-2</v>
      </c>
      <c r="J17" s="132">
        <v>4.985071046594617E-2</v>
      </c>
      <c r="K17" s="132">
        <v>5.0241577709239829E-2</v>
      </c>
      <c r="L17" s="132">
        <v>5.5638631691289492E-2</v>
      </c>
      <c r="M17" s="132">
        <v>6.0355684601827379E-2</v>
      </c>
      <c r="N17" s="132">
        <v>6.9713068883177187E-2</v>
      </c>
      <c r="O17" s="132">
        <v>8.5712366329628975E-2</v>
      </c>
      <c r="P17" s="132">
        <v>0.11296742678225388</v>
      </c>
      <c r="Q17" s="132">
        <v>0.15563198956430035</v>
      </c>
      <c r="R17" s="132">
        <v>0.19790560496846388</v>
      </c>
      <c r="S17" s="132">
        <v>0.23698863133950421</v>
      </c>
      <c r="T17" s="132">
        <v>0.2712873709202735</v>
      </c>
      <c r="U17" s="132">
        <v>0.30023140922321223</v>
      </c>
      <c r="V17" s="132">
        <v>0.32394854652741212</v>
      </c>
      <c r="W17" s="132">
        <v>0.34295802454361402</v>
      </c>
      <c r="X17" s="132">
        <v>0.37584083815305025</v>
      </c>
      <c r="Y17" s="132">
        <v>0.36961104768435399</v>
      </c>
      <c r="DA17" s="156" t="s">
        <v>286</v>
      </c>
    </row>
    <row r="18" spans="1:105" ht="12" customHeight="1" x14ac:dyDescent="0.25">
      <c r="A18" s="131" t="s">
        <v>72</v>
      </c>
      <c r="B18" s="132">
        <v>5.2308135823217059</v>
      </c>
      <c r="C18" s="132">
        <v>5.2984411453325144</v>
      </c>
      <c r="D18" s="132">
        <v>5.6798961544868884</v>
      </c>
      <c r="E18" s="132">
        <v>5.8782649674127825</v>
      </c>
      <c r="F18" s="132">
        <v>5.795751548476832</v>
      </c>
      <c r="G18" s="132">
        <v>5.9246700648727408</v>
      </c>
      <c r="H18" s="132">
        <v>6.2224244083309657</v>
      </c>
      <c r="I18" s="132">
        <v>6.7537568654611277</v>
      </c>
      <c r="J18" s="132">
        <v>6.4669020470050151</v>
      </c>
      <c r="K18" s="132">
        <v>6.6229412057010713</v>
      </c>
      <c r="L18" s="132">
        <v>7.0367491095262693</v>
      </c>
      <c r="M18" s="132">
        <v>6.7747844384712641</v>
      </c>
      <c r="N18" s="132">
        <v>7.4522044735069226</v>
      </c>
      <c r="O18" s="132">
        <v>7.1103345238713285</v>
      </c>
      <c r="P18" s="132">
        <v>6.4822976413995308</v>
      </c>
      <c r="Q18" s="132">
        <v>7.5445959283909447</v>
      </c>
      <c r="R18" s="132">
        <v>6.2811422434729112</v>
      </c>
      <c r="S18" s="132">
        <v>6.634184775951943</v>
      </c>
      <c r="T18" s="132">
        <v>6.4831470736522308</v>
      </c>
      <c r="U18" s="132">
        <v>6.7241476883469113</v>
      </c>
      <c r="V18" s="132">
        <v>5.9288950832277756</v>
      </c>
      <c r="W18" s="132">
        <v>6.4730397386331502</v>
      </c>
      <c r="X18" s="132">
        <v>6.7108394894471664</v>
      </c>
      <c r="Y18" s="132">
        <v>6.4435742914648211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101.27474173281979</v>
      </c>
      <c r="C19" s="130">
        <f t="shared" si="9"/>
        <v>102.87301073153546</v>
      </c>
      <c r="D19" s="130">
        <f t="shared" si="9"/>
        <v>105.7115744735475</v>
      </c>
      <c r="E19" s="130">
        <f t="shared" si="9"/>
        <v>108.23550374943041</v>
      </c>
      <c r="F19" s="130">
        <f t="shared" si="9"/>
        <v>109.86776896288228</v>
      </c>
      <c r="G19" s="130">
        <f t="shared" si="9"/>
        <v>116.54676141463983</v>
      </c>
      <c r="H19" s="130">
        <f t="shared" si="9"/>
        <v>122.96471801643369</v>
      </c>
      <c r="I19" s="130">
        <f t="shared" si="9"/>
        <v>128.09639530411377</v>
      </c>
      <c r="J19" s="130">
        <f t="shared" si="9"/>
        <v>130.8633855250923</v>
      </c>
      <c r="K19" s="130">
        <f t="shared" si="9"/>
        <v>134.10107428447273</v>
      </c>
      <c r="L19" s="130">
        <f t="shared" si="9"/>
        <v>137.36691830394568</v>
      </c>
      <c r="M19" s="130">
        <f t="shared" si="9"/>
        <v>137.26448655182574</v>
      </c>
      <c r="N19" s="130">
        <f t="shared" si="9"/>
        <v>140.2143021422938</v>
      </c>
      <c r="O19" s="130">
        <f t="shared" si="9"/>
        <v>141.63944264166921</v>
      </c>
      <c r="P19" s="130">
        <f t="shared" si="9"/>
        <v>143.13323153662492</v>
      </c>
      <c r="Q19" s="130">
        <f t="shared" si="9"/>
        <v>144.49527248755587</v>
      </c>
      <c r="R19" s="130">
        <f t="shared" ref="R19:W19" si="10">SUM(R20:R27)</f>
        <v>143.4476632354058</v>
      </c>
      <c r="S19" s="130">
        <f t="shared" si="10"/>
        <v>144.07084924202641</v>
      </c>
      <c r="T19" s="130">
        <f t="shared" si="10"/>
        <v>140.81449926242942</v>
      </c>
      <c r="U19" s="130">
        <f t="shared" si="10"/>
        <v>138.72783396270231</v>
      </c>
      <c r="V19" s="130">
        <f t="shared" si="10"/>
        <v>123.119116112003</v>
      </c>
      <c r="W19" s="130">
        <f t="shared" si="10"/>
        <v>135.86365512253238</v>
      </c>
      <c r="X19" s="130">
        <f t="shared" ref="X19:Y19" si="11">SUM(X20:X27)</f>
        <v>136.71826311201386</v>
      </c>
      <c r="Y19" s="130">
        <f t="shared" si="11"/>
        <v>135.30098564577639</v>
      </c>
      <c r="DA19" s="155" t="s">
        <v>216</v>
      </c>
    </row>
    <row r="20" spans="1:105" ht="12" customHeight="1" x14ac:dyDescent="0.25">
      <c r="A20" s="131" t="s">
        <v>29</v>
      </c>
      <c r="B20" s="132">
        <v>7.0868911691025298</v>
      </c>
      <c r="C20" s="132">
        <v>5.9733285840194341</v>
      </c>
      <c r="D20" s="132">
        <v>5.5307053337864751</v>
      </c>
      <c r="E20" s="132">
        <v>3.3990556702278094</v>
      </c>
      <c r="F20" s="132">
        <v>2.9550094386527452</v>
      </c>
      <c r="G20" s="132">
        <v>1.265097228754994</v>
      </c>
      <c r="H20" s="132">
        <v>3.4778370726204968</v>
      </c>
      <c r="I20" s="132">
        <v>7.212086027501174</v>
      </c>
      <c r="J20" s="132">
        <v>9.0769078856826368</v>
      </c>
      <c r="K20" s="132">
        <v>10.063808253913782</v>
      </c>
      <c r="L20" s="132">
        <v>9.8043795666435631</v>
      </c>
      <c r="M20" s="132">
        <v>9.8656769894602121</v>
      </c>
      <c r="N20" s="132">
        <v>10.181338998518646</v>
      </c>
      <c r="O20" s="132">
        <v>10.29849080616094</v>
      </c>
      <c r="P20" s="132">
        <v>10.687926577036565</v>
      </c>
      <c r="Q20" s="132">
        <v>11.475710402508097</v>
      </c>
      <c r="R20" s="132">
        <v>5.9883583880301261</v>
      </c>
      <c r="S20" s="132">
        <v>7.3422404059870914</v>
      </c>
      <c r="T20" s="132">
        <v>7.8455133901421865</v>
      </c>
      <c r="U20" s="132">
        <v>10.758860840202372</v>
      </c>
      <c r="V20" s="132">
        <v>3.990186549261598</v>
      </c>
      <c r="W20" s="132">
        <v>5.7713674308744531</v>
      </c>
      <c r="X20" s="132">
        <v>3.3197076546278952</v>
      </c>
      <c r="Y20" s="132">
        <v>2.6064767301778873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0</v>
      </c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290</v>
      </c>
    </row>
    <row r="23" spans="1:105" ht="12" customHeight="1" x14ac:dyDescent="0.25">
      <c r="A23" s="131" t="s">
        <v>149</v>
      </c>
      <c r="B23" s="132">
        <v>6.0826028880553711</v>
      </c>
      <c r="C23" s="132">
        <v>16.922340063208662</v>
      </c>
      <c r="D23" s="132">
        <v>21.191291353520175</v>
      </c>
      <c r="E23" s="132">
        <v>21.684270956835409</v>
      </c>
      <c r="F23" s="132">
        <v>24.570865649321519</v>
      </c>
      <c r="G23" s="132">
        <v>25.207185063818059</v>
      </c>
      <c r="H23" s="132">
        <v>27.229188110414619</v>
      </c>
      <c r="I23" s="132">
        <v>31.544112582652488</v>
      </c>
      <c r="J23" s="132">
        <v>32.630727789130773</v>
      </c>
      <c r="K23" s="132">
        <v>32.472917568440046</v>
      </c>
      <c r="L23" s="132">
        <v>35.775239963332339</v>
      </c>
      <c r="M23" s="132">
        <v>36.117168755853406</v>
      </c>
      <c r="N23" s="132">
        <v>47.035637920293347</v>
      </c>
      <c r="O23" s="132">
        <v>52.801883232719042</v>
      </c>
      <c r="P23" s="132">
        <v>54.801527476378133</v>
      </c>
      <c r="Q23" s="132">
        <v>55.910513923639712</v>
      </c>
      <c r="R23" s="132">
        <v>55.678326547847576</v>
      </c>
      <c r="S23" s="132">
        <v>50.552957567578751</v>
      </c>
      <c r="T23" s="132">
        <v>41.846525048573817</v>
      </c>
      <c r="U23" s="132">
        <v>35.286236314638153</v>
      </c>
      <c r="V23" s="132">
        <v>23.491607225369496</v>
      </c>
      <c r="W23" s="132">
        <v>39.944347973697205</v>
      </c>
      <c r="X23" s="132">
        <v>41.351463311566704</v>
      </c>
      <c r="Y23" s="132">
        <v>40.349522638567286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8.846400900907339</v>
      </c>
      <c r="C25" s="132">
        <v>11.037924049892412</v>
      </c>
      <c r="D25" s="132">
        <v>16.279333830581471</v>
      </c>
      <c r="E25" s="132">
        <v>18.81549120995755</v>
      </c>
      <c r="F25" s="132">
        <v>24.803934399643406</v>
      </c>
      <c r="G25" s="132">
        <v>17.801179619039456</v>
      </c>
      <c r="H25" s="132">
        <v>15.549485827794598</v>
      </c>
      <c r="I25" s="132">
        <v>15.152730209823325</v>
      </c>
      <c r="J25" s="132">
        <v>15.073792000446929</v>
      </c>
      <c r="K25" s="132">
        <v>15.345014424353153</v>
      </c>
      <c r="L25" s="132">
        <v>14.472998168663498</v>
      </c>
      <c r="M25" s="132">
        <v>14.147164289356883</v>
      </c>
      <c r="N25" s="132">
        <v>14.128688238836212</v>
      </c>
      <c r="O25" s="132">
        <v>9.7130610252532268</v>
      </c>
      <c r="P25" s="132">
        <v>9.3562261247548761</v>
      </c>
      <c r="Q25" s="132">
        <v>4.3604794363158819</v>
      </c>
      <c r="R25" s="132">
        <v>14.046557636213418</v>
      </c>
      <c r="S25" s="132">
        <v>12.535952933298912</v>
      </c>
      <c r="T25" s="132">
        <v>11.377039372510929</v>
      </c>
      <c r="U25" s="132">
        <v>9.5596599896806396</v>
      </c>
      <c r="V25" s="132">
        <v>5.4363858412568025</v>
      </c>
      <c r="W25" s="132">
        <v>6.6658325269859429</v>
      </c>
      <c r="X25" s="132">
        <v>8.0686030306755043</v>
      </c>
      <c r="Y25" s="132">
        <v>7.3017594935972845</v>
      </c>
      <c r="DA25" s="156" t="s">
        <v>293</v>
      </c>
    </row>
    <row r="26" spans="1:105" ht="12" customHeight="1" x14ac:dyDescent="0.25">
      <c r="A26" s="131" t="s">
        <v>24</v>
      </c>
      <c r="B26" s="65">
        <v>79.258846774754545</v>
      </c>
      <c r="C26" s="65">
        <v>68.939418034414942</v>
      </c>
      <c r="D26" s="65">
        <v>62.710243955659379</v>
      </c>
      <c r="E26" s="65">
        <v>64.336685912409635</v>
      </c>
      <c r="F26" s="65">
        <v>57.537959475264607</v>
      </c>
      <c r="G26" s="65">
        <v>72.249395805692856</v>
      </c>
      <c r="H26" s="65">
        <v>76.684303308269506</v>
      </c>
      <c r="I26" s="65">
        <v>74.163562786802302</v>
      </c>
      <c r="J26" s="65">
        <v>74.05805415249749</v>
      </c>
      <c r="K26" s="65">
        <v>76.195430340431272</v>
      </c>
      <c r="L26" s="65">
        <v>76.860474294042319</v>
      </c>
      <c r="M26" s="65">
        <v>76.585121401076108</v>
      </c>
      <c r="N26" s="65">
        <v>68.319281868566492</v>
      </c>
      <c r="O26" s="65">
        <v>68.539421163090609</v>
      </c>
      <c r="P26" s="65">
        <v>67.141119716150953</v>
      </c>
      <c r="Q26" s="65">
        <v>71.936530891902152</v>
      </c>
      <c r="R26" s="65">
        <v>66.874575435455696</v>
      </c>
      <c r="S26" s="65">
        <v>72.99481441426741</v>
      </c>
      <c r="T26" s="65">
        <v>79.052730135639308</v>
      </c>
      <c r="U26" s="65">
        <v>82.406567789806232</v>
      </c>
      <c r="V26" s="65">
        <v>89.460523770405729</v>
      </c>
      <c r="W26" s="65">
        <v>82.717790767930921</v>
      </c>
      <c r="X26" s="65">
        <v>83.070836492615825</v>
      </c>
      <c r="Y26" s="65">
        <v>83.132478718085721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2.3903697334479789E-2</v>
      </c>
      <c r="H27" s="145">
        <v>2.3903697334479789E-2</v>
      </c>
      <c r="I27" s="145">
        <v>2.3903697334479782E-2</v>
      </c>
      <c r="J27" s="145">
        <v>2.3903697334479786E-2</v>
      </c>
      <c r="K27" s="145">
        <v>2.3903697334479789E-2</v>
      </c>
      <c r="L27" s="145">
        <v>0.45382631126397244</v>
      </c>
      <c r="M27" s="145">
        <v>0.5493551160791057</v>
      </c>
      <c r="N27" s="145">
        <v>0.5493551160791057</v>
      </c>
      <c r="O27" s="145">
        <v>0.28658641444539973</v>
      </c>
      <c r="P27" s="145">
        <v>1.146431642304385</v>
      </c>
      <c r="Q27" s="145">
        <v>0.81203783319002565</v>
      </c>
      <c r="R27" s="145">
        <v>0.85984522785898565</v>
      </c>
      <c r="S27" s="145">
        <v>0.64488392089423896</v>
      </c>
      <c r="T27" s="145">
        <v>0.69269131556319863</v>
      </c>
      <c r="U27" s="145">
        <v>0.71650902837489261</v>
      </c>
      <c r="V27" s="145">
        <v>0.740412725709372</v>
      </c>
      <c r="W27" s="145">
        <v>0.76431642304385172</v>
      </c>
      <c r="X27" s="145">
        <v>0.90765262252794487</v>
      </c>
      <c r="Y27" s="145">
        <v>1.9107480653482369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89.574697692858123</v>
      </c>
      <c r="C29" s="130">
        <f t="shared" si="12"/>
        <v>93.788453794085711</v>
      </c>
      <c r="D29" s="130">
        <f t="shared" si="12"/>
        <v>104.09278624365015</v>
      </c>
      <c r="E29" s="130">
        <f t="shared" si="12"/>
        <v>107.33778329733386</v>
      </c>
      <c r="F29" s="130">
        <f t="shared" si="12"/>
        <v>109.65107948164804</v>
      </c>
      <c r="G29" s="130">
        <f t="shared" si="12"/>
        <v>114.88992940225252</v>
      </c>
      <c r="H29" s="130">
        <f t="shared" si="12"/>
        <v>118.27147597961184</v>
      </c>
      <c r="I29" s="130">
        <f t="shared" si="12"/>
        <v>116.63199041753852</v>
      </c>
      <c r="J29" s="130">
        <f t="shared" si="12"/>
        <v>115.83417169264821</v>
      </c>
      <c r="K29" s="130">
        <f t="shared" si="12"/>
        <v>119.96217903779711</v>
      </c>
      <c r="L29" s="130">
        <f t="shared" si="12"/>
        <v>122.11770250055831</v>
      </c>
      <c r="M29" s="130">
        <f t="shared" si="12"/>
        <v>116.06118918066021</v>
      </c>
      <c r="N29" s="130">
        <f t="shared" si="12"/>
        <v>120.75298108786822</v>
      </c>
      <c r="O29" s="130">
        <f t="shared" si="12"/>
        <v>123.72516926423548</v>
      </c>
      <c r="P29" s="130">
        <f t="shared" si="12"/>
        <v>123.69651210056489</v>
      </c>
      <c r="Q29" s="130">
        <f t="shared" si="12"/>
        <v>126.23208280578508</v>
      </c>
      <c r="R29" s="130">
        <f t="shared" ref="R29:W29" si="13">SUM(R30:R33)</f>
        <v>125.53686428523476</v>
      </c>
      <c r="S29" s="130">
        <f t="shared" si="13"/>
        <v>123.42404815489763</v>
      </c>
      <c r="T29" s="130">
        <f t="shared" si="13"/>
        <v>121.03834253220241</v>
      </c>
      <c r="U29" s="130">
        <f t="shared" si="13"/>
        <v>116.54127902885564</v>
      </c>
      <c r="V29" s="130">
        <f t="shared" si="13"/>
        <v>106.4074782680151</v>
      </c>
      <c r="W29" s="130">
        <f t="shared" si="13"/>
        <v>124.83008675418859</v>
      </c>
      <c r="X29" s="130">
        <f t="shared" ref="X29:Y29" si="14">SUM(X30:X33)</f>
        <v>124.15724995309766</v>
      </c>
      <c r="Y29" s="130">
        <f t="shared" si="14"/>
        <v>122.01420308550462</v>
      </c>
      <c r="DA29" s="155" t="s">
        <v>217</v>
      </c>
    </row>
    <row r="30" spans="1:105" ht="12" customHeight="1" x14ac:dyDescent="0.25">
      <c r="A30" s="131" t="s">
        <v>52</v>
      </c>
      <c r="B30" s="132">
        <v>6.5935511607910584</v>
      </c>
      <c r="C30" s="132">
        <v>17.579019776440241</v>
      </c>
      <c r="D30" s="132">
        <v>37.355546001719688</v>
      </c>
      <c r="E30" s="132">
        <v>40.651590713671538</v>
      </c>
      <c r="F30" s="132">
        <v>45.0463456577816</v>
      </c>
      <c r="G30" s="132">
        <v>31.8620808254514</v>
      </c>
      <c r="H30" s="132">
        <v>27.467239896818562</v>
      </c>
      <c r="I30" s="132">
        <v>8.7895098882201168</v>
      </c>
      <c r="J30" s="132">
        <v>2.1974204643164224</v>
      </c>
      <c r="K30" s="132">
        <v>10.986930352536541</v>
      </c>
      <c r="L30" s="132">
        <v>19.776440240756649</v>
      </c>
      <c r="M30" s="132">
        <v>2.1974204643164224</v>
      </c>
      <c r="N30" s="132">
        <v>12.085640584694749</v>
      </c>
      <c r="O30" s="132">
        <v>10.986930352536534</v>
      </c>
      <c r="P30" s="132">
        <v>9.8882201203783211</v>
      </c>
      <c r="Q30" s="132">
        <v>7.6907996560619072</v>
      </c>
      <c r="R30" s="132">
        <v>6.5921754084264848</v>
      </c>
      <c r="S30" s="132">
        <v>3.2960447119518475</v>
      </c>
      <c r="T30" s="132">
        <v>4.3947549441100602</v>
      </c>
      <c r="U30" s="132">
        <v>3.2960447119518475</v>
      </c>
      <c r="V30" s="132">
        <v>2.1974204643164237</v>
      </c>
      <c r="W30" s="132">
        <v>2.1974204643164237</v>
      </c>
      <c r="X30" s="132">
        <v>4.394754944110062</v>
      </c>
      <c r="Y30" s="132">
        <v>2.1974204643164232</v>
      </c>
      <c r="DA30" s="156" t="s">
        <v>296</v>
      </c>
    </row>
    <row r="31" spans="1:105" ht="12" customHeight="1" x14ac:dyDescent="0.25">
      <c r="A31" s="131" t="s">
        <v>149</v>
      </c>
      <c r="B31" s="132">
        <v>49.799146605936201</v>
      </c>
      <c r="C31" s="132">
        <v>48.301339918391911</v>
      </c>
      <c r="D31" s="132">
        <v>46.645256353130918</v>
      </c>
      <c r="E31" s="132">
        <v>42.866120236005429</v>
      </c>
      <c r="F31" s="132">
        <v>34.205333008424873</v>
      </c>
      <c r="G31" s="132">
        <v>46.111170533434795</v>
      </c>
      <c r="H31" s="132">
        <v>50.257712234480039</v>
      </c>
      <c r="I31" s="132">
        <v>53.851974429038265</v>
      </c>
      <c r="J31" s="132">
        <v>53.858948393122965</v>
      </c>
      <c r="K31" s="132">
        <v>51.955710496576721</v>
      </c>
      <c r="L31" s="132">
        <v>50.007459028396731</v>
      </c>
      <c r="M31" s="132">
        <v>44.57445287696649</v>
      </c>
      <c r="N31" s="132">
        <v>49.843953498431148</v>
      </c>
      <c r="O31" s="132">
        <v>59.595361918291282</v>
      </c>
      <c r="P31" s="132">
        <v>62.647958325801667</v>
      </c>
      <c r="Q31" s="132">
        <v>69.712965973356546</v>
      </c>
      <c r="R31" s="132">
        <v>68.97808679887271</v>
      </c>
      <c r="S31" s="132">
        <v>63.628222675517129</v>
      </c>
      <c r="T31" s="132">
        <v>56.166064087719619</v>
      </c>
      <c r="U31" s="132">
        <v>46.837733335315946</v>
      </c>
      <c r="V31" s="132">
        <v>42.279386664604701</v>
      </c>
      <c r="W31" s="132">
        <v>67.016087811572177</v>
      </c>
      <c r="X31" s="132">
        <v>64.695993563572287</v>
      </c>
      <c r="Y31" s="132">
        <v>60.330489108242176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33.181999926130864</v>
      </c>
      <c r="C33" s="68">
        <v>27.90809409925356</v>
      </c>
      <c r="D33" s="68">
        <v>20.091983888799547</v>
      </c>
      <c r="E33" s="68">
        <v>23.820072347656897</v>
      </c>
      <c r="F33" s="68">
        <v>30.39940081544157</v>
      </c>
      <c r="G33" s="68">
        <v>36.916678043366332</v>
      </c>
      <c r="H33" s="68">
        <v>40.546523848313235</v>
      </c>
      <c r="I33" s="68">
        <v>53.990506100280136</v>
      </c>
      <c r="J33" s="68">
        <v>59.777802835208824</v>
      </c>
      <c r="K33" s="68">
        <v>57.019538188683846</v>
      </c>
      <c r="L33" s="68">
        <v>52.333803231404929</v>
      </c>
      <c r="M33" s="68">
        <v>69.289315839377295</v>
      </c>
      <c r="N33" s="68">
        <v>58.823387004742315</v>
      </c>
      <c r="O33" s="68">
        <v>53.142876993407654</v>
      </c>
      <c r="P33" s="68">
        <v>51.160333654384893</v>
      </c>
      <c r="Q33" s="68">
        <v>48.828317176366625</v>
      </c>
      <c r="R33" s="68">
        <v>49.966602077935562</v>
      </c>
      <c r="S33" s="68">
        <v>56.499780767428661</v>
      </c>
      <c r="T33" s="68">
        <v>60.477523500372726</v>
      </c>
      <c r="U33" s="68">
        <v>66.407500981587845</v>
      </c>
      <c r="V33" s="68">
        <v>61.930671139093981</v>
      </c>
      <c r="W33" s="68">
        <v>55.616578478299978</v>
      </c>
      <c r="X33" s="68">
        <v>55.066501445415312</v>
      </c>
      <c r="Y33" s="68">
        <v>59.48629351294602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1112.5972989626207</v>
      </c>
      <c r="C3" s="125">
        <f t="shared" si="0"/>
        <v>906.86916118299041</v>
      </c>
      <c r="D3" s="125">
        <f t="shared" si="0"/>
        <v>853.99069679789477</v>
      </c>
      <c r="E3" s="125">
        <f t="shared" si="0"/>
        <v>701.27275932803866</v>
      </c>
      <c r="F3" s="125">
        <f t="shared" si="0"/>
        <v>815.75834121596904</v>
      </c>
      <c r="G3" s="125">
        <f t="shared" si="0"/>
        <v>946.17087716118453</v>
      </c>
      <c r="H3" s="125">
        <f t="shared" si="0"/>
        <v>1010.7046570495204</v>
      </c>
      <c r="I3" s="125">
        <f t="shared" si="0"/>
        <v>1020.1462006999911</v>
      </c>
      <c r="J3" s="125">
        <f t="shared" si="0"/>
        <v>1063.4089292333017</v>
      </c>
      <c r="K3" s="125">
        <f t="shared" si="0"/>
        <v>1106.6006273780731</v>
      </c>
      <c r="L3" s="125">
        <f t="shared" si="0"/>
        <v>1201.7493364897821</v>
      </c>
      <c r="M3" s="125">
        <f t="shared" si="0"/>
        <v>932.8926588696828</v>
      </c>
      <c r="N3" s="125">
        <f t="shared" si="0"/>
        <v>803.39755851471625</v>
      </c>
      <c r="O3" s="125">
        <f t="shared" si="0"/>
        <v>975.44908170279052</v>
      </c>
      <c r="P3" s="125">
        <f t="shared" si="0"/>
        <v>669.67441660761097</v>
      </c>
      <c r="Q3" s="125">
        <f t="shared" si="0"/>
        <v>718.77023909272475</v>
      </c>
      <c r="R3" s="125">
        <f t="shared" ref="R3:W3" si="1">SUM(R4,R16,R19,R29)</f>
        <v>741.08504408403053</v>
      </c>
      <c r="S3" s="125">
        <f t="shared" si="1"/>
        <v>824.62031838796338</v>
      </c>
      <c r="T3" s="125">
        <f t="shared" si="1"/>
        <v>759.25557616512197</v>
      </c>
      <c r="U3" s="125">
        <f t="shared" si="1"/>
        <v>698.974723520255</v>
      </c>
      <c r="V3" s="125">
        <f t="shared" si="1"/>
        <v>634.52536630822669</v>
      </c>
      <c r="W3" s="125">
        <f t="shared" si="1"/>
        <v>853.49942550864205</v>
      </c>
      <c r="X3" s="125">
        <f t="shared" ref="X3:Y3" si="2">SUM(X4,X16,X19,X29)</f>
        <v>791.89719410414159</v>
      </c>
      <c r="Y3" s="125">
        <f t="shared" si="2"/>
        <v>703.84815468954162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977.90203441546487</v>
      </c>
      <c r="C4" s="130">
        <f t="shared" si="3"/>
        <v>769.47759389471719</v>
      </c>
      <c r="D4" s="130">
        <f t="shared" si="3"/>
        <v>708.01893668688285</v>
      </c>
      <c r="E4" s="130">
        <f t="shared" si="3"/>
        <v>549.13761313123564</v>
      </c>
      <c r="F4" s="130">
        <f t="shared" si="3"/>
        <v>658.37366776906276</v>
      </c>
      <c r="G4" s="130">
        <f t="shared" si="3"/>
        <v>779.28824263120896</v>
      </c>
      <c r="H4" s="130">
        <f t="shared" si="3"/>
        <v>835.44379596609372</v>
      </c>
      <c r="I4" s="130">
        <f t="shared" si="3"/>
        <v>837.44951445391962</v>
      </c>
      <c r="J4" s="130">
        <f t="shared" si="3"/>
        <v>877.37284818057583</v>
      </c>
      <c r="K4" s="130">
        <f t="shared" si="3"/>
        <v>915.10384311097266</v>
      </c>
      <c r="L4" s="130">
        <f t="shared" si="3"/>
        <v>1005.6176381982148</v>
      </c>
      <c r="M4" s="130">
        <f t="shared" si="3"/>
        <v>736.31479552655367</v>
      </c>
      <c r="N4" s="130">
        <f t="shared" si="3"/>
        <v>601.06039674736553</v>
      </c>
      <c r="O4" s="130">
        <f t="shared" si="3"/>
        <v>771.31349220575089</v>
      </c>
      <c r="P4" s="130">
        <f t="shared" si="3"/>
        <v>465.17113229592428</v>
      </c>
      <c r="Q4" s="130">
        <f t="shared" si="3"/>
        <v>507.34003999041994</v>
      </c>
      <c r="R4" s="130">
        <f t="shared" ref="R4:W4" si="4">SUM(R5:R15)</f>
        <v>530.63363904104938</v>
      </c>
      <c r="S4" s="130">
        <f t="shared" si="4"/>
        <v>609.10283781768567</v>
      </c>
      <c r="T4" s="130">
        <f t="shared" si="4"/>
        <v>543.29962719834748</v>
      </c>
      <c r="U4" s="130">
        <f t="shared" si="4"/>
        <v>481.77930512119815</v>
      </c>
      <c r="V4" s="130">
        <f t="shared" si="4"/>
        <v>434.99261645555055</v>
      </c>
      <c r="W4" s="130">
        <f t="shared" si="4"/>
        <v>630.52638179815699</v>
      </c>
      <c r="X4" s="130">
        <f t="shared" ref="X4:Y4" si="5">SUM(X5:X15)</f>
        <v>564.51878945118438</v>
      </c>
      <c r="Y4" s="130">
        <f t="shared" si="5"/>
        <v>475.80915640476218</v>
      </c>
      <c r="DA4" s="155" t="s">
        <v>302</v>
      </c>
    </row>
    <row r="5" spans="1:105" ht="12" customHeight="1" x14ac:dyDescent="0.25">
      <c r="A5" s="131" t="s">
        <v>29</v>
      </c>
      <c r="B5" s="132">
        <v>93.823910378265069</v>
      </c>
      <c r="C5" s="132">
        <v>76.481506629716421</v>
      </c>
      <c r="D5" s="132">
        <v>96.687120748567267</v>
      </c>
      <c r="E5" s="132">
        <v>16.816311907418417</v>
      </c>
      <c r="F5" s="132">
        <v>64.511564285681899</v>
      </c>
      <c r="G5" s="132">
        <v>15.006509631906574</v>
      </c>
      <c r="H5" s="132">
        <v>39.872196275050335</v>
      </c>
      <c r="I5" s="132">
        <v>83.951677035355473</v>
      </c>
      <c r="J5" s="132">
        <v>131.3419798356114</v>
      </c>
      <c r="K5" s="132">
        <v>294.26169864279666</v>
      </c>
      <c r="L5" s="132">
        <v>166.60399326751056</v>
      </c>
      <c r="M5" s="132">
        <v>189.02329592913281</v>
      </c>
      <c r="N5" s="132">
        <v>50.424931715678589</v>
      </c>
      <c r="O5" s="132">
        <v>99.627634708034066</v>
      </c>
      <c r="P5" s="132">
        <v>60.976332454328883</v>
      </c>
      <c r="Q5" s="132">
        <v>61.552472550587012</v>
      </c>
      <c r="R5" s="132">
        <v>32.2208727098254</v>
      </c>
      <c r="S5" s="132">
        <v>40.585785841015245</v>
      </c>
      <c r="T5" s="132">
        <v>48.021836472672923</v>
      </c>
      <c r="U5" s="132">
        <v>71.178705335025981</v>
      </c>
      <c r="V5" s="132">
        <v>27.740914449630264</v>
      </c>
      <c r="W5" s="132">
        <v>42.706162478785274</v>
      </c>
      <c r="X5" s="132">
        <v>24.973406186504999</v>
      </c>
      <c r="Y5" s="132">
        <v>21.405761350472339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2.6441456820450711</v>
      </c>
      <c r="C7" s="132">
        <v>21.764379740502068</v>
      </c>
      <c r="D7" s="132">
        <v>13.878757141114201</v>
      </c>
      <c r="E7" s="132">
        <v>4.8144377701191532</v>
      </c>
      <c r="F7" s="132">
        <v>12.384851510542481</v>
      </c>
      <c r="G7" s="132">
        <v>13.61405329561957</v>
      </c>
      <c r="H7" s="132">
        <v>8.3854108373259422</v>
      </c>
      <c r="I7" s="132">
        <v>0.46503636534640669</v>
      </c>
      <c r="J7" s="132">
        <v>1.860223330837294</v>
      </c>
      <c r="K7" s="132">
        <v>4.9244251886008188</v>
      </c>
      <c r="L7" s="132">
        <v>0</v>
      </c>
      <c r="M7" s="132">
        <v>0</v>
      </c>
      <c r="N7" s="132">
        <v>0</v>
      </c>
      <c r="O7" s="132">
        <v>0.65886303035346749</v>
      </c>
      <c r="P7" s="132">
        <v>3.3989369924042929</v>
      </c>
      <c r="Q7" s="132">
        <v>4.1544285365958107</v>
      </c>
      <c r="R7" s="132">
        <v>2.7696184151791914</v>
      </c>
      <c r="S7" s="132">
        <v>2.0777280847882089</v>
      </c>
      <c r="T7" s="132">
        <v>1.3846785812027842</v>
      </c>
      <c r="U7" s="132">
        <v>3.4616372685916206</v>
      </c>
      <c r="V7" s="132">
        <v>2.07571581466678</v>
      </c>
      <c r="W7" s="132">
        <v>2.1207551547375325</v>
      </c>
      <c r="X7" s="132">
        <v>2.7690612403288855</v>
      </c>
      <c r="Y7" s="132">
        <v>1.3833173396500542</v>
      </c>
      <c r="DA7" s="156" t="s">
        <v>305</v>
      </c>
    </row>
    <row r="8" spans="1:105" ht="12" customHeight="1" x14ac:dyDescent="0.25">
      <c r="A8" s="131" t="s">
        <v>73</v>
      </c>
      <c r="B8" s="132">
        <v>1.5041795227817732E-2</v>
      </c>
      <c r="C8" s="132">
        <v>2.0981489680594618E-2</v>
      </c>
      <c r="D8" s="132">
        <v>3.0848450504955868E-2</v>
      </c>
      <c r="E8" s="132">
        <v>4.7788844549847005E-2</v>
      </c>
      <c r="F8" s="132">
        <v>6.2619098660540592E-2</v>
      </c>
      <c r="G8" s="132">
        <v>7.238902997392635E-2</v>
      </c>
      <c r="H8" s="132">
        <v>8.2146383682333277E-2</v>
      </c>
      <c r="I8" s="132">
        <v>8.4982183611168258E-2</v>
      </c>
      <c r="J8" s="132">
        <v>8.7420060655089268E-2</v>
      </c>
      <c r="K8" s="132">
        <v>0.10165301280772228</v>
      </c>
      <c r="L8" s="132">
        <v>0.12299228714482145</v>
      </c>
      <c r="M8" s="132">
        <v>0.17579672149751185</v>
      </c>
      <c r="N8" s="132">
        <v>0.20876013685125927</v>
      </c>
      <c r="O8" s="132">
        <v>0.32974338722250024</v>
      </c>
      <c r="P8" s="132">
        <v>0.39567504014138205</v>
      </c>
      <c r="Q8" s="132">
        <v>0.47868239807501178</v>
      </c>
      <c r="R8" s="132">
        <v>0.43923013545951201</v>
      </c>
      <c r="S8" s="132">
        <v>0.45280384115278965</v>
      </c>
      <c r="T8" s="132">
        <v>0.4593424387937759</v>
      </c>
      <c r="U8" s="132">
        <v>0.44263772351886316</v>
      </c>
      <c r="V8" s="132">
        <v>0.57906687215048191</v>
      </c>
      <c r="W8" s="132">
        <v>0.69206716113956779</v>
      </c>
      <c r="X8" s="132">
        <v>0.78202334261371464</v>
      </c>
      <c r="Y8" s="132">
        <v>0.97215533150445943</v>
      </c>
      <c r="DA8" s="156" t="s">
        <v>306</v>
      </c>
    </row>
    <row r="9" spans="1:105" ht="12" customHeight="1" x14ac:dyDescent="0.25">
      <c r="A9" s="131" t="s">
        <v>78</v>
      </c>
      <c r="B9" s="132">
        <v>623.73187560749147</v>
      </c>
      <c r="C9" s="132">
        <v>295.94700118010513</v>
      </c>
      <c r="D9" s="132">
        <v>183.32298915165626</v>
      </c>
      <c r="E9" s="132">
        <v>195.07168338311214</v>
      </c>
      <c r="F9" s="132">
        <v>130.82216237034933</v>
      </c>
      <c r="G9" s="132">
        <v>415.04057452748992</v>
      </c>
      <c r="H9" s="132">
        <v>473.32689556821083</v>
      </c>
      <c r="I9" s="132">
        <v>436.59546160535558</v>
      </c>
      <c r="J9" s="132">
        <v>430.97765810508605</v>
      </c>
      <c r="K9" s="132">
        <v>261.43111832719205</v>
      </c>
      <c r="L9" s="132">
        <v>403.71871194549652</v>
      </c>
      <c r="M9" s="132">
        <v>153.68293725179399</v>
      </c>
      <c r="N9" s="132">
        <v>314.20950362674546</v>
      </c>
      <c r="O9" s="132">
        <v>380.91776981845771</v>
      </c>
      <c r="P9" s="132">
        <v>219.8056004074746</v>
      </c>
      <c r="Q9" s="132">
        <v>242.08974662867624</v>
      </c>
      <c r="R9" s="132">
        <v>248.81056442787076</v>
      </c>
      <c r="S9" s="132">
        <v>281.68823000546718</v>
      </c>
      <c r="T9" s="132">
        <v>246.46360308483153</v>
      </c>
      <c r="U9" s="132">
        <v>205.73669400679464</v>
      </c>
      <c r="V9" s="132">
        <v>194.79187547929695</v>
      </c>
      <c r="W9" s="132">
        <v>308.35210630797354</v>
      </c>
      <c r="X9" s="132">
        <v>294.82527098589338</v>
      </c>
      <c r="Y9" s="132">
        <v>241.20152630968806</v>
      </c>
      <c r="DA9" s="156" t="s">
        <v>307</v>
      </c>
    </row>
    <row r="10" spans="1:105" ht="12" customHeight="1" x14ac:dyDescent="0.25">
      <c r="A10" s="131" t="s">
        <v>128</v>
      </c>
      <c r="B10" s="132">
        <v>6.2501405310410416E-2</v>
      </c>
      <c r="C10" s="132">
        <v>6.4467556296899904</v>
      </c>
      <c r="D10" s="132">
        <v>1.5726208424354264</v>
      </c>
      <c r="E10" s="132">
        <v>1.5205800802453546</v>
      </c>
      <c r="F10" s="132">
        <v>1.3331133576586405</v>
      </c>
      <c r="G10" s="132">
        <v>0.37493344517342814</v>
      </c>
      <c r="H10" s="132">
        <v>0.38379522575571878</v>
      </c>
      <c r="I10" s="132">
        <v>0.36755602645385843</v>
      </c>
      <c r="J10" s="132">
        <v>6.0912692413149365</v>
      </c>
      <c r="K10" s="132">
        <v>8.7154920806424059</v>
      </c>
      <c r="L10" s="132">
        <v>9.1448649069570376</v>
      </c>
      <c r="M10" s="132">
        <v>5.3334405200014006</v>
      </c>
      <c r="N10" s="132">
        <v>7.0630128204870672</v>
      </c>
      <c r="O10" s="132">
        <v>4.4750214009202329</v>
      </c>
      <c r="P10" s="132">
        <v>13.454655390021559</v>
      </c>
      <c r="Q10" s="132">
        <v>8.3145202854513975</v>
      </c>
      <c r="R10" s="132">
        <v>3.3266409992956314</v>
      </c>
      <c r="S10" s="132">
        <v>13.094786428685397</v>
      </c>
      <c r="T10" s="132">
        <v>13.396497434709605</v>
      </c>
      <c r="U10" s="132">
        <v>15.390468012370475</v>
      </c>
      <c r="V10" s="132">
        <v>17.585260791680657</v>
      </c>
      <c r="W10" s="132">
        <v>19.577225931484698</v>
      </c>
      <c r="X10" s="132">
        <v>13.459040767021204</v>
      </c>
      <c r="Y10" s="132">
        <v>16.672380791237909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0.49729427250449854</v>
      </c>
      <c r="D11" s="132">
        <v>0.49816315607800482</v>
      </c>
      <c r="E11" s="132">
        <v>0.55461117294275308</v>
      </c>
      <c r="F11" s="132">
        <v>0.53649844241760136</v>
      </c>
      <c r="G11" s="132">
        <v>0.6484364304222684</v>
      </c>
      <c r="H11" s="132">
        <v>0.85440486677253291</v>
      </c>
      <c r="I11" s="132">
        <v>0.85623407022955966</v>
      </c>
      <c r="J11" s="132">
        <v>0.8947031590706368</v>
      </c>
      <c r="K11" s="132">
        <v>0.8768177789545375</v>
      </c>
      <c r="L11" s="132">
        <v>0.89684433429512889</v>
      </c>
      <c r="M11" s="132">
        <v>0.75003428849089937</v>
      </c>
      <c r="N11" s="132">
        <v>0.60255825195228896</v>
      </c>
      <c r="O11" s="132">
        <v>0.70025388524790133</v>
      </c>
      <c r="P11" s="132">
        <v>0.515273012678093</v>
      </c>
      <c r="Q11" s="132">
        <v>0.55794505879180567</v>
      </c>
      <c r="R11" s="132">
        <v>0.66019570340113887</v>
      </c>
      <c r="S11" s="132">
        <v>0.64662456682424208</v>
      </c>
      <c r="T11" s="132">
        <v>0.57035081962438561</v>
      </c>
      <c r="U11" s="132">
        <v>0.55214536184266383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133.23714149920627</v>
      </c>
      <c r="C12" s="132">
        <v>115.22867427493537</v>
      </c>
      <c r="D12" s="132">
        <v>146.32750024844538</v>
      </c>
      <c r="E12" s="132">
        <v>124.98209196795715</v>
      </c>
      <c r="F12" s="132">
        <v>194.92541865669597</v>
      </c>
      <c r="G12" s="132">
        <v>172.12318939723292</v>
      </c>
      <c r="H12" s="132">
        <v>155.40298132340982</v>
      </c>
      <c r="I12" s="132">
        <v>139.34300047133254</v>
      </c>
      <c r="J12" s="132">
        <v>141.8947564657874</v>
      </c>
      <c r="K12" s="132">
        <v>163.26346311495573</v>
      </c>
      <c r="L12" s="132">
        <v>185.56355638079472</v>
      </c>
      <c r="M12" s="132">
        <v>147.2612375501939</v>
      </c>
      <c r="N12" s="132">
        <v>86.222524656630213</v>
      </c>
      <c r="O12" s="132">
        <v>68.799827455186701</v>
      </c>
      <c r="P12" s="132">
        <v>39.198846529748451</v>
      </c>
      <c r="Q12" s="132">
        <v>19.39508738460669</v>
      </c>
      <c r="R12" s="132">
        <v>62.997944708106544</v>
      </c>
      <c r="S12" s="132">
        <v>57.147853886642451</v>
      </c>
      <c r="T12" s="132">
        <v>56.903344039772534</v>
      </c>
      <c r="U12" s="132">
        <v>53.389608389759921</v>
      </c>
      <c r="V12" s="132">
        <v>56.371894214228739</v>
      </c>
      <c r="W12" s="132">
        <v>82.864373626155256</v>
      </c>
      <c r="X12" s="132">
        <v>106.18120811189489</v>
      </c>
      <c r="Y12" s="132">
        <v>102.89521799887808</v>
      </c>
      <c r="DA12" s="156" t="s">
        <v>310</v>
      </c>
    </row>
    <row r="13" spans="1:105" ht="12" customHeight="1" x14ac:dyDescent="0.25">
      <c r="A13" s="131" t="s">
        <v>77</v>
      </c>
      <c r="B13" s="132">
        <v>1.7621835992325433E-2</v>
      </c>
      <c r="C13" s="132">
        <v>0.13092665923255098</v>
      </c>
      <c r="D13" s="132">
        <v>0.23416251040855371</v>
      </c>
      <c r="E13" s="132">
        <v>0.28204108547889595</v>
      </c>
      <c r="F13" s="132">
        <v>0.44684928643746663</v>
      </c>
      <c r="G13" s="132">
        <v>0.48388093534422072</v>
      </c>
      <c r="H13" s="132">
        <v>0.52986350002246241</v>
      </c>
      <c r="I13" s="132">
        <v>0.79732482257604487</v>
      </c>
      <c r="J13" s="132">
        <v>0.89260416534888865</v>
      </c>
      <c r="K13" s="132">
        <v>1.3855109111161596</v>
      </c>
      <c r="L13" s="132">
        <v>2.2392075886391374</v>
      </c>
      <c r="M13" s="132">
        <v>3.9148647382413309</v>
      </c>
      <c r="N13" s="132">
        <v>5.0563686880014913</v>
      </c>
      <c r="O13" s="132">
        <v>5.7371500014484793</v>
      </c>
      <c r="P13" s="132">
        <v>6.6525615182738109</v>
      </c>
      <c r="Q13" s="132">
        <v>13.940557961389775</v>
      </c>
      <c r="R13" s="132">
        <v>14.195823459223474</v>
      </c>
      <c r="S13" s="132">
        <v>14.850549218455752</v>
      </c>
      <c r="T13" s="132">
        <v>15.463476058617474</v>
      </c>
      <c r="U13" s="132">
        <v>14.586704579421607</v>
      </c>
      <c r="V13" s="132">
        <v>18.650261203633171</v>
      </c>
      <c r="W13" s="132">
        <v>22.329963740317933</v>
      </c>
      <c r="X13" s="132">
        <v>27.668865470828592</v>
      </c>
      <c r="Y13" s="132">
        <v>31.993840030972073</v>
      </c>
      <c r="DA13" s="156" t="s">
        <v>311</v>
      </c>
    </row>
    <row r="14" spans="1:105" ht="12" customHeight="1" x14ac:dyDescent="0.25">
      <c r="A14" s="60" t="s">
        <v>76</v>
      </c>
      <c r="B14" s="65">
        <v>110.23715075182783</v>
      </c>
      <c r="C14" s="65">
        <v>245.35920333872838</v>
      </c>
      <c r="D14" s="65">
        <v>260.03335485136398</v>
      </c>
      <c r="E14" s="65">
        <v>200.51923829794873</v>
      </c>
      <c r="F14" s="65">
        <v>249.18820502664545</v>
      </c>
      <c r="G14" s="65">
        <v>153.20277776905931</v>
      </c>
      <c r="H14" s="65">
        <v>146.92474519422433</v>
      </c>
      <c r="I14" s="65">
        <v>165.92068491816704</v>
      </c>
      <c r="J14" s="65">
        <v>153.9912297686933</v>
      </c>
      <c r="K14" s="65">
        <v>172.26828408925252</v>
      </c>
      <c r="L14" s="65">
        <v>228.20083448094022</v>
      </c>
      <c r="M14" s="65">
        <v>231.34471764311908</v>
      </c>
      <c r="N14" s="65">
        <v>131.21708505526851</v>
      </c>
      <c r="O14" s="65">
        <v>202.64455830494447</v>
      </c>
      <c r="P14" s="65">
        <v>116.35846538147517</v>
      </c>
      <c r="Q14" s="65">
        <v>152.21584882237318</v>
      </c>
      <c r="R14" s="65">
        <v>160.61439106420374</v>
      </c>
      <c r="S14" s="65">
        <v>193.34513344867551</v>
      </c>
      <c r="T14" s="65">
        <v>155.95706004107865</v>
      </c>
      <c r="U14" s="65">
        <v>112.80142343855171</v>
      </c>
      <c r="V14" s="65">
        <v>113.47737048978995</v>
      </c>
      <c r="W14" s="65">
        <v>146.12071772354818</v>
      </c>
      <c r="X14" s="65">
        <v>88.406866232968156</v>
      </c>
      <c r="Y14" s="65">
        <v>54.715606631889216</v>
      </c>
      <c r="DA14" s="109" t="s">
        <v>312</v>
      </c>
    </row>
    <row r="15" spans="1:105" ht="12" customHeight="1" x14ac:dyDescent="0.25">
      <c r="A15" s="133" t="s">
        <v>80</v>
      </c>
      <c r="B15" s="134">
        <v>14.132645460098658</v>
      </c>
      <c r="C15" s="134">
        <v>7.6008706796223038</v>
      </c>
      <c r="D15" s="134">
        <v>5.4334195863087604</v>
      </c>
      <c r="E15" s="134">
        <v>4.5288286214632105</v>
      </c>
      <c r="F15" s="134">
        <v>4.1623857339733403</v>
      </c>
      <c r="G15" s="134">
        <v>8.721498168986713</v>
      </c>
      <c r="H15" s="134">
        <v>9.6813567916394465</v>
      </c>
      <c r="I15" s="134">
        <v>9.0675569554920656</v>
      </c>
      <c r="J15" s="134">
        <v>9.3410040481707348</v>
      </c>
      <c r="K15" s="134">
        <v>7.8753799646541589</v>
      </c>
      <c r="L15" s="134">
        <v>9.1266330064365899</v>
      </c>
      <c r="M15" s="134">
        <v>4.8284708840829325</v>
      </c>
      <c r="N15" s="134">
        <v>6.0556517957506077</v>
      </c>
      <c r="O15" s="134">
        <v>7.4226702139353176</v>
      </c>
      <c r="P15" s="134">
        <v>4.4147855693780818</v>
      </c>
      <c r="Q15" s="134">
        <v>4.6407503638729732</v>
      </c>
      <c r="R15" s="134">
        <v>4.5983574184839249</v>
      </c>
      <c r="S15" s="134">
        <v>5.2133424959789689</v>
      </c>
      <c r="T15" s="134">
        <v>4.6794382270439199</v>
      </c>
      <c r="U15" s="134">
        <v>4.239281005320688</v>
      </c>
      <c r="V15" s="134">
        <v>3.7202571404735343</v>
      </c>
      <c r="W15" s="134">
        <v>5.7630096740150583</v>
      </c>
      <c r="X15" s="134">
        <v>5.4530471131306433</v>
      </c>
      <c r="Y15" s="134">
        <v>4.5693506204699483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9.0123828029726294</v>
      </c>
      <c r="C16" s="130">
        <f t="shared" si="6"/>
        <v>9.5392173167173446</v>
      </c>
      <c r="D16" s="130">
        <f t="shared" si="6"/>
        <v>10.750390253638086</v>
      </c>
      <c r="E16" s="130">
        <f t="shared" si="6"/>
        <v>11.625311928213677</v>
      </c>
      <c r="F16" s="130">
        <f t="shared" si="6"/>
        <v>12.037482038971154</v>
      </c>
      <c r="G16" s="130">
        <f t="shared" si="6"/>
        <v>12.926109748188145</v>
      </c>
      <c r="H16" s="130">
        <f t="shared" si="6"/>
        <v>14.319110274902984</v>
      </c>
      <c r="I16" s="130">
        <f t="shared" si="6"/>
        <v>16.497768559576361</v>
      </c>
      <c r="J16" s="130">
        <f t="shared" si="6"/>
        <v>16.774858880122412</v>
      </c>
      <c r="K16" s="130">
        <f t="shared" si="6"/>
        <v>17.482349361154544</v>
      </c>
      <c r="L16" s="130">
        <f t="shared" si="6"/>
        <v>19.074757412545111</v>
      </c>
      <c r="M16" s="130">
        <f t="shared" si="6"/>
        <v>18.999421197445962</v>
      </c>
      <c r="N16" s="130">
        <f t="shared" si="6"/>
        <v>21.69616461438067</v>
      </c>
      <c r="O16" s="130">
        <f t="shared" si="6"/>
        <v>21.482020041526678</v>
      </c>
      <c r="P16" s="130">
        <f t="shared" si="6"/>
        <v>20.389512712700718</v>
      </c>
      <c r="Q16" s="130">
        <f t="shared" si="6"/>
        <v>24.672604801251087</v>
      </c>
      <c r="R16" s="130">
        <f t="shared" ref="R16:W16" si="7">SUM(R17:R18)</f>
        <v>21.444841105059488</v>
      </c>
      <c r="S16" s="130">
        <f t="shared" si="7"/>
        <v>23.572241040716019</v>
      </c>
      <c r="T16" s="130">
        <f t="shared" si="7"/>
        <v>23.818228527474218</v>
      </c>
      <c r="U16" s="130">
        <f t="shared" si="7"/>
        <v>25.315069415117698</v>
      </c>
      <c r="V16" s="130">
        <f t="shared" si="7"/>
        <v>22.945495903943495</v>
      </c>
      <c r="W16" s="130">
        <f t="shared" si="7"/>
        <v>25.529935988136209</v>
      </c>
      <c r="X16" s="130">
        <f t="shared" ref="X16:Y16" si="8">SUM(X17:X18)</f>
        <v>26.915820037851077</v>
      </c>
      <c r="Y16" s="130">
        <f t="shared" si="8"/>
        <v>26.18647215502865</v>
      </c>
      <c r="DA16" s="155" t="s">
        <v>314</v>
      </c>
    </row>
    <row r="17" spans="1:105" ht="12.95" customHeight="1" x14ac:dyDescent="0.25">
      <c r="A17" s="131" t="s">
        <v>73</v>
      </c>
      <c r="B17" s="132">
        <v>1.5414291603973307E-2</v>
      </c>
      <c r="C17" s="132">
        <v>2.5744432948969463E-2</v>
      </c>
      <c r="D17" s="132">
        <v>2.317393134999382E-2</v>
      </c>
      <c r="E17" s="132">
        <v>9.1924244959747468E-3</v>
      </c>
      <c r="F17" s="132">
        <v>2.6938160352521206E-2</v>
      </c>
      <c r="G17" s="132">
        <v>4.0993099585961854E-2</v>
      </c>
      <c r="H17" s="132">
        <v>5.0156926217271795E-2</v>
      </c>
      <c r="I17" s="132">
        <v>5.5162117766874276E-2</v>
      </c>
      <c r="J17" s="132">
        <v>6.0881169010626512E-2</v>
      </c>
      <c r="K17" s="132">
        <v>6.1726182881862969E-2</v>
      </c>
      <c r="L17" s="132">
        <v>6.9187745701994013E-2</v>
      </c>
      <c r="M17" s="132">
        <v>7.6418434609827168E-2</v>
      </c>
      <c r="N17" s="132">
        <v>8.9215716602040904E-2</v>
      </c>
      <c r="O17" s="132">
        <v>0.11239735655206547</v>
      </c>
      <c r="P17" s="132">
        <v>0.15173763885211747</v>
      </c>
      <c r="Q17" s="132">
        <v>0.21218474594509051</v>
      </c>
      <c r="R17" s="132">
        <v>0.27527602136448714</v>
      </c>
      <c r="S17" s="132">
        <v>0.33277605404195187</v>
      </c>
      <c r="T17" s="132">
        <v>0.38584725687379506</v>
      </c>
      <c r="U17" s="132">
        <v>0.43082108460250312</v>
      </c>
      <c r="V17" s="132">
        <v>0.47136812186799804</v>
      </c>
      <c r="W17" s="132">
        <v>0.5053273435371245</v>
      </c>
      <c r="X17" s="132">
        <v>0.55954962263478336</v>
      </c>
      <c r="Y17" s="132">
        <v>0.55727290323514</v>
      </c>
      <c r="DA17" s="156" t="s">
        <v>315</v>
      </c>
    </row>
    <row r="18" spans="1:105" ht="12" customHeight="1" x14ac:dyDescent="0.25">
      <c r="A18" s="131" t="s">
        <v>72</v>
      </c>
      <c r="B18" s="132">
        <v>8.9969685113686566</v>
      </c>
      <c r="C18" s="132">
        <v>9.513472883768376</v>
      </c>
      <c r="D18" s="132">
        <v>10.727216322288092</v>
      </c>
      <c r="E18" s="132">
        <v>11.616119503717702</v>
      </c>
      <c r="F18" s="132">
        <v>12.010543878618632</v>
      </c>
      <c r="G18" s="132">
        <v>12.885116648602184</v>
      </c>
      <c r="H18" s="132">
        <v>14.268953348685713</v>
      </c>
      <c r="I18" s="132">
        <v>16.442606441809488</v>
      </c>
      <c r="J18" s="132">
        <v>16.713977711111784</v>
      </c>
      <c r="K18" s="132">
        <v>17.420623178272681</v>
      </c>
      <c r="L18" s="132">
        <v>19.005569666843115</v>
      </c>
      <c r="M18" s="132">
        <v>18.923002762836134</v>
      </c>
      <c r="N18" s="132">
        <v>21.606948897778629</v>
      </c>
      <c r="O18" s="132">
        <v>21.369622684974612</v>
      </c>
      <c r="P18" s="132">
        <v>20.237775073848599</v>
      </c>
      <c r="Q18" s="132">
        <v>24.460420055305995</v>
      </c>
      <c r="R18" s="132">
        <v>21.169565083695002</v>
      </c>
      <c r="S18" s="132">
        <v>23.239464986674069</v>
      </c>
      <c r="T18" s="132">
        <v>23.432381270600423</v>
      </c>
      <c r="U18" s="132">
        <v>24.884248330515195</v>
      </c>
      <c r="V18" s="132">
        <v>22.474127782075499</v>
      </c>
      <c r="W18" s="132">
        <v>25.024608644599084</v>
      </c>
      <c r="X18" s="132">
        <v>26.356270415216294</v>
      </c>
      <c r="Y18" s="132">
        <v>25.629199251793509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62.849792883751078</v>
      </c>
      <c r="C19" s="130">
        <f t="shared" si="9"/>
        <v>63.390785980942539</v>
      </c>
      <c r="D19" s="130">
        <f t="shared" si="9"/>
        <v>65.804663312071014</v>
      </c>
      <c r="E19" s="130">
        <f t="shared" si="9"/>
        <v>68.218851077337177</v>
      </c>
      <c r="F19" s="130">
        <f t="shared" si="9"/>
        <v>70.200693654697062</v>
      </c>
      <c r="G19" s="130">
        <f t="shared" si="9"/>
        <v>73.965009804693452</v>
      </c>
      <c r="H19" s="130">
        <f t="shared" si="9"/>
        <v>77.862642298238995</v>
      </c>
      <c r="I19" s="130">
        <f t="shared" si="9"/>
        <v>81.111881228823179</v>
      </c>
      <c r="J19" s="130">
        <f t="shared" si="9"/>
        <v>83.290875788486176</v>
      </c>
      <c r="K19" s="130">
        <f t="shared" si="9"/>
        <v>85.92142281833641</v>
      </c>
      <c r="L19" s="130">
        <f t="shared" si="9"/>
        <v>88.517577328401487</v>
      </c>
      <c r="M19" s="130">
        <f t="shared" si="9"/>
        <v>89.216507185087238</v>
      </c>
      <c r="N19" s="130">
        <f t="shared" si="9"/>
        <v>91.505639983167725</v>
      </c>
      <c r="O19" s="130">
        <f t="shared" si="9"/>
        <v>92.742307579261336</v>
      </c>
      <c r="P19" s="130">
        <f t="shared" si="9"/>
        <v>94.538061717019445</v>
      </c>
      <c r="Q19" s="130">
        <f t="shared" si="9"/>
        <v>95.827861619372214</v>
      </c>
      <c r="R19" s="130">
        <f t="shared" ref="R19:W19" si="10">SUM(R20:R27)</f>
        <v>97.922740550237535</v>
      </c>
      <c r="S19" s="130">
        <f t="shared" si="10"/>
        <v>100.16608578138425</v>
      </c>
      <c r="T19" s="130">
        <f t="shared" si="10"/>
        <v>100.34093217798537</v>
      </c>
      <c r="U19" s="130">
        <f t="shared" si="10"/>
        <v>100.8805901052679</v>
      </c>
      <c r="V19" s="130">
        <f t="shared" si="10"/>
        <v>92.693430825349751</v>
      </c>
      <c r="W19" s="130">
        <f t="shared" si="10"/>
        <v>102.87125232056948</v>
      </c>
      <c r="X19" s="130">
        <f t="shared" ref="X19:Y19" si="11">SUM(X20:X27)</f>
        <v>106.11008698484152</v>
      </c>
      <c r="Y19" s="130">
        <f t="shared" si="11"/>
        <v>107.3386816194716</v>
      </c>
      <c r="DA19" s="155" t="s">
        <v>317</v>
      </c>
    </row>
    <row r="20" spans="1:105" ht="12" customHeight="1" x14ac:dyDescent="0.25">
      <c r="A20" s="131" t="s">
        <v>29</v>
      </c>
      <c r="B20" s="132">
        <v>3.7105375358681063</v>
      </c>
      <c r="C20" s="132">
        <v>3.1275010997360688</v>
      </c>
      <c r="D20" s="132">
        <v>2.8957534765472506</v>
      </c>
      <c r="E20" s="132">
        <v>1.7796694417818768</v>
      </c>
      <c r="F20" s="132">
        <v>1.5471767774238445</v>
      </c>
      <c r="G20" s="132">
        <v>0.66237658259574894</v>
      </c>
      <c r="H20" s="132">
        <v>1.9398538872710511</v>
      </c>
      <c r="I20" s="132">
        <v>4.2127366707214904</v>
      </c>
      <c r="J20" s="132">
        <v>5.4682155086494104</v>
      </c>
      <c r="K20" s="132">
        <v>6.1873753485399279</v>
      </c>
      <c r="L20" s="132">
        <v>6.1133249465952497</v>
      </c>
      <c r="M20" s="132">
        <v>6.2339433402828011</v>
      </c>
      <c r="N20" s="132">
        <v>6.5218576070280703</v>
      </c>
      <c r="O20" s="132">
        <v>6.6756099051368869</v>
      </c>
      <c r="P20" s="132">
        <v>6.9301111538226952</v>
      </c>
      <c r="Q20" s="132">
        <v>7.44362706471314</v>
      </c>
      <c r="R20" s="132">
        <v>3.8856376842471168</v>
      </c>
      <c r="S20" s="132">
        <v>4.764124683207215</v>
      </c>
      <c r="T20" s="132">
        <v>5.0919960064045293</v>
      </c>
      <c r="U20" s="132">
        <v>6.9992470344239086</v>
      </c>
      <c r="V20" s="132">
        <v>2.6012026419893264</v>
      </c>
      <c r="W20" s="132">
        <v>3.7726803117300589</v>
      </c>
      <c r="X20" s="132">
        <v>2.1812179181078024</v>
      </c>
      <c r="Y20" s="132">
        <v>1.723502252324346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0</v>
      </c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320</v>
      </c>
    </row>
    <row r="23" spans="1:105" ht="12" customHeight="1" x14ac:dyDescent="0.25">
      <c r="A23" s="131" t="s">
        <v>149</v>
      </c>
      <c r="B23" s="132">
        <v>3.0577230789603487</v>
      </c>
      <c r="C23" s="132">
        <v>8.9056746169330214</v>
      </c>
      <c r="D23" s="132">
        <v>11.343135178569311</v>
      </c>
      <c r="E23" s="132">
        <v>11.734854576900196</v>
      </c>
      <c r="F23" s="132">
        <v>13.411365991760805</v>
      </c>
      <c r="G23" s="132">
        <v>13.868234732718536</v>
      </c>
      <c r="H23" s="132">
        <v>15.12209478955122</v>
      </c>
      <c r="I23" s="132">
        <v>17.693981881647336</v>
      </c>
      <c r="J23" s="132">
        <v>18.465986064687513</v>
      </c>
      <c r="K23" s="132">
        <v>18.524749931274179</v>
      </c>
      <c r="L23" s="132">
        <v>20.651432726499031</v>
      </c>
      <c r="M23" s="132">
        <v>21.179928680882426</v>
      </c>
      <c r="N23" s="132">
        <v>28.221653154783922</v>
      </c>
      <c r="O23" s="132">
        <v>32.400141494555214</v>
      </c>
      <c r="P23" s="132">
        <v>34.06476381829259</v>
      </c>
      <c r="Q23" s="132">
        <v>35.257294343888823</v>
      </c>
      <c r="R23" s="132">
        <v>35.69448512218132</v>
      </c>
      <c r="S23" s="132">
        <v>32.929093913233309</v>
      </c>
      <c r="T23" s="132">
        <v>27.476594868625419</v>
      </c>
      <c r="U23" s="132">
        <v>23.295471903105398</v>
      </c>
      <c r="V23" s="132">
        <v>15.704218660769598</v>
      </c>
      <c r="W23" s="132">
        <v>27.302002035193588</v>
      </c>
      <c r="X23" s="132">
        <v>29.171621042634584</v>
      </c>
      <c r="Y23" s="132">
        <v>29.220497676760449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6.6361521319544936</v>
      </c>
      <c r="C25" s="132">
        <v>8.349973011863284</v>
      </c>
      <c r="D25" s="132">
        <v>12.422677438232505</v>
      </c>
      <c r="E25" s="132">
        <v>14.406500528231717</v>
      </c>
      <c r="F25" s="132">
        <v>19.033237571461544</v>
      </c>
      <c r="G25" s="132">
        <v>13.678217699465455</v>
      </c>
      <c r="H25" s="132">
        <v>11.968794708895961</v>
      </c>
      <c r="I25" s="132">
        <v>11.676790041087253</v>
      </c>
      <c r="J25" s="132">
        <v>11.636391112934827</v>
      </c>
      <c r="K25" s="132">
        <v>11.880657813318267</v>
      </c>
      <c r="L25" s="132">
        <v>11.240847993834414</v>
      </c>
      <c r="M25" s="132">
        <v>11.024490684560737</v>
      </c>
      <c r="N25" s="132">
        <v>11.050036567570784</v>
      </c>
      <c r="O25" s="132">
        <v>7.6345605243661199</v>
      </c>
      <c r="P25" s="132">
        <v>7.3717063810237766</v>
      </c>
      <c r="Q25" s="132">
        <v>3.4623769729784146</v>
      </c>
      <c r="R25" s="132">
        <v>11.252631423369566</v>
      </c>
      <c r="S25" s="132">
        <v>10.177927775678212</v>
      </c>
      <c r="T25" s="132">
        <v>9.3503815483322956</v>
      </c>
      <c r="U25" s="132">
        <v>7.8915746732949517</v>
      </c>
      <c r="V25" s="132">
        <v>4.4998170553509782</v>
      </c>
      <c r="W25" s="132">
        <v>5.5251107700280189</v>
      </c>
      <c r="X25" s="132">
        <v>6.7297061495057404</v>
      </c>
      <c r="Y25" s="132">
        <v>6.1182167500609177</v>
      </c>
      <c r="DA25" s="156" t="s">
        <v>323</v>
      </c>
    </row>
    <row r="26" spans="1:105" ht="12" customHeight="1" x14ac:dyDescent="0.25">
      <c r="A26" s="131" t="s">
        <v>24</v>
      </c>
      <c r="B26" s="65">
        <v>49.445380136968126</v>
      </c>
      <c r="C26" s="65">
        <v>43.007637252410163</v>
      </c>
      <c r="D26" s="65">
        <v>39.143097218721948</v>
      </c>
      <c r="E26" s="65">
        <v>40.297826530423379</v>
      </c>
      <c r="F26" s="65">
        <v>36.208913314050861</v>
      </c>
      <c r="G26" s="65">
        <v>45.732277092579238</v>
      </c>
      <c r="H26" s="65">
        <v>48.807995215186281</v>
      </c>
      <c r="I26" s="65">
        <v>47.504468938032623</v>
      </c>
      <c r="J26" s="65">
        <v>47.696379404879941</v>
      </c>
      <c r="K26" s="65">
        <v>49.304736027869559</v>
      </c>
      <c r="L26" s="65">
        <v>50.058145350208832</v>
      </c>
      <c r="M26" s="65">
        <v>50.228789363282168</v>
      </c>
      <c r="N26" s="65">
        <v>45.162737537705844</v>
      </c>
      <c r="O26" s="65">
        <v>45.745409240757716</v>
      </c>
      <c r="P26" s="65">
        <v>45.025048721575999</v>
      </c>
      <c r="Q26" s="65">
        <v>48.852525404601813</v>
      </c>
      <c r="R26" s="65">
        <v>46.23014109258056</v>
      </c>
      <c r="S26" s="65">
        <v>51.650055488371265</v>
      </c>
      <c r="T26" s="65">
        <v>57.729268439059936</v>
      </c>
      <c r="U26" s="65">
        <v>61.977787466068754</v>
      </c>
      <c r="V26" s="65">
        <v>69.147779741530471</v>
      </c>
      <c r="W26" s="65">
        <v>65.507142780573972</v>
      </c>
      <c r="X26" s="65">
        <v>67.119889252065448</v>
      </c>
      <c r="Y26" s="65">
        <v>68.36571687497765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2.3903697334479789E-2</v>
      </c>
      <c r="H27" s="145">
        <v>2.3903697334479789E-2</v>
      </c>
      <c r="I27" s="145">
        <v>2.3903697334479782E-2</v>
      </c>
      <c r="J27" s="145">
        <v>2.3903697334479786E-2</v>
      </c>
      <c r="K27" s="145">
        <v>2.3903697334479789E-2</v>
      </c>
      <c r="L27" s="145">
        <v>0.45382631126397244</v>
      </c>
      <c r="M27" s="145">
        <v>0.5493551160791057</v>
      </c>
      <c r="N27" s="145">
        <v>0.5493551160791057</v>
      </c>
      <c r="O27" s="145">
        <v>0.28658641444539973</v>
      </c>
      <c r="P27" s="145">
        <v>1.146431642304385</v>
      </c>
      <c r="Q27" s="145">
        <v>0.81203783319002565</v>
      </c>
      <c r="R27" s="145">
        <v>0.85984522785898565</v>
      </c>
      <c r="S27" s="145">
        <v>0.64488392089423896</v>
      </c>
      <c r="T27" s="145">
        <v>0.69269131556319863</v>
      </c>
      <c r="U27" s="145">
        <v>0.71650902837489261</v>
      </c>
      <c r="V27" s="145">
        <v>0.740412725709372</v>
      </c>
      <c r="W27" s="145">
        <v>0.76431642304385172</v>
      </c>
      <c r="X27" s="145">
        <v>0.90765262252794487</v>
      </c>
      <c r="Y27" s="145">
        <v>1.9107480653482369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62.833088860432021</v>
      </c>
      <c r="C29" s="130">
        <f t="shared" si="12"/>
        <v>64.461563990613456</v>
      </c>
      <c r="D29" s="130">
        <f t="shared" si="12"/>
        <v>69.416706545302802</v>
      </c>
      <c r="E29" s="130">
        <f t="shared" si="12"/>
        <v>72.290983191252167</v>
      </c>
      <c r="F29" s="130">
        <f t="shared" si="12"/>
        <v>75.146497753238123</v>
      </c>
      <c r="G29" s="130">
        <f t="shared" si="12"/>
        <v>79.991514977093999</v>
      </c>
      <c r="H29" s="130">
        <f t="shared" si="12"/>
        <v>83.079108510284684</v>
      </c>
      <c r="I29" s="130">
        <f t="shared" si="12"/>
        <v>85.087036457671928</v>
      </c>
      <c r="J29" s="130">
        <f t="shared" si="12"/>
        <v>85.970346384117249</v>
      </c>
      <c r="K29" s="130">
        <f t="shared" si="12"/>
        <v>88.093012087609424</v>
      </c>
      <c r="L29" s="130">
        <f t="shared" si="12"/>
        <v>88.539363550620664</v>
      </c>
      <c r="M29" s="130">
        <f t="shared" si="12"/>
        <v>88.36193496059596</v>
      </c>
      <c r="N29" s="130">
        <f t="shared" si="12"/>
        <v>89.13535716980229</v>
      </c>
      <c r="O29" s="130">
        <f t="shared" si="12"/>
        <v>89.911261876251658</v>
      </c>
      <c r="P29" s="130">
        <f t="shared" si="12"/>
        <v>89.575709881966503</v>
      </c>
      <c r="Q29" s="130">
        <f t="shared" si="12"/>
        <v>90.929732681681429</v>
      </c>
      <c r="R29" s="130">
        <f t="shared" ref="R29:W29" si="13">SUM(R30:R33)</f>
        <v>91.083823387684077</v>
      </c>
      <c r="S29" s="130">
        <f t="shared" si="13"/>
        <v>91.779153748177407</v>
      </c>
      <c r="T29" s="130">
        <f t="shared" si="13"/>
        <v>91.796788261314859</v>
      </c>
      <c r="U29" s="130">
        <f t="shared" si="13"/>
        <v>90.999758878671329</v>
      </c>
      <c r="V29" s="130">
        <f t="shared" si="13"/>
        <v>83.893823123382958</v>
      </c>
      <c r="W29" s="130">
        <f t="shared" si="13"/>
        <v>94.571855401779288</v>
      </c>
      <c r="X29" s="130">
        <f t="shared" ref="X29:Y29" si="14">SUM(X30:X33)</f>
        <v>94.352497630264651</v>
      </c>
      <c r="Y29" s="130">
        <f t="shared" si="14"/>
        <v>94.513844510279256</v>
      </c>
      <c r="DA29" s="155" t="s">
        <v>326</v>
      </c>
    </row>
    <row r="30" spans="1:105" ht="12" customHeight="1" x14ac:dyDescent="0.25">
      <c r="A30" s="131" t="s">
        <v>52</v>
      </c>
      <c r="B30" s="132">
        <v>4.105374744745923</v>
      </c>
      <c r="C30" s="132">
        <v>10.997435379744418</v>
      </c>
      <c r="D30" s="132">
        <v>23.415101545174867</v>
      </c>
      <c r="E30" s="132">
        <v>25.499301744722565</v>
      </c>
      <c r="F30" s="132">
        <v>28.272550213073288</v>
      </c>
      <c r="G30" s="132">
        <v>20.004572599233629</v>
      </c>
      <c r="H30" s="132">
        <v>17.251025905371975</v>
      </c>
      <c r="I30" s="132">
        <v>5.520846789933767</v>
      </c>
      <c r="J30" s="132">
        <v>1.380238701684054</v>
      </c>
      <c r="K30" s="132">
        <v>6.9086698333330308</v>
      </c>
      <c r="L30" s="132">
        <v>12.451257447136754</v>
      </c>
      <c r="M30" s="132">
        <v>1.3834959545435968</v>
      </c>
      <c r="N30" s="132">
        <v>7.6118501261548763</v>
      </c>
      <c r="O30" s="132">
        <v>6.9252961470277912</v>
      </c>
      <c r="P30" s="132">
        <v>6.2369430238410315</v>
      </c>
      <c r="Q30" s="132">
        <v>4.8519114778850971</v>
      </c>
      <c r="R30" s="132">
        <v>4.1593772805347449</v>
      </c>
      <c r="S30" s="132">
        <v>2.0796615140117432</v>
      </c>
      <c r="T30" s="132">
        <v>2.7729001028527445</v>
      </c>
      <c r="U30" s="132">
        <v>2.0796705623587717</v>
      </c>
      <c r="V30" s="132">
        <v>1.386517885440316</v>
      </c>
      <c r="W30" s="132">
        <v>1.3886625307275651</v>
      </c>
      <c r="X30" s="132">
        <v>2.7876009640431687</v>
      </c>
      <c r="Y30" s="132">
        <v>1.3944046933772656</v>
      </c>
      <c r="DA30" s="156" t="s">
        <v>327</v>
      </c>
    </row>
    <row r="31" spans="1:105" ht="12" customHeight="1" x14ac:dyDescent="0.25">
      <c r="A31" s="131" t="s">
        <v>149</v>
      </c>
      <c r="B31" s="132">
        <v>31.390143093903873</v>
      </c>
      <c r="C31" s="132">
        <v>30.471557149855027</v>
      </c>
      <c r="D31" s="132">
        <v>29.436224504294344</v>
      </c>
      <c r="E31" s="132">
        <v>27.066411361663114</v>
      </c>
      <c r="F31" s="132">
        <v>21.63237384095904</v>
      </c>
      <c r="G31" s="132">
        <v>29.205743174122006</v>
      </c>
      <c r="H31" s="132">
        <v>31.89476355846908</v>
      </c>
      <c r="I31" s="132">
        <v>34.234180322182056</v>
      </c>
      <c r="J31" s="132">
        <v>34.286614526395965</v>
      </c>
      <c r="K31" s="132">
        <v>33.118593288653884</v>
      </c>
      <c r="L31" s="132">
        <v>31.904276325042485</v>
      </c>
      <c r="M31" s="132">
        <v>28.440695037894862</v>
      </c>
      <c r="N31" s="132">
        <v>31.810272458118103</v>
      </c>
      <c r="O31" s="132">
        <v>38.044936415484479</v>
      </c>
      <c r="P31" s="132">
        <v>40.003854254230014</v>
      </c>
      <c r="Q31" s="132">
        <v>44.5309847912769</v>
      </c>
      <c r="R31" s="132">
        <v>44.084568040363521</v>
      </c>
      <c r="S31" s="132">
        <v>40.686538144315023</v>
      </c>
      <c r="T31" s="132">
        <v>35.953009886451767</v>
      </c>
      <c r="U31" s="132">
        <v>30.030287913025038</v>
      </c>
      <c r="V31" s="132">
        <v>27.157425287408334</v>
      </c>
      <c r="W31" s="132">
        <v>43.109612497493863</v>
      </c>
      <c r="X31" s="132">
        <v>41.692353925819795</v>
      </c>
      <c r="Y31" s="132">
        <v>38.951745646538335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27.337571021782225</v>
      </c>
      <c r="C33" s="68">
        <v>22.992571461014013</v>
      </c>
      <c r="D33" s="68">
        <v>16.565380495833594</v>
      </c>
      <c r="E33" s="68">
        <v>19.725270084866491</v>
      </c>
      <c r="F33" s="68">
        <v>25.241573699205787</v>
      </c>
      <c r="G33" s="68">
        <v>30.78119920373836</v>
      </c>
      <c r="H33" s="68">
        <v>33.933319046443629</v>
      </c>
      <c r="I33" s="68">
        <v>45.332009345556109</v>
      </c>
      <c r="J33" s="68">
        <v>50.303493156037234</v>
      </c>
      <c r="K33" s="68">
        <v>48.065748965622518</v>
      </c>
      <c r="L33" s="68">
        <v>44.183829778441414</v>
      </c>
      <c r="M33" s="68">
        <v>58.537743968157493</v>
      </c>
      <c r="N33" s="68">
        <v>49.713234585529307</v>
      </c>
      <c r="O33" s="68">
        <v>44.941029313739385</v>
      </c>
      <c r="P33" s="68">
        <v>43.334912603895468</v>
      </c>
      <c r="Q33" s="68">
        <v>41.546836412519426</v>
      </c>
      <c r="R33" s="68">
        <v>42.839878066785822</v>
      </c>
      <c r="S33" s="68">
        <v>49.012954089850645</v>
      </c>
      <c r="T33" s="68">
        <v>53.070878272010347</v>
      </c>
      <c r="U33" s="68">
        <v>58.889800403287516</v>
      </c>
      <c r="V33" s="68">
        <v>55.349879950534302</v>
      </c>
      <c r="W33" s="68">
        <v>50.073580373557853</v>
      </c>
      <c r="X33" s="68">
        <v>49.872542740401684</v>
      </c>
      <c r="Y33" s="68">
        <v>54.167694170363653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0.5445798931853395</v>
      </c>
      <c r="C3" s="126">
        <f>IF(SER_hh_tes!C3=0,"",SER_hh_tes!C3/SER_hh_fec!C3)</f>
        <v>0.58522884757887594</v>
      </c>
      <c r="D3" s="126">
        <f>IF(SER_hh_tes!D3=0,"",SER_hh_tes!D3/SER_hh_fec!D3)</f>
        <v>0.61361387427627101</v>
      </c>
      <c r="E3" s="126">
        <f>IF(SER_hh_tes!E3=0,"",SER_hh_tes!E3/SER_hh_fec!E3)</f>
        <v>0.61995458213786192</v>
      </c>
      <c r="F3" s="126">
        <f>IF(SER_hh_tes!F3=0,"",SER_hh_tes!F3/SER_hh_fec!F3)</f>
        <v>0.64513587220204816</v>
      </c>
      <c r="G3" s="126">
        <f>IF(SER_hh_tes!G3=0,"",SER_hh_tes!G3/SER_hh_fec!G3)</f>
        <v>0.59955416343127454</v>
      </c>
      <c r="H3" s="126">
        <f>IF(SER_hh_tes!H3=0,"",SER_hh_tes!H3/SER_hh_fec!H3)</f>
        <v>0.59954376876747739</v>
      </c>
      <c r="I3" s="126">
        <f>IF(SER_hh_tes!I3=0,"",SER_hh_tes!I3/SER_hh_fec!I3)</f>
        <v>0.61224790096548731</v>
      </c>
      <c r="J3" s="126">
        <f>IF(SER_hh_tes!J3=0,"",SER_hh_tes!J3/SER_hh_fec!J3)</f>
        <v>0.61657829461941327</v>
      </c>
      <c r="K3" s="126">
        <f>IF(SER_hh_tes!K3=0,"",SER_hh_tes!K3/SER_hh_fec!K3)</f>
        <v>0.6407101502601007</v>
      </c>
      <c r="L3" s="126">
        <f>IF(SER_hh_tes!L3=0,"",SER_hh_tes!L3/SER_hh_fec!L3)</f>
        <v>0.63876439707707611</v>
      </c>
      <c r="M3" s="126">
        <f>IF(SER_hh_tes!M3=0,"",SER_hh_tes!M3/SER_hh_fec!M3)</f>
        <v>0.67918482056856966</v>
      </c>
      <c r="N3" s="126">
        <f>IF(SER_hh_tes!N3=0,"",SER_hh_tes!N3/SER_hh_fec!N3)</f>
        <v>0.65848490259056813</v>
      </c>
      <c r="O3" s="126">
        <f>IF(SER_hh_tes!O3=0,"",SER_hh_tes!O3/SER_hh_fec!O3)</f>
        <v>0.66043962682594204</v>
      </c>
      <c r="P3" s="126">
        <f>IF(SER_hh_tes!P3=0,"",SER_hh_tes!P3/SER_hh_fec!P3)</f>
        <v>0.673039808345956</v>
      </c>
      <c r="Q3" s="126">
        <f>IF(SER_hh_tes!Q3=0,"",SER_hh_tes!Q3/SER_hh_fec!Q3)</f>
        <v>0.68283038482922442</v>
      </c>
      <c r="R3" s="126">
        <f>IF(SER_hh_tes!R3=0,"",SER_hh_tes!R3/SER_hh_fec!R3)</f>
        <v>0.70001570562817772</v>
      </c>
      <c r="S3" s="126">
        <f>IF(SER_hh_tes!S3=0,"",SER_hh_tes!S3/SER_hh_fec!S3)</f>
        <v>0.70535317238761941</v>
      </c>
      <c r="T3" s="126">
        <f>IF(SER_hh_tes!T3=0,"",SER_hh_tes!T3/SER_hh_fec!T3)</f>
        <v>0.71950447793696348</v>
      </c>
      <c r="U3" s="126">
        <f>IF(SER_hh_tes!U3=0,"",SER_hh_tes!U3/SER_hh_fec!U3)</f>
        <v>0.73351759614509193</v>
      </c>
      <c r="V3" s="126">
        <f>IF(SER_hh_tes!V3=0,"",SER_hh_tes!V3/SER_hh_fec!V3)</f>
        <v>0.7583874496911861</v>
      </c>
      <c r="W3" s="126">
        <f>IF(SER_hh_tes!W3=0,"",SER_hh_tes!W3/SER_hh_fec!W3)</f>
        <v>0.75797296346471965</v>
      </c>
      <c r="X3" s="126">
        <f>IF(SER_hh_tes!X3=0,"",SER_hh_tes!X3/SER_hh_fec!X3)</f>
        <v>0.78615228169545426</v>
      </c>
      <c r="Y3" s="126">
        <f>IF(SER_hh_tes!Y3=0,"",SER_hh_tes!Y3/SER_hh_fec!Y3)</f>
        <v>0.80823521401604304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0.52947059993169843</v>
      </c>
      <c r="C4" s="135">
        <f>IF(SER_hh_tes!C4=0,"",SER_hh_tes!C4/SER_hh_fec!C4)</f>
        <v>0.57099245432957957</v>
      </c>
      <c r="D4" s="135">
        <f>IF(SER_hh_tes!D4=0,"",SER_hh_tes!D4/SER_hh_fec!D4)</f>
        <v>0.60193695035515449</v>
      </c>
      <c r="E4" s="135">
        <f>IF(SER_hh_tes!E4=0,"",SER_hh_tes!E4/SER_hh_fec!E4)</f>
        <v>0.60364141600602028</v>
      </c>
      <c r="F4" s="135">
        <f>IF(SER_hh_tes!F4=0,"",SER_hh_tes!F4/SER_hh_fec!F4)</f>
        <v>0.63357733586215681</v>
      </c>
      <c r="G4" s="135">
        <f>IF(SER_hh_tes!G4=0,"",SER_hh_tes!G4/SER_hh_fec!G4)</f>
        <v>0.58124273100455282</v>
      </c>
      <c r="H4" s="135">
        <f>IF(SER_hh_tes!H4=0,"",SER_hh_tes!H4/SER_hh_fec!H4)</f>
        <v>0.5808595705616183</v>
      </c>
      <c r="I4" s="135">
        <f>IF(SER_hh_tes!I4=0,"",SER_hh_tes!I4/SER_hh_fec!I4)</f>
        <v>0.59196155454737809</v>
      </c>
      <c r="J4" s="135">
        <f>IF(SER_hh_tes!J4=0,"",SER_hh_tes!J4/SER_hh_fec!J4)</f>
        <v>0.59625206627381244</v>
      </c>
      <c r="K4" s="135">
        <f>IF(SER_hh_tes!K4=0,"",SER_hh_tes!K4/SER_hh_fec!K4)</f>
        <v>0.62404339719484025</v>
      </c>
      <c r="L4" s="135">
        <f>IF(SER_hh_tes!L4=0,"",SER_hh_tes!L4/SER_hh_fec!L4)</f>
        <v>0.6227549968629319</v>
      </c>
      <c r="M4" s="135">
        <f>IF(SER_hh_tes!M4=0,"",SER_hh_tes!M4/SER_hh_fec!M4)</f>
        <v>0.66132886327460239</v>
      </c>
      <c r="N4" s="135">
        <f>IF(SER_hh_tes!N4=0,"",SER_hh_tes!N4/SER_hh_fec!N4)</f>
        <v>0.63164421673071469</v>
      </c>
      <c r="O4" s="135">
        <f>IF(SER_hh_tes!O4=0,"",SER_hh_tes!O4/SER_hh_fec!O4)</f>
        <v>0.64040844469368652</v>
      </c>
      <c r="P4" s="135">
        <f>IF(SER_hh_tes!P4=0,"",SER_hh_tes!P4/SER_hh_fec!P4)</f>
        <v>0.64466108509787778</v>
      </c>
      <c r="Q4" s="135">
        <f>IF(SER_hh_tes!Q4=0,"",SER_hh_tes!Q4/SER_hh_fec!Q4)</f>
        <v>0.6553036238356279</v>
      </c>
      <c r="R4" s="135">
        <f>IF(SER_hh_tes!R4=0,"",SER_hh_tes!R4/SER_hh_fec!R4)</f>
        <v>0.67751513088689241</v>
      </c>
      <c r="S4" s="135">
        <f>IF(SER_hh_tes!S4=0,"",SER_hh_tes!S4/SER_hh_fec!S4)</f>
        <v>0.68077292251687271</v>
      </c>
      <c r="T4" s="135">
        <f>IF(SER_hh_tes!T4=0,"",SER_hh_tes!T4/SER_hh_fec!T4)</f>
        <v>0.6906579999510104</v>
      </c>
      <c r="U4" s="135">
        <f>IF(SER_hh_tes!U4=0,"",SER_hh_tes!U4/SER_hh_fec!U4)</f>
        <v>0.69760967740354263</v>
      </c>
      <c r="V4" s="135">
        <f>IF(SER_hh_tes!V4=0,"",SER_hh_tes!V4/SER_hh_fec!V4)</f>
        <v>0.72390473064789684</v>
      </c>
      <c r="W4" s="135">
        <f>IF(SER_hh_tes!W4=0,"",SER_hh_tes!W4/SER_hh_fec!W4)</f>
        <v>0.73443488106085708</v>
      </c>
      <c r="X4" s="135">
        <f>IF(SER_hh_tes!X4=0,"",SER_hh_tes!X4/SER_hh_fec!X4)</f>
        <v>0.76353861018008684</v>
      </c>
      <c r="Y4" s="135">
        <f>IF(SER_hh_tes!Y4=0,"",SER_hh_tes!Y4/SER_hh_fec!Y4)</f>
        <v>0.78423532989067857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0.51546108683366609</v>
      </c>
      <c r="C5" s="136">
        <f>IF(SER_hh_tes!C5=0,"",SER_hh_tes!C5/SER_hh_fec!C5)</f>
        <v>0.51806441874609044</v>
      </c>
      <c r="D5" s="136">
        <f>IF(SER_hh_tes!D5=0,"",SER_hh_tes!D5/SER_hh_fec!D5)</f>
        <v>0.52013944806766921</v>
      </c>
      <c r="E5" s="136">
        <f>IF(SER_hh_tes!E5=0,"",SER_hh_tes!E5/SER_hh_fec!E5)</f>
        <v>0.52057898655694568</v>
      </c>
      <c r="F5" s="136">
        <f>IF(SER_hh_tes!F5=0,"",SER_hh_tes!F5/SER_hh_fec!F5)</f>
        <v>0.52057898655694568</v>
      </c>
      <c r="G5" s="136">
        <f>IF(SER_hh_tes!G5=0,"",SER_hh_tes!G5/SER_hh_fec!G5)</f>
        <v>0.52120731767814055</v>
      </c>
      <c r="H5" s="136">
        <f>IF(SER_hh_tes!H5=0,"",SER_hh_tes!H5/SER_hh_fec!H5)</f>
        <v>0.53700284917760222</v>
      </c>
      <c r="I5" s="136">
        <f>IF(SER_hh_tes!I5=0,"",SER_hh_tes!I5/SER_hh_fec!I5)</f>
        <v>0.57791626831704568</v>
      </c>
      <c r="J5" s="136">
        <f>IF(SER_hh_tes!J5=0,"",SER_hh_tes!J5/SER_hh_fec!J5)</f>
        <v>0.59965771138931379</v>
      </c>
      <c r="K5" s="136">
        <f>IF(SER_hh_tes!K5=0,"",SER_hh_tes!K5/SER_hh_fec!K5)</f>
        <v>0.61146081069365288</v>
      </c>
      <c r="L5" s="136">
        <f>IF(SER_hh_tes!L5=0,"",SER_hh_tes!L5/SER_hh_fec!L5)</f>
        <v>0.61742697743582342</v>
      </c>
      <c r="M5" s="136">
        <f>IF(SER_hh_tes!M5=0,"",SER_hh_tes!M5/SER_hh_fec!M5)</f>
        <v>0.62211036524309049</v>
      </c>
      <c r="N5" s="136">
        <f>IF(SER_hh_tes!N5=0,"",SER_hh_tes!N5/SER_hh_fec!N5)</f>
        <v>0.62693906772531982</v>
      </c>
      <c r="O5" s="136">
        <f>IF(SER_hh_tes!O5=0,"",SER_hh_tes!O5/SER_hh_fec!O5)</f>
        <v>0.63112666954282304</v>
      </c>
      <c r="P5" s="136">
        <f>IF(SER_hh_tes!P5=0,"",SER_hh_tes!P5/SER_hh_fec!P5)</f>
        <v>0.63116856023227663</v>
      </c>
      <c r="Q5" s="136">
        <f>IF(SER_hh_tes!Q5=0,"",SER_hh_tes!Q5/SER_hh_fec!Q5)</f>
        <v>0.631307695818488</v>
      </c>
      <c r="R5" s="136">
        <f>IF(SER_hh_tes!R5=0,"",SER_hh_tes!R5/SER_hh_fec!R5)</f>
        <v>0.63157482601627246</v>
      </c>
      <c r="S5" s="136">
        <f>IF(SER_hh_tes!S5=0,"",SER_hh_tes!S5/SER_hh_fec!S5)</f>
        <v>0.63290146757297316</v>
      </c>
      <c r="T5" s="136">
        <f>IF(SER_hh_tes!T5=0,"",SER_hh_tes!T5/SER_hh_fec!T5)</f>
        <v>0.6384862777829613</v>
      </c>
      <c r="U5" s="136">
        <f>IF(SER_hh_tes!U5=0,"",SER_hh_tes!U5/SER_hh_fec!U5)</f>
        <v>0.6395678796390406</v>
      </c>
      <c r="V5" s="136">
        <f>IF(SER_hh_tes!V5=0,"",SER_hh_tes!V5/SER_hh_fec!V5)</f>
        <v>0.63996229490092293</v>
      </c>
      <c r="W5" s="136">
        <f>IF(SER_hh_tes!W5=0,"",SER_hh_tes!W5/SER_hh_fec!W5)</f>
        <v>0.6412634782405503</v>
      </c>
      <c r="X5" s="136">
        <f>IF(SER_hh_tes!X5=0,"",SER_hh_tes!X5/SER_hh_fec!X5)</f>
        <v>0.64418725558378609</v>
      </c>
      <c r="Y5" s="136">
        <f>IF(SER_hh_tes!Y5=0,"",SER_hh_tes!Y5/SER_hh_fec!Y5)</f>
        <v>0.66586751747857842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0.44246639254941272</v>
      </c>
      <c r="C7" s="136">
        <f>IF(SER_hh_tes!C7=0,"",SER_hh_tes!C7/SER_hh_fec!C7)</f>
        <v>0.4432920076743242</v>
      </c>
      <c r="D7" s="136">
        <f>IF(SER_hh_tes!D7=0,"",SER_hh_tes!D7/SER_hh_fec!D7)</f>
        <v>0.44336692409432132</v>
      </c>
      <c r="E7" s="136">
        <f>IF(SER_hh_tes!E7=0,"",SER_hh_tes!E7/SER_hh_fec!E7)</f>
        <v>0.44457430836067929</v>
      </c>
      <c r="F7" s="136">
        <f>IF(SER_hh_tes!F7=0,"",SER_hh_tes!F7/SER_hh_fec!F7)</f>
        <v>0.4490286654309264</v>
      </c>
      <c r="G7" s="136">
        <f>IF(SER_hh_tes!G7=0,"",SER_hh_tes!G7/SER_hh_fec!G7)</f>
        <v>0.45168124376830937</v>
      </c>
      <c r="H7" s="136">
        <f>IF(SER_hh_tes!H7=0,"",SER_hh_tes!H7/SER_hh_fec!H7)</f>
        <v>0.45281086143492272</v>
      </c>
      <c r="I7" s="136">
        <f>IF(SER_hh_tes!I7=0,"",SER_hh_tes!I7/SER_hh_fec!I7)</f>
        <v>0.45281086143492255</v>
      </c>
      <c r="J7" s="136">
        <f>IF(SER_hh_tes!J7=0,"",SER_hh_tes!J7/SER_hh_fec!J7)</f>
        <v>0.45281086143492261</v>
      </c>
      <c r="K7" s="136">
        <f>IF(SER_hh_tes!K7=0,"",SER_hh_tes!K7/SER_hh_fec!K7)</f>
        <v>0.45281086143492222</v>
      </c>
      <c r="L7" s="136" t="str">
        <f>IF(SER_hh_tes!L7=0,"",SER_hh_tes!L7/SER_hh_fec!L7)</f>
        <v/>
      </c>
      <c r="M7" s="136" t="str">
        <f>IF(SER_hh_tes!M7=0,"",SER_hh_tes!M7/SER_hh_fec!M7)</f>
        <v/>
      </c>
      <c r="N7" s="136" t="str">
        <f>IF(SER_hh_tes!N7=0,"",SER_hh_tes!N7/SER_hh_fec!N7)</f>
        <v/>
      </c>
      <c r="O7" s="136">
        <f>IF(SER_hh_tes!O7=0,"",SER_hh_tes!O7/SER_hh_fec!O7)</f>
        <v>0.65632351546131329</v>
      </c>
      <c r="P7" s="136">
        <f>IF(SER_hh_tes!P7=0,"",SER_hh_tes!P7/SER_hh_fec!P7)</f>
        <v>0.67899339073245268</v>
      </c>
      <c r="Q7" s="136">
        <f>IF(SER_hh_tes!Q7=0,"",SER_hh_tes!Q7/SER_hh_fec!Q7)</f>
        <v>0.68819354025395285</v>
      </c>
      <c r="R7" s="136">
        <f>IF(SER_hh_tes!R7=0,"",SER_hh_tes!R7/SER_hh_fec!R7)</f>
        <v>0.68824730600914485</v>
      </c>
      <c r="S7" s="136">
        <f>IF(SER_hh_tes!S7=0,"",SER_hh_tes!S7/SER_hh_fec!S7)</f>
        <v>0.68831475035853906</v>
      </c>
      <c r="T7" s="136">
        <f>IF(SER_hh_tes!T7=0,"",SER_hh_tes!T7/SER_hh_fec!T7)</f>
        <v>0.68831475035853884</v>
      </c>
      <c r="U7" s="136">
        <f>IF(SER_hh_tes!U7=0,"",SER_hh_tes!U7/SER_hh_fec!U7)</f>
        <v>0.6883147503585384</v>
      </c>
      <c r="V7" s="136">
        <f>IF(SER_hh_tes!V7=0,"",SER_hh_tes!V7/SER_hh_fec!V7)</f>
        <v>0.68831475035853806</v>
      </c>
      <c r="W7" s="136">
        <f>IF(SER_hh_tes!W7=0,"",SER_hh_tes!W7/SER_hh_fec!W7)</f>
        <v>0.68831475035853862</v>
      </c>
      <c r="X7" s="136">
        <f>IF(SER_hh_tes!X7=0,"",SER_hh_tes!X7/SER_hh_fec!X7)</f>
        <v>0.68831475035853862</v>
      </c>
      <c r="Y7" s="136">
        <f>IF(SER_hh_tes!Y7=0,"",SER_hh_tes!Y7/SER_hh_fec!Y7)</f>
        <v>0.6883147503585384</v>
      </c>
      <c r="DA7" s="163" t="s">
        <v>334</v>
      </c>
    </row>
    <row r="8" spans="1:105" ht="12" customHeight="1" x14ac:dyDescent="0.25">
      <c r="A8" s="131" t="s">
        <v>73</v>
      </c>
      <c r="B8" s="136">
        <f>IF(SER_hh_tes!B8=0,"",SER_hh_tes!B8/SER_hh_fec!B8)</f>
        <v>1.0089930919547061</v>
      </c>
      <c r="C8" s="136">
        <f>IF(SER_hh_tes!C8=0,"",SER_hh_tes!C8/SER_hh_fec!C8)</f>
        <v>1.0784870749673394</v>
      </c>
      <c r="D8" s="136">
        <f>IF(SER_hh_tes!D8=0,"",SER_hh_tes!D8/SER_hh_fec!D8)</f>
        <v>1.1709778434277591</v>
      </c>
      <c r="E8" s="136">
        <f>IF(SER_hh_tes!E8=0,"",SER_hh_tes!E8/SER_hh_fec!E8)</f>
        <v>1.2290927628012749</v>
      </c>
      <c r="F8" s="136">
        <f>IF(SER_hh_tes!F8=0,"",SER_hh_tes!F8/SER_hh_fec!F8)</f>
        <v>1.2642842113938102</v>
      </c>
      <c r="G8" s="136">
        <f>IF(SER_hh_tes!G8=0,"",SER_hh_tes!G8/SER_hh_fec!G8)</f>
        <v>1.2903695098324446</v>
      </c>
      <c r="H8" s="136">
        <f>IF(SER_hh_tes!H8=0,"",SER_hh_tes!H8/SER_hh_fec!H8)</f>
        <v>1.3139672544446088</v>
      </c>
      <c r="I8" s="136">
        <f>IF(SER_hh_tes!I8=0,"",SER_hh_tes!I8/SER_hh_fec!I8)</f>
        <v>1.3401330845213293</v>
      </c>
      <c r="J8" s="136">
        <f>IF(SER_hh_tes!J8=0,"",SER_hh_tes!J8/SER_hh_fec!J8)</f>
        <v>1.3696899743026518</v>
      </c>
      <c r="K8" s="136">
        <f>IF(SER_hh_tes!K8=0,"",SER_hh_tes!K8/SER_hh_fec!K8)</f>
        <v>1.4359345597300721</v>
      </c>
      <c r="L8" s="136">
        <f>IF(SER_hh_tes!L8=0,"",SER_hh_tes!L8/SER_hh_fec!L8)</f>
        <v>1.5337999760299996</v>
      </c>
      <c r="M8" s="136">
        <f>IF(SER_hh_tes!M8=0,"",SER_hh_tes!M8/SER_hh_fec!M8)</f>
        <v>1.6598373057065081</v>
      </c>
      <c r="N8" s="136">
        <f>IF(SER_hh_tes!N8=0,"",SER_hh_tes!N8/SER_hh_fec!N8)</f>
        <v>1.7893605287179284</v>
      </c>
      <c r="O8" s="136">
        <f>IF(SER_hh_tes!O8=0,"",SER_hh_tes!O8/SER_hh_fec!O8)</f>
        <v>1.9078081551918027</v>
      </c>
      <c r="P8" s="136">
        <f>IF(SER_hh_tes!P8=0,"",SER_hh_tes!P8/SER_hh_fec!P8)</f>
        <v>2.0204278113196121</v>
      </c>
      <c r="Q8" s="136">
        <f>IF(SER_hh_tes!Q8=0,"",SER_hh_tes!Q8/SER_hh_fec!Q8)</f>
        <v>2.080432118578686</v>
      </c>
      <c r="R8" s="136">
        <f>IF(SER_hh_tes!R8=0,"",SER_hh_tes!R8/SER_hh_fec!R8)</f>
        <v>2.1088317389445184</v>
      </c>
      <c r="S8" s="136">
        <f>IF(SER_hh_tes!S8=0,"",SER_hh_tes!S8/SER_hh_fec!S8)</f>
        <v>2.1430095836925189</v>
      </c>
      <c r="T8" s="136">
        <f>IF(SER_hh_tes!T8=0,"",SER_hh_tes!T8/SER_hh_fec!T8)</f>
        <v>2.1981507850203577</v>
      </c>
      <c r="U8" s="136">
        <f>IF(SER_hh_tes!U8=0,"",SER_hh_tes!U8/SER_hh_fec!U8)</f>
        <v>2.2687374950452726</v>
      </c>
      <c r="V8" s="136">
        <f>IF(SER_hh_tes!V8=0,"",SER_hh_tes!V8/SER_hh_fec!V8)</f>
        <v>2.3507603534274479</v>
      </c>
      <c r="W8" s="136">
        <f>IF(SER_hh_tes!W8=0,"",SER_hh_tes!W8/SER_hh_fec!W8)</f>
        <v>2.4096539200025715</v>
      </c>
      <c r="X8" s="136">
        <f>IF(SER_hh_tes!X8=0,"",SER_hh_tes!X8/SER_hh_fec!X8)</f>
        <v>2.4800210961677531</v>
      </c>
      <c r="Y8" s="136">
        <f>IF(SER_hh_tes!Y8=0,"",SER_hh_tes!Y8/SER_hh_fec!Y8)</f>
        <v>2.5594123233622881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0.47825944773656826</v>
      </c>
      <c r="C9" s="136">
        <f>IF(SER_hh_tes!C9=0,"",SER_hh_tes!C9/SER_hh_fec!C9)</f>
        <v>0.47825944773656826</v>
      </c>
      <c r="D9" s="136">
        <f>IF(SER_hh_tes!D9=0,"",SER_hh_tes!D9/SER_hh_fec!D9)</f>
        <v>0.4782594477365682</v>
      </c>
      <c r="E9" s="136">
        <f>IF(SER_hh_tes!E9=0,"",SER_hh_tes!E9/SER_hh_fec!E9)</f>
        <v>0.47857652187758698</v>
      </c>
      <c r="F9" s="136">
        <f>IF(SER_hh_tes!F9=0,"",SER_hh_tes!F9/SER_hh_fec!F9)</f>
        <v>0.48433217435503401</v>
      </c>
      <c r="G9" s="136">
        <f>IF(SER_hh_tes!G9=0,"",SER_hh_tes!G9/SER_hh_fec!G9)</f>
        <v>0.50021601639774216</v>
      </c>
      <c r="H9" s="136">
        <f>IF(SER_hh_tes!H9=0,"",SER_hh_tes!H9/SER_hh_fec!H9)</f>
        <v>0.51282642805009526</v>
      </c>
      <c r="I9" s="136">
        <f>IF(SER_hh_tes!I9=0,"",SER_hh_tes!I9/SER_hh_fec!I9)</f>
        <v>0.51972784098372182</v>
      </c>
      <c r="J9" s="136">
        <f>IF(SER_hh_tes!J9=0,"",SER_hh_tes!J9/SER_hh_fec!J9)</f>
        <v>0.52311061552865945</v>
      </c>
      <c r="K9" s="136">
        <f>IF(SER_hh_tes!K9=0,"",SER_hh_tes!K9/SER_hh_fec!K9)</f>
        <v>0.52670994269380367</v>
      </c>
      <c r="L9" s="136">
        <f>IF(SER_hh_tes!L9=0,"",SER_hh_tes!L9/SER_hh_fec!L9)</f>
        <v>0.53018271983168419</v>
      </c>
      <c r="M9" s="136">
        <f>IF(SER_hh_tes!M9=0,"",SER_hh_tes!M9/SER_hh_fec!M9)</f>
        <v>0.53980565684852622</v>
      </c>
      <c r="N9" s="136">
        <f>IF(SER_hh_tes!N9=0,"",SER_hh_tes!N9/SER_hh_fec!N9)</f>
        <v>0.56195212666169314</v>
      </c>
      <c r="O9" s="136">
        <f>IF(SER_hh_tes!O9=0,"",SER_hh_tes!O9/SER_hh_fec!O9)</f>
        <v>0.5748732915096687</v>
      </c>
      <c r="P9" s="136">
        <f>IF(SER_hh_tes!P9=0,"",SER_hh_tes!P9/SER_hh_fec!P9)</f>
        <v>0.57954480151269028</v>
      </c>
      <c r="Q9" s="136">
        <f>IF(SER_hh_tes!Q9=0,"",SER_hh_tes!Q9/SER_hh_fec!Q9)</f>
        <v>0.58386533683237374</v>
      </c>
      <c r="R9" s="136">
        <f>IF(SER_hh_tes!R9=0,"",SER_hh_tes!R9/SER_hh_fec!R9)</f>
        <v>0.59574254215216238</v>
      </c>
      <c r="S9" s="136">
        <f>IF(SER_hh_tes!S9=0,"",SER_hh_tes!S9/SER_hh_fec!S9)</f>
        <v>0.6047971774235158</v>
      </c>
      <c r="T9" s="136">
        <f>IF(SER_hh_tes!T9=0,"",SER_hh_tes!T9/SER_hh_fec!T9)</f>
        <v>0.61687411196295883</v>
      </c>
      <c r="U9" s="136">
        <f>IF(SER_hh_tes!U9=0,"",SER_hh_tes!U9/SER_hh_fec!U9)</f>
        <v>0.63587548923820303</v>
      </c>
      <c r="V9" s="136">
        <f>IF(SER_hh_tes!V9=0,"",SER_hh_tes!V9/SER_hh_fec!V9)</f>
        <v>0.65822062628140654</v>
      </c>
      <c r="W9" s="136">
        <f>IF(SER_hh_tes!W9=0,"",SER_hh_tes!W9/SER_hh_fec!W9)</f>
        <v>0.68524283445987888</v>
      </c>
      <c r="X9" s="136">
        <f>IF(SER_hh_tes!X9=0,"",SER_hh_tes!X9/SER_hh_fec!X9)</f>
        <v>0.70621212648700316</v>
      </c>
      <c r="Y9" s="136">
        <f>IF(SER_hh_tes!Y9=0,"",SER_hh_tes!Y9/SER_hh_fec!Y9)</f>
        <v>0.7174127330768284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0.43604759673669674</v>
      </c>
      <c r="C10" s="136">
        <f>IF(SER_hh_tes!C10=0,"",SER_hh_tes!C10/SER_hh_fec!C10)</f>
        <v>0.4360475967366968</v>
      </c>
      <c r="D10" s="136">
        <f>IF(SER_hh_tes!D10=0,"",SER_hh_tes!D10/SER_hh_fec!D10)</f>
        <v>0.4360475967366968</v>
      </c>
      <c r="E10" s="136">
        <f>IF(SER_hh_tes!E10=0,"",SER_hh_tes!E10/SER_hh_fec!E10)</f>
        <v>0.4360475967366968</v>
      </c>
      <c r="F10" s="136">
        <f>IF(SER_hh_tes!F10=0,"",SER_hh_tes!F10/SER_hh_fec!F10)</f>
        <v>0.4360475967366968</v>
      </c>
      <c r="G10" s="136">
        <f>IF(SER_hh_tes!G10=0,"",SER_hh_tes!G10/SER_hh_fec!G10)</f>
        <v>0.4360475967366968</v>
      </c>
      <c r="H10" s="136">
        <f>IF(SER_hh_tes!H10=0,"",SER_hh_tes!H10/SER_hh_fec!H10)</f>
        <v>0.45911730873678341</v>
      </c>
      <c r="I10" s="136">
        <f>IF(SER_hh_tes!I10=0,"",SER_hh_tes!I10/SER_hh_fec!I10)</f>
        <v>0.49642046076627289</v>
      </c>
      <c r="J10" s="136">
        <f>IF(SER_hh_tes!J10=0,"",SER_hh_tes!J10/SER_hh_fec!J10)</f>
        <v>0.51625439999776079</v>
      </c>
      <c r="K10" s="136">
        <f>IF(SER_hh_tes!K10=0,"",SER_hh_tes!K10/SER_hh_fec!K10)</f>
        <v>0.52128454266178692</v>
      </c>
      <c r="L10" s="136">
        <f>IF(SER_hh_tes!L10=0,"",SER_hh_tes!L10/SER_hh_fec!L10)</f>
        <v>0.52305457458128213</v>
      </c>
      <c r="M10" s="136">
        <f>IF(SER_hh_tes!M10=0,"",SER_hh_tes!M10/SER_hh_fec!M10)</f>
        <v>0.5266555715259883</v>
      </c>
      <c r="N10" s="136">
        <f>IF(SER_hh_tes!N10=0,"",SER_hh_tes!N10/SER_hh_fec!N10)</f>
        <v>0.53186163983233137</v>
      </c>
      <c r="O10" s="136">
        <f>IF(SER_hh_tes!O10=0,"",SER_hh_tes!O10/SER_hh_fec!O10)</f>
        <v>0.53531606933309672</v>
      </c>
      <c r="P10" s="136">
        <f>IF(SER_hh_tes!P10=0,"",SER_hh_tes!P10/SER_hh_fec!P10)</f>
        <v>0.53547339595429067</v>
      </c>
      <c r="Q10" s="136">
        <f>IF(SER_hh_tes!Q10=0,"",SER_hh_tes!Q10/SER_hh_fec!Q10)</f>
        <v>0.53555612064844027</v>
      </c>
      <c r="R10" s="136">
        <f>IF(SER_hh_tes!R10=0,"",SER_hh_tes!R10/SER_hh_fec!R10)</f>
        <v>0.53569320735798187</v>
      </c>
      <c r="S10" s="136">
        <f>IF(SER_hh_tes!S10=0,"",SER_hh_tes!S10/SER_hh_fec!S10)</f>
        <v>0.53592747255340689</v>
      </c>
      <c r="T10" s="136">
        <f>IF(SER_hh_tes!T10=0,"",SER_hh_tes!T10/SER_hh_fec!T10)</f>
        <v>0.53621768322000862</v>
      </c>
      <c r="U10" s="136">
        <f>IF(SER_hh_tes!U10=0,"",SER_hh_tes!U10/SER_hh_fec!U10)</f>
        <v>0.536528110619792</v>
      </c>
      <c r="V10" s="136">
        <f>IF(SER_hh_tes!V10=0,"",SER_hh_tes!V10/SER_hh_fec!V10)</f>
        <v>0.53663258999936048</v>
      </c>
      <c r="W10" s="136">
        <f>IF(SER_hh_tes!W10=0,"",SER_hh_tes!W10/SER_hh_fec!W10)</f>
        <v>0.53677711274843853</v>
      </c>
      <c r="X10" s="136">
        <f>IF(SER_hh_tes!X10=0,"",SER_hh_tes!X10/SER_hh_fec!X10)</f>
        <v>0.5371810333281517</v>
      </c>
      <c r="Y10" s="136">
        <f>IF(SER_hh_tes!Y10=0,"",SER_hh_tes!Y10/SER_hh_fec!Y10)</f>
        <v>0.53778144416828799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>
        <f>IF(SER_hh_tes!C11=0,"",SER_hh_tes!C11/SER_hh_fec!C11)</f>
        <v>0.77113765189697581</v>
      </c>
      <c r="D11" s="136">
        <f>IF(SER_hh_tes!D11=0,"",SER_hh_tes!D11/SER_hh_fec!D11)</f>
        <v>0.7724850006916264</v>
      </c>
      <c r="E11" s="136">
        <f>IF(SER_hh_tes!E11=0,"",SER_hh_tes!E11/SER_hh_fec!E11)</f>
        <v>0.77404631481149855</v>
      </c>
      <c r="F11" s="136">
        <f>IF(SER_hh_tes!F11=0,"",SER_hh_tes!F11/SER_hh_fec!F11)</f>
        <v>0.7745130195278932</v>
      </c>
      <c r="G11" s="136">
        <f>IF(SER_hh_tes!G11=0,"",SER_hh_tes!G11/SER_hh_fec!G11)</f>
        <v>0.77569591501861601</v>
      </c>
      <c r="H11" s="136">
        <f>IF(SER_hh_tes!H11=0,"",SER_hh_tes!H11/SER_hh_fec!H11)</f>
        <v>0.77764349667902355</v>
      </c>
      <c r="I11" s="136">
        <f>IF(SER_hh_tes!I11=0,"",SER_hh_tes!I11/SER_hh_fec!I11)</f>
        <v>0.77930836099309642</v>
      </c>
      <c r="J11" s="136">
        <f>IF(SER_hh_tes!J11=0,"",SER_hh_tes!J11/SER_hh_fec!J11)</f>
        <v>0.78042434110789105</v>
      </c>
      <c r="K11" s="136">
        <f>IF(SER_hh_tes!K11=0,"",SER_hh_tes!K11/SER_hh_fec!K11)</f>
        <v>0.78105015083036755</v>
      </c>
      <c r="L11" s="136">
        <f>IF(SER_hh_tes!L11=0,"",SER_hh_tes!L11/SER_hh_fec!L11)</f>
        <v>0.78229202788962326</v>
      </c>
      <c r="M11" s="136">
        <f>IF(SER_hh_tes!M11=0,"",SER_hh_tes!M11/SER_hh_fec!M11)</f>
        <v>0.78506874045082853</v>
      </c>
      <c r="N11" s="136">
        <f>IF(SER_hh_tes!N11=0,"",SER_hh_tes!N11/SER_hh_fec!N11)</f>
        <v>0.78836229836934713</v>
      </c>
      <c r="O11" s="136">
        <f>IF(SER_hh_tes!O11=0,"",SER_hh_tes!O11/SER_hh_fec!O11)</f>
        <v>0.79236745334044434</v>
      </c>
      <c r="P11" s="136">
        <f>IF(SER_hh_tes!P11=0,"",SER_hh_tes!P11/SER_hh_fec!P11)</f>
        <v>0.79901668499282974</v>
      </c>
      <c r="Q11" s="136">
        <f>IF(SER_hh_tes!Q11=0,"",SER_hh_tes!Q11/SER_hh_fec!Q11)</f>
        <v>0.80547430905520134</v>
      </c>
      <c r="R11" s="136">
        <f>IF(SER_hh_tes!R11=0,"",SER_hh_tes!R11/SER_hh_fec!R11)</f>
        <v>0.81301101551834476</v>
      </c>
      <c r="S11" s="136">
        <f>IF(SER_hh_tes!S11=0,"",SER_hh_tes!S11/SER_hh_fec!S11)</f>
        <v>0.82036039185839782</v>
      </c>
      <c r="T11" s="136">
        <f>IF(SER_hh_tes!T11=0,"",SER_hh_tes!T11/SER_hh_fec!T11)</f>
        <v>0.82338381730779697</v>
      </c>
      <c r="U11" s="136">
        <f>IF(SER_hh_tes!U11=0,"",SER_hh_tes!U11/SER_hh_fec!U11)</f>
        <v>0.82559148344435362</v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0.75755869972388856</v>
      </c>
      <c r="C12" s="136">
        <f>IF(SER_hh_tes!C12=0,"",SER_hh_tes!C12/SER_hh_fec!C12)</f>
        <v>0.76264566625579966</v>
      </c>
      <c r="D12" s="136">
        <f>IF(SER_hh_tes!D12=0,"",SER_hh_tes!D12/SER_hh_fec!D12)</f>
        <v>0.7690333697163001</v>
      </c>
      <c r="E12" s="136">
        <f>IF(SER_hh_tes!E12=0,"",SER_hh_tes!E12/SER_hh_fec!E12)</f>
        <v>0.77290566695802099</v>
      </c>
      <c r="F12" s="136">
        <f>IF(SER_hh_tes!F12=0,"",SER_hh_tes!F12/SER_hh_fec!F12)</f>
        <v>0.77492572199845755</v>
      </c>
      <c r="G12" s="136">
        <f>IF(SER_hh_tes!G12=0,"",SER_hh_tes!G12/SER_hh_fec!G12)</f>
        <v>0.77641519421833127</v>
      </c>
      <c r="H12" s="136">
        <f>IF(SER_hh_tes!H12=0,"",SER_hh_tes!H12/SER_hh_fec!H12)</f>
        <v>0.77725868387105934</v>
      </c>
      <c r="I12" s="136">
        <f>IF(SER_hh_tes!I12=0,"",SER_hh_tes!I12/SER_hh_fec!I12)</f>
        <v>0.7780149758471735</v>
      </c>
      <c r="J12" s="136">
        <f>IF(SER_hh_tes!J12=0,"",SER_hh_tes!J12/SER_hh_fec!J12)</f>
        <v>0.77975247791145974</v>
      </c>
      <c r="K12" s="136">
        <f>IF(SER_hh_tes!K12=0,"",SER_hh_tes!K12/SER_hh_fec!K12)</f>
        <v>0.78321245313699928</v>
      </c>
      <c r="L12" s="136">
        <f>IF(SER_hh_tes!L12=0,"",SER_hh_tes!L12/SER_hh_fec!L12)</f>
        <v>0.78642979779912803</v>
      </c>
      <c r="M12" s="136">
        <f>IF(SER_hh_tes!M12=0,"",SER_hh_tes!M12/SER_hh_fec!M12)</f>
        <v>0.78896739394891136</v>
      </c>
      <c r="N12" s="136">
        <f>IF(SER_hh_tes!N12=0,"",SER_hh_tes!N12/SER_hh_fec!N12)</f>
        <v>0.79088550039121208</v>
      </c>
      <c r="O12" s="136">
        <f>IF(SER_hh_tes!O12=0,"",SER_hh_tes!O12/SER_hh_fec!O12)</f>
        <v>0.79258304928548606</v>
      </c>
      <c r="P12" s="136">
        <f>IF(SER_hh_tes!P12=0,"",SER_hh_tes!P12/SER_hh_fec!P12)</f>
        <v>0.79273437538834701</v>
      </c>
      <c r="Q12" s="136">
        <f>IF(SER_hh_tes!Q12=0,"",SER_hh_tes!Q12/SER_hh_fec!Q12)</f>
        <v>0.79343892282655271</v>
      </c>
      <c r="R12" s="136">
        <f>IF(SER_hh_tes!R12=0,"",SER_hh_tes!R12/SER_hh_fec!R12)</f>
        <v>0.79929663572609</v>
      </c>
      <c r="S12" s="136">
        <f>IF(SER_hh_tes!S12=0,"",SER_hh_tes!S12/SER_hh_fec!S12)</f>
        <v>0.81268650051169744</v>
      </c>
      <c r="T12" s="136">
        <f>IF(SER_hh_tes!T12=0,"",SER_hh_tes!T12/SER_hh_fec!T12)</f>
        <v>0.82646681593033444</v>
      </c>
      <c r="U12" s="136">
        <f>IF(SER_hh_tes!U12=0,"",SER_hh_tes!U12/SER_hh_fec!U12)</f>
        <v>0.83477209805970243</v>
      </c>
      <c r="V12" s="136">
        <f>IF(SER_hh_tes!V12=0,"",SER_hh_tes!V12/SER_hh_fec!V12)</f>
        <v>0.84220182189594783</v>
      </c>
      <c r="W12" s="136">
        <f>IF(SER_hh_tes!W12=0,"",SER_hh_tes!W12/SER_hh_fec!W12)</f>
        <v>0.84868797462348267</v>
      </c>
      <c r="X12" s="136">
        <f>IF(SER_hh_tes!X12=0,"",SER_hh_tes!X12/SER_hh_fec!X12)</f>
        <v>0.85571491266920119</v>
      </c>
      <c r="Y12" s="136">
        <f>IF(SER_hh_tes!Y12=0,"",SER_hh_tes!Y12/SER_hh_fec!Y12)</f>
        <v>0.8612092506358564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1.481030233639699</v>
      </c>
      <c r="C13" s="136">
        <f>IF(SER_hh_tes!C13=0,"",SER_hh_tes!C13/SER_hh_fec!C13)</f>
        <v>1.5361967882771834</v>
      </c>
      <c r="D13" s="136">
        <f>IF(SER_hh_tes!D13=0,"",SER_hh_tes!D13/SER_hh_fec!D13)</f>
        <v>1.5997879564520254</v>
      </c>
      <c r="E13" s="136">
        <f>IF(SER_hh_tes!E13=0,"",SER_hh_tes!E13/SER_hh_fec!E13)</f>
        <v>1.6486498800802558</v>
      </c>
      <c r="F13" s="136">
        <f>IF(SER_hh_tes!F13=0,"",SER_hh_tes!F13/SER_hh_fec!F13)</f>
        <v>1.6884687657732602</v>
      </c>
      <c r="G13" s="136">
        <f>IF(SER_hh_tes!G13=0,"",SER_hh_tes!G13/SER_hh_fec!G13)</f>
        <v>1.7216866340075172</v>
      </c>
      <c r="H13" s="136">
        <f>IF(SER_hh_tes!H13=0,"",SER_hh_tes!H13/SER_hh_fec!H13)</f>
        <v>1.7672196976822889</v>
      </c>
      <c r="I13" s="136">
        <f>IF(SER_hh_tes!I13=0,"",SER_hh_tes!I13/SER_hh_fec!I13)</f>
        <v>1.8462882094609849</v>
      </c>
      <c r="J13" s="136">
        <f>IF(SER_hh_tes!J13=0,"",SER_hh_tes!J13/SER_hh_fec!J13)</f>
        <v>1.9338811807356349</v>
      </c>
      <c r="K13" s="136">
        <f>IF(SER_hh_tes!K13=0,"",SER_hh_tes!K13/SER_hh_fec!K13)</f>
        <v>2.0810557592507637</v>
      </c>
      <c r="L13" s="136">
        <f>IF(SER_hh_tes!L13=0,"",SER_hh_tes!L13/SER_hh_fec!L13)</f>
        <v>2.226374697079252</v>
      </c>
      <c r="M13" s="136">
        <f>IF(SER_hh_tes!M13=0,"",SER_hh_tes!M13/SER_hh_fec!M13)</f>
        <v>2.3580298009921048</v>
      </c>
      <c r="N13" s="136">
        <f>IF(SER_hh_tes!N13=0,"",SER_hh_tes!N13/SER_hh_fec!N13)</f>
        <v>2.4789700075577397</v>
      </c>
      <c r="O13" s="136">
        <f>IF(SER_hh_tes!O13=0,"",SER_hh_tes!O13/SER_hh_fec!O13)</f>
        <v>2.6121028703430955</v>
      </c>
      <c r="P13" s="136">
        <f>IF(SER_hh_tes!P13=0,"",SER_hh_tes!P13/SER_hh_fec!P13)</f>
        <v>2.7765017684233655</v>
      </c>
      <c r="Q13" s="136">
        <f>IF(SER_hh_tes!Q13=0,"",SER_hh_tes!Q13/SER_hh_fec!Q13)</f>
        <v>2.9152951424888487</v>
      </c>
      <c r="R13" s="136">
        <f>IF(SER_hh_tes!R13=0,"",SER_hh_tes!R13/SER_hh_fec!R13)</f>
        <v>2.9866212746469132</v>
      </c>
      <c r="S13" s="136">
        <f>IF(SER_hh_tes!S13=0,"",SER_hh_tes!S13/SER_hh_fec!S13)</f>
        <v>3.0308818532643618</v>
      </c>
      <c r="T13" s="136">
        <f>IF(SER_hh_tes!T13=0,"",SER_hh_tes!T13/SER_hh_fec!T13)</f>
        <v>3.1008333343800087</v>
      </c>
      <c r="U13" s="136">
        <f>IF(SER_hh_tes!U13=0,"",SER_hh_tes!U13/SER_hh_fec!U13)</f>
        <v>3.1702404024422175</v>
      </c>
      <c r="V13" s="136">
        <f>IF(SER_hh_tes!V13=0,"",SER_hh_tes!V13/SER_hh_fec!V13)</f>
        <v>3.2630540725158079</v>
      </c>
      <c r="W13" s="136">
        <f>IF(SER_hh_tes!W13=0,"",SER_hh_tes!W13/SER_hh_fec!W13)</f>
        <v>3.3334715492826907</v>
      </c>
      <c r="X13" s="136">
        <f>IF(SER_hh_tes!X13=0,"",SER_hh_tes!X13/SER_hh_fec!X13)</f>
        <v>3.4245045858738745</v>
      </c>
      <c r="Y13" s="136">
        <f>IF(SER_hh_tes!Y13=0,"",SER_hh_tes!Y13/SER_hh_fec!Y13)</f>
        <v>3.5146761176159758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0.66973802488421463</v>
      </c>
      <c r="C14" s="137">
        <f>IF(SER_hh_tes!C14=0,"",SER_hh_tes!C14/SER_hh_fec!C14)</f>
        <v>0.68562517076348695</v>
      </c>
      <c r="D14" s="137">
        <f>IF(SER_hh_tes!D14=0,"",SER_hh_tes!D14/SER_hh_fec!D14)</f>
        <v>0.69231570289749755</v>
      </c>
      <c r="E14" s="137">
        <f>IF(SER_hh_tes!E14=0,"",SER_hh_tes!E14/SER_hh_fec!E14)</f>
        <v>0.6954719973917125</v>
      </c>
      <c r="F14" s="137">
        <f>IF(SER_hh_tes!F14=0,"",SER_hh_tes!F14/SER_hh_fec!F14)</f>
        <v>0.69652876686875409</v>
      </c>
      <c r="G14" s="137">
        <f>IF(SER_hh_tes!G14=0,"",SER_hh_tes!G14/SER_hh_fec!G14)</f>
        <v>0.69755475544978374</v>
      </c>
      <c r="H14" s="137">
        <f>IF(SER_hh_tes!H14=0,"",SER_hh_tes!H14/SER_hh_fec!H14)</f>
        <v>0.69755475544978351</v>
      </c>
      <c r="I14" s="137">
        <f>IF(SER_hh_tes!I14=0,"",SER_hh_tes!I14/SER_hh_fec!I14)</f>
        <v>0.69755475544978363</v>
      </c>
      <c r="J14" s="137">
        <f>IF(SER_hh_tes!J14=0,"",SER_hh_tes!J14/SER_hh_fec!J14)</f>
        <v>0.70097131091024112</v>
      </c>
      <c r="K14" s="137">
        <f>IF(SER_hh_tes!K14=0,"",SER_hh_tes!K14/SER_hh_fec!K14)</f>
        <v>0.7088157943458282</v>
      </c>
      <c r="L14" s="137">
        <f>IF(SER_hh_tes!L14=0,"",SER_hh_tes!L14/SER_hh_fec!L14)</f>
        <v>0.71607653139506922</v>
      </c>
      <c r="M14" s="137">
        <f>IF(SER_hh_tes!M14=0,"",SER_hh_tes!M14/SER_hh_fec!M14)</f>
        <v>0.7217869768642019</v>
      </c>
      <c r="N14" s="137">
        <f>IF(SER_hh_tes!N14=0,"",SER_hh_tes!N14/SER_hh_fec!N14)</f>
        <v>0.72602074409026696</v>
      </c>
      <c r="O14" s="137">
        <f>IF(SER_hh_tes!O14=0,"",SER_hh_tes!O14/SER_hh_fec!O14)</f>
        <v>0.73131394379134618</v>
      </c>
      <c r="P14" s="137">
        <f>IF(SER_hh_tes!P14=0,"",SER_hh_tes!P14/SER_hh_fec!P14)</f>
        <v>0.73430089454843483</v>
      </c>
      <c r="Q14" s="137">
        <f>IF(SER_hh_tes!Q14=0,"",SER_hh_tes!Q14/SER_hh_fec!Q14)</f>
        <v>0.7399111564294808</v>
      </c>
      <c r="R14" s="137">
        <f>IF(SER_hh_tes!R14=0,"",SER_hh_tes!R14/SER_hh_fec!R14)</f>
        <v>0.74663252544246506</v>
      </c>
      <c r="S14" s="137">
        <f>IF(SER_hh_tes!S14=0,"",SER_hh_tes!S14/SER_hh_fec!S14)</f>
        <v>0.75538815493546241</v>
      </c>
      <c r="T14" s="137">
        <f>IF(SER_hh_tes!T14=0,"",SER_hh_tes!T14/SER_hh_fec!T14)</f>
        <v>0.75899650951108633</v>
      </c>
      <c r="U14" s="137">
        <f>IF(SER_hh_tes!U14=0,"",SER_hh_tes!U14/SER_hh_fec!U14)</f>
        <v>0.76012773230513841</v>
      </c>
      <c r="V14" s="137">
        <f>IF(SER_hh_tes!V14=0,"",SER_hh_tes!V14/SER_hh_fec!V14)</f>
        <v>0.76051412118317629</v>
      </c>
      <c r="W14" s="137">
        <f>IF(SER_hh_tes!W14=0,"",SER_hh_tes!W14/SER_hh_fec!W14)</f>
        <v>0.76107452566507583</v>
      </c>
      <c r="X14" s="137">
        <f>IF(SER_hh_tes!X14=0,"",SER_hh_tes!X14/SER_hh_fec!X14)</f>
        <v>0.76151572140231494</v>
      </c>
      <c r="Y14" s="137">
        <f>IF(SER_hh_tes!Y14=0,"",SER_hh_tes!Y14/SER_hh_fec!Y14)</f>
        <v>0.7618617175516178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1.7181774579700562</v>
      </c>
      <c r="C16" s="135">
        <f>IF(SER_hh_tes!C16=0,"",SER_hh_tes!C16/SER_hh_fec!C16)</f>
        <v>1.7924984160191506</v>
      </c>
      <c r="D16" s="135">
        <f>IF(SER_hh_tes!D16=0,"",SER_hh_tes!D16/SER_hh_fec!D16)</f>
        <v>1.8857664837056061</v>
      </c>
      <c r="E16" s="135">
        <f>IF(SER_hh_tes!E16=0,"",SER_hh_tes!E16/SER_hh_fec!E16)</f>
        <v>1.974957448905907</v>
      </c>
      <c r="F16" s="135">
        <f>IF(SER_hh_tes!F16=0,"",SER_hh_tes!F16/SER_hh_fec!F16)</f>
        <v>2.0685185348674122</v>
      </c>
      <c r="G16" s="135">
        <f>IF(SER_hh_tes!G16=0,"",SER_hh_tes!G16/SER_hh_fec!G16)</f>
        <v>2.1689226000302182</v>
      </c>
      <c r="H16" s="135">
        <f>IF(SER_hh_tes!H16=0,"",SER_hh_tes!H16/SER_hh_fec!H16)</f>
        <v>2.2857000317849776</v>
      </c>
      <c r="I16" s="135">
        <f>IF(SER_hh_tes!I16=0,"",SER_hh_tes!I16/SER_hh_fec!I16)</f>
        <v>2.4262506785570754</v>
      </c>
      <c r="J16" s="135">
        <f>IF(SER_hh_tes!J16=0,"",SER_hh_tes!J16/SER_hh_fec!J16)</f>
        <v>2.5741131364683607</v>
      </c>
      <c r="K16" s="135">
        <f>IF(SER_hh_tes!K16=0,"",SER_hh_tes!K16/SER_hh_fec!K16)</f>
        <v>2.6197917738168468</v>
      </c>
      <c r="L16" s="135">
        <f>IF(SER_hh_tes!L16=0,"",SER_hh_tes!L16/SER_hh_fec!L16)</f>
        <v>2.689469062963346</v>
      </c>
      <c r="M16" s="135">
        <f>IF(SER_hh_tes!M16=0,"",SER_hh_tes!M16/SER_hh_fec!M16)</f>
        <v>2.7796681348653594</v>
      </c>
      <c r="N16" s="135">
        <f>IF(SER_hh_tes!N16=0,"",SER_hh_tes!N16/SER_hh_fec!N16)</f>
        <v>2.8843927751282799</v>
      </c>
      <c r="O16" s="135">
        <f>IF(SER_hh_tes!O16=0,"",SER_hh_tes!O16/SER_hh_fec!O16)</f>
        <v>2.9852529269617878</v>
      </c>
      <c r="P16" s="135">
        <f>IF(SER_hh_tes!P16=0,"",SER_hh_tes!P16/SER_hh_fec!P16)</f>
        <v>3.0915380203697862</v>
      </c>
      <c r="Q16" s="135">
        <f>IF(SER_hh_tes!Q16=0,"",SER_hh_tes!Q16/SER_hh_fec!Q16)</f>
        <v>3.2041395480931123</v>
      </c>
      <c r="R16" s="135">
        <f>IF(SER_hh_tes!R16=0,"",SER_hh_tes!R16/SER_hh_fec!R16)</f>
        <v>3.3098754024819157</v>
      </c>
      <c r="S16" s="135">
        <f>IF(SER_hh_tes!S16=0,"",SER_hh_tes!S16/SER_hh_fec!S16)</f>
        <v>3.4305990612465096</v>
      </c>
      <c r="T16" s="135">
        <f>IF(SER_hh_tes!T16=0,"",SER_hh_tes!T16/SER_hh_fec!T16)</f>
        <v>3.5263098225215956</v>
      </c>
      <c r="U16" s="135">
        <f>IF(SER_hh_tes!U16=0,"",SER_hh_tes!U16/SER_hh_fec!U16)</f>
        <v>3.6038871284544851</v>
      </c>
      <c r="V16" s="135">
        <f>IF(SER_hh_tes!V16=0,"",SER_hh_tes!V16/SER_hh_fec!V16)</f>
        <v>3.6696097427982313</v>
      </c>
      <c r="W16" s="135">
        <f>IF(SER_hh_tes!W16=0,"",SER_hh_tes!W16/SER_hh_fec!W16)</f>
        <v>3.7455904293368421</v>
      </c>
      <c r="X16" s="135">
        <f>IF(SER_hh_tes!X16=0,"",SER_hh_tes!X16/SER_hh_fec!X16)</f>
        <v>3.7980858164327076</v>
      </c>
      <c r="Y16" s="135">
        <f>IF(SER_hh_tes!Y16=0,"",SER_hh_tes!Y16/SER_hh_fec!Y16)</f>
        <v>3.8434991639753036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1.0629161122718096</v>
      </c>
      <c r="C17" s="136">
        <f>IF(SER_hh_tes!C17=0,"",SER_hh_tes!C17/SER_hh_fec!C17)</f>
        <v>1.1047858156420018</v>
      </c>
      <c r="D17" s="136">
        <f>IF(SER_hh_tes!D17=0,"",SER_hh_tes!D17/SER_hh_fec!D17)</f>
        <v>1.108239989186558</v>
      </c>
      <c r="E17" s="136">
        <f>IF(SER_hh_tes!E17=0,"",SER_hh_tes!E17/SER_hh_fec!E17)</f>
        <v>1.1354642383664577</v>
      </c>
      <c r="F17" s="136">
        <f>IF(SER_hh_tes!F17=0,"",SER_hh_tes!F17/SER_hh_fec!F17)</f>
        <v>1.140384574371893</v>
      </c>
      <c r="G17" s="136">
        <f>IF(SER_hh_tes!G17=0,"",SER_hh_tes!G17/SER_hh_fec!G17)</f>
        <v>1.1705120190056053</v>
      </c>
      <c r="H17" s="136">
        <f>IF(SER_hh_tes!H17=0,"",SER_hh_tes!H17/SER_hh_fec!H17)</f>
        <v>1.1878376901803078</v>
      </c>
      <c r="I17" s="136">
        <f>IF(SER_hh_tes!I17=0,"",SER_hh_tes!I17/SER_hh_fec!I17)</f>
        <v>1.2007488453033748</v>
      </c>
      <c r="J17" s="136">
        <f>IF(SER_hh_tes!J17=0,"",SER_hh_tes!J17/SER_hh_fec!J17)</f>
        <v>1.2212698363088612</v>
      </c>
      <c r="K17" s="136">
        <f>IF(SER_hh_tes!K17=0,"",SER_hh_tes!K17/SER_hh_fec!K17)</f>
        <v>1.228587669740137</v>
      </c>
      <c r="L17" s="136">
        <f>IF(SER_hh_tes!L17=0,"",SER_hh_tes!L17/SER_hh_fec!L17)</f>
        <v>1.243519899732288</v>
      </c>
      <c r="M17" s="136">
        <f>IF(SER_hh_tes!M17=0,"",SER_hh_tes!M17/SER_hh_fec!M17)</f>
        <v>1.2661348324348798</v>
      </c>
      <c r="N17" s="136">
        <f>IF(SER_hh_tes!N17=0,"",SER_hh_tes!N17/SER_hh_fec!N17)</f>
        <v>1.2797559773411438</v>
      </c>
      <c r="O17" s="136">
        <f>IF(SER_hh_tes!O17=0,"",SER_hh_tes!O17/SER_hh_fec!O17)</f>
        <v>1.3113318575269814</v>
      </c>
      <c r="P17" s="136">
        <f>IF(SER_hh_tes!P17=0,"",SER_hh_tes!P17/SER_hh_fec!P17)</f>
        <v>1.3431981516636087</v>
      </c>
      <c r="Q17" s="136">
        <f>IF(SER_hh_tes!Q17=0,"",SER_hh_tes!Q17/SER_hh_fec!Q17)</f>
        <v>1.3633748854532572</v>
      </c>
      <c r="R17" s="136">
        <f>IF(SER_hh_tes!R17=0,"",SER_hh_tes!R17/SER_hh_fec!R17)</f>
        <v>1.390946059402169</v>
      </c>
      <c r="S17" s="136">
        <f>IF(SER_hh_tes!S17=0,"",SER_hh_tes!S17/SER_hh_fec!S17)</f>
        <v>1.4041857289146706</v>
      </c>
      <c r="T17" s="136">
        <f>IF(SER_hh_tes!T17=0,"",SER_hh_tes!T17/SER_hh_fec!T17)</f>
        <v>1.4222824142712809</v>
      </c>
      <c r="U17" s="136">
        <f>IF(SER_hh_tes!U17=0,"",SER_hh_tes!U17/SER_hh_fec!U17)</f>
        <v>1.4349634027870872</v>
      </c>
      <c r="V17" s="136">
        <f>IF(SER_hh_tes!V17=0,"",SER_hh_tes!V17/SER_hh_fec!V17)</f>
        <v>1.4550709577828325</v>
      </c>
      <c r="W17" s="136">
        <f>IF(SER_hh_tes!W17=0,"",SER_hh_tes!W17/SER_hh_fec!W17)</f>
        <v>1.4734378768643215</v>
      </c>
      <c r="X17" s="136">
        <f>IF(SER_hh_tes!X17=0,"",SER_hh_tes!X17/SER_hh_fec!X17)</f>
        <v>1.4887941006744005</v>
      </c>
      <c r="Y17" s="136">
        <f>IF(SER_hh_tes!Y17=0,"",SER_hh_tes!Y17/SER_hh_fec!Y17)</f>
        <v>1.5077279392120559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1.7199941022129366</v>
      </c>
      <c r="C18" s="136">
        <f>IF(SER_hh_tes!C18=0,"",SER_hh_tes!C18/SER_hh_fec!C18)</f>
        <v>1.7955229892756199</v>
      </c>
      <c r="D18" s="136">
        <f>IF(SER_hh_tes!D18=0,"",SER_hh_tes!D18/SER_hh_fec!D18)</f>
        <v>1.8886289521004753</v>
      </c>
      <c r="E18" s="136">
        <f>IF(SER_hh_tes!E18=0,"",SER_hh_tes!E18/SER_hh_fec!E18)</f>
        <v>1.9761136267442427</v>
      </c>
      <c r="F18" s="136">
        <f>IF(SER_hh_tes!F18=0,"",SER_hh_tes!F18/SER_hh_fec!F18)</f>
        <v>2.0723013707816884</v>
      </c>
      <c r="G18" s="136">
        <f>IF(SER_hh_tes!G18=0,"",SER_hh_tes!G18/SER_hh_fec!G18)</f>
        <v>2.1748243374762422</v>
      </c>
      <c r="H18" s="136">
        <f>IF(SER_hh_tes!H18=0,"",SER_hh_tes!H18/SER_hh_fec!H18)</f>
        <v>2.2931501312545568</v>
      </c>
      <c r="I18" s="136">
        <f>IF(SER_hh_tes!I18=0,"",SER_hh_tes!I18/SER_hh_fec!I18)</f>
        <v>2.4345866707013641</v>
      </c>
      <c r="J18" s="136">
        <f>IF(SER_hh_tes!J18=0,"",SER_hh_tes!J18/SER_hh_fec!J18)</f>
        <v>2.5845416537354926</v>
      </c>
      <c r="K18" s="136">
        <f>IF(SER_hh_tes!K18=0,"",SER_hh_tes!K18/SER_hh_fec!K18)</f>
        <v>2.6303454367489922</v>
      </c>
      <c r="L18" s="136">
        <f>IF(SER_hh_tes!L18=0,"",SER_hh_tes!L18/SER_hh_fec!L18)</f>
        <v>2.7009019891179005</v>
      </c>
      <c r="M18" s="136">
        <f>IF(SER_hh_tes!M18=0,"",SER_hh_tes!M18/SER_hh_fec!M18)</f>
        <v>2.7931520087015675</v>
      </c>
      <c r="N18" s="136">
        <f>IF(SER_hh_tes!N18=0,"",SER_hh_tes!N18/SER_hh_fec!N18)</f>
        <v>2.8994036562728192</v>
      </c>
      <c r="O18" s="136">
        <f>IF(SER_hh_tes!O18=0,"",SER_hh_tes!O18/SER_hh_fec!O18)</f>
        <v>3.0054314059670428</v>
      </c>
      <c r="P18" s="136">
        <f>IF(SER_hh_tes!P18=0,"",SER_hh_tes!P18/SER_hh_fec!P18)</f>
        <v>3.1220064541003172</v>
      </c>
      <c r="Q18" s="136">
        <f>IF(SER_hh_tes!Q18=0,"",SER_hh_tes!Q18/SER_hh_fec!Q18)</f>
        <v>3.2421113453219399</v>
      </c>
      <c r="R18" s="136">
        <f>IF(SER_hh_tes!R18=0,"",SER_hh_tes!R18/SER_hh_fec!R18)</f>
        <v>3.3703368373313771</v>
      </c>
      <c r="S18" s="136">
        <f>IF(SER_hh_tes!S18=0,"",SER_hh_tes!S18/SER_hh_fec!S18)</f>
        <v>3.5029872955776127</v>
      </c>
      <c r="T18" s="136">
        <f>IF(SER_hh_tes!T18=0,"",SER_hh_tes!T18/SER_hh_fec!T18)</f>
        <v>3.614352875909689</v>
      </c>
      <c r="U18" s="136">
        <f>IF(SER_hh_tes!U18=0,"",SER_hh_tes!U18/SER_hh_fec!U18)</f>
        <v>3.7007289970207107</v>
      </c>
      <c r="V18" s="136">
        <f>IF(SER_hh_tes!V18=0,"",SER_hh_tes!V18/SER_hh_fec!V18)</f>
        <v>3.7906097960229483</v>
      </c>
      <c r="W18" s="136">
        <f>IF(SER_hh_tes!W18=0,"",SER_hh_tes!W18/SER_hh_fec!W18)</f>
        <v>3.8659748209553384</v>
      </c>
      <c r="X18" s="136">
        <f>IF(SER_hh_tes!X18=0,"",SER_hh_tes!X18/SER_hh_fec!X18)</f>
        <v>3.9274177927607536</v>
      </c>
      <c r="Y18" s="136">
        <f>IF(SER_hh_tes!Y18=0,"",SER_hh_tes!Y18/SER_hh_fec!Y18)</f>
        <v>3.9774817659419286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0.62058704676393706</v>
      </c>
      <c r="C19" s="135">
        <f>IF(SER_hh_tes!C19=0,"",SER_hh_tes!C19/SER_hh_fec!C19)</f>
        <v>0.61620424570222343</v>
      </c>
      <c r="D19" s="135">
        <f>IF(SER_hh_tes!D19=0,"",SER_hh_tes!D19/SER_hh_fec!D19)</f>
        <v>0.62249250982954096</v>
      </c>
      <c r="E19" s="135">
        <f>IF(SER_hh_tes!E19=0,"",SER_hh_tes!E19/SER_hh_fec!E19)</f>
        <v>0.63028164247534335</v>
      </c>
      <c r="F19" s="135">
        <f>IF(SER_hh_tes!F19=0,"",SER_hh_tes!F19/SER_hh_fec!F19)</f>
        <v>0.6389562136136</v>
      </c>
      <c r="G19" s="135">
        <f>IF(SER_hh_tes!G19=0,"",SER_hh_tes!G19/SER_hh_fec!G19)</f>
        <v>0.63463805348951086</v>
      </c>
      <c r="H19" s="135">
        <f>IF(SER_hh_tes!H19=0,"",SER_hh_tes!H19/SER_hh_fec!H19)</f>
        <v>0.63321124591066025</v>
      </c>
      <c r="I19" s="135">
        <f>IF(SER_hh_tes!I19=0,"",SER_hh_tes!I19/SER_hh_fec!I19)</f>
        <v>0.63320970926820686</v>
      </c>
      <c r="J19" s="135">
        <f>IF(SER_hh_tes!J19=0,"",SER_hh_tes!J19/SER_hh_fec!J19)</f>
        <v>0.63647196237725057</v>
      </c>
      <c r="K19" s="135">
        <f>IF(SER_hh_tes!K19=0,"",SER_hh_tes!K19/SER_hh_fec!K19)</f>
        <v>0.64072136093457877</v>
      </c>
      <c r="L19" s="135">
        <f>IF(SER_hh_tes!L19=0,"",SER_hh_tes!L19/SER_hh_fec!L19)</f>
        <v>0.64438788043961626</v>
      </c>
      <c r="M19" s="135">
        <f>IF(SER_hh_tes!M19=0,"",SER_hh_tes!M19/SER_hh_fec!M19)</f>
        <v>0.64996059378696291</v>
      </c>
      <c r="N19" s="135">
        <f>IF(SER_hh_tes!N19=0,"",SER_hh_tes!N19/SER_hh_fec!N19)</f>
        <v>0.6526127405341644</v>
      </c>
      <c r="O19" s="135">
        <f>IF(SER_hh_tes!O19=0,"",SER_hh_tes!O19/SER_hh_fec!O19)</f>
        <v>0.65477741121792077</v>
      </c>
      <c r="P19" s="135">
        <f>IF(SER_hh_tes!P19=0,"",SER_hh_tes!P19/SER_hh_fec!P19)</f>
        <v>0.66048995542191091</v>
      </c>
      <c r="Q19" s="135">
        <f>IF(SER_hh_tes!Q19=0,"",SER_hh_tes!Q19/SER_hh_fec!Q19)</f>
        <v>0.6631902896866404</v>
      </c>
      <c r="R19" s="135">
        <f>IF(SER_hh_tes!R19=0,"",SER_hh_tes!R19/SER_hh_fec!R19)</f>
        <v>0.68263740476232593</v>
      </c>
      <c r="S19" s="135">
        <f>IF(SER_hh_tes!S19=0,"",SER_hh_tes!S19/SER_hh_fec!S19)</f>
        <v>0.69525574610248875</v>
      </c>
      <c r="T19" s="135">
        <f>IF(SER_hh_tes!T19=0,"",SER_hh_tes!T19/SER_hh_fec!T19)</f>
        <v>0.71257528666124537</v>
      </c>
      <c r="U19" s="135">
        <f>IF(SER_hh_tes!U19=0,"",SER_hh_tes!U19/SER_hh_fec!U19)</f>
        <v>0.7271834874347578</v>
      </c>
      <c r="V19" s="135">
        <f>IF(SER_hh_tes!V19=0,"",SER_hh_tes!V19/SER_hh_fec!V19)</f>
        <v>0.75287602569389289</v>
      </c>
      <c r="W19" s="135">
        <f>IF(SER_hh_tes!W19=0,"",SER_hh_tes!W19/SER_hh_fec!W19)</f>
        <v>0.75716535248365147</v>
      </c>
      <c r="X19" s="135">
        <f>IF(SER_hh_tes!X19=0,"",SER_hh_tes!X19/SER_hh_fec!X19)</f>
        <v>0.77612225733079321</v>
      </c>
      <c r="Y19" s="135">
        <f>IF(SER_hh_tes!Y19=0,"",SER_hh_tes!Y19/SER_hh_fec!Y19)</f>
        <v>0.79333259182966143</v>
      </c>
      <c r="DA19" s="162" t="s">
        <v>242</v>
      </c>
    </row>
    <row r="20" spans="1:105" ht="12" customHeight="1" x14ac:dyDescent="0.25">
      <c r="A20" s="131" t="s">
        <v>29</v>
      </c>
      <c r="B20" s="136">
        <f>IF(SER_hh_tes!B20=0,"",SER_hh_tes!B20/SER_hh_fec!B20)</f>
        <v>0.52357760932541619</v>
      </c>
      <c r="C20" s="136">
        <f>IF(SER_hh_tes!C20=0,"",SER_hh_tes!C20/SER_hh_fec!C20)</f>
        <v>0.52357760932541619</v>
      </c>
      <c r="D20" s="136">
        <f>IF(SER_hh_tes!D20=0,"",SER_hh_tes!D20/SER_hh_fec!D20)</f>
        <v>0.52357760932541619</v>
      </c>
      <c r="E20" s="136">
        <f>IF(SER_hh_tes!E20=0,"",SER_hh_tes!E20/SER_hh_fec!E20)</f>
        <v>0.52357760932541619</v>
      </c>
      <c r="F20" s="136">
        <f>IF(SER_hh_tes!F20=0,"",SER_hh_tes!F20/SER_hh_fec!F20)</f>
        <v>0.52357760932541619</v>
      </c>
      <c r="G20" s="136">
        <f>IF(SER_hh_tes!G20=0,"",SER_hh_tes!G20/SER_hh_fec!G20)</f>
        <v>0.52357760932541619</v>
      </c>
      <c r="H20" s="136">
        <f>IF(SER_hh_tes!H20=0,"",SER_hh_tes!H20/SER_hh_fec!H20)</f>
        <v>0.55777595291702409</v>
      </c>
      <c r="I20" s="136">
        <f>IF(SER_hh_tes!I20=0,"",SER_hh_tes!I20/SER_hh_fec!I20)</f>
        <v>0.58412179980347645</v>
      </c>
      <c r="J20" s="136">
        <f>IF(SER_hh_tes!J20=0,"",SER_hh_tes!J20/SER_hh_fec!J20)</f>
        <v>0.60243153037551933</v>
      </c>
      <c r="K20" s="136">
        <f>IF(SER_hh_tes!K20=0,"",SER_hh_tes!K20/SER_hh_fec!K20)</f>
        <v>0.61481451081241312</v>
      </c>
      <c r="L20" s="136">
        <f>IF(SER_hh_tes!L20=0,"",SER_hh_tes!L20/SER_hh_fec!L20)</f>
        <v>0.62353001585067036</v>
      </c>
      <c r="M20" s="136">
        <f>IF(SER_hh_tes!M20=0,"",SER_hh_tes!M20/SER_hh_fec!M20)</f>
        <v>0.63188196278295983</v>
      </c>
      <c r="N20" s="136">
        <f>IF(SER_hh_tes!N20=0,"",SER_hh_tes!N20/SER_hh_fec!N20)</f>
        <v>0.64056973331081313</v>
      </c>
      <c r="O20" s="136">
        <f>IF(SER_hh_tes!O20=0,"",SER_hh_tes!O20/SER_hh_fec!O20)</f>
        <v>0.64821244498691877</v>
      </c>
      <c r="P20" s="136">
        <f>IF(SER_hh_tes!P20=0,"",SER_hh_tes!P20/SER_hh_fec!P20)</f>
        <v>0.64840557276210287</v>
      </c>
      <c r="Q20" s="136">
        <f>IF(SER_hh_tes!Q20=0,"",SER_hh_tes!Q20/SER_hh_fec!Q20)</f>
        <v>0.6486419405535262</v>
      </c>
      <c r="R20" s="136">
        <f>IF(SER_hh_tes!R20=0,"",SER_hh_tes!R20/SER_hh_fec!R20)</f>
        <v>0.64886525362509229</v>
      </c>
      <c r="S20" s="136">
        <f>IF(SER_hh_tes!S20=0,"",SER_hh_tes!S20/SER_hh_fec!S20)</f>
        <v>0.6488652536250924</v>
      </c>
      <c r="T20" s="136">
        <f>IF(SER_hh_tes!T20=0,"",SER_hh_tes!T20/SER_hh_fec!T20)</f>
        <v>0.64903286161012408</v>
      </c>
      <c r="U20" s="136">
        <f>IF(SER_hh_tes!U20=0,"",SER_hh_tes!U20/SER_hh_fec!U20)</f>
        <v>0.65055651693811245</v>
      </c>
      <c r="V20" s="136">
        <f>IF(SER_hh_tes!V20=0,"",SER_hh_tes!V20/SER_hh_fec!V20)</f>
        <v>0.6519000076501914</v>
      </c>
      <c r="W20" s="136">
        <f>IF(SER_hh_tes!W20=0,"",SER_hh_tes!W20/SER_hh_fec!W20)</f>
        <v>0.65368915719137266</v>
      </c>
      <c r="X20" s="136">
        <f>IF(SER_hh_tes!X20=0,"",SER_hh_tes!X20/SER_hh_fec!X20)</f>
        <v>0.65705120602021638</v>
      </c>
      <c r="Y20" s="136">
        <f>IF(SER_hh_tes!Y20=0,"",SER_hh_tes!Y20/SER_hh_fec!Y20)</f>
        <v>0.66123830394093719</v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 t="str">
        <f>IF(SER_hh_tes!B22=0,"",SER_hh_tes!B22/SER_hh_fec!B22)</f>
        <v/>
      </c>
      <c r="C22" s="136" t="str">
        <f>IF(SER_hh_tes!C22=0,"",SER_hh_tes!C22/SER_hh_fec!C22)</f>
        <v/>
      </c>
      <c r="D22" s="136" t="str">
        <f>IF(SER_hh_tes!D22=0,"",SER_hh_tes!D22/SER_hh_fec!D22)</f>
        <v/>
      </c>
      <c r="E22" s="136" t="str">
        <f>IF(SER_hh_tes!E22=0,"",SER_hh_tes!E22/SER_hh_fec!E22)</f>
        <v/>
      </c>
      <c r="F22" s="136" t="str">
        <f>IF(SER_hh_tes!F22=0,"",SER_hh_tes!F22/SER_hh_fec!F22)</f>
        <v/>
      </c>
      <c r="G22" s="136" t="str">
        <f>IF(SER_hh_tes!G22=0,"",SER_hh_tes!G22/SER_hh_fec!G22)</f>
        <v/>
      </c>
      <c r="H22" s="136" t="str">
        <f>IF(SER_hh_tes!H22=0,"",SER_hh_tes!H22/SER_hh_fec!H22)</f>
        <v/>
      </c>
      <c r="I22" s="136" t="str">
        <f>IF(SER_hh_tes!I22=0,"",SER_hh_tes!I22/SER_hh_fec!I22)</f>
        <v/>
      </c>
      <c r="J22" s="136" t="str">
        <f>IF(SER_hh_tes!J22=0,"",SER_hh_tes!J22/SER_hh_fec!J22)</f>
        <v/>
      </c>
      <c r="K22" s="136" t="str">
        <f>IF(SER_hh_tes!K22=0,"",SER_hh_tes!K22/SER_hh_fec!K22)</f>
        <v/>
      </c>
      <c r="L22" s="136" t="str">
        <f>IF(SER_hh_tes!L22=0,"",SER_hh_tes!L22/SER_hh_fec!L22)</f>
        <v/>
      </c>
      <c r="M22" s="136" t="str">
        <f>IF(SER_hh_tes!M22=0,"",SER_hh_tes!M22/SER_hh_fec!M22)</f>
        <v/>
      </c>
      <c r="N22" s="136" t="str">
        <f>IF(SER_hh_tes!N22=0,"",SER_hh_tes!N22/SER_hh_fec!N22)</f>
        <v/>
      </c>
      <c r="O22" s="136" t="str">
        <f>IF(SER_hh_tes!O22=0,"",SER_hh_tes!O22/SER_hh_fec!O22)</f>
        <v/>
      </c>
      <c r="P22" s="136" t="str">
        <f>IF(SER_hh_tes!P22=0,"",SER_hh_tes!P22/SER_hh_fec!P22)</f>
        <v/>
      </c>
      <c r="Q22" s="136" t="str">
        <f>IF(SER_hh_tes!Q22=0,"",SER_hh_tes!Q22/SER_hh_fec!Q22)</f>
        <v/>
      </c>
      <c r="R22" s="136" t="str">
        <f>IF(SER_hh_tes!R22=0,"",SER_hh_tes!R22/SER_hh_fec!R22)</f>
        <v/>
      </c>
      <c r="S22" s="136" t="str">
        <f>IF(SER_hh_tes!S22=0,"",SER_hh_tes!S22/SER_hh_fec!S22)</f>
        <v/>
      </c>
      <c r="T22" s="136" t="str">
        <f>IF(SER_hh_tes!T22=0,"",SER_hh_tes!T22/SER_hh_fec!T22)</f>
        <v/>
      </c>
      <c r="U22" s="136" t="str">
        <f>IF(SER_hh_tes!U22=0,"",SER_hh_tes!U22/SER_hh_fec!U22)</f>
        <v/>
      </c>
      <c r="V22" s="136" t="str">
        <f>IF(SER_hh_tes!V22=0,"",SER_hh_tes!V22/SER_hh_fec!V22)</f>
        <v/>
      </c>
      <c r="W22" s="136" t="str">
        <f>IF(SER_hh_tes!W22=0,"",SER_hh_tes!W22/SER_hh_fec!W22)</f>
        <v/>
      </c>
      <c r="X22" s="136" t="str">
        <f>IF(SER_hh_tes!X22=0,"",SER_hh_tes!X22/SER_hh_fec!X22)</f>
        <v/>
      </c>
      <c r="Y22" s="136" t="str">
        <f>IF(SER_hh_tes!Y22=0,"",SER_hh_tes!Y22/SER_hh_fec!Y22)</f>
        <v/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0.50269977100838048</v>
      </c>
      <c r="C23" s="136">
        <f>IF(SER_hh_tes!C23=0,"",SER_hh_tes!C23/SER_hh_fec!C23)</f>
        <v>0.52626732376659302</v>
      </c>
      <c r="D23" s="136">
        <f>IF(SER_hh_tes!D23=0,"",SER_hh_tes!D23/SER_hh_fec!D23)</f>
        <v>0.53527342856739379</v>
      </c>
      <c r="E23" s="136">
        <f>IF(SER_hh_tes!E23=0,"",SER_hh_tes!E23/SER_hh_fec!E23)</f>
        <v>0.54116896990724439</v>
      </c>
      <c r="F23" s="136">
        <f>IF(SER_hh_tes!F23=0,"",SER_hh_tes!F23/SER_hh_fec!F23)</f>
        <v>0.54582391126016905</v>
      </c>
      <c r="G23" s="136">
        <f>IF(SER_hh_tes!G23=0,"",SER_hh_tes!G23/SER_hh_fec!G23)</f>
        <v>0.55016990979388458</v>
      </c>
      <c r="H23" s="136">
        <f>IF(SER_hh_tes!H23=0,"",SER_hh_tes!H23/SER_hh_fec!H23)</f>
        <v>0.55536341106576448</v>
      </c>
      <c r="I23" s="136">
        <f>IF(SER_hh_tes!I23=0,"",SER_hh_tes!I23/SER_hh_fec!I23)</f>
        <v>0.56092818700431735</v>
      </c>
      <c r="J23" s="136">
        <f>IF(SER_hh_tes!J23=0,"",SER_hh_tes!J23/SER_hh_fec!J23)</f>
        <v>0.56590788241132928</v>
      </c>
      <c r="K23" s="136">
        <f>IF(SER_hh_tes!K23=0,"",SER_hh_tes!K23/SER_hh_fec!K23)</f>
        <v>0.57046767948187427</v>
      </c>
      <c r="L23" s="136">
        <f>IF(SER_hh_tes!L23=0,"",SER_hh_tes!L23/SER_hh_fec!L23)</f>
        <v>0.57725490444412442</v>
      </c>
      <c r="M23" s="136">
        <f>IF(SER_hh_tes!M23=0,"",SER_hh_tes!M23/SER_hh_fec!M23)</f>
        <v>0.58642272942421203</v>
      </c>
      <c r="N23" s="136">
        <f>IF(SER_hh_tes!N23=0,"",SER_hh_tes!N23/SER_hh_fec!N23)</f>
        <v>0.60000574888786185</v>
      </c>
      <c r="O23" s="136">
        <f>IF(SER_hh_tes!O23=0,"",SER_hh_tes!O23/SER_hh_fec!O23)</f>
        <v>0.61361715739862566</v>
      </c>
      <c r="P23" s="136">
        <f>IF(SER_hh_tes!P23=0,"",SER_hh_tes!P23/SER_hh_fec!P23)</f>
        <v>0.62160245137283809</v>
      </c>
      <c r="Q23" s="136">
        <f>IF(SER_hh_tes!Q23=0,"",SER_hh_tes!Q23/SER_hh_fec!Q23)</f>
        <v>0.63060222254515119</v>
      </c>
      <c r="R23" s="136">
        <f>IF(SER_hh_tes!R23=0,"",SER_hh_tes!R23/SER_hh_fec!R23)</f>
        <v>0.64108401482769073</v>
      </c>
      <c r="S23" s="136">
        <f>IF(SER_hh_tes!S23=0,"",SER_hh_tes!S23/SER_hh_fec!S23)</f>
        <v>0.65137818829321681</v>
      </c>
      <c r="T23" s="136">
        <f>IF(SER_hh_tes!T23=0,"",SER_hh_tes!T23/SER_hh_fec!T23)</f>
        <v>0.65660397934432213</v>
      </c>
      <c r="U23" s="136">
        <f>IF(SER_hh_tes!U23=0,"",SER_hh_tes!U23/SER_hh_fec!U23)</f>
        <v>0.66018579299264901</v>
      </c>
      <c r="V23" s="136">
        <f>IF(SER_hh_tes!V23=0,"",SER_hh_tes!V23/SER_hh_fec!V23)</f>
        <v>0.66850337271985394</v>
      </c>
      <c r="W23" s="136">
        <f>IF(SER_hh_tes!W23=0,"",SER_hh_tes!W23/SER_hh_fec!W23)</f>
        <v>0.68350100627932575</v>
      </c>
      <c r="X23" s="136">
        <f>IF(SER_hh_tes!X23=0,"",SER_hh_tes!X23/SER_hh_fec!X23)</f>
        <v>0.70545559229278321</v>
      </c>
      <c r="Y23" s="136">
        <f>IF(SER_hh_tes!Y23=0,"",SER_hh_tes!Y23/SER_hh_fec!Y23)</f>
        <v>0.72418447024775001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0.75015276905140604</v>
      </c>
      <c r="C25" s="136">
        <f>IF(SER_hh_tes!C25=0,"",SER_hh_tes!C25/SER_hh_fec!C25)</f>
        <v>0.75648038291626696</v>
      </c>
      <c r="D25" s="136">
        <f>IF(SER_hh_tes!D25=0,"",SER_hh_tes!D25/SER_hh_fec!D25)</f>
        <v>0.76309495016902584</v>
      </c>
      <c r="E25" s="136">
        <f>IF(SER_hh_tes!E25=0,"",SER_hh_tes!E25/SER_hh_fec!E25)</f>
        <v>0.76567230520176355</v>
      </c>
      <c r="F25" s="136">
        <f>IF(SER_hh_tes!F25=0,"",SER_hh_tes!F25/SER_hh_fec!F25)</f>
        <v>0.76734752095357806</v>
      </c>
      <c r="G25" s="136">
        <f>IF(SER_hh_tes!G25=0,"",SER_hh_tes!G25/SER_hh_fec!G25)</f>
        <v>0.76838827494531659</v>
      </c>
      <c r="H25" s="136">
        <f>IF(SER_hh_tes!H25=0,"",SER_hh_tes!H25/SER_hh_fec!H25)</f>
        <v>0.76972286038563564</v>
      </c>
      <c r="I25" s="136">
        <f>IF(SER_hh_tes!I25=0,"",SER_hh_tes!I25/SER_hh_fec!I25)</f>
        <v>0.7706063448234125</v>
      </c>
      <c r="J25" s="136">
        <f>IF(SER_hh_tes!J25=0,"",SER_hh_tes!J25/SER_hh_fec!J25)</f>
        <v>0.7719617673236977</v>
      </c>
      <c r="K25" s="136">
        <f>IF(SER_hh_tes!K25=0,"",SER_hh_tes!K25/SER_hh_fec!K25)</f>
        <v>0.77423568885430227</v>
      </c>
      <c r="L25" s="136">
        <f>IF(SER_hh_tes!L25=0,"",SER_hh_tes!L25/SER_hh_fec!L25)</f>
        <v>0.7766772207691397</v>
      </c>
      <c r="M25" s="136">
        <f>IF(SER_hh_tes!M25=0,"",SER_hh_tes!M25/SER_hh_fec!M25)</f>
        <v>0.77927211836047039</v>
      </c>
      <c r="N25" s="136">
        <f>IF(SER_hh_tes!N25=0,"",SER_hh_tes!N25/SER_hh_fec!N25)</f>
        <v>0.78209925654647905</v>
      </c>
      <c r="O25" s="136">
        <f>IF(SER_hh_tes!O25=0,"",SER_hh_tes!O25/SER_hh_fec!O25)</f>
        <v>0.78600973519231865</v>
      </c>
      <c r="P25" s="136">
        <f>IF(SER_hh_tes!P25=0,"",SER_hh_tes!P25/SER_hh_fec!P25)</f>
        <v>0.7878931401112228</v>
      </c>
      <c r="Q25" s="136">
        <f>IF(SER_hh_tes!Q25=0,"",SER_hh_tes!Q25/SER_hh_fec!Q25)</f>
        <v>0.79403584480695011</v>
      </c>
      <c r="R25" s="136">
        <f>IF(SER_hh_tes!R25=0,"",SER_hh_tes!R25/SER_hh_fec!R25)</f>
        <v>0.80109530853019584</v>
      </c>
      <c r="S25" s="136">
        <f>IF(SER_hh_tes!S25=0,"",SER_hh_tes!S25/SER_hh_fec!S25)</f>
        <v>0.81189900997816111</v>
      </c>
      <c r="T25" s="136">
        <f>IF(SER_hh_tes!T25=0,"",SER_hh_tes!T25/SER_hh_fec!T25)</f>
        <v>0.82186421635531826</v>
      </c>
      <c r="U25" s="136">
        <f>IF(SER_hh_tes!U25=0,"",SER_hh_tes!U25/SER_hh_fec!U25)</f>
        <v>0.82550788226920879</v>
      </c>
      <c r="V25" s="136">
        <f>IF(SER_hh_tes!V25=0,"",SER_hh_tes!V25/SER_hh_fec!V25)</f>
        <v>0.8277221644574615</v>
      </c>
      <c r="W25" s="136">
        <f>IF(SER_hh_tes!W25=0,"",SER_hh_tes!W25/SER_hh_fec!W25)</f>
        <v>0.82887032454838483</v>
      </c>
      <c r="X25" s="136">
        <f>IF(SER_hh_tes!X25=0,"",SER_hh_tes!X25/SER_hh_fec!X25)</f>
        <v>0.83406088066552564</v>
      </c>
      <c r="Y25" s="136">
        <f>IF(SER_hh_tes!Y25=0,"",SER_hh_tes!Y25/SER_hh_fec!Y25)</f>
        <v>0.8379099250565315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0.62384682781831013</v>
      </c>
      <c r="C26" s="137">
        <f>IF(SER_hh_tes!C26=0,"",SER_hh_tes!C26/SER_hh_fec!C26)</f>
        <v>0.62384682781831013</v>
      </c>
      <c r="D26" s="137">
        <f>IF(SER_hh_tes!D26=0,"",SER_hh_tes!D26/SER_hh_fec!D26)</f>
        <v>0.62418984123868049</v>
      </c>
      <c r="E26" s="137">
        <f>IF(SER_hh_tes!E26=0,"",SER_hh_tes!E26/SER_hh_fec!E26)</f>
        <v>0.62635844478042191</v>
      </c>
      <c r="F26" s="137">
        <f>IF(SER_hh_tes!F26=0,"",SER_hh_tes!F26/SER_hh_fec!F26)</f>
        <v>0.62930478668811607</v>
      </c>
      <c r="G26" s="137">
        <f>IF(SER_hh_tes!G26=0,"",SER_hh_tes!G26/SER_hh_fec!G26)</f>
        <v>0.6329779866335683</v>
      </c>
      <c r="H26" s="137">
        <f>IF(SER_hh_tes!H26=0,"",SER_hh_tes!H26/SER_hh_fec!H26)</f>
        <v>0.63647960677140181</v>
      </c>
      <c r="I26" s="137">
        <f>IF(SER_hh_tes!I26=0,"",SER_hh_tes!I26/SER_hh_fec!I26)</f>
        <v>0.64053650004104479</v>
      </c>
      <c r="J26" s="137">
        <f>IF(SER_hh_tes!J26=0,"",SER_hh_tes!J26/SER_hh_fec!J26)</f>
        <v>0.6440404079030404</v>
      </c>
      <c r="K26" s="137">
        <f>IF(SER_hh_tes!K26=0,"",SER_hh_tes!K26/SER_hh_fec!K26)</f>
        <v>0.64708258497369742</v>
      </c>
      <c r="L26" s="137">
        <f>IF(SER_hh_tes!L26=0,"",SER_hh_tes!L26/SER_hh_fec!L26)</f>
        <v>0.65128592830045784</v>
      </c>
      <c r="M26" s="137">
        <f>IF(SER_hh_tes!M26=0,"",SER_hh_tes!M26/SER_hh_fec!M26)</f>
        <v>0.65585571249843833</v>
      </c>
      <c r="N26" s="137">
        <f>IF(SER_hh_tes!N26=0,"",SER_hh_tes!N26/SER_hh_fec!N26)</f>
        <v>0.66105404363866849</v>
      </c>
      <c r="O26" s="137">
        <f>IF(SER_hh_tes!O26=0,"",SER_hh_tes!O26/SER_hh_fec!O26)</f>
        <v>0.66743209184544772</v>
      </c>
      <c r="P26" s="137">
        <f>IF(SER_hh_tes!P26=0,"",SER_hh_tes!P26/SER_hh_fec!P26)</f>
        <v>0.67060318493236448</v>
      </c>
      <c r="Q26" s="137">
        <f>IF(SER_hh_tes!Q26=0,"",SER_hh_tes!Q26/SER_hh_fec!Q26)</f>
        <v>0.67910593962352317</v>
      </c>
      <c r="R26" s="137">
        <f>IF(SER_hh_tes!R26=0,"",SER_hh_tes!R26/SER_hh_fec!R26)</f>
        <v>0.69129621820477638</v>
      </c>
      <c r="S26" s="137">
        <f>IF(SER_hh_tes!S26=0,"",SER_hh_tes!S26/SER_hh_fec!S26)</f>
        <v>0.70758527030758311</v>
      </c>
      <c r="T26" s="137">
        <f>IF(SER_hh_tes!T26=0,"",SER_hh_tes!T26/SER_hh_fec!T26)</f>
        <v>0.73026280483934702</v>
      </c>
      <c r="U26" s="137">
        <f>IF(SER_hh_tes!U26=0,"",SER_hh_tes!U26/SER_hh_fec!U26)</f>
        <v>0.75209766804212741</v>
      </c>
      <c r="V26" s="137">
        <f>IF(SER_hh_tes!V26=0,"",SER_hh_tes!V26/SER_hh_fec!V26)</f>
        <v>0.77294181642613102</v>
      </c>
      <c r="W26" s="137">
        <f>IF(SER_hh_tes!W26=0,"",SER_hh_tes!W26/SER_hh_fec!W26)</f>
        <v>0.79193535238819035</v>
      </c>
      <c r="X26" s="137">
        <f>IF(SER_hh_tes!X26=0,"",SER_hh_tes!X26/SER_hh_fec!X26)</f>
        <v>0.80798378932938442</v>
      </c>
      <c r="Y26" s="137">
        <f>IF(SER_hh_tes!Y26=0,"",SER_hh_tes!Y26/SER_hh_fec!Y26)</f>
        <v>0.82237072596879612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0.70146023909430133</v>
      </c>
      <c r="C29" s="135">
        <f>IF(SER_hh_tes!C29=0,"",SER_hh_tes!C29/SER_hh_fec!C29)</f>
        <v>0.68730810012221777</v>
      </c>
      <c r="D29" s="135">
        <f>IF(SER_hh_tes!D29=0,"",SER_hh_tes!D29/SER_hh_fec!D29)</f>
        <v>0.6668733641428235</v>
      </c>
      <c r="E29" s="135">
        <f>IF(SER_hh_tes!E29=0,"",SER_hh_tes!E29/SER_hh_fec!E29)</f>
        <v>0.67349055449562079</v>
      </c>
      <c r="F29" s="135">
        <f>IF(SER_hh_tes!F29=0,"",SER_hh_tes!F29/SER_hh_fec!F29)</f>
        <v>0.68532382999307506</v>
      </c>
      <c r="G29" s="135">
        <f>IF(SER_hh_tes!G29=0,"",SER_hh_tes!G29/SER_hh_fec!G29)</f>
        <v>0.69624479180440413</v>
      </c>
      <c r="H29" s="135">
        <f>IF(SER_hh_tes!H29=0,"",SER_hh_tes!H29/SER_hh_fec!H29)</f>
        <v>0.70244416772651275</v>
      </c>
      <c r="I29" s="135">
        <f>IF(SER_hh_tes!I29=0,"",SER_hh_tes!I29/SER_hh_fec!I29)</f>
        <v>0.72953429117571655</v>
      </c>
      <c r="J29" s="135">
        <f>IF(SER_hh_tes!J29=0,"",SER_hh_tes!J29/SER_hh_fec!J29)</f>
        <v>0.74218466906492009</v>
      </c>
      <c r="K29" s="135">
        <f>IF(SER_hh_tes!K29=0,"",SER_hh_tes!K29/SER_hh_fec!K29)</f>
        <v>0.73433987940360346</v>
      </c>
      <c r="L29" s="135">
        <f>IF(SER_hh_tes!L29=0,"",SER_hh_tes!L29/SER_hh_fec!L29)</f>
        <v>0.72503299470620053</v>
      </c>
      <c r="M29" s="135">
        <f>IF(SER_hh_tes!M29=0,"",SER_hh_tes!M29/SER_hh_fec!M29)</f>
        <v>0.76133921756610867</v>
      </c>
      <c r="N29" s="135">
        <f>IF(SER_hh_tes!N29=0,"",SER_hh_tes!N29/SER_hh_fec!N29)</f>
        <v>0.7381627879227366</v>
      </c>
      <c r="O29" s="135">
        <f>IF(SER_hh_tes!O29=0,"",SER_hh_tes!O29/SER_hh_fec!O29)</f>
        <v>0.72670146592591323</v>
      </c>
      <c r="P29" s="135">
        <f>IF(SER_hh_tes!P29=0,"",SER_hh_tes!P29/SER_hh_fec!P29)</f>
        <v>0.72415711939510241</v>
      </c>
      <c r="Q29" s="135">
        <f>IF(SER_hh_tes!Q29=0,"",SER_hh_tes!Q29/SER_hh_fec!Q29)</f>
        <v>0.72033773554684799</v>
      </c>
      <c r="R29" s="135">
        <f>IF(SER_hh_tes!R29=0,"",SER_hh_tes!R29/SER_hh_fec!R29)</f>
        <v>0.72555439317594195</v>
      </c>
      <c r="S29" s="135">
        <f>IF(SER_hh_tes!S29=0,"",SER_hh_tes!S29/SER_hh_fec!S29)</f>
        <v>0.74360835769212685</v>
      </c>
      <c r="T29" s="135">
        <f>IF(SER_hh_tes!T29=0,"",SER_hh_tes!T29/SER_hh_fec!T29)</f>
        <v>0.75841081710857206</v>
      </c>
      <c r="U29" s="135">
        <f>IF(SER_hh_tes!U29=0,"",SER_hh_tes!U29/SER_hh_fec!U29)</f>
        <v>0.78083713888312289</v>
      </c>
      <c r="V29" s="135">
        <f>IF(SER_hh_tes!V29=0,"",SER_hh_tes!V29/SER_hh_fec!V29)</f>
        <v>0.78842036752411704</v>
      </c>
      <c r="W29" s="135">
        <f>IF(SER_hh_tes!W29=0,"",SER_hh_tes!W29/SER_hh_fec!W29)</f>
        <v>0.75760465974847202</v>
      </c>
      <c r="X29" s="135">
        <f>IF(SER_hh_tes!X29=0,"",SER_hh_tes!X29/SER_hh_fec!X29)</f>
        <v>0.75994352054276149</v>
      </c>
      <c r="Y29" s="135">
        <f>IF(SER_hh_tes!Y29=0,"",SER_hh_tes!Y29/SER_hh_fec!Y29)</f>
        <v>0.77461346400833542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0.62263485102819505</v>
      </c>
      <c r="C30" s="136">
        <f>IF(SER_hh_tes!C30=0,"",SER_hh_tes!C30/SER_hh_fec!C30)</f>
        <v>0.62560003456412316</v>
      </c>
      <c r="D30" s="136">
        <f>IF(SER_hh_tes!D30=0,"",SER_hh_tes!D30/SER_hh_fec!D30)</f>
        <v>0.6268172748458003</v>
      </c>
      <c r="E30" s="136">
        <f>IF(SER_hh_tes!E30=0,"",SER_hh_tes!E30/SER_hh_fec!E30)</f>
        <v>0.62726454972761725</v>
      </c>
      <c r="F30" s="136">
        <f>IF(SER_hh_tes!F30=0,"",SER_hh_tes!F30/SER_hh_fec!F30)</f>
        <v>0.62763249271895827</v>
      </c>
      <c r="G30" s="136">
        <f>IF(SER_hh_tes!G30=0,"",SER_hh_tes!G30/SER_hh_fec!G30)</f>
        <v>0.62784890631668966</v>
      </c>
      <c r="H30" s="136">
        <f>IF(SER_hh_tes!H30=0,"",SER_hh_tes!H30/SER_hh_fec!H30)</f>
        <v>0.62805822391241073</v>
      </c>
      <c r="I30" s="136">
        <f>IF(SER_hh_tes!I30=0,"",SER_hh_tes!I30/SER_hh_fec!I30)</f>
        <v>0.62811770623671748</v>
      </c>
      <c r="J30" s="136">
        <f>IF(SER_hh_tes!J30=0,"",SER_hh_tes!J30/SER_hh_fec!J30)</f>
        <v>0.62811770623671759</v>
      </c>
      <c r="K30" s="136">
        <f>IF(SER_hh_tes!K30=0,"",SER_hh_tes!K30/SER_hh_fec!K30)</f>
        <v>0.62880801203386472</v>
      </c>
      <c r="L30" s="136">
        <f>IF(SER_hh_tes!L30=0,"",SER_hh_tes!L30/SER_hh_fec!L30)</f>
        <v>0.62960053960956763</v>
      </c>
      <c r="M30" s="136">
        <f>IF(SER_hh_tes!M30=0,"",SER_hh_tes!M30/SER_hh_fec!M30)</f>
        <v>0.62960001374792751</v>
      </c>
      <c r="N30" s="136">
        <f>IF(SER_hh_tes!N30=0,"",SER_hh_tes!N30/SER_hh_fec!N30)</f>
        <v>0.62982595525755747</v>
      </c>
      <c r="O30" s="136">
        <f>IF(SER_hh_tes!O30=0,"",SER_hh_tes!O30/SER_hh_fec!O30)</f>
        <v>0.63032129310157681</v>
      </c>
      <c r="P30" s="136">
        <f>IF(SER_hh_tes!P30=0,"",SER_hh_tes!P30/SER_hh_fec!P30)</f>
        <v>0.63074475971540245</v>
      </c>
      <c r="Q30" s="136">
        <f>IF(SER_hh_tes!Q30=0,"",SER_hh_tes!Q30/SER_hh_fec!Q30)</f>
        <v>0.63087217127815942</v>
      </c>
      <c r="R30" s="136">
        <f>IF(SER_hh_tes!R30=0,"",SER_hh_tes!R30/SER_hh_fec!R30)</f>
        <v>0.63095670591804909</v>
      </c>
      <c r="S30" s="136">
        <f>IF(SER_hh_tes!S30=0,"",SER_hh_tes!S30/SER_hh_fec!S30)</f>
        <v>0.6309567059180492</v>
      </c>
      <c r="T30" s="136">
        <f>IF(SER_hh_tes!T30=0,"",SER_hh_tes!T30/SER_hh_fec!T30)</f>
        <v>0.63095670591804931</v>
      </c>
      <c r="U30" s="136">
        <f>IF(SER_hh_tes!U30=0,"",SER_hh_tes!U30/SER_hh_fec!U30)</f>
        <v>0.6309594511317278</v>
      </c>
      <c r="V30" s="136">
        <f>IF(SER_hh_tes!V30=0,"",SER_hh_tes!V30/SER_hh_fec!V30)</f>
        <v>0.63097523116570942</v>
      </c>
      <c r="W30" s="136">
        <f>IF(SER_hh_tes!W30=0,"",SER_hh_tes!W30/SER_hh_fec!W30)</f>
        <v>0.63195121428868273</v>
      </c>
      <c r="X30" s="136">
        <f>IF(SER_hh_tes!X30=0,"",SER_hh_tes!X30/SER_hh_fec!X30)</f>
        <v>0.63430179827868838</v>
      </c>
      <c r="Y30" s="136">
        <f>IF(SER_hh_tes!Y30=0,"",SER_hh_tes!Y30/SER_hh_fec!Y30)</f>
        <v>0.63456435216691176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0.63033496020114688</v>
      </c>
      <c r="C31" s="136">
        <f>IF(SER_hh_tes!C31=0,"",SER_hh_tes!C31/SER_hh_fec!C31)</f>
        <v>0.63086359925705171</v>
      </c>
      <c r="D31" s="136">
        <f>IF(SER_hh_tes!D31=0,"",SER_hh_tes!D31/SER_hh_fec!D31)</f>
        <v>0.63106576757656796</v>
      </c>
      <c r="E31" s="136">
        <f>IF(SER_hh_tes!E31=0,"",SER_hh_tes!E31/SER_hh_fec!E31)</f>
        <v>0.63141733407747647</v>
      </c>
      <c r="F31" s="136">
        <f>IF(SER_hh_tes!F31=0,"",SER_hh_tes!F31/SER_hh_fec!F31)</f>
        <v>0.632426932830355</v>
      </c>
      <c r="G31" s="136">
        <f>IF(SER_hh_tes!G31=0,"",SER_hh_tes!G31/SER_hh_fec!G31)</f>
        <v>0.63337674659430265</v>
      </c>
      <c r="H31" s="136">
        <f>IF(SER_hh_tes!H31=0,"",SER_hh_tes!H31/SER_hh_fec!H31)</f>
        <v>0.63462426243483505</v>
      </c>
      <c r="I31" s="136">
        <f>IF(SER_hh_tes!I31=0,"",SER_hh_tes!I31/SER_hh_fec!I31)</f>
        <v>0.6357089166209321</v>
      </c>
      <c r="J31" s="136">
        <f>IF(SER_hh_tes!J31=0,"",SER_hh_tes!J31/SER_hh_fec!J31)</f>
        <v>0.63660014815242638</v>
      </c>
      <c r="K31" s="136">
        <f>IF(SER_hh_tes!K31=0,"",SER_hh_tes!K31/SER_hh_fec!K31)</f>
        <v>0.63743894505756038</v>
      </c>
      <c r="L31" s="136">
        <f>IF(SER_hh_tes!L31=0,"",SER_hh_tes!L31/SER_hh_fec!L31)</f>
        <v>0.63799035073798982</v>
      </c>
      <c r="M31" s="136">
        <f>IF(SER_hh_tes!M31=0,"",SER_hh_tes!M31/SER_hh_fec!M31)</f>
        <v>0.63804922331624125</v>
      </c>
      <c r="N31" s="136">
        <f>IF(SER_hh_tes!N31=0,"",SER_hh_tes!N31/SER_hh_fec!N31)</f>
        <v>0.63819721802604079</v>
      </c>
      <c r="O31" s="136">
        <f>IF(SER_hh_tes!O31=0,"",SER_hh_tes!O31/SER_hh_fec!O31)</f>
        <v>0.63838753874246634</v>
      </c>
      <c r="P31" s="136">
        <f>IF(SER_hh_tes!P31=0,"",SER_hh_tes!P31/SER_hh_fec!P31)</f>
        <v>0.63855000742704748</v>
      </c>
      <c r="Q31" s="136">
        <f>IF(SER_hh_tes!Q31=0,"",SER_hh_tes!Q31/SER_hh_fec!Q31)</f>
        <v>0.63877621859176248</v>
      </c>
      <c r="R31" s="136">
        <f>IF(SER_hh_tes!R31=0,"",SER_hh_tes!R31/SER_hh_fec!R31)</f>
        <v>0.6391097533468264</v>
      </c>
      <c r="S31" s="136">
        <f>IF(SER_hh_tes!S31=0,"",SER_hh_tes!S31/SER_hh_fec!S31)</f>
        <v>0.63944168850673222</v>
      </c>
      <c r="T31" s="136">
        <f>IF(SER_hh_tes!T31=0,"",SER_hh_tes!T31/SER_hh_fec!T31)</f>
        <v>0.64011980313060035</v>
      </c>
      <c r="U31" s="136">
        <f>IF(SER_hh_tes!U31=0,"",SER_hh_tes!U31/SER_hh_fec!U31)</f>
        <v>0.64115587528617679</v>
      </c>
      <c r="V31" s="136">
        <f>IF(SER_hh_tes!V31=0,"",SER_hh_tes!V31/SER_hh_fec!V31)</f>
        <v>0.6423325272630761</v>
      </c>
      <c r="W31" s="136">
        <f>IF(SER_hh_tes!W31=0,"",SER_hh_tes!W31/SER_hh_fec!W31)</f>
        <v>0.64327259177981733</v>
      </c>
      <c r="X31" s="136">
        <f>IF(SER_hh_tes!X31=0,"",SER_hh_tes!X31/SER_hh_fec!X31)</f>
        <v>0.64443486573633957</v>
      </c>
      <c r="Y31" s="136">
        <f>IF(SER_hh_tes!Y31=0,"",SER_hh_tes!Y31/SER_hh_fec!Y31)</f>
        <v>0.64563948050633091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0.82386749088784894</v>
      </c>
      <c r="C33" s="149">
        <f>IF(SER_hh_tes!C33=0,"",SER_hh_tes!C33/SER_hh_fec!C33)</f>
        <v>0.82386749088784894</v>
      </c>
      <c r="D33" s="149">
        <f>IF(SER_hh_tes!D33=0,"",SER_hh_tes!D33/SER_hh_fec!D33)</f>
        <v>0.82447709432357807</v>
      </c>
      <c r="E33" s="149">
        <f>IF(SER_hh_tes!E33=0,"",SER_hh_tes!E33/SER_hh_fec!E33)</f>
        <v>0.82809446575030243</v>
      </c>
      <c r="F33" s="149">
        <f>IF(SER_hh_tes!F33=0,"",SER_hh_tes!F33/SER_hh_fec!F33)</f>
        <v>0.83033129016096163</v>
      </c>
      <c r="G33" s="149">
        <f>IF(SER_hh_tes!G33=0,"",SER_hh_tes!G33/SER_hh_fec!G33)</f>
        <v>0.83380197881237927</v>
      </c>
      <c r="H33" s="149">
        <f>IF(SER_hh_tes!H33=0,"",SER_hh_tes!H33/SER_hh_fec!H33)</f>
        <v>0.8368983534418396</v>
      </c>
      <c r="I33" s="149">
        <f>IF(SER_hh_tes!I33=0,"",SER_hh_tes!I33/SER_hh_fec!I33)</f>
        <v>0.83962927225312489</v>
      </c>
      <c r="J33" s="149">
        <f>IF(SER_hh_tes!J33=0,"",SER_hh_tes!J33/SER_hh_fec!J33)</f>
        <v>0.84150789708197049</v>
      </c>
      <c r="K33" s="149">
        <f>IF(SER_hh_tes!K33=0,"",SER_hh_tes!K33/SER_hh_fec!K33)</f>
        <v>0.84296980460570781</v>
      </c>
      <c r="L33" s="149">
        <f>IF(SER_hh_tes!L33=0,"",SER_hh_tes!L33/SER_hh_fec!L33)</f>
        <v>0.84426942148793027</v>
      </c>
      <c r="M33" s="149">
        <f>IF(SER_hh_tes!M33=0,"",SER_hh_tes!M33/SER_hh_fec!M33)</f>
        <v>0.84483073990594004</v>
      </c>
      <c r="N33" s="149">
        <f>IF(SER_hh_tes!N33=0,"",SER_hh_tes!N33/SER_hh_fec!N33)</f>
        <v>0.84512703393841382</v>
      </c>
      <c r="O33" s="149">
        <f>IF(SER_hh_tes!O33=0,"",SER_hh_tes!O33/SER_hh_fec!O33)</f>
        <v>0.84566421421471583</v>
      </c>
      <c r="P33" s="149">
        <f>IF(SER_hh_tes!P33=0,"",SER_hh_tes!P33/SER_hh_fec!P33)</f>
        <v>0.84704124286299065</v>
      </c>
      <c r="Q33" s="149">
        <f>IF(SER_hh_tes!Q33=0,"",SER_hh_tes!Q33/SER_hh_fec!Q33)</f>
        <v>0.85087586087501899</v>
      </c>
      <c r="R33" s="149">
        <f>IF(SER_hh_tes!R33=0,"",SER_hh_tes!R33/SER_hh_fec!R33)</f>
        <v>0.85737024903086645</v>
      </c>
      <c r="S33" s="149">
        <f>IF(SER_hh_tes!S33=0,"",SER_hh_tes!S33/SER_hh_fec!S33)</f>
        <v>0.86748927914612251</v>
      </c>
      <c r="T33" s="149">
        <f>IF(SER_hh_tes!T33=0,"",SER_hh_tes!T33/SER_hh_fec!T33)</f>
        <v>0.87753061303317537</v>
      </c>
      <c r="U33" s="149">
        <f>IF(SER_hh_tes!U33=0,"",SER_hh_tes!U33/SER_hh_fec!U33)</f>
        <v>0.88679440624659722</v>
      </c>
      <c r="V33" s="149">
        <f>IF(SER_hh_tes!V33=0,"",SER_hh_tes!V33/SER_hh_fec!V33)</f>
        <v>0.89373938522675678</v>
      </c>
      <c r="W33" s="149">
        <f>IF(SER_hh_tes!W33=0,"",SER_hh_tes!W33/SER_hh_fec!W33)</f>
        <v>0.90033550685062647</v>
      </c>
      <c r="X33" s="149">
        <f>IF(SER_hh_tes!X33=0,"",SER_hh_tes!X33/SER_hh_fec!X33)</f>
        <v>0.90567843300954676</v>
      </c>
      <c r="Y33" s="149">
        <f>IF(SER_hh_tes!Y33=0,"",SER_hh_tes!Y33/SER_hh_fec!Y33)</f>
        <v>0.91059117943825363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4054.8531122214913</v>
      </c>
      <c r="C3" s="125">
        <f t="shared" si="0"/>
        <v>2459.5985339574258</v>
      </c>
      <c r="D3" s="125">
        <f t="shared" si="0"/>
        <v>2087.4551687608246</v>
      </c>
      <c r="E3" s="125">
        <f t="shared" si="0"/>
        <v>1404.8136995503376</v>
      </c>
      <c r="F3" s="125">
        <f t="shared" si="0"/>
        <v>1517.7539092107606</v>
      </c>
      <c r="G3" s="125">
        <f t="shared" si="0"/>
        <v>2419.1108524471483</v>
      </c>
      <c r="H3" s="125">
        <f t="shared" si="0"/>
        <v>2797.6826905003004</v>
      </c>
      <c r="I3" s="125">
        <f t="shared" si="0"/>
        <v>2829.3177185742138</v>
      </c>
      <c r="J3" s="125">
        <f t="shared" si="0"/>
        <v>3097.1372629280991</v>
      </c>
      <c r="K3" s="125">
        <f t="shared" si="0"/>
        <v>3512.1257787511167</v>
      </c>
      <c r="L3" s="125">
        <f t="shared" si="0"/>
        <v>3208.2093014665074</v>
      </c>
      <c r="M3" s="125">
        <f t="shared" si="0"/>
        <v>2198.0452721007596</v>
      </c>
      <c r="N3" s="125">
        <f t="shared" si="0"/>
        <v>1950.8580498685897</v>
      </c>
      <c r="O3" s="125">
        <f t="shared" si="0"/>
        <v>2540.7433180086032</v>
      </c>
      <c r="P3" s="125">
        <f t="shared" si="0"/>
        <v>1721.5913675539186</v>
      </c>
      <c r="Q3" s="125">
        <f t="shared" si="0"/>
        <v>1785.2837372119573</v>
      </c>
      <c r="R3" s="125">
        <f t="shared" ref="R3:W3" si="1">SUM(R4,R16,R19,R29)</f>
        <v>1523.0348623112745</v>
      </c>
      <c r="S3" s="125">
        <f t="shared" si="1"/>
        <v>1687.3162511125411</v>
      </c>
      <c r="T3" s="125">
        <f t="shared" si="1"/>
        <v>1503.2105663874397</v>
      </c>
      <c r="U3" s="125">
        <f t="shared" si="1"/>
        <v>1508.7099283691352</v>
      </c>
      <c r="V3" s="125">
        <f t="shared" si="1"/>
        <v>1101.7144663613053</v>
      </c>
      <c r="W3" s="125">
        <f t="shared" si="1"/>
        <v>1653.326226938115</v>
      </c>
      <c r="X3" s="125">
        <f t="shared" ref="X3:Y3" si="2">SUM(X4,X16,X19,X29)</f>
        <v>1451.7667614276984</v>
      </c>
      <c r="Y3" s="125">
        <f t="shared" si="2"/>
        <v>1213.4911262097851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3875.2993590045021</v>
      </c>
      <c r="C4" s="130">
        <f t="shared" si="3"/>
        <v>2235.9060426635133</v>
      </c>
      <c r="D4" s="130">
        <f t="shared" si="3"/>
        <v>1806.0557487839937</v>
      </c>
      <c r="E4" s="130">
        <f t="shared" si="3"/>
        <v>1131.2000729558888</v>
      </c>
      <c r="F4" s="130">
        <f t="shared" si="3"/>
        <v>1249.8322758128381</v>
      </c>
      <c r="G4" s="130">
        <f t="shared" si="3"/>
        <v>2162.0767720659469</v>
      </c>
      <c r="H4" s="130">
        <f t="shared" si="3"/>
        <v>2529.1527457886787</v>
      </c>
      <c r="I4" s="130">
        <f t="shared" si="3"/>
        <v>2575.8579839207046</v>
      </c>
      <c r="J4" s="130">
        <f t="shared" si="3"/>
        <v>2851.6740298517279</v>
      </c>
      <c r="K4" s="130">
        <f t="shared" si="3"/>
        <v>3244.9187516685101</v>
      </c>
      <c r="L4" s="130">
        <f t="shared" si="3"/>
        <v>2915.2201798191122</v>
      </c>
      <c r="M4" s="130">
        <f t="shared" si="3"/>
        <v>1965.1633440069947</v>
      </c>
      <c r="N4" s="130">
        <f t="shared" si="3"/>
        <v>1653.6422537812603</v>
      </c>
      <c r="O4" s="130">
        <f t="shared" si="3"/>
        <v>2206.5687687796617</v>
      </c>
      <c r="P4" s="130">
        <f t="shared" si="3"/>
        <v>1377.6745432775319</v>
      </c>
      <c r="Q4" s="130">
        <f t="shared" si="3"/>
        <v>1428.8505249686491</v>
      </c>
      <c r="R4" s="130">
        <f t="shared" ref="R4:W4" si="4">SUM(R5:R15)</f>
        <v>1193.0299718837011</v>
      </c>
      <c r="S4" s="130">
        <f t="shared" si="4"/>
        <v>1384.2592929236728</v>
      </c>
      <c r="T4" s="130">
        <f t="shared" si="4"/>
        <v>1233.0819893103906</v>
      </c>
      <c r="U4" s="130">
        <f t="shared" si="4"/>
        <v>1265.4595260197821</v>
      </c>
      <c r="V4" s="130">
        <f t="shared" si="4"/>
        <v>926.23141408937408</v>
      </c>
      <c r="W4" s="130">
        <f t="shared" si="4"/>
        <v>1375.2872571674263</v>
      </c>
      <c r="X4" s="130">
        <f t="shared" ref="X4:Y4" si="5">SUM(X5:X15)</f>
        <v>1179.0131975751424</v>
      </c>
      <c r="Y4" s="130">
        <f t="shared" si="5"/>
        <v>963.92303409714418</v>
      </c>
      <c r="DA4" s="155" t="s">
        <v>234</v>
      </c>
    </row>
    <row r="5" spans="1:105" ht="12" customHeight="1" x14ac:dyDescent="0.25">
      <c r="A5" s="131" t="s">
        <v>29</v>
      </c>
      <c r="B5" s="132">
        <v>792.23743803264563</v>
      </c>
      <c r="C5" s="132">
        <v>620.24488347434362</v>
      </c>
      <c r="D5" s="132">
        <v>813.81728270898543</v>
      </c>
      <c r="E5" s="132">
        <v>143.83588709653176</v>
      </c>
      <c r="F5" s="132">
        <v>536.86270754617158</v>
      </c>
      <c r="G5" s="132">
        <v>122.23077274875324</v>
      </c>
      <c r="H5" s="132">
        <v>313.08517910653205</v>
      </c>
      <c r="I5" s="132">
        <v>603.39833382331801</v>
      </c>
      <c r="J5" s="132">
        <v>892.61608409805945</v>
      </c>
      <c r="K5" s="132">
        <v>2032.2560471842944</v>
      </c>
      <c r="L5" s="132">
        <v>1105.7505672000052</v>
      </c>
      <c r="M5" s="132">
        <v>1292.1204790590168</v>
      </c>
      <c r="N5" s="132">
        <v>329.62268699496241</v>
      </c>
      <c r="O5" s="132">
        <v>645.0161721120046</v>
      </c>
      <c r="P5" s="132">
        <v>394.82784560798393</v>
      </c>
      <c r="Q5" s="132">
        <v>413.20590587012424</v>
      </c>
      <c r="R5" s="132">
        <v>210.10581827360815</v>
      </c>
      <c r="S5" s="132">
        <v>259.75329899678781</v>
      </c>
      <c r="T5" s="132">
        <v>303.25354773805617</v>
      </c>
      <c r="U5" s="132">
        <v>458.28489623702677</v>
      </c>
      <c r="V5" s="132">
        <v>187.82992644013623</v>
      </c>
      <c r="W5" s="132">
        <v>267.59995614285538</v>
      </c>
      <c r="X5" s="132">
        <v>165.76616203754944</v>
      </c>
      <c r="Y5" s="132">
        <v>129.48103115079761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18.93978396</v>
      </c>
      <c r="C7" s="132">
        <v>152.22348</v>
      </c>
      <c r="D7" s="132">
        <v>96.858032760000015</v>
      </c>
      <c r="E7" s="132">
        <v>33.371967240000004</v>
      </c>
      <c r="F7" s="132">
        <v>87.592592519999997</v>
      </c>
      <c r="G7" s="132">
        <v>92.105764559999983</v>
      </c>
      <c r="H7" s="132">
        <v>57.560163840000001</v>
      </c>
      <c r="I7" s="132">
        <v>3.1861814399999977</v>
      </c>
      <c r="J7" s="132">
        <v>12.745259279999999</v>
      </c>
      <c r="K7" s="132">
        <v>34.674505920000009</v>
      </c>
      <c r="L7" s="132">
        <v>0</v>
      </c>
      <c r="M7" s="132">
        <v>0</v>
      </c>
      <c r="N7" s="132">
        <v>0</v>
      </c>
      <c r="O7" s="132">
        <v>3.1144230000000022</v>
      </c>
      <c r="P7" s="132">
        <v>15.530233680000004</v>
      </c>
      <c r="Q7" s="132">
        <v>18.728419320000008</v>
      </c>
      <c r="R7" s="132">
        <v>12.484634759999999</v>
      </c>
      <c r="S7" s="132">
        <v>9.364876559999999</v>
      </c>
      <c r="T7" s="132">
        <v>6.2411169600000012</v>
      </c>
      <c r="U7" s="132">
        <v>15.602525640000001</v>
      </c>
      <c r="V7" s="132">
        <v>9.3558067200000021</v>
      </c>
      <c r="W7" s="132">
        <v>9.5588110799999964</v>
      </c>
      <c r="X7" s="132">
        <v>12.480900119999998</v>
      </c>
      <c r="Y7" s="132">
        <v>6.2349814800000036</v>
      </c>
      <c r="DA7" s="156" t="s">
        <v>360</v>
      </c>
    </row>
    <row r="8" spans="1:105" ht="12" customHeight="1" x14ac:dyDescent="0.25">
      <c r="A8" s="131" t="s">
        <v>73</v>
      </c>
      <c r="B8" s="132">
        <v>3.5015195540455776E-2</v>
      </c>
      <c r="C8" s="132">
        <v>4.5367698664655828E-2</v>
      </c>
      <c r="D8" s="132">
        <v>6.153313717950927E-2</v>
      </c>
      <c r="E8" s="132">
        <v>9.0991837091285221E-2</v>
      </c>
      <c r="F8" s="132">
        <v>0.11465324582996284</v>
      </c>
      <c r="G8" s="132">
        <v>0.13168229142579815</v>
      </c>
      <c r="H8" s="132">
        <v>0.14619659198524396</v>
      </c>
      <c r="I8" s="132">
        <v>0.14864488495926012</v>
      </c>
      <c r="J8" s="132">
        <v>0.14947068678208983</v>
      </c>
      <c r="K8" s="132">
        <v>0.16397928935990985</v>
      </c>
      <c r="L8" s="132">
        <v>0.18736294396577988</v>
      </c>
      <c r="M8" s="132">
        <v>0.24280053138057037</v>
      </c>
      <c r="N8" s="132">
        <v>0.26903088239349271</v>
      </c>
      <c r="O8" s="132">
        <v>0.40422455021174908</v>
      </c>
      <c r="P8" s="132">
        <v>0.45662171133935198</v>
      </c>
      <c r="Q8" s="132">
        <v>0.52588939884865382</v>
      </c>
      <c r="R8" s="132">
        <v>0.4803180537196105</v>
      </c>
      <c r="S8" s="132">
        <v>0.48864647673530748</v>
      </c>
      <c r="T8" s="132">
        <v>0.48239525851440357</v>
      </c>
      <c r="U8" s="132">
        <v>0.45030763077041525</v>
      </c>
      <c r="V8" s="132">
        <v>0.56794015944400356</v>
      </c>
      <c r="W8" s="132">
        <v>0.66658369824784891</v>
      </c>
      <c r="X8" s="132">
        <v>0.73170122335982091</v>
      </c>
      <c r="Y8" s="132">
        <v>0.876817934191786</v>
      </c>
      <c r="DA8" s="156" t="s">
        <v>361</v>
      </c>
    </row>
    <row r="9" spans="1:105" ht="12" customHeight="1" x14ac:dyDescent="0.25">
      <c r="A9" s="131" t="s">
        <v>78</v>
      </c>
      <c r="B9" s="132">
        <v>3063.2289502163162</v>
      </c>
      <c r="C9" s="132">
        <v>1443.0313299369534</v>
      </c>
      <c r="D9" s="132">
        <v>895.31890017782882</v>
      </c>
      <c r="E9" s="132">
        <v>953.90122678226567</v>
      </c>
      <c r="F9" s="132">
        <v>625.2623225008366</v>
      </c>
      <c r="G9" s="132">
        <v>1947.6085524657678</v>
      </c>
      <c r="H9" s="132">
        <v>2158.3612062501611</v>
      </c>
      <c r="I9" s="132">
        <v>1969.1248237724271</v>
      </c>
      <c r="J9" s="132">
        <v>1929.4273347656028</v>
      </c>
      <c r="K9" s="132">
        <v>1149.7122463257908</v>
      </c>
      <c r="L9" s="132">
        <v>1779.2126632489151</v>
      </c>
      <c r="M9" s="132">
        <v>652.66842640225491</v>
      </c>
      <c r="N9" s="132">
        <v>1289.3547180614628</v>
      </c>
      <c r="O9" s="132">
        <v>1549.6741677269606</v>
      </c>
      <c r="P9" s="132">
        <v>884.32719199526628</v>
      </c>
      <c r="Q9" s="132">
        <v>947.68544666315609</v>
      </c>
      <c r="R9" s="132">
        <v>963.13887579767493</v>
      </c>
      <c r="S9" s="132">
        <v>1077.1290227292629</v>
      </c>
      <c r="T9" s="132">
        <v>922.31694374320261</v>
      </c>
      <c r="U9" s="132">
        <v>746.76645918039037</v>
      </c>
      <c r="V9" s="132">
        <v>682.30973566899388</v>
      </c>
      <c r="W9" s="132">
        <v>1044.3919974451833</v>
      </c>
      <c r="X9" s="132">
        <v>968.72158225468559</v>
      </c>
      <c r="Y9" s="132">
        <v>776.11305674037897</v>
      </c>
      <c r="DA9" s="156" t="s">
        <v>362</v>
      </c>
    </row>
    <row r="10" spans="1:105" ht="12" customHeight="1" x14ac:dyDescent="0.25">
      <c r="A10" s="131" t="s">
        <v>128</v>
      </c>
      <c r="B10" s="132">
        <v>0.8581715999999997</v>
      </c>
      <c r="C10" s="132">
        <v>20.360981553551305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16.73588102128355</v>
      </c>
      <c r="K10" s="132">
        <v>28.111972949064924</v>
      </c>
      <c r="L10" s="132">
        <v>30.069586426225918</v>
      </c>
      <c r="M10" s="132">
        <v>20.131638014342361</v>
      </c>
      <c r="N10" s="132">
        <v>34.395817842441495</v>
      </c>
      <c r="O10" s="132">
        <v>8.3597813904847484</v>
      </c>
      <c r="P10" s="132">
        <v>82.532650282942583</v>
      </c>
      <c r="Q10" s="132">
        <v>48.704863716520002</v>
      </c>
      <c r="R10" s="132">
        <v>6.8203249986983803</v>
      </c>
      <c r="S10" s="132">
        <v>37.523448160886623</v>
      </c>
      <c r="T10" s="132">
        <v>0.78798561061745354</v>
      </c>
      <c r="U10" s="132">
        <v>44.355337331594427</v>
      </c>
      <c r="V10" s="132">
        <v>46.168005100799967</v>
      </c>
      <c r="W10" s="132">
        <v>53.069908801140024</v>
      </c>
      <c r="X10" s="132">
        <v>31.312851939547439</v>
      </c>
      <c r="Y10" s="132">
        <v>51.217146791775754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3.4061961755113369E-2</v>
      </c>
      <c r="C16" s="130">
        <f t="shared" si="6"/>
        <v>5.4341374022130629E-2</v>
      </c>
      <c r="D16" s="130">
        <f t="shared" si="6"/>
        <v>4.8841644665710587E-2</v>
      </c>
      <c r="E16" s="130">
        <f t="shared" si="6"/>
        <v>1.8945984402250565E-2</v>
      </c>
      <c r="F16" s="130">
        <f t="shared" si="6"/>
        <v>5.4681554979539651E-2</v>
      </c>
      <c r="G16" s="130">
        <f t="shared" si="6"/>
        <v>8.2206014025942256E-2</v>
      </c>
      <c r="H16" s="130">
        <f t="shared" si="6"/>
        <v>9.8743190135473516E-2</v>
      </c>
      <c r="I16" s="130">
        <f t="shared" si="6"/>
        <v>0.10768588103077124</v>
      </c>
      <c r="J16" s="130">
        <f t="shared" si="6"/>
        <v>0.11674507153000362</v>
      </c>
      <c r="K16" s="130">
        <f t="shared" si="6"/>
        <v>0.11637686721431827</v>
      </c>
      <c r="L16" s="130">
        <f t="shared" si="6"/>
        <v>0.13000228674400433</v>
      </c>
      <c r="M16" s="130">
        <f t="shared" si="6"/>
        <v>0.13836382620475754</v>
      </c>
      <c r="N16" s="130">
        <f t="shared" si="6"/>
        <v>0.16075578768488286</v>
      </c>
      <c r="O16" s="130">
        <f t="shared" si="6"/>
        <v>0.2004586391404681</v>
      </c>
      <c r="P16" s="130">
        <f t="shared" si="6"/>
        <v>0.26339921516709186</v>
      </c>
      <c r="Q16" s="130">
        <f t="shared" si="6"/>
        <v>0.35571270525908394</v>
      </c>
      <c r="R16" s="130">
        <f t="shared" ref="R16:W16" si="7">SUM(R17:R18)</f>
        <v>0.45639071987728974</v>
      </c>
      <c r="S16" s="130">
        <f t="shared" si="7"/>
        <v>0.54807033437932751</v>
      </c>
      <c r="T16" s="130">
        <f t="shared" si="7"/>
        <v>0.62625832985630858</v>
      </c>
      <c r="U16" s="130">
        <f t="shared" si="7"/>
        <v>0.69294897414443457</v>
      </c>
      <c r="V16" s="130">
        <f t="shared" si="7"/>
        <v>0.74689276444960695</v>
      </c>
      <c r="W16" s="130">
        <f t="shared" si="7"/>
        <v>0.79597987567401862</v>
      </c>
      <c r="X16" s="130">
        <f t="shared" ref="X16:Y16" si="8">SUM(X17:X18)</f>
        <v>0.87211430016375135</v>
      </c>
      <c r="Y16" s="130">
        <f t="shared" si="8"/>
        <v>0.85321594385935795</v>
      </c>
      <c r="DA16" s="155" t="s">
        <v>235</v>
      </c>
    </row>
    <row r="17" spans="1:105" ht="12.95" customHeight="1" x14ac:dyDescent="0.25">
      <c r="A17" s="131" t="s">
        <v>73</v>
      </c>
      <c r="B17" s="132">
        <v>3.4061961755113369E-2</v>
      </c>
      <c r="C17" s="132">
        <v>5.4341374022130629E-2</v>
      </c>
      <c r="D17" s="132">
        <v>4.8841644665710587E-2</v>
      </c>
      <c r="E17" s="132">
        <v>1.8945984402250565E-2</v>
      </c>
      <c r="F17" s="132">
        <v>5.4681554979539651E-2</v>
      </c>
      <c r="G17" s="132">
        <v>8.2206014025942256E-2</v>
      </c>
      <c r="H17" s="132">
        <v>9.8743190135473516E-2</v>
      </c>
      <c r="I17" s="132">
        <v>0.10768588103077124</v>
      </c>
      <c r="J17" s="132">
        <v>0.11674507153000362</v>
      </c>
      <c r="K17" s="132">
        <v>0.11637686721431827</v>
      </c>
      <c r="L17" s="132">
        <v>0.13000228674400433</v>
      </c>
      <c r="M17" s="132">
        <v>0.13836382620475754</v>
      </c>
      <c r="N17" s="132">
        <v>0.16075578768488286</v>
      </c>
      <c r="O17" s="132">
        <v>0.2004586391404681</v>
      </c>
      <c r="P17" s="132">
        <v>0.26339921516709186</v>
      </c>
      <c r="Q17" s="132">
        <v>0.35571270525908394</v>
      </c>
      <c r="R17" s="132">
        <v>0.45639071987728974</v>
      </c>
      <c r="S17" s="132">
        <v>0.54807033437932751</v>
      </c>
      <c r="T17" s="132">
        <v>0.62625832985630858</v>
      </c>
      <c r="U17" s="132">
        <v>0.69294897414443457</v>
      </c>
      <c r="V17" s="132">
        <v>0.74689276444960695</v>
      </c>
      <c r="W17" s="132">
        <v>0.79597987567401862</v>
      </c>
      <c r="X17" s="132">
        <v>0.87211430016375135</v>
      </c>
      <c r="Y17" s="132">
        <v>0.85321594385935795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45.132404382773515</v>
      </c>
      <c r="C19" s="130">
        <f t="shared" si="9"/>
        <v>64.558748737923253</v>
      </c>
      <c r="D19" s="130">
        <f t="shared" si="9"/>
        <v>73.710890556482752</v>
      </c>
      <c r="E19" s="130">
        <f t="shared" si="9"/>
        <v>65.881382451780738</v>
      </c>
      <c r="F19" s="130">
        <f t="shared" si="9"/>
        <v>69.679855871391595</v>
      </c>
      <c r="G19" s="130">
        <f t="shared" si="9"/>
        <v>64.539594924710258</v>
      </c>
      <c r="H19" s="130">
        <f t="shared" si="9"/>
        <v>78.339733677076325</v>
      </c>
      <c r="I19" s="130">
        <f t="shared" si="9"/>
        <v>103.8986656509413</v>
      </c>
      <c r="J19" s="130">
        <f t="shared" si="9"/>
        <v>113.40924782240627</v>
      </c>
      <c r="K19" s="130">
        <f t="shared" si="9"/>
        <v>117.71720824864593</v>
      </c>
      <c r="L19" s="130">
        <f t="shared" si="9"/>
        <v>123.76753309739615</v>
      </c>
      <c r="M19" s="130">
        <f t="shared" si="9"/>
        <v>124.7524975138605</v>
      </c>
      <c r="N19" s="130">
        <f t="shared" si="9"/>
        <v>150.18800518889307</v>
      </c>
      <c r="O19" s="130">
        <f t="shared" si="9"/>
        <v>165.57019230565416</v>
      </c>
      <c r="P19" s="130">
        <f t="shared" si="9"/>
        <v>171.45762592050502</v>
      </c>
      <c r="Q19" s="130">
        <f t="shared" si="9"/>
        <v>176.42334248427073</v>
      </c>
      <c r="R19" s="130">
        <f t="shared" ref="R19:W19" si="10">SUM(R20:R27)</f>
        <v>153.0622474119989</v>
      </c>
      <c r="S19" s="130">
        <f t="shared" si="10"/>
        <v>146.65173669850032</v>
      </c>
      <c r="T19" s="130">
        <f t="shared" si="10"/>
        <v>128.23435848714823</v>
      </c>
      <c r="U19" s="130">
        <f t="shared" si="10"/>
        <v>125.74591893779885</v>
      </c>
      <c r="V19" s="130">
        <f t="shared" si="10"/>
        <v>71.451896768937615</v>
      </c>
      <c r="W19" s="130">
        <f t="shared" si="10"/>
        <v>115.89837092255436</v>
      </c>
      <c r="X19" s="130">
        <f t="shared" ref="X19:Y19" si="11">SUM(X20:X27)</f>
        <v>110.14821579877473</v>
      </c>
      <c r="Y19" s="130">
        <f t="shared" si="11"/>
        <v>103.64172720888922</v>
      </c>
      <c r="DA19" s="155" t="s">
        <v>236</v>
      </c>
    </row>
    <row r="20" spans="1:105" ht="12" customHeight="1" x14ac:dyDescent="0.25">
      <c r="A20" s="131" t="s">
        <v>29</v>
      </c>
      <c r="B20" s="132">
        <v>30.845618348844077</v>
      </c>
      <c r="C20" s="132">
        <v>25.096139889529962</v>
      </c>
      <c r="D20" s="132">
        <v>24.213557091838666</v>
      </c>
      <c r="E20" s="132">
        <v>15.134964733805377</v>
      </c>
      <c r="F20" s="132">
        <v>12.801803904588862</v>
      </c>
      <c r="G20" s="132">
        <v>5.3707541783950461</v>
      </c>
      <c r="H20" s="132">
        <v>14.664868513768015</v>
      </c>
      <c r="I20" s="132">
        <v>29.957153790895514</v>
      </c>
      <c r="J20" s="132">
        <v>36.991547568756644</v>
      </c>
      <c r="K20" s="132">
        <v>42.498702217756623</v>
      </c>
      <c r="L20" s="132">
        <v>40.176997840275341</v>
      </c>
      <c r="M20" s="132">
        <v>41.954834067400377</v>
      </c>
      <c r="N20" s="132">
        <v>41.725544071185105</v>
      </c>
      <c r="O20" s="132">
        <v>42.080501026113723</v>
      </c>
      <c r="P20" s="132">
        <v>43.680267982992255</v>
      </c>
      <c r="Q20" s="132">
        <v>48.634189265313303</v>
      </c>
      <c r="R20" s="132">
        <v>24.662288558967887</v>
      </c>
      <c r="S20" s="132">
        <v>29.740743114866909</v>
      </c>
      <c r="T20" s="132">
        <v>31.632976718766137</v>
      </c>
      <c r="U20" s="132">
        <v>44.303536480513486</v>
      </c>
      <c r="V20" s="132">
        <v>17.289865020368296</v>
      </c>
      <c r="W20" s="132">
        <v>23.190532474120932</v>
      </c>
      <c r="X20" s="132">
        <v>14.194825890602084</v>
      </c>
      <c r="Y20" s="132">
        <v>10.498255827211032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0</v>
      </c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373</v>
      </c>
    </row>
    <row r="23" spans="1:105" ht="12" customHeight="1" x14ac:dyDescent="0.25">
      <c r="A23" s="131" t="s">
        <v>149</v>
      </c>
      <c r="B23" s="132">
        <v>14.28678603392944</v>
      </c>
      <c r="C23" s="132">
        <v>39.462608848393295</v>
      </c>
      <c r="D23" s="132">
        <v>49.497333464644093</v>
      </c>
      <c r="E23" s="132">
        <v>50.746417717975362</v>
      </c>
      <c r="F23" s="132">
        <v>56.87805196680273</v>
      </c>
      <c r="G23" s="132">
        <v>59.168840746315205</v>
      </c>
      <c r="H23" s="132">
        <v>63.674865163308311</v>
      </c>
      <c r="I23" s="132">
        <v>73.941511860045779</v>
      </c>
      <c r="J23" s="132">
        <v>76.417700253649627</v>
      </c>
      <c r="K23" s="132">
        <v>75.218506030889301</v>
      </c>
      <c r="L23" s="132">
        <v>83.59053525712082</v>
      </c>
      <c r="M23" s="132">
        <v>82.797663446460135</v>
      </c>
      <c r="N23" s="132">
        <v>108.46246111770796</v>
      </c>
      <c r="O23" s="132">
        <v>123.48969127954044</v>
      </c>
      <c r="P23" s="132">
        <v>127.77735793751276</v>
      </c>
      <c r="Q23" s="132">
        <v>127.78915321895742</v>
      </c>
      <c r="R23" s="132">
        <v>128.39995885303099</v>
      </c>
      <c r="S23" s="132">
        <v>116.91099358363341</v>
      </c>
      <c r="T23" s="132">
        <v>96.601381768382097</v>
      </c>
      <c r="U23" s="132">
        <v>81.442382457285362</v>
      </c>
      <c r="V23" s="132">
        <v>54.162031748569326</v>
      </c>
      <c r="W23" s="132">
        <v>92.707838448433435</v>
      </c>
      <c r="X23" s="132">
        <v>95.953389908172639</v>
      </c>
      <c r="Y23" s="132">
        <v>93.143471381678197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134.38728687246061</v>
      </c>
      <c r="C29" s="130">
        <f t="shared" si="12"/>
        <v>159.079401181967</v>
      </c>
      <c r="D29" s="130">
        <f t="shared" si="12"/>
        <v>207.63968777568201</v>
      </c>
      <c r="E29" s="130">
        <f t="shared" si="12"/>
        <v>207.71329815826562</v>
      </c>
      <c r="F29" s="130">
        <f t="shared" si="12"/>
        <v>198.18709597155134</v>
      </c>
      <c r="G29" s="130">
        <f t="shared" si="12"/>
        <v>192.41227944246538</v>
      </c>
      <c r="H29" s="130">
        <f t="shared" si="12"/>
        <v>190.09146784441</v>
      </c>
      <c r="I29" s="130">
        <f t="shared" si="12"/>
        <v>149.45338312153731</v>
      </c>
      <c r="J29" s="130">
        <f t="shared" si="12"/>
        <v>131.93724018243475</v>
      </c>
      <c r="K29" s="130">
        <f t="shared" si="12"/>
        <v>149.37344196674627</v>
      </c>
      <c r="L29" s="130">
        <f t="shared" si="12"/>
        <v>169.09158626325487</v>
      </c>
      <c r="M29" s="130">
        <f t="shared" si="12"/>
        <v>107.9910667536998</v>
      </c>
      <c r="N29" s="130">
        <f t="shared" si="12"/>
        <v>146.86703511075143</v>
      </c>
      <c r="O29" s="130">
        <f t="shared" si="12"/>
        <v>168.40389828414729</v>
      </c>
      <c r="P29" s="130">
        <f t="shared" si="12"/>
        <v>172.19579914071454</v>
      </c>
      <c r="Q29" s="130">
        <f t="shared" si="12"/>
        <v>179.65415705377845</v>
      </c>
      <c r="R29" s="130">
        <f t="shared" ref="R29:W29" si="13">SUM(R30:R33)</f>
        <v>176.48625229569708</v>
      </c>
      <c r="S29" s="130">
        <f t="shared" si="13"/>
        <v>155.85715115598856</v>
      </c>
      <c r="T29" s="130">
        <f t="shared" si="13"/>
        <v>141.26796026004465</v>
      </c>
      <c r="U29" s="130">
        <f t="shared" si="13"/>
        <v>116.81153443740986</v>
      </c>
      <c r="V29" s="130">
        <f t="shared" si="13"/>
        <v>103.28426273854389</v>
      </c>
      <c r="W29" s="130">
        <f t="shared" si="13"/>
        <v>161.3446189724603</v>
      </c>
      <c r="X29" s="130">
        <f t="shared" ref="X29:Y29" si="14">SUM(X30:X33)</f>
        <v>161.73323375361758</v>
      </c>
      <c r="Y29" s="130">
        <f t="shared" si="14"/>
        <v>145.07314895989234</v>
      </c>
      <c r="DA29" s="155" t="s">
        <v>237</v>
      </c>
    </row>
    <row r="30" spans="1:105" ht="12" customHeight="1" x14ac:dyDescent="0.25">
      <c r="A30" s="131" t="s">
        <v>52</v>
      </c>
      <c r="B30" s="132">
        <v>17.419310280000005</v>
      </c>
      <c r="C30" s="132">
        <v>46.441499040000004</v>
      </c>
      <c r="D30" s="132">
        <v>98.688526200000013</v>
      </c>
      <c r="E30" s="132">
        <v>107.39625048000002</v>
      </c>
      <c r="F30" s="132">
        <v>119.00662524000002</v>
      </c>
      <c r="G30" s="132">
        <v>84.175500959999965</v>
      </c>
      <c r="H30" s="132">
        <v>72.564899039999986</v>
      </c>
      <c r="I30" s="132">
        <v>23.220749519999995</v>
      </c>
      <c r="J30" s="132">
        <v>5.8053009599999994</v>
      </c>
      <c r="K30" s="132">
        <v>29.026050479999999</v>
      </c>
      <c r="L30" s="132">
        <v>52.246799999999972</v>
      </c>
      <c r="M30" s="132">
        <v>5.8053009599999994</v>
      </c>
      <c r="N30" s="132">
        <v>31.92870095999999</v>
      </c>
      <c r="O30" s="132">
        <v>29.026050479999981</v>
      </c>
      <c r="P30" s="132">
        <v>26.123399999999975</v>
      </c>
      <c r="Q30" s="132">
        <v>20.31809904</v>
      </c>
      <c r="R30" s="132">
        <v>17.415675720000007</v>
      </c>
      <c r="S30" s="132">
        <v>8.707724279999999</v>
      </c>
      <c r="T30" s="132">
        <v>11.610374760000001</v>
      </c>
      <c r="U30" s="132">
        <v>8.707724279999999</v>
      </c>
      <c r="V30" s="132">
        <v>5.805300960000003</v>
      </c>
      <c r="W30" s="132">
        <v>5.805300960000003</v>
      </c>
      <c r="X30" s="132">
        <v>11.610374760000006</v>
      </c>
      <c r="Y30" s="132">
        <v>5.8053009600000012</v>
      </c>
      <c r="DA30" s="156" t="s">
        <v>379</v>
      </c>
    </row>
    <row r="31" spans="1:105" ht="12" customHeight="1" x14ac:dyDescent="0.25">
      <c r="A31" s="131" t="s">
        <v>149</v>
      </c>
      <c r="B31" s="132">
        <v>116.96797659246062</v>
      </c>
      <c r="C31" s="132">
        <v>112.637902141967</v>
      </c>
      <c r="D31" s="132">
        <v>108.95116157568199</v>
      </c>
      <c r="E31" s="132">
        <v>100.31704767826561</v>
      </c>
      <c r="F31" s="132">
        <v>79.180470731551338</v>
      </c>
      <c r="G31" s="132">
        <v>108.2367784824654</v>
      </c>
      <c r="H31" s="132">
        <v>117.52656880441002</v>
      </c>
      <c r="I31" s="132">
        <v>126.23263360153733</v>
      </c>
      <c r="J31" s="132">
        <v>126.13193922243474</v>
      </c>
      <c r="K31" s="132">
        <v>120.34739148674628</v>
      </c>
      <c r="L31" s="132">
        <v>116.84478626325489</v>
      </c>
      <c r="M31" s="132">
        <v>102.1857657936998</v>
      </c>
      <c r="N31" s="132">
        <v>114.93833415075143</v>
      </c>
      <c r="O31" s="132">
        <v>139.37784780414731</v>
      </c>
      <c r="P31" s="132">
        <v>146.07239914071457</v>
      </c>
      <c r="Q31" s="132">
        <v>159.33605801377846</v>
      </c>
      <c r="R31" s="132">
        <v>159.07057657569709</v>
      </c>
      <c r="S31" s="132">
        <v>147.14942687598855</v>
      </c>
      <c r="T31" s="132">
        <v>129.65758550004463</v>
      </c>
      <c r="U31" s="132">
        <v>108.10381015740987</v>
      </c>
      <c r="V31" s="132">
        <v>97.478961778543891</v>
      </c>
      <c r="W31" s="132">
        <v>155.53931801246028</v>
      </c>
      <c r="X31" s="132">
        <v>150.12285899361757</v>
      </c>
      <c r="Y31" s="132">
        <v>139.26784799989233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817414.27080351848</v>
      </c>
      <c r="C3" s="125">
        <f>IF(SER_hh_fec!C3=0,0,11630*1000*SER_hh_fec!C3/SER_hh_num!C3)</f>
        <v>608232.61286980112</v>
      </c>
      <c r="D3" s="125">
        <f>IF(SER_hh_fec!D3=0,0,11630*1000*SER_hh_fec!D3/SER_hh_num!D3)</f>
        <v>533026.18698002282</v>
      </c>
      <c r="E3" s="125">
        <f>IF(SER_hh_fec!E3=0,0,11630*1000*SER_hh_fec!E3/SER_hh_num!E3)</f>
        <v>422541.07248724793</v>
      </c>
      <c r="F3" s="125">
        <f>IF(SER_hh_fec!F3=0,0,11630*1000*SER_hh_fec!F3/SER_hh_num!F3)</f>
        <v>460243.95311544277</v>
      </c>
      <c r="G3" s="125">
        <f>IF(SER_hh_fec!G3=0,0,11630*1000*SER_hh_fec!G3/SER_hh_num!G3)</f>
        <v>554555.4942384056</v>
      </c>
      <c r="H3" s="125">
        <f>IF(SER_hh_fec!H3=0,0,11630*1000*SER_hh_fec!H3/SER_hh_num!H3)</f>
        <v>566536.90225640964</v>
      </c>
      <c r="I3" s="125">
        <f>IF(SER_hh_fec!I3=0,0,11630*1000*SER_hh_fec!I3/SER_hh_num!I3)</f>
        <v>530498.50690641208</v>
      </c>
      <c r="J3" s="125">
        <f>IF(SER_hh_fec!J3=0,0,11630*1000*SER_hh_fec!J3/SER_hh_num!J3)</f>
        <v>531569.76542021614</v>
      </c>
      <c r="K3" s="125">
        <f>IF(SER_hh_fec!K3=0,0,11630*1000*SER_hh_fec!K3/SER_hh_num!K3)</f>
        <v>533206.12423655961</v>
      </c>
      <c r="L3" s="125">
        <f>IF(SER_hh_fec!L3=0,0,11630*1000*SER_hh_fec!L3/SER_hh_num!L3)</f>
        <v>568344.91526186687</v>
      </c>
      <c r="M3" s="125">
        <f>IF(SER_hh_fec!M3=0,0,11630*1000*SER_hh_fec!M3/SER_hh_num!M3)</f>
        <v>410889.37021987658</v>
      </c>
      <c r="N3" s="125">
        <f>IF(SER_hh_fec!N3=0,0,11630*1000*SER_hh_fec!N3/SER_hh_num!N3)</f>
        <v>361390.23430009291</v>
      </c>
      <c r="O3" s="125">
        <f>IF(SER_hh_fec!O3=0,0,11630*1000*SER_hh_fec!O3/SER_hh_num!O3)</f>
        <v>433722.94987088832</v>
      </c>
      <c r="P3" s="125">
        <f>IF(SER_hh_fec!P3=0,0,11630*1000*SER_hh_fec!P3/SER_hh_num!P3)</f>
        <v>289451.91075222159</v>
      </c>
      <c r="Q3" s="125">
        <f>IF(SER_hh_fec!Q3=0,0,11630*1000*SER_hh_fec!Q3/SER_hh_num!Q3)</f>
        <v>302431.8504981469</v>
      </c>
      <c r="R3" s="125">
        <f>IF(SER_hh_fec!R3=0,0,11630*1000*SER_hh_fec!R3/SER_hh_num!R3)</f>
        <v>300554.31368437805</v>
      </c>
      <c r="S3" s="125">
        <f>IF(SER_hh_fec!S3=0,0,11630*1000*SER_hh_fec!S3/SER_hh_num!S3)</f>
        <v>327743.03525745543</v>
      </c>
      <c r="T3" s="125">
        <f>IF(SER_hh_fec!T3=0,0,11630*1000*SER_hh_fec!T3/SER_hh_num!T3)</f>
        <v>291589.51083872054</v>
      </c>
      <c r="U3" s="125">
        <f>IF(SER_hh_fec!U3=0,0,11630*1000*SER_hh_fec!U3/SER_hh_num!U3)</f>
        <v>259443.32582689574</v>
      </c>
      <c r="V3" s="125">
        <f>IF(SER_hh_fec!V3=0,0,11630*1000*SER_hh_fec!V3/SER_hh_num!V3)</f>
        <v>224620.89524114365</v>
      </c>
      <c r="W3" s="125">
        <f>IF(SER_hh_fec!W3=0,0,11630*1000*SER_hh_fec!W3/SER_hh_num!W3)</f>
        <v>298410.92387470312</v>
      </c>
      <c r="X3" s="125">
        <f>IF(SER_hh_fec!X3=0,0,11630*1000*SER_hh_fec!X3/SER_hh_num!X3)</f>
        <v>263792.9970433322</v>
      </c>
      <c r="Y3" s="125">
        <f>IF(SER_hh_fec!Y3=0,0,11630*1000*SER_hh_fec!Y3/SER_hh_num!Y3)</f>
        <v>225581.21540711285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738957.2534023677</v>
      </c>
      <c r="C4" s="130">
        <f>IF(SER_hh_fec!C4=0,0,11630*1000*SER_hh_fec!C4/SER_hh_num!C4)</f>
        <v>528952.17115944962</v>
      </c>
      <c r="D4" s="130">
        <f>IF(SER_hh_fec!D4=0,0,11630*1000*SER_hh_fec!D4/SER_hh_num!D4)</f>
        <v>450489.26565830788</v>
      </c>
      <c r="E4" s="130">
        <f>IF(SER_hh_fec!E4=0,0,11630*1000*SER_hh_fec!E4/SER_hh_num!E4)</f>
        <v>339816.13643021847</v>
      </c>
      <c r="F4" s="130">
        <f>IF(SER_hh_fec!F4=0,0,11630*1000*SER_hh_fec!F4/SER_hh_num!F4)</f>
        <v>378225.3020270319</v>
      </c>
      <c r="G4" s="130">
        <f>IF(SER_hh_fec!G4=0,0,11630*1000*SER_hh_fec!G4/SER_hh_num!G4)</f>
        <v>471134.00171624759</v>
      </c>
      <c r="H4" s="130">
        <f>IF(SER_hh_fec!H4=0,0,11630*1000*SER_hh_fec!H4/SER_hh_num!H4)</f>
        <v>483360.2351341123</v>
      </c>
      <c r="I4" s="130">
        <f>IF(SER_hh_fec!I4=0,0,11630*1000*SER_hh_fec!I4/SER_hh_num!I4)</f>
        <v>450416.39198848885</v>
      </c>
      <c r="J4" s="130">
        <f>IF(SER_hh_fec!J4=0,0,11630*1000*SER_hh_fec!J4/SER_hh_num!J4)</f>
        <v>453526.31783549488</v>
      </c>
      <c r="K4" s="130">
        <f>IF(SER_hh_fec!K4=0,0,11630*1000*SER_hh_fec!K4/SER_hh_num!K4)</f>
        <v>452711.37604849652</v>
      </c>
      <c r="L4" s="130">
        <f>IF(SER_hh_fec!L4=0,0,11630*1000*SER_hh_fec!L4/SER_hh_num!L4)</f>
        <v>487814.21421377489</v>
      </c>
      <c r="M4" s="130">
        <f>IF(SER_hh_fec!M4=0,0,11630*1000*SER_hh_fec!M4/SER_hh_num!M4)</f>
        <v>333063.66091609956</v>
      </c>
      <c r="N4" s="130">
        <f>IF(SER_hh_fec!N4=0,0,11630*1000*SER_hh_fec!N4/SER_hh_num!N4)</f>
        <v>281862.511091483</v>
      </c>
      <c r="O4" s="130">
        <f>IF(SER_hh_fec!O4=0,0,11630*1000*SER_hh_fec!O4/SER_hh_num!O4)</f>
        <v>353683.50049796823</v>
      </c>
      <c r="P4" s="130">
        <f>IF(SER_hh_fec!P4=0,0,11630*1000*SER_hh_fec!P4/SER_hh_num!P4)</f>
        <v>209910.79116381588</v>
      </c>
      <c r="Q4" s="130">
        <f>IF(SER_hh_fec!Q4=0,0,11630*1000*SER_hh_fec!Q4/SER_hh_num!Q4)</f>
        <v>222436.90699300845</v>
      </c>
      <c r="R4" s="130">
        <f>IF(SER_hh_fec!R4=0,0,11630*1000*SER_hh_fec!R4/SER_hh_num!R4)</f>
        <v>222350.68935352657</v>
      </c>
      <c r="S4" s="130">
        <f>IF(SER_hh_fec!S4=0,0,11630*1000*SER_hh_fec!S4/SER_hh_num!S4)</f>
        <v>250827.07476407464</v>
      </c>
      <c r="T4" s="130">
        <f>IF(SER_hh_fec!T4=0,0,11630*1000*SER_hh_fec!T4/SER_hh_num!T4)</f>
        <v>217367.07869751824</v>
      </c>
      <c r="U4" s="130">
        <f>IF(SER_hh_fec!U4=0,0,11630*1000*SER_hh_fec!U4/SER_hh_num!U4)</f>
        <v>188030.02888190417</v>
      </c>
      <c r="V4" s="130">
        <f>IF(SER_hh_fec!V4=0,0,11630*1000*SER_hh_fec!V4/SER_hh_num!V4)</f>
        <v>161321.69383368417</v>
      </c>
      <c r="W4" s="130">
        <f>IF(SER_hh_fec!W4=0,0,11630*1000*SER_hh_fec!W4/SER_hh_num!W4)</f>
        <v>227517.68837191822</v>
      </c>
      <c r="X4" s="130">
        <f>IF(SER_hh_fec!X4=0,0,11630*1000*SER_hh_fec!X4/SER_hh_num!X4)</f>
        <v>193619.25094134893</v>
      </c>
      <c r="Y4" s="130">
        <f>IF(SER_hh_fec!Y4=0,0,11630*1000*SER_hh_fec!Y4/SER_hh_num!Y4)</f>
        <v>157162.20598175208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628313.42578570347</v>
      </c>
      <c r="C5" s="132">
        <f>IF(SER_hh_fec!C5=0,0,11630*1000*SER_hh_fec!C5/SER_hh_num!C5)</f>
        <v>530274.47422414576</v>
      </c>
      <c r="D5" s="132">
        <f>IF(SER_hh_fec!D5=0,0,11630*1000*SER_hh_fec!D5/SER_hh_num!D5)</f>
        <v>706584.10462752986</v>
      </c>
      <c r="E5" s="132">
        <f>IF(SER_hh_fec!E5=0,0,11630*1000*SER_hh_fec!E5/SER_hh_num!E5)</f>
        <v>169534.08844831967</v>
      </c>
      <c r="F5" s="132">
        <f>IF(SER_hh_fec!F5=0,0,11630*1000*SER_hh_fec!F5/SER_hh_num!F5)</f>
        <v>664043.38285449648</v>
      </c>
      <c r="G5" s="132">
        <f>IF(SER_hh_fec!G5=0,0,11630*1000*SER_hh_fec!G5/SER_hh_num!G5)</f>
        <v>153028.10422312198</v>
      </c>
      <c r="H5" s="132">
        <f>IF(SER_hh_fec!H5=0,0,11630*1000*SER_hh_fec!H5/SER_hh_num!H5)</f>
        <v>356862.09102292627</v>
      </c>
      <c r="I5" s="132">
        <f>IF(SER_hh_fec!I5=0,0,11630*1000*SER_hh_fec!I5/SER_hh_num!I5)</f>
        <v>398778.46087781101</v>
      </c>
      <c r="J5" s="132">
        <f>IF(SER_hh_fec!J5=0,0,11630*1000*SER_hh_fec!J5/SER_hh_num!J5)</f>
        <v>406181.92707826541</v>
      </c>
      <c r="K5" s="132">
        <f>IF(SER_hh_fec!K5=0,0,11630*1000*SER_hh_fec!K5/SER_hh_num!K5)</f>
        <v>727917.5479747951</v>
      </c>
      <c r="L5" s="132">
        <f>IF(SER_hh_fec!L5=0,0,11630*1000*SER_hh_fec!L5/SER_hh_num!L5)</f>
        <v>395680.07227930805</v>
      </c>
      <c r="M5" s="132">
        <f>IF(SER_hh_fec!M5=0,0,11630*1000*SER_hh_fec!M5/SER_hh_num!M5)</f>
        <v>458095.06294943701</v>
      </c>
      <c r="N5" s="132">
        <f>IF(SER_hh_fec!N5=0,0,11630*1000*SER_hh_fec!N5/SER_hh_num!N5)</f>
        <v>168711.77222696692</v>
      </c>
      <c r="O5" s="132">
        <f>IF(SER_hh_fec!O5=0,0,11630*1000*SER_hh_fec!O5/SER_hh_num!O5)</f>
        <v>347346.02600384271</v>
      </c>
      <c r="P5" s="132">
        <f>IF(SER_hh_fec!P5=0,0,11630*1000*SER_hh_fec!P5/SER_hh_num!P5)</f>
        <v>238149.58858696671</v>
      </c>
      <c r="Q5" s="132">
        <f>IF(SER_hh_fec!Q5=0,0,11630*1000*SER_hh_fec!Q5/SER_hh_num!Q5)</f>
        <v>261701.91661022301</v>
      </c>
      <c r="R5" s="132">
        <f>IF(SER_hh_fec!R5=0,0,11630*1000*SER_hh_fec!R5/SER_hh_num!R5)</f>
        <v>171790.66352157595</v>
      </c>
      <c r="S5" s="132">
        <f>IF(SER_hh_fec!S5=0,0,11630*1000*SER_hh_fec!S5/SER_hh_num!S5)</f>
        <v>213252.1237808603</v>
      </c>
      <c r="T5" s="132">
        <f>IF(SER_hh_fec!T5=0,0,11630*1000*SER_hh_fec!T5/SER_hh_num!T5)</f>
        <v>226689.2073586295</v>
      </c>
      <c r="U5" s="132">
        <f>IF(SER_hh_fec!U5=0,0,11630*1000*SER_hh_fec!U5/SER_hh_num!U5)</f>
        <v>329382.2414673235</v>
      </c>
      <c r="V5" s="132">
        <f>IF(SER_hh_fec!V5=0,0,11630*1000*SER_hh_fec!V5/SER_hh_num!V5)</f>
        <v>141681.25436135713</v>
      </c>
      <c r="W5" s="132">
        <f>IF(SER_hh_fec!W5=0,0,11630*1000*SER_hh_fec!W5/SER_hh_num!W5)</f>
        <v>258949.99967342644</v>
      </c>
      <c r="X5" s="132">
        <f>IF(SER_hh_fec!X5=0,0,11630*1000*SER_hh_fec!X5/SER_hh_num!X5)</f>
        <v>200556.89468748617</v>
      </c>
      <c r="Y5" s="132">
        <f>IF(SER_hh_fec!Y5=0,0,11630*1000*SER_hh_fec!Y5/SER_hh_num!Y5)</f>
        <v>185330.10768452435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108887.27491457405</v>
      </c>
      <c r="C7" s="132">
        <f>IF(SER_hh_fec!C7=0,0,11630*1000*SER_hh_fec!C7/SER_hh_num!C7)</f>
        <v>953328.13411838049</v>
      </c>
      <c r="D7" s="132">
        <f>IF(SER_hh_fec!D7=0,0,11630*1000*SER_hh_fec!D7/SER_hh_num!D7)</f>
        <v>676150.16067596118</v>
      </c>
      <c r="E7" s="132">
        <f>IF(SER_hh_fec!E7=0,0,11630*1000*SER_hh_fec!E7/SER_hh_num!E7)</f>
        <v>247275.08633992696</v>
      </c>
      <c r="F7" s="132">
        <f>IF(SER_hh_fec!F7=0,0,11630*1000*SER_hh_fec!F7/SER_hh_num!F7)</f>
        <v>648999.17705241556</v>
      </c>
      <c r="G7" s="132">
        <f>IF(SER_hh_fec!G7=0,0,11630*1000*SER_hh_fec!G7/SER_hh_num!G7)</f>
        <v>764530.67600915988</v>
      </c>
      <c r="H7" s="132">
        <f>IF(SER_hh_fec!H7=0,0,11630*1000*SER_hh_fec!H7/SER_hh_num!H7)</f>
        <v>647442.33464372647</v>
      </c>
      <c r="I7" s="132">
        <f>IF(SER_hh_fec!I7=0,0,11630*1000*SER_hh_fec!I7/SER_hh_num!I7)</f>
        <v>68354.194190820097</v>
      </c>
      <c r="J7" s="132">
        <f>IF(SER_hh_fec!J7=0,0,11630*1000*SER_hh_fec!J7/SER_hh_num!J7)</f>
        <v>421761.92822676519</v>
      </c>
      <c r="K7" s="132">
        <f>IF(SER_hh_fec!K7=0,0,11630*1000*SER_hh_fec!K7/SER_hh_num!K7)</f>
        <v>1254470.8249742135</v>
      </c>
      <c r="L7" s="132">
        <f>IF(SER_hh_fec!L7=0,0,11630*1000*SER_hh_fec!L7/SER_hh_num!L7)</f>
        <v>0</v>
      </c>
      <c r="M7" s="132">
        <f>IF(SER_hh_fec!M7=0,0,11630*1000*SER_hh_fec!M7/SER_hh_num!M7)</f>
        <v>0</v>
      </c>
      <c r="N7" s="132">
        <f>IF(SER_hh_fec!N7=0,0,11630*1000*SER_hh_fec!N7/SER_hh_num!N7)</f>
        <v>0</v>
      </c>
      <c r="O7" s="132">
        <f>IF(SER_hh_fec!O7=0,0,11630*1000*SER_hh_fec!O7/SER_hh_num!O7)</f>
        <v>109300.70806345264</v>
      </c>
      <c r="P7" s="132">
        <f>IF(SER_hh_fec!P7=0,0,11630*1000*SER_hh_fec!P7/SER_hh_num!P7)</f>
        <v>271128.36571469845</v>
      </c>
      <c r="Q7" s="132">
        <f>IF(SER_hh_fec!Q7=0,0,11630*1000*SER_hh_fec!Q7/SER_hh_num!Q7)</f>
        <v>274910.81475405546</v>
      </c>
      <c r="R7" s="132">
        <f>IF(SER_hh_fec!R7=0,0,11630*1000*SER_hh_fec!R7/SER_hh_num!R7)</f>
        <v>184536.09324659652</v>
      </c>
      <c r="S7" s="132">
        <f>IF(SER_hh_fec!S7=0,0,11630*1000*SER_hh_fec!S7/SER_hh_num!S7)</f>
        <v>147737.67771371515</v>
      </c>
      <c r="T7" s="132">
        <f>IF(SER_hh_fec!T7=0,0,11630*1000*SER_hh_fec!T7/SER_hh_num!T7)</f>
        <v>102869.51310290727</v>
      </c>
      <c r="U7" s="132">
        <f>IF(SER_hh_fec!U7=0,0,11630*1000*SER_hh_fec!U7/SER_hh_num!U7)</f>
        <v>268436.78347790911</v>
      </c>
      <c r="V7" s="132">
        <f>IF(SER_hh_fec!V7=0,0,11630*1000*SER_hh_fec!V7/SER_hh_num!V7)</f>
        <v>167508.47157386949</v>
      </c>
      <c r="W7" s="132">
        <f>IF(SER_hh_fec!W7=0,0,11630*1000*SER_hh_fec!W7/SER_hh_num!W7)</f>
        <v>187925.77458320145</v>
      </c>
      <c r="X7" s="132">
        <f>IF(SER_hh_fec!X7=0,0,11630*1000*SER_hh_fec!X7/SER_hh_num!X7)</f>
        <v>258084.72331862187</v>
      </c>
      <c r="Y7" s="132">
        <f>IF(SER_hh_fec!Y7=0,0,11630*1000*SER_hh_fec!Y7/SER_hh_num!Y7)</f>
        <v>144128.11808946714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304067.10903056891</v>
      </c>
      <c r="C8" s="132">
        <f>IF(SER_hh_fec!C8=0,0,11630*1000*SER_hh_fec!C8/SER_hh_num!C8)</f>
        <v>265988.06277354877</v>
      </c>
      <c r="D8" s="132">
        <f>IF(SER_hh_fec!D8=0,0,11630*1000*SER_hh_fec!D8/SER_hh_num!D8)</f>
        <v>192837.12659318713</v>
      </c>
      <c r="E8" s="132">
        <f>IF(SER_hh_fec!E8=0,0,11630*1000*SER_hh_fec!E8/SER_hh_num!E8)</f>
        <v>191981.60810662404</v>
      </c>
      <c r="F8" s="132">
        <f>IF(SER_hh_fec!F8=0,0,11630*1000*SER_hh_fec!F8/SER_hh_num!F8)</f>
        <v>201545.83575988328</v>
      </c>
      <c r="G8" s="132">
        <f>IF(SER_hh_fec!G8=0,0,11630*1000*SER_hh_fec!G8/SER_hh_num!G8)</f>
        <v>205556.17366109061</v>
      </c>
      <c r="H8" s="132">
        <f>IF(SER_hh_fec!H8=0,0,11630*1000*SER_hh_fec!H8/SER_hh_num!H8)</f>
        <v>213076.32425041482</v>
      </c>
      <c r="I8" s="132">
        <f>IF(SER_hh_fec!I8=0,0,11630*1000*SER_hh_fec!I8/SER_hh_num!I8)</f>
        <v>201662.19071718652</v>
      </c>
      <c r="J8" s="132">
        <f>IF(SER_hh_fec!J8=0,0,11630*1000*SER_hh_fec!J8/SER_hh_num!J8)</f>
        <v>189832.55769842319</v>
      </c>
      <c r="K8" s="132">
        <f>IF(SER_hh_fec!K8=0,0,11630*1000*SER_hh_fec!K8/SER_hh_num!K8)</f>
        <v>175681.71218921294</v>
      </c>
      <c r="L8" s="132">
        <f>IF(SER_hh_fec!L8=0,0,11630*1000*SER_hh_fec!L8/SER_hh_num!L8)</f>
        <v>147022.67222252066</v>
      </c>
      <c r="M8" s="132">
        <f>IF(SER_hh_fec!M8=0,0,11630*1000*SER_hh_fec!M8/SER_hh_num!M8)</f>
        <v>129206.46726068565</v>
      </c>
      <c r="N8" s="132">
        <f>IF(SER_hh_fec!N8=0,0,11630*1000*SER_hh_fec!N8/SER_hh_num!N8)</f>
        <v>92748.984615070032</v>
      </c>
      <c r="O8" s="132">
        <f>IF(SER_hh_fec!O8=0,0,11630*1000*SER_hh_fec!O8/SER_hh_num!O8)</f>
        <v>95108.967897206923</v>
      </c>
      <c r="P8" s="132">
        <f>IF(SER_hh_fec!P8=0,0,11630*1000*SER_hh_fec!P8/SER_hh_num!P8)</f>
        <v>77202.467275119838</v>
      </c>
      <c r="Q8" s="132">
        <f>IF(SER_hh_fec!Q8=0,0,11630*1000*SER_hh_fec!Q8/SER_hh_num!Q8)</f>
        <v>79231.459967529852</v>
      </c>
      <c r="R8" s="132">
        <f>IF(SER_hh_fec!R8=0,0,11630*1000*SER_hh_fec!R8/SER_hh_num!R8)</f>
        <v>70278.057840675188</v>
      </c>
      <c r="S8" s="132">
        <f>IF(SER_hh_fec!S8=0,0,11630*1000*SER_hh_fec!S8/SER_hh_num!S8)</f>
        <v>69980.828042933499</v>
      </c>
      <c r="T8" s="132">
        <f>IF(SER_hh_fec!T8=0,0,11630*1000*SER_hh_fec!T8/SER_hh_num!T8)</f>
        <v>64709.007974403161</v>
      </c>
      <c r="U8" s="132">
        <f>IF(SER_hh_fec!U8=0,0,11630*1000*SER_hh_fec!U8/SER_hh_num!U8)</f>
        <v>53494.365319524601</v>
      </c>
      <c r="V8" s="132">
        <f>IF(SER_hh_fec!V8=0,0,11630*1000*SER_hh_fec!V8/SER_hh_num!V8)</f>
        <v>56775.55136347004</v>
      </c>
      <c r="W8" s="132">
        <f>IF(SER_hh_fec!W8=0,0,11630*1000*SER_hh_fec!W8/SER_hh_num!W8)</f>
        <v>59196.822431761924</v>
      </c>
      <c r="X8" s="132">
        <f>IF(SER_hh_fec!X8=0,0,11630*1000*SER_hh_fec!X8/SER_hh_num!X8)</f>
        <v>55567.189499732725</v>
      </c>
      <c r="Y8" s="132">
        <f>IF(SER_hh_fec!Y8=0,0,11630*1000*SER_hh_fec!Y8/SER_hh_num!Y8)</f>
        <v>53879.866680506042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984933.6795087707</v>
      </c>
      <c r="C9" s="132">
        <f>IF(SER_hh_fec!C9=0,0,11630*1000*SER_hh_fec!C9/SER_hh_num!C9)</f>
        <v>575868.06893858965</v>
      </c>
      <c r="D9" s="132">
        <f>IF(SER_hh_fec!D9=0,0,11630*1000*SER_hh_fec!D9/SER_hh_num!D9)</f>
        <v>433422.4251723637</v>
      </c>
      <c r="E9" s="132">
        <f>IF(SER_hh_fec!E9=0,0,11630*1000*SER_hh_fec!E9/SER_hh_num!E9)</f>
        <v>458022.68010890443</v>
      </c>
      <c r="F9" s="132">
        <f>IF(SER_hh_fec!F9=0,0,11630*1000*SER_hh_fec!F9/SER_hh_num!F9)</f>
        <v>271395.40399722895</v>
      </c>
      <c r="G9" s="132">
        <f>IF(SER_hh_fec!G9=0,0,11630*1000*SER_hh_fec!G9/SER_hh_num!G9)</f>
        <v>651650.43260768102</v>
      </c>
      <c r="H9" s="132">
        <f>IF(SER_hh_fec!H9=0,0,11630*1000*SER_hh_fec!H9/SER_hh_num!H9)</f>
        <v>601324.51739666064</v>
      </c>
      <c r="I9" s="132">
        <f>IF(SER_hh_fec!I9=0,0,11630*1000*SER_hh_fec!I9/SER_hh_num!I9)</f>
        <v>520318.64083877642</v>
      </c>
      <c r="J9" s="132">
        <f>IF(SER_hh_fec!J9=0,0,11630*1000*SER_hh_fec!J9/SER_hh_num!J9)</f>
        <v>542387.01391821366</v>
      </c>
      <c r="K9" s="132">
        <f>IF(SER_hh_fec!K9=0,0,11630*1000*SER_hh_fec!K9/SER_hh_num!K9)</f>
        <v>388126.65865629388</v>
      </c>
      <c r="L9" s="132">
        <f>IF(SER_hh_fec!L9=0,0,11630*1000*SER_hh_fec!L9/SER_hh_num!L9)</f>
        <v>622002.52368619607</v>
      </c>
      <c r="M9" s="132">
        <f>IF(SER_hh_fec!M9=0,0,11630*1000*SER_hh_fec!M9/SER_hh_num!M9)</f>
        <v>232838.92840270922</v>
      </c>
      <c r="N9" s="132">
        <f>IF(SER_hh_fec!N9=0,0,11630*1000*SER_hh_fec!N9/SER_hh_num!N9)</f>
        <v>371269.67481526546</v>
      </c>
      <c r="O9" s="132">
        <f>IF(SER_hh_fec!O9=0,0,11630*1000*SER_hh_fec!O9/SER_hh_num!O9)</f>
        <v>422682.25144992134</v>
      </c>
      <c r="P9" s="132">
        <f>IF(SER_hh_fec!P9=0,0,11630*1000*SER_hh_fec!P9/SER_hh_num!P9)</f>
        <v>236288.15140386118</v>
      </c>
      <c r="Q9" s="132">
        <f>IF(SER_hh_fec!Q9=0,0,11630*1000*SER_hh_fec!Q9/SER_hh_num!Q9)</f>
        <v>260347.72719422058</v>
      </c>
      <c r="R9" s="132">
        <f>IF(SER_hh_fec!R9=0,0,11630*1000*SER_hh_fec!R9/SER_hh_num!R9)</f>
        <v>251136.34319755557</v>
      </c>
      <c r="S9" s="132">
        <f>IF(SER_hh_fec!S9=0,0,11630*1000*SER_hh_fec!S9/SER_hh_num!S9)</f>
        <v>281296.16004319885</v>
      </c>
      <c r="T9" s="132">
        <f>IF(SER_hh_fec!T9=0,0,11630*1000*SER_hh_fec!T9/SER_hh_num!T9)</f>
        <v>241749.30536364179</v>
      </c>
      <c r="U9" s="132">
        <f>IF(SER_hh_fec!U9=0,0,11630*1000*SER_hh_fec!U9/SER_hh_num!U9)</f>
        <v>189341.2171056385</v>
      </c>
      <c r="V9" s="132">
        <f>IF(SER_hh_fec!V9=0,0,11630*1000*SER_hh_fec!V9/SER_hh_num!V9)</f>
        <v>168869.4394134497</v>
      </c>
      <c r="W9" s="132">
        <f>IF(SER_hh_fec!W9=0,0,11630*1000*SER_hh_fec!W9/SER_hh_num!W9)</f>
        <v>242648.33197844983</v>
      </c>
      <c r="X9" s="132">
        <f>IF(SER_hh_fec!X9=0,0,11630*1000*SER_hh_fec!X9/SER_hh_num!X9)</f>
        <v>212291.09615558744</v>
      </c>
      <c r="Y9" s="132">
        <f>IF(SER_hh_fec!Y9=0,0,11630*1000*SER_hh_fec!Y9/SER_hh_num!Y9)</f>
        <v>166883.7439313911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9020.1610642449814</v>
      </c>
      <c r="C10" s="132">
        <f>IF(SER_hh_fec!C10=0,0,11630*1000*SER_hh_fec!C10/SER_hh_num!C10)</f>
        <v>1203846.8427783749</v>
      </c>
      <c r="D10" s="132">
        <f>IF(SER_hh_fec!D10=0,0,11630*1000*SER_hh_fec!D10/SER_hh_num!D10)</f>
        <v>413263.97383187286</v>
      </c>
      <c r="E10" s="132">
        <f>IF(SER_hh_fec!E10=0,0,11630*1000*SER_hh_fec!E10/SER_hh_num!E10)</f>
        <v>460017.7179569506</v>
      </c>
      <c r="F10" s="132">
        <f>IF(SER_hh_fec!F10=0,0,11630*1000*SER_hh_fec!F10/SER_hh_num!F10)</f>
        <v>644706.61686944705</v>
      </c>
      <c r="G10" s="132">
        <f>IF(SER_hh_fec!G10=0,0,11630*1000*SER_hh_fec!G10/SER_hh_num!G10)</f>
        <v>302898.51674788311</v>
      </c>
      <c r="H10" s="132">
        <f>IF(SER_hh_fec!H10=0,0,11630*1000*SER_hh_fec!H10/SER_hh_num!H10)</f>
        <v>212182.69661901661</v>
      </c>
      <c r="I10" s="132">
        <f>IF(SER_hh_fec!I10=0,0,11630*1000*SER_hh_fec!I10/SER_hh_num!I10)</f>
        <v>85834.755899436102</v>
      </c>
      <c r="J10" s="132">
        <f>IF(SER_hh_fec!J10=0,0,11630*1000*SER_hh_fec!J10/SER_hh_num!J10)</f>
        <v>628830.32197673304</v>
      </c>
      <c r="K10" s="132">
        <f>IF(SER_hh_fec!K10=0,0,11630*1000*SER_hh_fec!K10/SER_hh_num!K10)</f>
        <v>652012.81734962587</v>
      </c>
      <c r="L10" s="132">
        <f>IF(SER_hh_fec!L10=0,0,11630*1000*SER_hh_fec!L10/SER_hh_num!L10)</f>
        <v>592227.13523069932</v>
      </c>
      <c r="M10" s="132">
        <f>IF(SER_hh_fec!M10=0,0,11630*1000*SER_hh_fec!M10/SER_hh_num!M10)</f>
        <v>304652.11262535962</v>
      </c>
      <c r="N10" s="132">
        <f>IF(SER_hh_fec!N10=0,0,11630*1000*SER_hh_fec!N10/SER_hh_num!N10)</f>
        <v>350137.68773151276</v>
      </c>
      <c r="O10" s="132">
        <f>IF(SER_hh_fec!O10=0,0,11630*1000*SER_hh_fec!O10/SER_hh_num!O10)</f>
        <v>189097.73131743079</v>
      </c>
      <c r="P10" s="132">
        <f>IF(SER_hh_fec!P10=0,0,11630*1000*SER_hh_fec!P10/SER_hh_num!P10)</f>
        <v>472237.57550994068</v>
      </c>
      <c r="Q10" s="132">
        <f>IF(SER_hh_fec!Q10=0,0,11630*1000*SER_hh_fec!Q10/SER_hh_num!Q10)</f>
        <v>271307.06897901261</v>
      </c>
      <c r="R10" s="132">
        <f>IF(SER_hh_fec!R10=0,0,11630*1000*SER_hh_fec!R10/SER_hh_num!R10)</f>
        <v>97822.642908102323</v>
      </c>
      <c r="S10" s="132">
        <f>IF(SER_hh_fec!S10=0,0,11630*1000*SER_hh_fec!S10/SER_hh_num!S10)</f>
        <v>324755.26968646084</v>
      </c>
      <c r="T10" s="132">
        <f>IF(SER_hh_fec!T10=0,0,11630*1000*SER_hh_fec!T10/SER_hh_num!T10)</f>
        <v>270103.75112782046</v>
      </c>
      <c r="U10" s="132">
        <f>IF(SER_hh_fec!U10=0,0,11630*1000*SER_hh_fec!U10/SER_hh_num!U10)</f>
        <v>249028.85301831382</v>
      </c>
      <c r="V10" s="132">
        <f>IF(SER_hh_fec!V10=0,0,11630*1000*SER_hh_fec!V10/SER_hh_num!V10)</f>
        <v>278765.27020501607</v>
      </c>
      <c r="W10" s="132">
        <f>IF(SER_hh_fec!W10=0,0,11630*1000*SER_hh_fec!W10/SER_hh_num!W10)</f>
        <v>300417.35814645066</v>
      </c>
      <c r="X10" s="132">
        <f>IF(SER_hh_fec!X10=0,0,11630*1000*SER_hh_fec!X10/SER_hh_num!X10)</f>
        <v>204717.29628652782</v>
      </c>
      <c r="Y10" s="132">
        <f>IF(SER_hh_fec!Y10=0,0,11630*1000*SER_hh_fec!Y10/SER_hh_num!Y10)</f>
        <v>255192.34777649026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500386.92228122026</v>
      </c>
      <c r="D11" s="132">
        <f>IF(SER_hh_fec!D11=0,0,11630*1000*SER_hh_fec!D11/SER_hh_num!D11)</f>
        <v>350957.8049914561</v>
      </c>
      <c r="E11" s="132">
        <f>IF(SER_hh_fec!E11=0,0,11630*1000*SER_hh_fec!E11/SER_hh_num!E11)</f>
        <v>310320.43436813809</v>
      </c>
      <c r="F11" s="132">
        <f>IF(SER_hh_fec!F11=0,0,11630*1000*SER_hh_fec!F11/SER_hh_num!F11)</f>
        <v>287547.3923499576</v>
      </c>
      <c r="G11" s="132">
        <f>IF(SER_hh_fec!G11=0,0,11630*1000*SER_hh_fec!G11/SER_hh_num!G11)</f>
        <v>320670.99589790765</v>
      </c>
      <c r="H11" s="132">
        <f>IF(SER_hh_fec!H11=0,0,11630*1000*SER_hh_fec!H11/SER_hh_num!H11)</f>
        <v>378767.38244851044</v>
      </c>
      <c r="I11" s="132">
        <f>IF(SER_hh_fec!I11=0,0,11630*1000*SER_hh_fec!I11/SER_hh_num!I11)</f>
        <v>352635.43175308517</v>
      </c>
      <c r="J11" s="132">
        <f>IF(SER_hh_fec!J11=0,0,11630*1000*SER_hh_fec!J11/SER_hh_num!J11)</f>
        <v>358277.87033708894</v>
      </c>
      <c r="K11" s="132">
        <f>IF(SER_hh_fec!K11=0,0,11630*1000*SER_hh_fec!K11/SER_hh_num!K11)</f>
        <v>354268.31419174524</v>
      </c>
      <c r="L11" s="132">
        <f>IF(SER_hh_fec!L11=0,0,11630*1000*SER_hh_fec!L11/SER_hh_num!L11)</f>
        <v>362185.38478055783</v>
      </c>
      <c r="M11" s="132">
        <f>IF(SER_hh_fec!M11=0,0,11630*1000*SER_hh_fec!M11/SER_hh_num!M11)</f>
        <v>292830.87685916777</v>
      </c>
      <c r="N11" s="132">
        <f>IF(SER_hh_fec!N11=0,0,11630*1000*SER_hh_fec!N11/SER_hh_num!N11)</f>
        <v>228635.11273656136</v>
      </c>
      <c r="O11" s="132">
        <f>IF(SER_hh_fec!O11=0,0,11630*1000*SER_hh_fec!O11/SER_hh_num!O11)</f>
        <v>258985.34561412834</v>
      </c>
      <c r="P11" s="132">
        <f>IF(SER_hh_fec!P11=0,0,11630*1000*SER_hh_fec!P11/SER_hh_num!P11)</f>
        <v>174355.1440260763</v>
      </c>
      <c r="Q11" s="132">
        <f>IF(SER_hh_fec!Q11=0,0,11630*1000*SER_hh_fec!Q11/SER_hh_num!Q11)</f>
        <v>178870.55764373112</v>
      </c>
      <c r="R11" s="132">
        <f>IF(SER_hh_fec!R11=0,0,11630*1000*SER_hh_fec!R11/SER_hh_num!R11)</f>
        <v>200363.78993322156</v>
      </c>
      <c r="S11" s="132">
        <f>IF(SER_hh_fec!S11=0,0,11630*1000*SER_hh_fec!S11/SER_hh_num!S11)</f>
        <v>198514.84690826305</v>
      </c>
      <c r="T11" s="132">
        <f>IF(SER_hh_fec!T11=0,0,11630*1000*SER_hh_fec!T11/SER_hh_num!T11)</f>
        <v>193959.16426274122</v>
      </c>
      <c r="U11" s="132">
        <f>IF(SER_hh_fec!U11=0,0,11630*1000*SER_hh_fec!U11/SER_hh_num!U11)</f>
        <v>236031.1516707743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494099.63619010174</v>
      </c>
      <c r="C12" s="132">
        <f>IF(SER_hh_fec!C12=0,0,11630*1000*SER_hh_fec!C12/SER_hh_num!C12)</f>
        <v>366009.93973660923</v>
      </c>
      <c r="D12" s="132">
        <f>IF(SER_hh_fec!D12=0,0,11630*1000*SER_hh_fec!D12/SER_hh_num!D12)</f>
        <v>357702.0666936225</v>
      </c>
      <c r="E12" s="132">
        <f>IF(SER_hh_fec!E12=0,0,11630*1000*SER_hh_fec!E12/SER_hh_num!E12)</f>
        <v>261563.23051528257</v>
      </c>
      <c r="F12" s="132">
        <f>IF(SER_hh_fec!F12=0,0,11630*1000*SER_hh_fec!F12/SER_hh_num!F12)</f>
        <v>391555.66805433377</v>
      </c>
      <c r="G12" s="132">
        <f>IF(SER_hh_fec!G12=0,0,11630*1000*SER_hh_fec!G12/SER_hh_num!G12)</f>
        <v>345902.76235787274</v>
      </c>
      <c r="H12" s="132">
        <f>IF(SER_hh_fec!H12=0,0,11630*1000*SER_hh_fec!H12/SER_hh_num!H12)</f>
        <v>339986.79663705226</v>
      </c>
      <c r="I12" s="132">
        <f>IF(SER_hh_fec!I12=0,0,11630*1000*SER_hh_fec!I12/SER_hh_num!I12)</f>
        <v>326980.6433611734</v>
      </c>
      <c r="J12" s="132">
        <f>IF(SER_hh_fec!J12=0,0,11630*1000*SER_hh_fec!J12/SER_hh_num!J12)</f>
        <v>331584.36355763196</v>
      </c>
      <c r="K12" s="132">
        <f>IF(SER_hh_fec!K12=0,0,11630*1000*SER_hh_fec!K12/SER_hh_num!K12)</f>
        <v>359485.85262467584</v>
      </c>
      <c r="L12" s="132">
        <f>IF(SER_hh_fec!L12=0,0,11630*1000*SER_hh_fec!L12/SER_hh_num!L12)</f>
        <v>395205.12470277533</v>
      </c>
      <c r="M12" s="132">
        <f>IF(SER_hh_fec!M12=0,0,11630*1000*SER_hh_fec!M12/SER_hh_num!M12)</f>
        <v>323467.48927405785</v>
      </c>
      <c r="N12" s="132">
        <f>IF(SER_hh_fec!N12=0,0,11630*1000*SER_hh_fec!N12/SER_hh_num!N12)</f>
        <v>227019.93377369666</v>
      </c>
      <c r="O12" s="132">
        <f>IF(SER_hh_fec!O12=0,0,11630*1000*SER_hh_fec!O12/SER_hh_num!O12)</f>
        <v>216513.39562681795</v>
      </c>
      <c r="P12" s="132">
        <f>IF(SER_hh_fec!P12=0,0,11630*1000*SER_hh_fec!P12/SER_hh_num!P12)</f>
        <v>129898.9920291444</v>
      </c>
      <c r="Q12" s="132">
        <f>IF(SER_hh_fec!Q12=0,0,11630*1000*SER_hh_fec!Q12/SER_hh_num!Q12)</f>
        <v>70716.102075757619</v>
      </c>
      <c r="R12" s="132">
        <f>IF(SER_hh_fec!R12=0,0,11630*1000*SER_hh_fec!R12/SER_hh_num!R12)</f>
        <v>239557.70404646365</v>
      </c>
      <c r="S12" s="132">
        <f>IF(SER_hh_fec!S12=0,0,11630*1000*SER_hh_fec!S12/SER_hh_num!S12)</f>
        <v>201655.16665449922</v>
      </c>
      <c r="T12" s="132">
        <f>IF(SER_hh_fec!T12=0,0,11630*1000*SER_hh_fec!T12/SER_hh_num!T12)</f>
        <v>175821.21329068145</v>
      </c>
      <c r="U12" s="132">
        <f>IF(SER_hh_fec!U12=0,0,11630*1000*SER_hh_fec!U12/SER_hh_num!U12)</f>
        <v>152323.84487750134</v>
      </c>
      <c r="V12" s="132">
        <f>IF(SER_hh_fec!V12=0,0,11630*1000*SER_hh_fec!V12/SER_hh_num!V12)</f>
        <v>137919.63904890325</v>
      </c>
      <c r="W12" s="132">
        <f>IF(SER_hh_fec!W12=0,0,11630*1000*SER_hh_fec!W12/SER_hh_num!W12)</f>
        <v>172821.26737005415</v>
      </c>
      <c r="X12" s="132">
        <f>IF(SER_hh_fec!X12=0,0,11630*1000*SER_hh_fec!X12/SER_hh_num!X12)</f>
        <v>178654.48639543055</v>
      </c>
      <c r="Y12" s="132">
        <f>IF(SER_hh_fec!Y12=0,0,11630*1000*SER_hh_fec!Y12/SER_hh_num!Y12)</f>
        <v>149508.32357943381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68176.365748087715</v>
      </c>
      <c r="C13" s="132">
        <f>IF(SER_hh_fec!C13=0,0,11630*1000*SER_hh_fec!C13/SER_hh_num!C13)</f>
        <v>192002.22429599837</v>
      </c>
      <c r="D13" s="132">
        <f>IF(SER_hh_fec!D13=0,0,11630*1000*SER_hh_fec!D13/SER_hh_num!D13)</f>
        <v>162982.6705855894</v>
      </c>
      <c r="E13" s="132">
        <f>IF(SER_hh_fec!E13=0,0,11630*1000*SER_hh_fec!E13/SER_hh_num!E13)</f>
        <v>130027.55740510143</v>
      </c>
      <c r="F13" s="132">
        <f>IF(SER_hh_fec!F13=0,0,11630*1000*SER_hh_fec!F13/SER_hh_num!F13)</f>
        <v>160456.95521023398</v>
      </c>
      <c r="G13" s="132">
        <f>IF(SER_hh_fec!G13=0,0,11630*1000*SER_hh_fec!G13/SER_hh_num!G13)</f>
        <v>148413.31690263664</v>
      </c>
      <c r="H13" s="132">
        <f>IF(SER_hh_fec!H13=0,0,11630*1000*SER_hh_fec!H13/SER_hh_num!H13)</f>
        <v>134881.69372940942</v>
      </c>
      <c r="I13" s="132">
        <f>IF(SER_hh_fec!I13=0,0,11630*1000*SER_hh_fec!I13/SER_hh_num!I13)</f>
        <v>148869.1609633255</v>
      </c>
      <c r="J13" s="132">
        <f>IF(SER_hh_fec!J13=0,0,11630*1000*SER_hh_fec!J13/SER_hh_num!J13)</f>
        <v>120666.35954000715</v>
      </c>
      <c r="K13" s="132">
        <f>IF(SER_hh_fec!K13=0,0,11630*1000*SER_hh_fec!K13/SER_hh_num!K13)</f>
        <v>107861.32815014962</v>
      </c>
      <c r="L13" s="132">
        <f>IF(SER_hh_fec!L13=0,0,11630*1000*SER_hh_fec!L13/SER_hh_num!L13)</f>
        <v>94401.263164671502</v>
      </c>
      <c r="M13" s="132">
        <f>IF(SER_hh_fec!M13=0,0,11630*1000*SER_hh_fec!M13/SER_hh_num!M13)</f>
        <v>96038.163283229413</v>
      </c>
      <c r="N13" s="132">
        <f>IF(SER_hh_fec!N13=0,0,11630*1000*SER_hh_fec!N13/SER_hh_num!N13)</f>
        <v>79569.866701973573</v>
      </c>
      <c r="O13" s="132">
        <f>IF(SER_hh_fec!O13=0,0,11630*1000*SER_hh_fec!O13/SER_hh_num!O13)</f>
        <v>59384.96483741299</v>
      </c>
      <c r="P13" s="132">
        <f>IF(SER_hh_fec!P13=0,0,11630*1000*SER_hh_fec!P13/SER_hh_num!P13)</f>
        <v>42693.666497773491</v>
      </c>
      <c r="Q13" s="132">
        <f>IF(SER_hh_fec!Q13=0,0,11630*1000*SER_hh_fec!Q13/SER_hh_num!Q13)</f>
        <v>61177.664197193633</v>
      </c>
      <c r="R13" s="132">
        <f>IF(SER_hh_fec!R13=0,0,11630*1000*SER_hh_fec!R13/SER_hh_num!R13)</f>
        <v>53148.909950301706</v>
      </c>
      <c r="S13" s="132">
        <f>IF(SER_hh_fec!S13=0,0,11630*1000*SER_hh_fec!S13/SER_hh_num!S13)</f>
        <v>51616.546430804978</v>
      </c>
      <c r="T13" s="132">
        <f>IF(SER_hh_fec!T13=0,0,11630*1000*SER_hh_fec!T13/SER_hh_num!T13)</f>
        <v>46930.956305011372</v>
      </c>
      <c r="U13" s="132">
        <f>IF(SER_hh_fec!U13=0,0,11630*1000*SER_hh_fec!U13/SER_hh_num!U13)</f>
        <v>38612.216574966602</v>
      </c>
      <c r="V13" s="132">
        <f>IF(SER_hh_fec!V13=0,0,11630*1000*SER_hh_fec!V13/SER_hh_num!V13)</f>
        <v>40256.091546661919</v>
      </c>
      <c r="W13" s="132">
        <f>IF(SER_hh_fec!W13=0,0,11630*1000*SER_hh_fec!W13/SER_hh_num!W13)</f>
        <v>41862.653564685024</v>
      </c>
      <c r="X13" s="132">
        <f>IF(SER_hh_fec!X13=0,0,11630*1000*SER_hh_fec!X13/SER_hh_num!X13)</f>
        <v>42097.15385480789</v>
      </c>
      <c r="Y13" s="132">
        <f>IF(SER_hh_fec!Y13=0,0,11630*1000*SER_hh_fec!Y13/SER_hh_num!Y13)</f>
        <v>38663.231174917739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358893.17742570647</v>
      </c>
      <c r="C14" s="65">
        <f>IF(SER_hh_fec!C14=0,0,11630*1000*SER_hh_fec!C14/SER_hh_num!C14)</f>
        <v>499556.68856762216</v>
      </c>
      <c r="D14" s="65">
        <f>IF(SER_hh_fec!D14=0,0,11630*1000*SER_hh_fec!D14/SER_hh_num!D14)</f>
        <v>429885.47044996888</v>
      </c>
      <c r="E14" s="65">
        <f>IF(SER_hh_fec!E14=0,0,11630*1000*SER_hh_fec!E14/SER_hh_num!E14)</f>
        <v>312317.89908226742</v>
      </c>
      <c r="F14" s="65">
        <f>IF(SER_hh_fec!F14=0,0,11630*1000*SER_hh_fec!F14/SER_hh_num!F14)</f>
        <v>410475.51991001703</v>
      </c>
      <c r="G14" s="65">
        <f>IF(SER_hh_fec!G14=0,0,11630*1000*SER_hh_fec!G14/SER_hh_num!G14)</f>
        <v>315377.78371248423</v>
      </c>
      <c r="H14" s="65">
        <f>IF(SER_hh_fec!H14=0,0,11630*1000*SER_hh_fec!H14/SER_hh_num!H14)</f>
        <v>347226.07508259313</v>
      </c>
      <c r="I14" s="65">
        <f>IF(SER_hh_fec!I14=0,0,11630*1000*SER_hh_fec!I14/SER_hh_num!I14)</f>
        <v>407021.90119235823</v>
      </c>
      <c r="J14" s="65">
        <f>IF(SER_hh_fec!J14=0,0,11630*1000*SER_hh_fec!J14/SER_hh_num!J14)</f>
        <v>365135.56413619278</v>
      </c>
      <c r="K14" s="65">
        <f>IF(SER_hh_fec!K14=0,0,11630*1000*SER_hh_fec!K14/SER_hh_num!K14)</f>
        <v>359895.09168321767</v>
      </c>
      <c r="L14" s="65">
        <f>IF(SER_hh_fec!L14=0,0,11630*1000*SER_hh_fec!L14/SER_hh_num!L14)</f>
        <v>417594.61608183611</v>
      </c>
      <c r="M14" s="65">
        <f>IF(SER_hh_fec!M14=0,0,11630*1000*SER_hh_fec!M14/SER_hh_num!M14)</f>
        <v>388403.83226722816</v>
      </c>
      <c r="N14" s="65">
        <f>IF(SER_hh_fec!N14=0,0,11630*1000*SER_hh_fec!N14/SER_hh_num!N14)</f>
        <v>213910.34643626129</v>
      </c>
      <c r="O14" s="65">
        <f>IF(SER_hh_fec!O14=0,0,11630*1000*SER_hh_fec!O14/SER_hh_num!O14)</f>
        <v>312502.88221779215</v>
      </c>
      <c r="P14" s="65">
        <f>IF(SER_hh_fec!P14=0,0,11630*1000*SER_hh_fec!P14/SER_hh_num!P14)</f>
        <v>173742.44562025249</v>
      </c>
      <c r="Q14" s="65">
        <f>IF(SER_hh_fec!Q14=0,0,11630*1000*SER_hh_fec!Q14/SER_hh_num!Q14)</f>
        <v>204575.91107045015</v>
      </c>
      <c r="R14" s="65">
        <f>IF(SER_hh_fec!R14=0,0,11630*1000*SER_hh_fec!R14/SER_hh_num!R14)</f>
        <v>204554.93530317265</v>
      </c>
      <c r="S14" s="65">
        <f>IF(SER_hh_fec!S14=0,0,11630*1000*SER_hh_fec!S14/SER_hh_num!S14)</f>
        <v>240483.92439596105</v>
      </c>
      <c r="T14" s="65">
        <f>IF(SER_hh_fec!T14=0,0,11630*1000*SER_hh_fec!T14/SER_hh_num!T14)</f>
        <v>201891.03437302657</v>
      </c>
      <c r="U14" s="65">
        <f>IF(SER_hh_fec!U14=0,0,11630*1000*SER_hh_fec!U14/SER_hh_num!U14)</f>
        <v>156743.30393394377</v>
      </c>
      <c r="V14" s="65">
        <f>IF(SER_hh_fec!V14=0,0,11630*1000*SER_hh_fec!V14/SER_hh_num!V14)</f>
        <v>165930.34985899244</v>
      </c>
      <c r="W14" s="65">
        <f>IF(SER_hh_fec!W14=0,0,11630*1000*SER_hh_fec!W14/SER_hh_num!W14)</f>
        <v>241770.75071680974</v>
      </c>
      <c r="X14" s="65">
        <f>IF(SER_hh_fec!X14=0,0,11630*1000*SER_hh_fec!X14/SER_hh_num!X14)</f>
        <v>184683.59524529704</v>
      </c>
      <c r="Y14" s="65">
        <f>IF(SER_hh_fec!Y14=0,0,11630*1000*SER_hh_fec!Y14/SER_hh_num!Y14)</f>
        <v>144999.83109081406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6925.760031130575</v>
      </c>
      <c r="C15" s="134">
        <f>IF(SER_hh_fec!C15=0,0,11630*1000*SER_hh_fec!C15/SER_hh_num!C15)</f>
        <v>4151.4342691132915</v>
      </c>
      <c r="D15" s="134">
        <f>IF(SER_hh_fec!D15=0,0,11630*1000*SER_hh_fec!D15/SER_hh_num!D15)</f>
        <v>3129.1333264692075</v>
      </c>
      <c r="E15" s="134">
        <f>IF(SER_hh_fec!E15=0,0,11630*1000*SER_hh_fec!E15/SER_hh_num!E15)</f>
        <v>2584.093435587024</v>
      </c>
      <c r="F15" s="134">
        <f>IF(SER_hh_fec!F15=0,0,11630*1000*SER_hh_fec!F15/SER_hh_num!F15)</f>
        <v>2220.9043092842394</v>
      </c>
      <c r="G15" s="134">
        <f>IF(SER_hh_fec!G15=0,0,11630*1000*SER_hh_fec!G15/SER_hh_num!G15)</f>
        <v>4061.3186483371337</v>
      </c>
      <c r="H15" s="134">
        <f>IF(SER_hh_fec!H15=0,0,11630*1000*SER_hh_fec!H15/SER_hh_num!H15)</f>
        <v>4090.5205318710473</v>
      </c>
      <c r="I15" s="134">
        <f>IF(SER_hh_fec!I15=0,0,11630*1000*SER_hh_fec!I15/SER_hh_num!I15)</f>
        <v>3550.9139446677641</v>
      </c>
      <c r="J15" s="134">
        <f>IF(SER_hh_fec!J15=0,0,11630*1000*SER_hh_fec!J15/SER_hh_num!J15)</f>
        <v>3539.5218858068974</v>
      </c>
      <c r="K15" s="134">
        <f>IF(SER_hh_fec!K15=0,0,11630*1000*SER_hh_fec!K15/SER_hh_num!K15)</f>
        <v>3079.0843670028971</v>
      </c>
      <c r="L15" s="134">
        <f>IF(SER_hh_fec!L15=0,0,11630*1000*SER_hh_fec!L15/SER_hh_num!L15)</f>
        <v>3598.1754616182334</v>
      </c>
      <c r="M15" s="134">
        <f>IF(SER_hh_fec!M15=0,0,11630*1000*SER_hh_fec!M15/SER_hh_num!M15)</f>
        <v>1931.1082076567102</v>
      </c>
      <c r="N15" s="134">
        <f>IF(SER_hh_fec!N15=0,0,11630*1000*SER_hh_fec!N15/SER_hh_num!N15)</f>
        <v>2416.9406109567781</v>
      </c>
      <c r="O15" s="134">
        <f>IF(SER_hh_fec!O15=0,0,11630*1000*SER_hh_fec!O15/SER_hh_num!O15)</f>
        <v>2991.0306761466013</v>
      </c>
      <c r="P15" s="134">
        <f>IF(SER_hh_fec!P15=0,0,11630*1000*SER_hh_fec!P15/SER_hh_num!P15)</f>
        <v>1787.8255340795317</v>
      </c>
      <c r="Q15" s="134">
        <f>IF(SER_hh_fec!Q15=0,0,11630*1000*SER_hh_fec!Q15/SER_hh_num!Q15)</f>
        <v>1936.2277015110767</v>
      </c>
      <c r="R15" s="134">
        <f>IF(SER_hh_fec!R15=0,0,11630*1000*SER_hh_fec!R15/SER_hh_num!R15)</f>
        <v>1931.0143299199422</v>
      </c>
      <c r="S15" s="134">
        <f>IF(SER_hh_fec!S15=0,0,11630*1000*SER_hh_fec!S15/SER_hh_num!S15)</f>
        <v>2165.1610354095574</v>
      </c>
      <c r="T15" s="134">
        <f>IF(SER_hh_fec!T15=0,0,11630*1000*SER_hh_fec!T15/SER_hh_num!T15)</f>
        <v>1875.5838357943699</v>
      </c>
      <c r="U15" s="134">
        <f>IF(SER_hh_fec!U15=0,0,11630*1000*SER_hh_fec!U15/SER_hh_num!U15)</f>
        <v>1626.1311702724634</v>
      </c>
      <c r="V15" s="134">
        <f>IF(SER_hh_fec!V15=0,0,11630*1000*SER_hh_fec!V15/SER_hh_num!V15)</f>
        <v>1386.2836894110819</v>
      </c>
      <c r="W15" s="134">
        <f>IF(SER_hh_fec!W15=0,0,11630*1000*SER_hh_fec!W15/SER_hh_num!W15)</f>
        <v>2044.1349310721889</v>
      </c>
      <c r="X15" s="134">
        <f>IF(SER_hh_fec!X15=0,0,11630*1000*SER_hh_fec!X15/SER_hh_num!X15)</f>
        <v>1818.8841506132826</v>
      </c>
      <c r="Y15" s="134">
        <f>IF(SER_hh_fec!Y15=0,0,11630*1000*SER_hh_fec!Y15/SER_hh_num!Y15)</f>
        <v>1459.9905438777739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15975.917582996635</v>
      </c>
      <c r="C16" s="130">
        <f>IF(SER_hh_fec!C16=0,0,11630*1000*SER_hh_fec!C16/SER_hh_num!C16)</f>
        <v>15041.740421009379</v>
      </c>
      <c r="D16" s="130">
        <f>IF(SER_hh_fec!D16=0,0,11630*1000*SER_hh_fec!D16/SER_hh_num!D16)</f>
        <v>14552.581151657869</v>
      </c>
      <c r="E16" s="130">
        <f>IF(SER_hh_fec!E16=0,0,11630*1000*SER_hh_fec!E16/SER_hh_num!E16)</f>
        <v>14021.243498950969</v>
      </c>
      <c r="F16" s="130">
        <f>IF(SER_hh_fec!F16=0,0,11630*1000*SER_hh_fec!F16/SER_hh_num!F16)</f>
        <v>12931.009472980955</v>
      </c>
      <c r="G16" s="130">
        <f>IF(SER_hh_fec!G16=0,0,11630*1000*SER_hh_fec!G16/SER_hh_num!G16)</f>
        <v>12438.875573169817</v>
      </c>
      <c r="H16" s="130">
        <f>IF(SER_hh_fec!H16=0,0,11630*1000*SER_hh_fec!H16/SER_hh_num!H16)</f>
        <v>12140.247196447046</v>
      </c>
      <c r="I16" s="130">
        <f>IF(SER_hh_fec!I16=0,0,11630*1000*SER_hh_fec!I16/SER_hh_num!I16)</f>
        <v>11870.081245063038</v>
      </c>
      <c r="J16" s="130">
        <f>IF(SER_hh_fec!J16=0,0,11630*1000*SER_hh_fec!J16/SER_hh_num!J16)</f>
        <v>10489.690293592721</v>
      </c>
      <c r="K16" s="130">
        <f>IF(SER_hh_fec!K16=0,0,11630*1000*SER_hh_fec!K16/SER_hh_num!K16)</f>
        <v>10394.284909788355</v>
      </c>
      <c r="L16" s="130">
        <f>IF(SER_hh_fec!L16=0,0,11630*1000*SER_hh_fec!L16/SER_hh_num!L16)</f>
        <v>10521.216106781867</v>
      </c>
      <c r="M16" s="130">
        <f>IF(SER_hh_fec!M16=0,0,11630*1000*SER_hh_fec!M16/SER_hh_num!M16)</f>
        <v>9966.3339898709874</v>
      </c>
      <c r="N16" s="130">
        <f>IF(SER_hh_fec!N16=0,0,11630*1000*SER_hh_fec!N16/SER_hh_num!N16)</f>
        <v>10619.994491655802</v>
      </c>
      <c r="O16" s="130">
        <f>IF(SER_hh_fec!O16=0,0,11630*1000*SER_hh_fec!O16/SER_hh_num!O16)</f>
        <v>9917.8122540044533</v>
      </c>
      <c r="P16" s="130">
        <f>IF(SER_hh_fec!P16=0,0,11630*1000*SER_hh_fec!P16/SER_hh_num!P16)</f>
        <v>8859.199820428621</v>
      </c>
      <c r="Q16" s="130">
        <f>IF(SER_hh_fec!Q16=0,0,11630*1000*SER_hh_fec!Q16/SER_hh_num!Q16)</f>
        <v>10140.586697435134</v>
      </c>
      <c r="R16" s="130">
        <f>IF(SER_hh_fec!R16=0,0,11630*1000*SER_hh_fec!R16/SER_hh_num!R16)</f>
        <v>8370.1947378696277</v>
      </c>
      <c r="S16" s="130">
        <f>IF(SER_hh_fec!S16=0,0,11630*1000*SER_hh_fec!S16/SER_hh_num!S16)</f>
        <v>8640.7039147337055</v>
      </c>
      <c r="T16" s="130">
        <f>IF(SER_hh_fec!T16=0,0,11630*1000*SER_hh_fec!T16/SER_hh_num!T16)</f>
        <v>8271.1854078111755</v>
      </c>
      <c r="U16" s="130">
        <f>IF(SER_hh_fec!U16=0,0,11630*1000*SER_hh_fec!U16/SER_hh_num!U16)</f>
        <v>8365.5023390959177</v>
      </c>
      <c r="V16" s="130">
        <f>IF(SER_hh_fec!V16=0,0,11630*1000*SER_hh_fec!V16/SER_hh_num!V16)</f>
        <v>7163.6733216407929</v>
      </c>
      <c r="W16" s="130">
        <f>IF(SER_hh_fec!W16=0,0,11630*1000*SER_hh_fec!W16/SER_hh_num!W16)</f>
        <v>7610.4499765397577</v>
      </c>
      <c r="X16" s="130">
        <f>IF(SER_hh_fec!X16=0,0,11630*1000*SER_hh_fec!X16/SER_hh_num!X16)</f>
        <v>7885.2727968284962</v>
      </c>
      <c r="Y16" s="130">
        <f>IF(SER_hh_fec!Y16=0,0,11630*1000*SER_hh_fec!Y16/SER_hh_num!Y16)</f>
        <v>7463.7986653056569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25824.673409855022</v>
      </c>
      <c r="C17" s="132">
        <f>IF(SER_hh_fec!C17=0,0,11630*1000*SER_hh_fec!C17/SER_hh_num!C17)</f>
        <v>24404.998233232047</v>
      </c>
      <c r="D17" s="132">
        <f>IF(SER_hh_fec!D17=0,0,11630*1000*SER_hh_fec!D17/SER_hh_num!D17)</f>
        <v>24762.479294449524</v>
      </c>
      <c r="E17" s="132">
        <f>IF(SER_hh_fec!E17=0,0,11630*1000*SER_hh_fec!E17/SER_hh_num!E17)</f>
        <v>6796.7162649987758</v>
      </c>
      <c r="F17" s="132">
        <f>IF(SER_hh_fec!F17=0,0,11630*1000*SER_hh_fec!F17/SER_hh_num!F17)</f>
        <v>23455.274099074853</v>
      </c>
      <c r="G17" s="132">
        <f>IF(SER_hh_fec!G17=0,0,11630*1000*SER_hh_fec!G17/SER_hh_num!G17)</f>
        <v>23048.852051684928</v>
      </c>
      <c r="H17" s="132">
        <f>IF(SER_hh_fec!H17=0,0,11630*1000*SER_hh_fec!H17/SER_hh_num!H17)</f>
        <v>23360.904973853798</v>
      </c>
      <c r="I17" s="132">
        <f>IF(SER_hh_fec!I17=0,0,11630*1000*SER_hh_fec!I17/SER_hh_num!I17)</f>
        <v>23984.859771352774</v>
      </c>
      <c r="J17" s="132">
        <f>IF(SER_hh_fec!J17=0,0,11630*1000*SER_hh_fec!J17/SER_hh_num!J17)</f>
        <v>22109.487009988588</v>
      </c>
      <c r="K17" s="132">
        <f>IF(SER_hh_fec!K17=0,0,11630*1000*SER_hh_fec!K17/SER_hh_num!K17)</f>
        <v>22164.36219596248</v>
      </c>
      <c r="L17" s="132">
        <f>IF(SER_hh_fec!L17=0,0,11630*1000*SER_hh_fec!L17/SER_hh_num!L17)</f>
        <v>22755.152715804837</v>
      </c>
      <c r="M17" s="132">
        <f>IF(SER_hh_fec!M17=0,0,11630*1000*SER_hh_fec!M17/SER_hh_num!M17)</f>
        <v>21880.055979331653</v>
      </c>
      <c r="N17" s="132">
        <f>IF(SER_hh_fec!N17=0,0,11630*1000*SER_hh_fec!N17/SER_hh_num!N17)</f>
        <v>23935.997114933438</v>
      </c>
      <c r="O17" s="132">
        <f>IF(SER_hh_fec!O17=0,0,11630*1000*SER_hh_fec!O17/SER_hh_num!O17)</f>
        <v>22577.944622815896</v>
      </c>
      <c r="P17" s="132">
        <f>IF(SER_hh_fec!P17=0,0,11630*1000*SER_hh_fec!P17/SER_hh_num!P17)</f>
        <v>20390.552986833751</v>
      </c>
      <c r="Q17" s="132">
        <f>IF(SER_hh_fec!Q17=0,0,11630*1000*SER_hh_fec!Q17/SER_hh_num!Q17)</f>
        <v>23565.091277983782</v>
      </c>
      <c r="R17" s="132">
        <f>IF(SER_hh_fec!R17=0,0,11630*1000*SER_hh_fec!R17/SER_hh_num!R17)</f>
        <v>19917.59600700386</v>
      </c>
      <c r="S17" s="132">
        <f>IF(SER_hh_fec!S17=0,0,11630*1000*SER_hh_fec!S17/SER_hh_num!S17)</f>
        <v>21110.306225822791</v>
      </c>
      <c r="T17" s="132">
        <f>IF(SER_hh_fec!T17=0,0,11630*1000*SER_hh_fec!T17/SER_hh_num!T17)</f>
        <v>20507.011863426629</v>
      </c>
      <c r="U17" s="132">
        <f>IF(SER_hh_fec!U17=0,0,11630*1000*SER_hh_fec!U17/SER_hh_num!U17)</f>
        <v>21009.822369086021</v>
      </c>
      <c r="V17" s="132">
        <f>IF(SER_hh_fec!V17=0,0,11630*1000*SER_hh_fec!V17/SER_hh_num!V17)</f>
        <v>19989.873556857168</v>
      </c>
      <c r="W17" s="132">
        <f>IF(SER_hh_fec!W17=0,0,11630*1000*SER_hh_fec!W17/SER_hh_num!W17)</f>
        <v>19355.229088175285</v>
      </c>
      <c r="X17" s="132">
        <f>IF(SER_hh_fec!X17=0,0,11630*1000*SER_hh_fec!X17/SER_hh_num!X17)</f>
        <v>20310.562184020448</v>
      </c>
      <c r="Y17" s="132">
        <f>IF(SER_hh_fec!Y17=0,0,11630*1000*SER_hh_fec!Y17/SER_hh_num!Y17)</f>
        <v>19026.711075297982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15959.043944497214</v>
      </c>
      <c r="C18" s="132">
        <f>IF(SER_hh_fec!C18=0,0,11630*1000*SER_hh_fec!C18/SER_hh_num!C18)</f>
        <v>15016.402485444141</v>
      </c>
      <c r="D18" s="132">
        <f>IF(SER_hh_fec!D18=0,0,11630*1000*SER_hh_fec!D18/SER_hh_num!D18)</f>
        <v>14530.524779197614</v>
      </c>
      <c r="E18" s="132">
        <f>IF(SER_hh_fec!E18=0,0,11630*1000*SER_hh_fec!E18/SER_hh_num!E18)</f>
        <v>14041.799589165304</v>
      </c>
      <c r="F18" s="132">
        <f>IF(SER_hh_fec!F18=0,0,11630*1000*SER_hh_fec!F18/SER_hh_num!F18)</f>
        <v>12907.404852661819</v>
      </c>
      <c r="G18" s="132">
        <f>IF(SER_hh_fec!G18=0,0,11630*1000*SER_hh_fec!G18/SER_hh_num!G18)</f>
        <v>12405.120673293392</v>
      </c>
      <c r="H18" s="132">
        <f>IF(SER_hh_fec!H18=0,0,11630*1000*SER_hh_fec!H18/SER_hh_num!H18)</f>
        <v>12100.80536140422</v>
      </c>
      <c r="I18" s="132">
        <f>IF(SER_hh_fec!I18=0,0,11630*1000*SER_hh_fec!I18/SER_hh_num!I18)</f>
        <v>11829.438245903793</v>
      </c>
      <c r="J18" s="132">
        <f>IF(SER_hh_fec!J18=0,0,11630*1000*SER_hh_fec!J18/SER_hh_num!J18)</f>
        <v>10447.364832831396</v>
      </c>
      <c r="K18" s="132">
        <f>IF(SER_hh_fec!K18=0,0,11630*1000*SER_hh_fec!K18/SER_hh_num!K18)</f>
        <v>10352.580205217298</v>
      </c>
      <c r="L18" s="132">
        <f>IF(SER_hh_fec!L18=0,0,11630*1000*SER_hh_fec!L18/SER_hh_num!L18)</f>
        <v>10476.679767703969</v>
      </c>
      <c r="M18" s="132">
        <f>IF(SER_hh_fec!M18=0,0,11630*1000*SER_hh_fec!M18/SER_hh_num!M18)</f>
        <v>9918.2217533360053</v>
      </c>
      <c r="N18" s="132">
        <f>IF(SER_hh_fec!N18=0,0,11630*1000*SER_hh_fec!N18/SER_hh_num!N18)</f>
        <v>10565.01233188787</v>
      </c>
      <c r="O18" s="132">
        <f>IF(SER_hh_fec!O18=0,0,11630*1000*SER_hh_fec!O18/SER_hh_num!O18)</f>
        <v>9851.2240211292301</v>
      </c>
      <c r="P18" s="132">
        <f>IF(SER_hh_fec!P18=0,0,11630*1000*SER_hh_fec!P18/SER_hh_num!P18)</f>
        <v>8772.74069657166</v>
      </c>
      <c r="Q18" s="132">
        <f>IF(SER_hh_fec!Q18=0,0,11630*1000*SER_hh_fec!Q18/SER_hh_num!Q18)</f>
        <v>10022.804062448822</v>
      </c>
      <c r="R18" s="132">
        <f>IF(SER_hh_fec!R18=0,0,11630*1000*SER_hh_fec!R18/SER_hh_num!R18)</f>
        <v>8220.0394245372827</v>
      </c>
      <c r="S18" s="132">
        <f>IF(SER_hh_fec!S18=0,0,11630*1000*SER_hh_fec!S18/SER_hh_num!S18)</f>
        <v>8462.1462304078068</v>
      </c>
      <c r="T18" s="132">
        <f>IF(SER_hh_fec!T18=0,0,11630*1000*SER_hh_fec!T18/SER_hh_num!T18)</f>
        <v>8069.7052415505796</v>
      </c>
      <c r="U18" s="132">
        <f>IF(SER_hh_fec!U18=0,0,11630*1000*SER_hh_fec!U18/SER_hh_num!U18)</f>
        <v>8146.5911789995725</v>
      </c>
      <c r="V18" s="132">
        <f>IF(SER_hh_fec!V18=0,0,11630*1000*SER_hh_fec!V18/SER_hh_num!V18)</f>
        <v>6921.033979131581</v>
      </c>
      <c r="W18" s="132">
        <f>IF(SER_hh_fec!W18=0,0,11630*1000*SER_hh_fec!W18/SER_hh_num!W18)</f>
        <v>7373.3962395139934</v>
      </c>
      <c r="X18" s="132">
        <f>IF(SER_hh_fec!X18=0,0,11630*1000*SER_hh_fec!X18/SER_hh_num!X18)</f>
        <v>7624.057941064123</v>
      </c>
      <c r="Y18" s="132">
        <f>IF(SER_hh_fec!Y18=0,0,11630*1000*SER_hh_fec!Y18/SER_hh_num!Y18)</f>
        <v>7212.3784895566523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40519.769019816929</v>
      </c>
      <c r="C19" s="130">
        <f>IF(SER_hh_fec!C19=0,0,11630*1000*SER_hh_fec!C19/SER_hh_num!C19)</f>
        <v>40378.691866628127</v>
      </c>
      <c r="D19" s="130">
        <f>IF(SER_hh_fec!D19=0,0,11630*1000*SER_hh_fec!D19/SER_hh_num!D19)</f>
        <v>40486.768872606066</v>
      </c>
      <c r="E19" s="130">
        <f>IF(SER_hh_fec!E19=0,0,11630*1000*SER_hh_fec!E19/SER_hh_num!E19)</f>
        <v>40430.729559664716</v>
      </c>
      <c r="F19" s="130">
        <f>IF(SER_hh_fec!F19=0,0,11630*1000*SER_hh_fec!F19/SER_hh_num!F19)</f>
        <v>39989.692511423578</v>
      </c>
      <c r="G19" s="130">
        <f>IF(SER_hh_fec!G19=0,0,11630*1000*SER_hh_fec!G19/SER_hh_num!G19)</f>
        <v>40954.730176748162</v>
      </c>
      <c r="H19" s="130">
        <f>IF(SER_hh_fec!H19=0,0,11630*1000*SER_hh_fec!H19/SER_hh_num!H19)</f>
        <v>41324.285044310935</v>
      </c>
      <c r="I19" s="130">
        <f>IF(SER_hh_fec!I19=0,0,11630*1000*SER_hh_fec!I19/SER_hh_num!I19)</f>
        <v>40783.637967801857</v>
      </c>
      <c r="J19" s="130">
        <f>IF(SER_hh_fec!J19=0,0,11630*1000*SER_hh_fec!J19/SER_hh_num!J19)</f>
        <v>40333.541062456214</v>
      </c>
      <c r="K19" s="130">
        <f>IF(SER_hh_fec!K19=0,0,11630*1000*SER_hh_fec!K19/SER_hh_num!K19)</f>
        <v>41399.784270665674</v>
      </c>
      <c r="L19" s="130">
        <f>IF(SER_hh_fec!L19=0,0,11630*1000*SER_hh_fec!L19/SER_hh_num!L19)</f>
        <v>41497.405542141518</v>
      </c>
      <c r="M19" s="130">
        <f>IF(SER_hh_fec!M19=0,0,11630*1000*SER_hh_fec!M19/SER_hh_num!M19)</f>
        <v>41061.933146940981</v>
      </c>
      <c r="N19" s="130">
        <f>IF(SER_hh_fec!N19=0,0,11630*1000*SER_hh_fec!N19/SER_hh_num!N19)</f>
        <v>41532.114433560164</v>
      </c>
      <c r="O19" s="130">
        <f>IF(SER_hh_fec!O19=0,0,11630*1000*SER_hh_fec!O19/SER_hh_num!O19)</f>
        <v>41593.467848957567</v>
      </c>
      <c r="P19" s="130">
        <f>IF(SER_hh_fec!P19=0,0,11630*1000*SER_hh_fec!P19/SER_hh_num!P19)</f>
        <v>41638.391238006669</v>
      </c>
      <c r="Q19" s="130">
        <f>IF(SER_hh_fec!Q19=0,0,11630*1000*SER_hh_fec!Q19/SER_hh_num!Q19)</f>
        <v>41514.892404283433</v>
      </c>
      <c r="R19" s="130">
        <f>IF(SER_hh_fec!R19=0,0,11630*1000*SER_hh_fec!R19/SER_hh_num!R19)</f>
        <v>40724.539176439124</v>
      </c>
      <c r="S19" s="130">
        <f>IF(SER_hh_fec!S19=0,0,11630*1000*SER_hh_fec!S19/SER_hh_num!S19)</f>
        <v>40388.914402083748</v>
      </c>
      <c r="T19" s="130">
        <f>IF(SER_hh_fec!T19=0,0,11630*1000*SER_hh_fec!T19/SER_hh_num!T19)</f>
        <v>38910.318299402774</v>
      </c>
      <c r="U19" s="130">
        <f>IF(SER_hh_fec!U19=0,0,11630*1000*SER_hh_fec!U19/SER_hh_num!U19)</f>
        <v>37770.712198789581</v>
      </c>
      <c r="V19" s="130">
        <f>IF(SER_hh_fec!V19=0,0,11630*1000*SER_hh_fec!V19/SER_hh_num!V19)</f>
        <v>33053.52575977816</v>
      </c>
      <c r="W19" s="130">
        <f>IF(SER_hh_fec!W19=0,0,11630*1000*SER_hh_fec!W19/SER_hh_num!W19)</f>
        <v>36005.470723557548</v>
      </c>
      <c r="X19" s="130">
        <f>IF(SER_hh_fec!X19=0,0,11630*1000*SER_hh_fec!X19/SER_hh_num!X19)</f>
        <v>35803.68021941842</v>
      </c>
      <c r="Y19" s="130">
        <f>IF(SER_hh_fec!Y19=0,0,11630*1000*SER_hh_fec!Y19/SER_hh_num!Y19)</f>
        <v>35047.955164750863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50487.322211141247</v>
      </c>
      <c r="C20" s="132">
        <f>IF(SER_hh_fec!C20=0,0,11630*1000*SER_hh_fec!C20/SER_hh_num!C20)</f>
        <v>46498.681579546886</v>
      </c>
      <c r="D20" s="132">
        <f>IF(SER_hh_fec!D20=0,0,11630*1000*SER_hh_fec!D20/SER_hh_num!D20)</f>
        <v>52236.972686350156</v>
      </c>
      <c r="E20" s="132">
        <f>IF(SER_hh_fec!E20=0,0,11630*1000*SER_hh_fec!E20/SER_hh_num!E20)</f>
        <v>43497.786494150656</v>
      </c>
      <c r="F20" s="132">
        <f>IF(SER_hh_fec!F20=0,0,11630*1000*SER_hh_fec!F20/SER_hh_num!F20)</f>
        <v>47517.29411649629</v>
      </c>
      <c r="G20" s="132">
        <f>IF(SER_hh_fec!G20=0,0,11630*1000*SER_hh_fec!G20/SER_hh_num!G20)</f>
        <v>20935.865604701845</v>
      </c>
      <c r="H20" s="132">
        <f>IF(SER_hh_fec!H20=0,0,11630*1000*SER_hh_fec!H20/SER_hh_num!H20)</f>
        <v>36712.420263247455</v>
      </c>
      <c r="I20" s="132">
        <f>IF(SER_hh_fec!I20=0,0,11630*1000*SER_hh_fec!I20/SER_hh_num!I20)</f>
        <v>48548.502092928778</v>
      </c>
      <c r="J20" s="132">
        <f>IF(SER_hh_fec!J20=0,0,11630*1000*SER_hh_fec!J20/SER_hh_num!J20)</f>
        <v>46606.479233836377</v>
      </c>
      <c r="K20" s="132">
        <f>IF(SER_hh_fec!K20=0,0,11630*1000*SER_hh_fec!K20/SER_hh_num!K20)</f>
        <v>45475.861720906541</v>
      </c>
      <c r="L20" s="132">
        <f>IF(SER_hh_fec!L20=0,0,11630*1000*SER_hh_fec!L20/SER_hh_num!L20)</f>
        <v>42594.771095183969</v>
      </c>
      <c r="M20" s="132">
        <f>IF(SER_hh_fec!M20=0,0,11630*1000*SER_hh_fec!M20/SER_hh_num!M20)</f>
        <v>41960.620327425167</v>
      </c>
      <c r="N20" s="132">
        <f>IF(SER_hh_fec!N20=0,0,11630*1000*SER_hh_fec!N20/SER_hh_num!N20)</f>
        <v>42413.716966730011</v>
      </c>
      <c r="O20" s="132">
        <f>IF(SER_hh_fec!O20=0,0,11630*1000*SER_hh_fec!O20/SER_hh_num!O20)</f>
        <v>41700.622490444948</v>
      </c>
      <c r="P20" s="132">
        <f>IF(SER_hh_fec!P20=0,0,11630*1000*SER_hh_fec!P20/SER_hh_num!P20)</f>
        <v>44177.80238926359</v>
      </c>
      <c r="Q20" s="132">
        <f>IF(SER_hh_fec!Q20=0,0,11630*1000*SER_hh_fec!Q20/SER_hh_num!Q20)</f>
        <v>50188.48436276646</v>
      </c>
      <c r="R20" s="132">
        <f>IF(SER_hh_fec!R20=0,0,11630*1000*SER_hh_fec!R20/SER_hh_num!R20)</f>
        <v>30541.299861333726</v>
      </c>
      <c r="S20" s="132">
        <f>IF(SER_hh_fec!S20=0,0,11630*1000*SER_hh_fec!S20/SER_hh_num!S20)</f>
        <v>39673.693775742053</v>
      </c>
      <c r="T20" s="132">
        <f>IF(SER_hh_fec!T20=0,0,11630*1000*SER_hh_fec!T20/SER_hh_num!T20)</f>
        <v>42921.930406877647</v>
      </c>
      <c r="U20" s="132">
        <f>IF(SER_hh_fec!U20=0,0,11630*1000*SER_hh_fec!U20/SER_hh_num!U20)</f>
        <v>62128.316778310895</v>
      </c>
      <c r="V20" s="132">
        <f>IF(SER_hh_fec!V20=0,0,11630*1000*SER_hh_fec!V20/SER_hh_num!V20)</f>
        <v>27205.986531603372</v>
      </c>
      <c r="W20" s="132">
        <f>IF(SER_hh_fec!W20=0,0,11630*1000*SER_hh_fec!W20/SER_hh_num!W20)</f>
        <v>46679.557662191342</v>
      </c>
      <c r="X20" s="132">
        <f>IF(SER_hh_fec!X20=0,0,11630*1000*SER_hh_fec!X20/SER_hh_num!X20)</f>
        <v>37158.617614068244</v>
      </c>
      <c r="Y20" s="132">
        <f>IF(SER_hh_fec!Y20=0,0,11630*1000*SER_hh_fec!Y20/SER_hh_num!Y20)</f>
        <v>38621.595608342686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0</v>
      </c>
      <c r="C22" s="132">
        <f>IF(SER_hh_fec!C22=0,0,11630*1000*SER_hh_fec!C22/SER_hh_num!C22)</f>
        <v>0</v>
      </c>
      <c r="D22" s="132">
        <f>IF(SER_hh_fec!D22=0,0,11630*1000*SER_hh_fec!D22/SER_hh_num!D22)</f>
        <v>0</v>
      </c>
      <c r="E22" s="132">
        <f>IF(SER_hh_fec!E22=0,0,11630*1000*SER_hh_fec!E22/SER_hh_num!E22)</f>
        <v>0</v>
      </c>
      <c r="F22" s="132">
        <f>IF(SER_hh_fec!F22=0,0,11630*1000*SER_hh_fec!F22/SER_hh_num!F22)</f>
        <v>0</v>
      </c>
      <c r="G22" s="132">
        <f>IF(SER_hh_fec!G22=0,0,11630*1000*SER_hh_fec!G22/SER_hh_num!G22)</f>
        <v>0</v>
      </c>
      <c r="H22" s="132">
        <f>IF(SER_hh_fec!H22=0,0,11630*1000*SER_hh_fec!H22/SER_hh_num!H22)</f>
        <v>0</v>
      </c>
      <c r="I22" s="132">
        <f>IF(SER_hh_fec!I22=0,0,11630*1000*SER_hh_fec!I22/SER_hh_num!I22)</f>
        <v>0</v>
      </c>
      <c r="J22" s="132">
        <f>IF(SER_hh_fec!J22=0,0,11630*1000*SER_hh_fec!J22/SER_hh_num!J22)</f>
        <v>0</v>
      </c>
      <c r="K22" s="132">
        <f>IF(SER_hh_fec!K22=0,0,11630*1000*SER_hh_fec!K22/SER_hh_num!K22)</f>
        <v>0</v>
      </c>
      <c r="L22" s="132">
        <f>IF(SER_hh_fec!L22=0,0,11630*1000*SER_hh_fec!L22/SER_hh_num!L22)</f>
        <v>0</v>
      </c>
      <c r="M22" s="132">
        <f>IF(SER_hh_fec!M22=0,0,11630*1000*SER_hh_fec!M22/SER_hh_num!M22)</f>
        <v>0</v>
      </c>
      <c r="N22" s="132">
        <f>IF(SER_hh_fec!N22=0,0,11630*1000*SER_hh_fec!N22/SER_hh_num!N22)</f>
        <v>0</v>
      </c>
      <c r="O22" s="132">
        <f>IF(SER_hh_fec!O22=0,0,11630*1000*SER_hh_fec!O22/SER_hh_num!O22)</f>
        <v>0</v>
      </c>
      <c r="P22" s="132">
        <f>IF(SER_hh_fec!P22=0,0,11630*1000*SER_hh_fec!P22/SER_hh_num!P22)</f>
        <v>0</v>
      </c>
      <c r="Q22" s="132">
        <f>IF(SER_hh_fec!Q22=0,0,11630*1000*SER_hh_fec!Q22/SER_hh_num!Q22)</f>
        <v>0</v>
      </c>
      <c r="R22" s="132">
        <f>IF(SER_hh_fec!R22=0,0,11630*1000*SER_hh_fec!R22/SER_hh_num!R22)</f>
        <v>0</v>
      </c>
      <c r="S22" s="132">
        <f>IF(SER_hh_fec!S22=0,0,11630*1000*SER_hh_fec!S22/SER_hh_num!S22)</f>
        <v>0</v>
      </c>
      <c r="T22" s="132">
        <f>IF(SER_hh_fec!T22=0,0,11630*1000*SER_hh_fec!T22/SER_hh_num!T22)</f>
        <v>0</v>
      </c>
      <c r="U22" s="132">
        <f>IF(SER_hh_fec!U22=0,0,11630*1000*SER_hh_fec!U22/SER_hh_num!U22)</f>
        <v>0</v>
      </c>
      <c r="V22" s="132">
        <f>IF(SER_hh_fec!V22=0,0,11630*1000*SER_hh_fec!V22/SER_hh_num!V22)</f>
        <v>0</v>
      </c>
      <c r="W22" s="132">
        <f>IF(SER_hh_fec!W22=0,0,11630*1000*SER_hh_fec!W22/SER_hh_num!W22)</f>
        <v>0</v>
      </c>
      <c r="X22" s="132">
        <f>IF(SER_hh_fec!X22=0,0,11630*1000*SER_hh_fec!X22/SER_hh_num!X22)</f>
        <v>0</v>
      </c>
      <c r="Y22" s="132">
        <f>IF(SER_hh_fec!Y22=0,0,11630*1000*SER_hh_fec!Y22/SER_hh_num!Y22)</f>
        <v>0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33347.994491322781</v>
      </c>
      <c r="C23" s="132">
        <f>IF(SER_hh_fec!C23=0,0,11630*1000*SER_hh_fec!C23/SER_hh_num!C23)</f>
        <v>52573.227704616111</v>
      </c>
      <c r="D23" s="132">
        <f>IF(SER_hh_fec!D23=0,0,11630*1000*SER_hh_fec!D23/SER_hh_num!D23)</f>
        <v>51893.201105774897</v>
      </c>
      <c r="E23" s="132">
        <f>IF(SER_hh_fec!E23=0,0,11630*1000*SER_hh_fec!E23/SER_hh_num!E23)</f>
        <v>46299.991301131318</v>
      </c>
      <c r="F23" s="132">
        <f>IF(SER_hh_fec!F23=0,0,11630*1000*SER_hh_fec!F23/SER_hh_num!F23)</f>
        <v>48030.39453290245</v>
      </c>
      <c r="G23" s="132">
        <f>IF(SER_hh_fec!G23=0,0,11630*1000*SER_hh_fec!G23/SER_hh_num!G23)</f>
        <v>45950.921445148742</v>
      </c>
      <c r="H23" s="132">
        <f>IF(SER_hh_fec!H23=0,0,11630*1000*SER_hh_fec!H23/SER_hh_num!H23)</f>
        <v>45431.015898390593</v>
      </c>
      <c r="I23" s="132">
        <f>IF(SER_hh_fec!I23=0,0,11630*1000*SER_hh_fec!I23/SER_hh_num!I23)</f>
        <v>48031.840381413924</v>
      </c>
      <c r="J23" s="132">
        <f>IF(SER_hh_fec!J23=0,0,11630*1000*SER_hh_fec!J23/SER_hh_num!J23)</f>
        <v>46645.319655259533</v>
      </c>
      <c r="K23" s="132">
        <f>IF(SER_hh_fec!K23=0,0,11630*1000*SER_hh_fec!K23/SER_hh_num!K23)</f>
        <v>44741.968152607966</v>
      </c>
      <c r="L23" s="132">
        <f>IF(SER_hh_fec!L23=0,0,11630*1000*SER_hh_fec!L23/SER_hh_num!L23)</f>
        <v>45636.502692915972</v>
      </c>
      <c r="M23" s="132">
        <f>IF(SER_hh_fec!M23=0,0,11630*1000*SER_hh_fec!M23/SER_hh_num!M23)</f>
        <v>41527.872842650148</v>
      </c>
      <c r="N23" s="132">
        <f>IF(SER_hh_fec!N23=0,0,11630*1000*SER_hh_fec!N23/SER_hh_num!N23)</f>
        <v>46324.034678888333</v>
      </c>
      <c r="O23" s="132">
        <f>IF(SER_hh_fec!O23=0,0,11630*1000*SER_hh_fec!O23/SER_hh_num!O23)</f>
        <v>46291.588188067413</v>
      </c>
      <c r="P23" s="132">
        <f>IF(SER_hh_fec!P23=0,0,11630*1000*SER_hh_fec!P23/SER_hh_num!P23)</f>
        <v>46399.53954547106</v>
      </c>
      <c r="Q23" s="132">
        <f>IF(SER_hh_fec!Q23=0,0,11630*1000*SER_hh_fec!Q23/SER_hh_num!Q23)</f>
        <v>46999.751345716548</v>
      </c>
      <c r="R23" s="132">
        <f>IF(SER_hh_fec!R23=0,0,11630*1000*SER_hh_fec!R23/SER_hh_num!R23)</f>
        <v>46939.033394935468</v>
      </c>
      <c r="S23" s="132">
        <f>IF(SER_hh_fec!S23=0,0,11630*1000*SER_hh_fec!S23/SER_hh_num!S23)</f>
        <v>44404.706020006903</v>
      </c>
      <c r="T23" s="132">
        <f>IF(SER_hh_fec!T23=0,0,11630*1000*SER_hh_fec!T23/SER_hh_num!T23)</f>
        <v>42129.881812965359</v>
      </c>
      <c r="U23" s="132">
        <f>IF(SER_hh_fec!U23=0,0,11630*1000*SER_hh_fec!U23/SER_hh_num!U23)</f>
        <v>38145.218170827698</v>
      </c>
      <c r="V23" s="132">
        <f>IF(SER_hh_fec!V23=0,0,11630*1000*SER_hh_fec!V23/SER_hh_num!V23)</f>
        <v>25722.043495160859</v>
      </c>
      <c r="W23" s="132">
        <f>IF(SER_hh_fec!W23=0,0,11630*1000*SER_hh_fec!W23/SER_hh_num!W23)</f>
        <v>43052.975065727689</v>
      </c>
      <c r="X23" s="132">
        <f>IF(SER_hh_fec!X23=0,0,11630*1000*SER_hh_fec!X23/SER_hh_num!X23)</f>
        <v>41495.602309957671</v>
      </c>
      <c r="Y23" s="132">
        <f>IF(SER_hh_fec!Y23=0,0,11630*1000*SER_hh_fec!Y23/SER_hh_num!Y23)</f>
        <v>38328.473037775737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30694.01043623353</v>
      </c>
      <c r="C25" s="132">
        <f>IF(SER_hh_fec!C25=0,0,11630*1000*SER_hh_fec!C25/SER_hh_num!C25)</f>
        <v>30918.693476283708</v>
      </c>
      <c r="D25" s="132">
        <f>IF(SER_hh_fec!D25=0,0,11630*1000*SER_hh_fec!D25/SER_hh_num!D25)</f>
        <v>34040.757971260406</v>
      </c>
      <c r="E25" s="132">
        <f>IF(SER_hh_fec!E25=0,0,11630*1000*SER_hh_fec!E25/SER_hh_num!E25)</f>
        <v>36401.106642526938</v>
      </c>
      <c r="F25" s="132">
        <f>IF(SER_hh_fec!F25=0,0,11630*1000*SER_hh_fec!F25/SER_hh_num!F25)</f>
        <v>47215.771162214129</v>
      </c>
      <c r="G25" s="132">
        <f>IF(SER_hh_fec!G25=0,0,11630*1000*SER_hh_fec!G25/SER_hh_num!G25)</f>
        <v>34922.296952933262</v>
      </c>
      <c r="H25" s="132">
        <f>IF(SER_hh_fec!H25=0,0,11630*1000*SER_hh_fec!H25/SER_hh_num!H25)</f>
        <v>31193.715931853829</v>
      </c>
      <c r="I25" s="132">
        <f>IF(SER_hh_fec!I25=0,0,11630*1000*SER_hh_fec!I25/SER_hh_num!I25)</f>
        <v>32909.448883415571</v>
      </c>
      <c r="J25" s="132">
        <f>IF(SER_hh_fec!J25=0,0,11630*1000*SER_hh_fec!J25/SER_hh_num!J25)</f>
        <v>33560.25637175209</v>
      </c>
      <c r="K25" s="132">
        <f>IF(SER_hh_fec!K25=0,0,11630*1000*SER_hh_fec!K25/SER_hh_num!K25)</f>
        <v>34832.295433034764</v>
      </c>
      <c r="L25" s="132">
        <f>IF(SER_hh_fec!L25=0,0,11630*1000*SER_hh_fec!L25/SER_hh_num!L25)</f>
        <v>33916.968558015062</v>
      </c>
      <c r="M25" s="132">
        <f>IF(SER_hh_fec!M25=0,0,11630*1000*SER_hh_fec!M25/SER_hh_num!M25)</f>
        <v>35016.474372048797</v>
      </c>
      <c r="N25" s="132">
        <f>IF(SER_hh_fec!N25=0,0,11630*1000*SER_hh_fec!N25/SER_hh_num!N25)</f>
        <v>38083.323184802961</v>
      </c>
      <c r="O25" s="132">
        <f>IF(SER_hh_fec!O25=0,0,11630*1000*SER_hh_fec!O25/SER_hh_num!O25)</f>
        <v>28195.058561642665</v>
      </c>
      <c r="P25" s="132">
        <f>IF(SER_hh_fec!P25=0,0,11630*1000*SER_hh_fec!P25/SER_hh_num!P25)</f>
        <v>29083.139213971572</v>
      </c>
      <c r="Q25" s="132">
        <f>IF(SER_hh_fec!Q25=0,0,11630*1000*SER_hh_fec!Q25/SER_hh_num!Q25)</f>
        <v>13710.247059114965</v>
      </c>
      <c r="R25" s="132">
        <f>IF(SER_hh_fec!R25=0,0,11630*1000*SER_hh_fec!R25/SER_hh_num!R25)</f>
        <v>46300.517035547091</v>
      </c>
      <c r="S25" s="132">
        <f>IF(SER_hh_fec!S25=0,0,11630*1000*SER_hh_fec!S25/SER_hh_num!S25)</f>
        <v>42912.482397040709</v>
      </c>
      <c r="T25" s="132">
        <f>IF(SER_hh_fec!T25=0,0,11630*1000*SER_hh_fec!T25/SER_hh_num!T25)</f>
        <v>40516.575887510233</v>
      </c>
      <c r="U25" s="132">
        <f>IF(SER_hh_fec!U25=0,0,11630*1000*SER_hh_fec!U25/SER_hh_num!U25)</f>
        <v>37030.681081752329</v>
      </c>
      <c r="V25" s="132">
        <f>IF(SER_hh_fec!V25=0,0,11630*1000*SER_hh_fec!V25/SER_hh_num!V25)</f>
        <v>23789.876677948043</v>
      </c>
      <c r="W25" s="132">
        <f>IF(SER_hh_fec!W25=0,0,11630*1000*SER_hh_fec!W25/SER_hh_num!W25)</f>
        <v>30763.474830943054</v>
      </c>
      <c r="X25" s="132">
        <f>IF(SER_hh_fec!X25=0,0,11630*1000*SER_hh_fec!X25/SER_hh_num!X25)</f>
        <v>35525.454547845395</v>
      </c>
      <c r="Y25" s="132">
        <f>IF(SER_hh_fec!Y25=0,0,11630*1000*SER_hh_fec!Y25/SER_hh_num!Y25)</f>
        <v>32037.809089849288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41971.191237090905</v>
      </c>
      <c r="C26" s="65">
        <f>IF(SER_hh_fec!C26=0,0,11630*1000*SER_hh_fec!C26/SER_hh_num!C26)</f>
        <v>39612.08347935936</v>
      </c>
      <c r="D26" s="65">
        <f>IF(SER_hh_fec!D26=0,0,11630*1000*SER_hh_fec!D26/SER_hh_num!D26)</f>
        <v>38744.851394163656</v>
      </c>
      <c r="E26" s="65">
        <f>IF(SER_hh_fec!E26=0,0,11630*1000*SER_hh_fec!E26/SER_hh_num!E26)</f>
        <v>39869.521286603507</v>
      </c>
      <c r="F26" s="65">
        <f>IF(SER_hh_fec!F26=0,0,11630*1000*SER_hh_fec!F26/SER_hh_num!F26)</f>
        <v>34907.170812609707</v>
      </c>
      <c r="G26" s="65">
        <f>IF(SER_hh_fec!G26=0,0,11630*1000*SER_hh_fec!G26/SER_hh_num!G26)</f>
        <v>41834.853892032588</v>
      </c>
      <c r="H26" s="65">
        <f>IF(SER_hh_fec!H26=0,0,11630*1000*SER_hh_fec!H26/SER_hh_num!H26)</f>
        <v>43007.651767607706</v>
      </c>
      <c r="I26" s="65">
        <f>IF(SER_hh_fec!I26=0,0,11630*1000*SER_hh_fec!I26/SER_hh_num!I26)</f>
        <v>39550.684819141235</v>
      </c>
      <c r="J26" s="65">
        <f>IF(SER_hh_fec!J26=0,0,11630*1000*SER_hh_fec!J26/SER_hh_num!J26)</f>
        <v>38956.030745459298</v>
      </c>
      <c r="K26" s="65">
        <f>IF(SER_hh_fec!K26=0,0,11630*1000*SER_hh_fec!K26/SER_hh_num!K26)</f>
        <v>41152.210182305615</v>
      </c>
      <c r="L26" s="65">
        <f>IF(SER_hh_fec!L26=0,0,11630*1000*SER_hh_fec!L26/SER_hh_num!L26)</f>
        <v>41114.182388748144</v>
      </c>
      <c r="M26" s="65">
        <f>IF(SER_hh_fec!M26=0,0,11630*1000*SER_hh_fec!M26/SER_hh_num!M26)</f>
        <v>41757.981434120971</v>
      </c>
      <c r="N26" s="65">
        <f>IF(SER_hh_fec!N26=0,0,11630*1000*SER_hh_fec!N26/SER_hh_num!N26)</f>
        <v>39047.587252678022</v>
      </c>
      <c r="O26" s="65">
        <f>IF(SER_hh_fec!O26=0,0,11630*1000*SER_hh_fec!O26/SER_hh_num!O26)</f>
        <v>40962.228896694476</v>
      </c>
      <c r="P26" s="65">
        <f>IF(SER_hh_fec!P26=0,0,11630*1000*SER_hh_fec!P26/SER_hh_num!P26)</f>
        <v>39662.403922240112</v>
      </c>
      <c r="Q26" s="65">
        <f>IF(SER_hh_fec!Q26=0,0,11630*1000*SER_hh_fec!Q26/SER_hh_num!Q26)</f>
        <v>41241.494926385007</v>
      </c>
      <c r="R26" s="65">
        <f>IF(SER_hh_fec!R26=0,0,11630*1000*SER_hh_fec!R26/SER_hh_num!R26)</f>
        <v>36409.131335709062</v>
      </c>
      <c r="S26" s="65">
        <f>IF(SER_hh_fec!S26=0,0,11630*1000*SER_hh_fec!S26/SER_hh_num!S26)</f>
        <v>37405.703770094588</v>
      </c>
      <c r="T26" s="65">
        <f>IF(SER_hh_fec!T26=0,0,11630*1000*SER_hh_fec!T26/SER_hh_num!T26)</f>
        <v>36563.09821948468</v>
      </c>
      <c r="U26" s="65">
        <f>IF(SER_hh_fec!U26=0,0,11630*1000*SER_hh_fec!U26/SER_hh_num!U26)</f>
        <v>35573.470599302265</v>
      </c>
      <c r="V26" s="65">
        <f>IF(SER_hh_fec!V26=0,0,11630*1000*SER_hh_fec!V26/SER_hh_num!V26)</f>
        <v>36718.75857492855</v>
      </c>
      <c r="W26" s="65">
        <f>IF(SER_hh_fec!W26=0,0,11630*1000*SER_hh_fec!W26/SER_hh_num!W26)</f>
        <v>33017.072619952211</v>
      </c>
      <c r="X26" s="65">
        <f>IF(SER_hh_fec!X26=0,0,11630*1000*SER_hh_fec!X26/SER_hh_num!X26)</f>
        <v>33154.514437040241</v>
      </c>
      <c r="Y26" s="65">
        <f>IF(SER_hh_fec!Y26=0,0,11630*1000*SER_hh_fec!Y26/SER_hh_num!Y26)</f>
        <v>33089.857279102005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8.3997998972908601</v>
      </c>
      <c r="H27" s="145">
        <f>IF(SER_hh_fec!H27=0,0,11630*1000*SER_hh_fec!H27/SER_hh_num!H19)</f>
        <v>8.0332246370943796</v>
      </c>
      <c r="I27" s="145">
        <f>IF(SER_hh_fec!I27=0,0,11630*1000*SER_hh_fec!I27/SER_hh_num!I19)</f>
        <v>7.6105165634588774</v>
      </c>
      <c r="J27" s="145">
        <f>IF(SER_hh_fec!J27=0,0,11630*1000*SER_hh_fec!J27/SER_hh_num!J19)</f>
        <v>7.3673835818644697</v>
      </c>
      <c r="K27" s="145">
        <f>IF(SER_hh_fec!K27=0,0,11630*1000*SER_hh_fec!K27/SER_hh_num!K19)</f>
        <v>7.3795673763169392</v>
      </c>
      <c r="L27" s="145">
        <f>IF(SER_hh_fec!L27=0,0,11630*1000*SER_hh_fec!L27/SER_hh_num!L19)</f>
        <v>137.09716077742331</v>
      </c>
      <c r="M27" s="145">
        <f>IF(SER_hh_fec!M27=0,0,11630*1000*SER_hh_fec!M27/SER_hh_num!M19)</f>
        <v>164.33662935717442</v>
      </c>
      <c r="N27" s="145">
        <f>IF(SER_hh_fec!N27=0,0,11630*1000*SER_hh_fec!N27/SER_hh_num!N19)</f>
        <v>162.72148559071303</v>
      </c>
      <c r="O27" s="145">
        <f>IF(SER_hh_fec!O27=0,0,11630*1000*SER_hh_fec!O27/SER_hh_num!O19)</f>
        <v>84.158216051013724</v>
      </c>
      <c r="P27" s="145">
        <f>IF(SER_hh_fec!P27=0,0,11630*1000*SER_hh_fec!P27/SER_hh_num!P19)</f>
        <v>333.50444713243218</v>
      </c>
      <c r="Q27" s="145">
        <f>IF(SER_hh_fec!Q27=0,0,11630*1000*SER_hh_fec!Q27/SER_hh_num!Q19)</f>
        <v>233.30634070394706</v>
      </c>
      <c r="R27" s="145">
        <f>IF(SER_hh_fec!R27=0,0,11630*1000*SER_hh_fec!R27/SER_hh_num!R19)</f>
        <v>244.10854717202972</v>
      </c>
      <c r="S27" s="145">
        <f>IF(SER_hh_fec!S27=0,0,11630*1000*SER_hh_fec!S27/SER_hh_num!S19)</f>
        <v>180.78717254260295</v>
      </c>
      <c r="T27" s="145">
        <f>IF(SER_hh_fec!T27=0,0,11630*1000*SER_hh_fec!T27/SER_hh_num!T19)</f>
        <v>191.40670678780995</v>
      </c>
      <c r="U27" s="145">
        <f>IF(SER_hh_fec!U27=0,0,11630*1000*SER_hh_fec!U27/SER_hh_num!U19)</f>
        <v>195.08021948831455</v>
      </c>
      <c r="V27" s="145">
        <f>IF(SER_hh_fec!V27=0,0,11630*1000*SER_hh_fec!V27/SER_hh_num!V19)</f>
        <v>198.77702078236712</v>
      </c>
      <c r="W27" s="145">
        <f>IF(SER_hh_fec!W27=0,0,11630*1000*SER_hh_fec!W27/SER_hh_num!W19)</f>
        <v>202.55286499263065</v>
      </c>
      <c r="X27" s="145">
        <f>IF(SER_hh_fec!X27=0,0,11630*1000*SER_hh_fec!X27/SER_hh_num!X19)</f>
        <v>237.69541469877987</v>
      </c>
      <c r="Y27" s="145">
        <f>IF(SER_hh_fec!Y27=0,0,11630*1000*SER_hh_fec!Y27/SER_hh_num!Y19)</f>
        <v>494.95435828371552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18790.818575096659</v>
      </c>
      <c r="H28" s="146">
        <f>IF(SER_hh_fec!H27=0,0,11630*1000*SER_hh_fec!H27/SER_hh_num!H27)</f>
        <v>18917.74844912664</v>
      </c>
      <c r="I28" s="146">
        <f>IF(SER_hh_fec!I27=0,0,11630*1000*SER_hh_fec!I27/SER_hh_num!I27)</f>
        <v>18670.19922251278</v>
      </c>
      <c r="J28" s="146">
        <f>IF(SER_hh_fec!J27=0,0,11630*1000*SER_hh_fec!J27/SER_hh_num!J27)</f>
        <v>18559.27676796927</v>
      </c>
      <c r="K28" s="146">
        <f>IF(SER_hh_fec!K27=0,0,11630*1000*SER_hh_fec!K27/SER_hh_num!K27)</f>
        <v>19177.096458812637</v>
      </c>
      <c r="L28" s="146">
        <f>IF(SER_hh_fec!L27=0,0,11630*1000*SER_hh_fec!L27/SER_hh_num!L27)</f>
        <v>17833.207522301294</v>
      </c>
      <c r="M28" s="146">
        <f>IF(SER_hh_fec!M27=0,0,11630*1000*SER_hh_fec!M27/SER_hh_num!M27)</f>
        <v>18994.259933139532</v>
      </c>
      <c r="N28" s="146">
        <f>IF(SER_hh_fec!N27=0,0,11630*1000*SER_hh_fec!N27/SER_hh_num!N27)</f>
        <v>18750.787371376635</v>
      </c>
      <c r="O28" s="146">
        <f>IF(SER_hh_fec!O27=0,0,11630*1000*SER_hh_fec!O27/SER_hh_num!O27)</f>
        <v>17737.197519450456</v>
      </c>
      <c r="P28" s="146">
        <f>IF(SER_hh_fec!P27=0,0,11630*1000*SER_hh_fec!P27/SER_hh_num!P27)</f>
        <v>19193.341016255959</v>
      </c>
      <c r="Q28" s="146">
        <f>IF(SER_hh_fec!Q27=0,0,11630*1000*SER_hh_fec!Q27/SER_hh_num!Q27)</f>
        <v>19059.992415819263</v>
      </c>
      <c r="R28" s="146">
        <f>IF(SER_hh_fec!R27=0,0,11630*1000*SER_hh_fec!R27/SER_hh_num!R27)</f>
        <v>19187.153247485796</v>
      </c>
      <c r="S28" s="146">
        <f>IF(SER_hh_fec!S27=0,0,11630*1000*SER_hh_fec!S27/SER_hh_num!S27)</f>
        <v>20199.94742955043</v>
      </c>
      <c r="T28" s="146">
        <f>IF(SER_hh_fec!T27=0,0,11630*1000*SER_hh_fec!T27/SER_hh_num!T27)</f>
        <v>19307.890307325491</v>
      </c>
      <c r="U28" s="146">
        <f>IF(SER_hh_fec!U27=0,0,11630*1000*SER_hh_fec!U27/SER_hh_num!U27)</f>
        <v>19487.117167174642</v>
      </c>
      <c r="V28" s="146">
        <f>IF(SER_hh_fec!V27=0,0,11630*1000*SER_hh_fec!V27/SER_hh_num!V27)</f>
        <v>17375.631912031055</v>
      </c>
      <c r="W28" s="146">
        <f>IF(SER_hh_fec!W27=0,0,11630*1000*SER_hh_fec!W27/SER_hh_num!W27)</f>
        <v>15890.130427882887</v>
      </c>
      <c r="X28" s="146">
        <f>IF(SER_hh_fec!X27=0,0,11630*1000*SER_hh_fec!X27/SER_hh_num!X27)</f>
        <v>21165.50106086033</v>
      </c>
      <c r="Y28" s="146">
        <f>IF(SER_hh_fec!Y27=0,0,11630*1000*SER_hh_fec!Y27/SER_hh_num!Y27)</f>
        <v>17036.135383954876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35838.610876045539</v>
      </c>
      <c r="C29" s="130">
        <f>IF(SER_hh_fec!C29=0,0,11630*1000*SER_hh_fec!C29/SER_hh_num!C29)</f>
        <v>36812.911855781473</v>
      </c>
      <c r="D29" s="130">
        <f>IF(SER_hh_fec!D29=0,0,11630*1000*SER_hh_fec!D29/SER_hh_num!D29)</f>
        <v>39866.784682190388</v>
      </c>
      <c r="E29" s="130">
        <f>IF(SER_hh_fec!E29=0,0,11630*1000*SER_hh_fec!E29/SER_hh_num!E29)</f>
        <v>40095.391416804297</v>
      </c>
      <c r="F29" s="130">
        <f>IF(SER_hh_fec!F29=0,0,11630*1000*SER_hh_fec!F29/SER_hh_num!F29)</f>
        <v>39910.821830724264</v>
      </c>
      <c r="G29" s="130">
        <f>IF(SER_hh_fec!G29=0,0,11630*1000*SER_hh_fec!G29/SER_hh_num!G29)</f>
        <v>40372.516589756138</v>
      </c>
      <c r="H29" s="130">
        <f>IF(SER_hh_fec!H29=0,0,11630*1000*SER_hh_fec!H29/SER_hh_num!H29)</f>
        <v>39747.045045389888</v>
      </c>
      <c r="I29" s="130">
        <f>IF(SER_hh_fec!I29=0,0,11630*1000*SER_hh_fec!I29/SER_hh_num!I29)</f>
        <v>37133.573207584777</v>
      </c>
      <c r="J29" s="130">
        <f>IF(SER_hh_fec!J29=0,0,11630*1000*SER_hh_fec!J29/SER_hh_num!J29)</f>
        <v>35701.371332053735</v>
      </c>
      <c r="K29" s="130">
        <f>IF(SER_hh_fec!K29=0,0,11630*1000*SER_hh_fec!K29/SER_hh_num!K29)</f>
        <v>37034.813921537869</v>
      </c>
      <c r="L29" s="130">
        <f>IF(SER_hh_fec!L29=0,0,11630*1000*SER_hh_fec!L29/SER_hh_num!L29)</f>
        <v>36890.744053291433</v>
      </c>
      <c r="M29" s="130">
        <f>IF(SER_hh_fec!M29=0,0,11630*1000*SER_hh_fec!M29/SER_hh_num!M29)</f>
        <v>34719.080738275283</v>
      </c>
      <c r="N29" s="130">
        <f>IF(SER_hh_fec!N29=0,0,11630*1000*SER_hh_fec!N29/SER_hh_num!N29)</f>
        <v>35767.582565474397</v>
      </c>
      <c r="O29" s="130">
        <f>IF(SER_hh_fec!O29=0,0,11630*1000*SER_hh_fec!O29/SER_hh_num!O29)</f>
        <v>36332.809236746092</v>
      </c>
      <c r="P29" s="130">
        <f>IF(SER_hh_fec!P29=0,0,11630*1000*SER_hh_fec!P29/SER_hh_num!P29)</f>
        <v>35984.122696917038</v>
      </c>
      <c r="Q29" s="130">
        <f>IF(SER_hh_fec!Q29=0,0,11630*1000*SER_hh_fec!Q29/SER_hh_num!Q29)</f>
        <v>36267.700980335416</v>
      </c>
      <c r="R29" s="130">
        <f>IF(SER_hh_fec!R29=0,0,11630*1000*SER_hh_fec!R29/SER_hh_num!R29)</f>
        <v>35639.694871024665</v>
      </c>
      <c r="S29" s="130">
        <f>IF(SER_hh_fec!S29=0,0,11630*1000*SER_hh_fec!S29/SER_hh_num!S29)</f>
        <v>34600.776925473125</v>
      </c>
      <c r="T29" s="130">
        <f>IF(SER_hh_fec!T29=0,0,11630*1000*SER_hh_fec!T29/SER_hh_num!T29)</f>
        <v>33445.706649732107</v>
      </c>
      <c r="U29" s="130">
        <f>IF(SER_hh_fec!U29=0,0,11630*1000*SER_hh_fec!U29/SER_hh_num!U29)</f>
        <v>31730.093260601174</v>
      </c>
      <c r="V29" s="130">
        <f>IF(SER_hh_fec!V29=0,0,11630*1000*SER_hh_fec!V29/SER_hh_num!V29)</f>
        <v>28566.988092777443</v>
      </c>
      <c r="W29" s="130">
        <f>IF(SER_hh_fec!W29=0,0,11630*1000*SER_hh_fec!W29/SER_hh_num!W29)</f>
        <v>33081.444997144652</v>
      </c>
      <c r="X29" s="130">
        <f>IF(SER_hh_fec!X29=0,0,11630*1000*SER_hh_fec!X29/SER_hh_num!X29)</f>
        <v>32514.211145302994</v>
      </c>
      <c r="Y29" s="130">
        <f>IF(SER_hh_fec!Y29=0,0,11630*1000*SER_hh_fec!Y29/SER_hh_num!Y29)</f>
        <v>31606.18748483645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19407.772055619786</v>
      </c>
      <c r="C30" s="132">
        <f>IF(SER_hh_fec!C30=0,0,11630*1000*SER_hh_fec!C30/SER_hh_num!C30)</f>
        <v>31150.934008250533</v>
      </c>
      <c r="D30" s="132">
        <f>IF(SER_hh_fec!D30=0,0,11630*1000*SER_hh_fec!D30/SER_hh_num!D30)</f>
        <v>49955.643363631963</v>
      </c>
      <c r="E30" s="132">
        <f>IF(SER_hh_fec!E30=0,0,11630*1000*SER_hh_fec!E30/SER_hh_num!E30)</f>
        <v>51507.316676006456</v>
      </c>
      <c r="F30" s="132">
        <f>IF(SER_hh_fec!F30=0,0,11630*1000*SER_hh_fec!F30/SER_hh_num!F30)</f>
        <v>55713.763714693254</v>
      </c>
      <c r="G30" s="132">
        <f>IF(SER_hh_fec!G30=0,0,11630*1000*SER_hh_fec!G30/SER_hh_num!G30)</f>
        <v>43659.58150450961</v>
      </c>
      <c r="H30" s="132">
        <f>IF(SER_hh_fec!H30=0,0,11630*1000*SER_hh_fec!H30/SER_hh_num!H30)</f>
        <v>50976.862363748623</v>
      </c>
      <c r="I30" s="132">
        <f>IF(SER_hh_fec!I30=0,0,11630*1000*SER_hh_fec!I30/SER_hh_num!I30)</f>
        <v>28164.199989400797</v>
      </c>
      <c r="J30" s="132">
        <f>IF(SER_hh_fec!J30=0,0,11630*1000*SER_hh_fec!J30/SER_hh_num!J30)</f>
        <v>9954.7681327322043</v>
      </c>
      <c r="K30" s="132">
        <f>IF(SER_hh_fec!K30=0,0,11630*1000*SER_hh_fec!K30/SER_hh_num!K30)</f>
        <v>47614.419041273592</v>
      </c>
      <c r="L30" s="132">
        <f>IF(SER_hh_fec!L30=0,0,11630*1000*SER_hh_fec!L30/SER_hh_num!L30)</f>
        <v>82909.970895102713</v>
      </c>
      <c r="M30" s="132">
        <f>IF(SER_hh_fec!M30=0,0,11630*1000*SER_hh_fec!M30/SER_hh_num!M30)</f>
        <v>9839.230048469637</v>
      </c>
      <c r="N30" s="132">
        <f>IF(SER_hh_fec!N30=0,0,11630*1000*SER_hh_fec!N30/SER_hh_num!N30)</f>
        <v>48588.645591263725</v>
      </c>
      <c r="O30" s="132">
        <f>IF(SER_hh_fec!O30=0,0,11630*1000*SER_hh_fec!O30/SER_hh_num!O30)</f>
        <v>46902.140925006708</v>
      </c>
      <c r="P30" s="132">
        <f>IF(SER_hh_fec!P30=0,0,11630*1000*SER_hh_fec!P30/SER_hh_num!P30)</f>
        <v>42944.417695822929</v>
      </c>
      <c r="Q30" s="132">
        <f>IF(SER_hh_fec!Q30=0,0,11630*1000*SER_hh_fec!Q30/SER_hh_num!Q30)</f>
        <v>40769.883510849068</v>
      </c>
      <c r="R30" s="132">
        <f>IF(SER_hh_fec!R30=0,0,11630*1000*SER_hh_fec!R30/SER_hh_num!R30)</f>
        <v>43222.737499974115</v>
      </c>
      <c r="S30" s="132">
        <f>IF(SER_hh_fec!S30=0,0,11630*1000*SER_hh_fec!S30/SER_hh_num!S30)</f>
        <v>29083.41459586464</v>
      </c>
      <c r="T30" s="132">
        <f>IF(SER_hh_fec!T30=0,0,11630*1000*SER_hh_fec!T30/SER_hh_num!T30)</f>
        <v>44426.706525523237</v>
      </c>
      <c r="U30" s="132">
        <f>IF(SER_hh_fec!U30=0,0,11630*1000*SER_hh_fec!U30/SER_hh_num!U30)</f>
        <v>40504.575414949781</v>
      </c>
      <c r="V30" s="132">
        <f>IF(SER_hh_fec!V30=0,0,11630*1000*SER_hh_fec!V30/SER_hh_num!V30)</f>
        <v>29413.86899079031</v>
      </c>
      <c r="W30" s="132">
        <f>IF(SER_hh_fec!W30=0,0,11630*1000*SER_hh_fec!W30/SER_hh_num!W30)</f>
        <v>30893.897513632965</v>
      </c>
      <c r="X30" s="132">
        <f>IF(SER_hh_fec!X30=0,0,11630*1000*SER_hh_fec!X30/SER_hh_num!X30)</f>
        <v>52009.369989351879</v>
      </c>
      <c r="Y30" s="132">
        <f>IF(SER_hh_fec!Y30=0,0,11630*1000*SER_hh_fec!Y30/SER_hh_num!Y30)</f>
        <v>29075.742104435754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40893.842866468047</v>
      </c>
      <c r="C31" s="132">
        <f>IF(SER_hh_fec!C31=0,0,11630*1000*SER_hh_fec!C31/SER_hh_num!C31)</f>
        <v>40679.096362228898</v>
      </c>
      <c r="D31" s="132">
        <f>IF(SER_hh_fec!D31=0,0,11630*1000*SER_hh_fec!D31/SER_hh_num!D31)</f>
        <v>42985.475834561388</v>
      </c>
      <c r="E31" s="132">
        <f>IF(SER_hh_fec!E31=0,0,11630*1000*SER_hh_fec!E31/SER_hh_num!E31)</f>
        <v>42862.396696183656</v>
      </c>
      <c r="F31" s="132">
        <f>IF(SER_hh_fec!F31=0,0,11630*1000*SER_hh_fec!F31/SER_hh_num!F31)</f>
        <v>33508.961211226553</v>
      </c>
      <c r="G31" s="132">
        <f>IF(SER_hh_fec!G31=0,0,11630*1000*SER_hh_fec!G31/SER_hh_num!G31)</f>
        <v>44817.828056607199</v>
      </c>
      <c r="H31" s="132">
        <f>IF(SER_hh_fec!H31=0,0,11630*1000*SER_hh_fec!H31/SER_hh_num!H31)</f>
        <v>44634.822074888667</v>
      </c>
      <c r="I31" s="132">
        <f>IF(SER_hh_fec!I31=0,0,11630*1000*SER_hh_fec!I31/SER_hh_num!I31)</f>
        <v>44197.841115293668</v>
      </c>
      <c r="J31" s="132">
        <f>IF(SER_hh_fec!J31=0,0,11630*1000*SER_hh_fec!J31/SER_hh_num!J31)</f>
        <v>43176.779043046408</v>
      </c>
      <c r="K31" s="132">
        <f>IF(SER_hh_fec!K31=0,0,11630*1000*SER_hh_fec!K31/SER_hh_num!K31)</f>
        <v>42641.413642144049</v>
      </c>
      <c r="L31" s="132">
        <f>IF(SER_hh_fec!L31=0,0,11630*1000*SER_hh_fec!L31/SER_hh_num!L31)</f>
        <v>42173.617786053226</v>
      </c>
      <c r="M31" s="132">
        <f>IF(SER_hh_fec!M31=0,0,11630*1000*SER_hh_fec!M31/SER_hh_num!M31)</f>
        <v>37910.523413411611</v>
      </c>
      <c r="N31" s="132">
        <f>IF(SER_hh_fec!N31=0,0,11630*1000*SER_hh_fec!N31/SER_hh_num!N31)</f>
        <v>39618.20373037942</v>
      </c>
      <c r="O31" s="132">
        <f>IF(SER_hh_fec!O31=0,0,11630*1000*SER_hh_fec!O31/SER_hh_num!O31)</f>
        <v>42494.634478333945</v>
      </c>
      <c r="P31" s="132">
        <f>IF(SER_hh_fec!P31=0,0,11630*1000*SER_hh_fec!P31/SER_hh_num!P31)</f>
        <v>40836.159596780803</v>
      </c>
      <c r="Q31" s="132">
        <f>IF(SER_hh_fec!Q31=0,0,11630*1000*SER_hh_fec!Q31/SER_hh_num!Q31)</f>
        <v>42715.18663654312</v>
      </c>
      <c r="R31" s="132">
        <f>IF(SER_hh_fec!R31=0,0,11630*1000*SER_hh_fec!R31/SER_hh_num!R31)</f>
        <v>42204.880751039113</v>
      </c>
      <c r="S31" s="132">
        <f>IF(SER_hh_fec!S31=0,0,11630*1000*SER_hh_fec!S31/SER_hh_num!S31)</f>
        <v>41086.655284093271</v>
      </c>
      <c r="T31" s="132">
        <f>IF(SER_hh_fec!T31=0,0,11630*1000*SER_hh_fec!T31/SER_hh_num!T31)</f>
        <v>37377.262772202557</v>
      </c>
      <c r="U31" s="132">
        <f>IF(SER_hh_fec!U31=0,0,11630*1000*SER_hh_fec!U31/SER_hh_num!U31)</f>
        <v>30986.183877358544</v>
      </c>
      <c r="V31" s="132">
        <f>IF(SER_hh_fec!V31=0,0,11630*1000*SER_hh_fec!V31/SER_hh_num!V31)</f>
        <v>27256.299465879034</v>
      </c>
      <c r="W31" s="132">
        <f>IF(SER_hh_fec!W31=0,0,11630*1000*SER_hh_fec!W31/SER_hh_num!W31)</f>
        <v>43321.251306508195</v>
      </c>
      <c r="X31" s="132">
        <f>IF(SER_hh_fec!X31=0,0,11630*1000*SER_hh_fec!X31/SER_hh_num!X31)</f>
        <v>40806.077630503503</v>
      </c>
      <c r="Y31" s="132">
        <f>IF(SER_hh_fec!Y31=0,0,11630*1000*SER_hh_fec!Y31/SER_hh_num!Y31)</f>
        <v>37169.697496244349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35229.284295805839</v>
      </c>
      <c r="C33" s="68">
        <f>IF(SER_hh_fec!C33=0,0,11630*1000*SER_hh_fec!C33/SER_hh_num!C33)</f>
        <v>35059.853515753726</v>
      </c>
      <c r="D33" s="68">
        <f>IF(SER_hh_fec!D33=0,0,11630*1000*SER_hh_fec!D33/SER_hh_num!D33)</f>
        <v>25821.816277054419</v>
      </c>
      <c r="E33" s="68">
        <f>IF(SER_hh_fec!E33=0,0,11630*1000*SER_hh_fec!E33/SER_hh_num!E33)</f>
        <v>26832.432917039121</v>
      </c>
      <c r="F33" s="68">
        <f>IF(SER_hh_fec!F33=0,0,11630*1000*SER_hh_fec!F33/SER_hh_num!F33)</f>
        <v>33111.612476078961</v>
      </c>
      <c r="G33" s="68">
        <f>IF(SER_hh_fec!G33=0,0,11630*1000*SER_hh_fec!G33/SER_hh_num!G33)</f>
        <v>33958.739645845955</v>
      </c>
      <c r="H33" s="68">
        <f>IF(SER_hh_fec!H33=0,0,11630*1000*SER_hh_fec!H33/SER_hh_num!H33)</f>
        <v>30932.393983370144</v>
      </c>
      <c r="I33" s="68">
        <f>IF(SER_hh_fec!I33=0,0,11630*1000*SER_hh_fec!I33/SER_hh_num!I33)</f>
        <v>33526.849872864346</v>
      </c>
      <c r="J33" s="68">
        <f>IF(SER_hh_fec!J33=0,0,11630*1000*SER_hh_fec!J33/SER_hh_num!J33)</f>
        <v>33651.39457817364</v>
      </c>
      <c r="K33" s="68">
        <f>IF(SER_hh_fec!K33=0,0,11630*1000*SER_hh_fec!K33/SER_hh_num!K33)</f>
        <v>31854.629765624661</v>
      </c>
      <c r="L33" s="68">
        <f>IF(SER_hh_fec!L33=0,0,11630*1000*SER_hh_fec!L33/SER_hh_num!L33)</f>
        <v>27748.983518652898</v>
      </c>
      <c r="M33" s="68">
        <f>IF(SER_hh_fec!M33=0,0,11630*1000*SER_hh_fec!M33/SER_hh_num!M33)</f>
        <v>35647.205919394844</v>
      </c>
      <c r="N33" s="68">
        <f>IF(SER_hh_fec!N33=0,0,11630*1000*SER_hh_fec!N33/SER_hh_num!N33)</f>
        <v>31469.749684833052</v>
      </c>
      <c r="O33" s="68">
        <f>IF(SER_hh_fec!O33=0,0,11630*1000*SER_hh_fec!O33/SER_hh_num!O33)</f>
        <v>30047.040812317453</v>
      </c>
      <c r="P33" s="68">
        <f>IF(SER_hh_fec!P33=0,0,11630*1000*SER_hh_fec!P33/SER_hh_num!P33)</f>
        <v>30577.354619258855</v>
      </c>
      <c r="Q33" s="68">
        <f>IF(SER_hh_fec!Q33=0,0,11630*1000*SER_hh_fec!Q33/SER_hh_num!Q33)</f>
        <v>29416.70728840795</v>
      </c>
      <c r="R33" s="68">
        <f>IF(SER_hh_fec!R33=0,0,11630*1000*SER_hh_fec!R33/SER_hh_num!R33)</f>
        <v>28790.736434344992</v>
      </c>
      <c r="S33" s="68">
        <f>IF(SER_hh_fec!S33=0,0,11630*1000*SER_hh_fec!S33/SER_hh_num!S33)</f>
        <v>29656.756061657608</v>
      </c>
      <c r="T33" s="68">
        <f>IF(SER_hh_fec!T33=0,0,11630*1000*SER_hh_fec!T33/SER_hh_num!T33)</f>
        <v>29978.716803941901</v>
      </c>
      <c r="U33" s="68">
        <f>IF(SER_hh_fec!U33=0,0,11630*1000*SER_hh_fec!U33/SER_hh_num!U33)</f>
        <v>31927.429426651841</v>
      </c>
      <c r="V33" s="68">
        <f>IF(SER_hh_fec!V33=0,0,11630*1000*SER_hh_fec!V33/SER_hh_num!V33)</f>
        <v>29505.476067540112</v>
      </c>
      <c r="W33" s="68">
        <f>IF(SER_hh_fec!W33=0,0,11630*1000*SER_hh_fec!W33/SER_hh_num!W33)</f>
        <v>25804.174519930039</v>
      </c>
      <c r="X33" s="68">
        <f>IF(SER_hh_fec!X33=0,0,11630*1000*SER_hh_fec!X33/SER_hh_num!X33)</f>
        <v>25628.965840179393</v>
      </c>
      <c r="Y33" s="68">
        <f>IF(SER_hh_fec!Y33=0,0,11630*1000*SER_hh_fec!Y33/SER_hh_num!Y33)</f>
        <v>27517.429392528491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445147.37628235226</v>
      </c>
      <c r="C3" s="125">
        <f>IF(SER_hh_tes!C3=0,0,11630*1000*SER_hh_tes!C3/SER_hh_num!C3)</f>
        <v>355955.27108968224</v>
      </c>
      <c r="D3" s="125">
        <f>IF(SER_hh_tes!D3=0,0,11630*1000*SER_hh_tes!D3/SER_hh_num!D3)</f>
        <v>327072.26368351979</v>
      </c>
      <c r="E3" s="125">
        <f>IF(SER_hh_tes!E3=0,0,11630*1000*SER_hh_tes!E3/SER_hh_num!E3)</f>
        <v>261956.27402991577</v>
      </c>
      <c r="F3" s="125">
        <f>IF(SER_hh_tes!F3=0,0,11630*1000*SER_hh_tes!F3/SER_hh_num!F3)</f>
        <v>296919.88411884976</v>
      </c>
      <c r="G3" s="125">
        <f>IF(SER_hh_tes!G3=0,0,11630*1000*SER_hh_tes!G3/SER_hh_num!G3)</f>
        <v>332486.0554243243</v>
      </c>
      <c r="H3" s="125">
        <f>IF(SER_hh_tes!H3=0,0,11630*1000*SER_hh_tes!H3/SER_hh_num!H3)</f>
        <v>339663.66952465981</v>
      </c>
      <c r="I3" s="125">
        <f>IF(SER_hh_tes!I3=0,0,11630*1000*SER_hh_tes!I3/SER_hh_num!I3)</f>
        <v>324796.59731877589</v>
      </c>
      <c r="J3" s="125">
        <f>IF(SER_hh_tes!J3=0,0,11630*1000*SER_hh_tes!J3/SER_hh_num!J3)</f>
        <v>327754.37943403842</v>
      </c>
      <c r="K3" s="125">
        <f>IF(SER_hh_tes!K3=0,0,11630*1000*SER_hh_tes!K3/SER_hh_num!K3)</f>
        <v>341630.57597921195</v>
      </c>
      <c r="L3" s="125">
        <f>IF(SER_hh_tes!L3=0,0,11630*1000*SER_hh_tes!L3/SER_hh_num!L3)</f>
        <v>363038.4971290683</v>
      </c>
      <c r="M3" s="125">
        <f>IF(SER_hh_tes!M3=0,0,11630*1000*SER_hh_tes!M3/SER_hh_num!M3)</f>
        <v>279069.82318631944</v>
      </c>
      <c r="N3" s="125">
        <f>IF(SER_hh_tes!N3=0,0,11630*1000*SER_hh_tes!N3/SER_hh_num!N3)</f>
        <v>237970.01323027929</v>
      </c>
      <c r="O3" s="125">
        <f>IF(SER_hh_tes!O3=0,0,11630*1000*SER_hh_tes!O3/SER_hh_num!O3)</f>
        <v>286447.82315857621</v>
      </c>
      <c r="P3" s="125">
        <f>IF(SER_hh_tes!P3=0,0,11630*1000*SER_hh_tes!P3/SER_hh_num!P3)</f>
        <v>194812.658538046</v>
      </c>
      <c r="Q3" s="125">
        <f>IF(SER_hh_tes!Q3=0,0,11630*1000*SER_hh_tes!Q3/SER_hh_num!Q3)</f>
        <v>206509.65686026413</v>
      </c>
      <c r="R3" s="125">
        <f>IF(SER_hh_tes!R3=0,0,11630*1000*SER_hh_tes!R3/SER_hh_num!R3)</f>
        <v>210392.73997336256</v>
      </c>
      <c r="S3" s="125">
        <f>IF(SER_hh_tes!S3=0,0,11630*1000*SER_hh_tes!S3/SER_hh_num!S3)</f>
        <v>231174.58964679358</v>
      </c>
      <c r="T3" s="125">
        <f>IF(SER_hh_tes!T3=0,0,11630*1000*SER_hh_tes!T3/SER_hh_num!T3)</f>
        <v>209799.95876790822</v>
      </c>
      <c r="U3" s="125">
        <f>IF(SER_hh_tes!U3=0,0,11630*1000*SER_hh_tes!U3/SER_hh_num!U3)</f>
        <v>190306.2446964324</v>
      </c>
      <c r="V3" s="125">
        <f>IF(SER_hh_tes!V3=0,0,11630*1000*SER_hh_tes!V3/SER_hh_num!V3)</f>
        <v>170349.66788928202</v>
      </c>
      <c r="W3" s="125">
        <f>IF(SER_hh_tes!W3=0,0,11630*1000*SER_hh_tes!W3/SER_hh_num!W3)</f>
        <v>226187.41229955354</v>
      </c>
      <c r="X3" s="125">
        <f>IF(SER_hh_tes!X3=0,0,11630*1000*SER_hh_tes!X3/SER_hh_num!X3)</f>
        <v>207381.46652089784</v>
      </c>
      <c r="Y3" s="125">
        <f>IF(SER_hh_tes!Y3=0,0,11630*1000*SER_hh_tes!Y3/SER_hh_num!Y3)</f>
        <v>182322.68191256697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391256.14028283168</v>
      </c>
      <c r="C4" s="130">
        <f>IF(SER_hh_tes!C4=0,0,11630*1000*SER_hh_tes!C4/SER_hh_num!C4)</f>
        <v>302027.69843329396</v>
      </c>
      <c r="D4" s="130">
        <f>IF(SER_hh_tes!D4=0,0,11630*1000*SER_hh_tes!D4/SER_hh_num!D4)</f>
        <v>271166.13473809487</v>
      </c>
      <c r="E4" s="130">
        <f>IF(SER_hh_tes!E4=0,0,11630*1000*SER_hh_tes!E4/SER_hh_num!E4)</f>
        <v>205127.09377643204</v>
      </c>
      <c r="F4" s="130">
        <f>IF(SER_hh_tes!F4=0,0,11630*1000*SER_hh_tes!F4/SER_hh_num!F4)</f>
        <v>239634.97921394647</v>
      </c>
      <c r="G4" s="130">
        <f>IF(SER_hh_tes!G4=0,0,11630*1000*SER_hh_tes!G4/SER_hh_num!G4)</f>
        <v>273843.21382665541</v>
      </c>
      <c r="H4" s="130">
        <f>IF(SER_hh_tes!H4=0,0,11630*1000*SER_hh_tes!H4/SER_hh_num!H4)</f>
        <v>280764.41860656335</v>
      </c>
      <c r="I4" s="130">
        <f>IF(SER_hh_tes!I4=0,0,11630*1000*SER_hh_tes!I4/SER_hh_num!I4)</f>
        <v>266629.18759512709</v>
      </c>
      <c r="J4" s="130">
        <f>IF(SER_hh_tes!J4=0,0,11630*1000*SER_hh_tes!J4/SER_hh_num!J4)</f>
        <v>270416.00411896763</v>
      </c>
      <c r="K4" s="130">
        <f>IF(SER_hh_tes!K4=0,0,11630*1000*SER_hh_tes!K4/SER_hh_num!K4)</f>
        <v>282511.54505805462</v>
      </c>
      <c r="L4" s="130">
        <f>IF(SER_hh_tes!L4=0,0,11630*1000*SER_hh_tes!L4/SER_hh_num!L4)</f>
        <v>303788.73944239295</v>
      </c>
      <c r="M4" s="130">
        <f>IF(SER_hh_tes!M4=0,0,11630*1000*SER_hh_tes!M4/SER_hh_num!M4)</f>
        <v>220264.61227172177</v>
      </c>
      <c r="N4" s="130">
        <f>IF(SER_hh_tes!N4=0,0,11630*1000*SER_hh_tes!N4/SER_hh_num!N4)</f>
        <v>178036.82504413219</v>
      </c>
      <c r="O4" s="130">
        <f>IF(SER_hh_tes!O4=0,0,11630*1000*SER_hh_tes!O4/SER_hh_num!O4)</f>
        <v>226501.90046772253</v>
      </c>
      <c r="P4" s="130">
        <f>IF(SER_hh_tes!P4=0,0,11630*1000*SER_hh_tes!P4/SER_hh_num!P4)</f>
        <v>135321.31840541956</v>
      </c>
      <c r="Q4" s="130">
        <f>IF(SER_hh_tes!Q4=0,0,11630*1000*SER_hh_tes!Q4/SER_hh_num!Q4)</f>
        <v>145763.71122730695</v>
      </c>
      <c r="R4" s="130">
        <f>IF(SER_hh_tes!R4=0,0,11630*1000*SER_hh_tes!R4/SER_hh_num!R4)</f>
        <v>150645.95640014531</v>
      </c>
      <c r="S4" s="130">
        <f>IF(SER_hh_tes!S4=0,0,11630*1000*SER_hh_tes!S4/SER_hh_num!S4)</f>
        <v>170756.28073349723</v>
      </c>
      <c r="T4" s="130">
        <f>IF(SER_hh_tes!T4=0,0,11630*1000*SER_hh_tes!T4/SER_hh_num!T4)</f>
        <v>150126.31182842184</v>
      </c>
      <c r="U4" s="130">
        <f>IF(SER_hh_tes!U4=0,0,11630*1000*SER_hh_tes!U4/SER_hh_num!U4)</f>
        <v>131171.56779048394</v>
      </c>
      <c r="V4" s="130">
        <f>IF(SER_hh_tes!V4=0,0,11630*1000*SER_hh_tes!V4/SER_hh_num!V4)</f>
        <v>116781.53732233563</v>
      </c>
      <c r="W4" s="130">
        <f>IF(SER_hh_tes!W4=0,0,11630*1000*SER_hh_tes!W4/SER_hh_num!W4)</f>
        <v>167096.92639867091</v>
      </c>
      <c r="X4" s="130">
        <f>IF(SER_hh_tes!X4=0,0,11630*1000*SER_hh_tes!X4/SER_hh_num!X4)</f>
        <v>147835.77376786704</v>
      </c>
      <c r="Y4" s="130">
        <f>IF(SER_hh_tes!Y4=0,0,11630*1000*SER_hh_tes!Y4/SER_hh_num!Y4)</f>
        <v>123252.15445444614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323871.12132768269</v>
      </c>
      <c r="C5" s="132">
        <f>IF(SER_hh_tes!C5=0,0,11630*1000*SER_hh_tes!C5/SER_hh_num!C5)</f>
        <v>274716.33726482082</v>
      </c>
      <c r="D5" s="132">
        <f>IF(SER_hh_tes!D5=0,0,11630*1000*SER_hh_tes!D5/SER_hh_num!D5)</f>
        <v>367522.26619435166</v>
      </c>
      <c r="E5" s="132">
        <f>IF(SER_hh_tes!E5=0,0,11630*1000*SER_hh_tes!E5/SER_hh_num!E5)</f>
        <v>88255.883951281852</v>
      </c>
      <c r="F5" s="132">
        <f>IF(SER_hh_tes!F5=0,0,11630*1000*SER_hh_tes!F5/SER_hh_num!F5)</f>
        <v>345687.03127623961</v>
      </c>
      <c r="G5" s="132">
        <f>IF(SER_hh_tes!G5=0,0,11630*1000*SER_hh_tes!G5/SER_hh_num!G5)</f>
        <v>79759.367731504346</v>
      </c>
      <c r="H5" s="132">
        <f>IF(SER_hh_tes!H5=0,0,11630*1000*SER_hh_tes!H5/SER_hh_num!H5)</f>
        <v>191635.95964278822</v>
      </c>
      <c r="I5" s="132">
        <f>IF(SER_hh_tes!I5=0,0,11630*1000*SER_hh_tes!I5/SER_hh_num!I5)</f>
        <v>230460.55999571955</v>
      </c>
      <c r="J5" s="132">
        <f>IF(SER_hh_tes!J5=0,0,11630*1000*SER_hh_tes!J5/SER_hh_num!J5)</f>
        <v>243570.12479945377</v>
      </c>
      <c r="K5" s="132">
        <f>IF(SER_hh_tes!K5=0,0,11630*1000*SER_hh_tes!K5/SER_hh_num!K5)</f>
        <v>445093.0540028041</v>
      </c>
      <c r="L5" s="132">
        <f>IF(SER_hh_tes!L5=0,0,11630*1000*SER_hh_tes!L5/SER_hh_num!L5)</f>
        <v>244303.55105900133</v>
      </c>
      <c r="M5" s="132">
        <f>IF(SER_hh_tes!M5=0,0,11630*1000*SER_hh_tes!M5/SER_hh_num!M5)</f>
        <v>284985.6869275308</v>
      </c>
      <c r="N5" s="132">
        <f>IF(SER_hh_tes!N5=0,0,11630*1000*SER_hh_tes!N5/SER_hh_num!N5)</f>
        <v>105772.00119426113</v>
      </c>
      <c r="O5" s="132">
        <f>IF(SER_hh_tes!O5=0,0,11630*1000*SER_hh_tes!O5/SER_hh_num!O5)</f>
        <v>219219.34057074002</v>
      </c>
      <c r="P5" s="132">
        <f>IF(SER_hh_tes!P5=0,0,11630*1000*SER_hh_tes!P5/SER_hh_num!P5)</f>
        <v>150312.5329483448</v>
      </c>
      <c r="Q5" s="132">
        <f>IF(SER_hh_tes!Q5=0,0,11630*1000*SER_hh_tes!Q5/SER_hh_num!Q5)</f>
        <v>165214.433966482</v>
      </c>
      <c r="R5" s="132">
        <f>IF(SER_hh_tes!R5=0,0,11630*1000*SER_hh_tes!R5/SER_hh_num!R5)</f>
        <v>108498.65842485933</v>
      </c>
      <c r="S5" s="132">
        <f>IF(SER_hh_tes!S5=0,0,11630*1000*SER_hh_tes!S5/SER_hh_num!S5)</f>
        <v>134967.58210395981</v>
      </c>
      <c r="T5" s="132">
        <f>IF(SER_hh_tes!T5=0,0,11630*1000*SER_hh_tes!T5/SER_hh_num!T5)</f>
        <v>144737.94821998125</v>
      </c>
      <c r="U5" s="132">
        <f>IF(SER_hh_tes!U5=0,0,11630*1000*SER_hh_tes!U5/SER_hh_num!U5)</f>
        <v>210662.30176601055</v>
      </c>
      <c r="V5" s="132">
        <f>IF(SER_hh_tes!V5=0,0,11630*1000*SER_hh_tes!V5/SER_hh_num!V5)</f>
        <v>90670.660685535491</v>
      </c>
      <c r="W5" s="132">
        <f>IF(SER_hh_tes!W5=0,0,11630*1000*SER_hh_tes!W5/SER_hh_num!W5)</f>
        <v>166055.17748097077</v>
      </c>
      <c r="X5" s="132">
        <f>IF(SER_hh_tes!X5=0,0,11630*1000*SER_hh_tes!X5/SER_hh_num!X5)</f>
        <v>129196.19557713812</v>
      </c>
      <c r="Y5" s="132">
        <f>IF(SER_hh_tes!Y5=0,0,11630*1000*SER_hh_tes!Y5/SER_hh_num!Y5)</f>
        <v>123405.29871793183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48178.959725987741</v>
      </c>
      <c r="C7" s="132">
        <f>IF(SER_hh_tes!C7=0,0,11630*1000*SER_hh_tes!C7/SER_hh_num!C7)</f>
        <v>422602.7425457543</v>
      </c>
      <c r="D7" s="132">
        <f>IF(SER_hh_tes!D7=0,0,11630*1000*SER_hh_tes!D7/SER_hh_num!D7)</f>
        <v>299782.61696478206</v>
      </c>
      <c r="E7" s="132">
        <f>IF(SER_hh_tes!E7=0,0,11630*1000*SER_hh_tes!E7/SER_hh_num!E7)</f>
        <v>109932.15048440029</v>
      </c>
      <c r="F7" s="132">
        <f>IF(SER_hh_tes!F7=0,0,11630*1000*SER_hh_tes!F7/SER_hh_num!F7)</f>
        <v>291419.23433761566</v>
      </c>
      <c r="G7" s="132">
        <f>IF(SER_hh_tes!G7=0,0,11630*1000*SER_hh_tes!G7/SER_hh_num!G7)</f>
        <v>345324.16663884366</v>
      </c>
      <c r="H7" s="132">
        <f>IF(SER_hh_tes!H7=0,0,11630*1000*SER_hh_tes!H7/SER_hh_num!H7)</f>
        <v>293168.92127946328</v>
      </c>
      <c r="I7" s="132">
        <f>IF(SER_hh_tes!I7=0,0,11630*1000*SER_hh_tes!I7/SER_hh_num!I7)</f>
        <v>30951.521554235223</v>
      </c>
      <c r="J7" s="132">
        <f>IF(SER_hh_tes!J7=0,0,11630*1000*SER_hh_tes!J7/SER_hh_num!J7)</f>
        <v>190978.38204081554</v>
      </c>
      <c r="K7" s="132">
        <f>IF(SER_hh_tes!K7=0,0,11630*1000*SER_hh_tes!K7/SER_hh_num!K7)</f>
        <v>568038.0149015513</v>
      </c>
      <c r="L7" s="132">
        <f>IF(SER_hh_tes!L7=0,0,11630*1000*SER_hh_tes!L7/SER_hh_num!L7)</f>
        <v>0</v>
      </c>
      <c r="M7" s="132">
        <f>IF(SER_hh_tes!M7=0,0,11630*1000*SER_hh_tes!M7/SER_hh_num!M7)</f>
        <v>0</v>
      </c>
      <c r="N7" s="132">
        <f>IF(SER_hh_tes!N7=0,0,11630*1000*SER_hh_tes!N7/SER_hh_num!N7)</f>
        <v>0</v>
      </c>
      <c r="O7" s="132">
        <f>IF(SER_hh_tes!O7=0,0,11630*1000*SER_hh_tes!O7/SER_hh_num!O7)</f>
        <v>71736.624958615939</v>
      </c>
      <c r="P7" s="132">
        <f>IF(SER_hh_tes!P7=0,0,11630*1000*SER_hh_tes!P7/SER_hh_num!P7)</f>
        <v>184094.36836037156</v>
      </c>
      <c r="Q7" s="132">
        <f>IF(SER_hh_tes!Q7=0,0,11630*1000*SER_hh_tes!Q7/SER_hh_num!Q7)</f>
        <v>189191.84685969207</v>
      </c>
      <c r="R7" s="132">
        <f>IF(SER_hh_tes!R7=0,0,11630*1000*SER_hh_tes!R7/SER_hh_num!R7)</f>
        <v>127006.46903842238</v>
      </c>
      <c r="S7" s="132">
        <f>IF(SER_hh_tes!S7=0,0,11630*1000*SER_hh_tes!S7/SER_hh_num!S7)</f>
        <v>101690.02275406614</v>
      </c>
      <c r="T7" s="132">
        <f>IF(SER_hh_tes!T7=0,0,11630*1000*SER_hh_tes!T7/SER_hh_num!T7)</f>
        <v>70806.603230932058</v>
      </c>
      <c r="U7" s="132">
        <f>IF(SER_hh_tes!U7=0,0,11630*1000*SER_hh_tes!U7/SER_hh_num!U7)</f>
        <v>184768.99760664601</v>
      </c>
      <c r="V7" s="132">
        <f>IF(SER_hh_tes!V7=0,0,11630*1000*SER_hh_tes!V7/SER_hh_num!V7)</f>
        <v>115298.55179430825</v>
      </c>
      <c r="W7" s="132">
        <f>IF(SER_hh_tes!W7=0,0,11630*1000*SER_hh_tes!W7/SER_hh_num!W7)</f>
        <v>129352.08261817132</v>
      </c>
      <c r="X7" s="132">
        <f>IF(SER_hh_tes!X7=0,0,11630*1000*SER_hh_tes!X7/SER_hh_num!X7)</f>
        <v>177643.5219024097</v>
      </c>
      <c r="Y7" s="132">
        <f>IF(SER_hh_tes!Y7=0,0,11630*1000*SER_hh_tes!Y7/SER_hh_num!Y7)</f>
        <v>99205.509622397512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306801.61250248243</v>
      </c>
      <c r="C8" s="132">
        <f>IF(SER_hh_tes!C8=0,0,11630*1000*SER_hh_tes!C8/SER_hh_num!C8)</f>
        <v>286864.68779687368</v>
      </c>
      <c r="D8" s="132">
        <f>IF(SER_hh_tes!D8=0,0,11630*1000*SER_hh_tes!D8/SER_hh_num!D8)</f>
        <v>225808.00263089605</v>
      </c>
      <c r="E8" s="132">
        <f>IF(SER_hh_tes!E8=0,0,11630*1000*SER_hh_tes!E8/SER_hh_num!E8)</f>
        <v>235963.20511480217</v>
      </c>
      <c r="F8" s="132">
        <f>IF(SER_hh_tes!F8=0,0,11630*1000*SER_hh_tes!F8/SER_hh_num!F8)</f>
        <v>254811.21802339045</v>
      </c>
      <c r="G8" s="132">
        <f>IF(SER_hh_tes!G8=0,0,11630*1000*SER_hh_tes!G8/SER_hh_num!G8)</f>
        <v>265243.41905009438</v>
      </c>
      <c r="H8" s="132">
        <f>IF(SER_hh_tes!H8=0,0,11630*1000*SER_hh_tes!H8/SER_hh_num!H8)</f>
        <v>279975.31276246678</v>
      </c>
      <c r="I8" s="132">
        <f>IF(SER_hh_tes!I8=0,0,11630*1000*SER_hh_tes!I8/SER_hh_num!I8)</f>
        <v>270254.17367715179</v>
      </c>
      <c r="J8" s="132">
        <f>IF(SER_hh_tes!J8=0,0,11630*1000*SER_hh_tes!J8/SER_hh_num!J8)</f>
        <v>260011.75107575994</v>
      </c>
      <c r="K8" s="132">
        <f>IF(SER_hh_tes!K8=0,0,11630*1000*SER_hh_tes!K8/SER_hh_num!K8)</f>
        <v>252267.44204504267</v>
      </c>
      <c r="L8" s="132">
        <f>IF(SER_hh_tes!L8=0,0,11630*1000*SER_hh_tes!L8/SER_hh_num!L8)</f>
        <v>225503.37113076868</v>
      </c>
      <c r="M8" s="132">
        <f>IF(SER_hh_tes!M8=0,0,11630*1000*SER_hh_tes!M8/SER_hh_num!M8)</f>
        <v>214461.71449783261</v>
      </c>
      <c r="N8" s="132">
        <f>IF(SER_hh_tes!N8=0,0,11630*1000*SER_hh_tes!N8/SER_hh_num!N8)</f>
        <v>165961.37214887273</v>
      </c>
      <c r="O8" s="132">
        <f>IF(SER_hh_tes!O8=0,0,11630*1000*SER_hh_tes!O8/SER_hh_num!O8)</f>
        <v>181449.66458616673</v>
      </c>
      <c r="P8" s="132">
        <f>IF(SER_hh_tes!P8=0,0,11630*1000*SER_hh_tes!P8/SER_hh_num!P8)</f>
        <v>155982.01198514435</v>
      </c>
      <c r="Q8" s="132">
        <f>IF(SER_hh_tes!Q8=0,0,11630*1000*SER_hh_tes!Q8/SER_hh_num!Q8)</f>
        <v>164835.67411833053</v>
      </c>
      <c r="R8" s="132">
        <f>IF(SER_hh_tes!R8=0,0,11630*1000*SER_hh_tes!R8/SER_hh_num!R8)</f>
        <v>148204.59892579445</v>
      </c>
      <c r="S8" s="132">
        <f>IF(SER_hh_tes!S8=0,0,11630*1000*SER_hh_tes!S8/SER_hh_num!S8)</f>
        <v>149969.58517074466</v>
      </c>
      <c r="T8" s="132">
        <f>IF(SER_hh_tes!T8=0,0,11630*1000*SER_hh_tes!T8/SER_hh_num!T8)</f>
        <v>142240.15667682289</v>
      </c>
      <c r="U8" s="132">
        <f>IF(SER_hh_tes!U8=0,0,11630*1000*SER_hh_tes!U8/SER_hh_num!U8)</f>
        <v>121364.67237405495</v>
      </c>
      <c r="V8" s="132">
        <f>IF(SER_hh_tes!V8=0,0,11630*1000*SER_hh_tes!V8/SER_hh_num!V8)</f>
        <v>133465.71518922909</v>
      </c>
      <c r="W8" s="132">
        <f>IF(SER_hh_tes!W8=0,0,11630*1000*SER_hh_tes!W8/SER_hh_num!W8)</f>
        <v>142643.85522439127</v>
      </c>
      <c r="X8" s="132">
        <f>IF(SER_hh_tes!X8=0,0,11630*1000*SER_hh_tes!X8/SER_hh_num!X8)</f>
        <v>137807.80221408841</v>
      </c>
      <c r="Y8" s="132">
        <f>IF(SER_hh_tes!Y8=0,0,11630*1000*SER_hh_tes!Y8/SER_hh_num!Y8)</f>
        <v>137900.79476320429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471053.83761901077</v>
      </c>
      <c r="C9" s="132">
        <f>IF(SER_hh_tes!C9=0,0,11630*1000*SER_hh_tes!C9/SER_hh_num!C9)</f>
        <v>275414.34461969387</v>
      </c>
      <c r="D9" s="132">
        <f>IF(SER_hh_tes!D9=0,0,11630*1000*SER_hh_tes!D9/SER_hh_num!D9)</f>
        <v>207288.36969957873</v>
      </c>
      <c r="E9" s="132">
        <f>IF(SER_hh_tes!E9=0,0,11630*1000*SER_hh_tes!E9/SER_hh_num!E9)</f>
        <v>219198.9011875701</v>
      </c>
      <c r="F9" s="132">
        <f>IF(SER_hh_tes!F9=0,0,11630*1000*SER_hh_tes!F9/SER_hh_num!F9)</f>
        <v>131445.52612794077</v>
      </c>
      <c r="G9" s="132">
        <f>IF(SER_hh_tes!G9=0,0,11630*1000*SER_hh_tes!G9/SER_hh_num!G9)</f>
        <v>325965.98348287947</v>
      </c>
      <c r="H9" s="132">
        <f>IF(SER_hh_tes!H9=0,0,11630*1000*SER_hh_tes!H9/SER_hh_num!H9)</f>
        <v>308375.10435547685</v>
      </c>
      <c r="I9" s="132">
        <f>IF(SER_hh_tes!I9=0,0,11630*1000*SER_hh_tes!I9/SER_hh_num!I9)</f>
        <v>270424.08382672188</v>
      </c>
      <c r="J9" s="132">
        <f>IF(SER_hh_tes!J9=0,0,11630*1000*SER_hh_tes!J9/SER_hh_num!J9)</f>
        <v>283728.40470550832</v>
      </c>
      <c r="K9" s="132">
        <f>IF(SER_hh_tes!K9=0,0,11630*1000*SER_hh_tes!K9/SER_hh_num!K9)</f>
        <v>204430.17013879406</v>
      </c>
      <c r="L9" s="132">
        <f>IF(SER_hh_tes!L9=0,0,11630*1000*SER_hh_tes!L9/SER_hh_num!L9)</f>
        <v>329774.98975011904</v>
      </c>
      <c r="M9" s="132">
        <f>IF(SER_hh_tes!M9=0,0,11630*1000*SER_hh_tes!M9/SER_hh_num!M9)</f>
        <v>125687.77068633142</v>
      </c>
      <c r="N9" s="132">
        <f>IF(SER_hh_tes!N9=0,0,11630*1000*SER_hh_tes!N9/SER_hh_num!N9)</f>
        <v>208635.78332743366</v>
      </c>
      <c r="O9" s="132">
        <f>IF(SER_hh_tes!O9=0,0,11630*1000*SER_hh_tes!O9/SER_hh_num!O9)</f>
        <v>242988.73715373379</v>
      </c>
      <c r="P9" s="132">
        <f>IF(SER_hh_tes!P9=0,0,11630*1000*SER_hh_tes!P9/SER_hh_num!P9)</f>
        <v>136939.56980515123</v>
      </c>
      <c r="Q9" s="132">
        <f>IF(SER_hh_tes!Q9=0,0,11630*1000*SER_hh_tes!Q9/SER_hh_num!Q9)</f>
        <v>152008.01343179657</v>
      </c>
      <c r="R9" s="132">
        <f>IF(SER_hh_tes!R9=0,0,11630*1000*SER_hh_tes!R9/SER_hh_num!R9)</f>
        <v>149612.60352330966</v>
      </c>
      <c r="S9" s="132">
        <f>IF(SER_hh_tes!S9=0,0,11630*1000*SER_hh_tes!S9/SER_hh_num!S9)</f>
        <v>170127.12361420025</v>
      </c>
      <c r="T9" s="132">
        <f>IF(SER_hh_tes!T9=0,0,11630*1000*SER_hh_tes!T9/SER_hh_num!T9)</f>
        <v>149128.8880638587</v>
      </c>
      <c r="U9" s="132">
        <f>IF(SER_hh_tes!U9=0,0,11630*1000*SER_hh_tes!U9/SER_hh_num!U9)</f>
        <v>120397.4390600047</v>
      </c>
      <c r="V9" s="132">
        <f>IF(SER_hh_tes!V9=0,0,11630*1000*SER_hh_tes!V9/SER_hh_num!V9)</f>
        <v>111153.3481705109</v>
      </c>
      <c r="W9" s="132">
        <f>IF(SER_hh_tes!W9=0,0,11630*1000*SER_hh_tes!W9/SER_hh_num!W9)</f>
        <v>166273.03078187464</v>
      </c>
      <c r="X9" s="132">
        <f>IF(SER_hh_tes!X9=0,0,11630*1000*SER_hh_tes!X9/SER_hh_num!X9)</f>
        <v>149922.54645029426</v>
      </c>
      <c r="Y9" s="132">
        <f>IF(SER_hh_tes!Y9=0,0,11630*1000*SER_hh_tes!Y9/SER_hh_num!Y9)</f>
        <v>119724.52283991287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3933.2195542419499</v>
      </c>
      <c r="C10" s="132">
        <f>IF(SER_hh_tes!C10=0,0,11630*1000*SER_hh_tes!C10/SER_hh_num!C10)</f>
        <v>524934.52263257047</v>
      </c>
      <c r="D10" s="132">
        <f>IF(SER_hh_tes!D10=0,0,11630*1000*SER_hh_tes!D10/SER_hh_num!D10)</f>
        <v>180202.76260724533</v>
      </c>
      <c r="E10" s="132">
        <f>IF(SER_hh_tes!E10=0,0,11630*1000*SER_hh_tes!E10/SER_hh_num!E10)</f>
        <v>200589.62037142794</v>
      </c>
      <c r="F10" s="132">
        <f>IF(SER_hh_tes!F10=0,0,11630*1000*SER_hh_tes!F10/SER_hh_num!F10)</f>
        <v>281122.77088616876</v>
      </c>
      <c r="G10" s="132">
        <f>IF(SER_hh_tes!G10=0,0,11630*1000*SER_hh_tes!G10/SER_hh_num!G10)</f>
        <v>132078.17028302452</v>
      </c>
      <c r="H10" s="132">
        <f>IF(SER_hh_tes!H10=0,0,11630*1000*SER_hh_tes!H10/SER_hh_num!H10)</f>
        <v>97416.748632236297</v>
      </c>
      <c r="I10" s="132">
        <f>IF(SER_hh_tes!I10=0,0,11630*1000*SER_hh_tes!I10/SER_hh_num!I10)</f>
        <v>42610.129073358636</v>
      </c>
      <c r="J10" s="132">
        <f>IF(SER_hh_tes!J10=0,0,11630*1000*SER_hh_tes!J10/SER_hh_num!J10)</f>
        <v>324636.42057249701</v>
      </c>
      <c r="K10" s="132">
        <f>IF(SER_hh_tes!K10=0,0,11630*1000*SER_hh_tes!K10/SER_hh_num!K10)</f>
        <v>339884.203301723</v>
      </c>
      <c r="L10" s="132">
        <f>IF(SER_hh_tes!L10=0,0,11630*1000*SER_hh_tes!L10/SER_hh_num!L10)</f>
        <v>309767.11227358482</v>
      </c>
      <c r="M10" s="132">
        <f>IF(SER_hh_tes!M10=0,0,11630*1000*SER_hh_tes!M10/SER_hh_num!M10)</f>
        <v>160446.73249130853</v>
      </c>
      <c r="N10" s="132">
        <f>IF(SER_hh_tes!N10=0,0,11630*1000*SER_hh_tes!N10/SER_hh_num!N10)</f>
        <v>186224.80476398315</v>
      </c>
      <c r="O10" s="132">
        <f>IF(SER_hh_tes!O10=0,0,11630*1000*SER_hh_tes!O10/SER_hh_num!O10)</f>
        <v>101227.05424865308</v>
      </c>
      <c r="P10" s="132">
        <f>IF(SER_hh_tes!P10=0,0,11630*1000*SER_hh_tes!P10/SER_hh_num!P10)</f>
        <v>252870.65825552866</v>
      </c>
      <c r="Q10" s="132">
        <f>IF(SER_hh_tes!Q10=0,0,11630*1000*SER_hh_tes!Q10/SER_hh_num!Q10)</f>
        <v>145300.1613668988</v>
      </c>
      <c r="R10" s="132">
        <f>IF(SER_hh_tes!R10=0,0,11630*1000*SER_hh_tes!R10/SER_hh_num!R10)</f>
        <v>52402.925331675877</v>
      </c>
      <c r="S10" s="132">
        <f>IF(SER_hh_tes!S10=0,0,11630*1000*SER_hh_tes!S10/SER_hh_num!S10)</f>
        <v>174045.27088146503</v>
      </c>
      <c r="T10" s="132">
        <f>IF(SER_hh_tes!T10=0,0,11630*1000*SER_hh_tes!T10/SER_hh_num!T10)</f>
        <v>144834.4076587937</v>
      </c>
      <c r="U10" s="132">
        <f>IF(SER_hh_tes!U10=0,0,11630*1000*SER_hh_tes!U10/SER_hh_num!U10)</f>
        <v>133610.97999972981</v>
      </c>
      <c r="V10" s="132">
        <f>IF(SER_hh_tes!V10=0,0,11630*1000*SER_hh_tes!V10/SER_hh_num!V10)</f>
        <v>149594.52895198934</v>
      </c>
      <c r="W10" s="132">
        <f>IF(SER_hh_tes!W10=0,0,11630*1000*SER_hh_tes!W10/SER_hh_num!W10)</f>
        <v>161257.16212536537</v>
      </c>
      <c r="X10" s="132">
        <f>IF(SER_hh_tes!X10=0,0,11630*1000*SER_hh_tes!X10/SER_hh_num!X10)</f>
        <v>109970.24875934242</v>
      </c>
      <c r="Y10" s="132">
        <f>IF(SER_hh_tes!Y10=0,0,11630*1000*SER_hh_tes!Y10/SER_hh_num!Y10)</f>
        <v>137237.70932793693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385867.19628789474</v>
      </c>
      <c r="D11" s="132">
        <f>IF(SER_hh_tes!D11=0,0,11630*1000*SER_hh_tes!D11/SER_hh_num!D11)</f>
        <v>271109.64023155661</v>
      </c>
      <c r="E11" s="132">
        <f>IF(SER_hh_tes!E11=0,0,11630*1000*SER_hh_tes!E11/SER_hh_num!E11)</f>
        <v>240202.38863336077</v>
      </c>
      <c r="F11" s="132">
        <f>IF(SER_hh_tes!F11=0,0,11630*1000*SER_hh_tes!F11/SER_hh_num!F11)</f>
        <v>222709.19910633744</v>
      </c>
      <c r="G11" s="132">
        <f>IF(SER_hh_tes!G11=0,0,11630*1000*SER_hh_tes!G11/SER_hh_num!G11)</f>
        <v>248743.18158295832</v>
      </c>
      <c r="H11" s="132">
        <f>IF(SER_hh_tes!H11=0,0,11630*1000*SER_hh_tes!H11/SER_hh_num!H11)</f>
        <v>294545.99171522073</v>
      </c>
      <c r="I11" s="132">
        <f>IF(SER_hh_tes!I11=0,0,11630*1000*SER_hh_tes!I11/SER_hh_num!I11)</f>
        <v>274811.74034758972</v>
      </c>
      <c r="J11" s="132">
        <f>IF(SER_hh_tes!J11=0,0,11630*1000*SER_hh_tes!J11/SER_hh_num!J11)</f>
        <v>279608.77089136111</v>
      </c>
      <c r="K11" s="132">
        <f>IF(SER_hh_tes!K11=0,0,11630*1000*SER_hh_tes!K11/SER_hh_num!K11)</f>
        <v>276701.32023388264</v>
      </c>
      <c r="L11" s="132">
        <f>IF(SER_hh_tes!L11=0,0,11630*1000*SER_hh_tes!L11/SER_hh_num!L11)</f>
        <v>283334.73913196608</v>
      </c>
      <c r="M11" s="132">
        <f>IF(SER_hh_tes!M11=0,0,11630*1000*SER_hh_tes!M11/SER_hh_num!M11)</f>
        <v>229892.3676609385</v>
      </c>
      <c r="N11" s="132">
        <f>IF(SER_hh_tes!N11=0,0,11630*1000*SER_hh_tes!N11/SER_hh_num!N11)</f>
        <v>180247.30296493031</v>
      </c>
      <c r="O11" s="132">
        <f>IF(SER_hh_tes!O11=0,0,11630*1000*SER_hh_tes!O11/SER_hh_num!O11)</f>
        <v>205211.55875676169</v>
      </c>
      <c r="P11" s="132">
        <f>IF(SER_hh_tes!P11=0,0,11630*1000*SER_hh_tes!P11/SER_hh_num!P11)</f>
        <v>139312.66919116289</v>
      </c>
      <c r="Q11" s="132">
        <f>IF(SER_hh_tes!Q11=0,0,11630*1000*SER_hh_tes!Q11/SER_hh_num!Q11)</f>
        <v>144075.63882840288</v>
      </c>
      <c r="R11" s="132">
        <f>IF(SER_hh_tes!R11=0,0,11630*1000*SER_hh_tes!R11/SER_hh_num!R11)</f>
        <v>162897.96832671278</v>
      </c>
      <c r="S11" s="132">
        <f>IF(SER_hh_tes!S11=0,0,11630*1000*SER_hh_tes!S11/SER_hh_num!S11)</f>
        <v>162853.71759937255</v>
      </c>
      <c r="T11" s="132">
        <f>IF(SER_hh_tes!T11=0,0,11630*1000*SER_hh_tes!T11/SER_hh_num!T11)</f>
        <v>159702.83707248591</v>
      </c>
      <c r="U11" s="132">
        <f>IF(SER_hh_tes!U11=0,0,11630*1000*SER_hh_tes!U11/SER_hh_num!U11)</f>
        <v>194865.30864695378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374309.47792621981</v>
      </c>
      <c r="C12" s="132">
        <f>IF(SER_hh_tes!C12=0,0,11630*1000*SER_hh_tes!C12/SER_hh_num!C12)</f>
        <v>279135.89434667147</v>
      </c>
      <c r="D12" s="132">
        <f>IF(SER_hh_tes!D12=0,0,11630*1000*SER_hh_tes!D12/SER_hh_num!D12)</f>
        <v>275084.82570388127</v>
      </c>
      <c r="E12" s="132">
        <f>IF(SER_hh_tes!E12=0,0,11630*1000*SER_hh_tes!E12/SER_hh_num!E12)</f>
        <v>202163.70313310905</v>
      </c>
      <c r="F12" s="132">
        <f>IF(SER_hh_tes!F12=0,0,11630*1000*SER_hh_tes!F12/SER_hh_num!F12)</f>
        <v>303426.55876959302</v>
      </c>
      <c r="G12" s="132">
        <f>IF(SER_hh_tes!G12=0,0,11630*1000*SER_hh_tes!G12/SER_hh_num!G12)</f>
        <v>268564.16041674512</v>
      </c>
      <c r="H12" s="132">
        <f>IF(SER_hh_tes!H12=0,0,11630*1000*SER_hh_tes!H12/SER_hh_num!H12)</f>
        <v>264257.69008765271</v>
      </c>
      <c r="I12" s="132">
        <f>IF(SER_hh_tes!I12=0,0,11630*1000*SER_hh_tes!I12/SER_hh_num!I12)</f>
        <v>254395.83734713655</v>
      </c>
      <c r="J12" s="132">
        <f>IF(SER_hh_tes!J12=0,0,11630*1000*SER_hh_tes!J12/SER_hh_num!J12)</f>
        <v>258553.72912075784</v>
      </c>
      <c r="K12" s="132">
        <f>IF(SER_hh_tes!K12=0,0,11630*1000*SER_hh_tes!K12/SER_hh_num!K12)</f>
        <v>281553.79650221812</v>
      </c>
      <c r="L12" s="132">
        <f>IF(SER_hh_tes!L12=0,0,11630*1000*SER_hh_tes!L12/SER_hh_num!L12)</f>
        <v>310801.08630918275</v>
      </c>
      <c r="M12" s="132">
        <f>IF(SER_hh_tes!M12=0,0,11630*1000*SER_hh_tes!M12/SER_hh_num!M12)</f>
        <v>255205.30203975085</v>
      </c>
      <c r="N12" s="132">
        <f>IF(SER_hh_tes!N12=0,0,11630*1000*SER_hh_tes!N12/SER_hh_num!N12)</f>
        <v>179546.77392138992</v>
      </c>
      <c r="O12" s="132">
        <f>IF(SER_hh_tes!O12=0,0,11630*1000*SER_hh_tes!O12/SER_hh_num!O12)</f>
        <v>171604.84731705819</v>
      </c>
      <c r="P12" s="132">
        <f>IF(SER_hh_tes!P12=0,0,11630*1000*SER_hh_tes!P12/SER_hh_num!P12)</f>
        <v>102975.39630979966</v>
      </c>
      <c r="Q12" s="132">
        <f>IF(SER_hh_tes!Q12=0,0,11630*1000*SER_hh_tes!Q12/SER_hh_num!Q12)</f>
        <v>56108.907857481674</v>
      </c>
      <c r="R12" s="132">
        <f>IF(SER_hh_tes!R12=0,0,11630*1000*SER_hh_tes!R12/SER_hh_num!R12)</f>
        <v>191477.66690660472</v>
      </c>
      <c r="S12" s="132">
        <f>IF(SER_hh_tes!S12=0,0,11630*1000*SER_hh_tes!S12/SER_hh_num!S12)</f>
        <v>163882.43169854811</v>
      </c>
      <c r="T12" s="132">
        <f>IF(SER_hh_tes!T12=0,0,11630*1000*SER_hh_tes!T12/SER_hh_num!T12)</f>
        <v>145310.3983213577</v>
      </c>
      <c r="U12" s="132">
        <f>IF(SER_hh_tes!U12=0,0,11630*1000*SER_hh_tes!U12/SER_hh_num!U12)</f>
        <v>127155.69557291246</v>
      </c>
      <c r="V12" s="132">
        <f>IF(SER_hh_tes!V12=0,0,11630*1000*SER_hh_tes!V12/SER_hh_num!V12)</f>
        <v>116156.17128221784</v>
      </c>
      <c r="W12" s="132">
        <f>IF(SER_hh_tes!W12=0,0,11630*1000*SER_hh_tes!W12/SER_hh_num!W12)</f>
        <v>146671.33137615465</v>
      </c>
      <c r="X12" s="132">
        <f>IF(SER_hh_tes!X12=0,0,11630*1000*SER_hh_tes!X12/SER_hh_num!X12)</f>
        <v>152877.30822382684</v>
      </c>
      <c r="Y12" s="132">
        <f>IF(SER_hh_tes!Y12=0,0,11630*1000*SER_hh_tes!Y12/SER_hh_num!Y12)</f>
        <v>128757.95131366732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100971.25889259593</v>
      </c>
      <c r="C13" s="132">
        <f>IF(SER_hh_tes!C13=0,0,11630*1000*SER_hh_tes!C13/SER_hh_num!C13)</f>
        <v>294953.20030558808</v>
      </c>
      <c r="D13" s="132">
        <f>IF(SER_hh_tes!D13=0,0,11630*1000*SER_hh_tes!D13/SER_hh_num!D13)</f>
        <v>260737.71351321368</v>
      </c>
      <c r="E13" s="132">
        <f>IF(SER_hh_tes!E13=0,0,11630*1000*SER_hh_tes!E13/SER_hh_num!E13)</f>
        <v>214369.91692304905</v>
      </c>
      <c r="F13" s="132">
        <f>IF(SER_hh_tes!F13=0,0,11630*1000*SER_hh_tes!F13/SER_hh_num!F13)</f>
        <v>270926.55712355906</v>
      </c>
      <c r="G13" s="132">
        <f>IF(SER_hh_tes!G13=0,0,11630*1000*SER_hh_tes!G13/SER_hh_num!G13)</f>
        <v>255521.22401999147</v>
      </c>
      <c r="H13" s="132">
        <f>IF(SER_hh_tes!H13=0,0,11630*1000*SER_hh_tes!H13/SER_hh_num!H13)</f>
        <v>238365.586015362</v>
      </c>
      <c r="I13" s="132">
        <f>IF(SER_hh_tes!I13=0,0,11630*1000*SER_hh_tes!I13/SER_hh_num!I13)</f>
        <v>274855.37663893739</v>
      </c>
      <c r="J13" s="132">
        <f>IF(SER_hh_tes!J13=0,0,11630*1000*SER_hh_tes!J13/SER_hh_num!J13)</f>
        <v>233354.40186229965</v>
      </c>
      <c r="K13" s="132">
        <f>IF(SER_hh_tes!K13=0,0,11630*1000*SER_hh_tes!K13/SER_hh_num!K13)</f>
        <v>224465.43814730539</v>
      </c>
      <c r="L13" s="132">
        <f>IF(SER_hh_tes!L13=0,0,11630*1000*SER_hh_tes!L13/SER_hh_num!L13)</f>
        <v>210172.58368214426</v>
      </c>
      <c r="M13" s="132">
        <f>IF(SER_hh_tes!M13=0,0,11630*1000*SER_hh_tes!M13/SER_hh_num!M13)</f>
        <v>226460.85105440067</v>
      </c>
      <c r="N13" s="132">
        <f>IF(SER_hh_tes!N13=0,0,11630*1000*SER_hh_tes!N13/SER_hh_num!N13)</f>
        <v>197251.31305955979</v>
      </c>
      <c r="O13" s="132">
        <f>IF(SER_hh_tes!O13=0,0,11630*1000*SER_hh_tes!O13/SER_hh_num!O13)</f>
        <v>155119.63710703028</v>
      </c>
      <c r="P13" s="132">
        <f>IF(SER_hh_tes!P13=0,0,11630*1000*SER_hh_tes!P13/SER_hh_num!P13)</f>
        <v>118539.0405315455</v>
      </c>
      <c r="Q13" s="132">
        <f>IF(SER_hh_tes!Q13=0,0,11630*1000*SER_hh_tes!Q13/SER_hh_num!Q13)</f>
        <v>178350.94726289256</v>
      </c>
      <c r="R13" s="132">
        <f>IF(SER_hh_tes!R13=0,0,11630*1000*SER_hh_tes!R13/SER_hh_num!R13)</f>
        <v>158735.66518186408</v>
      </c>
      <c r="S13" s="132">
        <f>IF(SER_hh_tes!S13=0,0,11630*1000*SER_hh_tes!S13/SER_hh_num!S13)</f>
        <v>156443.65390530418</v>
      </c>
      <c r="T13" s="132">
        <f>IF(SER_hh_tes!T13=0,0,11630*1000*SER_hh_tes!T13/SER_hh_num!T13)</f>
        <v>145525.07372491091</v>
      </c>
      <c r="U13" s="132">
        <f>IF(SER_hh_tes!U13=0,0,11630*1000*SER_hh_tes!U13/SER_hh_num!U13)</f>
        <v>122410.00901380817</v>
      </c>
      <c r="V13" s="132">
        <f>IF(SER_hh_tes!V13=0,0,11630*1000*SER_hh_tes!V13/SER_hh_num!V13)</f>
        <v>131357.80346490437</v>
      </c>
      <c r="W13" s="132">
        <f>IF(SER_hh_tes!W13=0,0,11630*1000*SER_hh_tes!W13/SER_hh_num!W13)</f>
        <v>139547.96463535514</v>
      </c>
      <c r="X13" s="132">
        <f>IF(SER_hh_tes!X13=0,0,11630*1000*SER_hh_tes!X13/SER_hh_num!X13)</f>
        <v>144161.89642802769</v>
      </c>
      <c r="Y13" s="132">
        <f>IF(SER_hh_tes!Y13=0,0,11630*1000*SER_hh_tes!Y13/SER_hh_num!Y13)</f>
        <v>135888.73524034885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240364.40779351268</v>
      </c>
      <c r="C14" s="65">
        <f>IF(SER_hh_tes!C14=0,0,11630*1000*SER_hh_tes!C14/SER_hh_num!C14)</f>
        <v>342508.63990521803</v>
      </c>
      <c r="D14" s="65">
        <f>IF(SER_hh_tes!D14=0,0,11630*1000*SER_hh_tes!D14/SER_hh_num!D14)</f>
        <v>297616.46163999161</v>
      </c>
      <c r="E14" s="65">
        <f>IF(SER_hh_tes!E14=0,0,11630*1000*SER_hh_tes!E14/SER_hh_num!E14)</f>
        <v>217208.3530959278</v>
      </c>
      <c r="F14" s="65">
        <f>IF(SER_hh_tes!F14=0,0,11630*1000*SER_hh_tes!F14/SER_hh_num!F14)</f>
        <v>285908.00771273486</v>
      </c>
      <c r="G14" s="65">
        <f>IF(SER_hh_tes!G14=0,0,11630*1000*SER_hh_tes!G14/SER_hh_num!G14)</f>
        <v>219993.2727918567</v>
      </c>
      <c r="H14" s="65">
        <f>IF(SER_hh_tes!H14=0,0,11630*1000*SER_hh_tes!H14/SER_hh_num!H14)</f>
        <v>242209.19989002644</v>
      </c>
      <c r="I14" s="65">
        <f>IF(SER_hh_tes!I14=0,0,11630*1000*SER_hh_tes!I14/SER_hh_num!I14)</f>
        <v>283920.06274894142</v>
      </c>
      <c r="J14" s="65">
        <f>IF(SER_hh_tes!J14=0,0,11630*1000*SER_hh_tes!J14/SER_hh_num!J14)</f>
        <v>255949.55505249745</v>
      </c>
      <c r="K14" s="65">
        <f>IF(SER_hh_tes!K14=0,0,11630*1000*SER_hh_tes!K14/SER_hh_num!K14)</f>
        <v>255099.32529260463</v>
      </c>
      <c r="L14" s="65">
        <f>IF(SER_hh_tes!L14=0,0,11630*1000*SER_hh_tes!L14/SER_hh_num!L14)</f>
        <v>299029.70421313681</v>
      </c>
      <c r="M14" s="65">
        <f>IF(SER_hh_tes!M14=0,0,11630*1000*SER_hh_tes!M14/SER_hh_num!M14)</f>
        <v>280344.82789463317</v>
      </c>
      <c r="N14" s="65">
        <f>IF(SER_hh_tes!N14=0,0,11630*1000*SER_hh_tes!N14/SER_hh_num!N14)</f>
        <v>155303.34888826124</v>
      </c>
      <c r="O14" s="65">
        <f>IF(SER_hh_tes!O14=0,0,11630*1000*SER_hh_tes!O14/SER_hh_num!O14)</f>
        <v>228537.71524085608</v>
      </c>
      <c r="P14" s="65">
        <f>IF(SER_hh_tes!P14=0,0,11630*1000*SER_hh_tes!P14/SER_hh_num!P14)</f>
        <v>127579.23323998418</v>
      </c>
      <c r="Q14" s="65">
        <f>IF(SER_hh_tes!Q14=0,0,11630*1000*SER_hh_tes!Q14/SER_hh_num!Q14)</f>
        <v>151367.9989377514</v>
      </c>
      <c r="R14" s="65">
        <f>IF(SER_hh_tes!R14=0,0,11630*1000*SER_hh_tes!R14/SER_hh_num!R14)</f>
        <v>152727.36793712786</v>
      </c>
      <c r="S14" s="65">
        <f>IF(SER_hh_tes!S14=0,0,11630*1000*SER_hh_tes!S14/SER_hh_num!S14)</f>
        <v>181658.70794110425</v>
      </c>
      <c r="T14" s="65">
        <f>IF(SER_hh_tes!T14=0,0,11630*1000*SER_hh_tes!T14/SER_hh_num!T14)</f>
        <v>153234.59039070993</v>
      </c>
      <c r="U14" s="65">
        <f>IF(SER_hh_tes!U14=0,0,11630*1000*SER_hh_tes!U14/SER_hh_num!U14)</f>
        <v>119144.93217332376</v>
      </c>
      <c r="V14" s="65">
        <f>IF(SER_hh_tes!V14=0,0,11630*1000*SER_hh_tes!V14/SER_hh_num!V14)</f>
        <v>126192.3742006286</v>
      </c>
      <c r="W14" s="65">
        <f>IF(SER_hh_tes!W14=0,0,11630*1000*SER_hh_tes!W14/SER_hh_num!W14)</f>
        <v>184005.55942148523</v>
      </c>
      <c r="X14" s="65">
        <f>IF(SER_hh_tes!X14=0,0,11630*1000*SER_hh_tes!X14/SER_hh_num!X14)</f>
        <v>140639.46126439553</v>
      </c>
      <c r="Y14" s="65">
        <f>IF(SER_hh_tes!Y14=0,0,11630*1000*SER_hh_tes!Y14/SER_hh_num!Y14)</f>
        <v>110469.82035954206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6925.760031130575</v>
      </c>
      <c r="C15" s="134">
        <f>IF(SER_hh_tes!C15=0,0,11630*1000*SER_hh_tes!C15/SER_hh_num!C15)</f>
        <v>4151.4342691132915</v>
      </c>
      <c r="D15" s="134">
        <f>IF(SER_hh_tes!D15=0,0,11630*1000*SER_hh_tes!D15/SER_hh_num!D15)</f>
        <v>3129.1333264692075</v>
      </c>
      <c r="E15" s="134">
        <f>IF(SER_hh_tes!E15=0,0,11630*1000*SER_hh_tes!E15/SER_hh_num!E15)</f>
        <v>2584.093435587024</v>
      </c>
      <c r="F15" s="134">
        <f>IF(SER_hh_tes!F15=0,0,11630*1000*SER_hh_tes!F15/SER_hh_num!F15)</f>
        <v>2220.9043092842394</v>
      </c>
      <c r="G15" s="134">
        <f>IF(SER_hh_tes!G15=0,0,11630*1000*SER_hh_tes!G15/SER_hh_num!G15)</f>
        <v>4061.3186483371337</v>
      </c>
      <c r="H15" s="134">
        <f>IF(SER_hh_tes!H15=0,0,11630*1000*SER_hh_tes!H15/SER_hh_num!H15)</f>
        <v>4090.5205318710473</v>
      </c>
      <c r="I15" s="134">
        <f>IF(SER_hh_tes!I15=0,0,11630*1000*SER_hh_tes!I15/SER_hh_num!I15)</f>
        <v>3550.9139446677641</v>
      </c>
      <c r="J15" s="134">
        <f>IF(SER_hh_tes!J15=0,0,11630*1000*SER_hh_tes!J15/SER_hh_num!J15)</f>
        <v>3539.5218858068974</v>
      </c>
      <c r="K15" s="134">
        <f>IF(SER_hh_tes!K15=0,0,11630*1000*SER_hh_tes!K15/SER_hh_num!K15)</f>
        <v>3079.0843670028971</v>
      </c>
      <c r="L15" s="134">
        <f>IF(SER_hh_tes!L15=0,0,11630*1000*SER_hh_tes!L15/SER_hh_num!L15)</f>
        <v>3598.1754616182334</v>
      </c>
      <c r="M15" s="134">
        <f>IF(SER_hh_tes!M15=0,0,11630*1000*SER_hh_tes!M15/SER_hh_num!M15)</f>
        <v>1931.1082076567102</v>
      </c>
      <c r="N15" s="134">
        <f>IF(SER_hh_tes!N15=0,0,11630*1000*SER_hh_tes!N15/SER_hh_num!N15)</f>
        <v>2416.9406109567781</v>
      </c>
      <c r="O15" s="134">
        <f>IF(SER_hh_tes!O15=0,0,11630*1000*SER_hh_tes!O15/SER_hh_num!O15)</f>
        <v>2991.0306761466013</v>
      </c>
      <c r="P15" s="134">
        <f>IF(SER_hh_tes!P15=0,0,11630*1000*SER_hh_tes!P15/SER_hh_num!P15)</f>
        <v>1787.8255340795317</v>
      </c>
      <c r="Q15" s="134">
        <f>IF(SER_hh_tes!Q15=0,0,11630*1000*SER_hh_tes!Q15/SER_hh_num!Q15)</f>
        <v>1936.2277015110767</v>
      </c>
      <c r="R15" s="134">
        <f>IF(SER_hh_tes!R15=0,0,11630*1000*SER_hh_tes!R15/SER_hh_num!R15)</f>
        <v>1931.0143299199422</v>
      </c>
      <c r="S15" s="134">
        <f>IF(SER_hh_tes!S15=0,0,11630*1000*SER_hh_tes!S15/SER_hh_num!S15)</f>
        <v>2165.1610354095574</v>
      </c>
      <c r="T15" s="134">
        <f>IF(SER_hh_tes!T15=0,0,11630*1000*SER_hh_tes!T15/SER_hh_num!T15)</f>
        <v>1875.5838357943699</v>
      </c>
      <c r="U15" s="134">
        <f>IF(SER_hh_tes!U15=0,0,11630*1000*SER_hh_tes!U15/SER_hh_num!U15)</f>
        <v>1626.1311702724634</v>
      </c>
      <c r="V15" s="134">
        <f>IF(SER_hh_tes!V15=0,0,11630*1000*SER_hh_tes!V15/SER_hh_num!V15)</f>
        <v>1386.2836894110819</v>
      </c>
      <c r="W15" s="134">
        <f>IF(SER_hh_tes!W15=0,0,11630*1000*SER_hh_tes!W15/SER_hh_num!W15)</f>
        <v>2044.1349310721889</v>
      </c>
      <c r="X15" s="134">
        <f>IF(SER_hh_tes!X15=0,0,11630*1000*SER_hh_tes!X15/SER_hh_num!X15)</f>
        <v>1818.8841506132826</v>
      </c>
      <c r="Y15" s="134">
        <f>IF(SER_hh_tes!Y15=0,0,11630*1000*SER_hh_tes!Y15/SER_hh_num!Y15)</f>
        <v>1459.9905438777739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27449.461461492283</v>
      </c>
      <c r="C16" s="130">
        <f>IF(SER_hh_tes!C16=0,0,11630*1000*SER_hh_tes!C16/SER_hh_num!C16)</f>
        <v>26962.295878830544</v>
      </c>
      <c r="D16" s="130">
        <f>IF(SER_hh_tes!D16=0,0,11630*1000*SER_hh_tes!D16/SER_hh_num!D16)</f>
        <v>27442.769787202338</v>
      </c>
      <c r="E16" s="130">
        <f>IF(SER_hh_tes!E16=0,0,11630*1000*SER_hh_tes!E16/SER_hh_num!E16)</f>
        <v>27691.359291176734</v>
      </c>
      <c r="F16" s="130">
        <f>IF(SER_hh_tes!F16=0,0,11630*1000*SER_hh_tes!F16/SER_hh_num!F16)</f>
        <v>26748.032769407193</v>
      </c>
      <c r="G16" s="130">
        <f>IF(SER_hh_tes!G16=0,0,11630*1000*SER_hh_tes!G16/SER_hh_num!G16)</f>
        <v>26978.95834961185</v>
      </c>
      <c r="H16" s="130">
        <f>IF(SER_hh_tes!H16=0,0,11630*1000*SER_hh_tes!H16/SER_hh_num!H16)</f>
        <v>27748.9634027965</v>
      </c>
      <c r="I16" s="130">
        <f>IF(SER_hh_tes!I16=0,0,11630*1000*SER_hh_tes!I16/SER_hh_num!I16)</f>
        <v>28799.792675361812</v>
      </c>
      <c r="J16" s="130">
        <f>IF(SER_hh_tes!J16=0,0,11630*1000*SER_hh_tes!J16/SER_hh_num!J16)</f>
        <v>27001.649582221678</v>
      </c>
      <c r="K16" s="130">
        <f>IF(SER_hh_tes!K16=0,0,11630*1000*SER_hh_tes!K16/SER_hh_num!K16)</f>
        <v>27230.86210137212</v>
      </c>
      <c r="L16" s="130">
        <f>IF(SER_hh_tes!L16=0,0,11630*1000*SER_hh_tes!L16/SER_hh_num!L16)</f>
        <v>28296.48522394149</v>
      </c>
      <c r="M16" s="130">
        <f>IF(SER_hh_tes!M16=0,0,11630*1000*SER_hh_tes!M16/SER_hh_num!M16)</f>
        <v>27703.101013069918</v>
      </c>
      <c r="N16" s="130">
        <f>IF(SER_hh_tes!N16=0,0,11630*1000*SER_hh_tes!N16/SER_hh_num!N16)</f>
        <v>30632.235383634117</v>
      </c>
      <c r="O16" s="130">
        <f>IF(SER_hh_tes!O16=0,0,11630*1000*SER_hh_tes!O16/SER_hh_num!O16)</f>
        <v>29607.178060324281</v>
      </c>
      <c r="P16" s="130">
        <f>IF(SER_hh_tes!P16=0,0,11630*1000*SER_hh_tes!P16/SER_hh_num!P16)</f>
        <v>27388.553074908261</v>
      </c>
      <c r="Q16" s="130">
        <f>IF(SER_hh_tes!Q16=0,0,11630*1000*SER_hh_tes!Q16/SER_hh_num!Q16)</f>
        <v>32491.85487811884</v>
      </c>
      <c r="R16" s="130">
        <f>IF(SER_hh_tes!R16=0,0,11630*1000*SER_hh_tes!R16/SER_hh_num!R16)</f>
        <v>27704.301676858249</v>
      </c>
      <c r="S16" s="130">
        <f>IF(SER_hh_tes!S16=0,0,11630*1000*SER_hh_tes!S16/SER_hh_num!S16)</f>
        <v>29642.790738394491</v>
      </c>
      <c r="T16" s="130">
        <f>IF(SER_hh_tes!T16=0,0,11630*1000*SER_hh_tes!T16/SER_hh_num!T16)</f>
        <v>29166.762347461841</v>
      </c>
      <c r="U16" s="130">
        <f>IF(SER_hh_tes!U16=0,0,11630*1000*SER_hh_tes!U16/SER_hh_num!U16)</f>
        <v>30148.326202923665</v>
      </c>
      <c r="V16" s="130">
        <f>IF(SER_hh_tes!V16=0,0,11630*1000*SER_hh_tes!V16/SER_hh_num!V16)</f>
        <v>26287.885415316825</v>
      </c>
      <c r="W16" s="130">
        <f>IF(SER_hh_tes!W16=0,0,11630*1000*SER_hh_tes!W16/SER_hh_num!W16)</f>
        <v>28505.628595074115</v>
      </c>
      <c r="X16" s="130">
        <f>IF(SER_hh_tes!X16=0,0,11630*1000*SER_hh_tes!X16/SER_hh_num!X16)</f>
        <v>29948.942768336983</v>
      </c>
      <c r="Y16" s="130">
        <f>IF(SER_hh_tes!Y16=0,0,11630*1000*SER_hh_tes!Y16/SER_hh_num!Y16)</f>
        <v>28687.103930182275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27449.461461492279</v>
      </c>
      <c r="C17" s="132">
        <f>IF(SER_hh_tes!C17=0,0,11630*1000*SER_hh_tes!C17/SER_hh_num!C17)</f>
        <v>26962.29587884288</v>
      </c>
      <c r="D17" s="132">
        <f>IF(SER_hh_tes!D17=0,0,11630*1000*SER_hh_tes!D17/SER_hh_num!D17)</f>
        <v>27442.769785513112</v>
      </c>
      <c r="E17" s="132">
        <f>IF(SER_hh_tes!E17=0,0,11630*1000*SER_hh_tes!E17/SER_hh_num!E17)</f>
        <v>7717.4282572297507</v>
      </c>
      <c r="F17" s="132">
        <f>IF(SER_hh_tes!F17=0,0,11630*1000*SER_hh_tes!F17/SER_hh_num!F17)</f>
        <v>26748.032770249563</v>
      </c>
      <c r="G17" s="132">
        <f>IF(SER_hh_tes!G17=0,0,11630*1000*SER_hh_tes!G17/SER_hh_num!G17)</f>
        <v>26978.958350779212</v>
      </c>
      <c r="H17" s="132">
        <f>IF(SER_hh_tes!H17=0,0,11630*1000*SER_hh_tes!H17/SER_hh_num!H17)</f>
        <v>27748.963404664162</v>
      </c>
      <c r="I17" s="132">
        <f>IF(SER_hh_tes!I17=0,0,11630*1000*SER_hh_tes!I17/SER_hh_num!I17)</f>
        <v>28799.792675215213</v>
      </c>
      <c r="J17" s="132">
        <f>IF(SER_hh_tes!J17=0,0,11630*1000*SER_hh_tes!J17/SER_hh_num!J17)</f>
        <v>27001.649581561654</v>
      </c>
      <c r="K17" s="132">
        <f>IF(SER_hh_tes!K17=0,0,11630*1000*SER_hh_tes!K17/SER_hh_num!K17)</f>
        <v>27230.86210161393</v>
      </c>
      <c r="L17" s="132">
        <f>IF(SER_hh_tes!L17=0,0,11630*1000*SER_hh_tes!L17/SER_hh_num!L17)</f>
        <v>28296.485223550535</v>
      </c>
      <c r="M17" s="132">
        <f>IF(SER_hh_tes!M17=0,0,11630*1000*SER_hh_tes!M17/SER_hh_num!M17)</f>
        <v>27703.101011056875</v>
      </c>
      <c r="N17" s="132">
        <f>IF(SER_hh_tes!N17=0,0,11630*1000*SER_hh_tes!N17/SER_hh_num!N17)</f>
        <v>30632.235381456441</v>
      </c>
      <c r="O17" s="132">
        <f>IF(SER_hh_tes!O17=0,0,11630*1000*SER_hh_tes!O17/SER_hh_num!O17)</f>
        <v>29607.17806137849</v>
      </c>
      <c r="P17" s="132">
        <f>IF(SER_hh_tes!P17=0,0,11630*1000*SER_hh_tes!P17/SER_hh_num!P17)</f>
        <v>27388.553083313971</v>
      </c>
      <c r="Q17" s="132">
        <f>IF(SER_hh_tes!Q17=0,0,11630*1000*SER_hh_tes!Q17/SER_hh_num!Q17)</f>
        <v>32128.053621816685</v>
      </c>
      <c r="R17" s="132">
        <f>IF(SER_hh_tes!R17=0,0,11630*1000*SER_hh_tes!R17/SER_hh_num!R17)</f>
        <v>27704.301678706397</v>
      </c>
      <c r="S17" s="132">
        <f>IF(SER_hh_tes!S17=0,0,11630*1000*SER_hh_tes!S17/SER_hh_num!S17)</f>
        <v>29642.790735318886</v>
      </c>
      <c r="T17" s="132">
        <f>IF(SER_hh_tes!T17=0,0,11630*1000*SER_hh_tes!T17/SER_hh_num!T17)</f>
        <v>29166.762342604226</v>
      </c>
      <c r="U17" s="132">
        <f>IF(SER_hh_tes!U17=0,0,11630*1000*SER_hh_tes!U17/SER_hh_num!U17)</f>
        <v>30148.326198695944</v>
      </c>
      <c r="V17" s="132">
        <f>IF(SER_hh_tes!V17=0,0,11630*1000*SER_hh_tes!V17/SER_hh_num!V17)</f>
        <v>29086.684462333884</v>
      </c>
      <c r="W17" s="132">
        <f>IF(SER_hh_tes!W17=0,0,11630*1000*SER_hh_tes!W17/SER_hh_num!W17)</f>
        <v>28518.727653903548</v>
      </c>
      <c r="X17" s="132">
        <f>IF(SER_hh_tes!X17=0,0,11630*1000*SER_hh_tes!X17/SER_hh_num!X17)</f>
        <v>30238.245160950213</v>
      </c>
      <c r="Y17" s="132">
        <f>IF(SER_hh_tes!Y17=0,0,11630*1000*SER_hh_tes!Y17/SER_hh_num!Y17)</f>
        <v>28687.103879542228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27449.461461492287</v>
      </c>
      <c r="C18" s="132">
        <f>IF(SER_hh_tes!C18=0,0,11630*1000*SER_hh_tes!C18/SER_hh_num!C18)</f>
        <v>26962.295878830511</v>
      </c>
      <c r="D18" s="132">
        <f>IF(SER_hh_tes!D18=0,0,11630*1000*SER_hh_tes!D18/SER_hh_num!D18)</f>
        <v>27442.769787205983</v>
      </c>
      <c r="E18" s="132">
        <f>IF(SER_hh_tes!E18=0,0,11630*1000*SER_hh_tes!E18/SER_hh_num!E18)</f>
        <v>27748.191512161269</v>
      </c>
      <c r="F18" s="132">
        <f>IF(SER_hh_tes!F18=0,0,11630*1000*SER_hh_tes!F18/SER_hh_num!F18)</f>
        <v>26748.032769405301</v>
      </c>
      <c r="G18" s="132">
        <f>IF(SER_hh_tes!G18=0,0,11630*1000*SER_hh_tes!G18/SER_hh_num!G18)</f>
        <v>26978.958349608136</v>
      </c>
      <c r="H18" s="132">
        <f>IF(SER_hh_tes!H18=0,0,11630*1000*SER_hh_tes!H18/SER_hh_num!H18)</f>
        <v>27748.963402789937</v>
      </c>
      <c r="I18" s="132">
        <f>IF(SER_hh_tes!I18=0,0,11630*1000*SER_hh_tes!I18/SER_hh_num!I18)</f>
        <v>28799.792675362307</v>
      </c>
      <c r="J18" s="132">
        <f>IF(SER_hh_tes!J18=0,0,11630*1000*SER_hh_tes!J18/SER_hh_num!J18)</f>
        <v>27001.649582224083</v>
      </c>
      <c r="K18" s="132">
        <f>IF(SER_hh_tes!K18=0,0,11630*1000*SER_hh_tes!K18/SER_hh_num!K18)</f>
        <v>27230.862101371262</v>
      </c>
      <c r="L18" s="132">
        <f>IF(SER_hh_tes!L18=0,0,11630*1000*SER_hh_tes!L18/SER_hh_num!L18)</f>
        <v>28296.485223942909</v>
      </c>
      <c r="M18" s="132">
        <f>IF(SER_hh_tes!M18=0,0,11630*1000*SER_hh_tes!M18/SER_hh_num!M18)</f>
        <v>27703.101013078049</v>
      </c>
      <c r="N18" s="132">
        <f>IF(SER_hh_tes!N18=0,0,11630*1000*SER_hh_tes!N18/SER_hh_num!N18)</f>
        <v>30632.235383643114</v>
      </c>
      <c r="O18" s="132">
        <f>IF(SER_hh_tes!O18=0,0,11630*1000*SER_hh_tes!O18/SER_hh_num!O18)</f>
        <v>29607.178060318729</v>
      </c>
      <c r="P18" s="132">
        <f>IF(SER_hh_tes!P18=0,0,11630*1000*SER_hh_tes!P18/SER_hh_num!P18)</f>
        <v>27388.553074845233</v>
      </c>
      <c r="Q18" s="132">
        <f>IF(SER_hh_tes!Q18=0,0,11630*1000*SER_hh_tes!Q18/SER_hh_num!Q18)</f>
        <v>32495.046762804152</v>
      </c>
      <c r="R18" s="132">
        <f>IF(SER_hh_tes!R18=0,0,11630*1000*SER_hh_tes!R18/SER_hh_num!R18)</f>
        <v>27704.301676834217</v>
      </c>
      <c r="S18" s="132">
        <f>IF(SER_hh_tes!S18=0,0,11630*1000*SER_hh_tes!S18/SER_hh_num!S18)</f>
        <v>29642.790738438533</v>
      </c>
      <c r="T18" s="132">
        <f>IF(SER_hh_tes!T18=0,0,11630*1000*SER_hh_tes!T18/SER_hh_num!T18)</f>
        <v>29166.762347541826</v>
      </c>
      <c r="U18" s="132">
        <f>IF(SER_hh_tes!U18=0,0,11630*1000*SER_hh_tes!U18/SER_hh_num!U18)</f>
        <v>30148.326202996854</v>
      </c>
      <c r="V18" s="132">
        <f>IF(SER_hh_tes!V18=0,0,11630*1000*SER_hh_tes!V18/SER_hh_num!V18)</f>
        <v>26234.939199903856</v>
      </c>
      <c r="W18" s="132">
        <f>IF(SER_hh_tes!W18=0,0,11630*1000*SER_hh_tes!W18/SER_hh_num!W18)</f>
        <v>28505.36420688788</v>
      </c>
      <c r="X18" s="132">
        <f>IF(SER_hh_tes!X18=0,0,11630*1000*SER_hh_tes!X18/SER_hh_num!X18)</f>
        <v>29942.860810774157</v>
      </c>
      <c r="Y18" s="132">
        <f>IF(SER_hh_tes!Y18=0,0,11630*1000*SER_hh_tes!Y18/SER_hh_num!Y18)</f>
        <v>28687.103931283375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25146.043791565051</v>
      </c>
      <c r="C19" s="130">
        <f>IF(SER_hh_tes!C19=0,0,11630*1000*SER_hh_tes!C19/SER_hh_num!C19)</f>
        <v>24881.521364118089</v>
      </c>
      <c r="D19" s="130">
        <f>IF(SER_hh_tes!D19=0,0,11630*1000*SER_hh_tes!D19/SER_hh_num!D19)</f>
        <v>25202.710370397082</v>
      </c>
      <c r="E19" s="130">
        <f>IF(SER_hh_tes!E19=0,0,11630*1000*SER_hh_tes!E19/SER_hh_num!E19)</f>
        <v>25482.746633341889</v>
      </c>
      <c r="F19" s="130">
        <f>IF(SER_hh_tes!F19=0,0,11630*1000*SER_hh_tes!F19/SER_hh_num!F19)</f>
        <v>25551.662510671344</v>
      </c>
      <c r="G19" s="130">
        <f>IF(SER_hh_tes!G19=0,0,11630*1000*SER_hh_tes!G19/SER_hh_num!G19)</f>
        <v>25991.430240559584</v>
      </c>
      <c r="H19" s="130">
        <f>IF(SER_hh_tes!H19=0,0,11630*1000*SER_hh_tes!H19/SER_hh_num!H19)</f>
        <v>26167.002019275391</v>
      </c>
      <c r="I19" s="130">
        <f>IF(SER_hh_tes!I19=0,0,11630*1000*SER_hh_tes!I19/SER_hh_num!I19)</f>
        <v>25824.595540491617</v>
      </c>
      <c r="J19" s="130">
        <f>IF(SER_hh_tes!J19=0,0,11630*1000*SER_hh_tes!J19/SER_hh_num!J19)</f>
        <v>25671.168029644923</v>
      </c>
      <c r="K19" s="130">
        <f>IF(SER_hh_tes!K19=0,0,11630*1000*SER_hh_tes!K19/SER_hh_num!K19)</f>
        <v>26525.726120298878</v>
      </c>
      <c r="L19" s="130">
        <f>IF(SER_hh_tes!L19=0,0,11630*1000*SER_hh_tes!L19/SER_hh_num!L19)</f>
        <v>26740.425201043763</v>
      </c>
      <c r="M19" s="130">
        <f>IF(SER_hh_tes!M19=0,0,11630*1000*SER_hh_tes!M19/SER_hh_num!M19)</f>
        <v>26688.638450226335</v>
      </c>
      <c r="N19" s="130">
        <f>IF(SER_hh_tes!N19=0,0,11630*1000*SER_hh_tes!N19/SER_hh_num!N19)</f>
        <v>27104.387020664228</v>
      </c>
      <c r="O19" s="130">
        <f>IF(SER_hh_tes!O19=0,0,11630*1000*SER_hh_tes!O19/SER_hh_num!O19)</f>
        <v>27234.463201716255</v>
      </c>
      <c r="P19" s="130">
        <f>IF(SER_hh_tes!P19=0,0,11630*1000*SER_hh_tes!P19/SER_hh_num!P19)</f>
        <v>27501.739172631111</v>
      </c>
      <c r="Q19" s="130">
        <f>IF(SER_hh_tes!Q19=0,0,11630*1000*SER_hh_tes!Q19/SER_hh_num!Q19)</f>
        <v>27532.273519906441</v>
      </c>
      <c r="R19" s="130">
        <f>IF(SER_hh_tes!R19=0,0,11630*1000*SER_hh_tes!R19/SER_hh_num!R19)</f>
        <v>27800.093733546077</v>
      </c>
      <c r="S19" s="130">
        <f>IF(SER_hh_tes!S19=0,0,11630*1000*SER_hh_tes!S19/SER_hh_num!S19)</f>
        <v>28080.624816890293</v>
      </c>
      <c r="T19" s="130">
        <f>IF(SER_hh_tes!T19=0,0,11630*1000*SER_hh_tes!T19/SER_hh_num!T19)</f>
        <v>27726.531216277228</v>
      </c>
      <c r="U19" s="130">
        <f>IF(SER_hh_tes!U19=0,0,11630*1000*SER_hh_tes!U19/SER_hh_num!U19)</f>
        <v>27466.238219610354</v>
      </c>
      <c r="V19" s="130">
        <f>IF(SER_hh_tes!V19=0,0,11630*1000*SER_hh_tes!V19/SER_hh_num!V19)</f>
        <v>24885.207109192495</v>
      </c>
      <c r="W19" s="130">
        <f>IF(SER_hh_tes!W19=0,0,11630*1000*SER_hh_tes!W19/SER_hh_num!W19)</f>
        <v>27262.094931742242</v>
      </c>
      <c r="X19" s="130">
        <f>IF(SER_hh_tes!X19=0,0,11630*1000*SER_hh_tes!X19/SER_hh_num!X19)</f>
        <v>27788.033112644895</v>
      </c>
      <c r="Y19" s="130">
        <f>IF(SER_hh_tes!Y19=0,0,11630*1000*SER_hh_tes!Y19/SER_hh_num!Y19)</f>
        <v>27804.685109181566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26434.031464551321</v>
      </c>
      <c r="C20" s="132">
        <f>IF(SER_hh_tes!C20=0,0,11630*1000*SER_hh_tes!C20/SER_hh_num!C20)</f>
        <v>24345.668538202925</v>
      </c>
      <c r="D20" s="132">
        <f>IF(SER_hh_tes!D20=0,0,11630*1000*SER_hh_tes!D20/SER_hh_num!D20)</f>
        <v>27350.10927751628</v>
      </c>
      <c r="E20" s="132">
        <f>IF(SER_hh_tes!E20=0,0,11630*1000*SER_hh_tes!E20/SER_hh_num!E20)</f>
        <v>22774.467063554781</v>
      </c>
      <c r="F20" s="132">
        <f>IF(SER_hh_tes!F20=0,0,11630*1000*SER_hh_tes!F20/SER_hh_num!F20)</f>
        <v>24878.991255127792</v>
      </c>
      <c r="G20" s="132">
        <f>IF(SER_hh_tes!G20=0,0,11630*1000*SER_hh_tes!G20/SER_hh_num!G20)</f>
        <v>10961.550462468002</v>
      </c>
      <c r="H20" s="132">
        <f>IF(SER_hh_tes!H20=0,0,11630*1000*SER_hh_tes!H20/SER_hh_num!H20)</f>
        <v>20477.305196223115</v>
      </c>
      <c r="I20" s="132">
        <f>IF(SER_hh_tes!I20=0,0,11630*1000*SER_hh_tes!I20/SER_hh_num!I20)</f>
        <v>28358.2384202844</v>
      </c>
      <c r="J20" s="132">
        <f>IF(SER_hh_tes!J20=0,0,11630*1000*SER_hh_tes!J20/SER_hh_num!J20)</f>
        <v>28077.212610254912</v>
      </c>
      <c r="K20" s="132">
        <f>IF(SER_hh_tes!K20=0,0,11630*1000*SER_hh_tes!K20/SER_hh_num!K20)</f>
        <v>27959.219677712106</v>
      </c>
      <c r="L20" s="132">
        <f>IF(SER_hh_tes!L20=0,0,11630*1000*SER_hh_tes!L20/SER_hh_num!L20)</f>
        <v>26559.118296135734</v>
      </c>
      <c r="M20" s="132">
        <f>IF(SER_hh_tes!M20=0,0,11630*1000*SER_hh_tes!M20/SER_hh_num!M20)</f>
        <v>26514.159132083976</v>
      </c>
      <c r="N20" s="132">
        <f>IF(SER_hh_tes!N20=0,0,11630*1000*SER_hh_tes!N20/SER_hh_num!N20)</f>
        <v>27168.943366098556</v>
      </c>
      <c r="O20" s="132">
        <f>IF(SER_hh_tes!O20=0,0,11630*1000*SER_hh_tes!O20/SER_hh_num!O20)</f>
        <v>27030.862462007812</v>
      </c>
      <c r="P20" s="132">
        <f>IF(SER_hh_tes!P20=0,0,11630*1000*SER_hh_tes!P20/SER_hh_num!P20)</f>
        <v>28645.13326158145</v>
      </c>
      <c r="Q20" s="132">
        <f>IF(SER_hh_tes!Q20=0,0,11630*1000*SER_hh_tes!Q20/SER_hh_num!Q20)</f>
        <v>32554.35589050514</v>
      </c>
      <c r="R20" s="132">
        <f>IF(SER_hh_tes!R20=0,0,11630*1000*SER_hh_tes!R20/SER_hh_num!R20)</f>
        <v>19817.188280564304</v>
      </c>
      <c r="S20" s="132">
        <f>IF(SER_hh_tes!S20=0,0,11630*1000*SER_hh_tes!S20/SER_hh_num!S20)</f>
        <v>25742.881374041113</v>
      </c>
      <c r="T20" s="132">
        <f>IF(SER_hh_tes!T20=0,0,11630*1000*SER_hh_tes!T20/SER_hh_num!T20)</f>
        <v>27857.743317806395</v>
      </c>
      <c r="U20" s="132">
        <f>IF(SER_hh_tes!U20=0,0,11630*1000*SER_hh_tes!U20/SER_hh_num!U20)</f>
        <v>40417.98136652563</v>
      </c>
      <c r="V20" s="132">
        <f>IF(SER_hh_tes!V20=0,0,11630*1000*SER_hh_tes!V20/SER_hh_num!V20)</f>
        <v>17735.582828083239</v>
      </c>
      <c r="W20" s="132">
        <f>IF(SER_hh_tes!W20=0,0,11630*1000*SER_hh_tes!W20/SER_hh_num!W20)</f>
        <v>30513.920706263943</v>
      </c>
      <c r="X20" s="132">
        <f>IF(SER_hh_tes!X20=0,0,11630*1000*SER_hh_tes!X20/SER_hh_num!X20)</f>
        <v>24415.114517367598</v>
      </c>
      <c r="Y20" s="132">
        <f>IF(SER_hh_tes!Y20=0,0,11630*1000*SER_hh_tes!Y20/SER_hh_num!Y20)</f>
        <v>25538.078375553268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0</v>
      </c>
      <c r="C22" s="132">
        <f>IF(SER_hh_tes!C22=0,0,11630*1000*SER_hh_tes!C22/SER_hh_num!C22)</f>
        <v>0</v>
      </c>
      <c r="D22" s="132">
        <f>IF(SER_hh_tes!D22=0,0,11630*1000*SER_hh_tes!D22/SER_hh_num!D22)</f>
        <v>0</v>
      </c>
      <c r="E22" s="132">
        <f>IF(SER_hh_tes!E22=0,0,11630*1000*SER_hh_tes!E22/SER_hh_num!E22)</f>
        <v>0</v>
      </c>
      <c r="F22" s="132">
        <f>IF(SER_hh_tes!F22=0,0,11630*1000*SER_hh_tes!F22/SER_hh_num!F22)</f>
        <v>0</v>
      </c>
      <c r="G22" s="132">
        <f>IF(SER_hh_tes!G22=0,0,11630*1000*SER_hh_tes!G22/SER_hh_num!G22)</f>
        <v>0</v>
      </c>
      <c r="H22" s="132">
        <f>IF(SER_hh_tes!H22=0,0,11630*1000*SER_hh_tes!H22/SER_hh_num!H22)</f>
        <v>0</v>
      </c>
      <c r="I22" s="132">
        <f>IF(SER_hh_tes!I22=0,0,11630*1000*SER_hh_tes!I22/SER_hh_num!I22)</f>
        <v>0</v>
      </c>
      <c r="J22" s="132">
        <f>IF(SER_hh_tes!J22=0,0,11630*1000*SER_hh_tes!J22/SER_hh_num!J22)</f>
        <v>0</v>
      </c>
      <c r="K22" s="132">
        <f>IF(SER_hh_tes!K22=0,0,11630*1000*SER_hh_tes!K22/SER_hh_num!K22)</f>
        <v>0</v>
      </c>
      <c r="L22" s="132">
        <f>IF(SER_hh_tes!L22=0,0,11630*1000*SER_hh_tes!L22/SER_hh_num!L22)</f>
        <v>0</v>
      </c>
      <c r="M22" s="132">
        <f>IF(SER_hh_tes!M22=0,0,11630*1000*SER_hh_tes!M22/SER_hh_num!M22)</f>
        <v>0</v>
      </c>
      <c r="N22" s="132">
        <f>IF(SER_hh_tes!N22=0,0,11630*1000*SER_hh_tes!N22/SER_hh_num!N22)</f>
        <v>0</v>
      </c>
      <c r="O22" s="132">
        <f>IF(SER_hh_tes!O22=0,0,11630*1000*SER_hh_tes!O22/SER_hh_num!O22)</f>
        <v>0</v>
      </c>
      <c r="P22" s="132">
        <f>IF(SER_hh_tes!P22=0,0,11630*1000*SER_hh_tes!P22/SER_hh_num!P22)</f>
        <v>0</v>
      </c>
      <c r="Q22" s="132">
        <f>IF(SER_hh_tes!Q22=0,0,11630*1000*SER_hh_tes!Q22/SER_hh_num!Q22)</f>
        <v>0</v>
      </c>
      <c r="R22" s="132">
        <f>IF(SER_hh_tes!R22=0,0,11630*1000*SER_hh_tes!R22/SER_hh_num!R22)</f>
        <v>0</v>
      </c>
      <c r="S22" s="132">
        <f>IF(SER_hh_tes!S22=0,0,11630*1000*SER_hh_tes!S22/SER_hh_num!S22)</f>
        <v>0</v>
      </c>
      <c r="T22" s="132">
        <f>IF(SER_hh_tes!T22=0,0,11630*1000*SER_hh_tes!T22/SER_hh_num!T22)</f>
        <v>0</v>
      </c>
      <c r="U22" s="132">
        <f>IF(SER_hh_tes!U22=0,0,11630*1000*SER_hh_tes!U22/SER_hh_num!U22)</f>
        <v>0</v>
      </c>
      <c r="V22" s="132">
        <f>IF(SER_hh_tes!V22=0,0,11630*1000*SER_hh_tes!V22/SER_hh_num!V22)</f>
        <v>0</v>
      </c>
      <c r="W22" s="132">
        <f>IF(SER_hh_tes!W22=0,0,11630*1000*SER_hh_tes!W22/SER_hh_num!W22)</f>
        <v>0</v>
      </c>
      <c r="X22" s="132">
        <f>IF(SER_hh_tes!X22=0,0,11630*1000*SER_hh_tes!X22/SER_hh_num!X22)</f>
        <v>0</v>
      </c>
      <c r="Y22" s="132">
        <f>IF(SER_hh_tes!Y22=0,0,11630*1000*SER_hh_tes!Y22/SER_hh_num!Y22)</f>
        <v>0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16764.029194376697</v>
      </c>
      <c r="C23" s="132">
        <f>IF(SER_hh_tes!C23=0,0,11630*1000*SER_hh_tes!C23/SER_hh_num!C23)</f>
        <v>27667.571845880026</v>
      </c>
      <c r="D23" s="132">
        <f>IF(SER_hh_tes!D23=0,0,11630*1000*SER_hh_tes!D23/SER_hh_num!D23)</f>
        <v>27777.051675225401</v>
      </c>
      <c r="E23" s="132">
        <f>IF(SER_hh_tes!E23=0,0,11630*1000*SER_hh_tes!E23/SER_hh_num!E23)</f>
        <v>25056.118599147612</v>
      </c>
      <c r="F23" s="132">
        <f>IF(SER_hh_tes!F23=0,0,11630*1000*SER_hh_tes!F23/SER_hh_num!F23)</f>
        <v>26216.137803317855</v>
      </c>
      <c r="G23" s="132">
        <f>IF(SER_hh_tes!G23=0,0,11630*1000*SER_hh_tes!G23/SER_hh_num!G23)</f>
        <v>25280.814306423359</v>
      </c>
      <c r="H23" s="132">
        <f>IF(SER_hh_tes!H23=0,0,11630*1000*SER_hh_tes!H23/SER_hh_num!H23)</f>
        <v>25230.723957513179</v>
      </c>
      <c r="I23" s="132">
        <f>IF(SER_hh_tes!I23=0,0,11630*1000*SER_hh_tes!I23/SER_hh_num!I23)</f>
        <v>26942.413143627273</v>
      </c>
      <c r="J23" s="132">
        <f>IF(SER_hh_tes!J23=0,0,11630*1000*SER_hh_tes!J23/SER_hh_num!J23)</f>
        <v>26396.95407050748</v>
      </c>
      <c r="K23" s="132">
        <f>IF(SER_hh_tes!K23=0,0,11630*1000*SER_hh_tes!K23/SER_hh_num!K23)</f>
        <v>25523.846747470187</v>
      </c>
      <c r="L23" s="132">
        <f>IF(SER_hh_tes!L23=0,0,11630*1000*SER_hh_tes!L23/SER_hh_num!L23)</f>
        <v>26343.895001163233</v>
      </c>
      <c r="M23" s="132">
        <f>IF(SER_hh_tes!M23=0,0,11630*1000*SER_hh_tes!M23/SER_hh_num!M23)</f>
        <v>24352.88853956851</v>
      </c>
      <c r="N23" s="132">
        <f>IF(SER_hh_tes!N23=0,0,11630*1000*SER_hh_tes!N23/SER_hh_num!N23)</f>
        <v>27794.687119013681</v>
      </c>
      <c r="O23" s="132">
        <f>IF(SER_hh_tes!O23=0,0,11630*1000*SER_hh_tes!O23/SER_hh_num!O23)</f>
        <v>28405.312755429724</v>
      </c>
      <c r="P23" s="132">
        <f>IF(SER_hh_tes!P23=0,0,11630*1000*SER_hh_tes!P23/SER_hh_num!P23)</f>
        <v>28842.067524035752</v>
      </c>
      <c r="Q23" s="132">
        <f>IF(SER_hh_tes!Q23=0,0,11630*1000*SER_hh_tes!Q23/SER_hh_num!Q23)</f>
        <v>29638.147657678313</v>
      </c>
      <c r="R23" s="132">
        <f>IF(SER_hh_tes!R23=0,0,11630*1000*SER_hh_tes!R23/SER_hh_num!R23)</f>
        <v>30091.863980956277</v>
      </c>
      <c r="S23" s="132">
        <f>IF(SER_hh_tes!S23=0,0,11630*1000*SER_hh_tes!S23/SER_hh_num!S23)</f>
        <v>28924.256959004993</v>
      </c>
      <c r="T23" s="132">
        <f>IF(SER_hh_tes!T23=0,0,11630*1000*SER_hh_tes!T23/SER_hh_num!T23)</f>
        <v>27662.648047699036</v>
      </c>
      <c r="U23" s="132">
        <f>IF(SER_hh_tes!U23=0,0,11630*1000*SER_hh_tes!U23/SER_hh_num!U23)</f>
        <v>25182.931106985488</v>
      </c>
      <c r="V23" s="132">
        <f>IF(SER_hh_tes!V23=0,0,11630*1000*SER_hh_tes!V23/SER_hh_num!V23)</f>
        <v>17195.272829761816</v>
      </c>
      <c r="W23" s="132">
        <f>IF(SER_hh_tes!W23=0,0,11630*1000*SER_hh_tes!W23/SER_hh_num!W23)</f>
        <v>29426.751780743602</v>
      </c>
      <c r="X23" s="132">
        <f>IF(SER_hh_tes!X23=0,0,11630*1000*SER_hh_tes!X23/SER_hh_num!X23)</f>
        <v>29273.304705116971</v>
      </c>
      <c r="Y23" s="132">
        <f>IF(SER_hh_tes!Y23=0,0,11630*1000*SER_hh_tes!Y23/SER_hh_num!Y23)</f>
        <v>27756.884942266799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23025.196922033341</v>
      </c>
      <c r="C25" s="132">
        <f>IF(SER_hh_tes!C25=0,0,11630*1000*SER_hh_tes!C25/SER_hh_num!C25)</f>
        <v>23389.385080209788</v>
      </c>
      <c r="D25" s="132">
        <f>IF(SER_hh_tes!D25=0,0,11630*1000*SER_hh_tes!D25/SER_hh_num!D25)</f>
        <v>25976.330507794832</v>
      </c>
      <c r="E25" s="132">
        <f>IF(SER_hh_tes!E25=0,0,11630*1000*SER_hh_tes!E25/SER_hh_num!E25)</f>
        <v>27871.319234878829</v>
      </c>
      <c r="F25" s="132">
        <f>IF(SER_hh_tes!F25=0,0,11630*1000*SER_hh_tes!F25/SER_hh_num!F25)</f>
        <v>36230.904951236451</v>
      </c>
      <c r="G25" s="132">
        <f>IF(SER_hh_tes!G25=0,0,11630*1000*SER_hh_tes!G25/SER_hh_num!G25)</f>
        <v>26833.883512792476</v>
      </c>
      <c r="H25" s="132">
        <f>IF(SER_hh_tes!H25=0,0,11630*1000*SER_hh_tes!H25/SER_hh_num!H25)</f>
        <v>24010.516253123507</v>
      </c>
      <c r="I25" s="132">
        <f>IF(SER_hh_tes!I25=0,0,11630*1000*SER_hh_tes!I25/SER_hh_num!I25)</f>
        <v>25360.230114201811</v>
      </c>
      <c r="J25" s="132">
        <f>IF(SER_hh_tes!J25=0,0,11630*1000*SER_hh_tes!J25/SER_hh_num!J25)</f>
        <v>25907.234820574133</v>
      </c>
      <c r="K25" s="132">
        <f>IF(SER_hh_tes!K25=0,0,11630*1000*SER_hh_tes!K25/SER_hh_num!K25)</f>
        <v>26968.406248972235</v>
      </c>
      <c r="L25" s="132">
        <f>IF(SER_hh_tes!L25=0,0,11630*1000*SER_hh_tes!L25/SER_hh_num!L25)</f>
        <v>26342.536876553433</v>
      </c>
      <c r="M25" s="132">
        <f>IF(SER_hh_tes!M25=0,0,11630*1000*SER_hh_tes!M25/SER_hh_num!M25)</f>
        <v>27287.362161421588</v>
      </c>
      <c r="N25" s="132">
        <f>IF(SER_hh_tes!N25=0,0,11630*1000*SER_hh_tes!N25/SER_hh_num!N25)</f>
        <v>29784.938749653687</v>
      </c>
      <c r="O25" s="132">
        <f>IF(SER_hh_tes!O25=0,0,11630*1000*SER_hh_tes!O25/SER_hh_num!O25)</f>
        <v>22161.590513768668</v>
      </c>
      <c r="P25" s="132">
        <f>IF(SER_hh_tes!P25=0,0,11630*1000*SER_hh_tes!P25/SER_hh_num!P25)</f>
        <v>22914.405879587903</v>
      </c>
      <c r="Q25" s="132">
        <f>IF(SER_hh_tes!Q25=0,0,11630*1000*SER_hh_tes!Q25/SER_hh_num!Q25)</f>
        <v>10886.427606096353</v>
      </c>
      <c r="R25" s="132">
        <f>IF(SER_hh_tes!R25=0,0,11630*1000*SER_hh_tes!R25/SER_hh_num!R25)</f>
        <v>37091.126979699184</v>
      </c>
      <c r="S25" s="132">
        <f>IF(SER_hh_tes!S25=0,0,11630*1000*SER_hh_tes!S25/SER_hh_num!S25)</f>
        <v>34840.60197386262</v>
      </c>
      <c r="T25" s="132">
        <f>IF(SER_hh_tes!T25=0,0,11630*1000*SER_hh_tes!T25/SER_hh_num!T25)</f>
        <v>33299.123891189374</v>
      </c>
      <c r="U25" s="132">
        <f>IF(SER_hh_tes!U25=0,0,11630*1000*SER_hh_tes!U25/SER_hh_num!U25)</f>
        <v>30569.119118783827</v>
      </c>
      <c r="V25" s="132">
        <f>IF(SER_hh_tes!V25=0,0,11630*1000*SER_hh_tes!V25/SER_hh_num!V25)</f>
        <v>19691.408216047239</v>
      </c>
      <c r="W25" s="132">
        <f>IF(SER_hh_tes!W25=0,0,11630*1000*SER_hh_tes!W25/SER_hh_num!W25)</f>
        <v>25498.931367359837</v>
      </c>
      <c r="X25" s="132">
        <f>IF(SER_hh_tes!X25=0,0,11630*1000*SER_hh_tes!X25/SER_hh_num!X25)</f>
        <v>29630.391906219033</v>
      </c>
      <c r="Y25" s="132">
        <f>IF(SER_hh_tes!Y25=0,0,11630*1000*SER_hh_tes!Y25/SER_hh_num!Y25)</f>
        <v>26844.798213451075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26183.594513014821</v>
      </c>
      <c r="C26" s="65">
        <f>IF(SER_hh_tes!C26=0,0,11630*1000*SER_hh_tes!C26/SER_hh_num!C26)</f>
        <v>24711.872621872426</v>
      </c>
      <c r="D26" s="65">
        <f>IF(SER_hh_tes!D26=0,0,11630*1000*SER_hh_tes!D26/SER_hh_num!D26)</f>
        <v>24184.142640539281</v>
      </c>
      <c r="E26" s="65">
        <f>IF(SER_hh_tes!E26=0,0,11630*1000*SER_hh_tes!E26/SER_hh_num!E26)</f>
        <v>24972.611347216902</v>
      </c>
      <c r="F26" s="65">
        <f>IF(SER_hh_tes!F26=0,0,11630*1000*SER_hh_tes!F26/SER_hh_num!F26)</f>
        <v>21967.249682114983</v>
      </c>
      <c r="G26" s="65">
        <f>IF(SER_hh_tes!G26=0,0,11630*1000*SER_hh_tes!G26/SER_hh_num!G26)</f>
        <v>26480.541587688291</v>
      </c>
      <c r="H26" s="65">
        <f>IF(SER_hh_tes!H26=0,0,11630*1000*SER_hh_tes!H26/SER_hh_num!H26)</f>
        <v>27373.493285208337</v>
      </c>
      <c r="I26" s="65">
        <f>IF(SER_hh_tes!I26=0,0,11630*1000*SER_hh_tes!I26/SER_hh_num!I26)</f>
        <v>25333.657228279211</v>
      </c>
      <c r="J26" s="65">
        <f>IF(SER_hh_tes!J26=0,0,11630*1000*SER_hh_tes!J26/SER_hh_num!J26)</f>
        <v>25089.257931588989</v>
      </c>
      <c r="K26" s="65">
        <f>IF(SER_hh_tes!K26=0,0,11630*1000*SER_hh_tes!K26/SER_hh_num!K26)</f>
        <v>26628.878542147224</v>
      </c>
      <c r="L26" s="65">
        <f>IF(SER_hh_tes!L26=0,0,11630*1000*SER_hh_tes!L26/SER_hh_num!L26)</f>
        <v>26777.088443370172</v>
      </c>
      <c r="M26" s="65">
        <f>IF(SER_hh_tes!M26=0,0,11630*1000*SER_hh_tes!M26/SER_hh_num!M26)</f>
        <v>27387.210665971968</v>
      </c>
      <c r="N26" s="65">
        <f>IF(SER_hh_tes!N26=0,0,11630*1000*SER_hh_tes!N26/SER_hh_num!N26)</f>
        <v>25812.565447716534</v>
      </c>
      <c r="O26" s="65">
        <f>IF(SER_hh_tes!O26=0,0,11630*1000*SER_hh_tes!O26/SER_hh_num!O26)</f>
        <v>27339.506119172842</v>
      </c>
      <c r="P26" s="65">
        <f>IF(SER_hh_tes!P26=0,0,11630*1000*SER_hh_tes!P26/SER_hh_num!P26)</f>
        <v>26597.734392328122</v>
      </c>
      <c r="Q26" s="65">
        <f>IF(SER_hh_tes!Q26=0,0,11630*1000*SER_hh_tes!Q26/SER_hh_num!Q26)</f>
        <v>28007.344163461454</v>
      </c>
      <c r="R26" s="65">
        <f>IF(SER_hh_tes!R26=0,0,11630*1000*SER_hh_tes!R26/SER_hh_num!R26)</f>
        <v>25169.494800496694</v>
      </c>
      <c r="S26" s="65">
        <f>IF(SER_hh_tes!S26=0,0,11630*1000*SER_hh_tes!S26/SER_hh_num!S26)</f>
        <v>26467.725013207761</v>
      </c>
      <c r="T26" s="65">
        <f>IF(SER_hh_tes!T26=0,0,11630*1000*SER_hh_tes!T26/SER_hh_num!T26)</f>
        <v>26700.670659377414</v>
      </c>
      <c r="U26" s="65">
        <f>IF(SER_hh_tes!U26=0,0,11630*1000*SER_hh_tes!U26/SER_hh_num!U26)</f>
        <v>26754.724281900413</v>
      </c>
      <c r="V26" s="65">
        <f>IF(SER_hh_tes!V26=0,0,11630*1000*SER_hh_tes!V26/SER_hh_num!V26)</f>
        <v>28381.463949817844</v>
      </c>
      <c r="W26" s="65">
        <f>IF(SER_hh_tes!W26=0,0,11630*1000*SER_hh_tes!W26/SER_hh_num!W26)</f>
        <v>26147.387040108326</v>
      </c>
      <c r="X26" s="65">
        <f>IF(SER_hh_tes!X26=0,0,11630*1000*SER_hh_tes!X26/SER_hh_num!X26)</f>
        <v>26788.31020821556</v>
      </c>
      <c r="Y26" s="65">
        <f>IF(SER_hh_tes!Y26=0,0,11630*1000*SER_hh_tes!Y26/SER_hh_num!Y26)</f>
        <v>27212.129952818967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8.3997998972908601</v>
      </c>
      <c r="H27" s="145">
        <f>IF(SER_hh_tes!H27=0,0,11630*1000*SER_hh_tes!H27/SER_hh_num!H19)</f>
        <v>8.0332246370943796</v>
      </c>
      <c r="I27" s="145">
        <f>IF(SER_hh_tes!I27=0,0,11630*1000*SER_hh_tes!I27/SER_hh_num!I19)</f>
        <v>7.6105165634588774</v>
      </c>
      <c r="J27" s="145">
        <f>IF(SER_hh_tes!J27=0,0,11630*1000*SER_hh_tes!J27/SER_hh_num!J19)</f>
        <v>7.3673835818644697</v>
      </c>
      <c r="K27" s="145">
        <f>IF(SER_hh_tes!K27=0,0,11630*1000*SER_hh_tes!K27/SER_hh_num!K19)</f>
        <v>7.3795673763169392</v>
      </c>
      <c r="L27" s="145">
        <f>IF(SER_hh_tes!L27=0,0,11630*1000*SER_hh_tes!L27/SER_hh_num!L19)</f>
        <v>137.09716077742331</v>
      </c>
      <c r="M27" s="145">
        <f>IF(SER_hh_tes!M27=0,0,11630*1000*SER_hh_tes!M27/SER_hh_num!M19)</f>
        <v>164.33662935717442</v>
      </c>
      <c r="N27" s="145">
        <f>IF(SER_hh_tes!N27=0,0,11630*1000*SER_hh_tes!N27/SER_hh_num!N19)</f>
        <v>162.72148559071303</v>
      </c>
      <c r="O27" s="145">
        <f>IF(SER_hh_tes!O27=0,0,11630*1000*SER_hh_tes!O27/SER_hh_num!O19)</f>
        <v>84.158216051013724</v>
      </c>
      <c r="P27" s="145">
        <f>IF(SER_hh_tes!P27=0,0,11630*1000*SER_hh_tes!P27/SER_hh_num!P19)</f>
        <v>333.50444713243218</v>
      </c>
      <c r="Q27" s="145">
        <f>IF(SER_hh_tes!Q27=0,0,11630*1000*SER_hh_tes!Q27/SER_hh_num!Q19)</f>
        <v>233.30634070394706</v>
      </c>
      <c r="R27" s="145">
        <f>IF(SER_hh_tes!R27=0,0,11630*1000*SER_hh_tes!R27/SER_hh_num!R19)</f>
        <v>244.10854717202972</v>
      </c>
      <c r="S27" s="145">
        <f>IF(SER_hh_tes!S27=0,0,11630*1000*SER_hh_tes!S27/SER_hh_num!S19)</f>
        <v>180.78717254260295</v>
      </c>
      <c r="T27" s="145">
        <f>IF(SER_hh_tes!T27=0,0,11630*1000*SER_hh_tes!T27/SER_hh_num!T19)</f>
        <v>191.40670678780995</v>
      </c>
      <c r="U27" s="145">
        <f>IF(SER_hh_tes!U27=0,0,11630*1000*SER_hh_tes!U27/SER_hh_num!U19)</f>
        <v>195.08021948831455</v>
      </c>
      <c r="V27" s="145">
        <f>IF(SER_hh_tes!V27=0,0,11630*1000*SER_hh_tes!V27/SER_hh_num!V19)</f>
        <v>198.77702078236712</v>
      </c>
      <c r="W27" s="145">
        <f>IF(SER_hh_tes!W27=0,0,11630*1000*SER_hh_tes!W27/SER_hh_num!W19)</f>
        <v>202.55286499263065</v>
      </c>
      <c r="X27" s="145">
        <f>IF(SER_hh_tes!X27=0,0,11630*1000*SER_hh_tes!X27/SER_hh_num!X19)</f>
        <v>237.69541469877987</v>
      </c>
      <c r="Y27" s="145">
        <f>IF(SER_hh_tes!Y27=0,0,11630*1000*SER_hh_tes!Y27/SER_hh_num!Y19)</f>
        <v>494.95435828371552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18790.818575096659</v>
      </c>
      <c r="H28" s="146">
        <f>IF(SER_hh_tes!H27=0,0,11630*1000*SER_hh_tes!H27/SER_hh_num!H27)</f>
        <v>18917.74844912664</v>
      </c>
      <c r="I28" s="146">
        <f>IF(SER_hh_tes!I27=0,0,11630*1000*SER_hh_tes!I27/SER_hh_num!I27)</f>
        <v>18670.19922251278</v>
      </c>
      <c r="J28" s="146">
        <f>IF(SER_hh_tes!J27=0,0,11630*1000*SER_hh_tes!J27/SER_hh_num!J27)</f>
        <v>18559.27676796927</v>
      </c>
      <c r="K28" s="146">
        <f>IF(SER_hh_tes!K27=0,0,11630*1000*SER_hh_tes!K27/SER_hh_num!K27)</f>
        <v>19177.096458812637</v>
      </c>
      <c r="L28" s="146">
        <f>IF(SER_hh_tes!L27=0,0,11630*1000*SER_hh_tes!L27/SER_hh_num!L27)</f>
        <v>17833.207522301294</v>
      </c>
      <c r="M28" s="146">
        <f>IF(SER_hh_tes!M27=0,0,11630*1000*SER_hh_tes!M27/SER_hh_num!M27)</f>
        <v>18994.259933139532</v>
      </c>
      <c r="N28" s="146">
        <f>IF(SER_hh_tes!N27=0,0,11630*1000*SER_hh_tes!N27/SER_hh_num!N27)</f>
        <v>18750.787371376635</v>
      </c>
      <c r="O28" s="146">
        <f>IF(SER_hh_tes!O27=0,0,11630*1000*SER_hh_tes!O27/SER_hh_num!O27)</f>
        <v>17737.197519450456</v>
      </c>
      <c r="P28" s="146">
        <f>IF(SER_hh_tes!P27=0,0,11630*1000*SER_hh_tes!P27/SER_hh_num!P27)</f>
        <v>19193.341016255959</v>
      </c>
      <c r="Q28" s="146">
        <f>IF(SER_hh_tes!Q27=0,0,11630*1000*SER_hh_tes!Q27/SER_hh_num!Q27)</f>
        <v>19059.992415819263</v>
      </c>
      <c r="R28" s="146">
        <f>IF(SER_hh_tes!R27=0,0,11630*1000*SER_hh_tes!R27/SER_hh_num!R27)</f>
        <v>19187.153247485796</v>
      </c>
      <c r="S28" s="146">
        <f>IF(SER_hh_tes!S27=0,0,11630*1000*SER_hh_tes!S27/SER_hh_num!S27)</f>
        <v>20199.94742955043</v>
      </c>
      <c r="T28" s="146">
        <f>IF(SER_hh_tes!T27=0,0,11630*1000*SER_hh_tes!T27/SER_hh_num!T27)</f>
        <v>19307.890307325491</v>
      </c>
      <c r="U28" s="146">
        <f>IF(SER_hh_tes!U27=0,0,11630*1000*SER_hh_tes!U27/SER_hh_num!U27)</f>
        <v>19487.117167174642</v>
      </c>
      <c r="V28" s="146">
        <f>IF(SER_hh_tes!V27=0,0,11630*1000*SER_hh_tes!V27/SER_hh_num!V27)</f>
        <v>17375.631912031055</v>
      </c>
      <c r="W28" s="146">
        <f>IF(SER_hh_tes!W27=0,0,11630*1000*SER_hh_tes!W27/SER_hh_num!W27)</f>
        <v>15890.130427882887</v>
      </c>
      <c r="X28" s="146">
        <f>IF(SER_hh_tes!X27=0,0,11630*1000*SER_hh_tes!X27/SER_hh_num!X27)</f>
        <v>21165.50106086033</v>
      </c>
      <c r="Y28" s="146">
        <f>IF(SER_hh_tes!Y27=0,0,11630*1000*SER_hh_tes!Y27/SER_hh_num!Y27)</f>
        <v>17036.135383954876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25139.360553918534</v>
      </c>
      <c r="C29" s="130">
        <f>IF(SER_hh_tes!C29=0,0,11630*1000*SER_hh_tes!C29/SER_hh_num!C29)</f>
        <v>25301.812507563831</v>
      </c>
      <c r="D29" s="130">
        <f>IF(SER_hh_tes!D29=0,0,11630*1000*SER_hh_tes!D29/SER_hh_num!D29)</f>
        <v>26586.096818569891</v>
      </c>
      <c r="E29" s="130">
        <f>IF(SER_hh_tes!E29=0,0,11630*1000*SER_hh_tes!E29/SER_hh_num!E29)</f>
        <v>27003.867398022481</v>
      </c>
      <c r="F29" s="130">
        <f>IF(SER_hh_tes!F29=0,0,11630*1000*SER_hh_tes!F29/SER_hh_num!F29)</f>
        <v>27351.837275203186</v>
      </c>
      <c r="G29" s="130">
        <f>IF(SER_hh_tes!G29=0,0,11630*1000*SER_hh_tes!G29/SER_hh_num!G29)</f>
        <v>28109.154407654616</v>
      </c>
      <c r="H29" s="130">
        <f>IF(SER_hh_tes!H29=0,0,11630*1000*SER_hh_tes!H29/SER_hh_num!H29)</f>
        <v>27920.079976497113</v>
      </c>
      <c r="I29" s="130">
        <f>IF(SER_hh_tes!I29=0,0,11630*1000*SER_hh_tes!I29/SER_hh_num!I29)</f>
        <v>27090.21500881694</v>
      </c>
      <c r="J29" s="130">
        <f>IF(SER_hh_tes!J29=0,0,11630*1000*SER_hh_tes!J29/SER_hh_num!J29)</f>
        <v>26497.01046724413</v>
      </c>
      <c r="K29" s="130">
        <f>IF(SER_hh_tes!K29=0,0,11630*1000*SER_hh_tes!K29/SER_hh_num!K29)</f>
        <v>27196.140788877012</v>
      </c>
      <c r="L29" s="130">
        <f>IF(SER_hh_tes!L29=0,0,11630*1000*SER_hh_tes!L29/SER_hh_num!L29)</f>
        <v>26747.006637897844</v>
      </c>
      <c r="M29" s="130">
        <f>IF(SER_hh_tes!M29=0,0,11630*1000*SER_hh_tes!M29/SER_hh_num!M29)</f>
        <v>26432.997763893058</v>
      </c>
      <c r="N29" s="130">
        <f>IF(SER_hh_tes!N29=0,0,11630*1000*SER_hh_tes!N29/SER_hh_num!N29)</f>
        <v>26402.298463787251</v>
      </c>
      <c r="O29" s="130">
        <f>IF(SER_hh_tes!O29=0,0,11630*1000*SER_hh_tes!O29/SER_hh_num!O29)</f>
        <v>26403.105733549946</v>
      </c>
      <c r="P29" s="130">
        <f>IF(SER_hh_tes!P29=0,0,11630*1000*SER_hh_tes!P29/SER_hh_num!P29)</f>
        <v>26058.158636159365</v>
      </c>
      <c r="Q29" s="130">
        <f>IF(SER_hh_tes!Q29=0,0,11630*1000*SER_hh_tes!Q29/SER_hh_num!Q29)</f>
        <v>26124.993597665009</v>
      </c>
      <c r="R29" s="130">
        <f>IF(SER_hh_tes!R29=0,0,11630*1000*SER_hh_tes!R29/SER_hh_num!R29)</f>
        <v>25858.53718512203</v>
      </c>
      <c r="S29" s="130">
        <f>IF(SER_hh_tes!S29=0,0,11630*1000*SER_hh_tes!S29/SER_hh_num!S29)</f>
        <v>25729.426904422704</v>
      </c>
      <c r="T29" s="130">
        <f>IF(SER_hh_tes!T29=0,0,11630*1000*SER_hh_tes!T29/SER_hh_num!T29)</f>
        <v>25365.585708996929</v>
      </c>
      <c r="U29" s="130">
        <f>IF(SER_hh_tes!U29=0,0,11630*1000*SER_hh_tes!U29/SER_hh_num!U29)</f>
        <v>24776.035238102482</v>
      </c>
      <c r="V29" s="130">
        <f>IF(SER_hh_tes!V29=0,0,11630*1000*SER_hh_tes!V29/SER_hh_num!V29)</f>
        <v>22522.795251164669</v>
      </c>
      <c r="W29" s="130">
        <f>IF(SER_hh_tes!W29=0,0,11630*1000*SER_hh_tes!W29/SER_hh_num!W29)</f>
        <v>25062.656881049563</v>
      </c>
      <c r="X29" s="130">
        <f>IF(SER_hh_tes!X29=0,0,11630*1000*SER_hh_tes!X29/SER_hh_num!X29)</f>
        <v>24708.964085432253</v>
      </c>
      <c r="Y29" s="130">
        <f>IF(SER_hh_tes!Y29=0,0,11630*1000*SER_hh_tes!Y29/SER_hh_num!Y29)</f>
        <v>24482.57837172606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12083.955262639991</v>
      </c>
      <c r="C30" s="132">
        <f>IF(SER_hh_tes!C30=0,0,11630*1000*SER_hh_tes!C30/SER_hh_num!C30)</f>
        <v>19488.025392266252</v>
      </c>
      <c r="D30" s="132">
        <f>IF(SER_hh_tes!D30=0,0,11630*1000*SER_hh_tes!D30/SER_hh_num!D30)</f>
        <v>31313.060236360481</v>
      </c>
      <c r="E30" s="132">
        <f>IF(SER_hh_tes!E30=0,0,11630*1000*SER_hh_tes!E30/SER_hh_num!E30)</f>
        <v>32308.713802452981</v>
      </c>
      <c r="F30" s="132">
        <f>IF(SER_hh_tes!F30=0,0,11630*1000*SER_hh_tes!F30/SER_hh_num!F30)</f>
        <v>34967.768399007982</v>
      </c>
      <c r="G30" s="132">
        <f>IF(SER_hh_tes!G30=0,0,11630*1000*SER_hh_tes!G30/SER_hh_num!G30)</f>
        <v>27411.62049785073</v>
      </c>
      <c r="H30" s="132">
        <f>IF(SER_hh_tes!H30=0,0,11630*1000*SER_hh_tes!H30/SER_hh_num!H30)</f>
        <v>32016.437636803381</v>
      </c>
      <c r="I30" s="132">
        <f>IF(SER_hh_tes!I30=0,0,11630*1000*SER_hh_tes!I30/SER_hh_num!I30)</f>
        <v>17690.43269533461</v>
      </c>
      <c r="J30" s="132">
        <f>IF(SER_hh_tes!J30=0,0,11630*1000*SER_hh_tes!J30/SER_hh_num!J30)</f>
        <v>6252.7661256501242</v>
      </c>
      <c r="K30" s="132">
        <f>IF(SER_hh_tes!K30=0,0,11630*1000*SER_hh_tes!K30/SER_hh_num!K30)</f>
        <v>29940.328181490644</v>
      </c>
      <c r="L30" s="132">
        <f>IF(SER_hh_tes!L30=0,0,11630*1000*SER_hh_tes!L30/SER_hh_num!L30)</f>
        <v>52200.162414570223</v>
      </c>
      <c r="M30" s="132">
        <f>IF(SER_hh_tes!M30=0,0,11630*1000*SER_hh_tes!M30/SER_hh_num!M30)</f>
        <v>6194.7793737855045</v>
      </c>
      <c r="N30" s="132">
        <f>IF(SER_hh_tes!N30=0,0,11630*1000*SER_hh_tes!N30/SER_hh_num!N30)</f>
        <v>30602.39012418858</v>
      </c>
      <c r="O30" s="132">
        <f>IF(SER_hh_tes!O30=0,0,11630*1000*SER_hh_tes!O30/SER_hh_num!O30)</f>
        <v>29563.418117082612</v>
      </c>
      <c r="P30" s="132">
        <f>IF(SER_hh_tes!P30=0,0,11630*1000*SER_hh_tes!P30/SER_hh_num!P30)</f>
        <v>27086.966420669709</v>
      </c>
      <c r="Q30" s="132">
        <f>IF(SER_hh_tes!Q30=0,0,11630*1000*SER_hh_tes!Q30/SER_hh_num!Q30)</f>
        <v>25720.584933246981</v>
      </c>
      <c r="R30" s="132">
        <f>IF(SER_hh_tes!R30=0,0,11630*1000*SER_hh_tes!R30/SER_hh_num!R30)</f>
        <v>27271.676073744202</v>
      </c>
      <c r="S30" s="132">
        <f>IF(SER_hh_tes!S30=0,0,11630*1000*SER_hh_tes!S30/SER_hh_num!S30)</f>
        <v>18350.375470255669</v>
      </c>
      <c r="T30" s="132">
        <f>IF(SER_hh_tes!T30=0,0,11630*1000*SER_hh_tes!T30/SER_hh_num!T30)</f>
        <v>28031.328404132048</v>
      </c>
      <c r="U30" s="132">
        <f>IF(SER_hh_tes!U30=0,0,11630*1000*SER_hh_tes!U30/SER_hh_num!U30)</f>
        <v>25556.744672140394</v>
      </c>
      <c r="V30" s="132">
        <f>IF(SER_hh_tes!V30=0,0,11630*1000*SER_hh_tes!V30/SER_hh_num!V30)</f>
        <v>18559.422785941806</v>
      </c>
      <c r="W30" s="132">
        <f>IF(SER_hh_tes!W30=0,0,11630*1000*SER_hh_tes!W30/SER_hh_num!W30)</f>
        <v>19523.436047850471</v>
      </c>
      <c r="X30" s="132">
        <f>IF(SER_hh_tes!X30=0,0,11630*1000*SER_hh_tes!X30/SER_hh_num!X30)</f>
        <v>32989.636911587535</v>
      </c>
      <c r="Y30" s="132">
        <f>IF(SER_hh_tes!Y30=0,0,11630*1000*SER_hh_tes!Y30/SER_hh_num!Y30)</f>
        <v>18450.429452273471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25776.818815707087</v>
      </c>
      <c r="C31" s="132">
        <f>IF(SER_hh_tes!C31=0,0,11630*1000*SER_hh_tes!C31/SER_hh_num!C31)</f>
        <v>25662.961145600162</v>
      </c>
      <c r="D31" s="132">
        <f>IF(SER_hh_tes!D31=0,0,11630*1000*SER_hh_tes!D31/SER_hh_num!D31)</f>
        <v>27126.662302181496</v>
      </c>
      <c r="E31" s="132">
        <f>IF(SER_hh_tes!E31=0,0,11630*1000*SER_hh_tes!E31/SER_hh_num!E31)</f>
        <v>27064.060254075521</v>
      </c>
      <c r="F31" s="132">
        <f>IF(SER_hh_tes!F31=0,0,11630*1000*SER_hh_tes!F31/SER_hh_num!F31)</f>
        <v>21191.969561147343</v>
      </c>
      <c r="G31" s="132">
        <f>IF(SER_hh_tes!G31=0,0,11630*1000*SER_hh_tes!G31/SER_hh_num!G31)</f>
        <v>28386.570123916728</v>
      </c>
      <c r="H31" s="132">
        <f>IF(SER_hh_tes!H31=0,0,11630*1000*SER_hh_tes!H31/SER_hh_num!H31)</f>
        <v>28326.341038186318</v>
      </c>
      <c r="I31" s="132">
        <f>IF(SER_hh_tes!I31=0,0,11630*1000*SER_hh_tes!I31/SER_hh_num!I31)</f>
        <v>28096.961692387431</v>
      </c>
      <c r="J31" s="132">
        <f>IF(SER_hh_tes!J31=0,0,11630*1000*SER_hh_tes!J31/SER_hh_num!J31)</f>
        <v>27486.34393554792</v>
      </c>
      <c r="K31" s="132">
        <f>IF(SER_hh_tes!K31=0,0,11630*1000*SER_hh_tes!K31/SER_hh_num!K31)</f>
        <v>27181.297727811372</v>
      </c>
      <c r="L31" s="132">
        <f>IF(SER_hh_tes!L31=0,0,11630*1000*SER_hh_tes!L31/SER_hh_num!L31)</f>
        <v>26906.361203214019</v>
      </c>
      <c r="M31" s="132">
        <f>IF(SER_hh_tes!M31=0,0,11630*1000*SER_hh_tes!M31/SER_hh_num!M31)</f>
        <v>24188.780019439455</v>
      </c>
      <c r="N31" s="132">
        <f>IF(SER_hh_tes!N31=0,0,11630*1000*SER_hh_tes!N31/SER_hh_num!N31)</f>
        <v>25284.227403917059</v>
      </c>
      <c r="O31" s="132">
        <f>IF(SER_hh_tes!O31=0,0,11630*1000*SER_hh_tes!O31/SER_hh_num!O31)</f>
        <v>27128.045114384353</v>
      </c>
      <c r="P31" s="132">
        <f>IF(SER_hh_tes!P31=0,0,11630*1000*SER_hh_tes!P31/SER_hh_num!P31)</f>
        <v>26075.930013816476</v>
      </c>
      <c r="Q31" s="132">
        <f>IF(SER_hh_tes!Q31=0,0,11630*1000*SER_hh_tes!Q31/SER_hh_num!Q31)</f>
        <v>27285.4453961324</v>
      </c>
      <c r="R31" s="132">
        <f>IF(SER_hh_tes!R31=0,0,11630*1000*SER_hh_tes!R31/SER_hh_num!R31)</f>
        <v>26973.55092682883</v>
      </c>
      <c r="S31" s="132">
        <f>IF(SER_hh_tes!S31=0,0,11630*1000*SER_hh_tes!S31/SER_hh_num!S31)</f>
        <v>26272.520229954654</v>
      </c>
      <c r="T31" s="132">
        <f>IF(SER_hh_tes!T31=0,0,11630*1000*SER_hh_tes!T31/SER_hh_num!T31)</f>
        <v>23925.926087303022</v>
      </c>
      <c r="U31" s="132">
        <f>IF(SER_hh_tes!U31=0,0,11630*1000*SER_hh_tes!U31/SER_hh_num!U31)</f>
        <v>19866.973845666238</v>
      </c>
      <c r="V31" s="132">
        <f>IF(SER_hh_tes!V31=0,0,11630*1000*SER_hh_tes!V31/SER_hh_num!V31)</f>
        <v>17507.60771975731</v>
      </c>
      <c r="W31" s="132">
        <f>IF(SER_hh_tes!W31=0,0,11630*1000*SER_hh_tes!W31/SER_hh_num!W31)</f>
        <v>27867.373607082325</v>
      </c>
      <c r="X31" s="132">
        <f>IF(SER_hh_tes!X31=0,0,11630*1000*SER_hh_tes!X31/SER_hh_num!X31)</f>
        <v>26296.859159040174</v>
      </c>
      <c r="Y31" s="132">
        <f>IF(SER_hh_tes!Y31=0,0,11630*1000*SER_hh_tes!Y31/SER_hh_num!Y31)</f>
        <v>23998.224182052672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29024.26205856026</v>
      </c>
      <c r="C33" s="68">
        <f>IF(SER_hh_tes!C33=0,0,11630*1000*SER_hh_tes!C33/SER_hh_num!C33)</f>
        <v>28884.673546919552</v>
      </c>
      <c r="D33" s="68">
        <f>IF(SER_hh_tes!D33=0,0,11630*1000*SER_hh_tes!D33/SER_hh_num!D33)</f>
        <v>21289.496054263098</v>
      </c>
      <c r="E33" s="68">
        <f>IF(SER_hh_tes!E33=0,0,11630*1000*SER_hh_tes!E33/SER_hh_num!E33)</f>
        <v>22219.789201216343</v>
      </c>
      <c r="F33" s="68">
        <f>IF(SER_hh_tes!F33=0,0,11630*1000*SER_hh_tes!F33/SER_hh_num!F33)</f>
        <v>27493.607906572433</v>
      </c>
      <c r="G33" s="68">
        <f>IF(SER_hh_tes!G33=0,0,11630*1000*SER_hh_tes!G33/SER_hh_num!G33)</f>
        <v>28314.864314680755</v>
      </c>
      <c r="H33" s="68">
        <f>IF(SER_hh_tes!H33=0,0,11630*1000*SER_hh_tes!H33/SER_hh_num!H33)</f>
        <v>25887.269592696739</v>
      </c>
      <c r="I33" s="68">
        <f>IF(SER_hh_tes!I33=0,0,11630*1000*SER_hh_tes!I33/SER_hh_num!I33)</f>
        <v>28150.124559692867</v>
      </c>
      <c r="J33" s="68">
        <f>IF(SER_hh_tes!J33=0,0,11630*1000*SER_hh_tes!J33/SER_hh_num!J33)</f>
        <v>28317.914285354527</v>
      </c>
      <c r="K33" s="68">
        <f>IF(SER_hh_tes!K33=0,0,11630*1000*SER_hh_tes!K33/SER_hh_num!K33)</f>
        <v>26852.491029315788</v>
      </c>
      <c r="L33" s="68">
        <f>IF(SER_hh_tes!L33=0,0,11630*1000*SER_hh_tes!L33/SER_hh_num!L33)</f>
        <v>23427.618262171192</v>
      </c>
      <c r="M33" s="68">
        <f>IF(SER_hh_tes!M33=0,0,11630*1000*SER_hh_tes!M33/SER_hh_num!M33)</f>
        <v>30115.855352461753</v>
      </c>
      <c r="N33" s="68">
        <f>IF(SER_hh_tes!N33=0,0,11630*1000*SER_hh_tes!N33/SER_hh_num!N33)</f>
        <v>26595.936209927291</v>
      </c>
      <c r="O33" s="68">
        <f>IF(SER_hh_tes!O33=0,0,11630*1000*SER_hh_tes!O33/SER_hh_num!O33)</f>
        <v>25409.707158025936</v>
      </c>
      <c r="P33" s="68">
        <f>IF(SER_hh_tes!P33=0,0,11630*1000*SER_hh_tes!P33/SER_hh_num!P33)</f>
        <v>25900.280460159433</v>
      </c>
      <c r="Q33" s="68">
        <f>IF(SER_hh_tes!Q33=0,0,11630*1000*SER_hh_tes!Q33/SER_hh_num!Q33)</f>
        <v>25029.96613813256</v>
      </c>
      <c r="R33" s="68">
        <f>IF(SER_hh_tes!R33=0,0,11630*1000*SER_hh_tes!R33/SER_hh_num!R33)</f>
        <v>24684.320866496408</v>
      </c>
      <c r="S33" s="68">
        <f>IF(SER_hh_tes!S33=0,0,11630*1000*SER_hh_tes!S33/SER_hh_num!S33)</f>
        <v>25726.917937739756</v>
      </c>
      <c r="T33" s="68">
        <f>IF(SER_hh_tes!T33=0,0,11630*1000*SER_hh_tes!T33/SER_hh_num!T33)</f>
        <v>26307.241734911095</v>
      </c>
      <c r="U33" s="68">
        <f>IF(SER_hh_tes!U33=0,0,11630*1000*SER_hh_tes!U33/SER_hh_num!U33)</f>
        <v>28313.065821387856</v>
      </c>
      <c r="V33" s="68">
        <f>IF(SER_hh_tes!V33=0,0,11630*1000*SER_hh_tes!V33/SER_hh_num!V33)</f>
        <v>26370.206041426081</v>
      </c>
      <c r="W33" s="68">
        <f>IF(SER_hh_tes!W33=0,0,11630*1000*SER_hh_tes!W33/SER_hh_num!W33)</f>
        <v>23232.414545263237</v>
      </c>
      <c r="X33" s="68">
        <f>IF(SER_hh_tes!X33=0,0,11630*1000*SER_hh_tes!X33/SER_hh_num!X33)</f>
        <v>23211.601621788875</v>
      </c>
      <c r="Y33" s="68">
        <f>IF(SER_hh_tes!Y33=0,0,11630*1000*SER_hh_tes!Y33/SER_hh_num!Y33)</f>
        <v>25057.128485651381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139495.83100318536</v>
      </c>
      <c r="C3" s="125">
        <f>IF(SER_hh_emi!C3=0,0,1000000*SER_hh_emi!C3/SER_hh_num!C3)</f>
        <v>83010.93500988197</v>
      </c>
      <c r="D3" s="125">
        <f>IF(SER_hh_emi!D3=0,0,1000000*SER_hh_emi!D3/SER_hh_num!D3)</f>
        <v>68742.926928330824</v>
      </c>
      <c r="E3" s="125">
        <f>IF(SER_hh_emi!E3=0,0,1000000*SER_hh_emi!E3/SER_hh_num!E3)</f>
        <v>45121.222146259483</v>
      </c>
      <c r="F3" s="125">
        <f>IF(SER_hh_emi!F3=0,0,1000000*SER_hh_emi!F3/SER_hh_num!F3)</f>
        <v>47500.633817512324</v>
      </c>
      <c r="G3" s="125">
        <f>IF(SER_hh_emi!G3=0,0,1000000*SER_hh_emi!G3/SER_hh_num!G3)</f>
        <v>73093.694568060295</v>
      </c>
      <c r="H3" s="125">
        <f>IF(SER_hh_emi!H3=0,0,1000000*SER_hh_emi!H3/SER_hh_num!H3)</f>
        <v>80843.214086688895</v>
      </c>
      <c r="I3" s="125">
        <f>IF(SER_hh_emi!I3=0,0,1000000*SER_hh_emi!I3/SER_hh_num!I3)</f>
        <v>77455.28546941276</v>
      </c>
      <c r="J3" s="125">
        <f>IF(SER_hh_emi!J3=0,0,1000000*SER_hh_emi!J3/SER_hh_num!J3)</f>
        <v>82078.410869342231</v>
      </c>
      <c r="K3" s="125">
        <f>IF(SER_hh_emi!K3=0,0,1000000*SER_hh_emi!K3/SER_hh_num!K3)</f>
        <v>93230.103663285845</v>
      </c>
      <c r="L3" s="125">
        <f>IF(SER_hh_emi!L3=0,0,1000000*SER_hh_emi!L3/SER_hh_num!L3)</f>
        <v>83333.911786809098</v>
      </c>
      <c r="M3" s="125">
        <f>IF(SER_hh_emi!M3=0,0,1000000*SER_hh_emi!M3/SER_hh_num!M3)</f>
        <v>56537.697791753351</v>
      </c>
      <c r="N3" s="125">
        <f>IF(SER_hh_emi!N3=0,0,1000000*SER_hh_emi!N3/SER_hh_num!N3)</f>
        <v>49686.417287716104</v>
      </c>
      <c r="O3" s="125">
        <f>IF(SER_hh_emi!O3=0,0,1000000*SER_hh_emi!O3/SER_hh_num!O3)</f>
        <v>64153.742900431251</v>
      </c>
      <c r="P3" s="125">
        <f>IF(SER_hh_emi!P3=0,0,1000000*SER_hh_emi!P3/SER_hh_num!P3)</f>
        <v>43062.954865674474</v>
      </c>
      <c r="Q3" s="125">
        <f>IF(SER_hh_emi!Q3=0,0,1000000*SER_hh_emi!Q3/SER_hh_num!Q3)</f>
        <v>44103.983041845466</v>
      </c>
      <c r="R3" s="125">
        <f>IF(SER_hh_emi!R3=0,0,1000000*SER_hh_emi!R3/SER_hh_num!R3)</f>
        <v>37178.582753115734</v>
      </c>
      <c r="S3" s="125">
        <f>IF(SER_hh_emi!S3=0,0,1000000*SER_hh_emi!S3/SER_hh_num!S3)</f>
        <v>40672.684563176146</v>
      </c>
      <c r="T3" s="125">
        <f>IF(SER_hh_emi!T3=0,0,1000000*SER_hh_emi!T3/SER_hh_num!T3)</f>
        <v>35715.5640666408</v>
      </c>
      <c r="U3" s="125">
        <f>IF(SER_hh_emi!U3=0,0,1000000*SER_hh_emi!U3/SER_hh_num!U3)</f>
        <v>35319.748466392681</v>
      </c>
      <c r="V3" s="125">
        <f>IF(SER_hh_emi!V3=0,0,1000000*SER_hh_emi!V3/SER_hh_num!V3)</f>
        <v>25432.065889691781</v>
      </c>
      <c r="W3" s="125">
        <f>IF(SER_hh_emi!W3=0,0,1000000*SER_hh_emi!W3/SER_hh_num!W3)</f>
        <v>37674.200026298953</v>
      </c>
      <c r="X3" s="125">
        <f>IF(SER_hh_emi!X3=0,0,1000000*SER_hh_emi!X3/SER_hh_num!X3)</f>
        <v>32690.252217076679</v>
      </c>
      <c r="Y3" s="125">
        <f>IF(SER_hh_emi!Y3=0,0,1000000*SER_hh_emi!Y3/SER_hh_num!Y3)</f>
        <v>27028.292757454205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133318.78850089296</v>
      </c>
      <c r="C4" s="130">
        <f>IF(SER_hh_emi!C4=0,0,1000000*SER_hh_emi!C4/SER_hh_num!C4)</f>
        <v>75461.360312778575</v>
      </c>
      <c r="D4" s="130">
        <f>IF(SER_hh_emi!D4=0,0,1000000*SER_hh_emi!D4/SER_hh_num!D4)</f>
        <v>59476.035809119254</v>
      </c>
      <c r="E4" s="130">
        <f>IF(SER_hh_emi!E4=0,0,1000000*SER_hh_emi!E4/SER_hh_num!E4)</f>
        <v>36333.02394477302</v>
      </c>
      <c r="F4" s="130">
        <f>IF(SER_hh_emi!F4=0,0,1000000*SER_hh_emi!F4/SER_hh_num!F4)</f>
        <v>39115.58053410994</v>
      </c>
      <c r="G4" s="130">
        <f>IF(SER_hh_emi!G4=0,0,1000000*SER_hh_emi!G4/SER_hh_num!G4)</f>
        <v>65327.382186814735</v>
      </c>
      <c r="H4" s="130">
        <f>IF(SER_hh_emi!H4=0,0,1000000*SER_hh_emi!H4/SER_hh_num!H4)</f>
        <v>73083.640821742869</v>
      </c>
      <c r="I4" s="130">
        <f>IF(SER_hh_emi!I4=0,0,1000000*SER_hh_emi!I4/SER_hh_num!I4)</f>
        <v>70516.582200526333</v>
      </c>
      <c r="J4" s="130">
        <f>IF(SER_hh_emi!J4=0,0,1000000*SER_hh_emi!J4/SER_hh_num!J4)</f>
        <v>75573.296504888174</v>
      </c>
      <c r="K4" s="130">
        <f>IF(SER_hh_emi!K4=0,0,1000000*SER_hh_emi!K4/SER_hh_num!K4)</f>
        <v>86137.037980618785</v>
      </c>
      <c r="L4" s="130">
        <f>IF(SER_hh_emi!L4=0,0,1000000*SER_hh_emi!L4/SER_hh_num!L4)</f>
        <v>75723.457691218166</v>
      </c>
      <c r="M4" s="130">
        <f>IF(SER_hh_emi!M4=0,0,1000000*SER_hh_emi!M4/SER_hh_num!M4)</f>
        <v>50547.553621910003</v>
      </c>
      <c r="N4" s="130">
        <f>IF(SER_hh_emi!N4=0,0,1000000*SER_hh_emi!N4/SER_hh_num!N4)</f>
        <v>42116.626102811322</v>
      </c>
      <c r="O4" s="130">
        <f>IF(SER_hh_emi!O4=0,0,1000000*SER_hh_emi!O4/SER_hh_num!O4)</f>
        <v>55715.838936207016</v>
      </c>
      <c r="P4" s="130">
        <f>IF(SER_hh_emi!P4=0,0,1000000*SER_hh_emi!P4/SER_hh_num!P4)</f>
        <v>34460.405526453127</v>
      </c>
      <c r="Q4" s="130">
        <f>IF(SER_hh_emi!Q4=0,0,1000000*SER_hh_emi!Q4/SER_hh_num!Q4)</f>
        <v>35298.590363548188</v>
      </c>
      <c r="R4" s="130">
        <f>IF(SER_hh_emi!R4=0,0,1000000*SER_hh_emi!R4/SER_hh_num!R4)</f>
        <v>29122.881316921757</v>
      </c>
      <c r="S4" s="130">
        <f>IF(SER_hh_emi!S4=0,0,1000000*SER_hh_emi!S4/SER_hh_num!S4)</f>
        <v>33367.50981779916</v>
      </c>
      <c r="T4" s="130">
        <f>IF(SER_hh_emi!T4=0,0,1000000*SER_hh_emi!T4/SER_hh_num!T4)</f>
        <v>29297.438278706955</v>
      </c>
      <c r="U4" s="130">
        <f>IF(SER_hh_emi!U4=0,0,1000000*SER_hh_emi!U4/SER_hh_num!U4)</f>
        <v>29625.119655528335</v>
      </c>
      <c r="V4" s="130">
        <f>IF(SER_hh_emi!V4=0,0,1000000*SER_hh_emi!V4/SER_hh_num!V4)</f>
        <v>21381.200911360469</v>
      </c>
      <c r="W4" s="130">
        <f>IF(SER_hh_emi!W4=0,0,1000000*SER_hh_emi!W4/SER_hh_num!W4)</f>
        <v>31338.55035742142</v>
      </c>
      <c r="X4" s="130">
        <f>IF(SER_hh_emi!X4=0,0,1000000*SER_hh_emi!X4/SER_hh_num!X4)</f>
        <v>26548.506151284386</v>
      </c>
      <c r="Y4" s="130">
        <f>IF(SER_hh_emi!Y4=0,0,1000000*SER_hh_emi!Y4/SER_hh_num!Y4)</f>
        <v>21469.620501144989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235144.238619465</v>
      </c>
      <c r="C5" s="132">
        <f>IF(SER_hh_emi!C5=0,0,1000000*SER_hh_emi!C5/SER_hh_num!C5)</f>
        <v>191562.95534175192</v>
      </c>
      <c r="D5" s="132">
        <f>IF(SER_hh_emi!D5=0,0,1000000*SER_hh_emi!D5/SER_hh_num!D5)</f>
        <v>265988.10908109788</v>
      </c>
      <c r="E5" s="132">
        <f>IF(SER_hh_emi!E5=0,0,1000000*SER_hh_emi!E5/SER_hh_num!E5)</f>
        <v>64908.333144457567</v>
      </c>
      <c r="F5" s="132">
        <f>IF(SER_hh_emi!F5=0,0,1000000*SER_hh_emi!F5/SER_hh_num!F5)</f>
        <v>247359.75192182852</v>
      </c>
      <c r="G5" s="132">
        <f>IF(SER_hh_emi!G5=0,0,1000000*SER_hh_emi!G5/SER_hh_num!G5)</f>
        <v>55860.247285566373</v>
      </c>
      <c r="H5" s="132">
        <f>IF(SER_hh_emi!H5=0,0,1000000*SER_hh_emi!H5/SER_hh_num!H5)</f>
        <v>129386.70167521668</v>
      </c>
      <c r="I5" s="132">
        <f>IF(SER_hh_emi!I5=0,0,1000000*SER_hh_emi!I5/SER_hh_num!I5)</f>
        <v>142426.77107672021</v>
      </c>
      <c r="J5" s="132">
        <f>IF(SER_hh_emi!J5=0,0,1000000*SER_hh_emi!J5/SER_hh_num!J5)</f>
        <v>142332.95095038437</v>
      </c>
      <c r="K5" s="132">
        <f>IF(SER_hh_emi!K5=0,0,1000000*SER_hh_emi!K5/SER_hh_num!K5)</f>
        <v>264311.33545467275</v>
      </c>
      <c r="L5" s="132">
        <f>IF(SER_hh_emi!L5=0,0,1000000*SER_hh_emi!L5/SER_hh_num!L5)</f>
        <v>139418.95690293418</v>
      </c>
      <c r="M5" s="132">
        <f>IF(SER_hh_emi!M5=0,0,1000000*SER_hh_emi!M5/SER_hh_num!M5)</f>
        <v>167506.24846911474</v>
      </c>
      <c r="N5" s="132">
        <f>IF(SER_hh_emi!N5=0,0,1000000*SER_hh_emi!N5/SER_hh_num!N5)</f>
        <v>59451.495402906956</v>
      </c>
      <c r="O5" s="132">
        <f>IF(SER_hh_emi!O5=0,0,1000000*SER_hh_emi!O5/SER_hh_num!O5)</f>
        <v>122036.55410794527</v>
      </c>
      <c r="P5" s="132">
        <f>IF(SER_hh_emi!P5=0,0,1000000*SER_hh_emi!P5/SER_hh_num!P5)</f>
        <v>83687.761873527241</v>
      </c>
      <c r="Q5" s="132">
        <f>IF(SER_hh_emi!Q5=0,0,1000000*SER_hh_emi!Q5/SER_hh_num!Q5)</f>
        <v>95365.060604528626</v>
      </c>
      <c r="R5" s="132">
        <f>IF(SER_hh_emi!R5=0,0,1000000*SER_hh_emi!R5/SER_hh_num!R5)</f>
        <v>60833.868320347523</v>
      </c>
      <c r="S5" s="132">
        <f>IF(SER_hh_emi!S5=0,0,1000000*SER_hh_emi!S5/SER_hh_num!S5)</f>
        <v>74274.008944149682</v>
      </c>
      <c r="T5" s="132">
        <f>IF(SER_hh_emi!T5=0,0,1000000*SER_hh_emi!T5/SER_hh_num!T5)</f>
        <v>78590.458584891705</v>
      </c>
      <c r="U5" s="132">
        <f>IF(SER_hh_emi!U5=0,0,1000000*SER_hh_emi!U5/SER_hh_num!U5)</f>
        <v>116625.2453443605</v>
      </c>
      <c r="V5" s="132">
        <f>IF(SER_hh_emi!V5=0,0,1000000*SER_hh_emi!V5/SER_hh_num!V5)</f>
        <v>52787.498362451908</v>
      </c>
      <c r="W5" s="132">
        <f>IF(SER_hh_emi!W5=0,0,1000000*SER_hh_emi!W5/SER_hh_num!W5)</f>
        <v>89468.096250312257</v>
      </c>
      <c r="X5" s="132">
        <f>IF(SER_hh_emi!X5=0,0,1000000*SER_hh_emi!X5/SER_hh_num!X5)</f>
        <v>73737.449545147101</v>
      </c>
      <c r="Y5" s="132">
        <f>IF(SER_hh_emi!Y5=0,0,1000000*SER_hh_emi!Y5/SER_hh_num!Y5)</f>
        <v>64184.411418625852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29673.40234352749</v>
      </c>
      <c r="C7" s="132">
        <f>IF(SER_hh_emi!C7=0,0,1000000*SER_hh_emi!C7/SER_hh_num!C7)</f>
        <v>254148.73232470514</v>
      </c>
      <c r="D7" s="132">
        <f>IF(SER_hh_emi!D7=0,0,1000000*SER_hh_emi!D7/SER_hh_num!D7)</f>
        <v>179891.97899611742</v>
      </c>
      <c r="E7" s="132">
        <f>IF(SER_hh_emi!E7=0,0,1000000*SER_hh_emi!E7/SER_hh_num!E7)</f>
        <v>65521.109060337571</v>
      </c>
      <c r="F7" s="132">
        <f>IF(SER_hh_emi!F7=0,0,1000000*SER_hh_emi!F7/SER_hh_num!F7)</f>
        <v>177220.95588569951</v>
      </c>
      <c r="G7" s="132">
        <f>IF(SER_hh_emi!G7=0,0,1000000*SER_hh_emi!G7/SER_hh_num!G7)</f>
        <v>200884.59009692908</v>
      </c>
      <c r="H7" s="132">
        <f>IF(SER_hh_emi!H7=0,0,1000000*SER_hh_emi!H7/SER_hh_num!H7)</f>
        <v>173035.770178181</v>
      </c>
      <c r="I7" s="132">
        <f>IF(SER_hh_emi!I7=0,0,1000000*SER_hh_emi!I7/SER_hh_num!I7)</f>
        <v>18234.164842343172</v>
      </c>
      <c r="J7" s="132">
        <f>IF(SER_hh_emi!J7=0,0,1000000*SER_hh_emi!J7/SER_hh_num!J7)</f>
        <v>112509.21197377189</v>
      </c>
      <c r="K7" s="132">
        <f>IF(SER_hh_emi!K7=0,0,1000000*SER_hh_emi!K7/SER_hh_num!K7)</f>
        <v>343916.03386361111</v>
      </c>
      <c r="L7" s="132">
        <f>IF(SER_hh_emi!L7=0,0,1000000*SER_hh_emi!L7/SER_hh_num!L7)</f>
        <v>0</v>
      </c>
      <c r="M7" s="132">
        <f>IF(SER_hh_emi!M7=0,0,1000000*SER_hh_emi!M7/SER_hh_num!M7)</f>
        <v>0</v>
      </c>
      <c r="N7" s="132">
        <f>IF(SER_hh_emi!N7=0,0,1000000*SER_hh_emi!N7/SER_hh_num!N7)</f>
        <v>0</v>
      </c>
      <c r="O7" s="132">
        <f>IF(SER_hh_emi!O7=0,0,1000000*SER_hh_emi!O7/SER_hh_num!O7)</f>
        <v>29157.056883006666</v>
      </c>
      <c r="P7" s="132">
        <f>IF(SER_hh_emi!P7=0,0,1000000*SER_hh_emi!P7/SER_hh_num!P7)</f>
        <v>72326.202838052981</v>
      </c>
      <c r="Q7" s="132">
        <f>IF(SER_hh_emi!Q7=0,0,1000000*SER_hh_emi!Q7/SER_hh_num!Q7)</f>
        <v>73335.208943791848</v>
      </c>
      <c r="R7" s="132">
        <f>IF(SER_hh_emi!R7=0,0,1000000*SER_hh_emi!R7/SER_hh_num!R7)</f>
        <v>49226.848234462057</v>
      </c>
      <c r="S7" s="132">
        <f>IF(SER_hh_emi!S7=0,0,1000000*SER_hh_emi!S7/SER_hh_num!S7)</f>
        <v>39410.502906910653</v>
      </c>
      <c r="T7" s="132">
        <f>IF(SER_hh_emi!T7=0,0,1000000*SER_hh_emi!T7/SER_hh_num!T7)</f>
        <v>27441.471315331539</v>
      </c>
      <c r="U7" s="132">
        <f>IF(SER_hh_emi!U7=0,0,1000000*SER_hh_emi!U7/SER_hh_num!U7)</f>
        <v>71608.196360567046</v>
      </c>
      <c r="V7" s="132">
        <f>IF(SER_hh_emi!V7=0,0,1000000*SER_hh_emi!V7/SER_hh_num!V7)</f>
        <v>44684.559877045431</v>
      </c>
      <c r="W7" s="132">
        <f>IF(SER_hh_emi!W7=0,0,1000000*SER_hh_emi!W7/SER_hh_num!W7)</f>
        <v>50131.079627814826</v>
      </c>
      <c r="X7" s="132">
        <f>IF(SER_hh_emi!X7=0,0,1000000*SER_hh_emi!X7/SER_hh_num!X7)</f>
        <v>68846.680792475556</v>
      </c>
      <c r="Y7" s="132">
        <f>IF(SER_hh_emi!Y7=0,0,1000000*SER_hh_emi!Y7/SER_hh_num!Y7)</f>
        <v>38447.616781546247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61409.393339813701</v>
      </c>
      <c r="C8" s="132">
        <f>IF(SER_hh_emi!C8=0,0,1000000*SER_hh_emi!C8/SER_hh_num!C8)</f>
        <v>53334.448215296557</v>
      </c>
      <c r="D8" s="132">
        <f>IF(SER_hh_emi!D8=0,0,1000000*SER_hh_emi!D8/SER_hh_num!D8)</f>
        <v>38728.91385366091</v>
      </c>
      <c r="E8" s="132">
        <f>IF(SER_hh_emi!E8=0,0,1000000*SER_hh_emi!E8/SER_hh_num!E8)</f>
        <v>38631.402475573843</v>
      </c>
      <c r="F8" s="132">
        <f>IF(SER_hh_emi!F8=0,0,1000000*SER_hh_emi!F8/SER_hh_num!F8)</f>
        <v>40116.069137060222</v>
      </c>
      <c r="G8" s="132">
        <f>IF(SER_hh_emi!G8=0,0,1000000*SER_hh_emi!G8/SER_hh_num!G8)</f>
        <v>41487.715456649865</v>
      </c>
      <c r="H8" s="132">
        <f>IF(SER_hh_emi!H8=0,0,1000000*SER_hh_emi!H8/SER_hh_num!H8)</f>
        <v>42843.882862429484</v>
      </c>
      <c r="I8" s="132">
        <f>IF(SER_hh_emi!I8=0,0,1000000*SER_hh_emi!I8/SER_hh_num!I8)</f>
        <v>40645.715983418217</v>
      </c>
      <c r="J8" s="132">
        <f>IF(SER_hh_emi!J8=0,0,1000000*SER_hh_emi!J8/SER_hh_num!J8)</f>
        <v>38225.941240776032</v>
      </c>
      <c r="K8" s="132">
        <f>IF(SER_hh_emi!K8=0,0,1000000*SER_hh_emi!K8/SER_hh_num!K8)</f>
        <v>34990.506889490774</v>
      </c>
      <c r="L8" s="132">
        <f>IF(SER_hh_emi!L8=0,0,1000000*SER_hh_emi!L8/SER_hh_num!L8)</f>
        <v>29537.868178723649</v>
      </c>
      <c r="M8" s="132">
        <f>IF(SER_hh_emi!M8=0,0,1000000*SER_hh_emi!M8/SER_hh_num!M8)</f>
        <v>25468.825641829819</v>
      </c>
      <c r="N8" s="132">
        <f>IF(SER_hh_emi!N8=0,0,1000000*SER_hh_emi!N8/SER_hh_num!N8)</f>
        <v>18390.005762758014</v>
      </c>
      <c r="O8" s="132">
        <f>IF(SER_hh_emi!O8=0,0,1000000*SER_hh_emi!O8/SER_hh_num!O8)</f>
        <v>19125.951345498106</v>
      </c>
      <c r="P8" s="132">
        <f>IF(SER_hh_emi!P8=0,0,1000000*SER_hh_emi!P8/SER_hh_num!P8)</f>
        <v>15477.923844568497</v>
      </c>
      <c r="Q8" s="132">
        <f>IF(SER_hh_emi!Q8=0,0,1000000*SER_hh_emi!Q8/SER_hh_num!Q8)</f>
        <v>15571.069814984874</v>
      </c>
      <c r="R8" s="132">
        <f>IF(SER_hh_emi!R8=0,0,1000000*SER_hh_emi!R8/SER_hh_num!R8)</f>
        <v>13935.377795731911</v>
      </c>
      <c r="S8" s="132">
        <f>IF(SER_hh_emi!S8=0,0,1000000*SER_hh_emi!S8/SER_hh_num!S8)</f>
        <v>13915.798926128558</v>
      </c>
      <c r="T8" s="132">
        <f>IF(SER_hh_emi!T8=0,0,1000000*SER_hh_emi!T8/SER_hh_num!T8)</f>
        <v>12844.256381646319</v>
      </c>
      <c r="U8" s="132">
        <f>IF(SER_hh_emi!U8=0,0,1000000*SER_hh_emi!U8/SER_hh_num!U8)</f>
        <v>10616.306683419598</v>
      </c>
      <c r="V8" s="132">
        <f>IF(SER_hh_emi!V8=0,0,1000000*SER_hh_emi!V8/SER_hh_num!V8)</f>
        <v>11255.475895547299</v>
      </c>
      <c r="W8" s="132">
        <f>IF(SER_hh_emi!W8=0,0,1000000*SER_hh_emi!W8/SER_hh_num!W8)</f>
        <v>11813.533017752781</v>
      </c>
      <c r="X8" s="132">
        <f>IF(SER_hh_emi!X8=0,0,1000000*SER_hh_emi!X8/SER_hh_num!X8)</f>
        <v>11086.84960961063</v>
      </c>
      <c r="Y8" s="132">
        <f>IF(SER_hh_emi!Y8=0,0,1000000*SER_hh_emi!Y8/SER_hh_num!Y8)</f>
        <v>10694.508163307293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198917.20591359137</v>
      </c>
      <c r="C9" s="132">
        <f>IF(SER_hh_emi!C9=0,0,1000000*SER_hh_emi!C9/SER_hh_num!C9)</f>
        <v>115469.86500592071</v>
      </c>
      <c r="D9" s="132">
        <f>IF(SER_hh_emi!D9=0,0,1000000*SER_hh_emi!D9/SER_hh_num!D9)</f>
        <v>87047.448088963109</v>
      </c>
      <c r="E9" s="132">
        <f>IF(SER_hh_emi!E9=0,0,1000000*SER_hh_emi!E9/SER_hh_num!E9)</f>
        <v>92165.383302764327</v>
      </c>
      <c r="F9" s="132">
        <f>IF(SER_hh_emi!F9=0,0,1000000*SER_hh_emi!F9/SER_hh_num!F9)</f>
        <v>54019.060970349725</v>
      </c>
      <c r="G9" s="132">
        <f>IF(SER_hh_emi!G9=0,0,1000000*SER_hh_emi!G9/SER_hh_num!G9)</f>
        <v>131523.59884750939</v>
      </c>
      <c r="H9" s="132">
        <f>IF(SER_hh_emi!H9=0,0,1000000*SER_hh_emi!H9/SER_hh_num!H9)</f>
        <v>120910.08832765385</v>
      </c>
      <c r="I9" s="132">
        <f>IF(SER_hh_emi!I9=0,0,1000000*SER_hh_emi!I9/SER_hh_num!I9)</f>
        <v>104872.03189253419</v>
      </c>
      <c r="J9" s="132">
        <f>IF(SER_hh_emi!J9=0,0,1000000*SER_hh_emi!J9/SER_hh_num!J9)</f>
        <v>109218.64181346288</v>
      </c>
      <c r="K9" s="132">
        <f>IF(SER_hh_emi!K9=0,0,1000000*SER_hh_emi!K9/SER_hh_num!K9)</f>
        <v>77303.14302197448</v>
      </c>
      <c r="L9" s="132">
        <f>IF(SER_hh_emi!L9=0,0,1000000*SER_hh_emi!L9/SER_hh_num!L9)</f>
        <v>124964.59405709272</v>
      </c>
      <c r="M9" s="132">
        <f>IF(SER_hh_emi!M9=0,0,1000000*SER_hh_emi!M9/SER_hh_num!M9)</f>
        <v>45896.573103841009</v>
      </c>
      <c r="N9" s="132">
        <f>IF(SER_hh_emi!N9=0,0,1000000*SER_hh_emi!N9/SER_hh_num!N9)</f>
        <v>73614.298719564162</v>
      </c>
      <c r="O9" s="132">
        <f>IF(SER_hh_emi!O9=0,0,1000000*SER_hh_emi!O9/SER_hh_num!O9)</f>
        <v>84999.347112820498</v>
      </c>
      <c r="P9" s="132">
        <f>IF(SER_hh_emi!P9=0,0,1000000*SER_hh_emi!P9/SER_hh_num!P9)</f>
        <v>47372.19083646388</v>
      </c>
      <c r="Q9" s="132">
        <f>IF(SER_hh_emi!Q9=0,0,1000000*SER_hh_emi!Q9/SER_hh_num!Q9)</f>
        <v>51165.189155610497</v>
      </c>
      <c r="R9" s="132">
        <f>IF(SER_hh_emi!R9=0,0,1000000*SER_hh_emi!R9/SER_hh_num!R9)</f>
        <v>49797.617182741742</v>
      </c>
      <c r="S9" s="132">
        <f>IF(SER_hh_emi!S9=0,0,1000000*SER_hh_emi!S9/SER_hh_num!S9)</f>
        <v>55936.18868658851</v>
      </c>
      <c r="T9" s="132">
        <f>IF(SER_hh_emi!T9=0,0,1000000*SER_hh_emi!T9/SER_hh_num!T9)</f>
        <v>47985.437505142967</v>
      </c>
      <c r="U9" s="132">
        <f>IF(SER_hh_emi!U9=0,0,1000000*SER_hh_emi!U9/SER_hh_num!U9)</f>
        <v>37576.002941598315</v>
      </c>
      <c r="V9" s="132">
        <f>IF(SER_hh_emi!V9=0,0,1000000*SER_hh_emi!V9/SER_hh_num!V9)</f>
        <v>33477.541990646365</v>
      </c>
      <c r="W9" s="132">
        <f>IF(SER_hh_emi!W9=0,0,1000000*SER_hh_emi!W9/SER_hh_num!W9)</f>
        <v>48423.78296291834</v>
      </c>
      <c r="X9" s="132">
        <f>IF(SER_hh_emi!X9=0,0,1000000*SER_hh_emi!X9/SER_hh_num!X9)</f>
        <v>42356.640271462857</v>
      </c>
      <c r="Y9" s="132">
        <f>IF(SER_hh_emi!Y9=0,0,1000000*SER_hh_emi!Y9/SER_hh_num!Y9)</f>
        <v>33124.424237732426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4643.5789158733178</v>
      </c>
      <c r="C10" s="132">
        <f>IF(SER_hh_emi!C10=0,0,1000000*SER_hh_emi!C10/SER_hh_num!C10)</f>
        <v>142555.15376582768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76693.456232805474</v>
      </c>
      <c r="K10" s="132">
        <f>IF(SER_hh_emi!K10=0,0,1000000*SER_hh_emi!K10/SER_hh_num!K10)</f>
        <v>94265.045045006511</v>
      </c>
      <c r="L10" s="132">
        <f>IF(SER_hh_emi!L10=0,0,1000000*SER_hh_emi!L10/SER_hh_num!L10)</f>
        <v>87580.163803277901</v>
      </c>
      <c r="M10" s="132">
        <f>IF(SER_hh_emi!M10=0,0,1000000*SER_hh_emi!M10/SER_hh_num!M10)</f>
        <v>52074.225457248896</v>
      </c>
      <c r="N10" s="132">
        <f>IF(SER_hh_emi!N10=0,0,1000000*SER_hh_emi!N10/SER_hh_num!N10)</f>
        <v>77978.245363929789</v>
      </c>
      <c r="O10" s="132">
        <f>IF(SER_hh_emi!O10=0,0,1000000*SER_hh_emi!O10/SER_hh_num!O10)</f>
        <v>16259.855745102377</v>
      </c>
      <c r="P10" s="132">
        <f>IF(SER_hh_emi!P10=0,0,1000000*SER_hh_emi!P10/SER_hh_num!P10)</f>
        <v>133374.23361619929</v>
      </c>
      <c r="Q10" s="132">
        <f>IF(SER_hh_emi!Q10=0,0,1000000*SER_hh_emi!Q10/SER_hh_num!Q10)</f>
        <v>73184.905624578008</v>
      </c>
      <c r="R10" s="132">
        <f>IF(SER_hh_emi!R10=0,0,1000000*SER_hh_emi!R10/SER_hh_num!R10)</f>
        <v>9237.9360425476261</v>
      </c>
      <c r="S10" s="132">
        <f>IF(SER_hh_emi!S10=0,0,1000000*SER_hh_emi!S10/SER_hh_num!S10)</f>
        <v>42883.165217002352</v>
      </c>
      <c r="T10" s="132">
        <f>IF(SER_hh_emi!T10=0,0,1000000*SER_hh_emi!T10/SER_hh_num!T10)</f>
        <v>732.51927085491434</v>
      </c>
      <c r="U10" s="132">
        <f>IF(SER_hh_emi!U10=0,0,1000000*SER_hh_emi!U10/SER_hh_num!U10)</f>
        <v>33109.795212755525</v>
      </c>
      <c r="V10" s="132">
        <f>IF(SER_hh_emi!V10=0,0,1000000*SER_hh_emi!V10/SER_hh_num!V10)</f>
        <v>33769.784699867167</v>
      </c>
      <c r="W10" s="132">
        <f>IF(SER_hh_emi!W10=0,0,1000000*SER_hh_emi!W10/SER_hh_num!W10)</f>
        <v>37586.898082857806</v>
      </c>
      <c r="X10" s="132">
        <f>IF(SER_hh_emi!X10=0,0,1000000*SER_hh_emi!X10/SER_hh_num!X10)</f>
        <v>21999.05414440668</v>
      </c>
      <c r="Y10" s="132">
        <f>IF(SER_hh_emi!Y10=0,0,1000000*SER_hh_emi!Y10/SER_hh_num!Y10)</f>
        <v>36250.291734149861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8.9203961252103365</v>
      </c>
      <c r="C16" s="130">
        <f>IF(SER_hh_emi!C16=0,0,1000000*SER_hh_emi!C16/SER_hh_num!C16)</f>
        <v>13.206721758403537</v>
      </c>
      <c r="D16" s="130">
        <f>IF(SER_hh_emi!D16=0,0,1000000*SER_hh_emi!D16/SER_hh_num!D16)</f>
        <v>10.720481146031378</v>
      </c>
      <c r="E16" s="130">
        <f>IF(SER_hh_emi!E16=0,0,1000000*SER_hh_emi!E16/SER_hh_num!E16)</f>
        <v>3.8804055818779823</v>
      </c>
      <c r="F16" s="130">
        <f>IF(SER_hh_emi!F16=0,0,1000000*SER_hh_emi!F16/SER_hh_num!F16)</f>
        <v>10.447619224062484</v>
      </c>
      <c r="G16" s="130">
        <f>IF(SER_hh_emi!G16=0,0,1000000*SER_hh_emi!G16/SER_hh_num!G16)</f>
        <v>14.753029634978867</v>
      </c>
      <c r="H16" s="130">
        <f>IF(SER_hh_emi!H16=0,0,1000000*SER_hh_emi!H16/SER_hh_num!H16)</f>
        <v>16.453495234427479</v>
      </c>
      <c r="I16" s="130">
        <f>IF(SER_hh_emi!I16=0,0,1000000*SER_hh_emi!I16/SER_hh_num!I16)</f>
        <v>16.163790222834386</v>
      </c>
      <c r="J16" s="130">
        <f>IF(SER_hh_emi!J16=0,0,1000000*SER_hh_emi!J16/SER_hh_num!J16)</f>
        <v>16.158098914068752</v>
      </c>
      <c r="K16" s="130">
        <f>IF(SER_hh_emi!K16=0,0,1000000*SER_hh_emi!K16/SER_hh_num!K16)</f>
        <v>15.586497832323902</v>
      </c>
      <c r="L16" s="130">
        <f>IF(SER_hh_emi!L16=0,0,1000000*SER_hh_emi!L16/SER_hh_num!L16)</f>
        <v>16.582299221361676</v>
      </c>
      <c r="M16" s="130">
        <f>IF(SER_hh_emi!M16=0,0,1000000*SER_hh_emi!M16/SER_hh_num!M16)</f>
        <v>17.347259023954361</v>
      </c>
      <c r="N16" s="130">
        <f>IF(SER_hh_emi!N16=0,0,1000000*SER_hh_emi!N16/SER_hh_num!N16)</f>
        <v>19.515632274938504</v>
      </c>
      <c r="O16" s="130">
        <f>IF(SER_hh_emi!O16=0,0,1000000*SER_hh_emi!O16/SER_hh_num!O16)</f>
        <v>23.755652358532295</v>
      </c>
      <c r="P16" s="130">
        <f>IF(SER_hh_emi!P16=0,0,1000000*SER_hh_emi!P16/SER_hh_num!P16)</f>
        <v>30.422647430305631</v>
      </c>
      <c r="Q16" s="130">
        <f>IF(SER_hh_emi!Q16=0,0,1000000*SER_hh_emi!Q16/SER_hh_num!Q16)</f>
        <v>40.279045013070679</v>
      </c>
      <c r="R16" s="130">
        <f>IF(SER_hh_emi!R16=0,0,1000000*SER_hh_emi!R16/SER_hh_num!R16)</f>
        <v>50.696907148363614</v>
      </c>
      <c r="S16" s="130">
        <f>IF(SER_hh_emi!S16=0,0,1000000*SER_hh_emi!S16/SER_hh_num!S16)</f>
        <v>59.2617941391172</v>
      </c>
      <c r="T16" s="130">
        <f>IF(SER_hh_emi!T16=0,0,1000000*SER_hh_emi!T16/SER_hh_num!T16)</f>
        <v>65.940550102836582</v>
      </c>
      <c r="U16" s="130">
        <f>IF(SER_hh_emi!U16=0,0,1000000*SER_hh_emi!U16/SER_hh_num!U16)</f>
        <v>70.958695771838563</v>
      </c>
      <c r="V16" s="130">
        <f>IF(SER_hh_emi!V16=0,0,1000000*SER_hh_emi!V16/SER_hh_num!V16)</f>
        <v>73.576096375120599</v>
      </c>
      <c r="W16" s="130">
        <f>IF(SER_hh_emi!W16=0,0,1000000*SER_hh_emi!W16/SER_hh_num!W16)</f>
        <v>76.419337714072384</v>
      </c>
      <c r="X16" s="130">
        <f>IF(SER_hh_emi!X16=0,0,1000000*SER_hh_emi!X16/SER_hh_num!X16)</f>
        <v>83.438708448686398</v>
      </c>
      <c r="Y16" s="130">
        <f>IF(SER_hh_emi!Y16=0,0,1000000*SER_hh_emi!Y16/SER_hh_num!Y16)</f>
        <v>80.369073235204368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5215.5510418543208</v>
      </c>
      <c r="C17" s="132">
        <f>IF(SER_hh_emi!C17=0,0,1000000*SER_hh_emi!C17/SER_hh_num!C17)</f>
        <v>4893.5546238135885</v>
      </c>
      <c r="D17" s="132">
        <f>IF(SER_hh_emi!D17=0,0,1000000*SER_hh_emi!D17/SER_hh_num!D17)</f>
        <v>4973.2328226450536</v>
      </c>
      <c r="E17" s="132">
        <f>IF(SER_hh_emi!E17=0,0,1000000*SER_hh_emi!E17/SER_hh_num!E17)</f>
        <v>1367.6658099437348</v>
      </c>
      <c r="F17" s="132">
        <f>IF(SER_hh_emi!F17=0,0,1000000*SER_hh_emi!F17/SER_hh_num!F17)</f>
        <v>4668.5826766879445</v>
      </c>
      <c r="G17" s="132">
        <f>IF(SER_hh_emi!G17=0,0,1000000*SER_hh_emi!G17/SER_hh_num!G17)</f>
        <v>4651.9848978086457</v>
      </c>
      <c r="H17" s="132">
        <f>IF(SER_hh_emi!H17=0,0,1000000*SER_hh_emi!H17/SER_hh_num!H17)</f>
        <v>4697.2458332999895</v>
      </c>
      <c r="I17" s="132">
        <f>IF(SER_hh_emi!I17=0,0,1000000*SER_hh_emi!I17/SER_hh_num!I17)</f>
        <v>4834.2319137835011</v>
      </c>
      <c r="J17" s="132">
        <f>IF(SER_hh_emi!J17=0,0,1000000*SER_hh_emi!J17/SER_hh_num!J17)</f>
        <v>4452.1127542841132</v>
      </c>
      <c r="K17" s="132">
        <f>IF(SER_hh_emi!K17=0,0,1000000*SER_hh_emi!K17/SER_hh_num!K17)</f>
        <v>4414.4735297417792</v>
      </c>
      <c r="L17" s="132">
        <f>IF(SER_hh_emi!L17=0,0,1000000*SER_hh_emi!L17/SER_hh_num!L17)</f>
        <v>4571.6670166957538</v>
      </c>
      <c r="M17" s="132">
        <f>IF(SER_hh_emi!M17=0,0,1000000*SER_hh_emi!M17/SER_hh_num!M17)</f>
        <v>4312.9368257298847</v>
      </c>
      <c r="N17" s="132">
        <f>IF(SER_hh_emi!N17=0,0,1000000*SER_hh_emi!N17/SER_hh_num!N17)</f>
        <v>4745.9616588564068</v>
      </c>
      <c r="O17" s="132">
        <f>IF(SER_hh_emi!O17=0,0,1000000*SER_hh_emi!O17/SER_hh_num!O17)</f>
        <v>4540.3149659245628</v>
      </c>
      <c r="P17" s="132">
        <f>IF(SER_hh_emi!P17=0,0,1000000*SER_hh_emi!P17/SER_hh_num!P17)</f>
        <v>4087.9966329853492</v>
      </c>
      <c r="Q17" s="132">
        <f>IF(SER_hh_emi!Q17=0,0,1000000*SER_hh_emi!Q17/SER_hh_num!Q17)</f>
        <v>4631.161430527105</v>
      </c>
      <c r="R17" s="132">
        <f>IF(SER_hh_emi!R17=0,0,1000000*SER_hh_emi!R17/SER_hh_num!R17)</f>
        <v>3949.4435911932078</v>
      </c>
      <c r="S17" s="132">
        <f>IF(SER_hh_emi!S17=0,0,1000000*SER_hh_emi!S17/SER_hh_num!S17)</f>
        <v>4197.8179584746094</v>
      </c>
      <c r="T17" s="132">
        <f>IF(SER_hh_emi!T17=0,0,1000000*SER_hh_emi!T17/SER_hh_num!T17)</f>
        <v>4070.489198343234</v>
      </c>
      <c r="U17" s="132">
        <f>IF(SER_hh_emi!U17=0,0,1000000*SER_hh_emi!U17/SER_hh_num!U17)</f>
        <v>4169.5366661912331</v>
      </c>
      <c r="V17" s="132">
        <f>IF(SER_hh_emi!V17=0,0,1000000*SER_hh_emi!V17/SER_hh_num!V17)</f>
        <v>3962.894847710957</v>
      </c>
      <c r="W17" s="132">
        <f>IF(SER_hh_emi!W17=0,0,1000000*SER_hh_emi!W17/SER_hh_num!W17)</f>
        <v>3862.5998576681068</v>
      </c>
      <c r="X17" s="132">
        <f>IF(SER_hh_emi!X17=0,0,1000000*SER_hh_emi!X17/SER_hh_num!X17)</f>
        <v>4052.3940557037281</v>
      </c>
      <c r="Y17" s="132">
        <f>IF(SER_hh_emi!Y17=0,0,1000000*SER_hh_emi!Y17/SER_hh_num!Y17)</f>
        <v>3776.5742465967155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1552.6535931896167</v>
      </c>
      <c r="C19" s="130">
        <f>IF(SER_hh_emi!C19=0,0,1000000*SER_hh_emi!C19/SER_hh_num!C19)</f>
        <v>2178.8442389337542</v>
      </c>
      <c r="D19" s="130">
        <f>IF(SER_hh_emi!D19=0,0,1000000*SER_hh_emi!D19/SER_hh_num!D19)</f>
        <v>2427.4065566421082</v>
      </c>
      <c r="E19" s="130">
        <f>IF(SER_hh_emi!E19=0,0,1000000*SER_hh_emi!E19/SER_hh_num!E19)</f>
        <v>2116.0446355705285</v>
      </c>
      <c r="F19" s="130">
        <f>IF(SER_hh_emi!F19=0,0,1000000*SER_hh_emi!F19/SER_hh_num!F19)</f>
        <v>2180.7470223714586</v>
      </c>
      <c r="G19" s="130">
        <f>IF(SER_hh_emi!G19=0,0,1000000*SER_hh_emi!G19/SER_hh_num!G19)</f>
        <v>1950.0708015099822</v>
      </c>
      <c r="H19" s="130">
        <f>IF(SER_hh_emi!H19=0,0,1000000*SER_hh_emi!H19/SER_hh_num!H19)</f>
        <v>2263.7434483384959</v>
      </c>
      <c r="I19" s="130">
        <f>IF(SER_hh_emi!I19=0,0,1000000*SER_hh_emi!I19/SER_hh_num!I19)</f>
        <v>2844.3255966106653</v>
      </c>
      <c r="J19" s="130">
        <f>IF(SER_hh_emi!J19=0,0,1000000*SER_hh_emi!J19/SER_hh_num!J19)</f>
        <v>3005.5015483395514</v>
      </c>
      <c r="K19" s="130">
        <f>IF(SER_hh_emi!K19=0,0,1000000*SER_hh_emi!K19/SER_hh_num!K19)</f>
        <v>3124.8275885712769</v>
      </c>
      <c r="L19" s="130">
        <f>IF(SER_hh_emi!L19=0,0,1000000*SER_hh_emi!L19/SER_hh_num!L19)</f>
        <v>3214.8877196056806</v>
      </c>
      <c r="M19" s="130">
        <f>IF(SER_hh_emi!M19=0,0,1000000*SER_hh_emi!M19/SER_hh_num!M19)</f>
        <v>3208.8597504018035</v>
      </c>
      <c r="N19" s="130">
        <f>IF(SER_hh_emi!N19=0,0,1000000*SER_hh_emi!N19/SER_hh_num!N19)</f>
        <v>3825.1393523622482</v>
      </c>
      <c r="O19" s="130">
        <f>IF(SER_hh_emi!O19=0,0,1000000*SER_hh_emi!O19/SER_hh_num!O19)</f>
        <v>4180.6456692670681</v>
      </c>
      <c r="P19" s="130">
        <f>IF(SER_hh_emi!P19=0,0,1000000*SER_hh_emi!P19/SER_hh_num!P19)</f>
        <v>4288.7482741511594</v>
      </c>
      <c r="Q19" s="130">
        <f>IF(SER_hh_emi!Q19=0,0,1000000*SER_hh_emi!Q19/SER_hh_num!Q19)</f>
        <v>4358.3952191618391</v>
      </c>
      <c r="R19" s="130">
        <f>IF(SER_hh_emi!R19=0,0,1000000*SER_hh_emi!R19/SER_hh_num!R19)</f>
        <v>3736.3802842628802</v>
      </c>
      <c r="S19" s="130">
        <f>IF(SER_hh_emi!S19=0,0,1000000*SER_hh_emi!S19/SER_hh_num!S19)</f>
        <v>3535.0337101578871</v>
      </c>
      <c r="T19" s="130">
        <f>IF(SER_hh_emi!T19=0,0,1000000*SER_hh_emi!T19/SER_hh_num!T19)</f>
        <v>3046.7870227249859</v>
      </c>
      <c r="U19" s="130">
        <f>IF(SER_hh_emi!U19=0,0,1000000*SER_hh_emi!U19/SER_hh_num!U19)</f>
        <v>2943.7827272465624</v>
      </c>
      <c r="V19" s="130">
        <f>IF(SER_hh_emi!V19=0,0,1000000*SER_hh_emi!V19/SER_hh_num!V19)</f>
        <v>1649.4013667377387</v>
      </c>
      <c r="W19" s="130">
        <f>IF(SER_hh_emi!W19=0,0,1000000*SER_hh_emi!W19/SER_hh_num!W19)</f>
        <v>2640.9660342380462</v>
      </c>
      <c r="X19" s="130">
        <f>IF(SER_hh_emi!X19=0,0,1000000*SER_hh_emi!X19/SER_hh_num!X19)</f>
        <v>2480.269593844303</v>
      </c>
      <c r="Y19" s="130">
        <f>IF(SER_hh_emi!Y19=0,0,1000000*SER_hh_emi!Y19/SER_hh_num!Y19)</f>
        <v>2308.4296904910298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18894.714730039028</v>
      </c>
      <c r="C20" s="132">
        <f>IF(SER_hh_emi!C20=0,0,1000000*SER_hh_emi!C20/SER_hh_num!C20)</f>
        <v>16797.76284895798</v>
      </c>
      <c r="D20" s="132">
        <f>IF(SER_hh_emi!D20=0,0,1000000*SER_hh_emi!D20/SER_hh_num!D20)</f>
        <v>19664.203451459707</v>
      </c>
      <c r="E20" s="132">
        <f>IF(SER_hh_emi!E20=0,0,1000000*SER_hh_emi!E20/SER_hh_num!E20)</f>
        <v>16653.693912829141</v>
      </c>
      <c r="F20" s="132">
        <f>IF(SER_hh_emi!F20=0,0,1000000*SER_hh_emi!F20/SER_hh_num!F20)</f>
        <v>17700.449079286376</v>
      </c>
      <c r="G20" s="132">
        <f>IF(SER_hh_emi!G20=0,0,1000000*SER_hh_emi!G20/SER_hh_num!G20)</f>
        <v>7642.27352716119</v>
      </c>
      <c r="H20" s="132">
        <f>IF(SER_hh_emi!H20=0,0,1000000*SER_hh_emi!H20/SER_hh_num!H20)</f>
        <v>13310.741285968681</v>
      </c>
      <c r="I20" s="132">
        <f>IF(SER_hh_emi!I20=0,0,1000000*SER_hh_emi!I20/SER_hh_num!I20)</f>
        <v>17339.468080814757</v>
      </c>
      <c r="J20" s="132">
        <f>IF(SER_hh_emi!J20=0,0,1000000*SER_hh_emi!J20/SER_hh_num!J20)</f>
        <v>16331.690999834997</v>
      </c>
      <c r="K20" s="132">
        <f>IF(SER_hh_emi!K20=0,0,1000000*SER_hh_emi!K20/SER_hh_num!K20)</f>
        <v>16512.564885743126</v>
      </c>
      <c r="L20" s="132">
        <f>IF(SER_hh_emi!L20=0,0,1000000*SER_hh_emi!L20/SER_hh_num!L20)</f>
        <v>15008.384226683615</v>
      </c>
      <c r="M20" s="132">
        <f>IF(SER_hh_emi!M20=0,0,1000000*SER_hh_emi!M20/SER_hh_num!M20)</f>
        <v>15343.247860454821</v>
      </c>
      <c r="N20" s="132">
        <f>IF(SER_hh_emi!N20=0,0,1000000*SER_hh_emi!N20/SER_hh_num!N20)</f>
        <v>14945.957036569494</v>
      </c>
      <c r="O20" s="132">
        <f>IF(SER_hh_emi!O20=0,0,1000000*SER_hh_emi!O20/SER_hh_num!O20)</f>
        <v>14651.096865676775</v>
      </c>
      <c r="P20" s="132">
        <f>IF(SER_hh_emi!P20=0,0,1000000*SER_hh_emi!P20/SER_hh_num!P20)</f>
        <v>15524.450108795056</v>
      </c>
      <c r="Q20" s="132">
        <f>IF(SER_hh_emi!Q20=0,0,1000000*SER_hh_emi!Q20/SER_hh_num!Q20)</f>
        <v>18288.85288613776</v>
      </c>
      <c r="R20" s="132">
        <f>IF(SER_hh_emi!R20=0,0,1000000*SER_hh_emi!R20/SER_hh_num!R20)</f>
        <v>10815.171069312952</v>
      </c>
      <c r="S20" s="132">
        <f>IF(SER_hh_emi!S20=0,0,1000000*SER_hh_emi!S20/SER_hh_num!S20)</f>
        <v>13818.030198728522</v>
      </c>
      <c r="T20" s="132">
        <f>IF(SER_hh_emi!T20=0,0,1000000*SER_hh_emi!T20/SER_hh_num!T20)</f>
        <v>14880.524014929068</v>
      </c>
      <c r="U20" s="132">
        <f>IF(SER_hh_emi!U20=0,0,1000000*SER_hh_emi!U20/SER_hh_num!U20)</f>
        <v>21997.938185205629</v>
      </c>
      <c r="V20" s="132">
        <f>IF(SER_hh_emi!V20=0,0,1000000*SER_hh_emi!V20/SER_hh_num!V20)</f>
        <v>10136.386609219637</v>
      </c>
      <c r="W20" s="132">
        <f>IF(SER_hh_emi!W20=0,0,1000000*SER_hh_emi!W20/SER_hh_num!W20)</f>
        <v>16127.944248348706</v>
      </c>
      <c r="X20" s="132">
        <f>IF(SER_hh_emi!X20=0,0,1000000*SER_hh_emi!X20/SER_hh_num!X20)</f>
        <v>13661.867350680188</v>
      </c>
      <c r="Y20" s="132">
        <f>IF(SER_hh_emi!Y20=0,0,1000000*SER_hh_emi!Y20/SER_hh_num!Y20)</f>
        <v>13375.61615401067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0</v>
      </c>
      <c r="C22" s="132">
        <f>IF(SER_hh_emi!C22=0,0,1000000*SER_hh_emi!C22/SER_hh_num!C22)</f>
        <v>0</v>
      </c>
      <c r="D22" s="132">
        <f>IF(SER_hh_emi!D22=0,0,1000000*SER_hh_emi!D22/SER_hh_num!D22)</f>
        <v>0</v>
      </c>
      <c r="E22" s="132">
        <f>IF(SER_hh_emi!E22=0,0,1000000*SER_hh_emi!E22/SER_hh_num!E22)</f>
        <v>0</v>
      </c>
      <c r="F22" s="132">
        <f>IF(SER_hh_emi!F22=0,0,1000000*SER_hh_emi!F22/SER_hh_num!F22)</f>
        <v>0</v>
      </c>
      <c r="G22" s="132">
        <f>IF(SER_hh_emi!G22=0,0,1000000*SER_hh_emi!G22/SER_hh_num!G22)</f>
        <v>0</v>
      </c>
      <c r="H22" s="132">
        <f>IF(SER_hh_emi!H22=0,0,1000000*SER_hh_emi!H22/SER_hh_num!H22)</f>
        <v>0</v>
      </c>
      <c r="I22" s="132">
        <f>IF(SER_hh_emi!I22=0,0,1000000*SER_hh_emi!I22/SER_hh_num!I22)</f>
        <v>0</v>
      </c>
      <c r="J22" s="132">
        <f>IF(SER_hh_emi!J22=0,0,1000000*SER_hh_emi!J22/SER_hh_num!J22)</f>
        <v>0</v>
      </c>
      <c r="K22" s="132">
        <f>IF(SER_hh_emi!K22=0,0,1000000*SER_hh_emi!K22/SER_hh_num!K22)</f>
        <v>0</v>
      </c>
      <c r="L22" s="132">
        <f>IF(SER_hh_emi!L22=0,0,1000000*SER_hh_emi!L22/SER_hh_num!L22)</f>
        <v>0</v>
      </c>
      <c r="M22" s="132">
        <f>IF(SER_hh_emi!M22=0,0,1000000*SER_hh_emi!M22/SER_hh_num!M22)</f>
        <v>0</v>
      </c>
      <c r="N22" s="132">
        <f>IF(SER_hh_emi!N22=0,0,1000000*SER_hh_emi!N22/SER_hh_num!N22)</f>
        <v>0</v>
      </c>
      <c r="O22" s="132">
        <f>IF(SER_hh_emi!O22=0,0,1000000*SER_hh_emi!O22/SER_hh_num!O22)</f>
        <v>0</v>
      </c>
      <c r="P22" s="132">
        <f>IF(SER_hh_emi!P22=0,0,1000000*SER_hh_emi!P22/SER_hh_num!P22)</f>
        <v>0</v>
      </c>
      <c r="Q22" s="132">
        <f>IF(SER_hh_emi!Q22=0,0,1000000*SER_hh_emi!Q22/SER_hh_num!Q22)</f>
        <v>0</v>
      </c>
      <c r="R22" s="132">
        <f>IF(SER_hh_emi!R22=0,0,1000000*SER_hh_emi!R22/SER_hh_num!R22)</f>
        <v>0</v>
      </c>
      <c r="S22" s="132">
        <f>IF(SER_hh_emi!S22=0,0,1000000*SER_hh_emi!S22/SER_hh_num!S22)</f>
        <v>0</v>
      </c>
      <c r="T22" s="132">
        <f>IF(SER_hh_emi!T22=0,0,1000000*SER_hh_emi!T22/SER_hh_num!T22)</f>
        <v>0</v>
      </c>
      <c r="U22" s="132">
        <f>IF(SER_hh_emi!U22=0,0,1000000*SER_hh_emi!U22/SER_hh_num!U22)</f>
        <v>0</v>
      </c>
      <c r="V22" s="132">
        <f>IF(SER_hh_emi!V22=0,0,1000000*SER_hh_emi!V22/SER_hh_num!V22)</f>
        <v>0</v>
      </c>
      <c r="W22" s="132">
        <f>IF(SER_hh_emi!W22=0,0,1000000*SER_hh_emi!W22/SER_hh_num!W22)</f>
        <v>0</v>
      </c>
      <c r="X22" s="132">
        <f>IF(SER_hh_emi!X22=0,0,1000000*SER_hh_emi!X22/SER_hh_num!X22)</f>
        <v>0</v>
      </c>
      <c r="Y22" s="132">
        <f>IF(SER_hh_emi!Y22=0,0,1000000*SER_hh_emi!Y22/SER_hh_num!Y22)</f>
        <v>0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6734.9609674675494</v>
      </c>
      <c r="C23" s="132">
        <f>IF(SER_hh_emi!C23=0,0,1000000*SER_hh_emi!C23/SER_hh_num!C23)</f>
        <v>10541.691462710569</v>
      </c>
      <c r="D23" s="132">
        <f>IF(SER_hh_emi!D23=0,0,1000000*SER_hh_emi!D23/SER_hh_num!D23)</f>
        <v>10422.097397541609</v>
      </c>
      <c r="E23" s="132">
        <f>IF(SER_hh_emi!E23=0,0,1000000*SER_hh_emi!E23/SER_hh_num!E23)</f>
        <v>9316.6924488734785</v>
      </c>
      <c r="F23" s="132">
        <f>IF(SER_hh_emi!F23=0,0,1000000*SER_hh_emi!F23/SER_hh_num!F23)</f>
        <v>9560.0617125015906</v>
      </c>
      <c r="G23" s="132">
        <f>IF(SER_hh_emi!G23=0,0,1000000*SER_hh_emi!G23/SER_hh_num!G23)</f>
        <v>9274.3444282552355</v>
      </c>
      <c r="H23" s="132">
        <f>IF(SER_hh_emi!H23=0,0,1000000*SER_hh_emi!H23/SER_hh_num!H23)</f>
        <v>9134.9479127690047</v>
      </c>
      <c r="I23" s="132">
        <f>IF(SER_hh_emi!I23=0,0,1000000*SER_hh_emi!I23/SER_hh_num!I23)</f>
        <v>9680.9844986844419</v>
      </c>
      <c r="J23" s="132">
        <f>IF(SER_hh_emi!J23=0,0,1000000*SER_hh_emi!J23/SER_hh_num!J23)</f>
        <v>9392.8105374412116</v>
      </c>
      <c r="K23" s="132">
        <f>IF(SER_hh_emi!K23=0,0,1000000*SER_hh_emi!K23/SER_hh_num!K23)</f>
        <v>8911.2527728957994</v>
      </c>
      <c r="L23" s="132">
        <f>IF(SER_hh_emi!L23=0,0,1000000*SER_hh_emi!L23/SER_hh_num!L23)</f>
        <v>9168.6879329814947</v>
      </c>
      <c r="M23" s="132">
        <f>IF(SER_hh_emi!M23=0,0,1000000*SER_hh_emi!M23/SER_hh_num!M23)</f>
        <v>8185.8607787147348</v>
      </c>
      <c r="N23" s="132">
        <f>IF(SER_hh_emi!N23=0,0,1000000*SER_hh_emi!N23/SER_hh_num!N23)</f>
        <v>9184.9982857983796</v>
      </c>
      <c r="O23" s="132">
        <f>IF(SER_hh_emi!O23=0,0,1000000*SER_hh_emi!O23/SER_hh_num!O23)</f>
        <v>9309.0134712397903</v>
      </c>
      <c r="P23" s="132">
        <f>IF(SER_hh_emi!P23=0,0,1000000*SER_hh_emi!P23/SER_hh_num!P23)</f>
        <v>9302.4039885742186</v>
      </c>
      <c r="Q23" s="132">
        <f>IF(SER_hh_emi!Q23=0,0,1000000*SER_hh_emi!Q23/SER_hh_num!Q23)</f>
        <v>9236.6896910772357</v>
      </c>
      <c r="R23" s="132">
        <f>IF(SER_hh_emi!R23=0,0,1000000*SER_hh_emi!R23/SER_hh_num!R23)</f>
        <v>9307.5019973918243</v>
      </c>
      <c r="S23" s="132">
        <f>IF(SER_hh_emi!S23=0,0,1000000*SER_hh_emi!S23/SER_hh_num!S23)</f>
        <v>8829.9463957352127</v>
      </c>
      <c r="T23" s="132">
        <f>IF(SER_hh_emi!T23=0,0,1000000*SER_hh_emi!T23/SER_hh_num!T23)</f>
        <v>8362.4679202042207</v>
      </c>
      <c r="U23" s="132">
        <f>IF(SER_hh_emi!U23=0,0,1000000*SER_hh_emi!U23/SER_hh_num!U23)</f>
        <v>7570.1680389813373</v>
      </c>
      <c r="V23" s="132">
        <f>IF(SER_hh_emi!V23=0,0,1000000*SER_hh_emi!V23/SER_hh_num!V23)</f>
        <v>5099.2695551395082</v>
      </c>
      <c r="W23" s="132">
        <f>IF(SER_hh_emi!W23=0,0,1000000*SER_hh_emi!W23/SER_hh_num!W23)</f>
        <v>8591.8081673682682</v>
      </c>
      <c r="X23" s="132">
        <f>IF(SER_hh_emi!X23=0,0,1000000*SER_hh_emi!X23/SER_hh_num!X23)</f>
        <v>8279.2652716928387</v>
      </c>
      <c r="Y23" s="132">
        <f>IF(SER_hh_emi!Y23=0,0,1000000*SER_hh_emi!Y23/SER_hh_num!Y23)</f>
        <v>7607.7427997404675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4623.2171029906722</v>
      </c>
      <c r="C29" s="130">
        <f>IF(SER_hh_emi!C29=0,0,1000000*SER_hh_emi!C29/SER_hh_num!C29)</f>
        <v>5368.8964481858711</v>
      </c>
      <c r="D29" s="130">
        <f>IF(SER_hh_emi!D29=0,0,1000000*SER_hh_emi!D29/SER_hh_num!D29)</f>
        <v>6837.8761363572003</v>
      </c>
      <c r="E29" s="130">
        <f>IF(SER_hh_emi!E29=0,0,1000000*SER_hh_emi!E29/SER_hh_num!E29)</f>
        <v>6671.5450396954957</v>
      </c>
      <c r="F29" s="130">
        <f>IF(SER_hh_emi!F29=0,0,1000000*SER_hh_emi!F29/SER_hh_num!F29)</f>
        <v>6202.5949107890365</v>
      </c>
      <c r="G29" s="130">
        <f>IF(SER_hh_emi!G29=0,0,1000000*SER_hh_emi!G29/SER_hh_num!G29)</f>
        <v>5813.7577161810113</v>
      </c>
      <c r="H29" s="130">
        <f>IF(SER_hh_emi!H29=0,0,1000000*SER_hh_emi!H29/SER_hh_num!H29)</f>
        <v>5492.9764848530549</v>
      </c>
      <c r="I29" s="130">
        <f>IF(SER_hh_emi!I29=0,0,1000000*SER_hh_emi!I29/SER_hh_num!I29)</f>
        <v>4091.4296680267121</v>
      </c>
      <c r="J29" s="130">
        <f>IF(SER_hh_emi!J29=0,0,1000000*SER_hh_emi!J29/SER_hh_num!J29)</f>
        <v>3496.518910635175</v>
      </c>
      <c r="K29" s="130">
        <f>IF(SER_hh_emi!K29=0,0,1000000*SER_hh_emi!K29/SER_hh_num!K29)</f>
        <v>3965.1488461365934</v>
      </c>
      <c r="L29" s="130">
        <f>IF(SER_hh_emi!L29=0,0,1000000*SER_hh_emi!L29/SER_hh_num!L29)</f>
        <v>4392.1895392275446</v>
      </c>
      <c r="M29" s="130">
        <f>IF(SER_hh_emi!M29=0,0,1000000*SER_hh_emi!M29/SER_hh_num!M29)</f>
        <v>2777.7254517121064</v>
      </c>
      <c r="N29" s="130">
        <f>IF(SER_hh_emi!N29=0,0,1000000*SER_hh_emi!N29/SER_hh_num!N29)</f>
        <v>3740.5575422640286</v>
      </c>
      <c r="O29" s="130">
        <f>IF(SER_hh_emi!O29=0,0,1000000*SER_hh_emi!O29/SER_hh_num!O29)</f>
        <v>4252.196716360696</v>
      </c>
      <c r="P29" s="130">
        <f>IF(SER_hh_emi!P29=0,0,1000000*SER_hh_emi!P29/SER_hh_num!P29)</f>
        <v>4307.212539634842</v>
      </c>
      <c r="Q29" s="130">
        <f>IF(SER_hh_emi!Q29=0,0,1000000*SER_hh_emi!Q29/SER_hh_num!Q29)</f>
        <v>4438.2098659963185</v>
      </c>
      <c r="R29" s="130">
        <f>IF(SER_hh_emi!R29=0,0,1000000*SER_hh_emi!R29/SER_hh_num!R29)</f>
        <v>4308.1802643738902</v>
      </c>
      <c r="S29" s="130">
        <f>IF(SER_hh_emi!S29=0,0,1000000*SER_hh_emi!S29/SER_hh_num!S29)</f>
        <v>3756.9298237381681</v>
      </c>
      <c r="T29" s="130">
        <f>IF(SER_hh_emi!T29=0,0,1000000*SER_hh_emi!T29/SER_hh_num!T29)</f>
        <v>3356.4591668329608</v>
      </c>
      <c r="U29" s="130">
        <f>IF(SER_hh_emi!U29=0,0,1000000*SER_hh_emi!U29/SER_hh_num!U29)</f>
        <v>2734.6237581683349</v>
      </c>
      <c r="V29" s="130">
        <f>IF(SER_hh_emi!V29=0,0,1000000*SER_hh_emi!V29/SER_hh_num!V29)</f>
        <v>2384.2222785821646</v>
      </c>
      <c r="W29" s="130">
        <f>IF(SER_hh_emi!W29=0,0,1000000*SER_hh_emi!W29/SER_hh_num!W29)</f>
        <v>3676.5457108804349</v>
      </c>
      <c r="X29" s="130">
        <f>IF(SER_hh_emi!X29=0,0,1000000*SER_hh_emi!X29/SER_hh_num!X29)</f>
        <v>3641.8385816256928</v>
      </c>
      <c r="Y29" s="130">
        <f>IF(SER_hh_emi!Y29=0,0,1000000*SER_hh_emi!Y29/SER_hh_num!Y29)</f>
        <v>3231.2387430312942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4408.6695001545904</v>
      </c>
      <c r="C30" s="132">
        <f>IF(SER_hh_emi!C30=0,0,1000000*SER_hh_emi!C30/SER_hh_num!C30)</f>
        <v>7076.2461693141922</v>
      </c>
      <c r="D30" s="132">
        <f>IF(SER_hh_emi!D30=0,0,1000000*SER_hh_emi!D30/SER_hh_num!D30)</f>
        <v>11347.923946482641</v>
      </c>
      <c r="E30" s="132">
        <f>IF(SER_hh_emi!E30=0,0,1000000*SER_hh_emi!E30/SER_hh_num!E30)</f>
        <v>11700.402056121628</v>
      </c>
      <c r="F30" s="132">
        <f>IF(SER_hh_emi!F30=0,0,1000000*SER_hh_emi!F30/SER_hh_num!F30)</f>
        <v>12655.938565429722</v>
      </c>
      <c r="G30" s="132">
        <f>IF(SER_hh_emi!G30=0,0,1000000*SER_hh_emi!G30/SER_hh_num!G30)</f>
        <v>9917.710534564405</v>
      </c>
      <c r="H30" s="132">
        <f>IF(SER_hh_emi!H30=0,0,1000000*SER_hh_emi!H30/SER_hh_num!H30)</f>
        <v>11579.904054549141</v>
      </c>
      <c r="I30" s="132">
        <f>IF(SER_hh_emi!I30=0,0,1000000*SER_hh_emi!I30/SER_hh_num!I30)</f>
        <v>6397.7796695922862</v>
      </c>
      <c r="J30" s="132">
        <f>IF(SER_hh_emi!J30=0,0,1000000*SER_hh_emi!J30/SER_hh_num!J30)</f>
        <v>2261.3251290314479</v>
      </c>
      <c r="K30" s="132">
        <f>IF(SER_hh_emi!K30=0,0,1000000*SER_hh_emi!K30/SER_hh_num!K30)</f>
        <v>10816.091429415712</v>
      </c>
      <c r="L30" s="132">
        <f>IF(SER_hh_emi!L30=0,0,1000000*SER_hh_emi!L30/SER_hh_num!L30)</f>
        <v>18833.828988531535</v>
      </c>
      <c r="M30" s="132">
        <f>IF(SER_hh_emi!M30=0,0,1000000*SER_hh_emi!M30/SER_hh_num!M30)</f>
        <v>2235.0794978103631</v>
      </c>
      <c r="N30" s="132">
        <f>IF(SER_hh_emi!N30=0,0,1000000*SER_hh_emi!N30/SER_hh_num!N30)</f>
        <v>11037.396732511468</v>
      </c>
      <c r="O30" s="132">
        <f>IF(SER_hh_emi!O30=0,0,1000000*SER_hh_emi!O30/SER_hh_num!O30)</f>
        <v>10654.290332524526</v>
      </c>
      <c r="P30" s="132">
        <f>IF(SER_hh_emi!P30=0,0,1000000*SER_hh_emi!P30/SER_hh_num!P30)</f>
        <v>9755.253923783137</v>
      </c>
      <c r="Q30" s="132">
        <f>IF(SER_hh_emi!Q30=0,0,1000000*SER_hh_emi!Q30/SER_hh_num!Q30)</f>
        <v>9261.2867383244757</v>
      </c>
      <c r="R30" s="132">
        <f>IF(SER_hh_emi!R30=0,0,1000000*SER_hh_emi!R30/SER_hh_num!R30)</f>
        <v>9818.4770504941207</v>
      </c>
      <c r="S30" s="132">
        <f>IF(SER_hh_emi!S30=0,0,1000000*SER_hh_emi!S30/SER_hh_num!S30)</f>
        <v>6606.5884595966136</v>
      </c>
      <c r="T30" s="132">
        <f>IF(SER_hh_emi!T30=0,0,1000000*SER_hh_emi!T30/SER_hh_num!T30)</f>
        <v>10091.97065433786</v>
      </c>
      <c r="U30" s="132">
        <f>IF(SER_hh_emi!U30=0,0,1000000*SER_hh_emi!U30/SER_hh_num!U30)</f>
        <v>9201.0193512599963</v>
      </c>
      <c r="V30" s="132">
        <f>IF(SER_hh_emi!V30=0,0,1000000*SER_hh_emi!V30/SER_hh_num!V30)</f>
        <v>6681.6544799479279</v>
      </c>
      <c r="W30" s="132">
        <f>IF(SER_hh_emi!W30=0,0,1000000*SER_hh_emi!W30/SER_hh_num!W30)</f>
        <v>7017.857759196866</v>
      </c>
      <c r="X30" s="132">
        <f>IF(SER_hh_emi!X30=0,0,1000000*SER_hh_emi!X30/SER_hh_num!X30)</f>
        <v>11814.448486781172</v>
      </c>
      <c r="Y30" s="132">
        <f>IF(SER_hh_emi!Y30=0,0,1000000*SER_hh_emi!Y30/SER_hh_num!Y30)</f>
        <v>6604.8455764436258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8258.9205053118876</v>
      </c>
      <c r="C31" s="132">
        <f>IF(SER_hh_emi!C31=0,0,1000000*SER_hh_emi!C31/SER_hh_num!C31)</f>
        <v>8156.7463432502282</v>
      </c>
      <c r="D31" s="132">
        <f>IF(SER_hh_emi!D31=0,0,1000000*SER_hh_emi!D31/SER_hh_num!D31)</f>
        <v>8633.0927034989691</v>
      </c>
      <c r="E31" s="132">
        <f>IF(SER_hh_emi!E31=0,0,1000000*SER_hh_emi!E31/SER_hh_num!E31)</f>
        <v>8624.9642044791544</v>
      </c>
      <c r="F31" s="132">
        <f>IF(SER_hh_emi!F31=0,0,1000000*SER_hh_emi!F31/SER_hh_num!F31)</f>
        <v>6669.6878136551377</v>
      </c>
      <c r="G31" s="132">
        <f>IF(SER_hh_emi!G31=0,0,1000000*SER_hh_emi!G31/SER_hh_num!G31)</f>
        <v>9045.650464691149</v>
      </c>
      <c r="H31" s="132">
        <f>IF(SER_hh_emi!H31=0,0,1000000*SER_hh_emi!H31/SER_hh_num!H31)</f>
        <v>8974.8548802375408</v>
      </c>
      <c r="I31" s="132">
        <f>IF(SER_hh_emi!I31=0,0,1000000*SER_hh_emi!I31/SER_hh_num!I31)</f>
        <v>8908.2286107455693</v>
      </c>
      <c r="J31" s="132">
        <f>IF(SER_hh_emi!J31=0,0,1000000*SER_hh_emi!J31/SER_hh_num!J31)</f>
        <v>8694.3622246689647</v>
      </c>
      <c r="K31" s="132">
        <f>IF(SER_hh_emi!K31=0,0,1000000*SER_hh_emi!K31/SER_hh_num!K31)</f>
        <v>8492.8855669171971</v>
      </c>
      <c r="L31" s="132">
        <f>IF(SER_hh_emi!L31=0,0,1000000*SER_hh_emi!L31/SER_hh_num!L31)</f>
        <v>8472.9704878367629</v>
      </c>
      <c r="M31" s="132">
        <f>IF(SER_hh_emi!M31=0,0,1000000*SER_hh_emi!M31/SER_hh_num!M31)</f>
        <v>7472.8187472120171</v>
      </c>
      <c r="N31" s="132">
        <f>IF(SER_hh_emi!N31=0,0,1000000*SER_hh_emi!N31/SER_hh_num!N31)</f>
        <v>7855.3851337087053</v>
      </c>
      <c r="O31" s="132">
        <f>IF(SER_hh_emi!O31=0,0,1000000*SER_hh_emi!O31/SER_hh_num!O31)</f>
        <v>8545.4645281794656</v>
      </c>
      <c r="P31" s="132">
        <f>IF(SER_hh_emi!P31=0,0,1000000*SER_hh_emi!P31/SER_hh_num!P31)</f>
        <v>8187.0306824677455</v>
      </c>
      <c r="Q31" s="132">
        <f>IF(SER_hh_emi!Q31=0,0,1000000*SER_hh_emi!Q31/SER_hh_num!Q31)</f>
        <v>8394.6598175812705</v>
      </c>
      <c r="R31" s="132">
        <f>IF(SER_hh_emi!R31=0,0,1000000*SER_hh_emi!R31/SER_hh_num!R31)</f>
        <v>8368.770796468174</v>
      </c>
      <c r="S31" s="132">
        <f>IF(SER_hh_emi!S31=0,0,1000000*SER_hh_emi!S31/SER_hh_num!S31)</f>
        <v>8170.1467311850956</v>
      </c>
      <c r="T31" s="132">
        <f>IF(SER_hh_emi!T31=0,0,1000000*SER_hh_emi!T31/SER_hh_num!T31)</f>
        <v>7419.1084196537195</v>
      </c>
      <c r="U31" s="132">
        <f>IF(SER_hh_emi!U31=0,0,1000000*SER_hh_emi!U31/SER_hh_num!U31)</f>
        <v>6149.4108589938778</v>
      </c>
      <c r="V31" s="132">
        <f>IF(SER_hh_emi!V31=0,0,1000000*SER_hh_emi!V31/SER_hh_num!V31)</f>
        <v>5403.4283115285989</v>
      </c>
      <c r="W31" s="132">
        <f>IF(SER_hh_emi!W31=0,0,1000000*SER_hh_emi!W31/SER_hh_num!W31)</f>
        <v>8645.3463489487513</v>
      </c>
      <c r="X31" s="132">
        <f>IF(SER_hh_emi!X31=0,0,1000000*SER_hh_emi!X31/SER_hh_num!X31)</f>
        <v>8141.6902657937171</v>
      </c>
      <c r="Y31" s="132">
        <f>IF(SER_hh_emi!Y31=0,0,1000000*SER_hh_emi!Y31/SER_hh_num!Y31)</f>
        <v>7377.7397345541185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908.23807867057621</v>
      </c>
      <c r="C3" s="125">
        <f>IF(SER_hh_fech!C3=0,0,SER_hh_fech!C3/SER_summary!C$26)</f>
        <v>675.81401429977916</v>
      </c>
      <c r="D3" s="125">
        <f>IF(SER_hh_fech!D3=0,0,SER_hh_fech!D3/SER_summary!D$26)</f>
        <v>592.25131886669203</v>
      </c>
      <c r="E3" s="125">
        <f>IF(SER_hh_fech!E3=0,0,SER_hh_fech!E3/SER_summary!E$26)</f>
        <v>469.49008054138659</v>
      </c>
      <c r="F3" s="125">
        <f>IF(SER_hh_fech!F3=0,0,SER_hh_fech!F3/SER_summary!F$26)</f>
        <v>511.38217012826965</v>
      </c>
      <c r="G3" s="125">
        <f>IF(SER_hh_fech!G3=0,0,SER_hh_fech!G3/SER_summary!G$26)</f>
        <v>616.17277137600627</v>
      </c>
      <c r="H3" s="125">
        <f>IF(SER_hh_fech!H3=0,0,SER_hh_fech!H3/SER_summary!H$26)</f>
        <v>629.48544695156625</v>
      </c>
      <c r="I3" s="125">
        <f>IF(SER_hh_fech!I3=0,0,SER_hh_fech!I3/SER_summary!I$26)</f>
        <v>589.44278545156897</v>
      </c>
      <c r="J3" s="125">
        <f>IF(SER_hh_fech!J3=0,0,SER_hh_fech!J3/SER_summary!J$26)</f>
        <v>590.63307268912899</v>
      </c>
      <c r="K3" s="125">
        <f>IF(SER_hh_fech!K3=0,0,SER_hh_fech!K3/SER_summary!K$26)</f>
        <v>592.4512491517329</v>
      </c>
      <c r="L3" s="125">
        <f>IF(SER_hh_fech!L3=0,0,SER_hh_fech!L3/SER_summary!L$26)</f>
        <v>631.49435029096333</v>
      </c>
      <c r="M3" s="125">
        <f>IF(SER_hh_fech!M3=0,0,SER_hh_fech!M3/SER_summary!M$26)</f>
        <v>456.5437446887517</v>
      </c>
      <c r="N3" s="125">
        <f>IF(SER_hh_fech!N3=0,0,SER_hh_fech!N3/SER_summary!N$26)</f>
        <v>401.54470477788107</v>
      </c>
      <c r="O3" s="125">
        <f>IF(SER_hh_fech!O3=0,0,SER_hh_fech!O3/SER_summary!O$26)</f>
        <v>481.91438874543144</v>
      </c>
      <c r="P3" s="125">
        <f>IF(SER_hh_fech!P3=0,0,SER_hh_fech!P3/SER_summary!P$26)</f>
        <v>321.61323416913513</v>
      </c>
      <c r="Q3" s="125">
        <f>IF(SER_hh_fech!Q3=0,0,SER_hh_fech!Q3/SER_summary!Q$26)</f>
        <v>336.03538944238545</v>
      </c>
      <c r="R3" s="125">
        <f>IF(SER_hh_fech!R3=0,0,SER_hh_fech!R3/SER_summary!R$26)</f>
        <v>333.9492374270867</v>
      </c>
      <c r="S3" s="125">
        <f>IF(SER_hh_fech!S3=0,0,SER_hh_fech!S3/SER_summary!S$26)</f>
        <v>364.15892806383943</v>
      </c>
      <c r="T3" s="125">
        <f>IF(SER_hh_fech!T3=0,0,SER_hh_fech!T3/SER_summary!T$26)</f>
        <v>323.98834537635616</v>
      </c>
      <c r="U3" s="125">
        <f>IF(SER_hh_fech!U3=0,0,SER_hh_fech!U3/SER_summary!U$26)</f>
        <v>288.27036202988421</v>
      </c>
      <c r="V3" s="125">
        <f>IF(SER_hh_fech!V3=0,0,SER_hh_fech!V3/SER_summary!V$26)</f>
        <v>249.57877249015962</v>
      </c>
      <c r="W3" s="125">
        <f>IF(SER_hh_fech!W3=0,0,SER_hh_fech!W3/SER_summary!W$26)</f>
        <v>331.56769319411455</v>
      </c>
      <c r="X3" s="125">
        <f>IF(SER_hh_fech!X3=0,0,SER_hh_fech!X3/SER_summary!X$26)</f>
        <v>293.10333004814692</v>
      </c>
      <c r="Y3" s="125">
        <f>IF(SER_hh_fech!Y3=0,0,SER_hh_fech!Y3/SER_summary!Y$26)</f>
        <v>250.64579489679204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821.06361489151982</v>
      </c>
      <c r="C4" s="130">
        <f>IF(SER_hh_fech!C4=0,0,SER_hh_fech!C4/SER_summary!C$26)</f>
        <v>587.72463462161079</v>
      </c>
      <c r="D4" s="130">
        <f>IF(SER_hh_fech!D4=0,0,SER_hh_fech!D4/SER_summary!D$26)</f>
        <v>500.54362850923098</v>
      </c>
      <c r="E4" s="130">
        <f>IF(SER_hh_fech!E4=0,0,SER_hh_fech!E4/SER_summary!E$26)</f>
        <v>377.57348492246496</v>
      </c>
      <c r="F4" s="130">
        <f>IF(SER_hh_fech!F4=0,0,SER_hh_fech!F4/SER_summary!F$26)</f>
        <v>420.25033558559096</v>
      </c>
      <c r="G4" s="130">
        <f>IF(SER_hh_fech!G4=0,0,SER_hh_fech!G4/SER_summary!G$26)</f>
        <v>523.48222412916402</v>
      </c>
      <c r="H4" s="130">
        <f>IF(SER_hh_fech!H4=0,0,SER_hh_fech!H4/SER_summary!H$26)</f>
        <v>537.06692792679144</v>
      </c>
      <c r="I4" s="130">
        <f>IF(SER_hh_fech!I4=0,0,SER_hh_fech!I4/SER_summary!I$26)</f>
        <v>500.46265776498763</v>
      </c>
      <c r="J4" s="130">
        <f>IF(SER_hh_fech!J4=0,0,SER_hh_fech!J4/SER_summary!J$26)</f>
        <v>503.91813092832763</v>
      </c>
      <c r="K4" s="130">
        <f>IF(SER_hh_fech!K4=0,0,SER_hh_fech!K4/SER_summary!K$26)</f>
        <v>503.01264005388504</v>
      </c>
      <c r="L4" s="130">
        <f>IF(SER_hh_fech!L4=0,0,SER_hh_fech!L4/SER_summary!L$26)</f>
        <v>542.01579357086109</v>
      </c>
      <c r="M4" s="130">
        <f>IF(SER_hh_fech!M4=0,0,SER_hh_fech!M4/SER_summary!M$26)</f>
        <v>370.07073435122169</v>
      </c>
      <c r="N4" s="130">
        <f>IF(SER_hh_fech!N4=0,0,SER_hh_fech!N4/SER_summary!N$26)</f>
        <v>313.18056787942561</v>
      </c>
      <c r="O4" s="130">
        <f>IF(SER_hh_fech!O4=0,0,SER_hh_fech!O4/SER_summary!O$26)</f>
        <v>392.98166721996472</v>
      </c>
      <c r="P4" s="130">
        <f>IF(SER_hh_fech!P4=0,0,SER_hh_fech!P4/SER_summary!P$26)</f>
        <v>233.23421240423988</v>
      </c>
      <c r="Q4" s="130">
        <f>IF(SER_hh_fech!Q4=0,0,SER_hh_fech!Q4/SER_summary!Q$26)</f>
        <v>247.15211888112051</v>
      </c>
      <c r="R4" s="130">
        <f>IF(SER_hh_fech!R4=0,0,SER_hh_fech!R4/SER_summary!R$26)</f>
        <v>247.05632150391838</v>
      </c>
      <c r="S4" s="130">
        <f>IF(SER_hh_fech!S4=0,0,SER_hh_fech!S4/SER_summary!S$26)</f>
        <v>278.69674973786073</v>
      </c>
      <c r="T4" s="130">
        <f>IF(SER_hh_fech!T4=0,0,SER_hh_fech!T4/SER_summary!T$26)</f>
        <v>241.51897633057581</v>
      </c>
      <c r="U4" s="130">
        <f>IF(SER_hh_fech!U4=0,0,SER_hh_fech!U4/SER_summary!U$26)</f>
        <v>208.92225431322689</v>
      </c>
      <c r="V4" s="130">
        <f>IF(SER_hh_fech!V4=0,0,SER_hh_fech!V4/SER_summary!V$26)</f>
        <v>179.24632648187131</v>
      </c>
      <c r="W4" s="130">
        <f>IF(SER_hh_fech!W4=0,0,SER_hh_fech!W4/SER_summary!W$26)</f>
        <v>252.79743152435356</v>
      </c>
      <c r="X4" s="130">
        <f>IF(SER_hh_fech!X4=0,0,SER_hh_fech!X4/SER_summary!X$26)</f>
        <v>215.13250104594329</v>
      </c>
      <c r="Y4" s="130">
        <f>IF(SER_hh_fech!Y4=0,0,SER_hh_fech!Y4/SER_summary!Y$26)</f>
        <v>174.62467331305785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698.12602865078168</v>
      </c>
      <c r="C5" s="132">
        <f>IF(SER_hh_fech!C5=0,0,SER_hh_fech!C5/SER_summary!C$26)</f>
        <v>589.19386024905089</v>
      </c>
      <c r="D5" s="132">
        <f>IF(SER_hh_fech!D5=0,0,SER_hh_fech!D5/SER_summary!D$26)</f>
        <v>785.09344958614429</v>
      </c>
      <c r="E5" s="132">
        <f>IF(SER_hh_fech!E5=0,0,SER_hh_fech!E5/SER_summary!E$26)</f>
        <v>188.37120938702185</v>
      </c>
      <c r="F5" s="132">
        <f>IF(SER_hh_fech!F5=0,0,SER_hh_fech!F5/SER_summary!F$26)</f>
        <v>737.82598094944046</v>
      </c>
      <c r="G5" s="132">
        <f>IF(SER_hh_fech!G5=0,0,SER_hh_fech!G5/SER_summary!G$26)</f>
        <v>170.03122691457997</v>
      </c>
      <c r="H5" s="132">
        <f>IF(SER_hh_fech!H5=0,0,SER_hh_fech!H5/SER_summary!H$26)</f>
        <v>396.51343446991808</v>
      </c>
      <c r="I5" s="132">
        <f>IF(SER_hh_fech!I5=0,0,SER_hh_fech!I5/SER_summary!I$26)</f>
        <v>443.08717875312334</v>
      </c>
      <c r="J5" s="132">
        <f>IF(SER_hh_fech!J5=0,0,SER_hh_fech!J5/SER_summary!J$26)</f>
        <v>451.31325230918378</v>
      </c>
      <c r="K5" s="132">
        <f>IF(SER_hh_fech!K5=0,0,SER_hh_fech!K5/SER_summary!K$26)</f>
        <v>808.79727552755014</v>
      </c>
      <c r="L5" s="132">
        <f>IF(SER_hh_fech!L5=0,0,SER_hh_fech!L5/SER_summary!L$26)</f>
        <v>439.6445247547868</v>
      </c>
      <c r="M5" s="132">
        <f>IF(SER_hh_fech!M5=0,0,SER_hh_fech!M5/SER_summary!M$26)</f>
        <v>508.99451438826327</v>
      </c>
      <c r="N5" s="132">
        <f>IF(SER_hh_fech!N5=0,0,SER_hh_fech!N5/SER_summary!N$26)</f>
        <v>187.45752469662995</v>
      </c>
      <c r="O5" s="132">
        <f>IF(SER_hh_fech!O5=0,0,SER_hh_fech!O5/SER_summary!O$26)</f>
        <v>385.94002889315857</v>
      </c>
      <c r="P5" s="132">
        <f>IF(SER_hh_fech!P5=0,0,SER_hh_fech!P5/SER_summary!P$26)</f>
        <v>264.61065398551858</v>
      </c>
      <c r="Q5" s="132">
        <f>IF(SER_hh_fech!Q5=0,0,SER_hh_fech!Q5/SER_summary!Q$26)</f>
        <v>290.77990734469222</v>
      </c>
      <c r="R5" s="132">
        <f>IF(SER_hh_fech!R5=0,0,SER_hh_fech!R5/SER_summary!R$26)</f>
        <v>190.87851502397325</v>
      </c>
      <c r="S5" s="132">
        <f>IF(SER_hh_fech!S5=0,0,SER_hh_fech!S5/SER_summary!S$26)</f>
        <v>236.94680420095591</v>
      </c>
      <c r="T5" s="132">
        <f>IF(SER_hh_fech!T5=0,0,SER_hh_fech!T5/SER_summary!T$26)</f>
        <v>251.87689706514388</v>
      </c>
      <c r="U5" s="132">
        <f>IF(SER_hh_fech!U5=0,0,SER_hh_fech!U5/SER_summary!U$26)</f>
        <v>365.98026829702616</v>
      </c>
      <c r="V5" s="132">
        <f>IF(SER_hh_fech!V5=0,0,SER_hh_fech!V5/SER_summary!V$26)</f>
        <v>157.42361595706348</v>
      </c>
      <c r="W5" s="132">
        <f>IF(SER_hh_fech!W5=0,0,SER_hh_fech!W5/SER_summary!W$26)</f>
        <v>287.72222185936266</v>
      </c>
      <c r="X5" s="132">
        <f>IF(SER_hh_fech!X5=0,0,SER_hh_fech!X5/SER_summary!X$26)</f>
        <v>222.84099409720687</v>
      </c>
      <c r="Y5" s="132">
        <f>IF(SER_hh_fech!Y5=0,0,SER_hh_fech!Y5/SER_summary!Y$26)</f>
        <v>205.92234187169373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120.98586101619341</v>
      </c>
      <c r="C7" s="132">
        <f>IF(SER_hh_fech!C7=0,0,SER_hh_fech!C7/SER_summary!C$26)</f>
        <v>1059.2534823537562</v>
      </c>
      <c r="D7" s="132">
        <f>IF(SER_hh_fech!D7=0,0,SER_hh_fech!D7/SER_summary!D$26)</f>
        <v>751.27795630662354</v>
      </c>
      <c r="E7" s="132">
        <f>IF(SER_hh_fech!E7=0,0,SER_hh_fech!E7/SER_summary!E$26)</f>
        <v>274.75009593325217</v>
      </c>
      <c r="F7" s="132">
        <f>IF(SER_hh_fech!F7=0,0,SER_hh_fech!F7/SER_summary!F$26)</f>
        <v>721.11019672490613</v>
      </c>
      <c r="G7" s="132">
        <f>IF(SER_hh_fech!G7=0,0,SER_hh_fech!G7/SER_summary!G$26)</f>
        <v>849.47852889906653</v>
      </c>
      <c r="H7" s="132">
        <f>IF(SER_hh_fech!H7=0,0,SER_hh_fech!H7/SER_summary!H$26)</f>
        <v>719.38037182636276</v>
      </c>
      <c r="I7" s="132">
        <f>IF(SER_hh_fech!I7=0,0,SER_hh_fech!I7/SER_summary!I$26)</f>
        <v>75.949104656466773</v>
      </c>
      <c r="J7" s="132">
        <f>IF(SER_hh_fech!J7=0,0,SER_hh_fech!J7/SER_summary!J$26)</f>
        <v>468.62436469640579</v>
      </c>
      <c r="K7" s="132">
        <f>IF(SER_hh_fech!K7=0,0,SER_hh_fech!K7/SER_summary!K$26)</f>
        <v>1393.8564721935707</v>
      </c>
      <c r="L7" s="132">
        <f>IF(SER_hh_fech!L7=0,0,SER_hh_fech!L7/SER_summary!L$26)</f>
        <v>0</v>
      </c>
      <c r="M7" s="132">
        <f>IF(SER_hh_fech!M7=0,0,SER_hh_fech!M7/SER_summary!M$26)</f>
        <v>0</v>
      </c>
      <c r="N7" s="132">
        <f>IF(SER_hh_fech!N7=0,0,SER_hh_fech!N7/SER_summary!N$26)</f>
        <v>0</v>
      </c>
      <c r="O7" s="132">
        <f>IF(SER_hh_fech!O7=0,0,SER_hh_fech!O7/SER_summary!O$26)</f>
        <v>121.44523118161403</v>
      </c>
      <c r="P7" s="132">
        <f>IF(SER_hh_fech!P7=0,0,SER_hh_fech!P7/SER_summary!P$26)</f>
        <v>301.25373968299829</v>
      </c>
      <c r="Q7" s="132">
        <f>IF(SER_hh_fech!Q7=0,0,SER_hh_fech!Q7/SER_summary!Q$26)</f>
        <v>305.45646083783942</v>
      </c>
      <c r="R7" s="132">
        <f>IF(SER_hh_fech!R7=0,0,SER_hh_fech!R7/SER_summary!R$26)</f>
        <v>205.04010360732943</v>
      </c>
      <c r="S7" s="132">
        <f>IF(SER_hh_fech!S7=0,0,SER_hh_fech!S7/SER_summary!S$26)</f>
        <v>164.15297523746131</v>
      </c>
      <c r="T7" s="132">
        <f>IF(SER_hh_fech!T7=0,0,SER_hh_fech!T7/SER_summary!T$26)</f>
        <v>114.2994590032303</v>
      </c>
      <c r="U7" s="132">
        <f>IF(SER_hh_fech!U7=0,0,SER_hh_fech!U7/SER_summary!U$26)</f>
        <v>298.2630927532324</v>
      </c>
      <c r="V7" s="132">
        <f>IF(SER_hh_fech!V7=0,0,SER_hh_fech!V7/SER_summary!V$26)</f>
        <v>186.1205239709661</v>
      </c>
      <c r="W7" s="132">
        <f>IF(SER_hh_fech!W7=0,0,SER_hh_fech!W7/SER_summary!W$26)</f>
        <v>208.80641620355715</v>
      </c>
      <c r="X7" s="132">
        <f>IF(SER_hh_fech!X7=0,0,SER_hh_fech!X7/SER_summary!X$26)</f>
        <v>286.76080368735768</v>
      </c>
      <c r="Y7" s="132">
        <f>IF(SER_hh_fech!Y7=0,0,SER_hh_fech!Y7/SER_summary!Y$26)</f>
        <v>160.14235343274126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337.85234336729883</v>
      </c>
      <c r="C8" s="132">
        <f>IF(SER_hh_fech!C8=0,0,SER_hh_fech!C8/SER_summary!C$26)</f>
        <v>295.54229197060977</v>
      </c>
      <c r="D8" s="132">
        <f>IF(SER_hh_fech!D8=0,0,SER_hh_fech!D8/SER_summary!D$26)</f>
        <v>214.26347399243014</v>
      </c>
      <c r="E8" s="132">
        <f>IF(SER_hh_fech!E8=0,0,SER_hh_fech!E8/SER_summary!E$26)</f>
        <v>213.31289789624893</v>
      </c>
      <c r="F8" s="132">
        <f>IF(SER_hh_fech!F8=0,0,SER_hh_fech!F8/SER_summary!F$26)</f>
        <v>223.93981751098138</v>
      </c>
      <c r="G8" s="132">
        <f>IF(SER_hh_fech!G8=0,0,SER_hh_fech!G8/SER_summary!G$26)</f>
        <v>228.39574851232291</v>
      </c>
      <c r="H8" s="132">
        <f>IF(SER_hh_fech!H8=0,0,SER_hh_fech!H8/SER_summary!H$26)</f>
        <v>236.7514713893498</v>
      </c>
      <c r="I8" s="132">
        <f>IF(SER_hh_fech!I8=0,0,SER_hh_fech!I8/SER_summary!I$26)</f>
        <v>224.0691007968739</v>
      </c>
      <c r="J8" s="132">
        <f>IF(SER_hh_fech!J8=0,0,SER_hh_fech!J8/SER_summary!J$26)</f>
        <v>210.92506410935908</v>
      </c>
      <c r="K8" s="132">
        <f>IF(SER_hh_fech!K8=0,0,SER_hh_fech!K8/SER_summary!K$26)</f>
        <v>195.20190243245881</v>
      </c>
      <c r="L8" s="132">
        <f>IF(SER_hh_fech!L8=0,0,SER_hh_fech!L8/SER_summary!L$26)</f>
        <v>163.35852469168964</v>
      </c>
      <c r="M8" s="132">
        <f>IF(SER_hh_fech!M8=0,0,SER_hh_fech!M8/SER_summary!M$26)</f>
        <v>143.56274140076181</v>
      </c>
      <c r="N8" s="132">
        <f>IF(SER_hh_fech!N8=0,0,SER_hh_fech!N8/SER_summary!N$26)</f>
        <v>103.05442735007783</v>
      </c>
      <c r="O8" s="132">
        <f>IF(SER_hh_fech!O8=0,0,SER_hh_fech!O8/SER_summary!O$26)</f>
        <v>105.67663099689658</v>
      </c>
      <c r="P8" s="132">
        <f>IF(SER_hh_fech!P8=0,0,SER_hh_fech!P8/SER_summary!P$26)</f>
        <v>85.780519194577593</v>
      </c>
      <c r="Q8" s="132">
        <f>IF(SER_hh_fech!Q8=0,0,SER_hh_fech!Q8/SER_summary!Q$26)</f>
        <v>88.03495551947762</v>
      </c>
      <c r="R8" s="132">
        <f>IF(SER_hh_fech!R8=0,0,SER_hh_fech!R8/SER_summary!R$26)</f>
        <v>78.086730934083533</v>
      </c>
      <c r="S8" s="132">
        <f>IF(SER_hh_fech!S8=0,0,SER_hh_fech!S8/SER_summary!S$26)</f>
        <v>77.75647560325946</v>
      </c>
      <c r="T8" s="132">
        <f>IF(SER_hh_fech!T8=0,0,SER_hh_fech!T8/SER_summary!T$26)</f>
        <v>71.89889774933684</v>
      </c>
      <c r="U8" s="132">
        <f>IF(SER_hh_fech!U8=0,0,SER_hh_fech!U8/SER_summary!U$26)</f>
        <v>59.438183688360674</v>
      </c>
      <c r="V8" s="132">
        <f>IF(SER_hh_fech!V8=0,0,SER_hh_fech!V8/SER_summary!V$26)</f>
        <v>63.083945959411153</v>
      </c>
      <c r="W8" s="132">
        <f>IF(SER_hh_fech!W8=0,0,SER_hh_fech!W8/SER_summary!W$26)</f>
        <v>65.774247146402132</v>
      </c>
      <c r="X8" s="132">
        <f>IF(SER_hh_fech!X8=0,0,SER_hh_fech!X8/SER_summary!X$26)</f>
        <v>61.7413216663697</v>
      </c>
      <c r="Y8" s="132">
        <f>IF(SER_hh_fech!Y8=0,0,SER_hh_fech!Y8/SER_summary!Y$26)</f>
        <v>59.866518533895601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1094.3707550097454</v>
      </c>
      <c r="C9" s="132">
        <f>IF(SER_hh_fech!C9=0,0,SER_hh_fech!C9/SER_summary!C$26)</f>
        <v>639.85340993176635</v>
      </c>
      <c r="D9" s="132">
        <f>IF(SER_hh_fech!D9=0,0,SER_hh_fech!D9/SER_summary!D$26)</f>
        <v>481.58047241373743</v>
      </c>
      <c r="E9" s="132">
        <f>IF(SER_hh_fech!E9=0,0,SER_hh_fech!E9/SER_summary!E$26)</f>
        <v>508.91408900989381</v>
      </c>
      <c r="F9" s="132">
        <f>IF(SER_hh_fech!F9=0,0,SER_hh_fech!F9/SER_summary!F$26)</f>
        <v>301.55044888580989</v>
      </c>
      <c r="G9" s="132">
        <f>IF(SER_hh_fech!G9=0,0,SER_hh_fech!G9/SER_summary!G$26)</f>
        <v>724.05603623075672</v>
      </c>
      <c r="H9" s="132">
        <f>IF(SER_hh_fech!H9=0,0,SER_hh_fech!H9/SER_summary!H$26)</f>
        <v>668.13835266295621</v>
      </c>
      <c r="I9" s="132">
        <f>IF(SER_hh_fech!I9=0,0,SER_hh_fech!I9/SER_summary!I$26)</f>
        <v>578.13182315419601</v>
      </c>
      <c r="J9" s="132">
        <f>IF(SER_hh_fech!J9=0,0,SER_hh_fech!J9/SER_summary!J$26)</f>
        <v>602.65223768690407</v>
      </c>
      <c r="K9" s="132">
        <f>IF(SER_hh_fech!K9=0,0,SER_hh_fech!K9/SER_summary!K$26)</f>
        <v>431.25184295143765</v>
      </c>
      <c r="L9" s="132">
        <f>IF(SER_hh_fech!L9=0,0,SER_hh_fech!L9/SER_summary!L$26)</f>
        <v>691.1139152068846</v>
      </c>
      <c r="M9" s="132">
        <f>IF(SER_hh_fech!M9=0,0,SER_hh_fech!M9/SER_summary!M$26)</f>
        <v>258.70992044745464</v>
      </c>
      <c r="N9" s="132">
        <f>IF(SER_hh_fech!N9=0,0,SER_hh_fech!N9/SER_summary!N$26)</f>
        <v>412.52186090585059</v>
      </c>
      <c r="O9" s="132">
        <f>IF(SER_hh_fech!O9=0,0,SER_hh_fech!O9/SER_summary!O$26)</f>
        <v>469.64694605546816</v>
      </c>
      <c r="P9" s="132">
        <f>IF(SER_hh_fech!P9=0,0,SER_hh_fech!P9/SER_summary!P$26)</f>
        <v>262.54239044873464</v>
      </c>
      <c r="Q9" s="132">
        <f>IF(SER_hh_fech!Q9=0,0,SER_hh_fech!Q9/SER_summary!Q$26)</f>
        <v>289.27525243802285</v>
      </c>
      <c r="R9" s="132">
        <f>IF(SER_hh_fech!R9=0,0,SER_hh_fech!R9/SER_summary!R$26)</f>
        <v>279.04038133061727</v>
      </c>
      <c r="S9" s="132">
        <f>IF(SER_hh_fech!S9=0,0,SER_hh_fech!S9/SER_summary!S$26)</f>
        <v>312.55128893688766</v>
      </c>
      <c r="T9" s="132">
        <f>IF(SER_hh_fech!T9=0,0,SER_hh_fech!T9/SER_summary!T$26)</f>
        <v>268.61033929293535</v>
      </c>
      <c r="U9" s="132">
        <f>IF(SER_hh_fech!U9=0,0,SER_hh_fech!U9/SER_summary!U$26)</f>
        <v>210.37913011737612</v>
      </c>
      <c r="V9" s="132">
        <f>IF(SER_hh_fech!V9=0,0,SER_hh_fech!V9/SER_summary!V$26)</f>
        <v>187.63271045938856</v>
      </c>
      <c r="W9" s="132">
        <f>IF(SER_hh_fech!W9=0,0,SER_hh_fech!W9/SER_summary!W$26)</f>
        <v>269.60925775383311</v>
      </c>
      <c r="X9" s="132">
        <f>IF(SER_hh_fech!X9=0,0,SER_hh_fech!X9/SER_summary!X$26)</f>
        <v>235.87899572843051</v>
      </c>
      <c r="Y9" s="132">
        <f>IF(SER_hh_fech!Y9=0,0,SER_hh_fech!Y9/SER_summary!Y$26)</f>
        <v>185.42638214599012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10.022401182494425</v>
      </c>
      <c r="C10" s="132">
        <f>IF(SER_hh_fech!C10=0,0,SER_hh_fech!C10/SER_summary!C$26)</f>
        <v>1337.6076030870834</v>
      </c>
      <c r="D10" s="132">
        <f>IF(SER_hh_fech!D10=0,0,SER_hh_fech!D10/SER_summary!D$26)</f>
        <v>459.18219314652538</v>
      </c>
      <c r="E10" s="132">
        <f>IF(SER_hh_fech!E10=0,0,SER_hh_fech!E10/SER_summary!E$26)</f>
        <v>511.13079772994513</v>
      </c>
      <c r="F10" s="132">
        <f>IF(SER_hh_fech!F10=0,0,SER_hh_fech!F10/SER_summary!F$26)</f>
        <v>716.34068541049669</v>
      </c>
      <c r="G10" s="132">
        <f>IF(SER_hh_fech!G10=0,0,SER_hh_fech!G10/SER_summary!G$26)</f>
        <v>336.55390749764791</v>
      </c>
      <c r="H10" s="132">
        <f>IF(SER_hh_fech!H10=0,0,SER_hh_fech!H10/SER_summary!H$26)</f>
        <v>235.75855179890735</v>
      </c>
      <c r="I10" s="132">
        <f>IF(SER_hh_fech!I10=0,0,SER_hh_fech!I10/SER_summary!I$26)</f>
        <v>95.371950999373453</v>
      </c>
      <c r="J10" s="132">
        <f>IF(SER_hh_fech!J10=0,0,SER_hh_fech!J10/SER_summary!J$26)</f>
        <v>698.70035775192559</v>
      </c>
      <c r="K10" s="132">
        <f>IF(SER_hh_fech!K10=0,0,SER_hh_fech!K10/SER_summary!K$26)</f>
        <v>724.45868594402873</v>
      </c>
      <c r="L10" s="132">
        <f>IF(SER_hh_fech!L10=0,0,SER_hh_fech!L10/SER_summary!L$26)</f>
        <v>658.03015025633272</v>
      </c>
      <c r="M10" s="132">
        <f>IF(SER_hh_fech!M10=0,0,SER_hh_fech!M10/SER_summary!M$26)</f>
        <v>338.50234736151066</v>
      </c>
      <c r="N10" s="132">
        <f>IF(SER_hh_fech!N10=0,0,SER_hh_fech!N10/SER_summary!N$26)</f>
        <v>389.04187525723643</v>
      </c>
      <c r="O10" s="132">
        <f>IF(SER_hh_fech!O10=0,0,SER_hh_fech!O10/SER_summary!O$26)</f>
        <v>210.10859035270087</v>
      </c>
      <c r="P10" s="132">
        <f>IF(SER_hh_fech!P10=0,0,SER_hh_fech!P10/SER_summary!P$26)</f>
        <v>524.70841723326737</v>
      </c>
      <c r="Q10" s="132">
        <f>IF(SER_hh_fech!Q10=0,0,SER_hh_fech!Q10/SER_summary!Q$26)</f>
        <v>301.45229886556956</v>
      </c>
      <c r="R10" s="132">
        <f>IF(SER_hh_fech!R10=0,0,SER_hh_fech!R10/SER_summary!R$26)</f>
        <v>108.69182545344701</v>
      </c>
      <c r="S10" s="132">
        <f>IF(SER_hh_fech!S10=0,0,SER_hh_fech!S10/SER_summary!S$26)</f>
        <v>360.83918854051211</v>
      </c>
      <c r="T10" s="132">
        <f>IF(SER_hh_fech!T10=0,0,SER_hh_fech!T10/SER_summary!T$26)</f>
        <v>300.11527903091161</v>
      </c>
      <c r="U10" s="132">
        <f>IF(SER_hh_fech!U10=0,0,SER_hh_fech!U10/SER_summary!U$26)</f>
        <v>276.69872557590429</v>
      </c>
      <c r="V10" s="132">
        <f>IF(SER_hh_fech!V10=0,0,SER_hh_fech!V10/SER_summary!V$26)</f>
        <v>309.73918911668454</v>
      </c>
      <c r="W10" s="132">
        <f>IF(SER_hh_fech!W10=0,0,SER_hh_fech!W10/SER_summary!W$26)</f>
        <v>333.79706460716733</v>
      </c>
      <c r="X10" s="132">
        <f>IF(SER_hh_fech!X10=0,0,SER_hh_fech!X10/SER_summary!X$26)</f>
        <v>227.46366254058651</v>
      </c>
      <c r="Y10" s="132">
        <f>IF(SER_hh_fech!Y10=0,0,SER_hh_fech!Y10/SER_summary!Y$26)</f>
        <v>283.54705308498916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555.98546920135595</v>
      </c>
      <c r="D11" s="132">
        <f>IF(SER_hh_fech!D11=0,0,SER_hh_fech!D11/SER_summary!D$26)</f>
        <v>389.95311665717344</v>
      </c>
      <c r="E11" s="132">
        <f>IF(SER_hh_fech!E11=0,0,SER_hh_fech!E11/SER_summary!E$26)</f>
        <v>344.80048263126452</v>
      </c>
      <c r="F11" s="132">
        <f>IF(SER_hh_fech!F11=0,0,SER_hh_fech!F11/SER_summary!F$26)</f>
        <v>319.49710261106395</v>
      </c>
      <c r="G11" s="132">
        <f>IF(SER_hh_fech!G11=0,0,SER_hh_fech!G11/SER_summary!G$26)</f>
        <v>356.30110655323074</v>
      </c>
      <c r="H11" s="132">
        <f>IF(SER_hh_fech!H11=0,0,SER_hh_fech!H11/SER_summary!H$26)</f>
        <v>420.8526471650116</v>
      </c>
      <c r="I11" s="132">
        <f>IF(SER_hh_fech!I11=0,0,SER_hh_fech!I11/SER_summary!I$26)</f>
        <v>391.81714639231683</v>
      </c>
      <c r="J11" s="132">
        <f>IF(SER_hh_fech!J11=0,0,SER_hh_fech!J11/SER_summary!J$26)</f>
        <v>398.08652259676546</v>
      </c>
      <c r="K11" s="132">
        <f>IF(SER_hh_fech!K11=0,0,SER_hh_fech!K11/SER_summary!K$26)</f>
        <v>393.63146021305027</v>
      </c>
      <c r="L11" s="132">
        <f>IF(SER_hh_fech!L11=0,0,SER_hh_fech!L11/SER_summary!L$26)</f>
        <v>402.42820531173095</v>
      </c>
      <c r="M11" s="132">
        <f>IF(SER_hh_fech!M11=0,0,SER_hh_fech!M11/SER_summary!M$26)</f>
        <v>325.36764095463082</v>
      </c>
      <c r="N11" s="132">
        <f>IF(SER_hh_fech!N11=0,0,SER_hh_fech!N11/SER_summary!N$26)</f>
        <v>254.03901415173488</v>
      </c>
      <c r="O11" s="132">
        <f>IF(SER_hh_fech!O11=0,0,SER_hh_fech!O11/SER_summary!O$26)</f>
        <v>287.76149512680928</v>
      </c>
      <c r="P11" s="132">
        <f>IF(SER_hh_fech!P11=0,0,SER_hh_fech!P11/SER_summary!P$26)</f>
        <v>193.72793780675144</v>
      </c>
      <c r="Q11" s="132">
        <f>IF(SER_hh_fech!Q11=0,0,SER_hh_fech!Q11/SER_summary!Q$26)</f>
        <v>198.74506404859014</v>
      </c>
      <c r="R11" s="132">
        <f>IF(SER_hh_fech!R11=0,0,SER_hh_fech!R11/SER_summary!R$26)</f>
        <v>222.62643325913504</v>
      </c>
      <c r="S11" s="132">
        <f>IF(SER_hh_fech!S11=0,0,SER_hh_fech!S11/SER_summary!S$26)</f>
        <v>220.57205212029231</v>
      </c>
      <c r="T11" s="132">
        <f>IF(SER_hh_fech!T11=0,0,SER_hh_fech!T11/SER_summary!T$26)</f>
        <v>215.51018251415692</v>
      </c>
      <c r="U11" s="132">
        <f>IF(SER_hh_fech!U11=0,0,SER_hh_fech!U11/SER_summary!U$26)</f>
        <v>262.25683518974927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548.99959576677975</v>
      </c>
      <c r="C12" s="132">
        <f>IF(SER_hh_fech!C12=0,0,SER_hh_fech!C12/SER_summary!C$26)</f>
        <v>406.67771081845473</v>
      </c>
      <c r="D12" s="132">
        <f>IF(SER_hh_fech!D12=0,0,SER_hh_fech!D12/SER_summary!D$26)</f>
        <v>397.44674077069169</v>
      </c>
      <c r="E12" s="132">
        <f>IF(SER_hh_fech!E12=0,0,SER_hh_fech!E12/SER_summary!E$26)</f>
        <v>290.62581168364733</v>
      </c>
      <c r="F12" s="132">
        <f>IF(SER_hh_fech!F12=0,0,SER_hh_fech!F12/SER_summary!F$26)</f>
        <v>435.06185339370415</v>
      </c>
      <c r="G12" s="132">
        <f>IF(SER_hh_fech!G12=0,0,SER_hh_fech!G12/SER_summary!G$26)</f>
        <v>384.33640261985857</v>
      </c>
      <c r="H12" s="132">
        <f>IF(SER_hh_fech!H12=0,0,SER_hh_fech!H12/SER_summary!H$26)</f>
        <v>377.76310737450251</v>
      </c>
      <c r="I12" s="132">
        <f>IF(SER_hh_fech!I12=0,0,SER_hh_fech!I12/SER_summary!I$26)</f>
        <v>363.31182595685931</v>
      </c>
      <c r="J12" s="132">
        <f>IF(SER_hh_fech!J12=0,0,SER_hh_fech!J12/SER_summary!J$26)</f>
        <v>368.42707061959106</v>
      </c>
      <c r="K12" s="132">
        <f>IF(SER_hh_fech!K12=0,0,SER_hh_fech!K12/SER_summary!K$26)</f>
        <v>399.4287251385287</v>
      </c>
      <c r="L12" s="132">
        <f>IF(SER_hh_fech!L12=0,0,SER_hh_fech!L12/SER_summary!L$26)</f>
        <v>439.116805225306</v>
      </c>
      <c r="M12" s="132">
        <f>IF(SER_hh_fech!M12=0,0,SER_hh_fech!M12/SER_summary!M$26)</f>
        <v>359.40832141561981</v>
      </c>
      <c r="N12" s="132">
        <f>IF(SER_hh_fech!N12=0,0,SER_hh_fech!N12/SER_summary!N$26)</f>
        <v>252.24437085966298</v>
      </c>
      <c r="O12" s="132">
        <f>IF(SER_hh_fech!O12=0,0,SER_hh_fech!O12/SER_summary!O$26)</f>
        <v>240.57043958535328</v>
      </c>
      <c r="P12" s="132">
        <f>IF(SER_hh_fech!P12=0,0,SER_hh_fech!P12/SER_summary!P$26)</f>
        <v>144.332213365716</v>
      </c>
      <c r="Q12" s="132">
        <f>IF(SER_hh_fech!Q12=0,0,SER_hh_fech!Q12/SER_summary!Q$26)</f>
        <v>78.573446750841796</v>
      </c>
      <c r="R12" s="132">
        <f>IF(SER_hh_fech!R12=0,0,SER_hh_fech!R12/SER_summary!R$26)</f>
        <v>266.17522671829289</v>
      </c>
      <c r="S12" s="132">
        <f>IF(SER_hh_fech!S12=0,0,SER_hh_fech!S12/SER_summary!S$26)</f>
        <v>224.06129628277694</v>
      </c>
      <c r="T12" s="132">
        <f>IF(SER_hh_fech!T12=0,0,SER_hh_fech!T12/SER_summary!T$26)</f>
        <v>195.35690365631271</v>
      </c>
      <c r="U12" s="132">
        <f>IF(SER_hh_fech!U12=0,0,SER_hh_fech!U12/SER_summary!U$26)</f>
        <v>169.24871653055706</v>
      </c>
      <c r="V12" s="132">
        <f>IF(SER_hh_fech!V12=0,0,SER_hh_fech!V12/SER_summary!V$26)</f>
        <v>153.24404338767027</v>
      </c>
      <c r="W12" s="132">
        <f>IF(SER_hh_fech!W12=0,0,SER_hh_fech!W12/SER_summary!W$26)</f>
        <v>192.02363041117124</v>
      </c>
      <c r="X12" s="132">
        <f>IF(SER_hh_fech!X12=0,0,SER_hh_fech!X12/SER_summary!X$26)</f>
        <v>198.50498488381174</v>
      </c>
      <c r="Y12" s="132">
        <f>IF(SER_hh_fech!Y12=0,0,SER_hh_fech!Y12/SER_summary!Y$26)</f>
        <v>166.12035953270424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75.751517497875255</v>
      </c>
      <c r="C13" s="132">
        <f>IF(SER_hh_fech!C13=0,0,SER_hh_fech!C13/SER_summary!C$26)</f>
        <v>213.33580477333155</v>
      </c>
      <c r="D13" s="132">
        <f>IF(SER_hh_fech!D13=0,0,SER_hh_fech!D13/SER_summary!D$26)</f>
        <v>181.09185620621045</v>
      </c>
      <c r="E13" s="132">
        <f>IF(SER_hh_fech!E13=0,0,SER_hh_fech!E13/SER_summary!E$26)</f>
        <v>144.47506378344602</v>
      </c>
      <c r="F13" s="132">
        <f>IF(SER_hh_fech!F13=0,0,SER_hh_fech!F13/SER_summary!F$26)</f>
        <v>178.28550578914886</v>
      </c>
      <c r="G13" s="132">
        <f>IF(SER_hh_fech!G13=0,0,SER_hh_fech!G13/SER_summary!G$26)</f>
        <v>164.90368544737404</v>
      </c>
      <c r="H13" s="132">
        <f>IF(SER_hh_fech!H13=0,0,SER_hh_fech!H13/SER_summary!H$26)</f>
        <v>149.8685485882327</v>
      </c>
      <c r="I13" s="132">
        <f>IF(SER_hh_fech!I13=0,0,SER_hh_fech!I13/SER_summary!I$26)</f>
        <v>165.41017884813945</v>
      </c>
      <c r="J13" s="132">
        <f>IF(SER_hh_fech!J13=0,0,SER_hh_fech!J13/SER_summary!J$26)</f>
        <v>134.07373282223017</v>
      </c>
      <c r="K13" s="132">
        <f>IF(SER_hh_fech!K13=0,0,SER_hh_fech!K13/SER_summary!K$26)</f>
        <v>119.84592016683291</v>
      </c>
      <c r="L13" s="132">
        <f>IF(SER_hh_fech!L13=0,0,SER_hh_fech!L13/SER_summary!L$26)</f>
        <v>104.89029240519056</v>
      </c>
      <c r="M13" s="132">
        <f>IF(SER_hh_fech!M13=0,0,SER_hh_fech!M13/SER_summary!M$26)</f>
        <v>106.70907031469933</v>
      </c>
      <c r="N13" s="132">
        <f>IF(SER_hh_fech!N13=0,0,SER_hh_fech!N13/SER_summary!N$26)</f>
        <v>88.410963002192872</v>
      </c>
      <c r="O13" s="132">
        <f>IF(SER_hh_fech!O13=0,0,SER_hh_fech!O13/SER_summary!O$26)</f>
        <v>65.983294263792217</v>
      </c>
      <c r="P13" s="132">
        <f>IF(SER_hh_fech!P13=0,0,SER_hh_fech!P13/SER_summary!P$26)</f>
        <v>47.437407219748323</v>
      </c>
      <c r="Q13" s="132">
        <f>IF(SER_hh_fech!Q13=0,0,SER_hh_fech!Q13/SER_summary!Q$26)</f>
        <v>67.975182441326254</v>
      </c>
      <c r="R13" s="132">
        <f>IF(SER_hh_fech!R13=0,0,SER_hh_fech!R13/SER_summary!R$26)</f>
        <v>59.054344389224113</v>
      </c>
      <c r="S13" s="132">
        <f>IF(SER_hh_fech!S13=0,0,SER_hh_fech!S13/SER_summary!S$26)</f>
        <v>57.351718256449985</v>
      </c>
      <c r="T13" s="132">
        <f>IF(SER_hh_fech!T13=0,0,SER_hh_fech!T13/SER_summary!T$26)</f>
        <v>52.145507005568192</v>
      </c>
      <c r="U13" s="132">
        <f>IF(SER_hh_fech!U13=0,0,SER_hh_fech!U13/SER_summary!U$26)</f>
        <v>42.902462861074007</v>
      </c>
      <c r="V13" s="132">
        <f>IF(SER_hh_fech!V13=0,0,SER_hh_fech!V13/SER_summary!V$26)</f>
        <v>44.728990607402132</v>
      </c>
      <c r="W13" s="132">
        <f>IF(SER_hh_fech!W13=0,0,SER_hh_fech!W13/SER_summary!W$26)</f>
        <v>46.514059516316685</v>
      </c>
      <c r="X13" s="132">
        <f>IF(SER_hh_fech!X13=0,0,SER_hh_fech!X13/SER_summary!X$26)</f>
        <v>46.774615394230992</v>
      </c>
      <c r="Y13" s="132">
        <f>IF(SER_hh_fech!Y13=0,0,SER_hh_fech!Y13/SER_summary!Y$26)</f>
        <v>42.9591457499086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398.77019713967388</v>
      </c>
      <c r="C14" s="65">
        <f>IF(SER_hh_fech!C14=0,0,SER_hh_fech!C14/SER_summary!C$26)</f>
        <v>555.06298729735806</v>
      </c>
      <c r="D14" s="65">
        <f>IF(SER_hh_fech!D14=0,0,SER_hh_fech!D14/SER_summary!D$26)</f>
        <v>477.65052272218765</v>
      </c>
      <c r="E14" s="65">
        <f>IF(SER_hh_fech!E14=0,0,SER_hh_fech!E14/SER_summary!E$26)</f>
        <v>347.01988786918605</v>
      </c>
      <c r="F14" s="65">
        <f>IF(SER_hh_fech!F14=0,0,SER_hh_fech!F14/SER_summary!F$26)</f>
        <v>456.08391101113</v>
      </c>
      <c r="G14" s="65">
        <f>IF(SER_hh_fech!G14=0,0,SER_hh_fech!G14/SER_summary!G$26)</f>
        <v>350.41975968053805</v>
      </c>
      <c r="H14" s="65">
        <f>IF(SER_hh_fech!H14=0,0,SER_hh_fech!H14/SER_summary!H$26)</f>
        <v>385.80675009177014</v>
      </c>
      <c r="I14" s="65">
        <f>IF(SER_hh_fech!I14=0,0,SER_hh_fech!I14/SER_summary!I$26)</f>
        <v>452.24655688039803</v>
      </c>
      <c r="J14" s="65">
        <f>IF(SER_hh_fech!J14=0,0,SER_hh_fech!J14/SER_summary!J$26)</f>
        <v>405.70618237354756</v>
      </c>
      <c r="K14" s="65">
        <f>IF(SER_hh_fech!K14=0,0,SER_hh_fech!K14/SER_summary!K$26)</f>
        <v>399.88343520357517</v>
      </c>
      <c r="L14" s="65">
        <f>IF(SER_hh_fech!L14=0,0,SER_hh_fech!L14/SER_summary!L$26)</f>
        <v>463.99401786870686</v>
      </c>
      <c r="M14" s="65">
        <f>IF(SER_hh_fech!M14=0,0,SER_hh_fech!M14/SER_summary!M$26)</f>
        <v>431.55981363025347</v>
      </c>
      <c r="N14" s="65">
        <f>IF(SER_hh_fech!N14=0,0,SER_hh_fech!N14/SER_summary!N$26)</f>
        <v>237.67816270695701</v>
      </c>
      <c r="O14" s="65">
        <f>IF(SER_hh_fech!O14=0,0,SER_hh_fech!O14/SER_summary!O$26)</f>
        <v>347.2254246864357</v>
      </c>
      <c r="P14" s="65">
        <f>IF(SER_hh_fech!P14=0,0,SER_hh_fech!P14/SER_summary!P$26)</f>
        <v>193.04716180028055</v>
      </c>
      <c r="Q14" s="65">
        <f>IF(SER_hh_fech!Q14=0,0,SER_hh_fech!Q14/SER_summary!Q$26)</f>
        <v>227.30656785605572</v>
      </c>
      <c r="R14" s="65">
        <f>IF(SER_hh_fech!R14=0,0,SER_hh_fech!R14/SER_summary!R$26)</f>
        <v>227.28326144796958</v>
      </c>
      <c r="S14" s="65">
        <f>IF(SER_hh_fech!S14=0,0,SER_hh_fech!S14/SER_summary!S$26)</f>
        <v>267.20436043995676</v>
      </c>
      <c r="T14" s="65">
        <f>IF(SER_hh_fech!T14=0,0,SER_hh_fech!T14/SER_summary!T$26)</f>
        <v>224.32337152558509</v>
      </c>
      <c r="U14" s="65">
        <f>IF(SER_hh_fech!U14=0,0,SER_hh_fech!U14/SER_summary!U$26)</f>
        <v>174.15922659327089</v>
      </c>
      <c r="V14" s="65">
        <f>IF(SER_hh_fech!V14=0,0,SER_hh_fech!V14/SER_summary!V$26)</f>
        <v>184.3670553988805</v>
      </c>
      <c r="W14" s="65">
        <f>IF(SER_hh_fech!W14=0,0,SER_hh_fech!W14/SER_summary!W$26)</f>
        <v>268.63416746312191</v>
      </c>
      <c r="X14" s="65">
        <f>IF(SER_hh_fech!X14=0,0,SER_hh_fech!X14/SER_summary!X$26)</f>
        <v>205.20399471699673</v>
      </c>
      <c r="Y14" s="65">
        <f>IF(SER_hh_fech!Y14=0,0,SER_hh_fech!Y14/SER_summary!Y$26)</f>
        <v>161.11092343423783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7.6952889234784179</v>
      </c>
      <c r="C15" s="134">
        <f>IF(SER_hh_fech!C15=0,0,SER_hh_fech!C15/SER_summary!C$26)</f>
        <v>4.6127047434592132</v>
      </c>
      <c r="D15" s="134">
        <f>IF(SER_hh_fech!D15=0,0,SER_hh_fech!D15/SER_summary!D$26)</f>
        <v>3.4768148071880085</v>
      </c>
      <c r="E15" s="134">
        <f>IF(SER_hh_fech!E15=0,0,SER_hh_fech!E15/SER_summary!E$26)</f>
        <v>2.8712149284300268</v>
      </c>
      <c r="F15" s="134">
        <f>IF(SER_hh_fech!F15=0,0,SER_hh_fech!F15/SER_summary!F$26)</f>
        <v>2.4676714547602656</v>
      </c>
      <c r="G15" s="134">
        <f>IF(SER_hh_fech!G15=0,0,SER_hh_fech!G15/SER_summary!G$26)</f>
        <v>4.5125762759301482</v>
      </c>
      <c r="H15" s="134">
        <f>IF(SER_hh_fech!H15=0,0,SER_hh_fech!H15/SER_summary!H$26)</f>
        <v>4.5450228131900525</v>
      </c>
      <c r="I15" s="134">
        <f>IF(SER_hh_fech!I15=0,0,SER_hh_fech!I15/SER_summary!I$26)</f>
        <v>3.945459938519738</v>
      </c>
      <c r="J15" s="134">
        <f>IF(SER_hh_fech!J15=0,0,SER_hh_fech!J15/SER_summary!J$26)</f>
        <v>3.932802095340997</v>
      </c>
      <c r="K15" s="134">
        <f>IF(SER_hh_fech!K15=0,0,SER_hh_fech!K15/SER_summary!K$26)</f>
        <v>3.4212048522254412</v>
      </c>
      <c r="L15" s="134">
        <f>IF(SER_hh_fech!L15=0,0,SER_hh_fech!L15/SER_summary!L$26)</f>
        <v>3.9979727351313707</v>
      </c>
      <c r="M15" s="134">
        <f>IF(SER_hh_fech!M15=0,0,SER_hh_fech!M15/SER_summary!M$26)</f>
        <v>2.1456757862852331</v>
      </c>
      <c r="N15" s="134">
        <f>IF(SER_hh_fech!N15=0,0,SER_hh_fech!N15/SER_summary!N$26)</f>
        <v>2.6854895677297539</v>
      </c>
      <c r="O15" s="134">
        <f>IF(SER_hh_fech!O15=0,0,SER_hh_fech!O15/SER_summary!O$26)</f>
        <v>3.323367417940668</v>
      </c>
      <c r="P15" s="134">
        <f>IF(SER_hh_fech!P15=0,0,SER_hh_fech!P15/SER_summary!P$26)</f>
        <v>1.9864728156439242</v>
      </c>
      <c r="Q15" s="134">
        <f>IF(SER_hh_fech!Q15=0,0,SER_hh_fech!Q15/SER_summary!Q$26)</f>
        <v>2.1513641127900853</v>
      </c>
      <c r="R15" s="134">
        <f>IF(SER_hh_fech!R15=0,0,SER_hh_fech!R15/SER_summary!R$26)</f>
        <v>2.1455714776888244</v>
      </c>
      <c r="S15" s="134">
        <f>IF(SER_hh_fech!S15=0,0,SER_hh_fech!S15/SER_summary!S$26)</f>
        <v>2.4057344837883976</v>
      </c>
      <c r="T15" s="134">
        <f>IF(SER_hh_fech!T15=0,0,SER_hh_fech!T15/SER_summary!T$26)</f>
        <v>2.0839820397715219</v>
      </c>
      <c r="U15" s="134">
        <f>IF(SER_hh_fech!U15=0,0,SER_hh_fech!U15/SER_summary!U$26)</f>
        <v>1.8068124114138484</v>
      </c>
      <c r="V15" s="134">
        <f>IF(SER_hh_fech!V15=0,0,SER_hh_fech!V15/SER_summary!V$26)</f>
        <v>1.5403152104567577</v>
      </c>
      <c r="W15" s="134">
        <f>IF(SER_hh_fech!W15=0,0,SER_hh_fech!W15/SER_summary!W$26)</f>
        <v>2.2712610345246542</v>
      </c>
      <c r="X15" s="134">
        <f>IF(SER_hh_fech!X15=0,0,SER_hh_fech!X15/SER_summary!X$26)</f>
        <v>2.0209823895703143</v>
      </c>
      <c r="Y15" s="134">
        <f>IF(SER_hh_fech!Y15=0,0,SER_hh_fech!Y15/SER_summary!Y$26)</f>
        <v>1.6222117154197488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17.75101953666293</v>
      </c>
      <c r="C16" s="130">
        <f>IF(SER_hh_fech!C16=0,0,SER_hh_fech!C16/SER_summary!C$26)</f>
        <v>16.713044912232647</v>
      </c>
      <c r="D16" s="130">
        <f>IF(SER_hh_fech!D16=0,0,SER_hh_fech!D16/SER_summary!D$26)</f>
        <v>16.169534612953189</v>
      </c>
      <c r="E16" s="130">
        <f>IF(SER_hh_fech!E16=0,0,SER_hh_fech!E16/SER_summary!E$26)</f>
        <v>15.579159443278854</v>
      </c>
      <c r="F16" s="130">
        <f>IF(SER_hh_fech!F16=0,0,SER_hh_fech!F16/SER_summary!F$26)</f>
        <v>14.367788303312171</v>
      </c>
      <c r="G16" s="130">
        <f>IF(SER_hh_fech!G16=0,0,SER_hh_fech!G16/SER_summary!G$26)</f>
        <v>13.820972859077575</v>
      </c>
      <c r="H16" s="130">
        <f>IF(SER_hh_fech!H16=0,0,SER_hh_fech!H16/SER_summary!H$26)</f>
        <v>13.489163551607829</v>
      </c>
      <c r="I16" s="130">
        <f>IF(SER_hh_fech!I16=0,0,SER_hh_fech!I16/SER_summary!I$26)</f>
        <v>13.188979161181154</v>
      </c>
      <c r="J16" s="130">
        <f>IF(SER_hh_fech!J16=0,0,SER_hh_fech!J16/SER_summary!J$26)</f>
        <v>11.655211437325246</v>
      </c>
      <c r="K16" s="130">
        <f>IF(SER_hh_fech!K16=0,0,SER_hh_fech!K16/SER_summary!K$26)</f>
        <v>11.549205455320395</v>
      </c>
      <c r="L16" s="130">
        <f>IF(SER_hh_fech!L16=0,0,SER_hh_fech!L16/SER_summary!L$26)</f>
        <v>11.690240118646519</v>
      </c>
      <c r="M16" s="130">
        <f>IF(SER_hh_fech!M16=0,0,SER_hh_fech!M16/SER_summary!M$26)</f>
        <v>11.073704433189985</v>
      </c>
      <c r="N16" s="130">
        <f>IF(SER_hh_fech!N16=0,0,SER_hh_fech!N16/SER_summary!N$26)</f>
        <v>11.799993879617558</v>
      </c>
      <c r="O16" s="130">
        <f>IF(SER_hh_fech!O16=0,0,SER_hh_fech!O16/SER_summary!O$26)</f>
        <v>11.019791393338281</v>
      </c>
      <c r="P16" s="130">
        <f>IF(SER_hh_fech!P16=0,0,SER_hh_fech!P16/SER_summary!P$26)</f>
        <v>9.8435553560318017</v>
      </c>
      <c r="Q16" s="130">
        <f>IF(SER_hh_fech!Q16=0,0,SER_hh_fech!Q16/SER_summary!Q$26)</f>
        <v>11.267318552705705</v>
      </c>
      <c r="R16" s="130">
        <f>IF(SER_hh_fech!R16=0,0,SER_hh_fech!R16/SER_summary!R$26)</f>
        <v>9.300216375410697</v>
      </c>
      <c r="S16" s="130">
        <f>IF(SER_hh_fech!S16=0,0,SER_hh_fech!S16/SER_summary!S$26)</f>
        <v>9.6007821274818959</v>
      </c>
      <c r="T16" s="130">
        <f>IF(SER_hh_fech!T16=0,0,SER_hh_fech!T16/SER_summary!T$26)</f>
        <v>9.190206008679084</v>
      </c>
      <c r="U16" s="130">
        <f>IF(SER_hh_fech!U16=0,0,SER_hh_fech!U16/SER_summary!U$26)</f>
        <v>9.295002598995465</v>
      </c>
      <c r="V16" s="130">
        <f>IF(SER_hh_fech!V16=0,0,SER_hh_fech!V16/SER_summary!V$26)</f>
        <v>7.9596370240453256</v>
      </c>
      <c r="W16" s="130">
        <f>IF(SER_hh_fech!W16=0,0,SER_hh_fech!W16/SER_summary!W$26)</f>
        <v>8.4560555294886193</v>
      </c>
      <c r="X16" s="130">
        <f>IF(SER_hh_fech!X16=0,0,SER_hh_fech!X16/SER_summary!X$26)</f>
        <v>8.7614142186983308</v>
      </c>
      <c r="Y16" s="130">
        <f>IF(SER_hh_fech!Y16=0,0,SER_hh_fech!Y16/SER_summary!Y$26)</f>
        <v>8.2931096281173957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28.694081566505584</v>
      </c>
      <c r="C17" s="132">
        <f>IF(SER_hh_fech!C17=0,0,SER_hh_fech!C17/SER_summary!C$26)</f>
        <v>27.116664703591166</v>
      </c>
      <c r="D17" s="132">
        <f>IF(SER_hh_fech!D17=0,0,SER_hh_fech!D17/SER_summary!D$26)</f>
        <v>27.513865882721692</v>
      </c>
      <c r="E17" s="132">
        <f>IF(SER_hh_fech!E17=0,0,SER_hh_fech!E17/SER_summary!E$26)</f>
        <v>7.5519069611097507</v>
      </c>
      <c r="F17" s="132">
        <f>IF(SER_hh_fech!F17=0,0,SER_hh_fech!F17/SER_summary!F$26)</f>
        <v>26.061415665638723</v>
      </c>
      <c r="G17" s="132">
        <f>IF(SER_hh_fech!G17=0,0,SER_hh_fech!G17/SER_summary!G$26)</f>
        <v>25.609835612983254</v>
      </c>
      <c r="H17" s="132">
        <f>IF(SER_hh_fech!H17=0,0,SER_hh_fech!H17/SER_summary!H$26)</f>
        <v>25.956561082059775</v>
      </c>
      <c r="I17" s="132">
        <f>IF(SER_hh_fech!I17=0,0,SER_hh_fech!I17/SER_summary!I$26)</f>
        <v>26.64984419039197</v>
      </c>
      <c r="J17" s="132">
        <f>IF(SER_hh_fech!J17=0,0,SER_hh_fech!J17/SER_summary!J$26)</f>
        <v>24.566096677765099</v>
      </c>
      <c r="K17" s="132">
        <f>IF(SER_hh_fech!K17=0,0,SER_hh_fech!K17/SER_summary!K$26)</f>
        <v>24.627069106624976</v>
      </c>
      <c r="L17" s="132">
        <f>IF(SER_hh_fech!L17=0,0,SER_hh_fech!L17/SER_summary!L$26)</f>
        <v>25.283503017560935</v>
      </c>
      <c r="M17" s="132">
        <f>IF(SER_hh_fech!M17=0,0,SER_hh_fech!M17/SER_summary!M$26)</f>
        <v>24.311173310368499</v>
      </c>
      <c r="N17" s="132">
        <f>IF(SER_hh_fech!N17=0,0,SER_hh_fech!N17/SER_summary!N$26)</f>
        <v>26.595552349926045</v>
      </c>
      <c r="O17" s="132">
        <f>IF(SER_hh_fech!O17=0,0,SER_hh_fech!O17/SER_summary!O$26)</f>
        <v>25.086605136462108</v>
      </c>
      <c r="P17" s="132">
        <f>IF(SER_hh_fech!P17=0,0,SER_hh_fech!P17/SER_summary!P$26)</f>
        <v>22.656169985370834</v>
      </c>
      <c r="Q17" s="132">
        <f>IF(SER_hh_fech!Q17=0,0,SER_hh_fech!Q17/SER_summary!Q$26)</f>
        <v>26.183434753315314</v>
      </c>
      <c r="R17" s="132">
        <f>IF(SER_hh_fech!R17=0,0,SER_hh_fech!R17/SER_summary!R$26)</f>
        <v>22.130662230004287</v>
      </c>
      <c r="S17" s="132">
        <f>IF(SER_hh_fech!S17=0,0,SER_hh_fech!S17/SER_summary!S$26)</f>
        <v>23.455895806469769</v>
      </c>
      <c r="T17" s="132">
        <f>IF(SER_hh_fech!T17=0,0,SER_hh_fech!T17/SER_summary!T$26)</f>
        <v>22.7855687371407</v>
      </c>
      <c r="U17" s="132">
        <f>IF(SER_hh_fech!U17=0,0,SER_hh_fech!U17/SER_summary!U$26)</f>
        <v>23.344247076762247</v>
      </c>
      <c r="V17" s="132">
        <f>IF(SER_hh_fech!V17=0,0,SER_hh_fech!V17/SER_summary!V$26)</f>
        <v>22.210970618730187</v>
      </c>
      <c r="W17" s="132">
        <f>IF(SER_hh_fech!W17=0,0,SER_hh_fech!W17/SER_summary!W$26)</f>
        <v>21.505810097972535</v>
      </c>
      <c r="X17" s="132">
        <f>IF(SER_hh_fech!X17=0,0,SER_hh_fech!X17/SER_summary!X$26)</f>
        <v>22.567291315578277</v>
      </c>
      <c r="Y17" s="132">
        <f>IF(SER_hh_fech!Y17=0,0,SER_hh_fech!Y17/SER_summary!Y$26)</f>
        <v>21.140790083664424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17.732271049441351</v>
      </c>
      <c r="C18" s="132">
        <f>IF(SER_hh_fech!C18=0,0,SER_hh_fech!C18/SER_summary!C$26)</f>
        <v>16.684891650493494</v>
      </c>
      <c r="D18" s="132">
        <f>IF(SER_hh_fech!D18=0,0,SER_hh_fech!D18/SER_summary!D$26)</f>
        <v>16.145027532441794</v>
      </c>
      <c r="E18" s="132">
        <f>IF(SER_hh_fech!E18=0,0,SER_hh_fech!E18/SER_summary!E$26)</f>
        <v>15.601999543517005</v>
      </c>
      <c r="F18" s="132">
        <f>IF(SER_hh_fech!F18=0,0,SER_hh_fech!F18/SER_summary!F$26)</f>
        <v>14.341560947402019</v>
      </c>
      <c r="G18" s="132">
        <f>IF(SER_hh_fech!G18=0,0,SER_hh_fech!G18/SER_summary!G$26)</f>
        <v>13.783467414770435</v>
      </c>
      <c r="H18" s="132">
        <f>IF(SER_hh_fech!H18=0,0,SER_hh_fech!H18/SER_summary!H$26)</f>
        <v>13.445339290449134</v>
      </c>
      <c r="I18" s="132">
        <f>IF(SER_hh_fech!I18=0,0,SER_hh_fech!I18/SER_summary!I$26)</f>
        <v>13.143820273226437</v>
      </c>
      <c r="J18" s="132">
        <f>IF(SER_hh_fech!J18=0,0,SER_hh_fech!J18/SER_summary!J$26)</f>
        <v>11.60818314759044</v>
      </c>
      <c r="K18" s="132">
        <f>IF(SER_hh_fech!K18=0,0,SER_hh_fech!K18/SER_summary!K$26)</f>
        <v>11.502866894685887</v>
      </c>
      <c r="L18" s="132">
        <f>IF(SER_hh_fech!L18=0,0,SER_hh_fech!L18/SER_summary!L$26)</f>
        <v>11.640755297448855</v>
      </c>
      <c r="M18" s="132">
        <f>IF(SER_hh_fech!M18=0,0,SER_hh_fech!M18/SER_summary!M$26)</f>
        <v>11.02024639259556</v>
      </c>
      <c r="N18" s="132">
        <f>IF(SER_hh_fech!N18=0,0,SER_hh_fech!N18/SER_summary!N$26)</f>
        <v>11.738902590986525</v>
      </c>
      <c r="O18" s="132">
        <f>IF(SER_hh_fech!O18=0,0,SER_hh_fech!O18/SER_summary!O$26)</f>
        <v>10.945804467921366</v>
      </c>
      <c r="P18" s="132">
        <f>IF(SER_hh_fech!P18=0,0,SER_hh_fech!P18/SER_summary!P$26)</f>
        <v>9.7474896628574008</v>
      </c>
      <c r="Q18" s="132">
        <f>IF(SER_hh_fech!Q18=0,0,SER_hh_fech!Q18/SER_summary!Q$26)</f>
        <v>11.136448958276469</v>
      </c>
      <c r="R18" s="132">
        <f>IF(SER_hh_fech!R18=0,0,SER_hh_fech!R18/SER_summary!R$26)</f>
        <v>9.1333771383747582</v>
      </c>
      <c r="S18" s="132">
        <f>IF(SER_hh_fech!S18=0,0,SER_hh_fech!S18/SER_summary!S$26)</f>
        <v>9.4023847004531191</v>
      </c>
      <c r="T18" s="132">
        <f>IF(SER_hh_fech!T18=0,0,SER_hh_fech!T18/SER_summary!T$26)</f>
        <v>8.966339157278421</v>
      </c>
      <c r="U18" s="132">
        <f>IF(SER_hh_fech!U18=0,0,SER_hh_fech!U18/SER_summary!U$26)</f>
        <v>9.0517679766661931</v>
      </c>
      <c r="V18" s="132">
        <f>IF(SER_hh_fech!V18=0,0,SER_hh_fech!V18/SER_summary!V$26)</f>
        <v>7.6900377545906453</v>
      </c>
      <c r="W18" s="132">
        <f>IF(SER_hh_fech!W18=0,0,SER_hh_fech!W18/SER_summary!W$26)</f>
        <v>8.1926624883488799</v>
      </c>
      <c r="X18" s="132">
        <f>IF(SER_hh_fech!X18=0,0,SER_hh_fech!X18/SER_summary!X$26)</f>
        <v>8.4711754900712481</v>
      </c>
      <c r="Y18" s="132">
        <f>IF(SER_hh_fech!Y18=0,0,SER_hh_fech!Y18/SER_summary!Y$26)</f>
        <v>8.0137538772851684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45.02196557757437</v>
      </c>
      <c r="C19" s="130">
        <f>IF(SER_hh_fech!C19=0,0,SER_hh_fech!C19/SER_summary!C$26)</f>
        <v>44.865213185142366</v>
      </c>
      <c r="D19" s="130">
        <f>IF(SER_hh_fech!D19=0,0,SER_hh_fech!D19/SER_summary!D$26)</f>
        <v>44.985298747340074</v>
      </c>
      <c r="E19" s="130">
        <f>IF(SER_hh_fech!E19=0,0,SER_hh_fech!E19/SER_summary!E$26)</f>
        <v>44.923032844071905</v>
      </c>
      <c r="F19" s="130">
        <f>IF(SER_hh_fech!F19=0,0,SER_hh_fech!F19/SER_summary!F$26)</f>
        <v>44.432991679359525</v>
      </c>
      <c r="G19" s="130">
        <f>IF(SER_hh_fech!G19=0,0,SER_hh_fech!G19/SER_summary!G$26)</f>
        <v>45.5052557519424</v>
      </c>
      <c r="H19" s="130">
        <f>IF(SER_hh_fech!H19=0,0,SER_hh_fech!H19/SER_summary!H$26)</f>
        <v>45.915872271456593</v>
      </c>
      <c r="I19" s="130">
        <f>IF(SER_hh_fech!I19=0,0,SER_hh_fech!I19/SER_summary!I$26)</f>
        <v>45.315153297557622</v>
      </c>
      <c r="J19" s="130">
        <f>IF(SER_hh_fech!J19=0,0,SER_hh_fech!J19/SER_summary!J$26)</f>
        <v>44.815045624951345</v>
      </c>
      <c r="K19" s="130">
        <f>IF(SER_hh_fech!K19=0,0,SER_hh_fech!K19/SER_summary!K$26)</f>
        <v>45.999760300739638</v>
      </c>
      <c r="L19" s="130">
        <f>IF(SER_hh_fech!L19=0,0,SER_hh_fech!L19/SER_summary!L$26)</f>
        <v>46.10822838015725</v>
      </c>
      <c r="M19" s="130">
        <f>IF(SER_hh_fech!M19=0,0,SER_hh_fech!M19/SER_summary!M$26)</f>
        <v>45.624370163267749</v>
      </c>
      <c r="N19" s="130">
        <f>IF(SER_hh_fech!N19=0,0,SER_hh_fech!N19/SER_summary!N$26)</f>
        <v>46.146793815066857</v>
      </c>
      <c r="O19" s="130">
        <f>IF(SER_hh_fech!O19=0,0,SER_hh_fech!O19/SER_summary!O$26)</f>
        <v>46.214964276619519</v>
      </c>
      <c r="P19" s="130">
        <f>IF(SER_hh_fech!P19=0,0,SER_hh_fech!P19/SER_summary!P$26)</f>
        <v>46.264879153340743</v>
      </c>
      <c r="Q19" s="130">
        <f>IF(SER_hh_fech!Q19=0,0,SER_hh_fech!Q19/SER_summary!Q$26)</f>
        <v>46.127658226981595</v>
      </c>
      <c r="R19" s="130">
        <f>IF(SER_hh_fech!R19=0,0,SER_hh_fech!R19/SER_summary!R$26)</f>
        <v>45.249487973821246</v>
      </c>
      <c r="S19" s="130">
        <f>IF(SER_hh_fech!S19=0,0,SER_hh_fech!S19/SER_summary!S$26)</f>
        <v>44.87657155787084</v>
      </c>
      <c r="T19" s="130">
        <f>IF(SER_hh_fech!T19=0,0,SER_hh_fech!T19/SER_summary!T$26)</f>
        <v>43.233686999336413</v>
      </c>
      <c r="U19" s="130">
        <f>IF(SER_hh_fech!U19=0,0,SER_hh_fech!U19/SER_summary!U$26)</f>
        <v>41.967457998655092</v>
      </c>
      <c r="V19" s="130">
        <f>IF(SER_hh_fech!V19=0,0,SER_hh_fech!V19/SER_summary!V$26)</f>
        <v>36.726139733086846</v>
      </c>
      <c r="W19" s="130">
        <f>IF(SER_hh_fech!W19=0,0,SER_hh_fech!W19/SER_summary!W$26)</f>
        <v>40.006078581730605</v>
      </c>
      <c r="X19" s="130">
        <f>IF(SER_hh_fech!X19=0,0,SER_hh_fech!X19/SER_summary!X$26)</f>
        <v>39.781866910464913</v>
      </c>
      <c r="Y19" s="130">
        <f>IF(SER_hh_fech!Y19=0,0,SER_hh_fech!Y19/SER_summary!Y$26)</f>
        <v>38.94217240527874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56.097024679045838</v>
      </c>
      <c r="C20" s="132">
        <f>IF(SER_hh_fech!C20=0,0,SER_hh_fech!C20/SER_summary!C$26)</f>
        <v>51.665201755052102</v>
      </c>
      <c r="D20" s="132">
        <f>IF(SER_hh_fech!D20=0,0,SER_hh_fech!D20/SER_summary!D$26)</f>
        <v>58.041080762611287</v>
      </c>
      <c r="E20" s="132">
        <f>IF(SER_hh_fech!E20=0,0,SER_hh_fech!E20/SER_summary!E$26)</f>
        <v>48.330873882389618</v>
      </c>
      <c r="F20" s="132">
        <f>IF(SER_hh_fech!F20=0,0,SER_hh_fech!F20/SER_summary!F$26)</f>
        <v>52.796993462773649</v>
      </c>
      <c r="G20" s="132">
        <f>IF(SER_hh_fech!G20=0,0,SER_hh_fech!G20/SER_summary!G$26)</f>
        <v>23.26207289411316</v>
      </c>
      <c r="H20" s="132">
        <f>IF(SER_hh_fech!H20=0,0,SER_hh_fech!H20/SER_summary!H$26)</f>
        <v>40.791578070274952</v>
      </c>
      <c r="I20" s="132">
        <f>IF(SER_hh_fech!I20=0,0,SER_hh_fech!I20/SER_summary!I$26)</f>
        <v>53.942780103254201</v>
      </c>
      <c r="J20" s="132">
        <f>IF(SER_hh_fech!J20=0,0,SER_hh_fech!J20/SER_summary!J$26)</f>
        <v>51.784976926484866</v>
      </c>
      <c r="K20" s="132">
        <f>IF(SER_hh_fech!K20=0,0,SER_hh_fech!K20/SER_summary!K$26)</f>
        <v>50.528735245451713</v>
      </c>
      <c r="L20" s="132">
        <f>IF(SER_hh_fech!L20=0,0,SER_hh_fech!L20/SER_summary!L$26)</f>
        <v>47.327523439093305</v>
      </c>
      <c r="M20" s="132">
        <f>IF(SER_hh_fech!M20=0,0,SER_hh_fech!M20/SER_summary!M$26)</f>
        <v>46.622911474916847</v>
      </c>
      <c r="N20" s="132">
        <f>IF(SER_hh_fech!N20=0,0,SER_hh_fech!N20/SER_summary!N$26)</f>
        <v>47.126352185255577</v>
      </c>
      <c r="O20" s="132">
        <f>IF(SER_hh_fech!O20=0,0,SER_hh_fech!O20/SER_summary!O$26)</f>
        <v>46.334024989383273</v>
      </c>
      <c r="P20" s="132">
        <f>IF(SER_hh_fech!P20=0,0,SER_hh_fech!P20/SER_summary!P$26)</f>
        <v>49.086447099181768</v>
      </c>
      <c r="Q20" s="132">
        <f>IF(SER_hh_fech!Q20=0,0,SER_hh_fech!Q20/SER_summary!Q$26)</f>
        <v>55.764982625296064</v>
      </c>
      <c r="R20" s="132">
        <f>IF(SER_hh_fech!R20=0,0,SER_hh_fech!R20/SER_summary!R$26)</f>
        <v>33.934777623704136</v>
      </c>
      <c r="S20" s="132">
        <f>IF(SER_hh_fech!S20=0,0,SER_hh_fech!S20/SER_summary!S$26)</f>
        <v>44.081881973046734</v>
      </c>
      <c r="T20" s="132">
        <f>IF(SER_hh_fech!T20=0,0,SER_hh_fech!T20/SER_summary!T$26)</f>
        <v>47.691033785419606</v>
      </c>
      <c r="U20" s="132">
        <f>IF(SER_hh_fech!U20=0,0,SER_hh_fech!U20/SER_summary!U$26)</f>
        <v>69.031463087012114</v>
      </c>
      <c r="V20" s="132">
        <f>IF(SER_hh_fech!V20=0,0,SER_hh_fech!V20/SER_summary!V$26)</f>
        <v>30.228873924003747</v>
      </c>
      <c r="W20" s="132">
        <f>IF(SER_hh_fech!W20=0,0,SER_hh_fech!W20/SER_summary!W$26)</f>
        <v>51.866175180212593</v>
      </c>
      <c r="X20" s="132">
        <f>IF(SER_hh_fech!X20=0,0,SER_hh_fech!X20/SER_summary!X$26)</f>
        <v>41.287352904520276</v>
      </c>
      <c r="Y20" s="132">
        <f>IF(SER_hh_fech!Y20=0,0,SER_hh_fech!Y20/SER_summary!Y$26)</f>
        <v>42.912884009269654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0</v>
      </c>
      <c r="C22" s="132">
        <f>IF(SER_hh_fech!C22=0,0,SER_hh_fech!C22/SER_summary!C$26)</f>
        <v>0</v>
      </c>
      <c r="D22" s="132">
        <f>IF(SER_hh_fech!D22=0,0,SER_hh_fech!D22/SER_summary!D$26)</f>
        <v>0</v>
      </c>
      <c r="E22" s="132">
        <f>IF(SER_hh_fech!E22=0,0,SER_hh_fech!E22/SER_summary!E$26)</f>
        <v>0</v>
      </c>
      <c r="F22" s="132">
        <f>IF(SER_hh_fech!F22=0,0,SER_hh_fech!F22/SER_summary!F$26)</f>
        <v>0</v>
      </c>
      <c r="G22" s="132">
        <f>IF(SER_hh_fech!G22=0,0,SER_hh_fech!G22/SER_summary!G$26)</f>
        <v>0</v>
      </c>
      <c r="H22" s="132">
        <f>IF(SER_hh_fech!H22=0,0,SER_hh_fech!H22/SER_summary!H$26)</f>
        <v>0</v>
      </c>
      <c r="I22" s="132">
        <f>IF(SER_hh_fech!I22=0,0,SER_hh_fech!I22/SER_summary!I$26)</f>
        <v>0</v>
      </c>
      <c r="J22" s="132">
        <f>IF(SER_hh_fech!J22=0,0,SER_hh_fech!J22/SER_summary!J$26)</f>
        <v>0</v>
      </c>
      <c r="K22" s="132">
        <f>IF(SER_hh_fech!K22=0,0,SER_hh_fech!K22/SER_summary!K$26)</f>
        <v>0</v>
      </c>
      <c r="L22" s="132">
        <f>IF(SER_hh_fech!L22=0,0,SER_hh_fech!L22/SER_summary!L$26)</f>
        <v>0</v>
      </c>
      <c r="M22" s="132">
        <f>IF(SER_hh_fech!M22=0,0,SER_hh_fech!M22/SER_summary!M$26)</f>
        <v>0</v>
      </c>
      <c r="N22" s="132">
        <f>IF(SER_hh_fech!N22=0,0,SER_hh_fech!N22/SER_summary!N$26)</f>
        <v>0</v>
      </c>
      <c r="O22" s="132">
        <f>IF(SER_hh_fech!O22=0,0,SER_hh_fech!O22/SER_summary!O$26)</f>
        <v>0</v>
      </c>
      <c r="P22" s="132">
        <f>IF(SER_hh_fech!P22=0,0,SER_hh_fech!P22/SER_summary!P$26)</f>
        <v>0</v>
      </c>
      <c r="Q22" s="132">
        <f>IF(SER_hh_fech!Q22=0,0,SER_hh_fech!Q22/SER_summary!Q$26)</f>
        <v>0</v>
      </c>
      <c r="R22" s="132">
        <f>IF(SER_hh_fech!R22=0,0,SER_hh_fech!R22/SER_summary!R$26)</f>
        <v>0</v>
      </c>
      <c r="S22" s="132">
        <f>IF(SER_hh_fech!S22=0,0,SER_hh_fech!S22/SER_summary!S$26)</f>
        <v>0</v>
      </c>
      <c r="T22" s="132">
        <f>IF(SER_hh_fech!T22=0,0,SER_hh_fech!T22/SER_summary!T$26)</f>
        <v>0</v>
      </c>
      <c r="U22" s="132">
        <f>IF(SER_hh_fech!U22=0,0,SER_hh_fech!U22/SER_summary!U$26)</f>
        <v>0</v>
      </c>
      <c r="V22" s="132">
        <f>IF(SER_hh_fech!V22=0,0,SER_hh_fech!V22/SER_summary!V$26)</f>
        <v>0</v>
      </c>
      <c r="W22" s="132">
        <f>IF(SER_hh_fech!W22=0,0,SER_hh_fech!W22/SER_summary!W$26)</f>
        <v>0</v>
      </c>
      <c r="X22" s="132">
        <f>IF(SER_hh_fech!X22=0,0,SER_hh_fech!X22/SER_summary!X$26)</f>
        <v>0</v>
      </c>
      <c r="Y22" s="132">
        <f>IF(SER_hh_fech!Y22=0,0,SER_hh_fech!Y22/SER_summary!Y$26)</f>
        <v>0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37.053327212580875</v>
      </c>
      <c r="C23" s="132">
        <f>IF(SER_hh_fech!C23=0,0,SER_hh_fech!C23/SER_summary!C$26)</f>
        <v>58.414697449573467</v>
      </c>
      <c r="D23" s="132">
        <f>IF(SER_hh_fech!D23=0,0,SER_hh_fech!D23/SER_summary!D$26)</f>
        <v>57.659112339749882</v>
      </c>
      <c r="E23" s="132">
        <f>IF(SER_hh_fech!E23=0,0,SER_hh_fech!E23/SER_summary!E$26)</f>
        <v>51.4444347790348</v>
      </c>
      <c r="F23" s="132">
        <f>IF(SER_hh_fech!F23=0,0,SER_hh_fech!F23/SER_summary!F$26)</f>
        <v>53.367105036558272</v>
      </c>
      <c r="G23" s="132">
        <f>IF(SER_hh_fech!G23=0,0,SER_hh_fech!G23/SER_summary!G$26)</f>
        <v>51.056579383498601</v>
      </c>
      <c r="H23" s="132">
        <f>IF(SER_hh_fech!H23=0,0,SER_hh_fech!H23/SER_summary!H$26)</f>
        <v>50.478906553767324</v>
      </c>
      <c r="I23" s="132">
        <f>IF(SER_hh_fech!I23=0,0,SER_hh_fech!I23/SER_summary!I$26)</f>
        <v>53.368711534904357</v>
      </c>
      <c r="J23" s="132">
        <f>IF(SER_hh_fech!J23=0,0,SER_hh_fech!J23/SER_summary!J$26)</f>
        <v>51.828132950288371</v>
      </c>
      <c r="K23" s="132">
        <f>IF(SER_hh_fech!K23=0,0,SER_hh_fech!K23/SER_summary!K$26)</f>
        <v>49.713297947342184</v>
      </c>
      <c r="L23" s="132">
        <f>IF(SER_hh_fech!L23=0,0,SER_hh_fech!L23/SER_summary!L$26)</f>
        <v>50.707225214351084</v>
      </c>
      <c r="M23" s="132">
        <f>IF(SER_hh_fech!M23=0,0,SER_hh_fech!M23/SER_summary!M$26)</f>
        <v>46.142080936277935</v>
      </c>
      <c r="N23" s="132">
        <f>IF(SER_hh_fech!N23=0,0,SER_hh_fech!N23/SER_summary!N$26)</f>
        <v>51.471149643209266</v>
      </c>
      <c r="O23" s="132">
        <f>IF(SER_hh_fech!O23=0,0,SER_hh_fech!O23/SER_summary!O$26)</f>
        <v>51.435097986741567</v>
      </c>
      <c r="P23" s="132">
        <f>IF(SER_hh_fech!P23=0,0,SER_hh_fech!P23/SER_summary!P$26)</f>
        <v>51.555043939412286</v>
      </c>
      <c r="Q23" s="132">
        <f>IF(SER_hh_fech!Q23=0,0,SER_hh_fech!Q23/SER_summary!Q$26)</f>
        <v>52.22194593968505</v>
      </c>
      <c r="R23" s="132">
        <f>IF(SER_hh_fech!R23=0,0,SER_hh_fech!R23/SER_summary!R$26)</f>
        <v>52.154481549928292</v>
      </c>
      <c r="S23" s="132">
        <f>IF(SER_hh_fech!S23=0,0,SER_hh_fech!S23/SER_summary!S$26)</f>
        <v>49.33856224445212</v>
      </c>
      <c r="T23" s="132">
        <f>IF(SER_hh_fech!T23=0,0,SER_hh_fech!T23/SER_summary!T$26)</f>
        <v>46.81097979218373</v>
      </c>
      <c r="U23" s="132">
        <f>IF(SER_hh_fech!U23=0,0,SER_hh_fech!U23/SER_summary!U$26)</f>
        <v>42.383575745364112</v>
      </c>
      <c r="V23" s="132">
        <f>IF(SER_hh_fech!V23=0,0,SER_hh_fech!V23/SER_summary!V$26)</f>
        <v>28.580048327956508</v>
      </c>
      <c r="W23" s="132">
        <f>IF(SER_hh_fech!W23=0,0,SER_hh_fech!W23/SER_summary!W$26)</f>
        <v>47.836638961919647</v>
      </c>
      <c r="X23" s="132">
        <f>IF(SER_hh_fech!X23=0,0,SER_hh_fech!X23/SER_summary!X$26)</f>
        <v>46.106224788841864</v>
      </c>
      <c r="Y23" s="132">
        <f>IF(SER_hh_fech!Y23=0,0,SER_hh_fech!Y23/SER_summary!Y$26)</f>
        <v>42.587192264195266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34.104456040259478</v>
      </c>
      <c r="C25" s="132">
        <f>IF(SER_hh_fech!C25=0,0,SER_hh_fech!C25/SER_summary!C$26)</f>
        <v>34.354103862537457</v>
      </c>
      <c r="D25" s="132">
        <f>IF(SER_hh_fech!D25=0,0,SER_hh_fech!D25/SER_summary!D$26)</f>
        <v>37.823064412511563</v>
      </c>
      <c r="E25" s="132">
        <f>IF(SER_hh_fech!E25=0,0,SER_hh_fech!E25/SER_summary!E$26)</f>
        <v>40.445674047252155</v>
      </c>
      <c r="F25" s="132">
        <f>IF(SER_hh_fech!F25=0,0,SER_hh_fech!F25/SER_summary!F$26)</f>
        <v>52.461967958015691</v>
      </c>
      <c r="G25" s="132">
        <f>IF(SER_hh_fech!G25=0,0,SER_hh_fech!G25/SER_summary!G$26)</f>
        <v>38.802552169925846</v>
      </c>
      <c r="H25" s="132">
        <f>IF(SER_hh_fech!H25=0,0,SER_hh_fech!H25/SER_summary!H$26)</f>
        <v>34.659684368726474</v>
      </c>
      <c r="I25" s="132">
        <f>IF(SER_hh_fech!I25=0,0,SER_hh_fech!I25/SER_summary!I$26)</f>
        <v>36.566054314906189</v>
      </c>
      <c r="J25" s="132">
        <f>IF(SER_hh_fech!J25=0,0,SER_hh_fech!J25/SER_summary!J$26)</f>
        <v>37.289173746391214</v>
      </c>
      <c r="K25" s="132">
        <f>IF(SER_hh_fech!K25=0,0,SER_hh_fech!K25/SER_summary!K$26)</f>
        <v>38.702550481149736</v>
      </c>
      <c r="L25" s="132">
        <f>IF(SER_hh_fech!L25=0,0,SER_hh_fech!L25/SER_summary!L$26)</f>
        <v>37.685520620016739</v>
      </c>
      <c r="M25" s="132">
        <f>IF(SER_hh_fech!M25=0,0,SER_hh_fech!M25/SER_summary!M$26)</f>
        <v>38.907193746720878</v>
      </c>
      <c r="N25" s="132">
        <f>IF(SER_hh_fech!N25=0,0,SER_hh_fech!N25/SER_summary!N$26)</f>
        <v>42.314803538669963</v>
      </c>
      <c r="O25" s="132">
        <f>IF(SER_hh_fech!O25=0,0,SER_hh_fech!O25/SER_summary!O$26)</f>
        <v>31.327842846269629</v>
      </c>
      <c r="P25" s="132">
        <f>IF(SER_hh_fech!P25=0,0,SER_hh_fech!P25/SER_summary!P$26)</f>
        <v>32.31459912663508</v>
      </c>
      <c r="Q25" s="132">
        <f>IF(SER_hh_fech!Q25=0,0,SER_hh_fech!Q25/SER_summary!Q$26)</f>
        <v>15.233607843461073</v>
      </c>
      <c r="R25" s="132">
        <f>IF(SER_hh_fech!R25=0,0,SER_hh_fech!R25/SER_summary!R$26)</f>
        <v>51.44501892838565</v>
      </c>
      <c r="S25" s="132">
        <f>IF(SER_hh_fech!S25=0,0,SER_hh_fech!S25/SER_summary!S$26)</f>
        <v>47.680535996711903</v>
      </c>
      <c r="T25" s="132">
        <f>IF(SER_hh_fech!T25=0,0,SER_hh_fech!T25/SER_summary!T$26)</f>
        <v>45.018417652789147</v>
      </c>
      <c r="U25" s="132">
        <f>IF(SER_hh_fech!U25=0,0,SER_hh_fech!U25/SER_summary!U$26)</f>
        <v>41.145201201947039</v>
      </c>
      <c r="V25" s="132">
        <f>IF(SER_hh_fech!V25=0,0,SER_hh_fech!V25/SER_summary!V$26)</f>
        <v>26.43319630883116</v>
      </c>
      <c r="W25" s="132">
        <f>IF(SER_hh_fech!W25=0,0,SER_hh_fech!W25/SER_summary!W$26)</f>
        <v>34.181638701047831</v>
      </c>
      <c r="X25" s="132">
        <f>IF(SER_hh_fech!X25=0,0,SER_hh_fech!X25/SER_summary!X$26)</f>
        <v>39.472727275383775</v>
      </c>
      <c r="Y25" s="132">
        <f>IF(SER_hh_fech!Y25=0,0,SER_hh_fech!Y25/SER_summary!Y$26)</f>
        <v>35.597565655388095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46.634656930101009</v>
      </c>
      <c r="C26" s="65">
        <f>IF(SER_hh_fech!C26=0,0,SER_hh_fech!C26/SER_summary!C$26)</f>
        <v>44.01342608817707</v>
      </c>
      <c r="D26" s="65">
        <f>IF(SER_hh_fech!D26=0,0,SER_hh_fech!D26/SER_summary!D$26)</f>
        <v>43.049834882404063</v>
      </c>
      <c r="E26" s="65">
        <f>IF(SER_hh_fech!E26=0,0,SER_hh_fech!E26/SER_summary!E$26)</f>
        <v>44.299468096226121</v>
      </c>
      <c r="F26" s="65">
        <f>IF(SER_hh_fech!F26=0,0,SER_hh_fech!F26/SER_summary!F$26)</f>
        <v>38.785745347344111</v>
      </c>
      <c r="G26" s="65">
        <f>IF(SER_hh_fech!G26=0,0,SER_hh_fech!G26/SER_summary!G$26)</f>
        <v>46.483170991147318</v>
      </c>
      <c r="H26" s="65">
        <f>IF(SER_hh_fech!H26=0,0,SER_hh_fech!H26/SER_summary!H$26)</f>
        <v>47.786279741786338</v>
      </c>
      <c r="I26" s="65">
        <f>IF(SER_hh_fech!I26=0,0,SER_hh_fech!I26/SER_summary!I$26)</f>
        <v>43.94520535460137</v>
      </c>
      <c r="J26" s="65">
        <f>IF(SER_hh_fech!J26=0,0,SER_hh_fech!J26/SER_summary!J$26)</f>
        <v>43.284478606065889</v>
      </c>
      <c r="K26" s="65">
        <f>IF(SER_hh_fech!K26=0,0,SER_hh_fech!K26/SER_summary!K$26)</f>
        <v>45.724677980339571</v>
      </c>
      <c r="L26" s="65">
        <f>IF(SER_hh_fech!L26=0,0,SER_hh_fech!L26/SER_summary!L$26)</f>
        <v>45.682424876386833</v>
      </c>
      <c r="M26" s="65">
        <f>IF(SER_hh_fech!M26=0,0,SER_hh_fech!M26/SER_summary!M$26)</f>
        <v>46.397757149023299</v>
      </c>
      <c r="N26" s="65">
        <f>IF(SER_hh_fech!N26=0,0,SER_hh_fech!N26/SER_summary!N$26)</f>
        <v>43.386208058531139</v>
      </c>
      <c r="O26" s="65">
        <f>IF(SER_hh_fech!O26=0,0,SER_hh_fech!O26/SER_summary!O$26)</f>
        <v>45.513587662993864</v>
      </c>
      <c r="P26" s="65">
        <f>IF(SER_hh_fech!P26=0,0,SER_hh_fech!P26/SER_summary!P$26)</f>
        <v>44.069337691377903</v>
      </c>
      <c r="Q26" s="65">
        <f>IF(SER_hh_fech!Q26=0,0,SER_hh_fech!Q26/SER_summary!Q$26)</f>
        <v>45.823883251538895</v>
      </c>
      <c r="R26" s="65">
        <f>IF(SER_hh_fech!R26=0,0,SER_hh_fech!R26/SER_summary!R$26)</f>
        <v>40.454590373010063</v>
      </c>
      <c r="S26" s="65">
        <f>IF(SER_hh_fech!S26=0,0,SER_hh_fech!S26/SER_summary!S$26)</f>
        <v>41.561893077882878</v>
      </c>
      <c r="T26" s="65">
        <f>IF(SER_hh_fech!T26=0,0,SER_hh_fech!T26/SER_summary!T$26)</f>
        <v>40.625664688316313</v>
      </c>
      <c r="U26" s="65">
        <f>IF(SER_hh_fech!U26=0,0,SER_hh_fech!U26/SER_summary!U$26)</f>
        <v>39.526078443669192</v>
      </c>
      <c r="V26" s="65">
        <f>IF(SER_hh_fech!V26=0,0,SER_hh_fech!V26/SER_summary!V$26)</f>
        <v>40.798620638809503</v>
      </c>
      <c r="W26" s="65">
        <f>IF(SER_hh_fech!W26=0,0,SER_hh_fech!W26/SER_summary!W$26)</f>
        <v>36.68563624439134</v>
      </c>
      <c r="X26" s="65">
        <f>IF(SER_hh_fech!X26=0,0,SER_hh_fech!X26/SER_summary!X$26)</f>
        <v>36.838349374489162</v>
      </c>
      <c r="Y26" s="65">
        <f>IF(SER_hh_fech!Y26=0,0,SER_hh_fech!Y26/SER_summary!Y$26)</f>
        <v>36.766508087891118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9.3331109969898452E-3</v>
      </c>
      <c r="H27" s="145">
        <f>IF(SER_hh_fech!H27=0,0,SER_hh_fech!H27/SER_summary!H$26)</f>
        <v>8.9258051523270886E-3</v>
      </c>
      <c r="I27" s="145">
        <f>IF(SER_hh_fech!I27=0,0,SER_hh_fech!I27/SER_summary!I$26)</f>
        <v>8.4561295149543081E-3</v>
      </c>
      <c r="J27" s="145">
        <f>IF(SER_hh_fech!J27=0,0,SER_hh_fech!J27/SER_summary!J$26)</f>
        <v>8.1859817576271886E-3</v>
      </c>
      <c r="K27" s="145">
        <f>IF(SER_hh_fech!K27=0,0,SER_hh_fech!K27/SER_summary!K$26)</f>
        <v>8.1995193070188207E-3</v>
      </c>
      <c r="L27" s="145">
        <f>IF(SER_hh_fech!L27=0,0,SER_hh_fech!L27/SER_summary!L$26)</f>
        <v>0.15233017864158147</v>
      </c>
      <c r="M27" s="145">
        <f>IF(SER_hh_fech!M27=0,0,SER_hh_fech!M27/SER_summary!M$26)</f>
        <v>0.18259625484130487</v>
      </c>
      <c r="N27" s="145">
        <f>IF(SER_hh_fech!N27=0,0,SER_hh_fech!N27/SER_summary!N$26)</f>
        <v>0.18080165065634785</v>
      </c>
      <c r="O27" s="145">
        <f>IF(SER_hh_fech!O27=0,0,SER_hh_fech!O27/SER_summary!O$26)</f>
        <v>9.3509128945570799E-2</v>
      </c>
      <c r="P27" s="145">
        <f>IF(SER_hh_fech!P27=0,0,SER_hh_fech!P27/SER_summary!P$26)</f>
        <v>0.37056049681381353</v>
      </c>
      <c r="Q27" s="145">
        <f>IF(SER_hh_fech!Q27=0,0,SER_hh_fech!Q27/SER_summary!Q$26)</f>
        <v>0.25922926744883007</v>
      </c>
      <c r="R27" s="145">
        <f>IF(SER_hh_fech!R27=0,0,SER_hh_fech!R27/SER_summary!R$26)</f>
        <v>0.27123171908003296</v>
      </c>
      <c r="S27" s="145">
        <f>IF(SER_hh_fech!S27=0,0,SER_hh_fech!S27/SER_summary!S$26)</f>
        <v>0.20087463615844775</v>
      </c>
      <c r="T27" s="145">
        <f>IF(SER_hh_fech!T27=0,0,SER_hh_fech!T27/SER_summary!T$26)</f>
        <v>0.21267411865312216</v>
      </c>
      <c r="U27" s="145">
        <f>IF(SER_hh_fech!U27=0,0,SER_hh_fech!U27/SER_summary!U$26)</f>
        <v>0.21675579943146064</v>
      </c>
      <c r="V27" s="145">
        <f>IF(SER_hh_fech!V27=0,0,SER_hh_fech!V27/SER_summary!V$26)</f>
        <v>0.22086335642485236</v>
      </c>
      <c r="W27" s="145">
        <f>IF(SER_hh_fech!W27=0,0,SER_hh_fech!W27/SER_summary!W$26)</f>
        <v>0.22505873888070069</v>
      </c>
      <c r="X27" s="145">
        <f>IF(SER_hh_fech!X27=0,0,SER_hh_fech!X27/SER_summary!X$26)</f>
        <v>0.26410601633197767</v>
      </c>
      <c r="Y27" s="145">
        <f>IF(SER_hh_fech!Y27=0,0,SER_hh_fech!Y27/SER_summary!Y$26)</f>
        <v>0.54994928698190615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20.878687305662954</v>
      </c>
      <c r="H28" s="146">
        <f>IF(SER_hh_fech!H28=0,0,SER_hh_fech!H28/SER_summary!H$26)</f>
        <v>21.019720499029599</v>
      </c>
      <c r="I28" s="146">
        <f>IF(SER_hh_fech!I28=0,0,SER_hh_fech!I28/SER_summary!I$26)</f>
        <v>20.744665802791978</v>
      </c>
      <c r="J28" s="146">
        <f>IF(SER_hh_fech!J28=0,0,SER_hh_fech!J28/SER_summary!J$26)</f>
        <v>20.621418631076967</v>
      </c>
      <c r="K28" s="146">
        <f>IF(SER_hh_fech!K28=0,0,SER_hh_fech!K28/SER_summary!K$26)</f>
        <v>21.307884954236265</v>
      </c>
      <c r="L28" s="146">
        <f>IF(SER_hh_fech!L28=0,0,SER_hh_fech!L28/SER_summary!L$26)</f>
        <v>19.81467502477922</v>
      </c>
      <c r="M28" s="146">
        <f>IF(SER_hh_fech!M28=0,0,SER_hh_fech!M28/SER_summary!M$26)</f>
        <v>21.104733259043922</v>
      </c>
      <c r="N28" s="146">
        <f>IF(SER_hh_fech!N28=0,0,SER_hh_fech!N28/SER_summary!N$26)</f>
        <v>20.834208190418487</v>
      </c>
      <c r="O28" s="146">
        <f>IF(SER_hh_fech!O28=0,0,SER_hh_fech!O28/SER_summary!O$26)</f>
        <v>19.707997243833841</v>
      </c>
      <c r="P28" s="146">
        <f>IF(SER_hh_fech!P28=0,0,SER_hh_fech!P28/SER_summary!P$26)</f>
        <v>21.32593446250662</v>
      </c>
      <c r="Q28" s="146">
        <f>IF(SER_hh_fech!Q28=0,0,SER_hh_fech!Q28/SER_summary!Q$26)</f>
        <v>21.177769350910292</v>
      </c>
      <c r="R28" s="146">
        <f>IF(SER_hh_fech!R28=0,0,SER_hh_fech!R28/SER_summary!R$26)</f>
        <v>21.319059163873103</v>
      </c>
      <c r="S28" s="146">
        <f>IF(SER_hh_fech!S28=0,0,SER_hh_fech!S28/SER_summary!S$26)</f>
        <v>22.444386032833812</v>
      </c>
      <c r="T28" s="146">
        <f>IF(SER_hh_fech!T28=0,0,SER_hh_fech!T28/SER_summary!T$26)</f>
        <v>21.453211452583879</v>
      </c>
      <c r="U28" s="146">
        <f>IF(SER_hh_fech!U28=0,0,SER_hh_fech!U28/SER_summary!U$26)</f>
        <v>21.652352407971826</v>
      </c>
      <c r="V28" s="146">
        <f>IF(SER_hh_fech!V28=0,0,SER_hh_fech!V28/SER_summary!V$26)</f>
        <v>19.306257680034506</v>
      </c>
      <c r="W28" s="146">
        <f>IF(SER_hh_fech!W28=0,0,SER_hh_fech!W28/SER_summary!W$26)</f>
        <v>17.655700475425427</v>
      </c>
      <c r="X28" s="146">
        <f>IF(SER_hh_fech!X28=0,0,SER_hh_fech!X28/SER_summary!X$26)</f>
        <v>23.517223400955924</v>
      </c>
      <c r="Y28" s="146">
        <f>IF(SER_hh_fech!Y28=0,0,SER_hh_fech!Y28/SER_summary!Y$26)</f>
        <v>18.929039315505417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39.820678751161715</v>
      </c>
      <c r="C29" s="130">
        <f>IF(SER_hh_fech!C29=0,0,SER_hh_fech!C29/SER_summary!C$26)</f>
        <v>40.903235395312755</v>
      </c>
      <c r="D29" s="130">
        <f>IF(SER_hh_fech!D29=0,0,SER_hh_fech!D29/SER_summary!D$26)</f>
        <v>44.296427424655988</v>
      </c>
      <c r="E29" s="130">
        <f>IF(SER_hh_fech!E29=0,0,SER_hh_fech!E29/SER_summary!E$26)</f>
        <v>44.55043490756033</v>
      </c>
      <c r="F29" s="130">
        <f>IF(SER_hh_fech!F29=0,0,SER_hh_fech!F29/SER_summary!F$26)</f>
        <v>44.34535758969362</v>
      </c>
      <c r="G29" s="130">
        <f>IF(SER_hh_fech!G29=0,0,SER_hh_fech!G29/SER_summary!G$26)</f>
        <v>44.858351766395707</v>
      </c>
      <c r="H29" s="130">
        <f>IF(SER_hh_fech!H29=0,0,SER_hh_fech!H29/SER_summary!H$26)</f>
        <v>44.163383383766543</v>
      </c>
      <c r="I29" s="130">
        <f>IF(SER_hh_fech!I29=0,0,SER_hh_fech!I29/SER_summary!I$26)</f>
        <v>41.259525786205309</v>
      </c>
      <c r="J29" s="130">
        <f>IF(SER_hh_fech!J29=0,0,SER_hh_fech!J29/SER_summary!J$26)</f>
        <v>39.668190368948594</v>
      </c>
      <c r="K29" s="130">
        <f>IF(SER_hh_fech!K29=0,0,SER_hh_fech!K29/SER_summary!K$26)</f>
        <v>41.149793246153187</v>
      </c>
      <c r="L29" s="130">
        <f>IF(SER_hh_fech!L29=0,0,SER_hh_fech!L29/SER_summary!L$26)</f>
        <v>40.989715614768265</v>
      </c>
      <c r="M29" s="130">
        <f>IF(SER_hh_fech!M29=0,0,SER_hh_fech!M29/SER_summary!M$26)</f>
        <v>38.576756375861422</v>
      </c>
      <c r="N29" s="130">
        <f>IF(SER_hh_fech!N29=0,0,SER_hh_fech!N29/SER_summary!N$26)</f>
        <v>39.741758406082667</v>
      </c>
      <c r="O29" s="130">
        <f>IF(SER_hh_fech!O29=0,0,SER_hh_fech!O29/SER_summary!O$26)</f>
        <v>40.369788040828993</v>
      </c>
      <c r="P29" s="130">
        <f>IF(SER_hh_fech!P29=0,0,SER_hh_fech!P29/SER_summary!P$26)</f>
        <v>39.982358552130044</v>
      </c>
      <c r="Q29" s="130">
        <f>IF(SER_hh_fech!Q29=0,0,SER_hh_fech!Q29/SER_summary!Q$26)</f>
        <v>40.297445533706018</v>
      </c>
      <c r="R29" s="130">
        <f>IF(SER_hh_fech!R29=0,0,SER_hh_fech!R29/SER_summary!R$26)</f>
        <v>39.599660967805178</v>
      </c>
      <c r="S29" s="130">
        <f>IF(SER_hh_fech!S29=0,0,SER_hh_fech!S29/SER_summary!S$26)</f>
        <v>38.445307694970147</v>
      </c>
      <c r="T29" s="130">
        <f>IF(SER_hh_fech!T29=0,0,SER_hh_fech!T29/SER_summary!T$26)</f>
        <v>37.161896277480118</v>
      </c>
      <c r="U29" s="130">
        <f>IF(SER_hh_fech!U29=0,0,SER_hh_fech!U29/SER_summary!U$26)</f>
        <v>35.255659178445754</v>
      </c>
      <c r="V29" s="130">
        <f>IF(SER_hh_fech!V29=0,0,SER_hh_fech!V29/SER_summary!V$26)</f>
        <v>31.741097880863826</v>
      </c>
      <c r="W29" s="130">
        <f>IF(SER_hh_fech!W29=0,0,SER_hh_fech!W29/SER_summary!W$26)</f>
        <v>36.757161107938501</v>
      </c>
      <c r="X29" s="130">
        <f>IF(SER_hh_fech!X29=0,0,SER_hh_fech!X29/SER_summary!X$26)</f>
        <v>36.126901272558889</v>
      </c>
      <c r="Y29" s="130">
        <f>IF(SER_hh_fech!Y29=0,0,SER_hh_fech!Y29/SER_summary!Y$26)</f>
        <v>35.117986094262719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21.564191172910874</v>
      </c>
      <c r="C30" s="132">
        <f>IF(SER_hh_fech!C30=0,0,SER_hh_fech!C30/SER_summary!C$26)</f>
        <v>34.612148898056155</v>
      </c>
      <c r="D30" s="132">
        <f>IF(SER_hh_fech!D30=0,0,SER_hh_fech!D30/SER_summary!D$26)</f>
        <v>55.506270404035511</v>
      </c>
      <c r="E30" s="132">
        <f>IF(SER_hh_fech!E30=0,0,SER_hh_fech!E30/SER_summary!E$26)</f>
        <v>57.230351862229398</v>
      </c>
      <c r="F30" s="132">
        <f>IF(SER_hh_fech!F30=0,0,SER_hh_fech!F30/SER_summary!F$26)</f>
        <v>61.90418190521472</v>
      </c>
      <c r="G30" s="132">
        <f>IF(SER_hh_fech!G30=0,0,SER_hh_fech!G30/SER_summary!G$26)</f>
        <v>48.510646116121791</v>
      </c>
      <c r="H30" s="132">
        <f>IF(SER_hh_fech!H30=0,0,SER_hh_fech!H30/SER_summary!H$26)</f>
        <v>56.640958181942914</v>
      </c>
      <c r="I30" s="132">
        <f>IF(SER_hh_fech!I30=0,0,SER_hh_fech!I30/SER_summary!I$26)</f>
        <v>31.293555543778663</v>
      </c>
      <c r="J30" s="132">
        <f>IF(SER_hh_fech!J30=0,0,SER_hh_fech!J30/SER_summary!J$26)</f>
        <v>11.060853480813561</v>
      </c>
      <c r="K30" s="132">
        <f>IF(SER_hh_fech!K30=0,0,SER_hh_fech!K30/SER_summary!K$26)</f>
        <v>52.904910045859545</v>
      </c>
      <c r="L30" s="132">
        <f>IF(SER_hh_fech!L30=0,0,SER_hh_fech!L30/SER_summary!L$26)</f>
        <v>92.122189883447476</v>
      </c>
      <c r="M30" s="132">
        <f>IF(SER_hh_fech!M30=0,0,SER_hh_fech!M30/SER_summary!M$26)</f>
        <v>10.932477831632928</v>
      </c>
      <c r="N30" s="132">
        <f>IF(SER_hh_fech!N30=0,0,SER_hh_fech!N30/SER_summary!N$26)</f>
        <v>53.987383990293033</v>
      </c>
      <c r="O30" s="132">
        <f>IF(SER_hh_fech!O30=0,0,SER_hh_fech!O30/SER_summary!O$26)</f>
        <v>52.113489916674119</v>
      </c>
      <c r="P30" s="132">
        <f>IF(SER_hh_fech!P30=0,0,SER_hh_fech!P30/SER_summary!P$26)</f>
        <v>47.716019662025474</v>
      </c>
      <c r="Q30" s="132">
        <f>IF(SER_hh_fech!Q30=0,0,SER_hh_fech!Q30/SER_summary!Q$26)</f>
        <v>45.299870567610078</v>
      </c>
      <c r="R30" s="132">
        <f>IF(SER_hh_fech!R30=0,0,SER_hh_fech!R30/SER_summary!R$26)</f>
        <v>48.025263888860124</v>
      </c>
      <c r="S30" s="132">
        <f>IF(SER_hh_fech!S30=0,0,SER_hh_fech!S30/SER_summary!S$26)</f>
        <v>32.314905106516271</v>
      </c>
      <c r="T30" s="132">
        <f>IF(SER_hh_fech!T30=0,0,SER_hh_fech!T30/SER_summary!T$26)</f>
        <v>49.363007250581376</v>
      </c>
      <c r="U30" s="132">
        <f>IF(SER_hh_fech!U30=0,0,SER_hh_fech!U30/SER_summary!U$26)</f>
        <v>45.005083794388653</v>
      </c>
      <c r="V30" s="132">
        <f>IF(SER_hh_fech!V30=0,0,SER_hh_fech!V30/SER_summary!V$26)</f>
        <v>32.682076656433679</v>
      </c>
      <c r="W30" s="132">
        <f>IF(SER_hh_fech!W30=0,0,SER_hh_fech!W30/SER_summary!W$26)</f>
        <v>34.326552792925511</v>
      </c>
      <c r="X30" s="132">
        <f>IF(SER_hh_fech!X30=0,0,SER_hh_fech!X30/SER_summary!X$26)</f>
        <v>57.78818887705765</v>
      </c>
      <c r="Y30" s="132">
        <f>IF(SER_hh_fech!Y30=0,0,SER_hh_fech!Y30/SER_summary!Y$26)</f>
        <v>32.306380116039726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45.437603184964502</v>
      </c>
      <c r="C31" s="132">
        <f>IF(SER_hh_fech!C31=0,0,SER_hh_fech!C31/SER_summary!C$26)</f>
        <v>45.198995958032114</v>
      </c>
      <c r="D31" s="132">
        <f>IF(SER_hh_fech!D31=0,0,SER_hh_fech!D31/SER_summary!D$26)</f>
        <v>47.761639816179319</v>
      </c>
      <c r="E31" s="132">
        <f>IF(SER_hh_fech!E31=0,0,SER_hh_fech!E31/SER_summary!E$26)</f>
        <v>47.624885217981841</v>
      </c>
      <c r="F31" s="132">
        <f>IF(SER_hh_fech!F31=0,0,SER_hh_fech!F31/SER_summary!F$26)</f>
        <v>37.232179123585055</v>
      </c>
      <c r="G31" s="132">
        <f>IF(SER_hh_fech!G31=0,0,SER_hh_fech!G31/SER_summary!G$26)</f>
        <v>49.797586729563555</v>
      </c>
      <c r="H31" s="132">
        <f>IF(SER_hh_fech!H31=0,0,SER_hh_fech!H31/SER_summary!H$26)</f>
        <v>49.594246749876298</v>
      </c>
      <c r="I31" s="132">
        <f>IF(SER_hh_fech!I31=0,0,SER_hh_fech!I31/SER_summary!I$26)</f>
        <v>49.1087123503263</v>
      </c>
      <c r="J31" s="132">
        <f>IF(SER_hh_fech!J31=0,0,SER_hh_fech!J31/SER_summary!J$26)</f>
        <v>47.974198936718231</v>
      </c>
      <c r="K31" s="132">
        <f>IF(SER_hh_fech!K31=0,0,SER_hh_fech!K31/SER_summary!K$26)</f>
        <v>47.379348491271166</v>
      </c>
      <c r="L31" s="132">
        <f>IF(SER_hh_fech!L31=0,0,SER_hh_fech!L31/SER_summary!L$26)</f>
        <v>46.859575317836921</v>
      </c>
      <c r="M31" s="132">
        <f>IF(SER_hh_fech!M31=0,0,SER_hh_fech!M31/SER_summary!M$26)</f>
        <v>42.122803792679562</v>
      </c>
      <c r="N31" s="132">
        <f>IF(SER_hh_fech!N31=0,0,SER_hh_fech!N31/SER_summary!N$26)</f>
        <v>44.020226367088249</v>
      </c>
      <c r="O31" s="132">
        <f>IF(SER_hh_fech!O31=0,0,SER_hh_fech!O31/SER_summary!O$26)</f>
        <v>47.216260531482163</v>
      </c>
      <c r="P31" s="132">
        <f>IF(SER_hh_fech!P31=0,0,SER_hh_fech!P31/SER_summary!P$26)</f>
        <v>45.373510663089782</v>
      </c>
      <c r="Q31" s="132">
        <f>IF(SER_hh_fech!Q31=0,0,SER_hh_fech!Q31/SER_summary!Q$26)</f>
        <v>47.461318485047912</v>
      </c>
      <c r="R31" s="132">
        <f>IF(SER_hh_fech!R31=0,0,SER_hh_fech!R31/SER_summary!R$26)</f>
        <v>46.894311945599007</v>
      </c>
      <c r="S31" s="132">
        <f>IF(SER_hh_fech!S31=0,0,SER_hh_fech!S31/SER_summary!S$26)</f>
        <v>45.651839204548082</v>
      </c>
      <c r="T31" s="132">
        <f>IF(SER_hh_fech!T31=0,0,SER_hh_fech!T31/SER_summary!T$26)</f>
        <v>41.530291969113954</v>
      </c>
      <c r="U31" s="132">
        <f>IF(SER_hh_fech!U31=0,0,SER_hh_fech!U31/SER_summary!U$26)</f>
        <v>34.42909319706505</v>
      </c>
      <c r="V31" s="132">
        <f>IF(SER_hh_fech!V31=0,0,SER_hh_fech!V31/SER_summary!V$26)</f>
        <v>30.284777184310038</v>
      </c>
      <c r="W31" s="132">
        <f>IF(SER_hh_fech!W31=0,0,SER_hh_fech!W31/SER_summary!W$26)</f>
        <v>48.134723673897987</v>
      </c>
      <c r="X31" s="132">
        <f>IF(SER_hh_fech!X31=0,0,SER_hh_fech!X31/SER_summary!X$26)</f>
        <v>45.340086256115008</v>
      </c>
      <c r="Y31" s="132">
        <f>IF(SER_hh_fech!Y31=0,0,SER_hh_fech!Y31/SER_summary!Y$26)</f>
        <v>41.29966388471594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39.14364921756205</v>
      </c>
      <c r="C33" s="68">
        <f>IF(SER_hh_fech!C33=0,0,SER_hh_fech!C33/SER_summary!C$26)</f>
        <v>38.955392795281924</v>
      </c>
      <c r="D33" s="68">
        <f>IF(SER_hh_fech!D33=0,0,SER_hh_fech!D33/SER_summary!D$26)</f>
        <v>28.690906974504909</v>
      </c>
      <c r="E33" s="68">
        <f>IF(SER_hh_fech!E33=0,0,SER_hh_fech!E33/SER_summary!E$26)</f>
        <v>29.813814352265691</v>
      </c>
      <c r="F33" s="68">
        <f>IF(SER_hh_fech!F33=0,0,SER_hh_fech!F33/SER_summary!F$26)</f>
        <v>36.790680528976615</v>
      </c>
      <c r="G33" s="68">
        <f>IF(SER_hh_fech!G33=0,0,SER_hh_fech!G33/SER_summary!G$26)</f>
        <v>37.731932939828837</v>
      </c>
      <c r="H33" s="68">
        <f>IF(SER_hh_fech!H33=0,0,SER_hh_fech!H33/SER_summary!H$26)</f>
        <v>34.369326648189052</v>
      </c>
      <c r="I33" s="68">
        <f>IF(SER_hh_fech!I33=0,0,SER_hh_fech!I33/SER_summary!I$26)</f>
        <v>37.252055414293721</v>
      </c>
      <c r="J33" s="68">
        <f>IF(SER_hh_fech!J33=0,0,SER_hh_fech!J33/SER_summary!J$26)</f>
        <v>37.390438420192936</v>
      </c>
      <c r="K33" s="68">
        <f>IF(SER_hh_fech!K33=0,0,SER_hh_fech!K33/SER_summary!K$26)</f>
        <v>35.394033072916287</v>
      </c>
      <c r="L33" s="68">
        <f>IF(SER_hh_fech!L33=0,0,SER_hh_fech!L33/SER_summary!L$26)</f>
        <v>30.832203909614336</v>
      </c>
      <c r="M33" s="68">
        <f>IF(SER_hh_fech!M33=0,0,SER_hh_fech!M33/SER_summary!M$26)</f>
        <v>39.608006577105378</v>
      </c>
      <c r="N33" s="68">
        <f>IF(SER_hh_fech!N33=0,0,SER_hh_fech!N33/SER_summary!N$26)</f>
        <v>34.966388538703399</v>
      </c>
      <c r="O33" s="68">
        <f>IF(SER_hh_fech!O33=0,0,SER_hh_fech!O33/SER_summary!O$26)</f>
        <v>33.38560090257495</v>
      </c>
      <c r="P33" s="68">
        <f>IF(SER_hh_fech!P33=0,0,SER_hh_fech!P33/SER_summary!P$26)</f>
        <v>33.97483846584317</v>
      </c>
      <c r="Q33" s="68">
        <f>IF(SER_hh_fech!Q33=0,0,SER_hh_fech!Q33/SER_summary!Q$26)</f>
        <v>32.685230320453279</v>
      </c>
      <c r="R33" s="68">
        <f>IF(SER_hh_fech!R33=0,0,SER_hh_fech!R33/SER_summary!R$26)</f>
        <v>31.98970714927221</v>
      </c>
      <c r="S33" s="68">
        <f>IF(SER_hh_fech!S33=0,0,SER_hh_fech!S33/SER_summary!S$26)</f>
        <v>32.95195117961957</v>
      </c>
      <c r="T33" s="68">
        <f>IF(SER_hh_fech!T33=0,0,SER_hh_fech!T33/SER_summary!T$26)</f>
        <v>33.309685337713226</v>
      </c>
      <c r="U33" s="68">
        <f>IF(SER_hh_fech!U33=0,0,SER_hh_fech!U33/SER_summary!U$26)</f>
        <v>35.474921585168715</v>
      </c>
      <c r="V33" s="68">
        <f>IF(SER_hh_fech!V33=0,0,SER_hh_fech!V33/SER_summary!V$26)</f>
        <v>32.783862297266793</v>
      </c>
      <c r="W33" s="68">
        <f>IF(SER_hh_fech!W33=0,0,SER_hh_fech!W33/SER_summary!W$26)</f>
        <v>28.671305022144484</v>
      </c>
      <c r="X33" s="68">
        <f>IF(SER_hh_fech!X33=0,0,SER_hh_fech!X33/SER_summary!X$26)</f>
        <v>28.47662871131044</v>
      </c>
      <c r="Y33" s="68">
        <f>IF(SER_hh_fech!Y33=0,0,SER_hh_fech!Y33/SER_summary!Y$26)</f>
        <v>30.574921547253879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494.60819586928034</v>
      </c>
      <c r="C3" s="125">
        <f>IF(SER_hh_tesh!C3=0,0,SER_hh_tesh!C3/SER_summary!C$26)</f>
        <v>395.50585676631363</v>
      </c>
      <c r="D3" s="125">
        <f>IF(SER_hh_tesh!D3=0,0,SER_hh_tesh!D3/SER_summary!D$26)</f>
        <v>363.41362631502199</v>
      </c>
      <c r="E3" s="125">
        <f>IF(SER_hh_tesh!E3=0,0,SER_hh_tesh!E3/SER_summary!E$26)</f>
        <v>291.06252669990641</v>
      </c>
      <c r="F3" s="125">
        <f>IF(SER_hh_tesh!F3=0,0,SER_hh_tesh!F3/SER_summary!F$26)</f>
        <v>329.91098235427745</v>
      </c>
      <c r="G3" s="125">
        <f>IF(SER_hh_tesh!G3=0,0,SER_hh_tesh!G3/SER_summary!G$26)</f>
        <v>369.42895047147147</v>
      </c>
      <c r="H3" s="125">
        <f>IF(SER_hh_tesh!H3=0,0,SER_hh_tesh!H3/SER_summary!H$26)</f>
        <v>377.40407724962199</v>
      </c>
      <c r="I3" s="125">
        <f>IF(SER_hh_tesh!I3=0,0,SER_hh_tesh!I3/SER_summary!I$26)</f>
        <v>360.8851081319732</v>
      </c>
      <c r="J3" s="125">
        <f>IF(SER_hh_tesh!J3=0,0,SER_hh_tesh!J3/SER_summary!J$26)</f>
        <v>364.17153270448711</v>
      </c>
      <c r="K3" s="125">
        <f>IF(SER_hh_tesh!K3=0,0,SER_hh_tesh!K3/SER_summary!K$26)</f>
        <v>379.58952886579107</v>
      </c>
      <c r="L3" s="125">
        <f>IF(SER_hh_tesh!L3=0,0,SER_hh_tesh!L3/SER_summary!L$26)</f>
        <v>403.37610792118704</v>
      </c>
      <c r="M3" s="125">
        <f>IF(SER_hh_tesh!M3=0,0,SER_hh_tesh!M3/SER_summary!M$26)</f>
        <v>310.07758131813267</v>
      </c>
      <c r="N3" s="125">
        <f>IF(SER_hh_tesh!N3=0,0,SER_hh_tesh!N3/SER_summary!N$26)</f>
        <v>264.41112581142147</v>
      </c>
      <c r="O3" s="125">
        <f>IF(SER_hh_tesh!O3=0,0,SER_hh_tesh!O3/SER_summary!O$26)</f>
        <v>318.27535906508467</v>
      </c>
      <c r="P3" s="125">
        <f>IF(SER_hh_tesh!P3=0,0,SER_hh_tesh!P3/SER_summary!P$26)</f>
        <v>216.45850948671779</v>
      </c>
      <c r="Q3" s="125">
        <f>IF(SER_hh_tesh!Q3=0,0,SER_hh_tesh!Q3/SER_summary!Q$26)</f>
        <v>229.45517428918237</v>
      </c>
      <c r="R3" s="125">
        <f>IF(SER_hh_tesh!R3=0,0,SER_hh_tesh!R3/SER_summary!R$26)</f>
        <v>233.76971108151392</v>
      </c>
      <c r="S3" s="125">
        <f>IF(SER_hh_tesh!S3=0,0,SER_hh_tesh!S3/SER_summary!S$26)</f>
        <v>256.86065516310401</v>
      </c>
      <c r="T3" s="125">
        <f>IF(SER_hh_tesh!T3=0,0,SER_hh_tesh!T3/SER_summary!T$26)</f>
        <v>233.11106529767579</v>
      </c>
      <c r="U3" s="125">
        <f>IF(SER_hh_tesh!U3=0,0,SER_hh_tesh!U3/SER_summary!U$26)</f>
        <v>211.45138299603605</v>
      </c>
      <c r="V3" s="125">
        <f>IF(SER_hh_tesh!V3=0,0,SER_hh_tesh!V3/SER_summary!V$26)</f>
        <v>189.2774087658689</v>
      </c>
      <c r="W3" s="125">
        <f>IF(SER_hh_tesh!W3=0,0,SER_hh_tesh!W3/SER_summary!W$26)</f>
        <v>251.31934699950389</v>
      </c>
      <c r="X3" s="125">
        <f>IF(SER_hh_tesh!X3=0,0,SER_hh_tesh!X3/SER_summary!X$26)</f>
        <v>230.4238516898865</v>
      </c>
      <c r="Y3" s="125">
        <f>IF(SER_hh_tesh!Y3=0,0,SER_hh_tesh!Y3/SER_summary!Y$26)</f>
        <v>202.58075768062997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434.72904475870195</v>
      </c>
      <c r="C4" s="130">
        <f>IF(SER_hh_tesh!C4=0,0,SER_hh_tesh!C4/SER_summary!C$26)</f>
        <v>335.5863315925489</v>
      </c>
      <c r="D4" s="130">
        <f>IF(SER_hh_tesh!D4=0,0,SER_hh_tesh!D4/SER_summary!D$26)</f>
        <v>301.29570526454984</v>
      </c>
      <c r="E4" s="130">
        <f>IF(SER_hh_tesh!E4=0,0,SER_hh_tesh!E4/SER_summary!E$26)</f>
        <v>227.91899308492449</v>
      </c>
      <c r="F4" s="130">
        <f>IF(SER_hh_tesh!F4=0,0,SER_hh_tesh!F4/SER_summary!F$26)</f>
        <v>266.26108801549606</v>
      </c>
      <c r="G4" s="130">
        <f>IF(SER_hh_tesh!G4=0,0,SER_hh_tesh!G4/SER_summary!G$26)</f>
        <v>304.27023758517265</v>
      </c>
      <c r="H4" s="130">
        <f>IF(SER_hh_tesh!H4=0,0,SER_hh_tesh!H4/SER_summary!H$26)</f>
        <v>311.9604651184037</v>
      </c>
      <c r="I4" s="130">
        <f>IF(SER_hh_tesh!I4=0,0,SER_hh_tesh!I4/SER_summary!I$26)</f>
        <v>296.25465288347453</v>
      </c>
      <c r="J4" s="130">
        <f>IF(SER_hh_tesh!J4=0,0,SER_hh_tesh!J4/SER_summary!J$26)</f>
        <v>300.4622267988529</v>
      </c>
      <c r="K4" s="130">
        <f>IF(SER_hh_tesh!K4=0,0,SER_hh_tesh!K4/SER_summary!K$26)</f>
        <v>313.9017167311718</v>
      </c>
      <c r="L4" s="130">
        <f>IF(SER_hh_tesh!L4=0,0,SER_hh_tesh!L4/SER_summary!L$26)</f>
        <v>337.54304382488112</v>
      </c>
      <c r="M4" s="130">
        <f>IF(SER_hh_tesh!M4=0,0,SER_hh_tesh!M4/SER_summary!M$26)</f>
        <v>244.73845807969082</v>
      </c>
      <c r="N4" s="130">
        <f>IF(SER_hh_tesh!N4=0,0,SER_hh_tesh!N4/SER_summary!N$26)</f>
        <v>197.81869449348022</v>
      </c>
      <c r="O4" s="130">
        <f>IF(SER_hh_tesh!O4=0,0,SER_hh_tesh!O4/SER_summary!O$26)</f>
        <v>251.66877829746949</v>
      </c>
      <c r="P4" s="130">
        <f>IF(SER_hh_tesh!P4=0,0,SER_hh_tesh!P4/SER_summary!P$26)</f>
        <v>150.35702045046617</v>
      </c>
      <c r="Q4" s="130">
        <f>IF(SER_hh_tesh!Q4=0,0,SER_hh_tesh!Q4/SER_summary!Q$26)</f>
        <v>161.95967914145217</v>
      </c>
      <c r="R4" s="130">
        <f>IF(SER_hh_tesh!R4=0,0,SER_hh_tesh!R4/SER_summary!R$26)</f>
        <v>167.38439600016144</v>
      </c>
      <c r="S4" s="130">
        <f>IF(SER_hh_tesh!S4=0,0,SER_hh_tesh!S4/SER_summary!S$26)</f>
        <v>189.72920081499694</v>
      </c>
      <c r="T4" s="130">
        <f>IF(SER_hh_tesh!T4=0,0,SER_hh_tesh!T4/SER_summary!T$26)</f>
        <v>166.80701314269092</v>
      </c>
      <c r="U4" s="130">
        <f>IF(SER_hh_tesh!U4=0,0,SER_hh_tesh!U4/SER_summary!U$26)</f>
        <v>145.74618643387106</v>
      </c>
      <c r="V4" s="130">
        <f>IF(SER_hh_tesh!V4=0,0,SER_hh_tesh!V4/SER_summary!V$26)</f>
        <v>129.75726369148404</v>
      </c>
      <c r="W4" s="130">
        <f>IF(SER_hh_tesh!W4=0,0,SER_hh_tesh!W4/SER_summary!W$26)</f>
        <v>185.66325155407876</v>
      </c>
      <c r="X4" s="130">
        <f>IF(SER_hh_tesh!X4=0,0,SER_hh_tesh!X4/SER_summary!X$26)</f>
        <v>164.26197085318563</v>
      </c>
      <c r="Y4" s="130">
        <f>IF(SER_hh_tesh!Y4=0,0,SER_hh_tesh!Y4/SER_summary!Y$26)</f>
        <v>136.94683828271792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359.85680147520304</v>
      </c>
      <c r="C5" s="132">
        <f>IF(SER_hh_tesh!C5=0,0,SER_hh_tesh!C5/SER_summary!C$26)</f>
        <v>305.24037473868981</v>
      </c>
      <c r="D5" s="132">
        <f>IF(SER_hh_tesh!D5=0,0,SER_hh_tesh!D5/SER_summary!D$26)</f>
        <v>408.3580735492796</v>
      </c>
      <c r="E5" s="132">
        <f>IF(SER_hh_tesh!E5=0,0,SER_hh_tesh!E5/SER_summary!E$26)</f>
        <v>98.06209327920206</v>
      </c>
      <c r="F5" s="132">
        <f>IF(SER_hh_tesh!F5=0,0,SER_hh_tesh!F5/SER_summary!F$26)</f>
        <v>384.09670141804395</v>
      </c>
      <c r="G5" s="132">
        <f>IF(SER_hh_tesh!G5=0,0,SER_hh_tesh!G5/SER_summary!G$26)</f>
        <v>88.621519701671502</v>
      </c>
      <c r="H5" s="132">
        <f>IF(SER_hh_tesh!H5=0,0,SER_hh_tesh!H5/SER_summary!H$26)</f>
        <v>212.92884404754247</v>
      </c>
      <c r="I5" s="132">
        <f>IF(SER_hh_tesh!I5=0,0,SER_hh_tesh!I5/SER_summary!I$26)</f>
        <v>256.06728888413284</v>
      </c>
      <c r="J5" s="132">
        <f>IF(SER_hh_tesh!J5=0,0,SER_hh_tesh!J5/SER_summary!J$26)</f>
        <v>270.63347199939307</v>
      </c>
      <c r="K5" s="132">
        <f>IF(SER_hh_tesh!K5=0,0,SER_hh_tesh!K5/SER_summary!K$26)</f>
        <v>494.54783778089342</v>
      </c>
      <c r="L5" s="132">
        <f>IF(SER_hh_tesh!L5=0,0,SER_hh_tesh!L5/SER_summary!L$26)</f>
        <v>271.44839006555708</v>
      </c>
      <c r="M5" s="132">
        <f>IF(SER_hh_tesh!M5=0,0,SER_hh_tesh!M5/SER_summary!M$26)</f>
        <v>316.65076325281194</v>
      </c>
      <c r="N5" s="132">
        <f>IF(SER_hh_tesh!N5=0,0,SER_hh_tesh!N5/SER_summary!N$26)</f>
        <v>117.52444577140128</v>
      </c>
      <c r="O5" s="132">
        <f>IF(SER_hh_tesh!O5=0,0,SER_hh_tesh!O5/SER_summary!O$26)</f>
        <v>243.57704507860004</v>
      </c>
      <c r="P5" s="132">
        <f>IF(SER_hh_tesh!P5=0,0,SER_hh_tesh!P5/SER_summary!P$26)</f>
        <v>167.01392549816089</v>
      </c>
      <c r="Q5" s="132">
        <f>IF(SER_hh_tesh!Q5=0,0,SER_hh_tesh!Q5/SER_summary!Q$26)</f>
        <v>183.57159329609112</v>
      </c>
      <c r="R5" s="132">
        <f>IF(SER_hh_tesh!R5=0,0,SER_hh_tesh!R5/SER_summary!R$26)</f>
        <v>120.55406491651036</v>
      </c>
      <c r="S5" s="132">
        <f>IF(SER_hh_tesh!S5=0,0,SER_hh_tesh!S5/SER_summary!S$26)</f>
        <v>149.96398011551091</v>
      </c>
      <c r="T5" s="132">
        <f>IF(SER_hh_tesh!T5=0,0,SER_hh_tesh!T5/SER_summary!T$26)</f>
        <v>160.81994246664584</v>
      </c>
      <c r="U5" s="132">
        <f>IF(SER_hh_tesh!U5=0,0,SER_hh_tesh!U5/SER_summary!U$26)</f>
        <v>234.0692241844562</v>
      </c>
      <c r="V5" s="132">
        <f>IF(SER_hh_tesh!V5=0,0,SER_hh_tesh!V5/SER_summary!V$26)</f>
        <v>100.74517853948387</v>
      </c>
      <c r="W5" s="132">
        <f>IF(SER_hh_tesh!W5=0,0,SER_hh_tesh!W5/SER_summary!W$26)</f>
        <v>184.50575275663417</v>
      </c>
      <c r="X5" s="132">
        <f>IF(SER_hh_tesh!X5=0,0,SER_hh_tesh!X5/SER_summary!X$26)</f>
        <v>143.55132841904236</v>
      </c>
      <c r="Y5" s="132">
        <f>IF(SER_hh_tesh!Y5=0,0,SER_hh_tesh!Y5/SER_summary!Y$26)</f>
        <v>137.11699857547981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53.53217747331972</v>
      </c>
      <c r="C7" s="132">
        <f>IF(SER_hh_tesh!C7=0,0,SER_hh_tesh!C7/SER_summary!C$26)</f>
        <v>469.55860282861596</v>
      </c>
      <c r="D7" s="132">
        <f>IF(SER_hh_tesh!D7=0,0,SER_hh_tesh!D7/SER_summary!D$26)</f>
        <v>333.09179662753564</v>
      </c>
      <c r="E7" s="132">
        <f>IF(SER_hh_tesh!E7=0,0,SER_hh_tesh!E7/SER_summary!E$26)</f>
        <v>122.14683387155588</v>
      </c>
      <c r="F7" s="132">
        <f>IF(SER_hh_tesh!F7=0,0,SER_hh_tesh!F7/SER_summary!F$26)</f>
        <v>323.79914926401739</v>
      </c>
      <c r="G7" s="132">
        <f>IF(SER_hh_tesh!G7=0,0,SER_hh_tesh!G7/SER_summary!G$26)</f>
        <v>383.69351848760408</v>
      </c>
      <c r="H7" s="132">
        <f>IF(SER_hh_tesh!H7=0,0,SER_hh_tesh!H7/SER_summary!H$26)</f>
        <v>325.74324586607031</v>
      </c>
      <c r="I7" s="132">
        <f>IF(SER_hh_tesh!I7=0,0,SER_hh_tesh!I7/SER_summary!I$26)</f>
        <v>34.390579504705805</v>
      </c>
      <c r="J7" s="132">
        <f>IF(SER_hh_tesh!J7=0,0,SER_hh_tesh!J7/SER_summary!J$26)</f>
        <v>212.19820226757284</v>
      </c>
      <c r="K7" s="132">
        <f>IF(SER_hh_tesh!K7=0,0,SER_hh_tesh!K7/SER_summary!K$26)</f>
        <v>631.1533498906125</v>
      </c>
      <c r="L7" s="132">
        <f>IF(SER_hh_tesh!L7=0,0,SER_hh_tesh!L7/SER_summary!L$26)</f>
        <v>0</v>
      </c>
      <c r="M7" s="132">
        <f>IF(SER_hh_tesh!M7=0,0,SER_hh_tesh!M7/SER_summary!M$26)</f>
        <v>0</v>
      </c>
      <c r="N7" s="132">
        <f>IF(SER_hh_tesh!N7=0,0,SER_hh_tesh!N7/SER_summary!N$26)</f>
        <v>0</v>
      </c>
      <c r="O7" s="132">
        <f>IF(SER_hh_tesh!O7=0,0,SER_hh_tesh!O7/SER_summary!O$26)</f>
        <v>79.707361065128822</v>
      </c>
      <c r="P7" s="132">
        <f>IF(SER_hh_tesh!P7=0,0,SER_hh_tesh!P7/SER_summary!P$26)</f>
        <v>204.54929817819061</v>
      </c>
      <c r="Q7" s="132">
        <f>IF(SER_hh_tesh!Q7=0,0,SER_hh_tesh!Q7/SER_summary!Q$26)</f>
        <v>210.21316317743563</v>
      </c>
      <c r="R7" s="132">
        <f>IF(SER_hh_tesh!R7=0,0,SER_hh_tesh!R7/SER_summary!R$26)</f>
        <v>141.1182989315804</v>
      </c>
      <c r="S7" s="132">
        <f>IF(SER_hh_tesh!S7=0,0,SER_hh_tesh!S7/SER_summary!S$26)</f>
        <v>112.98891417118462</v>
      </c>
      <c r="T7" s="132">
        <f>IF(SER_hh_tesh!T7=0,0,SER_hh_tesh!T7/SER_summary!T$26)</f>
        <v>78.67400358992451</v>
      </c>
      <c r="U7" s="132">
        <f>IF(SER_hh_tesh!U7=0,0,SER_hh_tesh!U7/SER_summary!U$26)</f>
        <v>205.29888622960669</v>
      </c>
      <c r="V7" s="132">
        <f>IF(SER_hh_tesh!V7=0,0,SER_hh_tesh!V7/SER_summary!V$26)</f>
        <v>128.10950199367585</v>
      </c>
      <c r="W7" s="132">
        <f>IF(SER_hh_tesh!W7=0,0,SER_hh_tesh!W7/SER_summary!W$26)</f>
        <v>143.72453624241257</v>
      </c>
      <c r="X7" s="132">
        <f>IF(SER_hh_tesh!X7=0,0,SER_hh_tesh!X7/SER_summary!X$26)</f>
        <v>197.38169100267748</v>
      </c>
      <c r="Y7" s="132">
        <f>IF(SER_hh_tesh!Y7=0,0,SER_hh_tesh!Y7/SER_summary!Y$26)</f>
        <v>110.22834402488613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340.89068055831387</v>
      </c>
      <c r="C8" s="132">
        <f>IF(SER_hh_tesh!C8=0,0,SER_hh_tesh!C8/SER_summary!C$26)</f>
        <v>318.73854199652635</v>
      </c>
      <c r="D8" s="132">
        <f>IF(SER_hh_tesh!D8=0,0,SER_hh_tesh!D8/SER_summary!D$26)</f>
        <v>250.89778070099561</v>
      </c>
      <c r="E8" s="132">
        <f>IF(SER_hh_tesh!E8=0,0,SER_hh_tesh!E8/SER_summary!E$26)</f>
        <v>262.18133901644688</v>
      </c>
      <c r="F8" s="132">
        <f>IF(SER_hh_tesh!F8=0,0,SER_hh_tesh!F8/SER_summary!F$26)</f>
        <v>283.12357558154491</v>
      </c>
      <c r="G8" s="132">
        <f>IF(SER_hh_tesh!G8=0,0,SER_hh_tesh!G8/SER_summary!G$26)</f>
        <v>294.71491005566043</v>
      </c>
      <c r="H8" s="132">
        <f>IF(SER_hh_tesh!H8=0,0,SER_hh_tesh!H8/SER_summary!H$26)</f>
        <v>311.08368084718529</v>
      </c>
      <c r="I8" s="132">
        <f>IF(SER_hh_tesh!I8=0,0,SER_hh_tesh!I8/SER_summary!I$26)</f>
        <v>300.2824151968353</v>
      </c>
      <c r="J8" s="132">
        <f>IF(SER_hh_tesh!J8=0,0,SER_hh_tesh!J8/SER_summary!J$26)</f>
        <v>288.90194563973324</v>
      </c>
      <c r="K8" s="132">
        <f>IF(SER_hh_tesh!K8=0,0,SER_hh_tesh!K8/SER_summary!K$26)</f>
        <v>280.29715782782517</v>
      </c>
      <c r="L8" s="132">
        <f>IF(SER_hh_tesh!L8=0,0,SER_hh_tesh!L8/SER_summary!L$26)</f>
        <v>250.55930125640967</v>
      </c>
      <c r="M8" s="132">
        <f>IF(SER_hh_tesh!M8=0,0,SER_hh_tesh!M8/SER_summary!M$26)</f>
        <v>238.29079388648066</v>
      </c>
      <c r="N8" s="132">
        <f>IF(SER_hh_tesh!N8=0,0,SER_hh_tesh!N8/SER_summary!N$26)</f>
        <v>184.40152460985863</v>
      </c>
      <c r="O8" s="132">
        <f>IF(SER_hh_tesh!O8=0,0,SER_hh_tesh!O8/SER_summary!O$26)</f>
        <v>201.61073842907416</v>
      </c>
      <c r="P8" s="132">
        <f>IF(SER_hh_tesh!P8=0,0,SER_hh_tesh!P8/SER_summary!P$26)</f>
        <v>173.31334665016038</v>
      </c>
      <c r="Q8" s="132">
        <f>IF(SER_hh_tesh!Q8=0,0,SER_hh_tesh!Q8/SER_summary!Q$26)</f>
        <v>183.15074902036724</v>
      </c>
      <c r="R8" s="132">
        <f>IF(SER_hh_tesh!R8=0,0,SER_hh_tesh!R8/SER_summary!R$26)</f>
        <v>164.67177658421602</v>
      </c>
      <c r="S8" s="132">
        <f>IF(SER_hh_tesh!S8=0,0,SER_hh_tesh!S8/SER_summary!S$26)</f>
        <v>166.63287241193854</v>
      </c>
      <c r="T8" s="132">
        <f>IF(SER_hh_tesh!T8=0,0,SER_hh_tesh!T8/SER_summary!T$26)</f>
        <v>158.04461852980322</v>
      </c>
      <c r="U8" s="132">
        <f>IF(SER_hh_tesh!U8=0,0,SER_hh_tesh!U8/SER_summary!U$26)</f>
        <v>134.84963597117218</v>
      </c>
      <c r="V8" s="132">
        <f>IF(SER_hh_tesh!V8=0,0,SER_hh_tesh!V8/SER_summary!V$26)</f>
        <v>148.29523909914343</v>
      </c>
      <c r="W8" s="132">
        <f>IF(SER_hh_tesh!W8=0,0,SER_hh_tesh!W8/SER_summary!W$26)</f>
        <v>158.49317247154585</v>
      </c>
      <c r="X8" s="132">
        <f>IF(SER_hh_tesh!X8=0,0,SER_hh_tesh!X8/SER_summary!X$26)</f>
        <v>153.11978023787603</v>
      </c>
      <c r="Y8" s="132">
        <f>IF(SER_hh_tesh!Y8=0,0,SER_hh_tesh!Y8/SER_summary!Y$26)</f>
        <v>153.22310529244922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523.39315291001208</v>
      </c>
      <c r="C9" s="132">
        <f>IF(SER_hh_tesh!C9=0,0,SER_hh_tesh!C9/SER_summary!C$26)</f>
        <v>306.01593846632659</v>
      </c>
      <c r="D9" s="132">
        <f>IF(SER_hh_tesh!D9=0,0,SER_hh_tesh!D9/SER_summary!D$26)</f>
        <v>230.32041077730969</v>
      </c>
      <c r="E9" s="132">
        <f>IF(SER_hh_tesh!E9=0,0,SER_hh_tesh!E9/SER_summary!E$26)</f>
        <v>243.55433465285566</v>
      </c>
      <c r="F9" s="132">
        <f>IF(SER_hh_tesh!F9=0,0,SER_hh_tesh!F9/SER_summary!F$26)</f>
        <v>146.05058458660085</v>
      </c>
      <c r="G9" s="132">
        <f>IF(SER_hh_tesh!G9=0,0,SER_hh_tesh!G9/SER_summary!G$26)</f>
        <v>362.1844260920883</v>
      </c>
      <c r="H9" s="132">
        <f>IF(SER_hh_tesh!H9=0,0,SER_hh_tesh!H9/SER_summary!H$26)</f>
        <v>342.6390048394187</v>
      </c>
      <c r="I9" s="132">
        <f>IF(SER_hh_tesh!I9=0,0,SER_hh_tesh!I9/SER_summary!I$26)</f>
        <v>300.47120425191321</v>
      </c>
      <c r="J9" s="132">
        <f>IF(SER_hh_tesh!J9=0,0,SER_hh_tesh!J9/SER_summary!J$26)</f>
        <v>315.25378300612033</v>
      </c>
      <c r="K9" s="132">
        <f>IF(SER_hh_tesh!K9=0,0,SER_hh_tesh!K9/SER_summary!K$26)</f>
        <v>227.14463348754896</v>
      </c>
      <c r="L9" s="132">
        <f>IF(SER_hh_tesh!L9=0,0,SER_hh_tesh!L9/SER_summary!L$26)</f>
        <v>366.41665527791008</v>
      </c>
      <c r="M9" s="132">
        <f>IF(SER_hh_tesh!M9=0,0,SER_hh_tesh!M9/SER_summary!M$26)</f>
        <v>139.65307854036823</v>
      </c>
      <c r="N9" s="132">
        <f>IF(SER_hh_tesh!N9=0,0,SER_hh_tesh!N9/SER_summary!N$26)</f>
        <v>231.81753703048187</v>
      </c>
      <c r="O9" s="132">
        <f>IF(SER_hh_tesh!O9=0,0,SER_hh_tesh!O9/SER_summary!O$26)</f>
        <v>269.98748572637089</v>
      </c>
      <c r="P9" s="132">
        <f>IF(SER_hh_tesh!P9=0,0,SER_hh_tesh!P9/SER_summary!P$26)</f>
        <v>152.15507756127914</v>
      </c>
      <c r="Q9" s="132">
        <f>IF(SER_hh_tesh!Q9=0,0,SER_hh_tesh!Q9/SER_summary!Q$26)</f>
        <v>168.8977927019962</v>
      </c>
      <c r="R9" s="132">
        <f>IF(SER_hh_tesh!R9=0,0,SER_hh_tesh!R9/SER_summary!R$26)</f>
        <v>166.2362261370107</v>
      </c>
      <c r="S9" s="132">
        <f>IF(SER_hh_tesh!S9=0,0,SER_hh_tesh!S9/SER_summary!S$26)</f>
        <v>189.03013734911141</v>
      </c>
      <c r="T9" s="132">
        <f>IF(SER_hh_tesh!T9=0,0,SER_hh_tesh!T9/SER_summary!T$26)</f>
        <v>165.69876451539855</v>
      </c>
      <c r="U9" s="132">
        <f>IF(SER_hh_tesh!U9=0,0,SER_hh_tesh!U9/SER_summary!U$26)</f>
        <v>133.77493228889412</v>
      </c>
      <c r="V9" s="132">
        <f>IF(SER_hh_tesh!V9=0,0,SER_hh_tesh!V9/SER_summary!V$26)</f>
        <v>123.50372018945656</v>
      </c>
      <c r="W9" s="132">
        <f>IF(SER_hh_tesh!W9=0,0,SER_hh_tesh!W9/SER_summary!W$26)</f>
        <v>184.74781197986067</v>
      </c>
      <c r="X9" s="132">
        <f>IF(SER_hh_tesh!X9=0,0,SER_hh_tesh!X9/SER_summary!X$26)</f>
        <v>166.58060716699364</v>
      </c>
      <c r="Y9" s="132">
        <f>IF(SER_hh_tesh!Y9=0,0,SER_hh_tesh!Y9/SER_summary!Y$26)</f>
        <v>133.02724759990318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4.3702439491577225</v>
      </c>
      <c r="C10" s="132">
        <f>IF(SER_hh_tesh!C10=0,0,SER_hh_tesh!C10/SER_summary!C$26)</f>
        <v>583.26058070285615</v>
      </c>
      <c r="D10" s="132">
        <f>IF(SER_hh_tesh!D10=0,0,SER_hh_tesh!D10/SER_summary!D$26)</f>
        <v>200.22529178582815</v>
      </c>
      <c r="E10" s="132">
        <f>IF(SER_hh_tesh!E10=0,0,SER_hh_tesh!E10/SER_summary!E$26)</f>
        <v>222.87735596825326</v>
      </c>
      <c r="F10" s="132">
        <f>IF(SER_hh_tesh!F10=0,0,SER_hh_tesh!F10/SER_summary!F$26)</f>
        <v>312.35863431796525</v>
      </c>
      <c r="G10" s="132">
        <f>IF(SER_hh_tesh!G10=0,0,SER_hh_tesh!G10/SER_summary!G$26)</f>
        <v>146.75352253669391</v>
      </c>
      <c r="H10" s="132">
        <f>IF(SER_hh_tesh!H10=0,0,SER_hh_tesh!H10/SER_summary!H$26)</f>
        <v>108.24083181359589</v>
      </c>
      <c r="I10" s="132">
        <f>IF(SER_hh_tesh!I10=0,0,SER_hh_tesh!I10/SER_summary!I$26)</f>
        <v>47.344587859287373</v>
      </c>
      <c r="J10" s="132">
        <f>IF(SER_hh_tesh!J10=0,0,SER_hh_tesh!J10/SER_summary!J$26)</f>
        <v>360.70713396944114</v>
      </c>
      <c r="K10" s="132">
        <f>IF(SER_hh_tesh!K10=0,0,SER_hh_tesh!K10/SER_summary!K$26)</f>
        <v>377.64911477969224</v>
      </c>
      <c r="L10" s="132">
        <f>IF(SER_hh_tesh!L10=0,0,SER_hh_tesh!L10/SER_summary!L$26)</f>
        <v>344.18568030398319</v>
      </c>
      <c r="M10" s="132">
        <f>IF(SER_hh_tesh!M10=0,0,SER_hh_tesh!M10/SER_summary!M$26)</f>
        <v>178.27414721256503</v>
      </c>
      <c r="N10" s="132">
        <f>IF(SER_hh_tesh!N10=0,0,SER_hh_tesh!N10/SER_summary!N$26)</f>
        <v>206.91644973775908</v>
      </c>
      <c r="O10" s="132">
        <f>IF(SER_hh_tesh!O10=0,0,SER_hh_tesh!O10/SER_summary!O$26)</f>
        <v>112.47450472072563</v>
      </c>
      <c r="P10" s="132">
        <f>IF(SER_hh_tesh!P10=0,0,SER_hh_tesh!P10/SER_summary!P$26)</f>
        <v>280.96739806169853</v>
      </c>
      <c r="Q10" s="132">
        <f>IF(SER_hh_tesh!Q10=0,0,SER_hh_tesh!Q10/SER_summary!Q$26)</f>
        <v>161.44462374099868</v>
      </c>
      <c r="R10" s="132">
        <f>IF(SER_hh_tesh!R10=0,0,SER_hh_tesh!R10/SER_summary!R$26)</f>
        <v>58.225472590750968</v>
      </c>
      <c r="S10" s="132">
        <f>IF(SER_hh_tesh!S10=0,0,SER_hh_tesh!S10/SER_summary!S$26)</f>
        <v>193.38363431273893</v>
      </c>
      <c r="T10" s="132">
        <f>IF(SER_hh_tesh!T10=0,0,SER_hh_tesh!T10/SER_summary!T$26)</f>
        <v>160.92711962088188</v>
      </c>
      <c r="U10" s="132">
        <f>IF(SER_hh_tesh!U10=0,0,SER_hh_tesh!U10/SER_summary!U$26)</f>
        <v>148.45664444414425</v>
      </c>
      <c r="V10" s="132">
        <f>IF(SER_hh_tesh!V10=0,0,SER_hh_tesh!V10/SER_summary!V$26)</f>
        <v>166.21614327998816</v>
      </c>
      <c r="W10" s="132">
        <f>IF(SER_hh_tesh!W10=0,0,SER_hh_tesh!W10/SER_summary!W$26)</f>
        <v>179.17462458373927</v>
      </c>
      <c r="X10" s="132">
        <f>IF(SER_hh_tesh!X10=0,0,SER_hh_tesh!X10/SER_summary!X$26)</f>
        <v>122.18916528815825</v>
      </c>
      <c r="Y10" s="132">
        <f>IF(SER_hh_tesh!Y10=0,0,SER_hh_tesh!Y10/SER_summary!Y$26)</f>
        <v>152.4863436977077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428.74132920877196</v>
      </c>
      <c r="D11" s="132">
        <f>IF(SER_hh_tesh!D11=0,0,SER_hh_tesh!D11/SER_summary!D$26)</f>
        <v>301.23293359061847</v>
      </c>
      <c r="E11" s="132">
        <f>IF(SER_hh_tesh!E11=0,0,SER_hh_tesh!E11/SER_summary!E$26)</f>
        <v>266.8915429259564</v>
      </c>
      <c r="F11" s="132">
        <f>IF(SER_hh_tesh!F11=0,0,SER_hh_tesh!F11/SER_summary!F$26)</f>
        <v>247.45466567370823</v>
      </c>
      <c r="G11" s="132">
        <f>IF(SER_hh_tesh!G11=0,0,SER_hh_tesh!G11/SER_summary!G$26)</f>
        <v>276.38131286995372</v>
      </c>
      <c r="H11" s="132">
        <f>IF(SER_hh_tesh!H11=0,0,SER_hh_tesh!H11/SER_summary!H$26)</f>
        <v>327.27332412802303</v>
      </c>
      <c r="I11" s="132">
        <f>IF(SER_hh_tesh!I11=0,0,SER_hh_tesh!I11/SER_summary!I$26)</f>
        <v>305.34637816398856</v>
      </c>
      <c r="J11" s="132">
        <f>IF(SER_hh_tesh!J11=0,0,SER_hh_tesh!J11/SER_summary!J$26)</f>
        <v>310.67641210151237</v>
      </c>
      <c r="K11" s="132">
        <f>IF(SER_hh_tesh!K11=0,0,SER_hh_tesh!K11/SER_summary!K$26)</f>
        <v>307.4459113709807</v>
      </c>
      <c r="L11" s="132">
        <f>IF(SER_hh_tesh!L11=0,0,SER_hh_tesh!L11/SER_summary!L$26)</f>
        <v>314.81637681329568</v>
      </c>
      <c r="M11" s="132">
        <f>IF(SER_hh_tesh!M11=0,0,SER_hh_tesh!M11/SER_summary!M$26)</f>
        <v>255.43596406770942</v>
      </c>
      <c r="N11" s="132">
        <f>IF(SER_hh_tesh!N11=0,0,SER_hh_tesh!N11/SER_summary!N$26)</f>
        <v>200.2747810721448</v>
      </c>
      <c r="O11" s="132">
        <f>IF(SER_hh_tesh!O11=0,0,SER_hh_tesh!O11/SER_summary!O$26)</f>
        <v>228.01284306306854</v>
      </c>
      <c r="P11" s="132">
        <f>IF(SER_hh_tesh!P11=0,0,SER_hh_tesh!P11/SER_summary!P$26)</f>
        <v>154.79185465684765</v>
      </c>
      <c r="Q11" s="132">
        <f>IF(SER_hh_tesh!Q11=0,0,SER_hh_tesh!Q11/SER_summary!Q$26)</f>
        <v>160.08404314266986</v>
      </c>
      <c r="R11" s="132">
        <f>IF(SER_hh_tesh!R11=0,0,SER_hh_tesh!R11/SER_summary!R$26)</f>
        <v>180.99774258523641</v>
      </c>
      <c r="S11" s="132">
        <f>IF(SER_hh_tesh!S11=0,0,SER_hh_tesh!S11/SER_summary!S$26)</f>
        <v>180.94857511041397</v>
      </c>
      <c r="T11" s="132">
        <f>IF(SER_hh_tesh!T11=0,0,SER_hh_tesh!T11/SER_summary!T$26)</f>
        <v>177.44759674720657</v>
      </c>
      <c r="U11" s="132">
        <f>IF(SER_hh_tesh!U11=0,0,SER_hh_tesh!U11/SER_summary!U$26)</f>
        <v>216.51700960772646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415.89941991802209</v>
      </c>
      <c r="C12" s="132">
        <f>IF(SER_hh_tesh!C12=0,0,SER_hh_tesh!C12/SER_summary!C$26)</f>
        <v>310.15099371852392</v>
      </c>
      <c r="D12" s="132">
        <f>IF(SER_hh_tesh!D12=0,0,SER_hh_tesh!D12/SER_summary!D$26)</f>
        <v>305.64980633764588</v>
      </c>
      <c r="E12" s="132">
        <f>IF(SER_hh_tesh!E12=0,0,SER_hh_tesh!E12/SER_summary!E$26)</f>
        <v>224.6263368145656</v>
      </c>
      <c r="F12" s="132">
        <f>IF(SER_hh_tesh!F12=0,0,SER_hh_tesh!F12/SER_summary!F$26)</f>
        <v>337.14062085510329</v>
      </c>
      <c r="G12" s="132">
        <f>IF(SER_hh_tesh!G12=0,0,SER_hh_tesh!G12/SER_summary!G$26)</f>
        <v>298.40462268527233</v>
      </c>
      <c r="H12" s="132">
        <f>IF(SER_hh_tesh!H12=0,0,SER_hh_tesh!H12/SER_summary!H$26)</f>
        <v>293.61965565294747</v>
      </c>
      <c r="I12" s="132">
        <f>IF(SER_hh_tesh!I12=0,0,SER_hh_tesh!I12/SER_summary!I$26)</f>
        <v>282.6620414968184</v>
      </c>
      <c r="J12" s="132">
        <f>IF(SER_hh_tesh!J12=0,0,SER_hh_tesh!J12/SER_summary!J$26)</f>
        <v>287.28192124528647</v>
      </c>
      <c r="K12" s="132">
        <f>IF(SER_hh_tesh!K12=0,0,SER_hh_tesh!K12/SER_summary!K$26)</f>
        <v>312.83755166913124</v>
      </c>
      <c r="L12" s="132">
        <f>IF(SER_hh_tesh!L12=0,0,SER_hh_tesh!L12/SER_summary!L$26)</f>
        <v>345.33454034353645</v>
      </c>
      <c r="M12" s="132">
        <f>IF(SER_hh_tesh!M12=0,0,SER_hh_tesh!M12/SER_summary!M$26)</f>
        <v>283.56144671083422</v>
      </c>
      <c r="N12" s="132">
        <f>IF(SER_hh_tesh!N12=0,0,SER_hh_tesh!N12/SER_summary!N$26)</f>
        <v>199.49641546821104</v>
      </c>
      <c r="O12" s="132">
        <f>IF(SER_hh_tesh!O12=0,0,SER_hh_tesh!O12/SER_summary!O$26)</f>
        <v>190.67205257450908</v>
      </c>
      <c r="P12" s="132">
        <f>IF(SER_hh_tesh!P12=0,0,SER_hh_tesh!P12/SER_summary!P$26)</f>
        <v>114.41710701088851</v>
      </c>
      <c r="Q12" s="132">
        <f>IF(SER_hh_tesh!Q12=0,0,SER_hh_tesh!Q12/SER_summary!Q$26)</f>
        <v>62.343230952757416</v>
      </c>
      <c r="R12" s="132">
        <f>IF(SER_hh_tesh!R12=0,0,SER_hh_tesh!R12/SER_summary!R$26)</f>
        <v>212.75296322956078</v>
      </c>
      <c r="S12" s="132">
        <f>IF(SER_hh_tesh!S12=0,0,SER_hh_tesh!S12/SER_summary!S$26)</f>
        <v>182.09159077616459</v>
      </c>
      <c r="T12" s="132">
        <f>IF(SER_hh_tesh!T12=0,0,SER_hh_tesh!T12/SER_summary!T$26)</f>
        <v>161.45599813484188</v>
      </c>
      <c r="U12" s="132">
        <f>IF(SER_hh_tesh!U12=0,0,SER_hh_tesh!U12/SER_summary!U$26)</f>
        <v>141.28410619212497</v>
      </c>
      <c r="V12" s="132">
        <f>IF(SER_hh_tesh!V12=0,0,SER_hh_tesh!V12/SER_summary!V$26)</f>
        <v>129.06241253579759</v>
      </c>
      <c r="W12" s="132">
        <f>IF(SER_hh_tesh!W12=0,0,SER_hh_tesh!W12/SER_summary!W$26)</f>
        <v>162.96814597350513</v>
      </c>
      <c r="X12" s="132">
        <f>IF(SER_hh_tesh!X12=0,0,SER_hh_tesh!X12/SER_summary!X$26)</f>
        <v>169.86367580425207</v>
      </c>
      <c r="Y12" s="132">
        <f>IF(SER_hh_tesh!Y12=0,0,SER_hh_tesh!Y12/SER_summary!Y$26)</f>
        <v>143.06439034851925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112.19028765843993</v>
      </c>
      <c r="C13" s="132">
        <f>IF(SER_hh_tesh!C13=0,0,SER_hh_tesh!C13/SER_summary!C$26)</f>
        <v>327.72577811732015</v>
      </c>
      <c r="D13" s="132">
        <f>IF(SER_hh_tesh!D13=0,0,SER_hh_tesh!D13/SER_summary!D$26)</f>
        <v>289.70857057023744</v>
      </c>
      <c r="E13" s="132">
        <f>IF(SER_hh_tesh!E13=0,0,SER_hh_tesh!E13/SER_summary!E$26)</f>
        <v>238.1887965811656</v>
      </c>
      <c r="F13" s="132">
        <f>IF(SER_hh_tesh!F13=0,0,SER_hh_tesh!F13/SER_summary!F$26)</f>
        <v>301.02950791506561</v>
      </c>
      <c r="G13" s="132">
        <f>IF(SER_hh_tesh!G13=0,0,SER_hh_tesh!G13/SER_summary!G$26)</f>
        <v>283.91247113332383</v>
      </c>
      <c r="H13" s="132">
        <f>IF(SER_hh_tesh!H13=0,0,SER_hh_tesh!H13/SER_summary!H$26)</f>
        <v>264.85065112818</v>
      </c>
      <c r="I13" s="132">
        <f>IF(SER_hh_tesh!I13=0,0,SER_hh_tesh!I13/SER_summary!I$26)</f>
        <v>305.39486293215265</v>
      </c>
      <c r="J13" s="132">
        <f>IF(SER_hh_tesh!J13=0,0,SER_hh_tesh!J13/SER_summary!J$26)</f>
        <v>259.28266873588848</v>
      </c>
      <c r="K13" s="132">
        <f>IF(SER_hh_tesh!K13=0,0,SER_hh_tesh!K13/SER_summary!K$26)</f>
        <v>249.40604238589489</v>
      </c>
      <c r="L13" s="132">
        <f>IF(SER_hh_tesh!L13=0,0,SER_hh_tesh!L13/SER_summary!L$26)</f>
        <v>233.52509298016031</v>
      </c>
      <c r="M13" s="132">
        <f>IF(SER_hh_tesh!M13=0,0,SER_hh_tesh!M13/SER_summary!M$26)</f>
        <v>251.62316783822294</v>
      </c>
      <c r="N13" s="132">
        <f>IF(SER_hh_tesh!N13=0,0,SER_hh_tesh!N13/SER_summary!N$26)</f>
        <v>219.16812562173314</v>
      </c>
      <c r="O13" s="132">
        <f>IF(SER_hh_tesh!O13=0,0,SER_hh_tesh!O13/SER_summary!O$26)</f>
        <v>172.35515234114476</v>
      </c>
      <c r="P13" s="132">
        <f>IF(SER_hh_tesh!P13=0,0,SER_hh_tesh!P13/SER_summary!P$26)</f>
        <v>131.71004503505054</v>
      </c>
      <c r="Q13" s="132">
        <f>IF(SER_hh_tesh!Q13=0,0,SER_hh_tesh!Q13/SER_summary!Q$26)</f>
        <v>198.16771918099172</v>
      </c>
      <c r="R13" s="132">
        <f>IF(SER_hh_tesh!R13=0,0,SER_hh_tesh!R13/SER_summary!R$26)</f>
        <v>176.37296131318229</v>
      </c>
      <c r="S13" s="132">
        <f>IF(SER_hh_tesh!S13=0,0,SER_hh_tesh!S13/SER_summary!S$26)</f>
        <v>173.82628211700467</v>
      </c>
      <c r="T13" s="132">
        <f>IF(SER_hh_tesh!T13=0,0,SER_hh_tesh!T13/SER_summary!T$26)</f>
        <v>161.69452636101212</v>
      </c>
      <c r="U13" s="132">
        <f>IF(SER_hh_tesh!U13=0,0,SER_hh_tesh!U13/SER_summary!U$26)</f>
        <v>136.01112112645353</v>
      </c>
      <c r="V13" s="132">
        <f>IF(SER_hh_tesh!V13=0,0,SER_hh_tesh!V13/SER_summary!V$26)</f>
        <v>145.95311496100484</v>
      </c>
      <c r="W13" s="132">
        <f>IF(SER_hh_tesh!W13=0,0,SER_hh_tesh!W13/SER_summary!W$26)</f>
        <v>155.05329403928346</v>
      </c>
      <c r="X13" s="132">
        <f>IF(SER_hh_tesh!X13=0,0,SER_hh_tesh!X13/SER_summary!X$26)</f>
        <v>160.17988492003079</v>
      </c>
      <c r="Y13" s="132">
        <f>IF(SER_hh_tesh!Y13=0,0,SER_hh_tesh!Y13/SER_summary!Y$26)</f>
        <v>150.98748360038761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267.07156421501412</v>
      </c>
      <c r="C14" s="65">
        <f>IF(SER_hh_tesh!C14=0,0,SER_hh_tesh!C14/SER_summary!C$26)</f>
        <v>380.56515545024229</v>
      </c>
      <c r="D14" s="65">
        <f>IF(SER_hh_tesh!D14=0,0,SER_hh_tesh!D14/SER_summary!D$26)</f>
        <v>330.68495737776846</v>
      </c>
      <c r="E14" s="65">
        <f>IF(SER_hh_tesh!E14=0,0,SER_hh_tesh!E14/SER_summary!E$26)</f>
        <v>241.34261455103089</v>
      </c>
      <c r="F14" s="65">
        <f>IF(SER_hh_tesh!F14=0,0,SER_hh_tesh!F14/SER_summary!F$26)</f>
        <v>317.67556412526091</v>
      </c>
      <c r="G14" s="65">
        <f>IF(SER_hh_tesh!G14=0,0,SER_hh_tesh!G14/SER_summary!G$26)</f>
        <v>244.43696976872965</v>
      </c>
      <c r="H14" s="65">
        <f>IF(SER_hh_tesh!H14=0,0,SER_hh_tesh!H14/SER_summary!H$26)</f>
        <v>269.1213332111405</v>
      </c>
      <c r="I14" s="65">
        <f>IF(SER_hh_tesh!I14=0,0,SER_hh_tesh!I14/SER_summary!I$26)</f>
        <v>315.46673638771267</v>
      </c>
      <c r="J14" s="65">
        <f>IF(SER_hh_tesh!J14=0,0,SER_hh_tesh!J14/SER_summary!J$26)</f>
        <v>284.38839450277493</v>
      </c>
      <c r="K14" s="65">
        <f>IF(SER_hh_tesh!K14=0,0,SER_hh_tesh!K14/SER_summary!K$26)</f>
        <v>283.44369476956069</v>
      </c>
      <c r="L14" s="65">
        <f>IF(SER_hh_tesh!L14=0,0,SER_hh_tesh!L14/SER_summary!L$26)</f>
        <v>332.25522690348538</v>
      </c>
      <c r="M14" s="65">
        <f>IF(SER_hh_tesh!M14=0,0,SER_hh_tesh!M14/SER_summary!M$26)</f>
        <v>311.49425321625904</v>
      </c>
      <c r="N14" s="65">
        <f>IF(SER_hh_tesh!N14=0,0,SER_hh_tesh!N14/SER_summary!N$26)</f>
        <v>172.55927654251252</v>
      </c>
      <c r="O14" s="65">
        <f>IF(SER_hh_tesh!O14=0,0,SER_hh_tesh!O14/SER_summary!O$26)</f>
        <v>253.93079471206232</v>
      </c>
      <c r="P14" s="65">
        <f>IF(SER_hh_tesh!P14=0,0,SER_hh_tesh!P14/SER_summary!P$26)</f>
        <v>141.75470359998243</v>
      </c>
      <c r="Q14" s="65">
        <f>IF(SER_hh_tesh!Q14=0,0,SER_hh_tesh!Q14/SER_summary!Q$26)</f>
        <v>168.18666548639044</v>
      </c>
      <c r="R14" s="65">
        <f>IF(SER_hh_tesh!R14=0,0,SER_hh_tesh!R14/SER_summary!R$26)</f>
        <v>169.69707548569761</v>
      </c>
      <c r="S14" s="65">
        <f>IF(SER_hh_tesh!S14=0,0,SER_hh_tesh!S14/SER_summary!S$26)</f>
        <v>201.8430088234492</v>
      </c>
      <c r="T14" s="65">
        <f>IF(SER_hh_tesh!T14=0,0,SER_hh_tesh!T14/SER_summary!T$26)</f>
        <v>170.2606559896777</v>
      </c>
      <c r="U14" s="65">
        <f>IF(SER_hh_tesh!U14=0,0,SER_hh_tesh!U14/SER_summary!U$26)</f>
        <v>132.38325797035975</v>
      </c>
      <c r="V14" s="65">
        <f>IF(SER_hh_tesh!V14=0,0,SER_hh_tesh!V14/SER_summary!V$26)</f>
        <v>140.21374911180956</v>
      </c>
      <c r="W14" s="65">
        <f>IF(SER_hh_tesh!W14=0,0,SER_hh_tesh!W14/SER_summary!W$26)</f>
        <v>204.450621579428</v>
      </c>
      <c r="X14" s="65">
        <f>IF(SER_hh_tesh!X14=0,0,SER_hh_tesh!X14/SER_summary!X$26)</f>
        <v>156.26606807155062</v>
      </c>
      <c r="Y14" s="65">
        <f>IF(SER_hh_tesh!Y14=0,0,SER_hh_tesh!Y14/SER_summary!Y$26)</f>
        <v>122.74424484393563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7.6952889234784179</v>
      </c>
      <c r="C15" s="134">
        <f>IF(SER_hh_tesh!C15=0,0,SER_hh_tesh!C15/SER_summary!C$26)</f>
        <v>4.6127047434592132</v>
      </c>
      <c r="D15" s="134">
        <f>IF(SER_hh_tesh!D15=0,0,SER_hh_tesh!D15/SER_summary!D$26)</f>
        <v>3.4768148071880085</v>
      </c>
      <c r="E15" s="134">
        <f>IF(SER_hh_tesh!E15=0,0,SER_hh_tesh!E15/SER_summary!E$26)</f>
        <v>2.8712149284300268</v>
      </c>
      <c r="F15" s="134">
        <f>IF(SER_hh_tesh!F15=0,0,SER_hh_tesh!F15/SER_summary!F$26)</f>
        <v>2.4676714547602656</v>
      </c>
      <c r="G15" s="134">
        <f>IF(SER_hh_tesh!G15=0,0,SER_hh_tesh!G15/SER_summary!G$26)</f>
        <v>4.5125762759301482</v>
      </c>
      <c r="H15" s="134">
        <f>IF(SER_hh_tesh!H15=0,0,SER_hh_tesh!H15/SER_summary!H$26)</f>
        <v>4.5450228131900525</v>
      </c>
      <c r="I15" s="134">
        <f>IF(SER_hh_tesh!I15=0,0,SER_hh_tesh!I15/SER_summary!I$26)</f>
        <v>3.945459938519738</v>
      </c>
      <c r="J15" s="134">
        <f>IF(SER_hh_tesh!J15=0,0,SER_hh_tesh!J15/SER_summary!J$26)</f>
        <v>3.932802095340997</v>
      </c>
      <c r="K15" s="134">
        <f>IF(SER_hh_tesh!K15=0,0,SER_hh_tesh!K15/SER_summary!K$26)</f>
        <v>3.4212048522254412</v>
      </c>
      <c r="L15" s="134">
        <f>IF(SER_hh_tesh!L15=0,0,SER_hh_tesh!L15/SER_summary!L$26)</f>
        <v>3.9979727351313707</v>
      </c>
      <c r="M15" s="134">
        <f>IF(SER_hh_tesh!M15=0,0,SER_hh_tesh!M15/SER_summary!M$26)</f>
        <v>2.1456757862852331</v>
      </c>
      <c r="N15" s="134">
        <f>IF(SER_hh_tesh!N15=0,0,SER_hh_tesh!N15/SER_summary!N$26)</f>
        <v>2.6854895677297539</v>
      </c>
      <c r="O15" s="134">
        <f>IF(SER_hh_tesh!O15=0,0,SER_hh_tesh!O15/SER_summary!O$26)</f>
        <v>3.323367417940668</v>
      </c>
      <c r="P15" s="134">
        <f>IF(SER_hh_tesh!P15=0,0,SER_hh_tesh!P15/SER_summary!P$26)</f>
        <v>1.9864728156439242</v>
      </c>
      <c r="Q15" s="134">
        <f>IF(SER_hh_tesh!Q15=0,0,SER_hh_tesh!Q15/SER_summary!Q$26)</f>
        <v>2.1513641127900853</v>
      </c>
      <c r="R15" s="134">
        <f>IF(SER_hh_tesh!R15=0,0,SER_hh_tesh!R15/SER_summary!R$26)</f>
        <v>2.1455714776888244</v>
      </c>
      <c r="S15" s="134">
        <f>IF(SER_hh_tesh!S15=0,0,SER_hh_tesh!S15/SER_summary!S$26)</f>
        <v>2.4057344837883976</v>
      </c>
      <c r="T15" s="134">
        <f>IF(SER_hh_tesh!T15=0,0,SER_hh_tesh!T15/SER_summary!T$26)</f>
        <v>2.0839820397715219</v>
      </c>
      <c r="U15" s="134">
        <f>IF(SER_hh_tesh!U15=0,0,SER_hh_tesh!U15/SER_summary!U$26)</f>
        <v>1.8068124114138484</v>
      </c>
      <c r="V15" s="134">
        <f>IF(SER_hh_tesh!V15=0,0,SER_hh_tesh!V15/SER_summary!V$26)</f>
        <v>1.5403152104567577</v>
      </c>
      <c r="W15" s="134">
        <f>IF(SER_hh_tesh!W15=0,0,SER_hh_tesh!W15/SER_summary!W$26)</f>
        <v>2.2712610345246542</v>
      </c>
      <c r="X15" s="134">
        <f>IF(SER_hh_tesh!X15=0,0,SER_hh_tesh!X15/SER_summary!X$26)</f>
        <v>2.0209823895703143</v>
      </c>
      <c r="Y15" s="134">
        <f>IF(SER_hh_tesh!Y15=0,0,SER_hh_tesh!Y15/SER_summary!Y$26)</f>
        <v>1.6222117154197488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30.499401623880317</v>
      </c>
      <c r="C16" s="130">
        <f>IF(SER_hh_tesh!C16=0,0,SER_hh_tesh!C16/SER_summary!C$26)</f>
        <v>29.958106532033941</v>
      </c>
      <c r="D16" s="130">
        <f>IF(SER_hh_tesh!D16=0,0,SER_hh_tesh!D16/SER_summary!D$26)</f>
        <v>30.491966430224821</v>
      </c>
      <c r="E16" s="130">
        <f>IF(SER_hh_tesh!E16=0,0,SER_hh_tesh!E16/SER_summary!E$26)</f>
        <v>30.76817699019637</v>
      </c>
      <c r="F16" s="130">
        <f>IF(SER_hh_tesh!F16=0,0,SER_hh_tesh!F16/SER_summary!F$26)</f>
        <v>29.720036410452433</v>
      </c>
      <c r="G16" s="130">
        <f>IF(SER_hh_tesh!G16=0,0,SER_hh_tesh!G16/SER_summary!G$26)</f>
        <v>29.976620388457611</v>
      </c>
      <c r="H16" s="130">
        <f>IF(SER_hh_tesh!H16=0,0,SER_hh_tesh!H16/SER_summary!H$26)</f>
        <v>30.832181558662779</v>
      </c>
      <c r="I16" s="130">
        <f>IF(SER_hh_tesh!I16=0,0,SER_hh_tesh!I16/SER_summary!I$26)</f>
        <v>31.999769639290903</v>
      </c>
      <c r="J16" s="130">
        <f>IF(SER_hh_tesh!J16=0,0,SER_hh_tesh!J16/SER_summary!J$26)</f>
        <v>30.0018328691352</v>
      </c>
      <c r="K16" s="130">
        <f>IF(SER_hh_tesh!K16=0,0,SER_hh_tesh!K16/SER_summary!K$26)</f>
        <v>30.256513445969023</v>
      </c>
      <c r="L16" s="130">
        <f>IF(SER_hh_tesh!L16=0,0,SER_hh_tesh!L16/SER_summary!L$26)</f>
        <v>31.440539137712772</v>
      </c>
      <c r="M16" s="130">
        <f>IF(SER_hh_tesh!M16=0,0,SER_hh_tesh!M16/SER_summary!M$26)</f>
        <v>30.781223347855459</v>
      </c>
      <c r="N16" s="130">
        <f>IF(SER_hh_tesh!N16=0,0,SER_hh_tesh!N16/SER_summary!N$26)</f>
        <v>34.035817092926798</v>
      </c>
      <c r="O16" s="130">
        <f>IF(SER_hh_tesh!O16=0,0,SER_hh_tesh!O16/SER_summary!O$26)</f>
        <v>32.896864511471421</v>
      </c>
      <c r="P16" s="130">
        <f>IF(SER_hh_tesh!P16=0,0,SER_hh_tesh!P16/SER_summary!P$26)</f>
        <v>30.431725638786958</v>
      </c>
      <c r="Q16" s="130">
        <f>IF(SER_hh_tesh!Q16=0,0,SER_hh_tesh!Q16/SER_summary!Q$26)</f>
        <v>36.1020609756876</v>
      </c>
      <c r="R16" s="130">
        <f>IF(SER_hh_tesh!R16=0,0,SER_hh_tesh!R16/SER_summary!R$26)</f>
        <v>30.782557418731383</v>
      </c>
      <c r="S16" s="130">
        <f>IF(SER_hh_tesh!S16=0,0,SER_hh_tesh!S16/SER_summary!S$26)</f>
        <v>32.936434153771664</v>
      </c>
      <c r="T16" s="130">
        <f>IF(SER_hh_tesh!T16=0,0,SER_hh_tesh!T16/SER_summary!T$26)</f>
        <v>32.407513719402047</v>
      </c>
      <c r="U16" s="130">
        <f>IF(SER_hh_tesh!U16=0,0,SER_hh_tesh!U16/SER_summary!U$26)</f>
        <v>33.498140225470742</v>
      </c>
      <c r="V16" s="130">
        <f>IF(SER_hh_tesh!V16=0,0,SER_hh_tesh!V16/SER_summary!V$26)</f>
        <v>29.20876157257425</v>
      </c>
      <c r="W16" s="130">
        <f>IF(SER_hh_tesh!W16=0,0,SER_hh_tesh!W16/SER_summary!W$26)</f>
        <v>31.672920661193459</v>
      </c>
      <c r="X16" s="130">
        <f>IF(SER_hh_tesh!X16=0,0,SER_hh_tesh!X16/SER_summary!X$26)</f>
        <v>33.276603075929984</v>
      </c>
      <c r="Y16" s="130">
        <f>IF(SER_hh_tesh!Y16=0,0,SER_hh_tesh!Y16/SER_summary!Y$26)</f>
        <v>31.874559922424751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30.499401623880313</v>
      </c>
      <c r="C17" s="132">
        <f>IF(SER_hh_tesh!C17=0,0,SER_hh_tesh!C17/SER_summary!C$26)</f>
        <v>29.958106532047648</v>
      </c>
      <c r="D17" s="132">
        <f>IF(SER_hh_tesh!D17=0,0,SER_hh_tesh!D17/SER_summary!D$26)</f>
        <v>30.491966428347901</v>
      </c>
      <c r="E17" s="132">
        <f>IF(SER_hh_tesh!E17=0,0,SER_hh_tesh!E17/SER_summary!E$26)</f>
        <v>8.5749202858108333</v>
      </c>
      <c r="F17" s="132">
        <f>IF(SER_hh_tesh!F17=0,0,SER_hh_tesh!F17/SER_summary!F$26)</f>
        <v>29.720036411388399</v>
      </c>
      <c r="G17" s="132">
        <f>IF(SER_hh_tesh!G17=0,0,SER_hh_tesh!G17/SER_summary!G$26)</f>
        <v>29.976620389754679</v>
      </c>
      <c r="H17" s="132">
        <f>IF(SER_hh_tesh!H17=0,0,SER_hh_tesh!H17/SER_summary!H$26)</f>
        <v>30.832181560737958</v>
      </c>
      <c r="I17" s="132">
        <f>IF(SER_hh_tesh!I17=0,0,SER_hh_tesh!I17/SER_summary!I$26)</f>
        <v>31.999769639128015</v>
      </c>
      <c r="J17" s="132">
        <f>IF(SER_hh_tesh!J17=0,0,SER_hh_tesh!J17/SER_summary!J$26)</f>
        <v>30.001832868401838</v>
      </c>
      <c r="K17" s="132">
        <f>IF(SER_hh_tesh!K17=0,0,SER_hh_tesh!K17/SER_summary!K$26)</f>
        <v>30.256513446237701</v>
      </c>
      <c r="L17" s="132">
        <f>IF(SER_hh_tesh!L17=0,0,SER_hh_tesh!L17/SER_summary!L$26)</f>
        <v>31.440539137278375</v>
      </c>
      <c r="M17" s="132">
        <f>IF(SER_hh_tesh!M17=0,0,SER_hh_tesh!M17/SER_summary!M$26)</f>
        <v>30.781223345618745</v>
      </c>
      <c r="N17" s="132">
        <f>IF(SER_hh_tesh!N17=0,0,SER_hh_tesh!N17/SER_summary!N$26)</f>
        <v>34.035817090507159</v>
      </c>
      <c r="O17" s="132">
        <f>IF(SER_hh_tesh!O17=0,0,SER_hh_tesh!O17/SER_summary!O$26)</f>
        <v>32.896864512642765</v>
      </c>
      <c r="P17" s="132">
        <f>IF(SER_hh_tesh!P17=0,0,SER_hh_tesh!P17/SER_summary!P$26)</f>
        <v>30.431725648126633</v>
      </c>
      <c r="Q17" s="132">
        <f>IF(SER_hh_tesh!Q17=0,0,SER_hh_tesh!Q17/SER_summary!Q$26)</f>
        <v>35.697837357574095</v>
      </c>
      <c r="R17" s="132">
        <f>IF(SER_hh_tesh!R17=0,0,SER_hh_tesh!R17/SER_summary!R$26)</f>
        <v>30.782557420784883</v>
      </c>
      <c r="S17" s="132">
        <f>IF(SER_hh_tesh!S17=0,0,SER_hh_tesh!S17/SER_summary!S$26)</f>
        <v>32.936434150354323</v>
      </c>
      <c r="T17" s="132">
        <f>IF(SER_hh_tesh!T17=0,0,SER_hh_tesh!T17/SER_summary!T$26)</f>
        <v>32.407513714004693</v>
      </c>
      <c r="U17" s="132">
        <f>IF(SER_hh_tesh!U17=0,0,SER_hh_tesh!U17/SER_summary!U$26)</f>
        <v>33.498140220773273</v>
      </c>
      <c r="V17" s="132">
        <f>IF(SER_hh_tesh!V17=0,0,SER_hh_tesh!V17/SER_summary!V$26)</f>
        <v>32.318538291482092</v>
      </c>
      <c r="W17" s="132">
        <f>IF(SER_hh_tesh!W17=0,0,SER_hh_tesh!W17/SER_summary!W$26)</f>
        <v>31.687475171003939</v>
      </c>
      <c r="X17" s="132">
        <f>IF(SER_hh_tesh!X17=0,0,SER_hh_tesh!X17/SER_summary!X$26)</f>
        <v>33.598050178833574</v>
      </c>
      <c r="Y17" s="132">
        <f>IF(SER_hh_tesh!Y17=0,0,SER_hh_tesh!Y17/SER_summary!Y$26)</f>
        <v>31.87455986615803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30.499401623880324</v>
      </c>
      <c r="C18" s="132">
        <f>IF(SER_hh_tesh!C18=0,0,SER_hh_tesh!C18/SER_summary!C$26)</f>
        <v>29.958106532033906</v>
      </c>
      <c r="D18" s="132">
        <f>IF(SER_hh_tesh!D18=0,0,SER_hh_tesh!D18/SER_summary!D$26)</f>
        <v>30.491966430228871</v>
      </c>
      <c r="E18" s="132">
        <f>IF(SER_hh_tesh!E18=0,0,SER_hh_tesh!E18/SER_summary!E$26)</f>
        <v>30.831323902401412</v>
      </c>
      <c r="F18" s="132">
        <f>IF(SER_hh_tesh!F18=0,0,SER_hh_tesh!F18/SER_summary!F$26)</f>
        <v>29.72003641045033</v>
      </c>
      <c r="G18" s="132">
        <f>IF(SER_hh_tesh!G18=0,0,SER_hh_tesh!G18/SER_summary!G$26)</f>
        <v>29.976620388453483</v>
      </c>
      <c r="H18" s="132">
        <f>IF(SER_hh_tesh!H18=0,0,SER_hh_tesh!H18/SER_summary!H$26)</f>
        <v>30.832181558655485</v>
      </c>
      <c r="I18" s="132">
        <f>IF(SER_hh_tesh!I18=0,0,SER_hh_tesh!I18/SER_summary!I$26)</f>
        <v>31.999769639291451</v>
      </c>
      <c r="J18" s="132">
        <f>IF(SER_hh_tesh!J18=0,0,SER_hh_tesh!J18/SER_summary!J$26)</f>
        <v>30.001832869137871</v>
      </c>
      <c r="K18" s="132">
        <f>IF(SER_hh_tesh!K18=0,0,SER_hh_tesh!K18/SER_summary!K$26)</f>
        <v>30.256513445968068</v>
      </c>
      <c r="L18" s="132">
        <f>IF(SER_hh_tesh!L18=0,0,SER_hh_tesh!L18/SER_summary!L$26)</f>
        <v>31.440539137714346</v>
      </c>
      <c r="M18" s="132">
        <f>IF(SER_hh_tesh!M18=0,0,SER_hh_tesh!M18/SER_summary!M$26)</f>
        <v>30.781223347864493</v>
      </c>
      <c r="N18" s="132">
        <f>IF(SER_hh_tesh!N18=0,0,SER_hh_tesh!N18/SER_summary!N$26)</f>
        <v>34.035817092936796</v>
      </c>
      <c r="O18" s="132">
        <f>IF(SER_hh_tesh!O18=0,0,SER_hh_tesh!O18/SER_summary!O$26)</f>
        <v>32.896864511465253</v>
      </c>
      <c r="P18" s="132">
        <f>IF(SER_hh_tesh!P18=0,0,SER_hh_tesh!P18/SER_summary!P$26)</f>
        <v>30.431725638716927</v>
      </c>
      <c r="Q18" s="132">
        <f>IF(SER_hh_tesh!Q18=0,0,SER_hh_tesh!Q18/SER_summary!Q$26)</f>
        <v>36.105607514226833</v>
      </c>
      <c r="R18" s="132">
        <f>IF(SER_hh_tesh!R18=0,0,SER_hh_tesh!R18/SER_summary!R$26)</f>
        <v>30.78255741870468</v>
      </c>
      <c r="S18" s="132">
        <f>IF(SER_hh_tesh!S18=0,0,SER_hh_tesh!S18/SER_summary!S$26)</f>
        <v>32.936434153820599</v>
      </c>
      <c r="T18" s="132">
        <f>IF(SER_hh_tesh!T18=0,0,SER_hh_tesh!T18/SER_summary!T$26)</f>
        <v>32.407513719490915</v>
      </c>
      <c r="U18" s="132">
        <f>IF(SER_hh_tesh!U18=0,0,SER_hh_tesh!U18/SER_summary!U$26)</f>
        <v>33.498140225552063</v>
      </c>
      <c r="V18" s="132">
        <f>IF(SER_hh_tesh!V18=0,0,SER_hh_tesh!V18/SER_summary!V$26)</f>
        <v>29.149932444337619</v>
      </c>
      <c r="W18" s="132">
        <f>IF(SER_hh_tesh!W18=0,0,SER_hh_tesh!W18/SER_summary!W$26)</f>
        <v>31.672626896542084</v>
      </c>
      <c r="X18" s="132">
        <f>IF(SER_hh_tesh!X18=0,0,SER_hh_tesh!X18/SER_summary!X$26)</f>
        <v>33.269845345304624</v>
      </c>
      <c r="Y18" s="132">
        <f>IF(SER_hh_tesh!Y18=0,0,SER_hh_tesh!Y18/SER_summary!Y$26)</f>
        <v>31.874559923648192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27.940048657294504</v>
      </c>
      <c r="C19" s="130">
        <f>IF(SER_hh_tesh!C19=0,0,SER_hh_tesh!C19/SER_summary!C$26)</f>
        <v>27.646134849020104</v>
      </c>
      <c r="D19" s="130">
        <f>IF(SER_hh_tesh!D19=0,0,SER_hh_tesh!D19/SER_summary!D$26)</f>
        <v>28.003011522663424</v>
      </c>
      <c r="E19" s="130">
        <f>IF(SER_hh_tesh!E19=0,0,SER_hh_tesh!E19/SER_summary!E$26)</f>
        <v>28.314162925935431</v>
      </c>
      <c r="F19" s="130">
        <f>IF(SER_hh_tesh!F19=0,0,SER_hh_tesh!F19/SER_summary!F$26)</f>
        <v>28.390736122968157</v>
      </c>
      <c r="G19" s="130">
        <f>IF(SER_hh_tesh!G19=0,0,SER_hh_tesh!G19/SER_summary!G$26)</f>
        <v>28.879366933955094</v>
      </c>
      <c r="H19" s="130">
        <f>IF(SER_hh_tesh!H19=0,0,SER_hh_tesh!H19/SER_summary!H$26)</f>
        <v>29.074446688083768</v>
      </c>
      <c r="I19" s="130">
        <f>IF(SER_hh_tesh!I19=0,0,SER_hh_tesh!I19/SER_summary!I$26)</f>
        <v>28.693995044990686</v>
      </c>
      <c r="J19" s="130">
        <f>IF(SER_hh_tesh!J19=0,0,SER_hh_tesh!J19/SER_summary!J$26)</f>
        <v>28.523520032938805</v>
      </c>
      <c r="K19" s="130">
        <f>IF(SER_hh_tesh!K19=0,0,SER_hh_tesh!K19/SER_summary!K$26)</f>
        <v>29.473029022554307</v>
      </c>
      <c r="L19" s="130">
        <f>IF(SER_hh_tesh!L19=0,0,SER_hh_tesh!L19/SER_summary!L$26)</f>
        <v>29.711583556715297</v>
      </c>
      <c r="M19" s="130">
        <f>IF(SER_hh_tesh!M19=0,0,SER_hh_tesh!M19/SER_summary!M$26)</f>
        <v>29.654042722473701</v>
      </c>
      <c r="N19" s="130">
        <f>IF(SER_hh_tesh!N19=0,0,SER_hh_tesh!N19/SER_summary!N$26)</f>
        <v>30.115985578515811</v>
      </c>
      <c r="O19" s="130">
        <f>IF(SER_hh_tesh!O19=0,0,SER_hh_tesh!O19/SER_summary!O$26)</f>
        <v>30.260514668573617</v>
      </c>
      <c r="P19" s="130">
        <f>IF(SER_hh_tesh!P19=0,0,SER_hh_tesh!P19/SER_summary!P$26)</f>
        <v>30.557487969590124</v>
      </c>
      <c r="Q19" s="130">
        <f>IF(SER_hh_tesh!Q19=0,0,SER_hh_tesh!Q19/SER_summary!Q$26)</f>
        <v>30.591415022118269</v>
      </c>
      <c r="R19" s="130">
        <f>IF(SER_hh_tesh!R19=0,0,SER_hh_tesh!R19/SER_summary!R$26)</f>
        <v>30.888993037273416</v>
      </c>
      <c r="S19" s="130">
        <f>IF(SER_hh_tesh!S19=0,0,SER_hh_tesh!S19/SER_summary!S$26)</f>
        <v>31.200694240989218</v>
      </c>
      <c r="T19" s="130">
        <f>IF(SER_hh_tesh!T19=0,0,SER_hh_tesh!T19/SER_summary!T$26)</f>
        <v>30.807256906974697</v>
      </c>
      <c r="U19" s="130">
        <f>IF(SER_hh_tesh!U19=0,0,SER_hh_tesh!U19/SER_summary!U$26)</f>
        <v>30.51804246623373</v>
      </c>
      <c r="V19" s="130">
        <f>IF(SER_hh_tesh!V19=0,0,SER_hh_tesh!V19/SER_summary!V$26)</f>
        <v>27.650230121324995</v>
      </c>
      <c r="W19" s="130">
        <f>IF(SER_hh_tesh!W19=0,0,SER_hh_tesh!W19/SER_summary!W$26)</f>
        <v>30.29121659082471</v>
      </c>
      <c r="X19" s="130">
        <f>IF(SER_hh_tesh!X19=0,0,SER_hh_tesh!X19/SER_summary!X$26)</f>
        <v>30.875592347383218</v>
      </c>
      <c r="Y19" s="130">
        <f>IF(SER_hh_tesh!Y19=0,0,SER_hh_tesh!Y19/SER_summary!Y$26)</f>
        <v>30.894094565757296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29.371146071723693</v>
      </c>
      <c r="C20" s="132">
        <f>IF(SER_hh_tesh!C20=0,0,SER_hh_tesh!C20/SER_summary!C$26)</f>
        <v>27.050742820225476</v>
      </c>
      <c r="D20" s="132">
        <f>IF(SER_hh_tesh!D20=0,0,SER_hh_tesh!D20/SER_summary!D$26)</f>
        <v>30.389010308351423</v>
      </c>
      <c r="E20" s="132">
        <f>IF(SER_hh_tesh!E20=0,0,SER_hh_tesh!E20/SER_summary!E$26)</f>
        <v>25.304963403949756</v>
      </c>
      <c r="F20" s="132">
        <f>IF(SER_hh_tesh!F20=0,0,SER_hh_tesh!F20/SER_summary!F$26)</f>
        <v>27.643323616808654</v>
      </c>
      <c r="G20" s="132">
        <f>IF(SER_hh_tesh!G20=0,0,SER_hh_tesh!G20/SER_summary!G$26)</f>
        <v>12.179500513853336</v>
      </c>
      <c r="H20" s="132">
        <f>IF(SER_hh_tesh!H20=0,0,SER_hh_tesh!H20/SER_summary!H$26)</f>
        <v>22.752561329136793</v>
      </c>
      <c r="I20" s="132">
        <f>IF(SER_hh_tesh!I20=0,0,SER_hh_tesh!I20/SER_summary!I$26)</f>
        <v>31.509153800316</v>
      </c>
      <c r="J20" s="132">
        <f>IF(SER_hh_tesh!J20=0,0,SER_hh_tesh!J20/SER_summary!J$26)</f>
        <v>31.196902900283234</v>
      </c>
      <c r="K20" s="132">
        <f>IF(SER_hh_tesh!K20=0,0,SER_hh_tesh!K20/SER_summary!K$26)</f>
        <v>31.065799641902341</v>
      </c>
      <c r="L20" s="132">
        <f>IF(SER_hh_tesh!L20=0,0,SER_hh_tesh!L20/SER_summary!L$26)</f>
        <v>29.510131440150818</v>
      </c>
      <c r="M20" s="132">
        <f>IF(SER_hh_tesh!M20=0,0,SER_hh_tesh!M20/SER_summary!M$26)</f>
        <v>29.460176813426635</v>
      </c>
      <c r="N20" s="132">
        <f>IF(SER_hh_tesh!N20=0,0,SER_hh_tesh!N20/SER_summary!N$26)</f>
        <v>30.187714851220623</v>
      </c>
      <c r="O20" s="132">
        <f>IF(SER_hh_tesh!O20=0,0,SER_hh_tesh!O20/SER_summary!O$26)</f>
        <v>30.034291624453125</v>
      </c>
      <c r="P20" s="132">
        <f>IF(SER_hh_tesh!P20=0,0,SER_hh_tesh!P20/SER_summary!P$26)</f>
        <v>31.827925846201612</v>
      </c>
      <c r="Q20" s="132">
        <f>IF(SER_hh_tesh!Q20=0,0,SER_hh_tesh!Q20/SER_summary!Q$26)</f>
        <v>36.171506545005712</v>
      </c>
      <c r="R20" s="132">
        <f>IF(SER_hh_tesh!R20=0,0,SER_hh_tesh!R20/SER_summary!R$26)</f>
        <v>22.019098089515889</v>
      </c>
      <c r="S20" s="132">
        <f>IF(SER_hh_tesh!S20=0,0,SER_hh_tesh!S20/SER_summary!S$26)</f>
        <v>28.60320152671235</v>
      </c>
      <c r="T20" s="132">
        <f>IF(SER_hh_tesh!T20=0,0,SER_hh_tesh!T20/SER_summary!T$26)</f>
        <v>30.953048130895993</v>
      </c>
      <c r="U20" s="132">
        <f>IF(SER_hh_tesh!U20=0,0,SER_hh_tesh!U20/SER_summary!U$26)</f>
        <v>44.908868185028481</v>
      </c>
      <c r="V20" s="132">
        <f>IF(SER_hh_tesh!V20=0,0,SER_hh_tesh!V20/SER_summary!V$26)</f>
        <v>19.70620314231471</v>
      </c>
      <c r="W20" s="132">
        <f>IF(SER_hh_tesh!W20=0,0,SER_hh_tesh!W20/SER_summary!W$26)</f>
        <v>33.904356340293269</v>
      </c>
      <c r="X20" s="132">
        <f>IF(SER_hh_tesh!X20=0,0,SER_hh_tesh!X20/SER_summary!X$26)</f>
        <v>27.127905019297334</v>
      </c>
      <c r="Y20" s="132">
        <f>IF(SER_hh_tesh!Y20=0,0,SER_hh_tesh!Y20/SER_summary!Y$26)</f>
        <v>28.375642639503631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0</v>
      </c>
      <c r="C22" s="132">
        <f>IF(SER_hh_tesh!C22=0,0,SER_hh_tesh!C22/SER_summary!C$26)</f>
        <v>0</v>
      </c>
      <c r="D22" s="132">
        <f>IF(SER_hh_tesh!D22=0,0,SER_hh_tesh!D22/SER_summary!D$26)</f>
        <v>0</v>
      </c>
      <c r="E22" s="132">
        <f>IF(SER_hh_tesh!E22=0,0,SER_hh_tesh!E22/SER_summary!E$26)</f>
        <v>0</v>
      </c>
      <c r="F22" s="132">
        <f>IF(SER_hh_tesh!F22=0,0,SER_hh_tesh!F22/SER_summary!F$26)</f>
        <v>0</v>
      </c>
      <c r="G22" s="132">
        <f>IF(SER_hh_tesh!G22=0,0,SER_hh_tesh!G22/SER_summary!G$26)</f>
        <v>0</v>
      </c>
      <c r="H22" s="132">
        <f>IF(SER_hh_tesh!H22=0,0,SER_hh_tesh!H22/SER_summary!H$26)</f>
        <v>0</v>
      </c>
      <c r="I22" s="132">
        <f>IF(SER_hh_tesh!I22=0,0,SER_hh_tesh!I22/SER_summary!I$26)</f>
        <v>0</v>
      </c>
      <c r="J22" s="132">
        <f>IF(SER_hh_tesh!J22=0,0,SER_hh_tesh!J22/SER_summary!J$26)</f>
        <v>0</v>
      </c>
      <c r="K22" s="132">
        <f>IF(SER_hh_tesh!K22=0,0,SER_hh_tesh!K22/SER_summary!K$26)</f>
        <v>0</v>
      </c>
      <c r="L22" s="132">
        <f>IF(SER_hh_tesh!L22=0,0,SER_hh_tesh!L22/SER_summary!L$26)</f>
        <v>0</v>
      </c>
      <c r="M22" s="132">
        <f>IF(SER_hh_tesh!M22=0,0,SER_hh_tesh!M22/SER_summary!M$26)</f>
        <v>0</v>
      </c>
      <c r="N22" s="132">
        <f>IF(SER_hh_tesh!N22=0,0,SER_hh_tesh!N22/SER_summary!N$26)</f>
        <v>0</v>
      </c>
      <c r="O22" s="132">
        <f>IF(SER_hh_tesh!O22=0,0,SER_hh_tesh!O22/SER_summary!O$26)</f>
        <v>0</v>
      </c>
      <c r="P22" s="132">
        <f>IF(SER_hh_tesh!P22=0,0,SER_hh_tesh!P22/SER_summary!P$26)</f>
        <v>0</v>
      </c>
      <c r="Q22" s="132">
        <f>IF(SER_hh_tesh!Q22=0,0,SER_hh_tesh!Q22/SER_summary!Q$26)</f>
        <v>0</v>
      </c>
      <c r="R22" s="132">
        <f>IF(SER_hh_tesh!R22=0,0,SER_hh_tesh!R22/SER_summary!R$26)</f>
        <v>0</v>
      </c>
      <c r="S22" s="132">
        <f>IF(SER_hh_tesh!S22=0,0,SER_hh_tesh!S22/SER_summary!S$26)</f>
        <v>0</v>
      </c>
      <c r="T22" s="132">
        <f>IF(SER_hh_tesh!T22=0,0,SER_hh_tesh!T22/SER_summary!T$26)</f>
        <v>0</v>
      </c>
      <c r="U22" s="132">
        <f>IF(SER_hh_tesh!U22=0,0,SER_hh_tesh!U22/SER_summary!U$26)</f>
        <v>0</v>
      </c>
      <c r="V22" s="132">
        <f>IF(SER_hh_tesh!V22=0,0,SER_hh_tesh!V22/SER_summary!V$26)</f>
        <v>0</v>
      </c>
      <c r="W22" s="132">
        <f>IF(SER_hh_tesh!W22=0,0,SER_hh_tesh!W22/SER_summary!W$26)</f>
        <v>0</v>
      </c>
      <c r="X22" s="132">
        <f>IF(SER_hh_tesh!X22=0,0,SER_hh_tesh!X22/SER_summary!X$26)</f>
        <v>0</v>
      </c>
      <c r="Y22" s="132">
        <f>IF(SER_hh_tesh!Y22=0,0,SER_hh_tesh!Y22/SER_summary!Y$26)</f>
        <v>0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18.626699104863</v>
      </c>
      <c r="C23" s="132">
        <f>IF(SER_hh_tesh!C23=0,0,SER_hh_tesh!C23/SER_summary!C$26)</f>
        <v>30.741746495422255</v>
      </c>
      <c r="D23" s="132">
        <f>IF(SER_hh_tesh!D23=0,0,SER_hh_tesh!D23/SER_summary!D$26)</f>
        <v>30.863390750250446</v>
      </c>
      <c r="E23" s="132">
        <f>IF(SER_hh_tesh!E23=0,0,SER_hh_tesh!E23/SER_summary!E$26)</f>
        <v>27.840131776830681</v>
      </c>
      <c r="F23" s="132">
        <f>IF(SER_hh_tesh!F23=0,0,SER_hh_tesh!F23/SER_summary!F$26)</f>
        <v>29.129042003686504</v>
      </c>
      <c r="G23" s="132">
        <f>IF(SER_hh_tesh!G23=0,0,SER_hh_tesh!G23/SER_summary!G$26)</f>
        <v>28.089793673803733</v>
      </c>
      <c r="H23" s="132">
        <f>IF(SER_hh_tesh!H23=0,0,SER_hh_tesh!H23/SER_summary!H$26)</f>
        <v>28.034137730570198</v>
      </c>
      <c r="I23" s="132">
        <f>IF(SER_hh_tesh!I23=0,0,SER_hh_tesh!I23/SER_summary!I$26)</f>
        <v>29.936014604030301</v>
      </c>
      <c r="J23" s="132">
        <f>IF(SER_hh_tesh!J23=0,0,SER_hh_tesh!J23/SER_summary!J$26)</f>
        <v>29.329948967230532</v>
      </c>
      <c r="K23" s="132">
        <f>IF(SER_hh_tesh!K23=0,0,SER_hh_tesh!K23/SER_summary!K$26)</f>
        <v>28.359829719411319</v>
      </c>
      <c r="L23" s="132">
        <f>IF(SER_hh_tesh!L23=0,0,SER_hh_tesh!L23/SER_summary!L$26)</f>
        <v>29.270994445736928</v>
      </c>
      <c r="M23" s="132">
        <f>IF(SER_hh_tesh!M23=0,0,SER_hh_tesh!M23/SER_summary!M$26)</f>
        <v>27.058765043965007</v>
      </c>
      <c r="N23" s="132">
        <f>IF(SER_hh_tesh!N23=0,0,SER_hh_tesh!N23/SER_summary!N$26)</f>
        <v>30.882985687792981</v>
      </c>
      <c r="O23" s="132">
        <f>IF(SER_hh_tesh!O23=0,0,SER_hh_tesh!O23/SER_summary!O$26)</f>
        <v>31.561458617144137</v>
      </c>
      <c r="P23" s="132">
        <f>IF(SER_hh_tesh!P23=0,0,SER_hh_tesh!P23/SER_summary!P$26)</f>
        <v>32.046741693373058</v>
      </c>
      <c r="Q23" s="132">
        <f>IF(SER_hh_tesh!Q23=0,0,SER_hh_tesh!Q23/SER_summary!Q$26)</f>
        <v>32.931275175198124</v>
      </c>
      <c r="R23" s="132">
        <f>IF(SER_hh_tesh!R23=0,0,SER_hh_tesh!R23/SER_summary!R$26)</f>
        <v>33.435404423284751</v>
      </c>
      <c r="S23" s="132">
        <f>IF(SER_hh_tesh!S23=0,0,SER_hh_tesh!S23/SER_summary!S$26)</f>
        <v>32.138063287783332</v>
      </c>
      <c r="T23" s="132">
        <f>IF(SER_hh_tesh!T23=0,0,SER_hh_tesh!T23/SER_summary!T$26)</f>
        <v>30.736275608554486</v>
      </c>
      <c r="U23" s="132">
        <f>IF(SER_hh_tesh!U23=0,0,SER_hh_tesh!U23/SER_summary!U$26)</f>
        <v>27.981034563317213</v>
      </c>
      <c r="V23" s="132">
        <f>IF(SER_hh_tesh!V23=0,0,SER_hh_tesh!V23/SER_summary!V$26)</f>
        <v>19.10585869973535</v>
      </c>
      <c r="W23" s="132">
        <f>IF(SER_hh_tesh!W23=0,0,SER_hh_tesh!W23/SER_summary!W$26)</f>
        <v>32.696390867492887</v>
      </c>
      <c r="X23" s="132">
        <f>IF(SER_hh_tesh!X23=0,0,SER_hh_tesh!X23/SER_summary!X$26)</f>
        <v>32.525894116796636</v>
      </c>
      <c r="Y23" s="132">
        <f>IF(SER_hh_tesh!Y23=0,0,SER_hh_tesh!Y23/SER_summary!Y$26)</f>
        <v>30.840983269185333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25.583552135592605</v>
      </c>
      <c r="C25" s="132">
        <f>IF(SER_hh_tesh!C25=0,0,SER_hh_tesh!C25/SER_summary!C$26)</f>
        <v>25.988205644677546</v>
      </c>
      <c r="D25" s="132">
        <f>IF(SER_hh_tesh!D25=0,0,SER_hh_tesh!D25/SER_summary!D$26)</f>
        <v>28.862589453105368</v>
      </c>
      <c r="E25" s="132">
        <f>IF(SER_hh_tesh!E25=0,0,SER_hh_tesh!E25/SER_summary!E$26)</f>
        <v>30.968132483198698</v>
      </c>
      <c r="F25" s="132">
        <f>IF(SER_hh_tesh!F25=0,0,SER_hh_tesh!F25/SER_summary!F$26)</f>
        <v>40.256561056929385</v>
      </c>
      <c r="G25" s="132">
        <f>IF(SER_hh_tesh!G25=0,0,SER_hh_tesh!G25/SER_summary!G$26)</f>
        <v>29.815426125324972</v>
      </c>
      <c r="H25" s="132">
        <f>IF(SER_hh_tesh!H25=0,0,SER_hh_tesh!H25/SER_summary!H$26)</f>
        <v>26.678351392359453</v>
      </c>
      <c r="I25" s="132">
        <f>IF(SER_hh_tesh!I25=0,0,SER_hh_tesh!I25/SER_summary!I$26)</f>
        <v>28.178033460224235</v>
      </c>
      <c r="J25" s="132">
        <f>IF(SER_hh_tesh!J25=0,0,SER_hh_tesh!J25/SER_summary!J$26)</f>
        <v>28.785816467304592</v>
      </c>
      <c r="K25" s="132">
        <f>IF(SER_hh_tesh!K25=0,0,SER_hh_tesh!K25/SER_summary!K$26)</f>
        <v>29.96489583219137</v>
      </c>
      <c r="L25" s="132">
        <f>IF(SER_hh_tesh!L25=0,0,SER_hh_tesh!L25/SER_summary!L$26)</f>
        <v>29.269485418392708</v>
      </c>
      <c r="M25" s="132">
        <f>IF(SER_hh_tesh!M25=0,0,SER_hh_tesh!M25/SER_summary!M$26)</f>
        <v>30.319291290468428</v>
      </c>
      <c r="N25" s="132">
        <f>IF(SER_hh_tesh!N25=0,0,SER_hh_tesh!N25/SER_summary!N$26)</f>
        <v>33.094376388504102</v>
      </c>
      <c r="O25" s="132">
        <f>IF(SER_hh_tesh!O25=0,0,SER_hh_tesh!O25/SER_summary!O$26)</f>
        <v>24.623989459742965</v>
      </c>
      <c r="P25" s="132">
        <f>IF(SER_hh_tesh!P25=0,0,SER_hh_tesh!P25/SER_summary!P$26)</f>
        <v>25.460450977319891</v>
      </c>
      <c r="Q25" s="132">
        <f>IF(SER_hh_tesh!Q25=0,0,SER_hh_tesh!Q25/SER_summary!Q$26)</f>
        <v>12.096030673440392</v>
      </c>
      <c r="R25" s="132">
        <f>IF(SER_hh_tesh!R25=0,0,SER_hh_tesh!R25/SER_summary!R$26)</f>
        <v>41.212363310776865</v>
      </c>
      <c r="S25" s="132">
        <f>IF(SER_hh_tesh!S25=0,0,SER_hh_tesh!S25/SER_summary!S$26)</f>
        <v>38.711779970958474</v>
      </c>
      <c r="T25" s="132">
        <f>IF(SER_hh_tesh!T25=0,0,SER_hh_tesh!T25/SER_summary!T$26)</f>
        <v>36.999026545765972</v>
      </c>
      <c r="U25" s="132">
        <f>IF(SER_hh_tesh!U25=0,0,SER_hh_tesh!U25/SER_summary!U$26)</f>
        <v>33.965687909759815</v>
      </c>
      <c r="V25" s="132">
        <f>IF(SER_hh_tesh!V25=0,0,SER_hh_tesh!V25/SER_summary!V$26)</f>
        <v>21.87934246227471</v>
      </c>
      <c r="W25" s="132">
        <f>IF(SER_hh_tesh!W25=0,0,SER_hh_tesh!W25/SER_summary!W$26)</f>
        <v>28.332145963733147</v>
      </c>
      <c r="X25" s="132">
        <f>IF(SER_hh_tesh!X25=0,0,SER_hh_tesh!X25/SER_summary!X$26)</f>
        <v>32.922657673576708</v>
      </c>
      <c r="Y25" s="132">
        <f>IF(SER_hh_tesh!Y25=0,0,SER_hh_tesh!Y25/SER_summary!Y$26)</f>
        <v>29.827553570501195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29.092882792238694</v>
      </c>
      <c r="C26" s="65">
        <f>IF(SER_hh_tesh!C26=0,0,SER_hh_tesh!C26/SER_summary!C$26)</f>
        <v>27.45763624652492</v>
      </c>
      <c r="D26" s="65">
        <f>IF(SER_hh_tesh!D26=0,0,SER_hh_tesh!D26/SER_summary!D$26)</f>
        <v>26.871269600599202</v>
      </c>
      <c r="E26" s="65">
        <f>IF(SER_hh_tesh!E26=0,0,SER_hh_tesh!E26/SER_summary!E$26)</f>
        <v>27.747345941352112</v>
      </c>
      <c r="F26" s="65">
        <f>IF(SER_hh_tesh!F26=0,0,SER_hh_tesh!F26/SER_summary!F$26)</f>
        <v>24.408055202349978</v>
      </c>
      <c r="G26" s="65">
        <f>IF(SER_hh_tesh!G26=0,0,SER_hh_tesh!G26/SER_summary!G$26)</f>
        <v>29.422823986320324</v>
      </c>
      <c r="H26" s="65">
        <f>IF(SER_hh_tesh!H26=0,0,SER_hh_tesh!H26/SER_summary!H$26)</f>
        <v>30.414992539120373</v>
      </c>
      <c r="I26" s="65">
        <f>IF(SER_hh_tesh!I26=0,0,SER_hh_tesh!I26/SER_summary!I$26)</f>
        <v>28.148508031421347</v>
      </c>
      <c r="J26" s="65">
        <f>IF(SER_hh_tesh!J26=0,0,SER_hh_tesh!J26/SER_summary!J$26)</f>
        <v>27.876953257321098</v>
      </c>
      <c r="K26" s="65">
        <f>IF(SER_hh_tesh!K26=0,0,SER_hh_tesh!K26/SER_summary!K$26)</f>
        <v>29.587642824608025</v>
      </c>
      <c r="L26" s="65">
        <f>IF(SER_hh_tesh!L26=0,0,SER_hh_tesh!L26/SER_summary!L$26)</f>
        <v>29.75232049263353</v>
      </c>
      <c r="M26" s="65">
        <f>IF(SER_hh_tesh!M26=0,0,SER_hh_tesh!M26/SER_summary!M$26)</f>
        <v>30.430234073302184</v>
      </c>
      <c r="N26" s="65">
        <f>IF(SER_hh_tesh!N26=0,0,SER_hh_tesh!N26/SER_summary!N$26)</f>
        <v>28.680628275240597</v>
      </c>
      <c r="O26" s="65">
        <f>IF(SER_hh_tesh!O26=0,0,SER_hh_tesh!O26/SER_summary!O$26)</f>
        <v>30.377229021303158</v>
      </c>
      <c r="P26" s="65">
        <f>IF(SER_hh_tesh!P26=0,0,SER_hh_tesh!P26/SER_summary!P$26)</f>
        <v>29.553038213697914</v>
      </c>
      <c r="Q26" s="65">
        <f>IF(SER_hh_tesh!Q26=0,0,SER_hh_tesh!Q26/SER_summary!Q$26)</f>
        <v>31.119271292734947</v>
      </c>
      <c r="R26" s="65">
        <f>IF(SER_hh_tesh!R26=0,0,SER_hh_tesh!R26/SER_summary!R$26)</f>
        <v>27.96610533388521</v>
      </c>
      <c r="S26" s="65">
        <f>IF(SER_hh_tesh!S26=0,0,SER_hh_tesh!S26/SER_summary!S$26)</f>
        <v>29.408583348008627</v>
      </c>
      <c r="T26" s="65">
        <f>IF(SER_hh_tesh!T26=0,0,SER_hh_tesh!T26/SER_summary!T$26)</f>
        <v>29.667411843752681</v>
      </c>
      <c r="U26" s="65">
        <f>IF(SER_hh_tesh!U26=0,0,SER_hh_tesh!U26/SER_summary!U$26)</f>
        <v>29.727471424333796</v>
      </c>
      <c r="V26" s="65">
        <f>IF(SER_hh_tesh!V26=0,0,SER_hh_tesh!V26/SER_summary!V$26)</f>
        <v>31.534959944242051</v>
      </c>
      <c r="W26" s="65">
        <f>IF(SER_hh_tesh!W26=0,0,SER_hh_tesh!W26/SER_summary!W$26)</f>
        <v>29.052652266787025</v>
      </c>
      <c r="X26" s="65">
        <f>IF(SER_hh_tesh!X26=0,0,SER_hh_tesh!X26/SER_summary!X$26)</f>
        <v>29.764789120239517</v>
      </c>
      <c r="Y26" s="65">
        <f>IF(SER_hh_tesh!Y26=0,0,SER_hh_tesh!Y26/SER_summary!Y$26)</f>
        <v>30.235699947576631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9.3331109969898452E-3</v>
      </c>
      <c r="H27" s="145">
        <f>IF(SER_hh_tesh!H27=0,0,SER_hh_tesh!H27/SER_summary!H$26)</f>
        <v>8.9258051523270886E-3</v>
      </c>
      <c r="I27" s="145">
        <f>IF(SER_hh_tesh!I27=0,0,SER_hh_tesh!I27/SER_summary!I$26)</f>
        <v>8.4561295149543081E-3</v>
      </c>
      <c r="J27" s="145">
        <f>IF(SER_hh_tesh!J27=0,0,SER_hh_tesh!J27/SER_summary!J$26)</f>
        <v>8.1859817576271886E-3</v>
      </c>
      <c r="K27" s="145">
        <f>IF(SER_hh_tesh!K27=0,0,SER_hh_tesh!K27/SER_summary!K$26)</f>
        <v>8.1995193070188207E-3</v>
      </c>
      <c r="L27" s="145">
        <f>IF(SER_hh_tesh!L27=0,0,SER_hh_tesh!L27/SER_summary!L$26)</f>
        <v>0.15233017864158147</v>
      </c>
      <c r="M27" s="145">
        <f>IF(SER_hh_tesh!M27=0,0,SER_hh_tesh!M27/SER_summary!M$26)</f>
        <v>0.18259625484130487</v>
      </c>
      <c r="N27" s="145">
        <f>IF(SER_hh_tesh!N27=0,0,SER_hh_tesh!N27/SER_summary!N$26)</f>
        <v>0.18080165065634785</v>
      </c>
      <c r="O27" s="145">
        <f>IF(SER_hh_tesh!O27=0,0,SER_hh_tesh!O27/SER_summary!O$26)</f>
        <v>9.3509128945570799E-2</v>
      </c>
      <c r="P27" s="145">
        <f>IF(SER_hh_tesh!P27=0,0,SER_hh_tesh!P27/SER_summary!P$26)</f>
        <v>0.37056049681381353</v>
      </c>
      <c r="Q27" s="145">
        <f>IF(SER_hh_tesh!Q27=0,0,SER_hh_tesh!Q27/SER_summary!Q$26)</f>
        <v>0.25922926744883007</v>
      </c>
      <c r="R27" s="145">
        <f>IF(SER_hh_tesh!R27=0,0,SER_hh_tesh!R27/SER_summary!R$26)</f>
        <v>0.27123171908003296</v>
      </c>
      <c r="S27" s="145">
        <f>IF(SER_hh_tesh!S27=0,0,SER_hh_tesh!S27/SER_summary!S$26)</f>
        <v>0.20087463615844775</v>
      </c>
      <c r="T27" s="145">
        <f>IF(SER_hh_tesh!T27=0,0,SER_hh_tesh!T27/SER_summary!T$26)</f>
        <v>0.21267411865312216</v>
      </c>
      <c r="U27" s="145">
        <f>IF(SER_hh_tesh!U27=0,0,SER_hh_tesh!U27/SER_summary!U$26)</f>
        <v>0.21675579943146064</v>
      </c>
      <c r="V27" s="145">
        <f>IF(SER_hh_tesh!V27=0,0,SER_hh_tesh!V27/SER_summary!V$26)</f>
        <v>0.22086335642485236</v>
      </c>
      <c r="W27" s="145">
        <f>IF(SER_hh_tesh!W27=0,0,SER_hh_tesh!W27/SER_summary!W$26)</f>
        <v>0.22505873888070069</v>
      </c>
      <c r="X27" s="145">
        <f>IF(SER_hh_tesh!X27=0,0,SER_hh_tesh!X27/SER_summary!X$26)</f>
        <v>0.26410601633197767</v>
      </c>
      <c r="Y27" s="145">
        <f>IF(SER_hh_tesh!Y27=0,0,SER_hh_tesh!Y27/SER_summary!Y$26)</f>
        <v>0.54994928698190615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20.878687305662954</v>
      </c>
      <c r="H28" s="146">
        <f>IF(SER_hh_tesh!H28=0,0,SER_hh_tesh!H28/SER_summary!H$26)</f>
        <v>21.019720499029599</v>
      </c>
      <c r="I28" s="146">
        <f>IF(SER_hh_tesh!I28=0,0,SER_hh_tesh!I28/SER_summary!I$26)</f>
        <v>20.744665802791978</v>
      </c>
      <c r="J28" s="146">
        <f>IF(SER_hh_tesh!J28=0,0,SER_hh_tesh!J28/SER_summary!J$26)</f>
        <v>20.621418631076967</v>
      </c>
      <c r="K28" s="146">
        <f>IF(SER_hh_tesh!K28=0,0,SER_hh_tesh!K28/SER_summary!K$26)</f>
        <v>21.307884954236265</v>
      </c>
      <c r="L28" s="146">
        <f>IF(SER_hh_tesh!L28=0,0,SER_hh_tesh!L28/SER_summary!L$26)</f>
        <v>19.81467502477922</v>
      </c>
      <c r="M28" s="146">
        <f>IF(SER_hh_tesh!M28=0,0,SER_hh_tesh!M28/SER_summary!M$26)</f>
        <v>21.104733259043922</v>
      </c>
      <c r="N28" s="146">
        <f>IF(SER_hh_tesh!N28=0,0,SER_hh_tesh!N28/SER_summary!N$26)</f>
        <v>20.834208190418487</v>
      </c>
      <c r="O28" s="146">
        <f>IF(SER_hh_tesh!O28=0,0,SER_hh_tesh!O28/SER_summary!O$26)</f>
        <v>19.707997243833841</v>
      </c>
      <c r="P28" s="146">
        <f>IF(SER_hh_tesh!P28=0,0,SER_hh_tesh!P28/SER_summary!P$26)</f>
        <v>21.32593446250662</v>
      </c>
      <c r="Q28" s="146">
        <f>IF(SER_hh_tesh!Q28=0,0,SER_hh_tesh!Q28/SER_summary!Q$26)</f>
        <v>21.177769350910292</v>
      </c>
      <c r="R28" s="146">
        <f>IF(SER_hh_tesh!R28=0,0,SER_hh_tesh!R28/SER_summary!R$26)</f>
        <v>21.319059163873103</v>
      </c>
      <c r="S28" s="146">
        <f>IF(SER_hh_tesh!S28=0,0,SER_hh_tesh!S28/SER_summary!S$26)</f>
        <v>22.444386032833812</v>
      </c>
      <c r="T28" s="146">
        <f>IF(SER_hh_tesh!T28=0,0,SER_hh_tesh!T28/SER_summary!T$26)</f>
        <v>21.453211452583879</v>
      </c>
      <c r="U28" s="146">
        <f>IF(SER_hh_tesh!U28=0,0,SER_hh_tesh!U28/SER_summary!U$26)</f>
        <v>21.652352407971826</v>
      </c>
      <c r="V28" s="146">
        <f>IF(SER_hh_tesh!V28=0,0,SER_hh_tesh!V28/SER_summary!V$26)</f>
        <v>19.306257680034506</v>
      </c>
      <c r="W28" s="146">
        <f>IF(SER_hh_tesh!W28=0,0,SER_hh_tesh!W28/SER_summary!W$26)</f>
        <v>17.655700475425427</v>
      </c>
      <c r="X28" s="146">
        <f>IF(SER_hh_tesh!X28=0,0,SER_hh_tesh!X28/SER_summary!X$26)</f>
        <v>23.517223400955924</v>
      </c>
      <c r="Y28" s="146">
        <f>IF(SER_hh_tesh!Y28=0,0,SER_hh_tesh!Y28/SER_summary!Y$26)</f>
        <v>18.929039315505417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27.932622837687262</v>
      </c>
      <c r="C29" s="130">
        <f>IF(SER_hh_tesh!C29=0,0,SER_hh_tesh!C29/SER_summary!C$26)</f>
        <v>28.113125008404261</v>
      </c>
      <c r="D29" s="130">
        <f>IF(SER_hh_tesh!D29=0,0,SER_hh_tesh!D29/SER_summary!D$26)</f>
        <v>29.540107576188767</v>
      </c>
      <c r="E29" s="130">
        <f>IF(SER_hh_tesh!E29=0,0,SER_hh_tesh!E29/SER_summary!E$26)</f>
        <v>30.004297108913867</v>
      </c>
      <c r="F29" s="130">
        <f>IF(SER_hh_tesh!F29=0,0,SER_hh_tesh!F29/SER_summary!F$26)</f>
        <v>30.390930305781314</v>
      </c>
      <c r="G29" s="130">
        <f>IF(SER_hh_tesh!G29=0,0,SER_hh_tesh!G29/SER_summary!G$26)</f>
        <v>31.232393786282906</v>
      </c>
      <c r="H29" s="130">
        <f>IF(SER_hh_tesh!H29=0,0,SER_hh_tesh!H29/SER_summary!H$26)</f>
        <v>31.02231108499679</v>
      </c>
      <c r="I29" s="130">
        <f>IF(SER_hh_tesh!I29=0,0,SER_hh_tesh!I29/SER_summary!I$26)</f>
        <v>30.10023889868549</v>
      </c>
      <c r="J29" s="130">
        <f>IF(SER_hh_tesh!J29=0,0,SER_hh_tesh!J29/SER_summary!J$26)</f>
        <v>29.441122741382365</v>
      </c>
      <c r="K29" s="130">
        <f>IF(SER_hh_tesh!K29=0,0,SER_hh_tesh!K29/SER_summary!K$26)</f>
        <v>30.217934209863348</v>
      </c>
      <c r="L29" s="130">
        <f>IF(SER_hh_tesh!L29=0,0,SER_hh_tesh!L29/SER_summary!L$26)</f>
        <v>29.718896264330944</v>
      </c>
      <c r="M29" s="130">
        <f>IF(SER_hh_tesh!M29=0,0,SER_hh_tesh!M29/SER_summary!M$26)</f>
        <v>29.369997515436726</v>
      </c>
      <c r="N29" s="130">
        <f>IF(SER_hh_tesh!N29=0,0,SER_hh_tesh!N29/SER_summary!N$26)</f>
        <v>29.335887181985839</v>
      </c>
      <c r="O29" s="130">
        <f>IF(SER_hh_tesh!O29=0,0,SER_hh_tesh!O29/SER_summary!O$26)</f>
        <v>29.33678414838883</v>
      </c>
      <c r="P29" s="130">
        <f>IF(SER_hh_tesh!P29=0,0,SER_hh_tesh!P29/SER_summary!P$26)</f>
        <v>28.95350959573263</v>
      </c>
      <c r="Q29" s="130">
        <f>IF(SER_hh_tesh!Q29=0,0,SER_hh_tesh!Q29/SER_summary!Q$26)</f>
        <v>29.027770664072232</v>
      </c>
      <c r="R29" s="130">
        <f>IF(SER_hh_tesh!R29=0,0,SER_hh_tesh!R29/SER_summary!R$26)</f>
        <v>28.731707983468919</v>
      </c>
      <c r="S29" s="130">
        <f>IF(SER_hh_tesh!S29=0,0,SER_hh_tesh!S29/SER_summary!S$26)</f>
        <v>28.588252116025231</v>
      </c>
      <c r="T29" s="130">
        <f>IF(SER_hh_tesh!T29=0,0,SER_hh_tesh!T29/SER_summary!T$26)</f>
        <v>28.183984121107699</v>
      </c>
      <c r="U29" s="130">
        <f>IF(SER_hh_tesh!U29=0,0,SER_hh_tesh!U29/SER_summary!U$26)</f>
        <v>27.528928042336094</v>
      </c>
      <c r="V29" s="130">
        <f>IF(SER_hh_tesh!V29=0,0,SER_hh_tesh!V29/SER_summary!V$26)</f>
        <v>25.025328056849631</v>
      </c>
      <c r="W29" s="130">
        <f>IF(SER_hh_tesh!W29=0,0,SER_hh_tesh!W29/SER_summary!W$26)</f>
        <v>27.847396534499509</v>
      </c>
      <c r="X29" s="130">
        <f>IF(SER_hh_tesh!X29=0,0,SER_hh_tesh!X29/SER_summary!X$26)</f>
        <v>27.454404539369175</v>
      </c>
      <c r="Y29" s="130">
        <f>IF(SER_hh_tesh!Y29=0,0,SER_hh_tesh!Y29/SER_summary!Y$26)</f>
        <v>27.202864857473401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13.42661695848888</v>
      </c>
      <c r="C30" s="132">
        <f>IF(SER_hh_tesh!C30=0,0,SER_hh_tesh!C30/SER_summary!C$26)</f>
        <v>21.653361546962504</v>
      </c>
      <c r="D30" s="132">
        <f>IF(SER_hh_tesh!D30=0,0,SER_hh_tesh!D30/SER_summary!D$26)</f>
        <v>34.792289151511646</v>
      </c>
      <c r="E30" s="132">
        <f>IF(SER_hh_tesh!E30=0,0,SER_hh_tesh!E30/SER_summary!E$26)</f>
        <v>35.898570891614426</v>
      </c>
      <c r="F30" s="132">
        <f>IF(SER_hh_tesh!F30=0,0,SER_hh_tesh!F30/SER_summary!F$26)</f>
        <v>38.853075998897751</v>
      </c>
      <c r="G30" s="132">
        <f>IF(SER_hh_tesh!G30=0,0,SER_hh_tesh!G30/SER_summary!G$26)</f>
        <v>30.457356108723033</v>
      </c>
      <c r="H30" s="132">
        <f>IF(SER_hh_tesh!H30=0,0,SER_hh_tesh!H30/SER_summary!H$26)</f>
        <v>35.573819596448203</v>
      </c>
      <c r="I30" s="132">
        <f>IF(SER_hh_tesh!I30=0,0,SER_hh_tesh!I30/SER_summary!I$26)</f>
        <v>19.656036328149568</v>
      </c>
      <c r="J30" s="132">
        <f>IF(SER_hh_tesh!J30=0,0,SER_hh_tesh!J30/SER_summary!J$26)</f>
        <v>6.9475179173890265</v>
      </c>
      <c r="K30" s="132">
        <f>IF(SER_hh_tesh!K30=0,0,SER_hh_tesh!K30/SER_summary!K$26)</f>
        <v>33.267031312767379</v>
      </c>
      <c r="L30" s="132">
        <f>IF(SER_hh_tesh!L30=0,0,SER_hh_tesh!L30/SER_summary!L$26)</f>
        <v>58.000180460633587</v>
      </c>
      <c r="M30" s="132">
        <f>IF(SER_hh_tesh!M30=0,0,SER_hh_tesh!M30/SER_summary!M$26)</f>
        <v>6.8830881930950039</v>
      </c>
      <c r="N30" s="132">
        <f>IF(SER_hh_tesh!N30=0,0,SER_hh_tesh!N30/SER_summary!N$26)</f>
        <v>34.00265569354287</v>
      </c>
      <c r="O30" s="132">
        <f>IF(SER_hh_tesh!O30=0,0,SER_hh_tesh!O30/SER_summary!O$26)</f>
        <v>32.848242352314017</v>
      </c>
      <c r="P30" s="132">
        <f>IF(SER_hh_tesh!P30=0,0,SER_hh_tesh!P30/SER_summary!P$26)</f>
        <v>30.096629356299676</v>
      </c>
      <c r="Q30" s="132">
        <f>IF(SER_hh_tesh!Q30=0,0,SER_hh_tesh!Q30/SER_summary!Q$26)</f>
        <v>28.578427703607755</v>
      </c>
      <c r="R30" s="132">
        <f>IF(SER_hh_tesh!R30=0,0,SER_hh_tesh!R30/SER_summary!R$26)</f>
        <v>30.30186230416022</v>
      </c>
      <c r="S30" s="132">
        <f>IF(SER_hh_tesh!S30=0,0,SER_hh_tesh!S30/SER_summary!S$26)</f>
        <v>20.389306078061857</v>
      </c>
      <c r="T30" s="132">
        <f>IF(SER_hh_tesh!T30=0,0,SER_hh_tesh!T30/SER_summary!T$26)</f>
        <v>31.145920449035607</v>
      </c>
      <c r="U30" s="132">
        <f>IF(SER_hh_tesh!U30=0,0,SER_hh_tesh!U30/SER_summary!U$26)</f>
        <v>28.396382969044886</v>
      </c>
      <c r="V30" s="132">
        <f>IF(SER_hh_tesh!V30=0,0,SER_hh_tesh!V30/SER_summary!V$26)</f>
        <v>20.621580873268673</v>
      </c>
      <c r="W30" s="132">
        <f>IF(SER_hh_tesh!W30=0,0,SER_hh_tesh!W30/SER_summary!W$26)</f>
        <v>21.692706719833854</v>
      </c>
      <c r="X30" s="132">
        <f>IF(SER_hh_tesh!X30=0,0,SER_hh_tesh!X30/SER_summary!X$26)</f>
        <v>36.655152123986156</v>
      </c>
      <c r="Y30" s="132">
        <f>IF(SER_hh_tesh!Y30=0,0,SER_hh_tesh!Y30/SER_summary!Y$26)</f>
        <v>20.500477169192745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28.640909795230101</v>
      </c>
      <c r="C31" s="132">
        <f>IF(SER_hh_tesh!C31=0,0,SER_hh_tesh!C31/SER_summary!C$26)</f>
        <v>28.514401272889074</v>
      </c>
      <c r="D31" s="132">
        <f>IF(SER_hh_tesh!D31=0,0,SER_hh_tesh!D31/SER_summary!D$26)</f>
        <v>30.140735891312772</v>
      </c>
      <c r="E31" s="132">
        <f>IF(SER_hh_tesh!E31=0,0,SER_hh_tesh!E31/SER_summary!E$26)</f>
        <v>30.071178060083913</v>
      </c>
      <c r="F31" s="132">
        <f>IF(SER_hh_tesh!F31=0,0,SER_hh_tesh!F31/SER_summary!F$26)</f>
        <v>23.546632845719266</v>
      </c>
      <c r="G31" s="132">
        <f>IF(SER_hh_tesh!G31=0,0,SER_hh_tesh!G31/SER_summary!G$26)</f>
        <v>31.540633471018587</v>
      </c>
      <c r="H31" s="132">
        <f>IF(SER_hh_tesh!H31=0,0,SER_hh_tesh!H31/SER_summary!H$26)</f>
        <v>31.473712264651464</v>
      </c>
      <c r="I31" s="132">
        <f>IF(SER_hh_tesh!I31=0,0,SER_hh_tesh!I31/SER_summary!I$26)</f>
        <v>31.218846324874924</v>
      </c>
      <c r="J31" s="132">
        <f>IF(SER_hh_tesh!J31=0,0,SER_hh_tesh!J31/SER_summary!J$26)</f>
        <v>30.540382150608799</v>
      </c>
      <c r="K31" s="132">
        <f>IF(SER_hh_tesh!K31=0,0,SER_hh_tesh!K31/SER_summary!K$26)</f>
        <v>30.201441919790412</v>
      </c>
      <c r="L31" s="132">
        <f>IF(SER_hh_tesh!L31=0,0,SER_hh_tesh!L31/SER_summary!L$26)</f>
        <v>29.895956892460024</v>
      </c>
      <c r="M31" s="132">
        <f>IF(SER_hh_tesh!M31=0,0,SER_hh_tesh!M31/SER_summary!M$26)</f>
        <v>26.876422243821612</v>
      </c>
      <c r="N31" s="132">
        <f>IF(SER_hh_tesh!N31=0,0,SER_hh_tesh!N31/SER_summary!N$26)</f>
        <v>28.093586004352293</v>
      </c>
      <c r="O31" s="132">
        <f>IF(SER_hh_tesh!O31=0,0,SER_hh_tesh!O31/SER_summary!O$26)</f>
        <v>30.142272349315949</v>
      </c>
      <c r="P31" s="132">
        <f>IF(SER_hh_tesh!P31=0,0,SER_hh_tesh!P31/SER_summary!P$26)</f>
        <v>28.973255570907195</v>
      </c>
      <c r="Q31" s="132">
        <f>IF(SER_hh_tesh!Q31=0,0,SER_hh_tesh!Q31/SER_summary!Q$26)</f>
        <v>30.317161551258224</v>
      </c>
      <c r="R31" s="132">
        <f>IF(SER_hh_tesh!R31=0,0,SER_hh_tesh!R31/SER_summary!R$26)</f>
        <v>29.970612140920917</v>
      </c>
      <c r="S31" s="132">
        <f>IF(SER_hh_tesh!S31=0,0,SER_hh_tesh!S31/SER_summary!S$26)</f>
        <v>29.191689144394065</v>
      </c>
      <c r="T31" s="132">
        <f>IF(SER_hh_tesh!T31=0,0,SER_hh_tesh!T31/SER_summary!T$26)</f>
        <v>26.58436231922558</v>
      </c>
      <c r="U31" s="132">
        <f>IF(SER_hh_tesh!U31=0,0,SER_hh_tesh!U31/SER_summary!U$26)</f>
        <v>22.0744153840736</v>
      </c>
      <c r="V31" s="132">
        <f>IF(SER_hh_tesh!V31=0,0,SER_hh_tesh!V31/SER_summary!V$26)</f>
        <v>19.452897466397012</v>
      </c>
      <c r="W31" s="132">
        <f>IF(SER_hh_tesh!W31=0,0,SER_hh_tesh!W31/SER_summary!W$26)</f>
        <v>30.963748452313691</v>
      </c>
      <c r="X31" s="132">
        <f>IF(SER_hh_tesh!X31=0,0,SER_hh_tesh!X31/SER_summary!X$26)</f>
        <v>29.218732398933529</v>
      </c>
      <c r="Y31" s="132">
        <f>IF(SER_hh_tesh!Y31=0,0,SER_hh_tesh!Y31/SER_summary!Y$26)</f>
        <v>26.664693535614081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32.249180065066959</v>
      </c>
      <c r="C33" s="68">
        <f>IF(SER_hh_tesh!C33=0,0,SER_hh_tesh!C33/SER_summary!C$26)</f>
        <v>32.094081718799508</v>
      </c>
      <c r="D33" s="68">
        <f>IF(SER_hh_tesh!D33=0,0,SER_hh_tesh!D33/SER_summary!D$26)</f>
        <v>23.654995615847888</v>
      </c>
      <c r="E33" s="68">
        <f>IF(SER_hh_tesh!E33=0,0,SER_hh_tesh!E33/SER_summary!E$26)</f>
        <v>24.68865466801816</v>
      </c>
      <c r="F33" s="68">
        <f>IF(SER_hh_tesh!F33=0,0,SER_hh_tesh!F33/SER_summary!F$26)</f>
        <v>30.548453229524924</v>
      </c>
      <c r="G33" s="68">
        <f>IF(SER_hh_tesh!G33=0,0,SER_hh_tesh!G33/SER_summary!G$26)</f>
        <v>31.460960349645283</v>
      </c>
      <c r="H33" s="68">
        <f>IF(SER_hh_tesh!H33=0,0,SER_hh_tesh!H33/SER_summary!H$26)</f>
        <v>28.763632880774153</v>
      </c>
      <c r="I33" s="68">
        <f>IF(SER_hh_tesh!I33=0,0,SER_hh_tesh!I33/SER_summary!I$26)</f>
        <v>31.27791617743652</v>
      </c>
      <c r="J33" s="68">
        <f>IF(SER_hh_tesh!J33=0,0,SER_hh_tesh!J33/SER_summary!J$26)</f>
        <v>31.464349205949475</v>
      </c>
      <c r="K33" s="68">
        <f>IF(SER_hh_tesh!K33=0,0,SER_hh_tesh!K33/SER_summary!K$26)</f>
        <v>29.836101143684211</v>
      </c>
      <c r="L33" s="68">
        <f>IF(SER_hh_tesh!L33=0,0,SER_hh_tesh!L33/SER_summary!L$26)</f>
        <v>26.030686957967994</v>
      </c>
      <c r="M33" s="68">
        <f>IF(SER_hh_tesh!M33=0,0,SER_hh_tesh!M33/SER_summary!M$26)</f>
        <v>33.462061502735274</v>
      </c>
      <c r="N33" s="68">
        <f>IF(SER_hh_tesh!N33=0,0,SER_hh_tesh!N33/SER_summary!N$26)</f>
        <v>29.55104023325255</v>
      </c>
      <c r="O33" s="68">
        <f>IF(SER_hh_tesh!O33=0,0,SER_hh_tesh!O33/SER_summary!O$26)</f>
        <v>28.233007953362151</v>
      </c>
      <c r="P33" s="68">
        <f>IF(SER_hh_tesh!P33=0,0,SER_hh_tesh!P33/SER_summary!P$26)</f>
        <v>28.778089400177148</v>
      </c>
      <c r="Q33" s="68">
        <f>IF(SER_hh_tesh!Q33=0,0,SER_hh_tesh!Q33/SER_summary!Q$26)</f>
        <v>27.811073486813957</v>
      </c>
      <c r="R33" s="68">
        <f>IF(SER_hh_tesh!R33=0,0,SER_hh_tesh!R33/SER_summary!R$26)</f>
        <v>27.427023184996006</v>
      </c>
      <c r="S33" s="68">
        <f>IF(SER_hh_tesh!S33=0,0,SER_hh_tesh!S33/SER_summary!S$26)</f>
        <v>28.585464375266397</v>
      </c>
      <c r="T33" s="68">
        <f>IF(SER_hh_tesh!T33=0,0,SER_hh_tesh!T33/SER_summary!T$26)</f>
        <v>29.230268594345659</v>
      </c>
      <c r="U33" s="68">
        <f>IF(SER_hh_tesh!U33=0,0,SER_hh_tesh!U33/SER_summary!U$26)</f>
        <v>31.45896202376429</v>
      </c>
      <c r="V33" s="68">
        <f>IF(SER_hh_tesh!V33=0,0,SER_hh_tesh!V33/SER_summary!V$26)</f>
        <v>29.300228934917868</v>
      </c>
      <c r="W33" s="68">
        <f>IF(SER_hh_tesh!W33=0,0,SER_hh_tesh!W33/SER_summary!W$26)</f>
        <v>25.81379393918137</v>
      </c>
      <c r="X33" s="68">
        <f>IF(SER_hh_tesh!X33=0,0,SER_hh_tesh!X33/SER_summary!X$26)</f>
        <v>25.79066846865431</v>
      </c>
      <c r="Y33" s="68">
        <f>IF(SER_hh_tesh!Y33=0,0,SER_hh_tesh!Y33/SER_summary!Y$26)</f>
        <v>27.84125387294598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154.9953677813171</v>
      </c>
      <c r="C3" s="125">
        <f>IF(SER_hh_emih!C3=0,0,SER_hh_emih!C3/SER_summary!C$26)</f>
        <v>92.234372233202194</v>
      </c>
      <c r="D3" s="125">
        <f>IF(SER_hh_emih!D3=0,0,SER_hh_emih!D3/SER_summary!D$26)</f>
        <v>76.381029920367581</v>
      </c>
      <c r="E3" s="125">
        <f>IF(SER_hh_emih!E3=0,0,SER_hh_emih!E3/SER_summary!E$26)</f>
        <v>50.134691273621648</v>
      </c>
      <c r="F3" s="125">
        <f>IF(SER_hh_emih!F3=0,0,SER_hh_emih!F3/SER_summary!F$26)</f>
        <v>52.778482019458131</v>
      </c>
      <c r="G3" s="125">
        <f>IF(SER_hh_emih!G3=0,0,SER_hh_emih!G3/SER_summary!G$26)</f>
        <v>81.215216186733656</v>
      </c>
      <c r="H3" s="125">
        <f>IF(SER_hh_emih!H3=0,0,SER_hh_emih!H3/SER_summary!H$26)</f>
        <v>89.825793429654325</v>
      </c>
      <c r="I3" s="125">
        <f>IF(SER_hh_emih!I3=0,0,SER_hh_emih!I3/SER_summary!I$26)</f>
        <v>86.061428299347511</v>
      </c>
      <c r="J3" s="125">
        <f>IF(SER_hh_emih!J3=0,0,SER_hh_emih!J3/SER_summary!J$26)</f>
        <v>91.198234299269146</v>
      </c>
      <c r="K3" s="125">
        <f>IF(SER_hh_emih!K3=0,0,SER_hh_emih!K3/SER_summary!K$26)</f>
        <v>103.5890040703176</v>
      </c>
      <c r="L3" s="125">
        <f>IF(SER_hh_emih!L3=0,0,SER_hh_emih!L3/SER_summary!L$26)</f>
        <v>92.59323531867679</v>
      </c>
      <c r="M3" s="125">
        <f>IF(SER_hh_emih!M3=0,0,SER_hh_emih!M3/SER_summary!M$26)</f>
        <v>62.819664213059269</v>
      </c>
      <c r="N3" s="125">
        <f>IF(SER_hh_emih!N3=0,0,SER_hh_emih!N3/SER_summary!N$26)</f>
        <v>55.207130319684566</v>
      </c>
      <c r="O3" s="125">
        <f>IF(SER_hh_emih!O3=0,0,SER_hh_emih!O3/SER_summary!O$26)</f>
        <v>71.281936556034722</v>
      </c>
      <c r="P3" s="125">
        <f>IF(SER_hh_emih!P3=0,0,SER_hh_emih!P3/SER_summary!P$26)</f>
        <v>47.847727628527196</v>
      </c>
      <c r="Q3" s="125">
        <f>IF(SER_hh_emih!Q3=0,0,SER_hh_emih!Q3/SER_summary!Q$26)</f>
        <v>49.004425602050517</v>
      </c>
      <c r="R3" s="125">
        <f>IF(SER_hh_emih!R3=0,0,SER_hh_emih!R3/SER_summary!R$26)</f>
        <v>41.309536392350807</v>
      </c>
      <c r="S3" s="125">
        <f>IF(SER_hh_emih!S3=0,0,SER_hh_emih!S3/SER_summary!S$26)</f>
        <v>45.191871736862389</v>
      </c>
      <c r="T3" s="125">
        <f>IF(SER_hh_emih!T3=0,0,SER_hh_emih!T3/SER_summary!T$26)</f>
        <v>39.683960074045331</v>
      </c>
      <c r="U3" s="125">
        <f>IF(SER_hh_emih!U3=0,0,SER_hh_emih!U3/SER_summary!U$26)</f>
        <v>39.244164962658537</v>
      </c>
      <c r="V3" s="125">
        <f>IF(SER_hh_emih!V3=0,0,SER_hh_emih!V3/SER_summary!V$26)</f>
        <v>28.257850988546423</v>
      </c>
      <c r="W3" s="125">
        <f>IF(SER_hh_emih!W3=0,0,SER_hh_emih!W3/SER_summary!W$26)</f>
        <v>41.860222251443275</v>
      </c>
      <c r="X3" s="125">
        <f>IF(SER_hh_emih!X3=0,0,SER_hh_emih!X3/SER_summary!X$26)</f>
        <v>36.322502463418537</v>
      </c>
      <c r="Y3" s="125">
        <f>IF(SER_hh_emih!Y3=0,0,SER_hh_emih!Y3/SER_summary!Y$26)</f>
        <v>30.031436397171337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148.13198722321442</v>
      </c>
      <c r="C4" s="130">
        <f>IF(SER_hh_emih!C4=0,0,SER_hh_emih!C4/SER_summary!C$26)</f>
        <v>83.845955903087315</v>
      </c>
      <c r="D4" s="130">
        <f>IF(SER_hh_emih!D4=0,0,SER_hh_emih!D4/SER_summary!D$26)</f>
        <v>66.084484232354725</v>
      </c>
      <c r="E4" s="130">
        <f>IF(SER_hh_emih!E4=0,0,SER_hh_emih!E4/SER_summary!E$26)</f>
        <v>40.370026605303359</v>
      </c>
      <c r="F4" s="130">
        <f>IF(SER_hh_emih!F4=0,0,SER_hh_emih!F4/SER_summary!F$26)</f>
        <v>43.461756149011038</v>
      </c>
      <c r="G4" s="130">
        <f>IF(SER_hh_emih!G4=0,0,SER_hh_emih!G4/SER_summary!G$26)</f>
        <v>72.585980207571922</v>
      </c>
      <c r="H4" s="130">
        <f>IF(SER_hh_emih!H4=0,0,SER_hh_emih!H4/SER_summary!H$26)</f>
        <v>81.204045357492078</v>
      </c>
      <c r="I4" s="130">
        <f>IF(SER_hh_emih!I4=0,0,SER_hh_emih!I4/SER_summary!I$26)</f>
        <v>78.351758000584809</v>
      </c>
      <c r="J4" s="130">
        <f>IF(SER_hh_emih!J4=0,0,SER_hh_emih!J4/SER_summary!J$26)</f>
        <v>83.970329449875749</v>
      </c>
      <c r="K4" s="130">
        <f>IF(SER_hh_emih!K4=0,0,SER_hh_emih!K4/SER_summary!K$26)</f>
        <v>95.707819978465309</v>
      </c>
      <c r="L4" s="130">
        <f>IF(SER_hh_emih!L4=0,0,SER_hh_emih!L4/SER_summary!L$26)</f>
        <v>84.137175212464641</v>
      </c>
      <c r="M4" s="130">
        <f>IF(SER_hh_emih!M4=0,0,SER_hh_emih!M4/SER_summary!M$26)</f>
        <v>56.163948468788888</v>
      </c>
      <c r="N4" s="130">
        <f>IF(SER_hh_emih!N4=0,0,SER_hh_emih!N4/SER_summary!N$26)</f>
        <v>46.79625122534592</v>
      </c>
      <c r="O4" s="130">
        <f>IF(SER_hh_emih!O4=0,0,SER_hh_emih!O4/SER_summary!O$26)</f>
        <v>61.906487706896684</v>
      </c>
      <c r="P4" s="130">
        <f>IF(SER_hh_emih!P4=0,0,SER_hh_emih!P4/SER_summary!P$26)</f>
        <v>38.289339473836804</v>
      </c>
      <c r="Q4" s="130">
        <f>IF(SER_hh_emih!Q4=0,0,SER_hh_emih!Q4/SER_summary!Q$26)</f>
        <v>39.220655959497989</v>
      </c>
      <c r="R4" s="130">
        <f>IF(SER_hh_emih!R4=0,0,SER_hh_emih!R4/SER_summary!R$26)</f>
        <v>32.358757018801946</v>
      </c>
      <c r="S4" s="130">
        <f>IF(SER_hh_emih!S4=0,0,SER_hh_emih!S4/SER_summary!S$26)</f>
        <v>37.075010908665739</v>
      </c>
      <c r="T4" s="130">
        <f>IF(SER_hh_emih!T4=0,0,SER_hh_emih!T4/SER_summary!T$26)</f>
        <v>32.552709198563285</v>
      </c>
      <c r="U4" s="130">
        <f>IF(SER_hh_emih!U4=0,0,SER_hh_emih!U4/SER_summary!U$26)</f>
        <v>32.916799617253709</v>
      </c>
      <c r="V4" s="130">
        <f>IF(SER_hh_emih!V4=0,0,SER_hh_emih!V4/SER_summary!V$26)</f>
        <v>23.756889901511631</v>
      </c>
      <c r="W4" s="130">
        <f>IF(SER_hh_emih!W4=0,0,SER_hh_emih!W4/SER_summary!W$26)</f>
        <v>34.820611508246017</v>
      </c>
      <c r="X4" s="130">
        <f>IF(SER_hh_emih!X4=0,0,SER_hh_emih!X4/SER_summary!X$26)</f>
        <v>29.498340168093765</v>
      </c>
      <c r="Y4" s="130">
        <f>IF(SER_hh_emih!Y4=0,0,SER_hh_emih!Y4/SER_summary!Y$26)</f>
        <v>23.855133890161099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261.27137624385006</v>
      </c>
      <c r="C5" s="132">
        <f>IF(SER_hh_emih!C5=0,0,SER_hh_emih!C5/SER_summary!C$26)</f>
        <v>212.84772815750216</v>
      </c>
      <c r="D5" s="132">
        <f>IF(SER_hh_emih!D5=0,0,SER_hh_emih!D5/SER_summary!D$26)</f>
        <v>295.54234342344211</v>
      </c>
      <c r="E5" s="132">
        <f>IF(SER_hh_emih!E5=0,0,SER_hh_emih!E5/SER_summary!E$26)</f>
        <v>72.120370160508401</v>
      </c>
      <c r="F5" s="132">
        <f>IF(SER_hh_emih!F5=0,0,SER_hh_emih!F5/SER_summary!F$26)</f>
        <v>274.84416880203167</v>
      </c>
      <c r="G5" s="132">
        <f>IF(SER_hh_emih!G5=0,0,SER_hh_emih!G5/SER_summary!G$26)</f>
        <v>62.066941428407084</v>
      </c>
      <c r="H5" s="132">
        <f>IF(SER_hh_emih!H5=0,0,SER_hh_emih!H5/SER_summary!H$26)</f>
        <v>143.76300186135188</v>
      </c>
      <c r="I5" s="132">
        <f>IF(SER_hh_emih!I5=0,0,SER_hh_emih!I5/SER_summary!I$26)</f>
        <v>158.25196786302246</v>
      </c>
      <c r="J5" s="132">
        <f>IF(SER_hh_emih!J5=0,0,SER_hh_emih!J5/SER_summary!J$26)</f>
        <v>158.14772327820486</v>
      </c>
      <c r="K5" s="132">
        <f>IF(SER_hh_emih!K5=0,0,SER_hh_emih!K5/SER_summary!K$26)</f>
        <v>293.67926161630305</v>
      </c>
      <c r="L5" s="132">
        <f>IF(SER_hh_emih!L5=0,0,SER_hh_emih!L5/SER_summary!L$26)</f>
        <v>154.90995211437132</v>
      </c>
      <c r="M5" s="132">
        <f>IF(SER_hh_emih!M5=0,0,SER_hh_emih!M5/SER_summary!M$26)</f>
        <v>186.11805385457191</v>
      </c>
      <c r="N5" s="132">
        <f>IF(SER_hh_emih!N5=0,0,SER_hh_emih!N5/SER_summary!N$26)</f>
        <v>66.057217114341071</v>
      </c>
      <c r="O5" s="132">
        <f>IF(SER_hh_emih!O5=0,0,SER_hh_emih!O5/SER_summary!O$26)</f>
        <v>135.59617123105031</v>
      </c>
      <c r="P5" s="132">
        <f>IF(SER_hh_emih!P5=0,0,SER_hh_emih!P5/SER_summary!P$26)</f>
        <v>92.986402081696937</v>
      </c>
      <c r="Q5" s="132">
        <f>IF(SER_hh_emih!Q5=0,0,SER_hh_emih!Q5/SER_summary!Q$26)</f>
        <v>105.96117844947625</v>
      </c>
      <c r="R5" s="132">
        <f>IF(SER_hh_emih!R5=0,0,SER_hh_emih!R5/SER_summary!R$26)</f>
        <v>67.593187022608348</v>
      </c>
      <c r="S5" s="132">
        <f>IF(SER_hh_emih!S5=0,0,SER_hh_emih!S5/SER_summary!S$26)</f>
        <v>82.52667660461077</v>
      </c>
      <c r="T5" s="132">
        <f>IF(SER_hh_emih!T5=0,0,SER_hh_emih!T5/SER_summary!T$26)</f>
        <v>87.322731760990777</v>
      </c>
      <c r="U5" s="132">
        <f>IF(SER_hh_emih!U5=0,0,SER_hh_emih!U5/SER_summary!U$26)</f>
        <v>129.58360593817835</v>
      </c>
      <c r="V5" s="132">
        <f>IF(SER_hh_emih!V5=0,0,SER_hh_emih!V5/SER_summary!V$26)</f>
        <v>58.652775958279896</v>
      </c>
      <c r="W5" s="132">
        <f>IF(SER_hh_emih!W5=0,0,SER_hh_emih!W5/SER_summary!W$26)</f>
        <v>99.408995833680279</v>
      </c>
      <c r="X5" s="132">
        <f>IF(SER_hh_emih!X5=0,0,SER_hh_emih!X5/SER_summary!X$26)</f>
        <v>81.930499494607901</v>
      </c>
      <c r="Y5" s="132">
        <f>IF(SER_hh_emih!Y5=0,0,SER_hh_emih!Y5/SER_summary!Y$26)</f>
        <v>71.316012687362061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32.97044704836388</v>
      </c>
      <c r="C7" s="132">
        <f>IF(SER_hh_emih!C7=0,0,SER_hh_emih!C7/SER_summary!C$26)</f>
        <v>282.38748036078351</v>
      </c>
      <c r="D7" s="132">
        <f>IF(SER_hh_emih!D7=0,0,SER_hh_emih!D7/SER_summary!D$26)</f>
        <v>199.8799766623527</v>
      </c>
      <c r="E7" s="132">
        <f>IF(SER_hh_emih!E7=0,0,SER_hh_emih!E7/SER_summary!E$26)</f>
        <v>72.801232289263965</v>
      </c>
      <c r="F7" s="132">
        <f>IF(SER_hh_emih!F7=0,0,SER_hh_emih!F7/SER_summary!F$26)</f>
        <v>196.91217320633277</v>
      </c>
      <c r="G7" s="132">
        <f>IF(SER_hh_emih!G7=0,0,SER_hh_emih!G7/SER_summary!G$26)</f>
        <v>223.20510010769897</v>
      </c>
      <c r="H7" s="132">
        <f>IF(SER_hh_emih!H7=0,0,SER_hh_emih!H7/SER_summary!H$26)</f>
        <v>192.26196686464556</v>
      </c>
      <c r="I7" s="132">
        <f>IF(SER_hh_emih!I7=0,0,SER_hh_emih!I7/SER_summary!I$26)</f>
        <v>20.26018315815908</v>
      </c>
      <c r="J7" s="132">
        <f>IF(SER_hh_emih!J7=0,0,SER_hh_emih!J7/SER_summary!J$26)</f>
        <v>125.01023552641321</v>
      </c>
      <c r="K7" s="132">
        <f>IF(SER_hh_emih!K7=0,0,SER_hh_emih!K7/SER_summary!K$26)</f>
        <v>382.12892651512345</v>
      </c>
      <c r="L7" s="132">
        <f>IF(SER_hh_emih!L7=0,0,SER_hh_emih!L7/SER_summary!L$26)</f>
        <v>0</v>
      </c>
      <c r="M7" s="132">
        <f>IF(SER_hh_emih!M7=0,0,SER_hh_emih!M7/SER_summary!M$26)</f>
        <v>0</v>
      </c>
      <c r="N7" s="132">
        <f>IF(SER_hh_emih!N7=0,0,SER_hh_emih!N7/SER_summary!N$26)</f>
        <v>0</v>
      </c>
      <c r="O7" s="132">
        <f>IF(SER_hh_emih!O7=0,0,SER_hh_emih!O7/SER_summary!O$26)</f>
        <v>32.396729870007405</v>
      </c>
      <c r="P7" s="132">
        <f>IF(SER_hh_emih!P7=0,0,SER_hh_emih!P7/SER_summary!P$26)</f>
        <v>80.362447597836649</v>
      </c>
      <c r="Q7" s="132">
        <f>IF(SER_hh_emih!Q7=0,0,SER_hh_emih!Q7/SER_summary!Q$26)</f>
        <v>81.483565493102049</v>
      </c>
      <c r="R7" s="132">
        <f>IF(SER_hh_emih!R7=0,0,SER_hh_emih!R7/SER_summary!R$26)</f>
        <v>54.696498038291168</v>
      </c>
      <c r="S7" s="132">
        <f>IF(SER_hh_emih!S7=0,0,SER_hh_emih!S7/SER_summary!S$26)</f>
        <v>43.789447674345176</v>
      </c>
      <c r="T7" s="132">
        <f>IF(SER_hh_emih!T7=0,0,SER_hh_emih!T7/SER_summary!T$26)</f>
        <v>30.49052368370171</v>
      </c>
      <c r="U7" s="132">
        <f>IF(SER_hh_emih!U7=0,0,SER_hh_emih!U7/SER_summary!U$26)</f>
        <v>79.564662622852282</v>
      </c>
      <c r="V7" s="132">
        <f>IF(SER_hh_emih!V7=0,0,SER_hh_emih!V7/SER_summary!V$26)</f>
        <v>49.649510974494923</v>
      </c>
      <c r="W7" s="132">
        <f>IF(SER_hh_emih!W7=0,0,SER_hh_emih!W7/SER_summary!W$26)</f>
        <v>55.701199586460909</v>
      </c>
      <c r="X7" s="132">
        <f>IF(SER_hh_emih!X7=0,0,SER_hh_emih!X7/SER_summary!X$26)</f>
        <v>76.496311991639516</v>
      </c>
      <c r="Y7" s="132">
        <f>IF(SER_hh_emih!Y7=0,0,SER_hh_emih!Y7/SER_summary!Y$26)</f>
        <v>42.719574201718054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68.232659266459677</v>
      </c>
      <c r="C8" s="132">
        <f>IF(SER_hh_emih!C8=0,0,SER_hh_emih!C8/SER_summary!C$26)</f>
        <v>59.260498016996181</v>
      </c>
      <c r="D8" s="132">
        <f>IF(SER_hh_emih!D8=0,0,SER_hh_emih!D8/SER_summary!D$26)</f>
        <v>43.032126504067676</v>
      </c>
      <c r="E8" s="132">
        <f>IF(SER_hh_emih!E8=0,0,SER_hh_emih!E8/SER_summary!E$26)</f>
        <v>42.923780528415378</v>
      </c>
      <c r="F8" s="132">
        <f>IF(SER_hh_emih!F8=0,0,SER_hh_emih!F8/SER_summary!F$26)</f>
        <v>44.573410152289128</v>
      </c>
      <c r="G8" s="132">
        <f>IF(SER_hh_emih!G8=0,0,SER_hh_emih!G8/SER_summary!G$26)</f>
        <v>46.09746161849985</v>
      </c>
      <c r="H8" s="132">
        <f>IF(SER_hh_emih!H8=0,0,SER_hh_emih!H8/SER_summary!H$26)</f>
        <v>47.604314291588317</v>
      </c>
      <c r="I8" s="132">
        <f>IF(SER_hh_emih!I8=0,0,SER_hh_emih!I8/SER_summary!I$26)</f>
        <v>45.161906648242464</v>
      </c>
      <c r="J8" s="132">
        <f>IF(SER_hh_emih!J8=0,0,SER_hh_emih!J8/SER_summary!J$26)</f>
        <v>42.473268045306703</v>
      </c>
      <c r="K8" s="132">
        <f>IF(SER_hh_emih!K8=0,0,SER_hh_emih!K8/SER_summary!K$26)</f>
        <v>38.878340988323082</v>
      </c>
      <c r="L8" s="132">
        <f>IF(SER_hh_emih!L8=0,0,SER_hh_emih!L8/SER_summary!L$26)</f>
        <v>32.819853531915172</v>
      </c>
      <c r="M8" s="132">
        <f>IF(SER_hh_emih!M8=0,0,SER_hh_emih!M8/SER_summary!M$26)</f>
        <v>28.298695157588686</v>
      </c>
      <c r="N8" s="132">
        <f>IF(SER_hh_emih!N8=0,0,SER_hh_emih!N8/SER_summary!N$26)</f>
        <v>20.433339736397794</v>
      </c>
      <c r="O8" s="132">
        <f>IF(SER_hh_emih!O8=0,0,SER_hh_emih!O8/SER_summary!O$26)</f>
        <v>21.251057050553452</v>
      </c>
      <c r="P8" s="132">
        <f>IF(SER_hh_emih!P8=0,0,SER_hh_emih!P8/SER_summary!P$26)</f>
        <v>17.197693160631662</v>
      </c>
      <c r="Q8" s="132">
        <f>IF(SER_hh_emih!Q8=0,0,SER_hh_emih!Q8/SER_summary!Q$26)</f>
        <v>17.301188683316525</v>
      </c>
      <c r="R8" s="132">
        <f>IF(SER_hh_emih!R8=0,0,SER_hh_emih!R8/SER_summary!R$26)</f>
        <v>15.483753106368788</v>
      </c>
      <c r="S8" s="132">
        <f>IF(SER_hh_emih!S8=0,0,SER_hh_emih!S8/SER_summary!S$26)</f>
        <v>15.461998806809511</v>
      </c>
      <c r="T8" s="132">
        <f>IF(SER_hh_emih!T8=0,0,SER_hh_emih!T8/SER_summary!T$26)</f>
        <v>14.271395979607021</v>
      </c>
      <c r="U8" s="132">
        <f>IF(SER_hh_emih!U8=0,0,SER_hh_emih!U8/SER_summary!U$26)</f>
        <v>11.795896314910665</v>
      </c>
      <c r="V8" s="132">
        <f>IF(SER_hh_emih!V8=0,0,SER_hh_emih!V8/SER_summary!V$26)</f>
        <v>12.506084328385887</v>
      </c>
      <c r="W8" s="132">
        <f>IF(SER_hh_emih!W8=0,0,SER_hh_emih!W8/SER_summary!W$26)</f>
        <v>13.126147797503089</v>
      </c>
      <c r="X8" s="132">
        <f>IF(SER_hh_emih!X8=0,0,SER_hh_emih!X8/SER_summary!X$26)</f>
        <v>12.318721788456257</v>
      </c>
      <c r="Y8" s="132">
        <f>IF(SER_hh_emih!Y8=0,0,SER_hh_emih!Y8/SER_summary!Y$26)</f>
        <v>11.882786848119215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221.01911768176822</v>
      </c>
      <c r="C9" s="132">
        <f>IF(SER_hh_emih!C9=0,0,SER_hh_emih!C9/SER_summary!C$26)</f>
        <v>128.29985000657859</v>
      </c>
      <c r="D9" s="132">
        <f>IF(SER_hh_emih!D9=0,0,SER_hh_emih!D9/SER_summary!D$26)</f>
        <v>96.719386765514571</v>
      </c>
      <c r="E9" s="132">
        <f>IF(SER_hh_emih!E9=0,0,SER_hh_emih!E9/SER_summary!E$26)</f>
        <v>102.40598144751591</v>
      </c>
      <c r="F9" s="132">
        <f>IF(SER_hh_emih!F9=0,0,SER_hh_emih!F9/SER_summary!F$26)</f>
        <v>60.021178855944129</v>
      </c>
      <c r="G9" s="132">
        <f>IF(SER_hh_emih!G9=0,0,SER_hh_emih!G9/SER_summary!G$26)</f>
        <v>146.13733205278822</v>
      </c>
      <c r="H9" s="132">
        <f>IF(SER_hh_emih!H9=0,0,SER_hh_emih!H9/SER_summary!H$26)</f>
        <v>134.34454258628205</v>
      </c>
      <c r="I9" s="132">
        <f>IF(SER_hh_emih!I9=0,0,SER_hh_emih!I9/SER_summary!I$26)</f>
        <v>116.52447988059355</v>
      </c>
      <c r="J9" s="132">
        <f>IF(SER_hh_emih!J9=0,0,SER_hh_emih!J9/SER_summary!J$26)</f>
        <v>121.35404645940319</v>
      </c>
      <c r="K9" s="132">
        <f>IF(SER_hh_emih!K9=0,0,SER_hh_emih!K9/SER_summary!K$26)</f>
        <v>85.892381135527202</v>
      </c>
      <c r="L9" s="132">
        <f>IF(SER_hh_emih!L9=0,0,SER_hh_emih!L9/SER_summary!L$26)</f>
        <v>138.84954895232525</v>
      </c>
      <c r="M9" s="132">
        <f>IF(SER_hh_emih!M9=0,0,SER_hh_emih!M9/SER_summary!M$26)</f>
        <v>50.996192337601116</v>
      </c>
      <c r="N9" s="132">
        <f>IF(SER_hh_emih!N9=0,0,SER_hh_emih!N9/SER_summary!N$26)</f>
        <v>81.793665243960191</v>
      </c>
      <c r="O9" s="132">
        <f>IF(SER_hh_emih!O9=0,0,SER_hh_emih!O9/SER_summary!O$26)</f>
        <v>94.443719014245005</v>
      </c>
      <c r="P9" s="132">
        <f>IF(SER_hh_emih!P9=0,0,SER_hh_emih!P9/SER_summary!P$26)</f>
        <v>52.635767596070977</v>
      </c>
      <c r="Q9" s="132">
        <f>IF(SER_hh_emih!Q9=0,0,SER_hh_emih!Q9/SER_summary!Q$26)</f>
        <v>56.850210172900553</v>
      </c>
      <c r="R9" s="132">
        <f>IF(SER_hh_emih!R9=0,0,SER_hh_emih!R9/SER_summary!R$26)</f>
        <v>55.330685758601931</v>
      </c>
      <c r="S9" s="132">
        <f>IF(SER_hh_emih!S9=0,0,SER_hh_emih!S9/SER_summary!S$26)</f>
        <v>62.151320762876132</v>
      </c>
      <c r="T9" s="132">
        <f>IF(SER_hh_emih!T9=0,0,SER_hh_emih!T9/SER_summary!T$26)</f>
        <v>53.317152783492183</v>
      </c>
      <c r="U9" s="132">
        <f>IF(SER_hh_emih!U9=0,0,SER_hh_emih!U9/SER_summary!U$26)</f>
        <v>41.751114379553691</v>
      </c>
      <c r="V9" s="132">
        <f>IF(SER_hh_emih!V9=0,0,SER_hh_emih!V9/SER_summary!V$26)</f>
        <v>37.197268878495962</v>
      </c>
      <c r="W9" s="132">
        <f>IF(SER_hh_emih!W9=0,0,SER_hh_emih!W9/SER_summary!W$26)</f>
        <v>53.804203292131483</v>
      </c>
      <c r="X9" s="132">
        <f>IF(SER_hh_emih!X9=0,0,SER_hh_emih!X9/SER_summary!X$26)</f>
        <v>47.062933634958739</v>
      </c>
      <c r="Y9" s="132">
        <f>IF(SER_hh_emih!Y9=0,0,SER_hh_emih!Y9/SER_summary!Y$26)</f>
        <v>36.804915819702693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5.1595321287481317</v>
      </c>
      <c r="C10" s="132">
        <f>IF(SER_hh_emih!C10=0,0,SER_hh_emih!C10/SER_summary!C$26)</f>
        <v>158.3946152953641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85.214951369783861</v>
      </c>
      <c r="K10" s="132">
        <f>IF(SER_hh_emih!K10=0,0,SER_hh_emih!K10/SER_summary!K$26)</f>
        <v>104.73893893889613</v>
      </c>
      <c r="L10" s="132">
        <f>IF(SER_hh_emih!L10=0,0,SER_hh_emih!L10/SER_summary!L$26)</f>
        <v>97.311293114753241</v>
      </c>
      <c r="M10" s="132">
        <f>IF(SER_hh_emih!M10=0,0,SER_hh_emih!M10/SER_summary!M$26)</f>
        <v>57.860250508054321</v>
      </c>
      <c r="N10" s="132">
        <f>IF(SER_hh_emih!N10=0,0,SER_hh_emih!N10/SER_summary!N$26)</f>
        <v>86.642494848810884</v>
      </c>
      <c r="O10" s="132">
        <f>IF(SER_hh_emih!O10=0,0,SER_hh_emih!O10/SER_summary!O$26)</f>
        <v>18.066506383447084</v>
      </c>
      <c r="P10" s="132">
        <f>IF(SER_hh_emih!P10=0,0,SER_hh_emih!P10/SER_summary!P$26)</f>
        <v>148.19359290688809</v>
      </c>
      <c r="Q10" s="132">
        <f>IF(SER_hh_emih!Q10=0,0,SER_hh_emih!Q10/SER_summary!Q$26)</f>
        <v>81.316561805086678</v>
      </c>
      <c r="R10" s="132">
        <f>IF(SER_hh_emih!R10=0,0,SER_hh_emih!R10/SER_summary!R$26)</f>
        <v>10.264373380608472</v>
      </c>
      <c r="S10" s="132">
        <f>IF(SER_hh_emih!S10=0,0,SER_hh_emih!S10/SER_summary!S$26)</f>
        <v>47.64796135222484</v>
      </c>
      <c r="T10" s="132">
        <f>IF(SER_hh_emih!T10=0,0,SER_hh_emih!T10/SER_summary!T$26)</f>
        <v>0.8139103009499048</v>
      </c>
      <c r="U10" s="132">
        <f>IF(SER_hh_emih!U10=0,0,SER_hh_emih!U10/SER_summary!U$26)</f>
        <v>36.788661347506142</v>
      </c>
      <c r="V10" s="132">
        <f>IF(SER_hh_emih!V10=0,0,SER_hh_emih!V10/SER_summary!V$26)</f>
        <v>37.521982999852405</v>
      </c>
      <c r="W10" s="132">
        <f>IF(SER_hh_emih!W10=0,0,SER_hh_emih!W10/SER_summary!W$26)</f>
        <v>41.763220092064223</v>
      </c>
      <c r="X10" s="132">
        <f>IF(SER_hh_emih!X10=0,0,SER_hh_emih!X10/SER_summary!X$26)</f>
        <v>24.443393493785205</v>
      </c>
      <c r="Y10" s="132">
        <f>IF(SER_hh_emih!Y10=0,0,SER_hh_emih!Y10/SER_summary!Y$26)</f>
        <v>40.27810192683318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9.9115512502337081E-3</v>
      </c>
      <c r="C16" s="130">
        <f>IF(SER_hh_emih!C16=0,0,SER_hh_emih!C16/SER_summary!C$26)</f>
        <v>1.4674135287115043E-2</v>
      </c>
      <c r="D16" s="130">
        <f>IF(SER_hh_emih!D16=0,0,SER_hh_emih!D16/SER_summary!D$26)</f>
        <v>1.1911645717812643E-2</v>
      </c>
      <c r="E16" s="130">
        <f>IF(SER_hh_emih!E16=0,0,SER_hh_emih!E16/SER_summary!E$26)</f>
        <v>4.3115617576422027E-3</v>
      </c>
      <c r="F16" s="130">
        <f>IF(SER_hh_emih!F16=0,0,SER_hh_emih!F16/SER_summary!F$26)</f>
        <v>1.1608465804513869E-2</v>
      </c>
      <c r="G16" s="130">
        <f>IF(SER_hh_emih!G16=0,0,SER_hh_emih!G16/SER_summary!G$26)</f>
        <v>1.6392255149976519E-2</v>
      </c>
      <c r="H16" s="130">
        <f>IF(SER_hh_emih!H16=0,0,SER_hh_emih!H16/SER_summary!H$26)</f>
        <v>1.8281661371586086E-2</v>
      </c>
      <c r="I16" s="130">
        <f>IF(SER_hh_emih!I16=0,0,SER_hh_emih!I16/SER_summary!I$26)</f>
        <v>1.795976691426043E-2</v>
      </c>
      <c r="J16" s="130">
        <f>IF(SER_hh_emih!J16=0,0,SER_hh_emih!J16/SER_summary!J$26)</f>
        <v>1.795344323785417E-2</v>
      </c>
      <c r="K16" s="130">
        <f>IF(SER_hh_emih!K16=0,0,SER_hh_emih!K16/SER_summary!K$26)</f>
        <v>1.7318330924804337E-2</v>
      </c>
      <c r="L16" s="130">
        <f>IF(SER_hh_emih!L16=0,0,SER_hh_emih!L16/SER_summary!L$26)</f>
        <v>1.8424776912624088E-2</v>
      </c>
      <c r="M16" s="130">
        <f>IF(SER_hh_emih!M16=0,0,SER_hh_emih!M16/SER_summary!M$26)</f>
        <v>1.9274732248838179E-2</v>
      </c>
      <c r="N16" s="130">
        <f>IF(SER_hh_emih!N16=0,0,SER_hh_emih!N16/SER_summary!N$26)</f>
        <v>2.1684035861042786E-2</v>
      </c>
      <c r="O16" s="130">
        <f>IF(SER_hh_emih!O16=0,0,SER_hh_emih!O16/SER_summary!O$26)</f>
        <v>2.6395169287258106E-2</v>
      </c>
      <c r="P16" s="130">
        <f>IF(SER_hh_emih!P16=0,0,SER_hh_emih!P16/SER_summary!P$26)</f>
        <v>3.3802941589228482E-2</v>
      </c>
      <c r="Q16" s="130">
        <f>IF(SER_hh_emih!Q16=0,0,SER_hh_emih!Q16/SER_summary!Q$26)</f>
        <v>4.4754494458967418E-2</v>
      </c>
      <c r="R16" s="130">
        <f>IF(SER_hh_emih!R16=0,0,SER_hh_emih!R16/SER_summary!R$26)</f>
        <v>5.6329896831515118E-2</v>
      </c>
      <c r="S16" s="130">
        <f>IF(SER_hh_emih!S16=0,0,SER_hh_emih!S16/SER_summary!S$26)</f>
        <v>6.5846437932352453E-2</v>
      </c>
      <c r="T16" s="130">
        <f>IF(SER_hh_emih!T16=0,0,SER_hh_emih!T16/SER_summary!T$26)</f>
        <v>7.3267277892040641E-2</v>
      </c>
      <c r="U16" s="130">
        <f>IF(SER_hh_emih!U16=0,0,SER_hh_emih!U16/SER_summary!U$26)</f>
        <v>7.8842995302042862E-2</v>
      </c>
      <c r="V16" s="130">
        <f>IF(SER_hh_emih!V16=0,0,SER_hh_emih!V16/SER_summary!V$26)</f>
        <v>8.1751218194578437E-2</v>
      </c>
      <c r="W16" s="130">
        <f>IF(SER_hh_emih!W16=0,0,SER_hh_emih!W16/SER_summary!W$26)</f>
        <v>8.4910375237858188E-2</v>
      </c>
      <c r="X16" s="130">
        <f>IF(SER_hh_emih!X16=0,0,SER_hh_emih!X16/SER_summary!X$26)</f>
        <v>9.270967605409601E-2</v>
      </c>
      <c r="Y16" s="130">
        <f>IF(SER_hh_emih!Y16=0,0,SER_hh_emih!Y16/SER_summary!Y$26)</f>
        <v>8.9298970261338192E-2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5.7950567131714683</v>
      </c>
      <c r="C17" s="132">
        <f>IF(SER_hh_emih!C17=0,0,SER_hh_emih!C17/SER_summary!C$26)</f>
        <v>5.4372829153484323</v>
      </c>
      <c r="D17" s="132">
        <f>IF(SER_hh_emih!D17=0,0,SER_hh_emih!D17/SER_summary!D$26)</f>
        <v>5.5258142473833933</v>
      </c>
      <c r="E17" s="132">
        <f>IF(SER_hh_emih!E17=0,0,SER_hh_emih!E17/SER_summary!E$26)</f>
        <v>1.5196286777152608</v>
      </c>
      <c r="F17" s="132">
        <f>IF(SER_hh_emih!F17=0,0,SER_hh_emih!F17/SER_summary!F$26)</f>
        <v>5.1873140852088264</v>
      </c>
      <c r="G17" s="132">
        <f>IF(SER_hh_emih!G17=0,0,SER_hh_emih!G17/SER_summary!G$26)</f>
        <v>5.1688721086762728</v>
      </c>
      <c r="H17" s="132">
        <f>IF(SER_hh_emih!H17=0,0,SER_hh_emih!H17/SER_summary!H$26)</f>
        <v>5.2191620369999887</v>
      </c>
      <c r="I17" s="132">
        <f>IF(SER_hh_emih!I17=0,0,SER_hh_emih!I17/SER_summary!I$26)</f>
        <v>5.3713687930927794</v>
      </c>
      <c r="J17" s="132">
        <f>IF(SER_hh_emih!J17=0,0,SER_hh_emih!J17/SER_summary!J$26)</f>
        <v>4.9467919492045702</v>
      </c>
      <c r="K17" s="132">
        <f>IF(SER_hh_emih!K17=0,0,SER_hh_emih!K17/SER_summary!K$26)</f>
        <v>4.9049705886019765</v>
      </c>
      <c r="L17" s="132">
        <f>IF(SER_hh_emih!L17=0,0,SER_hh_emih!L17/SER_summary!L$26)</f>
        <v>5.0796300185508381</v>
      </c>
      <c r="M17" s="132">
        <f>IF(SER_hh_emih!M17=0,0,SER_hh_emih!M17/SER_summary!M$26)</f>
        <v>4.7921520285887604</v>
      </c>
      <c r="N17" s="132">
        <f>IF(SER_hh_emih!N17=0,0,SER_hh_emih!N17/SER_summary!N$26)</f>
        <v>5.2732907320626747</v>
      </c>
      <c r="O17" s="132">
        <f>IF(SER_hh_emih!O17=0,0,SER_hh_emih!O17/SER_summary!O$26)</f>
        <v>5.0447944065828478</v>
      </c>
      <c r="P17" s="132">
        <f>IF(SER_hh_emih!P17=0,0,SER_hh_emih!P17/SER_summary!P$26)</f>
        <v>4.5422184810948325</v>
      </c>
      <c r="Q17" s="132">
        <f>IF(SER_hh_emih!Q17=0,0,SER_hh_emih!Q17/SER_summary!Q$26)</f>
        <v>5.1457349228078941</v>
      </c>
      <c r="R17" s="132">
        <f>IF(SER_hh_emih!R17=0,0,SER_hh_emih!R17/SER_summary!R$26)</f>
        <v>4.3882706568813417</v>
      </c>
      <c r="S17" s="132">
        <f>IF(SER_hh_emih!S17=0,0,SER_hh_emih!S17/SER_summary!S$26)</f>
        <v>4.6642421760829</v>
      </c>
      <c r="T17" s="132">
        <f>IF(SER_hh_emih!T17=0,0,SER_hh_emih!T17/SER_summary!T$26)</f>
        <v>4.5227657759369269</v>
      </c>
      <c r="U17" s="132">
        <f>IF(SER_hh_emih!U17=0,0,SER_hh_emih!U17/SER_summary!U$26)</f>
        <v>4.6328185179902599</v>
      </c>
      <c r="V17" s="132">
        <f>IF(SER_hh_emih!V17=0,0,SER_hh_emih!V17/SER_summary!V$26)</f>
        <v>4.4032164974566186</v>
      </c>
      <c r="W17" s="132">
        <f>IF(SER_hh_emih!W17=0,0,SER_hh_emih!W17/SER_summary!W$26)</f>
        <v>4.2917776196312296</v>
      </c>
      <c r="X17" s="132">
        <f>IF(SER_hh_emih!X17=0,0,SER_hh_emih!X17/SER_summary!X$26)</f>
        <v>4.5026600618930317</v>
      </c>
      <c r="Y17" s="132">
        <f>IF(SER_hh_emih!Y17=0,0,SER_hh_emih!Y17/SER_summary!Y$26)</f>
        <v>4.1961936073296835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1.7251706590995743</v>
      </c>
      <c r="C19" s="130">
        <f>IF(SER_hh_emih!C19=0,0,SER_hh_emih!C19/SER_summary!C$26)</f>
        <v>2.4209380432597274</v>
      </c>
      <c r="D19" s="130">
        <f>IF(SER_hh_emih!D19=0,0,SER_hh_emih!D19/SER_summary!D$26)</f>
        <v>2.6971183962690093</v>
      </c>
      <c r="E19" s="130">
        <f>IF(SER_hh_emih!E19=0,0,SER_hh_emih!E19/SER_summary!E$26)</f>
        <v>2.3511607061894759</v>
      </c>
      <c r="F19" s="130">
        <f>IF(SER_hh_emih!F19=0,0,SER_hh_emih!F19/SER_summary!F$26)</f>
        <v>2.423052247079398</v>
      </c>
      <c r="G19" s="130">
        <f>IF(SER_hh_emih!G19=0,0,SER_hh_emih!G19/SER_summary!G$26)</f>
        <v>2.1667453350110915</v>
      </c>
      <c r="H19" s="130">
        <f>IF(SER_hh_emih!H19=0,0,SER_hh_emih!H19/SER_summary!H$26)</f>
        <v>2.5152704981538845</v>
      </c>
      <c r="I19" s="130">
        <f>IF(SER_hh_emih!I19=0,0,SER_hh_emih!I19/SER_summary!I$26)</f>
        <v>3.1603617740118506</v>
      </c>
      <c r="J19" s="130">
        <f>IF(SER_hh_emih!J19=0,0,SER_hh_emih!J19/SER_summary!J$26)</f>
        <v>3.339446164821724</v>
      </c>
      <c r="K19" s="130">
        <f>IF(SER_hh_emih!K19=0,0,SER_hh_emih!K19/SER_summary!K$26)</f>
        <v>3.4720306539680856</v>
      </c>
      <c r="L19" s="130">
        <f>IF(SER_hh_emih!L19=0,0,SER_hh_emih!L19/SER_summary!L$26)</f>
        <v>3.5720974662285343</v>
      </c>
      <c r="M19" s="130">
        <f>IF(SER_hh_emih!M19=0,0,SER_hh_emih!M19/SER_summary!M$26)</f>
        <v>3.56539972266867</v>
      </c>
      <c r="N19" s="130">
        <f>IF(SER_hh_emih!N19=0,0,SER_hh_emih!N19/SER_summary!N$26)</f>
        <v>4.2501548359580541</v>
      </c>
      <c r="O19" s="130">
        <f>IF(SER_hh_emih!O19=0,0,SER_hh_emih!O19/SER_summary!O$26)</f>
        <v>4.645161854741187</v>
      </c>
      <c r="P19" s="130">
        <f>IF(SER_hh_emih!P19=0,0,SER_hh_emih!P19/SER_summary!P$26)</f>
        <v>4.7652758601679546</v>
      </c>
      <c r="Q19" s="130">
        <f>IF(SER_hh_emih!Q19=0,0,SER_hh_emih!Q19/SER_summary!Q$26)</f>
        <v>4.8426613546242656</v>
      </c>
      <c r="R19" s="130">
        <f>IF(SER_hh_emih!R19=0,0,SER_hh_emih!R19/SER_summary!R$26)</f>
        <v>4.1515336491809771</v>
      </c>
      <c r="S19" s="130">
        <f>IF(SER_hh_emih!S19=0,0,SER_hh_emih!S19/SER_summary!S$26)</f>
        <v>3.9278152335087637</v>
      </c>
      <c r="T19" s="130">
        <f>IF(SER_hh_emih!T19=0,0,SER_hh_emih!T19/SER_summary!T$26)</f>
        <v>3.3853189141388733</v>
      </c>
      <c r="U19" s="130">
        <f>IF(SER_hh_emih!U19=0,0,SER_hh_emih!U19/SER_summary!U$26)</f>
        <v>3.2708696969406255</v>
      </c>
      <c r="V19" s="130">
        <f>IF(SER_hh_emih!V19=0,0,SER_hh_emih!V19/SER_summary!V$26)</f>
        <v>1.8326681852641542</v>
      </c>
      <c r="W19" s="130">
        <f>IF(SER_hh_emih!W19=0,0,SER_hh_emih!W19/SER_summary!W$26)</f>
        <v>2.9344067047089397</v>
      </c>
      <c r="X19" s="130">
        <f>IF(SER_hh_emih!X19=0,0,SER_hh_emih!X19/SER_summary!X$26)</f>
        <v>2.7558551042714483</v>
      </c>
      <c r="Y19" s="130">
        <f>IF(SER_hh_emih!Y19=0,0,SER_hh_emih!Y19/SER_summary!Y$26)</f>
        <v>2.5649218783233665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20.994127477821145</v>
      </c>
      <c r="C20" s="132">
        <f>IF(SER_hh_emih!C20=0,0,SER_hh_emih!C20/SER_summary!C$26)</f>
        <v>18.664180943286645</v>
      </c>
      <c r="D20" s="132">
        <f>IF(SER_hh_emih!D20=0,0,SER_hh_emih!D20/SER_summary!D$26)</f>
        <v>21.84911494606634</v>
      </c>
      <c r="E20" s="132">
        <f>IF(SER_hh_emih!E20=0,0,SER_hh_emih!E20/SER_summary!E$26)</f>
        <v>18.504104347587933</v>
      </c>
      <c r="F20" s="132">
        <f>IF(SER_hh_emih!F20=0,0,SER_hh_emih!F20/SER_summary!F$26)</f>
        <v>19.667165643651526</v>
      </c>
      <c r="G20" s="132">
        <f>IF(SER_hh_emih!G20=0,0,SER_hh_emih!G20/SER_summary!G$26)</f>
        <v>8.4914150301791</v>
      </c>
      <c r="H20" s="132">
        <f>IF(SER_hh_emih!H20=0,0,SER_hh_emih!H20/SER_summary!H$26)</f>
        <v>14.789712539965201</v>
      </c>
      <c r="I20" s="132">
        <f>IF(SER_hh_emih!I20=0,0,SER_hh_emih!I20/SER_summary!I$26)</f>
        <v>19.26607564534973</v>
      </c>
      <c r="J20" s="132">
        <f>IF(SER_hh_emih!J20=0,0,SER_hh_emih!J20/SER_summary!J$26)</f>
        <v>18.146323333149997</v>
      </c>
      <c r="K20" s="132">
        <f>IF(SER_hh_emih!K20=0,0,SER_hh_emih!K20/SER_summary!K$26)</f>
        <v>18.347294317492363</v>
      </c>
      <c r="L20" s="132">
        <f>IF(SER_hh_emih!L20=0,0,SER_hh_emih!L20/SER_summary!L$26)</f>
        <v>16.675982474092908</v>
      </c>
      <c r="M20" s="132">
        <f>IF(SER_hh_emih!M20=0,0,SER_hh_emih!M20/SER_summary!M$26)</f>
        <v>17.048053178283133</v>
      </c>
      <c r="N20" s="132">
        <f>IF(SER_hh_emih!N20=0,0,SER_hh_emih!N20/SER_summary!N$26)</f>
        <v>16.606618929521662</v>
      </c>
      <c r="O20" s="132">
        <f>IF(SER_hh_emih!O20=0,0,SER_hh_emih!O20/SER_summary!O$26)</f>
        <v>16.278996517418637</v>
      </c>
      <c r="P20" s="132">
        <f>IF(SER_hh_emih!P20=0,0,SER_hh_emih!P20/SER_summary!P$26)</f>
        <v>17.249389009772283</v>
      </c>
      <c r="Q20" s="132">
        <f>IF(SER_hh_emih!Q20=0,0,SER_hh_emih!Q20/SER_summary!Q$26)</f>
        <v>20.320947651264177</v>
      </c>
      <c r="R20" s="132">
        <f>IF(SER_hh_emih!R20=0,0,SER_hh_emih!R20/SER_summary!R$26)</f>
        <v>12.016856743681055</v>
      </c>
      <c r="S20" s="132">
        <f>IF(SER_hh_emih!S20=0,0,SER_hh_emih!S20/SER_summary!S$26)</f>
        <v>15.353366887476138</v>
      </c>
      <c r="T20" s="132">
        <f>IF(SER_hh_emih!T20=0,0,SER_hh_emih!T20/SER_summary!T$26)</f>
        <v>16.533915572143407</v>
      </c>
      <c r="U20" s="132">
        <f>IF(SER_hh_emih!U20=0,0,SER_hh_emih!U20/SER_summary!U$26)</f>
        <v>24.442153539117367</v>
      </c>
      <c r="V20" s="132">
        <f>IF(SER_hh_emih!V20=0,0,SER_hh_emih!V20/SER_summary!V$26)</f>
        <v>11.262651788021818</v>
      </c>
      <c r="W20" s="132">
        <f>IF(SER_hh_emih!W20=0,0,SER_hh_emih!W20/SER_summary!W$26)</f>
        <v>17.919938053720781</v>
      </c>
      <c r="X20" s="132">
        <f>IF(SER_hh_emih!X20=0,0,SER_hh_emih!X20/SER_summary!X$26)</f>
        <v>15.179852611866878</v>
      </c>
      <c r="Y20" s="132">
        <f>IF(SER_hh_emih!Y20=0,0,SER_hh_emih!Y20/SER_summary!Y$26)</f>
        <v>14.861795726678523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0</v>
      </c>
      <c r="C22" s="132">
        <f>IF(SER_hh_emih!C22=0,0,SER_hh_emih!C22/SER_summary!C$26)</f>
        <v>0</v>
      </c>
      <c r="D22" s="132">
        <f>IF(SER_hh_emih!D22=0,0,SER_hh_emih!D22/SER_summary!D$26)</f>
        <v>0</v>
      </c>
      <c r="E22" s="132">
        <f>IF(SER_hh_emih!E22=0,0,SER_hh_emih!E22/SER_summary!E$26)</f>
        <v>0</v>
      </c>
      <c r="F22" s="132">
        <f>IF(SER_hh_emih!F22=0,0,SER_hh_emih!F22/SER_summary!F$26)</f>
        <v>0</v>
      </c>
      <c r="G22" s="132">
        <f>IF(SER_hh_emih!G22=0,0,SER_hh_emih!G22/SER_summary!G$26)</f>
        <v>0</v>
      </c>
      <c r="H22" s="132">
        <f>IF(SER_hh_emih!H22=0,0,SER_hh_emih!H22/SER_summary!H$26)</f>
        <v>0</v>
      </c>
      <c r="I22" s="132">
        <f>IF(SER_hh_emih!I22=0,0,SER_hh_emih!I22/SER_summary!I$26)</f>
        <v>0</v>
      </c>
      <c r="J22" s="132">
        <f>IF(SER_hh_emih!J22=0,0,SER_hh_emih!J22/SER_summary!J$26)</f>
        <v>0</v>
      </c>
      <c r="K22" s="132">
        <f>IF(SER_hh_emih!K22=0,0,SER_hh_emih!K22/SER_summary!K$26)</f>
        <v>0</v>
      </c>
      <c r="L22" s="132">
        <f>IF(SER_hh_emih!L22=0,0,SER_hh_emih!L22/SER_summary!L$26)</f>
        <v>0</v>
      </c>
      <c r="M22" s="132">
        <f>IF(SER_hh_emih!M22=0,0,SER_hh_emih!M22/SER_summary!M$26)</f>
        <v>0</v>
      </c>
      <c r="N22" s="132">
        <f>IF(SER_hh_emih!N22=0,0,SER_hh_emih!N22/SER_summary!N$26)</f>
        <v>0</v>
      </c>
      <c r="O22" s="132">
        <f>IF(SER_hh_emih!O22=0,0,SER_hh_emih!O22/SER_summary!O$26)</f>
        <v>0</v>
      </c>
      <c r="P22" s="132">
        <f>IF(SER_hh_emih!P22=0,0,SER_hh_emih!P22/SER_summary!P$26)</f>
        <v>0</v>
      </c>
      <c r="Q22" s="132">
        <f>IF(SER_hh_emih!Q22=0,0,SER_hh_emih!Q22/SER_summary!Q$26)</f>
        <v>0</v>
      </c>
      <c r="R22" s="132">
        <f>IF(SER_hh_emih!R22=0,0,SER_hh_emih!R22/SER_summary!R$26)</f>
        <v>0</v>
      </c>
      <c r="S22" s="132">
        <f>IF(SER_hh_emih!S22=0,0,SER_hh_emih!S22/SER_summary!S$26)</f>
        <v>0</v>
      </c>
      <c r="T22" s="132">
        <f>IF(SER_hh_emih!T22=0,0,SER_hh_emih!T22/SER_summary!T$26)</f>
        <v>0</v>
      </c>
      <c r="U22" s="132">
        <f>IF(SER_hh_emih!U22=0,0,SER_hh_emih!U22/SER_summary!U$26)</f>
        <v>0</v>
      </c>
      <c r="V22" s="132">
        <f>IF(SER_hh_emih!V22=0,0,SER_hh_emih!V22/SER_summary!V$26)</f>
        <v>0</v>
      </c>
      <c r="W22" s="132">
        <f>IF(SER_hh_emih!W22=0,0,SER_hh_emih!W22/SER_summary!W$26)</f>
        <v>0</v>
      </c>
      <c r="X22" s="132">
        <f>IF(SER_hh_emih!X22=0,0,SER_hh_emih!X22/SER_summary!X$26)</f>
        <v>0</v>
      </c>
      <c r="Y22" s="132">
        <f>IF(SER_hh_emih!Y22=0,0,SER_hh_emih!Y22/SER_summary!Y$26)</f>
        <v>0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7.4832899638528332</v>
      </c>
      <c r="C23" s="132">
        <f>IF(SER_hh_emih!C23=0,0,SER_hh_emih!C23/SER_summary!C$26)</f>
        <v>11.712990514122856</v>
      </c>
      <c r="D23" s="132">
        <f>IF(SER_hh_emih!D23=0,0,SER_hh_emih!D23/SER_summary!D$26)</f>
        <v>11.580108219490677</v>
      </c>
      <c r="E23" s="132">
        <f>IF(SER_hh_emih!E23=0,0,SER_hh_emih!E23/SER_summary!E$26)</f>
        <v>10.35188049874831</v>
      </c>
      <c r="F23" s="132">
        <f>IF(SER_hh_emih!F23=0,0,SER_hh_emih!F23/SER_summary!F$26)</f>
        <v>10.622290791668433</v>
      </c>
      <c r="G23" s="132">
        <f>IF(SER_hh_emih!G23=0,0,SER_hh_emih!G23/SER_summary!G$26)</f>
        <v>10.304827142505816</v>
      </c>
      <c r="H23" s="132">
        <f>IF(SER_hh_emih!H23=0,0,SER_hh_emih!H23/SER_summary!H$26)</f>
        <v>10.149942125298894</v>
      </c>
      <c r="I23" s="132">
        <f>IF(SER_hh_emih!I23=0,0,SER_hh_emih!I23/SER_summary!I$26)</f>
        <v>10.756649442982713</v>
      </c>
      <c r="J23" s="132">
        <f>IF(SER_hh_emih!J23=0,0,SER_hh_emih!J23/SER_summary!J$26)</f>
        <v>10.436456152712458</v>
      </c>
      <c r="K23" s="132">
        <f>IF(SER_hh_emih!K23=0,0,SER_hh_emih!K23/SER_summary!K$26)</f>
        <v>9.9013919698842212</v>
      </c>
      <c r="L23" s="132">
        <f>IF(SER_hh_emih!L23=0,0,SER_hh_emih!L23/SER_summary!L$26)</f>
        <v>10.187431036646107</v>
      </c>
      <c r="M23" s="132">
        <f>IF(SER_hh_emih!M23=0,0,SER_hh_emih!M23/SER_summary!M$26)</f>
        <v>9.0954008652385934</v>
      </c>
      <c r="N23" s="132">
        <f>IF(SER_hh_emih!N23=0,0,SER_hh_emih!N23/SER_summary!N$26)</f>
        <v>10.20555365088709</v>
      </c>
      <c r="O23" s="132">
        <f>IF(SER_hh_emih!O23=0,0,SER_hh_emih!O23/SER_summary!O$26)</f>
        <v>10.343348301377544</v>
      </c>
      <c r="P23" s="132">
        <f>IF(SER_hh_emih!P23=0,0,SER_hh_emih!P23/SER_summary!P$26)</f>
        <v>10.336004431749132</v>
      </c>
      <c r="Q23" s="132">
        <f>IF(SER_hh_emih!Q23=0,0,SER_hh_emih!Q23/SER_summary!Q$26)</f>
        <v>10.262988545641374</v>
      </c>
      <c r="R23" s="132">
        <f>IF(SER_hh_emih!R23=0,0,SER_hh_emih!R23/SER_summary!R$26)</f>
        <v>10.341668885990915</v>
      </c>
      <c r="S23" s="132">
        <f>IF(SER_hh_emih!S23=0,0,SER_hh_emih!S23/SER_summary!S$26)</f>
        <v>9.8110515508169041</v>
      </c>
      <c r="T23" s="132">
        <f>IF(SER_hh_emih!T23=0,0,SER_hh_emih!T23/SER_summary!T$26)</f>
        <v>9.2916310224491347</v>
      </c>
      <c r="U23" s="132">
        <f>IF(SER_hh_emih!U23=0,0,SER_hh_emih!U23/SER_summary!U$26)</f>
        <v>8.4112978210903755</v>
      </c>
      <c r="V23" s="132">
        <f>IF(SER_hh_emih!V23=0,0,SER_hh_emih!V23/SER_summary!V$26)</f>
        <v>5.6658550612661198</v>
      </c>
      <c r="W23" s="132">
        <f>IF(SER_hh_emih!W23=0,0,SER_hh_emih!W23/SER_summary!W$26)</f>
        <v>9.5464535192980744</v>
      </c>
      <c r="X23" s="132">
        <f>IF(SER_hh_emih!X23=0,0,SER_hh_emih!X23/SER_summary!X$26)</f>
        <v>9.1991836352142666</v>
      </c>
      <c r="Y23" s="132">
        <f>IF(SER_hh_emih!Y23=0,0,SER_hh_emih!Y23/SER_summary!Y$26)</f>
        <v>8.4530475552671867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5.136907892211859</v>
      </c>
      <c r="C29" s="130">
        <f>IF(SER_hh_emih!C29=0,0,SER_hh_emih!C29/SER_summary!C$26)</f>
        <v>5.9654404979843019</v>
      </c>
      <c r="D29" s="130">
        <f>IF(SER_hh_emih!D29=0,0,SER_hh_emih!D29/SER_summary!D$26)</f>
        <v>7.5976401515080001</v>
      </c>
      <c r="E29" s="130">
        <f>IF(SER_hh_emih!E29=0,0,SER_hh_emih!E29/SER_summary!E$26)</f>
        <v>7.4128278218838837</v>
      </c>
      <c r="F29" s="130">
        <f>IF(SER_hh_emih!F29=0,0,SER_hh_emih!F29/SER_summary!F$26)</f>
        <v>6.8917721230989288</v>
      </c>
      <c r="G29" s="130">
        <f>IF(SER_hh_emih!G29=0,0,SER_hh_emih!G29/SER_summary!G$26)</f>
        <v>6.4597307957566796</v>
      </c>
      <c r="H29" s="130">
        <f>IF(SER_hh_emih!H29=0,0,SER_hh_emih!H29/SER_summary!H$26)</f>
        <v>6.1033072053922837</v>
      </c>
      <c r="I29" s="130">
        <f>IF(SER_hh_emih!I29=0,0,SER_hh_emih!I29/SER_summary!I$26)</f>
        <v>4.5460329644741249</v>
      </c>
      <c r="J29" s="130">
        <f>IF(SER_hh_emih!J29=0,0,SER_hh_emih!J29/SER_summary!J$26)</f>
        <v>3.8850210118168609</v>
      </c>
      <c r="K29" s="130">
        <f>IF(SER_hh_emih!K29=0,0,SER_hh_emih!K29/SER_summary!K$26)</f>
        <v>4.4057209401517703</v>
      </c>
      <c r="L29" s="130">
        <f>IF(SER_hh_emih!L29=0,0,SER_hh_emih!L29/SER_summary!L$26)</f>
        <v>4.8802105991417166</v>
      </c>
      <c r="M29" s="130">
        <f>IF(SER_hh_emih!M29=0,0,SER_hh_emih!M29/SER_summary!M$26)</f>
        <v>3.0863616130134512</v>
      </c>
      <c r="N29" s="130">
        <f>IF(SER_hh_emih!N29=0,0,SER_hh_emih!N29/SER_summary!N$26)</f>
        <v>4.1561750469600325</v>
      </c>
      <c r="O29" s="130">
        <f>IF(SER_hh_emih!O29=0,0,SER_hh_emih!O29/SER_summary!O$26)</f>
        <v>4.7246630181785507</v>
      </c>
      <c r="P29" s="130">
        <f>IF(SER_hh_emih!P29=0,0,SER_hh_emih!P29/SER_summary!P$26)</f>
        <v>4.7857917107053796</v>
      </c>
      <c r="Q29" s="130">
        <f>IF(SER_hh_emih!Q29=0,0,SER_hh_emih!Q29/SER_summary!Q$26)</f>
        <v>4.9313442955514653</v>
      </c>
      <c r="R29" s="130">
        <f>IF(SER_hh_emih!R29=0,0,SER_hh_emih!R29/SER_summary!R$26)</f>
        <v>4.7868669604154332</v>
      </c>
      <c r="S29" s="130">
        <f>IF(SER_hh_emih!S29=0,0,SER_hh_emih!S29/SER_summary!S$26)</f>
        <v>4.1743664708201873</v>
      </c>
      <c r="T29" s="130">
        <f>IF(SER_hh_emih!T29=0,0,SER_hh_emih!T29/SER_summary!T$26)</f>
        <v>3.7293990742588452</v>
      </c>
      <c r="U29" s="130">
        <f>IF(SER_hh_emih!U29=0,0,SER_hh_emih!U29/SER_summary!U$26)</f>
        <v>3.0384708424092612</v>
      </c>
      <c r="V29" s="130">
        <f>IF(SER_hh_emih!V29=0,0,SER_hh_emih!V29/SER_summary!V$26)</f>
        <v>2.649135865091294</v>
      </c>
      <c r="W29" s="130">
        <f>IF(SER_hh_emih!W29=0,0,SER_hh_emih!W29/SER_summary!W$26)</f>
        <v>4.0850507898671493</v>
      </c>
      <c r="X29" s="130">
        <f>IF(SER_hh_emih!X29=0,0,SER_hh_emih!X29/SER_summary!X$26)</f>
        <v>4.0464873129174368</v>
      </c>
      <c r="Y29" s="130">
        <f>IF(SER_hh_emih!Y29=0,0,SER_hh_emih!Y29/SER_summary!Y$26)</f>
        <v>3.5902652700347715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4.8985216668384348</v>
      </c>
      <c r="C30" s="132">
        <f>IF(SER_hh_emih!C30=0,0,SER_hh_emih!C30/SER_summary!C$26)</f>
        <v>7.8624957436824365</v>
      </c>
      <c r="D30" s="132">
        <f>IF(SER_hh_emih!D30=0,0,SER_hh_emih!D30/SER_summary!D$26)</f>
        <v>12.608804384980711</v>
      </c>
      <c r="E30" s="132">
        <f>IF(SER_hh_emih!E30=0,0,SER_hh_emih!E30/SER_summary!E$26)</f>
        <v>13.000446729024031</v>
      </c>
      <c r="F30" s="132">
        <f>IF(SER_hh_emih!F30=0,0,SER_hh_emih!F30/SER_summary!F$26)</f>
        <v>14.062153961588578</v>
      </c>
      <c r="G30" s="132">
        <f>IF(SER_hh_emih!G30=0,0,SER_hh_emih!G30/SER_summary!G$26)</f>
        <v>11.019678371738229</v>
      </c>
      <c r="H30" s="132">
        <f>IF(SER_hh_emih!H30=0,0,SER_hh_emih!H30/SER_summary!H$26)</f>
        <v>12.866560060610157</v>
      </c>
      <c r="I30" s="132">
        <f>IF(SER_hh_emih!I30=0,0,SER_hh_emih!I30/SER_summary!I$26)</f>
        <v>7.1086440773247626</v>
      </c>
      <c r="J30" s="132">
        <f>IF(SER_hh_emih!J30=0,0,SER_hh_emih!J30/SER_summary!J$26)</f>
        <v>2.5125834767016086</v>
      </c>
      <c r="K30" s="132">
        <f>IF(SER_hh_emih!K30=0,0,SER_hh_emih!K30/SER_summary!K$26)</f>
        <v>12.017879366017457</v>
      </c>
      <c r="L30" s="132">
        <f>IF(SER_hh_emih!L30=0,0,SER_hh_emih!L30/SER_summary!L$26)</f>
        <v>20.926476653923931</v>
      </c>
      <c r="M30" s="132">
        <f>IF(SER_hh_emih!M30=0,0,SER_hh_emih!M30/SER_summary!M$26)</f>
        <v>2.4834216642337363</v>
      </c>
      <c r="N30" s="132">
        <f>IF(SER_hh_emih!N30=0,0,SER_hh_emih!N30/SER_summary!N$26)</f>
        <v>12.263774147234965</v>
      </c>
      <c r="O30" s="132">
        <f>IF(SER_hh_emih!O30=0,0,SER_hh_emih!O30/SER_summary!O$26)</f>
        <v>11.838100369471695</v>
      </c>
      <c r="P30" s="132">
        <f>IF(SER_hh_emih!P30=0,0,SER_hh_emih!P30/SER_summary!P$26)</f>
        <v>10.839171026425708</v>
      </c>
      <c r="Q30" s="132">
        <f>IF(SER_hh_emih!Q30=0,0,SER_hh_emih!Q30/SER_summary!Q$26)</f>
        <v>10.290318598138306</v>
      </c>
      <c r="R30" s="132">
        <f>IF(SER_hh_emih!R30=0,0,SER_hh_emih!R30/SER_summary!R$26)</f>
        <v>10.909418944993465</v>
      </c>
      <c r="S30" s="132">
        <f>IF(SER_hh_emih!S30=0,0,SER_hh_emih!S30/SER_summary!S$26)</f>
        <v>7.3406538439962379</v>
      </c>
      <c r="T30" s="132">
        <f>IF(SER_hh_emih!T30=0,0,SER_hh_emih!T30/SER_summary!T$26)</f>
        <v>11.213300727042066</v>
      </c>
      <c r="U30" s="132">
        <f>IF(SER_hh_emih!U30=0,0,SER_hh_emih!U30/SER_summary!U$26)</f>
        <v>10.22335483473333</v>
      </c>
      <c r="V30" s="132">
        <f>IF(SER_hh_emih!V30=0,0,SER_hh_emih!V30/SER_summary!V$26)</f>
        <v>7.4240605332754752</v>
      </c>
      <c r="W30" s="132">
        <f>IF(SER_hh_emih!W30=0,0,SER_hh_emih!W30/SER_summary!W$26)</f>
        <v>7.7976197324409613</v>
      </c>
      <c r="X30" s="132">
        <f>IF(SER_hh_emih!X30=0,0,SER_hh_emih!X30/SER_summary!X$26)</f>
        <v>13.127164985312415</v>
      </c>
      <c r="Y30" s="132">
        <f>IF(SER_hh_emih!Y30=0,0,SER_hh_emih!Y30/SER_summary!Y$26)</f>
        <v>7.3387173071595839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9.1765783392354319</v>
      </c>
      <c r="C31" s="132">
        <f>IF(SER_hh_emih!C31=0,0,SER_hh_emih!C31/SER_summary!C$26)</f>
        <v>9.0630514925002554</v>
      </c>
      <c r="D31" s="132">
        <f>IF(SER_hh_emih!D31=0,0,SER_hh_emih!D31/SER_summary!D$26)</f>
        <v>9.5923252261099652</v>
      </c>
      <c r="E31" s="132">
        <f>IF(SER_hh_emih!E31=0,0,SER_hh_emih!E31/SER_summary!E$26)</f>
        <v>9.5832935605323932</v>
      </c>
      <c r="F31" s="132">
        <f>IF(SER_hh_emih!F31=0,0,SER_hh_emih!F31/SER_summary!F$26)</f>
        <v>7.4107642373945968</v>
      </c>
      <c r="G31" s="132">
        <f>IF(SER_hh_emih!G31=0,0,SER_hh_emih!G31/SER_summary!G$26)</f>
        <v>10.050722738545721</v>
      </c>
      <c r="H31" s="132">
        <f>IF(SER_hh_emih!H31=0,0,SER_hh_emih!H31/SER_summary!H$26)</f>
        <v>9.9720609780417124</v>
      </c>
      <c r="I31" s="132">
        <f>IF(SER_hh_emih!I31=0,0,SER_hh_emih!I31/SER_summary!I$26)</f>
        <v>9.8980317897172991</v>
      </c>
      <c r="J31" s="132">
        <f>IF(SER_hh_emih!J31=0,0,SER_hh_emih!J31/SER_summary!J$26)</f>
        <v>9.6604024718544057</v>
      </c>
      <c r="K31" s="132">
        <f>IF(SER_hh_emih!K31=0,0,SER_hh_emih!K31/SER_summary!K$26)</f>
        <v>9.4365395187968861</v>
      </c>
      <c r="L31" s="132">
        <f>IF(SER_hh_emih!L31=0,0,SER_hh_emih!L31/SER_summary!L$26)</f>
        <v>9.4144116531519604</v>
      </c>
      <c r="M31" s="132">
        <f>IF(SER_hh_emih!M31=0,0,SER_hh_emih!M31/SER_summary!M$26)</f>
        <v>8.3031319413466846</v>
      </c>
      <c r="N31" s="132">
        <f>IF(SER_hh_emih!N31=0,0,SER_hh_emih!N31/SER_summary!N$26)</f>
        <v>8.7282057041207857</v>
      </c>
      <c r="O31" s="132">
        <f>IF(SER_hh_emih!O31=0,0,SER_hh_emih!O31/SER_summary!O$26)</f>
        <v>9.4949605868660729</v>
      </c>
      <c r="P31" s="132">
        <f>IF(SER_hh_emih!P31=0,0,SER_hh_emih!P31/SER_summary!P$26)</f>
        <v>9.0967007582974944</v>
      </c>
      <c r="Q31" s="132">
        <f>IF(SER_hh_emih!Q31=0,0,SER_hh_emih!Q31/SER_summary!Q$26)</f>
        <v>9.3273997973125233</v>
      </c>
      <c r="R31" s="132">
        <f>IF(SER_hh_emih!R31=0,0,SER_hh_emih!R31/SER_summary!R$26)</f>
        <v>9.2986342182979698</v>
      </c>
      <c r="S31" s="132">
        <f>IF(SER_hh_emih!S31=0,0,SER_hh_emih!S31/SER_summary!S$26)</f>
        <v>9.0779408124278849</v>
      </c>
      <c r="T31" s="132">
        <f>IF(SER_hh_emih!T31=0,0,SER_hh_emih!T31/SER_summary!T$26)</f>
        <v>8.2434537996152439</v>
      </c>
      <c r="U31" s="132">
        <f>IF(SER_hh_emih!U31=0,0,SER_hh_emih!U31/SER_summary!U$26)</f>
        <v>6.8326787322154203</v>
      </c>
      <c r="V31" s="132">
        <f>IF(SER_hh_emih!V31=0,0,SER_hh_emih!V31/SER_summary!V$26)</f>
        <v>6.0038092350317767</v>
      </c>
      <c r="W31" s="132">
        <f>IF(SER_hh_emih!W31=0,0,SER_hh_emih!W31/SER_summary!W$26)</f>
        <v>9.6059403877208336</v>
      </c>
      <c r="X31" s="132">
        <f>IF(SER_hh_emih!X31=0,0,SER_hh_emih!X31/SER_summary!X$26)</f>
        <v>9.0463225175485764</v>
      </c>
      <c r="Y31" s="132">
        <f>IF(SER_hh_emih!Y31=0,0,SER_hh_emih!Y31/SER_summary!Y$26)</f>
        <v>8.1974885939490214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678.12843798219774</v>
      </c>
      <c r="D3" s="124">
        <f t="shared" si="0"/>
        <v>854.70043997311996</v>
      </c>
      <c r="E3" s="124">
        <f t="shared" si="0"/>
        <v>889.6507893060882</v>
      </c>
      <c r="F3" s="124">
        <f t="shared" si="0"/>
        <v>942.52225520335037</v>
      </c>
      <c r="G3" s="124">
        <f t="shared" si="0"/>
        <v>1271.5688106982511</v>
      </c>
      <c r="H3" s="124">
        <f t="shared" si="0"/>
        <v>1642.671947273009</v>
      </c>
      <c r="I3" s="124">
        <f t="shared" si="0"/>
        <v>2060.5856956128418</v>
      </c>
      <c r="J3" s="124">
        <f t="shared" si="0"/>
        <v>1351.6782543658487</v>
      </c>
      <c r="K3" s="124">
        <f t="shared" si="0"/>
        <v>151.02768440270455</v>
      </c>
      <c r="L3" s="124">
        <f t="shared" si="0"/>
        <v>977.44538104387766</v>
      </c>
      <c r="M3" s="124">
        <f t="shared" si="0"/>
        <v>533.19941368751074</v>
      </c>
      <c r="N3" s="124">
        <f t="shared" si="0"/>
        <v>541.51005779102297</v>
      </c>
      <c r="O3" s="124">
        <f t="shared" si="0"/>
        <v>497.63765004436408</v>
      </c>
      <c r="P3" s="124">
        <f t="shared" si="0"/>
        <v>533.01967803150171</v>
      </c>
      <c r="Q3" s="124">
        <f t="shared" si="0"/>
        <v>660.45956130633795</v>
      </c>
      <c r="R3" s="124">
        <f t="shared" si="0"/>
        <v>696.14963087665615</v>
      </c>
      <c r="S3" s="124">
        <f t="shared" si="0"/>
        <v>732.11758764308956</v>
      </c>
      <c r="T3" s="124">
        <f t="shared" si="0"/>
        <v>818.09461086450449</v>
      </c>
      <c r="U3" s="124">
        <f t="shared" si="0"/>
        <v>845.44604212665672</v>
      </c>
      <c r="V3" s="124">
        <f t="shared" si="0"/>
        <v>825.46101378154538</v>
      </c>
      <c r="W3" s="124">
        <f t="shared" si="0"/>
        <v>789.39840228173625</v>
      </c>
      <c r="X3" s="124">
        <f t="shared" si="0"/>
        <v>752.31842556469428</v>
      </c>
      <c r="Y3" s="124">
        <f t="shared" si="0"/>
        <v>717.39603017441937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678.12843798219774</v>
      </c>
      <c r="D4" s="139">
        <f t="shared" si="1"/>
        <v>854.70043997311996</v>
      </c>
      <c r="E4" s="139">
        <f t="shared" si="1"/>
        <v>889.6507893060882</v>
      </c>
      <c r="F4" s="139">
        <f t="shared" si="1"/>
        <v>942.52225520335037</v>
      </c>
      <c r="G4" s="139">
        <f t="shared" si="1"/>
        <v>1271.5688106982511</v>
      </c>
      <c r="H4" s="139">
        <f t="shared" si="1"/>
        <v>1642.671947273009</v>
      </c>
      <c r="I4" s="139">
        <f t="shared" si="1"/>
        <v>2060.5856956128418</v>
      </c>
      <c r="J4" s="139">
        <f t="shared" si="1"/>
        <v>1351.6782543658487</v>
      </c>
      <c r="K4" s="139">
        <f t="shared" si="1"/>
        <v>151.02768440270455</v>
      </c>
      <c r="L4" s="139">
        <f t="shared" si="1"/>
        <v>977.44538104387766</v>
      </c>
      <c r="M4" s="139">
        <f t="shared" si="1"/>
        <v>533.19941368751074</v>
      </c>
      <c r="N4" s="139">
        <f t="shared" si="1"/>
        <v>541.51005779102297</v>
      </c>
      <c r="O4" s="139">
        <f t="shared" si="1"/>
        <v>497.63765004436408</v>
      </c>
      <c r="P4" s="139">
        <f t="shared" si="1"/>
        <v>533.01967803150171</v>
      </c>
      <c r="Q4" s="139">
        <f t="shared" si="1"/>
        <v>660.45956130633795</v>
      </c>
      <c r="R4" s="139">
        <f t="shared" ref="R4:W4" si="2">SUM(R5:R14)</f>
        <v>696.14963087665615</v>
      </c>
      <c r="S4" s="139">
        <f t="shared" si="2"/>
        <v>732.11758764308956</v>
      </c>
      <c r="T4" s="139">
        <f t="shared" si="2"/>
        <v>818.09461086450449</v>
      </c>
      <c r="U4" s="139">
        <f t="shared" si="2"/>
        <v>845.44604212665672</v>
      </c>
      <c r="V4" s="139">
        <f t="shared" si="2"/>
        <v>825.46101378154538</v>
      </c>
      <c r="W4" s="139">
        <f t="shared" si="2"/>
        <v>789.39840228173625</v>
      </c>
      <c r="X4" s="139">
        <f t="shared" ref="X4:Y4" si="3">SUM(X5:X14)</f>
        <v>752.31842556469428</v>
      </c>
      <c r="Y4" s="139">
        <f t="shared" si="3"/>
        <v>717.39603017441937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19.612067103648481</v>
      </c>
      <c r="D5" s="140">
        <v>17.925997100201648</v>
      </c>
      <c r="E5" s="140">
        <v>0</v>
      </c>
      <c r="F5" s="140">
        <v>0</v>
      </c>
      <c r="G5" s="140">
        <v>5.0267891481474924</v>
      </c>
      <c r="H5" s="140">
        <v>154.69985283064824</v>
      </c>
      <c r="I5" s="140">
        <v>999.33311760134484</v>
      </c>
      <c r="J5" s="140">
        <v>943.62724679958285</v>
      </c>
      <c r="K5" s="140">
        <v>67.341860378621149</v>
      </c>
      <c r="L5" s="140">
        <v>178.34737755374772</v>
      </c>
      <c r="M5" s="140">
        <v>16.357221117465471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13.645714497383006</v>
      </c>
      <c r="T5" s="140">
        <v>87.33460017997669</v>
      </c>
      <c r="U5" s="140">
        <v>16.887641523134935</v>
      </c>
      <c r="V5" s="140">
        <v>0</v>
      </c>
      <c r="W5" s="140">
        <v>0</v>
      </c>
      <c r="X5" s="140">
        <v>0</v>
      </c>
      <c r="Y5" s="140">
        <v>71.375663978861638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1.5682190951300576</v>
      </c>
      <c r="D7" s="140">
        <v>0</v>
      </c>
      <c r="E7" s="140">
        <v>3.8025541288489246</v>
      </c>
      <c r="F7" s="140">
        <v>17.459624065502283</v>
      </c>
      <c r="G7" s="140">
        <v>3.9962840066756184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15.797404244667517</v>
      </c>
      <c r="P7" s="140">
        <v>25.089312386411944</v>
      </c>
      <c r="Q7" s="140">
        <v>9.2734645275079011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4.8331085333315746E-2</v>
      </c>
      <c r="D8" s="140">
        <v>0.16502237458352501</v>
      </c>
      <c r="E8" s="140">
        <v>0.29928844980505487</v>
      </c>
      <c r="F8" s="140">
        <v>0.27612266659223905</v>
      </c>
      <c r="G8" s="140">
        <v>0.10420652621052032</v>
      </c>
      <c r="H8" s="140">
        <v>0.10437842360822114</v>
      </c>
      <c r="I8" s="140">
        <v>0.15315184718010613</v>
      </c>
      <c r="J8" s="140">
        <v>0.14137095372753364</v>
      </c>
      <c r="K8" s="140">
        <v>3.5525436164613823E-2</v>
      </c>
      <c r="L8" s="140">
        <v>0.6124968415115527</v>
      </c>
      <c r="M8" s="140">
        <v>0.62659862584622994</v>
      </c>
      <c r="N8" s="140">
        <v>0.53730504154834025</v>
      </c>
      <c r="O8" s="140">
        <v>1.0025895302374952</v>
      </c>
      <c r="P8" s="140">
        <v>2.0192685212317305</v>
      </c>
      <c r="Q8" s="140">
        <v>1.0683003929029213</v>
      </c>
      <c r="R8" s="140">
        <v>0.2259438119462156</v>
      </c>
      <c r="S8" s="140">
        <v>0.28460149806066515</v>
      </c>
      <c r="T8" s="140">
        <v>0.79968862723714462</v>
      </c>
      <c r="U8" s="140">
        <v>1.3890920987261133</v>
      </c>
      <c r="V8" s="140">
        <v>1.9603390601847719</v>
      </c>
      <c r="W8" s="140">
        <v>1.2297055071262144</v>
      </c>
      <c r="X8" s="140">
        <v>1.6445113714794179</v>
      </c>
      <c r="Y8" s="140">
        <v>3.0120026202380861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0</v>
      </c>
      <c r="D9" s="140">
        <v>0</v>
      </c>
      <c r="E9" s="140">
        <v>23.76792188722926</v>
      </c>
      <c r="F9" s="140">
        <v>614.71736454255563</v>
      </c>
      <c r="G9" s="140">
        <v>1168.9748092276623</v>
      </c>
      <c r="H9" s="140">
        <v>1480.6729762106288</v>
      </c>
      <c r="I9" s="140">
        <v>1029.5064596539335</v>
      </c>
      <c r="J9" s="140">
        <v>53.908225745072812</v>
      </c>
      <c r="K9" s="140">
        <v>0</v>
      </c>
      <c r="L9" s="140">
        <v>49.993213450312815</v>
      </c>
      <c r="M9" s="140">
        <v>220.66108111968833</v>
      </c>
      <c r="N9" s="140">
        <v>455.3436411847909</v>
      </c>
      <c r="O9" s="140">
        <v>270.53761260346118</v>
      </c>
      <c r="P9" s="140">
        <v>202.35678807114374</v>
      </c>
      <c r="Q9" s="140">
        <v>127.5652949136534</v>
      </c>
      <c r="R9" s="140">
        <v>306.784218809317</v>
      </c>
      <c r="S9" s="140">
        <v>211.13224104993296</v>
      </c>
      <c r="T9" s="140">
        <v>322.27763012528112</v>
      </c>
      <c r="U9" s="140">
        <v>548.17490082322513</v>
      </c>
      <c r="V9" s="140">
        <v>532.67516895328299</v>
      </c>
      <c r="W9" s="140">
        <v>543.14548781331587</v>
      </c>
      <c r="X9" s="140">
        <v>430.67957576594625</v>
      </c>
      <c r="Y9" s="140">
        <v>289.80871611394412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4.4616919014268754</v>
      </c>
      <c r="I10" s="140">
        <v>26.184959894000048</v>
      </c>
      <c r="J10" s="140">
        <v>48.398381865652709</v>
      </c>
      <c r="K10" s="140">
        <v>3.2006913828041585</v>
      </c>
      <c r="L10" s="140">
        <v>15.563585377752675</v>
      </c>
      <c r="M10" s="140">
        <v>9.6133838712158663</v>
      </c>
      <c r="N10" s="140">
        <v>7.230000381243042</v>
      </c>
      <c r="O10" s="140">
        <v>13.162321761926007</v>
      </c>
      <c r="P10" s="140">
        <v>25.91736905863705</v>
      </c>
      <c r="Q10" s="140">
        <v>12.872110085960514</v>
      </c>
      <c r="R10" s="140">
        <v>15.239015893808983</v>
      </c>
      <c r="S10" s="140">
        <v>30.577198997309967</v>
      </c>
      <c r="T10" s="140">
        <v>52.496720033073437</v>
      </c>
      <c r="U10" s="140">
        <v>68.578012208778134</v>
      </c>
      <c r="V10" s="140">
        <v>14.632975558430431</v>
      </c>
      <c r="W10" s="140">
        <v>15.978332504048714</v>
      </c>
      <c r="X10" s="140">
        <v>11.226597967374708</v>
      </c>
      <c r="Y10" s="140">
        <v>11.523870049853528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2.2290774075682429</v>
      </c>
      <c r="D11" s="140">
        <v>1.3460709844857965</v>
      </c>
      <c r="E11" s="140">
        <v>2.0312217493534592</v>
      </c>
      <c r="F11" s="140">
        <v>0.62483959759357421</v>
      </c>
      <c r="G11" s="140">
        <v>0.70002530542111319</v>
      </c>
      <c r="H11" s="140">
        <v>1.2987365568405869</v>
      </c>
      <c r="I11" s="140">
        <v>1.4358459034683717</v>
      </c>
      <c r="J11" s="140">
        <v>0.69638828012977627</v>
      </c>
      <c r="K11" s="140">
        <v>2.5619072610848385E-2</v>
      </c>
      <c r="L11" s="140">
        <v>0.44360341643249784</v>
      </c>
      <c r="M11" s="140">
        <v>0.53470966875624193</v>
      </c>
      <c r="N11" s="140">
        <v>0.31697818168608871</v>
      </c>
      <c r="O11" s="140">
        <v>0.52255183838336405</v>
      </c>
      <c r="P11" s="140">
        <v>1.5455331023600767</v>
      </c>
      <c r="Q11" s="140">
        <v>1.3636133901445071</v>
      </c>
      <c r="R11" s="140">
        <v>1.1980088789023098</v>
      </c>
      <c r="S11" s="140">
        <v>0.90661447472719769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146.42817480507165</v>
      </c>
      <c r="D12" s="140">
        <v>360.29978820538037</v>
      </c>
      <c r="E12" s="140">
        <v>489.9389025404621</v>
      </c>
      <c r="F12" s="140">
        <v>307.40447634952818</v>
      </c>
      <c r="G12" s="140">
        <v>91.900181552517935</v>
      </c>
      <c r="H12" s="140">
        <v>0</v>
      </c>
      <c r="I12" s="140">
        <v>0</v>
      </c>
      <c r="J12" s="140">
        <v>111.61013050669654</v>
      </c>
      <c r="K12" s="140">
        <v>28.478067493823602</v>
      </c>
      <c r="L12" s="140">
        <v>224.27413669234826</v>
      </c>
      <c r="M12" s="140">
        <v>58.051416147925721</v>
      </c>
      <c r="N12" s="140">
        <v>0</v>
      </c>
      <c r="O12" s="140">
        <v>0</v>
      </c>
      <c r="P12" s="140">
        <v>0</v>
      </c>
      <c r="Q12" s="140">
        <v>0</v>
      </c>
      <c r="R12" s="140">
        <v>68.205648446411772</v>
      </c>
      <c r="S12" s="140">
        <v>185.23965457196712</v>
      </c>
      <c r="T12" s="140">
        <v>261.36902194812382</v>
      </c>
      <c r="U12" s="140">
        <v>170.10302359788983</v>
      </c>
      <c r="V12" s="140">
        <v>213.96375503860591</v>
      </c>
      <c r="W12" s="140">
        <v>188.16165894007665</v>
      </c>
      <c r="X12" s="140">
        <v>248.21940577261734</v>
      </c>
      <c r="Y12" s="140">
        <v>247.65085062667401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0.48948280896187996</v>
      </c>
      <c r="D13" s="140">
        <v>1.1471171423383317</v>
      </c>
      <c r="E13" s="140">
        <v>1.8514025409003729</v>
      </c>
      <c r="F13" s="140">
        <v>2.0398279815784779</v>
      </c>
      <c r="G13" s="140">
        <v>0.86651493161623794</v>
      </c>
      <c r="H13" s="140">
        <v>1.4343113498563527</v>
      </c>
      <c r="I13" s="140">
        <v>3.97216071291504</v>
      </c>
      <c r="J13" s="140">
        <v>4.6230088453750708</v>
      </c>
      <c r="K13" s="140">
        <v>1.1176018566639478</v>
      </c>
      <c r="L13" s="140">
        <v>18.072389825618487</v>
      </c>
      <c r="M13" s="140">
        <v>14.599700486197513</v>
      </c>
      <c r="N13" s="140">
        <v>9.99648619166061</v>
      </c>
      <c r="O13" s="140">
        <v>19.922908240864619</v>
      </c>
      <c r="P13" s="140">
        <v>52.633321400330942</v>
      </c>
      <c r="Q13" s="140">
        <v>59.502481987652928</v>
      </c>
      <c r="R13" s="140">
        <v>24.516241101948886</v>
      </c>
      <c r="S13" s="140">
        <v>15.09462497191112</v>
      </c>
      <c r="T13" s="140">
        <v>34.821866844666687</v>
      </c>
      <c r="U13" s="140">
        <v>40.313371874902757</v>
      </c>
      <c r="V13" s="140">
        <v>62.228775171041363</v>
      </c>
      <c r="W13" s="140">
        <v>40.883217517168703</v>
      </c>
      <c r="X13" s="140">
        <v>60.548334687276537</v>
      </c>
      <c r="Y13" s="140">
        <v>94.024926784848063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507.75308567648415</v>
      </c>
      <c r="D14" s="141">
        <v>473.81644416613022</v>
      </c>
      <c r="E14" s="141">
        <v>367.9594980094891</v>
      </c>
      <c r="F14" s="141">
        <v>0</v>
      </c>
      <c r="G14" s="141">
        <v>0</v>
      </c>
      <c r="H14" s="141">
        <v>0</v>
      </c>
      <c r="I14" s="141">
        <v>0</v>
      </c>
      <c r="J14" s="141">
        <v>188.67350136961133</v>
      </c>
      <c r="K14" s="141">
        <v>50.82831878201624</v>
      </c>
      <c r="L14" s="141">
        <v>490.13857788615371</v>
      </c>
      <c r="M14" s="141">
        <v>212.75530265041539</v>
      </c>
      <c r="N14" s="141">
        <v>68.08564681009409</v>
      </c>
      <c r="O14" s="141">
        <v>176.69226182482385</v>
      </c>
      <c r="P14" s="141">
        <v>223.45808549138619</v>
      </c>
      <c r="Q14" s="141">
        <v>448.81429600851584</v>
      </c>
      <c r="R14" s="141">
        <v>279.98055393432099</v>
      </c>
      <c r="S14" s="141">
        <v>275.23693758179752</v>
      </c>
      <c r="T14" s="141">
        <v>58.995083106145572</v>
      </c>
      <c r="U14" s="141">
        <v>0</v>
      </c>
      <c r="V14" s="141">
        <v>0</v>
      </c>
      <c r="W14" s="141">
        <v>0</v>
      </c>
      <c r="X14" s="141">
        <v>0</v>
      </c>
      <c r="Y14" s="141">
        <v>0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169.88586949675175</v>
      </c>
      <c r="D15" s="143">
        <f t="shared" si="4"/>
        <v>379.73687866465133</v>
      </c>
      <c r="E15" s="143">
        <f t="shared" si="4"/>
        <v>519.83988875569878</v>
      </c>
      <c r="F15" s="143">
        <f t="shared" si="4"/>
        <v>940.4824272217719</v>
      </c>
      <c r="G15" s="143">
        <f t="shared" si="4"/>
        <v>1270.702295766635</v>
      </c>
      <c r="H15" s="143">
        <f t="shared" si="4"/>
        <v>1641.2376359231525</v>
      </c>
      <c r="I15" s="143">
        <f t="shared" si="4"/>
        <v>2056.6135348999269</v>
      </c>
      <c r="J15" s="143">
        <f t="shared" si="4"/>
        <v>1158.3817441508622</v>
      </c>
      <c r="K15" s="143">
        <f t="shared" si="4"/>
        <v>99.081763764024373</v>
      </c>
      <c r="L15" s="143">
        <f t="shared" si="4"/>
        <v>469.23441333210553</v>
      </c>
      <c r="M15" s="143">
        <f t="shared" si="4"/>
        <v>305.84441055089786</v>
      </c>
      <c r="N15" s="143">
        <f t="shared" si="4"/>
        <v>463.42792478926833</v>
      </c>
      <c r="O15" s="143">
        <f t="shared" si="4"/>
        <v>301.02247997867562</v>
      </c>
      <c r="P15" s="143">
        <f t="shared" si="4"/>
        <v>256.92827113978456</v>
      </c>
      <c r="Q15" s="143">
        <f t="shared" si="4"/>
        <v>152.14278331016925</v>
      </c>
      <c r="R15" s="143">
        <f t="shared" ref="R15:W15" si="5">SUM(R5:R12)</f>
        <v>391.65283584038627</v>
      </c>
      <c r="S15" s="143">
        <f t="shared" si="5"/>
        <v>441.78602508938093</v>
      </c>
      <c r="T15" s="143">
        <f t="shared" si="5"/>
        <v>724.27766091369222</v>
      </c>
      <c r="U15" s="143">
        <f t="shared" si="5"/>
        <v>805.13267025175401</v>
      </c>
      <c r="V15" s="143">
        <f t="shared" si="5"/>
        <v>763.23223861050406</v>
      </c>
      <c r="W15" s="143">
        <f t="shared" si="5"/>
        <v>748.51518476456749</v>
      </c>
      <c r="X15" s="143">
        <f t="shared" ref="X15:Y15" si="6">SUM(X5:X12)</f>
        <v>691.77009087741772</v>
      </c>
      <c r="Y15" s="143">
        <f t="shared" si="6"/>
        <v>623.37110338957132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678.12843798219785</v>
      </c>
      <c r="D16" s="139">
        <f t="shared" si="7"/>
        <v>854.70043997311984</v>
      </c>
      <c r="E16" s="139">
        <f t="shared" si="7"/>
        <v>809.93749048220491</v>
      </c>
      <c r="F16" s="139">
        <f t="shared" si="7"/>
        <v>851.86878137814142</v>
      </c>
      <c r="G16" s="139">
        <f t="shared" si="7"/>
        <v>867.62805027427135</v>
      </c>
      <c r="H16" s="139">
        <f t="shared" si="7"/>
        <v>1009.5312863275745</v>
      </c>
      <c r="I16" s="139">
        <f t="shared" si="7"/>
        <v>1317.5918364353731</v>
      </c>
      <c r="J16" s="139">
        <f t="shared" si="7"/>
        <v>1327.8690553306606</v>
      </c>
      <c r="K16" s="139">
        <f t="shared" si="7"/>
        <v>151.02768440270455</v>
      </c>
      <c r="L16" s="139">
        <f t="shared" si="7"/>
        <v>977.44538104387777</v>
      </c>
      <c r="M16" s="139">
        <f t="shared" si="7"/>
        <v>533.19941368751063</v>
      </c>
      <c r="N16" s="139">
        <f t="shared" si="7"/>
        <v>541.51005779102297</v>
      </c>
      <c r="O16" s="139">
        <f t="shared" si="7"/>
        <v>497.63765004436408</v>
      </c>
      <c r="P16" s="139">
        <f t="shared" si="7"/>
        <v>533.0196780315016</v>
      </c>
      <c r="Q16" s="139">
        <f t="shared" si="7"/>
        <v>660.45956130633806</v>
      </c>
      <c r="R16" s="139">
        <f t="shared" ref="R16:W16" si="8">SUM(R17:R18)</f>
        <v>696.14963087665615</v>
      </c>
      <c r="S16" s="139">
        <f t="shared" si="8"/>
        <v>732.11758764308956</v>
      </c>
      <c r="T16" s="139">
        <f t="shared" si="8"/>
        <v>818.09461086450426</v>
      </c>
      <c r="U16" s="139">
        <f t="shared" si="8"/>
        <v>845.44604212665695</v>
      </c>
      <c r="V16" s="139">
        <f t="shared" si="8"/>
        <v>825.46101378154538</v>
      </c>
      <c r="W16" s="139">
        <f t="shared" si="8"/>
        <v>789.39840228173603</v>
      </c>
      <c r="X16" s="139">
        <f t="shared" ref="X16:Y16" si="9">SUM(X17:X18)</f>
        <v>752.31842556469417</v>
      </c>
      <c r="Y16" s="139">
        <f t="shared" si="9"/>
        <v>717.39603017441925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4.7253203565953568</v>
      </c>
      <c r="D17" s="140">
        <v>0</v>
      </c>
      <c r="E17" s="140">
        <v>4.6281562762643231</v>
      </c>
      <c r="F17" s="140">
        <v>0</v>
      </c>
      <c r="G17" s="140">
        <v>6.4443176372069706</v>
      </c>
      <c r="H17" s="140">
        <v>4.1731383562494191</v>
      </c>
      <c r="I17" s="140">
        <v>2.5161866990068766</v>
      </c>
      <c r="J17" s="140">
        <v>5.7076595242700376</v>
      </c>
      <c r="K17" s="140">
        <v>0.40488957936882231</v>
      </c>
      <c r="L17" s="140">
        <v>4.3577885899583126</v>
      </c>
      <c r="M17" s="140">
        <v>3.6645166250780683</v>
      </c>
      <c r="N17" s="140">
        <v>2.0289026882757799</v>
      </c>
      <c r="O17" s="140">
        <v>6.1175559039796914</v>
      </c>
      <c r="P17" s="140">
        <v>10.477509264172168</v>
      </c>
      <c r="Q17" s="140">
        <v>9.3187010733970563</v>
      </c>
      <c r="R17" s="140">
        <v>23.628596935288961</v>
      </c>
      <c r="S17" s="140">
        <v>10.584383834758484</v>
      </c>
      <c r="T17" s="140">
        <v>18.541911272132573</v>
      </c>
      <c r="U17" s="140">
        <v>13.476622854998205</v>
      </c>
      <c r="V17" s="140">
        <v>18.263503220354206</v>
      </c>
      <c r="W17" s="140">
        <v>17.573430275310589</v>
      </c>
      <c r="X17" s="140">
        <v>15.976163584958931</v>
      </c>
      <c r="Y17" s="140">
        <v>17.15582597339214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673.40311762560248</v>
      </c>
      <c r="D18" s="140">
        <v>854.70043997311984</v>
      </c>
      <c r="E18" s="140">
        <v>805.30933420594056</v>
      </c>
      <c r="F18" s="140">
        <v>851.86878137814142</v>
      </c>
      <c r="G18" s="140">
        <v>861.1837326370644</v>
      </c>
      <c r="H18" s="140">
        <v>1005.3581479713251</v>
      </c>
      <c r="I18" s="140">
        <v>1315.0756497363664</v>
      </c>
      <c r="J18" s="140">
        <v>1322.1613958063906</v>
      </c>
      <c r="K18" s="140">
        <v>150.62279482333574</v>
      </c>
      <c r="L18" s="140">
        <v>973.08759245391946</v>
      </c>
      <c r="M18" s="140">
        <v>529.53489706243261</v>
      </c>
      <c r="N18" s="140">
        <v>539.48115510274715</v>
      </c>
      <c r="O18" s="140">
        <v>491.5200941403844</v>
      </c>
      <c r="P18" s="140">
        <v>522.54216876732949</v>
      </c>
      <c r="Q18" s="140">
        <v>651.14086023294101</v>
      </c>
      <c r="R18" s="140">
        <v>672.52103394136714</v>
      </c>
      <c r="S18" s="140">
        <v>721.53320380833111</v>
      </c>
      <c r="T18" s="140">
        <v>799.55269959237171</v>
      </c>
      <c r="U18" s="140">
        <v>831.96941927165869</v>
      </c>
      <c r="V18" s="140">
        <v>807.19751056119117</v>
      </c>
      <c r="W18" s="140">
        <v>771.82497200642547</v>
      </c>
      <c r="X18" s="140">
        <v>736.34226197973521</v>
      </c>
      <c r="Y18" s="140">
        <v>700.24020420102715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678.12843798219774</v>
      </c>
      <c r="D19" s="139">
        <f t="shared" si="10"/>
        <v>854.70043997311984</v>
      </c>
      <c r="E19" s="139">
        <f t="shared" si="10"/>
        <v>889.6507893060882</v>
      </c>
      <c r="F19" s="139">
        <f t="shared" si="10"/>
        <v>942.5222552033506</v>
      </c>
      <c r="G19" s="139">
        <f t="shared" si="10"/>
        <v>1271.5688106982511</v>
      </c>
      <c r="H19" s="139">
        <f t="shared" si="10"/>
        <v>1642.6719472730092</v>
      </c>
      <c r="I19" s="139">
        <f t="shared" si="10"/>
        <v>2060.5856956128414</v>
      </c>
      <c r="J19" s="139">
        <f t="shared" si="10"/>
        <v>1351.6782543658485</v>
      </c>
      <c r="K19" s="139">
        <f t="shared" si="10"/>
        <v>151.02768440270455</v>
      </c>
      <c r="L19" s="139">
        <f t="shared" si="10"/>
        <v>977.44538104387777</v>
      </c>
      <c r="M19" s="139">
        <f t="shared" si="10"/>
        <v>533.19941368751074</v>
      </c>
      <c r="N19" s="139">
        <f t="shared" si="10"/>
        <v>541.51005779102297</v>
      </c>
      <c r="O19" s="139">
        <f t="shared" si="10"/>
        <v>497.63765004436414</v>
      </c>
      <c r="P19" s="139">
        <f t="shared" si="10"/>
        <v>533.0196780315016</v>
      </c>
      <c r="Q19" s="139">
        <f t="shared" si="10"/>
        <v>660.45956130633817</v>
      </c>
      <c r="R19" s="139">
        <f t="shared" ref="R19:W19" si="11">SUM(R20:R26)</f>
        <v>696.14963087665615</v>
      </c>
      <c r="S19" s="139">
        <f t="shared" si="11"/>
        <v>732.11758764308956</v>
      </c>
      <c r="T19" s="139">
        <f t="shared" si="11"/>
        <v>818.09461086450426</v>
      </c>
      <c r="U19" s="139">
        <f t="shared" si="11"/>
        <v>845.44604212665706</v>
      </c>
      <c r="V19" s="139">
        <f t="shared" si="11"/>
        <v>825.46101378154549</v>
      </c>
      <c r="W19" s="139">
        <f t="shared" si="11"/>
        <v>789.39840228173603</v>
      </c>
      <c r="X19" s="139">
        <f t="shared" ref="X19:Y19" si="12">SUM(X20:X26)</f>
        <v>752.31842556469405</v>
      </c>
      <c r="Y19" s="139">
        <f t="shared" si="12"/>
        <v>717.39603017441937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174.96112779112158</v>
      </c>
      <c r="I20" s="140">
        <v>296.56925294947496</v>
      </c>
      <c r="J20" s="140">
        <v>236.79773190998733</v>
      </c>
      <c r="K20" s="140">
        <v>25.6459198319954</v>
      </c>
      <c r="L20" s="140">
        <v>63.742252588570054</v>
      </c>
      <c r="M20" s="140">
        <v>31.1651943078814</v>
      </c>
      <c r="N20" s="140">
        <v>30.912758712311877</v>
      </c>
      <c r="O20" s="140">
        <v>30.2994169243062</v>
      </c>
      <c r="P20" s="140">
        <v>0.34087348034660359</v>
      </c>
      <c r="Q20" s="140">
        <v>0</v>
      </c>
      <c r="R20" s="140">
        <v>0</v>
      </c>
      <c r="S20" s="140">
        <v>0</v>
      </c>
      <c r="T20" s="140">
        <v>0</v>
      </c>
      <c r="U20" s="140">
        <v>4.5119889157279713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425.45197368152446</v>
      </c>
      <c r="D23" s="140">
        <v>319.30156309413718</v>
      </c>
      <c r="E23" s="140">
        <v>237.98511391118549</v>
      </c>
      <c r="F23" s="140">
        <v>202.1003328400802</v>
      </c>
      <c r="G23" s="140">
        <v>234.75576080801906</v>
      </c>
      <c r="H23" s="140">
        <v>350.3498441492635</v>
      </c>
      <c r="I23" s="140">
        <v>427.5135783134852</v>
      </c>
      <c r="J23" s="140">
        <v>289.48785161561904</v>
      </c>
      <c r="K23" s="140">
        <v>36.270719008443095</v>
      </c>
      <c r="L23" s="140">
        <v>280.36956708369252</v>
      </c>
      <c r="M23" s="140">
        <v>223.94498853240074</v>
      </c>
      <c r="N23" s="140">
        <v>324.56915267571395</v>
      </c>
      <c r="O23" s="140">
        <v>278.40574559793993</v>
      </c>
      <c r="P23" s="140">
        <v>263.21038460050698</v>
      </c>
      <c r="Q23" s="140">
        <v>191.62524415051678</v>
      </c>
      <c r="R23" s="140">
        <v>168.60592591896963</v>
      </c>
      <c r="S23" s="140">
        <v>100.31298735009572</v>
      </c>
      <c r="T23" s="140">
        <v>0</v>
      </c>
      <c r="U23" s="140">
        <v>0</v>
      </c>
      <c r="V23" s="140">
        <v>84.164634847259009</v>
      </c>
      <c r="W23" s="140">
        <v>194.77105236298081</v>
      </c>
      <c r="X23" s="140">
        <v>330.17906561492856</v>
      </c>
      <c r="Y23" s="140">
        <v>317.20265375729275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252.67646430067325</v>
      </c>
      <c r="D25" s="140">
        <v>455.55764098333594</v>
      </c>
      <c r="E25" s="140">
        <v>196.00036752633596</v>
      </c>
      <c r="F25" s="140">
        <v>109.5288691846886</v>
      </c>
      <c r="G25" s="140">
        <v>37.590675326459099</v>
      </c>
      <c r="H25" s="140">
        <v>72.732600655218789</v>
      </c>
      <c r="I25" s="140">
        <v>0</v>
      </c>
      <c r="J25" s="140">
        <v>40.337872203208974</v>
      </c>
      <c r="K25" s="140">
        <v>15.675501544842239</v>
      </c>
      <c r="L25" s="140">
        <v>68.830823730186722</v>
      </c>
      <c r="M25" s="140">
        <v>31.429963935989541</v>
      </c>
      <c r="N25" s="140">
        <v>20.008925085291448</v>
      </c>
      <c r="O25" s="140">
        <v>30.387563162855297</v>
      </c>
      <c r="P25" s="140">
        <v>30.904813380716941</v>
      </c>
      <c r="Q25" s="140">
        <v>95.611646919824253</v>
      </c>
      <c r="R25" s="140">
        <v>76.053314796697933</v>
      </c>
      <c r="S25" s="140">
        <v>95.657752765034687</v>
      </c>
      <c r="T25" s="140">
        <v>70.836615191269132</v>
      </c>
      <c r="U25" s="140">
        <v>3.6173646174053453</v>
      </c>
      <c r="V25" s="140">
        <v>0</v>
      </c>
      <c r="W25" s="140">
        <v>0</v>
      </c>
      <c r="X25" s="140">
        <v>44.593446009203994</v>
      </c>
      <c r="Y25" s="140">
        <v>28.553204402892291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0</v>
      </c>
      <c r="D26" s="141">
        <v>79.841235895646747</v>
      </c>
      <c r="E26" s="141">
        <v>455.66530786856674</v>
      </c>
      <c r="F26" s="141">
        <v>630.89305317858179</v>
      </c>
      <c r="G26" s="141">
        <v>999.22237456377286</v>
      </c>
      <c r="H26" s="141">
        <v>1044.6283746774054</v>
      </c>
      <c r="I26" s="141">
        <v>1336.5028643498813</v>
      </c>
      <c r="J26" s="141">
        <v>785.05479863703317</v>
      </c>
      <c r="K26" s="141">
        <v>73.435544017423837</v>
      </c>
      <c r="L26" s="141">
        <v>564.50273764142844</v>
      </c>
      <c r="M26" s="141">
        <v>246.65926691123909</v>
      </c>
      <c r="N26" s="141">
        <v>166.01922131770576</v>
      </c>
      <c r="O26" s="141">
        <v>158.54492435926267</v>
      </c>
      <c r="P26" s="141">
        <v>238.56360656993107</v>
      </c>
      <c r="Q26" s="141">
        <v>373.2226702359971</v>
      </c>
      <c r="R26" s="141">
        <v>451.49039016098851</v>
      </c>
      <c r="S26" s="141">
        <v>536.14684752795915</v>
      </c>
      <c r="T26" s="141">
        <v>747.25799567323509</v>
      </c>
      <c r="U26" s="141">
        <v>837.31668859352374</v>
      </c>
      <c r="V26" s="141">
        <v>741.29637893428651</v>
      </c>
      <c r="W26" s="141">
        <v>594.62734991875527</v>
      </c>
      <c r="X26" s="141">
        <v>377.54591394056155</v>
      </c>
      <c r="Y26" s="141">
        <v>371.64017201423434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14.325207277925497</v>
      </c>
      <c r="H27" s="150">
        <v>0</v>
      </c>
      <c r="I27" s="150">
        <v>0.190609874272195</v>
      </c>
      <c r="J27" s="150">
        <v>8.6187096598177457E-2</v>
      </c>
      <c r="K27" s="150">
        <v>0</v>
      </c>
      <c r="L27" s="150">
        <v>266.83846664734887</v>
      </c>
      <c r="M27" s="150">
        <v>36.691462872022399</v>
      </c>
      <c r="N27" s="150">
        <v>4.7625722335786165</v>
      </c>
      <c r="O27" s="150">
        <v>0</v>
      </c>
      <c r="P27" s="150">
        <v>311.54661847161401</v>
      </c>
      <c r="Q27" s="150">
        <v>0</v>
      </c>
      <c r="R27" s="150">
        <v>23.812389969623521</v>
      </c>
      <c r="S27" s="150">
        <v>1.5316076521254085E-13</v>
      </c>
      <c r="T27" s="150">
        <v>42.107702043448121</v>
      </c>
      <c r="U27" s="150">
        <v>9.7138539040474168</v>
      </c>
      <c r="V27" s="150">
        <v>64.33271670421928</v>
      </c>
      <c r="W27" s="150">
        <v>61.934886539506898</v>
      </c>
      <c r="X27" s="150">
        <v>1.5334104009314008E-13</v>
      </c>
      <c r="Y27" s="150">
        <v>410.04638888699282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678.12843798219774</v>
      </c>
      <c r="D29" s="139">
        <f t="shared" si="13"/>
        <v>854.70043997311984</v>
      </c>
      <c r="E29" s="139">
        <f t="shared" si="13"/>
        <v>889.6507893060882</v>
      </c>
      <c r="F29" s="139">
        <f t="shared" si="13"/>
        <v>942.5222552033506</v>
      </c>
      <c r="G29" s="139">
        <f t="shared" si="13"/>
        <v>1271.5688106982509</v>
      </c>
      <c r="H29" s="139">
        <f t="shared" si="13"/>
        <v>1642.6719472730094</v>
      </c>
      <c r="I29" s="139">
        <f t="shared" si="13"/>
        <v>2060.5856956128418</v>
      </c>
      <c r="J29" s="139">
        <f t="shared" si="13"/>
        <v>1351.6782543658487</v>
      </c>
      <c r="K29" s="139">
        <f t="shared" si="13"/>
        <v>151.02768440270455</v>
      </c>
      <c r="L29" s="139">
        <f t="shared" si="13"/>
        <v>977.44538104387777</v>
      </c>
      <c r="M29" s="139">
        <f t="shared" si="13"/>
        <v>533.19941368751074</v>
      </c>
      <c r="N29" s="139">
        <f t="shared" si="13"/>
        <v>541.51005779102297</v>
      </c>
      <c r="O29" s="139">
        <f t="shared" si="13"/>
        <v>497.63765004436414</v>
      </c>
      <c r="P29" s="139">
        <f t="shared" si="13"/>
        <v>533.01967803150148</v>
      </c>
      <c r="Q29" s="139">
        <f t="shared" si="13"/>
        <v>660.45956130633806</v>
      </c>
      <c r="R29" s="139">
        <f t="shared" ref="R29:W29" si="14">SUM(R30:R33)</f>
        <v>696.14963087665603</v>
      </c>
      <c r="S29" s="139">
        <f t="shared" si="14"/>
        <v>732.11758764308956</v>
      </c>
      <c r="T29" s="139">
        <f t="shared" si="14"/>
        <v>818.09461086450426</v>
      </c>
      <c r="U29" s="139">
        <f t="shared" si="14"/>
        <v>845.44604212665695</v>
      </c>
      <c r="V29" s="139">
        <f t="shared" si="14"/>
        <v>825.46101378154549</v>
      </c>
      <c r="W29" s="139">
        <f t="shared" si="14"/>
        <v>789.39840228173603</v>
      </c>
      <c r="X29" s="139">
        <f t="shared" ref="X29:Y29" si="15">SUM(X30:X33)</f>
        <v>752.31842556469405</v>
      </c>
      <c r="Y29" s="139">
        <f t="shared" si="15"/>
        <v>717.39603017441937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494.60844852937606</v>
      </c>
      <c r="D30" s="140">
        <v>677.90851562156115</v>
      </c>
      <c r="E30" s="140">
        <v>211.65440824004082</v>
      </c>
      <c r="F30" s="140">
        <v>164.06109036466333</v>
      </c>
      <c r="G30" s="140">
        <v>0</v>
      </c>
      <c r="H30" s="140">
        <v>0</v>
      </c>
      <c r="I30" s="140">
        <v>0</v>
      </c>
      <c r="J30" s="140">
        <v>0</v>
      </c>
      <c r="K30" s="140">
        <v>13.964977448692146</v>
      </c>
      <c r="L30" s="140">
        <v>90.612948012949261</v>
      </c>
      <c r="M30" s="140">
        <v>0</v>
      </c>
      <c r="N30" s="140">
        <v>88.291159834587006</v>
      </c>
      <c r="O30" s="140">
        <v>80.729140743789003</v>
      </c>
      <c r="P30" s="140">
        <v>70.224804483715701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15.349438231127744</v>
      </c>
      <c r="X30" s="140">
        <v>43.873877170222585</v>
      </c>
      <c r="Y30" s="140">
        <v>0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183.51998945282173</v>
      </c>
      <c r="D31" s="140">
        <v>76.371082014468513</v>
      </c>
      <c r="E31" s="140">
        <v>114.46763804468057</v>
      </c>
      <c r="F31" s="140">
        <v>417.30388691824663</v>
      </c>
      <c r="G31" s="140">
        <v>430.78943376192689</v>
      </c>
      <c r="H31" s="140">
        <v>678.51054371359669</v>
      </c>
      <c r="I31" s="140">
        <v>742.09324338102056</v>
      </c>
      <c r="J31" s="140">
        <v>512.86259138573655</v>
      </c>
      <c r="K31" s="140">
        <v>63.949621250441858</v>
      </c>
      <c r="L31" s="140">
        <v>255.72007185596897</v>
      </c>
      <c r="M31" s="140">
        <v>139.49961639340722</v>
      </c>
      <c r="N31" s="140">
        <v>384.00581608152959</v>
      </c>
      <c r="O31" s="140">
        <v>357.11087032000415</v>
      </c>
      <c r="P31" s="140">
        <v>334.26117771041805</v>
      </c>
      <c r="Q31" s="140">
        <v>340.65998356749458</v>
      </c>
      <c r="R31" s="140">
        <v>241.60162841395575</v>
      </c>
      <c r="S31" s="140">
        <v>117.12488838165399</v>
      </c>
      <c r="T31" s="140">
        <v>214.83773165998375</v>
      </c>
      <c r="U31" s="140">
        <v>312.99277679140852</v>
      </c>
      <c r="V31" s="140">
        <v>402.94981031566448</v>
      </c>
      <c r="W31" s="140">
        <v>307.32285713045309</v>
      </c>
      <c r="X31" s="140">
        <v>395.00105295814433</v>
      </c>
      <c r="Y31" s="140">
        <v>401.76614053960509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0</v>
      </c>
      <c r="D33" s="152">
        <v>100.42084233709018</v>
      </c>
      <c r="E33" s="152">
        <v>563.52874302136684</v>
      </c>
      <c r="F33" s="152">
        <v>361.15727792044055</v>
      </c>
      <c r="G33" s="152">
        <v>840.77937693632407</v>
      </c>
      <c r="H33" s="152">
        <v>964.16140355941275</v>
      </c>
      <c r="I33" s="152">
        <v>1318.4924522318213</v>
      </c>
      <c r="J33" s="152">
        <v>838.81566298011205</v>
      </c>
      <c r="K33" s="152">
        <v>73.113085703570547</v>
      </c>
      <c r="L33" s="152">
        <v>631.11236117495957</v>
      </c>
      <c r="M33" s="152">
        <v>393.69979729410352</v>
      </c>
      <c r="N33" s="152">
        <v>69.213081874906393</v>
      </c>
      <c r="O33" s="152">
        <v>59.797638980570973</v>
      </c>
      <c r="P33" s="152">
        <v>128.53369583736779</v>
      </c>
      <c r="Q33" s="152">
        <v>319.79957773884348</v>
      </c>
      <c r="R33" s="152">
        <v>454.54800246270031</v>
      </c>
      <c r="S33" s="152">
        <v>614.99269926143563</v>
      </c>
      <c r="T33" s="152">
        <v>603.25687920452049</v>
      </c>
      <c r="U33" s="152">
        <v>532.45326533524837</v>
      </c>
      <c r="V33" s="152">
        <v>422.51120346588095</v>
      </c>
      <c r="W33" s="152">
        <v>466.72610692015525</v>
      </c>
      <c r="X33" s="152">
        <v>313.44349543632717</v>
      </c>
      <c r="Y33" s="152">
        <v>315.62988963481422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31.467218333366183</v>
      </c>
      <c r="D3" s="125">
        <f t="shared" si="0"/>
        <v>35.490231665637189</v>
      </c>
      <c r="E3" s="125">
        <f t="shared" si="0"/>
        <v>27.158619360925993</v>
      </c>
      <c r="F3" s="125">
        <f t="shared" si="0"/>
        <v>29.760019693423281</v>
      </c>
      <c r="G3" s="125">
        <f t="shared" si="0"/>
        <v>69.163398828447484</v>
      </c>
      <c r="H3" s="125">
        <f t="shared" si="0"/>
        <v>82.426086363614644</v>
      </c>
      <c r="I3" s="125">
        <f t="shared" si="0"/>
        <v>84.082185897280908</v>
      </c>
      <c r="J3" s="125">
        <f t="shared" si="0"/>
        <v>50.652116752675745</v>
      </c>
      <c r="K3" s="125">
        <f t="shared" si="0"/>
        <v>6.8826141024901855</v>
      </c>
      <c r="L3" s="125">
        <f t="shared" si="0"/>
        <v>35.252062210885285</v>
      </c>
      <c r="M3" s="125">
        <f t="shared" si="0"/>
        <v>14.751183983320951</v>
      </c>
      <c r="N3" s="125">
        <f t="shared" si="0"/>
        <v>15.89550676326237</v>
      </c>
      <c r="O3" s="125">
        <f t="shared" si="0"/>
        <v>14.301267884517827</v>
      </c>
      <c r="P3" s="125">
        <f t="shared" si="0"/>
        <v>9.8249014677906708</v>
      </c>
      <c r="Q3" s="125">
        <f t="shared" si="0"/>
        <v>11.773003159522553</v>
      </c>
      <c r="R3" s="125">
        <f t="shared" ref="R3:W3" si="1">SUM(R4,R16,R19,R29)</f>
        <v>11.932304310517909</v>
      </c>
      <c r="S3" s="125">
        <f t="shared" si="1"/>
        <v>12.708769387563759</v>
      </c>
      <c r="T3" s="125">
        <f t="shared" si="1"/>
        <v>12.116295199166567</v>
      </c>
      <c r="U3" s="125">
        <f t="shared" si="1"/>
        <v>10.740118522390492</v>
      </c>
      <c r="V3" s="125">
        <f t="shared" si="1"/>
        <v>8.7593490448833506</v>
      </c>
      <c r="W3" s="125">
        <f t="shared" si="1"/>
        <v>8.9680488844060982</v>
      </c>
      <c r="X3" s="125">
        <f t="shared" ref="X3:Y3" si="2">SUM(X4,X16,X19,X29)</f>
        <v>7.6128643718277047</v>
      </c>
      <c r="Y3" s="125">
        <f t="shared" si="2"/>
        <v>6.4409376914486973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26.331330669922469</v>
      </c>
      <c r="D4" s="130">
        <f t="shared" si="3"/>
        <v>28.316887672126274</v>
      </c>
      <c r="E4" s="130">
        <f t="shared" si="3"/>
        <v>20.744897816502434</v>
      </c>
      <c r="F4" s="130">
        <f t="shared" si="3"/>
        <v>22.973756160872103</v>
      </c>
      <c r="G4" s="130">
        <f t="shared" si="3"/>
        <v>59.923773747377922</v>
      </c>
      <c r="H4" s="130">
        <f t="shared" si="3"/>
        <v>70.793894640791734</v>
      </c>
      <c r="I4" s="130">
        <f t="shared" si="3"/>
        <v>69.284314068990398</v>
      </c>
      <c r="J4" s="130">
        <f t="shared" si="3"/>
        <v>40.765837990214855</v>
      </c>
      <c r="K4" s="130">
        <f t="shared" si="3"/>
        <v>5.7715130018732221</v>
      </c>
      <c r="L4" s="130">
        <f t="shared" si="3"/>
        <v>28.357212144713845</v>
      </c>
      <c r="M4" s="130">
        <f t="shared" si="3"/>
        <v>11.022209841415219</v>
      </c>
      <c r="N4" s="130">
        <f t="shared" si="3"/>
        <v>11.836566399117251</v>
      </c>
      <c r="O4" s="130">
        <f t="shared" si="3"/>
        <v>10.579761248776913</v>
      </c>
      <c r="P4" s="130">
        <f t="shared" si="3"/>
        <v>6.2626436689326948</v>
      </c>
      <c r="Q4" s="130">
        <f t="shared" si="3"/>
        <v>7.4960187516752201</v>
      </c>
      <c r="R4" s="130">
        <f t="shared" ref="R4:W4" si="4">SUM(R5:R15)</f>
        <v>7.6411018777205371</v>
      </c>
      <c r="S4" s="130">
        <f t="shared" si="4"/>
        <v>8.3920140165989032</v>
      </c>
      <c r="T4" s="130">
        <f t="shared" si="4"/>
        <v>7.4204268440164025</v>
      </c>
      <c r="U4" s="130">
        <f t="shared" si="4"/>
        <v>6.0095337265342286</v>
      </c>
      <c r="V4" s="130">
        <f t="shared" si="4"/>
        <v>4.4564427070850252</v>
      </c>
      <c r="W4" s="130">
        <f t="shared" si="4"/>
        <v>4.6401002280125452</v>
      </c>
      <c r="X4" s="130">
        <f t="shared" ref="X4:Y4" si="5">SUM(X5:X15)</f>
        <v>3.2485599322111556</v>
      </c>
      <c r="Y4" s="130">
        <f t="shared" si="5"/>
        <v>2.4668096415774445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0.7798622790944546</v>
      </c>
      <c r="D5" s="132">
        <v>0.93262050444885247</v>
      </c>
      <c r="E5" s="132">
        <v>0</v>
      </c>
      <c r="F5" s="132">
        <v>0</v>
      </c>
      <c r="G5" s="132">
        <v>5.2534486222208854E-2</v>
      </c>
      <c r="H5" s="132">
        <v>3.7915856157507939</v>
      </c>
      <c r="I5" s="132">
        <v>29.180447378930634</v>
      </c>
      <c r="J5" s="132">
        <v>28.420164263167827</v>
      </c>
      <c r="K5" s="132">
        <v>3.5565091738277674</v>
      </c>
      <c r="L5" s="132">
        <v>4.9789851160715157</v>
      </c>
      <c r="M5" s="132">
        <v>0.5106575886198933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0.13748355522420008</v>
      </c>
      <c r="T5" s="132">
        <v>0.85835276831078045</v>
      </c>
      <c r="U5" s="132">
        <v>0.21485681467723097</v>
      </c>
      <c r="V5" s="132">
        <v>0</v>
      </c>
      <c r="W5" s="132">
        <v>0</v>
      </c>
      <c r="X5" s="132">
        <v>0</v>
      </c>
      <c r="Y5" s="132">
        <v>0.28304239747173615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0.11399609047229807</v>
      </c>
      <c r="D7" s="132">
        <v>0</v>
      </c>
      <c r="E7" s="132">
        <v>6.8272898419870068E-2</v>
      </c>
      <c r="F7" s="132">
        <v>0.80884293231590432</v>
      </c>
      <c r="G7" s="132">
        <v>0.21279414421358681</v>
      </c>
      <c r="H7" s="132">
        <v>0</v>
      </c>
      <c r="I7" s="132">
        <v>0</v>
      </c>
      <c r="J7" s="132">
        <v>0</v>
      </c>
      <c r="K7" s="132">
        <v>0</v>
      </c>
      <c r="L7" s="132">
        <v>0</v>
      </c>
      <c r="M7" s="132">
        <v>0</v>
      </c>
      <c r="N7" s="132">
        <v>0</v>
      </c>
      <c r="O7" s="132">
        <v>0.11403952871472599</v>
      </c>
      <c r="P7" s="132">
        <v>0.42146650606976027</v>
      </c>
      <c r="Q7" s="132">
        <v>0.14408749018587214</v>
      </c>
      <c r="R7" s="132">
        <v>0</v>
      </c>
      <c r="S7" s="132">
        <v>0</v>
      </c>
      <c r="T7" s="132">
        <v>0</v>
      </c>
      <c r="U7" s="132">
        <v>0</v>
      </c>
      <c r="V7" s="132">
        <v>0</v>
      </c>
      <c r="W7" s="132">
        <v>0</v>
      </c>
      <c r="X7" s="132">
        <v>0</v>
      </c>
      <c r="Y7" s="132">
        <v>0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9.727804711358799E-4</v>
      </c>
      <c r="D8" s="132">
        <v>2.457676177243919E-3</v>
      </c>
      <c r="E8" s="132">
        <v>4.386231961880491E-3</v>
      </c>
      <c r="F8" s="132">
        <v>4.1174370419567886E-3</v>
      </c>
      <c r="G8" s="132">
        <v>1.5196621228480425E-3</v>
      </c>
      <c r="H8" s="132">
        <v>1.509381030405192E-3</v>
      </c>
      <c r="I8" s="132">
        <v>2.009410642278131E-3</v>
      </c>
      <c r="J8" s="132">
        <v>1.6742287222501391E-3</v>
      </c>
      <c r="K8" s="132">
        <v>3.8047743730845393E-4</v>
      </c>
      <c r="L8" s="132">
        <v>5.5199298956356835E-3</v>
      </c>
      <c r="M8" s="132">
        <v>4.9534175951152469E-3</v>
      </c>
      <c r="N8" s="132">
        <v>2.9887273287139172E-3</v>
      </c>
      <c r="O8" s="132">
        <v>5.4743695339412634E-3</v>
      </c>
      <c r="P8" s="132">
        <v>8.5559939271151776E-3</v>
      </c>
      <c r="Q8" s="132">
        <v>4.3255002753892647E-3</v>
      </c>
      <c r="R8" s="132">
        <v>7.3891870210053144E-4</v>
      </c>
      <c r="S8" s="132">
        <v>8.5176884801493457E-4</v>
      </c>
      <c r="T8" s="132">
        <v>2.0582290694497953E-3</v>
      </c>
      <c r="U8" s="132">
        <v>2.7520444777528034E-3</v>
      </c>
      <c r="V8" s="132">
        <v>3.7843200128104995E-3</v>
      </c>
      <c r="W8" s="132">
        <v>1.8846909128005373E-3</v>
      </c>
      <c r="X8" s="132">
        <v>1.9925665919080194E-3</v>
      </c>
      <c r="Y8" s="132">
        <v>3.6891804110307071E-3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0</v>
      </c>
      <c r="D9" s="132">
        <v>0</v>
      </c>
      <c r="E9" s="132">
        <v>0.80692038563249247</v>
      </c>
      <c r="F9" s="132">
        <v>12.25004020079699</v>
      </c>
      <c r="G9" s="132">
        <v>56.53883376589242</v>
      </c>
      <c r="H9" s="132">
        <v>66.21033110055015</v>
      </c>
      <c r="I9" s="132">
        <v>39.309543597581147</v>
      </c>
      <c r="J9" s="132">
        <v>2.0878313598842357</v>
      </c>
      <c r="K9" s="132">
        <v>0</v>
      </c>
      <c r="L9" s="132">
        <v>2.0760066234226611</v>
      </c>
      <c r="M9" s="132">
        <v>3.3041751528208438</v>
      </c>
      <c r="N9" s="132">
        <v>10.548411659851302</v>
      </c>
      <c r="O9" s="132">
        <v>6.6647452505368872</v>
      </c>
      <c r="P9" s="132">
        <v>2.5342528043003125</v>
      </c>
      <c r="Q9" s="132">
        <v>1.6052501667269092</v>
      </c>
      <c r="R9" s="132">
        <v>3.4995667412671985</v>
      </c>
      <c r="S9" s="132">
        <v>2.508498131111784</v>
      </c>
      <c r="T9" s="132">
        <v>3.0562104088275399</v>
      </c>
      <c r="U9" s="132">
        <v>3.7922008920289656</v>
      </c>
      <c r="V9" s="132">
        <v>3.0153475042936564</v>
      </c>
      <c r="W9" s="132">
        <v>3.4519252298543242</v>
      </c>
      <c r="X9" s="132">
        <v>2.0302310591722859</v>
      </c>
      <c r="Y9" s="132">
        <v>1.0971315786665123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6.4638018828164487E-2</v>
      </c>
      <c r="I10" s="132">
        <v>0.16606130342521197</v>
      </c>
      <c r="J10" s="132">
        <v>2.3067112219283517</v>
      </c>
      <c r="K10" s="132">
        <v>0.15409481630016927</v>
      </c>
      <c r="L10" s="132">
        <v>0.66400390028985046</v>
      </c>
      <c r="M10" s="132">
        <v>0.205236848639959</v>
      </c>
      <c r="N10" s="132">
        <v>0.17245905113313603</v>
      </c>
      <c r="O10" s="132">
        <v>0.16354816062918776</v>
      </c>
      <c r="P10" s="132">
        <v>0.77165781446240811</v>
      </c>
      <c r="Q10" s="132">
        <v>0.20877538149199829</v>
      </c>
      <c r="R10" s="132">
        <v>8.3820560375054851E-2</v>
      </c>
      <c r="S10" s="132">
        <v>0.52185724740686545</v>
      </c>
      <c r="T10" s="132">
        <v>0.69260438410883618</v>
      </c>
      <c r="U10" s="132">
        <v>0.76520997612616704</v>
      </c>
      <c r="V10" s="132">
        <v>0.16186908861945726</v>
      </c>
      <c r="W10" s="132">
        <v>0.14242694536367026</v>
      </c>
      <c r="X10" s="132">
        <v>5.5455416916171674E-2</v>
      </c>
      <c r="Y10" s="132">
        <v>7.0900247948691347E-2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9.5089583471856143E-2</v>
      </c>
      <c r="D11" s="132">
        <v>3.9678079457616366E-2</v>
      </c>
      <c r="E11" s="132">
        <v>5.2146780358233613E-2</v>
      </c>
      <c r="F11" s="132">
        <v>1.4575425373100566E-2</v>
      </c>
      <c r="G11" s="132">
        <v>1.7842074036728557E-2</v>
      </c>
      <c r="H11" s="132">
        <v>3.8319402723274359E-2</v>
      </c>
      <c r="I11" s="132">
        <v>3.8581777828667285E-2</v>
      </c>
      <c r="J11" s="132">
        <v>1.8506098548143859E-2</v>
      </c>
      <c r="K11" s="132">
        <v>6.518386514024235E-4</v>
      </c>
      <c r="L11" s="132">
        <v>1.1163696664804467E-2</v>
      </c>
      <c r="M11" s="132">
        <v>1.0508544977111454E-2</v>
      </c>
      <c r="N11" s="132">
        <v>4.6814428560511961E-3</v>
      </c>
      <c r="O11" s="132">
        <v>8.3857813744221861E-3</v>
      </c>
      <c r="P11" s="132">
        <v>1.6109832851361819E-2</v>
      </c>
      <c r="Q11" s="132">
        <v>1.3958513359909826E-2</v>
      </c>
      <c r="R11" s="132">
        <v>1.3061145666124823E-2</v>
      </c>
      <c r="S11" s="132">
        <v>9.2202112464616071E-3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4.4446222469744878</v>
      </c>
      <c r="D12" s="132">
        <v>10.634114131802171</v>
      </c>
      <c r="E12" s="132">
        <v>10.476707589867136</v>
      </c>
      <c r="F12" s="132">
        <v>9.7057214931102394</v>
      </c>
      <c r="G12" s="132">
        <v>2.5185154362267621</v>
      </c>
      <c r="H12" s="132">
        <v>0</v>
      </c>
      <c r="I12" s="132">
        <v>0</v>
      </c>
      <c r="J12" s="132">
        <v>2.7372865525515824</v>
      </c>
      <c r="K12" s="132">
        <v>0.73808216398112714</v>
      </c>
      <c r="L12" s="132">
        <v>6.2314628878409053</v>
      </c>
      <c r="M12" s="132">
        <v>1.2754677811008175</v>
      </c>
      <c r="N12" s="132">
        <v>0</v>
      </c>
      <c r="O12" s="132">
        <v>0</v>
      </c>
      <c r="P12" s="132">
        <v>0</v>
      </c>
      <c r="Q12" s="132">
        <v>0</v>
      </c>
      <c r="R12" s="132">
        <v>0.84571516421275106</v>
      </c>
      <c r="S12" s="132">
        <v>1.8480201470759141</v>
      </c>
      <c r="T12" s="132">
        <v>2.1598641061924639</v>
      </c>
      <c r="U12" s="132">
        <v>1.1204731177755209</v>
      </c>
      <c r="V12" s="132">
        <v>1.1463270602631241</v>
      </c>
      <c r="W12" s="132">
        <v>0.95218210380527446</v>
      </c>
      <c r="X12" s="132">
        <v>1.0751028445696018</v>
      </c>
      <c r="Y12" s="132">
        <v>0.90954869381737902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7.8379349661685874E-3</v>
      </c>
      <c r="D13" s="132">
        <v>1.5189848143843082E-2</v>
      </c>
      <c r="E13" s="132">
        <v>1.8890544491017066E-2</v>
      </c>
      <c r="F13" s="132">
        <v>2.468655536183827E-2</v>
      </c>
      <c r="G13" s="132">
        <v>9.2557278282559483E-3</v>
      </c>
      <c r="H13" s="132">
        <v>1.3391252992703514E-2</v>
      </c>
      <c r="I13" s="132">
        <v>4.0270932390438142E-2</v>
      </c>
      <c r="J13" s="132">
        <v>3.7356283218576682E-2</v>
      </c>
      <c r="K13" s="132">
        <v>8.0258768332554728E-3</v>
      </c>
      <c r="L13" s="132">
        <v>0.11444205829349927</v>
      </c>
      <c r="M13" s="132">
        <v>9.1295464396359549E-2</v>
      </c>
      <c r="N13" s="132">
        <v>4.9274628747438091E-2</v>
      </c>
      <c r="O13" s="132">
        <v>6.9116207390296891E-2</v>
      </c>
      <c r="P13" s="132">
        <v>0.12602669393611485</v>
      </c>
      <c r="Q13" s="132">
        <v>0.19465121163320034</v>
      </c>
      <c r="R13" s="132">
        <v>6.4050580474421775E-2</v>
      </c>
      <c r="S13" s="132">
        <v>3.510883786451871E-2</v>
      </c>
      <c r="T13" s="132">
        <v>6.8320966313578438E-2</v>
      </c>
      <c r="U13" s="132">
        <v>5.9847411355842144E-2</v>
      </c>
      <c r="V13" s="132">
        <v>8.7659067647220201E-2</v>
      </c>
      <c r="W13" s="132">
        <v>4.538997217014866E-2</v>
      </c>
      <c r="X13" s="132">
        <v>5.6785830079537199E-2</v>
      </c>
      <c r="Y13" s="132">
        <v>8.3746807525734449E-2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20.865948669177079</v>
      </c>
      <c r="D14" s="65">
        <v>16.647265095303357</v>
      </c>
      <c r="E14" s="65">
        <v>9.2696974468356608</v>
      </c>
      <c r="F14" s="65">
        <v>0</v>
      </c>
      <c r="G14" s="65">
        <v>0</v>
      </c>
      <c r="H14" s="65">
        <v>0</v>
      </c>
      <c r="I14" s="65">
        <v>0</v>
      </c>
      <c r="J14" s="65">
        <v>4.9594166087261575</v>
      </c>
      <c r="K14" s="65">
        <v>1.29103514435647</v>
      </c>
      <c r="L14" s="65">
        <v>14.203755834669318</v>
      </c>
      <c r="M14" s="65">
        <v>5.5790875898595846</v>
      </c>
      <c r="N14" s="65">
        <v>0.95066243199161005</v>
      </c>
      <c r="O14" s="65">
        <v>3.4817974648553194</v>
      </c>
      <c r="P14" s="65">
        <v>2.3480432790097736</v>
      </c>
      <c r="Q14" s="65">
        <v>5.3037054411349693</v>
      </c>
      <c r="R14" s="65">
        <v>3.0898019051367798</v>
      </c>
      <c r="S14" s="65">
        <v>3.2918598017007699</v>
      </c>
      <c r="T14" s="65">
        <v>0.53124608531412854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2.3001085294990224E-2</v>
      </c>
      <c r="D15" s="134">
        <v>4.5562336793192271E-2</v>
      </c>
      <c r="E15" s="134">
        <v>4.7875938936145876E-2</v>
      </c>
      <c r="F15" s="134">
        <v>0.165772116872072</v>
      </c>
      <c r="G15" s="134">
        <v>0.57247845083511328</v>
      </c>
      <c r="H15" s="134">
        <v>0.6741198689162452</v>
      </c>
      <c r="I15" s="134">
        <v>0.54739966819201502</v>
      </c>
      <c r="J15" s="134">
        <v>0.19689137346772598</v>
      </c>
      <c r="K15" s="134">
        <v>2.2733510485721729E-2</v>
      </c>
      <c r="L15" s="134">
        <v>7.1872097565654408E-2</v>
      </c>
      <c r="M15" s="134">
        <v>4.0827453405533315E-2</v>
      </c>
      <c r="N15" s="134">
        <v>0.10808845720899608</v>
      </c>
      <c r="O15" s="134">
        <v>7.2654485742131888E-2</v>
      </c>
      <c r="P15" s="134">
        <v>3.6530744375849099E-2</v>
      </c>
      <c r="Q15" s="134">
        <v>2.126504686697165E-2</v>
      </c>
      <c r="R15" s="134">
        <v>4.4346861886106162E-2</v>
      </c>
      <c r="S15" s="134">
        <v>3.9114316120374255E-2</v>
      </c>
      <c r="T15" s="134">
        <v>5.1769895879624932E-2</v>
      </c>
      <c r="U15" s="134">
        <v>5.4193470092748497E-2</v>
      </c>
      <c r="V15" s="134">
        <v>4.1455666248757357E-2</v>
      </c>
      <c r="W15" s="134">
        <v>4.6291285906326606E-2</v>
      </c>
      <c r="X15" s="134">
        <v>2.8992214881650838E-2</v>
      </c>
      <c r="Y15" s="134">
        <v>1.8750735736360567E-2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0.70727685749982194</v>
      </c>
      <c r="D16" s="130">
        <f t="shared" si="6"/>
        <v>0.86090985941715192</v>
      </c>
      <c r="E16" s="130">
        <f t="shared" si="6"/>
        <v>0.7864299368969816</v>
      </c>
      <c r="F16" s="130">
        <f t="shared" si="6"/>
        <v>0.76490848922659238</v>
      </c>
      <c r="G16" s="130">
        <f t="shared" si="6"/>
        <v>0.75884043724927897</v>
      </c>
      <c r="H16" s="130">
        <f t="shared" si="6"/>
        <v>0.86803988942519672</v>
      </c>
      <c r="I16" s="130">
        <f t="shared" si="6"/>
        <v>1.1278909973705571</v>
      </c>
      <c r="J16" s="130">
        <f t="shared" si="6"/>
        <v>1.0282406965044055</v>
      </c>
      <c r="K16" s="130">
        <f t="shared" si="6"/>
        <v>0.11193923882327812</v>
      </c>
      <c r="L16" s="130">
        <f t="shared" si="6"/>
        <v>0.72206897975832873</v>
      </c>
      <c r="M16" s="130">
        <f t="shared" si="6"/>
        <v>0.36738335141028966</v>
      </c>
      <c r="N16" s="130">
        <f t="shared" si="6"/>
        <v>0.38692722411361247</v>
      </c>
      <c r="O16" s="130">
        <f t="shared" si="6"/>
        <v>0.32563723959781654</v>
      </c>
      <c r="P16" s="130">
        <f t="shared" si="6"/>
        <v>0.30496472963468907</v>
      </c>
      <c r="Q16" s="130">
        <f t="shared" si="6"/>
        <v>0.41971565245571374</v>
      </c>
      <c r="R16" s="130">
        <f t="shared" ref="R16:W16" si="7">SUM(R17:R18)</f>
        <v>0.36913488977612718</v>
      </c>
      <c r="S16" s="130">
        <f t="shared" si="7"/>
        <v>0.38350211746880114</v>
      </c>
      <c r="T16" s="130">
        <f t="shared" si="7"/>
        <v>0.40976156692332522</v>
      </c>
      <c r="U16" s="130">
        <f t="shared" si="7"/>
        <v>0.41392709566207658</v>
      </c>
      <c r="V16" s="130">
        <f t="shared" si="7"/>
        <v>0.33866847658059107</v>
      </c>
      <c r="W16" s="130">
        <f t="shared" si="7"/>
        <v>0.30454294023532902</v>
      </c>
      <c r="X16" s="130">
        <f t="shared" ref="X16:Y16" si="8">SUM(X17:X18)</f>
        <v>0.2859110369555688</v>
      </c>
      <c r="Y16" s="130">
        <f t="shared" si="8"/>
        <v>0.27331979795260375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9.4550307799639941E-3</v>
      </c>
      <c r="D17" s="132">
        <v>0</v>
      </c>
      <c r="E17" s="132">
        <v>2.543353173412052E-3</v>
      </c>
      <c r="F17" s="132">
        <v>0</v>
      </c>
      <c r="G17" s="132">
        <v>1.1920557048777147E-2</v>
      </c>
      <c r="H17" s="132">
        <v>7.7855708408725655E-3</v>
      </c>
      <c r="I17" s="132">
        <v>4.7615832371131137E-3</v>
      </c>
      <c r="J17" s="132">
        <v>9.9598101006778111E-3</v>
      </c>
      <c r="K17" s="132">
        <v>6.919389728868979E-4</v>
      </c>
      <c r="L17" s="132">
        <v>7.5829231689508291E-3</v>
      </c>
      <c r="M17" s="132">
        <v>6.0889955346117939E-3</v>
      </c>
      <c r="N17" s="132">
        <v>3.5894878869470411E-3</v>
      </c>
      <c r="O17" s="132">
        <v>1.0115687496670493E-2</v>
      </c>
      <c r="P17" s="132">
        <v>1.5460990575527618E-2</v>
      </c>
      <c r="Q17" s="132">
        <v>1.5587936340418291E-2</v>
      </c>
      <c r="R17" s="132">
        <v>3.3084787775576413E-2</v>
      </c>
      <c r="S17" s="132">
        <v>1.4957345518101005E-2</v>
      </c>
      <c r="T17" s="132">
        <v>2.4462759297753683E-2</v>
      </c>
      <c r="U17" s="132">
        <v>1.7242986683100592E-2</v>
      </c>
      <c r="V17" s="132">
        <v>2.1099485394326073E-2</v>
      </c>
      <c r="W17" s="132">
        <v>1.7162555131451821E-2</v>
      </c>
      <c r="X17" s="132">
        <v>1.5437776394915215E-2</v>
      </c>
      <c r="Y17" s="132">
        <v>1.6443469181680156E-2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0.69782182671985793</v>
      </c>
      <c r="D18" s="132">
        <v>0.86090985941715192</v>
      </c>
      <c r="E18" s="132">
        <v>0.78388658372356956</v>
      </c>
      <c r="F18" s="132">
        <v>0.76490848922659238</v>
      </c>
      <c r="G18" s="132">
        <v>0.74691988020050182</v>
      </c>
      <c r="H18" s="132">
        <v>0.86025431858432411</v>
      </c>
      <c r="I18" s="132">
        <v>1.123129414133444</v>
      </c>
      <c r="J18" s="132">
        <v>1.0182808864037278</v>
      </c>
      <c r="K18" s="132">
        <v>0.11124729985039122</v>
      </c>
      <c r="L18" s="132">
        <v>0.71448605658937792</v>
      </c>
      <c r="M18" s="132">
        <v>0.36129435587567788</v>
      </c>
      <c r="N18" s="132">
        <v>0.38333773622666545</v>
      </c>
      <c r="O18" s="132">
        <v>0.31552155210114607</v>
      </c>
      <c r="P18" s="132">
        <v>0.28950373905916144</v>
      </c>
      <c r="Q18" s="132">
        <v>0.40412771611529547</v>
      </c>
      <c r="R18" s="132">
        <v>0.3360501020005508</v>
      </c>
      <c r="S18" s="132">
        <v>0.36854477195070012</v>
      </c>
      <c r="T18" s="132">
        <v>0.38529880762557156</v>
      </c>
      <c r="U18" s="132">
        <v>0.39668410897897599</v>
      </c>
      <c r="V18" s="132">
        <v>0.31756899118626503</v>
      </c>
      <c r="W18" s="132">
        <v>0.2873803851038772</v>
      </c>
      <c r="X18" s="132">
        <v>0.27047326056065357</v>
      </c>
      <c r="Y18" s="132">
        <v>0.25687632877092359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2.4753664417411976</v>
      </c>
      <c r="D19" s="130">
        <f t="shared" si="9"/>
        <v>2.9132163482626479</v>
      </c>
      <c r="E19" s="130">
        <f t="shared" si="9"/>
        <v>2.9932863956292808</v>
      </c>
      <c r="F19" s="130">
        <f t="shared" si="9"/>
        <v>3.0299603055319007</v>
      </c>
      <c r="G19" s="130">
        <f t="shared" si="9"/>
        <v>4.4013178335807712</v>
      </c>
      <c r="H19" s="130">
        <f t="shared" si="9"/>
        <v>5.6288353179583295</v>
      </c>
      <c r="I19" s="130">
        <f t="shared" si="9"/>
        <v>7.0820368493286452</v>
      </c>
      <c r="J19" s="130">
        <f t="shared" si="9"/>
        <v>4.5449123687826853</v>
      </c>
      <c r="K19" s="130">
        <f t="shared" si="9"/>
        <v>0.50888304308246313</v>
      </c>
      <c r="L19" s="130">
        <f t="shared" si="9"/>
        <v>3.1044741414849915</v>
      </c>
      <c r="M19" s="130">
        <f t="shared" si="9"/>
        <v>1.7100315831783062</v>
      </c>
      <c r="N19" s="130">
        <f t="shared" si="9"/>
        <v>1.8120438707651678</v>
      </c>
      <c r="O19" s="130">
        <f t="shared" si="9"/>
        <v>1.6150127927393765</v>
      </c>
      <c r="P19" s="130">
        <f t="shared" si="9"/>
        <v>1.4945851242952888</v>
      </c>
      <c r="Q19" s="130">
        <f t="shared" si="9"/>
        <v>1.8189418880793413</v>
      </c>
      <c r="R19" s="130">
        <f t="shared" ref="R19:W19" si="10">SUM(R20:R27)</f>
        <v>1.9550884461062816</v>
      </c>
      <c r="S19" s="130">
        <f t="shared" si="10"/>
        <v>2.0025714277002105</v>
      </c>
      <c r="T19" s="130">
        <f t="shared" si="10"/>
        <v>2.1007568331800663</v>
      </c>
      <c r="U19" s="130">
        <f t="shared" si="10"/>
        <v>2.0860743783279689</v>
      </c>
      <c r="V19" s="130">
        <f t="shared" si="10"/>
        <v>2.0038213800235765</v>
      </c>
      <c r="W19" s="130">
        <f t="shared" si="10"/>
        <v>1.8604748883109798</v>
      </c>
      <c r="X19" s="130">
        <f t="shared" ref="X19:Y19" si="11">SUM(X20:X27)</f>
        <v>1.8499790508392449</v>
      </c>
      <c r="Y19" s="130">
        <f t="shared" si="11"/>
        <v>1.7099905229686434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0.48138829517254234</v>
      </c>
      <c r="I20" s="132">
        <v>1.1167154883496415</v>
      </c>
      <c r="J20" s="132">
        <v>0.87112943160652057</v>
      </c>
      <c r="K20" s="132">
        <v>9.2509463305606013E-2</v>
      </c>
      <c r="L20" s="132">
        <v>0.21523799128374899</v>
      </c>
      <c r="M20" s="132">
        <v>0.10353439455955309</v>
      </c>
      <c r="N20" s="132">
        <v>0.10376328067588306</v>
      </c>
      <c r="O20" s="132">
        <v>9.9826926759483209E-2</v>
      </c>
      <c r="P20" s="132">
        <v>1.173180100871542E-3</v>
      </c>
      <c r="Q20" s="132">
        <v>0</v>
      </c>
      <c r="R20" s="132">
        <v>0</v>
      </c>
      <c r="S20" s="132">
        <v>0</v>
      </c>
      <c r="T20" s="132">
        <v>0</v>
      </c>
      <c r="U20" s="132">
        <v>1.9479313110357381E-2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1.821346644482869</v>
      </c>
      <c r="D23" s="132">
        <v>1.3546082448358987</v>
      </c>
      <c r="E23" s="132">
        <v>0.89835306404115611</v>
      </c>
      <c r="F23" s="132">
        <v>0.78715999063084297</v>
      </c>
      <c r="G23" s="132">
        <v>0.86802985902859864</v>
      </c>
      <c r="H23" s="132">
        <v>1.2755000901290652</v>
      </c>
      <c r="I23" s="132">
        <v>1.636706755912837</v>
      </c>
      <c r="J23" s="132">
        <v>1.0680798520952866</v>
      </c>
      <c r="K23" s="132">
        <v>0.12702082404003337</v>
      </c>
      <c r="L23" s="132">
        <v>0.9704938173416735</v>
      </c>
      <c r="M23" s="132">
        <v>0.71105814409184109</v>
      </c>
      <c r="N23" s="132">
        <v>1.129131758401742</v>
      </c>
      <c r="O23" s="132">
        <v>0.95292858490061505</v>
      </c>
      <c r="P23" s="132">
        <v>0.73908238241647595</v>
      </c>
      <c r="Q23" s="132">
        <v>0.62390111070536181</v>
      </c>
      <c r="R23" s="132">
        <v>0.54074669924717789</v>
      </c>
      <c r="S23" s="132">
        <v>0.3004357110795543</v>
      </c>
      <c r="T23" s="132">
        <v>0</v>
      </c>
      <c r="U23" s="132">
        <v>0</v>
      </c>
      <c r="V23" s="132">
        <v>0.13957059850458098</v>
      </c>
      <c r="W23" s="132">
        <v>0.53681516868556933</v>
      </c>
      <c r="X23" s="132">
        <v>0.89417344466872095</v>
      </c>
      <c r="Y23" s="132">
        <v>0.7713538867508648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0.65401979725832837</v>
      </c>
      <c r="D25" s="132">
        <v>1.3029792872085268</v>
      </c>
      <c r="E25" s="132">
        <v>0.59815429112153051</v>
      </c>
      <c r="F25" s="132">
        <v>0.4319487086277346</v>
      </c>
      <c r="G25" s="132">
        <v>0.10826892094859338</v>
      </c>
      <c r="H25" s="132">
        <v>0.18762196052671529</v>
      </c>
      <c r="I25" s="132">
        <v>0</v>
      </c>
      <c r="J25" s="132">
        <v>0.11060068195744684</v>
      </c>
      <c r="K25" s="132">
        <v>4.4364315076842846E-2</v>
      </c>
      <c r="L25" s="132">
        <v>0.17871219514791351</v>
      </c>
      <c r="M25" s="132">
        <v>8.7128628568662367E-2</v>
      </c>
      <c r="N25" s="132">
        <v>5.9511361569867735E-2</v>
      </c>
      <c r="O25" s="132">
        <v>6.7383164062395029E-2</v>
      </c>
      <c r="P25" s="132">
        <v>5.6261220184289487E-2</v>
      </c>
      <c r="Q25" s="132">
        <v>0.10092603934088303</v>
      </c>
      <c r="R25" s="132">
        <v>0.26968318876306457</v>
      </c>
      <c r="S25" s="132">
        <v>0.31398651354028073</v>
      </c>
      <c r="T25" s="132">
        <v>0.2189664504569139</v>
      </c>
      <c r="U25" s="132">
        <v>1.0093063681228953E-2</v>
      </c>
      <c r="V25" s="132">
        <v>0</v>
      </c>
      <c r="W25" s="132">
        <v>0</v>
      </c>
      <c r="X25" s="132">
        <v>0.11308559332079721</v>
      </c>
      <c r="Y25" s="132">
        <v>6.074240912573025E-2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0.25562881621822209</v>
      </c>
      <c r="E26" s="65">
        <v>1.4967790404665942</v>
      </c>
      <c r="F26" s="65">
        <v>1.8108516062733231</v>
      </c>
      <c r="G26" s="65">
        <v>3.4018832840345752</v>
      </c>
      <c r="H26" s="65">
        <v>3.6843249721300069</v>
      </c>
      <c r="I26" s="65">
        <v>4.3283042389141091</v>
      </c>
      <c r="J26" s="65">
        <v>2.4949646757345425</v>
      </c>
      <c r="K26" s="65">
        <v>0.24498844065998085</v>
      </c>
      <c r="L26" s="65">
        <v>1.3320462413921126</v>
      </c>
      <c r="M26" s="65">
        <v>0.74891012834655291</v>
      </c>
      <c r="N26" s="65">
        <v>0.51153948124865123</v>
      </c>
      <c r="O26" s="65">
        <v>0.49487411701688344</v>
      </c>
      <c r="P26" s="65">
        <v>0.19507444867403753</v>
      </c>
      <c r="Q26" s="65">
        <v>1.0941147380330964</v>
      </c>
      <c r="R26" s="65">
        <v>1.1076896776940393</v>
      </c>
      <c r="S26" s="65">
        <v>1.3881492030803748</v>
      </c>
      <c r="T26" s="65">
        <v>1.8147886470290111</v>
      </c>
      <c r="U26" s="65">
        <v>2.0407561281707141</v>
      </c>
      <c r="V26" s="65">
        <v>1.7661286399653955</v>
      </c>
      <c r="W26" s="65">
        <v>1.2456569361233638</v>
      </c>
      <c r="X26" s="65">
        <v>0.84272001284972653</v>
      </c>
      <c r="Y26" s="65">
        <v>0.31479289082173639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2.3135769569004191E-2</v>
      </c>
      <c r="H27" s="147">
        <v>0</v>
      </c>
      <c r="I27" s="147">
        <v>3.1036615205825798E-4</v>
      </c>
      <c r="J27" s="147">
        <v>1.3772738888861248E-4</v>
      </c>
      <c r="K27" s="147">
        <v>0</v>
      </c>
      <c r="L27" s="147">
        <v>0.40798389631954296</v>
      </c>
      <c r="M27" s="147">
        <v>5.9400287611696731E-2</v>
      </c>
      <c r="N27" s="147">
        <v>8.0979888690239678E-3</v>
      </c>
      <c r="O27" s="147">
        <v>0</v>
      </c>
      <c r="P27" s="147">
        <v>0.50299389291961427</v>
      </c>
      <c r="Q27" s="147">
        <v>0</v>
      </c>
      <c r="R27" s="147">
        <v>3.6968880401999846E-2</v>
      </c>
      <c r="S27" s="147">
        <v>2.5319991406737518E-16</v>
      </c>
      <c r="T27" s="147">
        <v>6.7001735694141543E-2</v>
      </c>
      <c r="U27" s="147">
        <v>1.5745873365668562E-2</v>
      </c>
      <c r="V27" s="147">
        <v>9.8122141553599967E-2</v>
      </c>
      <c r="W27" s="147">
        <v>7.8002783502046688E-2</v>
      </c>
      <c r="X27" s="147">
        <v>2.5475107725495944E-16</v>
      </c>
      <c r="Y27" s="147">
        <v>0.56310133627031189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1.9532443642026973</v>
      </c>
      <c r="D29" s="130">
        <f t="shared" si="12"/>
        <v>3.3992177858311132</v>
      </c>
      <c r="E29" s="130">
        <f t="shared" si="12"/>
        <v>2.6340052118972963</v>
      </c>
      <c r="F29" s="130">
        <f t="shared" si="12"/>
        <v>2.9913947377926871</v>
      </c>
      <c r="G29" s="130">
        <f t="shared" si="12"/>
        <v>4.0794668102395129</v>
      </c>
      <c r="H29" s="130">
        <f t="shared" si="12"/>
        <v>5.1353165154393858</v>
      </c>
      <c r="I29" s="130">
        <f t="shared" si="12"/>
        <v>6.5879439815913035</v>
      </c>
      <c r="J29" s="130">
        <f t="shared" si="12"/>
        <v>4.3131256971738052</v>
      </c>
      <c r="K29" s="130">
        <f t="shared" si="12"/>
        <v>0.49027881871122281</v>
      </c>
      <c r="L29" s="130">
        <f t="shared" si="12"/>
        <v>3.0683069449281177</v>
      </c>
      <c r="M29" s="130">
        <f t="shared" si="12"/>
        <v>1.6515592073171368</v>
      </c>
      <c r="N29" s="130">
        <f t="shared" si="12"/>
        <v>1.8599692692663385</v>
      </c>
      <c r="O29" s="130">
        <f t="shared" si="12"/>
        <v>1.7808566034037212</v>
      </c>
      <c r="P29" s="130">
        <f t="shared" si="12"/>
        <v>1.7627079449279976</v>
      </c>
      <c r="Q29" s="130">
        <f t="shared" si="12"/>
        <v>2.0383268673122781</v>
      </c>
      <c r="R29" s="130">
        <f t="shared" ref="R29:W29" si="13">SUM(R30:R33)</f>
        <v>1.9669790969149639</v>
      </c>
      <c r="S29" s="130">
        <f t="shared" si="13"/>
        <v>1.9306818257958445</v>
      </c>
      <c r="T29" s="130">
        <f t="shared" si="13"/>
        <v>2.1853499550467732</v>
      </c>
      <c r="U29" s="130">
        <f t="shared" si="13"/>
        <v>2.2305833218662179</v>
      </c>
      <c r="V29" s="130">
        <f t="shared" si="13"/>
        <v>1.9604164811941573</v>
      </c>
      <c r="W29" s="130">
        <f t="shared" si="13"/>
        <v>2.1629308278472443</v>
      </c>
      <c r="X29" s="130">
        <f t="shared" ref="X29:Y29" si="14">SUM(X30:X33)</f>
        <v>2.2284143518217348</v>
      </c>
      <c r="Y29" s="130">
        <f t="shared" si="14"/>
        <v>1.9908177289500062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1.3174216553266065</v>
      </c>
      <c r="D30" s="132">
        <v>2.9004504284135879</v>
      </c>
      <c r="E30" s="132">
        <v>0.93409117975807732</v>
      </c>
      <c r="F30" s="132">
        <v>0.78341028518521505</v>
      </c>
      <c r="G30" s="132">
        <v>0</v>
      </c>
      <c r="H30" s="132">
        <v>0</v>
      </c>
      <c r="I30" s="132">
        <v>0</v>
      </c>
      <c r="J30" s="132">
        <v>0</v>
      </c>
      <c r="K30" s="132">
        <v>5.7013838944925926E-2</v>
      </c>
      <c r="L30" s="132">
        <v>0.64479132904066538</v>
      </c>
      <c r="M30" s="132">
        <v>0</v>
      </c>
      <c r="N30" s="132">
        <v>0.36819681182200653</v>
      </c>
      <c r="O30" s="132">
        <v>0.32520736641445547</v>
      </c>
      <c r="P30" s="132">
        <v>0.2591414433171732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4.0185911170227497E-2</v>
      </c>
      <c r="X30" s="132">
        <v>0.19398068393387416</v>
      </c>
      <c r="Y30" s="132">
        <v>0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0.63582270887609083</v>
      </c>
      <c r="D31" s="132">
        <v>0.2795973492194756</v>
      </c>
      <c r="E31" s="132">
        <v>0.41797018354726606</v>
      </c>
      <c r="F31" s="132">
        <v>1.1927661507731715</v>
      </c>
      <c r="G31" s="132">
        <v>1.6488132783598308</v>
      </c>
      <c r="H31" s="132">
        <v>2.5906132647811062</v>
      </c>
      <c r="I31" s="132">
        <v>2.8095409366977147</v>
      </c>
      <c r="J31" s="132">
        <v>1.898880221411027</v>
      </c>
      <c r="K31" s="132">
        <v>0.23407217661750551</v>
      </c>
      <c r="L31" s="132">
        <v>0.92623989573915588</v>
      </c>
      <c r="M31" s="132">
        <v>0.45413602427310068</v>
      </c>
      <c r="N31" s="132">
        <v>1.3065557375478722</v>
      </c>
      <c r="O31" s="132">
        <v>1.3035480563115569</v>
      </c>
      <c r="P31" s="132">
        <v>1.1725561470031287</v>
      </c>
      <c r="Q31" s="132">
        <v>1.2492896518160772</v>
      </c>
      <c r="R31" s="132">
        <v>0.87379196715555452</v>
      </c>
      <c r="S31" s="132">
        <v>0.41120359688555741</v>
      </c>
      <c r="T31" s="132">
        <v>0.68435991119186312</v>
      </c>
      <c r="U31" s="132">
        <v>0.82511930274057965</v>
      </c>
      <c r="V31" s="132">
        <v>0.9338977928175406</v>
      </c>
      <c r="W31" s="132">
        <v>1.1324492513727862</v>
      </c>
      <c r="X31" s="132">
        <v>1.372690178486935</v>
      </c>
      <c r="Y31" s="132">
        <v>1.2740811628093329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0.21917000819804969</v>
      </c>
      <c r="E33" s="68">
        <v>1.2819438485919528</v>
      </c>
      <c r="F33" s="68">
        <v>1.0152183018343004</v>
      </c>
      <c r="G33" s="68">
        <v>2.430653531879682</v>
      </c>
      <c r="H33" s="68">
        <v>2.5447032506582796</v>
      </c>
      <c r="I33" s="68">
        <v>3.7784030448935884</v>
      </c>
      <c r="J33" s="68">
        <v>2.4142454757627783</v>
      </c>
      <c r="K33" s="68">
        <v>0.1991928031487914</v>
      </c>
      <c r="L33" s="68">
        <v>1.4972757201482965</v>
      </c>
      <c r="M33" s="68">
        <v>1.1974231830440361</v>
      </c>
      <c r="N33" s="68">
        <v>0.18521671989645971</v>
      </c>
      <c r="O33" s="68">
        <v>0.15210118067770881</v>
      </c>
      <c r="P33" s="68">
        <v>0.33101035460769562</v>
      </c>
      <c r="Q33" s="68">
        <v>0.78903721549620087</v>
      </c>
      <c r="R33" s="68">
        <v>1.0931871297594093</v>
      </c>
      <c r="S33" s="68">
        <v>1.5194782289102871</v>
      </c>
      <c r="T33" s="68">
        <v>1.50099004385491</v>
      </c>
      <c r="U33" s="68">
        <v>1.4054640191256382</v>
      </c>
      <c r="V33" s="68">
        <v>1.0265186883766169</v>
      </c>
      <c r="W33" s="68">
        <v>0.99029566530423097</v>
      </c>
      <c r="X33" s="68">
        <v>0.66174348940092564</v>
      </c>
      <c r="Y33" s="68">
        <v>0.71673656614067327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23.231268266068412</v>
      </c>
      <c r="D3" s="125">
        <f t="shared" si="0"/>
        <v>27.00922441018837</v>
      </c>
      <c r="E3" s="125">
        <f t="shared" si="0"/>
        <v>21.265626897847305</v>
      </c>
      <c r="F3" s="125">
        <f t="shared" si="0"/>
        <v>20.92363083184043</v>
      </c>
      <c r="G3" s="125">
        <f t="shared" si="0"/>
        <v>41.480585222306836</v>
      </c>
      <c r="H3" s="125">
        <f t="shared" si="0"/>
        <v>49.325109278473263</v>
      </c>
      <c r="I3" s="125">
        <f t="shared" si="0"/>
        <v>53.542602110518771</v>
      </c>
      <c r="J3" s="125">
        <f t="shared" si="0"/>
        <v>35.662880472138575</v>
      </c>
      <c r="K3" s="125">
        <f t="shared" si="0"/>
        <v>4.9671599158145439</v>
      </c>
      <c r="L3" s="125">
        <f t="shared" si="0"/>
        <v>27.394819748331624</v>
      </c>
      <c r="M3" s="125">
        <f t="shared" si="0"/>
        <v>11.522020252130346</v>
      </c>
      <c r="N3" s="125">
        <f t="shared" si="0"/>
        <v>11.248186735016869</v>
      </c>
      <c r="O3" s="125">
        <f t="shared" si="0"/>
        <v>10.774153726663727</v>
      </c>
      <c r="P3" s="125">
        <f t="shared" si="0"/>
        <v>8.1708178129971927</v>
      </c>
      <c r="Q3" s="125">
        <f t="shared" si="0"/>
        <v>10.51327332965695</v>
      </c>
      <c r="R3" s="125">
        <f t="shared" ref="R3:W3" si="1">SUM(R4,R16,R19,R29)</f>
        <v>10.421766172162265</v>
      </c>
      <c r="S3" s="125">
        <f t="shared" si="1"/>
        <v>11.340493177472375</v>
      </c>
      <c r="T3" s="125">
        <f t="shared" si="1"/>
        <v>11.009776100535111</v>
      </c>
      <c r="U3" s="125">
        <f t="shared" si="1"/>
        <v>9.9240877803166221</v>
      </c>
      <c r="V3" s="125">
        <f t="shared" si="1"/>
        <v>8.4055061545638274</v>
      </c>
      <c r="W3" s="125">
        <f t="shared" si="1"/>
        <v>8.3054631596748401</v>
      </c>
      <c r="X3" s="125">
        <f t="shared" ref="X3:Y3" si="2">SUM(X4,X16,X19,X29)</f>
        <v>7.1539850788432178</v>
      </c>
      <c r="Y3" s="125">
        <f t="shared" si="2"/>
        <v>6.3690834646547438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18.918324012491077</v>
      </c>
      <c r="D4" s="130">
        <f t="shared" si="3"/>
        <v>20.89255302369012</v>
      </c>
      <c r="E4" s="130">
        <f t="shared" si="3"/>
        <v>15.498824604009309</v>
      </c>
      <c r="F4" s="130">
        <f t="shared" si="3"/>
        <v>14.936338423511028</v>
      </c>
      <c r="G4" s="130">
        <f t="shared" si="3"/>
        <v>33.593632155794005</v>
      </c>
      <c r="H4" s="130">
        <f t="shared" si="3"/>
        <v>39.583001262976723</v>
      </c>
      <c r="I4" s="130">
        <f t="shared" si="3"/>
        <v>40.8826692866012</v>
      </c>
      <c r="J4" s="130">
        <f t="shared" si="3"/>
        <v>26.513577457769628</v>
      </c>
      <c r="K4" s="130">
        <f t="shared" si="3"/>
        <v>3.9436961188715642</v>
      </c>
      <c r="L4" s="130">
        <f t="shared" si="3"/>
        <v>20.722640378551979</v>
      </c>
      <c r="M4" s="130">
        <f t="shared" si="3"/>
        <v>7.8887181641126363</v>
      </c>
      <c r="N4" s="130">
        <f t="shared" si="3"/>
        <v>7.5190945084916203</v>
      </c>
      <c r="O4" s="130">
        <f t="shared" si="3"/>
        <v>7.3627955120052313</v>
      </c>
      <c r="P4" s="130">
        <f t="shared" si="3"/>
        <v>4.6710826557587737</v>
      </c>
      <c r="Q4" s="130">
        <f t="shared" si="3"/>
        <v>6.0805147857951942</v>
      </c>
      <c r="R4" s="130">
        <f t="shared" ref="R4:W4" si="4">SUM(R5:R15)</f>
        <v>5.9846608000801176</v>
      </c>
      <c r="S4" s="130">
        <f t="shared" si="4"/>
        <v>6.605020196179626</v>
      </c>
      <c r="T4" s="130">
        <f t="shared" si="4"/>
        <v>5.8566401881772698</v>
      </c>
      <c r="U4" s="130">
        <f t="shared" si="4"/>
        <v>4.6874795296321965</v>
      </c>
      <c r="V4" s="130">
        <f t="shared" si="4"/>
        <v>3.7688288481965562</v>
      </c>
      <c r="W4" s="130">
        <f t="shared" si="4"/>
        <v>3.7933551870391398</v>
      </c>
      <c r="X4" s="130">
        <f t="shared" ref="X4:Y4" si="5">SUM(X5:X15)</f>
        <v>2.7965715151797208</v>
      </c>
      <c r="Y4" s="130">
        <f t="shared" si="5"/>
        <v>2.2507754186247402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0.45865870950601545</v>
      </c>
      <c r="D5" s="132">
        <v>0.55440158951227381</v>
      </c>
      <c r="E5" s="132">
        <v>0</v>
      </c>
      <c r="F5" s="132">
        <v>0</v>
      </c>
      <c r="G5" s="132">
        <v>3.2222663198607726E-2</v>
      </c>
      <c r="H5" s="132">
        <v>2.3494063193941623</v>
      </c>
      <c r="I5" s="132">
        <v>18.263835175113247</v>
      </c>
      <c r="J5" s="132">
        <v>17.964828645844907</v>
      </c>
      <c r="K5" s="132">
        <v>2.270093100713805</v>
      </c>
      <c r="L5" s="132">
        <v>3.208559197191255</v>
      </c>
      <c r="M5" s="132">
        <v>0.33197029141646839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9.4637305676305822E-2</v>
      </c>
      <c r="T5" s="132">
        <v>0.60015012240078047</v>
      </c>
      <c r="U5" s="132">
        <v>0.15244898510811511</v>
      </c>
      <c r="V5" s="132">
        <v>0</v>
      </c>
      <c r="W5" s="132">
        <v>0</v>
      </c>
      <c r="X5" s="132">
        <v>0</v>
      </c>
      <c r="Y5" s="132">
        <v>0.20848058125995139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5.6416468842653403E-2</v>
      </c>
      <c r="D7" s="132">
        <v>0</v>
      </c>
      <c r="E7" s="132">
        <v>3.4710291594388973E-2</v>
      </c>
      <c r="F7" s="132">
        <v>0.41679336375196635</v>
      </c>
      <c r="G7" s="132">
        <v>0.11118380157329191</v>
      </c>
      <c r="H7" s="132">
        <v>0</v>
      </c>
      <c r="I7" s="132">
        <v>0</v>
      </c>
      <c r="J7" s="132">
        <v>0</v>
      </c>
      <c r="K7" s="132">
        <v>0</v>
      </c>
      <c r="L7" s="132">
        <v>0</v>
      </c>
      <c r="M7" s="132">
        <v>0</v>
      </c>
      <c r="N7" s="132">
        <v>0</v>
      </c>
      <c r="O7" s="132">
        <v>7.4846824387600319E-2</v>
      </c>
      <c r="P7" s="132">
        <v>0.29678548858074949</v>
      </c>
      <c r="Q7" s="132">
        <v>0.10696796496594606</v>
      </c>
      <c r="R7" s="132">
        <v>0</v>
      </c>
      <c r="S7" s="132">
        <v>0</v>
      </c>
      <c r="T7" s="132">
        <v>0</v>
      </c>
      <c r="U7" s="132">
        <v>0</v>
      </c>
      <c r="V7" s="132">
        <v>0</v>
      </c>
      <c r="W7" s="132">
        <v>0</v>
      </c>
      <c r="X7" s="132">
        <v>0</v>
      </c>
      <c r="Y7" s="132">
        <v>0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1.1808804898942129E-3</v>
      </c>
      <c r="D8" s="132">
        <v>3.1431209960052324E-3</v>
      </c>
      <c r="E8" s="132">
        <v>5.8984174414442791E-3</v>
      </c>
      <c r="F8" s="132">
        <v>5.8089365938100521E-3</v>
      </c>
      <c r="G8" s="132">
        <v>2.2456244736619403E-3</v>
      </c>
      <c r="H8" s="132">
        <v>2.3325815799185913E-3</v>
      </c>
      <c r="I8" s="132">
        <v>3.2432096452574377E-3</v>
      </c>
      <c r="J8" s="132">
        <v>2.8197819155222998E-3</v>
      </c>
      <c r="K8" s="132">
        <v>6.6834625376701999E-4</v>
      </c>
      <c r="L8" s="132">
        <v>1.0108569059544117E-2</v>
      </c>
      <c r="M8" s="132">
        <v>9.5300017918719029E-3</v>
      </c>
      <c r="N8" s="132">
        <v>6.0966396652161019E-3</v>
      </c>
      <c r="O8" s="132">
        <v>1.1940711818140669E-2</v>
      </c>
      <c r="P8" s="132">
        <v>1.9965528101292672E-2</v>
      </c>
      <c r="Q8" s="132">
        <v>1.0609426032854362E-2</v>
      </c>
      <c r="R8" s="132">
        <v>1.893221633144426E-3</v>
      </c>
      <c r="S8" s="132">
        <v>2.243185108919308E-3</v>
      </c>
      <c r="T8" s="132">
        <v>5.5137091381890421E-3</v>
      </c>
      <c r="U8" s="132">
        <v>7.458089800053685E-3</v>
      </c>
      <c r="V8" s="132">
        <v>1.0363889745374224E-2</v>
      </c>
      <c r="W8" s="132">
        <v>5.2141287075163885E-3</v>
      </c>
      <c r="X8" s="132">
        <v>5.5583487912584393E-3</v>
      </c>
      <c r="Y8" s="132">
        <v>1.0362964990890686E-2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0</v>
      </c>
      <c r="D9" s="132">
        <v>0</v>
      </c>
      <c r="E9" s="132">
        <v>0.43251043857952109</v>
      </c>
      <c r="F9" s="132">
        <v>6.6233233787867025</v>
      </c>
      <c r="G9" s="132">
        <v>30.847744552342288</v>
      </c>
      <c r="H9" s="132">
        <v>36.464853257131182</v>
      </c>
      <c r="I9" s="132">
        <v>21.862448613014074</v>
      </c>
      <c r="J9" s="132">
        <v>1.1736211661537987</v>
      </c>
      <c r="K9" s="132">
        <v>0</v>
      </c>
      <c r="L9" s="132">
        <v>1.1966332663371189</v>
      </c>
      <c r="M9" s="132">
        <v>1.9507386672784568</v>
      </c>
      <c r="N9" s="132">
        <v>6.4611189192939236</v>
      </c>
      <c r="O9" s="132">
        <v>4.2919106479631211</v>
      </c>
      <c r="P9" s="132">
        <v>1.7258522332417008</v>
      </c>
      <c r="Q9" s="132">
        <v>1.1433046573014476</v>
      </c>
      <c r="R9" s="132">
        <v>2.5478720843636258</v>
      </c>
      <c r="S9" s="132">
        <v>1.8566497030467684</v>
      </c>
      <c r="T9" s="132">
        <v>2.2919962891393477</v>
      </c>
      <c r="U9" s="132">
        <v>2.8762431342051502</v>
      </c>
      <c r="V9" s="132">
        <v>2.3103121812306138</v>
      </c>
      <c r="W9" s="132">
        <v>2.6646365058634172</v>
      </c>
      <c r="X9" s="132">
        <v>1.5745166401158075</v>
      </c>
      <c r="Y9" s="132">
        <v>0.85356681313580718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3.4534346132452098E-2</v>
      </c>
      <c r="I10" s="132">
        <v>8.8768404387763927E-2</v>
      </c>
      <c r="J10" s="132">
        <v>1.2337016925201907</v>
      </c>
      <c r="K10" s="132">
        <v>8.245768528104841E-2</v>
      </c>
      <c r="L10" s="132">
        <v>0.3554989089193385</v>
      </c>
      <c r="M10" s="132">
        <v>0.10993326537575443</v>
      </c>
      <c r="N10" s="132">
        <v>9.2414138358403231E-2</v>
      </c>
      <c r="O10" s="132">
        <v>8.7668577701071518E-2</v>
      </c>
      <c r="P10" s="132">
        <v>0.41376030588800755</v>
      </c>
      <c r="Q10" s="132">
        <v>0.11198332797855151</v>
      </c>
      <c r="R10" s="132">
        <v>4.4983086912439324E-2</v>
      </c>
      <c r="S10" s="132">
        <v>0.28022254472356739</v>
      </c>
      <c r="T10" s="132">
        <v>0.37212709471188965</v>
      </c>
      <c r="U10" s="132">
        <v>0.41135978095974923</v>
      </c>
      <c r="V10" s="132">
        <v>8.7056715110926344E-2</v>
      </c>
      <c r="W10" s="132">
        <v>7.6628235515547344E-2</v>
      </c>
      <c r="X10" s="132">
        <v>3.0122917693392207E-2</v>
      </c>
      <c r="Y10" s="132">
        <v>3.8858115932116508E-2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7.3327158118348626E-2</v>
      </c>
      <c r="D11" s="132">
        <v>3.0777303059766826E-2</v>
      </c>
      <c r="E11" s="132">
        <v>4.0685621044061239E-2</v>
      </c>
      <c r="F11" s="132">
        <v>1.1438091817630992E-2</v>
      </c>
      <c r="G11" s="132">
        <v>1.4082585359213248E-2</v>
      </c>
      <c r="H11" s="132">
        <v>3.0419106285154766E-2</v>
      </c>
      <c r="I11" s="132">
        <v>3.0802559071433408E-2</v>
      </c>
      <c r="J11" s="132">
        <v>1.4858771655882194E-2</v>
      </c>
      <c r="K11" s="132">
        <v>5.263306361284805E-4</v>
      </c>
      <c r="L11" s="132">
        <v>9.0649268959767174E-3</v>
      </c>
      <c r="M11" s="132">
        <v>8.5812158942878535E-3</v>
      </c>
      <c r="N11" s="132">
        <v>3.8446526997141994E-3</v>
      </c>
      <c r="O11" s="132">
        <v>6.9263057883600411E-3</v>
      </c>
      <c r="P11" s="132">
        <v>1.3380977204261374E-2</v>
      </c>
      <c r="Q11" s="132">
        <v>1.1654426834523635E-2</v>
      </c>
      <c r="R11" s="132">
        <v>1.0954455925096489E-2</v>
      </c>
      <c r="S11" s="132">
        <v>7.7650725799610623E-3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3.4803930712701607</v>
      </c>
      <c r="D12" s="132">
        <v>8.3512794711065101</v>
      </c>
      <c r="E12" s="132">
        <v>8.2521092691650271</v>
      </c>
      <c r="F12" s="132">
        <v>7.6675604101455557</v>
      </c>
      <c r="G12" s="132">
        <v>1.9956775766079993</v>
      </c>
      <c r="H12" s="132">
        <v>0</v>
      </c>
      <c r="I12" s="132">
        <v>0</v>
      </c>
      <c r="J12" s="132">
        <v>2.1897873352327677</v>
      </c>
      <c r="K12" s="132">
        <v>0.59250233153572496</v>
      </c>
      <c r="L12" s="132">
        <v>5.020672985918849</v>
      </c>
      <c r="M12" s="132">
        <v>1.0328296404844752</v>
      </c>
      <c r="N12" s="132">
        <v>0</v>
      </c>
      <c r="O12" s="132">
        <v>0</v>
      </c>
      <c r="P12" s="132">
        <v>0</v>
      </c>
      <c r="Q12" s="132">
        <v>0</v>
      </c>
      <c r="R12" s="132">
        <v>0.71452563398810776</v>
      </c>
      <c r="S12" s="132">
        <v>1.5722697447835934</v>
      </c>
      <c r="T12" s="132">
        <v>1.8499024269785265</v>
      </c>
      <c r="U12" s="132">
        <v>0.96579223534374303</v>
      </c>
      <c r="V12" s="132">
        <v>0.99401130052376896</v>
      </c>
      <c r="W12" s="132">
        <v>0.83020369246743542</v>
      </c>
      <c r="X12" s="132">
        <v>0.94236721646013444</v>
      </c>
      <c r="Y12" s="132">
        <v>0.80130916921449968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1.2301498366456441E-2</v>
      </c>
      <c r="D13" s="132">
        <v>2.5235855379340071E-2</v>
      </c>
      <c r="E13" s="132">
        <v>3.3148964281307022E-2</v>
      </c>
      <c r="F13" s="132">
        <v>4.5642125543291119E-2</v>
      </c>
      <c r="G13" s="132">
        <v>1.7996901403836155E-2</v>
      </c>
      <c r="H13" s="132">
        <v>2.7335783537609615E-2</v>
      </c>
      <c r="I13" s="132">
        <v>8.6171657177408378E-2</v>
      </c>
      <c r="J13" s="132">
        <v>8.3703604992857089E-2</v>
      </c>
      <c r="K13" s="132">
        <v>1.8818134500688678E-2</v>
      </c>
      <c r="L13" s="132">
        <v>0.28061081339359573</v>
      </c>
      <c r="M13" s="132">
        <v>0.23583492086138524</v>
      </c>
      <c r="N13" s="132">
        <v>0.13528008984542989</v>
      </c>
      <c r="O13" s="132">
        <v>0.20327821438898006</v>
      </c>
      <c r="P13" s="132">
        <v>0.3970477720154143</v>
      </c>
      <c r="Q13" s="132">
        <v>0.64494703411636778</v>
      </c>
      <c r="R13" s="132">
        <v>0.22221420527230967</v>
      </c>
      <c r="S13" s="132">
        <v>0.12535228889257147</v>
      </c>
      <c r="T13" s="132">
        <v>0.24823569267488244</v>
      </c>
      <c r="U13" s="132">
        <v>0.21998383412263683</v>
      </c>
      <c r="V13" s="132">
        <v>0.32562909533711543</v>
      </c>
      <c r="W13" s="132">
        <v>0.17038133857889673</v>
      </c>
      <c r="X13" s="132">
        <v>0.21501417723747768</v>
      </c>
      <c r="Y13" s="132">
        <v>0.31944703835511434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14.813045140602558</v>
      </c>
      <c r="D14" s="65">
        <v>11.882153346843031</v>
      </c>
      <c r="E14" s="65">
        <v>6.6518856629674117</v>
      </c>
      <c r="F14" s="65">
        <v>0</v>
      </c>
      <c r="G14" s="65">
        <v>0</v>
      </c>
      <c r="H14" s="65">
        <v>0</v>
      </c>
      <c r="I14" s="65">
        <v>0</v>
      </c>
      <c r="J14" s="65">
        <v>3.6533650859859792</v>
      </c>
      <c r="K14" s="65">
        <v>0.9558966794646796</v>
      </c>
      <c r="L14" s="65">
        <v>10.569619613270646</v>
      </c>
      <c r="M14" s="65">
        <v>4.168472707604403</v>
      </c>
      <c r="N14" s="65">
        <v>0.7122516114199372</v>
      </c>
      <c r="O14" s="65">
        <v>2.613569744215825</v>
      </c>
      <c r="P14" s="65">
        <v>1.7677596063514982</v>
      </c>
      <c r="Q14" s="65">
        <v>4.0297829016985318</v>
      </c>
      <c r="R14" s="65">
        <v>2.3978712500992878</v>
      </c>
      <c r="S14" s="65">
        <v>2.6267660352475648</v>
      </c>
      <c r="T14" s="65">
        <v>0.4369449572540296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2.3001085294990224E-2</v>
      </c>
      <c r="D15" s="134">
        <v>4.5562336793192271E-2</v>
      </c>
      <c r="E15" s="134">
        <v>4.7875938936145876E-2</v>
      </c>
      <c r="F15" s="134">
        <v>0.165772116872072</v>
      </c>
      <c r="G15" s="134">
        <v>0.57247845083511328</v>
      </c>
      <c r="H15" s="134">
        <v>0.6741198689162452</v>
      </c>
      <c r="I15" s="134">
        <v>0.54739966819201502</v>
      </c>
      <c r="J15" s="134">
        <v>0.19689137346772598</v>
      </c>
      <c r="K15" s="134">
        <v>2.2733510485721729E-2</v>
      </c>
      <c r="L15" s="134">
        <v>7.1872097565654408E-2</v>
      </c>
      <c r="M15" s="134">
        <v>4.0827453405533315E-2</v>
      </c>
      <c r="N15" s="134">
        <v>0.10808845720899608</v>
      </c>
      <c r="O15" s="134">
        <v>7.2654485742131888E-2</v>
      </c>
      <c r="P15" s="134">
        <v>3.6530744375849099E-2</v>
      </c>
      <c r="Q15" s="134">
        <v>2.126504686697165E-2</v>
      </c>
      <c r="R15" s="134">
        <v>4.4346861886106162E-2</v>
      </c>
      <c r="S15" s="134">
        <v>3.9114316120374255E-2</v>
      </c>
      <c r="T15" s="134">
        <v>5.1769895879624932E-2</v>
      </c>
      <c r="U15" s="134">
        <v>5.4193470092748497E-2</v>
      </c>
      <c r="V15" s="134">
        <v>4.1455666248757357E-2</v>
      </c>
      <c r="W15" s="134">
        <v>4.6291285906326606E-2</v>
      </c>
      <c r="X15" s="134">
        <v>2.8992214881650838E-2</v>
      </c>
      <c r="Y15" s="134">
        <v>1.8750735736360567E-2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1.5616282543727344</v>
      </c>
      <c r="D16" s="130">
        <f t="shared" si="6"/>
        <v>1.9908875466155682</v>
      </c>
      <c r="E16" s="130">
        <f t="shared" si="6"/>
        <v>1.8876397116154793</v>
      </c>
      <c r="F16" s="130">
        <f t="shared" si="6"/>
        <v>1.9096637753369248</v>
      </c>
      <c r="G16" s="130">
        <f t="shared" si="6"/>
        <v>1.9492789643803297</v>
      </c>
      <c r="H16" s="130">
        <f t="shared" si="6"/>
        <v>2.3195179464177227</v>
      </c>
      <c r="I16" s="130">
        <f t="shared" si="6"/>
        <v>3.129691052979314</v>
      </c>
      <c r="J16" s="130">
        <f t="shared" si="6"/>
        <v>2.9445084688465641</v>
      </c>
      <c r="K16" s="130">
        <f t="shared" si="6"/>
        <v>0.3323377242971024</v>
      </c>
      <c r="L16" s="130">
        <f t="shared" si="6"/>
        <v>2.2117737659743368</v>
      </c>
      <c r="M16" s="130">
        <f t="shared" si="6"/>
        <v>1.1638820255082492</v>
      </c>
      <c r="N16" s="130">
        <f t="shared" si="6"/>
        <v>1.2833330808823042</v>
      </c>
      <c r="O16" s="130">
        <f t="shared" si="6"/>
        <v>1.1149271731910633</v>
      </c>
      <c r="P16" s="130">
        <f t="shared" si="6"/>
        <v>1.0775447676435461</v>
      </c>
      <c r="Q16" s="130">
        <f t="shared" si="6"/>
        <v>1.545109353263727</v>
      </c>
      <c r="R16" s="130">
        <f t="shared" ref="R16:W16" si="7">SUM(R17:R18)</f>
        <v>1.3523122295935119</v>
      </c>
      <c r="S16" s="130">
        <f t="shared" si="7"/>
        <v>1.4747289150059195</v>
      </c>
      <c r="T16" s="130">
        <f t="shared" si="7"/>
        <v>1.570041821015558</v>
      </c>
      <c r="U16" s="130">
        <f t="shared" si="7"/>
        <v>1.615723496057299</v>
      </c>
      <c r="V16" s="130">
        <f t="shared" si="7"/>
        <v>1.3134138935870605</v>
      </c>
      <c r="W16" s="130">
        <f t="shared" si="7"/>
        <v>1.1932223577809289</v>
      </c>
      <c r="X16" s="130">
        <f t="shared" ref="X16:Y16" si="8">SUM(X17:X18)</f>
        <v>1.1274689453025419</v>
      </c>
      <c r="Y16" s="130">
        <f t="shared" si="8"/>
        <v>1.0781138539891211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1.0904381373841674E-2</v>
      </c>
      <c r="D17" s="132">
        <v>0</v>
      </c>
      <c r="E17" s="132">
        <v>3.0219718821419736E-3</v>
      </c>
      <c r="F17" s="132">
        <v>0</v>
      </c>
      <c r="G17" s="132">
        <v>1.4564668141096021E-2</v>
      </c>
      <c r="H17" s="132">
        <v>9.6407033512244163E-3</v>
      </c>
      <c r="I17" s="132">
        <v>5.9736976007208594E-3</v>
      </c>
      <c r="J17" s="132">
        <v>1.2656825797964347E-2</v>
      </c>
      <c r="K17" s="132">
        <v>8.9057282745239519E-4</v>
      </c>
      <c r="L17" s="132">
        <v>9.8837587047416742E-3</v>
      </c>
      <c r="M17" s="132">
        <v>8.052643779468259E-3</v>
      </c>
      <c r="N17" s="132">
        <v>4.8252147183758566E-3</v>
      </c>
      <c r="O17" s="132">
        <v>1.3841190425906948E-2</v>
      </c>
      <c r="P17" s="132">
        <v>2.152314054939292E-2</v>
      </c>
      <c r="Q17" s="132">
        <v>2.1980226717749546E-2</v>
      </c>
      <c r="R17" s="132">
        <v>4.7410685110807052E-2</v>
      </c>
      <c r="S17" s="132">
        <v>2.1862695393093427E-2</v>
      </c>
      <c r="T17" s="132">
        <v>3.6503881317536256E-2</v>
      </c>
      <c r="U17" s="132">
        <v>2.6212136647611167E-2</v>
      </c>
      <c r="V17" s="132">
        <v>3.2607600482638131E-2</v>
      </c>
      <c r="W17" s="132">
        <v>2.6854914542667363E-2</v>
      </c>
      <c r="X17" s="132">
        <v>2.4271979086800607E-2</v>
      </c>
      <c r="Y17" s="132">
        <v>2.5873243128385001E-2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1.5507238729988928</v>
      </c>
      <c r="D18" s="132">
        <v>1.9908875466155682</v>
      </c>
      <c r="E18" s="132">
        <v>1.8846177397333372</v>
      </c>
      <c r="F18" s="132">
        <v>1.9096637753369248</v>
      </c>
      <c r="G18" s="132">
        <v>1.9347142962392336</v>
      </c>
      <c r="H18" s="132">
        <v>2.3098772430664982</v>
      </c>
      <c r="I18" s="132">
        <v>3.1237173553785933</v>
      </c>
      <c r="J18" s="132">
        <v>2.9318516430485997</v>
      </c>
      <c r="K18" s="132">
        <v>0.33144715146964998</v>
      </c>
      <c r="L18" s="132">
        <v>2.2018900072695953</v>
      </c>
      <c r="M18" s="132">
        <v>1.1558293817287808</v>
      </c>
      <c r="N18" s="132">
        <v>1.2785078661639284</v>
      </c>
      <c r="O18" s="132">
        <v>1.1010859827651562</v>
      </c>
      <c r="P18" s="132">
        <v>1.0560216270941531</v>
      </c>
      <c r="Q18" s="132">
        <v>1.5231291265459774</v>
      </c>
      <c r="R18" s="132">
        <v>1.3049015444827048</v>
      </c>
      <c r="S18" s="132">
        <v>1.4528662196128261</v>
      </c>
      <c r="T18" s="132">
        <v>1.5335379396980218</v>
      </c>
      <c r="U18" s="132">
        <v>1.5895113594096879</v>
      </c>
      <c r="V18" s="132">
        <v>1.2808062931044224</v>
      </c>
      <c r="W18" s="132">
        <v>1.1663674432382616</v>
      </c>
      <c r="X18" s="132">
        <v>1.1031969662157413</v>
      </c>
      <c r="Y18" s="132">
        <v>1.0522406108607361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1.5175577564755691</v>
      </c>
      <c r="D19" s="130">
        <f t="shared" si="9"/>
        <v>1.9385962334717093</v>
      </c>
      <c r="E19" s="130">
        <f t="shared" si="9"/>
        <v>1.948145330907026</v>
      </c>
      <c r="F19" s="130">
        <f t="shared" si="9"/>
        <v>1.9701601831016953</v>
      </c>
      <c r="G19" s="130">
        <f t="shared" si="9"/>
        <v>2.8392056200465885</v>
      </c>
      <c r="H19" s="130">
        <f t="shared" si="9"/>
        <v>3.6238602974492435</v>
      </c>
      <c r="I19" s="130">
        <f t="shared" si="9"/>
        <v>4.5460377990726792</v>
      </c>
      <c r="J19" s="130">
        <f t="shared" si="9"/>
        <v>2.9502607859361096</v>
      </c>
      <c r="K19" s="130">
        <f t="shared" si="9"/>
        <v>0.33690266932423341</v>
      </c>
      <c r="L19" s="130">
        <f t="shared" si="9"/>
        <v>2.1907610034998939</v>
      </c>
      <c r="M19" s="130">
        <f t="shared" si="9"/>
        <v>1.1597956703048982</v>
      </c>
      <c r="N19" s="130">
        <f t="shared" si="9"/>
        <v>1.2203079327070272</v>
      </c>
      <c r="O19" s="130">
        <f t="shared" si="9"/>
        <v>1.1275755265785883</v>
      </c>
      <c r="P19" s="130">
        <f t="shared" si="9"/>
        <v>1.2229292745450118</v>
      </c>
      <c r="Q19" s="130">
        <f t="shared" si="9"/>
        <v>1.4001485902480222</v>
      </c>
      <c r="R19" s="130">
        <f t="shared" ref="R19:W19" si="10">SUM(R20:R27)</f>
        <v>1.5596802817798741</v>
      </c>
      <c r="S19" s="130">
        <f t="shared" si="10"/>
        <v>1.6357197579767513</v>
      </c>
      <c r="T19" s="130">
        <f t="shared" si="10"/>
        <v>1.7765406744943029</v>
      </c>
      <c r="U19" s="130">
        <f t="shared" si="10"/>
        <v>1.7899644056462889</v>
      </c>
      <c r="V19" s="130">
        <f t="shared" si="10"/>
        <v>1.7586550980800022</v>
      </c>
      <c r="W19" s="130">
        <f t="shared" si="10"/>
        <v>1.6243775281486592</v>
      </c>
      <c r="X19" s="130">
        <f t="shared" ref="X19:Y19" si="11">SUM(X20:X27)</f>
        <v>1.586763545096024</v>
      </c>
      <c r="Y19" s="130">
        <f t="shared" si="11"/>
        <v>1.5311268998724361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0.30370963617208363</v>
      </c>
      <c r="I20" s="132">
        <v>0.71191487125881792</v>
      </c>
      <c r="J20" s="132">
        <v>0.56107425694985924</v>
      </c>
      <c r="K20" s="132">
        <v>6.0186422018317517E-2</v>
      </c>
      <c r="L20" s="132">
        <v>0.14142563348911261</v>
      </c>
      <c r="M20" s="132">
        <v>6.8647973467133888E-2</v>
      </c>
      <c r="N20" s="132">
        <v>6.9353856276903741E-2</v>
      </c>
      <c r="O20" s="132">
        <v>6.7192624008637181E-2</v>
      </c>
      <c r="P20" s="132">
        <v>7.9502254975247948E-4</v>
      </c>
      <c r="Q20" s="132">
        <v>0</v>
      </c>
      <c r="R20" s="132">
        <v>0</v>
      </c>
      <c r="S20" s="132">
        <v>0</v>
      </c>
      <c r="T20" s="132">
        <v>0</v>
      </c>
      <c r="U20" s="132">
        <v>1.4138229898618246E-2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1.0103483656154579</v>
      </c>
      <c r="D23" s="132">
        <v>0.75969321510047938</v>
      </c>
      <c r="E23" s="132">
        <v>0.509539348192381</v>
      </c>
      <c r="F23" s="132">
        <v>0.45152540128812158</v>
      </c>
      <c r="G23" s="132">
        <v>0.50370560102039386</v>
      </c>
      <c r="H23" s="132">
        <v>0.74895339051399046</v>
      </c>
      <c r="I23" s="132">
        <v>0.97278551666247537</v>
      </c>
      <c r="J23" s="132">
        <v>0.6429852140033564</v>
      </c>
      <c r="K23" s="132">
        <v>7.7519448391071638E-2</v>
      </c>
      <c r="L23" s="132">
        <v>0.60098803107378096</v>
      </c>
      <c r="M23" s="132">
        <v>0.45017112151247607</v>
      </c>
      <c r="N23" s="132">
        <v>0.73743920697654231</v>
      </c>
      <c r="O23" s="132">
        <v>0.6481729835633443</v>
      </c>
      <c r="P23" s="132">
        <v>0.52599475474058432</v>
      </c>
      <c r="Q23" s="132">
        <v>0.46122607431703438</v>
      </c>
      <c r="R23" s="132">
        <v>0.40886805948302551</v>
      </c>
      <c r="S23" s="132">
        <v>0.23147740644164563</v>
      </c>
      <c r="T23" s="132">
        <v>0</v>
      </c>
      <c r="U23" s="132">
        <v>0</v>
      </c>
      <c r="V23" s="132">
        <v>0.1117560322800431</v>
      </c>
      <c r="W23" s="132">
        <v>0.43272849064155444</v>
      </c>
      <c r="X23" s="132">
        <v>0.72314225963384549</v>
      </c>
      <c r="Y23" s="132">
        <v>0.62500138804032623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0.50720939086011119</v>
      </c>
      <c r="D25" s="132">
        <v>1.013587567987299</v>
      </c>
      <c r="E25" s="132">
        <v>0.46676252843152094</v>
      </c>
      <c r="F25" s="132">
        <v>0.33812287137554309</v>
      </c>
      <c r="G25" s="132">
        <v>8.502256138075269E-2</v>
      </c>
      <c r="H25" s="132">
        <v>0.14781781408584063</v>
      </c>
      <c r="I25" s="132">
        <v>0</v>
      </c>
      <c r="J25" s="132">
        <v>8.7729905199323818E-2</v>
      </c>
      <c r="K25" s="132">
        <v>3.531897076311219E-2</v>
      </c>
      <c r="L25" s="132">
        <v>0.14282356653275674</v>
      </c>
      <c r="M25" s="132">
        <v>7.0001974893675753E-2</v>
      </c>
      <c r="N25" s="132">
        <v>4.815559137345609E-2</v>
      </c>
      <c r="O25" s="132">
        <v>5.5032759138876265E-2</v>
      </c>
      <c r="P25" s="132">
        <v>4.6443177168284541E-2</v>
      </c>
      <c r="Q25" s="132">
        <v>8.414947688969529E-2</v>
      </c>
      <c r="R25" s="132">
        <v>0.22656619207920747</v>
      </c>
      <c r="S25" s="132">
        <v>0.26572475740139551</v>
      </c>
      <c r="T25" s="132">
        <v>0.1866149455035481</v>
      </c>
      <c r="U25" s="132">
        <v>8.6594323398010258E-3</v>
      </c>
      <c r="V25" s="132">
        <v>0</v>
      </c>
      <c r="W25" s="132">
        <v>0</v>
      </c>
      <c r="X25" s="132">
        <v>9.8720612908480582E-2</v>
      </c>
      <c r="Y25" s="132">
        <v>5.3296240384263713E-2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0.16531545038393097</v>
      </c>
      <c r="E26" s="65">
        <v>0.97184345428312413</v>
      </c>
      <c r="F26" s="65">
        <v>1.1805119104380306</v>
      </c>
      <c r="G26" s="65">
        <v>2.2273416880764381</v>
      </c>
      <c r="H26" s="65">
        <v>2.423379456677329</v>
      </c>
      <c r="I26" s="65">
        <v>2.8610270449993287</v>
      </c>
      <c r="J26" s="65">
        <v>1.6583336823946813</v>
      </c>
      <c r="K26" s="65">
        <v>0.1638778281517321</v>
      </c>
      <c r="L26" s="65">
        <v>0.89753987608470065</v>
      </c>
      <c r="M26" s="65">
        <v>0.51157431281991561</v>
      </c>
      <c r="N26" s="65">
        <v>0.35726128921110112</v>
      </c>
      <c r="O26" s="65">
        <v>0.35717715986773063</v>
      </c>
      <c r="P26" s="65">
        <v>0.14670242716677614</v>
      </c>
      <c r="Q26" s="65">
        <v>0.85477303904129265</v>
      </c>
      <c r="R26" s="65">
        <v>0.8872771498156411</v>
      </c>
      <c r="S26" s="65">
        <v>1.1385175941337098</v>
      </c>
      <c r="T26" s="65">
        <v>1.5229239932966132</v>
      </c>
      <c r="U26" s="65">
        <v>1.7514208700422011</v>
      </c>
      <c r="V26" s="65">
        <v>1.5487769242463592</v>
      </c>
      <c r="W26" s="65">
        <v>1.113646254005058</v>
      </c>
      <c r="X26" s="65">
        <v>0.76490067255369765</v>
      </c>
      <c r="Y26" s="65">
        <v>0.28972793517753437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2.3135769569004191E-2</v>
      </c>
      <c r="H27" s="147">
        <v>0</v>
      </c>
      <c r="I27" s="147">
        <v>3.1036615205825798E-4</v>
      </c>
      <c r="J27" s="147">
        <v>1.3772738888861248E-4</v>
      </c>
      <c r="K27" s="147">
        <v>0</v>
      </c>
      <c r="L27" s="147">
        <v>0.40798389631954296</v>
      </c>
      <c r="M27" s="147">
        <v>5.9400287611696731E-2</v>
      </c>
      <c r="N27" s="147">
        <v>8.0979888690239678E-3</v>
      </c>
      <c r="O27" s="147">
        <v>0</v>
      </c>
      <c r="P27" s="147">
        <v>0.50299389291961427</v>
      </c>
      <c r="Q27" s="147">
        <v>0</v>
      </c>
      <c r="R27" s="147">
        <v>3.6968880401999846E-2</v>
      </c>
      <c r="S27" s="147">
        <v>2.5319991406737518E-16</v>
      </c>
      <c r="T27" s="147">
        <v>6.7001735694141543E-2</v>
      </c>
      <c r="U27" s="147">
        <v>1.5745873365668562E-2</v>
      </c>
      <c r="V27" s="147">
        <v>9.8122141553599967E-2</v>
      </c>
      <c r="W27" s="147">
        <v>7.8002783502046688E-2</v>
      </c>
      <c r="X27" s="147">
        <v>2.5475107725495944E-16</v>
      </c>
      <c r="Y27" s="147">
        <v>0.56310133627031189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1.2337582427290297</v>
      </c>
      <c r="D29" s="130">
        <f t="shared" si="12"/>
        <v>2.1871876064109737</v>
      </c>
      <c r="E29" s="130">
        <f t="shared" si="12"/>
        <v>1.9310172513154908</v>
      </c>
      <c r="F29" s="130">
        <f t="shared" si="12"/>
        <v>2.1074684498907845</v>
      </c>
      <c r="G29" s="130">
        <f t="shared" si="12"/>
        <v>3.0984684820859125</v>
      </c>
      <c r="H29" s="130">
        <f t="shared" si="12"/>
        <v>3.7987297716295743</v>
      </c>
      <c r="I29" s="130">
        <f t="shared" si="12"/>
        <v>4.9842039718655844</v>
      </c>
      <c r="J29" s="130">
        <f t="shared" si="12"/>
        <v>3.254533759586276</v>
      </c>
      <c r="K29" s="130">
        <f t="shared" si="12"/>
        <v>0.3542234033216437</v>
      </c>
      <c r="L29" s="130">
        <f t="shared" si="12"/>
        <v>2.2696446003054147</v>
      </c>
      <c r="M29" s="130">
        <f t="shared" si="12"/>
        <v>1.3096243922045616</v>
      </c>
      <c r="N29" s="130">
        <f t="shared" si="12"/>
        <v>1.2254512129359199</v>
      </c>
      <c r="O29" s="130">
        <f t="shared" si="12"/>
        <v>1.1688555148888427</v>
      </c>
      <c r="P29" s="130">
        <f t="shared" si="12"/>
        <v>1.1992611150498611</v>
      </c>
      <c r="Q29" s="130">
        <f t="shared" si="12"/>
        <v>1.4875006003500078</v>
      </c>
      <c r="R29" s="130">
        <f t="shared" ref="R29:W29" si="13">SUM(R30:R33)</f>
        <v>1.525112860708761</v>
      </c>
      <c r="S29" s="130">
        <f t="shared" si="13"/>
        <v>1.6250243083100782</v>
      </c>
      <c r="T29" s="130">
        <f t="shared" si="13"/>
        <v>1.8065534168479804</v>
      </c>
      <c r="U29" s="130">
        <f t="shared" si="13"/>
        <v>1.8309203489808383</v>
      </c>
      <c r="V29" s="130">
        <f t="shared" si="13"/>
        <v>1.5646083147002097</v>
      </c>
      <c r="W29" s="130">
        <f t="shared" si="13"/>
        <v>1.694508086706112</v>
      </c>
      <c r="X29" s="130">
        <f t="shared" ref="X29:Y29" si="14">SUM(X30:X33)</f>
        <v>1.643181073264931</v>
      </c>
      <c r="Y29" s="130">
        <f t="shared" si="14"/>
        <v>1.5090672921684467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0.82879982838950128</v>
      </c>
      <c r="D30" s="132">
        <v>1.8252270149956726</v>
      </c>
      <c r="E30" s="132">
        <v>0.58798638872356201</v>
      </c>
      <c r="F30" s="132">
        <v>0.49328032770079666</v>
      </c>
      <c r="G30" s="132">
        <v>0</v>
      </c>
      <c r="H30" s="132">
        <v>0</v>
      </c>
      <c r="I30" s="132">
        <v>0</v>
      </c>
      <c r="J30" s="132">
        <v>0</v>
      </c>
      <c r="K30" s="132">
        <v>3.5951505405069535E-2</v>
      </c>
      <c r="L30" s="132">
        <v>0.40670770448314386</v>
      </c>
      <c r="M30" s="132">
        <v>0</v>
      </c>
      <c r="N30" s="132">
        <v>0.23232334632632148</v>
      </c>
      <c r="O30" s="132">
        <v>0.20521318504225641</v>
      </c>
      <c r="P30" s="132">
        <v>0.16355777480210676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2.5767306592936655E-2</v>
      </c>
      <c r="X30" s="132">
        <v>0.12445256042555745</v>
      </c>
      <c r="Y30" s="132">
        <v>0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0.40495841433952845</v>
      </c>
      <c r="D31" s="132">
        <v>0.17813349539627632</v>
      </c>
      <c r="E31" s="132">
        <v>0.26637653079818935</v>
      </c>
      <c r="F31" s="132">
        <v>0.76040337655373624</v>
      </c>
      <c r="G31" s="132">
        <v>1.0514732992369149</v>
      </c>
      <c r="H31" s="132">
        <v>1.6525985433565398</v>
      </c>
      <c r="I31" s="132">
        <v>1.7928259184399038</v>
      </c>
      <c r="J31" s="132">
        <v>1.2120995338353175</v>
      </c>
      <c r="K31" s="132">
        <v>0.14946119473680428</v>
      </c>
      <c r="L31" s="132">
        <v>0.59161621842377854</v>
      </c>
      <c r="M31" s="132">
        <v>0.29013977074258956</v>
      </c>
      <c r="N31" s="132">
        <v>0.83484869976200704</v>
      </c>
      <c r="O31" s="132">
        <v>0.8329939639620062</v>
      </c>
      <c r="P31" s="132">
        <v>0.74945581051700194</v>
      </c>
      <c r="Q31" s="132">
        <v>0.79923124507981402</v>
      </c>
      <c r="R31" s="132">
        <v>0.56034856646849585</v>
      </c>
      <c r="S31" s="132">
        <v>0.26458864999468501</v>
      </c>
      <c r="T31" s="132">
        <v>0.44197692936032801</v>
      </c>
      <c r="U31" s="132">
        <v>0.53467061998257615</v>
      </c>
      <c r="V31" s="132">
        <v>0.60659391313476096</v>
      </c>
      <c r="W31" s="132">
        <v>0.73639560426915973</v>
      </c>
      <c r="X31" s="132">
        <v>0.89314592066318899</v>
      </c>
      <c r="Y31" s="132">
        <v>0.82903472995937488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0.18382709601902475</v>
      </c>
      <c r="E33" s="68">
        <v>1.0766543317937394</v>
      </c>
      <c r="F33" s="68">
        <v>0.8537847456362514</v>
      </c>
      <c r="G33" s="68">
        <v>2.0469951828489976</v>
      </c>
      <c r="H33" s="68">
        <v>2.1461312282730343</v>
      </c>
      <c r="I33" s="68">
        <v>3.191378053425681</v>
      </c>
      <c r="J33" s="68">
        <v>2.0424342257509585</v>
      </c>
      <c r="K33" s="68">
        <v>0.16881070317976987</v>
      </c>
      <c r="L33" s="68">
        <v>1.2713206773984924</v>
      </c>
      <c r="M33" s="68">
        <v>1.0194846214619719</v>
      </c>
      <c r="N33" s="68">
        <v>0.1582791668475913</v>
      </c>
      <c r="O33" s="68">
        <v>0.13064836588458006</v>
      </c>
      <c r="P33" s="68">
        <v>0.28624752973075246</v>
      </c>
      <c r="Q33" s="68">
        <v>0.68826935527019373</v>
      </c>
      <c r="R33" s="68">
        <v>0.96476429424026511</v>
      </c>
      <c r="S33" s="68">
        <v>1.3604356583153931</v>
      </c>
      <c r="T33" s="68">
        <v>1.3645764874876525</v>
      </c>
      <c r="U33" s="68">
        <v>1.2962497289982622</v>
      </c>
      <c r="V33" s="68">
        <v>0.9580144015654487</v>
      </c>
      <c r="W33" s="68">
        <v>0.93234517584401555</v>
      </c>
      <c r="X33" s="68">
        <v>0.62558259217618462</v>
      </c>
      <c r="Y33" s="68">
        <v>0.68003256220907171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0.73826888732122842</v>
      </c>
      <c r="D3" s="126">
        <f>IF(SER_hh_tes_in!D3=0,"",SER_hh_tes_in!D3/SER_hh_fec_in!D3)</f>
        <v>0.76103263187035186</v>
      </c>
      <c r="E3" s="126">
        <f>IF(SER_hh_tes_in!E3=0,"",SER_hh_tes_in!E3/SER_hh_fec_in!E3)</f>
        <v>0.78301575699547044</v>
      </c>
      <c r="F3" s="126">
        <f>IF(SER_hh_tes_in!F3=0,"",SER_hh_tes_in!F3/SER_hh_fec_in!F3)</f>
        <v>0.70307852774924007</v>
      </c>
      <c r="G3" s="126">
        <f>IF(SER_hh_tes_in!G3=0,"",SER_hh_tes_in!G3/SER_hh_fec_in!G3)</f>
        <v>0.59974764000819358</v>
      </c>
      <c r="H3" s="126">
        <f>IF(SER_hh_tes_in!H3=0,"",SER_hh_tes_in!H3/SER_hh_fec_in!H3)</f>
        <v>0.5984162472652208</v>
      </c>
      <c r="I3" s="126">
        <f>IF(SER_hh_tes_in!I3=0,"",SER_hh_tes_in!I3/SER_hh_fec_in!I3)</f>
        <v>0.63678889338021194</v>
      </c>
      <c r="J3" s="126">
        <f>IF(SER_hh_tes_in!J3=0,"",SER_hh_tes_in!J3/SER_hh_fec_in!J3)</f>
        <v>0.70407482961222245</v>
      </c>
      <c r="K3" s="126">
        <f>IF(SER_hh_tes_in!K3=0,"",SER_hh_tes_in!K3/SER_hh_fec_in!K3)</f>
        <v>0.72169670445672451</v>
      </c>
      <c r="L3" s="126">
        <f>IF(SER_hh_tes_in!L3=0,"",SER_hh_tes_in!L3/SER_hh_fec_in!L3)</f>
        <v>0.77711254406763564</v>
      </c>
      <c r="M3" s="126">
        <f>IF(SER_hh_tes_in!M3=0,"",SER_hh_tes_in!M3/SER_hh_fec_in!M3)</f>
        <v>0.78109121716319208</v>
      </c>
      <c r="N3" s="126">
        <f>IF(SER_hh_tes_in!N3=0,"",SER_hh_tes_in!N3/SER_hh_fec_in!N3)</f>
        <v>0.70763310050697048</v>
      </c>
      <c r="O3" s="126">
        <f>IF(SER_hh_tes_in!O3=0,"",SER_hh_tes_in!O3/SER_hh_fec_in!O3)</f>
        <v>0.75337052726126053</v>
      </c>
      <c r="P3" s="126">
        <f>IF(SER_hh_tes_in!P3=0,"",SER_hh_tes_in!P3/SER_hh_fec_in!P3)</f>
        <v>0.83164374113917372</v>
      </c>
      <c r="Q3" s="126">
        <f>IF(SER_hh_tes_in!Q3=0,"",SER_hh_tes_in!Q3/SER_hh_fec_in!Q3)</f>
        <v>0.89299842930504325</v>
      </c>
      <c r="R3" s="126">
        <f>IF(SER_hh_tes_in!R3=0,"",SER_hh_tes_in!R3/SER_hh_fec_in!R3)</f>
        <v>0.87340767557996679</v>
      </c>
      <c r="S3" s="126">
        <f>IF(SER_hh_tes_in!S3=0,"",SER_hh_tes_in!S3/SER_hh_fec_in!S3)</f>
        <v>0.89233605801122495</v>
      </c>
      <c r="T3" s="126">
        <f>IF(SER_hh_tes_in!T3=0,"",SER_hh_tes_in!T3/SER_hh_fec_in!T3)</f>
        <v>0.9086751287879179</v>
      </c>
      <c r="U3" s="126">
        <f>IF(SER_hh_tes_in!U3=0,"",SER_hh_tes_in!U3/SER_hh_fec_in!U3)</f>
        <v>0.92402032245988275</v>
      </c>
      <c r="V3" s="126">
        <f>IF(SER_hh_tes_in!V3=0,"",SER_hh_tes_in!V3/SER_hh_fec_in!V3)</f>
        <v>0.95960397416447107</v>
      </c>
      <c r="W3" s="126">
        <f>IF(SER_hh_tes_in!W3=0,"",SER_hh_tes_in!W3/SER_hh_fec_in!W3)</f>
        <v>0.92611707036037894</v>
      </c>
      <c r="X3" s="126">
        <f>IF(SER_hh_tes_in!X3=0,"",SER_hh_tes_in!X3/SER_hh_fec_in!X3)</f>
        <v>0.93972317506632286</v>
      </c>
      <c r="Y3" s="126">
        <f>IF(SER_hh_tes_in!Y3=0,"",SER_hh_tes_in!Y3/SER_hh_fec_in!Y3)</f>
        <v>0.98884413570878804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0.71847200772503839</v>
      </c>
      <c r="D4" s="135">
        <f>IF(SER_hh_tes_in!D4=0,"",SER_hh_tes_in!D4/SER_hh_fec_in!D4)</f>
        <v>0.73781247662523664</v>
      </c>
      <c r="E4" s="135">
        <f>IF(SER_hh_tes_in!E4=0,"",SER_hh_tes_in!E4/SER_hh_fec_in!E4)</f>
        <v>0.74711501310361206</v>
      </c>
      <c r="F4" s="135">
        <f>IF(SER_hh_tes_in!F4=0,"",SER_hh_tes_in!F4/SER_hh_fec_in!F4)</f>
        <v>0.65014786084262299</v>
      </c>
      <c r="G4" s="135">
        <f>IF(SER_hh_tes_in!G4=0,"",SER_hh_tes_in!G4/SER_hh_fec_in!G4)</f>
        <v>0.56060608427992997</v>
      </c>
      <c r="H4" s="135">
        <f>IF(SER_hh_tes_in!H4=0,"",SER_hh_tes_in!H4/SER_hh_fec_in!H4)</f>
        <v>0.55913015470925698</v>
      </c>
      <c r="I4" s="135">
        <f>IF(SER_hh_tes_in!I4=0,"",SER_hh_tes_in!I4/SER_hh_fec_in!I4)</f>
        <v>0.59007106927394792</v>
      </c>
      <c r="J4" s="135">
        <f>IF(SER_hh_tes_in!J4=0,"",SER_hh_tes_in!J4/SER_hh_fec_in!J4)</f>
        <v>0.65038715662201674</v>
      </c>
      <c r="K4" s="135">
        <f>IF(SER_hh_tes_in!K4=0,"",SER_hh_tes_in!K4/SER_hh_fec_in!K4)</f>
        <v>0.68330368788766216</v>
      </c>
      <c r="L4" s="135">
        <f>IF(SER_hh_tes_in!L4=0,"",SER_hh_tes_in!L4/SER_hh_fec_in!L4)</f>
        <v>0.73077142678198537</v>
      </c>
      <c r="M4" s="135">
        <f>IF(SER_hh_tes_in!M4=0,"",SER_hh_tes_in!M4/SER_hh_fec_in!M4)</f>
        <v>0.7157111212373497</v>
      </c>
      <c r="N4" s="135">
        <f>IF(SER_hh_tes_in!N4=0,"",SER_hh_tes_in!N4/SER_hh_fec_in!N4)</f>
        <v>0.63524287829385895</v>
      </c>
      <c r="O4" s="135">
        <f>IF(SER_hh_tes_in!O4=0,"",SER_hh_tes_in!O4/SER_hh_fec_in!O4)</f>
        <v>0.6959321045979574</v>
      </c>
      <c r="P4" s="135">
        <f>IF(SER_hh_tes_in!P4=0,"",SER_hh_tes_in!P4/SER_hh_fec_in!P4)</f>
        <v>0.74586435101373705</v>
      </c>
      <c r="Q4" s="135">
        <f>IF(SER_hh_tes_in!Q4=0,"",SER_hh_tes_in!Q4/SER_hh_fec_in!Q4)</f>
        <v>0.81116589848928977</v>
      </c>
      <c r="R4" s="135">
        <f>IF(SER_hh_tes_in!R4=0,"",SER_hh_tes_in!R4/SER_hh_fec_in!R4)</f>
        <v>0.78321960573904004</v>
      </c>
      <c r="S4" s="135">
        <f>IF(SER_hh_tes_in!S4=0,"",SER_hh_tes_in!S4/SER_hh_fec_in!S4)</f>
        <v>0.78706019593333498</v>
      </c>
      <c r="T4" s="135">
        <f>IF(SER_hh_tes_in!T4=0,"",SER_hh_tes_in!T4/SER_hh_fec_in!T4)</f>
        <v>0.78925920452943743</v>
      </c>
      <c r="U4" s="135">
        <f>IF(SER_hh_tes_in!U4=0,"",SER_hh_tes_in!U4/SER_hh_fec_in!U4)</f>
        <v>0.78000719239419647</v>
      </c>
      <c r="V4" s="135">
        <f>IF(SER_hh_tes_in!V4=0,"",SER_hh_tes_in!V4/SER_hh_fec_in!V4)</f>
        <v>0.84570342219473083</v>
      </c>
      <c r="W4" s="135">
        <f>IF(SER_hh_tes_in!W4=0,"",SER_hh_tes_in!W4/SER_hh_fec_in!W4)</f>
        <v>0.81751578643462097</v>
      </c>
      <c r="X4" s="135">
        <f>IF(SER_hh_tes_in!X4=0,"",SER_hh_tes_in!X4/SER_hh_fec_in!X4)</f>
        <v>0.86086499049941012</v>
      </c>
      <c r="Y4" s="135">
        <f>IF(SER_hh_tes_in!Y4=0,"",SER_hh_tes_in!Y4/SER_hh_fec_in!Y4)</f>
        <v>0.91242363443392516</v>
      </c>
      <c r="DA4" s="162" t="s">
        <v>663</v>
      </c>
    </row>
    <row r="5" spans="1:105" ht="12" customHeight="1" x14ac:dyDescent="0.25">
      <c r="A5" s="131" t="s">
        <v>29</v>
      </c>
      <c r="B5" s="136"/>
      <c r="C5" s="136">
        <f>IF(SER_hh_tes_in!C5=0,"",SER_hh_tes_in!C5/SER_hh_fec_in!C5)</f>
        <v>0.5881278294913711</v>
      </c>
      <c r="D5" s="136">
        <f>IF(SER_hh_tes_in!D5=0,"",SER_hh_tes_in!D5/SER_hh_fec_in!D5)</f>
        <v>0.59445571576823375</v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>
        <f>IF(SER_hh_tes_in!G5=0,"",SER_hh_tes_in!G5/SER_hh_fec_in!G5)</f>
        <v>0.61336210774600963</v>
      </c>
      <c r="H5" s="136">
        <f>IF(SER_hh_tes_in!H5=0,"",SER_hh_tes_in!H5/SER_hh_fec_in!H5)</f>
        <v>0.61963689007427114</v>
      </c>
      <c r="I5" s="136">
        <f>IF(SER_hh_tes_in!I5=0,"",SER_hh_tes_in!I5/SER_hh_fec_in!I5)</f>
        <v>0.62589291171390382</v>
      </c>
      <c r="J5" s="136">
        <f>IF(SER_hh_tes_in!J5=0,"",SER_hh_tes_in!J5/SER_hh_fec_in!J5)</f>
        <v>0.6321155810181962</v>
      </c>
      <c r="K5" s="136">
        <f>IF(SER_hh_tes_in!K5=0,"",SER_hh_tes_in!K5/SER_hh_fec_in!K5)</f>
        <v>0.63829249124938137</v>
      </c>
      <c r="L5" s="136">
        <f>IF(SER_hh_tes_in!L5=0,"",SER_hh_tes_in!L5/SER_hh_fec_in!L5)</f>
        <v>0.64442032309645669</v>
      </c>
      <c r="M5" s="136">
        <f>IF(SER_hh_tes_in!M5=0,"",SER_hh_tes_in!M5/SER_hh_fec_in!M5)</f>
        <v>0.65008392867254472</v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>
        <f>IF(SER_hh_tes_in!S5=0,"",SER_hh_tes_in!S5/SER_hh_fec_in!S5)</f>
        <v>0.68835363998244647</v>
      </c>
      <c r="T5" s="136">
        <f>IF(SER_hh_tes_in!T5=0,"",SER_hh_tes_in!T5/SER_hh_fec_in!T5)</f>
        <v>0.69918819459493653</v>
      </c>
      <c r="U5" s="136">
        <f>IF(SER_hh_tes_in!U5=0,"",SER_hh_tes_in!U5/SER_hh_fec_in!U5)</f>
        <v>0.70953758360949293</v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>
        <f>IF(SER_hh_tes_in!Y5=0,"",SER_hh_tes_in!Y5/SER_hh_fec_in!Y5)</f>
        <v>0.73657015034565521</v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0.49489827772964756</v>
      </c>
      <c r="D7" s="136" t="str">
        <f>IF(SER_hh_tes_in!D7=0,"",SER_hh_tes_in!D7/SER_hh_fec_in!D7)</f>
        <v/>
      </c>
      <c r="E7" s="136">
        <f>IF(SER_hh_tes_in!E7=0,"",SER_hh_tes_in!E7/SER_hh_fec_in!E7)</f>
        <v>0.5084051270377431</v>
      </c>
      <c r="F7" s="136">
        <f>IF(SER_hh_tes_in!F7=0,"",SER_hh_tes_in!F7/SER_hh_fec_in!F7)</f>
        <v>0.51529579736648079</v>
      </c>
      <c r="G7" s="136">
        <f>IF(SER_hh_tes_in!G7=0,"",SER_hh_tes_in!G7/SER_hh_fec_in!G7)</f>
        <v>0.52249464845091764</v>
      </c>
      <c r="H7" s="136" t="str">
        <f>IF(SER_hh_tes_in!H7=0,"",SER_hh_tes_in!H7/SER_hh_fec_in!H7)</f>
        <v/>
      </c>
      <c r="I7" s="136" t="str">
        <f>IF(SER_hh_tes_in!I7=0,"",SER_hh_tes_in!I7/SER_hh_fec_in!I7)</f>
        <v/>
      </c>
      <c r="J7" s="136" t="str">
        <f>IF(SER_hh_tes_in!J7=0,"",SER_hh_tes_in!J7/SER_hh_fec_in!J7)</f>
        <v/>
      </c>
      <c r="K7" s="136" t="str">
        <f>IF(SER_hh_tes_in!K7=0,"",SER_hh_tes_in!K7/SER_hh_fec_in!K7)</f>
        <v/>
      </c>
      <c r="L7" s="136" t="str">
        <f>IF(SER_hh_tes_in!L7=0,"",SER_hh_tes_in!L7/SER_hh_fec_in!L7)</f>
        <v/>
      </c>
      <c r="M7" s="136" t="str">
        <f>IF(SER_hh_tes_in!M7=0,"",SER_hh_tes_in!M7/SER_hh_fec_in!M7)</f>
        <v/>
      </c>
      <c r="N7" s="136" t="str">
        <f>IF(SER_hh_tes_in!N7=0,"",SER_hh_tes_in!N7/SER_hh_fec_in!N7)</f>
        <v/>
      </c>
      <c r="O7" s="136">
        <f>IF(SER_hh_tes_in!O7=0,"",SER_hh_tes_in!O7/SER_hh_fec_in!O7)</f>
        <v>0.65632351546131307</v>
      </c>
      <c r="P7" s="136">
        <f>IF(SER_hh_tes_in!P7=0,"",SER_hh_tes_in!P7/SER_hh_fec_in!P7)</f>
        <v>0.70417336681939358</v>
      </c>
      <c r="Q7" s="136">
        <f>IF(SER_hh_tes_in!Q7=0,"",SER_hh_tes_in!Q7/SER_hh_fec_in!Q7)</f>
        <v>0.742382040439166</v>
      </c>
      <c r="R7" s="136" t="str">
        <f>IF(SER_hh_tes_in!R7=0,"",SER_hh_tes_in!R7/SER_hh_fec_in!R7)</f>
        <v/>
      </c>
      <c r="S7" s="136" t="str">
        <f>IF(SER_hh_tes_in!S7=0,"",SER_hh_tes_in!S7/SER_hh_fec_in!S7)</f>
        <v/>
      </c>
      <c r="T7" s="136" t="str">
        <f>IF(SER_hh_tes_in!T7=0,"",SER_hh_tes_in!T7/SER_hh_fec_in!T7)</f>
        <v/>
      </c>
      <c r="U7" s="136" t="str">
        <f>IF(SER_hh_tes_in!U7=0,"",SER_hh_tes_in!U7/SER_hh_fec_in!U7)</f>
        <v/>
      </c>
      <c r="V7" s="136" t="str">
        <f>IF(SER_hh_tes_in!V7=0,"",SER_hh_tes_in!V7/SER_hh_fec_in!V7)</f>
        <v/>
      </c>
      <c r="W7" s="136" t="str">
        <f>IF(SER_hh_tes_in!W7=0,"",SER_hh_tes_in!W7/SER_hh_fec_in!W7)</f>
        <v/>
      </c>
      <c r="X7" s="136" t="str">
        <f>IF(SER_hh_tes_in!X7=0,"",SER_hh_tes_in!X7/SER_hh_fec_in!X7)</f>
        <v/>
      </c>
      <c r="Y7" s="136" t="str">
        <f>IF(SER_hh_tes_in!Y7=0,"",SER_hh_tes_in!Y7/SER_hh_fec_in!Y7)</f>
        <v/>
      </c>
      <c r="DA7" s="163" t="s">
        <v>666</v>
      </c>
    </row>
    <row r="8" spans="1:105" ht="12" customHeight="1" x14ac:dyDescent="0.25">
      <c r="A8" s="131" t="s">
        <v>73</v>
      </c>
      <c r="B8" s="136"/>
      <c r="C8" s="136">
        <f>IF(SER_hh_tes_in!C8=0,"",SER_hh_tes_in!C8/SER_hh_fec_in!C8)</f>
        <v>1.2139228992902604</v>
      </c>
      <c r="D8" s="136">
        <f>IF(SER_hh_tes_in!D8=0,"",SER_hh_tes_in!D8/SER_hh_fec_in!D8)</f>
        <v>1.2788995658207434</v>
      </c>
      <c r="E8" s="136">
        <f>IF(SER_hh_tes_in!E8=0,"",SER_hh_tes_in!E8/SER_hh_fec_in!E8)</f>
        <v>1.3447572979964961</v>
      </c>
      <c r="F8" s="136">
        <f>IF(SER_hh_tes_in!F8=0,"",SER_hh_tes_in!F8/SER_hh_fec_in!F8)</f>
        <v>1.4108137014887756</v>
      </c>
      <c r="G8" s="136">
        <f>IF(SER_hh_tes_in!G8=0,"",SER_hh_tes_in!G8/SER_hh_fec_in!G8)</f>
        <v>1.4777129994221023</v>
      </c>
      <c r="H8" s="136">
        <f>IF(SER_hh_tes_in!H8=0,"",SER_hh_tes_in!H8/SER_hh_fec_in!H8)</f>
        <v>1.5453894894203168</v>
      </c>
      <c r="I8" s="136">
        <f>IF(SER_hh_tes_in!I8=0,"",SER_hh_tes_in!I8/SER_hh_fec_in!I8)</f>
        <v>1.6140103854434207</v>
      </c>
      <c r="J8" s="136">
        <f>IF(SER_hh_tes_in!J8=0,"",SER_hh_tes_in!J8/SER_hh_fec_in!J8)</f>
        <v>1.6842274165100655</v>
      </c>
      <c r="K8" s="136">
        <f>IF(SER_hh_tes_in!K8=0,"",SER_hh_tes_in!K8/SER_hh_fec_in!K8)</f>
        <v>1.7565989155493342</v>
      </c>
      <c r="L8" s="136">
        <f>IF(SER_hh_tes_in!L8=0,"",SER_hh_tes_in!L8/SER_hh_fec_in!L8)</f>
        <v>1.8312857682370982</v>
      </c>
      <c r="M8" s="136">
        <f>IF(SER_hh_tes_in!M8=0,"",SER_hh_tes_in!M8/SER_hh_fec_in!M8)</f>
        <v>1.9239245649851529</v>
      </c>
      <c r="N8" s="136">
        <f>IF(SER_hh_tes_in!N8=0,"",SER_hh_tes_in!N8/SER_hh_fec_in!N8)</f>
        <v>2.0398781804693953</v>
      </c>
      <c r="O8" s="136">
        <f>IF(SER_hh_tes_in!O8=0,"",SER_hh_tes_in!O8/SER_hh_fec_in!O8)</f>
        <v>2.1812031036830599</v>
      </c>
      <c r="P8" s="136">
        <f>IF(SER_hh_tes_in!P8=0,"",SER_hh_tes_in!P8/SER_hh_fec_in!P8)</f>
        <v>2.3335135895806371</v>
      </c>
      <c r="Q8" s="136">
        <f>IF(SER_hh_tes_in!Q8=0,"",SER_hh_tes_in!Q8/SER_hh_fec_in!Q8)</f>
        <v>2.4527627690185705</v>
      </c>
      <c r="R8" s="136">
        <f>IF(SER_hh_tes_in!R8=0,"",SER_hh_tes_in!R8/SER_hh_fec_in!R8)</f>
        <v>2.5621514623497097</v>
      </c>
      <c r="S8" s="136">
        <f>IF(SER_hh_tes_in!S8=0,"",SER_hh_tes_in!S8/SER_hh_fec_in!S8)</f>
        <v>2.6335608705895956</v>
      </c>
      <c r="T8" s="136">
        <f>IF(SER_hh_tes_in!T8=0,"",SER_hh_tes_in!T8/SER_hh_fec_in!T8)</f>
        <v>2.6788607837819356</v>
      </c>
      <c r="U8" s="136">
        <f>IF(SER_hh_tes_in!U8=0,"",SER_hh_tes_in!U8/SER_hh_fec_in!U8)</f>
        <v>2.7100179013616916</v>
      </c>
      <c r="V8" s="136">
        <f>IF(SER_hh_tes_in!V8=0,"",SER_hh_tes_in!V8/SER_hh_fec_in!V8)</f>
        <v>2.7386398904666831</v>
      </c>
      <c r="W8" s="136">
        <f>IF(SER_hh_tes_in!W8=0,"",SER_hh_tes_in!W8/SER_hh_fec_in!W8)</f>
        <v>2.7665696651386233</v>
      </c>
      <c r="X8" s="136">
        <f>IF(SER_hh_tes_in!X8=0,"",SER_hh_tes_in!X8/SER_hh_fec_in!X8)</f>
        <v>2.7895422987775471</v>
      </c>
      <c r="Y8" s="136">
        <f>IF(SER_hh_tes_in!Y8=0,"",SER_hh_tes_in!Y8/SER_hh_fec_in!Y8)</f>
        <v>2.8090155092185944</v>
      </c>
      <c r="DA8" s="163" t="s">
        <v>667</v>
      </c>
    </row>
    <row r="9" spans="1:105" ht="12" customHeight="1" x14ac:dyDescent="0.25">
      <c r="A9" s="131" t="s">
        <v>78</v>
      </c>
      <c r="B9" s="136"/>
      <c r="C9" s="136" t="str">
        <f>IF(SER_hh_tes_in!C9=0,"",SER_hh_tes_in!C9/SER_hh_fec_in!C9)</f>
        <v/>
      </c>
      <c r="D9" s="136" t="str">
        <f>IF(SER_hh_tes_in!D9=0,"",SER_hh_tes_in!D9/SER_hh_fec_in!D9)</f>
        <v/>
      </c>
      <c r="E9" s="136">
        <f>IF(SER_hh_tes_in!E9=0,"",SER_hh_tes_in!E9/SER_hh_fec_in!E9)</f>
        <v>0.53600137793086522</v>
      </c>
      <c r="F9" s="136">
        <f>IF(SER_hh_tes_in!F9=0,"",SER_hh_tes_in!F9/SER_hh_fec_in!F9)</f>
        <v>0.54067768515206893</v>
      </c>
      <c r="G9" s="136">
        <f>IF(SER_hh_tes_in!G9=0,"",SER_hh_tes_in!G9/SER_hh_fec_in!G9)</f>
        <v>0.54560277419361058</v>
      </c>
      <c r="H9" s="136">
        <f>IF(SER_hh_tes_in!H9=0,"",SER_hh_tes_in!H9/SER_hh_fec_in!H9)</f>
        <v>0.55074265074666262</v>
      </c>
      <c r="I9" s="136">
        <f>IF(SER_hh_tes_in!I9=0,"",SER_hh_tes_in!I9/SER_hh_fec_in!I9)</f>
        <v>0.55616134434995945</v>
      </c>
      <c r="J9" s="136">
        <f>IF(SER_hh_tes_in!J9=0,"",SER_hh_tes_in!J9/SER_hh_fec_in!J9)</f>
        <v>0.5621245033022555</v>
      </c>
      <c r="K9" s="136" t="str">
        <f>IF(SER_hh_tes_in!K9=0,"",SER_hh_tes_in!K9/SER_hh_fec_in!K9)</f>
        <v/>
      </c>
      <c r="L9" s="136">
        <f>IF(SER_hh_tes_in!L9=0,"",SER_hh_tes_in!L9/SER_hh_fec_in!L9)</f>
        <v>0.57641110237127235</v>
      </c>
      <c r="M9" s="136">
        <f>IF(SER_hh_tes_in!M9=0,"",SER_hh_tes_in!M9/SER_hh_fec_in!M9)</f>
        <v>0.59038597442785989</v>
      </c>
      <c r="N9" s="136">
        <f>IF(SER_hh_tes_in!N9=0,"",SER_hh_tes_in!N9/SER_hh_fec_in!N9)</f>
        <v>0.61252055073711487</v>
      </c>
      <c r="O9" s="136">
        <f>IF(SER_hh_tes_in!O9=0,"",SER_hh_tes_in!O9/SER_hh_fec_in!O9)</f>
        <v>0.64397219797971728</v>
      </c>
      <c r="P9" s="136">
        <f>IF(SER_hh_tes_in!P9=0,"",SER_hh_tes_in!P9/SER_hh_fec_in!P9)</f>
        <v>0.681010288442078</v>
      </c>
      <c r="Q9" s="136">
        <f>IF(SER_hh_tes_in!Q9=0,"",SER_hh_tes_in!Q9/SER_hh_fec_in!Q9)</f>
        <v>0.71222833736416025</v>
      </c>
      <c r="R9" s="136">
        <f>IF(SER_hh_tes_in!R9=0,"",SER_hh_tes_in!R9/SER_hh_fec_in!R9)</f>
        <v>0.72805357712396057</v>
      </c>
      <c r="S9" s="136">
        <f>IF(SER_hh_tes_in!S9=0,"",SER_hh_tes_in!S9/SER_hh_fec_in!S9)</f>
        <v>0.74014394510387305</v>
      </c>
      <c r="T9" s="136">
        <f>IF(SER_hh_tes_in!T9=0,"",SER_hh_tes_in!T9/SER_hh_fec_in!T9)</f>
        <v>0.74994715105974352</v>
      </c>
      <c r="U9" s="136">
        <f>IF(SER_hh_tes_in!U9=0,"",SER_hh_tes_in!U9/SER_hh_fec_in!U9)</f>
        <v>0.75846275450514311</v>
      </c>
      <c r="V9" s="136">
        <f>IF(SER_hh_tes_in!V9=0,"",SER_hh_tes_in!V9/SER_hh_fec_in!V9)</f>
        <v>0.76618438768363561</v>
      </c>
      <c r="W9" s="136">
        <f>IF(SER_hh_tes_in!W9=0,"",SER_hh_tes_in!W9/SER_hh_fec_in!W9)</f>
        <v>0.77192764281741655</v>
      </c>
      <c r="X9" s="136">
        <f>IF(SER_hh_tes_in!X9=0,"",SER_hh_tes_in!X9/SER_hh_fec_in!X9)</f>
        <v>0.77553568742945411</v>
      </c>
      <c r="Y9" s="136">
        <f>IF(SER_hh_tes_in!Y9=0,"",SER_hh_tes_in!Y9/SER_hh_fec_in!Y9)</f>
        <v>0.77799858260689081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 t="str">
        <f>IF(SER_hh_tes_in!C10=0,"",SER_hh_tes_in!C10/SER_hh_fec_in!C10)</f>
        <v/>
      </c>
      <c r="D10" s="136" t="str">
        <f>IF(SER_hh_tes_in!D10=0,"",SER_hh_tes_in!D10/SER_hh_fec_in!D10)</f>
        <v/>
      </c>
      <c r="E10" s="136" t="str">
        <f>IF(SER_hh_tes_in!E10=0,"",SER_hh_tes_in!E10/SER_hh_fec_in!E10)</f>
        <v/>
      </c>
      <c r="F10" s="136" t="str">
        <f>IF(SER_hh_tes_in!F10=0,"",SER_hh_tes_in!F10/SER_hh_fec_in!F10)</f>
        <v/>
      </c>
      <c r="G10" s="136" t="str">
        <f>IF(SER_hh_tes_in!G10=0,"",SER_hh_tes_in!G10/SER_hh_fec_in!G10)</f>
        <v/>
      </c>
      <c r="H10" s="136">
        <f>IF(SER_hh_tes_in!H10=0,"",SER_hh_tes_in!H10/SER_hh_fec_in!H10)</f>
        <v>0.53427296749702624</v>
      </c>
      <c r="I10" s="136">
        <f>IF(SER_hh_tes_in!I10=0,"",SER_hh_tes_in!I10/SER_hh_fec_in!I10)</f>
        <v>0.53455201517036155</v>
      </c>
      <c r="J10" s="136">
        <f>IF(SER_hh_tes_in!J10=0,"",SER_hh_tes_in!J10/SER_hh_fec_in!J10)</f>
        <v>0.53483144348205303</v>
      </c>
      <c r="K10" s="136">
        <f>IF(SER_hh_tes_in!K10=0,"",SER_hh_tes_in!K10/SER_hh_fec_in!K10)</f>
        <v>0.53511005276403856</v>
      </c>
      <c r="L10" s="136">
        <f>IF(SER_hh_tes_in!L10=0,"",SER_hh_tes_in!L10/SER_hh_fec_in!L10)</f>
        <v>0.53538677824656811</v>
      </c>
      <c r="M10" s="136">
        <f>IF(SER_hh_tes_in!M10=0,"",SER_hh_tes_in!M10/SER_hh_fec_in!M10)</f>
        <v>0.53564097336442318</v>
      </c>
      <c r="N10" s="136">
        <f>IF(SER_hh_tes_in!N10=0,"",SER_hh_tes_in!N10/SER_hh_fec_in!N10)</f>
        <v>0.53586134071363278</v>
      </c>
      <c r="O10" s="136">
        <f>IF(SER_hh_tes_in!O10=0,"",SER_hh_tes_in!O10/SER_hh_fec_in!O10)</f>
        <v>0.53604135542583209</v>
      </c>
      <c r="P10" s="136">
        <f>IF(SER_hh_tes_in!P10=0,"",SER_hh_tes_in!P10/SER_hh_fec_in!P10)</f>
        <v>0.53619661219430859</v>
      </c>
      <c r="Q10" s="136">
        <f>IF(SER_hh_tes_in!Q10=0,"",SER_hh_tes_in!Q10/SER_hh_fec_in!Q10)</f>
        <v>0.53638186254658327</v>
      </c>
      <c r="R10" s="136">
        <f>IF(SER_hh_tes_in!R10=0,"",SER_hh_tes_in!R10/SER_hh_fec_in!R10)</f>
        <v>0.53665934361644252</v>
      </c>
      <c r="S10" s="136">
        <f>IF(SER_hh_tes_in!S10=0,"",SER_hh_tes_in!S10/SER_hh_fec_in!S10)</f>
        <v>0.53697164524591179</v>
      </c>
      <c r="T10" s="136">
        <f>IF(SER_hh_tes_in!T10=0,"",SER_hh_tes_in!T10/SER_hh_fec_in!T10)</f>
        <v>0.5372866577948392</v>
      </c>
      <c r="U10" s="136">
        <f>IF(SER_hh_tes_in!U10=0,"",SER_hh_tes_in!U10/SER_hh_fec_in!U10)</f>
        <v>0.53757765031009563</v>
      </c>
      <c r="V10" s="136">
        <f>IF(SER_hh_tes_in!V10=0,"",SER_hh_tes_in!V10/SER_hh_fec_in!V10)</f>
        <v>0.53782174134303373</v>
      </c>
      <c r="W10" s="136">
        <f>IF(SER_hh_tes_in!W10=0,"",SER_hh_tes_in!W10/SER_hh_fec_in!W10)</f>
        <v>0.53801782605030435</v>
      </c>
      <c r="X10" s="136">
        <f>IF(SER_hh_tes_in!X10=0,"",SER_hh_tes_in!X10/SER_hh_fec_in!X10)</f>
        <v>0.54319161893466694</v>
      </c>
      <c r="Y10" s="136">
        <f>IF(SER_hh_tes_in!Y10=0,"",SER_hh_tes_in!Y10/SER_hh_fec_in!Y10)</f>
        <v>0.54806741945722259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>
        <f>IF(SER_hh_tes_in!C11=0,"",SER_hh_tes_in!C11/SER_hh_fec_in!C11)</f>
        <v>0.77113765189697581</v>
      </c>
      <c r="D11" s="136">
        <f>IF(SER_hh_tes_in!D11=0,"",SER_hh_tes_in!D11/SER_hh_fec_in!D11)</f>
        <v>0.77567522119216381</v>
      </c>
      <c r="E11" s="136">
        <f>IF(SER_hh_tes_in!E11=0,"",SER_hh_tes_in!E11/SER_hh_fec_in!E11)</f>
        <v>0.78021348134175383</v>
      </c>
      <c r="F11" s="136">
        <f>IF(SER_hh_tes_in!F11=0,"",SER_hh_tes_in!F11/SER_hh_fec_in!F11)</f>
        <v>0.78475183569876272</v>
      </c>
      <c r="G11" s="136">
        <f>IF(SER_hh_tes_in!G11=0,"",SER_hh_tes_in!G11/SER_hh_fec_in!G11)</f>
        <v>0.78929082629204061</v>
      </c>
      <c r="H11" s="136">
        <f>IF(SER_hh_tes_in!H11=0,"",SER_hh_tes_in!H11/SER_hh_fec_in!H11)</f>
        <v>0.79383038678415707</v>
      </c>
      <c r="I11" s="136">
        <f>IF(SER_hh_tes_in!I11=0,"",SER_hh_tes_in!I11/SER_hh_fec_in!I11)</f>
        <v>0.7983706507310373</v>
      </c>
      <c r="J11" s="136">
        <f>IF(SER_hh_tes_in!J11=0,"",SER_hh_tes_in!J11/SER_hh_fec_in!J11)</f>
        <v>0.80291216526416431</v>
      </c>
      <c r="K11" s="136">
        <f>IF(SER_hh_tes_in!K11=0,"",SER_hh_tes_in!K11/SER_hh_fec_in!K11)</f>
        <v>0.8074553955892092</v>
      </c>
      <c r="L11" s="136">
        <f>IF(SER_hh_tes_in!L11=0,"",SER_hh_tes_in!L11/SER_hh_fec_in!L11)</f>
        <v>0.812000466167762</v>
      </c>
      <c r="M11" s="136">
        <f>IF(SER_hh_tes_in!M11=0,"",SER_hh_tes_in!M11/SER_hh_fec_in!M11)</f>
        <v>0.81659410631809681</v>
      </c>
      <c r="N11" s="136">
        <f>IF(SER_hh_tes_in!N11=0,"",SER_hh_tes_in!N11/SER_hh_fec_in!N11)</f>
        <v>0.82125379245944052</v>
      </c>
      <c r="O11" s="136">
        <f>IF(SER_hh_tes_in!O11=0,"",SER_hh_tes_in!O11/SER_hh_fec_in!O11)</f>
        <v>0.82595830717531571</v>
      </c>
      <c r="P11" s="136">
        <f>IF(SER_hh_tes_in!P11=0,"",SER_hh_tes_in!P11/SER_hh_fec_in!P11)</f>
        <v>0.83060931343742861</v>
      </c>
      <c r="Q11" s="136">
        <f>IF(SER_hh_tes_in!Q11=0,"",SER_hh_tes_in!Q11/SER_hh_fec_in!Q11)</f>
        <v>0.83493324353553677</v>
      </c>
      <c r="R11" s="136">
        <f>IF(SER_hh_tes_in!R11=0,"",SER_hh_tes_in!R11/SER_hh_fec_in!R11)</f>
        <v>0.8387055933008839</v>
      </c>
      <c r="S11" s="136">
        <f>IF(SER_hh_tes_in!S11=0,"",SER_hh_tes_in!S11/SER_hh_fec_in!S11)</f>
        <v>0.8421794655671283</v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0.78305711439016212</v>
      </c>
      <c r="D12" s="136">
        <f>IF(SER_hh_tes_in!D12=0,"",SER_hh_tes_in!D12/SER_hh_fec_in!D12)</f>
        <v>0.78532911793106852</v>
      </c>
      <c r="E12" s="136">
        <f>IF(SER_hh_tes_in!E12=0,"",SER_hh_tes_in!E12/SER_hh_fec_in!E12)</f>
        <v>0.78766245964011672</v>
      </c>
      <c r="F12" s="136">
        <f>IF(SER_hh_tes_in!F12=0,"",SER_hh_tes_in!F12/SER_hh_fec_in!F12)</f>
        <v>0.79000416564482046</v>
      </c>
      <c r="G12" s="136">
        <f>IF(SER_hh_tes_in!G12=0,"",SER_hh_tes_in!G12/SER_hh_fec_in!G12)</f>
        <v>0.79240236049453083</v>
      </c>
      <c r="H12" s="136" t="str">
        <f>IF(SER_hh_tes_in!H12=0,"",SER_hh_tes_in!H12/SER_hh_fec_in!H12)</f>
        <v/>
      </c>
      <c r="I12" s="136" t="str">
        <f>IF(SER_hh_tes_in!I12=0,"",SER_hh_tes_in!I12/SER_hh_fec_in!I12)</f>
        <v/>
      </c>
      <c r="J12" s="136">
        <f>IF(SER_hh_tes_in!J12=0,"",SER_hh_tes_in!J12/SER_hh_fec_in!J12)</f>
        <v>0.79998469038308795</v>
      </c>
      <c r="K12" s="136">
        <f>IF(SER_hh_tes_in!K12=0,"",SER_hh_tes_in!K12/SER_hh_fec_in!K12)</f>
        <v>0.80275931386803612</v>
      </c>
      <c r="L12" s="136">
        <f>IF(SER_hh_tes_in!L12=0,"",SER_hh_tes_in!L12/SER_hh_fec_in!L12)</f>
        <v>0.80569732601880673</v>
      </c>
      <c r="M12" s="136">
        <f>IF(SER_hh_tes_in!M12=0,"",SER_hh_tes_in!M12/SER_hh_fec_in!M12)</f>
        <v>0.80976537062588239</v>
      </c>
      <c r="N12" s="136" t="str">
        <f>IF(SER_hh_tes_in!N12=0,"",SER_hh_tes_in!N12/SER_hh_fec_in!N12)</f>
        <v/>
      </c>
      <c r="O12" s="136" t="str">
        <f>IF(SER_hh_tes_in!O12=0,"",SER_hh_tes_in!O12/SER_hh_fec_in!O12)</f>
        <v/>
      </c>
      <c r="P12" s="136" t="str">
        <f>IF(SER_hh_tes_in!P12=0,"",SER_hh_tes_in!P12/SER_hh_fec_in!P12)</f>
        <v/>
      </c>
      <c r="Q12" s="136" t="str">
        <f>IF(SER_hh_tes_in!Q12=0,"",SER_hh_tes_in!Q12/SER_hh_fec_in!Q12)</f>
        <v/>
      </c>
      <c r="R12" s="136">
        <f>IF(SER_hh_tes_in!R12=0,"",SER_hh_tes_in!R12/SER_hh_fec_in!R12)</f>
        <v>0.8448774058027404</v>
      </c>
      <c r="S12" s="136">
        <f>IF(SER_hh_tes_in!S12=0,"",SER_hh_tes_in!S12/SER_hh_fec_in!S12)</f>
        <v>0.85078604108908917</v>
      </c>
      <c r="T12" s="136">
        <f>IF(SER_hh_tes_in!T12=0,"",SER_hh_tes_in!T12/SER_hh_fec_in!T12)</f>
        <v>0.85649019383892799</v>
      </c>
      <c r="U12" s="136">
        <f>IF(SER_hh_tes_in!U12=0,"",SER_hh_tes_in!U12/SER_hh_fec_in!U12)</f>
        <v>0.86195038508476995</v>
      </c>
      <c r="V12" s="136">
        <f>IF(SER_hh_tes_in!V12=0,"",SER_hh_tes_in!V12/SER_hh_fec_in!V12)</f>
        <v>0.86712713585912116</v>
      </c>
      <c r="W12" s="136">
        <f>IF(SER_hh_tes_in!W12=0,"",SER_hh_tes_in!W12/SER_hh_fec_in!W12)</f>
        <v>0.87189592111596315</v>
      </c>
      <c r="X12" s="136">
        <f>IF(SER_hh_tes_in!X12=0,"",SER_hh_tes_in!X12/SER_hh_fec_in!X12)</f>
        <v>0.87653680875283546</v>
      </c>
      <c r="Y12" s="136">
        <f>IF(SER_hh_tes_in!Y12=0,"",SER_hh_tes_in!Y12/SER_hh_fec_in!Y12)</f>
        <v>0.88099644874580851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1.5694820663292355</v>
      </c>
      <c r="D13" s="136">
        <f>IF(SER_hh_tes_in!D13=0,"",SER_hh_tes_in!D13/SER_hh_fec_in!D13)</f>
        <v>1.6613632434218211</v>
      </c>
      <c r="E13" s="136">
        <f>IF(SER_hh_tes_in!E13=0,"",SER_hh_tes_in!E13/SER_hh_fec_in!E13)</f>
        <v>1.7547913612056125</v>
      </c>
      <c r="F13" s="136">
        <f>IF(SER_hh_tes_in!F13=0,"",SER_hh_tes_in!F13/SER_hh_fec_in!F13)</f>
        <v>1.8488657033879676</v>
      </c>
      <c r="G13" s="136">
        <f>IF(SER_hh_tes_in!G13=0,"",SER_hh_tes_in!G13/SER_hh_fec_in!G13)</f>
        <v>1.944406937820178</v>
      </c>
      <c r="H13" s="136">
        <f>IF(SER_hh_tes_in!H13=0,"",SER_hh_tes_in!H13/SER_hh_fec_in!H13)</f>
        <v>2.0413163392928242</v>
      </c>
      <c r="I13" s="136">
        <f>IF(SER_hh_tes_in!I13=0,"",SER_hh_tes_in!I13/SER_hh_fec_in!I13)</f>
        <v>2.1397979153288444</v>
      </c>
      <c r="J13" s="136">
        <f>IF(SER_hh_tes_in!J13=0,"",SER_hh_tes_in!J13/SER_hh_fec_in!J13)</f>
        <v>2.24068343478113</v>
      </c>
      <c r="K13" s="136">
        <f>IF(SER_hh_tes_in!K13=0,"",SER_hh_tes_in!K13/SER_hh_fec_in!K13)</f>
        <v>2.3446826922031927</v>
      </c>
      <c r="L13" s="136">
        <f>IF(SER_hh_tes_in!L13=0,"",SER_hh_tes_in!L13/SER_hh_fec_in!L13)</f>
        <v>2.451990269817923</v>
      </c>
      <c r="M13" s="136">
        <f>IF(SER_hh_tes_in!M13=0,"",SER_hh_tes_in!M13/SER_hh_fec_in!M13)</f>
        <v>2.5832052273430275</v>
      </c>
      <c r="N13" s="136">
        <f>IF(SER_hh_tes_in!N13=0,"",SER_hh_tes_in!N13/SER_hh_fec_in!N13)</f>
        <v>2.7454309303642077</v>
      </c>
      <c r="O13" s="136">
        <f>IF(SER_hh_tes_in!O13=0,"",SER_hh_tes_in!O13/SER_hh_fec_in!O13)</f>
        <v>2.9411077671127819</v>
      </c>
      <c r="P13" s="136">
        <f>IF(SER_hh_tes_in!P13=0,"",SER_hh_tes_in!P13/SER_hh_fec_in!P13)</f>
        <v>3.1505053383109836</v>
      </c>
      <c r="Q13" s="136">
        <f>IF(SER_hh_tes_in!Q13=0,"",SER_hh_tes_in!Q13/SER_hh_fec_in!Q13)</f>
        <v>3.3133471335986462</v>
      </c>
      <c r="R13" s="136">
        <f>IF(SER_hh_tes_in!R13=0,"",SER_hh_tes_in!R13/SER_hh_fec_in!R13)</f>
        <v>3.4693550569935838</v>
      </c>
      <c r="S13" s="136">
        <f>IF(SER_hh_tes_in!S13=0,"",SER_hh_tes_in!S13/SER_hh_fec_in!S13)</f>
        <v>3.5703912894039012</v>
      </c>
      <c r="T13" s="136">
        <f>IF(SER_hh_tes_in!T13=0,"",SER_hh_tes_in!T13/SER_hh_fec_in!T13)</f>
        <v>3.6333750248135304</v>
      </c>
      <c r="U13" s="136">
        <f>IF(SER_hh_tes_in!U13=0,"",SER_hh_tes_in!U13/SER_hh_fec_in!U13)</f>
        <v>3.6757451849446219</v>
      </c>
      <c r="V13" s="136">
        <f>IF(SER_hh_tes_in!V13=0,"",SER_hh_tes_in!V13/SER_hh_fec_in!V13)</f>
        <v>3.7147223222541497</v>
      </c>
      <c r="W13" s="136">
        <f>IF(SER_hh_tes_in!W13=0,"",SER_hh_tes_in!W13/SER_hh_fec_in!W13)</f>
        <v>3.7537220322631164</v>
      </c>
      <c r="X13" s="136">
        <f>IF(SER_hh_tes_in!X13=0,"",SER_hh_tes_in!X13/SER_hh_fec_in!X13)</f>
        <v>3.7864054630586117</v>
      </c>
      <c r="Y13" s="136">
        <f>IF(SER_hh_tes_in!Y13=0,"",SER_hh_tes_in!Y13/SER_hh_fec_in!Y13)</f>
        <v>3.8144383982273218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0.70991476953473986</v>
      </c>
      <c r="D14" s="137">
        <f>IF(SER_hh_tes_in!D14=0,"",SER_hh_tes_in!D14/SER_hh_fec_in!D14)</f>
        <v>0.71376008484392472</v>
      </c>
      <c r="E14" s="137">
        <f>IF(SER_hh_tes_in!E14=0,"",SER_hh_tes_in!E14/SER_hh_fec_in!E14)</f>
        <v>0.71759468969919016</v>
      </c>
      <c r="F14" s="137" t="str">
        <f>IF(SER_hh_tes_in!F14=0,"",SER_hh_tes_in!F14/SER_hh_fec_in!F14)</f>
        <v/>
      </c>
      <c r="G14" s="137" t="str">
        <f>IF(SER_hh_tes_in!G14=0,"",SER_hh_tes_in!G14/SER_hh_fec_in!G14)</f>
        <v/>
      </c>
      <c r="H14" s="137" t="str">
        <f>IF(SER_hh_tes_in!H14=0,"",SER_hh_tes_in!H14/SER_hh_fec_in!H14)</f>
        <v/>
      </c>
      <c r="I14" s="137" t="str">
        <f>IF(SER_hh_tes_in!I14=0,"",SER_hh_tes_in!I14/SER_hh_fec_in!I14)</f>
        <v/>
      </c>
      <c r="J14" s="137">
        <f>IF(SER_hh_tes_in!J14=0,"",SER_hh_tes_in!J14/SER_hh_fec_in!J14)</f>
        <v>0.73665218597643845</v>
      </c>
      <c r="K14" s="137">
        <f>IF(SER_hh_tes_in!K14=0,"",SER_hh_tes_in!K14/SER_hh_fec_in!K14)</f>
        <v>0.7404110443028693</v>
      </c>
      <c r="L14" s="137">
        <f>IF(SER_hh_tes_in!L14=0,"",SER_hh_tes_in!L14/SER_hh_fec_in!L14)</f>
        <v>0.74414258709458592</v>
      </c>
      <c r="M14" s="137">
        <f>IF(SER_hh_tes_in!M14=0,"",SER_hh_tes_in!M14/SER_hh_fec_in!M14)</f>
        <v>0.7471602910807349</v>
      </c>
      <c r="N14" s="137">
        <f>IF(SER_hh_tes_in!N14=0,"",SER_hh_tes_in!N14/SER_hh_fec_in!N14)</f>
        <v>0.74921611231422169</v>
      </c>
      <c r="O14" s="137">
        <f>IF(SER_hh_tes_in!O14=0,"",SER_hh_tes_in!O14/SER_hh_fec_in!O14)</f>
        <v>0.75063807432705676</v>
      </c>
      <c r="P14" s="137">
        <f>IF(SER_hh_tes_in!P14=0,"",SER_hh_tes_in!P14/SER_hh_fec_in!P14)</f>
        <v>0.75286500132016521</v>
      </c>
      <c r="Q14" s="137">
        <f>IF(SER_hh_tes_in!Q14=0,"",SER_hh_tes_in!Q14/SER_hh_fec_in!Q14)</f>
        <v>0.75980518647283246</v>
      </c>
      <c r="R14" s="137">
        <f>IF(SER_hh_tes_in!R14=0,"",SER_hh_tes_in!R14/SER_hh_fec_in!R14)</f>
        <v>0.77605986523370296</v>
      </c>
      <c r="S14" s="137">
        <f>IF(SER_hh_tes_in!S14=0,"",SER_hh_tes_in!S14/SER_hh_fec_in!S14)</f>
        <v>0.79795805212920123</v>
      </c>
      <c r="T14" s="137">
        <f>IF(SER_hh_tes_in!T14=0,"",SER_hh_tes_in!T14/SER_hh_fec_in!T14)</f>
        <v>0.82249068620554977</v>
      </c>
      <c r="U14" s="137" t="str">
        <f>IF(SER_hh_tes_in!U14=0,"",SER_hh_tes_in!U14/SER_hh_fec_in!U14)</f>
        <v/>
      </c>
      <c r="V14" s="137" t="str">
        <f>IF(SER_hh_tes_in!V14=0,"",SER_hh_tes_in!V14/SER_hh_fec_in!V14)</f>
        <v/>
      </c>
      <c r="W14" s="137" t="str">
        <f>IF(SER_hh_tes_in!W14=0,"",SER_hh_tes_in!W14/SER_hh_fec_in!W14)</f>
        <v/>
      </c>
      <c r="X14" s="137" t="str">
        <f>IF(SER_hh_tes_in!X14=0,"",SER_hh_tes_in!X14/SER_hh_fec_in!X14)</f>
        <v/>
      </c>
      <c r="Y14" s="137" t="str">
        <f>IF(SER_hh_tes_in!Y14=0,"",SER_hh_tes_in!Y14/SER_hh_fec_in!Y14)</f>
        <v/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2.2079447925003364</v>
      </c>
      <c r="D16" s="135">
        <f>IF(SER_hh_tes_in!D16=0,"",SER_hh_tes_in!D16/SER_hh_fec_in!D16)</f>
        <v>2.3125389085024848</v>
      </c>
      <c r="E16" s="135">
        <f>IF(SER_hh_tes_in!E16=0,"",SER_hh_tes_in!E16/SER_hh_fec_in!E16)</f>
        <v>2.4002643122457208</v>
      </c>
      <c r="F16" s="135">
        <f>IF(SER_hh_tes_in!F16=0,"",SER_hh_tes_in!F16/SER_hh_fec_in!F16)</f>
        <v>2.4965911638238025</v>
      </c>
      <c r="G16" s="135">
        <f>IF(SER_hh_tes_in!G16=0,"",SER_hh_tes_in!G16/SER_hh_fec_in!G16)</f>
        <v>2.5687600036791292</v>
      </c>
      <c r="H16" s="135">
        <f>IF(SER_hh_tes_in!H16=0,"",SER_hh_tes_in!H16/SER_hh_fec_in!H16)</f>
        <v>2.672132899276868</v>
      </c>
      <c r="I16" s="135">
        <f>IF(SER_hh_tes_in!I16=0,"",SER_hh_tes_in!I16/SER_hh_fec_in!I16)</f>
        <v>2.7748169462080439</v>
      </c>
      <c r="J16" s="135">
        <f>IF(SER_hh_tes_in!J16=0,"",SER_hh_tes_in!J16/SER_hh_fec_in!J16)</f>
        <v>2.8636373553941983</v>
      </c>
      <c r="K16" s="135">
        <f>IF(SER_hh_tes_in!K16=0,"",SER_hh_tes_in!K16/SER_hh_fec_in!K16)</f>
        <v>2.9689117756265437</v>
      </c>
      <c r="L16" s="135">
        <f>IF(SER_hh_tes_in!L16=0,"",SER_hh_tes_in!L16/SER_hh_fec_in!L16)</f>
        <v>3.063105919208164</v>
      </c>
      <c r="M16" s="135">
        <f>IF(SER_hh_tes_in!M16=0,"",SER_hh_tes_in!M16/SER_hh_fec_in!M16)</f>
        <v>3.1680314882000151</v>
      </c>
      <c r="N16" s="135">
        <f>IF(SER_hh_tes_in!N16=0,"",SER_hh_tes_in!N16/SER_hh_fec_in!N16)</f>
        <v>3.3167298677993315</v>
      </c>
      <c r="O16" s="135">
        <f>IF(SER_hh_tes_in!O16=0,"",SER_hh_tes_in!O16/SER_hh_fec_in!O16)</f>
        <v>3.4238319135983089</v>
      </c>
      <c r="P16" s="135">
        <f>IF(SER_hh_tes_in!P16=0,"",SER_hh_tes_in!P16/SER_hh_fec_in!P16)</f>
        <v>3.5333422620193313</v>
      </c>
      <c r="Q16" s="135">
        <f>IF(SER_hh_tes_in!Q16=0,"",SER_hh_tes_in!Q16/SER_hh_fec_in!Q16)</f>
        <v>3.6813241160377239</v>
      </c>
      <c r="R16" s="135">
        <f>IF(SER_hh_tes_in!R16=0,"",SER_hh_tes_in!R16/SER_hh_fec_in!R16)</f>
        <v>3.6634635929799586</v>
      </c>
      <c r="S16" s="135">
        <f>IF(SER_hh_tes_in!S16=0,"",SER_hh_tes_in!S16/SER_hh_fec_in!S16)</f>
        <v>3.8454257429905647</v>
      </c>
      <c r="T16" s="135">
        <f>IF(SER_hh_tes_in!T16=0,"",SER_hh_tes_in!T16/SER_hh_fec_in!T16)</f>
        <v>3.8315985386431932</v>
      </c>
      <c r="U16" s="135">
        <f>IF(SER_hh_tes_in!U16=0,"",SER_hh_tes_in!U16/SER_hh_fec_in!U16)</f>
        <v>3.9034011375190323</v>
      </c>
      <c r="V16" s="135">
        <f>IF(SER_hh_tes_in!V16=0,"",SER_hh_tes_in!V16/SER_hh_fec_in!V16)</f>
        <v>3.8781699048228795</v>
      </c>
      <c r="W16" s="135">
        <f>IF(SER_hh_tes_in!W16=0,"",SER_hh_tes_in!W16/SER_hh_fec_in!W16)</f>
        <v>3.9180759102768627</v>
      </c>
      <c r="X16" s="135">
        <f>IF(SER_hh_tes_in!X16=0,"",SER_hh_tes_in!X16/SER_hh_fec_in!X16)</f>
        <v>3.9434257498697161</v>
      </c>
      <c r="Y16" s="135">
        <f>IF(SER_hh_tes_in!Y16=0,"",SER_hh_tes_in!Y16/SER_hh_fec_in!Y16)</f>
        <v>3.944514309117396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1.1532888287311529</v>
      </c>
      <c r="D17" s="136" t="str">
        <f>IF(SER_hh_tes_in!D17=0,"",SER_hh_tes_in!D17/SER_hh_fec_in!D17)</f>
        <v/>
      </c>
      <c r="E17" s="136">
        <f>IF(SER_hh_tes_in!E17=0,"",SER_hh_tes_in!E17/SER_hh_fec_in!E17)</f>
        <v>1.1881841317727131</v>
      </c>
      <c r="F17" s="136" t="str">
        <f>IF(SER_hh_tes_in!F17=0,"",SER_hh_tes_in!F17/SER_hh_fec_in!F17)</f>
        <v/>
      </c>
      <c r="G17" s="136">
        <f>IF(SER_hh_tes_in!G17=0,"",SER_hh_tes_in!G17/SER_hh_fec_in!G17)</f>
        <v>1.2218110346269528</v>
      </c>
      <c r="H17" s="136">
        <f>IF(SER_hh_tes_in!H17=0,"",SER_hh_tes_in!H17/SER_hh_fec_in!H17)</f>
        <v>1.2382782904771485</v>
      </c>
      <c r="I17" s="136">
        <f>IF(SER_hh_tes_in!I17=0,"",SER_hh_tes_in!I17/SER_hh_fec_in!I17)</f>
        <v>1.2545612043826488</v>
      </c>
      <c r="J17" s="136">
        <f>IF(SER_hh_tes_in!J17=0,"",SER_hh_tes_in!J17/SER_hh_fec_in!J17)</f>
        <v>1.2707898714959427</v>
      </c>
      <c r="K17" s="136">
        <f>IF(SER_hh_tes_in!K17=0,"",SER_hh_tes_in!K17/SER_hh_fec_in!K17)</f>
        <v>1.2870684588508723</v>
      </c>
      <c r="L17" s="136">
        <f>IF(SER_hh_tes_in!L17=0,"",SER_hh_tes_in!L17/SER_hh_fec_in!L17)</f>
        <v>1.303423295281678</v>
      </c>
      <c r="M17" s="136">
        <f>IF(SER_hh_tes_in!M17=0,"",SER_hh_tes_in!M17/SER_hh_fec_in!M17)</f>
        <v>1.3224913261464</v>
      </c>
      <c r="N17" s="136">
        <f>IF(SER_hh_tes_in!N17=0,"",SER_hh_tes_in!N17/SER_hh_fec_in!N17)</f>
        <v>1.3442627111021777</v>
      </c>
      <c r="O17" s="136">
        <f>IF(SER_hh_tes_in!O17=0,"",SER_hh_tes_in!O17/SER_hh_fec_in!O17)</f>
        <v>1.3682896422475168</v>
      </c>
      <c r="P17" s="136">
        <f>IF(SER_hh_tes_in!P17=0,"",SER_hh_tes_in!P17/SER_hh_fec_in!P17)</f>
        <v>1.3920932455298665</v>
      </c>
      <c r="Q17" s="136">
        <f>IF(SER_hh_tes_in!Q17=0,"",SER_hh_tes_in!Q17/SER_hh_fec_in!Q17)</f>
        <v>1.4100793227360411</v>
      </c>
      <c r="R17" s="136">
        <f>IF(SER_hh_tes_in!R17=0,"",SER_hh_tes_in!R17/SER_hh_fec_in!R17)</f>
        <v>1.4330055683720053</v>
      </c>
      <c r="S17" s="136">
        <f>IF(SER_hh_tes_in!S17=0,"",SER_hh_tes_in!S17/SER_hh_fec_in!S17)</f>
        <v>1.46166947648804</v>
      </c>
      <c r="T17" s="136">
        <f>IF(SER_hh_tes_in!T17=0,"",SER_hh_tes_in!T17/SER_hh_fec_in!T17)</f>
        <v>1.4922225605550663</v>
      </c>
      <c r="U17" s="136">
        <f>IF(SER_hh_tes_in!U17=0,"",SER_hh_tes_in!U17/SER_hh_fec_in!U17)</f>
        <v>1.5201622044573639</v>
      </c>
      <c r="V17" s="136">
        <f>IF(SER_hh_tes_in!V17=0,"",SER_hh_tes_in!V17/SER_hh_fec_in!V17)</f>
        <v>1.5454216002541341</v>
      </c>
      <c r="W17" s="136">
        <f>IF(SER_hh_tes_in!W17=0,"",SER_hh_tes_in!W17/SER_hh_fec_in!W17)</f>
        <v>1.5647387196707954</v>
      </c>
      <c r="X17" s="136">
        <f>IF(SER_hh_tes_in!X17=0,"",SER_hh_tes_in!X17/SER_hh_fec_in!X17)</f>
        <v>1.5722457992587027</v>
      </c>
      <c r="Y17" s="136">
        <f>IF(SER_hh_tes_in!Y17=0,"",SER_hh_tes_in!Y17/SER_hh_fec_in!Y17)</f>
        <v>1.5734662097467034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2.22223469318542</v>
      </c>
      <c r="D18" s="136">
        <f>IF(SER_hh_tes_in!D18=0,"",SER_hh_tes_in!D18/SER_hh_fec_in!D18)</f>
        <v>2.3125389085024848</v>
      </c>
      <c r="E18" s="136">
        <f>IF(SER_hh_tes_in!E18=0,"",SER_hh_tes_in!E18/SER_hh_fec_in!E18)</f>
        <v>2.4041969576531628</v>
      </c>
      <c r="F18" s="136">
        <f>IF(SER_hh_tes_in!F18=0,"",SER_hh_tes_in!F18/SER_hh_fec_in!F18)</f>
        <v>2.4965911638238025</v>
      </c>
      <c r="G18" s="136">
        <f>IF(SER_hh_tes_in!G18=0,"",SER_hh_tes_in!G18/SER_hh_fec_in!G18)</f>
        <v>2.5902567966458228</v>
      </c>
      <c r="H18" s="136">
        <f>IF(SER_hh_tes_in!H18=0,"",SER_hh_tes_in!H18/SER_hh_fec_in!H18)</f>
        <v>2.6851097322798023</v>
      </c>
      <c r="I18" s="136">
        <f>IF(SER_hh_tes_in!I18=0,"",SER_hh_tes_in!I18/SER_hh_fec_in!I18)</f>
        <v>2.7812621734145506</v>
      </c>
      <c r="J18" s="136">
        <f>IF(SER_hh_tes_in!J18=0,"",SER_hh_tes_in!J18/SER_hh_fec_in!J18)</f>
        <v>2.8792170040655951</v>
      </c>
      <c r="K18" s="136">
        <f>IF(SER_hh_tes_in!K18=0,"",SER_hh_tes_in!K18/SER_hh_fec_in!K18)</f>
        <v>2.979372550303605</v>
      </c>
      <c r="L18" s="136">
        <f>IF(SER_hh_tes_in!L18=0,"",SER_hh_tes_in!L18/SER_hh_fec_in!L18)</f>
        <v>3.081781634452585</v>
      </c>
      <c r="M18" s="136">
        <f>IF(SER_hh_tes_in!M18=0,"",SER_hh_tes_in!M18/SER_hh_fec_in!M18)</f>
        <v>3.1991348963295292</v>
      </c>
      <c r="N18" s="136">
        <f>IF(SER_hh_tes_in!N18=0,"",SER_hh_tes_in!N18/SER_hh_fec_in!N18)</f>
        <v>3.3351996042673813</v>
      </c>
      <c r="O18" s="136">
        <f>IF(SER_hh_tes_in!O18=0,"",SER_hh_tes_in!O18/SER_hh_fec_in!O18)</f>
        <v>3.4897330322848545</v>
      </c>
      <c r="P18" s="136">
        <f>IF(SER_hh_tes_in!P18=0,"",SER_hh_tes_in!P18/SER_hh_fec_in!P18)</f>
        <v>3.6476959866772227</v>
      </c>
      <c r="Q18" s="136">
        <f>IF(SER_hh_tes_in!Q18=0,"",SER_hh_tes_in!Q18/SER_hh_fec_in!Q18)</f>
        <v>3.7689301322541233</v>
      </c>
      <c r="R18" s="136">
        <f>IF(SER_hh_tes_in!R18=0,"",SER_hh_tes_in!R18/SER_hh_fec_in!R18)</f>
        <v>3.8830565344704642</v>
      </c>
      <c r="S18" s="136">
        <f>IF(SER_hh_tes_in!S18=0,"",SER_hh_tes_in!S18/SER_hh_fec_in!S18)</f>
        <v>3.9421702061403128</v>
      </c>
      <c r="T18" s="136">
        <f>IF(SER_hh_tes_in!T18=0,"",SER_hh_tes_in!T18/SER_hh_fec_in!T18)</f>
        <v>3.9801263573810335</v>
      </c>
      <c r="U18" s="136">
        <f>IF(SER_hh_tes_in!U18=0,"",SER_hh_tes_in!U18/SER_hh_fec_in!U18)</f>
        <v>4.0069952978477668</v>
      </c>
      <c r="V18" s="136">
        <f>IF(SER_hh_tes_in!V18=0,"",SER_hh_tes_in!V18/SER_hh_fec_in!V18)</f>
        <v>4.0331591832062275</v>
      </c>
      <c r="W18" s="136">
        <f>IF(SER_hh_tes_in!W18=0,"",SER_hh_tes_in!W18/SER_hh_fec_in!W18)</f>
        <v>4.0586188330726314</v>
      </c>
      <c r="X18" s="136">
        <f>IF(SER_hh_tes_in!X18=0,"",SER_hh_tes_in!X18/SER_hh_fec_in!X18)</f>
        <v>4.0787653608677132</v>
      </c>
      <c r="Y18" s="136">
        <f>IF(SER_hh_tes_in!Y18=0,"",SER_hh_tes_in!Y18/SER_hh_fec_in!Y18)</f>
        <v>4.0962926241409345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0.61306388051706151</v>
      </c>
      <c r="D19" s="135">
        <f>IF(SER_hh_tes_in!D19=0,"",SER_hh_tes_in!D19/SER_hh_fec_in!D19)</f>
        <v>0.66544876923673313</v>
      </c>
      <c r="E19" s="135">
        <f>IF(SER_hh_tes_in!E19=0,"",SER_hh_tes_in!E19/SER_hh_fec_in!E19)</f>
        <v>0.65083826718073401</v>
      </c>
      <c r="F19" s="135">
        <f>IF(SER_hh_tes_in!F19=0,"",SER_hh_tes_in!F19/SER_hh_fec_in!F19)</f>
        <v>0.65022640049267555</v>
      </c>
      <c r="G19" s="135">
        <f>IF(SER_hh_tes_in!G19=0,"",SER_hh_tes_in!G19/SER_hh_fec_in!G19)</f>
        <v>0.64508079793380924</v>
      </c>
      <c r="H19" s="135">
        <f>IF(SER_hh_tes_in!H19=0,"",SER_hh_tes_in!H19/SER_hh_fec_in!H19)</f>
        <v>0.64380286378029561</v>
      </c>
      <c r="I19" s="135">
        <f>IF(SER_hh_tes_in!I19=0,"",SER_hh_tes_in!I19/SER_hh_fec_in!I19)</f>
        <v>0.6419110625643849</v>
      </c>
      <c r="J19" s="135">
        <f>IF(SER_hh_tes_in!J19=0,"",SER_hh_tes_in!J19/SER_hh_fec_in!J19)</f>
        <v>0.64913480097005938</v>
      </c>
      <c r="K19" s="135">
        <f>IF(SER_hh_tes_in!K19=0,"",SER_hh_tes_in!K19/SER_hh_fec_in!K19)</f>
        <v>0.66204341823517832</v>
      </c>
      <c r="L19" s="135">
        <f>IF(SER_hh_tes_in!L19=0,"",SER_hh_tes_in!L19/SER_hh_fec_in!L19)</f>
        <v>0.70567861211173344</v>
      </c>
      <c r="M19" s="135">
        <f>IF(SER_hh_tes_in!M19=0,"",SER_hh_tes_in!M19/SER_hh_fec_in!M19)</f>
        <v>0.67823055533820831</v>
      </c>
      <c r="N19" s="135">
        <f>IF(SER_hh_tes_in!N19=0,"",SER_hh_tes_in!N19/SER_hh_fec_in!N19)</f>
        <v>0.67344281912541692</v>
      </c>
      <c r="O19" s="135">
        <f>IF(SER_hh_tes_in!O19=0,"",SER_hh_tes_in!O19/SER_hh_fec_in!O19)</f>
        <v>0.69818365009109329</v>
      </c>
      <c r="P19" s="135">
        <f>IF(SER_hh_tes_in!P19=0,"",SER_hh_tes_in!P19/SER_hh_fec_in!P19)</f>
        <v>0.81823996148873401</v>
      </c>
      <c r="Q19" s="135">
        <f>IF(SER_hh_tes_in!Q19=0,"",SER_hh_tes_in!Q19/SER_hh_fec_in!Q19)</f>
        <v>0.7697599353910467</v>
      </c>
      <c r="R19" s="135">
        <f>IF(SER_hh_tes_in!R19=0,"",SER_hh_tes_in!R19/SER_hh_fec_in!R19)</f>
        <v>0.79775433427889397</v>
      </c>
      <c r="S19" s="135">
        <f>IF(SER_hh_tes_in!S19=0,"",SER_hh_tes_in!S19/SER_hh_fec_in!S19)</f>
        <v>0.81680969545003534</v>
      </c>
      <c r="T19" s="135">
        <f>IF(SER_hh_tes_in!T19=0,"",SER_hh_tes_in!T19/SER_hh_fec_in!T19)</f>
        <v>0.84566697412809355</v>
      </c>
      <c r="U19" s="135">
        <f>IF(SER_hh_tes_in!U19=0,"",SER_hh_tes_in!U19/SER_hh_fec_in!U19)</f>
        <v>0.85805397172893794</v>
      </c>
      <c r="V19" s="135">
        <f>IF(SER_hh_tes_in!V19=0,"",SER_hh_tes_in!V19/SER_hh_fec_in!V19)</f>
        <v>0.87765063074599514</v>
      </c>
      <c r="W19" s="135">
        <f>IF(SER_hh_tes_in!W19=0,"",SER_hh_tes_in!W19/SER_hh_fec_in!W19)</f>
        <v>0.87309833545957716</v>
      </c>
      <c r="X19" s="135">
        <f>IF(SER_hh_tes_in!X19=0,"",SER_hh_tes_in!X19/SER_hh_fec_in!X19)</f>
        <v>0.85771973708361027</v>
      </c>
      <c r="Y19" s="135">
        <f>IF(SER_hh_tes_in!Y19=0,"",SER_hh_tes_in!Y19/SER_hh_fec_in!Y19)</f>
        <v>0.89540081030058016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>
        <f>IF(SER_hh_tes_in!H20=0,"",SER_hh_tes_in!H20/SER_hh_fec_in!H20)</f>
        <v>0.63090365764548983</v>
      </c>
      <c r="I20" s="136">
        <f>IF(SER_hh_tes_in!I20=0,"",SER_hh_tes_in!I20/SER_hh_fec_in!I20)</f>
        <v>0.63750783318223192</v>
      </c>
      <c r="J20" s="136">
        <f>IF(SER_hh_tes_in!J20=0,"",SER_hh_tes_in!J20/SER_hh_fec_in!J20)</f>
        <v>0.64407680029262315</v>
      </c>
      <c r="K20" s="136">
        <f>IF(SER_hh_tes_in!K20=0,"",SER_hh_tes_in!K20/SER_hh_fec_in!K20)</f>
        <v>0.65059746179146039</v>
      </c>
      <c r="L20" s="136">
        <f>IF(SER_hh_tes_in!L20=0,"",SER_hh_tes_in!L20/SER_hh_fec_in!L20)</f>
        <v>0.65706631364474455</v>
      </c>
      <c r="M20" s="136">
        <f>IF(SER_hh_tes_in!M20=0,"",SER_hh_tes_in!M20/SER_hh_fec_in!M20)</f>
        <v>0.66304510456810084</v>
      </c>
      <c r="N20" s="136">
        <f>IF(SER_hh_tes_in!N20=0,"",SER_hh_tes_in!N20/SER_hh_fec_in!N20)</f>
        <v>0.66838534619523793</v>
      </c>
      <c r="O20" s="136">
        <f>IF(SER_hh_tes_in!O20=0,"",SER_hh_tes_in!O20/SER_hh_fec_in!O20)</f>
        <v>0.67309118080462316</v>
      </c>
      <c r="P20" s="136">
        <f>IF(SER_hh_tes_in!P20=0,"",SER_hh_tes_in!P20/SER_hh_fec_in!P20)</f>
        <v>0.67766453689579831</v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>
        <f>IF(SER_hh_tes_in!U20=0,"",SER_hh_tes_in!U20/SER_hh_fec_in!U20)</f>
        <v>0.72580741520607228</v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 t="str">
        <f>IF(SER_hh_tes_in!C22=0,"",SER_hh_tes_in!C22/SER_hh_fec_in!C22)</f>
        <v/>
      </c>
      <c r="D22" s="136" t="str">
        <f>IF(SER_hh_tes_in!D22=0,"",SER_hh_tes_in!D22/SER_hh_fec_in!D22)</f>
        <v/>
      </c>
      <c r="E22" s="136" t="str">
        <f>IF(SER_hh_tes_in!E22=0,"",SER_hh_tes_in!E22/SER_hh_fec_in!E22)</f>
        <v/>
      </c>
      <c r="F22" s="136" t="str">
        <f>IF(SER_hh_tes_in!F22=0,"",SER_hh_tes_in!F22/SER_hh_fec_in!F22)</f>
        <v/>
      </c>
      <c r="G22" s="136" t="str">
        <f>IF(SER_hh_tes_in!G22=0,"",SER_hh_tes_in!G22/SER_hh_fec_in!G22)</f>
        <v/>
      </c>
      <c r="H22" s="136" t="str">
        <f>IF(SER_hh_tes_in!H22=0,"",SER_hh_tes_in!H22/SER_hh_fec_in!H22)</f>
        <v/>
      </c>
      <c r="I22" s="136" t="str">
        <f>IF(SER_hh_tes_in!I22=0,"",SER_hh_tes_in!I22/SER_hh_fec_in!I22)</f>
        <v/>
      </c>
      <c r="J22" s="136" t="str">
        <f>IF(SER_hh_tes_in!J22=0,"",SER_hh_tes_in!J22/SER_hh_fec_in!J22)</f>
        <v/>
      </c>
      <c r="K22" s="136" t="str">
        <f>IF(SER_hh_tes_in!K22=0,"",SER_hh_tes_in!K22/SER_hh_fec_in!K22)</f>
        <v/>
      </c>
      <c r="L22" s="136" t="str">
        <f>IF(SER_hh_tes_in!L22=0,"",SER_hh_tes_in!L22/SER_hh_fec_in!L22)</f>
        <v/>
      </c>
      <c r="M22" s="136" t="str">
        <f>IF(SER_hh_tes_in!M22=0,"",SER_hh_tes_in!M22/SER_hh_fec_in!M22)</f>
        <v/>
      </c>
      <c r="N22" s="136" t="str">
        <f>IF(SER_hh_tes_in!N22=0,"",SER_hh_tes_in!N22/SER_hh_fec_in!N22)</f>
        <v/>
      </c>
      <c r="O22" s="136" t="str">
        <f>IF(SER_hh_tes_in!O22=0,"",SER_hh_tes_in!O22/SER_hh_fec_in!O22)</f>
        <v/>
      </c>
      <c r="P22" s="136" t="str">
        <f>IF(SER_hh_tes_in!P22=0,"",SER_hh_tes_in!P22/SER_hh_fec_in!P22)</f>
        <v/>
      </c>
      <c r="Q22" s="136" t="str">
        <f>IF(SER_hh_tes_in!Q22=0,"",SER_hh_tes_in!Q22/SER_hh_fec_in!Q22)</f>
        <v/>
      </c>
      <c r="R22" s="136" t="str">
        <f>IF(SER_hh_tes_in!R22=0,"",SER_hh_tes_in!R22/SER_hh_fec_in!R22)</f>
        <v/>
      </c>
      <c r="S22" s="136" t="str">
        <f>IF(SER_hh_tes_in!S22=0,"",SER_hh_tes_in!S22/SER_hh_fec_in!S22)</f>
        <v/>
      </c>
      <c r="T22" s="136" t="str">
        <f>IF(SER_hh_tes_in!T22=0,"",SER_hh_tes_in!T22/SER_hh_fec_in!T22)</f>
        <v/>
      </c>
      <c r="U22" s="136" t="str">
        <f>IF(SER_hh_tes_in!U22=0,"",SER_hh_tes_in!U22/SER_hh_fec_in!U22)</f>
        <v/>
      </c>
      <c r="V22" s="136" t="str">
        <f>IF(SER_hh_tes_in!V22=0,"",SER_hh_tes_in!V22/SER_hh_fec_in!V22)</f>
        <v/>
      </c>
      <c r="W22" s="136" t="str">
        <f>IF(SER_hh_tes_in!W22=0,"",SER_hh_tes_in!W22/SER_hh_fec_in!W22)</f>
        <v/>
      </c>
      <c r="X22" s="136" t="str">
        <f>IF(SER_hh_tes_in!X22=0,"",SER_hh_tes_in!X22/SER_hh_fec_in!X22)</f>
        <v/>
      </c>
      <c r="Y22" s="136" t="str">
        <f>IF(SER_hh_tes_in!Y22=0,"",SER_hh_tes_in!Y22/SER_hh_fec_in!Y22)</f>
        <v/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0.55472601477371375</v>
      </c>
      <c r="D23" s="136">
        <f>IF(SER_hh_tes_in!D23=0,"",SER_hh_tes_in!D23/SER_hh_fec_in!D23)</f>
        <v>0.56082134299463893</v>
      </c>
      <c r="E23" s="136">
        <f>IF(SER_hh_tes_in!E23=0,"",SER_hh_tes_in!E23/SER_hh_fec_in!E23)</f>
        <v>0.56719275370450295</v>
      </c>
      <c r="F23" s="136">
        <f>IF(SER_hh_tes_in!F23=0,"",SER_hh_tes_in!F23/SER_hh_fec_in!F23)</f>
        <v>0.5736132510066495</v>
      </c>
      <c r="G23" s="136">
        <f>IF(SER_hh_tes_in!G23=0,"",SER_hh_tes_in!G23/SER_hh_fec_in!G23)</f>
        <v>0.58028603023412639</v>
      </c>
      <c r="H23" s="136">
        <f>IF(SER_hh_tes_in!H23=0,"",SER_hh_tes_in!H23/SER_hh_fec_in!H23)</f>
        <v>0.58718411414475513</v>
      </c>
      <c r="I23" s="136">
        <f>IF(SER_hh_tes_in!I23=0,"",SER_hh_tes_in!I23/SER_hh_fec_in!I23)</f>
        <v>0.59435541103997325</v>
      </c>
      <c r="J23" s="136">
        <f>IF(SER_hh_tes_in!J23=0,"",SER_hh_tes_in!J23/SER_hh_fec_in!J23)</f>
        <v>0.60200107018402382</v>
      </c>
      <c r="K23" s="136">
        <f>IF(SER_hh_tes_in!K23=0,"",SER_hh_tes_in!K23/SER_hh_fec_in!K23)</f>
        <v>0.61028928899595003</v>
      </c>
      <c r="L23" s="136">
        <f>IF(SER_hh_tes_in!L23=0,"",SER_hh_tes_in!L23/SER_hh_fec_in!L23)</f>
        <v>0.61926003065117541</v>
      </c>
      <c r="M23" s="136">
        <f>IF(SER_hh_tes_in!M23=0,"",SER_hh_tes_in!M23/SER_hh_fec_in!M23)</f>
        <v>0.63310029602070272</v>
      </c>
      <c r="N23" s="136">
        <f>IF(SER_hh_tes_in!N23=0,"",SER_hh_tes_in!N23/SER_hh_fec_in!N23)</f>
        <v>0.6531028832457686</v>
      </c>
      <c r="O23" s="136">
        <f>IF(SER_hh_tes_in!O23=0,"",SER_hh_tes_in!O23/SER_hh_fec_in!O23)</f>
        <v>0.68019051357447213</v>
      </c>
      <c r="P23" s="136">
        <f>IF(SER_hh_tes_in!P23=0,"",SER_hh_tes_in!P23/SER_hh_fec_in!P23)</f>
        <v>0.71168623045892621</v>
      </c>
      <c r="Q23" s="136">
        <f>IF(SER_hh_tes_in!Q23=0,"",SER_hh_tes_in!Q23/SER_hh_fec_in!Q23)</f>
        <v>0.73926150539399993</v>
      </c>
      <c r="R23" s="136">
        <f>IF(SER_hh_tes_in!R23=0,"",SER_hh_tes_in!R23/SER_hh_fec_in!R23)</f>
        <v>0.75611753165067397</v>
      </c>
      <c r="S23" s="136">
        <f>IF(SER_hh_tes_in!S23=0,"",SER_hh_tes_in!S23/SER_hh_fec_in!S23)</f>
        <v>0.77047234368337536</v>
      </c>
      <c r="T23" s="136" t="str">
        <f>IF(SER_hh_tes_in!T23=0,"",SER_hh_tes_in!T23/SER_hh_fec_in!T23)</f>
        <v/>
      </c>
      <c r="U23" s="136" t="str">
        <f>IF(SER_hh_tes_in!U23=0,"",SER_hh_tes_in!U23/SER_hh_fec_in!U23)</f>
        <v/>
      </c>
      <c r="V23" s="136">
        <f>IF(SER_hh_tes_in!V23=0,"",SER_hh_tes_in!V23/SER_hh_fec_in!V23)</f>
        <v>0.80071328401142494</v>
      </c>
      <c r="W23" s="136">
        <f>IF(SER_hh_tes_in!W23=0,"",SER_hh_tes_in!W23/SER_hh_fec_in!W23)</f>
        <v>0.80610332174688981</v>
      </c>
      <c r="X23" s="136">
        <f>IF(SER_hh_tes_in!X23=0,"",SER_hh_tes_in!X23/SER_hh_fec_in!X23)</f>
        <v>0.80872705843077208</v>
      </c>
      <c r="Y23" s="136">
        <f>IF(SER_hh_tes_in!Y23=0,"",SER_hh_tes_in!Y23/SER_hh_fec_in!Y23)</f>
        <v>0.81026542910542421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0.77552605133108965</v>
      </c>
      <c r="D25" s="136">
        <f>IF(SER_hh_tes_in!D25=0,"",SER_hh_tes_in!D25/SER_hh_fec_in!D25)</f>
        <v>0.77789998500957436</v>
      </c>
      <c r="E25" s="136">
        <f>IF(SER_hh_tes_in!E25=0,"",SER_hh_tes_in!E25/SER_hh_fec_in!E25)</f>
        <v>0.78033800870398851</v>
      </c>
      <c r="F25" s="136">
        <f>IF(SER_hh_tes_in!F25=0,"",SER_hh_tes_in!F25/SER_hh_fec_in!F25)</f>
        <v>0.78278477194602925</v>
      </c>
      <c r="G25" s="136">
        <f>IF(SER_hh_tes_in!G25=0,"",SER_hh_tes_in!G25/SER_hh_fec_in!G25)</f>
        <v>0.78529055832302819</v>
      </c>
      <c r="H25" s="136">
        <f>IF(SER_hh_tes_in!H25=0,"",SER_hh_tes_in!H25/SER_hh_fec_in!H25)</f>
        <v>0.78784921376404127</v>
      </c>
      <c r="I25" s="136" t="str">
        <f>IF(SER_hh_tes_in!I25=0,"",SER_hh_tes_in!I25/SER_hh_fec_in!I25)</f>
        <v/>
      </c>
      <c r="J25" s="136">
        <f>IF(SER_hh_tes_in!J25=0,"",SER_hh_tes_in!J25/SER_hh_fec_in!J25)</f>
        <v>0.79321305842469891</v>
      </c>
      <c r="K25" s="136">
        <f>IF(SER_hh_tes_in!K25=0,"",SER_hh_tes_in!K25/SER_hh_fec_in!K25)</f>
        <v>0.79611216136069418</v>
      </c>
      <c r="L25" s="136">
        <f>IF(SER_hh_tes_in!L25=0,"",SER_hh_tes_in!L25/SER_hh_fec_in!L25)</f>
        <v>0.79918198315759559</v>
      </c>
      <c r="M25" s="136">
        <f>IF(SER_hh_tes_in!M25=0,"",SER_hh_tes_in!M25/SER_hh_fec_in!M25)</f>
        <v>0.80343253467498543</v>
      </c>
      <c r="N25" s="136">
        <f>IF(SER_hh_tes_in!N25=0,"",SER_hh_tes_in!N25/SER_hh_fec_in!N25)</f>
        <v>0.80918315600829083</v>
      </c>
      <c r="O25" s="136">
        <f>IF(SER_hh_tes_in!O25=0,"",SER_hh_tes_in!O25/SER_hh_fec_in!O25)</f>
        <v>0.8167137875555589</v>
      </c>
      <c r="P25" s="136">
        <f>IF(SER_hh_tes_in!P25=0,"",SER_hh_tes_in!P25/SER_hh_fec_in!P25)</f>
        <v>0.82549182218506956</v>
      </c>
      <c r="Q25" s="136">
        <f>IF(SER_hh_tes_in!Q25=0,"",SER_hh_tes_in!Q25/SER_hh_fec_in!Q25)</f>
        <v>0.83377369645385557</v>
      </c>
      <c r="R25" s="136">
        <f>IF(SER_hh_tes_in!R25=0,"",SER_hh_tes_in!R25/SER_hh_fec_in!R25)</f>
        <v>0.84011982029128862</v>
      </c>
      <c r="S25" s="136">
        <f>IF(SER_hh_tes_in!S25=0,"",SER_hh_tes_in!S25/SER_hh_fec_in!S25)</f>
        <v>0.84629353791434803</v>
      </c>
      <c r="T25" s="136">
        <f>IF(SER_hh_tes_in!T25=0,"",SER_hh_tes_in!T25/SER_hh_fec_in!T25)</f>
        <v>0.85225359918901544</v>
      </c>
      <c r="U25" s="136">
        <f>IF(SER_hh_tes_in!U25=0,"",SER_hh_tes_in!U25/SER_hh_fec_in!U25)</f>
        <v>0.85795875398129218</v>
      </c>
      <c r="V25" s="136" t="str">
        <f>IF(SER_hh_tes_in!V25=0,"",SER_hh_tes_in!V25/SER_hh_fec_in!V25)</f>
        <v/>
      </c>
      <c r="W25" s="136" t="str">
        <f>IF(SER_hh_tes_in!W25=0,"",SER_hh_tes_in!W25/SER_hh_fec_in!W25)</f>
        <v/>
      </c>
      <c r="X25" s="136">
        <f>IF(SER_hh_tes_in!X25=0,"",SER_hh_tes_in!X25/SER_hh_fec_in!X25)</f>
        <v>0.87297249817165867</v>
      </c>
      <c r="Y25" s="136">
        <f>IF(SER_hh_tes_in!Y25=0,"",SER_hh_tes_in!Y25/SER_hh_fec_in!Y25)</f>
        <v>0.8774140036814515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 t="str">
        <f>IF(SER_hh_tes_in!C26=0,"",SER_hh_tes_in!C26/SER_hh_fec_in!C26)</f>
        <v/>
      </c>
      <c r="D26" s="137">
        <f>IF(SER_hh_tes_in!D26=0,"",SER_hh_tes_in!D26/SER_hh_fec_in!D26)</f>
        <v>0.64670115376510018</v>
      </c>
      <c r="E26" s="137">
        <f>IF(SER_hh_tes_in!E26=0,"",SER_hh_tes_in!E26/SER_hh_fec_in!E26)</f>
        <v>0.64928986043268566</v>
      </c>
      <c r="F26" s="137">
        <f>IF(SER_hh_tes_in!F26=0,"",SER_hh_tes_in!F26/SER_hh_fec_in!F26)</f>
        <v>0.6519098010838601</v>
      </c>
      <c r="G26" s="137">
        <f>IF(SER_hh_tes_in!G26=0,"",SER_hh_tes_in!G26/SER_hh_fec_in!G26)</f>
        <v>0.65473783257926743</v>
      </c>
      <c r="H26" s="137">
        <f>IF(SER_hh_tes_in!H26=0,"",SER_hh_tes_in!H26/SER_hh_fec_in!H26)</f>
        <v>0.65775399157482806</v>
      </c>
      <c r="I26" s="137">
        <f>IF(SER_hh_tes_in!I26=0,"",SER_hh_tes_in!I26/SER_hh_fec_in!I26)</f>
        <v>0.66100414552122777</v>
      </c>
      <c r="J26" s="137">
        <f>IF(SER_hh_tes_in!J26=0,"",SER_hh_tes_in!J26/SER_hh_fec_in!J26)</f>
        <v>0.66467220899889146</v>
      </c>
      <c r="K26" s="137">
        <f>IF(SER_hh_tes_in!K26=0,"",SER_hh_tes_in!K26/SER_hh_fec_in!K26)</f>
        <v>0.66892065482868202</v>
      </c>
      <c r="L26" s="137">
        <f>IF(SER_hh_tes_in!L26=0,"",SER_hh_tes_in!L26/SER_hh_fec_in!L26)</f>
        <v>0.67380534413481608</v>
      </c>
      <c r="M26" s="137">
        <f>IF(SER_hh_tes_in!M26=0,"",SER_hh_tes_in!M26/SER_hh_fec_in!M26)</f>
        <v>0.68309172683960306</v>
      </c>
      <c r="N26" s="137">
        <f>IF(SER_hh_tes_in!N26=0,"",SER_hh_tes_in!N26/SER_hh_fec_in!N26)</f>
        <v>0.69840413556943437</v>
      </c>
      <c r="O26" s="137">
        <f>IF(SER_hh_tes_in!O26=0,"",SER_hh_tes_in!O26/SER_hh_fec_in!O26)</f>
        <v>0.72175356840403304</v>
      </c>
      <c r="P26" s="137">
        <f>IF(SER_hh_tes_in!P26=0,"",SER_hh_tes_in!P26/SER_hh_fec_in!P26)</f>
        <v>0.75203302207923028</v>
      </c>
      <c r="Q26" s="137">
        <f>IF(SER_hh_tes_in!Q26=0,"",SER_hh_tes_in!Q26/SER_hh_fec_in!Q26)</f>
        <v>0.78124625263519321</v>
      </c>
      <c r="R26" s="137">
        <f>IF(SER_hh_tes_in!R26=0,"",SER_hh_tes_in!R26/SER_hh_fec_in!R26)</f>
        <v>0.80101599543904078</v>
      </c>
      <c r="S26" s="137">
        <f>IF(SER_hh_tes_in!S26=0,"",SER_hh_tes_in!S26/SER_hh_fec_in!S26)</f>
        <v>0.82016946853211481</v>
      </c>
      <c r="T26" s="137">
        <f>IF(SER_hh_tes_in!T26=0,"",SER_hh_tes_in!T26/SER_hh_fec_in!T26)</f>
        <v>0.83917430042875285</v>
      </c>
      <c r="U26" s="137">
        <f>IF(SER_hh_tes_in!U26=0,"",SER_hh_tes_in!U26/SER_hh_fec_in!U26)</f>
        <v>0.85822154144999863</v>
      </c>
      <c r="V26" s="137">
        <f>IF(SER_hh_tes_in!V26=0,"",SER_hh_tes_in!V26/SER_hh_fec_in!V26)</f>
        <v>0.87693324778239545</v>
      </c>
      <c r="W26" s="137">
        <f>IF(SER_hh_tes_in!W26=0,"",SER_hh_tes_in!W26/SER_hh_fec_in!W26)</f>
        <v>0.8940232432461388</v>
      </c>
      <c r="X26" s="137">
        <f>IF(SER_hh_tes_in!X26=0,"",SER_hh_tes_in!X26/SER_hh_fec_in!X26)</f>
        <v>0.90765694523750962</v>
      </c>
      <c r="Y26" s="137">
        <f>IF(SER_hh_tes_in!Y26=0,"",SER_hh_tes_in!Y26/SER_hh_fec_in!Y26)</f>
        <v>0.92037636053732863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>
        <f>IF(SER_hh_tes_in!G27=0,"",SER_hh_tes_in!G27/SER_hh_fec_in!G27)</f>
        <v>1</v>
      </c>
      <c r="H27" s="148" t="str">
        <f>IF(SER_hh_tes_in!H27=0,"",SER_hh_tes_in!H27/SER_hh_fec_in!H27)</f>
        <v/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 t="str">
        <f>IF(SER_hh_tes_in!K27=0,"",SER_hh_tes_in!K27/SER_hh_fec_in!K27)</f>
        <v/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 t="str">
        <f>IF(SER_hh_tes_in!O27=0,"",SER_hh_tes_in!O27/SER_hh_fec_in!O27)</f>
        <v/>
      </c>
      <c r="P27" s="148">
        <f>IF(SER_hh_tes_in!P27=0,"",SER_hh_tes_in!P27/SER_hh_fec_in!P27)</f>
        <v>1</v>
      </c>
      <c r="Q27" s="148" t="str">
        <f>IF(SER_hh_tes_in!Q27=0,"",SER_hh_tes_in!Q27/SER_hh_fec_in!Q27)</f>
        <v/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0.6316456175889914</v>
      </c>
      <c r="D29" s="135">
        <f>IF(SER_hh_tes_in!D29=0,"",SER_hh_tes_in!D29/SER_hh_fec_in!D29)</f>
        <v>0.64343850386044132</v>
      </c>
      <c r="E29" s="135">
        <f>IF(SER_hh_tes_in!E29=0,"",SER_hh_tes_in!E29/SER_hh_fec_in!E29)</f>
        <v>0.7331106417684583</v>
      </c>
      <c r="F29" s="135">
        <f>IF(SER_hh_tes_in!F29=0,"",SER_hh_tes_in!F29/SER_hh_fec_in!F29)</f>
        <v>0.70451031529388175</v>
      </c>
      <c r="G29" s="135">
        <f>IF(SER_hh_tes_in!G29=0,"",SER_hh_tes_in!G29/SER_hh_fec_in!G29)</f>
        <v>0.75952780748423243</v>
      </c>
      <c r="H29" s="135">
        <f>IF(SER_hh_tes_in!H29=0,"",SER_hh_tes_in!H29/SER_hh_fec_in!H29)</f>
        <v>0.73972651154191782</v>
      </c>
      <c r="I29" s="135">
        <f>IF(SER_hh_tes_in!I29=0,"",SER_hh_tes_in!I29/SER_hh_fec_in!I29)</f>
        <v>0.75656441308440825</v>
      </c>
      <c r="J29" s="135">
        <f>IF(SER_hh_tes_in!J29=0,"",SER_hh_tes_in!J29/SER_hh_fec_in!J29)</f>
        <v>0.75456501574225476</v>
      </c>
      <c r="K29" s="135">
        <f>IF(SER_hh_tes_in!K29=0,"",SER_hh_tes_in!K29/SER_hh_fec_in!K29)</f>
        <v>0.72249379292537508</v>
      </c>
      <c r="L29" s="135">
        <f>IF(SER_hh_tes_in!L29=0,"",SER_hh_tes_in!L29/SER_hh_fec_in!L29)</f>
        <v>0.73970585115583554</v>
      </c>
      <c r="M29" s="135">
        <f>IF(SER_hh_tes_in!M29=0,"",SER_hh_tes_in!M29/SER_hh_fec_in!M29)</f>
        <v>0.7929624238733598</v>
      </c>
      <c r="N29" s="135">
        <f>IF(SER_hh_tes_in!N29=0,"",SER_hh_tes_in!N29/SER_hh_fec_in!N29)</f>
        <v>0.65885562368420036</v>
      </c>
      <c r="O29" s="135">
        <f>IF(SER_hh_tes_in!O29=0,"",SER_hh_tes_in!O29/SER_hh_fec_in!O29)</f>
        <v>0.65634454377451212</v>
      </c>
      <c r="P29" s="135">
        <f>IF(SER_hh_tes_in!P29=0,"",SER_hh_tes_in!P29/SER_hh_fec_in!P29)</f>
        <v>0.68035156844933153</v>
      </c>
      <c r="Q29" s="135">
        <f>IF(SER_hh_tes_in!Q29=0,"",SER_hh_tes_in!Q29/SER_hh_fec_in!Q29)</f>
        <v>0.7297654876675469</v>
      </c>
      <c r="R29" s="135">
        <f>IF(SER_hh_tes_in!R29=0,"",SER_hh_tes_in!R29/SER_hh_fec_in!R29)</f>
        <v>0.77535794005171088</v>
      </c>
      <c r="S29" s="135">
        <f>IF(SER_hh_tes_in!S29=0,"",SER_hh_tes_in!S29/SER_hh_fec_in!S29)</f>
        <v>0.84168415872471813</v>
      </c>
      <c r="T29" s="135">
        <f>IF(SER_hh_tes_in!T29=0,"",SER_hh_tes_in!T29/SER_hh_fec_in!T29)</f>
        <v>0.82666550164013186</v>
      </c>
      <c r="U29" s="135">
        <f>IF(SER_hh_tes_in!U29=0,"",SER_hh_tes_in!U29/SER_hh_fec_in!U29)</f>
        <v>0.82082580418874407</v>
      </c>
      <c r="V29" s="135">
        <f>IF(SER_hh_tes_in!V29=0,"",SER_hh_tes_in!V29/SER_hh_fec_in!V29)</f>
        <v>0.79809995973261394</v>
      </c>
      <c r="W29" s="135">
        <f>IF(SER_hh_tes_in!W29=0,"",SER_hh_tes_in!W29/SER_hh_fec_in!W29)</f>
        <v>0.78343147403962454</v>
      </c>
      <c r="X29" s="135">
        <f>IF(SER_hh_tes_in!X29=0,"",SER_hh_tes_in!X29/SER_hh_fec_in!X29)</f>
        <v>0.73737681321322768</v>
      </c>
      <c r="Y29" s="135">
        <f>IF(SER_hh_tes_in!Y29=0,"",SER_hh_tes_in!Y29/SER_hh_fec_in!Y29)</f>
        <v>0.75801379012450154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0.62910748812917505</v>
      </c>
      <c r="D30" s="136">
        <f>IF(SER_hh_tes_in!D30=0,"",SER_hh_tes_in!D30/SER_hh_fec_in!D30)</f>
        <v>0.62929088431067837</v>
      </c>
      <c r="E30" s="136">
        <f>IF(SER_hh_tes_in!E30=0,"",SER_hh_tes_in!E30/SER_hh_fec_in!E30)</f>
        <v>0.62947429701225321</v>
      </c>
      <c r="F30" s="136">
        <f>IF(SER_hh_tes_in!F30=0,"",SER_hh_tes_in!F30/SER_hh_fec_in!F30)</f>
        <v>0.62965771196656495</v>
      </c>
      <c r="G30" s="136" t="str">
        <f>IF(SER_hh_tes_in!G30=0,"",SER_hh_tes_in!G30/SER_hh_fec_in!G30)</f>
        <v/>
      </c>
      <c r="H30" s="136" t="str">
        <f>IF(SER_hh_tes_in!H30=0,"",SER_hh_tes_in!H30/SER_hh_fec_in!H30)</f>
        <v/>
      </c>
      <c r="I30" s="136" t="str">
        <f>IF(SER_hh_tes_in!I30=0,"",SER_hh_tes_in!I30/SER_hh_fec_in!I30)</f>
        <v/>
      </c>
      <c r="J30" s="136" t="str">
        <f>IF(SER_hh_tes_in!J30=0,"",SER_hh_tes_in!J30/SER_hh_fec_in!J30)</f>
        <v/>
      </c>
      <c r="K30" s="136">
        <f>IF(SER_hh_tes_in!K30=0,"",SER_hh_tes_in!K30/SER_hh_fec_in!K30)</f>
        <v>0.63057506862145996</v>
      </c>
      <c r="L30" s="136">
        <f>IF(SER_hh_tes_in!L30=0,"",SER_hh_tes_in!L30/SER_hh_fec_in!L30)</f>
        <v>0.63075864417757055</v>
      </c>
      <c r="M30" s="136" t="str">
        <f>IF(SER_hh_tes_in!M30=0,"",SER_hh_tes_in!M30/SER_hh_fec_in!M30)</f>
        <v/>
      </c>
      <c r="N30" s="136">
        <f>IF(SER_hh_tes_in!N30=0,"",SER_hh_tes_in!N30/SER_hh_fec_in!N30)</f>
        <v>0.63097598585028236</v>
      </c>
      <c r="O30" s="136">
        <f>IF(SER_hh_tes_in!O30=0,"",SER_hh_tes_in!O30/SER_hh_fec_in!O30)</f>
        <v>0.63102256048138117</v>
      </c>
      <c r="P30" s="136">
        <f>IF(SER_hh_tes_in!P30=0,"",SER_hh_tes_in!P30/SER_hh_fec_in!P30)</f>
        <v>0.63115251929010097</v>
      </c>
      <c r="Q30" s="136" t="str">
        <f>IF(SER_hh_tes_in!Q30=0,"",SER_hh_tes_in!Q30/SER_hh_fec_in!Q30)</f>
        <v/>
      </c>
      <c r="R30" s="136" t="str">
        <f>IF(SER_hh_tes_in!R30=0,"",SER_hh_tes_in!R30/SER_hh_fec_in!R30)</f>
        <v/>
      </c>
      <c r="S30" s="136" t="str">
        <f>IF(SER_hh_tes_in!S30=0,"",SER_hh_tes_in!S30/SER_hh_fec_in!S30)</f>
        <v/>
      </c>
      <c r="T30" s="136" t="str">
        <f>IF(SER_hh_tes_in!T30=0,"",SER_hh_tes_in!T30/SER_hh_fec_in!T30)</f>
        <v/>
      </c>
      <c r="U30" s="136" t="str">
        <f>IF(SER_hh_tes_in!U30=0,"",SER_hh_tes_in!U30/SER_hh_fec_in!U30)</f>
        <v/>
      </c>
      <c r="V30" s="136" t="str">
        <f>IF(SER_hh_tes_in!V30=0,"",SER_hh_tes_in!V30/SER_hh_fec_in!V30)</f>
        <v/>
      </c>
      <c r="W30" s="136">
        <f>IF(SER_hh_tes_in!W30=0,"",SER_hh_tes_in!W30/SER_hh_fec_in!W30)</f>
        <v>0.64120249715842847</v>
      </c>
      <c r="X30" s="136">
        <f>IF(SER_hh_tes_in!X30=0,"",SER_hh_tes_in!X30/SER_hh_fec_in!X30)</f>
        <v>0.64157192304766764</v>
      </c>
      <c r="Y30" s="136" t="str">
        <f>IF(SER_hh_tes_in!Y30=0,"",SER_hh_tes_in!Y30/SER_hh_fec_in!Y30)</f>
        <v/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0.63690460986420472</v>
      </c>
      <c r="D31" s="136">
        <f>IF(SER_hh_tes_in!D31=0,"",SER_hh_tes_in!D31/SER_hh_fec_in!D31)</f>
        <v>0.63710723972725092</v>
      </c>
      <c r="E31" s="136">
        <f>IF(SER_hh_tes_in!E31=0,"",SER_hh_tes_in!E31/SER_hh_fec_in!E31)</f>
        <v>0.63730988784291165</v>
      </c>
      <c r="F31" s="136">
        <f>IF(SER_hh_tes_in!F31=0,"",SER_hh_tes_in!F31/SER_hh_fec_in!F31)</f>
        <v>0.6375125384475655</v>
      </c>
      <c r="G31" s="136">
        <f>IF(SER_hh_tes_in!G31=0,"",SER_hh_tes_in!G31/SER_hh_fec_in!G31)</f>
        <v>0.63771520586180364</v>
      </c>
      <c r="H31" s="136">
        <f>IF(SER_hh_tes_in!H31=0,"",SER_hh_tes_in!H31/SER_hh_fec_in!H31)</f>
        <v>0.63791788833296814</v>
      </c>
      <c r="I31" s="136">
        <f>IF(SER_hh_tes_in!I31=0,"",SER_hh_tes_in!I31/SER_hh_fec_in!I31)</f>
        <v>0.6381205893896531</v>
      </c>
      <c r="J31" s="136">
        <f>IF(SER_hh_tes_in!J31=0,"",SER_hh_tes_in!J31/SER_hh_fec_in!J31)</f>
        <v>0.63832332348726351</v>
      </c>
      <c r="K31" s="136">
        <f>IF(SER_hh_tes_in!K31=0,"",SER_hh_tes_in!K31/SER_hh_fec_in!K31)</f>
        <v>0.63852610291669565</v>
      </c>
      <c r="L31" s="136">
        <f>IF(SER_hh_tes_in!L31=0,"",SER_hh_tes_in!L31/SER_hh_fec_in!L31)</f>
        <v>0.63872893096626793</v>
      </c>
      <c r="M31" s="136">
        <f>IF(SER_hh_tes_in!M31=0,"",SER_hh_tes_in!M31/SER_hh_fec_in!M31)</f>
        <v>0.63888296729375993</v>
      </c>
      <c r="N31" s="136">
        <f>IF(SER_hh_tes_in!N31=0,"",SER_hh_tes_in!N31/SER_hh_fec_in!N31)</f>
        <v>0.63896906635521022</v>
      </c>
      <c r="O31" s="136">
        <f>IF(SER_hh_tes_in!O31=0,"",SER_hh_tes_in!O31/SER_hh_fec_in!O31)</f>
        <v>0.63902052550252508</v>
      </c>
      <c r="P31" s="136">
        <f>IF(SER_hh_tes_in!P31=0,"",SER_hh_tes_in!P31/SER_hh_fec_in!P31)</f>
        <v>0.63916411374627524</v>
      </c>
      <c r="Q31" s="136">
        <f>IF(SER_hh_tes_in!Q31=0,"",SER_hh_tes_in!Q31/SER_hh_fec_in!Q31)</f>
        <v>0.63974855144119802</v>
      </c>
      <c r="R31" s="136">
        <f>IF(SER_hh_tes_in!R31=0,"",SER_hh_tes_in!R31/SER_hh_fec_in!R31)</f>
        <v>0.64128372373643172</v>
      </c>
      <c r="S31" s="136">
        <f>IF(SER_hh_tes_in!S31=0,"",SER_hh_tes_in!S31/SER_hh_fec_in!S31)</f>
        <v>0.64344925968223721</v>
      </c>
      <c r="T31" s="136">
        <f>IF(SER_hh_tes_in!T31=0,"",SER_hh_tes_in!T31/SER_hh_fec_in!T31)</f>
        <v>0.64582527721501493</v>
      </c>
      <c r="U31" s="136">
        <f>IF(SER_hh_tes_in!U31=0,"",SER_hh_tes_in!U31/SER_hh_fec_in!U31)</f>
        <v>0.6479918942711711</v>
      </c>
      <c r="V31" s="136">
        <f>IF(SER_hh_tes_in!V31=0,"",SER_hh_tes_in!V31/SER_hh_fec_in!V31)</f>
        <v>0.6495292287871095</v>
      </c>
      <c r="W31" s="136">
        <f>IF(SER_hh_tes_in!W31=0,"",SER_hh_tes_in!W31/SER_hh_fec_in!W31)</f>
        <v>0.65026808342756259</v>
      </c>
      <c r="X31" s="136">
        <f>IF(SER_hh_tes_in!X31=0,"",SER_hh_tes_in!X31/SER_hh_fec_in!X31)</f>
        <v>0.65065368330067774</v>
      </c>
      <c r="Y31" s="136">
        <f>IF(SER_hh_tes_in!Y31=0,"",SER_hh_tes_in!Y31/SER_hh_fec_in!Y31)</f>
        <v>0.65069224328798936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 t="str">
        <f>IF(SER_hh_tes_in!C33=0,"",SER_hh_tes_in!C33/SER_hh_fec_in!C33)</f>
        <v/>
      </c>
      <c r="D33" s="149">
        <f>IF(SER_hh_tes_in!D33=0,"",SER_hh_tes_in!D33/SER_hh_fec_in!D33)</f>
        <v>0.83874202282691956</v>
      </c>
      <c r="E33" s="149">
        <f>IF(SER_hh_tes_in!E33=0,"",SER_hh_tes_in!E33/SER_hh_fec_in!E33)</f>
        <v>0.83986075753341538</v>
      </c>
      <c r="F33" s="149">
        <f>IF(SER_hh_tes_in!F33=0,"",SER_hh_tes_in!F33/SER_hh_fec_in!F33)</f>
        <v>0.84098636135068661</v>
      </c>
      <c r="G33" s="149">
        <f>IF(SER_hh_tes_in!G33=0,"",SER_hh_tes_in!G33/SER_hh_fec_in!G33)</f>
        <v>0.84215835617921564</v>
      </c>
      <c r="H33" s="149">
        <f>IF(SER_hh_tes_in!H33=0,"",SER_hh_tes_in!H33/SER_hh_fec_in!H33)</f>
        <v>0.84337190504152482</v>
      </c>
      <c r="I33" s="149">
        <f>IF(SER_hh_tes_in!I33=0,"",SER_hh_tes_in!I33/SER_hh_fec_in!I33)</f>
        <v>0.8446367461350488</v>
      </c>
      <c r="J33" s="149">
        <f>IF(SER_hh_tes_in!J33=0,"",SER_hh_tes_in!J33/SER_hh_fec_in!J33)</f>
        <v>0.84599277341739809</v>
      </c>
      <c r="K33" s="149">
        <f>IF(SER_hh_tes_in!K33=0,"",SER_hh_tes_in!K33/SER_hh_fec_in!K33)</f>
        <v>0.8474739072459011</v>
      </c>
      <c r="L33" s="149">
        <f>IF(SER_hh_tes_in!L33=0,"",SER_hh_tes_in!L33/SER_hh_fec_in!L33)</f>
        <v>0.84908922270680742</v>
      </c>
      <c r="M33" s="149">
        <f>IF(SER_hh_tes_in!M33=0,"",SER_hh_tes_in!M33/SER_hh_fec_in!M33)</f>
        <v>0.85139876686726856</v>
      </c>
      <c r="N33" s="149">
        <f>IF(SER_hh_tes_in!N33=0,"",SER_hh_tes_in!N33/SER_hh_fec_in!N33)</f>
        <v>0.85456197980437665</v>
      </c>
      <c r="O33" s="149">
        <f>IF(SER_hh_tes_in!O33=0,"",SER_hh_tes_in!O33/SER_hh_fec_in!O33)</f>
        <v>0.85895694762169084</v>
      </c>
      <c r="P33" s="149">
        <f>IF(SER_hh_tes_in!P33=0,"",SER_hh_tes_in!P33/SER_hh_fec_in!P33)</f>
        <v>0.86476910992710532</v>
      </c>
      <c r="Q33" s="149">
        <f>IF(SER_hh_tes_in!Q33=0,"",SER_hh_tes_in!Q33/SER_hh_fec_in!Q33)</f>
        <v>0.87229010464020085</v>
      </c>
      <c r="R33" s="149">
        <f>IF(SER_hh_tes_in!R33=0,"",SER_hh_tes_in!R33/SER_hh_fec_in!R33)</f>
        <v>0.8825243802976277</v>
      </c>
      <c r="S33" s="149">
        <f>IF(SER_hh_tes_in!S33=0,"",SER_hh_tes_in!S33/SER_hh_fec_in!S33)</f>
        <v>0.89533080002801135</v>
      </c>
      <c r="T33" s="149">
        <f>IF(SER_hh_tes_in!T33=0,"",SER_hh_tes_in!T33/SER_hh_fec_in!T33)</f>
        <v>0.90911761412026815</v>
      </c>
      <c r="U33" s="149">
        <f>IF(SER_hh_tes_in!U33=0,"",SER_hh_tes_in!U33/SER_hh_fec_in!U33)</f>
        <v>0.92229307286335227</v>
      </c>
      <c r="V33" s="149">
        <f>IF(SER_hh_tes_in!V33=0,"",SER_hh_tes_in!V33/SER_hh_fec_in!V33)</f>
        <v>0.93326542654619959</v>
      </c>
      <c r="W33" s="149">
        <f>IF(SER_hh_tes_in!W33=0,"",SER_hh_tes_in!W33/SER_hh_fec_in!W33)</f>
        <v>0.94148162867863072</v>
      </c>
      <c r="X33" s="149">
        <f>IF(SER_hh_tes_in!X33=0,"",SER_hh_tes_in!X33/SER_hh_fec_in!X33)</f>
        <v>0.94535511447573528</v>
      </c>
      <c r="Y33" s="149">
        <f>IF(SER_hh_tes_in!Y33=0,"",SER_hh_tes_in!Y33/SER_hh_fec_in!Y33)</f>
        <v>0.94879010550663367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12.864778870138554</v>
      </c>
      <c r="D3" s="125">
        <f t="shared" si="0"/>
        <v>15.568468470378098</v>
      </c>
      <c r="E3" s="125">
        <f t="shared" si="0"/>
        <v>7.6632585559562418</v>
      </c>
      <c r="F3" s="125">
        <f t="shared" si="0"/>
        <v>37.588252556303502</v>
      </c>
      <c r="G3" s="125">
        <f t="shared" si="0"/>
        <v>139.52626660711525</v>
      </c>
      <c r="H3" s="125">
        <f t="shared" si="0"/>
        <v>181.91167278592269</v>
      </c>
      <c r="I3" s="125">
        <f t="shared" si="0"/>
        <v>228.42901234381159</v>
      </c>
      <c r="J3" s="125">
        <f t="shared" si="0"/>
        <v>134.50909390712175</v>
      </c>
      <c r="K3" s="125">
        <f t="shared" si="0"/>
        <v>16.65815060430511</v>
      </c>
      <c r="L3" s="125">
        <f t="shared" si="0"/>
        <v>33.443781691489832</v>
      </c>
      <c r="M3" s="125">
        <f t="shared" si="0"/>
        <v>13.291136783932128</v>
      </c>
      <c r="N3" s="125">
        <f t="shared" si="0"/>
        <v>31.800685863148242</v>
      </c>
      <c r="O3" s="125">
        <f t="shared" si="0"/>
        <v>22.685255660597921</v>
      </c>
      <c r="P3" s="125">
        <f t="shared" si="0"/>
        <v>14.953826915815373</v>
      </c>
      <c r="Q3" s="125">
        <f t="shared" si="0"/>
        <v>9.0978306288523285</v>
      </c>
      <c r="R3" s="125">
        <f t="shared" ref="R3:W3" si="1">SUM(R4,R16,R19,R29)</f>
        <v>11.502493348620915</v>
      </c>
      <c r="S3" s="125">
        <f t="shared" si="1"/>
        <v>8.8419116654042895</v>
      </c>
      <c r="T3" s="125">
        <f t="shared" si="1"/>
        <v>12.178920187893155</v>
      </c>
      <c r="U3" s="125">
        <f t="shared" si="1"/>
        <v>12.851342468391586</v>
      </c>
      <c r="V3" s="125">
        <f t="shared" si="1"/>
        <v>9.7125595510697664</v>
      </c>
      <c r="W3" s="125">
        <f t="shared" si="1"/>
        <v>12.243515296141322</v>
      </c>
      <c r="X3" s="125">
        <f t="shared" ref="X3:Y3" si="2">SUM(X4,X16,X19,X29)</f>
        <v>10.593353897902352</v>
      </c>
      <c r="Y3" s="125">
        <f t="shared" si="2"/>
        <v>8.5579816120315613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3.6321950092143056</v>
      </c>
      <c r="D4" s="130">
        <f t="shared" si="3"/>
        <v>4.0887748359216678</v>
      </c>
      <c r="E4" s="130">
        <f t="shared" si="3"/>
        <v>2.1090447866334263</v>
      </c>
      <c r="F4" s="130">
        <f t="shared" si="3"/>
        <v>30.935336975004297</v>
      </c>
      <c r="G4" s="130">
        <f t="shared" si="3"/>
        <v>133.59049805769533</v>
      </c>
      <c r="H4" s="130">
        <f t="shared" si="3"/>
        <v>170.82279182712426</v>
      </c>
      <c r="I4" s="130">
        <f t="shared" si="3"/>
        <v>213.35699915081938</v>
      </c>
      <c r="J4" s="130">
        <f t="shared" si="3"/>
        <v>123.98730903572866</v>
      </c>
      <c r="K4" s="130">
        <f t="shared" si="3"/>
        <v>15.278847907685615</v>
      </c>
      <c r="L4" s="130">
        <f t="shared" si="3"/>
        <v>26.408785023508351</v>
      </c>
      <c r="M4" s="130">
        <f t="shared" si="3"/>
        <v>10.165709852110753</v>
      </c>
      <c r="N4" s="130">
        <f t="shared" si="3"/>
        <v>24.777827372695903</v>
      </c>
      <c r="O4" s="130">
        <f t="shared" si="3"/>
        <v>16.117236386049964</v>
      </c>
      <c r="P4" s="130">
        <f t="shared" si="3"/>
        <v>9.7711143911850229</v>
      </c>
      <c r="Q4" s="130">
        <f t="shared" si="3"/>
        <v>4.7808352444920992</v>
      </c>
      <c r="R4" s="130">
        <f t="shared" ref="R4:W4" si="4">SUM(R5:R15)</f>
        <v>8.1641244809530882</v>
      </c>
      <c r="S4" s="130">
        <f t="shared" si="4"/>
        <v>7.1615522803038472</v>
      </c>
      <c r="T4" s="130">
        <f t="shared" si="4"/>
        <v>10.542625434181337</v>
      </c>
      <c r="U4" s="130">
        <f t="shared" si="4"/>
        <v>10.8269153691288</v>
      </c>
      <c r="V4" s="130">
        <f t="shared" si="4"/>
        <v>7.1889340059577549</v>
      </c>
      <c r="W4" s="130">
        <f t="shared" si="4"/>
        <v>8.2232786725219995</v>
      </c>
      <c r="X4" s="130">
        <f t="shared" ref="X4:Y4" si="5">SUM(X5:X15)</f>
        <v>4.7849495511773599</v>
      </c>
      <c r="Y4" s="130">
        <f t="shared" si="5"/>
        <v>3.7983088762911033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3.2764868992946754</v>
      </c>
      <c r="D5" s="132">
        <v>4.0830343449216731</v>
      </c>
      <c r="E5" s="132">
        <v>0</v>
      </c>
      <c r="F5" s="132">
        <v>0</v>
      </c>
      <c r="G5" s="132">
        <v>0.22302618721679923</v>
      </c>
      <c r="H5" s="132">
        <v>15.987840532099293</v>
      </c>
      <c r="I5" s="132">
        <v>121.20808688143683</v>
      </c>
      <c r="J5" s="132">
        <v>115.82202568245914</v>
      </c>
      <c r="K5" s="132">
        <v>15.018869646532201</v>
      </c>
      <c r="L5" s="132">
        <v>20.403195622469195</v>
      </c>
      <c r="M5" s="132">
        <v>2.1716253652633162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0.55689583456125558</v>
      </c>
      <c r="T5" s="132">
        <v>3.4608637811491003</v>
      </c>
      <c r="U5" s="132">
        <v>0.88475135690672058</v>
      </c>
      <c r="V5" s="132">
        <v>0</v>
      </c>
      <c r="W5" s="132">
        <v>0</v>
      </c>
      <c r="X5" s="132">
        <v>0</v>
      </c>
      <c r="Y5" s="132">
        <v>1.1400260989104012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0.35343960242690736</v>
      </c>
      <c r="D7" s="132">
        <v>0</v>
      </c>
      <c r="E7" s="132">
        <v>0.21039186001411217</v>
      </c>
      <c r="F7" s="132">
        <v>2.5687085915373755</v>
      </c>
      <c r="G7" s="132">
        <v>0.65026607170100503</v>
      </c>
      <c r="H7" s="132">
        <v>0</v>
      </c>
      <c r="I7" s="132">
        <v>0</v>
      </c>
      <c r="J7" s="132">
        <v>0</v>
      </c>
      <c r="K7" s="132">
        <v>0</v>
      </c>
      <c r="L7" s="132">
        <v>0</v>
      </c>
      <c r="M7" s="132">
        <v>0</v>
      </c>
      <c r="N7" s="132">
        <v>0</v>
      </c>
      <c r="O7" s="132">
        <v>0.35379837782770623</v>
      </c>
      <c r="P7" s="132">
        <v>1.3075656120011387</v>
      </c>
      <c r="Q7" s="132">
        <v>0.44701973839746523</v>
      </c>
      <c r="R7" s="132">
        <v>0</v>
      </c>
      <c r="S7" s="132">
        <v>0</v>
      </c>
      <c r="T7" s="132">
        <v>0</v>
      </c>
      <c r="U7" s="132">
        <v>0</v>
      </c>
      <c r="V7" s="132">
        <v>0</v>
      </c>
      <c r="W7" s="132">
        <v>0</v>
      </c>
      <c r="X7" s="132">
        <v>0</v>
      </c>
      <c r="Y7" s="132">
        <v>0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2.2685074927227353E-3</v>
      </c>
      <c r="D8" s="132">
        <v>5.7404909999949801E-3</v>
      </c>
      <c r="E8" s="132">
        <v>1.0264839421560428E-2</v>
      </c>
      <c r="F8" s="132">
        <v>9.5312799062463455E-3</v>
      </c>
      <c r="G8" s="132">
        <v>3.5671038200956384E-3</v>
      </c>
      <c r="H8" s="132">
        <v>3.5296547661054188E-3</v>
      </c>
      <c r="I8" s="132">
        <v>4.7101930811463298E-3</v>
      </c>
      <c r="J8" s="132">
        <v>3.9208659236702262E-3</v>
      </c>
      <c r="K8" s="132">
        <v>8.8131731164857159E-4</v>
      </c>
      <c r="L8" s="132">
        <v>1.289757650908544E-2</v>
      </c>
      <c r="M8" s="132">
        <v>1.1355580104369541E-2</v>
      </c>
      <c r="N8" s="132">
        <v>6.8918959328540278E-3</v>
      </c>
      <c r="O8" s="132">
        <v>1.2803107811836963E-2</v>
      </c>
      <c r="P8" s="132">
        <v>1.9949485878973459E-2</v>
      </c>
      <c r="Q8" s="132">
        <v>9.8863698193739965E-3</v>
      </c>
      <c r="R8" s="132">
        <v>1.7040226750333445E-3</v>
      </c>
      <c r="S8" s="132">
        <v>1.9698381087178457E-3</v>
      </c>
      <c r="T8" s="132">
        <v>4.7513568181326874E-3</v>
      </c>
      <c r="U8" s="132">
        <v>6.351855066039574E-3</v>
      </c>
      <c r="V8" s="132">
        <v>8.7250931242898247E-3</v>
      </c>
      <c r="W8" s="132">
        <v>4.3742263807684915E-3</v>
      </c>
      <c r="X8" s="132">
        <v>4.6236216036850339E-3</v>
      </c>
      <c r="Y8" s="132">
        <v>8.51616196589749E-3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0</v>
      </c>
      <c r="D9" s="132">
        <v>0</v>
      </c>
      <c r="E9" s="132">
        <v>1.8883880871977539</v>
      </c>
      <c r="F9" s="132">
        <v>28.357097103560676</v>
      </c>
      <c r="G9" s="132">
        <v>132.71363869495744</v>
      </c>
      <c r="H9" s="132">
        <v>154.83142164025887</v>
      </c>
      <c r="I9" s="132">
        <v>92.144202076301411</v>
      </c>
      <c r="J9" s="132">
        <v>4.8894793910464989</v>
      </c>
      <c r="K9" s="132">
        <v>0</v>
      </c>
      <c r="L9" s="132">
        <v>4.8506873756008808</v>
      </c>
      <c r="M9" s="132">
        <v>7.5747349998767062</v>
      </c>
      <c r="N9" s="132">
        <v>24.324251569607789</v>
      </c>
      <c r="O9" s="132">
        <v>15.587082942064256</v>
      </c>
      <c r="P9" s="132">
        <v>5.908961713134862</v>
      </c>
      <c r="Q9" s="132">
        <v>3.6689621524635774</v>
      </c>
      <c r="R9" s="132">
        <v>8.0703615471631824</v>
      </c>
      <c r="S9" s="132">
        <v>5.80126313122084</v>
      </c>
      <c r="T9" s="132">
        <v>7.0551652287724256</v>
      </c>
      <c r="U9" s="132">
        <v>8.7525876279233543</v>
      </c>
      <c r="V9" s="132">
        <v>6.9521572404015677</v>
      </c>
      <c r="W9" s="132">
        <v>8.0116597911708354</v>
      </c>
      <c r="X9" s="132">
        <v>4.7110195582836774</v>
      </c>
      <c r="Y9" s="132">
        <v>2.5326357566813646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3.2718830962993439</v>
      </c>
      <c r="K10" s="132">
        <v>0.25909694384176446</v>
      </c>
      <c r="L10" s="132">
        <v>1.1420044489291905</v>
      </c>
      <c r="M10" s="132">
        <v>0.40799390686636156</v>
      </c>
      <c r="N10" s="132">
        <v>0.44668390715526146</v>
      </c>
      <c r="O10" s="132">
        <v>0.16355195834616293</v>
      </c>
      <c r="P10" s="132">
        <v>2.534637580170048</v>
      </c>
      <c r="Q10" s="132">
        <v>0.65496698381168228</v>
      </c>
      <c r="R10" s="132">
        <v>9.2058911114872022E-2</v>
      </c>
      <c r="S10" s="132">
        <v>0.80142347641303413</v>
      </c>
      <c r="T10" s="132">
        <v>2.1845067441678863E-2</v>
      </c>
      <c r="U10" s="132">
        <v>1.1832245292326855</v>
      </c>
      <c r="V10" s="132">
        <v>0.22805167243189728</v>
      </c>
      <c r="W10" s="132">
        <v>0.20724465497039474</v>
      </c>
      <c r="X10" s="132">
        <v>6.9306371289997198E-2</v>
      </c>
      <c r="Y10" s="132">
        <v>0.11713085873343979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2.2048970764418641E-2</v>
      </c>
      <c r="D16" s="130">
        <f t="shared" si="6"/>
        <v>0</v>
      </c>
      <c r="E16" s="130">
        <f t="shared" si="6"/>
        <v>5.9520591123042327E-3</v>
      </c>
      <c r="F16" s="130">
        <f t="shared" si="6"/>
        <v>0</v>
      </c>
      <c r="G16" s="130">
        <f t="shared" si="6"/>
        <v>2.7981130770483049E-2</v>
      </c>
      <c r="H16" s="130">
        <f t="shared" si="6"/>
        <v>1.8206388361698266E-2</v>
      </c>
      <c r="I16" s="130">
        <f t="shared" si="6"/>
        <v>1.1161469909070075E-2</v>
      </c>
      <c r="J16" s="130">
        <f t="shared" si="6"/>
        <v>2.3324817876430926E-2</v>
      </c>
      <c r="K16" s="130">
        <f t="shared" si="6"/>
        <v>1.602769929600777E-3</v>
      </c>
      <c r="L16" s="130">
        <f t="shared" si="6"/>
        <v>1.771785757847872E-2</v>
      </c>
      <c r="M16" s="130">
        <f t="shared" si="6"/>
        <v>1.3958862789323127E-2</v>
      </c>
      <c r="N16" s="130">
        <f t="shared" si="6"/>
        <v>8.2772278124563173E-3</v>
      </c>
      <c r="O16" s="130">
        <f t="shared" si="6"/>
        <v>2.3657927512518755E-2</v>
      </c>
      <c r="P16" s="130">
        <f t="shared" si="6"/>
        <v>3.6049442740245866E-2</v>
      </c>
      <c r="Q16" s="130">
        <f t="shared" si="6"/>
        <v>3.5627810327295818E-2</v>
      </c>
      <c r="R16" s="130">
        <f t="shared" ref="R16:W16" si="7">SUM(R17:R18)</f>
        <v>7.6296930106091662E-2</v>
      </c>
      <c r="S16" s="130">
        <f t="shared" si="7"/>
        <v>3.4591015244899902E-2</v>
      </c>
      <c r="T16" s="130">
        <f t="shared" si="7"/>
        <v>5.6471507425940523E-2</v>
      </c>
      <c r="U16" s="130">
        <f t="shared" si="7"/>
        <v>3.9797667952713688E-2</v>
      </c>
      <c r="V16" s="130">
        <f t="shared" si="7"/>
        <v>4.8646777840377797E-2</v>
      </c>
      <c r="W16" s="130">
        <f t="shared" si="7"/>
        <v>3.9833004397435333E-2</v>
      </c>
      <c r="X16" s="130">
        <f t="shared" ref="X16:Y16" si="8">SUM(X17:X18)</f>
        <v>3.5822359334068278E-2</v>
      </c>
      <c r="Y16" s="130">
        <f t="shared" si="8"/>
        <v>3.7958362354338783E-2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2.2048970764418641E-2</v>
      </c>
      <c r="D17" s="132">
        <v>0</v>
      </c>
      <c r="E17" s="132">
        <v>5.9520591123042327E-3</v>
      </c>
      <c r="F17" s="132">
        <v>0</v>
      </c>
      <c r="G17" s="132">
        <v>2.7981130770483049E-2</v>
      </c>
      <c r="H17" s="132">
        <v>1.8206388361698266E-2</v>
      </c>
      <c r="I17" s="132">
        <v>1.1161469909070075E-2</v>
      </c>
      <c r="J17" s="132">
        <v>2.3324817876430926E-2</v>
      </c>
      <c r="K17" s="132">
        <v>1.602769929600777E-3</v>
      </c>
      <c r="L17" s="132">
        <v>1.771785757847872E-2</v>
      </c>
      <c r="M17" s="132">
        <v>1.3958862789323127E-2</v>
      </c>
      <c r="N17" s="132">
        <v>8.2772278124563173E-3</v>
      </c>
      <c r="O17" s="132">
        <v>2.3657927512518755E-2</v>
      </c>
      <c r="P17" s="132">
        <v>3.6049442740245866E-2</v>
      </c>
      <c r="Q17" s="132">
        <v>3.5627810327295818E-2</v>
      </c>
      <c r="R17" s="132">
        <v>7.6296930106091662E-2</v>
      </c>
      <c r="S17" s="132">
        <v>3.4591015244899902E-2</v>
      </c>
      <c r="T17" s="132">
        <v>5.6471507425940523E-2</v>
      </c>
      <c r="U17" s="132">
        <v>3.9797667952713688E-2</v>
      </c>
      <c r="V17" s="132">
        <v>4.8646777840377797E-2</v>
      </c>
      <c r="W17" s="132">
        <v>3.9833004397435333E-2</v>
      </c>
      <c r="X17" s="132">
        <v>3.5822359334068278E-2</v>
      </c>
      <c r="Y17" s="132">
        <v>3.7958362354338783E-2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4.247349358309302</v>
      </c>
      <c r="D19" s="130">
        <f t="shared" si="9"/>
        <v>3.1640118051352659</v>
      </c>
      <c r="E19" s="130">
        <f t="shared" si="9"/>
        <v>2.102362580545281</v>
      </c>
      <c r="F19" s="130">
        <f t="shared" si="9"/>
        <v>1.8221631867709691</v>
      </c>
      <c r="G19" s="130">
        <f t="shared" si="9"/>
        <v>2.0375270131067222</v>
      </c>
      <c r="H19" s="130">
        <f t="shared" si="9"/>
        <v>5.0125817012585099</v>
      </c>
      <c r="I19" s="130">
        <f t="shared" si="9"/>
        <v>8.4750996608626625</v>
      </c>
      <c r="J19" s="130">
        <f t="shared" si="9"/>
        <v>6.0514841688504806</v>
      </c>
      <c r="K19" s="130">
        <f t="shared" si="9"/>
        <v>0.68488462856825338</v>
      </c>
      <c r="L19" s="130">
        <f t="shared" si="9"/>
        <v>3.1496202302563381</v>
      </c>
      <c r="M19" s="130">
        <f t="shared" si="9"/>
        <v>2.0703731274308028</v>
      </c>
      <c r="N19" s="130">
        <f t="shared" si="9"/>
        <v>3.0289831021590605</v>
      </c>
      <c r="O19" s="130">
        <f t="shared" si="9"/>
        <v>2.6365500905037527</v>
      </c>
      <c r="P19" s="130">
        <f t="shared" si="9"/>
        <v>1.7280676724238497</v>
      </c>
      <c r="Q19" s="130">
        <f t="shared" si="9"/>
        <v>1.4259893003003721</v>
      </c>
      <c r="R19" s="130">
        <f t="shared" ref="R19:W19" si="10">SUM(R20:R27)</f>
        <v>1.2470176141803255</v>
      </c>
      <c r="S19" s="130">
        <f t="shared" si="10"/>
        <v>0.69480084213396098</v>
      </c>
      <c r="T19" s="130">
        <f t="shared" si="10"/>
        <v>0</v>
      </c>
      <c r="U19" s="130">
        <f t="shared" si="10"/>
        <v>8.0213181657234817E-2</v>
      </c>
      <c r="V19" s="130">
        <f t="shared" si="10"/>
        <v>0.32179267748050122</v>
      </c>
      <c r="W19" s="130">
        <f t="shared" si="10"/>
        <v>1.2459077806938084</v>
      </c>
      <c r="X19" s="130">
        <f t="shared" ref="X19:Y19" si="11">SUM(X20:X27)</f>
        <v>2.0748715114473879</v>
      </c>
      <c r="Y19" s="130">
        <f t="shared" si="11"/>
        <v>1.7806054192832581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2.0298524356844174</v>
      </c>
      <c r="I20" s="132">
        <v>4.63854944292118</v>
      </c>
      <c r="J20" s="132">
        <v>3.5501545475244267</v>
      </c>
      <c r="K20" s="132">
        <v>0.39066047704361551</v>
      </c>
      <c r="L20" s="132">
        <v>0.88201565965206874</v>
      </c>
      <c r="M20" s="132">
        <v>0.44029095506120702</v>
      </c>
      <c r="N20" s="132">
        <v>0.42524655562910235</v>
      </c>
      <c r="O20" s="132">
        <v>0.4079012326178082</v>
      </c>
      <c r="P20" s="132">
        <v>4.7946456994272749E-3</v>
      </c>
      <c r="Q20" s="132">
        <v>0</v>
      </c>
      <c r="R20" s="132">
        <v>0</v>
      </c>
      <c r="S20" s="132">
        <v>0</v>
      </c>
      <c r="T20" s="132">
        <v>0</v>
      </c>
      <c r="U20" s="132">
        <v>8.0213181657234817E-2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4.247349358309302</v>
      </c>
      <c r="D23" s="132">
        <v>3.1640118051352659</v>
      </c>
      <c r="E23" s="132">
        <v>2.102362580545281</v>
      </c>
      <c r="F23" s="132">
        <v>1.8221631867709691</v>
      </c>
      <c r="G23" s="132">
        <v>2.0375270131067222</v>
      </c>
      <c r="H23" s="132">
        <v>2.9827292655740929</v>
      </c>
      <c r="I23" s="132">
        <v>3.836550217941483</v>
      </c>
      <c r="J23" s="132">
        <v>2.5013296213260543</v>
      </c>
      <c r="K23" s="132">
        <v>0.29422415152463788</v>
      </c>
      <c r="L23" s="132">
        <v>2.2676045706042696</v>
      </c>
      <c r="M23" s="132">
        <v>1.630082172369596</v>
      </c>
      <c r="N23" s="132">
        <v>2.6037365465299582</v>
      </c>
      <c r="O23" s="132">
        <v>2.2286488578859447</v>
      </c>
      <c r="P23" s="132">
        <v>1.7232730267244225</v>
      </c>
      <c r="Q23" s="132">
        <v>1.4259893003003721</v>
      </c>
      <c r="R23" s="132">
        <v>1.2470176141803255</v>
      </c>
      <c r="S23" s="132">
        <v>0.69480084213396098</v>
      </c>
      <c r="T23" s="132">
        <v>0</v>
      </c>
      <c r="U23" s="132">
        <v>0</v>
      </c>
      <c r="V23" s="132">
        <v>0.32179267748050122</v>
      </c>
      <c r="W23" s="132">
        <v>1.2459077806938084</v>
      </c>
      <c r="X23" s="132">
        <v>2.0748715114473879</v>
      </c>
      <c r="Y23" s="132">
        <v>1.7806054192832581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4.9631855318505291</v>
      </c>
      <c r="D29" s="130">
        <f t="shared" si="12"/>
        <v>8.3156818293211643</v>
      </c>
      <c r="E29" s="130">
        <f t="shared" si="12"/>
        <v>3.4458991296652304</v>
      </c>
      <c r="F29" s="130">
        <f t="shared" si="12"/>
        <v>4.8307523945282336</v>
      </c>
      <c r="G29" s="130">
        <f t="shared" si="12"/>
        <v>3.8702604055427137</v>
      </c>
      <c r="H29" s="130">
        <f t="shared" si="12"/>
        <v>6.0580928691782088</v>
      </c>
      <c r="I29" s="130">
        <f t="shared" si="12"/>
        <v>6.5857520622204664</v>
      </c>
      <c r="J29" s="130">
        <f t="shared" si="12"/>
        <v>4.4469758846661973</v>
      </c>
      <c r="K29" s="130">
        <f t="shared" si="12"/>
        <v>0.69281529812164222</v>
      </c>
      <c r="L29" s="130">
        <f t="shared" si="12"/>
        <v>3.8676585801466645</v>
      </c>
      <c r="M29" s="130">
        <f t="shared" si="12"/>
        <v>1.0410949416012485</v>
      </c>
      <c r="N29" s="130">
        <f t="shared" si="12"/>
        <v>3.9855981604808237</v>
      </c>
      <c r="O29" s="130">
        <f t="shared" si="12"/>
        <v>3.9078112565316827</v>
      </c>
      <c r="P29" s="130">
        <f t="shared" si="12"/>
        <v>3.4185954094662545</v>
      </c>
      <c r="Q29" s="130">
        <f t="shared" si="12"/>
        <v>2.855378273732561</v>
      </c>
      <c r="R29" s="130">
        <f t="shared" ref="R29:W29" si="13">SUM(R30:R33)</f>
        <v>2.0150543233814102</v>
      </c>
      <c r="S29" s="130">
        <f t="shared" si="13"/>
        <v>0.95096752772158155</v>
      </c>
      <c r="T29" s="130">
        <f t="shared" si="13"/>
        <v>1.579823246285879</v>
      </c>
      <c r="U29" s="130">
        <f t="shared" si="13"/>
        <v>1.9044162496528363</v>
      </c>
      <c r="V29" s="130">
        <f t="shared" si="13"/>
        <v>2.1531860897911326</v>
      </c>
      <c r="W29" s="130">
        <f t="shared" si="13"/>
        <v>2.7344958385280771</v>
      </c>
      <c r="X29" s="130">
        <f t="shared" ref="X29:Y29" si="14">SUM(X30:X33)</f>
        <v>3.6977104759435355</v>
      </c>
      <c r="Y29" s="130">
        <f t="shared" si="14"/>
        <v>2.9411089541028619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3.4804578024950268</v>
      </c>
      <c r="D30" s="132">
        <v>7.6626152936733494</v>
      </c>
      <c r="E30" s="132">
        <v>2.4677482123404157</v>
      </c>
      <c r="F30" s="132">
        <v>2.0696687568504926</v>
      </c>
      <c r="G30" s="132">
        <v>0</v>
      </c>
      <c r="H30" s="132">
        <v>0</v>
      </c>
      <c r="I30" s="132">
        <v>0</v>
      </c>
      <c r="J30" s="132">
        <v>0</v>
      </c>
      <c r="K30" s="132">
        <v>0.15062319630450263</v>
      </c>
      <c r="L30" s="132">
        <v>1.7034553842857261</v>
      </c>
      <c r="M30" s="132">
        <v>0</v>
      </c>
      <c r="N30" s="132">
        <v>0.97272840580565401</v>
      </c>
      <c r="O30" s="132">
        <v>0.85915584527525068</v>
      </c>
      <c r="P30" s="132">
        <v>0.68461821216949514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0.10616598529201787</v>
      </c>
      <c r="X30" s="132">
        <v>0.51247190464893133</v>
      </c>
      <c r="Y30" s="132">
        <v>0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1.4827277293555019</v>
      </c>
      <c r="D31" s="132">
        <v>0.65306653564781558</v>
      </c>
      <c r="E31" s="132">
        <v>0.97815091732481485</v>
      </c>
      <c r="F31" s="132">
        <v>2.761083637677741</v>
      </c>
      <c r="G31" s="132">
        <v>3.8702604055427137</v>
      </c>
      <c r="H31" s="132">
        <v>6.0580928691782088</v>
      </c>
      <c r="I31" s="132">
        <v>6.5857520622204664</v>
      </c>
      <c r="J31" s="132">
        <v>4.4469758846661973</v>
      </c>
      <c r="K31" s="132">
        <v>0.54219210181713962</v>
      </c>
      <c r="L31" s="132">
        <v>2.1642031958609387</v>
      </c>
      <c r="M31" s="132">
        <v>1.0410949416012485</v>
      </c>
      <c r="N31" s="132">
        <v>3.0128697546751697</v>
      </c>
      <c r="O31" s="132">
        <v>3.0486554112564321</v>
      </c>
      <c r="P31" s="132">
        <v>2.7339771972967593</v>
      </c>
      <c r="Q31" s="132">
        <v>2.855378273732561</v>
      </c>
      <c r="R31" s="132">
        <v>2.0150543233814102</v>
      </c>
      <c r="S31" s="132">
        <v>0.95096752772158155</v>
      </c>
      <c r="T31" s="132">
        <v>1.579823246285879</v>
      </c>
      <c r="U31" s="132">
        <v>1.9044162496528363</v>
      </c>
      <c r="V31" s="132">
        <v>2.1531860897911326</v>
      </c>
      <c r="W31" s="132">
        <v>2.6283298532360591</v>
      </c>
      <c r="X31" s="132">
        <v>3.1852385712946041</v>
      </c>
      <c r="Y31" s="132">
        <v>2.9411089541028619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539667.30890388647</v>
      </c>
      <c r="D3" s="125">
        <f>IF(SER_hh_fec_in!D3=0,0,11630*1000*SER_hh_fec_in!D3/SER_hh_num_in!D3)</f>
        <v>482919.36562515562</v>
      </c>
      <c r="E3" s="125">
        <f>IF(SER_hh_fec_in!E3=0,0,11630*1000*SER_hh_fec_in!E3/SER_hh_num_in!E3)</f>
        <v>355032.274420765</v>
      </c>
      <c r="F3" s="125">
        <f>IF(SER_hh_fec_in!F3=0,0,11630*1000*SER_hh_fec_in!F3/SER_hh_num_in!F3)</f>
        <v>367215.76294221223</v>
      </c>
      <c r="G3" s="125">
        <f>IF(SER_hh_fec_in!G3=0,0,11630*1000*SER_hh_fec_in!G3/SER_hh_num_in!G3)</f>
        <v>632581.0460333199</v>
      </c>
      <c r="H3" s="125">
        <f>IF(SER_hh_fec_in!H3=0,0,11630*1000*SER_hh_fec_in!H3/SER_hh_num_in!H3)</f>
        <v>583570.80121824122</v>
      </c>
      <c r="I3" s="125">
        <f>IF(SER_hh_fec_in!I3=0,0,11630*1000*SER_hh_fec_in!I3/SER_hh_num_in!I3)</f>
        <v>474562.07430118334</v>
      </c>
      <c r="J3" s="125">
        <f>IF(SER_hh_fec_in!J3=0,0,11630*1000*SER_hh_fec_in!J3/SER_hh_num_in!J3)</f>
        <v>435816.81952114607</v>
      </c>
      <c r="K3" s="125">
        <f>IF(SER_hh_fec_in!K3=0,0,11630*1000*SER_hh_fec_in!K3/SER_hh_num_in!K3)</f>
        <v>530000.85599225049</v>
      </c>
      <c r="L3" s="125">
        <f>IF(SER_hh_fec_in!L3=0,0,11630*1000*SER_hh_fec_in!L3/SER_hh_num_in!L3)</f>
        <v>419441.83425855462</v>
      </c>
      <c r="M3" s="125">
        <f>IF(SER_hh_fec_in!M3=0,0,11630*1000*SER_hh_fec_in!M3/SER_hh_num_in!M3)</f>
        <v>321748.7966454624</v>
      </c>
      <c r="N3" s="125">
        <f>IF(SER_hh_fec_in!N3=0,0,11630*1000*SER_hh_fec_in!N3/SER_hh_num_in!N3)</f>
        <v>341387.46085503639</v>
      </c>
      <c r="O3" s="125">
        <f>IF(SER_hh_fec_in!O3=0,0,11630*1000*SER_hh_fec_in!O3/SER_hh_num_in!O3)</f>
        <v>334226.61143527762</v>
      </c>
      <c r="P3" s="125">
        <f>IF(SER_hh_fec_in!P3=0,0,11630*1000*SER_hh_fec_in!P3/SER_hh_num_in!P3)</f>
        <v>214370.32961408314</v>
      </c>
      <c r="Q3" s="125">
        <f>IF(SER_hh_fec_in!Q3=0,0,11630*1000*SER_hh_fec_in!Q3/SER_hh_num_in!Q3)</f>
        <v>207310.23482259846</v>
      </c>
      <c r="R3" s="125">
        <f>IF(SER_hh_fec_in!R3=0,0,11630*1000*SER_hh_fec_in!R3/SER_hh_num_in!R3)</f>
        <v>199343.20579408744</v>
      </c>
      <c r="S3" s="125">
        <f>IF(SER_hh_fec_in!S3=0,0,11630*1000*SER_hh_fec_in!S3/SER_hh_num_in!S3)</f>
        <v>201884.21979205491</v>
      </c>
      <c r="T3" s="125">
        <f>IF(SER_hh_fec_in!T3=0,0,11630*1000*SER_hh_fec_in!T3/SER_hh_num_in!T3)</f>
        <v>172244.76398567253</v>
      </c>
      <c r="U3" s="125">
        <f>IF(SER_hh_fec_in!U3=0,0,11630*1000*SER_hh_fec_in!U3/SER_hh_num_in!U3)</f>
        <v>147741.63245380591</v>
      </c>
      <c r="V3" s="125">
        <f>IF(SER_hh_fec_in!V3=0,0,11630*1000*SER_hh_fec_in!V3/SER_hh_num_in!V3)</f>
        <v>123411.3152422643</v>
      </c>
      <c r="W3" s="125">
        <f>IF(SER_hh_fec_in!W3=0,0,11630*1000*SER_hh_fec_in!W3/SER_hh_num_in!W3)</f>
        <v>132123.91642061979</v>
      </c>
      <c r="X3" s="125">
        <f>IF(SER_hh_fec_in!X3=0,0,11630*1000*SER_hh_fec_in!X3/SER_hh_num_in!X3)</f>
        <v>117686.354123122</v>
      </c>
      <c r="Y3" s="125">
        <f>IF(SER_hh_fec_in!Y3=0,0,11630*1000*SER_hh_fec_in!Y3/SER_hh_num_in!Y3)</f>
        <v>104416.67112840875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451586.09864881902</v>
      </c>
      <c r="D4" s="130">
        <f>IF(SER_hh_fec_in!D4=0,0,11630*1000*SER_hh_fec_in!D4/SER_hh_num_in!D4)</f>
        <v>385310.90920836042</v>
      </c>
      <c r="E4" s="130">
        <f>IF(SER_hh_fec_in!E4=0,0,11630*1000*SER_hh_fec_in!E4/SER_hh_num_in!E4)</f>
        <v>271188.61075153347</v>
      </c>
      <c r="F4" s="130">
        <f>IF(SER_hh_fec_in!F4=0,0,11630*1000*SER_hh_fec_in!F4/SER_hh_num_in!F4)</f>
        <v>283478.48836025322</v>
      </c>
      <c r="G4" s="130">
        <f>IF(SER_hh_fec_in!G4=0,0,11630*1000*SER_hh_fec_in!G4/SER_hh_num_in!G4)</f>
        <v>548073.7517455403</v>
      </c>
      <c r="H4" s="130">
        <f>IF(SER_hh_fec_in!H4=0,0,11630*1000*SER_hh_fec_in!H4/SER_hh_num_in!H4)</f>
        <v>501215.71506667451</v>
      </c>
      <c r="I4" s="130">
        <f>IF(SER_hh_fec_in!I4=0,0,11630*1000*SER_hh_fec_in!I4/SER_hh_num_in!I4)</f>
        <v>391042.49550888548</v>
      </c>
      <c r="J4" s="130">
        <f>IF(SER_hh_fec_in!J4=0,0,11630*1000*SER_hh_fec_in!J4/SER_hh_num_in!J4)</f>
        <v>350754.10460652114</v>
      </c>
      <c r="K4" s="130">
        <f>IF(SER_hh_fec_in!K4=0,0,11630*1000*SER_hh_fec_in!K4/SER_hh_num_in!K4)</f>
        <v>444439.68320938887</v>
      </c>
      <c r="L4" s="130">
        <f>IF(SER_hh_fec_in!L4=0,0,11630*1000*SER_hh_fec_in!L4/SER_hh_num_in!L4)</f>
        <v>337404.40503265063</v>
      </c>
      <c r="M4" s="130">
        <f>IF(SER_hh_fec_in!M4=0,0,11630*1000*SER_hh_fec_in!M4/SER_hh_num_in!M4)</f>
        <v>240413.43100723214</v>
      </c>
      <c r="N4" s="130">
        <f>IF(SER_hh_fec_in!N4=0,0,11630*1000*SER_hh_fec_in!N4/SER_hh_num_in!N4)</f>
        <v>254213.68493742446</v>
      </c>
      <c r="O4" s="130">
        <f>IF(SER_hh_fec_in!O4=0,0,11630*1000*SER_hh_fec_in!O4/SER_hh_num_in!O4)</f>
        <v>247253.44497609121</v>
      </c>
      <c r="P4" s="130">
        <f>IF(SER_hh_fec_in!P4=0,0,11630*1000*SER_hh_fec_in!P4/SER_hh_num_in!P4)</f>
        <v>136645.13501391347</v>
      </c>
      <c r="Q4" s="130">
        <f>IF(SER_hh_fec_in!Q4=0,0,11630*1000*SER_hh_fec_in!Q4/SER_hh_num_in!Q4)</f>
        <v>131997.02629718932</v>
      </c>
      <c r="R4" s="130">
        <f>IF(SER_hh_fec_in!R4=0,0,11630*1000*SER_hh_fec_in!R4/SER_hh_num_in!R4)</f>
        <v>127653.61194831278</v>
      </c>
      <c r="S4" s="130">
        <f>IF(SER_hh_fec_in!S4=0,0,11630*1000*SER_hh_fec_in!S4/SER_hh_num_in!S4)</f>
        <v>133310.72038201769</v>
      </c>
      <c r="T4" s="130">
        <f>IF(SER_hh_fec_in!T4=0,0,11630*1000*SER_hh_fec_in!T4/SER_hh_num_in!T4)</f>
        <v>105488.48880047687</v>
      </c>
      <c r="U4" s="130">
        <f>IF(SER_hh_fec_in!U4=0,0,11630*1000*SER_hh_fec_in!U4/SER_hh_num_in!U4)</f>
        <v>82667.460437555259</v>
      </c>
      <c r="V4" s="130">
        <f>IF(SER_hh_fec_in!V4=0,0,11630*1000*SER_hh_fec_in!V4/SER_hh_num_in!V4)</f>
        <v>62787.251993847654</v>
      </c>
      <c r="W4" s="130">
        <f>IF(SER_hh_fec_in!W4=0,0,11630*1000*SER_hh_fec_in!W4/SER_hh_num_in!W4)</f>
        <v>68361.381902729045</v>
      </c>
      <c r="X4" s="130">
        <f>IF(SER_hh_fec_in!X4=0,0,11630*1000*SER_hh_fec_in!X4/SER_hh_num_in!X4)</f>
        <v>50219.097030964382</v>
      </c>
      <c r="Y4" s="130">
        <f>IF(SER_hh_fec_in!Y4=0,0,11630*1000*SER_hh_fec_in!Y4/SER_hh_num_in!Y4)</f>
        <v>39990.458442557276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462460.08938962017</v>
      </c>
      <c r="D5" s="132">
        <f>IF(SER_hh_fec_in!D5=0,0,11630*1000*SER_hh_fec_in!D5/SER_hh_num_in!D5)</f>
        <v>605064.05340309592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121544.00289287051</v>
      </c>
      <c r="H5" s="132">
        <f>IF(SER_hh_fec_in!H5=0,0,11630*1000*SER_hh_fec_in!H5/SER_hh_num_in!H5)</f>
        <v>285043.19754883216</v>
      </c>
      <c r="I5" s="132">
        <f>IF(SER_hh_fec_in!I5=0,0,11630*1000*SER_hh_fec_in!I5/SER_hh_num_in!I5)</f>
        <v>339595.07299381285</v>
      </c>
      <c r="J5" s="132">
        <f>IF(SER_hh_fec_in!J5=0,0,11630*1000*SER_hh_fec_in!J5/SER_hh_num_in!J5)</f>
        <v>350272.32575326686</v>
      </c>
      <c r="K5" s="132">
        <f>IF(SER_hh_fec_in!K5=0,0,11630*1000*SER_hh_fec_in!K5/SER_hh_num_in!K5)</f>
        <v>614212.34072036552</v>
      </c>
      <c r="L5" s="132">
        <f>IF(SER_hh_fec_in!L5=0,0,11630*1000*SER_hh_fec_in!L5/SER_hh_num_in!L5)</f>
        <v>324678.71237669862</v>
      </c>
      <c r="M5" s="132">
        <f>IF(SER_hh_fec_in!M5=0,0,11630*1000*SER_hh_fec_in!M5/SER_hh_num_in!M5)</f>
        <v>363078.03831715829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117174.79121845122</v>
      </c>
      <c r="T5" s="132">
        <f>IF(SER_hh_fec_in!T5=0,0,11630*1000*SER_hh_fec_in!T5/SER_hh_num_in!T5)</f>
        <v>114303.41096063217</v>
      </c>
      <c r="U5" s="132">
        <f>IF(SER_hh_fec_in!U5=0,0,11630*1000*SER_hh_fec_in!U5/SER_hh_num_in!U5)</f>
        <v>147965.28877481376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46119.123789463789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845401.34494592133</v>
      </c>
      <c r="D7" s="132">
        <f>IF(SER_hh_fec_in!D7=0,0,11630*1000*SER_hh_fec_in!D7/SER_hh_num_in!D7)</f>
        <v>0</v>
      </c>
      <c r="E7" s="132">
        <f>IF(SER_hh_fec_in!E7=0,0,11630*1000*SER_hh_fec_in!E7/SER_hh_num_in!E7)</f>
        <v>208810.65245044799</v>
      </c>
      <c r="F7" s="132">
        <f>IF(SER_hh_fec_in!F7=0,0,11630*1000*SER_hh_fec_in!F7/SER_hh_num_in!F7)</f>
        <v>538776.96722122119</v>
      </c>
      <c r="G7" s="132">
        <f>IF(SER_hh_fec_in!G7=0,0,11630*1000*SER_hh_fec_in!G7/SER_hh_num_in!G7)</f>
        <v>619274.27907275246</v>
      </c>
      <c r="H7" s="132">
        <f>IF(SER_hh_fec_in!H7=0,0,11630*1000*SER_hh_fec_in!H7/SER_hh_num_in!H7)</f>
        <v>0</v>
      </c>
      <c r="I7" s="132">
        <f>IF(SER_hh_fec_in!I7=0,0,11630*1000*SER_hh_fec_in!I7/SER_hh_num_in!I7)</f>
        <v>0</v>
      </c>
      <c r="J7" s="132">
        <f>IF(SER_hh_fec_in!J7=0,0,11630*1000*SER_hh_fec_in!J7/SER_hh_num_in!J7)</f>
        <v>0</v>
      </c>
      <c r="K7" s="132">
        <f>IF(SER_hh_fec_in!K7=0,0,11630*1000*SER_hh_fec_in!K7/SER_hh_num_in!K7)</f>
        <v>0</v>
      </c>
      <c r="L7" s="132">
        <f>IF(SER_hh_fec_in!L7=0,0,11630*1000*SER_hh_fec_in!L7/SER_hh_num_in!L7)</f>
        <v>0</v>
      </c>
      <c r="M7" s="132">
        <f>IF(SER_hh_fec_in!M7=0,0,11630*1000*SER_hh_fec_in!M7/SER_hh_num_in!M7)</f>
        <v>0</v>
      </c>
      <c r="N7" s="132">
        <f>IF(SER_hh_fec_in!N7=0,0,11630*1000*SER_hh_fec_in!N7/SER_hh_num_in!N7)</f>
        <v>0</v>
      </c>
      <c r="O7" s="132">
        <f>IF(SER_hh_fec_in!O7=0,0,11630*1000*SER_hh_fec_in!O7/SER_hh_num_in!O7)</f>
        <v>83955.547279228151</v>
      </c>
      <c r="P7" s="132">
        <f>IF(SER_hh_fec_in!P7=0,0,11630*1000*SER_hh_fec_in!P7/SER_hh_num_in!P7)</f>
        <v>195368.26637967117</v>
      </c>
      <c r="Q7" s="132">
        <f>IF(SER_hh_fec_in!Q7=0,0,11630*1000*SER_hh_fec_in!Q7/SER_hh_num_in!Q7)</f>
        <v>180702.42312255022</v>
      </c>
      <c r="R7" s="132">
        <f>IF(SER_hh_fec_in!R7=0,0,11630*1000*SER_hh_fec_in!R7/SER_hh_num_in!R7)</f>
        <v>0</v>
      </c>
      <c r="S7" s="132">
        <f>IF(SER_hh_fec_in!S7=0,0,11630*1000*SER_hh_fec_in!S7/SER_hh_num_in!S7)</f>
        <v>0</v>
      </c>
      <c r="T7" s="132">
        <f>IF(SER_hh_fec_in!T7=0,0,11630*1000*SER_hh_fec_in!T7/SER_hh_num_in!T7)</f>
        <v>0</v>
      </c>
      <c r="U7" s="132">
        <f>IF(SER_hh_fec_in!U7=0,0,11630*1000*SER_hh_fec_in!U7/SER_hh_num_in!U7)</f>
        <v>0</v>
      </c>
      <c r="V7" s="132">
        <f>IF(SER_hh_fec_in!V7=0,0,11630*1000*SER_hh_fec_in!V7/SER_hh_num_in!V7)</f>
        <v>0</v>
      </c>
      <c r="W7" s="132">
        <f>IF(SER_hh_fec_in!W7=0,0,11630*1000*SER_hh_fec_in!W7/SER_hh_num_in!W7)</f>
        <v>0</v>
      </c>
      <c r="X7" s="132">
        <f>IF(SER_hh_fec_in!X7=0,0,11630*1000*SER_hh_fec_in!X7/SER_hh_num_in!X7)</f>
        <v>0</v>
      </c>
      <c r="Y7" s="132">
        <f>IF(SER_hh_fec_in!Y7=0,0,11630*1000*SER_hh_fec_in!Y7/SER_hh_num_in!Y7)</f>
        <v>0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234081.99508219335</v>
      </c>
      <c r="D8" s="132">
        <f>IF(SER_hh_fec_in!D8=0,0,11630*1000*SER_hh_fec_in!D8/SER_hh_num_in!D8)</f>
        <v>173205.44570687771</v>
      </c>
      <c r="E8" s="132">
        <f>IF(SER_hh_fec_in!E8=0,0,11630*1000*SER_hh_fec_in!E8/SER_hh_num_in!E8)</f>
        <v>170443.85692096475</v>
      </c>
      <c r="F8" s="132">
        <f>IF(SER_hh_fec_in!F8=0,0,11630*1000*SER_hh_fec_in!F8/SER_hh_num_in!F8)</f>
        <v>173422.17279348618</v>
      </c>
      <c r="G8" s="132">
        <f>IF(SER_hh_fec_in!G8=0,0,11630*1000*SER_hh_fec_in!G8/SER_hh_num_in!G8)</f>
        <v>169602.33808214657</v>
      </c>
      <c r="H8" s="132">
        <f>IF(SER_hh_fec_in!H8=0,0,11630*1000*SER_hh_fec_in!H8/SER_hh_num_in!H8)</f>
        <v>168177.49087206728</v>
      </c>
      <c r="I8" s="132">
        <f>IF(SER_hh_fec_in!I8=0,0,11630*1000*SER_hh_fec_in!I8/SER_hh_num_in!I8)</f>
        <v>152590.03531450889</v>
      </c>
      <c r="J8" s="132">
        <f>IF(SER_hh_fec_in!J8=0,0,11630*1000*SER_hh_fec_in!J8/SER_hh_num_in!J8)</f>
        <v>137731.82910894416</v>
      </c>
      <c r="K8" s="132">
        <f>IF(SER_hh_fec_in!K8=0,0,11630*1000*SER_hh_fec_in!K8/SER_hh_num_in!K8)</f>
        <v>124557.30523317053</v>
      </c>
      <c r="L8" s="132">
        <f>IF(SER_hh_fec_in!L8=0,0,11630*1000*SER_hh_fec_in!L8/SER_hh_num_in!L8)</f>
        <v>104811.61752249158</v>
      </c>
      <c r="M8" s="132">
        <f>IF(SER_hh_fec_in!M8=0,0,11630*1000*SER_hh_fec_in!M8/SER_hh_num_in!M8)</f>
        <v>91938.035378532149</v>
      </c>
      <c r="N8" s="132">
        <f>IF(SER_hh_fec_in!N8=0,0,11630*1000*SER_hh_fec_in!N8/SER_hh_num_in!N8)</f>
        <v>64691.183117841028</v>
      </c>
      <c r="O8" s="132">
        <f>IF(SER_hh_fec_in!O8=0,0,11630*1000*SER_hh_fec_in!O8/SER_hh_num_in!O8)</f>
        <v>63502.476097726016</v>
      </c>
      <c r="P8" s="132">
        <f>IF(SER_hh_fec_in!P8=0,0,11630*1000*SER_hh_fec_in!P8/SER_hh_num_in!P8)</f>
        <v>49278.344274713832</v>
      </c>
      <c r="Q8" s="132">
        <f>IF(SER_hh_fec_in!Q8=0,0,11630*1000*SER_hh_fec_in!Q8/SER_hh_num_in!Q8)</f>
        <v>47089.347281882467</v>
      </c>
      <c r="R8" s="132">
        <f>IF(SER_hh_fec_in!R8=0,0,11630*1000*SER_hh_fec_in!R8/SER_hh_num_in!R8)</f>
        <v>38034.343279446999</v>
      </c>
      <c r="S8" s="132">
        <f>IF(SER_hh_fec_in!S8=0,0,11630*1000*SER_hh_fec_in!S8/SER_hh_num_in!S8)</f>
        <v>34806.815037572742</v>
      </c>
      <c r="T8" s="132">
        <f>IF(SER_hh_fec_in!T8=0,0,11630*1000*SER_hh_fec_in!T8/SER_hh_num_in!T8)</f>
        <v>29933.155558810558</v>
      </c>
      <c r="U8" s="132">
        <f>IF(SER_hh_fec_in!U8=0,0,11630*1000*SER_hh_fec_in!U8/SER_hh_num_in!U8)</f>
        <v>23041.148463530186</v>
      </c>
      <c r="V8" s="132">
        <f>IF(SER_hh_fec_in!V8=0,0,11630*1000*SER_hh_fec_in!V8/SER_hh_num_in!V8)</f>
        <v>22451.035457528349</v>
      </c>
      <c r="W8" s="132">
        <f>IF(SER_hh_fec_in!W8=0,0,11630*1000*SER_hh_fec_in!W8/SER_hh_num_in!W8)</f>
        <v>17824.55652093012</v>
      </c>
      <c r="X8" s="132">
        <f>IF(SER_hh_fec_in!X8=0,0,11630*1000*SER_hh_fec_in!X8/SER_hh_num_in!X8)</f>
        <v>14091.449816514874</v>
      </c>
      <c r="Y8" s="132">
        <f>IF(SER_hh_fec_in!Y8=0,0,11630*1000*SER_hh_fec_in!Y8/SER_hh_num_in!Y8)</f>
        <v>14244.731359793986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0</v>
      </c>
      <c r="D9" s="132">
        <f>IF(SER_hh_fec_in!D9=0,0,11630*1000*SER_hh_fec_in!D9/SER_hh_num_in!D9)</f>
        <v>0</v>
      </c>
      <c r="E9" s="132">
        <f>IF(SER_hh_fec_in!E9=0,0,11630*1000*SER_hh_fec_in!E9/SER_hh_num_in!E9)</f>
        <v>394838.22479020612</v>
      </c>
      <c r="F9" s="132">
        <f>IF(SER_hh_fec_in!F9=0,0,11630*1000*SER_hh_fec_in!F9/SER_hh_num_in!F9)</f>
        <v>231761.74247377427</v>
      </c>
      <c r="G9" s="132">
        <f>IF(SER_hh_fec_in!G9=0,0,11630*1000*SER_hh_fec_in!G9/SER_hh_num_in!G9)</f>
        <v>562498.55130049179</v>
      </c>
      <c r="H9" s="132">
        <f>IF(SER_hh_fec_in!H9=0,0,11630*1000*SER_hh_fec_in!H9/SER_hh_num_in!H9)</f>
        <v>520051.46515881334</v>
      </c>
      <c r="I9" s="132">
        <f>IF(SER_hh_fec_in!I9=0,0,11630*1000*SER_hh_fec_in!I9/SER_hh_num_in!I9)</f>
        <v>444067.14280699653</v>
      </c>
      <c r="J9" s="132">
        <f>IF(SER_hh_fec_in!J9=0,0,11630*1000*SER_hh_fec_in!J9/SER_hh_num_in!J9)</f>
        <v>450422.51678396185</v>
      </c>
      <c r="K9" s="132">
        <f>IF(SER_hh_fec_in!K9=0,0,11630*1000*SER_hh_fec_in!K9/SER_hh_num_in!K9)</f>
        <v>0</v>
      </c>
      <c r="L9" s="132">
        <f>IF(SER_hh_fec_in!L9=0,0,11630*1000*SER_hh_fec_in!L9/SER_hh_num_in!L9)</f>
        <v>482944.69117096683</v>
      </c>
      <c r="M9" s="132">
        <f>IF(SER_hh_fec_in!M9=0,0,11630*1000*SER_hh_fec_in!M9/SER_hh_num_in!M9)</f>
        <v>174147.41572150189</v>
      </c>
      <c r="N9" s="132">
        <f>IF(SER_hh_fec_in!N9=0,0,11630*1000*SER_hh_fec_in!N9/SER_hh_num_in!N9)</f>
        <v>269418.55888195999</v>
      </c>
      <c r="O9" s="132">
        <f>IF(SER_hh_fec_in!O9=0,0,11630*1000*SER_hh_fec_in!O9/SER_hh_num_in!O9)</f>
        <v>286507.24946462526</v>
      </c>
      <c r="P9" s="132">
        <f>IF(SER_hh_fec_in!P9=0,0,11630*1000*SER_hh_fec_in!P9/SER_hh_num_in!P9)</f>
        <v>145650.46418729733</v>
      </c>
      <c r="Q9" s="132">
        <f>IF(SER_hh_fec_in!Q9=0,0,11630*1000*SER_hh_fec_in!Q9/SER_hh_num_in!Q9)</f>
        <v>146349.04776938507</v>
      </c>
      <c r="R9" s="132">
        <f>IF(SER_hh_fec_in!R9=0,0,11630*1000*SER_hh_fec_in!R9/SER_hh_num_in!R9)</f>
        <v>132666.41080464033</v>
      </c>
      <c r="S9" s="132">
        <f>IF(SER_hh_fec_in!S9=0,0,11630*1000*SER_hh_fec_in!S9/SER_hh_num_in!S9)</f>
        <v>138178.01165635529</v>
      </c>
      <c r="T9" s="132">
        <f>IF(SER_hh_fec_in!T9=0,0,11630*1000*SER_hh_fec_in!T9/SER_hh_num_in!T9)</f>
        <v>110289.1536122043</v>
      </c>
      <c r="U9" s="132">
        <f>IF(SER_hh_fec_in!U9=0,0,11630*1000*SER_hh_fec_in!U9/SER_hh_num_in!U9)</f>
        <v>80454.789717778869</v>
      </c>
      <c r="V9" s="132">
        <f>IF(SER_hh_fec_in!V9=0,0,11630*1000*SER_hh_fec_in!V9/SER_hh_num_in!V9)</f>
        <v>65834.665324921167</v>
      </c>
      <c r="W9" s="132">
        <f>IF(SER_hh_fec_in!W9=0,0,11630*1000*SER_hh_fec_in!W9/SER_hh_num_in!W9)</f>
        <v>73913.695913836462</v>
      </c>
      <c r="X9" s="132">
        <f>IF(SER_hh_fec_in!X9=0,0,11630*1000*SER_hh_fec_in!X9/SER_hh_num_in!X9)</f>
        <v>54824.02358222218</v>
      </c>
      <c r="Y9" s="132">
        <f>IF(SER_hh_fec_in!Y9=0,0,11630*1000*SER_hh_fec_in!Y9/SER_hh_num_in!Y9)</f>
        <v>44027.800236604438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0</v>
      </c>
      <c r="D10" s="132">
        <f>IF(SER_hh_fec_in!D10=0,0,11630*1000*SER_hh_fec_in!D10/SER_hh_num_in!D10)</f>
        <v>0</v>
      </c>
      <c r="E10" s="132">
        <f>IF(SER_hh_fec_in!E10=0,0,11630*1000*SER_hh_fec_in!E10/SER_hh_num_in!E10)</f>
        <v>0</v>
      </c>
      <c r="F10" s="132">
        <f>IF(SER_hh_fec_in!F10=0,0,11630*1000*SER_hh_fec_in!F10/SER_hh_num_in!F10)</f>
        <v>0</v>
      </c>
      <c r="G10" s="132">
        <f>IF(SER_hh_fec_in!G10=0,0,11630*1000*SER_hh_fec_in!G10/SER_hh_num_in!G10)</f>
        <v>0</v>
      </c>
      <c r="H10" s="132">
        <f>IF(SER_hh_fec_in!H10=0,0,11630*1000*SER_hh_fec_in!H10/SER_hh_num_in!H10)</f>
        <v>168487.68932949897</v>
      </c>
      <c r="I10" s="132">
        <f>IF(SER_hh_fec_in!I10=0,0,11630*1000*SER_hh_fec_in!I10/SER_hh_num_in!I10)</f>
        <v>73755.811223440003</v>
      </c>
      <c r="J10" s="132">
        <f>IF(SER_hh_fec_in!J10=0,0,11630*1000*SER_hh_fec_in!J10/SER_hh_num_in!J10)</f>
        <v>554296.45531321596</v>
      </c>
      <c r="K10" s="132">
        <f>IF(SER_hh_fec_in!K10=0,0,11630*1000*SER_hh_fec_in!K10/SER_hh_num_in!K10)</f>
        <v>559917.37385216798</v>
      </c>
      <c r="L10" s="132">
        <f>IF(SER_hh_fec_in!L10=0,0,11630*1000*SER_hh_fec_in!L10/SER_hh_num_in!L10)</f>
        <v>496181.64278583747</v>
      </c>
      <c r="M10" s="132">
        <f>IF(SER_hh_fec_in!M10=0,0,11630*1000*SER_hh_fec_in!M10/SER_hh_num_in!M10)</f>
        <v>248289.7366482502</v>
      </c>
      <c r="N10" s="132">
        <f>IF(SER_hh_fec_in!N10=0,0,11630*1000*SER_hh_fec_in!N10/SER_hh_num_in!N10)</f>
        <v>277413.36914473795</v>
      </c>
      <c r="O10" s="132">
        <f>IF(SER_hh_fec_in!O10=0,0,11630*1000*SER_hh_fec_in!O10/SER_hh_num_in!O10)</f>
        <v>144508.32782552563</v>
      </c>
      <c r="P10" s="132">
        <f>IF(SER_hh_fec_in!P10=0,0,11630*1000*SER_hh_fec_in!P10/SER_hh_num_in!P10)</f>
        <v>346268.95816059172</v>
      </c>
      <c r="Q10" s="132">
        <f>IF(SER_hh_fec_in!Q10=0,0,11630*1000*SER_hh_fec_in!Q10/SER_hh_num_in!Q10)</f>
        <v>188629.34441496109</v>
      </c>
      <c r="R10" s="132">
        <f>IF(SER_hh_fec_in!R10=0,0,11630*1000*SER_hh_fec_in!R10/SER_hh_num_in!R10)</f>
        <v>63969.558398972767</v>
      </c>
      <c r="S10" s="132">
        <f>IF(SER_hh_fec_in!S10=0,0,11630*1000*SER_hh_fec_in!S10/SER_hh_num_in!S10)</f>
        <v>198487.76167744416</v>
      </c>
      <c r="T10" s="132">
        <f>IF(SER_hh_fec_in!T10=0,0,11630*1000*SER_hh_fec_in!T10/SER_hh_num_in!T10)</f>
        <v>153437.94778247183</v>
      </c>
      <c r="U10" s="132">
        <f>IF(SER_hh_fec_in!U10=0,0,11630*1000*SER_hh_fec_in!U10/SER_hh_num_in!U10)</f>
        <v>129770.34089664355</v>
      </c>
      <c r="V10" s="132">
        <f>IF(SER_hh_fec_in!V10=0,0,11630*1000*SER_hh_fec_in!V10/SER_hh_num_in!V10)</f>
        <v>128650.35502363768</v>
      </c>
      <c r="W10" s="132">
        <f>IF(SER_hh_fec_in!W10=0,0,11630*1000*SER_hh_fec_in!W10/SER_hh_num_in!W10)</f>
        <v>103666.97364445051</v>
      </c>
      <c r="X10" s="132">
        <f>IF(SER_hh_fec_in!X10=0,0,11630*1000*SER_hh_fec_in!X10/SER_hh_num_in!X10)</f>
        <v>57448.080051440062</v>
      </c>
      <c r="Y10" s="132">
        <f>IF(SER_hh_fec_in!Y10=0,0,11630*1000*SER_hh_fec_in!Y10/SER_hh_num_in!Y10)</f>
        <v>71553.209128192218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496120.88482119265</v>
      </c>
      <c r="D11" s="132">
        <f>IF(SER_hh_fec_in!D11=0,0,11630*1000*SER_hh_fec_in!D11/SER_hh_num_in!D11)</f>
        <v>342817.0352162788</v>
      </c>
      <c r="E11" s="132">
        <f>IF(SER_hh_fec_in!E11=0,0,11630*1000*SER_hh_fec_in!E11/SER_hh_num_in!E11)</f>
        <v>298572.54913664458</v>
      </c>
      <c r="F11" s="132">
        <f>IF(SER_hh_fec_in!F11=0,0,11630*1000*SER_hh_fec_in!F11/SER_hh_num_in!F11)</f>
        <v>271289.14003209263</v>
      </c>
      <c r="G11" s="132">
        <f>IF(SER_hh_fec_in!G11=0,0,11630*1000*SER_hh_fec_in!G11/SER_hh_num_in!G11)</f>
        <v>296422.59992633504</v>
      </c>
      <c r="H11" s="132">
        <f>IF(SER_hh_fec_in!H11=0,0,11630*1000*SER_hh_fec_in!H11/SER_hh_num_in!H11)</f>
        <v>343144.76736977114</v>
      </c>
      <c r="I11" s="132">
        <f>IF(SER_hh_fec_in!I11=0,0,11630*1000*SER_hh_fec_in!I11/SER_hh_num_in!I11)</f>
        <v>312502.94691340078</v>
      </c>
      <c r="J11" s="132">
        <f>IF(SER_hh_fec_in!J11=0,0,11630*1000*SER_hh_fec_in!J11/SER_hh_num_in!J11)</f>
        <v>309060.23587129352</v>
      </c>
      <c r="K11" s="132">
        <f>IF(SER_hh_fec_in!K11=0,0,11630*1000*SER_hh_fec_in!K11/SER_hh_num_in!K11)</f>
        <v>295907.80396164942</v>
      </c>
      <c r="L11" s="132">
        <f>IF(SER_hh_fec_in!L11=0,0,11630*1000*SER_hh_fec_in!L11/SER_hh_num_in!L11)</f>
        <v>292679.87441533263</v>
      </c>
      <c r="M11" s="132">
        <f>IF(SER_hh_fec_in!M11=0,0,11630*1000*SER_hh_fec_in!M11/SER_hh_num_in!M11)</f>
        <v>228562.12487812722</v>
      </c>
      <c r="N11" s="132">
        <f>IF(SER_hh_fec_in!N11=0,0,11630*1000*SER_hh_fec_in!N11/SER_hh_num_in!N11)</f>
        <v>171763.17980710045</v>
      </c>
      <c r="O11" s="132">
        <f>IF(SER_hh_fec_in!O11=0,0,11630*1000*SER_hh_fec_in!O11/SER_hh_num_in!O11)</f>
        <v>186635.33494830181</v>
      </c>
      <c r="P11" s="132">
        <f>IF(SER_hh_fec_in!P11=0,0,11630*1000*SER_hh_fec_in!P11/SER_hh_num_in!P11)</f>
        <v>121225.06840858827</v>
      </c>
      <c r="Q11" s="132">
        <f>IF(SER_hh_fec_in!Q11=0,0,11630*1000*SER_hh_fec_in!Q11/SER_hh_num_in!Q11)</f>
        <v>119049.51326310147</v>
      </c>
      <c r="R11" s="132">
        <f>IF(SER_hh_fec_in!R11=0,0,11630*1000*SER_hh_fec_in!R11/SER_hh_num_in!R11)</f>
        <v>126794.65634362656</v>
      </c>
      <c r="S11" s="132">
        <f>IF(SER_hh_fec_in!S11=0,0,11630*1000*SER_hh_fec_in!S11/SER_hh_num_in!S11)</f>
        <v>118276.35647292589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353012.3680167796</v>
      </c>
      <c r="D12" s="132">
        <f>IF(SER_hh_fec_in!D12=0,0,11630*1000*SER_hh_fec_in!D12/SER_hh_num_in!D12)</f>
        <v>343255.12087828759</v>
      </c>
      <c r="E12" s="132">
        <f>IF(SER_hh_fec_in!E12=0,0,11630*1000*SER_hh_fec_in!E12/SER_hh_num_in!E12)</f>
        <v>248692.45662747137</v>
      </c>
      <c r="F12" s="132">
        <f>IF(SER_hh_fec_in!F12=0,0,11630*1000*SER_hh_fec_in!F12/SER_hh_num_in!F12)</f>
        <v>367195.50185250689</v>
      </c>
      <c r="G12" s="132">
        <f>IF(SER_hh_fec_in!G12=0,0,11630*1000*SER_hh_fec_in!G12/SER_hh_num_in!G12)</f>
        <v>318719.00608356012</v>
      </c>
      <c r="H12" s="132">
        <f>IF(SER_hh_fec_in!H12=0,0,11630*1000*SER_hh_fec_in!H12/SER_hh_num_in!H12)</f>
        <v>0</v>
      </c>
      <c r="I12" s="132">
        <f>IF(SER_hh_fec_in!I12=0,0,11630*1000*SER_hh_fec_in!I12/SER_hh_num_in!I12)</f>
        <v>0</v>
      </c>
      <c r="J12" s="132">
        <f>IF(SER_hh_fec_in!J12=0,0,11630*1000*SER_hh_fec_in!J12/SER_hh_num_in!J12)</f>
        <v>285230.7623120721</v>
      </c>
      <c r="K12" s="132">
        <f>IF(SER_hh_fec_in!K12=0,0,11630*1000*SER_hh_fec_in!K12/SER_hh_num_in!K12)</f>
        <v>301421.28039278672</v>
      </c>
      <c r="L12" s="132">
        <f>IF(SER_hh_fec_in!L12=0,0,11630*1000*SER_hh_fec_in!L12/SER_hh_num_in!L12)</f>
        <v>323139.86112899089</v>
      </c>
      <c r="M12" s="132">
        <f>IF(SER_hh_fec_in!M12=0,0,11630*1000*SER_hh_fec_in!M12/SER_hh_num_in!M12)</f>
        <v>255526.76021552217</v>
      </c>
      <c r="N12" s="132">
        <f>IF(SER_hh_fec_in!N12=0,0,11630*1000*SER_hh_fec_in!N12/SER_hh_num_in!N12)</f>
        <v>0</v>
      </c>
      <c r="O12" s="132">
        <f>IF(SER_hh_fec_in!O12=0,0,11630*1000*SER_hh_fec_in!O12/SER_hh_num_in!O12)</f>
        <v>0</v>
      </c>
      <c r="P12" s="132">
        <f>IF(SER_hh_fec_in!P12=0,0,11630*1000*SER_hh_fec_in!P12/SER_hh_num_in!P12)</f>
        <v>0</v>
      </c>
      <c r="Q12" s="132">
        <f>IF(SER_hh_fec_in!Q12=0,0,11630*1000*SER_hh_fec_in!Q12/SER_hh_num_in!Q12)</f>
        <v>0</v>
      </c>
      <c r="R12" s="132">
        <f>IF(SER_hh_fec_in!R12=0,0,11630*1000*SER_hh_fec_in!R12/SER_hh_num_in!R12)</f>
        <v>144206.05307377205</v>
      </c>
      <c r="S12" s="132">
        <f>IF(SER_hh_fec_in!S12=0,0,11630*1000*SER_hh_fec_in!S12/SER_hh_num_in!S12)</f>
        <v>116025.23423051881</v>
      </c>
      <c r="T12" s="132">
        <f>IF(SER_hh_fec_in!T12=0,0,11630*1000*SER_hh_fec_in!T12/SER_hh_num_in!T12)</f>
        <v>96106.337957694093</v>
      </c>
      <c r="U12" s="132">
        <f>IF(SER_hh_fec_in!U12=0,0,11630*1000*SER_hh_fec_in!U12/SER_hh_num_in!U12)</f>
        <v>76607.117757846616</v>
      </c>
      <c r="V12" s="132">
        <f>IF(SER_hh_fec_in!V12=0,0,11630*1000*SER_hh_fec_in!V12/SER_hh_num_in!V12)</f>
        <v>62308.607868910563</v>
      </c>
      <c r="W12" s="132">
        <f>IF(SER_hh_fec_in!W12=0,0,11630*1000*SER_hh_fec_in!W12/SER_hh_num_in!W12)</f>
        <v>58852.998690780092</v>
      </c>
      <c r="X12" s="132">
        <f>IF(SER_hh_fec_in!X12=0,0,11630*1000*SER_hh_fec_in!X12/SER_hh_num_in!X12)</f>
        <v>50372.556663834395</v>
      </c>
      <c r="Y12" s="132">
        <f>IF(SER_hh_fec_in!Y12=0,0,11630*1000*SER_hh_fec_in!Y12/SER_hh_num_in!Y12)</f>
        <v>42713.567437093938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186227.54872610793</v>
      </c>
      <c r="D13" s="132">
        <f>IF(SER_hh_fec_in!D13=0,0,11630*1000*SER_hh_fec_in!D13/SER_hh_num_in!D13)</f>
        <v>154001.65108925849</v>
      </c>
      <c r="E13" s="132">
        <f>IF(SER_hh_fec_in!E13=0,0,11630*1000*SER_hh_fec_in!E13/SER_hh_num_in!E13)</f>
        <v>118665.18899973291</v>
      </c>
      <c r="F13" s="132">
        <f>IF(SER_hh_fec_in!F13=0,0,11630*1000*SER_hh_fec_in!F13/SER_hh_num_in!F13)</f>
        <v>140749.43644807205</v>
      </c>
      <c r="G13" s="132">
        <f>IF(SER_hh_fec_in!G13=0,0,11630*1000*SER_hh_fec_in!G13/SER_hh_num_in!G13)</f>
        <v>124226.4971035607</v>
      </c>
      <c r="H13" s="132">
        <f>IF(SER_hh_fec_in!H13=0,0,11630*1000*SER_hh_fec_in!H13/SER_hh_num_in!H13)</f>
        <v>108581.91446420568</v>
      </c>
      <c r="I13" s="132">
        <f>IF(SER_hh_fec_in!I13=0,0,11630*1000*SER_hh_fec_in!I13/SER_hh_num_in!I13)</f>
        <v>117908.35707578609</v>
      </c>
      <c r="J13" s="132">
        <f>IF(SER_hh_fec_in!J13=0,0,11630*1000*SER_hh_fec_in!J13/SER_hh_num_in!J13)</f>
        <v>93976.366553285072</v>
      </c>
      <c r="K13" s="132">
        <f>IF(SER_hh_fec_in!K13=0,0,11630*1000*SER_hh_fec_in!K13/SER_hh_num_in!K13)</f>
        <v>83518.962512629281</v>
      </c>
      <c r="L13" s="132">
        <f>IF(SER_hh_fec_in!L13=0,0,11630*1000*SER_hh_fec_in!L13/SER_hh_num_in!L13)</f>
        <v>73646.106065435495</v>
      </c>
      <c r="M13" s="132">
        <f>IF(SER_hh_fec_in!M13=0,0,11630*1000*SER_hh_fec_in!M13/SER_hh_num_in!M13)</f>
        <v>72725.20774884733</v>
      </c>
      <c r="N13" s="132">
        <f>IF(SER_hh_fec_in!N13=0,0,11630*1000*SER_hh_fec_in!N13/SER_hh_num_in!N13)</f>
        <v>57326.536679535791</v>
      </c>
      <c r="O13" s="132">
        <f>IF(SER_hh_fec_in!O13=0,0,11630*1000*SER_hh_fec_in!O13/SER_hh_num_in!O13)</f>
        <v>40346.594093145737</v>
      </c>
      <c r="P13" s="132">
        <f>IF(SER_hh_fec_in!P13=0,0,11630*1000*SER_hh_fec_in!P13/SER_hh_num_in!P13)</f>
        <v>27847.19663288815</v>
      </c>
      <c r="Q13" s="132">
        <f>IF(SER_hh_fec_in!Q13=0,0,11630*1000*SER_hh_fec_in!Q13/SER_hh_num_in!Q13)</f>
        <v>38045.364086894209</v>
      </c>
      <c r="R13" s="132">
        <f>IF(SER_hh_fec_in!R13=0,0,11630*1000*SER_hh_fec_in!R13/SER_hh_num_in!R13)</f>
        <v>30384.276603410861</v>
      </c>
      <c r="S13" s="132">
        <f>IF(SER_hh_fec_in!S13=0,0,11630*1000*SER_hh_fec_in!S13/SER_hh_num_in!S13)</f>
        <v>27050.409342674513</v>
      </c>
      <c r="T13" s="132">
        <f>IF(SER_hh_fec_in!T13=0,0,11630*1000*SER_hh_fec_in!T13/SER_hh_num_in!T13)</f>
        <v>22818.214823787195</v>
      </c>
      <c r="U13" s="132">
        <f>IF(SER_hh_fec_in!U13=0,0,11630*1000*SER_hh_fec_in!U13/SER_hh_num_in!U13)</f>
        <v>17265.372795614683</v>
      </c>
      <c r="V13" s="132">
        <f>IF(SER_hh_fec_in!V13=0,0,11630*1000*SER_hh_fec_in!V13/SER_hh_num_in!V13)</f>
        <v>16382.69360010787</v>
      </c>
      <c r="W13" s="132">
        <f>IF(SER_hh_fec_in!W13=0,0,11630*1000*SER_hh_fec_in!W13/SER_hh_num_in!W13)</f>
        <v>12912.031107070918</v>
      </c>
      <c r="X13" s="132">
        <f>IF(SER_hh_fec_in!X13=0,0,11630*1000*SER_hh_fec_in!X13/SER_hh_num_in!X13)</f>
        <v>10907.305828244296</v>
      </c>
      <c r="Y13" s="132">
        <f>IF(SER_hh_fec_in!Y13=0,0,11630*1000*SER_hh_fec_in!Y13/SER_hh_num_in!Y13)</f>
        <v>10358.693219224562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477931.08475001511</v>
      </c>
      <c r="D14" s="65">
        <f>IF(SER_hh_fec_in!D14=0,0,11630*1000*SER_hh_fec_in!D14/SER_hh_num_in!D14)</f>
        <v>408613.28356618842</v>
      </c>
      <c r="E14" s="65">
        <f>IF(SER_hh_fec_in!E14=0,0,11630*1000*SER_hh_fec_in!E14/SER_hh_num_in!E14)</f>
        <v>292984.91244250629</v>
      </c>
      <c r="F14" s="65">
        <f>IF(SER_hh_fec_in!F14=0,0,11630*1000*SER_hh_fec_in!F14/SER_hh_num_in!F14)</f>
        <v>0</v>
      </c>
      <c r="G14" s="65">
        <f>IF(SER_hh_fec_in!G14=0,0,11630*1000*SER_hh_fec_in!G14/SER_hh_num_in!G14)</f>
        <v>0</v>
      </c>
      <c r="H14" s="65">
        <f>IF(SER_hh_fec_in!H14=0,0,11630*1000*SER_hh_fec_in!H14/SER_hh_num_in!H14)</f>
        <v>0</v>
      </c>
      <c r="I14" s="65">
        <f>IF(SER_hh_fec_in!I14=0,0,11630*1000*SER_hh_fec_in!I14/SER_hh_num_in!I14)</f>
        <v>0</v>
      </c>
      <c r="J14" s="65">
        <f>IF(SER_hh_fec_in!J14=0,0,11630*1000*SER_hh_fec_in!J14/SER_hh_num_in!J14)</f>
        <v>305702.78677605075</v>
      </c>
      <c r="K14" s="65">
        <f>IF(SER_hh_fec_in!K14=0,0,11630*1000*SER_hh_fec_in!K14/SER_hh_num_in!K14)</f>
        <v>295401.04982142686</v>
      </c>
      <c r="L14" s="65">
        <f>IF(SER_hh_fec_in!L14=0,0,11630*1000*SER_hh_fec_in!L14/SER_hh_num_in!L14)</f>
        <v>337026.48150983412</v>
      </c>
      <c r="M14" s="65">
        <f>IF(SER_hh_fec_in!M14=0,0,11630*1000*SER_hh_fec_in!M14/SER_hh_num_in!M14)</f>
        <v>304973.77908686537</v>
      </c>
      <c r="N14" s="65">
        <f>IF(SER_hh_fec_in!N14=0,0,11630*1000*SER_hh_fec_in!N14/SER_hh_num_in!N14)</f>
        <v>162386.70853639123</v>
      </c>
      <c r="O14" s="65">
        <f>IF(SER_hh_fec_in!O14=0,0,11630*1000*SER_hh_fec_in!O14/SER_hh_num_in!O14)</f>
        <v>229174.18169910135</v>
      </c>
      <c r="P14" s="65">
        <f>IF(SER_hh_fec_in!P14=0,0,11630*1000*SER_hh_fec_in!P14/SER_hh_num_in!P14)</f>
        <v>122205.21479378879</v>
      </c>
      <c r="Q14" s="65">
        <f>IF(SER_hh_fec_in!Q14=0,0,11630*1000*SER_hh_fec_in!Q14/SER_hh_num_in!Q14)</f>
        <v>137433.44369589631</v>
      </c>
      <c r="R14" s="65">
        <f>IF(SER_hh_fec_in!R14=0,0,11630*1000*SER_hh_fec_in!R14/SER_hh_num_in!R14)</f>
        <v>128346.04279399486</v>
      </c>
      <c r="S14" s="65">
        <f>IF(SER_hh_fec_in!S14=0,0,11630*1000*SER_hh_fec_in!S14/SER_hh_num_in!S14)</f>
        <v>139095.89980960405</v>
      </c>
      <c r="T14" s="65">
        <f>IF(SER_hh_fec_in!T14=0,0,11630*1000*SER_hh_fec_in!T14/SER_hh_num_in!T14)</f>
        <v>104727.2356763526</v>
      </c>
      <c r="U14" s="65">
        <f>IF(SER_hh_fec_in!U14=0,0,11630*1000*SER_hh_fec_in!U14/SER_hh_num_in!U14)</f>
        <v>0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0</v>
      </c>
      <c r="X14" s="65">
        <f>IF(SER_hh_fec_in!X14=0,0,11630*1000*SER_hh_fec_in!X14/SER_hh_num_in!X14)</f>
        <v>0</v>
      </c>
      <c r="Y14" s="65">
        <f>IF(SER_hh_fec_in!Y14=0,0,11630*1000*SER_hh_fec_in!Y14/SER_hh_num_in!Y14)</f>
        <v>0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1574.6019534947316</v>
      </c>
      <c r="D15" s="134">
        <f>IF(SER_hh_fec_in!D15=0,0,11630*1000*SER_hh_fec_in!D15/SER_hh_num_in!D15)</f>
        <v>1395.4135262505704</v>
      </c>
      <c r="E15" s="134">
        <f>IF(SER_hh_fec_in!E15=0,0,11630*1000*SER_hh_fec_in!E15/SER_hh_num_in!E15)</f>
        <v>1071.0935845268425</v>
      </c>
      <c r="F15" s="134">
        <f>IF(SER_hh_fec_in!F15=0,0,11630*1000*SER_hh_fec_in!F15/SER_hh_num_in!F15)</f>
        <v>2049.9369934187816</v>
      </c>
      <c r="G15" s="134">
        <f>IF(SER_hh_fec_in!G15=0,0,11630*1000*SER_hh_fec_in!G15/SER_hh_num_in!G15)</f>
        <v>5239.5627247966331</v>
      </c>
      <c r="H15" s="134">
        <f>IF(SER_hh_fec_in!H15=0,0,11630*1000*SER_hh_fec_in!H15/SER_hh_num_in!H15)</f>
        <v>4776.8914774405184</v>
      </c>
      <c r="I15" s="134">
        <f>IF(SER_hh_fec_in!I15=0,0,11630*1000*SER_hh_fec_in!I15/SER_hh_num_in!I15)</f>
        <v>3095.5053212673288</v>
      </c>
      <c r="J15" s="134">
        <f>IF(SER_hh_fec_in!J15=0,0,11630*1000*SER_hh_fec_in!J15/SER_hh_num_in!J15)</f>
        <v>1976.7634331186716</v>
      </c>
      <c r="K15" s="134">
        <f>IF(SER_hh_fec_in!K15=0,0,11630*1000*SER_hh_fec_in!K15/SER_hh_num_in!K15)</f>
        <v>2668.4095731140123</v>
      </c>
      <c r="L15" s="134">
        <f>IF(SER_hh_fec_in!L15=0,0,11630*1000*SER_hh_fec_in!L15/SER_hh_num_in!L15)</f>
        <v>1781.3537774284327</v>
      </c>
      <c r="M15" s="134">
        <f>IF(SER_hh_fec_in!M15=0,0,11630*1000*SER_hh_fec_in!M15/SER_hh_num_in!M15)</f>
        <v>1552.4994628840325</v>
      </c>
      <c r="N15" s="134">
        <f>IF(SER_hh_fec_in!N15=0,0,11630*1000*SER_hh_fec_in!N15/SER_hh_num_in!N15)</f>
        <v>2712.5442600642664</v>
      </c>
      <c r="O15" s="134">
        <f>IF(SER_hh_fec_in!O15=0,0,11630*1000*SER_hh_fec_in!O15/SER_hh_num_in!O15)</f>
        <v>2807.0052085174884</v>
      </c>
      <c r="P15" s="134">
        <f>IF(SER_hh_fec_in!P15=0,0,11630*1000*SER_hh_fec_in!P15/SER_hh_num_in!P15)</f>
        <v>1653.5843066486811</v>
      </c>
      <c r="Q15" s="134">
        <f>IF(SER_hh_fec_in!Q15=0,0,11630*1000*SER_hh_fec_in!Q15/SER_hh_num_in!Q15)</f>
        <v>1625.52892540878</v>
      </c>
      <c r="R15" s="134">
        <f>IF(SER_hh_fec_in!R15=0,0,11630*1000*SER_hh_fec_in!R15/SER_hh_num_in!R15)</f>
        <v>1316.8652350716143</v>
      </c>
      <c r="S15" s="134">
        <f>IF(SER_hh_fec_in!S15=0,0,11630*1000*SER_hh_fec_in!S15/SER_hh_num_in!S15)</f>
        <v>1029.6828569620748</v>
      </c>
      <c r="T15" s="134">
        <f>IF(SER_hh_fec_in!T15=0,0,11630*1000*SER_hh_fec_in!T15/SER_hh_num_in!T15)</f>
        <v>831.28877441904785</v>
      </c>
      <c r="U15" s="134">
        <f>IF(SER_hh_fec_in!U15=0,0,11630*1000*SER_hh_fec_in!U15/SER_hh_num_in!U15)</f>
        <v>782.81515639104327</v>
      </c>
      <c r="V15" s="134">
        <f>IF(SER_hh_fec_in!V15=0,0,11630*1000*SER_hh_fec_in!V15/SER_hh_num_in!V15)</f>
        <v>631.69422632197063</v>
      </c>
      <c r="W15" s="134">
        <f>IF(SER_hh_fec_in!W15=0,0,11630*1000*SER_hh_fec_in!W15/SER_hh_num_in!W15)</f>
        <v>719.24747292857205</v>
      </c>
      <c r="X15" s="134">
        <f>IF(SER_hh_fec_in!X15=0,0,11630*1000*SER_hh_fec_in!X15/SER_hh_num_in!X15)</f>
        <v>487.41549182320426</v>
      </c>
      <c r="Y15" s="134">
        <f>IF(SER_hh_fec_in!Y15=0,0,11630*1000*SER_hh_fec_in!Y15/SER_hh_num_in!Y15)</f>
        <v>349.82541768156273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12129.899576544329</v>
      </c>
      <c r="D16" s="130">
        <f>IF(SER_hh_fec_in!D16=0,0,11630*1000*SER_hh_fec_in!D16/SER_hh_num_in!D16)</f>
        <v>11714.492232315179</v>
      </c>
      <c r="E16" s="130">
        <f>IF(SER_hh_fec_in!E16=0,0,11630*1000*SER_hh_fec_in!E16/SER_hh_num_in!E16)</f>
        <v>11292.451915846765</v>
      </c>
      <c r="F16" s="130">
        <f>IF(SER_hh_fec_in!F16=0,0,11630*1000*SER_hh_fec_in!F16/SER_hh_num_in!F16)</f>
        <v>10442.78875358436</v>
      </c>
      <c r="G16" s="130">
        <f>IF(SER_hh_fec_in!G16=0,0,11630*1000*SER_hh_fec_in!G16/SER_hh_num_in!G16)</f>
        <v>10171.771512480824</v>
      </c>
      <c r="H16" s="130">
        <f>IF(SER_hh_fec_in!H16=0,0,11630*1000*SER_hh_fec_in!H16/SER_hh_num_in!H16)</f>
        <v>9999.9911352319359</v>
      </c>
      <c r="I16" s="130">
        <f>IF(SER_hh_fec_in!I16=0,0,11630*1000*SER_hh_fec_in!I16/SER_hh_num_in!I16)</f>
        <v>9955.5658563485449</v>
      </c>
      <c r="J16" s="130">
        <f>IF(SER_hh_fec_in!J16=0,0,11630*1000*SER_hh_fec_in!J16/SER_hh_num_in!J16)</f>
        <v>9005.7368626369516</v>
      </c>
      <c r="K16" s="130">
        <f>IF(SER_hh_fec_in!K16=0,0,11630*1000*SER_hh_fec_in!K16/SER_hh_num_in!K16)</f>
        <v>8619.9649598243559</v>
      </c>
      <c r="L16" s="130">
        <f>IF(SER_hh_fec_in!L16=0,0,11630*1000*SER_hh_fec_in!L16/SER_hh_num_in!L16)</f>
        <v>8591.4388644621249</v>
      </c>
      <c r="M16" s="130">
        <f>IF(SER_hh_fec_in!M16=0,0,11630*1000*SER_hh_fec_in!M16/SER_hh_num_in!M16)</f>
        <v>8013.2653322940987</v>
      </c>
      <c r="N16" s="130">
        <f>IF(SER_hh_fec_in!N16=0,0,11630*1000*SER_hh_fec_in!N16/SER_hh_num_in!N16)</f>
        <v>8310.0277671627628</v>
      </c>
      <c r="O16" s="130">
        <f>IF(SER_hh_fec_in!O16=0,0,11630*1000*SER_hh_fec_in!O16/SER_hh_num_in!O16)</f>
        <v>7610.2784750811834</v>
      </c>
      <c r="P16" s="130">
        <f>IF(SER_hh_fec_in!P16=0,0,11630*1000*SER_hh_fec_in!P16/SER_hh_num_in!P16)</f>
        <v>6654.050407200577</v>
      </c>
      <c r="Q16" s="130">
        <f>IF(SER_hh_fec_in!Q16=0,0,11630*1000*SER_hh_fec_in!Q16/SER_hh_num_in!Q16)</f>
        <v>7390.7523246466899</v>
      </c>
      <c r="R16" s="130">
        <f>IF(SER_hh_fec_in!R16=0,0,11630*1000*SER_hh_fec_in!R16/SER_hh_num_in!R16)</f>
        <v>6166.833361227481</v>
      </c>
      <c r="S16" s="130">
        <f>IF(SER_hh_fec_in!S16=0,0,11630*1000*SER_hh_fec_in!S16/SER_hh_num_in!S16)</f>
        <v>6092.0946326677913</v>
      </c>
      <c r="T16" s="130">
        <f>IF(SER_hh_fec_in!T16=0,0,11630*1000*SER_hh_fec_in!T16/SER_hh_num_in!T16)</f>
        <v>5825.1539125559102</v>
      </c>
      <c r="U16" s="130">
        <f>IF(SER_hh_fec_in!U16=0,0,11630*1000*SER_hh_fec_in!U16/SER_hh_num_in!U16)</f>
        <v>5694.0027898655253</v>
      </c>
      <c r="V16" s="130">
        <f>IF(SER_hh_fec_in!V16=0,0,11630*1000*SER_hh_fec_in!V16/SER_hh_num_in!V16)</f>
        <v>4771.5328972212828</v>
      </c>
      <c r="W16" s="130">
        <f>IF(SER_hh_fec_in!W16=0,0,11630*1000*SER_hh_fec_in!W16/SER_hh_num_in!W16)</f>
        <v>4486.7514105669507</v>
      </c>
      <c r="X16" s="130">
        <f>IF(SER_hh_fec_in!X16=0,0,11630*1000*SER_hh_fec_in!X16/SER_hh_num_in!X16)</f>
        <v>4419.8643111756746</v>
      </c>
      <c r="Y16" s="130">
        <f>IF(SER_hh_fec_in!Y16=0,0,11630*1000*SER_hh_fec_in!Y16/SER_hh_num_in!Y16)</f>
        <v>4430.8988571012123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23270.804870933669</v>
      </c>
      <c r="D17" s="132">
        <f>IF(SER_hh_fec_in!D17=0,0,11630*1000*SER_hh_fec_in!D17/SER_hh_num_in!D17)</f>
        <v>0</v>
      </c>
      <c r="E17" s="132">
        <f>IF(SER_hh_fec_in!E17=0,0,11630*1000*SER_hh_fec_in!E17/SER_hh_num_in!E17)</f>
        <v>6391.140584098297</v>
      </c>
      <c r="F17" s="132">
        <f>IF(SER_hh_fec_in!F17=0,0,11630*1000*SER_hh_fec_in!F17/SER_hh_num_in!F17)</f>
        <v>0</v>
      </c>
      <c r="G17" s="132">
        <f>IF(SER_hh_fec_in!G17=0,0,11630*1000*SER_hh_fec_in!G17/SER_hh_num_in!G17)</f>
        <v>21512.9182455017</v>
      </c>
      <c r="H17" s="132">
        <f>IF(SER_hh_fec_in!H17=0,0,11630*1000*SER_hh_fec_in!H17/SER_hh_num_in!H17)</f>
        <v>21697.384833587384</v>
      </c>
      <c r="I17" s="132">
        <f>IF(SER_hh_fec_in!I17=0,0,11630*1000*SER_hh_fec_in!I17/SER_hh_num_in!I17)</f>
        <v>22008.38795844623</v>
      </c>
      <c r="J17" s="132">
        <f>IF(SER_hh_fec_in!J17=0,0,11630*1000*SER_hh_fec_in!J17/SER_hh_num_in!J17)</f>
        <v>20294.236364019449</v>
      </c>
      <c r="K17" s="132">
        <f>IF(SER_hh_fec_in!K17=0,0,11630*1000*SER_hh_fec_in!K17/SER_hh_num_in!K17)</f>
        <v>19875.172552525033</v>
      </c>
      <c r="L17" s="132">
        <f>IF(SER_hh_fec_in!L17=0,0,11630*1000*SER_hh_fec_in!L17/SER_hh_num_in!L17)</f>
        <v>20237.19017900815</v>
      </c>
      <c r="M17" s="132">
        <f>IF(SER_hh_fec_in!M17=0,0,11630*1000*SER_hh_fec_in!M17/SER_hh_num_in!M17)</f>
        <v>19324.518159615807</v>
      </c>
      <c r="N17" s="132">
        <f>IF(SER_hh_fec_in!N17=0,0,11630*1000*SER_hh_fec_in!N17/SER_hh_num_in!N17)</f>
        <v>20575.528026270611</v>
      </c>
      <c r="O17" s="132">
        <f>IF(SER_hh_fec_in!O17=0,0,11630*1000*SER_hh_fec_in!O17/SER_hh_num_in!O17)</f>
        <v>19230.792073309083</v>
      </c>
      <c r="P17" s="132">
        <f>IF(SER_hh_fec_in!P17=0,0,11630*1000*SER_hh_fec_in!P17/SER_hh_num_in!P17)</f>
        <v>17161.647473627228</v>
      </c>
      <c r="Q17" s="132">
        <f>IF(SER_hh_fec_in!Q17=0,0,11630*1000*SER_hh_fec_in!Q17/SER_hh_num_in!Q17)</f>
        <v>19454.181243843439</v>
      </c>
      <c r="R17" s="132">
        <f>IF(SER_hh_fec_in!R17=0,0,11630*1000*SER_hh_fec_in!R17/SER_hh_num_in!R17)</f>
        <v>16284.338967892601</v>
      </c>
      <c r="S17" s="132">
        <f>IF(SER_hh_fec_in!S17=0,0,11630*1000*SER_hh_fec_in!S17/SER_hh_num_in!S17)</f>
        <v>16434.960323742267</v>
      </c>
      <c r="T17" s="132">
        <f>IF(SER_hh_fec_in!T17=0,0,11630*1000*SER_hh_fec_in!T17/SER_hh_num_in!T17)</f>
        <v>15343.719773940744</v>
      </c>
      <c r="U17" s="132">
        <f>IF(SER_hh_fec_in!U17=0,0,11630*1000*SER_hh_fec_in!U17/SER_hh_num_in!U17)</f>
        <v>14880.28100824126</v>
      </c>
      <c r="V17" s="132">
        <f>IF(SER_hh_fec_in!V17=0,0,11630*1000*SER_hh_fec_in!V17/SER_hh_num_in!V17)</f>
        <v>13435.922570568755</v>
      </c>
      <c r="W17" s="132">
        <f>IF(SER_hh_fec_in!W17=0,0,11630*1000*SER_hh_fec_in!W17/SER_hh_num_in!W17)</f>
        <v>11358.085077971893</v>
      </c>
      <c r="X17" s="132">
        <f>IF(SER_hh_fec_in!X17=0,0,11630*1000*SER_hh_fec_in!X17/SER_hh_num_in!X17)</f>
        <v>11238.075932190419</v>
      </c>
      <c r="Y17" s="132">
        <f>IF(SER_hh_fec_in!Y17=0,0,11630*1000*SER_hh_fec_in!Y17/SER_hh_num_in!Y17)</f>
        <v>11147.090608143288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12051.723005630756</v>
      </c>
      <c r="D18" s="132">
        <f>IF(SER_hh_fec_in!D18=0,0,11630*1000*SER_hh_fec_in!D18/SER_hh_num_in!D18)</f>
        <v>11714.492232315179</v>
      </c>
      <c r="E18" s="132">
        <f>IF(SER_hh_fec_in!E18=0,0,11630*1000*SER_hh_fec_in!E18/SER_hh_num_in!E18)</f>
        <v>11320.620017020365</v>
      </c>
      <c r="F18" s="132">
        <f>IF(SER_hh_fec_in!F18=0,0,11630*1000*SER_hh_fec_in!F18/SER_hh_num_in!F18)</f>
        <v>10442.78875358436</v>
      </c>
      <c r="G18" s="132">
        <f>IF(SER_hh_fec_in!G18=0,0,11630*1000*SER_hh_fec_in!G18/SER_hh_num_in!G18)</f>
        <v>10086.904661020499</v>
      </c>
      <c r="H18" s="132">
        <f>IF(SER_hh_fec_in!H18=0,0,11630*1000*SER_hh_fec_in!H18/SER_hh_num_in!H18)</f>
        <v>9951.4364560767899</v>
      </c>
      <c r="I18" s="132">
        <f>IF(SER_hh_fec_in!I18=0,0,11630*1000*SER_hh_fec_in!I18/SER_hh_num_in!I18)</f>
        <v>9932.5047110335418</v>
      </c>
      <c r="J18" s="132">
        <f>IF(SER_hh_fec_in!J18=0,0,11630*1000*SER_hh_fec_in!J18/SER_hh_num_in!J18)</f>
        <v>8957.0053598883896</v>
      </c>
      <c r="K18" s="132">
        <f>IF(SER_hh_fec_in!K18=0,0,11630*1000*SER_hh_fec_in!K18/SER_hh_num_in!K18)</f>
        <v>8589.7098030716043</v>
      </c>
      <c r="L18" s="132">
        <f>IF(SER_hh_fec_in!L18=0,0,11630*1000*SER_hh_fec_in!L18/SER_hh_num_in!L18)</f>
        <v>8539.2855715894457</v>
      </c>
      <c r="M18" s="132">
        <f>IF(SER_hh_fec_in!M18=0,0,11630*1000*SER_hh_fec_in!M18/SER_hh_num_in!M18)</f>
        <v>7934.9885760951684</v>
      </c>
      <c r="N18" s="132">
        <f>IF(SER_hh_fec_in!N18=0,0,11630*1000*SER_hh_fec_in!N18/SER_hh_num_in!N18)</f>
        <v>8263.8991745078238</v>
      </c>
      <c r="O18" s="132">
        <f>IF(SER_hh_fec_in!O18=0,0,11630*1000*SER_hh_fec_in!O18/SER_hh_num_in!O18)</f>
        <v>7465.6472740019217</v>
      </c>
      <c r="P18" s="132">
        <f>IF(SER_hh_fec_in!P18=0,0,11630*1000*SER_hh_fec_in!P18/SER_hh_num_in!P18)</f>
        <v>6443.3622518936418</v>
      </c>
      <c r="Q18" s="132">
        <f>IF(SER_hh_fec_in!Q18=0,0,11630*1000*SER_hh_fec_in!Q18/SER_hh_num_in!Q18)</f>
        <v>7218.1084393006659</v>
      </c>
      <c r="R18" s="132">
        <f>IF(SER_hh_fec_in!R18=0,0,11630*1000*SER_hh_fec_in!R18/SER_hh_num_in!R18)</f>
        <v>5811.361264586325</v>
      </c>
      <c r="S18" s="132">
        <f>IF(SER_hh_fec_in!S18=0,0,11630*1000*SER_hh_fec_in!S18/SER_hh_num_in!S18)</f>
        <v>5940.3720787397424</v>
      </c>
      <c r="T18" s="132">
        <f>IF(SER_hh_fec_in!T18=0,0,11630*1000*SER_hh_fec_in!T18/SER_hh_num_in!T18)</f>
        <v>5604.4149872421358</v>
      </c>
      <c r="U18" s="132">
        <f>IF(SER_hh_fec_in!U18=0,0,11630*1000*SER_hh_fec_in!U18/SER_hh_num_in!U18)</f>
        <v>5545.1992351645422</v>
      </c>
      <c r="V18" s="132">
        <f>IF(SER_hh_fec_in!V18=0,0,11630*1000*SER_hh_fec_in!V18/SER_hh_num_in!V18)</f>
        <v>4575.4940013733885</v>
      </c>
      <c r="W18" s="132">
        <f>IF(SER_hh_fec_in!W18=0,0,11630*1000*SER_hh_fec_in!W18/SER_hh_num_in!W18)</f>
        <v>4330.3002623375442</v>
      </c>
      <c r="X18" s="132">
        <f>IF(SER_hh_fec_in!X18=0,0,11630*1000*SER_hh_fec_in!X18/SER_hh_num_in!X18)</f>
        <v>4271.9319299466897</v>
      </c>
      <c r="Y18" s="132">
        <f>IF(SER_hh_fec_in!Y18=0,0,11630*1000*SER_hh_fec_in!Y18/SER_hh_num_in!Y18)</f>
        <v>4266.3527253687771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42452.88960762605</v>
      </c>
      <c r="D19" s="130">
        <f>IF(SER_hh_fec_in!D19=0,0,11630*1000*SER_hh_fec_in!D19/SER_hh_num_in!D19)</f>
        <v>39640.445407235464</v>
      </c>
      <c r="E19" s="130">
        <f>IF(SER_hh_fec_in!E19=0,0,11630*1000*SER_hh_fec_in!E19/SER_hh_num_in!E19)</f>
        <v>39129.871180490059</v>
      </c>
      <c r="F19" s="130">
        <f>IF(SER_hh_fec_in!F19=0,0,11630*1000*SER_hh_fec_in!F19/SER_hh_num_in!F19)</f>
        <v>37387.380678595502</v>
      </c>
      <c r="G19" s="130">
        <f>IF(SER_hh_fec_in!G19=0,0,11630*1000*SER_hh_fec_in!G19/SER_hh_num_in!G19)</f>
        <v>40255.254748216175</v>
      </c>
      <c r="H19" s="130">
        <f>IF(SER_hh_fec_in!H19=0,0,11630*1000*SER_hh_fec_in!H19/SER_hh_num_in!H19)</f>
        <v>39851.751809928166</v>
      </c>
      <c r="I19" s="130">
        <f>IF(SER_hh_fec_in!I19=0,0,11630*1000*SER_hh_fec_in!I19/SER_hh_num_in!I19)</f>
        <v>39971.202718262168</v>
      </c>
      <c r="J19" s="130">
        <f>IF(SER_hh_fec_in!J19=0,0,11630*1000*SER_hh_fec_in!J19/SER_hh_num_in!J19)</f>
        <v>39104.965015318012</v>
      </c>
      <c r="K19" s="130">
        <f>IF(SER_hh_fec_in!K19=0,0,11630*1000*SER_hh_fec_in!K19/SER_hh_num_in!K19)</f>
        <v>39186.92003029256</v>
      </c>
      <c r="L19" s="130">
        <f>IF(SER_hh_fec_in!L19=0,0,11630*1000*SER_hh_fec_in!L19/SER_hh_num_in!L19)</f>
        <v>36938.160398191794</v>
      </c>
      <c r="M19" s="130">
        <f>IF(SER_hh_fec_in!M19=0,0,11630*1000*SER_hh_fec_in!M19/SER_hh_num_in!M19)</f>
        <v>37298.741900003581</v>
      </c>
      <c r="N19" s="130">
        <f>IF(SER_hh_fec_in!N19=0,0,11630*1000*SER_hh_fec_in!N19/SER_hh_num_in!N19)</f>
        <v>38917.227692808076</v>
      </c>
      <c r="O19" s="130">
        <f>IF(SER_hh_fec_in!O19=0,0,11630*1000*SER_hh_fec_in!O19/SER_hh_num_in!O19)</f>
        <v>37743.524385432836</v>
      </c>
      <c r="P19" s="130">
        <f>IF(SER_hh_fec_in!P19=0,0,11630*1000*SER_hh_fec_in!P19/SER_hh_num_in!P19)</f>
        <v>32610.475207496798</v>
      </c>
      <c r="Q19" s="130">
        <f>IF(SER_hh_fec_in!Q19=0,0,11630*1000*SER_hh_fec_in!Q19/SER_hh_num_in!Q19)</f>
        <v>32029.65843438041</v>
      </c>
      <c r="R19" s="130">
        <f>IF(SER_hh_fec_in!R19=0,0,11630*1000*SER_hh_fec_in!R19/SER_hh_num_in!R19)</f>
        <v>32662.056574795079</v>
      </c>
      <c r="S19" s="130">
        <f>IF(SER_hh_fec_in!S19=0,0,11630*1000*SER_hh_fec_in!S19/SER_hh_num_in!S19)</f>
        <v>31811.700875990122</v>
      </c>
      <c r="T19" s="130">
        <f>IF(SER_hh_fec_in!T19=0,0,11630*1000*SER_hh_fec_in!T19/SER_hh_num_in!T19)</f>
        <v>29864.274431616632</v>
      </c>
      <c r="U19" s="130">
        <f>IF(SER_hh_fec_in!U19=0,0,11630*1000*SER_hh_fec_in!U19/SER_hh_num_in!U19)</f>
        <v>28696.148318262171</v>
      </c>
      <c r="V19" s="130">
        <f>IF(SER_hh_fec_in!V19=0,0,11630*1000*SER_hh_fec_in!V19/SER_hh_num_in!V19)</f>
        <v>28232.033082838738</v>
      </c>
      <c r="W19" s="130">
        <f>IF(SER_hh_fec_in!W19=0,0,11630*1000*SER_hh_fec_in!W19/SER_hh_num_in!W19)</f>
        <v>27409.889465844579</v>
      </c>
      <c r="X19" s="130">
        <f>IF(SER_hh_fec_in!X19=0,0,11630*1000*SER_hh_fec_in!X19/SER_hh_num_in!X19)</f>
        <v>28598.603503710488</v>
      </c>
      <c r="Y19" s="130">
        <f>IF(SER_hh_fec_in!Y19=0,0,11630*1000*SER_hh_fec_in!Y19/SER_hh_num_in!Y19)</f>
        <v>27721.354657190092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31998.798496203828</v>
      </c>
      <c r="I20" s="132">
        <f>IF(SER_hh_fec_in!I20=0,0,11630*1000*SER_hh_fec_in!I20/SER_hh_num_in!I20)</f>
        <v>43792.13623914995</v>
      </c>
      <c r="J20" s="132">
        <f>IF(SER_hh_fec_in!J20=0,0,11630*1000*SER_hh_fec_in!J20/SER_hh_num_in!J20)</f>
        <v>42784.342602719553</v>
      </c>
      <c r="K20" s="132">
        <f>IF(SER_hh_fec_in!K20=0,0,11630*1000*SER_hh_fec_in!K20/SER_hh_num_in!K20)</f>
        <v>41951.509842198859</v>
      </c>
      <c r="L20" s="132">
        <f>IF(SER_hh_fec_in!L20=0,0,11630*1000*SER_hh_fec_in!L20/SER_hh_num_in!L20)</f>
        <v>39270.934693620562</v>
      </c>
      <c r="M20" s="132">
        <f>IF(SER_hh_fec_in!M20=0,0,11630*1000*SER_hh_fec_in!M20/SER_hh_num_in!M20)</f>
        <v>38636.210537698942</v>
      </c>
      <c r="N20" s="132">
        <f>IF(SER_hh_fec_in!N20=0,0,11630*1000*SER_hh_fec_in!N20/SER_hh_num_in!N20)</f>
        <v>39037.827891429537</v>
      </c>
      <c r="O20" s="132">
        <f>IF(SER_hh_fec_in!O20=0,0,11630*1000*SER_hh_fec_in!O20/SER_hh_num_in!O20)</f>
        <v>38317.145214812554</v>
      </c>
      <c r="P20" s="132">
        <f>IF(SER_hh_fec_in!P20=0,0,11630*1000*SER_hh_fec_in!P20/SER_hh_num_in!P20)</f>
        <v>40026.829189711651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50209.434399043799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0</v>
      </c>
      <c r="D22" s="132">
        <f>IF(SER_hh_fec_in!D22=0,0,11630*1000*SER_hh_fec_in!D22/SER_hh_num_in!D22)</f>
        <v>0</v>
      </c>
      <c r="E22" s="132">
        <f>IF(SER_hh_fec_in!E22=0,0,11630*1000*SER_hh_fec_in!E22/SER_hh_num_in!E22)</f>
        <v>0</v>
      </c>
      <c r="F22" s="132">
        <f>IF(SER_hh_fec_in!F22=0,0,11630*1000*SER_hh_fec_in!F22/SER_hh_num_in!F22)</f>
        <v>0</v>
      </c>
      <c r="G22" s="132">
        <f>IF(SER_hh_fec_in!G22=0,0,11630*1000*SER_hh_fec_in!G22/SER_hh_num_in!G22)</f>
        <v>0</v>
      </c>
      <c r="H22" s="132">
        <f>IF(SER_hh_fec_in!H22=0,0,11630*1000*SER_hh_fec_in!H22/SER_hh_num_in!H22)</f>
        <v>0</v>
      </c>
      <c r="I22" s="132">
        <f>IF(SER_hh_fec_in!I22=0,0,11630*1000*SER_hh_fec_in!I22/SER_hh_num_in!I22)</f>
        <v>0</v>
      </c>
      <c r="J22" s="132">
        <f>IF(SER_hh_fec_in!J22=0,0,11630*1000*SER_hh_fec_in!J22/SER_hh_num_in!J22)</f>
        <v>0</v>
      </c>
      <c r="K22" s="132">
        <f>IF(SER_hh_fec_in!K22=0,0,11630*1000*SER_hh_fec_in!K22/SER_hh_num_in!K22)</f>
        <v>0</v>
      </c>
      <c r="L22" s="132">
        <f>IF(SER_hh_fec_in!L22=0,0,11630*1000*SER_hh_fec_in!L22/SER_hh_num_in!L22)</f>
        <v>0</v>
      </c>
      <c r="M22" s="132">
        <f>IF(SER_hh_fec_in!M22=0,0,11630*1000*SER_hh_fec_in!M22/SER_hh_num_in!M22)</f>
        <v>0</v>
      </c>
      <c r="N22" s="132">
        <f>IF(SER_hh_fec_in!N22=0,0,11630*1000*SER_hh_fec_in!N22/SER_hh_num_in!N22)</f>
        <v>0</v>
      </c>
      <c r="O22" s="132">
        <f>IF(SER_hh_fec_in!O22=0,0,11630*1000*SER_hh_fec_in!O22/SER_hh_num_in!O22)</f>
        <v>0</v>
      </c>
      <c r="P22" s="132">
        <f>IF(SER_hh_fec_in!P22=0,0,11630*1000*SER_hh_fec_in!P22/SER_hh_num_in!P22)</f>
        <v>0</v>
      </c>
      <c r="Q22" s="132">
        <f>IF(SER_hh_fec_in!Q22=0,0,11630*1000*SER_hh_fec_in!Q22/SER_hh_num_in!Q22)</f>
        <v>0</v>
      </c>
      <c r="R22" s="132">
        <f>IF(SER_hh_fec_in!R22=0,0,11630*1000*SER_hh_fec_in!R22/SER_hh_num_in!R22)</f>
        <v>0</v>
      </c>
      <c r="S22" s="132">
        <f>IF(SER_hh_fec_in!S22=0,0,11630*1000*SER_hh_fec_in!S22/SER_hh_num_in!S22)</f>
        <v>0</v>
      </c>
      <c r="T22" s="132">
        <f>IF(SER_hh_fec_in!T22=0,0,11630*1000*SER_hh_fec_in!T22/SER_hh_num_in!T22)</f>
        <v>0</v>
      </c>
      <c r="U22" s="132">
        <f>IF(SER_hh_fec_in!U22=0,0,11630*1000*SER_hh_fec_in!U22/SER_hh_num_in!U22)</f>
        <v>0</v>
      </c>
      <c r="V22" s="132">
        <f>IF(SER_hh_fec_in!V22=0,0,11630*1000*SER_hh_fec_in!V22/SER_hh_num_in!V22)</f>
        <v>0</v>
      </c>
      <c r="W22" s="132">
        <f>IF(SER_hh_fec_in!W22=0,0,11630*1000*SER_hh_fec_in!W22/SER_hh_num_in!W22)</f>
        <v>0</v>
      </c>
      <c r="X22" s="132">
        <f>IF(SER_hh_fec_in!X22=0,0,11630*1000*SER_hh_fec_in!X22/SER_hh_num_in!X22)</f>
        <v>0</v>
      </c>
      <c r="Y22" s="132">
        <f>IF(SER_hh_fec_in!Y22=0,0,11630*1000*SER_hh_fec_in!Y22/SER_hh_num_in!Y22)</f>
        <v>0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49787.66767031599</v>
      </c>
      <c r="D23" s="132">
        <f>IF(SER_hh_fec_in!D23=0,0,11630*1000*SER_hh_fec_in!D23/SER_hh_num_in!D23)</f>
        <v>49339.231962346661</v>
      </c>
      <c r="E23" s="132">
        <f>IF(SER_hh_fec_in!E23=0,0,11630*1000*SER_hh_fec_in!E23/SER_hh_num_in!E23)</f>
        <v>43901.259045545659</v>
      </c>
      <c r="F23" s="132">
        <f>IF(SER_hh_fec_in!F23=0,0,11630*1000*SER_hh_fec_in!F23/SER_hh_num_in!F23)</f>
        <v>45297.65271728026</v>
      </c>
      <c r="G23" s="132">
        <f>IF(SER_hh_fec_in!G23=0,0,11630*1000*SER_hh_fec_in!G23/SER_hh_num_in!G23)</f>
        <v>43002.937290038848</v>
      </c>
      <c r="H23" s="132">
        <f>IF(SER_hh_fec_in!H23=0,0,11630*1000*SER_hh_fec_in!H23/SER_hh_num_in!H23)</f>
        <v>42340.723981829724</v>
      </c>
      <c r="I23" s="132">
        <f>IF(SER_hh_fec_in!I23=0,0,11630*1000*SER_hh_fec_in!I23/SER_hh_num_in!I23)</f>
        <v>44524.666669905091</v>
      </c>
      <c r="J23" s="132">
        <f>IF(SER_hh_fec_in!J23=0,0,11630*1000*SER_hh_fec_in!J23/SER_hh_num_in!J23)</f>
        <v>42909.464457810005</v>
      </c>
      <c r="K23" s="132">
        <f>IF(SER_hh_fec_in!K23=0,0,11630*1000*SER_hh_fec_in!K23/SER_hh_num_in!K23)</f>
        <v>40728.505636784139</v>
      </c>
      <c r="L23" s="132">
        <f>IF(SER_hh_fec_in!L23=0,0,11630*1000*SER_hh_fec_in!L23/SER_hh_num_in!L23)</f>
        <v>40257.019380118567</v>
      </c>
      <c r="M23" s="132">
        <f>IF(SER_hh_fec_in!M23=0,0,11630*1000*SER_hh_fec_in!M23/SER_hh_num_in!M23)</f>
        <v>36926.953668318645</v>
      </c>
      <c r="N23" s="132">
        <f>IF(SER_hh_fec_in!N23=0,0,11630*1000*SER_hh_fec_in!N23/SER_hh_num_in!N23)</f>
        <v>40459.181785930865</v>
      </c>
      <c r="O23" s="132">
        <f>IF(SER_hh_fec_in!O23=0,0,11630*1000*SER_hh_fec_in!O23/SER_hh_num_in!O23)</f>
        <v>39807.222435700183</v>
      </c>
      <c r="P23" s="132">
        <f>IF(SER_hh_fec_in!P23=0,0,11630*1000*SER_hh_fec_in!P23/SER_hh_num_in!P23)</f>
        <v>32656.493096006285</v>
      </c>
      <c r="Q23" s="132">
        <f>IF(SER_hh_fec_in!Q23=0,0,11630*1000*SER_hh_fec_in!Q23/SER_hh_num_in!Q23)</f>
        <v>37865.417730682588</v>
      </c>
      <c r="R23" s="132">
        <f>IF(SER_hh_fec_in!R23=0,0,11630*1000*SER_hh_fec_in!R23/SER_hh_num_in!R23)</f>
        <v>37299.306521806684</v>
      </c>
      <c r="S23" s="132">
        <f>IF(SER_hh_fec_in!S23=0,0,11630*1000*SER_hh_fec_in!S23/SER_hh_num_in!S23)</f>
        <v>34831.654526056562</v>
      </c>
      <c r="T23" s="132">
        <f>IF(SER_hh_fec_in!T23=0,0,11630*1000*SER_hh_fec_in!T23/SER_hh_num_in!T23)</f>
        <v>0</v>
      </c>
      <c r="U23" s="132">
        <f>IF(SER_hh_fec_in!U23=0,0,11630*1000*SER_hh_fec_in!U23/SER_hh_num_in!U23)</f>
        <v>0</v>
      </c>
      <c r="V23" s="132">
        <f>IF(SER_hh_fec_in!V23=0,0,11630*1000*SER_hh_fec_in!V23/SER_hh_num_in!V23)</f>
        <v>19286.082135971388</v>
      </c>
      <c r="W23" s="132">
        <f>IF(SER_hh_fec_in!W23=0,0,11630*1000*SER_hh_fec_in!W23/SER_hh_num_in!W23)</f>
        <v>32053.841348961047</v>
      </c>
      <c r="X23" s="132">
        <f>IF(SER_hh_fec_in!X23=0,0,11630*1000*SER_hh_fec_in!X23/SER_hh_num_in!X23)</f>
        <v>31495.749562830668</v>
      </c>
      <c r="Y23" s="132">
        <f>IF(SER_hh_fec_in!Y23=0,0,11630*1000*SER_hh_fec_in!Y23/SER_hh_num_in!Y23)</f>
        <v>28281.118069638189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30102.725487971347</v>
      </c>
      <c r="D25" s="132">
        <f>IF(SER_hh_fec_in!D25=0,0,11630*1000*SER_hh_fec_in!D25/SER_hh_num_in!D25)</f>
        <v>33263.955528274149</v>
      </c>
      <c r="E25" s="132">
        <f>IF(SER_hh_fec_in!E25=0,0,11630*1000*SER_hh_fec_in!E25/SER_hh_num_in!E25)</f>
        <v>35492.455925158771</v>
      </c>
      <c r="F25" s="132">
        <f>IF(SER_hh_fec_in!F25=0,0,11630*1000*SER_hh_fec_in!F25/SER_hh_num_in!F25)</f>
        <v>45865.199912452066</v>
      </c>
      <c r="G25" s="132">
        <f>IF(SER_hh_fec_in!G25=0,0,11630*1000*SER_hh_fec_in!G25/SER_hh_num_in!G25)</f>
        <v>33496.805782200085</v>
      </c>
      <c r="H25" s="132">
        <f>IF(SER_hh_fec_in!H25=0,0,11630*1000*SER_hh_fec_in!H25/SER_hh_num_in!H25)</f>
        <v>30000.898926596135</v>
      </c>
      <c r="I25" s="132">
        <f>IF(SER_hh_fec_in!I25=0,0,11630*1000*SER_hh_fec_in!I25/SER_hh_num_in!I25)</f>
        <v>0</v>
      </c>
      <c r="J25" s="132">
        <f>IF(SER_hh_fec_in!J25=0,0,11630*1000*SER_hh_fec_in!J25/SER_hh_num_in!J25)</f>
        <v>31887.798262764576</v>
      </c>
      <c r="K25" s="132">
        <f>IF(SER_hh_fec_in!K25=0,0,11630*1000*SER_hh_fec_in!K25/SER_hh_num_in!K25)</f>
        <v>32914.862906791604</v>
      </c>
      <c r="L25" s="132">
        <f>IF(SER_hh_fec_in!L25=0,0,11630*1000*SER_hh_fec_in!L25/SER_hh_num_in!L25)</f>
        <v>30196.10571155656</v>
      </c>
      <c r="M25" s="132">
        <f>IF(SER_hh_fec_in!M25=0,0,11630*1000*SER_hh_fec_in!M25/SER_hh_num_in!M25)</f>
        <v>32240.124497668799</v>
      </c>
      <c r="N25" s="132">
        <f>IF(SER_hh_fec_in!N25=0,0,11630*1000*SER_hh_fec_in!N25/SER_hh_num_in!N25)</f>
        <v>34590.420630158529</v>
      </c>
      <c r="O25" s="132">
        <f>IF(SER_hh_fec_in!O25=0,0,11630*1000*SER_hh_fec_in!O25/SER_hh_num_in!O25)</f>
        <v>25789.043821834999</v>
      </c>
      <c r="P25" s="132">
        <f>IF(SER_hh_fec_in!P25=0,0,11630*1000*SER_hh_fec_in!P25/SER_hh_num_in!P25)</f>
        <v>21172.041477252489</v>
      </c>
      <c r="Q25" s="132">
        <f>IF(SER_hh_fec_in!Q25=0,0,11630*1000*SER_hh_fec_in!Q25/SER_hh_num_in!Q25)</f>
        <v>12276.431536826696</v>
      </c>
      <c r="R25" s="132">
        <f>IF(SER_hh_fec_in!R25=0,0,11630*1000*SER_hh_fec_in!R25/SER_hh_num_in!R25)</f>
        <v>41239.694728606584</v>
      </c>
      <c r="S25" s="132">
        <f>IF(SER_hh_fec_in!S25=0,0,11630*1000*SER_hh_fec_in!S25/SER_hh_num_in!S25)</f>
        <v>38174.251923344782</v>
      </c>
      <c r="T25" s="132">
        <f>IF(SER_hh_fec_in!T25=0,0,11630*1000*SER_hh_fec_in!T25/SER_hh_num_in!T25)</f>
        <v>35950.049447418882</v>
      </c>
      <c r="U25" s="132">
        <f>IF(SER_hh_fec_in!U25=0,0,11630*1000*SER_hh_fec_in!U25/SER_hh_num_in!U25)</f>
        <v>32449.681751155193</v>
      </c>
      <c r="V25" s="132">
        <f>IF(SER_hh_fec_in!V25=0,0,11630*1000*SER_hh_fec_in!V25/SER_hh_num_in!V25)</f>
        <v>0</v>
      </c>
      <c r="W25" s="132">
        <f>IF(SER_hh_fec_in!W25=0,0,11630*1000*SER_hh_fec_in!W25/SER_hh_num_in!W25)</f>
        <v>0</v>
      </c>
      <c r="X25" s="132">
        <f>IF(SER_hh_fec_in!X25=0,0,11630*1000*SER_hh_fec_in!X25/SER_hh_num_in!X25)</f>
        <v>29492.796991948548</v>
      </c>
      <c r="Y25" s="132">
        <f>IF(SER_hh_fec_in!Y25=0,0,11630*1000*SER_hh_fec_in!Y25/SER_hh_num_in!Y25)</f>
        <v>24740.978566338588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0</v>
      </c>
      <c r="D26" s="65">
        <f>IF(SER_hh_fec_in!D26=0,0,11630*1000*SER_hh_fec_in!D26/SER_hh_num_in!D26)</f>
        <v>37235.935782652639</v>
      </c>
      <c r="E26" s="65">
        <f>IF(SER_hh_fec_in!E26=0,0,11630*1000*SER_hh_fec_in!E26/SER_hh_num_in!E26)</f>
        <v>38202.469970892686</v>
      </c>
      <c r="F26" s="65">
        <f>IF(SER_hh_fec_in!F26=0,0,11630*1000*SER_hh_fec_in!F26/SER_hh_num_in!F26)</f>
        <v>33381.575648761194</v>
      </c>
      <c r="G26" s="65">
        <f>IF(SER_hh_fec_in!G26=0,0,11630*1000*SER_hh_fec_in!G26/SER_hh_num_in!G26)</f>
        <v>39594.692433297831</v>
      </c>
      <c r="H26" s="65">
        <f>IF(SER_hh_fec_in!H26=0,0,11630*1000*SER_hh_fec_in!H26/SER_hh_num_in!H26)</f>
        <v>41018.127081895713</v>
      </c>
      <c r="I26" s="65">
        <f>IF(SER_hh_fec_in!I26=0,0,11630*1000*SER_hh_fec_in!I26/SER_hh_num_in!I26)</f>
        <v>37664.100572696654</v>
      </c>
      <c r="J26" s="65">
        <f>IF(SER_hh_fec_in!J26=0,0,11630*1000*SER_hh_fec_in!J26/SER_hh_num_in!J26)</f>
        <v>36961.036642498584</v>
      </c>
      <c r="K26" s="65">
        <f>IF(SER_hh_fec_in!K26=0,0,11630*1000*SER_hh_fec_in!K26/SER_hh_num_in!K26)</f>
        <v>38798.862362884545</v>
      </c>
      <c r="L26" s="65">
        <f>IF(SER_hh_fec_in!L26=0,0,11630*1000*SER_hh_fec_in!L26/SER_hh_num_in!L26)</f>
        <v>27443.087082476792</v>
      </c>
      <c r="M26" s="65">
        <f>IF(SER_hh_fec_in!M26=0,0,11630*1000*SER_hh_fec_in!M26/SER_hh_num_in!M26)</f>
        <v>35311.159810608944</v>
      </c>
      <c r="N26" s="65">
        <f>IF(SER_hh_fec_in!N26=0,0,11630*1000*SER_hh_fec_in!N26/SER_hh_num_in!N26)</f>
        <v>35834.430011793687</v>
      </c>
      <c r="O26" s="65">
        <f>IF(SER_hh_fec_in!O26=0,0,11630*1000*SER_hh_fec_in!O26/SER_hh_num_in!O26)</f>
        <v>36301.29443856969</v>
      </c>
      <c r="P26" s="65">
        <f>IF(SER_hh_fec_in!P26=0,0,11630*1000*SER_hh_fec_in!P26/SER_hh_num_in!P26)</f>
        <v>9509.8991447130866</v>
      </c>
      <c r="Q26" s="65">
        <f>IF(SER_hh_fec_in!Q26=0,0,11630*1000*SER_hh_fec_in!Q26/SER_hh_num_in!Q26)</f>
        <v>34093.733896922415</v>
      </c>
      <c r="R26" s="65">
        <f>IF(SER_hh_fec_in!R26=0,0,11630*1000*SER_hh_fec_in!R26/SER_hh_num_in!R26)</f>
        <v>28533.123256484312</v>
      </c>
      <c r="S26" s="65">
        <f>IF(SER_hh_fec_in!S26=0,0,11630*1000*SER_hh_fec_in!S26/SER_hh_num_in!S26)</f>
        <v>30111.480289889922</v>
      </c>
      <c r="T26" s="65">
        <f>IF(SER_hh_fec_in!T26=0,0,11630*1000*SER_hh_fec_in!T26/SER_hh_num_in!T26)</f>
        <v>28244.584985580721</v>
      </c>
      <c r="U26" s="65">
        <f>IF(SER_hh_fec_in!U26=0,0,11630*1000*SER_hh_fec_in!U26/SER_hh_num_in!U26)</f>
        <v>28345.301239000022</v>
      </c>
      <c r="V26" s="65">
        <f>IF(SER_hh_fec_in!V26=0,0,11630*1000*SER_hh_fec_in!V26/SER_hh_num_in!V26)</f>
        <v>27708.318381814679</v>
      </c>
      <c r="W26" s="65">
        <f>IF(SER_hh_fec_in!W26=0,0,11630*1000*SER_hh_fec_in!W26/SER_hh_num_in!W26)</f>
        <v>24363.141333970088</v>
      </c>
      <c r="X26" s="65">
        <f>IF(SER_hh_fec_in!X26=0,0,11630*1000*SER_hh_fec_in!X26/SER_hh_num_in!X26)</f>
        <v>25959.316172033323</v>
      </c>
      <c r="Y26" s="65">
        <f>IF(SER_hh_fec_in!Y26=0,0,11630*1000*SER_hh_fec_in!Y26/SER_hh_num_in!Y26)</f>
        <v>9851.0376324886947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211.6039634062478</v>
      </c>
      <c r="H27" s="145">
        <f>IF(SER_hh_fec_in!H27=0,0,11630*1000*SER_hh_fec_in!H27/SER_hh_num_in!H19)</f>
        <v>0</v>
      </c>
      <c r="I27" s="145">
        <f>IF(SER_hh_fec_in!I27=0,0,11630*1000*SER_hh_fec_in!I27/SER_hh_num_in!I19)</f>
        <v>1.7517147460174021</v>
      </c>
      <c r="J27" s="145">
        <f>IF(SER_hh_fec_in!J27=0,0,11630*1000*SER_hh_fec_in!J27/SER_hh_num_in!J19)</f>
        <v>1.1850227874872836</v>
      </c>
      <c r="K27" s="145">
        <f>IF(SER_hh_fec_in!K27=0,0,11630*1000*SER_hh_fec_in!K27/SER_hh_num_in!K19)</f>
        <v>0</v>
      </c>
      <c r="L27" s="145">
        <f>IF(SER_hh_fec_in!L27=0,0,11630*1000*SER_hh_fec_in!L27/SER_hh_num_in!L19)</f>
        <v>4854.3405147906533</v>
      </c>
      <c r="M27" s="145">
        <f>IF(SER_hh_fec_in!M27=0,0,11630*1000*SER_hh_fec_in!M27/SER_hh_num_in!M19)</f>
        <v>1295.6228517702409</v>
      </c>
      <c r="N27" s="145">
        <f>IF(SER_hh_fec_in!N27=0,0,11630*1000*SER_hh_fec_in!N27/SER_hh_num_in!N19)</f>
        <v>173.92033479661444</v>
      </c>
      <c r="O27" s="145">
        <f>IF(SER_hh_fec_in!O27=0,0,11630*1000*SER_hh_fec_in!O27/SER_hh_num_in!O19)</f>
        <v>0</v>
      </c>
      <c r="P27" s="145">
        <f>IF(SER_hh_fec_in!P27=0,0,11630*1000*SER_hh_fec_in!P27/SER_hh_num_in!P19)</f>
        <v>10974.864936054741</v>
      </c>
      <c r="Q27" s="145">
        <f>IF(SER_hh_fec_in!Q27=0,0,11630*1000*SER_hh_fec_in!Q27/SER_hh_num_in!Q19)</f>
        <v>0</v>
      </c>
      <c r="R27" s="145">
        <f>IF(SER_hh_fec_in!R27=0,0,11630*1000*SER_hh_fec_in!R27/SER_hh_num_in!R19)</f>
        <v>617.60871514623625</v>
      </c>
      <c r="S27" s="145">
        <f>IF(SER_hh_fec_in!S27=0,0,11630*1000*SER_hh_fec_in!S27/SER_hh_num_in!S19)</f>
        <v>4.0221885805031836E-12</v>
      </c>
      <c r="T27" s="145">
        <f>IF(SER_hh_fec_in!T27=0,0,11630*1000*SER_hh_fec_in!T27/SER_hh_num_in!T19)</f>
        <v>952.49397291522439</v>
      </c>
      <c r="U27" s="145">
        <f>IF(SER_hh_fec_in!U27=0,0,11630*1000*SER_hh_fec_in!U27/SER_hh_num_in!U19)</f>
        <v>216.60105804279266</v>
      </c>
      <c r="V27" s="145">
        <f>IF(SER_hh_fec_in!V27=0,0,11630*1000*SER_hh_fec_in!V27/SER_hh_num_in!V19)</f>
        <v>1382.4523353811239</v>
      </c>
      <c r="W27" s="145">
        <f>IF(SER_hh_fec_in!W27=0,0,11630*1000*SER_hh_fec_in!W27/SER_hh_num_in!W19)</f>
        <v>1149.1945885710488</v>
      </c>
      <c r="X27" s="145">
        <f>IF(SER_hh_fec_in!X27=0,0,11630*1000*SER_hh_fec_in!X27/SER_hh_num_in!X19)</f>
        <v>3.9381662442353705E-12</v>
      </c>
      <c r="Y27" s="145">
        <f>IF(SER_hh_fec_in!Y27=0,0,11630*1000*SER_hh_fec_in!Y27/SER_hh_num_in!Y19)</f>
        <v>9128.6657095544706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18782.904489077937</v>
      </c>
      <c r="H28" s="146">
        <f>IF(SER_hh_fec_in!H27=0,0,11630*1000*SER_hh_fec_in!H27/SER_hh_num_in!H27)</f>
        <v>0</v>
      </c>
      <c r="I28" s="146">
        <f>IF(SER_hh_fec_in!I27=0,0,11630*1000*SER_hh_fec_in!I27/SER_hh_num_in!I27)</f>
        <v>18936.890663298025</v>
      </c>
      <c r="J28" s="146">
        <f>IF(SER_hh_fec_in!J27=0,0,11630*1000*SER_hh_fec_in!J27/SER_hh_num_in!J27)</f>
        <v>18584.795125914879</v>
      </c>
      <c r="K28" s="146">
        <f>IF(SER_hh_fec_in!K27=0,0,11630*1000*SER_hh_fec_in!K27/SER_hh_num_in!K27)</f>
        <v>0</v>
      </c>
      <c r="L28" s="146">
        <f>IF(SER_hh_fec_in!L27=0,0,11630*1000*SER_hh_fec_in!L27/SER_hh_num_in!L27)</f>
        <v>17781.741792374469</v>
      </c>
      <c r="M28" s="146">
        <f>IF(SER_hh_fec_in!M27=0,0,11630*1000*SER_hh_fec_in!M27/SER_hh_num_in!M27)</f>
        <v>18827.95862714959</v>
      </c>
      <c r="N28" s="146">
        <f>IF(SER_hh_fec_in!N27=0,0,11630*1000*SER_hh_fec_in!N27/SER_hh_num_in!N27)</f>
        <v>19774.946379339595</v>
      </c>
      <c r="O28" s="146">
        <f>IF(SER_hh_fec_in!O27=0,0,11630*1000*SER_hh_fec_in!O27/SER_hh_num_in!O27)</f>
        <v>0</v>
      </c>
      <c r="P28" s="146">
        <f>IF(SER_hh_fec_in!P27=0,0,11630*1000*SER_hh_fec_in!P27/SER_hh_num_in!P27)</f>
        <v>18776.705083024706</v>
      </c>
      <c r="Q28" s="146">
        <f>IF(SER_hh_fec_in!Q27=0,0,11630*1000*SER_hh_fec_in!Q27/SER_hh_num_in!Q27)</f>
        <v>0</v>
      </c>
      <c r="R28" s="146">
        <f>IF(SER_hh_fec_in!R27=0,0,11630*1000*SER_hh_fec_in!R27/SER_hh_num_in!R27)</f>
        <v>18055.645805554384</v>
      </c>
      <c r="S28" s="146">
        <f>IF(SER_hh_fec_in!S27=0,0,11630*1000*SER_hh_fec_in!S27/SER_hh_num_in!S27)</f>
        <v>19226.30117783232</v>
      </c>
      <c r="T28" s="146">
        <f>IF(SER_hh_fec_in!T27=0,0,11630*1000*SER_hh_fec_in!T27/SER_hh_num_in!T27)</f>
        <v>18505.645008099244</v>
      </c>
      <c r="U28" s="146">
        <f>IF(SER_hh_fec_in!U27=0,0,11630*1000*SER_hh_fec_in!U27/SER_hh_num_in!U27)</f>
        <v>18851.890202551214</v>
      </c>
      <c r="V28" s="146">
        <f>IF(SER_hh_fec_in!V27=0,0,11630*1000*SER_hh_fec_in!V27/SER_hh_num_in!V27)</f>
        <v>17738.416232522079</v>
      </c>
      <c r="W28" s="146">
        <f>IF(SER_hh_fec_in!W27=0,0,11630*1000*SER_hh_fec_in!W27/SER_hh_num_in!W27)</f>
        <v>14647.195188613734</v>
      </c>
      <c r="X28" s="146">
        <f>IF(SER_hh_fec_in!X27=0,0,11630*1000*SER_hh_fec_in!X27/SER_hh_num_in!X27)</f>
        <v>19321.344283797651</v>
      </c>
      <c r="Y28" s="146">
        <f>IF(SER_hh_fec_in!Y27=0,0,11630*1000*SER_hh_fec_in!Y27/SER_hh_num_in!Y27)</f>
        <v>15971.043077832273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33498.421070897071</v>
      </c>
      <c r="D29" s="130">
        <f>IF(SER_hh_fec_in!D29=0,0,11630*1000*SER_hh_fec_in!D29/SER_hh_num_in!D29)</f>
        <v>46253.518777244521</v>
      </c>
      <c r="E29" s="130">
        <f>IF(SER_hh_fec_in!E29=0,0,11630*1000*SER_hh_fec_in!E29/SER_hh_num_in!E29)</f>
        <v>34433.151729409612</v>
      </c>
      <c r="F29" s="130">
        <f>IF(SER_hh_fec_in!F29=0,0,11630*1000*SER_hh_fec_in!F29/SER_hh_num_in!F29)</f>
        <v>36911.511222642665</v>
      </c>
      <c r="G29" s="130">
        <f>IF(SER_hh_fec_in!G29=0,0,11630*1000*SER_hh_fec_in!G29/SER_hh_num_in!G29)</f>
        <v>37311.546653171456</v>
      </c>
      <c r="H29" s="130">
        <f>IF(SER_hh_fec_in!H29=0,0,11630*1000*SER_hh_fec_in!H29/SER_hh_num_in!H29)</f>
        <v>36357.673955354927</v>
      </c>
      <c r="I29" s="130">
        <f>IF(SER_hh_fec_in!I29=0,0,11630*1000*SER_hh_fec_in!I29/SER_hh_num_in!I29)</f>
        <v>37182.529544406963</v>
      </c>
      <c r="J29" s="130">
        <f>IF(SER_hh_fec_in!J29=0,0,11630*1000*SER_hh_fec_in!J29/SER_hh_num_in!J29)</f>
        <v>37110.645004542981</v>
      </c>
      <c r="K29" s="130">
        <f>IF(SER_hh_fec_in!K29=0,0,11630*1000*SER_hh_fec_in!K29/SER_hh_num_in!K29)</f>
        <v>37754.287792744661</v>
      </c>
      <c r="L29" s="130">
        <f>IF(SER_hh_fec_in!L29=0,0,11630*1000*SER_hh_fec_in!L29/SER_hh_num_in!L29)</f>
        <v>36507.829963250013</v>
      </c>
      <c r="M29" s="130">
        <f>IF(SER_hh_fec_in!M29=0,0,11630*1000*SER_hh_fec_in!M29/SER_hh_num_in!M29)</f>
        <v>36023.358405932551</v>
      </c>
      <c r="N29" s="130">
        <f>IF(SER_hh_fec_in!N29=0,0,11630*1000*SER_hh_fec_in!N29/SER_hh_num_in!N29)</f>
        <v>39946.520457641105</v>
      </c>
      <c r="O29" s="130">
        <f>IF(SER_hh_fec_in!O29=0,0,11630*1000*SER_hh_fec_in!O29/SER_hh_num_in!O29)</f>
        <v>41619.363598672389</v>
      </c>
      <c r="P29" s="130">
        <f>IF(SER_hh_fec_in!P29=0,0,11630*1000*SER_hh_fec_in!P29/SER_hh_num_in!P29)</f>
        <v>38460.668985472323</v>
      </c>
      <c r="Q29" s="130">
        <f>IF(SER_hh_fec_in!Q29=0,0,11630*1000*SER_hh_fec_in!Q29/SER_hh_num_in!Q29)</f>
        <v>35892.797766382042</v>
      </c>
      <c r="R29" s="130">
        <f>IF(SER_hh_fec_in!R29=0,0,11630*1000*SER_hh_fec_in!R29/SER_hh_num_in!R29)</f>
        <v>32860.703909752126</v>
      </c>
      <c r="S29" s="130">
        <f>IF(SER_hh_fec_in!S29=0,0,11630*1000*SER_hh_fec_in!S29/SER_hh_num_in!S29)</f>
        <v>30669.703901379304</v>
      </c>
      <c r="T29" s="130">
        <f>IF(SER_hh_fec_in!T29=0,0,11630*1000*SER_hh_fec_in!T29/SER_hh_num_in!T29)</f>
        <v>31066.846841023133</v>
      </c>
      <c r="U29" s="130">
        <f>IF(SER_hh_fec_in!U29=0,0,11630*1000*SER_hh_fec_in!U29/SER_hh_num_in!U29)</f>
        <v>30684.020908122922</v>
      </c>
      <c r="V29" s="130">
        <f>IF(SER_hh_fec_in!V29=0,0,11630*1000*SER_hh_fec_in!V29/SER_hh_num_in!V29)</f>
        <v>27620.497268356605</v>
      </c>
      <c r="W29" s="130">
        <f>IF(SER_hh_fec_in!W29=0,0,11630*1000*SER_hh_fec_in!W29/SER_hh_num_in!W29)</f>
        <v>31865.893641479248</v>
      </c>
      <c r="X29" s="130">
        <f>IF(SER_hh_fec_in!X29=0,0,11630*1000*SER_hh_fec_in!X29/SER_hh_num_in!X29)</f>
        <v>34448.789277271455</v>
      </c>
      <c r="Y29" s="130">
        <f>IF(SER_hh_fec_in!Y29=0,0,11630*1000*SER_hh_fec_in!Y29/SER_hh_num_in!Y29)</f>
        <v>32273.959171560185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30977.258671994648</v>
      </c>
      <c r="D30" s="132">
        <f>IF(SER_hh_fec_in!D30=0,0,11630*1000*SER_hh_fec_in!D30/SER_hh_num_in!D30)</f>
        <v>49759.278287751848</v>
      </c>
      <c r="E30" s="132">
        <f>IF(SER_hh_fec_in!E30=0,0,11630*1000*SER_hh_fec_in!E30/SER_hh_num_in!E30)</f>
        <v>51326.502060216873</v>
      </c>
      <c r="F30" s="132">
        <f>IF(SER_hh_fec_in!F30=0,0,11630*1000*SER_hh_fec_in!F30/SER_hh_num_in!F30)</f>
        <v>55534.567010694802</v>
      </c>
      <c r="G30" s="132">
        <f>IF(SER_hh_fec_in!G30=0,0,11630*1000*SER_hh_fec_in!G30/SER_hh_num_in!G30)</f>
        <v>0</v>
      </c>
      <c r="H30" s="132">
        <f>IF(SER_hh_fec_in!H30=0,0,11630*1000*SER_hh_fec_in!H30/SER_hh_num_in!H30)</f>
        <v>0</v>
      </c>
      <c r="I30" s="132">
        <f>IF(SER_hh_fec_in!I30=0,0,11630*1000*SER_hh_fec_in!I30/SER_hh_num_in!I30)</f>
        <v>0</v>
      </c>
      <c r="J30" s="132">
        <f>IF(SER_hh_fec_in!J30=0,0,11630*1000*SER_hh_fec_in!J30/SER_hh_num_in!J30)</f>
        <v>0</v>
      </c>
      <c r="K30" s="132">
        <f>IF(SER_hh_fec_in!K30=0,0,11630*1000*SER_hh_fec_in!K30/SER_hh_num_in!K30)</f>
        <v>47480.989451335401</v>
      </c>
      <c r="L30" s="132">
        <f>IF(SER_hh_fec_in!L30=0,0,11630*1000*SER_hh_fec_in!L30/SER_hh_num_in!L30)</f>
        <v>82757.744022093699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48500.086866142439</v>
      </c>
      <c r="O30" s="132">
        <f>IF(SER_hh_fec_in!O30=0,0,11630*1000*SER_hh_fec_in!O30/SER_hh_num_in!O30)</f>
        <v>46850.017683250298</v>
      </c>
      <c r="P30" s="132">
        <f>IF(SER_hh_fec_in!P30=0,0,11630*1000*SER_hh_fec_in!P30/SER_hh_num_in!P30)</f>
        <v>42916.673217332951</v>
      </c>
      <c r="Q30" s="132">
        <f>IF(SER_hh_fec_in!Q30=0,0,11630*1000*SER_hh_fec_in!Q30/SER_hh_num_in!Q30)</f>
        <v>0</v>
      </c>
      <c r="R30" s="132">
        <f>IF(SER_hh_fec_in!R30=0,0,11630*1000*SER_hh_fec_in!R30/SER_hh_num_in!R30)</f>
        <v>0</v>
      </c>
      <c r="S30" s="132">
        <f>IF(SER_hh_fec_in!S30=0,0,11630*1000*SER_hh_fec_in!S30/SER_hh_num_in!S30)</f>
        <v>0</v>
      </c>
      <c r="T30" s="132">
        <f>IF(SER_hh_fec_in!T30=0,0,11630*1000*SER_hh_fec_in!T30/SER_hh_num_in!T30)</f>
        <v>0</v>
      </c>
      <c r="U30" s="132">
        <f>IF(SER_hh_fec_in!U30=0,0,11630*1000*SER_hh_fec_in!U30/SER_hh_num_in!U30)</f>
        <v>0</v>
      </c>
      <c r="V30" s="132">
        <f>IF(SER_hh_fec_in!V30=0,0,11630*1000*SER_hh_fec_in!V30/SER_hh_num_in!V30)</f>
        <v>0</v>
      </c>
      <c r="W30" s="132">
        <f>IF(SER_hh_fec_in!W30=0,0,11630*1000*SER_hh_fec_in!W30/SER_hh_num_in!W30)</f>
        <v>30448.159722351484</v>
      </c>
      <c r="X30" s="132">
        <f>IF(SER_hh_fec_in!X30=0,0,11630*1000*SER_hh_fec_in!X30/SER_hh_num_in!X30)</f>
        <v>51420.013448962098</v>
      </c>
      <c r="Y30" s="132">
        <f>IF(SER_hh_fec_in!Y30=0,0,11630*1000*SER_hh_fec_in!Y30/SER_hh_num_in!Y30)</f>
        <v>0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40293.257024897022</v>
      </c>
      <c r="D31" s="132">
        <f>IF(SER_hh_fec_in!D31=0,0,11630*1000*SER_hh_fec_in!D31/SER_hh_num_in!D31)</f>
        <v>42577.859127443851</v>
      </c>
      <c r="E31" s="132">
        <f>IF(SER_hh_fec_in!E31=0,0,11630*1000*SER_hh_fec_in!E31/SER_hh_num_in!E31)</f>
        <v>42466.091881421497</v>
      </c>
      <c r="F31" s="132">
        <f>IF(SER_hh_fec_in!F31=0,0,11630*1000*SER_hh_fec_in!F31/SER_hh_num_in!F31)</f>
        <v>33241.651392069594</v>
      </c>
      <c r="G31" s="132">
        <f>IF(SER_hh_fec_in!G31=0,0,11630*1000*SER_hh_fec_in!G31/SER_hh_num_in!G31)</f>
        <v>44512.926558737658</v>
      </c>
      <c r="H31" s="132">
        <f>IF(SER_hh_fec_in!H31=0,0,11630*1000*SER_hh_fec_in!H31/SER_hh_num_in!H31)</f>
        <v>44404.368581369934</v>
      </c>
      <c r="I31" s="132">
        <f>IF(SER_hh_fec_in!I31=0,0,11630*1000*SER_hh_fec_in!I31/SER_hh_num_in!I31)</f>
        <v>44030.802578022907</v>
      </c>
      <c r="J31" s="132">
        <f>IF(SER_hh_fec_in!J31=0,0,11630*1000*SER_hh_fec_in!J31/SER_hh_num_in!J31)</f>
        <v>43060.22187217851</v>
      </c>
      <c r="K31" s="132">
        <f>IF(SER_hh_fec_in!K31=0,0,11630*1000*SER_hh_fec_in!K31/SER_hh_num_in!K31)</f>
        <v>42568.812149810503</v>
      </c>
      <c r="L31" s="132">
        <f>IF(SER_hh_fec_in!L31=0,0,11630*1000*SER_hh_fec_in!L31/SER_hh_num_in!L31)</f>
        <v>42124.851245598227</v>
      </c>
      <c r="M31" s="132">
        <f>IF(SER_hh_fec_in!M31=0,0,11630*1000*SER_hh_fec_in!M31/SER_hh_num_in!M31)</f>
        <v>37861.050079172623</v>
      </c>
      <c r="N31" s="132">
        <f>IF(SER_hh_fec_in!N31=0,0,11630*1000*SER_hh_fec_in!N31/SER_hh_num_in!N31)</f>
        <v>39570.346571145681</v>
      </c>
      <c r="O31" s="132">
        <f>IF(SER_hh_fec_in!O31=0,0,11630*1000*SER_hh_fec_in!O31/SER_hh_num_in!O31)</f>
        <v>42452.541087081489</v>
      </c>
      <c r="P31" s="132">
        <f>IF(SER_hh_fec_in!P31=0,0,11630*1000*SER_hh_fec_in!P31/SER_hh_num_in!P31)</f>
        <v>40796.924378278949</v>
      </c>
      <c r="Q31" s="132">
        <f>IF(SER_hh_fec_in!Q31=0,0,11630*1000*SER_hh_fec_in!Q31/SER_hh_num_in!Q31)</f>
        <v>42650.265224774535</v>
      </c>
      <c r="R31" s="132">
        <f>IF(SER_hh_fec_in!R31=0,0,11630*1000*SER_hh_fec_in!R31/SER_hh_num_in!R31)</f>
        <v>42061.804983397604</v>
      </c>
      <c r="S31" s="132">
        <f>IF(SER_hh_fec_in!S31=0,0,11630*1000*SER_hh_fec_in!S31/SER_hh_num_in!S31)</f>
        <v>40830.756791808519</v>
      </c>
      <c r="T31" s="132">
        <f>IF(SER_hh_fec_in!T31=0,0,11630*1000*SER_hh_fec_in!T31/SER_hh_num_in!T31)</f>
        <v>37047.05735656328</v>
      </c>
      <c r="U31" s="132">
        <f>IF(SER_hh_fec_in!U31=0,0,11630*1000*SER_hh_fec_in!U31/SER_hh_num_in!U31)</f>
        <v>30659.293767882093</v>
      </c>
      <c r="V31" s="132">
        <f>IF(SER_hh_fec_in!V31=0,0,11630*1000*SER_hh_fec_in!V31/SER_hh_num_in!V31)</f>
        <v>26954.303122663045</v>
      </c>
      <c r="W31" s="132">
        <f>IF(SER_hh_fec_in!W31=0,0,11630*1000*SER_hh_fec_in!W31/SER_hh_num_in!W31)</f>
        <v>42855.207440281309</v>
      </c>
      <c r="X31" s="132">
        <f>IF(SER_hh_fec_in!X31=0,0,11630*1000*SER_hh_fec_in!X31/SER_hh_num_in!X31)</f>
        <v>40416.061314891471</v>
      </c>
      <c r="Y31" s="132">
        <f>IF(SER_hh_fec_in!Y31=0,0,11630*1000*SER_hh_fec_in!Y31/SER_hh_num_in!Y31)</f>
        <v>36881.066940014731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0</v>
      </c>
      <c r="D33" s="68">
        <f>IF(SER_hh_fec_in!D33=0,0,11630*1000*SER_hh_fec_in!D33/SER_hh_num_in!D33)</f>
        <v>25382.651011700098</v>
      </c>
      <c r="E33" s="68">
        <f>IF(SER_hh_fec_in!E33=0,0,11630*1000*SER_hh_fec_in!E33/SER_hh_num_in!E33)</f>
        <v>26456.515561548062</v>
      </c>
      <c r="F33" s="68">
        <f>IF(SER_hh_fec_in!F33=0,0,11630*1000*SER_hh_fec_in!F33/SER_hh_num_in!F33)</f>
        <v>32692.097244497116</v>
      </c>
      <c r="G33" s="68">
        <f>IF(SER_hh_fec_in!G33=0,0,11630*1000*SER_hh_fec_in!G33/SER_hh_num_in!G33)</f>
        <v>33621.781588847894</v>
      </c>
      <c r="H33" s="68">
        <f>IF(SER_hh_fec_in!H33=0,0,11630*1000*SER_hh_fec_in!H33/SER_hh_num_in!H33)</f>
        <v>30694.963204189411</v>
      </c>
      <c r="I33" s="68">
        <f>IF(SER_hh_fec_in!I33=0,0,11630*1000*SER_hh_fec_in!I33/SER_hh_num_in!I33)</f>
        <v>33328.084159852493</v>
      </c>
      <c r="J33" s="68">
        <f>IF(SER_hh_fec_in!J33=0,0,11630*1000*SER_hh_fec_in!J33/SER_hh_num_in!J33)</f>
        <v>33472.997849572603</v>
      </c>
      <c r="K33" s="68">
        <f>IF(SER_hh_fec_in!K33=0,0,11630*1000*SER_hh_fec_in!K33/SER_hh_num_in!K33)</f>
        <v>31685.330721957343</v>
      </c>
      <c r="L33" s="68">
        <f>IF(SER_hh_fec_in!L33=0,0,11630*1000*SER_hh_fec_in!L33/SER_hh_num_in!L33)</f>
        <v>27591.468170431377</v>
      </c>
      <c r="M33" s="68">
        <f>IF(SER_hh_fec_in!M33=0,0,11630*1000*SER_hh_fec_in!M33/SER_hh_num_in!M33)</f>
        <v>35372.209268370665</v>
      </c>
      <c r="N33" s="68">
        <f>IF(SER_hh_fec_in!N33=0,0,11630*1000*SER_hh_fec_in!N33/SER_hh_num_in!N33)</f>
        <v>31122.302230220404</v>
      </c>
      <c r="O33" s="68">
        <f>IF(SER_hh_fec_in!O33=0,0,11630*1000*SER_hh_fec_in!O33/SER_hh_num_in!O33)</f>
        <v>29582.049750434191</v>
      </c>
      <c r="P33" s="68">
        <f>IF(SER_hh_fec_in!P33=0,0,11630*1000*SER_hh_fec_in!P33/SER_hh_num_in!P33)</f>
        <v>29950.51530268311</v>
      </c>
      <c r="Q33" s="68">
        <f>IF(SER_hh_fec_in!Q33=0,0,11630*1000*SER_hh_fec_in!Q33/SER_hh_num_in!Q33)</f>
        <v>28694.543254571097</v>
      </c>
      <c r="R33" s="68">
        <f>IF(SER_hh_fec_in!R33=0,0,11630*1000*SER_hh_fec_in!R33/SER_hh_num_in!R33)</f>
        <v>27970.129117760691</v>
      </c>
      <c r="S33" s="68">
        <f>IF(SER_hh_fec_in!S33=0,0,11630*1000*SER_hh_fec_in!S33/SER_hh_num_in!S33)</f>
        <v>28734.539163552588</v>
      </c>
      <c r="T33" s="68">
        <f>IF(SER_hh_fec_in!T33=0,0,11630*1000*SER_hh_fec_in!T33/SER_hh_num_in!T33)</f>
        <v>28937.115865220614</v>
      </c>
      <c r="U33" s="68">
        <f>IF(SER_hh_fec_in!U33=0,0,11630*1000*SER_hh_fec_in!U33/SER_hh_num_in!U33)</f>
        <v>30698.556298907344</v>
      </c>
      <c r="V33" s="68">
        <f>IF(SER_hh_fec_in!V33=0,0,11630*1000*SER_hh_fec_in!V33/SER_hh_num_in!V33)</f>
        <v>28255.848005659136</v>
      </c>
      <c r="W33" s="68">
        <f>IF(SER_hh_fec_in!W33=0,0,11630*1000*SER_hh_fec_in!W33/SER_hh_num_in!W33)</f>
        <v>24676.439600706737</v>
      </c>
      <c r="X33" s="68">
        <f>IF(SER_hh_fec_in!X33=0,0,11630*1000*SER_hh_fec_in!X33/SER_hh_num_in!X33)</f>
        <v>24553.31469239611</v>
      </c>
      <c r="Y33" s="68">
        <f>IF(SER_hh_fec_in!Y33=0,0,11630*1000*SER_hh_fec_in!Y33/SER_hh_num_in!Y33)</f>
        <v>26409.559227297595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398419.58366811392</v>
      </c>
      <c r="D3" s="125">
        <f>IF(SER_hh_tes_in!D3=0,0,11630*1000*SER_hh_tes_in!D3/SER_hh_num_in!D3)</f>
        <v>367517.39580287295</v>
      </c>
      <c r="E3" s="125">
        <f>IF(SER_hh_tes_in!E3=0,0,11630*1000*SER_hh_tes_in!E3/SER_hh_num_in!E3)</f>
        <v>277995.86511339888</v>
      </c>
      <c r="F3" s="125">
        <f>IF(SER_hh_tes_in!F3=0,0,11630*1000*SER_hh_tes_in!F3/SER_hh_num_in!F3)</f>
        <v>258181.51797572451</v>
      </c>
      <c r="G3" s="125">
        <f>IF(SER_hh_tes_in!G3=0,0,11630*1000*SER_hh_tes_in!G3/SER_hh_num_in!G3)</f>
        <v>379388.98947239801</v>
      </c>
      <c r="H3" s="125">
        <f>IF(SER_hh_tes_in!H3=0,0,11630*1000*SER_hh_tes_in!H3/SER_hh_num_in!H3)</f>
        <v>349218.24887857802</v>
      </c>
      <c r="I3" s="125">
        <f>IF(SER_hh_tes_in!I3=0,0,11630*1000*SER_hh_tes_in!I3/SER_hh_num_in!I3)</f>
        <v>302195.85813446844</v>
      </c>
      <c r="J3" s="125">
        <f>IF(SER_hh_tes_in!J3=0,0,11630*1000*SER_hh_tes_in!J3/SER_hh_num_in!J3)</f>
        <v>306847.65294649167</v>
      </c>
      <c r="K3" s="125">
        <f>IF(SER_hh_tes_in!K3=0,0,11630*1000*SER_hh_tes_in!K3/SER_hh_num_in!K3)</f>
        <v>382499.87112885015</v>
      </c>
      <c r="L3" s="125">
        <f>IF(SER_hh_tes_in!L3=0,0,11630*1000*SER_hh_tes_in!L3/SER_hh_num_in!L3)</f>
        <v>325953.51090906089</v>
      </c>
      <c r="M3" s="125">
        <f>IF(SER_hh_tes_in!M3=0,0,11630*1000*SER_hh_tes_in!M3/SER_hh_num_in!M3)</f>
        <v>251315.15919259659</v>
      </c>
      <c r="N3" s="125">
        <f>IF(SER_hh_tes_in!N3=0,0,11630*1000*SER_hh_tes_in!N3/SER_hh_num_in!N3)</f>
        <v>241577.06739905142</v>
      </c>
      <c r="O3" s="125">
        <f>IF(SER_hh_tes_in!O3=0,0,11630*1000*SER_hh_tes_in!O3/SER_hh_num_in!O3)</f>
        <v>251796.47848173953</v>
      </c>
      <c r="P3" s="125">
        <f>IF(SER_hh_tes_in!P3=0,0,11630*1000*SER_hh_tes_in!P3/SER_hh_num_in!P3)</f>
        <v>178279.74290949391</v>
      </c>
      <c r="Q3" s="125">
        <f>IF(SER_hh_tes_in!Q3=0,0,11630*1000*SER_hh_tes_in!Q3/SER_hh_num_in!Q3)</f>
        <v>185127.7140754401</v>
      </c>
      <c r="R3" s="125">
        <f>IF(SER_hh_tes_in!R3=0,0,11630*1000*SER_hh_tes_in!R3/SER_hh_num_in!R3)</f>
        <v>174107.88601527287</v>
      </c>
      <c r="S3" s="125">
        <f>IF(SER_hh_tes_in!S3=0,0,11630*1000*SER_hh_tes_in!S3/SER_hh_num_in!S3)</f>
        <v>180148.56886391403</v>
      </c>
      <c r="T3" s="125">
        <f>IF(SER_hh_tes_in!T3=0,0,11630*1000*SER_hh_tes_in!T3/SER_hh_num_in!T3)</f>
        <v>156514.53309772551</v>
      </c>
      <c r="U3" s="125">
        <f>IF(SER_hh_tes_in!U3=0,0,11630*1000*SER_hh_tes_in!U3/SER_hh_num_in!U3)</f>
        <v>136516.27086071522</v>
      </c>
      <c r="V3" s="125">
        <f>IF(SER_hh_tes_in!V3=0,0,11630*1000*SER_hh_tes_in!V3/SER_hh_num_in!V3)</f>
        <v>118425.98856334118</v>
      </c>
      <c r="W3" s="125">
        <f>IF(SER_hh_tes_in!W3=0,0,11630*1000*SER_hh_tes_in!W3/SER_hh_num_in!W3)</f>
        <v>122362.21440000397</v>
      </c>
      <c r="X3" s="125">
        <f>IF(SER_hh_tes_in!X3=0,0,11630*1000*SER_hh_tes_in!X3/SER_hh_num_in!X3)</f>
        <v>110592.59435855983</v>
      </c>
      <c r="Y3" s="125">
        <f>IF(SER_hh_tes_in!Y3=0,0,11630*1000*SER_hh_tes_in!Y3/SER_hh_num_in!Y3)</f>
        <v>103251.81291556011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324451.97095693427</v>
      </c>
      <c r="D4" s="130">
        <f>IF(SER_hh_tes_in!D4=0,0,11630*1000*SER_hh_tes_in!D4/SER_hh_num_in!D4)</f>
        <v>284287.19619374216</v>
      </c>
      <c r="E4" s="130">
        <f>IF(SER_hh_tes_in!E4=0,0,11630*1000*SER_hh_tes_in!E4/SER_hh_num_in!E4)</f>
        <v>202609.08247518231</v>
      </c>
      <c r="F4" s="130">
        <f>IF(SER_hh_tes_in!F4=0,0,11630*1000*SER_hh_tes_in!F4/SER_hh_num_in!F4)</f>
        <v>184302.932802319</v>
      </c>
      <c r="G4" s="130">
        <f>IF(SER_hh_tes_in!G4=0,0,11630*1000*SER_hh_tes_in!G4/SER_hh_num_in!G4)</f>
        <v>307253.47986267781</v>
      </c>
      <c r="H4" s="130">
        <f>IF(SER_hh_tes_in!H4=0,0,11630*1000*SER_hh_tes_in!H4/SER_hh_num_in!H4)</f>
        <v>280244.82030794059</v>
      </c>
      <c r="I4" s="130">
        <f>IF(SER_hh_tes_in!I4=0,0,11630*1000*SER_hh_tes_in!I4/SER_hh_num_in!I4)</f>
        <v>230742.86345648102</v>
      </c>
      <c r="J4" s="130">
        <f>IF(SER_hh_tes_in!J4=0,0,11630*1000*SER_hh_tes_in!J4/SER_hh_num_in!J4)</f>
        <v>228125.96476853668</v>
      </c>
      <c r="K4" s="130">
        <f>IF(SER_hh_tes_in!K4=0,0,11630*1000*SER_hh_tes_in!K4/SER_hh_num_in!K4)</f>
        <v>303687.27458059968</v>
      </c>
      <c r="L4" s="130">
        <f>IF(SER_hh_tes_in!L4=0,0,11630*1000*SER_hh_tes_in!L4/SER_hh_num_in!L4)</f>
        <v>246565.49846823697</v>
      </c>
      <c r="M4" s="130">
        <f>IF(SER_hh_tes_in!M4=0,0,11630*1000*SER_hh_tes_in!M4/SER_hh_num_in!M4)</f>
        <v>172066.56626670432</v>
      </c>
      <c r="N4" s="130">
        <f>IF(SER_hh_tes_in!N4=0,0,11630*1000*SER_hh_tes_in!N4/SER_hh_num_in!N4)</f>
        <v>161487.43292133775</v>
      </c>
      <c r="O4" s="130">
        <f>IF(SER_hh_tes_in!O4=0,0,11630*1000*SER_hh_tes_in!O4/SER_hh_num_in!O4)</f>
        <v>172071.61033130641</v>
      </c>
      <c r="P4" s="130">
        <f>IF(SER_hh_tes_in!P4=0,0,11630*1000*SER_hh_tes_in!P4/SER_hh_num_in!P4)</f>
        <v>101918.73494633706</v>
      </c>
      <c r="Q4" s="130">
        <f>IF(SER_hh_tes_in!Q4=0,0,11630*1000*SER_hh_tes_in!Q4/SER_hh_num_in!Q4)</f>
        <v>107071.48643427399</v>
      </c>
      <c r="R4" s="130">
        <f>IF(SER_hh_tes_in!R4=0,0,11630*1000*SER_hh_tes_in!R4/SER_hh_num_in!R4)</f>
        <v>99980.811621321947</v>
      </c>
      <c r="S4" s="130">
        <f>IF(SER_hh_tes_in!S4=0,0,11630*1000*SER_hh_tes_in!S4/SER_hh_num_in!S4)</f>
        <v>104923.56170388489</v>
      </c>
      <c r="T4" s="130">
        <f>IF(SER_hh_tes_in!T4=0,0,11630*1000*SER_hh_tes_in!T4/SER_hh_num_in!T4)</f>
        <v>83257.760757676835</v>
      </c>
      <c r="U4" s="130">
        <f>IF(SER_hh_tes_in!U4=0,0,11630*1000*SER_hh_tes_in!U4/SER_hh_num_in!U4)</f>
        <v>64481.213718255793</v>
      </c>
      <c r="V4" s="130">
        <f>IF(SER_hh_tes_in!V4=0,0,11630*1000*SER_hh_tes_in!V4/SER_hh_num_in!V4)</f>
        <v>53099.393881399898</v>
      </c>
      <c r="W4" s="130">
        <f>IF(SER_hh_tes_in!W4=0,0,11630*1000*SER_hh_tes_in!W4/SER_hh_num_in!W4)</f>
        <v>55886.508887966993</v>
      </c>
      <c r="X4" s="130">
        <f>IF(SER_hh_tes_in!X4=0,0,11630*1000*SER_hh_tes_in!X4/SER_hh_num_in!X4)</f>
        <v>43231.862488450111</v>
      </c>
      <c r="Y4" s="130">
        <f>IF(SER_hh_tes_in!Y4=0,0,11630*1000*SER_hh_tes_in!Y4/SER_hh_num_in!Y4)</f>
        <v>36488.239434836956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271985.6485991028</v>
      </c>
      <c r="D5" s="132">
        <f>IF(SER_hh_tes_in!D5=0,0,11630*1000*SER_hh_tes_in!D5/SER_hh_num_in!D5)</f>
        <v>359683.78495136625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74550.485798258145</v>
      </c>
      <c r="H5" s="132">
        <f>IF(SER_hh_tes_in!H5=0,0,11630*1000*SER_hh_tes_in!H5/SER_hh_num_in!H5)</f>
        <v>176623.28046598448</v>
      </c>
      <c r="I5" s="132">
        <f>IF(SER_hh_tes_in!I5=0,0,11630*1000*SER_hh_tes_in!I5/SER_hh_num_in!I5)</f>
        <v>212550.14903979324</v>
      </c>
      <c r="J5" s="132">
        <f>IF(SER_hh_tes_in!J5=0,0,11630*1000*SER_hh_tes_in!J5/SER_hh_num_in!J5)</f>
        <v>221412.59470812118</v>
      </c>
      <c r="K5" s="132">
        <f>IF(SER_hh_tes_in!K5=0,0,11630*1000*SER_hh_tes_in!K5/SER_hh_num_in!K5)</f>
        <v>392047.12511451595</v>
      </c>
      <c r="L5" s="132">
        <f>IF(SER_hh_tes_in!L5=0,0,11630*1000*SER_hh_tes_in!L5/SER_hh_num_in!L5)</f>
        <v>209229.56073233366</v>
      </c>
      <c r="M5" s="132">
        <f>IF(SER_hh_tes_in!M5=0,0,11630*1000*SER_hh_tes_in!M5/SER_hh_num_in!M5)</f>
        <v>236031.19756393897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80657.694049404105</v>
      </c>
      <c r="T5" s="132">
        <f>IF(SER_hh_tes_in!T5=0,0,11630*1000*SER_hh_tes_in!T5/SER_hh_num_in!T5)</f>
        <v>79919.595545607503</v>
      </c>
      <c r="U5" s="132">
        <f>IF(SER_hh_tes_in!U5=0,0,11630*1000*SER_hh_tes_in!U5/SER_hh_num_in!U5)</f>
        <v>104986.93345536219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33969.969943415221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418387.66960406426</v>
      </c>
      <c r="D7" s="132">
        <f>IF(SER_hh_tes_in!D7=0,0,11630*1000*SER_hh_tes_in!D7/SER_hh_num_in!D7)</f>
        <v>0</v>
      </c>
      <c r="E7" s="132">
        <f>IF(SER_hh_tes_in!E7=0,0,11630*1000*SER_hh_tes_in!E7/SER_hh_num_in!E7)</f>
        <v>106160.40628590404</v>
      </c>
      <c r="F7" s="132">
        <f>IF(SER_hh_tes_in!F7=0,0,11630*1000*SER_hh_tes_in!F7/SER_hh_num_in!F7)</f>
        <v>277629.50692695339</v>
      </c>
      <c r="G7" s="132">
        <f>IF(SER_hh_tes_in!G7=0,0,11630*1000*SER_hh_tes_in!G7/SER_hh_num_in!G7)</f>
        <v>323567.49673881329</v>
      </c>
      <c r="H7" s="132">
        <f>IF(SER_hh_tes_in!H7=0,0,11630*1000*SER_hh_tes_in!H7/SER_hh_num_in!H7)</f>
        <v>0</v>
      </c>
      <c r="I7" s="132">
        <f>IF(SER_hh_tes_in!I7=0,0,11630*1000*SER_hh_tes_in!I7/SER_hh_num_in!I7)</f>
        <v>0</v>
      </c>
      <c r="J7" s="132">
        <f>IF(SER_hh_tes_in!J7=0,0,11630*1000*SER_hh_tes_in!J7/SER_hh_num_in!J7)</f>
        <v>0</v>
      </c>
      <c r="K7" s="132">
        <f>IF(SER_hh_tes_in!K7=0,0,11630*1000*SER_hh_tes_in!K7/SER_hh_num_in!K7)</f>
        <v>0</v>
      </c>
      <c r="L7" s="132">
        <f>IF(SER_hh_tes_in!L7=0,0,11630*1000*SER_hh_tes_in!L7/SER_hh_num_in!L7)</f>
        <v>0</v>
      </c>
      <c r="M7" s="132">
        <f>IF(SER_hh_tes_in!M7=0,0,11630*1000*SER_hh_tes_in!M7/SER_hh_num_in!M7)</f>
        <v>0</v>
      </c>
      <c r="N7" s="132">
        <f>IF(SER_hh_tes_in!N7=0,0,11630*1000*SER_hh_tes_in!N7/SER_hh_num_in!N7)</f>
        <v>0</v>
      </c>
      <c r="O7" s="132">
        <f>IF(SER_hh_tes_in!O7=0,0,11630*1000*SER_hh_tes_in!O7/SER_hh_num_in!O7)</f>
        <v>55101.999932781502</v>
      </c>
      <c r="P7" s="132">
        <f>IF(SER_hh_tes_in!P7=0,0,11630*1000*SER_hh_tes_in!P7/SER_hh_num_in!P7)</f>
        <v>137573.12990624117</v>
      </c>
      <c r="Q7" s="132">
        <f>IF(SER_hh_tes_in!Q7=0,0,11630*1000*SER_hh_tes_in!Q7/SER_hh_num_in!Q7)</f>
        <v>134150.23359002033</v>
      </c>
      <c r="R7" s="132">
        <f>IF(SER_hh_tes_in!R7=0,0,11630*1000*SER_hh_tes_in!R7/SER_hh_num_in!R7)</f>
        <v>0</v>
      </c>
      <c r="S7" s="132">
        <f>IF(SER_hh_tes_in!S7=0,0,11630*1000*SER_hh_tes_in!S7/SER_hh_num_in!S7)</f>
        <v>0</v>
      </c>
      <c r="T7" s="132">
        <f>IF(SER_hh_tes_in!T7=0,0,11630*1000*SER_hh_tes_in!T7/SER_hh_num_in!T7)</f>
        <v>0</v>
      </c>
      <c r="U7" s="132">
        <f>IF(SER_hh_tes_in!U7=0,0,11630*1000*SER_hh_tes_in!U7/SER_hh_num_in!U7)</f>
        <v>0</v>
      </c>
      <c r="V7" s="132">
        <f>IF(SER_hh_tes_in!V7=0,0,11630*1000*SER_hh_tes_in!V7/SER_hh_num_in!V7)</f>
        <v>0</v>
      </c>
      <c r="W7" s="132">
        <f>IF(SER_hh_tes_in!W7=0,0,11630*1000*SER_hh_tes_in!W7/SER_hh_num_in!W7)</f>
        <v>0</v>
      </c>
      <c r="X7" s="132">
        <f>IF(SER_hh_tes_in!X7=0,0,11630*1000*SER_hh_tes_in!X7/SER_hh_num_in!X7)</f>
        <v>0</v>
      </c>
      <c r="Y7" s="132">
        <f>IF(SER_hh_tes_in!Y7=0,0,11630*1000*SER_hh_tes_in!Y7/SER_hh_num_in!Y7)</f>
        <v>0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284157.4941418246</v>
      </c>
      <c r="D8" s="132">
        <f>IF(SER_hh_tes_in!D8=0,0,11630*1000*SER_hh_tes_in!D8/SER_hh_num_in!D8)</f>
        <v>221512.36931231426</v>
      </c>
      <c r="E8" s="132">
        <f>IF(SER_hh_tes_in!E8=0,0,11630*1000*SER_hh_tes_in!E8/SER_hh_num_in!E8)</f>
        <v>229205.62049313792</v>
      </c>
      <c r="F8" s="132">
        <f>IF(SER_hh_tes_in!F8=0,0,11630*1000*SER_hh_tes_in!F8/SER_hh_num_in!F8)</f>
        <v>244666.37751900428</v>
      </c>
      <c r="G8" s="132">
        <f>IF(SER_hh_tes_in!G8=0,0,11630*1000*SER_hh_tes_in!G8/SER_hh_num_in!G8)</f>
        <v>250623.57971637027</v>
      </c>
      <c r="H8" s="132">
        <f>IF(SER_hh_tes_in!H8=0,0,11630*1000*SER_hh_tes_in!H8/SER_hh_num_in!H8)</f>
        <v>259899.72675077402</v>
      </c>
      <c r="I8" s="132">
        <f>IF(SER_hh_tes_in!I8=0,0,11630*1000*SER_hh_tes_in!I8/SER_hh_num_in!I8)</f>
        <v>246281.90171279566</v>
      </c>
      <c r="J8" s="132">
        <f>IF(SER_hh_tes_in!J8=0,0,11630*1000*SER_hh_tes_in!J8/SER_hh_num_in!J8)</f>
        <v>231971.72271136291</v>
      </c>
      <c r="K8" s="132">
        <f>IF(SER_hh_tes_in!K8=0,0,11630*1000*SER_hh_tes_in!K8/SER_hh_num_in!K8)</f>
        <v>218797.22729633481</v>
      </c>
      <c r="L8" s="132">
        <f>IF(SER_hh_tes_in!L8=0,0,11630*1000*SER_hh_tes_in!L8/SER_hh_num_in!L8)</f>
        <v>191940.02351484887</v>
      </c>
      <c r="M8" s="132">
        <f>IF(SER_hh_tes_in!M8=0,0,11630*1000*SER_hh_tes_in!M8/SER_hh_num_in!M8)</f>
        <v>176881.84472123205</v>
      </c>
      <c r="N8" s="132">
        <f>IF(SER_hh_tes_in!N8=0,0,11630*1000*SER_hh_tes_in!N8/SER_hh_num_in!N8)</f>
        <v>131962.13291083401</v>
      </c>
      <c r="O8" s="132">
        <f>IF(SER_hh_tes_in!O8=0,0,11630*1000*SER_hh_tes_in!O8/SER_hh_num_in!O8)</f>
        <v>138511.79795591929</v>
      </c>
      <c r="P8" s="132">
        <f>IF(SER_hh_tes_in!P8=0,0,11630*1000*SER_hh_tes_in!P8/SER_hh_num_in!P8)</f>
        <v>114991.68603707793</v>
      </c>
      <c r="Q8" s="132">
        <f>IF(SER_hh_tes_in!Q8=0,0,11630*1000*SER_hh_tes_in!Q8/SER_hh_num_in!Q8)</f>
        <v>115498.99783038712</v>
      </c>
      <c r="R8" s="132">
        <f>IF(SER_hh_tes_in!R8=0,0,11630*1000*SER_hh_tes_in!R8/SER_hh_num_in!R8)</f>
        <v>97449.748252945967</v>
      </c>
      <c r="S8" s="132">
        <f>IF(SER_hh_tes_in!S8=0,0,11630*1000*SER_hh_tes_in!S8/SER_hh_num_in!S8)</f>
        <v>91665.866112801101</v>
      </c>
      <c r="T8" s="132">
        <f>IF(SER_hh_tes_in!T8=0,0,11630*1000*SER_hh_tes_in!T8/SER_hh_num_in!T8)</f>
        <v>80186.756561341841</v>
      </c>
      <c r="U8" s="132">
        <f>IF(SER_hh_tes_in!U8=0,0,11630*1000*SER_hh_tes_in!U8/SER_hh_num_in!U8)</f>
        <v>62441.924804099239</v>
      </c>
      <c r="V8" s="132">
        <f>IF(SER_hh_tes_in!V8=0,0,11630*1000*SER_hh_tes_in!V8/SER_hh_num_in!V8)</f>
        <v>61485.301286269052</v>
      </c>
      <c r="W8" s="132">
        <f>IF(SER_hh_tes_in!W8=0,0,11630*1000*SER_hh_tes_in!W8/SER_hh_num_in!W8)</f>
        <v>49312.877365354114</v>
      </c>
      <c r="X8" s="132">
        <f>IF(SER_hh_tes_in!X8=0,0,11630*1000*SER_hh_tes_in!X8/SER_hh_num_in!X8)</f>
        <v>39308.695314269346</v>
      </c>
      <c r="Y8" s="132">
        <f>IF(SER_hh_tes_in!Y8=0,0,11630*1000*SER_hh_tes_in!Y8/SER_hh_num_in!Y8)</f>
        <v>40013.671314313789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0</v>
      </c>
      <c r="D9" s="132">
        <f>IF(SER_hh_tes_in!D9=0,0,11630*1000*SER_hh_tes_in!D9/SER_hh_num_in!D9)</f>
        <v>0</v>
      </c>
      <c r="E9" s="132">
        <f>IF(SER_hh_tes_in!E9=0,0,11630*1000*SER_hh_tes_in!E9/SER_hh_num_in!E9)</f>
        <v>211633.83254732721</v>
      </c>
      <c r="F9" s="132">
        <f>IF(SER_hh_tes_in!F9=0,0,11630*1000*SER_hh_tes_in!F9/SER_hh_num_in!F9)</f>
        <v>125308.40242753021</v>
      </c>
      <c r="G9" s="132">
        <f>IF(SER_hh_tes_in!G9=0,0,11630*1000*SER_hh_tes_in!G9/SER_hh_num_in!G9)</f>
        <v>306900.77006943536</v>
      </c>
      <c r="H9" s="132">
        <f>IF(SER_hh_tes_in!H9=0,0,11630*1000*SER_hh_tes_in!H9/SER_hh_num_in!H9)</f>
        <v>286414.52244625048</v>
      </c>
      <c r="I9" s="132">
        <f>IF(SER_hh_tes_in!I9=0,0,11630*1000*SER_hh_tes_in!I9/SER_hh_num_in!I9)</f>
        <v>246972.97912518468</v>
      </c>
      <c r="J9" s="132">
        <f>IF(SER_hh_tes_in!J9=0,0,11630*1000*SER_hh_tes_in!J9/SER_hh_num_in!J9)</f>
        <v>253193.5335233364</v>
      </c>
      <c r="K9" s="132">
        <f>IF(SER_hh_tes_in!K9=0,0,11630*1000*SER_hh_tes_in!K9/SER_hh_num_in!K9)</f>
        <v>0</v>
      </c>
      <c r="L9" s="132">
        <f>IF(SER_hh_tes_in!L9=0,0,11630*1000*SER_hh_tes_in!L9/SER_hh_num_in!L9)</f>
        <v>278374.68182221067</v>
      </c>
      <c r="M9" s="132">
        <f>IF(SER_hh_tes_in!M9=0,0,11630*1000*SER_hh_tes_in!M9/SER_hh_num_in!M9)</f>
        <v>102814.1917248325</v>
      </c>
      <c r="N9" s="132">
        <f>IF(SER_hh_tes_in!N9=0,0,11630*1000*SER_hh_tes_in!N9/SER_hh_num_in!N9)</f>
        <v>165024.40406517792</v>
      </c>
      <c r="O9" s="132">
        <f>IF(SER_hh_tes_in!O9=0,0,11630*1000*SER_hh_tes_in!O9/SER_hh_num_in!O9)</f>
        <v>184502.70317485792</v>
      </c>
      <c r="P9" s="132">
        <f>IF(SER_hh_tes_in!P9=0,0,11630*1000*SER_hh_tes_in!P9/SER_hh_num_in!P9)</f>
        <v>99189.464627913898</v>
      </c>
      <c r="Q9" s="132">
        <f>IF(SER_hh_tes_in!Q9=0,0,11630*1000*SER_hh_tes_in!Q9/SER_hh_num_in!Q9)</f>
        <v>104233.93896761718</v>
      </c>
      <c r="R9" s="132">
        <f>IF(SER_hh_tes_in!R9=0,0,11630*1000*SER_hh_tes_in!R9/SER_hh_num_in!R9)</f>
        <v>96588.254950515256</v>
      </c>
      <c r="S9" s="132">
        <f>IF(SER_hh_tes_in!S9=0,0,11630*1000*SER_hh_tes_in!S9/SER_hh_num_in!S9)</f>
        <v>102271.61867394374</v>
      </c>
      <c r="T9" s="132">
        <f>IF(SER_hh_tes_in!T9=0,0,11630*1000*SER_hh_tes_in!T9/SER_hh_num_in!T9)</f>
        <v>82711.036544263043</v>
      </c>
      <c r="U9" s="132">
        <f>IF(SER_hh_tes_in!U9=0,0,11630*1000*SER_hh_tes_in!U9/SER_hh_num_in!U9)</f>
        <v>61021.961422478642</v>
      </c>
      <c r="V9" s="132">
        <f>IF(SER_hh_tes_in!V9=0,0,11630*1000*SER_hh_tes_in!V9/SER_hh_num_in!V9)</f>
        <v>50441.492740331792</v>
      </c>
      <c r="W9" s="132">
        <f>IF(SER_hh_tes_in!W9=0,0,11630*1000*SER_hh_tes_in!W9/SER_hh_num_in!W9)</f>
        <v>57056.025058691077</v>
      </c>
      <c r="X9" s="132">
        <f>IF(SER_hh_tes_in!X9=0,0,11630*1000*SER_hh_tes_in!X9/SER_hh_num_in!X9)</f>
        <v>42517.98681648729</v>
      </c>
      <c r="Y9" s="132">
        <f>IF(SER_hh_tes_in!Y9=0,0,11630*1000*SER_hh_tes_in!Y9/SER_hh_num_in!Y9)</f>
        <v>34253.566179377587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0</v>
      </c>
      <c r="D10" s="132">
        <f>IF(SER_hh_tes_in!D10=0,0,11630*1000*SER_hh_tes_in!D10/SER_hh_num_in!D10)</f>
        <v>0</v>
      </c>
      <c r="E10" s="132">
        <f>IF(SER_hh_tes_in!E10=0,0,11630*1000*SER_hh_tes_in!E10/SER_hh_num_in!E10)</f>
        <v>0</v>
      </c>
      <c r="F10" s="132">
        <f>IF(SER_hh_tes_in!F10=0,0,11630*1000*SER_hh_tes_in!F10/SER_hh_num_in!F10)</f>
        <v>0</v>
      </c>
      <c r="G10" s="132">
        <f>IF(SER_hh_tes_in!G10=0,0,11630*1000*SER_hh_tes_in!G10/SER_hh_num_in!G10)</f>
        <v>0</v>
      </c>
      <c r="H10" s="132">
        <f>IF(SER_hh_tes_in!H10=0,0,11630*1000*SER_hh_tes_in!H10/SER_hh_num_in!H10)</f>
        <v>90018.417764788464</v>
      </c>
      <c r="I10" s="132">
        <f>IF(SER_hh_tes_in!I10=0,0,11630*1000*SER_hh_tes_in!I10/SER_hh_num_in!I10)</f>
        <v>39426.317520014629</v>
      </c>
      <c r="J10" s="132">
        <f>IF(SER_hh_tes_in!J10=0,0,11630*1000*SER_hh_tes_in!J10/SER_hh_num_in!J10)</f>
        <v>296455.17331215262</v>
      </c>
      <c r="K10" s="132">
        <f>IF(SER_hh_tes_in!K10=0,0,11630*1000*SER_hh_tes_in!K10/SER_hh_num_in!K10)</f>
        <v>299617.41546553554</v>
      </c>
      <c r="L10" s="132">
        <f>IF(SER_hh_tes_in!L10=0,0,11630*1000*SER_hh_tes_in!L10/SER_hh_num_in!L10)</f>
        <v>265649.09115619905</v>
      </c>
      <c r="M10" s="132">
        <f>IF(SER_hh_tes_in!M10=0,0,11630*1000*SER_hh_tes_in!M10/SER_hh_num_in!M10)</f>
        <v>132994.15621466501</v>
      </c>
      <c r="N10" s="132">
        <f>IF(SER_hh_tes_in!N10=0,0,11630*1000*SER_hh_tes_in!N10/SER_hh_num_in!N10)</f>
        <v>148655.09992178521</v>
      </c>
      <c r="O10" s="132">
        <f>IF(SER_hh_tes_in!O10=0,0,11630*1000*SER_hh_tes_in!O10/SER_hh_num_in!O10)</f>
        <v>77462.439917915253</v>
      </c>
      <c r="P10" s="132">
        <f>IF(SER_hh_tes_in!P10=0,0,11630*1000*SER_hh_tes_in!P10/SER_hh_num_in!P10)</f>
        <v>185668.24227376204</v>
      </c>
      <c r="Q10" s="132">
        <f>IF(SER_hh_tes_in!Q10=0,0,11630*1000*SER_hh_tes_in!Q10/SER_hh_num_in!Q10)</f>
        <v>101177.35908823778</v>
      </c>
      <c r="R10" s="132">
        <f>IF(SER_hh_tes_in!R10=0,0,11630*1000*SER_hh_tes_in!R10/SER_hh_num_in!R10)</f>
        <v>34329.86122182641</v>
      </c>
      <c r="S10" s="132">
        <f>IF(SER_hh_tes_in!S10=0,0,11630*1000*SER_hh_tes_in!S10/SER_hh_num_in!S10)</f>
        <v>106582.29994911564</v>
      </c>
      <c r="T10" s="132">
        <f>IF(SER_hh_tes_in!T10=0,0,11630*1000*SER_hh_tes_in!T10/SER_hh_num_in!T10)</f>
        <v>82440.162142943358</v>
      </c>
      <c r="U10" s="132">
        <f>IF(SER_hh_tes_in!U10=0,0,11630*1000*SER_hh_tes_in!U10/SER_hh_num_in!U10)</f>
        <v>69761.634939157753</v>
      </c>
      <c r="V10" s="132">
        <f>IF(SER_hh_tes_in!V10=0,0,11630*1000*SER_hh_tes_in!V10/SER_hh_num_in!V10)</f>
        <v>69190.957963212335</v>
      </c>
      <c r="W10" s="132">
        <f>IF(SER_hh_tes_in!W10=0,0,11630*1000*SER_hh_tes_in!W10/SER_hh_num_in!W10)</f>
        <v>55774.679793401461</v>
      </c>
      <c r="X10" s="132">
        <f>IF(SER_hh_tes_in!X10=0,0,11630*1000*SER_hh_tes_in!X10/SER_hh_num_in!X10)</f>
        <v>31205.315607830074</v>
      </c>
      <c r="Y10" s="132">
        <f>IF(SER_hh_tes_in!Y10=0,0,11630*1000*SER_hh_tes_in!Y10/SER_hh_num_in!Y10)</f>
        <v>39215.982680771296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382577.49417806446</v>
      </c>
      <c r="D11" s="132">
        <f>IF(SER_hh_tes_in!D11=0,0,11630*1000*SER_hh_tes_in!D11/SER_hh_num_in!D11)</f>
        <v>265914.67961982888</v>
      </c>
      <c r="E11" s="132">
        <f>IF(SER_hh_tes_in!E11=0,0,11630*1000*SER_hh_tes_in!E11/SER_hh_num_in!E11)</f>
        <v>232950.32799498335</v>
      </c>
      <c r="F11" s="132">
        <f>IF(SER_hh_tes_in!F11=0,0,11630*1000*SER_hh_tes_in!F11/SER_hh_num_in!F11)</f>
        <v>212894.65064532339</v>
      </c>
      <c r="G11" s="132">
        <f>IF(SER_hh_tes_in!G11=0,0,11630*1000*SER_hh_tes_in!G11/SER_hh_num_in!G11)</f>
        <v>233963.63882749196</v>
      </c>
      <c r="H11" s="132">
        <f>IF(SER_hh_tes_in!H11=0,0,11630*1000*SER_hh_tes_in!H11/SER_hh_num_in!H11)</f>
        <v>272398.74340410507</v>
      </c>
      <c r="I11" s="132">
        <f>IF(SER_hh_tes_in!I11=0,0,11630*1000*SER_hh_tes_in!I11/SER_hh_num_in!I11)</f>
        <v>249493.18108261857</v>
      </c>
      <c r="J11" s="132">
        <f>IF(SER_hh_tes_in!J11=0,0,11630*1000*SER_hh_tes_in!J11/SER_hh_num_in!J11)</f>
        <v>248148.22318047364</v>
      </c>
      <c r="K11" s="132">
        <f>IF(SER_hh_tes_in!K11=0,0,11630*1000*SER_hh_tes_in!K11/SER_hh_num_in!K11)</f>
        <v>238932.35290578779</v>
      </c>
      <c r="L11" s="132">
        <f>IF(SER_hh_tes_in!L11=0,0,11630*1000*SER_hh_tes_in!L11/SER_hh_num_in!L11)</f>
        <v>237656.19446317211</v>
      </c>
      <c r="M11" s="132">
        <f>IF(SER_hh_tes_in!M11=0,0,11630*1000*SER_hh_tes_in!M11/SER_hh_num_in!M11)</f>
        <v>186642.48410301955</v>
      </c>
      <c r="N11" s="132">
        <f>IF(SER_hh_tes_in!N11=0,0,11630*1000*SER_hh_tes_in!N11/SER_hh_num_in!N11)</f>
        <v>141061.16282147402</v>
      </c>
      <c r="O11" s="132">
        <f>IF(SER_hh_tes_in!O11=0,0,11630*1000*SER_hh_tes_in!O11/SER_hh_num_in!O11)</f>
        <v>154153.00531299741</v>
      </c>
      <c r="P11" s="132">
        <f>IF(SER_hh_tes_in!P11=0,0,11630*1000*SER_hh_tes_in!P11/SER_hh_num_in!P11)</f>
        <v>100690.67084226281</v>
      </c>
      <c r="Q11" s="132">
        <f>IF(SER_hh_tes_in!Q11=0,0,11630*1000*SER_hh_tes_in!Q11/SER_hh_num_in!Q11)</f>
        <v>99398.396250088234</v>
      </c>
      <c r="R11" s="132">
        <f>IF(SER_hh_tes_in!R11=0,0,11630*1000*SER_hh_tes_in!R11/SER_hh_num_in!R11)</f>
        <v>106343.387476063</v>
      </c>
      <c r="S11" s="132">
        <f>IF(SER_hh_tes_in!S11=0,0,11630*1000*SER_hh_tes_in!S11/SER_hh_num_in!S11)</f>
        <v>99609.918683595883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276428.8462432574</v>
      </c>
      <c r="D12" s="132">
        <f>IF(SER_hh_tes_in!D12=0,0,11630*1000*SER_hh_tes_in!D12/SER_hh_num_in!D12)</f>
        <v>269568.2413046679</v>
      </c>
      <c r="E12" s="132">
        <f>IF(SER_hh_tes_in!E12=0,0,11630*1000*SER_hh_tes_in!E12/SER_hh_num_in!E12)</f>
        <v>195885.71208113711</v>
      </c>
      <c r="F12" s="132">
        <f>IF(SER_hh_tes_in!F12=0,0,11630*1000*SER_hh_tes_in!F12/SER_hh_num_in!F12)</f>
        <v>290085.97606952081</v>
      </c>
      <c r="G12" s="132">
        <f>IF(SER_hh_tes_in!G12=0,0,11630*1000*SER_hh_tes_in!G12/SER_hh_num_in!G12)</f>
        <v>252553.69275508379</v>
      </c>
      <c r="H12" s="132">
        <f>IF(SER_hh_tes_in!H12=0,0,11630*1000*SER_hh_tes_in!H12/SER_hh_num_in!H12)</f>
        <v>0</v>
      </c>
      <c r="I12" s="132">
        <f>IF(SER_hh_tes_in!I12=0,0,11630*1000*SER_hh_tes_in!I12/SER_hh_num_in!I12)</f>
        <v>0</v>
      </c>
      <c r="J12" s="132">
        <f>IF(SER_hh_tes_in!J12=0,0,11630*1000*SER_hh_tes_in!J12/SER_hh_num_in!J12)</f>
        <v>228180.24307595511</v>
      </c>
      <c r="K12" s="132">
        <f>IF(SER_hh_tes_in!K12=0,0,11630*1000*SER_hh_tes_in!K12/SER_hh_num_in!K12)</f>
        <v>241968.74023333838</v>
      </c>
      <c r="L12" s="132">
        <f>IF(SER_hh_tes_in!L12=0,0,11630*1000*SER_hh_tes_in!L12/SER_hh_num_in!L12)</f>
        <v>260352.92204171646</v>
      </c>
      <c r="M12" s="132">
        <f>IF(SER_hh_tes_in!M12=0,0,11630*1000*SER_hh_tes_in!M12/SER_hh_num_in!M12)</f>
        <v>206916.72169075327</v>
      </c>
      <c r="N12" s="132">
        <f>IF(SER_hh_tes_in!N12=0,0,11630*1000*SER_hh_tes_in!N12/SER_hh_num_in!N12)</f>
        <v>0</v>
      </c>
      <c r="O12" s="132">
        <f>IF(SER_hh_tes_in!O12=0,0,11630*1000*SER_hh_tes_in!O12/SER_hh_num_in!O12)</f>
        <v>0</v>
      </c>
      <c r="P12" s="132">
        <f>IF(SER_hh_tes_in!P12=0,0,11630*1000*SER_hh_tes_in!P12/SER_hh_num_in!P12)</f>
        <v>0</v>
      </c>
      <c r="Q12" s="132">
        <f>IF(SER_hh_tes_in!Q12=0,0,11630*1000*SER_hh_tes_in!Q12/SER_hh_num_in!Q12)</f>
        <v>0</v>
      </c>
      <c r="R12" s="132">
        <f>IF(SER_hh_tes_in!R12=0,0,11630*1000*SER_hh_tes_in!R12/SER_hh_num_in!R12)</f>
        <v>121836.43602202085</v>
      </c>
      <c r="S12" s="132">
        <f>IF(SER_hh_tes_in!S12=0,0,11630*1000*SER_hh_tes_in!S12/SER_hh_num_in!S12)</f>
        <v>98712.649697417393</v>
      </c>
      <c r="T12" s="132">
        <f>IF(SER_hh_tes_in!T12=0,0,11630*1000*SER_hh_tes_in!T12/SER_hh_num_in!T12)</f>
        <v>82314.13602653495</v>
      </c>
      <c r="U12" s="132">
        <f>IF(SER_hh_tes_in!U12=0,0,11630*1000*SER_hh_tes_in!U12/SER_hh_num_in!U12)</f>
        <v>66031.5346516102</v>
      </c>
      <c r="V12" s="132">
        <f>IF(SER_hh_tes_in!V12=0,0,11630*1000*SER_hh_tes_in!V12/SER_hh_num_in!V12)</f>
        <v>54029.484680737514</v>
      </c>
      <c r="W12" s="132">
        <f>IF(SER_hh_tes_in!W12=0,0,11630*1000*SER_hh_tes_in!W12/SER_hh_num_in!W12)</f>
        <v>51313.689503934285</v>
      </c>
      <c r="X12" s="132">
        <f>IF(SER_hh_tes_in!X12=0,0,11630*1000*SER_hh_tes_in!X12/SER_hh_num_in!X12)</f>
        <v>44153.400066838782</v>
      </c>
      <c r="Y12" s="132">
        <f>IF(SER_hh_tes_in!Y12=0,0,11630*1000*SER_hh_tes_in!Y12/SER_hh_num_in!Y12)</f>
        <v>37630.501225344364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292280.79798208026</v>
      </c>
      <c r="D13" s="132">
        <f>IF(SER_hh_tes_in!D13=0,0,11630*1000*SER_hh_tes_in!D13/SER_hh_num_in!D13)</f>
        <v>255852.68254596615</v>
      </c>
      <c r="E13" s="132">
        <f>IF(SER_hh_tes_in!E13=0,0,11630*1000*SER_hh_tes_in!E13/SER_hh_num_in!E13)</f>
        <v>208232.6485325626</v>
      </c>
      <c r="F13" s="132">
        <f>IF(SER_hh_tes_in!F13=0,0,11630*1000*SER_hh_tes_in!F13/SER_hh_num_in!F13)</f>
        <v>260226.80582002483</v>
      </c>
      <c r="G13" s="132">
        <f>IF(SER_hh_tes_in!G13=0,0,11630*1000*SER_hh_tes_in!G13/SER_hh_num_in!G13)</f>
        <v>241546.86282926166</v>
      </c>
      <c r="H13" s="132">
        <f>IF(SER_hh_tes_in!H13=0,0,11630*1000*SER_hh_tes_in!H13/SER_hh_num_in!H13)</f>
        <v>221650.03614747891</v>
      </c>
      <c r="I13" s="132">
        <f>IF(SER_hh_tes_in!I13=0,0,11630*1000*SER_hh_tes_in!I13/SER_hh_num_in!I13)</f>
        <v>252300.05667061609</v>
      </c>
      <c r="J13" s="132">
        <f>IF(SER_hh_tes_in!J13=0,0,11630*1000*SER_hh_tes_in!J13/SER_hh_num_in!J13)</f>
        <v>210571.2877968653</v>
      </c>
      <c r="K13" s="132">
        <f>IF(SER_hh_tes_in!K13=0,0,11630*1000*SER_hh_tes_in!K13/SER_hh_num_in!K13)</f>
        <v>195825.46587412918</v>
      </c>
      <c r="L13" s="132">
        <f>IF(SER_hh_tes_in!L13=0,0,11630*1000*SER_hh_tes_in!L13/SER_hh_num_in!L13)</f>
        <v>180579.53548242655</v>
      </c>
      <c r="M13" s="132">
        <f>IF(SER_hh_tes_in!M13=0,0,11630*1000*SER_hh_tes_in!M13/SER_hh_num_in!M13)</f>
        <v>187864.13681643008</v>
      </c>
      <c r="N13" s="132">
        <f>IF(SER_hh_tes_in!N13=0,0,11630*1000*SER_hh_tes_in!N13/SER_hh_num_in!N13)</f>
        <v>157386.04693065581</v>
      </c>
      <c r="O13" s="132">
        <f>IF(SER_hh_tes_in!O13=0,0,11630*1000*SER_hh_tes_in!O13/SER_hh_num_in!O13)</f>
        <v>118663.68126389761</v>
      </c>
      <c r="P13" s="132">
        <f>IF(SER_hh_tes_in!P13=0,0,11630*1000*SER_hh_tes_in!P13/SER_hh_num_in!P13)</f>
        <v>87732.741648909767</v>
      </c>
      <c r="Q13" s="132">
        <f>IF(SER_hh_tes_in!Q13=0,0,11630*1000*SER_hh_tes_in!Q13/SER_hh_num_in!Q13)</f>
        <v>126057.49804402779</v>
      </c>
      <c r="R13" s="132">
        <f>IF(SER_hh_tes_in!R13=0,0,11630*1000*SER_hh_tes_in!R13/SER_hh_num_in!R13)</f>
        <v>105413.8436871353</v>
      </c>
      <c r="S13" s="132">
        <f>IF(SER_hh_tes_in!S13=0,0,11630*1000*SER_hh_tes_in!S13/SER_hh_num_in!S13)</f>
        <v>96580.545891895003</v>
      </c>
      <c r="T13" s="132">
        <f>IF(SER_hh_tes_in!T13=0,0,11630*1000*SER_hh_tes_in!T13/SER_hh_num_in!T13)</f>
        <v>82907.131851578262</v>
      </c>
      <c r="U13" s="132">
        <f>IF(SER_hh_tes_in!U13=0,0,11630*1000*SER_hh_tes_in!U13/SER_hh_num_in!U13)</f>
        <v>63463.110919754537</v>
      </c>
      <c r="V13" s="132">
        <f>IF(SER_hh_tes_in!V13=0,0,11630*1000*SER_hh_tes_in!V13/SER_hh_num_in!V13)</f>
        <v>60857.157614970907</v>
      </c>
      <c r="W13" s="132">
        <f>IF(SER_hh_tes_in!W13=0,0,11630*1000*SER_hh_tes_in!W13/SER_hh_num_in!W13)</f>
        <v>48468.175647878823</v>
      </c>
      <c r="X13" s="132">
        <f>IF(SER_hh_tes_in!X13=0,0,11630*1000*SER_hh_tes_in!X13/SER_hh_num_in!X13)</f>
        <v>41299.48237531523</v>
      </c>
      <c r="Y13" s="132">
        <f>IF(SER_hh_tes_in!Y13=0,0,11630*1000*SER_hh_tes_in!Y13/SER_hh_num_in!Y13)</f>
        <v>39512.597170867164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339290.33588379517</v>
      </c>
      <c r="D14" s="65">
        <f>IF(SER_hh_tes_in!D14=0,0,11630*1000*SER_hh_tes_in!D14/SER_hh_num_in!D14)</f>
        <v>291651.85194655735</v>
      </c>
      <c r="E14" s="65">
        <f>IF(SER_hh_tes_in!E14=0,0,11630*1000*SER_hh_tes_in!E14/SER_hh_num_in!E14)</f>
        <v>210244.41733072471</v>
      </c>
      <c r="F14" s="65">
        <f>IF(SER_hh_tes_in!F14=0,0,11630*1000*SER_hh_tes_in!F14/SER_hh_num_in!F14)</f>
        <v>0</v>
      </c>
      <c r="G14" s="65">
        <f>IF(SER_hh_tes_in!G14=0,0,11630*1000*SER_hh_tes_in!G14/SER_hh_num_in!G14)</f>
        <v>0</v>
      </c>
      <c r="H14" s="65">
        <f>IF(SER_hh_tes_in!H14=0,0,11630*1000*SER_hh_tes_in!H14/SER_hh_num_in!H14)</f>
        <v>0</v>
      </c>
      <c r="I14" s="65">
        <f>IF(SER_hh_tes_in!I14=0,0,11630*1000*SER_hh_tes_in!I14/SER_hh_num_in!I14)</f>
        <v>0</v>
      </c>
      <c r="J14" s="65">
        <f>IF(SER_hh_tes_in!J14=0,0,11630*1000*SER_hh_tes_in!J14/SER_hh_num_in!J14)</f>
        <v>225196.62613766687</v>
      </c>
      <c r="K14" s="65">
        <f>IF(SER_hh_tes_in!K14=0,0,11630*1000*SER_hh_tes_in!K14/SER_hh_num_in!K14)</f>
        <v>218718.19978644658</v>
      </c>
      <c r="L14" s="65">
        <f>IF(SER_hh_tes_in!L14=0,0,11630*1000*SER_hh_tes_in!L14/SER_hh_num_in!L14)</f>
        <v>250795.75787011359</v>
      </c>
      <c r="M14" s="65">
        <f>IF(SER_hh_tes_in!M14=0,0,11630*1000*SER_hh_tes_in!M14/SER_hh_num_in!M14)</f>
        <v>227864.29755453407</v>
      </c>
      <c r="N14" s="65">
        <f>IF(SER_hh_tes_in!N14=0,0,11630*1000*SER_hh_tes_in!N14/SER_hh_num_in!N14)</f>
        <v>121662.73846113768</v>
      </c>
      <c r="O14" s="65">
        <f>IF(SER_hh_tes_in!O14=0,0,11630*1000*SER_hh_tes_in!O14/SER_hh_num_in!O14)</f>
        <v>172026.86643609242</v>
      </c>
      <c r="P14" s="65">
        <f>IF(SER_hh_tes_in!P14=0,0,11630*1000*SER_hh_tes_in!P14/SER_hh_num_in!P14)</f>
        <v>92004.029197056865</v>
      </c>
      <c r="Q14" s="65">
        <f>IF(SER_hh_tes_in!Q14=0,0,11630*1000*SER_hh_tes_in!Q14/SER_hh_num_in!Q14)</f>
        <v>104422.64331496401</v>
      </c>
      <c r="R14" s="65">
        <f>IF(SER_hh_tes_in!R14=0,0,11630*1000*SER_hh_tes_in!R14/SER_hh_num_in!R14)</f>
        <v>99604.212673986709</v>
      </c>
      <c r="S14" s="65">
        <f>IF(SER_hh_tes_in!S14=0,0,11630*1000*SER_hh_tes_in!S14/SER_hh_num_in!S14)</f>
        <v>110992.69327123018</v>
      </c>
      <c r="T14" s="65">
        <f>IF(SER_hh_tes_in!T14=0,0,11630*1000*SER_hh_tes_in!T14/SER_hh_num_in!T14)</f>
        <v>86137.175935853578</v>
      </c>
      <c r="U14" s="65">
        <f>IF(SER_hh_tes_in!U14=0,0,11630*1000*SER_hh_tes_in!U14/SER_hh_num_in!U14)</f>
        <v>0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0</v>
      </c>
      <c r="X14" s="65">
        <f>IF(SER_hh_tes_in!X14=0,0,11630*1000*SER_hh_tes_in!X14/SER_hh_num_in!X14)</f>
        <v>0</v>
      </c>
      <c r="Y14" s="65">
        <f>IF(SER_hh_tes_in!Y14=0,0,11630*1000*SER_hh_tes_in!Y14/SER_hh_num_in!Y14)</f>
        <v>0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1574.6019534947316</v>
      </c>
      <c r="D15" s="134">
        <f>IF(SER_hh_tes_in!D15=0,0,11630*1000*SER_hh_tes_in!D15/SER_hh_num_in!D15)</f>
        <v>1395.4135262505704</v>
      </c>
      <c r="E15" s="134">
        <f>IF(SER_hh_tes_in!E15=0,0,11630*1000*SER_hh_tes_in!E15/SER_hh_num_in!E15)</f>
        <v>1071.0935845268425</v>
      </c>
      <c r="F15" s="134">
        <f>IF(SER_hh_tes_in!F15=0,0,11630*1000*SER_hh_tes_in!F15/SER_hh_num_in!F15)</f>
        <v>2049.9369934187816</v>
      </c>
      <c r="G15" s="134">
        <f>IF(SER_hh_tes_in!G15=0,0,11630*1000*SER_hh_tes_in!G15/SER_hh_num_in!G15)</f>
        <v>5239.5627247966331</v>
      </c>
      <c r="H15" s="134">
        <f>IF(SER_hh_tes_in!H15=0,0,11630*1000*SER_hh_tes_in!H15/SER_hh_num_in!H15)</f>
        <v>4776.8914774405184</v>
      </c>
      <c r="I15" s="134">
        <f>IF(SER_hh_tes_in!I15=0,0,11630*1000*SER_hh_tes_in!I15/SER_hh_num_in!I15)</f>
        <v>3095.5053212673288</v>
      </c>
      <c r="J15" s="134">
        <f>IF(SER_hh_tes_in!J15=0,0,11630*1000*SER_hh_tes_in!J15/SER_hh_num_in!J15)</f>
        <v>1976.7634331186716</v>
      </c>
      <c r="K15" s="134">
        <f>IF(SER_hh_tes_in!K15=0,0,11630*1000*SER_hh_tes_in!K15/SER_hh_num_in!K15)</f>
        <v>2668.4095731140123</v>
      </c>
      <c r="L15" s="134">
        <f>IF(SER_hh_tes_in!L15=0,0,11630*1000*SER_hh_tes_in!L15/SER_hh_num_in!L15)</f>
        <v>1781.3537774284327</v>
      </c>
      <c r="M15" s="134">
        <f>IF(SER_hh_tes_in!M15=0,0,11630*1000*SER_hh_tes_in!M15/SER_hh_num_in!M15)</f>
        <v>1552.4994628840325</v>
      </c>
      <c r="N15" s="134">
        <f>IF(SER_hh_tes_in!N15=0,0,11630*1000*SER_hh_tes_in!N15/SER_hh_num_in!N15)</f>
        <v>2712.5442600642664</v>
      </c>
      <c r="O15" s="134">
        <f>IF(SER_hh_tes_in!O15=0,0,11630*1000*SER_hh_tes_in!O15/SER_hh_num_in!O15)</f>
        <v>2807.0052085174884</v>
      </c>
      <c r="P15" s="134">
        <f>IF(SER_hh_tes_in!P15=0,0,11630*1000*SER_hh_tes_in!P15/SER_hh_num_in!P15)</f>
        <v>1653.5843066486811</v>
      </c>
      <c r="Q15" s="134">
        <f>IF(SER_hh_tes_in!Q15=0,0,11630*1000*SER_hh_tes_in!Q15/SER_hh_num_in!Q15)</f>
        <v>1625.52892540878</v>
      </c>
      <c r="R15" s="134">
        <f>IF(SER_hh_tes_in!R15=0,0,11630*1000*SER_hh_tes_in!R15/SER_hh_num_in!R15)</f>
        <v>1316.8652350716143</v>
      </c>
      <c r="S15" s="134">
        <f>IF(SER_hh_tes_in!S15=0,0,11630*1000*SER_hh_tes_in!S15/SER_hh_num_in!S15)</f>
        <v>1029.6828569620748</v>
      </c>
      <c r="T15" s="134">
        <f>IF(SER_hh_tes_in!T15=0,0,11630*1000*SER_hh_tes_in!T15/SER_hh_num_in!T15)</f>
        <v>831.28877441904785</v>
      </c>
      <c r="U15" s="134">
        <f>IF(SER_hh_tes_in!U15=0,0,11630*1000*SER_hh_tes_in!U15/SER_hh_num_in!U15)</f>
        <v>782.81515639104327</v>
      </c>
      <c r="V15" s="134">
        <f>IF(SER_hh_tes_in!V15=0,0,11630*1000*SER_hh_tes_in!V15/SER_hh_num_in!V15)</f>
        <v>631.69422632197063</v>
      </c>
      <c r="W15" s="134">
        <f>IF(SER_hh_tes_in!W15=0,0,11630*1000*SER_hh_tes_in!W15/SER_hh_num_in!W15)</f>
        <v>719.24747292857205</v>
      </c>
      <c r="X15" s="134">
        <f>IF(SER_hh_tes_in!X15=0,0,11630*1000*SER_hh_tes_in!X15/SER_hh_num_in!X15)</f>
        <v>487.41549182320426</v>
      </c>
      <c r="Y15" s="134">
        <f>IF(SER_hh_tes_in!Y15=0,0,11630*1000*SER_hh_tes_in!Y15/SER_hh_num_in!Y15)</f>
        <v>349.82541768156273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26782.148603583089</v>
      </c>
      <c r="D16" s="130">
        <f>IF(SER_hh_tes_in!D16=0,0,11630*1000*SER_hh_tes_in!D16/SER_hh_num_in!D16)</f>
        <v>27090.219080578976</v>
      </c>
      <c r="E16" s="130">
        <f>IF(SER_hh_tes_in!E16=0,0,11630*1000*SER_hh_tes_in!E16/SER_hh_num_in!E16)</f>
        <v>27104.869331357811</v>
      </c>
      <c r="F16" s="130">
        <f>IF(SER_hh_tes_in!F16=0,0,11630*1000*SER_hh_tes_in!F16/SER_hh_num_in!F16)</f>
        <v>26071.374127877294</v>
      </c>
      <c r="G16" s="130">
        <f>IF(SER_hh_tes_in!G16=0,0,11630*1000*SER_hh_tes_in!G16/SER_hh_num_in!G16)</f>
        <v>26128.839827823504</v>
      </c>
      <c r="H16" s="130">
        <f>IF(SER_hh_tes_in!H16=0,0,11630*1000*SER_hh_tes_in!H16/SER_hh_num_in!H16)</f>
        <v>26721.305304930287</v>
      </c>
      <c r="I16" s="130">
        <f>IF(SER_hh_tes_in!I16=0,0,11630*1000*SER_hh_tes_in!I16/SER_hh_num_in!I16)</f>
        <v>27624.872847286144</v>
      </c>
      <c r="J16" s="130">
        <f>IF(SER_hh_tes_in!J16=0,0,11630*1000*SER_hh_tes_in!J16/SER_hh_num_in!J16)</f>
        <v>25789.164492697724</v>
      </c>
      <c r="K16" s="130">
        <f>IF(SER_hh_tes_in!K16=0,0,11630*1000*SER_hh_tes_in!K16/SER_hh_num_in!K16)</f>
        <v>25591.915474710717</v>
      </c>
      <c r="L16" s="130">
        <f>IF(SER_hh_tes_in!L16=0,0,11630*1000*SER_hh_tes_in!L16/SER_hh_num_in!L16)</f>
        <v>26316.487240249007</v>
      </c>
      <c r="M16" s="130">
        <f>IF(SER_hh_tes_in!M16=0,0,11630*1000*SER_hh_tes_in!M16/SER_hh_num_in!M16)</f>
        <v>25386.276896009265</v>
      </c>
      <c r="N16" s="130">
        <f>IF(SER_hh_tes_in!N16=0,0,11630*1000*SER_hh_tes_in!N16/SER_hh_num_in!N16)</f>
        <v>27562.117297590525</v>
      </c>
      <c r="O16" s="130">
        <f>IF(SER_hh_tes_in!O16=0,0,11630*1000*SER_hh_tes_in!O16/SER_hh_num_in!O16)</f>
        <v>26056.314314353229</v>
      </c>
      <c r="P16" s="130">
        <f>IF(SER_hh_tes_in!P16=0,0,11630*1000*SER_hh_tes_in!P16/SER_hh_num_in!P16)</f>
        <v>23511.037517368739</v>
      </c>
      <c r="Q16" s="130">
        <f>IF(SER_hh_tes_in!Q16=0,0,11630*1000*SER_hh_tes_in!Q16/SER_hh_num_in!Q16)</f>
        <v>27207.754768383729</v>
      </c>
      <c r="R16" s="130">
        <f>IF(SER_hh_tes_in!R16=0,0,11630*1000*SER_hh_tes_in!R16/SER_hh_num_in!R16)</f>
        <v>22591.969502831103</v>
      </c>
      <c r="S16" s="130">
        <f>IF(SER_hh_tes_in!S16=0,0,11630*1000*SER_hh_tes_in!S16/SER_hh_num_in!S16)</f>
        <v>23426.697529195371</v>
      </c>
      <c r="T16" s="130">
        <f>IF(SER_hh_tes_in!T16=0,0,11630*1000*SER_hh_tes_in!T16/SER_hh_num_in!T16)</f>
        <v>22319.651218720908</v>
      </c>
      <c r="U16" s="130">
        <f>IF(SER_hh_tes_in!U16=0,0,11630*1000*SER_hh_tes_in!U16/SER_hh_num_in!U16)</f>
        <v>22225.976966997634</v>
      </c>
      <c r="V16" s="130">
        <f>IF(SER_hh_tes_in!V16=0,0,11630*1000*SER_hh_tes_in!V16/SER_hh_num_in!V16)</f>
        <v>18504.815281875901</v>
      </c>
      <c r="W16" s="130">
        <f>IF(SER_hh_tes_in!W16=0,0,11630*1000*SER_hh_tes_in!W16/SER_hh_num_in!W16)</f>
        <v>17579.432617143102</v>
      </c>
      <c r="X16" s="130">
        <f>IF(SER_hh_tes_in!X16=0,0,11630*1000*SER_hh_tes_in!X16/SER_hh_num_in!X16)</f>
        <v>17429.40673562033</v>
      </c>
      <c r="Y16" s="130">
        <f>IF(SER_hh_tes_in!Y16=0,0,11630*1000*SER_hh_tes_in!Y16/SER_hh_num_in!Y16)</f>
        <v>17477.743944087651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26837.959293230298</v>
      </c>
      <c r="D17" s="132">
        <f>IF(SER_hh_tes_in!D17=0,0,11630*1000*SER_hh_tes_in!D17/SER_hh_num_in!D17)</f>
        <v>0</v>
      </c>
      <c r="E17" s="132">
        <f>IF(SER_hh_tes_in!E17=0,0,11630*1000*SER_hh_tes_in!E17/SER_hh_num_in!E17)</f>
        <v>7593.8518259541861</v>
      </c>
      <c r="F17" s="132">
        <f>IF(SER_hh_tes_in!F17=0,0,11630*1000*SER_hh_tes_in!F17/SER_hh_num_in!F17)</f>
        <v>0</v>
      </c>
      <c r="G17" s="132">
        <f>IF(SER_hh_tes_in!G17=0,0,11630*1000*SER_hh_tes_in!G17/SER_hh_num_in!G17)</f>
        <v>26284.720899381478</v>
      </c>
      <c r="H17" s="132">
        <f>IF(SER_hh_tes_in!H17=0,0,11630*1000*SER_hh_tes_in!H17/SER_hh_num_in!H17)</f>
        <v>26867.400599559398</v>
      </c>
      <c r="I17" s="132">
        <f>IF(SER_hh_tes_in!I17=0,0,11630*1000*SER_hh_tes_in!I17/SER_hh_num_in!I17)</f>
        <v>27610.869703668886</v>
      </c>
      <c r="J17" s="132">
        <f>IF(SER_hh_tes_in!J17=0,0,11630*1000*SER_hh_tes_in!J17/SER_hh_num_in!J17)</f>
        <v>25789.710021140563</v>
      </c>
      <c r="K17" s="132">
        <f>IF(SER_hh_tes_in!K17=0,0,11630*1000*SER_hh_tes_in!K17/SER_hh_num_in!K17)</f>
        <v>25580.70770657355</v>
      </c>
      <c r="L17" s="132">
        <f>IF(SER_hh_tes_in!L17=0,0,11630*1000*SER_hh_tes_in!L17/SER_hh_num_in!L17)</f>
        <v>26377.625110364814</v>
      </c>
      <c r="M17" s="132">
        <f>IF(SER_hh_tes_in!M17=0,0,11630*1000*SER_hh_tes_in!M17/SER_hh_num_in!M17)</f>
        <v>25556.507648050498</v>
      </c>
      <c r="N17" s="132">
        <f>IF(SER_hh_tes_in!N17=0,0,11630*1000*SER_hh_tes_in!N17/SER_hh_num_in!N17)</f>
        <v>27658.915086953366</v>
      </c>
      <c r="O17" s="132">
        <f>IF(SER_hh_tes_in!O17=0,0,11630*1000*SER_hh_tes_in!O17/SER_hh_num_in!O17)</f>
        <v>26313.293606124469</v>
      </c>
      <c r="P17" s="132">
        <f>IF(SER_hh_tes_in!P17=0,0,11630*1000*SER_hh_tes_in!P17/SER_hh_num_in!P17)</f>
        <v>23890.613530201164</v>
      </c>
      <c r="Q17" s="132">
        <f>IF(SER_hh_tes_in!Q17=0,0,11630*1000*SER_hh_tes_in!Q17/SER_hh_num_in!Q17)</f>
        <v>27431.938712702948</v>
      </c>
      <c r="R17" s="132">
        <f>IF(SER_hh_tes_in!R17=0,0,11630*1000*SER_hh_tes_in!R17/SER_hh_num_in!R17)</f>
        <v>23335.54841824733</v>
      </c>
      <c r="S17" s="132">
        <f>IF(SER_hh_tes_in!S17=0,0,11630*1000*SER_hh_tes_in!S17/SER_hh_num_in!S17)</f>
        <v>24022.479852506065</v>
      </c>
      <c r="T17" s="132">
        <f>IF(SER_hh_tes_in!T17=0,0,11630*1000*SER_hh_tes_in!T17/SER_hh_num_in!T17)</f>
        <v>22896.244809509262</v>
      </c>
      <c r="U17" s="132">
        <f>IF(SER_hh_tes_in!U17=0,0,11630*1000*SER_hh_tes_in!U17/SER_hh_num_in!U17)</f>
        <v>22620.44078043308</v>
      </c>
      <c r="V17" s="132">
        <f>IF(SER_hh_tes_in!V17=0,0,11630*1000*SER_hh_tes_in!V17/SER_hh_num_in!V17)</f>
        <v>20764.164959899008</v>
      </c>
      <c r="W17" s="132">
        <f>IF(SER_hh_tes_in!W17=0,0,11630*1000*SER_hh_tes_in!W17/SER_hh_num_in!W17)</f>
        <v>17772.435502817705</v>
      </c>
      <c r="X17" s="132">
        <f>IF(SER_hh_tes_in!X17=0,0,11630*1000*SER_hh_tes_in!X17/SER_hh_num_in!X17)</f>
        <v>17669.017676136715</v>
      </c>
      <c r="Y17" s="132">
        <f>IF(SER_hh_tes_in!Y17=0,0,11630*1000*SER_hh_tes_in!Y17/SER_hh_num_in!Y17)</f>
        <v>17539.570408898297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26781.756975773529</v>
      </c>
      <c r="D18" s="132">
        <f>IF(SER_hh_tes_in!D18=0,0,11630*1000*SER_hh_tes_in!D18/SER_hh_num_in!D18)</f>
        <v>27090.219080578976</v>
      </c>
      <c r="E18" s="132">
        <f>IF(SER_hh_tes_in!E18=0,0,11630*1000*SER_hh_tes_in!E18/SER_hh_num_in!E18)</f>
        <v>27217.00020366786</v>
      </c>
      <c r="F18" s="132">
        <f>IF(SER_hh_tes_in!F18=0,0,11630*1000*SER_hh_tes_in!F18/SER_hh_num_in!F18)</f>
        <v>26071.374127877294</v>
      </c>
      <c r="G18" s="132">
        <f>IF(SER_hh_tes_in!G18=0,0,11630*1000*SER_hh_tes_in!G18/SER_hh_num_in!G18)</f>
        <v>26127.673355326777</v>
      </c>
      <c r="H18" s="132">
        <f>IF(SER_hh_tes_in!H18=0,0,11630*1000*SER_hh_tes_in!H18/SER_hh_num_in!H18)</f>
        <v>26720.698878375813</v>
      </c>
      <c r="I18" s="132">
        <f>IF(SER_hh_tes_in!I18=0,0,11630*1000*SER_hh_tes_in!I18/SER_hh_num_in!I18)</f>
        <v>27624.899640059411</v>
      </c>
      <c r="J18" s="132">
        <f>IF(SER_hh_tes_in!J18=0,0,11630*1000*SER_hh_tes_in!J18/SER_hh_num_in!J18)</f>
        <v>25789.162137697323</v>
      </c>
      <c r="K18" s="132">
        <f>IF(SER_hh_tes_in!K18=0,0,11630*1000*SER_hh_tes_in!K18/SER_hh_num_in!K18)</f>
        <v>25591.945602345328</v>
      </c>
      <c r="L18" s="132">
        <f>IF(SER_hh_tes_in!L18=0,0,11630*1000*SER_hh_tes_in!L18/SER_hh_num_in!L18)</f>
        <v>26316.213445870297</v>
      </c>
      <c r="M18" s="132">
        <f>IF(SER_hh_tes_in!M18=0,0,11630*1000*SER_hh_tes_in!M18/SER_hh_num_in!M18)</f>
        <v>25385.098855762215</v>
      </c>
      <c r="N18" s="132">
        <f>IF(SER_hh_tes_in!N18=0,0,11630*1000*SER_hh_tes_in!N18/SER_hh_num_in!N18)</f>
        <v>27561.753256524029</v>
      </c>
      <c r="O18" s="132">
        <f>IF(SER_hh_tes_in!O18=0,0,11630*1000*SER_hh_tes_in!O18/SER_hh_num_in!O18)</f>
        <v>26053.115899471886</v>
      </c>
      <c r="P18" s="132">
        <f>IF(SER_hh_tes_in!P18=0,0,11630*1000*SER_hh_tes_in!P18/SER_hh_num_in!P18)</f>
        <v>23503.426626939949</v>
      </c>
      <c r="Q18" s="132">
        <f>IF(SER_hh_tes_in!Q18=0,0,11630*1000*SER_hh_tes_in!Q18/SER_hh_num_in!Q18)</f>
        <v>27204.546394758061</v>
      </c>
      <c r="R18" s="132">
        <f>IF(SER_hh_tes_in!R18=0,0,11630*1000*SER_hh_tes_in!R18/SER_hh_num_in!R18)</f>
        <v>22565.844332620465</v>
      </c>
      <c r="S18" s="132">
        <f>IF(SER_hh_tes_in!S18=0,0,11630*1000*SER_hh_tes_in!S18/SER_hh_num_in!S18)</f>
        <v>23417.957822195611</v>
      </c>
      <c r="T18" s="132">
        <f>IF(SER_hh_tes_in!T18=0,0,11630*1000*SER_hh_tes_in!T18/SER_hh_num_in!T18)</f>
        <v>22306.279808423715</v>
      </c>
      <c r="U18" s="132">
        <f>IF(SER_hh_tes_in!U18=0,0,11630*1000*SER_hh_tes_in!U18/SER_hh_num_in!U18)</f>
        <v>22219.587260933356</v>
      </c>
      <c r="V18" s="132">
        <f>IF(SER_hh_tes_in!V18=0,0,11630*1000*SER_hh_tes_in!V18/SER_hh_num_in!V18)</f>
        <v>18453.695649344088</v>
      </c>
      <c r="W18" s="132">
        <f>IF(SER_hh_tes_in!W18=0,0,11630*1000*SER_hh_tes_in!W18/SER_hh_num_in!W18)</f>
        <v>17575.038197582515</v>
      </c>
      <c r="X18" s="132">
        <f>IF(SER_hh_tes_in!X18=0,0,11630*1000*SER_hh_tes_in!X18/SER_hh_num_in!X18)</f>
        <v>17424.207979851315</v>
      </c>
      <c r="Y18" s="132">
        <f>IF(SER_hh_tes_in!Y18=0,0,11630*1000*SER_hh_tes_in!Y18/SER_hh_num_in!Y18)</f>
        <v>17476.229200911697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26026.333242013654</v>
      </c>
      <c r="D19" s="130">
        <f>IF(SER_hh_tes_in!D19=0,0,11630*1000*SER_hh_tes_in!D19/SER_hh_num_in!D19)</f>
        <v>26378.685608240754</v>
      </c>
      <c r="E19" s="130">
        <f>IF(SER_hh_tes_in!E19=0,0,11630*1000*SER_hh_tes_in!E19/SER_hh_num_in!E19)</f>
        <v>25467.217554115494</v>
      </c>
      <c r="F19" s="130">
        <f>IF(SER_hh_tes_in!F19=0,0,11630*1000*SER_hh_tes_in!F19/SER_hh_num_in!F19)</f>
        <v>24310.261962492554</v>
      </c>
      <c r="G19" s="130">
        <f>IF(SER_hh_tes_in!G19=0,0,11630*1000*SER_hh_tes_in!G19/SER_hh_num_in!G19)</f>
        <v>25967.891854008052</v>
      </c>
      <c r="H19" s="130">
        <f>IF(SER_hh_tes_in!H19=0,0,11630*1000*SER_hh_tes_in!H19/SER_hh_num_in!H19)</f>
        <v>25656.671941893335</v>
      </c>
      <c r="I19" s="130">
        <f>IF(SER_hh_tes_in!I19=0,0,11630*1000*SER_hh_tes_in!I19/SER_hh_num_in!I19)</f>
        <v>25657.9572088561</v>
      </c>
      <c r="J19" s="130">
        <f>IF(SER_hh_tes_in!J19=0,0,11630*1000*SER_hh_tes_in!J19/SER_hh_num_in!J19)</f>
        <v>25384.393682159593</v>
      </c>
      <c r="K19" s="130">
        <f>IF(SER_hh_tes_in!K19=0,0,11630*1000*SER_hh_tes_in!K19/SER_hh_num_in!K19)</f>
        <v>25943.442486963464</v>
      </c>
      <c r="L19" s="130">
        <f>IF(SER_hh_tes_in!L19=0,0,11630*1000*SER_hh_tes_in!L19/SER_hh_num_in!L19)</f>
        <v>26066.469763756577</v>
      </c>
      <c r="M19" s="130">
        <f>IF(SER_hh_tes_in!M19=0,0,11630*1000*SER_hh_tes_in!M19/SER_hh_num_in!M19)</f>
        <v>25297.14643225593</v>
      </c>
      <c r="N19" s="130">
        <f>IF(SER_hh_tes_in!N19=0,0,11630*1000*SER_hh_tes_in!N19/SER_hh_num_in!N19)</f>
        <v>26208.527529990417</v>
      </c>
      <c r="O19" s="130">
        <f>IF(SER_hh_tes_in!O19=0,0,11630*1000*SER_hh_tes_in!O19/SER_hh_num_in!O19)</f>
        <v>26351.911622723685</v>
      </c>
      <c r="P19" s="130">
        <f>IF(SER_hh_tes_in!P19=0,0,11630*1000*SER_hh_tes_in!P19/SER_hh_num_in!P19)</f>
        <v>26683.193977911495</v>
      </c>
      <c r="Q19" s="130">
        <f>IF(SER_hh_tes_in!Q19=0,0,11630*1000*SER_hh_tes_in!Q19/SER_hh_num_in!Q19)</f>
        <v>24655.147807045956</v>
      </c>
      <c r="R19" s="130">
        <f>IF(SER_hh_tes_in!R19=0,0,11630*1000*SER_hh_tes_in!R19/SER_hh_num_in!R19)</f>
        <v>26056.297199005225</v>
      </c>
      <c r="S19" s="130">
        <f>IF(SER_hh_tes_in!S19=0,0,11630*1000*SER_hh_tes_in!S19/SER_hh_num_in!S19)</f>
        <v>25984.105704265115</v>
      </c>
      <c r="T19" s="130">
        <f>IF(SER_hh_tes_in!T19=0,0,11630*1000*SER_hh_tes_in!T19/SER_hh_num_in!T19)</f>
        <v>25255.23059311623</v>
      </c>
      <c r="U19" s="130">
        <f>IF(SER_hh_tes_in!U19=0,0,11630*1000*SER_hh_tes_in!U19/SER_hh_num_in!U19)</f>
        <v>24622.844037807539</v>
      </c>
      <c r="V19" s="130">
        <f>IF(SER_hh_tes_in!V19=0,0,11630*1000*SER_hh_tes_in!V19/SER_hh_num_in!V19)</f>
        <v>24777.861642395215</v>
      </c>
      <c r="W19" s="130">
        <f>IF(SER_hh_tes_in!W19=0,0,11630*1000*SER_hh_tes_in!W19/SER_hh_num_in!W19)</f>
        <v>23931.528867759898</v>
      </c>
      <c r="X19" s="130">
        <f>IF(SER_hh_tes_in!X19=0,0,11630*1000*SER_hh_tes_in!X19/SER_hh_num_in!X19)</f>
        <v>24529.586678160977</v>
      </c>
      <c r="Y19" s="130">
        <f>IF(SER_hh_tes_in!Y19=0,0,11630*1000*SER_hh_tes_in!Y19/SER_hh_num_in!Y19)</f>
        <v>24821.723422677769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20188.159011515996</v>
      </c>
      <c r="I20" s="132">
        <f>IF(SER_hh_tes_in!I20=0,0,11630*1000*SER_hh_tes_in!I20/SER_hh_num_in!I20)</f>
        <v>27917.829884241582</v>
      </c>
      <c r="J20" s="132">
        <f>IF(SER_hh_tes_in!J20=0,0,11630*1000*SER_hh_tes_in!J20/SER_hh_num_in!J20)</f>
        <v>27556.402486182968</v>
      </c>
      <c r="K20" s="132">
        <f>IF(SER_hh_tes_in!K20=0,0,11630*1000*SER_hh_tes_in!K20/SER_hh_num_in!K20)</f>
        <v>27293.545821654046</v>
      </c>
      <c r="L20" s="132">
        <f>IF(SER_hh_tes_in!L20=0,0,11630*1000*SER_hh_tes_in!L20/SER_hh_num_in!L20)</f>
        <v>25803.608292520767</v>
      </c>
      <c r="M20" s="132">
        <f>IF(SER_hh_tes_in!M20=0,0,11630*1000*SER_hh_tes_in!M20/SER_hh_num_in!M20)</f>
        <v>25617.550256083756</v>
      </c>
      <c r="N20" s="132">
        <f>IF(SER_hh_tes_in!N20=0,0,11630*1000*SER_hh_tes_in!N20/SER_hh_num_in!N20)</f>
        <v>26092.312109923245</v>
      </c>
      <c r="O20" s="132">
        <f>IF(SER_hh_tes_in!O20=0,0,11630*1000*SER_hh_tes_in!O20/SER_hh_num_in!O20)</f>
        <v>25790.932517700392</v>
      </c>
      <c r="P20" s="132">
        <f>IF(SER_hh_tes_in!P20=0,0,11630*1000*SER_hh_tes_in!P20/SER_hh_num_in!P20)</f>
        <v>27124.762666253173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36442.379800128831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0</v>
      </c>
      <c r="D22" s="132">
        <f>IF(SER_hh_tes_in!D22=0,0,11630*1000*SER_hh_tes_in!D22/SER_hh_num_in!D22)</f>
        <v>0</v>
      </c>
      <c r="E22" s="132">
        <f>IF(SER_hh_tes_in!E22=0,0,11630*1000*SER_hh_tes_in!E22/SER_hh_num_in!E22)</f>
        <v>0</v>
      </c>
      <c r="F22" s="132">
        <f>IF(SER_hh_tes_in!F22=0,0,11630*1000*SER_hh_tes_in!F22/SER_hh_num_in!F22)</f>
        <v>0</v>
      </c>
      <c r="G22" s="132">
        <f>IF(SER_hh_tes_in!G22=0,0,11630*1000*SER_hh_tes_in!G22/SER_hh_num_in!G22)</f>
        <v>0</v>
      </c>
      <c r="H22" s="132">
        <f>IF(SER_hh_tes_in!H22=0,0,11630*1000*SER_hh_tes_in!H22/SER_hh_num_in!H22)</f>
        <v>0</v>
      </c>
      <c r="I22" s="132">
        <f>IF(SER_hh_tes_in!I22=0,0,11630*1000*SER_hh_tes_in!I22/SER_hh_num_in!I22)</f>
        <v>0</v>
      </c>
      <c r="J22" s="132">
        <f>IF(SER_hh_tes_in!J22=0,0,11630*1000*SER_hh_tes_in!J22/SER_hh_num_in!J22)</f>
        <v>0</v>
      </c>
      <c r="K22" s="132">
        <f>IF(SER_hh_tes_in!K22=0,0,11630*1000*SER_hh_tes_in!K22/SER_hh_num_in!K22)</f>
        <v>0</v>
      </c>
      <c r="L22" s="132">
        <f>IF(SER_hh_tes_in!L22=0,0,11630*1000*SER_hh_tes_in!L22/SER_hh_num_in!L22)</f>
        <v>0</v>
      </c>
      <c r="M22" s="132">
        <f>IF(SER_hh_tes_in!M22=0,0,11630*1000*SER_hh_tes_in!M22/SER_hh_num_in!M22)</f>
        <v>0</v>
      </c>
      <c r="N22" s="132">
        <f>IF(SER_hh_tes_in!N22=0,0,11630*1000*SER_hh_tes_in!N22/SER_hh_num_in!N22)</f>
        <v>0</v>
      </c>
      <c r="O22" s="132">
        <f>IF(SER_hh_tes_in!O22=0,0,11630*1000*SER_hh_tes_in!O22/SER_hh_num_in!O22)</f>
        <v>0</v>
      </c>
      <c r="P22" s="132">
        <f>IF(SER_hh_tes_in!P22=0,0,11630*1000*SER_hh_tes_in!P22/SER_hh_num_in!P22)</f>
        <v>0</v>
      </c>
      <c r="Q22" s="132">
        <f>IF(SER_hh_tes_in!Q22=0,0,11630*1000*SER_hh_tes_in!Q22/SER_hh_num_in!Q22)</f>
        <v>0</v>
      </c>
      <c r="R22" s="132">
        <f>IF(SER_hh_tes_in!R22=0,0,11630*1000*SER_hh_tes_in!R22/SER_hh_num_in!R22)</f>
        <v>0</v>
      </c>
      <c r="S22" s="132">
        <f>IF(SER_hh_tes_in!S22=0,0,11630*1000*SER_hh_tes_in!S22/SER_hh_num_in!S22)</f>
        <v>0</v>
      </c>
      <c r="T22" s="132">
        <f>IF(SER_hh_tes_in!T22=0,0,11630*1000*SER_hh_tes_in!T22/SER_hh_num_in!T22)</f>
        <v>0</v>
      </c>
      <c r="U22" s="132">
        <f>IF(SER_hh_tes_in!U22=0,0,11630*1000*SER_hh_tes_in!U22/SER_hh_num_in!U22)</f>
        <v>0</v>
      </c>
      <c r="V22" s="132">
        <f>IF(SER_hh_tes_in!V22=0,0,11630*1000*SER_hh_tes_in!V22/SER_hh_num_in!V22)</f>
        <v>0</v>
      </c>
      <c r="W22" s="132">
        <f>IF(SER_hh_tes_in!W22=0,0,11630*1000*SER_hh_tes_in!W22/SER_hh_num_in!W22)</f>
        <v>0</v>
      </c>
      <c r="X22" s="132">
        <f>IF(SER_hh_tes_in!X22=0,0,11630*1000*SER_hh_tes_in!X22/SER_hh_num_in!X22)</f>
        <v>0</v>
      </c>
      <c r="Y22" s="132">
        <f>IF(SER_hh_tes_in!Y22=0,0,11630*1000*SER_hh_tes_in!Y22/SER_hh_num_in!Y22)</f>
        <v>0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27618.514471632458</v>
      </c>
      <c r="D23" s="132">
        <f>IF(SER_hh_tes_in!D23=0,0,11630*1000*SER_hh_tes_in!D23/SER_hh_num_in!D23)</f>
        <v>27670.494331447269</v>
      </c>
      <c r="E23" s="132">
        <f>IF(SER_hh_tes_in!E23=0,0,11630*1000*SER_hh_tes_in!E23/SER_hh_num_in!E23)</f>
        <v>24900.476009137761</v>
      </c>
      <c r="F23" s="132">
        <f>IF(SER_hh_tes_in!F23=0,0,11630*1000*SER_hh_tes_in!F23/SER_hh_num_in!F23)</f>
        <v>25983.333838129322</v>
      </c>
      <c r="G23" s="132">
        <f>IF(SER_hh_tes_in!G23=0,0,11630*1000*SER_hh_tes_in!G23/SER_hh_num_in!G23)</f>
        <v>24954.003768443723</v>
      </c>
      <c r="H23" s="132">
        <f>IF(SER_hh_tes_in!H23=0,0,11630*1000*SER_hh_tes_in!H23/SER_hh_num_in!H23)</f>
        <v>24861.800503518276</v>
      </c>
      <c r="I23" s="132">
        <f>IF(SER_hh_tes_in!I23=0,0,11630*1000*SER_hh_tes_in!I23/SER_hh_num_in!I23)</f>
        <v>26463.47656000924</v>
      </c>
      <c r="J23" s="132">
        <f>IF(SER_hh_tes_in!J23=0,0,11630*1000*SER_hh_tes_in!J23/SER_hh_num_in!J23)</f>
        <v>25831.543524624958</v>
      </c>
      <c r="K23" s="132">
        <f>IF(SER_hh_tes_in!K23=0,0,11630*1000*SER_hh_tes_in!K23/SER_hh_num_in!K23)</f>
        <v>24856.170746940534</v>
      </c>
      <c r="L23" s="132">
        <f>IF(SER_hh_tes_in!L23=0,0,11630*1000*SER_hh_tes_in!L23/SER_hh_num_in!L23)</f>
        <v>24929.563055257189</v>
      </c>
      <c r="M23" s="132">
        <f>IF(SER_hh_tes_in!M23=0,0,11630*1000*SER_hh_tes_in!M23/SER_hh_num_in!M23)</f>
        <v>23378.465298555308</v>
      </c>
      <c r="N23" s="132">
        <f>IF(SER_hh_tes_in!N23=0,0,11630*1000*SER_hh_tes_in!N23/SER_hh_num_in!N23)</f>
        <v>26424.008278156132</v>
      </c>
      <c r="O23" s="132">
        <f>IF(SER_hh_tes_in!O23=0,0,11630*1000*SER_hh_tes_in!O23/SER_hh_num_in!O23)</f>
        <v>27076.49507251216</v>
      </c>
      <c r="P23" s="132">
        <f>IF(SER_hh_tes_in!P23=0,0,11630*1000*SER_hh_tes_in!P23/SER_hh_num_in!P23)</f>
        <v>23241.176471504659</v>
      </c>
      <c r="Q23" s="132">
        <f>IF(SER_hh_tes_in!Q23=0,0,11630*1000*SER_hh_tes_in!Q23/SER_hh_num_in!Q23)</f>
        <v>27992.44571395707</v>
      </c>
      <c r="R23" s="132">
        <f>IF(SER_hh_tes_in!R23=0,0,11630*1000*SER_hh_tes_in!R23/SER_hh_num_in!R23)</f>
        <v>28202.659579550356</v>
      </c>
      <c r="S23" s="132">
        <f>IF(SER_hh_tes_in!S23=0,0,11630*1000*SER_hh_tes_in!S23/SER_hh_num_in!S23)</f>
        <v>26836.82649706045</v>
      </c>
      <c r="T23" s="132">
        <f>IF(SER_hh_tes_in!T23=0,0,11630*1000*SER_hh_tes_in!T23/SER_hh_num_in!T23)</f>
        <v>0</v>
      </c>
      <c r="U23" s="132">
        <f>IF(SER_hh_tes_in!U23=0,0,11630*1000*SER_hh_tes_in!U23/SER_hh_num_in!U23)</f>
        <v>0</v>
      </c>
      <c r="V23" s="132">
        <f>IF(SER_hh_tes_in!V23=0,0,11630*1000*SER_hh_tes_in!V23/SER_hh_num_in!V23)</f>
        <v>15442.622162807724</v>
      </c>
      <c r="W23" s="132">
        <f>IF(SER_hh_tes_in!W23=0,0,11630*1000*SER_hh_tes_in!W23/SER_hh_num_in!W23)</f>
        <v>25838.707986145306</v>
      </c>
      <c r="X23" s="132">
        <f>IF(SER_hh_tes_in!X23=0,0,11630*1000*SER_hh_tes_in!X23/SER_hh_num_in!X23)</f>
        <v>25471.46489702032</v>
      </c>
      <c r="Y23" s="132">
        <f>IF(SER_hh_tes_in!Y23=0,0,11630*1000*SER_hh_tes_in!Y23/SER_hh_num_in!Y23)</f>
        <v>22915.212268276551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23345.447831990168</v>
      </c>
      <c r="D25" s="132">
        <f>IF(SER_hh_tes_in!D25=0,0,11630*1000*SER_hh_tes_in!D25/SER_hh_num_in!D25)</f>
        <v>25876.030506803607</v>
      </c>
      <c r="E25" s="132">
        <f>IF(SER_hh_tes_in!E25=0,0,11630*1000*SER_hh_tes_in!E25/SER_hh_num_in!E25)</f>
        <v>27696.112380652474</v>
      </c>
      <c r="F25" s="132">
        <f>IF(SER_hh_tes_in!F25=0,0,11630*1000*SER_hh_tes_in!F25/SER_hh_num_in!F25)</f>
        <v>35902.580053727834</v>
      </c>
      <c r="G25" s="132">
        <f>IF(SER_hh_tes_in!G25=0,0,11630*1000*SER_hh_tes_in!G25/SER_hh_num_in!G25)</f>
        <v>26304.72531474194</v>
      </c>
      <c r="H25" s="132">
        <f>IF(SER_hh_tes_in!H25=0,0,11630*1000*SER_hh_tes_in!H25/SER_hh_num_in!H25)</f>
        <v>23636.184631533237</v>
      </c>
      <c r="I25" s="132">
        <f>IF(SER_hh_tes_in!I25=0,0,11630*1000*SER_hh_tes_in!I25/SER_hh_num_in!I25)</f>
        <v>0</v>
      </c>
      <c r="J25" s="132">
        <f>IF(SER_hh_tes_in!J25=0,0,11630*1000*SER_hh_tes_in!J25/SER_hh_num_in!J25)</f>
        <v>25293.817986437291</v>
      </c>
      <c r="K25" s="132">
        <f>IF(SER_hh_tes_in!K25=0,0,11630*1000*SER_hh_tes_in!K25/SER_hh_num_in!K25)</f>
        <v>26203.922649616805</v>
      </c>
      <c r="L25" s="132">
        <f>IF(SER_hh_tes_in!L25=0,0,11630*1000*SER_hh_tes_in!L25/SER_hh_num_in!L25)</f>
        <v>24132.183646198169</v>
      </c>
      <c r="M25" s="132">
        <f>IF(SER_hh_tes_in!M25=0,0,11630*1000*SER_hh_tes_in!M25/SER_hh_num_in!M25)</f>
        <v>25902.764943399136</v>
      </c>
      <c r="N25" s="132">
        <f>IF(SER_hh_tes_in!N25=0,0,11630*1000*SER_hh_tes_in!N25/SER_hh_num_in!N25)</f>
        <v>27989.98573316597</v>
      </c>
      <c r="O25" s="132">
        <f>IF(SER_hh_tes_in!O25=0,0,11630*1000*SER_hh_tes_in!O25/SER_hh_num_in!O25)</f>
        <v>21062.267657167151</v>
      </c>
      <c r="P25" s="132">
        <f>IF(SER_hh_tes_in!P25=0,0,11630*1000*SER_hh_tes_in!P25/SER_hh_num_in!P25)</f>
        <v>17477.347098435028</v>
      </c>
      <c r="Q25" s="132">
        <f>IF(SER_hh_tes_in!Q25=0,0,11630*1000*SER_hh_tes_in!Q25/SER_hh_num_in!Q25)</f>
        <v>10235.765701722681</v>
      </c>
      <c r="R25" s="132">
        <f>IF(SER_hh_tes_in!R25=0,0,11630*1000*SER_hh_tes_in!R25/SER_hh_num_in!R25)</f>
        <v>34646.284924264568</v>
      </c>
      <c r="S25" s="132">
        <f>IF(SER_hh_tes_in!S25=0,0,11630*1000*SER_hh_tes_in!S25/SER_hh_num_in!S25)</f>
        <v>32306.622717441056</v>
      </c>
      <c r="T25" s="132">
        <f>IF(SER_hh_tes_in!T25=0,0,11630*1000*SER_hh_tes_in!T25/SER_hh_num_in!T25)</f>
        <v>30638.559032585814</v>
      </c>
      <c r="U25" s="132">
        <f>IF(SER_hh_tes_in!U25=0,0,11630*1000*SER_hh_tes_in!U25/SER_hh_num_in!U25)</f>
        <v>27840.488522310581</v>
      </c>
      <c r="V25" s="132">
        <f>IF(SER_hh_tes_in!V25=0,0,11630*1000*SER_hh_tes_in!V25/SER_hh_num_in!V25)</f>
        <v>0</v>
      </c>
      <c r="W25" s="132">
        <f>IF(SER_hh_tes_in!W25=0,0,11630*1000*SER_hh_tes_in!W25/SER_hh_num_in!W25)</f>
        <v>0</v>
      </c>
      <c r="X25" s="132">
        <f>IF(SER_hh_tes_in!X25=0,0,11630*1000*SER_hh_tes_in!X25/SER_hh_num_in!X25)</f>
        <v>25746.400668130907</v>
      </c>
      <c r="Y25" s="132">
        <f>IF(SER_hh_tes_in!Y25=0,0,11630*1000*SER_hh_tes_in!Y25/SER_hh_num_in!Y25)</f>
        <v>21708.081058888118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0</v>
      </c>
      <c r="D26" s="65">
        <f>IF(SER_hh_tes_in!D26=0,0,11630*1000*SER_hh_tes_in!D26/SER_hh_num_in!D26)</f>
        <v>24080.522632164637</v>
      </c>
      <c r="E26" s="65">
        <f>IF(SER_hh_tes_in!E26=0,0,11630*1000*SER_hh_tes_in!E26/SER_hh_num_in!E26)</f>
        <v>24804.476395584777</v>
      </c>
      <c r="F26" s="65">
        <f>IF(SER_hh_tes_in!F26=0,0,11630*1000*SER_hh_tes_in!F26/SER_hh_num_in!F26)</f>
        <v>21761.776341049739</v>
      </c>
      <c r="G26" s="65">
        <f>IF(SER_hh_tes_in!G26=0,0,11630*1000*SER_hh_tes_in!G26/SER_hh_num_in!G26)</f>
        <v>25924.143105420142</v>
      </c>
      <c r="H26" s="65">
        <f>IF(SER_hh_tes_in!H26=0,0,11630*1000*SER_hh_tes_in!H26/SER_hh_num_in!H26)</f>
        <v>26979.836815040457</v>
      </c>
      <c r="I26" s="65">
        <f>IF(SER_hh_tes_in!I26=0,0,11630*1000*SER_hh_tes_in!I26/SER_hh_num_in!I26)</f>
        <v>24896.126615880941</v>
      </c>
      <c r="J26" s="65">
        <f>IF(SER_hh_tes_in!J26=0,0,11630*1000*SER_hh_tes_in!J26/SER_hh_num_in!J26)</f>
        <v>24566.973872058501</v>
      </c>
      <c r="K26" s="65">
        <f>IF(SER_hh_tes_in!K26=0,0,11630*1000*SER_hh_tes_in!K26/SER_hh_num_in!K26)</f>
        <v>25953.360418388638</v>
      </c>
      <c r="L26" s="65">
        <f>IF(SER_hh_tes_in!L26=0,0,11630*1000*SER_hh_tes_in!L26/SER_hh_num_in!L26)</f>
        <v>18491.298735729997</v>
      </c>
      <c r="M26" s="65">
        <f>IF(SER_hh_tes_in!M26=0,0,11630*1000*SER_hh_tes_in!M26/SER_hh_num_in!M26)</f>
        <v>24120.761131738054</v>
      </c>
      <c r="N26" s="65">
        <f>IF(SER_hh_tes_in!N26=0,0,11630*1000*SER_hh_tes_in!N26/SER_hh_num_in!N26)</f>
        <v>25026.914116010164</v>
      </c>
      <c r="O26" s="65">
        <f>IF(SER_hh_tes_in!O26=0,0,11630*1000*SER_hh_tes_in!O26/SER_hh_num_in!O26)</f>
        <v>26200.588798723154</v>
      </c>
      <c r="P26" s="65">
        <f>IF(SER_hh_tes_in!P26=0,0,11630*1000*SER_hh_tes_in!P26/SER_hh_num_in!P26)</f>
        <v>7151.7581934672689</v>
      </c>
      <c r="Q26" s="65">
        <f>IF(SER_hh_tes_in!Q26=0,0,11630*1000*SER_hh_tes_in!Q26/SER_hh_num_in!Q26)</f>
        <v>26635.6018453121</v>
      </c>
      <c r="R26" s="65">
        <f>IF(SER_hh_tes_in!R26=0,0,11630*1000*SER_hh_tes_in!R26/SER_hh_num_in!R26)</f>
        <v>22855.488128277622</v>
      </c>
      <c r="S26" s="65">
        <f>IF(SER_hh_tes_in!S26=0,0,11630*1000*SER_hh_tes_in!S26/SER_hh_num_in!S26)</f>
        <v>24696.516786074269</v>
      </c>
      <c r="T26" s="65">
        <f>IF(SER_hh_tes_in!T26=0,0,11630*1000*SER_hh_tes_in!T26/SER_hh_num_in!T26)</f>
        <v>23702.129846175154</v>
      </c>
      <c r="U26" s="65">
        <f>IF(SER_hh_tes_in!U26=0,0,11630*1000*SER_hh_tes_in!U26/SER_hh_num_in!U26)</f>
        <v>24326.548122199154</v>
      </c>
      <c r="V26" s="65">
        <f>IF(SER_hh_tes_in!V26=0,0,11630*1000*SER_hh_tes_in!V26/SER_hh_num_in!V26)</f>
        <v>24298.345629153391</v>
      </c>
      <c r="W26" s="65">
        <f>IF(SER_hh_tes_in!W26=0,0,11630*1000*SER_hh_tes_in!W26/SER_hh_num_in!W26)</f>
        <v>21781.214631059996</v>
      </c>
      <c r="X26" s="65">
        <f>IF(SER_hh_tes_in!X26=0,0,11630*1000*SER_hh_tes_in!X26/SER_hh_num_in!X26)</f>
        <v>23562.153617162447</v>
      </c>
      <c r="Y26" s="65">
        <f>IF(SER_hh_tes_in!Y26=0,0,11630*1000*SER_hh_tes_in!Y26/SER_hh_num_in!Y26)</f>
        <v>9066.6621637062071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211.6039634062478</v>
      </c>
      <c r="H27" s="145">
        <f>IF(SER_hh_tes_in!H27=0,0,11630*1000*SER_hh_tes_in!H27/SER_hh_num_in!H19)</f>
        <v>0</v>
      </c>
      <c r="I27" s="145">
        <f>IF(SER_hh_tes_in!I27=0,0,11630*1000*SER_hh_tes_in!I27/SER_hh_num_in!I19)</f>
        <v>1.7517147460174021</v>
      </c>
      <c r="J27" s="145">
        <f>IF(SER_hh_tes_in!J27=0,0,11630*1000*SER_hh_tes_in!J27/SER_hh_num_in!J19)</f>
        <v>1.1850227874872836</v>
      </c>
      <c r="K27" s="145">
        <f>IF(SER_hh_tes_in!K27=0,0,11630*1000*SER_hh_tes_in!K27/SER_hh_num_in!K19)</f>
        <v>0</v>
      </c>
      <c r="L27" s="145">
        <f>IF(SER_hh_tes_in!L27=0,0,11630*1000*SER_hh_tes_in!L27/SER_hh_num_in!L19)</f>
        <v>4854.3405147906533</v>
      </c>
      <c r="M27" s="145">
        <f>IF(SER_hh_tes_in!M27=0,0,11630*1000*SER_hh_tes_in!M27/SER_hh_num_in!M19)</f>
        <v>1295.6228517702409</v>
      </c>
      <c r="N27" s="145">
        <f>IF(SER_hh_tes_in!N27=0,0,11630*1000*SER_hh_tes_in!N27/SER_hh_num_in!N19)</f>
        <v>173.92033479661444</v>
      </c>
      <c r="O27" s="145">
        <f>IF(SER_hh_tes_in!O27=0,0,11630*1000*SER_hh_tes_in!O27/SER_hh_num_in!O19)</f>
        <v>0</v>
      </c>
      <c r="P27" s="145">
        <f>IF(SER_hh_tes_in!P27=0,0,11630*1000*SER_hh_tes_in!P27/SER_hh_num_in!P19)</f>
        <v>10974.864936054741</v>
      </c>
      <c r="Q27" s="145">
        <f>IF(SER_hh_tes_in!Q27=0,0,11630*1000*SER_hh_tes_in!Q27/SER_hh_num_in!Q19)</f>
        <v>0</v>
      </c>
      <c r="R27" s="145">
        <f>IF(SER_hh_tes_in!R27=0,0,11630*1000*SER_hh_tes_in!R27/SER_hh_num_in!R19)</f>
        <v>617.60871514623625</v>
      </c>
      <c r="S27" s="145">
        <f>IF(SER_hh_tes_in!S27=0,0,11630*1000*SER_hh_tes_in!S27/SER_hh_num_in!S19)</f>
        <v>4.0221885805031836E-12</v>
      </c>
      <c r="T27" s="145">
        <f>IF(SER_hh_tes_in!T27=0,0,11630*1000*SER_hh_tes_in!T27/SER_hh_num_in!T19)</f>
        <v>952.49397291522439</v>
      </c>
      <c r="U27" s="145">
        <f>IF(SER_hh_tes_in!U27=0,0,11630*1000*SER_hh_tes_in!U27/SER_hh_num_in!U19)</f>
        <v>216.60105804279266</v>
      </c>
      <c r="V27" s="145">
        <f>IF(SER_hh_tes_in!V27=0,0,11630*1000*SER_hh_tes_in!V27/SER_hh_num_in!V19)</f>
        <v>1382.4523353811239</v>
      </c>
      <c r="W27" s="145">
        <f>IF(SER_hh_tes_in!W27=0,0,11630*1000*SER_hh_tes_in!W27/SER_hh_num_in!W19)</f>
        <v>1149.1945885710488</v>
      </c>
      <c r="X27" s="145">
        <f>IF(SER_hh_tes_in!X27=0,0,11630*1000*SER_hh_tes_in!X27/SER_hh_num_in!X19)</f>
        <v>3.9381662442353705E-12</v>
      </c>
      <c r="Y27" s="145">
        <f>IF(SER_hh_tes_in!Y27=0,0,11630*1000*SER_hh_tes_in!Y27/SER_hh_num_in!Y19)</f>
        <v>9128.6657095544706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18782.904489077937</v>
      </c>
      <c r="H28" s="146">
        <f>IF(SER_hh_tes_in!H27=0,0,11630*1000*SER_hh_tes_in!H27/SER_hh_num_in!H27)</f>
        <v>0</v>
      </c>
      <c r="I28" s="146">
        <f>IF(SER_hh_tes_in!I27=0,0,11630*1000*SER_hh_tes_in!I27/SER_hh_num_in!I27)</f>
        <v>18936.890663298025</v>
      </c>
      <c r="J28" s="146">
        <f>IF(SER_hh_tes_in!J27=0,0,11630*1000*SER_hh_tes_in!J27/SER_hh_num_in!J27)</f>
        <v>18584.795125914879</v>
      </c>
      <c r="K28" s="146">
        <f>IF(SER_hh_tes_in!K27=0,0,11630*1000*SER_hh_tes_in!K27/SER_hh_num_in!K27)</f>
        <v>0</v>
      </c>
      <c r="L28" s="146">
        <f>IF(SER_hh_tes_in!L27=0,0,11630*1000*SER_hh_tes_in!L27/SER_hh_num_in!L27)</f>
        <v>17781.741792374469</v>
      </c>
      <c r="M28" s="146">
        <f>IF(SER_hh_tes_in!M27=0,0,11630*1000*SER_hh_tes_in!M27/SER_hh_num_in!M27)</f>
        <v>18827.95862714959</v>
      </c>
      <c r="N28" s="146">
        <f>IF(SER_hh_tes_in!N27=0,0,11630*1000*SER_hh_tes_in!N27/SER_hh_num_in!N27)</f>
        <v>19774.946379339595</v>
      </c>
      <c r="O28" s="146">
        <f>IF(SER_hh_tes_in!O27=0,0,11630*1000*SER_hh_tes_in!O27/SER_hh_num_in!O27)</f>
        <v>0</v>
      </c>
      <c r="P28" s="146">
        <f>IF(SER_hh_tes_in!P27=0,0,11630*1000*SER_hh_tes_in!P27/SER_hh_num_in!P27)</f>
        <v>18776.705083024706</v>
      </c>
      <c r="Q28" s="146">
        <f>IF(SER_hh_tes_in!Q27=0,0,11630*1000*SER_hh_tes_in!Q27/SER_hh_num_in!Q27)</f>
        <v>0</v>
      </c>
      <c r="R28" s="146">
        <f>IF(SER_hh_tes_in!R27=0,0,11630*1000*SER_hh_tes_in!R27/SER_hh_num_in!R27)</f>
        <v>18055.645805554384</v>
      </c>
      <c r="S28" s="146">
        <f>IF(SER_hh_tes_in!S27=0,0,11630*1000*SER_hh_tes_in!S27/SER_hh_num_in!S27)</f>
        <v>19226.30117783232</v>
      </c>
      <c r="T28" s="146">
        <f>IF(SER_hh_tes_in!T27=0,0,11630*1000*SER_hh_tes_in!T27/SER_hh_num_in!T27)</f>
        <v>18505.645008099244</v>
      </c>
      <c r="U28" s="146">
        <f>IF(SER_hh_tes_in!U27=0,0,11630*1000*SER_hh_tes_in!U27/SER_hh_num_in!U27)</f>
        <v>18851.890202551214</v>
      </c>
      <c r="V28" s="146">
        <f>IF(SER_hh_tes_in!V27=0,0,11630*1000*SER_hh_tes_in!V27/SER_hh_num_in!V27)</f>
        <v>17738.416232522079</v>
      </c>
      <c r="W28" s="146">
        <f>IF(SER_hh_tes_in!W27=0,0,11630*1000*SER_hh_tes_in!W27/SER_hh_num_in!W27)</f>
        <v>14647.195188613734</v>
      </c>
      <c r="X28" s="146">
        <f>IF(SER_hh_tes_in!X27=0,0,11630*1000*SER_hh_tes_in!X27/SER_hh_num_in!X27)</f>
        <v>19321.344283797651</v>
      </c>
      <c r="Y28" s="146">
        <f>IF(SER_hh_tes_in!Y27=0,0,11630*1000*SER_hh_tes_in!Y27/SER_hh_num_in!Y27)</f>
        <v>15971.043077832273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21159.130865582862</v>
      </c>
      <c r="D29" s="130">
        <f>IF(SER_hh_tes_in!D29=0,0,11630*1000*SER_hh_tes_in!D29/SER_hh_num_in!D29)</f>
        <v>29761.29492031104</v>
      </c>
      <c r="E29" s="130">
        <f>IF(SER_hh_tes_in!E29=0,0,11630*1000*SER_hh_tes_in!E29/SER_hh_num_in!E29)</f>
        <v>25243.309962458181</v>
      </c>
      <c r="F29" s="130">
        <f>IF(SER_hh_tes_in!F29=0,0,11630*1000*SER_hh_tes_in!F29/SER_hh_num_in!F29)</f>
        <v>26004.540409437639</v>
      </c>
      <c r="G29" s="130">
        <f>IF(SER_hh_tes_in!G29=0,0,11630*1000*SER_hh_tes_in!G29/SER_hh_num_in!G29)</f>
        <v>28339.15722332897</v>
      </c>
      <c r="H29" s="130">
        <f>IF(SER_hh_tes_in!H29=0,0,11630*1000*SER_hh_tes_in!H29/SER_hh_num_in!H29)</f>
        <v>26894.735322773144</v>
      </c>
      <c r="I29" s="130">
        <f>IF(SER_hh_tes_in!I29=0,0,11630*1000*SER_hh_tes_in!I29/SER_hh_num_in!I29)</f>
        <v>28130.978641757923</v>
      </c>
      <c r="J29" s="130">
        <f>IF(SER_hh_tes_in!J29=0,0,11630*1000*SER_hh_tes_in!J29/SER_hh_num_in!J29)</f>
        <v>28002.394432058201</v>
      </c>
      <c r="K29" s="130">
        <f>IF(SER_hh_tes_in!K29=0,0,11630*1000*SER_hh_tes_in!K29/SER_hh_num_in!K29)</f>
        <v>27277.238586576277</v>
      </c>
      <c r="L29" s="130">
        <f>IF(SER_hh_tes_in!L29=0,0,11630*1000*SER_hh_tes_in!L29/SER_hh_num_in!L29)</f>
        <v>27005.055436818369</v>
      </c>
      <c r="M29" s="130">
        <f>IF(SER_hh_tes_in!M29=0,0,11630*1000*SER_hh_tes_in!M29/SER_hh_num_in!M29)</f>
        <v>28565.169597627053</v>
      </c>
      <c r="N29" s="130">
        <f>IF(SER_hh_tes_in!N29=0,0,11630*1000*SER_hh_tes_in!N29/SER_hh_num_in!N29)</f>
        <v>26318.9896501328</v>
      </c>
      <c r="O29" s="130">
        <f>IF(SER_hh_tes_in!O29=0,0,11630*1000*SER_hh_tes_in!O29/SER_hh_num_in!O29)</f>
        <v>27316.642213356165</v>
      </c>
      <c r="P29" s="130">
        <f>IF(SER_hh_tes_in!P29=0,0,11630*1000*SER_hh_tes_in!P29/SER_hh_num_in!P29)</f>
        <v>26166.776467876658</v>
      </c>
      <c r="Q29" s="130">
        <f>IF(SER_hh_tes_in!Q29=0,0,11630*1000*SER_hh_tes_in!Q29/SER_hh_num_in!Q29)</f>
        <v>26193.32506573643</v>
      </c>
      <c r="R29" s="130">
        <f>IF(SER_hh_tes_in!R29=0,0,11630*1000*SER_hh_tes_in!R29/SER_hh_num_in!R29)</f>
        <v>25478.807692114609</v>
      </c>
      <c r="S29" s="130">
        <f>IF(SER_hh_tes_in!S29=0,0,11630*1000*SER_hh_tes_in!S29/SER_hh_num_in!S29)</f>
        <v>25814.203926568647</v>
      </c>
      <c r="T29" s="130">
        <f>IF(SER_hh_tes_in!T29=0,0,11630*1000*SER_hh_tes_in!T29/SER_hh_num_in!T29)</f>
        <v>25681.890528211534</v>
      </c>
      <c r="U29" s="130">
        <f>IF(SER_hh_tes_in!U29=0,0,11630*1000*SER_hh_tes_in!U29/SER_hh_num_in!U29)</f>
        <v>25186.236137654232</v>
      </c>
      <c r="V29" s="130">
        <f>IF(SER_hh_tes_in!V29=0,0,11630*1000*SER_hh_tes_in!V29/SER_hh_num_in!V29)</f>
        <v>22043.91775767018</v>
      </c>
      <c r="W29" s="130">
        <f>IF(SER_hh_tes_in!W29=0,0,11630*1000*SER_hh_tes_in!W29/SER_hh_num_in!W29)</f>
        <v>24964.744027133991</v>
      </c>
      <c r="X29" s="130">
        <f>IF(SER_hh_tes_in!X29=0,0,11630*1000*SER_hh_tes_in!X29/SER_hh_num_in!X29)</f>
        <v>25401.738456328432</v>
      </c>
      <c r="Y29" s="130">
        <f>IF(SER_hh_tes_in!Y29=0,0,11630*1000*SER_hh_tes_in!Y29/SER_hh_num_in!Y29)</f>
        <v>24464.106113957754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19488.02539226626</v>
      </c>
      <c r="D30" s="132">
        <f>IF(SER_hh_tes_in!D30=0,0,11630*1000*SER_hh_tes_in!D30/SER_hh_num_in!D30)</f>
        <v>31313.060236360492</v>
      </c>
      <c r="E30" s="132">
        <f>IF(SER_hh_tes_in!E30=0,0,11630*1000*SER_hh_tes_in!E30/SER_hh_num_in!E30)</f>
        <v>32308.713802452985</v>
      </c>
      <c r="F30" s="132">
        <f>IF(SER_hh_tes_in!F30=0,0,11630*1000*SER_hh_tes_in!F30/SER_hh_num_in!F30)</f>
        <v>34967.768399007968</v>
      </c>
      <c r="G30" s="132">
        <f>IF(SER_hh_tes_in!G30=0,0,11630*1000*SER_hh_tes_in!G30/SER_hh_num_in!G30)</f>
        <v>0</v>
      </c>
      <c r="H30" s="132">
        <f>IF(SER_hh_tes_in!H30=0,0,11630*1000*SER_hh_tes_in!H30/SER_hh_num_in!H30)</f>
        <v>0</v>
      </c>
      <c r="I30" s="132">
        <f>IF(SER_hh_tes_in!I30=0,0,11630*1000*SER_hh_tes_in!I30/SER_hh_num_in!I30)</f>
        <v>0</v>
      </c>
      <c r="J30" s="132">
        <f>IF(SER_hh_tes_in!J30=0,0,11630*1000*SER_hh_tes_in!J30/SER_hh_num_in!J30)</f>
        <v>0</v>
      </c>
      <c r="K30" s="132">
        <f>IF(SER_hh_tes_in!K30=0,0,11630*1000*SER_hh_tes_in!K30/SER_hh_num_in!K30)</f>
        <v>29940.328181490637</v>
      </c>
      <c r="L30" s="132">
        <f>IF(SER_hh_tes_in!L30=0,0,11630*1000*SER_hh_tes_in!L30/SER_hh_num_in!L30)</f>
        <v>52200.162414570259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30602.390124188558</v>
      </c>
      <c r="O30" s="132">
        <f>IF(SER_hh_tes_in!O30=0,0,11630*1000*SER_hh_tes_in!O30/SER_hh_num_in!O30)</f>
        <v>29563.41811708259</v>
      </c>
      <c r="P30" s="132">
        <f>IF(SER_hh_tes_in!P30=0,0,11630*1000*SER_hh_tes_in!P30/SER_hh_num_in!P30)</f>
        <v>27086.966420669694</v>
      </c>
      <c r="Q30" s="132">
        <f>IF(SER_hh_tes_in!Q30=0,0,11630*1000*SER_hh_tes_in!Q30/SER_hh_num_in!Q30)</f>
        <v>0</v>
      </c>
      <c r="R30" s="132">
        <f>IF(SER_hh_tes_in!R30=0,0,11630*1000*SER_hh_tes_in!R30/SER_hh_num_in!R30)</f>
        <v>0</v>
      </c>
      <c r="S30" s="132">
        <f>IF(SER_hh_tes_in!S30=0,0,11630*1000*SER_hh_tes_in!S30/SER_hh_num_in!S30)</f>
        <v>0</v>
      </c>
      <c r="T30" s="132">
        <f>IF(SER_hh_tes_in!T30=0,0,11630*1000*SER_hh_tes_in!T30/SER_hh_num_in!T30)</f>
        <v>0</v>
      </c>
      <c r="U30" s="132">
        <f>IF(SER_hh_tes_in!U30=0,0,11630*1000*SER_hh_tes_in!U30/SER_hh_num_in!U30)</f>
        <v>0</v>
      </c>
      <c r="V30" s="132">
        <f>IF(SER_hh_tes_in!V30=0,0,11630*1000*SER_hh_tes_in!V30/SER_hh_num_in!V30)</f>
        <v>0</v>
      </c>
      <c r="W30" s="132">
        <f>IF(SER_hh_tes_in!W30=0,0,11630*1000*SER_hh_tes_in!W30/SER_hh_num_in!W30)</f>
        <v>19523.436047850453</v>
      </c>
      <c r="X30" s="132">
        <f>IF(SER_hh_tes_in!X30=0,0,11630*1000*SER_hh_tes_in!X30/SER_hh_num_in!X30)</f>
        <v>32989.63691158755</v>
      </c>
      <c r="Y30" s="132">
        <f>IF(SER_hh_tes_in!Y30=0,0,11630*1000*SER_hh_tes_in!Y30/SER_hh_num_in!Y30)</f>
        <v>0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25662.961145600162</v>
      </c>
      <c r="D31" s="132">
        <f>IF(SER_hh_tes_in!D31=0,0,11630*1000*SER_hh_tes_in!D31/SER_hh_num_in!D31)</f>
        <v>27126.662302181488</v>
      </c>
      <c r="E31" s="132">
        <f>IF(SER_hh_tes_in!E31=0,0,11630*1000*SER_hh_tes_in!E31/SER_hh_num_in!E31)</f>
        <v>27064.060254075521</v>
      </c>
      <c r="F31" s="132">
        <f>IF(SER_hh_tes_in!F31=0,0,11630*1000*SER_hh_tes_in!F31/SER_hh_num_in!F31)</f>
        <v>21191.969561147336</v>
      </c>
      <c r="G31" s="132">
        <f>IF(SER_hh_tes_in!G31=0,0,11630*1000*SER_hh_tes_in!G31/SER_hh_num_in!G31)</f>
        <v>28386.570123916732</v>
      </c>
      <c r="H31" s="132">
        <f>IF(SER_hh_tes_in!H31=0,0,11630*1000*SER_hh_tes_in!H31/SER_hh_num_in!H31)</f>
        <v>28326.341038186303</v>
      </c>
      <c r="I31" s="132">
        <f>IF(SER_hh_tes_in!I31=0,0,11630*1000*SER_hh_tes_in!I31/SER_hh_num_in!I31)</f>
        <v>28096.961692387438</v>
      </c>
      <c r="J31" s="132">
        <f>IF(SER_hh_tes_in!J31=0,0,11630*1000*SER_hh_tes_in!J31/SER_hh_num_in!J31)</f>
        <v>27486.343935547942</v>
      </c>
      <c r="K31" s="132">
        <f>IF(SER_hh_tes_in!K31=0,0,11630*1000*SER_hh_tes_in!K31/SER_hh_num_in!K31)</f>
        <v>27181.297727811379</v>
      </c>
      <c r="L31" s="132">
        <f>IF(SER_hh_tes_in!L31=0,0,11630*1000*SER_hh_tes_in!L31/SER_hh_num_in!L31)</f>
        <v>26906.361203214019</v>
      </c>
      <c r="M31" s="132">
        <f>IF(SER_hh_tes_in!M31=0,0,11630*1000*SER_hh_tes_in!M31/SER_hh_num_in!M31)</f>
        <v>24188.780019439448</v>
      </c>
      <c r="N31" s="132">
        <f>IF(SER_hh_tes_in!N31=0,0,11630*1000*SER_hh_tes_in!N31/SER_hh_num_in!N31)</f>
        <v>25284.227403917052</v>
      </c>
      <c r="O31" s="132">
        <f>IF(SER_hh_tes_in!O31=0,0,11630*1000*SER_hh_tes_in!O31/SER_hh_num_in!O31)</f>
        <v>27128.045114384349</v>
      </c>
      <c r="P31" s="132">
        <f>IF(SER_hh_tes_in!P31=0,0,11630*1000*SER_hh_tes_in!P31/SER_hh_num_in!P31)</f>
        <v>26075.930013816473</v>
      </c>
      <c r="Q31" s="132">
        <f>IF(SER_hh_tes_in!Q31=0,0,11630*1000*SER_hh_tes_in!Q31/SER_hh_num_in!Q31)</f>
        <v>27285.445396132411</v>
      </c>
      <c r="R31" s="132">
        <f>IF(SER_hh_tes_in!R31=0,0,11630*1000*SER_hh_tes_in!R31/SER_hh_num_in!R31)</f>
        <v>26973.550926828811</v>
      </c>
      <c r="S31" s="132">
        <f>IF(SER_hh_tes_in!S31=0,0,11630*1000*SER_hh_tes_in!S31/SER_hh_num_in!S31)</f>
        <v>26272.520229954665</v>
      </c>
      <c r="T31" s="132">
        <f>IF(SER_hh_tes_in!T31=0,0,11630*1000*SER_hh_tes_in!T31/SER_hh_num_in!T31)</f>
        <v>23925.926087303036</v>
      </c>
      <c r="U31" s="132">
        <f>IF(SER_hh_tes_in!U31=0,0,11630*1000*SER_hh_tes_in!U31/SER_hh_num_in!U31)</f>
        <v>19866.973845666227</v>
      </c>
      <c r="V31" s="132">
        <f>IF(SER_hh_tes_in!V31=0,0,11630*1000*SER_hh_tes_in!V31/SER_hh_num_in!V31)</f>
        <v>17507.607719757307</v>
      </c>
      <c r="W31" s="132">
        <f>IF(SER_hh_tes_in!W31=0,0,11630*1000*SER_hh_tes_in!W31/SER_hh_num_in!W31)</f>
        <v>27867.373607082351</v>
      </c>
      <c r="X31" s="132">
        <f>IF(SER_hh_tes_in!X31=0,0,11630*1000*SER_hh_tes_in!X31/SER_hh_num_in!X31)</f>
        <v>26296.859159040167</v>
      </c>
      <c r="Y31" s="132">
        <f>IF(SER_hh_tes_in!Y31=0,0,11630*1000*SER_hh_tes_in!Y31/SER_hh_num_in!Y31)</f>
        <v>23998.224182052687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0</v>
      </c>
      <c r="D33" s="68">
        <f>IF(SER_hh_tes_in!D33=0,0,11630*1000*SER_hh_tes_in!D33/SER_hh_num_in!D33)</f>
        <v>21289.496054263094</v>
      </c>
      <c r="E33" s="68">
        <f>IF(SER_hh_tes_in!E33=0,0,11630*1000*SER_hh_tes_in!E33/SER_hh_num_in!E33)</f>
        <v>22219.789201216347</v>
      </c>
      <c r="F33" s="68">
        <f>IF(SER_hh_tes_in!F33=0,0,11630*1000*SER_hh_tes_in!F33/SER_hh_num_in!F33)</f>
        <v>27493.607906572437</v>
      </c>
      <c r="G33" s="68">
        <f>IF(SER_hh_tes_in!G33=0,0,11630*1000*SER_hh_tes_in!G33/SER_hh_num_in!G33)</f>
        <v>28314.864314680755</v>
      </c>
      <c r="H33" s="68">
        <f>IF(SER_hh_tes_in!H33=0,0,11630*1000*SER_hh_tes_in!H33/SER_hh_num_in!H33)</f>
        <v>25887.269592696732</v>
      </c>
      <c r="I33" s="68">
        <f>IF(SER_hh_tes_in!I33=0,0,11630*1000*SER_hh_tes_in!I33/SER_hh_num_in!I33)</f>
        <v>28150.124559692871</v>
      </c>
      <c r="J33" s="68">
        <f>IF(SER_hh_tes_in!J33=0,0,11630*1000*SER_hh_tes_in!J33/SER_hh_num_in!J33)</f>
        <v>28317.914285354527</v>
      </c>
      <c r="K33" s="68">
        <f>IF(SER_hh_tes_in!K33=0,0,11630*1000*SER_hh_tes_in!K33/SER_hh_num_in!K33)</f>
        <v>26852.491029315777</v>
      </c>
      <c r="L33" s="68">
        <f>IF(SER_hh_tes_in!L33=0,0,11630*1000*SER_hh_tes_in!L33/SER_hh_num_in!L33)</f>
        <v>23427.618262171196</v>
      </c>
      <c r="M33" s="68">
        <f>IF(SER_hh_tes_in!M33=0,0,11630*1000*SER_hh_tes_in!M33/SER_hh_num_in!M33)</f>
        <v>30115.855352461749</v>
      </c>
      <c r="N33" s="68">
        <f>IF(SER_hh_tes_in!N33=0,0,11630*1000*SER_hh_tes_in!N33/SER_hh_num_in!N33)</f>
        <v>26595.936209927317</v>
      </c>
      <c r="O33" s="68">
        <f>IF(SER_hh_tes_in!O33=0,0,11630*1000*SER_hh_tes_in!O33/SER_hh_num_in!O33)</f>
        <v>25409.707158025954</v>
      </c>
      <c r="P33" s="68">
        <f>IF(SER_hh_tes_in!P33=0,0,11630*1000*SER_hh_tes_in!P33/SER_hh_num_in!P33)</f>
        <v>25900.280460159422</v>
      </c>
      <c r="Q33" s="68">
        <f>IF(SER_hh_tes_in!Q33=0,0,11630*1000*SER_hh_tes_in!Q33/SER_hh_num_in!Q33)</f>
        <v>25029.96613813259</v>
      </c>
      <c r="R33" s="68">
        <f>IF(SER_hh_tes_in!R33=0,0,11630*1000*SER_hh_tes_in!R33/SER_hh_num_in!R33)</f>
        <v>24684.320866496386</v>
      </c>
      <c r="S33" s="68">
        <f>IF(SER_hh_tes_in!S33=0,0,11630*1000*SER_hh_tes_in!S33/SER_hh_num_in!S33)</f>
        <v>25726.91793773976</v>
      </c>
      <c r="T33" s="68">
        <f>IF(SER_hh_tes_in!T33=0,0,11630*1000*SER_hh_tes_in!T33/SER_hh_num_in!T33)</f>
        <v>26307.24173491112</v>
      </c>
      <c r="U33" s="68">
        <f>IF(SER_hh_tes_in!U33=0,0,11630*1000*SER_hh_tes_in!U33/SER_hh_num_in!U33)</f>
        <v>28313.065821387874</v>
      </c>
      <c r="V33" s="68">
        <f>IF(SER_hh_tes_in!V33=0,0,11630*1000*SER_hh_tes_in!V33/SER_hh_num_in!V33)</f>
        <v>26370.20604142606</v>
      </c>
      <c r="W33" s="68">
        <f>IF(SER_hh_tes_in!W33=0,0,11630*1000*SER_hh_tes_in!W33/SER_hh_num_in!W33)</f>
        <v>23232.414545263237</v>
      </c>
      <c r="X33" s="68">
        <f>IF(SER_hh_tes_in!X33=0,0,11630*1000*SER_hh_tes_in!X33/SER_hh_num_in!X33)</f>
        <v>23211.601621788879</v>
      </c>
      <c r="Y33" s="68">
        <f>IF(SER_hh_tes_in!Y33=0,0,11630*1000*SER_hh_tes_in!Y33/SER_hh_num_in!Y33)</f>
        <v>25057.128485651378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18971.006301429112</v>
      </c>
      <c r="D3" s="125">
        <f>IF(SER_hh_emi_in!D3=0,0,1000000*SER_hh_emi_in!D3/SER_hh_num_in!D3)</f>
        <v>18215.11694888998</v>
      </c>
      <c r="E3" s="125">
        <f>IF(SER_hh_emi_in!E3=0,0,1000000*SER_hh_emi_in!E3/SER_hh_num_in!E3)</f>
        <v>8613.7826752600831</v>
      </c>
      <c r="F3" s="125">
        <f>IF(SER_hh_emi_in!F3=0,0,1000000*SER_hh_emi_in!F3/SER_hh_num_in!F3)</f>
        <v>39880.493376990642</v>
      </c>
      <c r="G3" s="125">
        <f>IF(SER_hh_emi_in!G3=0,0,1000000*SER_hh_emi_in!G3/SER_hh_num_in!G3)</f>
        <v>109727.65723193366</v>
      </c>
      <c r="H3" s="125">
        <f>IF(SER_hh_emi_in!H3=0,0,1000000*SER_hh_emi_in!H3/SER_hh_num_in!H3)</f>
        <v>110741.32792485638</v>
      </c>
      <c r="I3" s="125">
        <f>IF(SER_hh_emi_in!I3=0,0,1000000*SER_hh_emi_in!I3/SER_hh_num_in!I3)</f>
        <v>110856.3515849673</v>
      </c>
      <c r="J3" s="125">
        <f>IF(SER_hh_emi_in!J3=0,0,1000000*SER_hh_emi_in!J3/SER_hh_num_in!J3)</f>
        <v>99512.656560586474</v>
      </c>
      <c r="K3" s="125">
        <f>IF(SER_hh_emi_in!K3=0,0,1000000*SER_hh_emi_in!K3/SER_hh_num_in!K3)</f>
        <v>110298.65597281714</v>
      </c>
      <c r="L3" s="125">
        <f>IF(SER_hh_emi_in!L3=0,0,1000000*SER_hh_emi_in!L3/SER_hh_num_in!L3)</f>
        <v>34215.499239224024</v>
      </c>
      <c r="M3" s="125">
        <f>IF(SER_hh_emi_in!M3=0,0,1000000*SER_hh_emi_in!M3/SER_hh_num_in!M3)</f>
        <v>24927.140658338365</v>
      </c>
      <c r="N3" s="125">
        <f>IF(SER_hh_emi_in!N3=0,0,1000000*SER_hh_emi_in!N3/SER_hh_num_in!N3)</f>
        <v>58725.937599150951</v>
      </c>
      <c r="O3" s="125">
        <f>IF(SER_hh_emi_in!O3=0,0,1000000*SER_hh_emi_in!O3/SER_hh_num_in!O3)</f>
        <v>45585.890976246563</v>
      </c>
      <c r="P3" s="125">
        <f>IF(SER_hh_emi_in!P3=0,0,1000000*SER_hh_emi_in!P3/SER_hh_num_in!P3)</f>
        <v>28054.924671902256</v>
      </c>
      <c r="Q3" s="125">
        <f>IF(SER_hh_emi_in!Q3=0,0,1000000*SER_hh_emi_in!Q3/SER_hh_num_in!Q3)</f>
        <v>13775.000260209001</v>
      </c>
      <c r="R3" s="125">
        <f>IF(SER_hh_emi_in!R3=0,0,1000000*SER_hh_emi_in!R3/SER_hh_num_in!R3)</f>
        <v>16523.018670764657</v>
      </c>
      <c r="S3" s="125">
        <f>IF(SER_hh_emi_in!S3=0,0,1000000*SER_hh_emi_in!S3/SER_hh_num_in!S3)</f>
        <v>12077.174233539599</v>
      </c>
      <c r="T3" s="125">
        <f>IF(SER_hh_emi_in!T3=0,0,1000000*SER_hh_emi_in!T3/SER_hh_num_in!T3)</f>
        <v>14886.9336457593</v>
      </c>
      <c r="U3" s="125">
        <f>IF(SER_hh_emi_in!U3=0,0,1000000*SER_hh_emi_in!U3/SER_hh_num_in!U3)</f>
        <v>15200.665480750242</v>
      </c>
      <c r="V3" s="125">
        <f>IF(SER_hh_emi_in!V3=0,0,1000000*SER_hh_emi_in!V3/SER_hh_num_in!V3)</f>
        <v>11766.224435694734</v>
      </c>
      <c r="W3" s="125">
        <f>IF(SER_hh_emi_in!W3=0,0,1000000*SER_hh_emi_in!W3/SER_hh_num_in!W3)</f>
        <v>15509.931690704905</v>
      </c>
      <c r="X3" s="125">
        <f>IF(SER_hh_emi_in!X3=0,0,1000000*SER_hh_emi_in!X3/SER_hh_num_in!X3)</f>
        <v>14080.944368670651</v>
      </c>
      <c r="Y3" s="125">
        <f>IF(SER_hh_emi_in!Y3=0,0,1000000*SER_hh_emi_in!Y3/SER_hh_num_in!Y3)</f>
        <v>11929.229117633773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5356.2051165735929</v>
      </c>
      <c r="D4" s="130">
        <f>IF(SER_hh_emi_in!D4=0,0,1000000*SER_hh_emi_in!D4/SER_hh_num_in!D4)</f>
        <v>4783.8688793119827</v>
      </c>
      <c r="E4" s="130">
        <f>IF(SER_hh_emi_in!E4=0,0,1000000*SER_hh_emi_in!E4/SER_hh_num_in!E4)</f>
        <v>2370.6434164785533</v>
      </c>
      <c r="F4" s="130">
        <f>IF(SER_hh_emi_in!F4=0,0,1000000*SER_hh_emi_in!F4/SER_hh_num_in!F4)</f>
        <v>32821.863679314352</v>
      </c>
      <c r="G4" s="130">
        <f>IF(SER_hh_emi_in!G4=0,0,1000000*SER_hh_emi_in!G4/SER_hh_num_in!G4)</f>
        <v>105059.59011713833</v>
      </c>
      <c r="H4" s="130">
        <f>IF(SER_hh_emi_in!H4=0,0,1000000*SER_hh_emi_in!H4/SER_hh_num_in!H4)</f>
        <v>103990.81332746096</v>
      </c>
      <c r="I4" s="130">
        <f>IF(SER_hh_emi_in!I4=0,0,1000000*SER_hh_emi_in!I4/SER_hh_num_in!I4)</f>
        <v>103541.91995269799</v>
      </c>
      <c r="J4" s="130">
        <f>IF(SER_hh_emi_in!J4=0,0,1000000*SER_hh_emi_in!J4/SER_hh_num_in!J4)</f>
        <v>91728.41882693331</v>
      </c>
      <c r="K4" s="130">
        <f>IF(SER_hh_emi_in!K4=0,0,1000000*SER_hh_emi_in!K4/SER_hh_num_in!K4)</f>
        <v>101165.87543609327</v>
      </c>
      <c r="L4" s="130">
        <f>IF(SER_hh_emi_in!L4=0,0,1000000*SER_hh_emi_in!L4/SER_hh_num_in!L4)</f>
        <v>27018.169542429765</v>
      </c>
      <c r="M4" s="130">
        <f>IF(SER_hh_emi_in!M4=0,0,1000000*SER_hh_emi_in!M4/SER_hh_num_in!M4)</f>
        <v>19065.493305415588</v>
      </c>
      <c r="N4" s="130">
        <f>IF(SER_hh_emi_in!N4=0,0,1000000*SER_hh_emi_in!N4/SER_hh_num_in!N4)</f>
        <v>45756.91072807007</v>
      </c>
      <c r="O4" s="130">
        <f>IF(SER_hh_emi_in!O4=0,0,1000000*SER_hh_emi_in!O4/SER_hh_num_in!O4)</f>
        <v>32387.493961948261</v>
      </c>
      <c r="P4" s="130">
        <f>IF(SER_hh_emi_in!P4=0,0,1000000*SER_hh_emi_in!P4/SER_hh_num_in!P4)</f>
        <v>18331.620377076484</v>
      </c>
      <c r="Q4" s="130">
        <f>IF(SER_hh_emi_in!Q4=0,0,1000000*SER_hh_emi_in!Q4/SER_hh_num_in!Q4)</f>
        <v>7238.6494565026469</v>
      </c>
      <c r="R4" s="130">
        <f>IF(SER_hh_emi_in!R4=0,0,1000000*SER_hh_emi_in!R4/SER_hh_num_in!R4)</f>
        <v>11727.542641475031</v>
      </c>
      <c r="S4" s="130">
        <f>IF(SER_hh_emi_in!S4=0,0,1000000*SER_hh_emi_in!S4/SER_hh_num_in!S4)</f>
        <v>9781.970002058104</v>
      </c>
      <c r="T4" s="130">
        <f>IF(SER_hh_emi_in!T4=0,0,1000000*SER_hh_emi_in!T4/SER_hh_num_in!T4)</f>
        <v>12886.804648475359</v>
      </c>
      <c r="U4" s="130">
        <f>IF(SER_hh_emi_in!U4=0,0,1000000*SER_hh_emi_in!U4/SER_hh_num_in!U4)</f>
        <v>12806.157731715793</v>
      </c>
      <c r="V4" s="130">
        <f>IF(SER_hh_emi_in!V4=0,0,1000000*SER_hh_emi_in!V4/SER_hh_num_in!V4)</f>
        <v>8708.9927760783085</v>
      </c>
      <c r="W4" s="130">
        <f>IF(SER_hh_emi_in!W4=0,0,1000000*SER_hh_emi_in!W4/SER_hh_num_in!W4)</f>
        <v>10417.146334161329</v>
      </c>
      <c r="X4" s="130">
        <f>IF(SER_hh_emi_in!X4=0,0,1000000*SER_hh_emi_in!X4/SER_hh_num_in!X4)</f>
        <v>6360.2716463919533</v>
      </c>
      <c r="Y4" s="130">
        <f>IF(SER_hh_emi_in!Y4=0,0,1000000*SER_hh_emi_in!Y4/SER_hh_num_in!Y4)</f>
        <v>5294.5774948986355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167064.84237376193</v>
      </c>
      <c r="D5" s="132">
        <f>IF(SER_hh_emi_in!D5=0,0,1000000*SER_hh_emi_in!D5/SER_hh_num_in!D5)</f>
        <v>227771.67273310243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44367.523809704733</v>
      </c>
      <c r="H5" s="132">
        <f>IF(SER_hh_emi_in!H5=0,0,1000000*SER_hh_emi_in!H5/SER_hh_num_in!H5)</f>
        <v>103347.48378591784</v>
      </c>
      <c r="I5" s="132">
        <f>IF(SER_hh_emi_in!I5=0,0,1000000*SER_hh_emi_in!I5/SER_hh_num_in!I5)</f>
        <v>121288.97236225619</v>
      </c>
      <c r="J5" s="132">
        <f>IF(SER_hh_emi_in!J5=0,0,1000000*SER_hh_emi_in!J5/SER_hh_num_in!J5)</f>
        <v>122741.29013896374</v>
      </c>
      <c r="K5" s="132">
        <f>IF(SER_hh_emi_in!K5=0,0,1000000*SER_hh_emi_in!K5/SER_hh_num_in!K5)</f>
        <v>223024.27586779595</v>
      </c>
      <c r="L5" s="132">
        <f>IF(SER_hh_emi_in!L5=0,0,1000000*SER_hh_emi_in!L5/SER_hh_num_in!L5)</f>
        <v>114401.43332817091</v>
      </c>
      <c r="M5" s="132">
        <f>IF(SER_hh_emi_in!M5=0,0,1000000*SER_hh_emi_in!M5/SER_hh_num_in!M5)</f>
        <v>132762.48756853674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40811.042519470691</v>
      </c>
      <c r="T5" s="132">
        <f>IF(SER_hh_emi_in!T5=0,0,1000000*SER_hh_emi_in!T5/SER_hh_num_in!T5)</f>
        <v>39627.636400888645</v>
      </c>
      <c r="U5" s="132">
        <f>IF(SER_hh_emi_in!U5=0,0,1000000*SER_hh_emi_in!U5/SER_hh_num_in!U5)</f>
        <v>52390.462913052164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15972.196058982052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225376.41808117088</v>
      </c>
      <c r="D7" s="132">
        <f>IF(SER_hh_emi_in!D7=0,0,1000000*SER_hh_emi_in!D7/SER_hh_num_in!D7)</f>
        <v>0</v>
      </c>
      <c r="E7" s="132">
        <f>IF(SER_hh_emi_in!E7=0,0,1000000*SER_hh_emi_in!E7/SER_hh_num_in!E7)</f>
        <v>55329.090102341324</v>
      </c>
      <c r="F7" s="132">
        <f>IF(SER_hh_emi_in!F7=0,0,1000000*SER_hh_emi_in!F7/SER_hh_num_in!F7)</f>
        <v>147122.78923649772</v>
      </c>
      <c r="G7" s="132">
        <f>IF(SER_hh_emi_in!G7=0,0,1000000*SER_hh_emi_in!G7/SER_hh_num_in!G7)</f>
        <v>162717.68238062254</v>
      </c>
      <c r="H7" s="132">
        <f>IF(SER_hh_emi_in!H7=0,0,1000000*SER_hh_emi_in!H7/SER_hh_num_in!H7)</f>
        <v>0</v>
      </c>
      <c r="I7" s="132">
        <f>IF(SER_hh_emi_in!I7=0,0,1000000*SER_hh_emi_in!I7/SER_hh_num_in!I7)</f>
        <v>0</v>
      </c>
      <c r="J7" s="132">
        <f>IF(SER_hh_emi_in!J7=0,0,1000000*SER_hh_emi_in!J7/SER_hh_num_in!J7)</f>
        <v>0</v>
      </c>
      <c r="K7" s="132">
        <f>IF(SER_hh_emi_in!K7=0,0,1000000*SER_hh_emi_in!K7/SER_hh_num_in!K7)</f>
        <v>0</v>
      </c>
      <c r="L7" s="132">
        <f>IF(SER_hh_emi_in!L7=0,0,1000000*SER_hh_emi_in!L7/SER_hh_num_in!L7)</f>
        <v>0</v>
      </c>
      <c r="M7" s="132">
        <f>IF(SER_hh_emi_in!M7=0,0,1000000*SER_hh_emi_in!M7/SER_hh_num_in!M7)</f>
        <v>0</v>
      </c>
      <c r="N7" s="132">
        <f>IF(SER_hh_emi_in!N7=0,0,1000000*SER_hh_emi_in!N7/SER_hh_num_in!N7)</f>
        <v>0</v>
      </c>
      <c r="O7" s="132">
        <f>IF(SER_hh_emi_in!O7=0,0,1000000*SER_hh_emi_in!O7/SER_hh_num_in!O7)</f>
        <v>22395.981792206934</v>
      </c>
      <c r="P7" s="132">
        <f>IF(SER_hh_emi_in!P7=0,0,1000000*SER_hh_emi_in!P7/SER_hh_num_in!P7)</f>
        <v>52116.438739441095</v>
      </c>
      <c r="Q7" s="132">
        <f>IF(SER_hh_emi_in!Q7=0,0,1000000*SER_hh_emi_in!Q7/SER_hh_num_in!Q7)</f>
        <v>48204.178392171496</v>
      </c>
      <c r="R7" s="132">
        <f>IF(SER_hh_emi_in!R7=0,0,1000000*SER_hh_emi_in!R7/SER_hh_num_in!R7)</f>
        <v>0</v>
      </c>
      <c r="S7" s="132">
        <f>IF(SER_hh_emi_in!S7=0,0,1000000*SER_hh_emi_in!S7/SER_hh_num_in!S7)</f>
        <v>0</v>
      </c>
      <c r="T7" s="132">
        <f>IF(SER_hh_emi_in!T7=0,0,1000000*SER_hh_emi_in!T7/SER_hh_num_in!T7)</f>
        <v>0</v>
      </c>
      <c r="U7" s="132">
        <f>IF(SER_hh_emi_in!U7=0,0,1000000*SER_hh_emi_in!U7/SER_hh_num_in!U7)</f>
        <v>0</v>
      </c>
      <c r="V7" s="132">
        <f>IF(SER_hh_emi_in!V7=0,0,1000000*SER_hh_emi_in!V7/SER_hh_num_in!V7)</f>
        <v>0</v>
      </c>
      <c r="W7" s="132">
        <f>IF(SER_hh_emi_in!W7=0,0,1000000*SER_hh_emi_in!W7/SER_hh_num_in!W7)</f>
        <v>0</v>
      </c>
      <c r="X7" s="132">
        <f>IF(SER_hh_emi_in!X7=0,0,1000000*SER_hh_emi_in!X7/SER_hh_num_in!X7)</f>
        <v>0</v>
      </c>
      <c r="Y7" s="132">
        <f>IF(SER_hh_emi_in!Y7=0,0,1000000*SER_hh_emi_in!Y7/SER_hh_num_in!Y7)</f>
        <v>0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46936.820828209289</v>
      </c>
      <c r="D8" s="132">
        <f>IF(SER_hh_emi_in!D8=0,0,1000000*SER_hh_emi_in!D8/SER_hh_num_in!D8)</f>
        <v>34786.137422167973</v>
      </c>
      <c r="E8" s="132">
        <f>IF(SER_hh_emi_in!E8=0,0,1000000*SER_hh_emi_in!E8/SER_hh_num_in!E8)</f>
        <v>34297.479332217983</v>
      </c>
      <c r="F8" s="132">
        <f>IF(SER_hh_emi_in!F8=0,0,1000000*SER_hh_emi_in!F8/SER_hh_num_in!F8)</f>
        <v>34518.281399627187</v>
      </c>
      <c r="G8" s="132">
        <f>IF(SER_hh_emi_in!G8=0,0,1000000*SER_hh_emi_in!G8/SER_hh_num_in!G8)</f>
        <v>34231.09808774641</v>
      </c>
      <c r="H8" s="132">
        <f>IF(SER_hh_emi_in!H8=0,0,1000000*SER_hh_emi_in!H8/SER_hh_num_in!H8)</f>
        <v>33815.942453334901</v>
      </c>
      <c r="I8" s="132">
        <f>IF(SER_hh_emi_in!I8=0,0,1000000*SER_hh_emi_in!I8/SER_hh_num_in!I8)</f>
        <v>30755.052373656039</v>
      </c>
      <c r="J8" s="132">
        <f>IF(SER_hh_emi_in!J8=0,0,1000000*SER_hh_emi_in!J8/SER_hh_num_in!J8)</f>
        <v>27734.593424523187</v>
      </c>
      <c r="K8" s="132">
        <f>IF(SER_hh_emi_in!K8=0,0,1000000*SER_hh_emi_in!K8/SER_hh_num_in!K8)</f>
        <v>24808.06449679664</v>
      </c>
      <c r="L8" s="132">
        <f>IF(SER_hh_emi_in!L8=0,0,1000000*SER_hh_emi_in!L8/SER_hh_num_in!L8)</f>
        <v>21057.376356841458</v>
      </c>
      <c r="M8" s="132">
        <f>IF(SER_hh_emi_in!M8=0,0,1000000*SER_hh_emi_in!M8/SER_hh_num_in!M8)</f>
        <v>18122.574222108571</v>
      </c>
      <c r="N8" s="132">
        <f>IF(SER_hh_emi_in!N8=0,0,1000000*SER_hh_emi_in!N8/SER_hh_num_in!N8)</f>
        <v>12826.784414666576</v>
      </c>
      <c r="O8" s="132">
        <f>IF(SER_hh_emi_in!O8=0,0,1000000*SER_hh_emi_in!O8/SER_hh_num_in!O8)</f>
        <v>12770.039408654249</v>
      </c>
      <c r="P8" s="132">
        <f>IF(SER_hh_emi_in!P8=0,0,1000000*SER_hh_emi_in!P8/SER_hh_num_in!P8)</f>
        <v>9879.5606771527855</v>
      </c>
      <c r="Q8" s="132">
        <f>IF(SER_hh_emi_in!Q8=0,0,1000000*SER_hh_emi_in!Q8/SER_hh_num_in!Q8)</f>
        <v>9254.2976535930102</v>
      </c>
      <c r="R8" s="132">
        <f>IF(SER_hh_emi_in!R8=0,0,1000000*SER_hh_emi_in!R8/SER_hh_num_in!R8)</f>
        <v>7541.7983805592148</v>
      </c>
      <c r="S8" s="132">
        <f>IF(SER_hh_emi_in!S8=0,0,1000000*SER_hh_emi_in!S8/SER_hh_num_in!S8)</f>
        <v>6921.39051319385</v>
      </c>
      <c r="T8" s="132">
        <f>IF(SER_hh_emi_in!T8=0,0,1000000*SER_hh_emi_in!T8/SER_hh_num_in!T8)</f>
        <v>5941.5085525827926</v>
      </c>
      <c r="U8" s="132">
        <f>IF(SER_hh_emi_in!U8=0,0,1000000*SER_hh_emi_in!U8/SER_hh_num_in!U8)</f>
        <v>4572.6666157446534</v>
      </c>
      <c r="V8" s="132">
        <f>IF(SER_hh_emi_in!V8=0,0,1000000*SER_hh_emi_in!V8/SER_hh_num_in!V8)</f>
        <v>4450.8081798193825</v>
      </c>
      <c r="W8" s="132">
        <f>IF(SER_hh_emi_in!W8=0,0,1000000*SER_hh_emi_in!W8/SER_hh_num_in!W8)</f>
        <v>3557.1332773738077</v>
      </c>
      <c r="X8" s="132">
        <f>IF(SER_hh_emi_in!X8=0,0,1000000*SER_hh_emi_in!X8/SER_hh_num_in!X8)</f>
        <v>2811.5473592168478</v>
      </c>
      <c r="Y8" s="132">
        <f>IF(SER_hh_emi_in!Y8=0,0,1000000*SER_hh_emi_in!Y8/SER_hh_num_in!Y8)</f>
        <v>2827.4085515982465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0</v>
      </c>
      <c r="D9" s="132">
        <f>IF(SER_hh_emi_in!D9=0,0,1000000*SER_hh_emi_in!D9/SER_hh_num_in!D9)</f>
        <v>0</v>
      </c>
      <c r="E9" s="132">
        <f>IF(SER_hh_emi_in!E9=0,0,1000000*SER_hh_emi_in!E9/SER_hh_num_in!E9)</f>
        <v>79451.123079144905</v>
      </c>
      <c r="F9" s="132">
        <f>IF(SER_hh_emi_in!F9=0,0,1000000*SER_hh_emi_in!F9/SER_hh_num_in!F9)</f>
        <v>46130.301076922922</v>
      </c>
      <c r="G9" s="132">
        <f>IF(SER_hh_emi_in!G9=0,0,1000000*SER_hh_emi_in!G9/SER_hh_num_in!G9)</f>
        <v>113529.9389236975</v>
      </c>
      <c r="H9" s="132">
        <f>IF(SER_hh_emi_in!H9=0,0,1000000*SER_hh_emi_in!H9/SER_hh_num_in!H9)</f>
        <v>104568.27680917557</v>
      </c>
      <c r="I9" s="132">
        <f>IF(SER_hh_emi_in!I9=0,0,1000000*SER_hh_emi_in!I9/SER_hh_num_in!I9)</f>
        <v>89503.277237595481</v>
      </c>
      <c r="J9" s="132">
        <f>IF(SER_hh_emi_in!J9=0,0,1000000*SER_hh_emi_in!J9/SER_hh_num_in!J9)</f>
        <v>90700.061511362117</v>
      </c>
      <c r="K9" s="132">
        <f>IF(SER_hh_emi_in!K9=0,0,1000000*SER_hh_emi_in!K9/SER_hh_num_in!K9)</f>
        <v>0</v>
      </c>
      <c r="L9" s="132">
        <f>IF(SER_hh_emi_in!L9=0,0,1000000*SER_hh_emi_in!L9/SER_hh_num_in!L9)</f>
        <v>97026.917071891672</v>
      </c>
      <c r="M9" s="132">
        <f>IF(SER_hh_emi_in!M9=0,0,1000000*SER_hh_emi_in!M9/SER_hh_num_in!M9)</f>
        <v>34327.462556789113</v>
      </c>
      <c r="N9" s="132">
        <f>IF(SER_hh_emi_in!N9=0,0,1000000*SER_hh_emi_in!N9/SER_hh_num_in!N9)</f>
        <v>53419.548159971659</v>
      </c>
      <c r="O9" s="132">
        <f>IF(SER_hh_emi_in!O9=0,0,1000000*SER_hh_emi_in!O9/SER_hh_num_in!O9)</f>
        <v>57615.215836590258</v>
      </c>
      <c r="P9" s="132">
        <f>IF(SER_hh_emi_in!P9=0,0,1000000*SER_hh_emi_in!P9/SER_hh_num_in!P9)</f>
        <v>29200.709150697796</v>
      </c>
      <c r="Q9" s="132">
        <f>IF(SER_hh_emi_in!Q9=0,0,1000000*SER_hh_emi_in!Q9/SER_hh_num_in!Q9)</f>
        <v>28761.444520996327</v>
      </c>
      <c r="R9" s="132">
        <f>IF(SER_hh_emi_in!R9=0,0,1000000*SER_hh_emi_in!R9/SER_hh_num_in!R9)</f>
        <v>26306.312555729437</v>
      </c>
      <c r="S9" s="132">
        <f>IF(SER_hh_emi_in!S9=0,0,1000000*SER_hh_emi_in!S9/SER_hh_num_in!S9)</f>
        <v>27476.917321447065</v>
      </c>
      <c r="T9" s="132">
        <f>IF(SER_hh_emi_in!T9=0,0,1000000*SER_hh_emi_in!T9/SER_hh_num_in!T9)</f>
        <v>21891.575986921045</v>
      </c>
      <c r="U9" s="132">
        <f>IF(SER_hh_emi_in!U9=0,0,1000000*SER_hh_emi_in!U9/SER_hh_num_in!U9)</f>
        <v>15966.779242864095</v>
      </c>
      <c r="V9" s="132">
        <f>IF(SER_hh_emi_in!V9=0,0,1000000*SER_hh_emi_in!V9/SER_hh_num_in!V9)</f>
        <v>13051.401014360574</v>
      </c>
      <c r="W9" s="132">
        <f>IF(SER_hh_emi_in!W9=0,0,1000000*SER_hh_emi_in!W9/SER_hh_num_in!W9)</f>
        <v>14750.485773941506</v>
      </c>
      <c r="X9" s="132">
        <f>IF(SER_hh_emi_in!X9=0,0,1000000*SER_hh_emi_in!X9/SER_hh_num_in!X9)</f>
        <v>10938.572022843942</v>
      </c>
      <c r="Y9" s="132">
        <f>IF(SER_hh_emi_in!Y9=0,0,1000000*SER_hh_emi_in!Y9/SER_hh_num_in!Y9)</f>
        <v>8738.9909821953315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67603.150563620991</v>
      </c>
      <c r="K10" s="132">
        <f>IF(SER_hh_emi_in!K10=0,0,1000000*SER_hh_emi_in!K10/SER_hh_num_in!K10)</f>
        <v>80950.305060266997</v>
      </c>
      <c r="L10" s="132">
        <f>IF(SER_hh_emi_in!L10=0,0,1000000*SER_hh_emi_in!L10/SER_hh_num_in!L10)</f>
        <v>73376.694457668185</v>
      </c>
      <c r="M10" s="132">
        <f>IF(SER_hh_emi_in!M10=0,0,1000000*SER_hh_emi_in!M10/SER_hh_num_in!M10)</f>
        <v>42440.197159708339</v>
      </c>
      <c r="N10" s="132">
        <f>IF(SER_hh_emi_in!N10=0,0,1000000*SER_hh_emi_in!N10/SER_hh_num_in!N10)</f>
        <v>61782.003264357205</v>
      </c>
      <c r="O10" s="132">
        <f>IF(SER_hh_emi_in!O10=0,0,1000000*SER_hh_emi_in!O10/SER_hh_num_in!O10)</f>
        <v>12425.768136079269</v>
      </c>
      <c r="P10" s="132">
        <f>IF(SER_hh_emi_in!P10=0,0,1000000*SER_hh_emi_in!P10/SER_hh_num_in!P10)</f>
        <v>97796.870293258849</v>
      </c>
      <c r="Q10" s="132">
        <f>IF(SER_hh_emi_in!Q10=0,0,1000000*SER_hh_emi_in!Q10/SER_hh_num_in!Q10)</f>
        <v>50882.643128266005</v>
      </c>
      <c r="R10" s="132">
        <f>IF(SER_hh_emi_in!R10=0,0,1000000*SER_hh_emi_in!R10/SER_hh_num_in!R10)</f>
        <v>6041.0010565230768</v>
      </c>
      <c r="S10" s="132">
        <f>IF(SER_hh_emi_in!S10=0,0,1000000*SER_hh_emi_in!S10/SER_hh_num_in!S10)</f>
        <v>26209.83944551427</v>
      </c>
      <c r="T10" s="132">
        <f>IF(SER_hh_emi_in!T10=0,0,1000000*SER_hh_emi_in!T10/SER_hh_num_in!T10)</f>
        <v>416.12252018633285</v>
      </c>
      <c r="U10" s="132">
        <f>IF(SER_hh_emi_in!U10=0,0,1000000*SER_hh_emi_in!U10/SER_hh_num_in!U10)</f>
        <v>17253.701166351831</v>
      </c>
      <c r="V10" s="132">
        <f>IF(SER_hh_emi_in!V10=0,0,1000000*SER_hh_emi_in!V10/SER_hh_num_in!V10)</f>
        <v>15584.777786395665</v>
      </c>
      <c r="W10" s="132">
        <f>IF(SER_hh_emi_in!W10=0,0,1000000*SER_hh_emi_in!W10/SER_hh_num_in!W10)</f>
        <v>12970.355631157474</v>
      </c>
      <c r="X10" s="132">
        <f>IF(SER_hh_emi_in!X10=0,0,1000000*SER_hh_emi_in!X10/SER_hh_num_in!X10)</f>
        <v>6173.4081412202022</v>
      </c>
      <c r="Y10" s="132">
        <f>IF(SER_hh_emi_in!Y10=0,0,1000000*SER_hh_emi_in!Y10/SER_hh_num_in!Y10)</f>
        <v>10164.194686916706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32.514446422607435</v>
      </c>
      <c r="D16" s="130">
        <f>IF(SER_hh_emi_in!D16=0,0,1000000*SER_hh_emi_in!D16/SER_hh_num_in!D16)</f>
        <v>0</v>
      </c>
      <c r="E16" s="130">
        <f>IF(SER_hh_emi_in!E16=0,0,1000000*SER_hh_emi_in!E16/SER_hh_num_in!E16)</f>
        <v>7.3487882487827685</v>
      </c>
      <c r="F16" s="130">
        <f>IF(SER_hh_emi_in!F16=0,0,1000000*SER_hh_emi_in!F16/SER_hh_num_in!F16)</f>
        <v>0</v>
      </c>
      <c r="G16" s="130">
        <f>IF(SER_hh_emi_in!G16=0,0,1000000*SER_hh_emi_in!G16/SER_hh_num_in!G16)</f>
        <v>32.250145395411963</v>
      </c>
      <c r="H16" s="130">
        <f>IF(SER_hh_emi_in!H16=0,0,1000000*SER_hh_emi_in!H16/SER_hh_num_in!H16)</f>
        <v>18.034496412616004</v>
      </c>
      <c r="I16" s="130">
        <f>IF(SER_hh_emi_in!I16=0,0,1000000*SER_hh_emi_in!I16/SER_hh_num_in!I16)</f>
        <v>8.4711134362113487</v>
      </c>
      <c r="J16" s="130">
        <f>IF(SER_hh_emi_in!J16=0,0,1000000*SER_hh_emi_in!J16/SER_hh_num_in!J16)</f>
        <v>17.565600902283755</v>
      </c>
      <c r="K16" s="130">
        <f>IF(SER_hh_emi_in!K16=0,0,1000000*SER_hh_emi_in!K16/SER_hh_num_in!K16)</f>
        <v>10.612424708354167</v>
      </c>
      <c r="L16" s="130">
        <f>IF(SER_hh_emi_in!L16=0,0,1000000*SER_hh_emi_in!L16/SER_hh_num_in!L16)</f>
        <v>18.126698352757739</v>
      </c>
      <c r="M16" s="130">
        <f>IF(SER_hh_emi_in!M16=0,0,1000000*SER_hh_emi_in!M16/SER_hh_num_in!M16)</f>
        <v>26.179441370323641</v>
      </c>
      <c r="N16" s="130">
        <f>IF(SER_hh_emi_in!N16=0,0,1000000*SER_hh_emi_in!N16/SER_hh_num_in!N16)</f>
        <v>15.285455354645743</v>
      </c>
      <c r="O16" s="130">
        <f>IF(SER_hh_emi_in!O16=0,0,1000000*SER_hh_emi_in!O16/SER_hh_num_in!O16)</f>
        <v>47.540469476957114</v>
      </c>
      <c r="P16" s="130">
        <f>IF(SER_hh_emi_in!P16=0,0,1000000*SER_hh_emi_in!P16/SER_hh_num_in!P16)</f>
        <v>67.632480049104942</v>
      </c>
      <c r="Q16" s="130">
        <f>IF(SER_hh_emi_in!Q16=0,0,1000000*SER_hh_emi_in!Q16/SER_hh_num_in!Q16)</f>
        <v>53.943969342841761</v>
      </c>
      <c r="R16" s="130">
        <f>IF(SER_hh_emi_in!R16=0,0,1000000*SER_hh_emi_in!R16/SER_hh_num_in!R16)</f>
        <v>109.59846378143087</v>
      </c>
      <c r="S16" s="130">
        <f>IF(SER_hh_emi_in!S16=0,0,1000000*SER_hh_emi_in!S16/SER_hh_num_in!S16)</f>
        <v>47.247895459333186</v>
      </c>
      <c r="T16" s="130">
        <f>IF(SER_hh_emi_in!T16=0,0,1000000*SER_hh_emi_in!T16/SER_hh_num_in!T16)</f>
        <v>69.028088776022429</v>
      </c>
      <c r="U16" s="130">
        <f>IF(SER_hh_emi_in!U16=0,0,1000000*SER_hh_emi_in!U16/SER_hh_num_in!U16)</f>
        <v>47.072983927638482</v>
      </c>
      <c r="V16" s="130">
        <f>IF(SER_hh_emi_in!V16=0,0,1000000*SER_hh_emi_in!V16/SER_hh_num_in!V16)</f>
        <v>58.93285936972422</v>
      </c>
      <c r="W16" s="130">
        <f>IF(SER_hh_emi_in!W16=0,0,1000000*SER_hh_emi_in!W16/SER_hh_num_in!W16)</f>
        <v>50.459950618469769</v>
      </c>
      <c r="X16" s="130">
        <f>IF(SER_hh_emi_in!X16=0,0,1000000*SER_hh_emi_in!X16/SER_hh_num_in!X16)</f>
        <v>47.615953719570044</v>
      </c>
      <c r="Y16" s="130">
        <f>IF(SER_hh_emi_in!Y16=0,0,1000000*SER_hh_emi_in!Y16/SER_hh_num_in!Y16)</f>
        <v>52.91130806105803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4666.1324736732049</v>
      </c>
      <c r="D17" s="132">
        <f>IF(SER_hh_emi_in!D17=0,0,1000000*SER_hh_emi_in!D17/SER_hh_num_in!D17)</f>
        <v>0</v>
      </c>
      <c r="E17" s="132">
        <f>IF(SER_hh_emi_in!E17=0,0,1000000*SER_hh_emi_in!E17/SER_hh_num_in!E17)</f>
        <v>1286.0540476624776</v>
      </c>
      <c r="F17" s="132">
        <f>IF(SER_hh_emi_in!F17=0,0,1000000*SER_hh_emi_in!F17/SER_hh_num_in!F17)</f>
        <v>0</v>
      </c>
      <c r="G17" s="132">
        <f>IF(SER_hh_emi_in!G17=0,0,1000000*SER_hh_emi_in!G17/SER_hh_num_in!G17)</f>
        <v>4341.9850394913719</v>
      </c>
      <c r="H17" s="132">
        <f>IF(SER_hh_emi_in!H17=0,0,1000000*SER_hh_emi_in!H17/SER_hh_num_in!H17)</f>
        <v>4362.7569487202763</v>
      </c>
      <c r="I17" s="132">
        <f>IF(SER_hh_emi_in!I17=0,0,1000000*SER_hh_emi_in!I17/SER_hh_num_in!I17)</f>
        <v>4435.8671451031187</v>
      </c>
      <c r="J17" s="132">
        <f>IF(SER_hh_emi_in!J17=0,0,1000000*SER_hh_emi_in!J17/SER_hh_num_in!J17)</f>
        <v>4086.5818602615363</v>
      </c>
      <c r="K17" s="132">
        <f>IF(SER_hh_emi_in!K17=0,0,1000000*SER_hh_emi_in!K17/SER_hh_num_in!K17)</f>
        <v>3958.5358855106042</v>
      </c>
      <c r="L17" s="132">
        <f>IF(SER_hh_emi_in!L17=0,0,1000000*SER_hh_emi_in!L17/SER_hh_num_in!L17)</f>
        <v>4065.7909884169512</v>
      </c>
      <c r="M17" s="132">
        <f>IF(SER_hh_emi_in!M17=0,0,1000000*SER_hh_emi_in!M17/SER_hh_num_in!M17)</f>
        <v>3809.1961962447772</v>
      </c>
      <c r="N17" s="132">
        <f>IF(SER_hh_emi_in!N17=0,0,1000000*SER_hh_emi_in!N17/SER_hh_num_in!N17)</f>
        <v>4079.6573735581892</v>
      </c>
      <c r="O17" s="132">
        <f>IF(SER_hh_emi_in!O17=0,0,1000000*SER_hh_emi_in!O17/SER_hh_num_in!O17)</f>
        <v>3867.2188507715014</v>
      </c>
      <c r="P17" s="132">
        <f>IF(SER_hh_emi_in!P17=0,0,1000000*SER_hh_emi_in!P17/SER_hh_num_in!P17)</f>
        <v>3440.6500468118793</v>
      </c>
      <c r="Q17" s="132">
        <f>IF(SER_hh_emi_in!Q17=0,0,1000000*SER_hh_emi_in!Q17/SER_hh_num_in!Q17)</f>
        <v>3823.2592768755903</v>
      </c>
      <c r="R17" s="132">
        <f>IF(SER_hh_emi_in!R17=0,0,1000000*SER_hh_emi_in!R17/SER_hh_num_in!R17)</f>
        <v>3229.0080665832224</v>
      </c>
      <c r="S17" s="132">
        <f>IF(SER_hh_emi_in!S17=0,0,1000000*SER_hh_emi_in!S17/SER_hh_num_in!S17)</f>
        <v>3268.1179920275636</v>
      </c>
      <c r="T17" s="132">
        <f>IF(SER_hh_emi_in!T17=0,0,1000000*SER_hh_emi_in!T17/SER_hh_num_in!T17)</f>
        <v>3045.6141547184488</v>
      </c>
      <c r="U17" s="132">
        <f>IF(SER_hh_emi_in!U17=0,0,1000000*SER_hh_emi_in!U17/SER_hh_num_in!U17)</f>
        <v>2953.0890921944547</v>
      </c>
      <c r="V17" s="132">
        <f>IF(SER_hh_emi_in!V17=0,0,1000000*SER_hh_emi_in!V17/SER_hh_num_in!V17)</f>
        <v>2663.6060592231952</v>
      </c>
      <c r="W17" s="132">
        <f>IF(SER_hh_emi_in!W17=0,0,1000000*SER_hh_emi_in!W17/SER_hh_num_in!W17)</f>
        <v>2266.6607357470698</v>
      </c>
      <c r="X17" s="132">
        <f>IF(SER_hh_emi_in!X17=0,0,1000000*SER_hh_emi_in!X17/SER_hh_num_in!X17)</f>
        <v>2242.2378904403517</v>
      </c>
      <c r="Y17" s="132">
        <f>IF(SER_hh_emi_in!Y17=0,0,1000000*SER_hh_emi_in!Y17/SER_hh_num_in!Y17)</f>
        <v>2212.5639659209864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6263.340571511033</v>
      </c>
      <c r="D19" s="130">
        <f>IF(SER_hh_emi_in!D19=0,0,1000000*SER_hh_emi_in!D19/SER_hh_num_in!D19)</f>
        <v>3701.8956082844343</v>
      </c>
      <c r="E19" s="130">
        <f>IF(SER_hh_emi_in!E19=0,0,1000000*SER_hh_emi_in!E19/SER_hh_num_in!E19)</f>
        <v>2363.1323726302617</v>
      </c>
      <c r="F19" s="130">
        <f>IF(SER_hh_emi_in!F19=0,0,1000000*SER_hh_emi_in!F19/SER_hh_num_in!F19)</f>
        <v>1933.2839906022534</v>
      </c>
      <c r="G19" s="130">
        <f>IF(SER_hh_emi_in!G19=0,0,1000000*SER_hh_emi_in!G19/SER_hh_num_in!G19)</f>
        <v>1602.3725935742823</v>
      </c>
      <c r="H19" s="130">
        <f>IF(SER_hh_emi_in!H19=0,0,1000000*SER_hh_emi_in!H19/SER_hh_num_in!H19)</f>
        <v>3051.4806742635797</v>
      </c>
      <c r="I19" s="130">
        <f>IF(SER_hh_emi_in!I19=0,0,1000000*SER_hh_emi_in!I19/SER_hh_num_in!I19)</f>
        <v>4112.9566602868572</v>
      </c>
      <c r="J19" s="130">
        <f>IF(SER_hh_emi_in!J19=0,0,1000000*SER_hh_emi_in!J19/SER_hh_num_in!J19)</f>
        <v>4477.0152581093243</v>
      </c>
      <c r="K19" s="130">
        <f>IF(SER_hh_emi_in!K19=0,0,1000000*SER_hh_emi_in!K19/SER_hh_num_in!K19)</f>
        <v>4534.8283745254103</v>
      </c>
      <c r="L19" s="130">
        <f>IF(SER_hh_emi_in!L19=0,0,1000000*SER_hh_emi_in!L19/SER_hh_num_in!L19)</f>
        <v>3222.2979322820606</v>
      </c>
      <c r="M19" s="130">
        <f>IF(SER_hh_emi_in!M19=0,0,1000000*SER_hh_emi_in!M19/SER_hh_num_in!M19)</f>
        <v>3882.9246137246787</v>
      </c>
      <c r="N19" s="130">
        <f>IF(SER_hh_emi_in!N19=0,0,1000000*SER_hh_emi_in!N19/SER_hh_num_in!N19)</f>
        <v>5593.5860443943802</v>
      </c>
      <c r="O19" s="130">
        <f>IF(SER_hh_emi_in!O19=0,0,1000000*SER_hh_emi_in!O19/SER_hh_num_in!O19)</f>
        <v>5298.1322660548403</v>
      </c>
      <c r="P19" s="130">
        <f>IF(SER_hh_emi_in!P19=0,0,1000000*SER_hh_emi_in!P19/SER_hh_num_in!P19)</f>
        <v>3242.0335376843641</v>
      </c>
      <c r="Q19" s="130">
        <f>IF(SER_hh_emi_in!Q19=0,0,1000000*SER_hh_emi_in!Q19/SER_hh_num_in!Q19)</f>
        <v>2159.086466217364</v>
      </c>
      <c r="R19" s="130">
        <f>IF(SER_hh_emi_in!R19=0,0,1000000*SER_hh_emi_in!R19/SER_hh_num_in!R19)</f>
        <v>1791.3068669015386</v>
      </c>
      <c r="S19" s="130">
        <f>IF(SER_hh_emi_in!S19=0,0,1000000*SER_hh_emi_in!S19/SER_hh_num_in!S19)</f>
        <v>949.02902738716807</v>
      </c>
      <c r="T19" s="130">
        <f>IF(SER_hh_emi_in!T19=0,0,1000000*SER_hh_emi_in!T19/SER_hh_num_in!T19)</f>
        <v>0</v>
      </c>
      <c r="U19" s="130">
        <f>IF(SER_hh_emi_in!U19=0,0,1000000*SER_hh_emi_in!U19/SER_hh_num_in!U19)</f>
        <v>94.876760503206668</v>
      </c>
      <c r="V19" s="130">
        <f>IF(SER_hh_emi_in!V19=0,0,1000000*SER_hh_emi_in!V19/SER_hh_num_in!V19)</f>
        <v>389.83388931516782</v>
      </c>
      <c r="W19" s="130">
        <f>IF(SER_hh_emi_in!W19=0,0,1000000*SER_hh_emi_in!W19/SER_hh_num_in!W19)</f>
        <v>1578.3003577059994</v>
      </c>
      <c r="X19" s="130">
        <f>IF(SER_hh_emi_in!X19=0,0,1000000*SER_hh_emi_in!X19/SER_hh_num_in!X19)</f>
        <v>2757.9698182853608</v>
      </c>
      <c r="Y19" s="130">
        <f>IF(SER_hh_emi_in!Y19=0,0,1000000*SER_hh_emi_in!Y19/SER_hh_num_in!Y19)</f>
        <v>2482.0396885250984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11601.733832601773</v>
      </c>
      <c r="I20" s="132">
        <f>IF(SER_hh_emi_in!I20=0,0,1000000*SER_hh_emi_in!I20/SER_hh_num_in!I20)</f>
        <v>15640.695712011073</v>
      </c>
      <c r="J20" s="132">
        <f>IF(SER_hh_emi_in!J20=0,0,1000000*SER_hh_emi_in!J20/SER_hh_num_in!J20)</f>
        <v>14992.350302045663</v>
      </c>
      <c r="K20" s="132">
        <f>IF(SER_hh_emi_in!K20=0,0,1000000*SER_hh_emi_in!K20/SER_hh_num_in!K20)</f>
        <v>15232.851057899445</v>
      </c>
      <c r="L20" s="132">
        <f>IF(SER_hh_emi_in!L20=0,0,1000000*SER_hh_emi_in!L20/SER_hh_num_in!L20)</f>
        <v>13837.221369397093</v>
      </c>
      <c r="M20" s="132">
        <f>IF(SER_hh_emi_in!M20=0,0,1000000*SER_hh_emi_in!M20/SER_hh_num_in!M20)</f>
        <v>14127.649926118424</v>
      </c>
      <c r="N20" s="132">
        <f>IF(SER_hh_emi_in!N20=0,0,1000000*SER_hh_emi_in!N20/SER_hh_num_in!N20)</f>
        <v>13756.344413859637</v>
      </c>
      <c r="O20" s="132">
        <f>IF(SER_hh_emi_in!O20=0,0,1000000*SER_hh_emi_in!O20/SER_hh_num_in!O20)</f>
        <v>13462.345946683539</v>
      </c>
      <c r="P20" s="132">
        <f>IF(SER_hh_emi_in!P20=0,0,1000000*SER_hh_emi_in!P20/SER_hh_num_in!P20)</f>
        <v>14065.76332823554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17777.787834900544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0</v>
      </c>
      <c r="D22" s="132">
        <f>IF(SER_hh_emi_in!D22=0,0,1000000*SER_hh_emi_in!D22/SER_hh_num_in!D22)</f>
        <v>0</v>
      </c>
      <c r="E22" s="132">
        <f>IF(SER_hh_emi_in!E22=0,0,1000000*SER_hh_emi_in!E22/SER_hh_num_in!E22)</f>
        <v>0</v>
      </c>
      <c r="F22" s="132">
        <f>IF(SER_hh_emi_in!F22=0,0,1000000*SER_hh_emi_in!F22/SER_hh_num_in!F22)</f>
        <v>0</v>
      </c>
      <c r="G22" s="132">
        <f>IF(SER_hh_emi_in!G22=0,0,1000000*SER_hh_emi_in!G22/SER_hh_num_in!G22)</f>
        <v>0</v>
      </c>
      <c r="H22" s="132">
        <f>IF(SER_hh_emi_in!H22=0,0,1000000*SER_hh_emi_in!H22/SER_hh_num_in!H22)</f>
        <v>0</v>
      </c>
      <c r="I22" s="132">
        <f>IF(SER_hh_emi_in!I22=0,0,1000000*SER_hh_emi_in!I22/SER_hh_num_in!I22)</f>
        <v>0</v>
      </c>
      <c r="J22" s="132">
        <f>IF(SER_hh_emi_in!J22=0,0,1000000*SER_hh_emi_in!J22/SER_hh_num_in!J22)</f>
        <v>0</v>
      </c>
      <c r="K22" s="132">
        <f>IF(SER_hh_emi_in!K22=0,0,1000000*SER_hh_emi_in!K22/SER_hh_num_in!K22)</f>
        <v>0</v>
      </c>
      <c r="L22" s="132">
        <f>IF(SER_hh_emi_in!L22=0,0,1000000*SER_hh_emi_in!L22/SER_hh_num_in!L22)</f>
        <v>0</v>
      </c>
      <c r="M22" s="132">
        <f>IF(SER_hh_emi_in!M22=0,0,1000000*SER_hh_emi_in!M22/SER_hh_num_in!M22)</f>
        <v>0</v>
      </c>
      <c r="N22" s="132">
        <f>IF(SER_hh_emi_in!N22=0,0,1000000*SER_hh_emi_in!N22/SER_hh_num_in!N22)</f>
        <v>0</v>
      </c>
      <c r="O22" s="132">
        <f>IF(SER_hh_emi_in!O22=0,0,1000000*SER_hh_emi_in!O22/SER_hh_num_in!O22)</f>
        <v>0</v>
      </c>
      <c r="P22" s="132">
        <f>IF(SER_hh_emi_in!P22=0,0,1000000*SER_hh_emi_in!P22/SER_hh_num_in!P22)</f>
        <v>0</v>
      </c>
      <c r="Q22" s="132">
        <f>IF(SER_hh_emi_in!Q22=0,0,1000000*SER_hh_emi_in!Q22/SER_hh_num_in!Q22)</f>
        <v>0</v>
      </c>
      <c r="R22" s="132">
        <f>IF(SER_hh_emi_in!R22=0,0,1000000*SER_hh_emi_in!R22/SER_hh_num_in!R22)</f>
        <v>0</v>
      </c>
      <c r="S22" s="132">
        <f>IF(SER_hh_emi_in!S22=0,0,1000000*SER_hh_emi_in!S22/SER_hh_num_in!S22)</f>
        <v>0</v>
      </c>
      <c r="T22" s="132">
        <f>IF(SER_hh_emi_in!T22=0,0,1000000*SER_hh_emi_in!T22/SER_hh_num_in!T22)</f>
        <v>0</v>
      </c>
      <c r="U22" s="132">
        <f>IF(SER_hh_emi_in!U22=0,0,1000000*SER_hh_emi_in!U22/SER_hh_num_in!U22)</f>
        <v>0</v>
      </c>
      <c r="V22" s="132">
        <f>IF(SER_hh_emi_in!V22=0,0,1000000*SER_hh_emi_in!V22/SER_hh_num_in!V22)</f>
        <v>0</v>
      </c>
      <c r="W22" s="132">
        <f>IF(SER_hh_emi_in!W22=0,0,1000000*SER_hh_emi_in!W22/SER_hh_num_in!W22)</f>
        <v>0</v>
      </c>
      <c r="X22" s="132">
        <f>IF(SER_hh_emi_in!X22=0,0,1000000*SER_hh_emi_in!X22/SER_hh_num_in!X22)</f>
        <v>0</v>
      </c>
      <c r="Y22" s="132">
        <f>IF(SER_hh_emi_in!Y22=0,0,1000000*SER_hh_emi_in!Y22/SER_hh_num_in!Y22)</f>
        <v>0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9983.1464443709228</v>
      </c>
      <c r="D23" s="132">
        <f>IF(SER_hh_emi_in!D23=0,0,1000000*SER_hh_emi_in!D23/SER_hh_num_in!D23)</f>
        <v>9909.1647860253197</v>
      </c>
      <c r="E23" s="132">
        <f>IF(SER_hh_emi_in!E23=0,0,1000000*SER_hh_emi_in!E23/SER_hh_num_in!E23)</f>
        <v>8834.0087579169722</v>
      </c>
      <c r="F23" s="132">
        <f>IF(SER_hh_emi_in!F23=0,0,1000000*SER_hh_emi_in!F23/SER_hh_num_in!F23)</f>
        <v>9016.1315479516161</v>
      </c>
      <c r="G23" s="132">
        <f>IF(SER_hh_emi_in!G23=0,0,1000000*SER_hh_emi_in!G23/SER_hh_num_in!G23)</f>
        <v>8679.3482983916692</v>
      </c>
      <c r="H23" s="132">
        <f>IF(SER_hh_emi_in!H23=0,0,1000000*SER_hh_emi_in!H23/SER_hh_num_in!H23)</f>
        <v>8513.5738330836175</v>
      </c>
      <c r="I23" s="132">
        <f>IF(SER_hh_emi_in!I23=0,0,1000000*SER_hh_emi_in!I23/SER_hh_num_in!I23)</f>
        <v>8974.1014380793185</v>
      </c>
      <c r="J23" s="132">
        <f>IF(SER_hh_emi_in!J23=0,0,1000000*SER_hh_emi_in!J23/SER_hh_num_in!J23)</f>
        <v>8640.5339891337171</v>
      </c>
      <c r="K23" s="132">
        <f>IF(SER_hh_emi_in!K23=0,0,1000000*SER_hh_emi_in!K23/SER_hh_num_in!K23)</f>
        <v>8111.891894289397</v>
      </c>
      <c r="L23" s="132">
        <f>IF(SER_hh_emi_in!L23=0,0,1000000*SER_hh_emi_in!L23/SER_hh_num_in!L23)</f>
        <v>8087.9126582500003</v>
      </c>
      <c r="M23" s="132">
        <f>IF(SER_hh_emi_in!M23=0,0,1000000*SER_hh_emi_in!M23/SER_hh_num_in!M23)</f>
        <v>7278.9401676374318</v>
      </c>
      <c r="N23" s="132">
        <f>IF(SER_hh_emi_in!N23=0,0,1000000*SER_hh_emi_in!N23/SER_hh_num_in!N23)</f>
        <v>8022.131878723002</v>
      </c>
      <c r="O23" s="132">
        <f>IF(SER_hh_emi_in!O23=0,0,1000000*SER_hh_emi_in!O23/SER_hh_num_in!O23)</f>
        <v>8005.0390235280965</v>
      </c>
      <c r="P23" s="132">
        <f>IF(SER_hh_emi_in!P23=0,0,1000000*SER_hh_emi_in!P23/SER_hh_num_in!P23)</f>
        <v>6547.1316009813063</v>
      </c>
      <c r="Q23" s="132">
        <f>IF(SER_hh_emi_in!Q23=0,0,1000000*SER_hh_emi_in!Q23/SER_hh_num_in!Q23)</f>
        <v>7441.5524250045755</v>
      </c>
      <c r="R23" s="132">
        <f>IF(SER_hh_emi_in!R23=0,0,1000000*SER_hh_emi_in!R23/SER_hh_num_in!R23)</f>
        <v>7396.0485515771852</v>
      </c>
      <c r="S23" s="132">
        <f>IF(SER_hh_emi_in!S23=0,0,1000000*SER_hh_emi_in!S23/SER_hh_num_in!S23)</f>
        <v>6926.329884973743</v>
      </c>
      <c r="T23" s="132">
        <f>IF(SER_hh_emi_in!T23=0,0,1000000*SER_hh_emi_in!T23/SER_hh_num_in!T23)</f>
        <v>0</v>
      </c>
      <c r="U23" s="132">
        <f>IF(SER_hh_emi_in!U23=0,0,1000000*SER_hh_emi_in!U23/SER_hh_num_in!U23)</f>
        <v>0</v>
      </c>
      <c r="V23" s="132">
        <f>IF(SER_hh_emi_in!V23=0,0,1000000*SER_hh_emi_in!V23/SER_hh_num_in!V23)</f>
        <v>3823.3716342319644</v>
      </c>
      <c r="W23" s="132">
        <f>IF(SER_hh_emi_in!W23=0,0,1000000*SER_hh_emi_in!W23/SER_hh_num_in!W23)</f>
        <v>6396.7810697654368</v>
      </c>
      <c r="X23" s="132">
        <f>IF(SER_hh_emi_in!X23=0,0,1000000*SER_hh_emi_in!X23/SER_hh_num_in!X23)</f>
        <v>6284.0795420603908</v>
      </c>
      <c r="Y23" s="132">
        <f>IF(SER_hh_emi_in!Y23=0,0,1000000*SER_hh_emi_in!Y23/SER_hh_num_in!Y23)</f>
        <v>5613.4631857326331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7318.9461669218817</v>
      </c>
      <c r="D29" s="130">
        <f>IF(SER_hh_emi_in!D29=0,0,1000000*SER_hh_emi_in!D29/SER_hh_num_in!D29)</f>
        <v>9729.3524612935635</v>
      </c>
      <c r="E29" s="130">
        <f>IF(SER_hh_emi_in!E29=0,0,1000000*SER_hh_emi_in!E29/SER_hh_num_in!E29)</f>
        <v>3873.3165541874814</v>
      </c>
      <c r="F29" s="130">
        <f>IF(SER_hh_emi_in!F29=0,0,1000000*SER_hh_emi_in!F29/SER_hh_num_in!F29)</f>
        <v>5125.3457070740378</v>
      </c>
      <c r="G29" s="130">
        <f>IF(SER_hh_emi_in!G29=0,0,1000000*SER_hh_emi_in!G29/SER_hh_num_in!G29)</f>
        <v>3043.6893174640345</v>
      </c>
      <c r="H29" s="130">
        <f>IF(SER_hh_emi_in!H29=0,0,1000000*SER_hh_emi_in!H29/SER_hh_num_in!H29)</f>
        <v>3687.9505242877099</v>
      </c>
      <c r="I29" s="130">
        <f>IF(SER_hh_emi_in!I29=0,0,1000000*SER_hh_emi_in!I29/SER_hh_num_in!I29)</f>
        <v>3196.0583227584661</v>
      </c>
      <c r="J29" s="130">
        <f>IF(SER_hh_emi_in!J29=0,0,1000000*SER_hh_emi_in!J29/SER_hh_num_in!J29)</f>
        <v>3289.9662847298919</v>
      </c>
      <c r="K29" s="130">
        <f>IF(SER_hh_emi_in!K29=0,0,1000000*SER_hh_emi_in!K29/SER_hh_num_in!K29)</f>
        <v>4587.3397374901124</v>
      </c>
      <c r="L29" s="130">
        <f>IF(SER_hh_emi_in!L29=0,0,1000000*SER_hh_emi_in!L29/SER_hh_num_in!L29)</f>
        <v>3956.9050661594406</v>
      </c>
      <c r="M29" s="130">
        <f>IF(SER_hh_emi_in!M29=0,0,1000000*SER_hh_emi_in!M29/SER_hh_num_in!M29)</f>
        <v>1952.5432978277754</v>
      </c>
      <c r="N29" s="130">
        <f>IF(SER_hh_emi_in!N29=0,0,1000000*SER_hh_emi_in!N29/SER_hh_num_in!N29)</f>
        <v>7360.1553713318599</v>
      </c>
      <c r="O29" s="130">
        <f>IF(SER_hh_emi_in!O29=0,0,1000000*SER_hh_emi_in!O29/SER_hh_num_in!O29)</f>
        <v>7852.7242787664954</v>
      </c>
      <c r="P29" s="130">
        <f>IF(SER_hh_emi_in!P29=0,0,1000000*SER_hh_emi_in!P29/SER_hh_num_in!P29)</f>
        <v>6413.6382770923055</v>
      </c>
      <c r="Q29" s="130">
        <f>IF(SER_hh_emi_in!Q29=0,0,1000000*SER_hh_emi_in!Q29/SER_hh_num_in!Q29)</f>
        <v>4323.3203681461482</v>
      </c>
      <c r="R29" s="130">
        <f>IF(SER_hh_emi_in!R29=0,0,1000000*SER_hh_emi_in!R29/SER_hh_num_in!R29)</f>
        <v>2894.5706986066593</v>
      </c>
      <c r="S29" s="130">
        <f>IF(SER_hh_emi_in!S29=0,0,1000000*SER_hh_emi_in!S29/SER_hh_num_in!S29)</f>
        <v>1298.9273086349924</v>
      </c>
      <c r="T29" s="130">
        <f>IF(SER_hh_emi_in!T29=0,0,1000000*SER_hh_emi_in!T29/SER_hh_num_in!T29)</f>
        <v>1931.100908507922</v>
      </c>
      <c r="U29" s="130">
        <f>IF(SER_hh_emi_in!U29=0,0,1000000*SER_hh_emi_in!U29/SER_hh_num_in!U29)</f>
        <v>2252.5580046036034</v>
      </c>
      <c r="V29" s="130">
        <f>IF(SER_hh_emi_in!V29=0,0,1000000*SER_hh_emi_in!V29/SER_hh_num_in!V29)</f>
        <v>2608.4649109315337</v>
      </c>
      <c r="W29" s="130">
        <f>IF(SER_hh_emi_in!W29=0,0,1000000*SER_hh_emi_in!W29/SER_hh_num_in!W29)</f>
        <v>3464.0250482191077</v>
      </c>
      <c r="X29" s="130">
        <f>IF(SER_hh_emi_in!X29=0,0,1000000*SER_hh_emi_in!X29/SER_hh_num_in!X29)</f>
        <v>4915.0869502737687</v>
      </c>
      <c r="Y29" s="130">
        <f>IF(SER_hh_emi_in!Y29=0,0,1000000*SER_hh_emi_in!Y29/SER_hh_num_in!Y29)</f>
        <v>4099.7006261489832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7036.794079930306</v>
      </c>
      <c r="D30" s="132">
        <f>IF(SER_hh_emi_in!D30=0,0,1000000*SER_hh_emi_in!D30/SER_hh_num_in!D30)</f>
        <v>11303.317655845711</v>
      </c>
      <c r="E30" s="132">
        <f>IF(SER_hh_emi_in!E30=0,0,1000000*SER_hh_emi_in!E30/SER_hh_num_in!E30)</f>
        <v>11659.328207998868</v>
      </c>
      <c r="F30" s="132">
        <f>IF(SER_hh_emi_in!F30=0,0,1000000*SER_hh_emi_in!F30/SER_hh_num_in!F30)</f>
        <v>12615.232242149434</v>
      </c>
      <c r="G30" s="132">
        <f>IF(SER_hh_emi_in!G30=0,0,1000000*SER_hh_emi_in!G30/SER_hh_num_in!G30)</f>
        <v>0</v>
      </c>
      <c r="H30" s="132">
        <f>IF(SER_hh_emi_in!H30=0,0,1000000*SER_hh_emi_in!H30/SER_hh_num_in!H30)</f>
        <v>0</v>
      </c>
      <c r="I30" s="132">
        <f>IF(SER_hh_emi_in!I30=0,0,1000000*SER_hh_emi_in!I30/SER_hh_num_in!I30)</f>
        <v>0</v>
      </c>
      <c r="J30" s="132">
        <f>IF(SER_hh_emi_in!J30=0,0,1000000*SER_hh_emi_in!J30/SER_hh_num_in!J30)</f>
        <v>0</v>
      </c>
      <c r="K30" s="132">
        <f>IF(SER_hh_emi_in!K30=0,0,1000000*SER_hh_emi_in!K30/SER_hh_num_in!K30)</f>
        <v>10785.781563765351</v>
      </c>
      <c r="L30" s="132">
        <f>IF(SER_hh_emi_in!L30=0,0,1000000*SER_hh_emi_in!L30/SER_hh_num_in!L30)</f>
        <v>18799.249132058805</v>
      </c>
      <c r="M30" s="132">
        <f>IF(SER_hh_emi_in!M30=0,0,1000000*SER_hh_emi_in!M30/SER_hh_num_in!M30)</f>
        <v>0</v>
      </c>
      <c r="N30" s="132">
        <f>IF(SER_hh_emi_in!N30=0,0,1000000*SER_hh_emi_in!N30/SER_hh_num_in!N30)</f>
        <v>11017.279732512918</v>
      </c>
      <c r="O30" s="132">
        <f>IF(SER_hh_emi_in!O30=0,0,1000000*SER_hh_emi_in!O30/SER_hh_num_in!O30)</f>
        <v>10642.45001692714</v>
      </c>
      <c r="P30" s="132">
        <f>IF(SER_hh_emi_in!P30=0,0,1000000*SER_hh_emi_in!P30/SER_hh_num_in!P30)</f>
        <v>9748.9514880493552</v>
      </c>
      <c r="Q30" s="132">
        <f>IF(SER_hh_emi_in!Q30=0,0,1000000*SER_hh_emi_in!Q30/SER_hh_num_in!Q30)</f>
        <v>0</v>
      </c>
      <c r="R30" s="132">
        <f>IF(SER_hh_emi_in!R30=0,0,1000000*SER_hh_emi_in!R30/SER_hh_num_in!R30)</f>
        <v>0</v>
      </c>
      <c r="S30" s="132">
        <f>IF(SER_hh_emi_in!S30=0,0,1000000*SER_hh_emi_in!S30/SER_hh_num_in!S30)</f>
        <v>0</v>
      </c>
      <c r="T30" s="132">
        <f>IF(SER_hh_emi_in!T30=0,0,1000000*SER_hh_emi_in!T30/SER_hh_num_in!T30)</f>
        <v>0</v>
      </c>
      <c r="U30" s="132">
        <f>IF(SER_hh_emi_in!U30=0,0,1000000*SER_hh_emi_in!U30/SER_hh_num_in!U30)</f>
        <v>0</v>
      </c>
      <c r="V30" s="132">
        <f>IF(SER_hh_emi_in!V30=0,0,1000000*SER_hh_emi_in!V30/SER_hh_num_in!V30)</f>
        <v>0</v>
      </c>
      <c r="W30" s="132">
        <f>IF(SER_hh_emi_in!W30=0,0,1000000*SER_hh_emi_in!W30/SER_hh_num_in!W30)</f>
        <v>6916.6039625293643</v>
      </c>
      <c r="X30" s="132">
        <f>IF(SER_hh_emi_in!X30=0,0,1000000*SER_hh_emi_in!X30/SER_hh_num_in!X30)</f>
        <v>11680.570255066232</v>
      </c>
      <c r="Y30" s="132">
        <f>IF(SER_hh_emi_in!Y30=0,0,1000000*SER_hh_emi_in!Y30/SER_hh_num_in!Y30)</f>
        <v>0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8079.3799834904257</v>
      </c>
      <c r="D31" s="132">
        <f>IF(SER_hh_emi_in!D31=0,0,1000000*SER_hh_emi_in!D31/SER_hh_num_in!D31)</f>
        <v>8551.228009629247</v>
      </c>
      <c r="E31" s="132">
        <f>IF(SER_hh_emi_in!E31=0,0,1000000*SER_hh_emi_in!E31/SER_hh_num_in!E31)</f>
        <v>8545.2179675709704</v>
      </c>
      <c r="F31" s="132">
        <f>IF(SER_hh_emi_in!F31=0,0,1000000*SER_hh_emi_in!F31/SER_hh_num_in!F31)</f>
        <v>6616.4819553158413</v>
      </c>
      <c r="G31" s="132">
        <f>IF(SER_hh_emi_in!G31=0,0,1000000*SER_hh_emi_in!G31/SER_hh_num_in!G31)</f>
        <v>8984.1117312120259</v>
      </c>
      <c r="H31" s="132">
        <f>IF(SER_hh_emi_in!H31=0,0,1000000*SER_hh_emi_in!H31/SER_hh_num_in!H31)</f>
        <v>8928.5169188695254</v>
      </c>
      <c r="I31" s="132">
        <f>IF(SER_hh_emi_in!I31=0,0,1000000*SER_hh_emi_in!I31/SER_hh_num_in!I31)</f>
        <v>8874.5614125462071</v>
      </c>
      <c r="J31" s="132">
        <f>IF(SER_hh_emi_in!J31=0,0,1000000*SER_hh_emi_in!J31/SER_hh_num_in!J31)</f>
        <v>8670.8915006856423</v>
      </c>
      <c r="K31" s="132">
        <f>IF(SER_hh_emi_in!K31=0,0,1000000*SER_hh_emi_in!K31/SER_hh_num_in!K31)</f>
        <v>8478.4255358415176</v>
      </c>
      <c r="L31" s="132">
        <f>IF(SER_hh_emi_in!L31=0,0,1000000*SER_hh_emi_in!L31/SER_hh_num_in!L31)</f>
        <v>8463.172953744117</v>
      </c>
      <c r="M31" s="132">
        <f>IF(SER_hh_emi_in!M31=0,0,1000000*SER_hh_emi_in!M31/SER_hh_num_in!M31)</f>
        <v>7463.0666988016947</v>
      </c>
      <c r="N31" s="132">
        <f>IF(SER_hh_emi_in!N31=0,0,1000000*SER_hh_emi_in!N31/SER_hh_num_in!N31)</f>
        <v>7845.8961518319747</v>
      </c>
      <c r="O31" s="132">
        <f>IF(SER_hh_emi_in!O31=0,0,1000000*SER_hh_emi_in!O31/SER_hh_num_in!O31)</f>
        <v>8536.9997517145221</v>
      </c>
      <c r="P31" s="132">
        <f>IF(SER_hh_emi_in!P31=0,0,1000000*SER_hh_emi_in!P31/SER_hh_num_in!P31)</f>
        <v>8179.1646161951167</v>
      </c>
      <c r="Q31" s="132">
        <f>IF(SER_hh_emi_in!Q31=0,0,1000000*SER_hh_emi_in!Q31/SER_hh_num_in!Q31)</f>
        <v>8381.901049340091</v>
      </c>
      <c r="R31" s="132">
        <f>IF(SER_hh_emi_in!R31=0,0,1000000*SER_hh_emi_in!R31/SER_hh_num_in!R31)</f>
        <v>8340.4004211795018</v>
      </c>
      <c r="S31" s="132">
        <f>IF(SER_hh_emi_in!S31=0,0,1000000*SER_hh_emi_in!S31/SER_hh_num_in!S31)</f>
        <v>8119.2609091146642</v>
      </c>
      <c r="T31" s="132">
        <f>IF(SER_hh_emi_in!T31=0,0,1000000*SER_hh_emi_in!T31/SER_hh_num_in!T31)</f>
        <v>7353.5651027362865</v>
      </c>
      <c r="U31" s="132">
        <f>IF(SER_hh_emi_in!U31=0,0,1000000*SER_hh_emi_in!U31/SER_hh_num_in!U31)</f>
        <v>6084.5373787076851</v>
      </c>
      <c r="V31" s="132">
        <f>IF(SER_hh_emi_in!V31=0,0,1000000*SER_hh_emi_in!V31/SER_hh_num_in!V31)</f>
        <v>5343.5590107471717</v>
      </c>
      <c r="W31" s="132">
        <f>IF(SER_hh_emi_in!W31=0,0,1000000*SER_hh_emi_in!W31/SER_hh_num_in!W31)</f>
        <v>8552.340941306491</v>
      </c>
      <c r="X31" s="132">
        <f>IF(SER_hh_emi_in!X31=0,0,1000000*SER_hh_emi_in!X31/SER_hh_num_in!X31)</f>
        <v>8063.873621197974</v>
      </c>
      <c r="Y31" s="132">
        <f>IF(SER_hh_emi_in!Y31=0,0,1000000*SER_hh_emi_in!Y31/SER_hh_num_in!Y31)</f>
        <v>7320.4500263578948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599.63034322654073</v>
      </c>
      <c r="D3" s="125">
        <f>IF(SER_hh_fech_in!D3=0,0,SER_hh_fech_in!D3/SER_summary!D$27)</f>
        <v>536.5770729168396</v>
      </c>
      <c r="E3" s="125">
        <f>IF(SER_hh_fech_in!E3=0,0,SER_hh_fech_in!E3/SER_summary!E$27)</f>
        <v>394.48030491196113</v>
      </c>
      <c r="F3" s="125">
        <f>IF(SER_hh_fech_in!F3=0,0,SER_hh_fech_in!F3/SER_summary!F$27)</f>
        <v>408.01751438023575</v>
      </c>
      <c r="G3" s="125">
        <f>IF(SER_hh_fech_in!G3=0,0,SER_hh_fech_in!G3/SER_summary!G$27)</f>
        <v>702.86782892591089</v>
      </c>
      <c r="H3" s="125">
        <f>IF(SER_hh_fech_in!H3=0,0,SER_hh_fech_in!H3/SER_summary!H$27)</f>
        <v>648.41200135360145</v>
      </c>
      <c r="I3" s="125">
        <f>IF(SER_hh_fech_in!I3=0,0,SER_hh_fech_in!I3/SER_summary!I$27)</f>
        <v>527.29119366798159</v>
      </c>
      <c r="J3" s="125">
        <f>IF(SER_hh_fech_in!J3=0,0,SER_hh_fech_in!J3/SER_summary!J$27)</f>
        <v>484.2409105790511</v>
      </c>
      <c r="K3" s="125">
        <f>IF(SER_hh_fech_in!K3=0,0,SER_hh_fech_in!K3/SER_summary!K$27)</f>
        <v>588.88983999138952</v>
      </c>
      <c r="L3" s="125">
        <f>IF(SER_hh_fech_in!L3=0,0,SER_hh_fech_in!L3/SER_summary!L$27)</f>
        <v>466.04648250950521</v>
      </c>
      <c r="M3" s="125">
        <f>IF(SER_hh_fech_in!M3=0,0,SER_hh_fech_in!M3/SER_summary!M$27)</f>
        <v>357.49866293940261</v>
      </c>
      <c r="N3" s="125">
        <f>IF(SER_hh_fech_in!N3=0,0,SER_hh_fech_in!N3/SER_summary!N$27)</f>
        <v>379.31940095004046</v>
      </c>
      <c r="O3" s="125">
        <f>IF(SER_hh_fech_in!O3=0,0,SER_hh_fech_in!O3/SER_summary!O$27)</f>
        <v>371.36290159475294</v>
      </c>
      <c r="P3" s="125">
        <f>IF(SER_hh_fech_in!P3=0,0,SER_hh_fech_in!P3/SER_summary!P$27)</f>
        <v>238.18925512675904</v>
      </c>
      <c r="Q3" s="125">
        <f>IF(SER_hh_fech_in!Q3=0,0,SER_hh_fech_in!Q3/SER_summary!Q$27)</f>
        <v>230.3447053584427</v>
      </c>
      <c r="R3" s="125">
        <f>IF(SER_hh_fech_in!R3=0,0,SER_hh_fech_in!R3/SER_summary!R$27)</f>
        <v>221.49245088231936</v>
      </c>
      <c r="S3" s="125">
        <f>IF(SER_hh_fech_in!S3=0,0,SER_hh_fech_in!S3/SER_summary!S$27)</f>
        <v>224.31579976894989</v>
      </c>
      <c r="T3" s="125">
        <f>IF(SER_hh_fech_in!T3=0,0,SER_hh_fech_in!T3/SER_summary!T$27)</f>
        <v>191.3830710951917</v>
      </c>
      <c r="U3" s="125">
        <f>IF(SER_hh_fech_in!U3=0,0,SER_hh_fech_in!U3/SER_summary!U$27)</f>
        <v>164.15736939311768</v>
      </c>
      <c r="V3" s="125">
        <f>IF(SER_hh_fech_in!V3=0,0,SER_hh_fech_in!V3/SER_summary!V$27)</f>
        <v>137.12368360251591</v>
      </c>
      <c r="W3" s="125">
        <f>IF(SER_hh_fech_in!W3=0,0,SER_hh_fech_in!W3/SER_summary!W$27)</f>
        <v>146.80435157846642</v>
      </c>
      <c r="X3" s="125">
        <f>IF(SER_hh_fech_in!X3=0,0,SER_hh_fech_in!X3/SER_summary!X$27)</f>
        <v>130.76261569235777</v>
      </c>
      <c r="Y3" s="125">
        <f>IF(SER_hh_fech_in!Y3=0,0,SER_hh_fech_in!Y3/SER_summary!Y$27)</f>
        <v>116.0185234760097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501.76233183202129</v>
      </c>
      <c r="D4" s="130">
        <f>IF(SER_hh_fech_in!D4=0,0,SER_hh_fech_in!D4/SER_summary!D$27)</f>
        <v>428.12323245373386</v>
      </c>
      <c r="E4" s="130">
        <f>IF(SER_hh_fech_in!E4=0,0,SER_hh_fech_in!E4/SER_summary!E$27)</f>
        <v>301.32067861281496</v>
      </c>
      <c r="F4" s="130">
        <f>IF(SER_hh_fech_in!F4=0,0,SER_hh_fech_in!F4/SER_summary!F$27)</f>
        <v>314.97609817805909</v>
      </c>
      <c r="G4" s="130">
        <f>IF(SER_hh_fech_in!G4=0,0,SER_hh_fech_in!G4/SER_summary!G$27)</f>
        <v>608.97083527282246</v>
      </c>
      <c r="H4" s="130">
        <f>IF(SER_hh_fech_in!H4=0,0,SER_hh_fech_in!H4/SER_summary!H$27)</f>
        <v>556.90635007408287</v>
      </c>
      <c r="I4" s="130">
        <f>IF(SER_hh_fech_in!I4=0,0,SER_hh_fech_in!I4/SER_summary!I$27)</f>
        <v>434.49166167653954</v>
      </c>
      <c r="J4" s="130">
        <f>IF(SER_hh_fech_in!J4=0,0,SER_hh_fech_in!J4/SER_summary!J$27)</f>
        <v>389.72678289613458</v>
      </c>
      <c r="K4" s="130">
        <f>IF(SER_hh_fech_in!K4=0,0,SER_hh_fech_in!K4/SER_summary!K$27)</f>
        <v>493.82187023265436</v>
      </c>
      <c r="L4" s="130">
        <f>IF(SER_hh_fech_in!L4=0,0,SER_hh_fech_in!L4/SER_summary!L$27)</f>
        <v>374.89378336961187</v>
      </c>
      <c r="M4" s="130">
        <f>IF(SER_hh_fech_in!M4=0,0,SER_hh_fech_in!M4/SER_summary!M$27)</f>
        <v>267.1260344524801</v>
      </c>
      <c r="N4" s="130">
        <f>IF(SER_hh_fech_in!N4=0,0,SER_hh_fech_in!N4/SER_summary!N$27)</f>
        <v>282.45964993047164</v>
      </c>
      <c r="O4" s="130">
        <f>IF(SER_hh_fech_in!O4=0,0,SER_hh_fech_in!O4/SER_summary!O$27)</f>
        <v>274.72604997343473</v>
      </c>
      <c r="P4" s="130">
        <f>IF(SER_hh_fech_in!P4=0,0,SER_hh_fech_in!P4/SER_summary!P$27)</f>
        <v>151.82792779323719</v>
      </c>
      <c r="Q4" s="130">
        <f>IF(SER_hh_fech_in!Q4=0,0,SER_hh_fech_in!Q4/SER_summary!Q$27)</f>
        <v>146.66336255243257</v>
      </c>
      <c r="R4" s="130">
        <f>IF(SER_hh_fech_in!R4=0,0,SER_hh_fech_in!R4/SER_summary!R$27)</f>
        <v>141.83734660923642</v>
      </c>
      <c r="S4" s="130">
        <f>IF(SER_hh_fech_in!S4=0,0,SER_hh_fech_in!S4/SER_summary!S$27)</f>
        <v>148.12302264668634</v>
      </c>
      <c r="T4" s="130">
        <f>IF(SER_hh_fech_in!T4=0,0,SER_hh_fech_in!T4/SER_summary!T$27)</f>
        <v>117.20943200052986</v>
      </c>
      <c r="U4" s="130">
        <f>IF(SER_hh_fech_in!U4=0,0,SER_hh_fech_in!U4/SER_summary!U$27)</f>
        <v>91.852733819505843</v>
      </c>
      <c r="V4" s="130">
        <f>IF(SER_hh_fech_in!V4=0,0,SER_hh_fech_in!V4/SER_summary!V$27)</f>
        <v>69.763613326497406</v>
      </c>
      <c r="W4" s="130">
        <f>IF(SER_hh_fech_in!W4=0,0,SER_hh_fech_in!W4/SER_summary!W$27)</f>
        <v>75.957091003032261</v>
      </c>
      <c r="X4" s="130">
        <f>IF(SER_hh_fech_in!X4=0,0,SER_hh_fech_in!X4/SER_summary!X$27)</f>
        <v>55.79899670107153</v>
      </c>
      <c r="Y4" s="130">
        <f>IF(SER_hh_fech_in!Y4=0,0,SER_hh_fech_in!Y4/SER_summary!Y$27)</f>
        <v>44.433842713952522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513.84454376624478</v>
      </c>
      <c r="D5" s="132">
        <f>IF(SER_hh_fech_in!D5=0,0,SER_hh_fech_in!D5/SER_summary!D$27)</f>
        <v>672.29339267010664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135.04889210318944</v>
      </c>
      <c r="H5" s="132">
        <f>IF(SER_hh_fech_in!H5=0,0,SER_hh_fech_in!H5/SER_summary!H$27)</f>
        <v>316.71466394314689</v>
      </c>
      <c r="I5" s="132">
        <f>IF(SER_hh_fech_in!I5=0,0,SER_hh_fech_in!I5/SER_summary!I$27)</f>
        <v>377.32785888201437</v>
      </c>
      <c r="J5" s="132">
        <f>IF(SER_hh_fech_in!J5=0,0,SER_hh_fech_in!J5/SER_summary!J$27)</f>
        <v>389.19147305918534</v>
      </c>
      <c r="K5" s="132">
        <f>IF(SER_hh_fech_in!K5=0,0,SER_hh_fech_in!K5/SER_summary!K$27)</f>
        <v>682.45815635596182</v>
      </c>
      <c r="L5" s="132">
        <f>IF(SER_hh_fech_in!L5=0,0,SER_hh_fech_in!L5/SER_summary!L$27)</f>
        <v>360.75412486299854</v>
      </c>
      <c r="M5" s="132">
        <f>IF(SER_hh_fech_in!M5=0,0,SER_hh_fech_in!M5/SER_summary!M$27)</f>
        <v>403.42004257462025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130.19421246494579</v>
      </c>
      <c r="T5" s="132">
        <f>IF(SER_hh_fech_in!T5=0,0,SER_hh_fech_in!T5/SER_summary!T$27)</f>
        <v>127.00378995625798</v>
      </c>
      <c r="U5" s="132">
        <f>IF(SER_hh_fech_in!U5=0,0,SER_hh_fech_in!U5/SER_summary!U$27)</f>
        <v>164.40587641645973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51.243470877181984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939.33482771769059</v>
      </c>
      <c r="D7" s="132">
        <f>IF(SER_hh_fech_in!D7=0,0,SER_hh_fech_in!D7/SER_summary!D$27)</f>
        <v>0</v>
      </c>
      <c r="E7" s="132">
        <f>IF(SER_hh_fech_in!E7=0,0,SER_hh_fech_in!E7/SER_summary!E$27)</f>
        <v>232.01183605605331</v>
      </c>
      <c r="F7" s="132">
        <f>IF(SER_hh_fech_in!F7=0,0,SER_hh_fech_in!F7/SER_summary!F$27)</f>
        <v>598.64107469024566</v>
      </c>
      <c r="G7" s="132">
        <f>IF(SER_hh_fech_in!G7=0,0,SER_hh_fech_in!G7/SER_summary!G$27)</f>
        <v>688.0825323030582</v>
      </c>
      <c r="H7" s="132">
        <f>IF(SER_hh_fech_in!H7=0,0,SER_hh_fech_in!H7/SER_summary!H$27)</f>
        <v>0</v>
      </c>
      <c r="I7" s="132">
        <f>IF(SER_hh_fech_in!I7=0,0,SER_hh_fech_in!I7/SER_summary!I$27)</f>
        <v>0</v>
      </c>
      <c r="J7" s="132">
        <f>IF(SER_hh_fech_in!J7=0,0,SER_hh_fech_in!J7/SER_summary!J$27)</f>
        <v>0</v>
      </c>
      <c r="K7" s="132">
        <f>IF(SER_hh_fech_in!K7=0,0,SER_hh_fech_in!K7/SER_summary!K$27)</f>
        <v>0</v>
      </c>
      <c r="L7" s="132">
        <f>IF(SER_hh_fech_in!L7=0,0,SER_hh_fech_in!L7/SER_summary!L$27)</f>
        <v>0</v>
      </c>
      <c r="M7" s="132">
        <f>IF(SER_hh_fech_in!M7=0,0,SER_hh_fech_in!M7/SER_summary!M$27)</f>
        <v>0</v>
      </c>
      <c r="N7" s="132">
        <f>IF(SER_hh_fech_in!N7=0,0,SER_hh_fech_in!N7/SER_summary!N$27)</f>
        <v>0</v>
      </c>
      <c r="O7" s="132">
        <f>IF(SER_hh_fech_in!O7=0,0,SER_hh_fech_in!O7/SER_summary!O$27)</f>
        <v>93.283941421364631</v>
      </c>
      <c r="P7" s="132">
        <f>IF(SER_hh_fech_in!P7=0,0,SER_hh_fech_in!P7/SER_summary!P$27)</f>
        <v>217.07585153296796</v>
      </c>
      <c r="Q7" s="132">
        <f>IF(SER_hh_fech_in!Q7=0,0,SER_hh_fech_in!Q7/SER_summary!Q$27)</f>
        <v>200.78047013616688</v>
      </c>
      <c r="R7" s="132">
        <f>IF(SER_hh_fech_in!R7=0,0,SER_hh_fech_in!R7/SER_summary!R$27)</f>
        <v>0</v>
      </c>
      <c r="S7" s="132">
        <f>IF(SER_hh_fech_in!S7=0,0,SER_hh_fech_in!S7/SER_summary!S$27)</f>
        <v>0</v>
      </c>
      <c r="T7" s="132">
        <f>IF(SER_hh_fech_in!T7=0,0,SER_hh_fech_in!T7/SER_summary!T$27)</f>
        <v>0</v>
      </c>
      <c r="U7" s="132">
        <f>IF(SER_hh_fech_in!U7=0,0,SER_hh_fech_in!U7/SER_summary!U$27)</f>
        <v>0</v>
      </c>
      <c r="V7" s="132">
        <f>IF(SER_hh_fech_in!V7=0,0,SER_hh_fech_in!V7/SER_summary!V$27)</f>
        <v>0</v>
      </c>
      <c r="W7" s="132">
        <f>IF(SER_hh_fech_in!W7=0,0,SER_hh_fech_in!W7/SER_summary!W$27)</f>
        <v>0</v>
      </c>
      <c r="X7" s="132">
        <f>IF(SER_hh_fech_in!X7=0,0,SER_hh_fech_in!X7/SER_summary!X$27)</f>
        <v>0</v>
      </c>
      <c r="Y7" s="132">
        <f>IF(SER_hh_fech_in!Y7=0,0,SER_hh_fech_in!Y7/SER_summary!Y$27)</f>
        <v>0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260.09110564688154</v>
      </c>
      <c r="D8" s="132">
        <f>IF(SER_hh_fech_in!D8=0,0,SER_hh_fech_in!D8/SER_summary!D$27)</f>
        <v>192.45049522986415</v>
      </c>
      <c r="E8" s="132">
        <f>IF(SER_hh_fech_in!E8=0,0,SER_hh_fech_in!E8/SER_summary!E$27)</f>
        <v>189.38206324551641</v>
      </c>
      <c r="F8" s="132">
        <f>IF(SER_hh_fech_in!F8=0,0,SER_hh_fech_in!F8/SER_summary!F$27)</f>
        <v>192.69130310387351</v>
      </c>
      <c r="G8" s="132">
        <f>IF(SER_hh_fech_in!G8=0,0,SER_hh_fech_in!G8/SER_summary!G$27)</f>
        <v>188.44704231349615</v>
      </c>
      <c r="H8" s="132">
        <f>IF(SER_hh_fech_in!H8=0,0,SER_hh_fech_in!H8/SER_summary!H$27)</f>
        <v>186.86387874674145</v>
      </c>
      <c r="I8" s="132">
        <f>IF(SER_hh_fech_in!I8=0,0,SER_hh_fech_in!I8/SER_summary!I$27)</f>
        <v>169.5444836827877</v>
      </c>
      <c r="J8" s="132">
        <f>IF(SER_hh_fech_in!J8=0,0,SER_hh_fech_in!J8/SER_summary!J$27)</f>
        <v>153.03536567660461</v>
      </c>
      <c r="K8" s="132">
        <f>IF(SER_hh_fech_in!K8=0,0,SER_hh_fech_in!K8/SER_summary!K$27)</f>
        <v>138.39700581463393</v>
      </c>
      <c r="L8" s="132">
        <f>IF(SER_hh_fech_in!L8=0,0,SER_hh_fech_in!L8/SER_summary!L$27)</f>
        <v>116.45735280276844</v>
      </c>
      <c r="M8" s="132">
        <f>IF(SER_hh_fech_in!M8=0,0,SER_hh_fech_in!M8/SER_summary!M$27)</f>
        <v>102.15337264281348</v>
      </c>
      <c r="N8" s="132">
        <f>IF(SER_hh_fech_in!N8=0,0,SER_hh_fech_in!N8/SER_summary!N$27)</f>
        <v>71.879092353156693</v>
      </c>
      <c r="O8" s="132">
        <f>IF(SER_hh_fech_in!O8=0,0,SER_hh_fech_in!O8/SER_summary!O$27)</f>
        <v>70.55830677525114</v>
      </c>
      <c r="P8" s="132">
        <f>IF(SER_hh_fech_in!P8=0,0,SER_hh_fech_in!P8/SER_summary!P$27)</f>
        <v>54.75371586079315</v>
      </c>
      <c r="Q8" s="132">
        <f>IF(SER_hh_fech_in!Q8=0,0,SER_hh_fech_in!Q8/SER_summary!Q$27)</f>
        <v>52.321496979869401</v>
      </c>
      <c r="R8" s="132">
        <f>IF(SER_hh_fech_in!R8=0,0,SER_hh_fech_in!R8/SER_summary!R$27)</f>
        <v>42.260381421607775</v>
      </c>
      <c r="S8" s="132">
        <f>IF(SER_hh_fech_in!S8=0,0,SER_hh_fech_in!S8/SER_summary!S$27)</f>
        <v>38.674238930636378</v>
      </c>
      <c r="T8" s="132">
        <f>IF(SER_hh_fech_in!T8=0,0,SER_hh_fech_in!T8/SER_summary!T$27)</f>
        <v>33.25906173201173</v>
      </c>
      <c r="U8" s="132">
        <f>IF(SER_hh_fech_in!U8=0,0,SER_hh_fech_in!U8/SER_summary!U$27)</f>
        <v>25.601276070589094</v>
      </c>
      <c r="V8" s="132">
        <f>IF(SER_hh_fech_in!V8=0,0,SER_hh_fech_in!V8/SER_summary!V$27)</f>
        <v>24.94559495280928</v>
      </c>
      <c r="W8" s="132">
        <f>IF(SER_hh_fech_in!W8=0,0,SER_hh_fech_in!W8/SER_summary!W$27)</f>
        <v>19.805062801033465</v>
      </c>
      <c r="X8" s="132">
        <f>IF(SER_hh_fech_in!X8=0,0,SER_hh_fech_in!X8/SER_summary!X$27)</f>
        <v>15.657166462794303</v>
      </c>
      <c r="Y8" s="132">
        <f>IF(SER_hh_fech_in!Y8=0,0,SER_hh_fech_in!Y8/SER_summary!Y$27)</f>
        <v>15.827479288659983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0</v>
      </c>
      <c r="D9" s="132">
        <f>IF(SER_hh_fech_in!D9=0,0,SER_hh_fech_in!D9/SER_summary!D$27)</f>
        <v>0</v>
      </c>
      <c r="E9" s="132">
        <f>IF(SER_hh_fech_in!E9=0,0,SER_hh_fech_in!E9/SER_summary!E$27)</f>
        <v>438.70913865578456</v>
      </c>
      <c r="F9" s="132">
        <f>IF(SER_hh_fech_in!F9=0,0,SER_hh_fech_in!F9/SER_summary!F$27)</f>
        <v>257.51304719308251</v>
      </c>
      <c r="G9" s="132">
        <f>IF(SER_hh_fech_in!G9=0,0,SER_hh_fech_in!G9/SER_summary!G$27)</f>
        <v>624.99839033387968</v>
      </c>
      <c r="H9" s="132">
        <f>IF(SER_hh_fech_in!H9=0,0,SER_hh_fech_in!H9/SER_summary!H$27)</f>
        <v>577.83496128757042</v>
      </c>
      <c r="I9" s="132">
        <f>IF(SER_hh_fech_in!I9=0,0,SER_hh_fech_in!I9/SER_summary!I$27)</f>
        <v>493.40793645221851</v>
      </c>
      <c r="J9" s="132">
        <f>IF(SER_hh_fech_in!J9=0,0,SER_hh_fech_in!J9/SER_summary!J$27)</f>
        <v>500.46946309329087</v>
      </c>
      <c r="K9" s="132">
        <f>IF(SER_hh_fech_in!K9=0,0,SER_hh_fech_in!K9/SER_summary!K$27)</f>
        <v>0</v>
      </c>
      <c r="L9" s="132">
        <f>IF(SER_hh_fech_in!L9=0,0,SER_hh_fech_in!L9/SER_summary!L$27)</f>
        <v>536.60521241218544</v>
      </c>
      <c r="M9" s="132">
        <f>IF(SER_hh_fech_in!M9=0,0,SER_hh_fech_in!M9/SER_summary!M$27)</f>
        <v>193.49712857944652</v>
      </c>
      <c r="N9" s="132">
        <f>IF(SER_hh_fech_in!N9=0,0,SER_hh_fech_in!N9/SER_summary!N$27)</f>
        <v>299.35395431328891</v>
      </c>
      <c r="O9" s="132">
        <f>IF(SER_hh_fech_in!O9=0,0,SER_hh_fech_in!O9/SER_summary!O$27)</f>
        <v>318.34138829402809</v>
      </c>
      <c r="P9" s="132">
        <f>IF(SER_hh_fech_in!P9=0,0,SER_hh_fech_in!P9/SER_summary!P$27)</f>
        <v>161.83384909699703</v>
      </c>
      <c r="Q9" s="132">
        <f>IF(SER_hh_fech_in!Q9=0,0,SER_hh_fech_in!Q9/SER_summary!Q$27)</f>
        <v>162.61005307709451</v>
      </c>
      <c r="R9" s="132">
        <f>IF(SER_hh_fech_in!R9=0,0,SER_hh_fech_in!R9/SER_summary!R$27)</f>
        <v>147.40712311626703</v>
      </c>
      <c r="S9" s="132">
        <f>IF(SER_hh_fech_in!S9=0,0,SER_hh_fech_in!S9/SER_summary!S$27)</f>
        <v>153.53112406261698</v>
      </c>
      <c r="T9" s="132">
        <f>IF(SER_hh_fech_in!T9=0,0,SER_hh_fech_in!T9/SER_summary!T$27)</f>
        <v>122.54350401356034</v>
      </c>
      <c r="U9" s="132">
        <f>IF(SER_hh_fech_in!U9=0,0,SER_hh_fech_in!U9/SER_summary!U$27)</f>
        <v>89.394210797532082</v>
      </c>
      <c r="V9" s="132">
        <f>IF(SER_hh_fech_in!V9=0,0,SER_hh_fech_in!V9/SER_summary!V$27)</f>
        <v>73.149628138801305</v>
      </c>
      <c r="W9" s="132">
        <f>IF(SER_hh_fech_in!W9=0,0,SER_hh_fech_in!W9/SER_summary!W$27)</f>
        <v>82.126328793151615</v>
      </c>
      <c r="X9" s="132">
        <f>IF(SER_hh_fech_in!X9=0,0,SER_hh_fech_in!X9/SER_summary!X$27)</f>
        <v>60.915581758024636</v>
      </c>
      <c r="Y9" s="132">
        <f>IF(SER_hh_fech_in!Y9=0,0,SER_hh_fech_in!Y9/SER_summary!Y$27)</f>
        <v>48.919778040671595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0</v>
      </c>
      <c r="D10" s="132">
        <f>IF(SER_hh_fech_in!D10=0,0,SER_hh_fech_in!D10/SER_summary!D$27)</f>
        <v>0</v>
      </c>
      <c r="E10" s="132">
        <f>IF(SER_hh_fech_in!E10=0,0,SER_hh_fech_in!E10/SER_summary!E$27)</f>
        <v>0</v>
      </c>
      <c r="F10" s="132">
        <f>IF(SER_hh_fech_in!F10=0,0,SER_hh_fech_in!F10/SER_summary!F$27)</f>
        <v>0</v>
      </c>
      <c r="G10" s="132">
        <f>IF(SER_hh_fech_in!G10=0,0,SER_hh_fech_in!G10/SER_summary!G$27)</f>
        <v>0</v>
      </c>
      <c r="H10" s="132">
        <f>IF(SER_hh_fech_in!H10=0,0,SER_hh_fech_in!H10/SER_summary!H$27)</f>
        <v>187.20854369944331</v>
      </c>
      <c r="I10" s="132">
        <f>IF(SER_hh_fech_in!I10=0,0,SER_hh_fech_in!I10/SER_summary!I$27)</f>
        <v>81.950901359377795</v>
      </c>
      <c r="J10" s="132">
        <f>IF(SER_hh_fech_in!J10=0,0,SER_hh_fech_in!J10/SER_summary!J$27)</f>
        <v>615.8849503480177</v>
      </c>
      <c r="K10" s="132">
        <f>IF(SER_hh_fech_in!K10=0,0,SER_hh_fech_in!K10/SER_summary!K$27)</f>
        <v>622.13041539129779</v>
      </c>
      <c r="L10" s="132">
        <f>IF(SER_hh_fech_in!L10=0,0,SER_hh_fech_in!L10/SER_summary!L$27)</f>
        <v>551.31293642870833</v>
      </c>
      <c r="M10" s="132">
        <f>IF(SER_hh_fech_in!M10=0,0,SER_hh_fech_in!M10/SER_summary!M$27)</f>
        <v>275.87748516472243</v>
      </c>
      <c r="N10" s="132">
        <f>IF(SER_hh_fech_in!N10=0,0,SER_hh_fech_in!N10/SER_summary!N$27)</f>
        <v>308.23707682748659</v>
      </c>
      <c r="O10" s="132">
        <f>IF(SER_hh_fech_in!O10=0,0,SER_hh_fech_in!O10/SER_summary!O$27)</f>
        <v>160.56480869502849</v>
      </c>
      <c r="P10" s="132">
        <f>IF(SER_hh_fech_in!P10=0,0,SER_hh_fech_in!P10/SER_summary!P$27)</f>
        <v>384.74328684510192</v>
      </c>
      <c r="Q10" s="132">
        <f>IF(SER_hh_fech_in!Q10=0,0,SER_hh_fech_in!Q10/SER_summary!Q$27)</f>
        <v>209.58816046106784</v>
      </c>
      <c r="R10" s="132">
        <f>IF(SER_hh_fech_in!R10=0,0,SER_hh_fech_in!R10/SER_summary!R$27)</f>
        <v>71.077287109969745</v>
      </c>
      <c r="S10" s="132">
        <f>IF(SER_hh_fech_in!S10=0,0,SER_hh_fech_in!S10/SER_summary!S$27)</f>
        <v>220.54195741938238</v>
      </c>
      <c r="T10" s="132">
        <f>IF(SER_hh_fech_in!T10=0,0,SER_hh_fech_in!T10/SER_summary!T$27)</f>
        <v>170.48660864719093</v>
      </c>
      <c r="U10" s="132">
        <f>IF(SER_hh_fech_in!U10=0,0,SER_hh_fech_in!U10/SER_summary!U$27)</f>
        <v>144.18926766293728</v>
      </c>
      <c r="V10" s="132">
        <f>IF(SER_hh_fech_in!V10=0,0,SER_hh_fech_in!V10/SER_summary!V$27)</f>
        <v>142.94483891515299</v>
      </c>
      <c r="W10" s="132">
        <f>IF(SER_hh_fech_in!W10=0,0,SER_hh_fech_in!W10/SER_summary!W$27)</f>
        <v>115.18552627161166</v>
      </c>
      <c r="X10" s="132">
        <f>IF(SER_hh_fech_in!X10=0,0,SER_hh_fech_in!X10/SER_summary!X$27)</f>
        <v>63.831200057155613</v>
      </c>
      <c r="Y10" s="132">
        <f>IF(SER_hh_fech_in!Y10=0,0,SER_hh_fech_in!Y10/SER_summary!Y$27)</f>
        <v>79.503565697991348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551.24542757910308</v>
      </c>
      <c r="D11" s="132">
        <f>IF(SER_hh_fech_in!D11=0,0,SER_hh_fech_in!D11/SER_summary!D$27)</f>
        <v>380.90781690697651</v>
      </c>
      <c r="E11" s="132">
        <f>IF(SER_hh_fech_in!E11=0,0,SER_hh_fech_in!E11/SER_summary!E$27)</f>
        <v>331.74727681849396</v>
      </c>
      <c r="F11" s="132">
        <f>IF(SER_hh_fech_in!F11=0,0,SER_hh_fech_in!F11/SER_summary!F$27)</f>
        <v>301.43237781343623</v>
      </c>
      <c r="G11" s="132">
        <f>IF(SER_hh_fech_in!G11=0,0,SER_hh_fech_in!G11/SER_summary!G$27)</f>
        <v>329.35844436259447</v>
      </c>
      <c r="H11" s="132">
        <f>IF(SER_hh_fech_in!H11=0,0,SER_hh_fech_in!H11/SER_summary!H$27)</f>
        <v>381.2719637441902</v>
      </c>
      <c r="I11" s="132">
        <f>IF(SER_hh_fech_in!I11=0,0,SER_hh_fech_in!I11/SER_summary!I$27)</f>
        <v>347.22549657044539</v>
      </c>
      <c r="J11" s="132">
        <f>IF(SER_hh_fech_in!J11=0,0,SER_hh_fech_in!J11/SER_summary!J$27)</f>
        <v>343.400262079215</v>
      </c>
      <c r="K11" s="132">
        <f>IF(SER_hh_fech_in!K11=0,0,SER_hh_fech_in!K11/SER_summary!K$27)</f>
        <v>328.78644884627715</v>
      </c>
      <c r="L11" s="132">
        <f>IF(SER_hh_fech_in!L11=0,0,SER_hh_fech_in!L11/SER_summary!L$27)</f>
        <v>325.19986046148074</v>
      </c>
      <c r="M11" s="132">
        <f>IF(SER_hh_fech_in!M11=0,0,SER_hh_fech_in!M11/SER_summary!M$27)</f>
        <v>253.95791653125244</v>
      </c>
      <c r="N11" s="132">
        <f>IF(SER_hh_fech_in!N11=0,0,SER_hh_fech_in!N11/SER_summary!N$27)</f>
        <v>190.84797756344494</v>
      </c>
      <c r="O11" s="132">
        <f>IF(SER_hh_fech_in!O11=0,0,SER_hh_fech_in!O11/SER_summary!O$27)</f>
        <v>207.37259438700204</v>
      </c>
      <c r="P11" s="132">
        <f>IF(SER_hh_fech_in!P11=0,0,SER_hh_fech_in!P11/SER_summary!P$27)</f>
        <v>134.69452045398697</v>
      </c>
      <c r="Q11" s="132">
        <f>IF(SER_hh_fech_in!Q11=0,0,SER_hh_fech_in!Q11/SER_summary!Q$27)</f>
        <v>132.27723695900161</v>
      </c>
      <c r="R11" s="132">
        <f>IF(SER_hh_fech_in!R11=0,0,SER_hh_fech_in!R11/SER_summary!R$27)</f>
        <v>140.88295149291841</v>
      </c>
      <c r="S11" s="132">
        <f>IF(SER_hh_fech_in!S11=0,0,SER_hh_fech_in!S11/SER_summary!S$27)</f>
        <v>131.41817385880654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392.23596446308852</v>
      </c>
      <c r="D12" s="132">
        <f>IF(SER_hh_fech_in!D12=0,0,SER_hh_fech_in!D12/SER_summary!D$27)</f>
        <v>381.39457875365292</v>
      </c>
      <c r="E12" s="132">
        <f>IF(SER_hh_fech_in!E12=0,0,SER_hh_fech_in!E12/SER_summary!E$27)</f>
        <v>276.32495180830153</v>
      </c>
      <c r="F12" s="132">
        <f>IF(SER_hh_fech_in!F12=0,0,SER_hh_fech_in!F12/SER_summary!F$27)</f>
        <v>407.99500205834096</v>
      </c>
      <c r="G12" s="132">
        <f>IF(SER_hh_fech_in!G12=0,0,SER_hh_fech_in!G12/SER_summary!G$27)</f>
        <v>354.13222898173342</v>
      </c>
      <c r="H12" s="132">
        <f>IF(SER_hh_fech_in!H12=0,0,SER_hh_fech_in!H12/SER_summary!H$27)</f>
        <v>0</v>
      </c>
      <c r="I12" s="132">
        <f>IF(SER_hh_fech_in!I12=0,0,SER_hh_fech_in!I12/SER_summary!I$27)</f>
        <v>0</v>
      </c>
      <c r="J12" s="132">
        <f>IF(SER_hh_fech_in!J12=0,0,SER_hh_fech_in!J12/SER_summary!J$27)</f>
        <v>316.92306923563564</v>
      </c>
      <c r="K12" s="132">
        <f>IF(SER_hh_fech_in!K12=0,0,SER_hh_fech_in!K12/SER_summary!K$27)</f>
        <v>334.91253376976306</v>
      </c>
      <c r="L12" s="132">
        <f>IF(SER_hh_fech_in!L12=0,0,SER_hh_fech_in!L12/SER_summary!L$27)</f>
        <v>359.04429014332328</v>
      </c>
      <c r="M12" s="132">
        <f>IF(SER_hh_fech_in!M12=0,0,SER_hh_fech_in!M12/SER_summary!M$27)</f>
        <v>283.91862246169126</v>
      </c>
      <c r="N12" s="132">
        <f>IF(SER_hh_fech_in!N12=0,0,SER_hh_fech_in!N12/SER_summary!N$27)</f>
        <v>0</v>
      </c>
      <c r="O12" s="132">
        <f>IF(SER_hh_fech_in!O12=0,0,SER_hh_fech_in!O12/SER_summary!O$27)</f>
        <v>0</v>
      </c>
      <c r="P12" s="132">
        <f>IF(SER_hh_fech_in!P12=0,0,SER_hh_fech_in!P12/SER_summary!P$27)</f>
        <v>0</v>
      </c>
      <c r="Q12" s="132">
        <f>IF(SER_hh_fech_in!Q12=0,0,SER_hh_fech_in!Q12/SER_summary!Q$27)</f>
        <v>0</v>
      </c>
      <c r="R12" s="132">
        <f>IF(SER_hh_fech_in!R12=0,0,SER_hh_fech_in!R12/SER_summary!R$27)</f>
        <v>160.22894785974674</v>
      </c>
      <c r="S12" s="132">
        <f>IF(SER_hh_fech_in!S12=0,0,SER_hh_fech_in!S12/SER_summary!S$27)</f>
        <v>128.91692692279867</v>
      </c>
      <c r="T12" s="132">
        <f>IF(SER_hh_fech_in!T12=0,0,SER_hh_fech_in!T12/SER_summary!T$27)</f>
        <v>106.78481995299343</v>
      </c>
      <c r="U12" s="132">
        <f>IF(SER_hh_fech_in!U12=0,0,SER_hh_fech_in!U12/SER_summary!U$27)</f>
        <v>85.119019730940678</v>
      </c>
      <c r="V12" s="132">
        <f>IF(SER_hh_fech_in!V12=0,0,SER_hh_fech_in!V12/SER_summary!V$27)</f>
        <v>69.231786521011742</v>
      </c>
      <c r="W12" s="132">
        <f>IF(SER_hh_fech_in!W12=0,0,SER_hh_fech_in!W12/SER_summary!W$27)</f>
        <v>65.392220767533431</v>
      </c>
      <c r="X12" s="132">
        <f>IF(SER_hh_fech_in!X12=0,0,SER_hh_fech_in!X12/SER_summary!X$27)</f>
        <v>55.969507404260433</v>
      </c>
      <c r="Y12" s="132">
        <f>IF(SER_hh_fech_in!Y12=0,0,SER_hh_fech_in!Y12/SER_summary!Y$27)</f>
        <v>47.459519374548812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206.91949858456442</v>
      </c>
      <c r="D13" s="132">
        <f>IF(SER_hh_fech_in!D13=0,0,SER_hh_fech_in!D13/SER_summary!D$27)</f>
        <v>171.11294565473167</v>
      </c>
      <c r="E13" s="132">
        <f>IF(SER_hh_fech_in!E13=0,0,SER_hh_fech_in!E13/SER_summary!E$27)</f>
        <v>131.85020999970322</v>
      </c>
      <c r="F13" s="132">
        <f>IF(SER_hh_fech_in!F13=0,0,SER_hh_fech_in!F13/SER_summary!F$27)</f>
        <v>156.38826272008004</v>
      </c>
      <c r="G13" s="132">
        <f>IF(SER_hh_fech_in!G13=0,0,SER_hh_fech_in!G13/SER_summary!G$27)</f>
        <v>138.02944122617853</v>
      </c>
      <c r="H13" s="132">
        <f>IF(SER_hh_fech_in!H13=0,0,SER_hh_fech_in!H13/SER_summary!H$27)</f>
        <v>120.64657162689521</v>
      </c>
      <c r="I13" s="132">
        <f>IF(SER_hh_fech_in!I13=0,0,SER_hh_fech_in!I13/SER_summary!I$27)</f>
        <v>131.00928563976234</v>
      </c>
      <c r="J13" s="132">
        <f>IF(SER_hh_fech_in!J13=0,0,SER_hh_fech_in!J13/SER_summary!J$27)</f>
        <v>104.41818505920563</v>
      </c>
      <c r="K13" s="132">
        <f>IF(SER_hh_fech_in!K13=0,0,SER_hh_fech_in!K13/SER_summary!K$27)</f>
        <v>92.798847236254772</v>
      </c>
      <c r="L13" s="132">
        <f>IF(SER_hh_fech_in!L13=0,0,SER_hh_fech_in!L13/SER_summary!L$27)</f>
        <v>81.829006739372787</v>
      </c>
      <c r="M13" s="132">
        <f>IF(SER_hh_fech_in!M13=0,0,SER_hh_fech_in!M13/SER_summary!M$27)</f>
        <v>80.805786387608137</v>
      </c>
      <c r="N13" s="132">
        <f>IF(SER_hh_fech_in!N13=0,0,SER_hh_fech_in!N13/SER_summary!N$27)</f>
        <v>63.696151866150878</v>
      </c>
      <c r="O13" s="132">
        <f>IF(SER_hh_fech_in!O13=0,0,SER_hh_fech_in!O13/SER_summary!O$27)</f>
        <v>44.829548992384161</v>
      </c>
      <c r="P13" s="132">
        <f>IF(SER_hh_fech_in!P13=0,0,SER_hh_fech_in!P13/SER_summary!P$27)</f>
        <v>30.941329592097944</v>
      </c>
      <c r="Q13" s="132">
        <f>IF(SER_hh_fech_in!Q13=0,0,SER_hh_fech_in!Q13/SER_summary!Q$27)</f>
        <v>42.272626763215783</v>
      </c>
      <c r="R13" s="132">
        <f>IF(SER_hh_fech_in!R13=0,0,SER_hh_fech_in!R13/SER_summary!R$27)</f>
        <v>33.76030733712318</v>
      </c>
      <c r="S13" s="132">
        <f>IF(SER_hh_fech_in!S13=0,0,SER_hh_fech_in!S13/SER_summary!S$27)</f>
        <v>30.056010380749459</v>
      </c>
      <c r="T13" s="132">
        <f>IF(SER_hh_fech_in!T13=0,0,SER_hh_fech_in!T13/SER_summary!T$27)</f>
        <v>25.353572026430218</v>
      </c>
      <c r="U13" s="132">
        <f>IF(SER_hh_fech_in!U13=0,0,SER_hh_fech_in!U13/SER_summary!U$27)</f>
        <v>19.18374755068298</v>
      </c>
      <c r="V13" s="132">
        <f>IF(SER_hh_fech_in!V13=0,0,SER_hh_fech_in!V13/SER_summary!V$27)</f>
        <v>18.202992889008748</v>
      </c>
      <c r="W13" s="132">
        <f>IF(SER_hh_fech_in!W13=0,0,SER_hh_fech_in!W13/SER_summary!W$27)</f>
        <v>14.346701230078796</v>
      </c>
      <c r="X13" s="132">
        <f>IF(SER_hh_fech_in!X13=0,0,SER_hh_fech_in!X13/SER_summary!X$27)</f>
        <v>12.119228698049216</v>
      </c>
      <c r="Y13" s="132">
        <f>IF(SER_hh_fech_in!Y13=0,0,SER_hh_fech_in!Y13/SER_summary!Y$27)</f>
        <v>11.509659132471734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531.03453861112803</v>
      </c>
      <c r="D14" s="65">
        <f>IF(SER_hh_fech_in!D14=0,0,SER_hh_fech_in!D14/SER_summary!D$27)</f>
        <v>454.01475951798716</v>
      </c>
      <c r="E14" s="65">
        <f>IF(SER_hh_fech_in!E14=0,0,SER_hh_fech_in!E14/SER_summary!E$27)</f>
        <v>325.53879160278478</v>
      </c>
      <c r="F14" s="65">
        <f>IF(SER_hh_fech_in!F14=0,0,SER_hh_fech_in!F14/SER_summary!F$27)</f>
        <v>0</v>
      </c>
      <c r="G14" s="65">
        <f>IF(SER_hh_fech_in!G14=0,0,SER_hh_fech_in!G14/SER_summary!G$27)</f>
        <v>0</v>
      </c>
      <c r="H14" s="65">
        <f>IF(SER_hh_fech_in!H14=0,0,SER_hh_fech_in!H14/SER_summary!H$27)</f>
        <v>0</v>
      </c>
      <c r="I14" s="65">
        <f>IF(SER_hh_fech_in!I14=0,0,SER_hh_fech_in!I14/SER_summary!I$27)</f>
        <v>0</v>
      </c>
      <c r="J14" s="65">
        <f>IF(SER_hh_fech_in!J14=0,0,SER_hh_fech_in!J14/SER_summary!J$27)</f>
        <v>339.6697630845008</v>
      </c>
      <c r="K14" s="65">
        <f>IF(SER_hh_fech_in!K14=0,0,SER_hh_fech_in!K14/SER_summary!K$27)</f>
        <v>328.22338869047434</v>
      </c>
      <c r="L14" s="65">
        <f>IF(SER_hh_fech_in!L14=0,0,SER_hh_fech_in!L14/SER_summary!L$27)</f>
        <v>374.47386834426015</v>
      </c>
      <c r="M14" s="65">
        <f>IF(SER_hh_fech_in!M14=0,0,SER_hh_fech_in!M14/SER_summary!M$27)</f>
        <v>338.85975454096149</v>
      </c>
      <c r="N14" s="65">
        <f>IF(SER_hh_fech_in!N14=0,0,SER_hh_fech_in!N14/SER_summary!N$27)</f>
        <v>180.42967615154581</v>
      </c>
      <c r="O14" s="65">
        <f>IF(SER_hh_fech_in!O14=0,0,SER_hh_fech_in!O14/SER_summary!O$27)</f>
        <v>254.63797966566818</v>
      </c>
      <c r="P14" s="65">
        <f>IF(SER_hh_fech_in!P14=0,0,SER_hh_fech_in!P14/SER_summary!P$27)</f>
        <v>135.78357199309866</v>
      </c>
      <c r="Q14" s="65">
        <f>IF(SER_hh_fech_in!Q14=0,0,SER_hh_fech_in!Q14/SER_summary!Q$27)</f>
        <v>152.70382632877366</v>
      </c>
      <c r="R14" s="65">
        <f>IF(SER_hh_fech_in!R14=0,0,SER_hh_fech_in!R14/SER_summary!R$27)</f>
        <v>142.60671421554983</v>
      </c>
      <c r="S14" s="65">
        <f>IF(SER_hh_fech_in!S14=0,0,SER_hh_fech_in!S14/SER_summary!S$27)</f>
        <v>154.55099978844893</v>
      </c>
      <c r="T14" s="65">
        <f>IF(SER_hh_fech_in!T14=0,0,SER_hh_fech_in!T14/SER_summary!T$27)</f>
        <v>116.36359519594734</v>
      </c>
      <c r="U14" s="65">
        <f>IF(SER_hh_fech_in!U14=0,0,SER_hh_fech_in!U14/SER_summary!U$27)</f>
        <v>0</v>
      </c>
      <c r="V14" s="65">
        <f>IF(SER_hh_fech_in!V14=0,0,SER_hh_fech_in!V14/SER_summary!V$27)</f>
        <v>0</v>
      </c>
      <c r="W14" s="65">
        <f>IF(SER_hh_fech_in!W14=0,0,SER_hh_fech_in!W14/SER_summary!W$27)</f>
        <v>0</v>
      </c>
      <c r="X14" s="65">
        <f>IF(SER_hh_fech_in!X14=0,0,SER_hh_fech_in!X14/SER_summary!X$27)</f>
        <v>0</v>
      </c>
      <c r="Y14" s="65">
        <f>IF(SER_hh_fech_in!Y14=0,0,SER_hh_fech_in!Y14/SER_summary!Y$27)</f>
        <v>0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1.7495577261052577</v>
      </c>
      <c r="D15" s="134">
        <f>IF(SER_hh_fech_in!D15=0,0,SER_hh_fech_in!D15/SER_summary!D$27)</f>
        <v>1.550459473611745</v>
      </c>
      <c r="E15" s="134">
        <f>IF(SER_hh_fech_in!E15=0,0,SER_hh_fech_in!E15/SER_summary!E$27)</f>
        <v>1.1901039828076028</v>
      </c>
      <c r="F15" s="134">
        <f>IF(SER_hh_fech_in!F15=0,0,SER_hh_fech_in!F15/SER_summary!F$27)</f>
        <v>2.2777077704653128</v>
      </c>
      <c r="G15" s="134">
        <f>IF(SER_hh_fech_in!G15=0,0,SER_hh_fech_in!G15/SER_summary!G$27)</f>
        <v>5.8217363608851471</v>
      </c>
      <c r="H15" s="134">
        <f>IF(SER_hh_fech_in!H15=0,0,SER_hh_fech_in!H15/SER_summary!H$27)</f>
        <v>5.3076571971561322</v>
      </c>
      <c r="I15" s="134">
        <f>IF(SER_hh_fech_in!I15=0,0,SER_hh_fech_in!I15/SER_summary!I$27)</f>
        <v>3.4394503569636994</v>
      </c>
      <c r="J15" s="134">
        <f>IF(SER_hh_fech_in!J15=0,0,SER_hh_fech_in!J15/SER_summary!J$27)</f>
        <v>2.1964038145763016</v>
      </c>
      <c r="K15" s="134">
        <f>IF(SER_hh_fech_in!K15=0,0,SER_hh_fech_in!K15/SER_summary!K$27)</f>
        <v>2.9648995256822364</v>
      </c>
      <c r="L15" s="134">
        <f>IF(SER_hh_fech_in!L15=0,0,SER_hh_fech_in!L15/SER_summary!L$27)</f>
        <v>1.9792819749204811</v>
      </c>
      <c r="M15" s="134">
        <f>IF(SER_hh_fech_in!M15=0,0,SER_hh_fech_in!M15/SER_summary!M$27)</f>
        <v>1.7249994032044804</v>
      </c>
      <c r="N15" s="134">
        <f>IF(SER_hh_fech_in!N15=0,0,SER_hh_fech_in!N15/SER_summary!N$27)</f>
        <v>3.0139380667380737</v>
      </c>
      <c r="O15" s="134">
        <f>IF(SER_hh_fech_in!O15=0,0,SER_hh_fech_in!O15/SER_summary!O$27)</f>
        <v>3.1188946761305432</v>
      </c>
      <c r="P15" s="134">
        <f>IF(SER_hh_fech_in!P15=0,0,SER_hh_fech_in!P15/SER_summary!P$27)</f>
        <v>1.8373158962763123</v>
      </c>
      <c r="Q15" s="134">
        <f>IF(SER_hh_fech_in!Q15=0,0,SER_hh_fech_in!Q15/SER_summary!Q$27)</f>
        <v>1.8061432504541997</v>
      </c>
      <c r="R15" s="134">
        <f>IF(SER_hh_fech_in!R15=0,0,SER_hh_fech_in!R15/SER_summary!R$27)</f>
        <v>1.4631835945240159</v>
      </c>
      <c r="S15" s="134">
        <f>IF(SER_hh_fech_in!S15=0,0,SER_hh_fech_in!S15/SER_summary!S$27)</f>
        <v>1.1440920632911942</v>
      </c>
      <c r="T15" s="134">
        <f>IF(SER_hh_fech_in!T15=0,0,SER_hh_fech_in!T15/SER_summary!T$27)</f>
        <v>0.92365419379894209</v>
      </c>
      <c r="U15" s="134">
        <f>IF(SER_hh_fech_in!U15=0,0,SER_hh_fech_in!U15/SER_summary!U$27)</f>
        <v>0.86979461821227033</v>
      </c>
      <c r="V15" s="134">
        <f>IF(SER_hh_fech_in!V15=0,0,SER_hh_fech_in!V15/SER_summary!V$27)</f>
        <v>0.70188247369107859</v>
      </c>
      <c r="W15" s="134">
        <f>IF(SER_hh_fech_in!W15=0,0,SER_hh_fech_in!W15/SER_summary!W$27)</f>
        <v>0.79916385880952445</v>
      </c>
      <c r="X15" s="134">
        <f>IF(SER_hh_fech_in!X15=0,0,SER_hh_fech_in!X15/SER_summary!X$27)</f>
        <v>0.54157276869244908</v>
      </c>
      <c r="Y15" s="134">
        <f>IF(SER_hh_fech_in!Y15=0,0,SER_hh_fech_in!Y15/SER_summary!Y$27)</f>
        <v>0.38869490853506966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13.477666196160369</v>
      </c>
      <c r="D16" s="130">
        <f>IF(SER_hh_fech_in!D16=0,0,SER_hh_fech_in!D16/SER_summary!D$27)</f>
        <v>13.016102480350201</v>
      </c>
      <c r="E16" s="130">
        <f>IF(SER_hh_fech_in!E16=0,0,SER_hh_fech_in!E16/SER_summary!E$27)</f>
        <v>12.547168795385295</v>
      </c>
      <c r="F16" s="130">
        <f>IF(SER_hh_fech_in!F16=0,0,SER_hh_fech_in!F16/SER_summary!F$27)</f>
        <v>11.603098615093732</v>
      </c>
      <c r="G16" s="130">
        <f>IF(SER_hh_fech_in!G16=0,0,SER_hh_fech_in!G16/SER_summary!G$27)</f>
        <v>11.301968347200914</v>
      </c>
      <c r="H16" s="130">
        <f>IF(SER_hh_fech_in!H16=0,0,SER_hh_fech_in!H16/SER_summary!H$27)</f>
        <v>11.11110126136882</v>
      </c>
      <c r="I16" s="130">
        <f>IF(SER_hh_fech_in!I16=0,0,SER_hh_fech_in!I16/SER_summary!I$27)</f>
        <v>11.061739840387276</v>
      </c>
      <c r="J16" s="130">
        <f>IF(SER_hh_fech_in!J16=0,0,SER_hh_fech_in!J16/SER_summary!J$27)</f>
        <v>10.006374291818833</v>
      </c>
      <c r="K16" s="130">
        <f>IF(SER_hh_fech_in!K16=0,0,SER_hh_fech_in!K16/SER_summary!K$27)</f>
        <v>9.5777388442492857</v>
      </c>
      <c r="L16" s="130">
        <f>IF(SER_hh_fech_in!L16=0,0,SER_hh_fech_in!L16/SER_summary!L$27)</f>
        <v>9.546043182735696</v>
      </c>
      <c r="M16" s="130">
        <f>IF(SER_hh_fech_in!M16=0,0,SER_hh_fech_in!M16/SER_summary!M$27)</f>
        <v>8.9036281469934426</v>
      </c>
      <c r="N16" s="130">
        <f>IF(SER_hh_fech_in!N16=0,0,SER_hh_fech_in!N16/SER_summary!N$27)</f>
        <v>9.2333641857364039</v>
      </c>
      <c r="O16" s="130">
        <f>IF(SER_hh_fech_in!O16=0,0,SER_hh_fech_in!O16/SER_summary!O$27)</f>
        <v>8.4558649723124262</v>
      </c>
      <c r="P16" s="130">
        <f>IF(SER_hh_fech_in!P16=0,0,SER_hh_fech_in!P16/SER_summary!P$27)</f>
        <v>7.3933893413339744</v>
      </c>
      <c r="Q16" s="130">
        <f>IF(SER_hh_fech_in!Q16=0,0,SER_hh_fech_in!Q16/SER_summary!Q$27)</f>
        <v>8.2119470273852091</v>
      </c>
      <c r="R16" s="130">
        <f>IF(SER_hh_fech_in!R16=0,0,SER_hh_fech_in!R16/SER_summary!R$27)</f>
        <v>6.8520370680305343</v>
      </c>
      <c r="S16" s="130">
        <f>IF(SER_hh_fech_in!S16=0,0,SER_hh_fech_in!S16/SER_summary!S$27)</f>
        <v>6.7689940362975456</v>
      </c>
      <c r="T16" s="130">
        <f>IF(SER_hh_fech_in!T16=0,0,SER_hh_fech_in!T16/SER_summary!T$27)</f>
        <v>6.4723932361732333</v>
      </c>
      <c r="U16" s="130">
        <f>IF(SER_hh_fech_in!U16=0,0,SER_hh_fech_in!U16/SER_summary!U$27)</f>
        <v>6.3266697665172504</v>
      </c>
      <c r="V16" s="130">
        <f>IF(SER_hh_fech_in!V16=0,0,SER_hh_fech_in!V16/SER_summary!V$27)</f>
        <v>5.3017032191347591</v>
      </c>
      <c r="W16" s="130">
        <f>IF(SER_hh_fech_in!W16=0,0,SER_hh_fech_in!W16/SER_summary!W$27)</f>
        <v>4.9852793450743889</v>
      </c>
      <c r="X16" s="130">
        <f>IF(SER_hh_fech_in!X16=0,0,SER_hh_fech_in!X16/SER_summary!X$27)</f>
        <v>4.9109603457507491</v>
      </c>
      <c r="Y16" s="130">
        <f>IF(SER_hh_fech_in!Y16=0,0,SER_hh_fech_in!Y16/SER_summary!Y$27)</f>
        <v>4.9232209523346802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25.85644985659297</v>
      </c>
      <c r="D17" s="132">
        <f>IF(SER_hh_fech_in!D17=0,0,SER_hh_fech_in!D17/SER_summary!D$27)</f>
        <v>0</v>
      </c>
      <c r="E17" s="132">
        <f>IF(SER_hh_fech_in!E17=0,0,SER_hh_fech_in!E17/SER_summary!E$27)</f>
        <v>7.1012673156647743</v>
      </c>
      <c r="F17" s="132">
        <f>IF(SER_hh_fech_in!F17=0,0,SER_hh_fech_in!F17/SER_summary!F$27)</f>
        <v>0</v>
      </c>
      <c r="G17" s="132">
        <f>IF(SER_hh_fech_in!G17=0,0,SER_hh_fech_in!G17/SER_summary!G$27)</f>
        <v>23.903242495001887</v>
      </c>
      <c r="H17" s="132">
        <f>IF(SER_hh_fech_in!H17=0,0,SER_hh_fech_in!H17/SER_summary!H$27)</f>
        <v>24.108205370652652</v>
      </c>
      <c r="I17" s="132">
        <f>IF(SER_hh_fech_in!I17=0,0,SER_hh_fech_in!I17/SER_summary!I$27)</f>
        <v>24.453764398273595</v>
      </c>
      <c r="J17" s="132">
        <f>IF(SER_hh_fech_in!J17=0,0,SER_hh_fech_in!J17/SER_summary!J$27)</f>
        <v>22.549151515577162</v>
      </c>
      <c r="K17" s="132">
        <f>IF(SER_hh_fech_in!K17=0,0,SER_hh_fech_in!K17/SER_summary!K$27)</f>
        <v>22.08352505836115</v>
      </c>
      <c r="L17" s="132">
        <f>IF(SER_hh_fech_in!L17=0,0,SER_hh_fech_in!L17/SER_summary!L$27)</f>
        <v>22.485766865564614</v>
      </c>
      <c r="M17" s="132">
        <f>IF(SER_hh_fech_in!M17=0,0,SER_hh_fech_in!M17/SER_summary!M$27)</f>
        <v>21.471686844017562</v>
      </c>
      <c r="N17" s="132">
        <f>IF(SER_hh_fech_in!N17=0,0,SER_hh_fech_in!N17/SER_summary!N$27)</f>
        <v>22.861697806967346</v>
      </c>
      <c r="O17" s="132">
        <f>IF(SER_hh_fech_in!O17=0,0,SER_hh_fech_in!O17/SER_summary!O$27)</f>
        <v>21.367546748121207</v>
      </c>
      <c r="P17" s="132">
        <f>IF(SER_hh_fech_in!P17=0,0,SER_hh_fech_in!P17/SER_summary!P$27)</f>
        <v>19.068497192919143</v>
      </c>
      <c r="Q17" s="132">
        <f>IF(SER_hh_fech_in!Q17=0,0,SER_hh_fech_in!Q17/SER_summary!Q$27)</f>
        <v>21.61575693760382</v>
      </c>
      <c r="R17" s="132">
        <f>IF(SER_hh_fech_in!R17=0,0,SER_hh_fech_in!R17/SER_summary!R$27)</f>
        <v>18.093709964325114</v>
      </c>
      <c r="S17" s="132">
        <f>IF(SER_hh_fech_in!S17=0,0,SER_hh_fech_in!S17/SER_summary!S$27)</f>
        <v>18.261067026380296</v>
      </c>
      <c r="T17" s="132">
        <f>IF(SER_hh_fech_in!T17=0,0,SER_hh_fech_in!T17/SER_summary!T$27)</f>
        <v>17.048577526600827</v>
      </c>
      <c r="U17" s="132">
        <f>IF(SER_hh_fech_in!U17=0,0,SER_hh_fech_in!U17/SER_summary!U$27)</f>
        <v>16.533645564712511</v>
      </c>
      <c r="V17" s="132">
        <f>IF(SER_hh_fech_in!V17=0,0,SER_hh_fech_in!V17/SER_summary!V$27)</f>
        <v>14.928802856187508</v>
      </c>
      <c r="W17" s="132">
        <f>IF(SER_hh_fech_in!W17=0,0,SER_hh_fech_in!W17/SER_summary!W$27)</f>
        <v>12.62009453107988</v>
      </c>
      <c r="X17" s="132">
        <f>IF(SER_hh_fech_in!X17=0,0,SER_hh_fech_in!X17/SER_summary!X$27)</f>
        <v>12.48675103576713</v>
      </c>
      <c r="Y17" s="132">
        <f>IF(SER_hh_fech_in!Y17=0,0,SER_hh_fech_in!Y17/SER_summary!Y$27)</f>
        <v>12.385656231270318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13.390803339589732</v>
      </c>
      <c r="D18" s="132">
        <f>IF(SER_hh_fech_in!D18=0,0,SER_hh_fech_in!D18/SER_summary!D$27)</f>
        <v>13.016102480350201</v>
      </c>
      <c r="E18" s="132">
        <f>IF(SER_hh_fech_in!E18=0,0,SER_hh_fech_in!E18/SER_summary!E$27)</f>
        <v>12.578466685578183</v>
      </c>
      <c r="F18" s="132">
        <f>IF(SER_hh_fech_in!F18=0,0,SER_hh_fech_in!F18/SER_summary!F$27)</f>
        <v>11.603098615093732</v>
      </c>
      <c r="G18" s="132">
        <f>IF(SER_hh_fech_in!G18=0,0,SER_hh_fech_in!G18/SER_summary!G$27)</f>
        <v>11.20767184557833</v>
      </c>
      <c r="H18" s="132">
        <f>IF(SER_hh_fech_in!H18=0,0,SER_hh_fech_in!H18/SER_summary!H$27)</f>
        <v>11.0571516178631</v>
      </c>
      <c r="I18" s="132">
        <f>IF(SER_hh_fech_in!I18=0,0,SER_hh_fech_in!I18/SER_summary!I$27)</f>
        <v>11.036116345592827</v>
      </c>
      <c r="J18" s="132">
        <f>IF(SER_hh_fech_in!J18=0,0,SER_hh_fech_in!J18/SER_summary!J$27)</f>
        <v>9.9522281776537653</v>
      </c>
      <c r="K18" s="132">
        <f>IF(SER_hh_fech_in!K18=0,0,SER_hh_fech_in!K18/SER_summary!K$27)</f>
        <v>9.5441220034128946</v>
      </c>
      <c r="L18" s="132">
        <f>IF(SER_hh_fech_in!L18=0,0,SER_hh_fech_in!L18/SER_summary!L$27)</f>
        <v>9.4880950795438306</v>
      </c>
      <c r="M18" s="132">
        <f>IF(SER_hh_fech_in!M18=0,0,SER_hh_fech_in!M18/SER_summary!M$27)</f>
        <v>8.8166539734390756</v>
      </c>
      <c r="N18" s="132">
        <f>IF(SER_hh_fech_in!N18=0,0,SER_hh_fech_in!N18/SER_summary!N$27)</f>
        <v>9.1821101938975822</v>
      </c>
      <c r="O18" s="132">
        <f>IF(SER_hh_fech_in!O18=0,0,SER_hh_fech_in!O18/SER_summary!O$27)</f>
        <v>8.2951636377799147</v>
      </c>
      <c r="P18" s="132">
        <f>IF(SER_hh_fech_in!P18=0,0,SER_hh_fech_in!P18/SER_summary!P$27)</f>
        <v>7.1592913909929354</v>
      </c>
      <c r="Q18" s="132">
        <f>IF(SER_hh_fech_in!Q18=0,0,SER_hh_fech_in!Q18/SER_summary!Q$27)</f>
        <v>8.02012048811185</v>
      </c>
      <c r="R18" s="132">
        <f>IF(SER_hh_fech_in!R18=0,0,SER_hh_fech_in!R18/SER_summary!R$27)</f>
        <v>6.457068071762583</v>
      </c>
      <c r="S18" s="132">
        <f>IF(SER_hh_fech_in!S18=0,0,SER_hh_fech_in!S18/SER_summary!S$27)</f>
        <v>6.6004134208219361</v>
      </c>
      <c r="T18" s="132">
        <f>IF(SER_hh_fech_in!T18=0,0,SER_hh_fech_in!T18/SER_summary!T$27)</f>
        <v>6.2271277636023727</v>
      </c>
      <c r="U18" s="132">
        <f>IF(SER_hh_fech_in!U18=0,0,SER_hh_fech_in!U18/SER_summary!U$27)</f>
        <v>6.1613324835161576</v>
      </c>
      <c r="V18" s="132">
        <f>IF(SER_hh_fech_in!V18=0,0,SER_hh_fech_in!V18/SER_summary!V$27)</f>
        <v>5.0838822237482102</v>
      </c>
      <c r="W18" s="132">
        <f>IF(SER_hh_fech_in!W18=0,0,SER_hh_fech_in!W18/SER_summary!W$27)</f>
        <v>4.8114447359306043</v>
      </c>
      <c r="X18" s="132">
        <f>IF(SER_hh_fech_in!X18=0,0,SER_hh_fech_in!X18/SER_summary!X$27)</f>
        <v>4.7465910332740995</v>
      </c>
      <c r="Y18" s="132">
        <f>IF(SER_hh_fech_in!Y18=0,0,SER_hh_fech_in!Y18/SER_summary!Y$27)</f>
        <v>4.7403919170764182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47.169877341806732</v>
      </c>
      <c r="D19" s="130">
        <f>IF(SER_hh_fech_in!D19=0,0,SER_hh_fech_in!D19/SER_summary!D$27)</f>
        <v>44.044939341372746</v>
      </c>
      <c r="E19" s="130">
        <f>IF(SER_hh_fech_in!E19=0,0,SER_hh_fech_in!E19/SER_summary!E$27)</f>
        <v>43.477634644988953</v>
      </c>
      <c r="F19" s="130">
        <f>IF(SER_hh_fech_in!F19=0,0,SER_hh_fech_in!F19/SER_summary!F$27)</f>
        <v>41.54153408732833</v>
      </c>
      <c r="G19" s="130">
        <f>IF(SER_hh_fech_in!G19=0,0,SER_hh_fech_in!G19/SER_summary!G$27)</f>
        <v>44.7280608313513</v>
      </c>
      <c r="H19" s="130">
        <f>IF(SER_hh_fech_in!H19=0,0,SER_hh_fech_in!H19/SER_summary!H$27)</f>
        <v>44.279724233253525</v>
      </c>
      <c r="I19" s="130">
        <f>IF(SER_hh_fech_in!I19=0,0,SER_hh_fech_in!I19/SER_summary!I$27)</f>
        <v>44.412447464735756</v>
      </c>
      <c r="J19" s="130">
        <f>IF(SER_hh_fech_in!J19=0,0,SER_hh_fech_in!J19/SER_summary!J$27)</f>
        <v>43.449961128131122</v>
      </c>
      <c r="K19" s="130">
        <f>IF(SER_hh_fech_in!K19=0,0,SER_hh_fech_in!K19/SER_summary!K$27)</f>
        <v>43.541022255880627</v>
      </c>
      <c r="L19" s="130">
        <f>IF(SER_hh_fech_in!L19=0,0,SER_hh_fech_in!L19/SER_summary!L$27)</f>
        <v>41.04240044243533</v>
      </c>
      <c r="M19" s="130">
        <f>IF(SER_hh_fech_in!M19=0,0,SER_hh_fech_in!M19/SER_summary!M$27)</f>
        <v>41.443046555559526</v>
      </c>
      <c r="N19" s="130">
        <f>IF(SER_hh_fech_in!N19=0,0,SER_hh_fech_in!N19/SER_summary!N$27)</f>
        <v>43.241364103120084</v>
      </c>
      <c r="O19" s="130">
        <f>IF(SER_hh_fech_in!O19=0,0,SER_hh_fech_in!O19/SER_summary!O$27)</f>
        <v>41.937249317147604</v>
      </c>
      <c r="P19" s="130">
        <f>IF(SER_hh_fech_in!P19=0,0,SER_hh_fech_in!P19/SER_summary!P$27)</f>
        <v>36.233861341663108</v>
      </c>
      <c r="Q19" s="130">
        <f>IF(SER_hh_fech_in!Q19=0,0,SER_hh_fech_in!Q19/SER_summary!Q$27)</f>
        <v>35.588509371533782</v>
      </c>
      <c r="R19" s="130">
        <f>IF(SER_hh_fech_in!R19=0,0,SER_hh_fech_in!R19/SER_summary!R$27)</f>
        <v>36.291173971994532</v>
      </c>
      <c r="S19" s="130">
        <f>IF(SER_hh_fech_in!S19=0,0,SER_hh_fech_in!S19/SER_summary!S$27)</f>
        <v>35.346334306655692</v>
      </c>
      <c r="T19" s="130">
        <f>IF(SER_hh_fech_in!T19=0,0,SER_hh_fech_in!T19/SER_summary!T$27)</f>
        <v>33.182527146240702</v>
      </c>
      <c r="U19" s="130">
        <f>IF(SER_hh_fech_in!U19=0,0,SER_hh_fech_in!U19/SER_summary!U$27)</f>
        <v>31.884609242513523</v>
      </c>
      <c r="V19" s="130">
        <f>IF(SER_hh_fech_in!V19=0,0,SER_hh_fech_in!V19/SER_summary!V$27)</f>
        <v>31.368925647598601</v>
      </c>
      <c r="W19" s="130">
        <f>IF(SER_hh_fech_in!W19=0,0,SER_hh_fech_in!W19/SER_summary!W$27)</f>
        <v>30.455432739827305</v>
      </c>
      <c r="X19" s="130">
        <f>IF(SER_hh_fech_in!X19=0,0,SER_hh_fech_in!X19/SER_summary!X$27)</f>
        <v>31.776226115233872</v>
      </c>
      <c r="Y19" s="130">
        <f>IF(SER_hh_fech_in!Y19=0,0,SER_hh_fech_in!Y19/SER_summary!Y$27)</f>
        <v>30.801505174655652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35.554220551337593</v>
      </c>
      <c r="I20" s="132">
        <f>IF(SER_hh_fech_in!I20=0,0,SER_hh_fech_in!I20/SER_summary!I$27)</f>
        <v>48.657929154611068</v>
      </c>
      <c r="J20" s="132">
        <f>IF(SER_hh_fech_in!J20=0,0,SER_hh_fech_in!J20/SER_summary!J$27)</f>
        <v>47.538158447466166</v>
      </c>
      <c r="K20" s="132">
        <f>IF(SER_hh_fech_in!K20=0,0,SER_hh_fech_in!K20/SER_summary!K$27)</f>
        <v>46.612788713554295</v>
      </c>
      <c r="L20" s="132">
        <f>IF(SER_hh_fech_in!L20=0,0,SER_hh_fech_in!L20/SER_summary!L$27)</f>
        <v>43.634371881800632</v>
      </c>
      <c r="M20" s="132">
        <f>IF(SER_hh_fech_in!M20=0,0,SER_hh_fech_in!M20/SER_summary!M$27)</f>
        <v>42.929122819665487</v>
      </c>
      <c r="N20" s="132">
        <f>IF(SER_hh_fech_in!N20=0,0,SER_hh_fech_in!N20/SER_summary!N$27)</f>
        <v>43.375364323810594</v>
      </c>
      <c r="O20" s="132">
        <f>IF(SER_hh_fech_in!O20=0,0,SER_hh_fech_in!O20/SER_summary!O$27)</f>
        <v>42.574605794236177</v>
      </c>
      <c r="P20" s="132">
        <f>IF(SER_hh_fech_in!P20=0,0,SER_hh_fech_in!P20/SER_summary!P$27)</f>
        <v>44.474254655235164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55.788260443382001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0</v>
      </c>
      <c r="D22" s="132">
        <f>IF(SER_hh_fech_in!D22=0,0,SER_hh_fech_in!D22/SER_summary!D$27)</f>
        <v>0</v>
      </c>
      <c r="E22" s="132">
        <f>IF(SER_hh_fech_in!E22=0,0,SER_hh_fech_in!E22/SER_summary!E$27)</f>
        <v>0</v>
      </c>
      <c r="F22" s="132">
        <f>IF(SER_hh_fech_in!F22=0,0,SER_hh_fech_in!F22/SER_summary!F$27)</f>
        <v>0</v>
      </c>
      <c r="G22" s="132">
        <f>IF(SER_hh_fech_in!G22=0,0,SER_hh_fech_in!G22/SER_summary!G$27)</f>
        <v>0</v>
      </c>
      <c r="H22" s="132">
        <f>IF(SER_hh_fech_in!H22=0,0,SER_hh_fech_in!H22/SER_summary!H$27)</f>
        <v>0</v>
      </c>
      <c r="I22" s="132">
        <f>IF(SER_hh_fech_in!I22=0,0,SER_hh_fech_in!I22/SER_summary!I$27)</f>
        <v>0</v>
      </c>
      <c r="J22" s="132">
        <f>IF(SER_hh_fech_in!J22=0,0,SER_hh_fech_in!J22/SER_summary!J$27)</f>
        <v>0</v>
      </c>
      <c r="K22" s="132">
        <f>IF(SER_hh_fech_in!K22=0,0,SER_hh_fech_in!K22/SER_summary!K$27)</f>
        <v>0</v>
      </c>
      <c r="L22" s="132">
        <f>IF(SER_hh_fech_in!L22=0,0,SER_hh_fech_in!L22/SER_summary!L$27)</f>
        <v>0</v>
      </c>
      <c r="M22" s="132">
        <f>IF(SER_hh_fech_in!M22=0,0,SER_hh_fech_in!M22/SER_summary!M$27)</f>
        <v>0</v>
      </c>
      <c r="N22" s="132">
        <f>IF(SER_hh_fech_in!N22=0,0,SER_hh_fech_in!N22/SER_summary!N$27)</f>
        <v>0</v>
      </c>
      <c r="O22" s="132">
        <f>IF(SER_hh_fech_in!O22=0,0,SER_hh_fech_in!O22/SER_summary!O$27)</f>
        <v>0</v>
      </c>
      <c r="P22" s="132">
        <f>IF(SER_hh_fech_in!P22=0,0,SER_hh_fech_in!P22/SER_summary!P$27)</f>
        <v>0</v>
      </c>
      <c r="Q22" s="132">
        <f>IF(SER_hh_fech_in!Q22=0,0,SER_hh_fech_in!Q22/SER_summary!Q$27)</f>
        <v>0</v>
      </c>
      <c r="R22" s="132">
        <f>IF(SER_hh_fech_in!R22=0,0,SER_hh_fech_in!R22/SER_summary!R$27)</f>
        <v>0</v>
      </c>
      <c r="S22" s="132">
        <f>IF(SER_hh_fech_in!S22=0,0,SER_hh_fech_in!S22/SER_summary!S$27)</f>
        <v>0</v>
      </c>
      <c r="T22" s="132">
        <f>IF(SER_hh_fech_in!T22=0,0,SER_hh_fech_in!T22/SER_summary!T$27)</f>
        <v>0</v>
      </c>
      <c r="U22" s="132">
        <f>IF(SER_hh_fech_in!U22=0,0,SER_hh_fech_in!U22/SER_summary!U$27)</f>
        <v>0</v>
      </c>
      <c r="V22" s="132">
        <f>IF(SER_hh_fech_in!V22=0,0,SER_hh_fech_in!V22/SER_summary!V$27)</f>
        <v>0</v>
      </c>
      <c r="W22" s="132">
        <f>IF(SER_hh_fech_in!W22=0,0,SER_hh_fech_in!W22/SER_summary!W$27)</f>
        <v>0</v>
      </c>
      <c r="X22" s="132">
        <f>IF(SER_hh_fech_in!X22=0,0,SER_hh_fech_in!X22/SER_summary!X$27)</f>
        <v>0</v>
      </c>
      <c r="Y22" s="132">
        <f>IF(SER_hh_fech_in!Y22=0,0,SER_hh_fech_in!Y22/SER_summary!Y$27)</f>
        <v>0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55.31963074479556</v>
      </c>
      <c r="D23" s="132">
        <f>IF(SER_hh_fech_in!D23=0,0,SER_hh_fech_in!D23/SER_summary!D$27)</f>
        <v>54.821368847051851</v>
      </c>
      <c r="E23" s="132">
        <f>IF(SER_hh_fech_in!E23=0,0,SER_hh_fech_in!E23/SER_summary!E$27)</f>
        <v>48.779176717272954</v>
      </c>
      <c r="F23" s="132">
        <f>IF(SER_hh_fech_in!F23=0,0,SER_hh_fech_in!F23/SER_summary!F$27)</f>
        <v>50.330725241422506</v>
      </c>
      <c r="G23" s="132">
        <f>IF(SER_hh_fech_in!G23=0,0,SER_hh_fech_in!G23/SER_summary!G$27)</f>
        <v>47.781041433376494</v>
      </c>
      <c r="H23" s="132">
        <f>IF(SER_hh_fech_in!H23=0,0,SER_hh_fech_in!H23/SER_summary!H$27)</f>
        <v>47.045248868699701</v>
      </c>
      <c r="I23" s="132">
        <f>IF(SER_hh_fech_in!I23=0,0,SER_hh_fech_in!I23/SER_summary!I$27)</f>
        <v>49.471851855450112</v>
      </c>
      <c r="J23" s="132">
        <f>IF(SER_hh_fech_in!J23=0,0,SER_hh_fech_in!J23/SER_summary!J$27)</f>
        <v>47.6771827309</v>
      </c>
      <c r="K23" s="132">
        <f>IF(SER_hh_fech_in!K23=0,0,SER_hh_fech_in!K23/SER_summary!K$27)</f>
        <v>45.253895151982384</v>
      </c>
      <c r="L23" s="132">
        <f>IF(SER_hh_fech_in!L23=0,0,SER_hh_fech_in!L23/SER_summary!L$27)</f>
        <v>44.730021533465077</v>
      </c>
      <c r="M23" s="132">
        <f>IF(SER_hh_fech_in!M23=0,0,SER_hh_fech_in!M23/SER_summary!M$27)</f>
        <v>41.029948520354047</v>
      </c>
      <c r="N23" s="132">
        <f>IF(SER_hh_fech_in!N23=0,0,SER_hh_fech_in!N23/SER_summary!N$27)</f>
        <v>44.954646428812069</v>
      </c>
      <c r="O23" s="132">
        <f>IF(SER_hh_fech_in!O23=0,0,SER_hh_fech_in!O23/SER_summary!O$27)</f>
        <v>44.230247150777984</v>
      </c>
      <c r="P23" s="132">
        <f>IF(SER_hh_fech_in!P23=0,0,SER_hh_fech_in!P23/SER_summary!P$27)</f>
        <v>36.284992328895875</v>
      </c>
      <c r="Q23" s="132">
        <f>IF(SER_hh_fech_in!Q23=0,0,SER_hh_fech_in!Q23/SER_summary!Q$27)</f>
        <v>42.072686367425092</v>
      </c>
      <c r="R23" s="132">
        <f>IF(SER_hh_fech_in!R23=0,0,SER_hh_fech_in!R23/SER_summary!R$27)</f>
        <v>41.443673913118538</v>
      </c>
      <c r="S23" s="132">
        <f>IF(SER_hh_fech_in!S23=0,0,SER_hh_fech_in!S23/SER_summary!S$27)</f>
        <v>38.701838362285066</v>
      </c>
      <c r="T23" s="132">
        <f>IF(SER_hh_fech_in!T23=0,0,SER_hh_fech_in!T23/SER_summary!T$27)</f>
        <v>0</v>
      </c>
      <c r="U23" s="132">
        <f>IF(SER_hh_fech_in!U23=0,0,SER_hh_fech_in!U23/SER_summary!U$27)</f>
        <v>0</v>
      </c>
      <c r="V23" s="132">
        <f>IF(SER_hh_fech_in!V23=0,0,SER_hh_fech_in!V23/SER_summary!V$27)</f>
        <v>21.428980151079323</v>
      </c>
      <c r="W23" s="132">
        <f>IF(SER_hh_fech_in!W23=0,0,SER_hh_fech_in!W23/SER_summary!W$27)</f>
        <v>35.615379276623379</v>
      </c>
      <c r="X23" s="132">
        <f>IF(SER_hh_fech_in!X23=0,0,SER_hh_fech_in!X23/SER_summary!X$27)</f>
        <v>34.995277292034068</v>
      </c>
      <c r="Y23" s="132">
        <f>IF(SER_hh_fech_in!Y23=0,0,SER_hh_fech_in!Y23/SER_summary!Y$27)</f>
        <v>31.423464521820208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33.447472764412616</v>
      </c>
      <c r="D25" s="132">
        <f>IF(SER_hh_fech_in!D25=0,0,SER_hh_fech_in!D25/SER_summary!D$27)</f>
        <v>36.959950586971281</v>
      </c>
      <c r="E25" s="132">
        <f>IF(SER_hh_fech_in!E25=0,0,SER_hh_fech_in!E25/SER_summary!E$27)</f>
        <v>39.436062139065299</v>
      </c>
      <c r="F25" s="132">
        <f>IF(SER_hh_fech_in!F25=0,0,SER_hh_fech_in!F25/SER_summary!F$27)</f>
        <v>50.961333236057847</v>
      </c>
      <c r="G25" s="132">
        <f>IF(SER_hh_fech_in!G25=0,0,SER_hh_fech_in!G25/SER_summary!G$27)</f>
        <v>37.218673091333422</v>
      </c>
      <c r="H25" s="132">
        <f>IF(SER_hh_fech_in!H25=0,0,SER_hh_fech_in!H25/SER_summary!H$27)</f>
        <v>33.334332140662376</v>
      </c>
      <c r="I25" s="132">
        <f>IF(SER_hh_fech_in!I25=0,0,SER_hh_fech_in!I25/SER_summary!I$27)</f>
        <v>0</v>
      </c>
      <c r="J25" s="132">
        <f>IF(SER_hh_fech_in!J25=0,0,SER_hh_fech_in!J25/SER_summary!J$27)</f>
        <v>35.430886958627305</v>
      </c>
      <c r="K25" s="132">
        <f>IF(SER_hh_fech_in!K25=0,0,SER_hh_fech_in!K25/SER_summary!K$27)</f>
        <v>36.572069896435117</v>
      </c>
      <c r="L25" s="132">
        <f>IF(SER_hh_fech_in!L25=0,0,SER_hh_fech_in!L25/SER_summary!L$27)</f>
        <v>33.551228568396184</v>
      </c>
      <c r="M25" s="132">
        <f>IF(SER_hh_fech_in!M25=0,0,SER_hh_fech_in!M25/SER_summary!M$27)</f>
        <v>35.822360552965328</v>
      </c>
      <c r="N25" s="132">
        <f>IF(SER_hh_fech_in!N25=0,0,SER_hh_fech_in!N25/SER_summary!N$27)</f>
        <v>38.433800700176143</v>
      </c>
      <c r="O25" s="132">
        <f>IF(SER_hh_fech_in!O25=0,0,SER_hh_fech_in!O25/SER_summary!O$27)</f>
        <v>28.654493135372224</v>
      </c>
      <c r="P25" s="132">
        <f>IF(SER_hh_fech_in!P25=0,0,SER_hh_fech_in!P25/SER_summary!P$27)</f>
        <v>23.524490530280545</v>
      </c>
      <c r="Q25" s="132">
        <f>IF(SER_hh_fech_in!Q25=0,0,SER_hh_fech_in!Q25/SER_summary!Q$27)</f>
        <v>13.640479485362993</v>
      </c>
      <c r="R25" s="132">
        <f>IF(SER_hh_fech_in!R25=0,0,SER_hh_fech_in!R25/SER_summary!R$27)</f>
        <v>45.821883031785092</v>
      </c>
      <c r="S25" s="132">
        <f>IF(SER_hh_fech_in!S25=0,0,SER_hh_fech_in!S25/SER_summary!S$27)</f>
        <v>42.415835470383094</v>
      </c>
      <c r="T25" s="132">
        <f>IF(SER_hh_fech_in!T25=0,0,SER_hh_fech_in!T25/SER_summary!T$27)</f>
        <v>39.944499386020979</v>
      </c>
      <c r="U25" s="132">
        <f>IF(SER_hh_fech_in!U25=0,0,SER_hh_fech_in!U25/SER_summary!U$27)</f>
        <v>36.055201945727994</v>
      </c>
      <c r="V25" s="132">
        <f>IF(SER_hh_fech_in!V25=0,0,SER_hh_fech_in!V25/SER_summary!V$27)</f>
        <v>0</v>
      </c>
      <c r="W25" s="132">
        <f>IF(SER_hh_fech_in!W25=0,0,SER_hh_fech_in!W25/SER_summary!W$27)</f>
        <v>0</v>
      </c>
      <c r="X25" s="132">
        <f>IF(SER_hh_fech_in!X25=0,0,SER_hh_fech_in!X25/SER_summary!X$27)</f>
        <v>32.769774435498384</v>
      </c>
      <c r="Y25" s="132">
        <f>IF(SER_hh_fech_in!Y25=0,0,SER_hh_fech_in!Y25/SER_summary!Y$27)</f>
        <v>27.489976184820652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0</v>
      </c>
      <c r="D26" s="65">
        <f>IF(SER_hh_fech_in!D26=0,0,SER_hh_fech_in!D26/SER_summary!D$27)</f>
        <v>41.373261980725161</v>
      </c>
      <c r="E26" s="65">
        <f>IF(SER_hh_fech_in!E26=0,0,SER_hh_fech_in!E26/SER_summary!E$27)</f>
        <v>42.447188856547427</v>
      </c>
      <c r="F26" s="65">
        <f>IF(SER_hh_fech_in!F26=0,0,SER_hh_fech_in!F26/SER_summary!F$27)</f>
        <v>37.090639609734659</v>
      </c>
      <c r="G26" s="65">
        <f>IF(SER_hh_fech_in!G26=0,0,SER_hh_fech_in!G26/SER_summary!G$27)</f>
        <v>43.994102703664254</v>
      </c>
      <c r="H26" s="65">
        <f>IF(SER_hh_fech_in!H26=0,0,SER_hh_fech_in!H26/SER_summary!H$27)</f>
        <v>45.575696757661909</v>
      </c>
      <c r="I26" s="65">
        <f>IF(SER_hh_fech_in!I26=0,0,SER_hh_fech_in!I26/SER_summary!I$27)</f>
        <v>41.849000636329627</v>
      </c>
      <c r="J26" s="65">
        <f>IF(SER_hh_fech_in!J26=0,0,SER_hh_fech_in!J26/SER_summary!J$27)</f>
        <v>41.067818491665086</v>
      </c>
      <c r="K26" s="65">
        <f>IF(SER_hh_fech_in!K26=0,0,SER_hh_fech_in!K26/SER_summary!K$27)</f>
        <v>43.109847069871719</v>
      </c>
      <c r="L26" s="65">
        <f>IF(SER_hh_fech_in!L26=0,0,SER_hh_fech_in!L26/SER_summary!L$27)</f>
        <v>30.492318980529774</v>
      </c>
      <c r="M26" s="65">
        <f>IF(SER_hh_fech_in!M26=0,0,SER_hh_fech_in!M26/SER_summary!M$27)</f>
        <v>39.234622011787714</v>
      </c>
      <c r="N26" s="65">
        <f>IF(SER_hh_fech_in!N26=0,0,SER_hh_fech_in!N26/SER_summary!N$27)</f>
        <v>39.816033346437429</v>
      </c>
      <c r="O26" s="65">
        <f>IF(SER_hh_fech_in!O26=0,0,SER_hh_fech_in!O26/SER_summary!O$27)</f>
        <v>40.334771598410775</v>
      </c>
      <c r="P26" s="65">
        <f>IF(SER_hh_fech_in!P26=0,0,SER_hh_fech_in!P26/SER_summary!P$27)</f>
        <v>10.566554605236762</v>
      </c>
      <c r="Q26" s="65">
        <f>IF(SER_hh_fech_in!Q26=0,0,SER_hh_fech_in!Q26/SER_summary!Q$27)</f>
        <v>37.881926552136008</v>
      </c>
      <c r="R26" s="65">
        <f>IF(SER_hh_fech_in!R26=0,0,SER_hh_fech_in!R26/SER_summary!R$27)</f>
        <v>31.703470284982568</v>
      </c>
      <c r="S26" s="65">
        <f>IF(SER_hh_fech_in!S26=0,0,SER_hh_fech_in!S26/SER_summary!S$27)</f>
        <v>33.457200322099915</v>
      </c>
      <c r="T26" s="65">
        <f>IF(SER_hh_fech_in!T26=0,0,SER_hh_fech_in!T26/SER_summary!T$27)</f>
        <v>31.382872206200801</v>
      </c>
      <c r="U26" s="65">
        <f>IF(SER_hh_fech_in!U26=0,0,SER_hh_fech_in!U26/SER_summary!U$27)</f>
        <v>31.494779154444469</v>
      </c>
      <c r="V26" s="65">
        <f>IF(SER_hh_fech_in!V26=0,0,SER_hh_fech_in!V26/SER_summary!V$27)</f>
        <v>30.787020424238538</v>
      </c>
      <c r="W26" s="65">
        <f>IF(SER_hh_fech_in!W26=0,0,SER_hh_fech_in!W26/SER_summary!W$27)</f>
        <v>27.07015703774454</v>
      </c>
      <c r="X26" s="65">
        <f>IF(SER_hh_fech_in!X26=0,0,SER_hh_fech_in!X26/SER_summary!X$27)</f>
        <v>28.843684635592577</v>
      </c>
      <c r="Y26" s="65">
        <f>IF(SER_hh_fech_in!Y26=0,0,SER_hh_fech_in!Y26/SER_summary!Y$27)</f>
        <v>10.945597369431882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0.23511551489583085</v>
      </c>
      <c r="H27" s="145">
        <f>IF(SER_hh_fech_in!H27=0,0,SER_hh_fech_in!H27/SER_summary!H$27)</f>
        <v>0</v>
      </c>
      <c r="I27" s="145">
        <f>IF(SER_hh_fech_in!I27=0,0,SER_hh_fech_in!I27/SER_summary!I$27)</f>
        <v>1.9463497177971138E-3</v>
      </c>
      <c r="J27" s="145">
        <f>IF(SER_hh_fech_in!J27=0,0,SER_hh_fech_in!J27/SER_summary!J$27)</f>
        <v>1.3166919860969817E-3</v>
      </c>
      <c r="K27" s="145">
        <f>IF(SER_hh_fech_in!K27=0,0,SER_hh_fech_in!K27/SER_summary!K$27)</f>
        <v>0</v>
      </c>
      <c r="L27" s="145">
        <f>IF(SER_hh_fech_in!L27=0,0,SER_hh_fech_in!L27/SER_summary!L$27)</f>
        <v>5.3937116831007268</v>
      </c>
      <c r="M27" s="145">
        <f>IF(SER_hh_fech_in!M27=0,0,SER_hh_fech_in!M27/SER_summary!M$27)</f>
        <v>1.4395809464113787</v>
      </c>
      <c r="N27" s="145">
        <f>IF(SER_hh_fech_in!N27=0,0,SER_hh_fech_in!N27/SER_summary!N$27)</f>
        <v>0.1932448164406827</v>
      </c>
      <c r="O27" s="145">
        <f>IF(SER_hh_fech_in!O27=0,0,SER_hh_fech_in!O27/SER_summary!O$27)</f>
        <v>0</v>
      </c>
      <c r="P27" s="145">
        <f>IF(SER_hh_fech_in!P27=0,0,SER_hh_fech_in!P27/SER_summary!P$27)</f>
        <v>12.194294373394156</v>
      </c>
      <c r="Q27" s="145">
        <f>IF(SER_hh_fech_in!Q27=0,0,SER_hh_fech_in!Q27/SER_summary!Q$27)</f>
        <v>0</v>
      </c>
      <c r="R27" s="145">
        <f>IF(SER_hh_fech_in!R27=0,0,SER_hh_fech_in!R27/SER_summary!R$27)</f>
        <v>0.68623190571804027</v>
      </c>
      <c r="S27" s="145">
        <f>IF(SER_hh_fech_in!S27=0,0,SER_hh_fech_in!S27/SER_summary!S$27)</f>
        <v>4.4690984227813148E-15</v>
      </c>
      <c r="T27" s="145">
        <f>IF(SER_hh_fech_in!T27=0,0,SER_hh_fech_in!T27/SER_summary!T$27)</f>
        <v>1.0583266365724715</v>
      </c>
      <c r="U27" s="145">
        <f>IF(SER_hh_fech_in!U27=0,0,SER_hh_fech_in!U27/SER_summary!U$27)</f>
        <v>0.24066784226976962</v>
      </c>
      <c r="V27" s="145">
        <f>IF(SER_hh_fech_in!V27=0,0,SER_hh_fech_in!V27/SER_summary!V$27)</f>
        <v>1.5360581504234712</v>
      </c>
      <c r="W27" s="145">
        <f>IF(SER_hh_fech_in!W27=0,0,SER_hh_fech_in!W27/SER_summary!W$27)</f>
        <v>1.2768828761900541</v>
      </c>
      <c r="X27" s="145">
        <f>IF(SER_hh_fech_in!X27=0,0,SER_hh_fech_in!X27/SER_summary!X$27)</f>
        <v>4.3757402713726333E-15</v>
      </c>
      <c r="Y27" s="145">
        <f>IF(SER_hh_fech_in!Y27=0,0,SER_hh_fech_in!Y27/SER_summary!Y$27)</f>
        <v>10.142961899504966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20.86989387675326</v>
      </c>
      <c r="H28" s="146">
        <f>IF(SER_hh_fech_in!H28=0,0,SER_hh_fech_in!H28/SER_summary!H$27)</f>
        <v>0</v>
      </c>
      <c r="I28" s="146">
        <f>IF(SER_hh_fech_in!I28=0,0,SER_hh_fech_in!I28/SER_summary!I$27)</f>
        <v>21.040989625886699</v>
      </c>
      <c r="J28" s="146">
        <f>IF(SER_hh_fech_in!J28=0,0,SER_hh_fech_in!J28/SER_summary!J$27)</f>
        <v>20.649772362127642</v>
      </c>
      <c r="K28" s="146">
        <f>IF(SER_hh_fech_in!K28=0,0,SER_hh_fech_in!K28/SER_summary!K$27)</f>
        <v>0</v>
      </c>
      <c r="L28" s="146">
        <f>IF(SER_hh_fech_in!L28=0,0,SER_hh_fech_in!L28/SER_summary!L$27)</f>
        <v>19.757490880416078</v>
      </c>
      <c r="M28" s="146">
        <f>IF(SER_hh_fech_in!M28=0,0,SER_hh_fech_in!M28/SER_summary!M$27)</f>
        <v>20.91995403016621</v>
      </c>
      <c r="N28" s="146">
        <f>IF(SER_hh_fech_in!N28=0,0,SER_hh_fech_in!N28/SER_summary!N$27)</f>
        <v>21.972162643710661</v>
      </c>
      <c r="O28" s="146">
        <f>IF(SER_hh_fech_in!O28=0,0,SER_hh_fech_in!O28/SER_summary!O$27)</f>
        <v>0</v>
      </c>
      <c r="P28" s="146">
        <f>IF(SER_hh_fech_in!P28=0,0,SER_hh_fech_in!P28/SER_summary!P$27)</f>
        <v>20.863005647805227</v>
      </c>
      <c r="Q28" s="146">
        <f>IF(SER_hh_fech_in!Q28=0,0,SER_hh_fech_in!Q28/SER_summary!Q$27)</f>
        <v>0</v>
      </c>
      <c r="R28" s="146">
        <f>IF(SER_hh_fech_in!R28=0,0,SER_hh_fech_in!R28/SER_summary!R$27)</f>
        <v>20.061828672838203</v>
      </c>
      <c r="S28" s="146">
        <f>IF(SER_hh_fech_in!S28=0,0,SER_hh_fech_in!S28/SER_summary!S$27)</f>
        <v>21.362556864258131</v>
      </c>
      <c r="T28" s="146">
        <f>IF(SER_hh_fech_in!T28=0,0,SER_hh_fech_in!T28/SER_summary!T$27)</f>
        <v>20.561827786776938</v>
      </c>
      <c r="U28" s="146">
        <f>IF(SER_hh_fech_in!U28=0,0,SER_hh_fech_in!U28/SER_summary!U$27)</f>
        <v>20.94654466950135</v>
      </c>
      <c r="V28" s="146">
        <f>IF(SER_hh_fech_in!V28=0,0,SER_hh_fech_in!V28/SER_summary!V$27)</f>
        <v>19.70935136946898</v>
      </c>
      <c r="W28" s="146">
        <f>IF(SER_hh_fech_in!W28=0,0,SER_hh_fech_in!W28/SER_summary!W$27)</f>
        <v>16.274661320681926</v>
      </c>
      <c r="X28" s="146">
        <f>IF(SER_hh_fech_in!X28=0,0,SER_hh_fech_in!X28/SER_summary!X$27)</f>
        <v>21.468160315330721</v>
      </c>
      <c r="Y28" s="146">
        <f>IF(SER_hh_fech_in!Y28=0,0,SER_hh_fech_in!Y28/SER_summary!Y$27)</f>
        <v>17.745603419813634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37.220467856552311</v>
      </c>
      <c r="D29" s="130">
        <f>IF(SER_hh_fech_in!D29=0,0,SER_hh_fech_in!D29/SER_summary!D$27)</f>
        <v>51.392798641382804</v>
      </c>
      <c r="E29" s="130">
        <f>IF(SER_hh_fech_in!E29=0,0,SER_hh_fech_in!E29/SER_summary!E$27)</f>
        <v>38.259057477121793</v>
      </c>
      <c r="F29" s="130">
        <f>IF(SER_hh_fech_in!F29=0,0,SER_hh_fech_in!F29/SER_summary!F$27)</f>
        <v>41.012790247380735</v>
      </c>
      <c r="G29" s="130">
        <f>IF(SER_hh_fech_in!G29=0,0,SER_hh_fech_in!G29/SER_summary!G$27)</f>
        <v>41.457274059079388</v>
      </c>
      <c r="H29" s="130">
        <f>IF(SER_hh_fech_in!H29=0,0,SER_hh_fech_in!H29/SER_summary!H$27)</f>
        <v>40.397415505949922</v>
      </c>
      <c r="I29" s="130">
        <f>IF(SER_hh_fech_in!I29=0,0,SER_hh_fech_in!I29/SER_summary!I$27)</f>
        <v>41.313921716007748</v>
      </c>
      <c r="J29" s="130">
        <f>IF(SER_hh_fech_in!J29=0,0,SER_hh_fech_in!J29/SER_summary!J$27)</f>
        <v>41.234050005047749</v>
      </c>
      <c r="K29" s="130">
        <f>IF(SER_hh_fech_in!K29=0,0,SER_hh_fech_in!K29/SER_summary!K$27)</f>
        <v>41.949208658605187</v>
      </c>
      <c r="L29" s="130">
        <f>IF(SER_hh_fech_in!L29=0,0,SER_hh_fech_in!L29/SER_summary!L$27)</f>
        <v>40.564255514722241</v>
      </c>
      <c r="M29" s="130">
        <f>IF(SER_hh_fech_in!M29=0,0,SER_hh_fech_in!M29/SER_summary!M$27)</f>
        <v>40.025953784369499</v>
      </c>
      <c r="N29" s="130">
        <f>IF(SER_hh_fech_in!N29=0,0,SER_hh_fech_in!N29/SER_summary!N$27)</f>
        <v>44.385022730712336</v>
      </c>
      <c r="O29" s="130">
        <f>IF(SER_hh_fech_in!O29=0,0,SER_hh_fech_in!O29/SER_summary!O$27)</f>
        <v>46.243737331858213</v>
      </c>
      <c r="P29" s="130">
        <f>IF(SER_hh_fech_in!P29=0,0,SER_hh_fech_in!P29/SER_summary!P$27)</f>
        <v>42.734076650524806</v>
      </c>
      <c r="Q29" s="130">
        <f>IF(SER_hh_fech_in!Q29=0,0,SER_hh_fech_in!Q29/SER_summary!Q$27)</f>
        <v>39.880886407091154</v>
      </c>
      <c r="R29" s="130">
        <f>IF(SER_hh_fech_in!R29=0,0,SER_hh_fech_in!R29/SER_summary!R$27)</f>
        <v>36.511893233057918</v>
      </c>
      <c r="S29" s="130">
        <f>IF(SER_hh_fech_in!S29=0,0,SER_hh_fech_in!S29/SER_summary!S$27)</f>
        <v>34.077448779310338</v>
      </c>
      <c r="T29" s="130">
        <f>IF(SER_hh_fech_in!T29=0,0,SER_hh_fech_in!T29/SER_summary!T$27)</f>
        <v>34.518718712247924</v>
      </c>
      <c r="U29" s="130">
        <f>IF(SER_hh_fech_in!U29=0,0,SER_hh_fech_in!U29/SER_summary!U$27)</f>
        <v>34.093356564581022</v>
      </c>
      <c r="V29" s="130">
        <f>IF(SER_hh_fech_in!V29=0,0,SER_hh_fech_in!V29/SER_summary!V$27)</f>
        <v>30.68944140928512</v>
      </c>
      <c r="W29" s="130">
        <f>IF(SER_hh_fech_in!W29=0,0,SER_hh_fech_in!W29/SER_summary!W$27)</f>
        <v>35.406548490532494</v>
      </c>
      <c r="X29" s="130">
        <f>IF(SER_hh_fech_in!X29=0,0,SER_hh_fech_in!X29/SER_summary!X$27)</f>
        <v>38.276432530301612</v>
      </c>
      <c r="Y29" s="130">
        <f>IF(SER_hh_fech_in!Y29=0,0,SER_hh_fech_in!Y29/SER_summary!Y$27)</f>
        <v>35.85995463506687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34.419176302216286</v>
      </c>
      <c r="D30" s="132">
        <f>IF(SER_hh_fech_in!D30=0,0,SER_hh_fech_in!D30/SER_summary!D$27)</f>
        <v>55.288086986390951</v>
      </c>
      <c r="E30" s="132">
        <f>IF(SER_hh_fech_in!E30=0,0,SER_hh_fech_in!E30/SER_summary!E$27)</f>
        <v>57.029446733574304</v>
      </c>
      <c r="F30" s="132">
        <f>IF(SER_hh_fech_in!F30=0,0,SER_hh_fech_in!F30/SER_summary!F$27)</f>
        <v>61.705074456327552</v>
      </c>
      <c r="G30" s="132">
        <f>IF(SER_hh_fech_in!G30=0,0,SER_hh_fech_in!G30/SER_summary!G$27)</f>
        <v>0</v>
      </c>
      <c r="H30" s="132">
        <f>IF(SER_hh_fech_in!H30=0,0,SER_hh_fech_in!H30/SER_summary!H$27)</f>
        <v>0</v>
      </c>
      <c r="I30" s="132">
        <f>IF(SER_hh_fech_in!I30=0,0,SER_hh_fech_in!I30/SER_summary!I$27)</f>
        <v>0</v>
      </c>
      <c r="J30" s="132">
        <f>IF(SER_hh_fech_in!J30=0,0,SER_hh_fech_in!J30/SER_summary!J$27)</f>
        <v>0</v>
      </c>
      <c r="K30" s="132">
        <f>IF(SER_hh_fech_in!K30=0,0,SER_hh_fech_in!K30/SER_summary!K$27)</f>
        <v>52.756654945928233</v>
      </c>
      <c r="L30" s="132">
        <f>IF(SER_hh_fech_in!L30=0,0,SER_hh_fech_in!L30/SER_summary!L$27)</f>
        <v>91.953048913437456</v>
      </c>
      <c r="M30" s="132">
        <f>IF(SER_hh_fech_in!M30=0,0,SER_hh_fech_in!M30/SER_summary!M$27)</f>
        <v>0</v>
      </c>
      <c r="N30" s="132">
        <f>IF(SER_hh_fech_in!N30=0,0,SER_hh_fech_in!N30/SER_summary!N$27)</f>
        <v>53.888985406824929</v>
      </c>
      <c r="O30" s="132">
        <f>IF(SER_hh_fech_in!O30=0,0,SER_hh_fech_in!O30/SER_summary!O$27)</f>
        <v>52.055575203611447</v>
      </c>
      <c r="P30" s="132">
        <f>IF(SER_hh_fech_in!P30=0,0,SER_hh_fech_in!P30/SER_summary!P$27)</f>
        <v>47.685192463703281</v>
      </c>
      <c r="Q30" s="132">
        <f>IF(SER_hh_fech_in!Q30=0,0,SER_hh_fech_in!Q30/SER_summary!Q$27)</f>
        <v>0</v>
      </c>
      <c r="R30" s="132">
        <f>IF(SER_hh_fech_in!R30=0,0,SER_hh_fech_in!R30/SER_summary!R$27)</f>
        <v>0</v>
      </c>
      <c r="S30" s="132">
        <f>IF(SER_hh_fech_in!S30=0,0,SER_hh_fech_in!S30/SER_summary!S$27)</f>
        <v>0</v>
      </c>
      <c r="T30" s="132">
        <f>IF(SER_hh_fech_in!T30=0,0,SER_hh_fech_in!T30/SER_summary!T$27)</f>
        <v>0</v>
      </c>
      <c r="U30" s="132">
        <f>IF(SER_hh_fech_in!U30=0,0,SER_hh_fech_in!U30/SER_summary!U$27)</f>
        <v>0</v>
      </c>
      <c r="V30" s="132">
        <f>IF(SER_hh_fech_in!V30=0,0,SER_hh_fech_in!V30/SER_summary!V$27)</f>
        <v>0</v>
      </c>
      <c r="W30" s="132">
        <f>IF(SER_hh_fech_in!W30=0,0,SER_hh_fech_in!W30/SER_summary!W$27)</f>
        <v>33.831288580390535</v>
      </c>
      <c r="X30" s="132">
        <f>IF(SER_hh_fech_in!X30=0,0,SER_hh_fech_in!X30/SER_summary!X$27)</f>
        <v>57.133348276624545</v>
      </c>
      <c r="Y30" s="132">
        <f>IF(SER_hh_fech_in!Y30=0,0,SER_hh_fech_in!Y30/SER_summary!Y$27)</f>
        <v>0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44.770285583218921</v>
      </c>
      <c r="D31" s="132">
        <f>IF(SER_hh_fech_in!D31=0,0,SER_hh_fech_in!D31/SER_summary!D$27)</f>
        <v>47.308732363826508</v>
      </c>
      <c r="E31" s="132">
        <f>IF(SER_hh_fech_in!E31=0,0,SER_hh_fech_in!E31/SER_summary!E$27)</f>
        <v>47.184546534912776</v>
      </c>
      <c r="F31" s="132">
        <f>IF(SER_hh_fech_in!F31=0,0,SER_hh_fech_in!F31/SER_summary!F$27)</f>
        <v>36.935168213410655</v>
      </c>
      <c r="G31" s="132">
        <f>IF(SER_hh_fech_in!G31=0,0,SER_hh_fech_in!G31/SER_summary!G$27)</f>
        <v>49.45880728748628</v>
      </c>
      <c r="H31" s="132">
        <f>IF(SER_hh_fech_in!H31=0,0,SER_hh_fech_in!H31/SER_summary!H$27)</f>
        <v>49.338187312633266</v>
      </c>
      <c r="I31" s="132">
        <f>IF(SER_hh_fech_in!I31=0,0,SER_hh_fech_in!I31/SER_summary!I$27)</f>
        <v>48.923113975581018</v>
      </c>
      <c r="J31" s="132">
        <f>IF(SER_hh_fech_in!J31=0,0,SER_hh_fech_in!J31/SER_summary!J$27)</f>
        <v>47.844690969087225</v>
      </c>
      <c r="K31" s="132">
        <f>IF(SER_hh_fech_in!K31=0,0,SER_hh_fech_in!K31/SER_summary!K$27)</f>
        <v>47.298680166456123</v>
      </c>
      <c r="L31" s="132">
        <f>IF(SER_hh_fech_in!L31=0,0,SER_hh_fech_in!L31/SER_summary!L$27)</f>
        <v>46.805390272886925</v>
      </c>
      <c r="M31" s="132">
        <f>IF(SER_hh_fech_in!M31=0,0,SER_hh_fech_in!M31/SER_summary!M$27)</f>
        <v>42.067833421302907</v>
      </c>
      <c r="N31" s="132">
        <f>IF(SER_hh_fech_in!N31=0,0,SER_hh_fech_in!N31/SER_summary!N$27)</f>
        <v>43.96705174571742</v>
      </c>
      <c r="O31" s="132">
        <f>IF(SER_hh_fech_in!O31=0,0,SER_hh_fech_in!O31/SER_summary!O$27)</f>
        <v>47.169490096757215</v>
      </c>
      <c r="P31" s="132">
        <f>IF(SER_hh_fech_in!P31=0,0,SER_hh_fech_in!P31/SER_summary!P$27)</f>
        <v>45.329915975865497</v>
      </c>
      <c r="Q31" s="132">
        <f>IF(SER_hh_fech_in!Q31=0,0,SER_hh_fech_in!Q31/SER_summary!Q$27)</f>
        <v>47.389183583082811</v>
      </c>
      <c r="R31" s="132">
        <f>IF(SER_hh_fech_in!R31=0,0,SER_hh_fech_in!R31/SER_summary!R$27)</f>
        <v>46.73533887044178</v>
      </c>
      <c r="S31" s="132">
        <f>IF(SER_hh_fech_in!S31=0,0,SER_hh_fech_in!S31/SER_summary!S$27)</f>
        <v>45.367507546453908</v>
      </c>
      <c r="T31" s="132">
        <f>IF(SER_hh_fech_in!T31=0,0,SER_hh_fech_in!T31/SER_summary!T$27)</f>
        <v>41.163397062848091</v>
      </c>
      <c r="U31" s="132">
        <f>IF(SER_hh_fech_in!U31=0,0,SER_hh_fech_in!U31/SER_summary!U$27)</f>
        <v>34.065881964313434</v>
      </c>
      <c r="V31" s="132">
        <f>IF(SER_hh_fech_in!V31=0,0,SER_hh_fech_in!V31/SER_summary!V$27)</f>
        <v>29.949225691847833</v>
      </c>
      <c r="W31" s="132">
        <f>IF(SER_hh_fech_in!W31=0,0,SER_hh_fech_in!W31/SER_summary!W$27)</f>
        <v>47.616897155868116</v>
      </c>
      <c r="X31" s="132">
        <f>IF(SER_hh_fech_in!X31=0,0,SER_hh_fech_in!X31/SER_summary!X$27)</f>
        <v>44.906734794323853</v>
      </c>
      <c r="Y31" s="132">
        <f>IF(SER_hh_fech_in!Y31=0,0,SER_hh_fech_in!Y31/SER_summary!Y$27)</f>
        <v>40.978963266683031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0</v>
      </c>
      <c r="D33" s="68">
        <f>IF(SER_hh_fech_in!D33=0,0,SER_hh_fech_in!D33/SER_summary!D$27)</f>
        <v>28.20294556855567</v>
      </c>
      <c r="E33" s="68">
        <f>IF(SER_hh_fech_in!E33=0,0,SER_hh_fech_in!E33/SER_summary!E$27)</f>
        <v>29.39612840172007</v>
      </c>
      <c r="F33" s="68">
        <f>IF(SER_hh_fech_in!F33=0,0,SER_hh_fech_in!F33/SER_summary!F$27)</f>
        <v>36.324552493885676</v>
      </c>
      <c r="G33" s="68">
        <f>IF(SER_hh_fech_in!G33=0,0,SER_hh_fech_in!G33/SER_summary!G$27)</f>
        <v>37.357535098719879</v>
      </c>
      <c r="H33" s="68">
        <f>IF(SER_hh_fech_in!H33=0,0,SER_hh_fech_in!H33/SER_summary!H$27)</f>
        <v>34.105514671321572</v>
      </c>
      <c r="I33" s="68">
        <f>IF(SER_hh_fech_in!I33=0,0,SER_hh_fech_in!I33/SER_summary!I$27)</f>
        <v>37.031204622058333</v>
      </c>
      <c r="J33" s="68">
        <f>IF(SER_hh_fech_in!J33=0,0,SER_hh_fech_in!J33/SER_summary!J$27)</f>
        <v>37.192219832858441</v>
      </c>
      <c r="K33" s="68">
        <f>IF(SER_hh_fech_in!K33=0,0,SER_hh_fech_in!K33/SER_summary!K$27)</f>
        <v>35.205923024397052</v>
      </c>
      <c r="L33" s="68">
        <f>IF(SER_hh_fech_in!L33=0,0,SER_hh_fech_in!L33/SER_summary!L$27)</f>
        <v>30.657186856034869</v>
      </c>
      <c r="M33" s="68">
        <f>IF(SER_hh_fech_in!M33=0,0,SER_hh_fech_in!M33/SER_summary!M$27)</f>
        <v>39.302454742634069</v>
      </c>
      <c r="N33" s="68">
        <f>IF(SER_hh_fech_in!N33=0,0,SER_hh_fech_in!N33/SER_summary!N$27)</f>
        <v>34.580335811356008</v>
      </c>
      <c r="O33" s="68">
        <f>IF(SER_hh_fech_in!O33=0,0,SER_hh_fech_in!O33/SER_summary!O$27)</f>
        <v>32.868944167149102</v>
      </c>
      <c r="P33" s="68">
        <f>IF(SER_hh_fech_in!P33=0,0,SER_hh_fech_in!P33/SER_summary!P$27)</f>
        <v>33.278350336314567</v>
      </c>
      <c r="Q33" s="68">
        <f>IF(SER_hh_fech_in!Q33=0,0,SER_hh_fech_in!Q33/SER_summary!Q$27)</f>
        <v>31.882825838412327</v>
      </c>
      <c r="R33" s="68">
        <f>IF(SER_hh_fech_in!R33=0,0,SER_hh_fech_in!R33/SER_summary!R$27)</f>
        <v>31.077921241956322</v>
      </c>
      <c r="S33" s="68">
        <f>IF(SER_hh_fech_in!S33=0,0,SER_hh_fech_in!S33/SER_summary!S$27)</f>
        <v>31.927265737280653</v>
      </c>
      <c r="T33" s="68">
        <f>IF(SER_hh_fech_in!T33=0,0,SER_hh_fech_in!T33/SER_summary!T$27)</f>
        <v>32.152350961356241</v>
      </c>
      <c r="U33" s="68">
        <f>IF(SER_hh_fech_in!U33=0,0,SER_hh_fech_in!U33/SER_summary!U$27)</f>
        <v>34.109506998785939</v>
      </c>
      <c r="V33" s="68">
        <f>IF(SER_hh_fech_in!V33=0,0,SER_hh_fech_in!V33/SER_summary!V$27)</f>
        <v>31.395386672954601</v>
      </c>
      <c r="W33" s="68">
        <f>IF(SER_hh_fech_in!W33=0,0,SER_hh_fech_in!W33/SER_summary!W$27)</f>
        <v>27.418266223007482</v>
      </c>
      <c r="X33" s="68">
        <f>IF(SER_hh_fech_in!X33=0,0,SER_hh_fech_in!X33/SER_summary!X$27)</f>
        <v>27.281460769329009</v>
      </c>
      <c r="Y33" s="68">
        <f>IF(SER_hh_fech_in!Y33=0,0,SER_hh_fech_in!Y33/SER_summary!Y$27)</f>
        <v>29.343954696997326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442.68842629790447</v>
      </c>
      <c r="D3" s="125">
        <f>IF(SER_hh_tesh_in!D3=0,0,SER_hh_tesh_in!D3/SER_summary!D$27)</f>
        <v>408.35266200319222</v>
      </c>
      <c r="E3" s="125">
        <f>IF(SER_hh_tesh_in!E3=0,0,SER_hh_tesh_in!E3/SER_summary!E$27)</f>
        <v>308.88429457044322</v>
      </c>
      <c r="F3" s="125">
        <f>IF(SER_hh_tesh_in!F3=0,0,SER_hh_tesh_in!F3/SER_summary!F$27)</f>
        <v>286.86835330636052</v>
      </c>
      <c r="G3" s="125">
        <f>IF(SER_hh_tesh_in!G3=0,0,SER_hh_tesh_in!G3/SER_summary!G$27)</f>
        <v>421.54332163599776</v>
      </c>
      <c r="H3" s="125">
        <f>IF(SER_hh_tesh_in!H3=0,0,SER_hh_tesh_in!H3/SER_summary!H$27)</f>
        <v>388.02027653175338</v>
      </c>
      <c r="I3" s="125">
        <f>IF(SER_hh_tesh_in!I3=0,0,SER_hh_tesh_in!I3/SER_summary!I$27)</f>
        <v>335.77317570496501</v>
      </c>
      <c r="J3" s="125">
        <f>IF(SER_hh_tesh_in!J3=0,0,SER_hh_tesh_in!J3/SER_summary!J$27)</f>
        <v>340.94183660721291</v>
      </c>
      <c r="K3" s="125">
        <f>IF(SER_hh_tesh_in!K3=0,0,SER_hh_tesh_in!K3/SER_summary!K$27)</f>
        <v>424.99985680983355</v>
      </c>
      <c r="L3" s="125">
        <f>IF(SER_hh_tesh_in!L3=0,0,SER_hh_tesh_in!L3/SER_summary!L$27)</f>
        <v>362.17056767673438</v>
      </c>
      <c r="M3" s="125">
        <f>IF(SER_hh_tesh_in!M3=0,0,SER_hh_tesh_in!M3/SER_summary!M$27)</f>
        <v>279.23906576955176</v>
      </c>
      <c r="N3" s="125">
        <f>IF(SER_hh_tesh_in!N3=0,0,SER_hh_tesh_in!N3/SER_summary!N$27)</f>
        <v>268.41896377672379</v>
      </c>
      <c r="O3" s="125">
        <f>IF(SER_hh_tesh_in!O3=0,0,SER_hh_tesh_in!O3/SER_summary!O$27)</f>
        <v>279.77386497971059</v>
      </c>
      <c r="P3" s="125">
        <f>IF(SER_hh_tesh_in!P3=0,0,SER_hh_tesh_in!P3/SER_summary!P$27)</f>
        <v>198.08860323277102</v>
      </c>
      <c r="Q3" s="125">
        <f>IF(SER_hh_tesh_in!Q3=0,0,SER_hh_tesh_in!Q3/SER_summary!Q$27)</f>
        <v>205.69746008382231</v>
      </c>
      <c r="R3" s="125">
        <f>IF(SER_hh_tesh_in!R3=0,0,SER_hh_tesh_in!R3/SER_summary!R$27)</f>
        <v>193.45320668363652</v>
      </c>
      <c r="S3" s="125">
        <f>IF(SER_hh_tesh_in!S3=0,0,SER_hh_tesh_in!S3/SER_summary!S$27)</f>
        <v>200.16507651546004</v>
      </c>
      <c r="T3" s="125">
        <f>IF(SER_hh_tesh_in!T3=0,0,SER_hh_tesh_in!T3/SER_summary!T$27)</f>
        <v>173.90503677525055</v>
      </c>
      <c r="U3" s="125">
        <f>IF(SER_hh_tesh_in!U3=0,0,SER_hh_tesh_in!U3/SER_summary!U$27)</f>
        <v>151.6847454007947</v>
      </c>
      <c r="V3" s="125">
        <f>IF(SER_hh_tesh_in!V3=0,0,SER_hh_tesh_in!V3/SER_summary!V$27)</f>
        <v>131.58443173704578</v>
      </c>
      <c r="W3" s="125">
        <f>IF(SER_hh_tesh_in!W3=0,0,SER_hh_tesh_in!W3/SER_summary!W$27)</f>
        <v>135.95801600000439</v>
      </c>
      <c r="X3" s="125">
        <f>IF(SER_hh_tesh_in!X3=0,0,SER_hh_tesh_in!X3/SER_summary!X$27)</f>
        <v>122.8806603983998</v>
      </c>
      <c r="Y3" s="125">
        <f>IF(SER_hh_tesh_in!Y3=0,0,SER_hh_tesh_in!Y3/SER_summary!Y$27)</f>
        <v>114.72423657284455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360.50218995214925</v>
      </c>
      <c r="D4" s="130">
        <f>IF(SER_hh_tesh_in!D4=0,0,SER_hh_tesh_in!D4/SER_summary!D$27)</f>
        <v>315.87466243749134</v>
      </c>
      <c r="E4" s="130">
        <f>IF(SER_hh_tesh_in!E4=0,0,SER_hh_tesh_in!E4/SER_summary!E$27)</f>
        <v>225.12120275020257</v>
      </c>
      <c r="F4" s="130">
        <f>IF(SER_hh_tesh_in!F4=0,0,SER_hh_tesh_in!F4/SER_summary!F$27)</f>
        <v>204.78103644702108</v>
      </c>
      <c r="G4" s="130">
        <f>IF(SER_hh_tesh_in!G4=0,0,SER_hh_tesh_in!G4/SER_summary!G$27)</f>
        <v>341.3927554029753</v>
      </c>
      <c r="H4" s="130">
        <f>IF(SER_hh_tesh_in!H4=0,0,SER_hh_tesh_in!H4/SER_summary!H$27)</f>
        <v>311.3831336754896</v>
      </c>
      <c r="I4" s="130">
        <f>IF(SER_hh_tesh_in!I4=0,0,SER_hh_tesh_in!I4/SER_summary!I$27)</f>
        <v>256.38095939609008</v>
      </c>
      <c r="J4" s="130">
        <f>IF(SER_hh_tesh_in!J4=0,0,SER_hh_tesh_in!J4/SER_summary!J$27)</f>
        <v>253.47329418726295</v>
      </c>
      <c r="K4" s="130">
        <f>IF(SER_hh_tesh_in!K4=0,0,SER_hh_tesh_in!K4/SER_summary!K$27)</f>
        <v>337.43030508955525</v>
      </c>
      <c r="L4" s="130">
        <f>IF(SER_hh_tesh_in!L4=0,0,SER_hh_tesh_in!L4/SER_summary!L$27)</f>
        <v>273.96166496470778</v>
      </c>
      <c r="M4" s="130">
        <f>IF(SER_hh_tesh_in!M4=0,0,SER_hh_tesh_in!M4/SER_summary!M$27)</f>
        <v>191.18507362967145</v>
      </c>
      <c r="N4" s="130">
        <f>IF(SER_hh_tesh_in!N4=0,0,SER_hh_tesh_in!N4/SER_summary!N$27)</f>
        <v>179.43048102370861</v>
      </c>
      <c r="O4" s="130">
        <f>IF(SER_hh_tesh_in!O4=0,0,SER_hh_tesh_in!O4/SER_summary!O$27)</f>
        <v>191.19067814589604</v>
      </c>
      <c r="P4" s="130">
        <f>IF(SER_hh_tesh_in!P4=0,0,SER_hh_tesh_in!P4/SER_summary!P$27)</f>
        <v>113.2430388292634</v>
      </c>
      <c r="Q4" s="130">
        <f>IF(SER_hh_tesh_in!Q4=0,0,SER_hh_tesh_in!Q4/SER_summary!Q$27)</f>
        <v>118.96831826030441</v>
      </c>
      <c r="R4" s="130">
        <f>IF(SER_hh_tesh_in!R4=0,0,SER_hh_tesh_in!R4/SER_summary!R$27)</f>
        <v>111.08979069035772</v>
      </c>
      <c r="S4" s="130">
        <f>IF(SER_hh_tesh_in!S4=0,0,SER_hh_tesh_in!S4/SER_summary!S$27)</f>
        <v>116.58173522653877</v>
      </c>
      <c r="T4" s="130">
        <f>IF(SER_hh_tesh_in!T4=0,0,SER_hh_tesh_in!T4/SER_summary!T$27)</f>
        <v>92.50862306408537</v>
      </c>
      <c r="U4" s="130">
        <f>IF(SER_hh_tesh_in!U4=0,0,SER_hh_tesh_in!U4/SER_summary!U$27)</f>
        <v>71.645793020284216</v>
      </c>
      <c r="V4" s="130">
        <f>IF(SER_hh_tesh_in!V4=0,0,SER_hh_tesh_in!V4/SER_summary!V$27)</f>
        <v>58.99932653488878</v>
      </c>
      <c r="W4" s="130">
        <f>IF(SER_hh_tesh_in!W4=0,0,SER_hh_tesh_in!W4/SER_summary!W$27)</f>
        <v>62.096120986629984</v>
      </c>
      <c r="X4" s="130">
        <f>IF(SER_hh_tesh_in!X4=0,0,SER_hh_tesh_in!X4/SER_summary!X$27)</f>
        <v>48.035402764944564</v>
      </c>
      <c r="Y4" s="130">
        <f>IF(SER_hh_tesh_in!Y4=0,0,SER_hh_tesh_in!Y4/SER_summary!Y$27)</f>
        <v>40.542488260929943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302.20627622122544</v>
      </c>
      <c r="D5" s="132">
        <f>IF(SER_hh_tesh_in!D5=0,0,SER_hh_tesh_in!D5/SER_summary!D$27)</f>
        <v>399.64864994596257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82.833873109175713</v>
      </c>
      <c r="H5" s="132">
        <f>IF(SER_hh_tesh_in!H5=0,0,SER_hh_tesh_in!H5/SER_summary!H$27)</f>
        <v>196.24808940664946</v>
      </c>
      <c r="I5" s="132">
        <f>IF(SER_hh_tesh_in!I5=0,0,SER_hh_tesh_in!I5/SER_summary!I$27)</f>
        <v>236.16683226643698</v>
      </c>
      <c r="J5" s="132">
        <f>IF(SER_hh_tesh_in!J5=0,0,SER_hh_tesh_in!J5/SER_summary!J$27)</f>
        <v>246.01399412013461</v>
      </c>
      <c r="K5" s="132">
        <f>IF(SER_hh_tesh_in!K5=0,0,SER_hh_tesh_in!K5/SER_summary!K$27)</f>
        <v>435.60791679390667</v>
      </c>
      <c r="L5" s="132">
        <f>IF(SER_hh_tesh_in!L5=0,0,SER_hh_tesh_in!L5/SER_summary!L$27)</f>
        <v>232.477289702593</v>
      </c>
      <c r="M5" s="132">
        <f>IF(SER_hh_tesh_in!M5=0,0,SER_hh_tesh_in!M5/SER_summary!M$27)</f>
        <v>262.2568861821544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89.619660054893444</v>
      </c>
      <c r="T5" s="132">
        <f>IF(SER_hh_tesh_in!T5=0,0,SER_hh_tesh_in!T5/SER_summary!T$27)</f>
        <v>88.799550606230554</v>
      </c>
      <c r="U5" s="132">
        <f>IF(SER_hh_tesh_in!U5=0,0,SER_hh_tesh_in!U5/SER_summary!U$27)</f>
        <v>116.65214828373577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37.74441104823913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464.87518844896039</v>
      </c>
      <c r="D7" s="132">
        <f>IF(SER_hh_tesh_in!D7=0,0,SER_hh_tesh_in!D7/SER_summary!D$27)</f>
        <v>0</v>
      </c>
      <c r="E7" s="132">
        <f>IF(SER_hh_tesh_in!E7=0,0,SER_hh_tesh_in!E7/SER_summary!E$27)</f>
        <v>117.95600698433782</v>
      </c>
      <c r="F7" s="132">
        <f>IF(SER_hh_tesh_in!F7=0,0,SER_hh_tesh_in!F7/SER_summary!F$27)</f>
        <v>308.47722991883705</v>
      </c>
      <c r="G7" s="132">
        <f>IF(SER_hh_tesh_in!G7=0,0,SER_hh_tesh_in!G7/SER_summary!G$27)</f>
        <v>359.51944082090364</v>
      </c>
      <c r="H7" s="132">
        <f>IF(SER_hh_tesh_in!H7=0,0,SER_hh_tesh_in!H7/SER_summary!H$27)</f>
        <v>0</v>
      </c>
      <c r="I7" s="132">
        <f>IF(SER_hh_tesh_in!I7=0,0,SER_hh_tesh_in!I7/SER_summary!I$27)</f>
        <v>0</v>
      </c>
      <c r="J7" s="132">
        <f>IF(SER_hh_tesh_in!J7=0,0,SER_hh_tesh_in!J7/SER_summary!J$27)</f>
        <v>0</v>
      </c>
      <c r="K7" s="132">
        <f>IF(SER_hh_tesh_in!K7=0,0,SER_hh_tesh_in!K7/SER_summary!K$27)</f>
        <v>0</v>
      </c>
      <c r="L7" s="132">
        <f>IF(SER_hh_tesh_in!L7=0,0,SER_hh_tesh_in!L7/SER_summary!L$27)</f>
        <v>0</v>
      </c>
      <c r="M7" s="132">
        <f>IF(SER_hh_tesh_in!M7=0,0,SER_hh_tesh_in!M7/SER_summary!M$27)</f>
        <v>0</v>
      </c>
      <c r="N7" s="132">
        <f>IF(SER_hh_tesh_in!N7=0,0,SER_hh_tesh_in!N7/SER_summary!N$27)</f>
        <v>0</v>
      </c>
      <c r="O7" s="132">
        <f>IF(SER_hh_tesh_in!O7=0,0,SER_hh_tesh_in!O7/SER_summary!O$27)</f>
        <v>61.224444369757229</v>
      </c>
      <c r="P7" s="132">
        <f>IF(SER_hh_tesh_in!P7=0,0,SER_hh_tesh_in!P7/SER_summary!P$27)</f>
        <v>152.85903322915686</v>
      </c>
      <c r="Q7" s="132">
        <f>IF(SER_hh_tesh_in!Q7=0,0,SER_hh_tesh_in!Q7/SER_summary!Q$27)</f>
        <v>149.05581510002258</v>
      </c>
      <c r="R7" s="132">
        <f>IF(SER_hh_tesh_in!R7=0,0,SER_hh_tesh_in!R7/SER_summary!R$27)</f>
        <v>0</v>
      </c>
      <c r="S7" s="132">
        <f>IF(SER_hh_tesh_in!S7=0,0,SER_hh_tesh_in!S7/SER_summary!S$27)</f>
        <v>0</v>
      </c>
      <c r="T7" s="132">
        <f>IF(SER_hh_tesh_in!T7=0,0,SER_hh_tesh_in!T7/SER_summary!T$27)</f>
        <v>0</v>
      </c>
      <c r="U7" s="132">
        <f>IF(SER_hh_tesh_in!U7=0,0,SER_hh_tesh_in!U7/SER_summary!U$27)</f>
        <v>0</v>
      </c>
      <c r="V7" s="132">
        <f>IF(SER_hh_tesh_in!V7=0,0,SER_hh_tesh_in!V7/SER_summary!V$27)</f>
        <v>0</v>
      </c>
      <c r="W7" s="132">
        <f>IF(SER_hh_tesh_in!W7=0,0,SER_hh_tesh_in!W7/SER_summary!W$27)</f>
        <v>0</v>
      </c>
      <c r="X7" s="132">
        <f>IF(SER_hh_tesh_in!X7=0,0,SER_hh_tesh_in!X7/SER_summary!X$27)</f>
        <v>0</v>
      </c>
      <c r="Y7" s="132">
        <f>IF(SER_hh_tesh_in!Y7=0,0,SER_hh_tesh_in!Y7/SER_summary!Y$27)</f>
        <v>0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315.73054904647188</v>
      </c>
      <c r="D8" s="132">
        <f>IF(SER_hh_tesh_in!D8=0,0,SER_hh_tesh_in!D8/SER_summary!D$27)</f>
        <v>246.12485479146031</v>
      </c>
      <c r="E8" s="132">
        <f>IF(SER_hh_tesh_in!E8=0,0,SER_hh_tesh_in!E8/SER_summary!E$27)</f>
        <v>254.67291165904214</v>
      </c>
      <c r="F8" s="132">
        <f>IF(SER_hh_tesh_in!F8=0,0,SER_hh_tesh_in!F8/SER_summary!F$27)</f>
        <v>271.85153057667139</v>
      </c>
      <c r="G8" s="132">
        <f>IF(SER_hh_tesh_in!G8=0,0,SER_hh_tesh_in!G8/SER_summary!G$27)</f>
        <v>278.47064412930024</v>
      </c>
      <c r="H8" s="132">
        <f>IF(SER_hh_tesh_in!H8=0,0,SER_hh_tesh_in!H8/SER_summary!H$27)</f>
        <v>288.77747416752675</v>
      </c>
      <c r="I8" s="132">
        <f>IF(SER_hh_tesh_in!I8=0,0,SER_hh_tesh_in!I8/SER_summary!I$27)</f>
        <v>273.6465574586619</v>
      </c>
      <c r="J8" s="132">
        <f>IF(SER_hh_tesh_in!J8=0,0,SER_hh_tesh_in!J8/SER_summary!J$27)</f>
        <v>257.74635856818099</v>
      </c>
      <c r="K8" s="132">
        <f>IF(SER_hh_tesh_in!K8=0,0,SER_hh_tesh_in!K8/SER_summary!K$27)</f>
        <v>243.10803032926094</v>
      </c>
      <c r="L8" s="132">
        <f>IF(SER_hh_tesh_in!L8=0,0,SER_hh_tesh_in!L8/SER_summary!L$27)</f>
        <v>213.26669279427657</v>
      </c>
      <c r="M8" s="132">
        <f>IF(SER_hh_tesh_in!M8=0,0,SER_hh_tesh_in!M8/SER_summary!M$27)</f>
        <v>196.53538302359115</v>
      </c>
      <c r="N8" s="132">
        <f>IF(SER_hh_tesh_in!N8=0,0,SER_hh_tesh_in!N8/SER_summary!N$27)</f>
        <v>146.62459212314891</v>
      </c>
      <c r="O8" s="132">
        <f>IF(SER_hh_tesh_in!O8=0,0,SER_hh_tesh_in!O8/SER_summary!O$27)</f>
        <v>153.90199772879924</v>
      </c>
      <c r="P8" s="132">
        <f>IF(SER_hh_tesh_in!P8=0,0,SER_hh_tesh_in!P8/SER_summary!P$27)</f>
        <v>127.7685400411977</v>
      </c>
      <c r="Q8" s="132">
        <f>IF(SER_hh_tesh_in!Q8=0,0,SER_hh_tesh_in!Q8/SER_summary!Q$27)</f>
        <v>128.33221981154122</v>
      </c>
      <c r="R8" s="132">
        <f>IF(SER_hh_tesh_in!R8=0,0,SER_hh_tesh_in!R8/SER_summary!R$27)</f>
        <v>108.27749805882885</v>
      </c>
      <c r="S8" s="132">
        <f>IF(SER_hh_tesh_in!S8=0,0,SER_hh_tesh_in!S8/SER_summary!S$27)</f>
        <v>101.85096234755677</v>
      </c>
      <c r="T8" s="132">
        <f>IF(SER_hh_tesh_in!T8=0,0,SER_hh_tesh_in!T8/SER_summary!T$27)</f>
        <v>89.096396179268709</v>
      </c>
      <c r="U8" s="132">
        <f>IF(SER_hh_tesh_in!U8=0,0,SER_hh_tesh_in!U8/SER_summary!U$27)</f>
        <v>69.379916448999154</v>
      </c>
      <c r="V8" s="132">
        <f>IF(SER_hh_tesh_in!V8=0,0,SER_hh_tesh_in!V8/SER_summary!V$27)</f>
        <v>68.31700142918784</v>
      </c>
      <c r="W8" s="132">
        <f>IF(SER_hh_tesh_in!W8=0,0,SER_hh_tesh_in!W8/SER_summary!W$27)</f>
        <v>54.792085961504561</v>
      </c>
      <c r="X8" s="132">
        <f>IF(SER_hh_tesh_in!X8=0,0,SER_hh_tesh_in!X8/SER_summary!X$27)</f>
        <v>43.676328126965934</v>
      </c>
      <c r="Y8" s="132">
        <f>IF(SER_hh_tesh_in!Y8=0,0,SER_hh_tesh_in!Y8/SER_summary!Y$27)</f>
        <v>44.459634793681985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0</v>
      </c>
      <c r="D9" s="132">
        <f>IF(SER_hh_tesh_in!D9=0,0,SER_hh_tesh_in!D9/SER_summary!D$27)</f>
        <v>0</v>
      </c>
      <c r="E9" s="132">
        <f>IF(SER_hh_tesh_in!E9=0,0,SER_hh_tesh_in!E9/SER_summary!E$27)</f>
        <v>235.14870283036356</v>
      </c>
      <c r="F9" s="132">
        <f>IF(SER_hh_tesh_in!F9=0,0,SER_hh_tesh_in!F9/SER_summary!F$27)</f>
        <v>139.23155825281131</v>
      </c>
      <c r="G9" s="132">
        <f>IF(SER_hh_tesh_in!G9=0,0,SER_hh_tesh_in!G9/SER_summary!G$27)</f>
        <v>341.00085563270591</v>
      </c>
      <c r="H9" s="132">
        <f>IF(SER_hh_tesh_in!H9=0,0,SER_hh_tesh_in!H9/SER_summary!H$27)</f>
        <v>318.23835827361171</v>
      </c>
      <c r="I9" s="132">
        <f>IF(SER_hh_tesh_in!I9=0,0,SER_hh_tesh_in!I9/SER_summary!I$27)</f>
        <v>274.41442125020524</v>
      </c>
      <c r="J9" s="132">
        <f>IF(SER_hh_tesh_in!J9=0,0,SER_hh_tesh_in!J9/SER_summary!J$27)</f>
        <v>281.32614835926262</v>
      </c>
      <c r="K9" s="132">
        <f>IF(SER_hh_tesh_in!K9=0,0,SER_hh_tesh_in!K9/SER_summary!K$27)</f>
        <v>0</v>
      </c>
      <c r="L9" s="132">
        <f>IF(SER_hh_tesh_in!L9=0,0,SER_hh_tesh_in!L9/SER_summary!L$27)</f>
        <v>309.30520202467858</v>
      </c>
      <c r="M9" s="132">
        <f>IF(SER_hh_tesh_in!M9=0,0,SER_hh_tesh_in!M9/SER_summary!M$27)</f>
        <v>114.23799080536944</v>
      </c>
      <c r="N9" s="132">
        <f>IF(SER_hh_tesh_in!N9=0,0,SER_hh_tesh_in!N9/SER_summary!N$27)</f>
        <v>183.3604489613088</v>
      </c>
      <c r="O9" s="132">
        <f>IF(SER_hh_tesh_in!O9=0,0,SER_hh_tesh_in!O9/SER_summary!O$27)</f>
        <v>205.00300352761994</v>
      </c>
      <c r="P9" s="132">
        <f>IF(SER_hh_tesh_in!P9=0,0,SER_hh_tesh_in!P9/SER_summary!P$27)</f>
        <v>110.21051625323767</v>
      </c>
      <c r="Q9" s="132">
        <f>IF(SER_hh_tesh_in!Q9=0,0,SER_hh_tesh_in!Q9/SER_summary!Q$27)</f>
        <v>115.81548774179686</v>
      </c>
      <c r="R9" s="132">
        <f>IF(SER_hh_tesh_in!R9=0,0,SER_hh_tesh_in!R9/SER_summary!R$27)</f>
        <v>107.32028327835029</v>
      </c>
      <c r="S9" s="132">
        <f>IF(SER_hh_tesh_in!S9=0,0,SER_hh_tesh_in!S9/SER_summary!S$27)</f>
        <v>113.63513185993749</v>
      </c>
      <c r="T9" s="132">
        <f>IF(SER_hh_tesh_in!T9=0,0,SER_hh_tesh_in!T9/SER_summary!T$27)</f>
        <v>91.901151715847831</v>
      </c>
      <c r="U9" s="132">
        <f>IF(SER_hh_tesh_in!U9=0,0,SER_hh_tesh_in!U9/SER_summary!U$27)</f>
        <v>67.802179358309601</v>
      </c>
      <c r="V9" s="132">
        <f>IF(SER_hh_tesh_in!V9=0,0,SER_hh_tesh_in!V9/SER_summary!V$27)</f>
        <v>56.046103044813108</v>
      </c>
      <c r="W9" s="132">
        <f>IF(SER_hh_tesh_in!W9=0,0,SER_hh_tesh_in!W9/SER_summary!W$27)</f>
        <v>63.395583398545632</v>
      </c>
      <c r="X9" s="132">
        <f>IF(SER_hh_tesh_in!X9=0,0,SER_hh_tesh_in!X9/SER_summary!X$27)</f>
        <v>47.242207573874758</v>
      </c>
      <c r="Y9" s="132">
        <f>IF(SER_hh_tesh_in!Y9=0,0,SER_hh_tesh_in!Y9/SER_summary!Y$27)</f>
        <v>38.059517977086202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0</v>
      </c>
      <c r="D10" s="132">
        <f>IF(SER_hh_tesh_in!D10=0,0,SER_hh_tesh_in!D10/SER_summary!D$27)</f>
        <v>0</v>
      </c>
      <c r="E10" s="132">
        <f>IF(SER_hh_tesh_in!E10=0,0,SER_hh_tesh_in!E10/SER_summary!E$27)</f>
        <v>0</v>
      </c>
      <c r="F10" s="132">
        <f>IF(SER_hh_tesh_in!F10=0,0,SER_hh_tesh_in!F10/SER_summary!F$27)</f>
        <v>0</v>
      </c>
      <c r="G10" s="132">
        <f>IF(SER_hh_tesh_in!G10=0,0,SER_hh_tesh_in!G10/SER_summary!G$27)</f>
        <v>0</v>
      </c>
      <c r="H10" s="132">
        <f>IF(SER_hh_tesh_in!H10=0,0,SER_hh_tesh_in!H10/SER_summary!H$27)</f>
        <v>100.02046418309831</v>
      </c>
      <c r="I10" s="132">
        <f>IF(SER_hh_tesh_in!I10=0,0,SER_hh_tesh_in!I10/SER_summary!I$27)</f>
        <v>43.807019466682931</v>
      </c>
      <c r="J10" s="132">
        <f>IF(SER_hh_tesh_in!J10=0,0,SER_hh_tesh_in!J10/SER_summary!J$27)</f>
        <v>329.39463701350286</v>
      </c>
      <c r="K10" s="132">
        <f>IF(SER_hh_tesh_in!K10=0,0,SER_hh_tesh_in!K10/SER_summary!K$27)</f>
        <v>332.90823940615064</v>
      </c>
      <c r="L10" s="132">
        <f>IF(SER_hh_tesh_in!L10=0,0,SER_hh_tesh_in!L10/SER_summary!L$27)</f>
        <v>295.16565684022123</v>
      </c>
      <c r="M10" s="132">
        <f>IF(SER_hh_tesh_in!M10=0,0,SER_hh_tesh_in!M10/SER_summary!M$27)</f>
        <v>147.7712846829611</v>
      </c>
      <c r="N10" s="132">
        <f>IF(SER_hh_tesh_in!N10=0,0,SER_hh_tesh_in!N10/SER_summary!N$27)</f>
        <v>165.172333246428</v>
      </c>
      <c r="O10" s="132">
        <f>IF(SER_hh_tesh_in!O10=0,0,SER_hh_tesh_in!O10/SER_summary!O$27)</f>
        <v>86.069377686572508</v>
      </c>
      <c r="P10" s="132">
        <f>IF(SER_hh_tesh_in!P10=0,0,SER_hh_tesh_in!P10/SER_summary!P$27)</f>
        <v>206.29804697084671</v>
      </c>
      <c r="Q10" s="132">
        <f>IF(SER_hh_tesh_in!Q10=0,0,SER_hh_tesh_in!Q10/SER_summary!Q$27)</f>
        <v>112.41928787581973</v>
      </c>
      <c r="R10" s="132">
        <f>IF(SER_hh_tesh_in!R10=0,0,SER_hh_tesh_in!R10/SER_summary!R$27)</f>
        <v>38.144290246473787</v>
      </c>
      <c r="S10" s="132">
        <f>IF(SER_hh_tesh_in!S10=0,0,SER_hh_tesh_in!S10/SER_summary!S$27)</f>
        <v>118.42477772123959</v>
      </c>
      <c r="T10" s="132">
        <f>IF(SER_hh_tesh_in!T10=0,0,SER_hh_tesh_in!T10/SER_summary!T$27)</f>
        <v>91.60018015882595</v>
      </c>
      <c r="U10" s="132">
        <f>IF(SER_hh_tesh_in!U10=0,0,SER_hh_tesh_in!U10/SER_summary!U$27)</f>
        <v>77.512927710175276</v>
      </c>
      <c r="V10" s="132">
        <f>IF(SER_hh_tesh_in!V10=0,0,SER_hh_tesh_in!V10/SER_summary!V$27)</f>
        <v>76.878842181347053</v>
      </c>
      <c r="W10" s="132">
        <f>IF(SER_hh_tesh_in!W10=0,0,SER_hh_tesh_in!W10/SER_summary!W$27)</f>
        <v>61.97186643711273</v>
      </c>
      <c r="X10" s="132">
        <f>IF(SER_hh_tesh_in!X10=0,0,SER_hh_tesh_in!X10/SER_summary!X$27)</f>
        <v>34.672572897588964</v>
      </c>
      <c r="Y10" s="132">
        <f>IF(SER_hh_tesh_in!Y10=0,0,SER_hh_tesh_in!Y10/SER_summary!Y$27)</f>
        <v>43.573314089745878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425.08610464229395</v>
      </c>
      <c r="D11" s="132">
        <f>IF(SER_hh_tesh_in!D11=0,0,SER_hh_tesh_in!D11/SER_summary!D$27)</f>
        <v>295.46075513314321</v>
      </c>
      <c r="E11" s="132">
        <f>IF(SER_hh_tesh_in!E11=0,0,SER_hh_tesh_in!E11/SER_summary!E$27)</f>
        <v>258.83369777220372</v>
      </c>
      <c r="F11" s="132">
        <f>IF(SER_hh_tesh_in!F11=0,0,SER_hh_tesh_in!F11/SER_summary!F$27)</f>
        <v>236.54961182813707</v>
      </c>
      <c r="G11" s="132">
        <f>IF(SER_hh_tesh_in!G11=0,0,SER_hh_tesh_in!G11/SER_summary!G$27)</f>
        <v>259.95959869721327</v>
      </c>
      <c r="H11" s="132">
        <f>IF(SER_hh_tesh_in!H11=0,0,SER_hh_tesh_in!H11/SER_summary!H$27)</f>
        <v>302.66527044900567</v>
      </c>
      <c r="I11" s="132">
        <f>IF(SER_hh_tesh_in!I11=0,0,SER_hh_tesh_in!I11/SER_summary!I$27)</f>
        <v>277.21464564735402</v>
      </c>
      <c r="J11" s="132">
        <f>IF(SER_hh_tesh_in!J11=0,0,SER_hh_tesh_in!J11/SER_summary!J$27)</f>
        <v>275.72024797830403</v>
      </c>
      <c r="K11" s="132">
        <f>IF(SER_hh_tesh_in!K11=0,0,SER_hh_tesh_in!K11/SER_summary!K$27)</f>
        <v>265.48039211754201</v>
      </c>
      <c r="L11" s="132">
        <f>IF(SER_hh_tesh_in!L11=0,0,SER_hh_tesh_in!L11/SER_summary!L$27)</f>
        <v>264.0624382924135</v>
      </c>
      <c r="M11" s="132">
        <f>IF(SER_hh_tesh_in!M11=0,0,SER_hh_tesh_in!M11/SER_summary!M$27)</f>
        <v>207.38053789224392</v>
      </c>
      <c r="N11" s="132">
        <f>IF(SER_hh_tesh_in!N11=0,0,SER_hh_tesh_in!N11/SER_summary!N$27)</f>
        <v>156.73462535719335</v>
      </c>
      <c r="O11" s="132">
        <f>IF(SER_hh_tesh_in!O11=0,0,SER_hh_tesh_in!O11/SER_summary!O$27)</f>
        <v>171.28111701444158</v>
      </c>
      <c r="P11" s="132">
        <f>IF(SER_hh_tesh_in!P11=0,0,SER_hh_tesh_in!P11/SER_summary!P$27)</f>
        <v>111.8785231580698</v>
      </c>
      <c r="Q11" s="132">
        <f>IF(SER_hh_tesh_in!Q11=0,0,SER_hh_tesh_in!Q11/SER_summary!Q$27)</f>
        <v>110.44266250009802</v>
      </c>
      <c r="R11" s="132">
        <f>IF(SER_hh_tesh_in!R11=0,0,SER_hh_tesh_in!R11/SER_summary!R$27)</f>
        <v>118.15931941784778</v>
      </c>
      <c r="S11" s="132">
        <f>IF(SER_hh_tesh_in!S11=0,0,SER_hh_tesh_in!S11/SER_summary!S$27)</f>
        <v>110.67768742621764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307.14316249250828</v>
      </c>
      <c r="D12" s="132">
        <f>IF(SER_hh_tesh_in!D12=0,0,SER_hh_tesh_in!D12/SER_summary!D$27)</f>
        <v>299.5202681162977</v>
      </c>
      <c r="E12" s="132">
        <f>IF(SER_hh_tesh_in!E12=0,0,SER_hh_tesh_in!E12/SER_summary!E$27)</f>
        <v>217.65079120126347</v>
      </c>
      <c r="F12" s="132">
        <f>IF(SER_hh_tesh_in!F12=0,0,SER_hh_tesh_in!F12/SER_summary!F$27)</f>
        <v>322.3177511883564</v>
      </c>
      <c r="G12" s="132">
        <f>IF(SER_hh_tesh_in!G12=0,0,SER_hh_tesh_in!G12/SER_summary!G$27)</f>
        <v>280.61521417231529</v>
      </c>
      <c r="H12" s="132">
        <f>IF(SER_hh_tesh_in!H12=0,0,SER_hh_tesh_in!H12/SER_summary!H$27)</f>
        <v>0</v>
      </c>
      <c r="I12" s="132">
        <f>IF(SER_hh_tesh_in!I12=0,0,SER_hh_tesh_in!I12/SER_summary!I$27)</f>
        <v>0</v>
      </c>
      <c r="J12" s="132">
        <f>IF(SER_hh_tesh_in!J12=0,0,SER_hh_tesh_in!J12/SER_summary!J$27)</f>
        <v>253.53360341772787</v>
      </c>
      <c r="K12" s="132">
        <f>IF(SER_hh_tesh_in!K12=0,0,SER_hh_tesh_in!K12/SER_summary!K$27)</f>
        <v>268.85415581482044</v>
      </c>
      <c r="L12" s="132">
        <f>IF(SER_hh_tesh_in!L12=0,0,SER_hh_tesh_in!L12/SER_summary!L$27)</f>
        <v>289.28102449079609</v>
      </c>
      <c r="M12" s="132">
        <f>IF(SER_hh_tesh_in!M12=0,0,SER_hh_tesh_in!M12/SER_summary!M$27)</f>
        <v>229.90746854528138</v>
      </c>
      <c r="N12" s="132">
        <f>IF(SER_hh_tesh_in!N12=0,0,SER_hh_tesh_in!N12/SER_summary!N$27)</f>
        <v>0</v>
      </c>
      <c r="O12" s="132">
        <f>IF(SER_hh_tesh_in!O12=0,0,SER_hh_tesh_in!O12/SER_summary!O$27)</f>
        <v>0</v>
      </c>
      <c r="P12" s="132">
        <f>IF(SER_hh_tesh_in!P12=0,0,SER_hh_tesh_in!P12/SER_summary!P$27)</f>
        <v>0</v>
      </c>
      <c r="Q12" s="132">
        <f>IF(SER_hh_tesh_in!Q12=0,0,SER_hh_tesh_in!Q12/SER_summary!Q$27)</f>
        <v>0</v>
      </c>
      <c r="R12" s="132">
        <f>IF(SER_hh_tesh_in!R12=0,0,SER_hh_tesh_in!R12/SER_summary!R$27)</f>
        <v>135.37381780224538</v>
      </c>
      <c r="S12" s="132">
        <f>IF(SER_hh_tesh_in!S12=0,0,SER_hh_tesh_in!S12/SER_summary!S$27)</f>
        <v>109.68072188601933</v>
      </c>
      <c r="T12" s="132">
        <f>IF(SER_hh_tesh_in!T12=0,0,SER_hh_tesh_in!T12/SER_summary!T$27)</f>
        <v>91.460151140594391</v>
      </c>
      <c r="U12" s="132">
        <f>IF(SER_hh_tesh_in!U12=0,0,SER_hh_tesh_in!U12/SER_summary!U$27)</f>
        <v>73.368371835122446</v>
      </c>
      <c r="V12" s="132">
        <f>IF(SER_hh_tesh_in!V12=0,0,SER_hh_tesh_in!V12/SER_summary!V$27)</f>
        <v>60.032760756375026</v>
      </c>
      <c r="W12" s="132">
        <f>IF(SER_hh_tesh_in!W12=0,0,SER_hh_tesh_in!W12/SER_summary!W$27)</f>
        <v>57.015210559926977</v>
      </c>
      <c r="X12" s="132">
        <f>IF(SER_hh_tesh_in!X12=0,0,SER_hh_tesh_in!X12/SER_summary!X$27)</f>
        <v>49.059333407598643</v>
      </c>
      <c r="Y12" s="132">
        <f>IF(SER_hh_tesh_in!Y12=0,0,SER_hh_tesh_in!Y12/SER_summary!Y$27)</f>
        <v>41.811668028160398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324.75644220231146</v>
      </c>
      <c r="D13" s="132">
        <f>IF(SER_hh_tesh_in!D13=0,0,SER_hh_tesh_in!D13/SER_summary!D$27)</f>
        <v>284.28075838440685</v>
      </c>
      <c r="E13" s="132">
        <f>IF(SER_hh_tesh_in!E13=0,0,SER_hh_tesh_in!E13/SER_summary!E$27)</f>
        <v>231.36960948062512</v>
      </c>
      <c r="F13" s="132">
        <f>IF(SER_hh_tesh_in!F13=0,0,SER_hh_tesh_in!F13/SER_summary!F$27)</f>
        <v>289.1408953555831</v>
      </c>
      <c r="G13" s="132">
        <f>IF(SER_hh_tesh_in!G13=0,0,SER_hh_tesh_in!G13/SER_summary!G$27)</f>
        <v>268.38540314362405</v>
      </c>
      <c r="H13" s="132">
        <f>IF(SER_hh_tesh_in!H13=0,0,SER_hh_tesh_in!H13/SER_summary!H$27)</f>
        <v>246.27781794164326</v>
      </c>
      <c r="I13" s="132">
        <f>IF(SER_hh_tesh_in!I13=0,0,SER_hh_tesh_in!I13/SER_summary!I$27)</f>
        <v>280.33339630068463</v>
      </c>
      <c r="J13" s="132">
        <f>IF(SER_hh_tesh_in!J13=0,0,SER_hh_tesh_in!J13/SER_summary!J$27)</f>
        <v>233.96809755207252</v>
      </c>
      <c r="K13" s="132">
        <f>IF(SER_hh_tesh_in!K13=0,0,SER_hh_tesh_in!K13/SER_summary!K$27)</f>
        <v>217.58385097125466</v>
      </c>
      <c r="L13" s="132">
        <f>IF(SER_hh_tesh_in!L13=0,0,SER_hh_tesh_in!L13/SER_summary!L$27)</f>
        <v>200.64392831380729</v>
      </c>
      <c r="M13" s="132">
        <f>IF(SER_hh_tesh_in!M13=0,0,SER_hh_tesh_in!M13/SER_summary!M$27)</f>
        <v>208.7379297960334</v>
      </c>
      <c r="N13" s="132">
        <f>IF(SER_hh_tesh_in!N13=0,0,SER_hh_tesh_in!N13/SER_summary!N$27)</f>
        <v>174.87338547850646</v>
      </c>
      <c r="O13" s="132">
        <f>IF(SER_hh_tesh_in!O13=0,0,SER_hh_tesh_in!O13/SER_summary!O$27)</f>
        <v>131.84853473766404</v>
      </c>
      <c r="P13" s="132">
        <f>IF(SER_hh_tesh_in!P13=0,0,SER_hh_tesh_in!P13/SER_summary!P$27)</f>
        <v>97.480824054344183</v>
      </c>
      <c r="Q13" s="132">
        <f>IF(SER_hh_tesh_in!Q13=0,0,SER_hh_tesh_in!Q13/SER_summary!Q$27)</f>
        <v>140.06388671558642</v>
      </c>
      <c r="R13" s="132">
        <f>IF(SER_hh_tesh_in!R13=0,0,SER_hh_tesh_in!R13/SER_summary!R$27)</f>
        <v>117.12649298570589</v>
      </c>
      <c r="S13" s="132">
        <f>IF(SER_hh_tesh_in!S13=0,0,SER_hh_tesh_in!S13/SER_summary!S$27)</f>
        <v>107.31171765766112</v>
      </c>
      <c r="T13" s="132">
        <f>IF(SER_hh_tesh_in!T13=0,0,SER_hh_tesh_in!T13/SER_summary!T$27)</f>
        <v>92.119035390642509</v>
      </c>
      <c r="U13" s="132">
        <f>IF(SER_hh_tesh_in!U13=0,0,SER_hh_tesh_in!U13/SER_summary!U$27)</f>
        <v>70.514567688616154</v>
      </c>
      <c r="V13" s="132">
        <f>IF(SER_hh_tesh_in!V13=0,0,SER_hh_tesh_in!V13/SER_summary!V$27)</f>
        <v>67.619064016634354</v>
      </c>
      <c r="W13" s="132">
        <f>IF(SER_hh_tesh_in!W13=0,0,SER_hh_tesh_in!W13/SER_summary!W$27)</f>
        <v>53.853528497643133</v>
      </c>
      <c r="X13" s="132">
        <f>IF(SER_hh_tesh_in!X13=0,0,SER_hh_tesh_in!X13/SER_summary!X$27)</f>
        <v>45.88831375035025</v>
      </c>
      <c r="Y13" s="132">
        <f>IF(SER_hh_tesh_in!Y13=0,0,SER_hh_tesh_in!Y13/SER_summary!Y$27)</f>
        <v>43.902885745407957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376.98926209310582</v>
      </c>
      <c r="D14" s="65">
        <f>IF(SER_hh_tesh_in!D14=0,0,SER_hh_tesh_in!D14/SER_summary!D$27)</f>
        <v>324.05761327395265</v>
      </c>
      <c r="E14" s="65">
        <f>IF(SER_hh_tesh_in!E14=0,0,SER_hh_tesh_in!E14/SER_summary!E$27)</f>
        <v>233.60490814524968</v>
      </c>
      <c r="F14" s="65">
        <f>IF(SER_hh_tesh_in!F14=0,0,SER_hh_tesh_in!F14/SER_summary!F$27)</f>
        <v>0</v>
      </c>
      <c r="G14" s="65">
        <f>IF(SER_hh_tesh_in!G14=0,0,SER_hh_tesh_in!G14/SER_summary!G$27)</f>
        <v>0</v>
      </c>
      <c r="H14" s="65">
        <f>IF(SER_hh_tesh_in!H14=0,0,SER_hh_tesh_in!H14/SER_summary!H$27)</f>
        <v>0</v>
      </c>
      <c r="I14" s="65">
        <f>IF(SER_hh_tesh_in!I14=0,0,SER_hh_tesh_in!I14/SER_summary!I$27)</f>
        <v>0</v>
      </c>
      <c r="J14" s="65">
        <f>IF(SER_hh_tesh_in!J14=0,0,SER_hh_tesh_in!J14/SER_summary!J$27)</f>
        <v>250.21847348629649</v>
      </c>
      <c r="K14" s="65">
        <f>IF(SER_hh_tesh_in!K14=0,0,SER_hh_tesh_in!K14/SER_summary!K$27)</f>
        <v>243.02022198494069</v>
      </c>
      <c r="L14" s="65">
        <f>IF(SER_hh_tesh_in!L14=0,0,SER_hh_tesh_in!L14/SER_summary!L$27)</f>
        <v>278.66195318901515</v>
      </c>
      <c r="M14" s="65">
        <f>IF(SER_hh_tesh_in!M14=0,0,SER_hh_tesh_in!M14/SER_summary!M$27)</f>
        <v>253.18255283837115</v>
      </c>
      <c r="N14" s="65">
        <f>IF(SER_hh_tesh_in!N14=0,0,SER_hh_tesh_in!N14/SER_summary!N$27)</f>
        <v>135.18082051237519</v>
      </c>
      <c r="O14" s="65">
        <f>IF(SER_hh_tesh_in!O14=0,0,SER_hh_tesh_in!O14/SER_summary!O$27)</f>
        <v>191.14096270676939</v>
      </c>
      <c r="P14" s="65">
        <f>IF(SER_hh_tesh_in!P14=0,0,SER_hh_tesh_in!P14/SER_summary!P$27)</f>
        <v>102.22669910784096</v>
      </c>
      <c r="Q14" s="65">
        <f>IF(SER_hh_tesh_in!Q14=0,0,SER_hh_tesh_in!Q14/SER_summary!Q$27)</f>
        <v>116.02515923884889</v>
      </c>
      <c r="R14" s="65">
        <f>IF(SER_hh_tesh_in!R14=0,0,SER_hh_tesh_in!R14/SER_summary!R$27)</f>
        <v>110.67134741554079</v>
      </c>
      <c r="S14" s="65">
        <f>IF(SER_hh_tesh_in!S14=0,0,SER_hh_tesh_in!S14/SER_summary!S$27)</f>
        <v>123.32521474581131</v>
      </c>
      <c r="T14" s="65">
        <f>IF(SER_hh_tesh_in!T14=0,0,SER_hh_tesh_in!T14/SER_summary!T$27)</f>
        <v>95.707973262059525</v>
      </c>
      <c r="U14" s="65">
        <f>IF(SER_hh_tesh_in!U14=0,0,SER_hh_tesh_in!U14/SER_summary!U$27)</f>
        <v>0</v>
      </c>
      <c r="V14" s="65">
        <f>IF(SER_hh_tesh_in!V14=0,0,SER_hh_tesh_in!V14/SER_summary!V$27)</f>
        <v>0</v>
      </c>
      <c r="W14" s="65">
        <f>IF(SER_hh_tesh_in!W14=0,0,SER_hh_tesh_in!W14/SER_summary!W$27)</f>
        <v>0</v>
      </c>
      <c r="X14" s="65">
        <f>IF(SER_hh_tesh_in!X14=0,0,SER_hh_tesh_in!X14/SER_summary!X$27)</f>
        <v>0</v>
      </c>
      <c r="Y14" s="65">
        <f>IF(SER_hh_tesh_in!Y14=0,0,SER_hh_tesh_in!Y14/SER_summary!Y$27)</f>
        <v>0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1.7495577261052577</v>
      </c>
      <c r="D15" s="134">
        <f>IF(SER_hh_tesh_in!D15=0,0,SER_hh_tesh_in!D15/SER_summary!D$27)</f>
        <v>1.550459473611745</v>
      </c>
      <c r="E15" s="134">
        <f>IF(SER_hh_tesh_in!E15=0,0,SER_hh_tesh_in!E15/SER_summary!E$27)</f>
        <v>1.1901039828076028</v>
      </c>
      <c r="F15" s="134">
        <f>IF(SER_hh_tesh_in!F15=0,0,SER_hh_tesh_in!F15/SER_summary!F$27)</f>
        <v>2.2777077704653128</v>
      </c>
      <c r="G15" s="134">
        <f>IF(SER_hh_tesh_in!G15=0,0,SER_hh_tesh_in!G15/SER_summary!G$27)</f>
        <v>5.8217363608851471</v>
      </c>
      <c r="H15" s="134">
        <f>IF(SER_hh_tesh_in!H15=0,0,SER_hh_tesh_in!H15/SER_summary!H$27)</f>
        <v>5.3076571971561322</v>
      </c>
      <c r="I15" s="134">
        <f>IF(SER_hh_tesh_in!I15=0,0,SER_hh_tesh_in!I15/SER_summary!I$27)</f>
        <v>3.4394503569636994</v>
      </c>
      <c r="J15" s="134">
        <f>IF(SER_hh_tesh_in!J15=0,0,SER_hh_tesh_in!J15/SER_summary!J$27)</f>
        <v>2.1964038145763016</v>
      </c>
      <c r="K15" s="134">
        <f>IF(SER_hh_tesh_in!K15=0,0,SER_hh_tesh_in!K15/SER_summary!K$27)</f>
        <v>2.9648995256822364</v>
      </c>
      <c r="L15" s="134">
        <f>IF(SER_hh_tesh_in!L15=0,0,SER_hh_tesh_in!L15/SER_summary!L$27)</f>
        <v>1.9792819749204811</v>
      </c>
      <c r="M15" s="134">
        <f>IF(SER_hh_tesh_in!M15=0,0,SER_hh_tesh_in!M15/SER_summary!M$27)</f>
        <v>1.7249994032044804</v>
      </c>
      <c r="N15" s="134">
        <f>IF(SER_hh_tesh_in!N15=0,0,SER_hh_tesh_in!N15/SER_summary!N$27)</f>
        <v>3.0139380667380737</v>
      </c>
      <c r="O15" s="134">
        <f>IF(SER_hh_tesh_in!O15=0,0,SER_hh_tesh_in!O15/SER_summary!O$27)</f>
        <v>3.1188946761305432</v>
      </c>
      <c r="P15" s="134">
        <f>IF(SER_hh_tesh_in!P15=0,0,SER_hh_tesh_in!P15/SER_summary!P$27)</f>
        <v>1.8373158962763123</v>
      </c>
      <c r="Q15" s="134">
        <f>IF(SER_hh_tesh_in!Q15=0,0,SER_hh_tesh_in!Q15/SER_summary!Q$27)</f>
        <v>1.8061432504541997</v>
      </c>
      <c r="R15" s="134">
        <f>IF(SER_hh_tesh_in!R15=0,0,SER_hh_tesh_in!R15/SER_summary!R$27)</f>
        <v>1.4631835945240159</v>
      </c>
      <c r="S15" s="134">
        <f>IF(SER_hh_tesh_in!S15=0,0,SER_hh_tesh_in!S15/SER_summary!S$27)</f>
        <v>1.1440920632911942</v>
      </c>
      <c r="T15" s="134">
        <f>IF(SER_hh_tesh_in!T15=0,0,SER_hh_tesh_in!T15/SER_summary!T$27)</f>
        <v>0.92365419379894209</v>
      </c>
      <c r="U15" s="134">
        <f>IF(SER_hh_tesh_in!U15=0,0,SER_hh_tesh_in!U15/SER_summary!U$27)</f>
        <v>0.86979461821227033</v>
      </c>
      <c r="V15" s="134">
        <f>IF(SER_hh_tesh_in!V15=0,0,SER_hh_tesh_in!V15/SER_summary!V$27)</f>
        <v>0.70188247369107859</v>
      </c>
      <c r="W15" s="134">
        <f>IF(SER_hh_tesh_in!W15=0,0,SER_hh_tesh_in!W15/SER_summary!W$27)</f>
        <v>0.79916385880952445</v>
      </c>
      <c r="X15" s="134">
        <f>IF(SER_hh_tesh_in!X15=0,0,SER_hh_tesh_in!X15/SER_summary!X$27)</f>
        <v>0.54157276869244908</v>
      </c>
      <c r="Y15" s="134">
        <f>IF(SER_hh_tesh_in!Y15=0,0,SER_hh_tesh_in!Y15/SER_summary!Y$27)</f>
        <v>0.38869490853506966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29.757942892870108</v>
      </c>
      <c r="D16" s="130">
        <f>IF(SER_hh_tesh_in!D16=0,0,SER_hh_tesh_in!D16/SER_summary!D$27)</f>
        <v>30.100243422865532</v>
      </c>
      <c r="E16" s="130">
        <f>IF(SER_hh_tesh_in!E16=0,0,SER_hh_tesh_in!E16/SER_summary!E$27)</f>
        <v>30.116521479286458</v>
      </c>
      <c r="F16" s="130">
        <f>IF(SER_hh_tesh_in!F16=0,0,SER_hh_tesh_in!F16/SER_summary!F$27)</f>
        <v>28.968193475419213</v>
      </c>
      <c r="G16" s="130">
        <f>IF(SER_hh_tesh_in!G16=0,0,SER_hh_tesh_in!G16/SER_summary!G$27)</f>
        <v>29.032044253137222</v>
      </c>
      <c r="H16" s="130">
        <f>IF(SER_hh_tesh_in!H16=0,0,SER_hh_tesh_in!H16/SER_summary!H$27)</f>
        <v>29.690339227700324</v>
      </c>
      <c r="I16" s="130">
        <f>IF(SER_hh_tesh_in!I16=0,0,SER_hh_tesh_in!I16/SER_summary!I$27)</f>
        <v>30.694303163651277</v>
      </c>
      <c r="J16" s="130">
        <f>IF(SER_hh_tesh_in!J16=0,0,SER_hh_tesh_in!J16/SER_summary!J$27)</f>
        <v>28.654627214108579</v>
      </c>
      <c r="K16" s="130">
        <f>IF(SER_hh_tesh_in!K16=0,0,SER_hh_tesh_in!K16/SER_summary!K$27)</f>
        <v>28.435461638567467</v>
      </c>
      <c r="L16" s="130">
        <f>IF(SER_hh_tesh_in!L16=0,0,SER_hh_tesh_in!L16/SER_summary!L$27)</f>
        <v>29.240541378054456</v>
      </c>
      <c r="M16" s="130">
        <f>IF(SER_hh_tesh_in!M16=0,0,SER_hh_tesh_in!M16/SER_summary!M$27)</f>
        <v>28.206974328899179</v>
      </c>
      <c r="N16" s="130">
        <f>IF(SER_hh_tesh_in!N16=0,0,SER_hh_tesh_in!N16/SER_summary!N$27)</f>
        <v>30.624574775100584</v>
      </c>
      <c r="O16" s="130">
        <f>IF(SER_hh_tesh_in!O16=0,0,SER_hh_tesh_in!O16/SER_summary!O$27)</f>
        <v>28.951460349281369</v>
      </c>
      <c r="P16" s="130">
        <f>IF(SER_hh_tesh_in!P16=0,0,SER_hh_tesh_in!P16/SER_summary!P$27)</f>
        <v>26.123375019298599</v>
      </c>
      <c r="Q16" s="130">
        <f>IF(SER_hh_tesh_in!Q16=0,0,SER_hh_tesh_in!Q16/SER_summary!Q$27)</f>
        <v>30.230838631537473</v>
      </c>
      <c r="R16" s="130">
        <f>IF(SER_hh_tesh_in!R16=0,0,SER_hh_tesh_in!R16/SER_summary!R$27)</f>
        <v>25.102188336479003</v>
      </c>
      <c r="S16" s="130">
        <f>IF(SER_hh_tesh_in!S16=0,0,SER_hh_tesh_in!S16/SER_summary!S$27)</f>
        <v>26.02966392132819</v>
      </c>
      <c r="T16" s="130">
        <f>IF(SER_hh_tesh_in!T16=0,0,SER_hh_tesh_in!T16/SER_summary!T$27)</f>
        <v>24.799612465245453</v>
      </c>
      <c r="U16" s="130">
        <f>IF(SER_hh_tesh_in!U16=0,0,SER_hh_tesh_in!U16/SER_summary!U$27)</f>
        <v>24.695529963330703</v>
      </c>
      <c r="V16" s="130">
        <f>IF(SER_hh_tesh_in!V16=0,0,SER_hh_tesh_in!V16/SER_summary!V$27)</f>
        <v>20.560905868751004</v>
      </c>
      <c r="W16" s="130">
        <f>IF(SER_hh_tesh_in!W16=0,0,SER_hh_tesh_in!W16/SER_summary!W$27)</f>
        <v>19.532702907936777</v>
      </c>
      <c r="X16" s="130">
        <f>IF(SER_hh_tesh_in!X16=0,0,SER_hh_tesh_in!X16/SER_summary!X$27)</f>
        <v>19.366007484022585</v>
      </c>
      <c r="Y16" s="130">
        <f>IF(SER_hh_tesh_in!Y16=0,0,SER_hh_tesh_in!Y16/SER_summary!Y$27)</f>
        <v>19.419715493430722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29.819954770255894</v>
      </c>
      <c r="D17" s="132">
        <f>IF(SER_hh_tesh_in!D17=0,0,SER_hh_tesh_in!D17/SER_summary!D$27)</f>
        <v>0</v>
      </c>
      <c r="E17" s="132">
        <f>IF(SER_hh_tesh_in!E17=0,0,SER_hh_tesh_in!E17/SER_summary!E$27)</f>
        <v>8.4376131399490948</v>
      </c>
      <c r="F17" s="132">
        <f>IF(SER_hh_tesh_in!F17=0,0,SER_hh_tesh_in!F17/SER_summary!F$27)</f>
        <v>0</v>
      </c>
      <c r="G17" s="132">
        <f>IF(SER_hh_tesh_in!G17=0,0,SER_hh_tesh_in!G17/SER_summary!G$27)</f>
        <v>29.205245443757196</v>
      </c>
      <c r="H17" s="132">
        <f>IF(SER_hh_tesh_in!H17=0,0,SER_hh_tesh_in!H17/SER_summary!H$27)</f>
        <v>29.852667332843779</v>
      </c>
      <c r="I17" s="132">
        <f>IF(SER_hh_tesh_in!I17=0,0,SER_hh_tesh_in!I17/SER_summary!I$27)</f>
        <v>30.678744115187659</v>
      </c>
      <c r="J17" s="132">
        <f>IF(SER_hh_tesh_in!J17=0,0,SER_hh_tesh_in!J17/SER_summary!J$27)</f>
        <v>28.655233356822844</v>
      </c>
      <c r="K17" s="132">
        <f>IF(SER_hh_tesh_in!K17=0,0,SER_hh_tesh_in!K17/SER_summary!K$27)</f>
        <v>28.423008562859504</v>
      </c>
      <c r="L17" s="132">
        <f>IF(SER_hh_tesh_in!L17=0,0,SER_hh_tesh_in!L17/SER_summary!L$27)</f>
        <v>29.308472344849797</v>
      </c>
      <c r="M17" s="132">
        <f>IF(SER_hh_tesh_in!M17=0,0,SER_hh_tesh_in!M17/SER_summary!M$27)</f>
        <v>28.396119608944993</v>
      </c>
      <c r="N17" s="132">
        <f>IF(SER_hh_tesh_in!N17=0,0,SER_hh_tesh_in!N17/SER_summary!N$27)</f>
        <v>30.732127874392628</v>
      </c>
      <c r="O17" s="132">
        <f>IF(SER_hh_tesh_in!O17=0,0,SER_hh_tesh_in!O17/SER_summary!O$27)</f>
        <v>29.236992895693859</v>
      </c>
      <c r="P17" s="132">
        <f>IF(SER_hh_tesh_in!P17=0,0,SER_hh_tesh_in!P17/SER_summary!P$27)</f>
        <v>26.545126144667961</v>
      </c>
      <c r="Q17" s="132">
        <f>IF(SER_hh_tesh_in!Q17=0,0,SER_hh_tesh_in!Q17/SER_summary!Q$27)</f>
        <v>30.479931903003273</v>
      </c>
      <c r="R17" s="132">
        <f>IF(SER_hh_tesh_in!R17=0,0,SER_hh_tesh_in!R17/SER_summary!R$27)</f>
        <v>25.928387131385922</v>
      </c>
      <c r="S17" s="132">
        <f>IF(SER_hh_tesh_in!S17=0,0,SER_hh_tesh_in!S17/SER_summary!S$27)</f>
        <v>26.691644280562294</v>
      </c>
      <c r="T17" s="132">
        <f>IF(SER_hh_tesh_in!T17=0,0,SER_hh_tesh_in!T17/SER_summary!T$27)</f>
        <v>25.440272010565845</v>
      </c>
      <c r="U17" s="132">
        <f>IF(SER_hh_tesh_in!U17=0,0,SER_hh_tesh_in!U17/SER_summary!U$27)</f>
        <v>25.13382308937009</v>
      </c>
      <c r="V17" s="132">
        <f>IF(SER_hh_tesh_in!V17=0,0,SER_hh_tesh_in!V17/SER_summary!V$27)</f>
        <v>23.07129439988779</v>
      </c>
      <c r="W17" s="132">
        <f>IF(SER_hh_tesh_in!W17=0,0,SER_hh_tesh_in!W17/SER_summary!W$27)</f>
        <v>19.747150558686336</v>
      </c>
      <c r="X17" s="132">
        <f>IF(SER_hh_tesh_in!X17=0,0,SER_hh_tesh_in!X17/SER_summary!X$27)</f>
        <v>19.632241862374126</v>
      </c>
      <c r="Y17" s="132">
        <f>IF(SER_hh_tesh_in!Y17=0,0,SER_hh_tesh_in!Y17/SER_summary!Y$27)</f>
        <v>19.488411565442551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29.757507750859485</v>
      </c>
      <c r="D18" s="132">
        <f>IF(SER_hh_tesh_in!D18=0,0,SER_hh_tesh_in!D18/SER_summary!D$27)</f>
        <v>30.100243422865532</v>
      </c>
      <c r="E18" s="132">
        <f>IF(SER_hh_tesh_in!E18=0,0,SER_hh_tesh_in!E18/SER_summary!E$27)</f>
        <v>30.241111337408732</v>
      </c>
      <c r="F18" s="132">
        <f>IF(SER_hh_tesh_in!F18=0,0,SER_hh_tesh_in!F18/SER_summary!F$27)</f>
        <v>28.968193475419213</v>
      </c>
      <c r="G18" s="132">
        <f>IF(SER_hh_tesh_in!G18=0,0,SER_hh_tesh_in!G18/SER_summary!G$27)</f>
        <v>29.030748172585305</v>
      </c>
      <c r="H18" s="132">
        <f>IF(SER_hh_tesh_in!H18=0,0,SER_hh_tesh_in!H18/SER_summary!H$27)</f>
        <v>29.689665420417573</v>
      </c>
      <c r="I18" s="132">
        <f>IF(SER_hh_tesh_in!I18=0,0,SER_hh_tesh_in!I18/SER_summary!I$27)</f>
        <v>30.694332933399355</v>
      </c>
      <c r="J18" s="132">
        <f>IF(SER_hh_tesh_in!J18=0,0,SER_hh_tesh_in!J18/SER_summary!J$27)</f>
        <v>28.654624597441465</v>
      </c>
      <c r="K18" s="132">
        <f>IF(SER_hh_tesh_in!K18=0,0,SER_hh_tesh_in!K18/SER_summary!K$27)</f>
        <v>28.435495113717035</v>
      </c>
      <c r="L18" s="132">
        <f>IF(SER_hh_tesh_in!L18=0,0,SER_hh_tesh_in!L18/SER_summary!L$27)</f>
        <v>29.24023716207811</v>
      </c>
      <c r="M18" s="132">
        <f>IF(SER_hh_tesh_in!M18=0,0,SER_hh_tesh_in!M18/SER_summary!M$27)</f>
        <v>28.205665395291348</v>
      </c>
      <c r="N18" s="132">
        <f>IF(SER_hh_tesh_in!N18=0,0,SER_hh_tesh_in!N18/SER_summary!N$27)</f>
        <v>30.6241702850267</v>
      </c>
      <c r="O18" s="132">
        <f>IF(SER_hh_tesh_in!O18=0,0,SER_hh_tesh_in!O18/SER_summary!O$27)</f>
        <v>28.947906554968768</v>
      </c>
      <c r="P18" s="132">
        <f>IF(SER_hh_tesh_in!P18=0,0,SER_hh_tesh_in!P18/SER_summary!P$27)</f>
        <v>26.114918474377721</v>
      </c>
      <c r="Q18" s="132">
        <f>IF(SER_hh_tesh_in!Q18=0,0,SER_hh_tesh_in!Q18/SER_summary!Q$27)</f>
        <v>30.227273771953396</v>
      </c>
      <c r="R18" s="132">
        <f>IF(SER_hh_tesh_in!R18=0,0,SER_hh_tesh_in!R18/SER_summary!R$27)</f>
        <v>25.073160369578293</v>
      </c>
      <c r="S18" s="132">
        <f>IF(SER_hh_tesh_in!S18=0,0,SER_hh_tesh_in!S18/SER_summary!S$27)</f>
        <v>26.019953135772901</v>
      </c>
      <c r="T18" s="132">
        <f>IF(SER_hh_tesh_in!T18=0,0,SER_hh_tesh_in!T18/SER_summary!T$27)</f>
        <v>24.784755342693018</v>
      </c>
      <c r="U18" s="132">
        <f>IF(SER_hh_tesh_in!U18=0,0,SER_hh_tesh_in!U18/SER_summary!U$27)</f>
        <v>24.68843028992595</v>
      </c>
      <c r="V18" s="132">
        <f>IF(SER_hh_tesh_in!V18=0,0,SER_hh_tesh_in!V18/SER_summary!V$27)</f>
        <v>20.50410627704899</v>
      </c>
      <c r="W18" s="132">
        <f>IF(SER_hh_tesh_in!W18=0,0,SER_hh_tesh_in!W18/SER_summary!W$27)</f>
        <v>19.527820219536125</v>
      </c>
      <c r="X18" s="132">
        <f>IF(SER_hh_tesh_in!X18=0,0,SER_hh_tesh_in!X18/SER_summary!X$27)</f>
        <v>19.36023108872368</v>
      </c>
      <c r="Y18" s="132">
        <f>IF(SER_hh_tesh_in!Y18=0,0,SER_hh_tesh_in!Y18/SER_summary!Y$27)</f>
        <v>19.418032445457438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28.918148046681846</v>
      </c>
      <c r="D19" s="130">
        <f>IF(SER_hh_tesh_in!D19=0,0,SER_hh_tesh_in!D19/SER_summary!D$27)</f>
        <v>29.309650675823065</v>
      </c>
      <c r="E19" s="130">
        <f>IF(SER_hh_tesh_in!E19=0,0,SER_hh_tesh_in!E19/SER_summary!E$27)</f>
        <v>28.29690839346166</v>
      </c>
      <c r="F19" s="130">
        <f>IF(SER_hh_tesh_in!F19=0,0,SER_hh_tesh_in!F19/SER_summary!F$27)</f>
        <v>27.011402180547279</v>
      </c>
      <c r="G19" s="130">
        <f>IF(SER_hh_tesh_in!G19=0,0,SER_hh_tesh_in!G19/SER_summary!G$27)</f>
        <v>28.853213171120053</v>
      </c>
      <c r="H19" s="130">
        <f>IF(SER_hh_tesh_in!H19=0,0,SER_hh_tesh_in!H19/SER_summary!H$27)</f>
        <v>28.507413268770375</v>
      </c>
      <c r="I19" s="130">
        <f>IF(SER_hh_tesh_in!I19=0,0,SER_hh_tesh_in!I19/SER_summary!I$27)</f>
        <v>28.508841343173451</v>
      </c>
      <c r="J19" s="130">
        <f>IF(SER_hh_tesh_in!J19=0,0,SER_hh_tesh_in!J19/SER_summary!J$27)</f>
        <v>28.20488186906621</v>
      </c>
      <c r="K19" s="130">
        <f>IF(SER_hh_tesh_in!K19=0,0,SER_hh_tesh_in!K19/SER_summary!K$27)</f>
        <v>28.826047207737187</v>
      </c>
      <c r="L19" s="130">
        <f>IF(SER_hh_tesh_in!L19=0,0,SER_hh_tesh_in!L19/SER_summary!L$27)</f>
        <v>28.962744181951756</v>
      </c>
      <c r="M19" s="130">
        <f>IF(SER_hh_tesh_in!M19=0,0,SER_hh_tesh_in!M19/SER_summary!M$27)</f>
        <v>28.107940480284363</v>
      </c>
      <c r="N19" s="130">
        <f>IF(SER_hh_tesh_in!N19=0,0,SER_hh_tesh_in!N19/SER_summary!N$27)</f>
        <v>29.120586144433798</v>
      </c>
      <c r="O19" s="130">
        <f>IF(SER_hh_tesh_in!O19=0,0,SER_hh_tesh_in!O19/SER_summary!O$27)</f>
        <v>29.27990180302632</v>
      </c>
      <c r="P19" s="130">
        <f>IF(SER_hh_tesh_in!P19=0,0,SER_hh_tesh_in!P19/SER_summary!P$27)</f>
        <v>29.64799330879055</v>
      </c>
      <c r="Q19" s="130">
        <f>IF(SER_hh_tesh_in!Q19=0,0,SER_hh_tesh_in!Q19/SER_summary!Q$27)</f>
        <v>27.394608674495505</v>
      </c>
      <c r="R19" s="130">
        <f>IF(SER_hh_tesh_in!R19=0,0,SER_hh_tesh_in!R19/SER_summary!R$27)</f>
        <v>28.951441332228029</v>
      </c>
      <c r="S19" s="130">
        <f>IF(SER_hh_tesh_in!S19=0,0,SER_hh_tesh_in!S19/SER_summary!S$27)</f>
        <v>28.871228560294572</v>
      </c>
      <c r="T19" s="130">
        <f>IF(SER_hh_tesh_in!T19=0,0,SER_hh_tesh_in!T19/SER_summary!T$27)</f>
        <v>28.061367325684699</v>
      </c>
      <c r="U19" s="130">
        <f>IF(SER_hh_tesh_in!U19=0,0,SER_hh_tesh_in!U19/SER_summary!U$27)</f>
        <v>27.358715597563933</v>
      </c>
      <c r="V19" s="130">
        <f>IF(SER_hh_tesh_in!V19=0,0,SER_hh_tesh_in!V19/SER_summary!V$27)</f>
        <v>27.53095738043913</v>
      </c>
      <c r="W19" s="130">
        <f>IF(SER_hh_tesh_in!W19=0,0,SER_hh_tesh_in!W19/SER_summary!W$27)</f>
        <v>26.590587630844329</v>
      </c>
      <c r="X19" s="130">
        <f>IF(SER_hh_tesh_in!X19=0,0,SER_hh_tesh_in!X19/SER_summary!X$27)</f>
        <v>27.255096309067749</v>
      </c>
      <c r="Y19" s="130">
        <f>IF(SER_hh_tesh_in!Y19=0,0,SER_hh_tesh_in!Y19/SER_summary!Y$27)</f>
        <v>27.579692691864185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22.431287790573332</v>
      </c>
      <c r="I20" s="132">
        <f>IF(SER_hh_tesh_in!I20=0,0,SER_hh_tesh_in!I20/SER_summary!I$27)</f>
        <v>31.019810982490654</v>
      </c>
      <c r="J20" s="132">
        <f>IF(SER_hh_tesh_in!J20=0,0,SER_hh_tesh_in!J20/SER_summary!J$27)</f>
        <v>30.618224984647739</v>
      </c>
      <c r="K20" s="132">
        <f>IF(SER_hh_tesh_in!K20=0,0,SER_hh_tesh_in!K20/SER_summary!K$27)</f>
        <v>30.326162024060057</v>
      </c>
      <c r="L20" s="132">
        <f>IF(SER_hh_tesh_in!L20=0,0,SER_hh_tesh_in!L20/SER_summary!L$27)</f>
        <v>28.670675880578631</v>
      </c>
      <c r="M20" s="132">
        <f>IF(SER_hh_tesh_in!M20=0,0,SER_hh_tesh_in!M20/SER_summary!M$27)</f>
        <v>28.463944728981946</v>
      </c>
      <c r="N20" s="132">
        <f>IF(SER_hh_tesh_in!N20=0,0,SER_hh_tesh_in!N20/SER_summary!N$27)</f>
        <v>28.991457899914717</v>
      </c>
      <c r="O20" s="132">
        <f>IF(SER_hh_tesh_in!O20=0,0,SER_hh_tesh_in!O20/SER_summary!O$27)</f>
        <v>28.656591686333773</v>
      </c>
      <c r="P20" s="132">
        <f>IF(SER_hh_tesh_in!P20=0,0,SER_hh_tesh_in!P20/SER_summary!P$27)</f>
        <v>30.138625184725747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40.491533111254256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0</v>
      </c>
      <c r="D22" s="132">
        <f>IF(SER_hh_tesh_in!D22=0,0,SER_hh_tesh_in!D22/SER_summary!D$27)</f>
        <v>0</v>
      </c>
      <c r="E22" s="132">
        <f>IF(SER_hh_tesh_in!E22=0,0,SER_hh_tesh_in!E22/SER_summary!E$27)</f>
        <v>0</v>
      </c>
      <c r="F22" s="132">
        <f>IF(SER_hh_tesh_in!F22=0,0,SER_hh_tesh_in!F22/SER_summary!F$27)</f>
        <v>0</v>
      </c>
      <c r="G22" s="132">
        <f>IF(SER_hh_tesh_in!G22=0,0,SER_hh_tesh_in!G22/SER_summary!G$27)</f>
        <v>0</v>
      </c>
      <c r="H22" s="132">
        <f>IF(SER_hh_tesh_in!H22=0,0,SER_hh_tesh_in!H22/SER_summary!H$27)</f>
        <v>0</v>
      </c>
      <c r="I22" s="132">
        <f>IF(SER_hh_tesh_in!I22=0,0,SER_hh_tesh_in!I22/SER_summary!I$27)</f>
        <v>0</v>
      </c>
      <c r="J22" s="132">
        <f>IF(SER_hh_tesh_in!J22=0,0,SER_hh_tesh_in!J22/SER_summary!J$27)</f>
        <v>0</v>
      </c>
      <c r="K22" s="132">
        <f>IF(SER_hh_tesh_in!K22=0,0,SER_hh_tesh_in!K22/SER_summary!K$27)</f>
        <v>0</v>
      </c>
      <c r="L22" s="132">
        <f>IF(SER_hh_tesh_in!L22=0,0,SER_hh_tesh_in!L22/SER_summary!L$27)</f>
        <v>0</v>
      </c>
      <c r="M22" s="132">
        <f>IF(SER_hh_tesh_in!M22=0,0,SER_hh_tesh_in!M22/SER_summary!M$27)</f>
        <v>0</v>
      </c>
      <c r="N22" s="132">
        <f>IF(SER_hh_tesh_in!N22=0,0,SER_hh_tesh_in!N22/SER_summary!N$27)</f>
        <v>0</v>
      </c>
      <c r="O22" s="132">
        <f>IF(SER_hh_tesh_in!O22=0,0,SER_hh_tesh_in!O22/SER_summary!O$27)</f>
        <v>0</v>
      </c>
      <c r="P22" s="132">
        <f>IF(SER_hh_tesh_in!P22=0,0,SER_hh_tesh_in!P22/SER_summary!P$27)</f>
        <v>0</v>
      </c>
      <c r="Q22" s="132">
        <f>IF(SER_hh_tesh_in!Q22=0,0,SER_hh_tesh_in!Q22/SER_summary!Q$27)</f>
        <v>0</v>
      </c>
      <c r="R22" s="132">
        <f>IF(SER_hh_tesh_in!R22=0,0,SER_hh_tesh_in!R22/SER_summary!R$27)</f>
        <v>0</v>
      </c>
      <c r="S22" s="132">
        <f>IF(SER_hh_tesh_in!S22=0,0,SER_hh_tesh_in!S22/SER_summary!S$27)</f>
        <v>0</v>
      </c>
      <c r="T22" s="132">
        <f>IF(SER_hh_tesh_in!T22=0,0,SER_hh_tesh_in!T22/SER_summary!T$27)</f>
        <v>0</v>
      </c>
      <c r="U22" s="132">
        <f>IF(SER_hh_tesh_in!U22=0,0,SER_hh_tesh_in!U22/SER_summary!U$27)</f>
        <v>0</v>
      </c>
      <c r="V22" s="132">
        <f>IF(SER_hh_tesh_in!V22=0,0,SER_hh_tesh_in!V22/SER_summary!V$27)</f>
        <v>0</v>
      </c>
      <c r="W22" s="132">
        <f>IF(SER_hh_tesh_in!W22=0,0,SER_hh_tesh_in!W22/SER_summary!W$27)</f>
        <v>0</v>
      </c>
      <c r="X22" s="132">
        <f>IF(SER_hh_tesh_in!X22=0,0,SER_hh_tesh_in!X22/SER_summary!X$27)</f>
        <v>0</v>
      </c>
      <c r="Y22" s="132">
        <f>IF(SER_hh_tesh_in!Y22=0,0,SER_hh_tesh_in!Y22/SER_summary!Y$27)</f>
        <v>0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30.687238301813849</v>
      </c>
      <c r="D23" s="132">
        <f>IF(SER_hh_tesh_in!D23=0,0,SER_hh_tesh_in!D23/SER_summary!D$27)</f>
        <v>30.744993701608081</v>
      </c>
      <c r="E23" s="132">
        <f>IF(SER_hh_tesh_in!E23=0,0,SER_hh_tesh_in!E23/SER_summary!E$27)</f>
        <v>27.667195565708624</v>
      </c>
      <c r="F23" s="132">
        <f>IF(SER_hh_tesh_in!F23=0,0,SER_hh_tesh_in!F23/SER_summary!F$27)</f>
        <v>28.870370931254797</v>
      </c>
      <c r="G23" s="132">
        <f>IF(SER_hh_tesh_in!G23=0,0,SER_hh_tesh_in!G23/SER_summary!G$27)</f>
        <v>27.726670853826356</v>
      </c>
      <c r="H23" s="132">
        <f>IF(SER_hh_tesh_in!H23=0,0,SER_hh_tesh_in!H23/SER_summary!H$27)</f>
        <v>27.624222781686978</v>
      </c>
      <c r="I23" s="132">
        <f>IF(SER_hh_tesh_in!I23=0,0,SER_hh_tesh_in!I23/SER_summary!I$27)</f>
        <v>29.403862844454718</v>
      </c>
      <c r="J23" s="132">
        <f>IF(SER_hh_tesh_in!J23=0,0,SER_hh_tesh_in!J23/SER_summary!J$27)</f>
        <v>28.701715027361061</v>
      </c>
      <c r="K23" s="132">
        <f>IF(SER_hh_tesh_in!K23=0,0,SER_hh_tesh_in!K23/SER_summary!K$27)</f>
        <v>27.617967496600595</v>
      </c>
      <c r="L23" s="132">
        <f>IF(SER_hh_tesh_in!L23=0,0,SER_hh_tesh_in!L23/SER_summary!L$27)</f>
        <v>27.699514505841325</v>
      </c>
      <c r="M23" s="132">
        <f>IF(SER_hh_tesh_in!M23=0,0,SER_hh_tesh_in!M23/SER_summary!M$27)</f>
        <v>25.976072553950338</v>
      </c>
      <c r="N23" s="132">
        <f>IF(SER_hh_tesh_in!N23=0,0,SER_hh_tesh_in!N23/SER_summary!N$27)</f>
        <v>29.360009197951257</v>
      </c>
      <c r="O23" s="132">
        <f>IF(SER_hh_tesh_in!O23=0,0,SER_hh_tesh_in!O23/SER_summary!O$27)</f>
        <v>30.084994525013514</v>
      </c>
      <c r="P23" s="132">
        <f>IF(SER_hh_tesh_in!P23=0,0,SER_hh_tesh_in!P23/SER_summary!P$27)</f>
        <v>25.823529412782953</v>
      </c>
      <c r="Q23" s="132">
        <f>IF(SER_hh_tesh_in!Q23=0,0,SER_hh_tesh_in!Q23/SER_summary!Q$27)</f>
        <v>31.102717459952295</v>
      </c>
      <c r="R23" s="132">
        <f>IF(SER_hh_tesh_in!R23=0,0,SER_hh_tesh_in!R23/SER_summary!R$27)</f>
        <v>31.336288421722617</v>
      </c>
      <c r="S23" s="132">
        <f>IF(SER_hh_tesh_in!S23=0,0,SER_hh_tesh_in!S23/SER_summary!S$27)</f>
        <v>29.818696107844946</v>
      </c>
      <c r="T23" s="132">
        <f>IF(SER_hh_tesh_in!T23=0,0,SER_hh_tesh_in!T23/SER_summary!T$27)</f>
        <v>0</v>
      </c>
      <c r="U23" s="132">
        <f>IF(SER_hh_tesh_in!U23=0,0,SER_hh_tesh_in!U23/SER_summary!U$27)</f>
        <v>0</v>
      </c>
      <c r="V23" s="132">
        <f>IF(SER_hh_tesh_in!V23=0,0,SER_hh_tesh_in!V23/SER_summary!V$27)</f>
        <v>17.158469069786364</v>
      </c>
      <c r="W23" s="132">
        <f>IF(SER_hh_tesh_in!W23=0,0,SER_hh_tesh_in!W23/SER_summary!W$27)</f>
        <v>28.709675540161449</v>
      </c>
      <c r="X23" s="132">
        <f>IF(SER_hh_tesh_in!X23=0,0,SER_hh_tesh_in!X23/SER_summary!X$27)</f>
        <v>28.301627663355909</v>
      </c>
      <c r="Y23" s="132">
        <f>IF(SER_hh_tesh_in!Y23=0,0,SER_hh_tesh_in!Y23/SER_summary!Y$27)</f>
        <v>25.461346964751719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25.939386479989082</v>
      </c>
      <c r="D25" s="132">
        <f>IF(SER_hh_tesh_in!D25=0,0,SER_hh_tesh_in!D25/SER_summary!D$27)</f>
        <v>28.751145007559568</v>
      </c>
      <c r="E25" s="132">
        <f>IF(SER_hh_tesh_in!E25=0,0,SER_hh_tesh_in!E25/SER_summary!E$27)</f>
        <v>30.773458200724971</v>
      </c>
      <c r="F25" s="132">
        <f>IF(SER_hh_tesh_in!F25=0,0,SER_hh_tesh_in!F25/SER_summary!F$27)</f>
        <v>39.891755615253146</v>
      </c>
      <c r="G25" s="132">
        <f>IF(SER_hh_tesh_in!G25=0,0,SER_hh_tesh_in!G25/SER_summary!G$27)</f>
        <v>29.227472571935486</v>
      </c>
      <c r="H25" s="132">
        <f>IF(SER_hh_tesh_in!H25=0,0,SER_hh_tesh_in!H25/SER_summary!H$27)</f>
        <v>26.262427368370265</v>
      </c>
      <c r="I25" s="132">
        <f>IF(SER_hh_tesh_in!I25=0,0,SER_hh_tesh_in!I25/SER_summary!I$27)</f>
        <v>0</v>
      </c>
      <c r="J25" s="132">
        <f>IF(SER_hh_tesh_in!J25=0,0,SER_hh_tesh_in!J25/SER_summary!J$27)</f>
        <v>28.104242207152542</v>
      </c>
      <c r="K25" s="132">
        <f>IF(SER_hh_tesh_in!K25=0,0,SER_hh_tesh_in!K25/SER_summary!K$27)</f>
        <v>29.115469610685341</v>
      </c>
      <c r="L25" s="132">
        <f>IF(SER_hh_tesh_in!L25=0,0,SER_hh_tesh_in!L25/SER_summary!L$27)</f>
        <v>26.813537384664635</v>
      </c>
      <c r="M25" s="132">
        <f>IF(SER_hh_tesh_in!M25=0,0,SER_hh_tesh_in!M25/SER_summary!M$27)</f>
        <v>28.780849937110148</v>
      </c>
      <c r="N25" s="132">
        <f>IF(SER_hh_tesh_in!N25=0,0,SER_hh_tesh_in!N25/SER_summary!N$27)</f>
        <v>31.099984147962189</v>
      </c>
      <c r="O25" s="132">
        <f>IF(SER_hh_tesh_in!O25=0,0,SER_hh_tesh_in!O25/SER_summary!O$27)</f>
        <v>23.402519619074614</v>
      </c>
      <c r="P25" s="132">
        <f>IF(SER_hh_tesh_in!P25=0,0,SER_hh_tesh_in!P25/SER_summary!P$27)</f>
        <v>19.419274553816699</v>
      </c>
      <c r="Q25" s="132">
        <f>IF(SER_hh_tesh_in!Q25=0,0,SER_hh_tesh_in!Q25/SER_summary!Q$27)</f>
        <v>11.373073001914088</v>
      </c>
      <c r="R25" s="132">
        <f>IF(SER_hh_tesh_in!R25=0,0,SER_hh_tesh_in!R25/SER_summary!R$27)</f>
        <v>38.495872138071739</v>
      </c>
      <c r="S25" s="132">
        <f>IF(SER_hh_tesh_in!S25=0,0,SER_hh_tesh_in!S25/SER_summary!S$27)</f>
        <v>35.896247463823393</v>
      </c>
      <c r="T25" s="132">
        <f>IF(SER_hh_tesh_in!T25=0,0,SER_hh_tesh_in!T25/SER_summary!T$27)</f>
        <v>34.042843369539796</v>
      </c>
      <c r="U25" s="132">
        <f>IF(SER_hh_tesh_in!U25=0,0,SER_hh_tesh_in!U25/SER_summary!U$27)</f>
        <v>30.933876135900647</v>
      </c>
      <c r="V25" s="132">
        <f>IF(SER_hh_tesh_in!V25=0,0,SER_hh_tesh_in!V25/SER_summary!V$27)</f>
        <v>0</v>
      </c>
      <c r="W25" s="132">
        <f>IF(SER_hh_tesh_in!W25=0,0,SER_hh_tesh_in!W25/SER_summary!W$27)</f>
        <v>0</v>
      </c>
      <c r="X25" s="132">
        <f>IF(SER_hh_tesh_in!X25=0,0,SER_hh_tesh_in!X25/SER_summary!X$27)</f>
        <v>28.607111853478781</v>
      </c>
      <c r="Y25" s="132">
        <f>IF(SER_hh_tesh_in!Y25=0,0,SER_hh_tesh_in!Y25/SER_summary!Y$27)</f>
        <v>24.120090065431238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0</v>
      </c>
      <c r="D26" s="65">
        <f>IF(SER_hh_tesh_in!D26=0,0,SER_hh_tesh_in!D26/SER_summary!D$27)</f>
        <v>26.756136257960712</v>
      </c>
      <c r="E26" s="65">
        <f>IF(SER_hh_tesh_in!E26=0,0,SER_hh_tesh_in!E26/SER_summary!E$27)</f>
        <v>27.560529328427531</v>
      </c>
      <c r="F26" s="65">
        <f>IF(SER_hh_tesh_in!F26=0,0,SER_hh_tesh_in!F26/SER_summary!F$27)</f>
        <v>24.179751490055263</v>
      </c>
      <c r="G26" s="65">
        <f>IF(SER_hh_tesh_in!G26=0,0,SER_hh_tesh_in!G26/SER_summary!G$27)</f>
        <v>28.804603450466821</v>
      </c>
      <c r="H26" s="65">
        <f>IF(SER_hh_tesh_in!H26=0,0,SER_hh_tesh_in!H26/SER_summary!H$27)</f>
        <v>29.977596461156068</v>
      </c>
      <c r="I26" s="65">
        <f>IF(SER_hh_tesh_in!I26=0,0,SER_hh_tesh_in!I26/SER_summary!I$27)</f>
        <v>27.662362906534387</v>
      </c>
      <c r="J26" s="65">
        <f>IF(SER_hh_tesh_in!J26=0,0,SER_hh_tesh_in!J26/SER_summary!J$27)</f>
        <v>27.296637635620552</v>
      </c>
      <c r="K26" s="65">
        <f>IF(SER_hh_tesh_in!K26=0,0,SER_hh_tesh_in!K26/SER_summary!K$27)</f>
        <v>28.837067131542934</v>
      </c>
      <c r="L26" s="65">
        <f>IF(SER_hh_tesh_in!L26=0,0,SER_hh_tesh_in!L26/SER_summary!L$27)</f>
        <v>20.545887484144444</v>
      </c>
      <c r="M26" s="65">
        <f>IF(SER_hh_tesh_in!M26=0,0,SER_hh_tesh_in!M26/SER_summary!M$27)</f>
        <v>26.800845701931166</v>
      </c>
      <c r="N26" s="65">
        <f>IF(SER_hh_tesh_in!N26=0,0,SER_hh_tesh_in!N26/SER_summary!N$27)</f>
        <v>27.807682351122406</v>
      </c>
      <c r="O26" s="65">
        <f>IF(SER_hh_tesh_in!O26=0,0,SER_hh_tesh_in!O26/SER_summary!O$27)</f>
        <v>29.111765331914619</v>
      </c>
      <c r="P26" s="65">
        <f>IF(SER_hh_tesh_in!P26=0,0,SER_hh_tesh_in!P26/SER_summary!P$27)</f>
        <v>7.9463979927414101</v>
      </c>
      <c r="Q26" s="65">
        <f>IF(SER_hh_tesh_in!Q26=0,0,SER_hh_tesh_in!Q26/SER_summary!Q$27)</f>
        <v>29.595113161457885</v>
      </c>
      <c r="R26" s="65">
        <f>IF(SER_hh_tesh_in!R26=0,0,SER_hh_tesh_in!R26/SER_summary!R$27)</f>
        <v>25.394986809197359</v>
      </c>
      <c r="S26" s="65">
        <f>IF(SER_hh_tesh_in!S26=0,0,SER_hh_tesh_in!S26/SER_summary!S$27)</f>
        <v>27.44057420674919</v>
      </c>
      <c r="T26" s="65">
        <f>IF(SER_hh_tesh_in!T26=0,0,SER_hh_tesh_in!T26/SER_summary!T$27)</f>
        <v>26.335699829083506</v>
      </c>
      <c r="U26" s="65">
        <f>IF(SER_hh_tesh_in!U26=0,0,SER_hh_tesh_in!U26/SER_summary!U$27)</f>
        <v>27.029497913554614</v>
      </c>
      <c r="V26" s="65">
        <f>IF(SER_hh_tesh_in!V26=0,0,SER_hh_tesh_in!V26/SER_summary!V$27)</f>
        <v>26.998161810170437</v>
      </c>
      <c r="W26" s="65">
        <f>IF(SER_hh_tesh_in!W26=0,0,SER_hh_tesh_in!W26/SER_summary!W$27)</f>
        <v>24.201349590066659</v>
      </c>
      <c r="X26" s="65">
        <f>IF(SER_hh_tesh_in!X26=0,0,SER_hh_tesh_in!X26/SER_summary!X$27)</f>
        <v>26.180170685736048</v>
      </c>
      <c r="Y26" s="65">
        <f>IF(SER_hh_tesh_in!Y26=0,0,SER_hh_tesh_in!Y26/SER_summary!Y$27)</f>
        <v>10.074069070784674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0.23511551489583085</v>
      </c>
      <c r="H27" s="145">
        <f>IF(SER_hh_tesh_in!H27=0,0,SER_hh_tesh_in!H27/SER_summary!H$27)</f>
        <v>0</v>
      </c>
      <c r="I27" s="145">
        <f>IF(SER_hh_tesh_in!I27=0,0,SER_hh_tesh_in!I27/SER_summary!I$27)</f>
        <v>1.9463497177971138E-3</v>
      </c>
      <c r="J27" s="145">
        <f>IF(SER_hh_tesh_in!J27=0,0,SER_hh_tesh_in!J27/SER_summary!J$27)</f>
        <v>1.3166919860969817E-3</v>
      </c>
      <c r="K27" s="145">
        <f>IF(SER_hh_tesh_in!K27=0,0,SER_hh_tesh_in!K27/SER_summary!K$27)</f>
        <v>0</v>
      </c>
      <c r="L27" s="145">
        <f>IF(SER_hh_tesh_in!L27=0,0,SER_hh_tesh_in!L27/SER_summary!L$27)</f>
        <v>5.3937116831007268</v>
      </c>
      <c r="M27" s="145">
        <f>IF(SER_hh_tesh_in!M27=0,0,SER_hh_tesh_in!M27/SER_summary!M$27)</f>
        <v>1.4395809464113787</v>
      </c>
      <c r="N27" s="145">
        <f>IF(SER_hh_tesh_in!N27=0,0,SER_hh_tesh_in!N27/SER_summary!N$27)</f>
        <v>0.1932448164406827</v>
      </c>
      <c r="O27" s="145">
        <f>IF(SER_hh_tesh_in!O27=0,0,SER_hh_tesh_in!O27/SER_summary!O$27)</f>
        <v>0</v>
      </c>
      <c r="P27" s="145">
        <f>IF(SER_hh_tesh_in!P27=0,0,SER_hh_tesh_in!P27/SER_summary!P$27)</f>
        <v>12.194294373394156</v>
      </c>
      <c r="Q27" s="145">
        <f>IF(SER_hh_tesh_in!Q27=0,0,SER_hh_tesh_in!Q27/SER_summary!Q$27)</f>
        <v>0</v>
      </c>
      <c r="R27" s="145">
        <f>IF(SER_hh_tesh_in!R27=0,0,SER_hh_tesh_in!R27/SER_summary!R$27)</f>
        <v>0.68623190571804027</v>
      </c>
      <c r="S27" s="145">
        <f>IF(SER_hh_tesh_in!S27=0,0,SER_hh_tesh_in!S27/SER_summary!S$27)</f>
        <v>4.4690984227813148E-15</v>
      </c>
      <c r="T27" s="145">
        <f>IF(SER_hh_tesh_in!T27=0,0,SER_hh_tesh_in!T27/SER_summary!T$27)</f>
        <v>1.0583266365724715</v>
      </c>
      <c r="U27" s="145">
        <f>IF(SER_hh_tesh_in!U27=0,0,SER_hh_tesh_in!U27/SER_summary!U$27)</f>
        <v>0.24066784226976962</v>
      </c>
      <c r="V27" s="145">
        <f>IF(SER_hh_tesh_in!V27=0,0,SER_hh_tesh_in!V27/SER_summary!V$27)</f>
        <v>1.5360581504234712</v>
      </c>
      <c r="W27" s="145">
        <f>IF(SER_hh_tesh_in!W27=0,0,SER_hh_tesh_in!W27/SER_summary!W$27)</f>
        <v>1.2768828761900541</v>
      </c>
      <c r="X27" s="145">
        <f>IF(SER_hh_tesh_in!X27=0,0,SER_hh_tesh_in!X27/SER_summary!X$27)</f>
        <v>4.3757402713726333E-15</v>
      </c>
      <c r="Y27" s="145">
        <f>IF(SER_hh_tesh_in!Y27=0,0,SER_hh_tesh_in!Y27/SER_summary!Y$27)</f>
        <v>10.142961899504966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20.86989387675326</v>
      </c>
      <c r="H28" s="146">
        <f>IF(SER_hh_tesh_in!H28=0,0,SER_hh_tesh_in!H28/SER_summary!H$27)</f>
        <v>0</v>
      </c>
      <c r="I28" s="146">
        <f>IF(SER_hh_tesh_in!I28=0,0,SER_hh_tesh_in!I28/SER_summary!I$27)</f>
        <v>21.040989625886699</v>
      </c>
      <c r="J28" s="146">
        <f>IF(SER_hh_tesh_in!J28=0,0,SER_hh_tesh_in!J28/SER_summary!J$27)</f>
        <v>20.649772362127642</v>
      </c>
      <c r="K28" s="146">
        <f>IF(SER_hh_tesh_in!K28=0,0,SER_hh_tesh_in!K28/SER_summary!K$27)</f>
        <v>0</v>
      </c>
      <c r="L28" s="146">
        <f>IF(SER_hh_tesh_in!L28=0,0,SER_hh_tesh_in!L28/SER_summary!L$27)</f>
        <v>19.757490880416078</v>
      </c>
      <c r="M28" s="146">
        <f>IF(SER_hh_tesh_in!M28=0,0,SER_hh_tesh_in!M28/SER_summary!M$27)</f>
        <v>20.91995403016621</v>
      </c>
      <c r="N28" s="146">
        <f>IF(SER_hh_tesh_in!N28=0,0,SER_hh_tesh_in!N28/SER_summary!N$27)</f>
        <v>21.972162643710661</v>
      </c>
      <c r="O28" s="146">
        <f>IF(SER_hh_tesh_in!O28=0,0,SER_hh_tesh_in!O28/SER_summary!O$27)</f>
        <v>0</v>
      </c>
      <c r="P28" s="146">
        <f>IF(SER_hh_tesh_in!P28=0,0,SER_hh_tesh_in!P28/SER_summary!P$27)</f>
        <v>20.863005647805227</v>
      </c>
      <c r="Q28" s="146">
        <f>IF(SER_hh_tesh_in!Q28=0,0,SER_hh_tesh_in!Q28/SER_summary!Q$27)</f>
        <v>0</v>
      </c>
      <c r="R28" s="146">
        <f>IF(SER_hh_tesh_in!R28=0,0,SER_hh_tesh_in!R28/SER_summary!R$27)</f>
        <v>20.061828672838203</v>
      </c>
      <c r="S28" s="146">
        <f>IF(SER_hh_tesh_in!S28=0,0,SER_hh_tesh_in!S28/SER_summary!S$27)</f>
        <v>21.362556864258131</v>
      </c>
      <c r="T28" s="146">
        <f>IF(SER_hh_tesh_in!T28=0,0,SER_hh_tesh_in!T28/SER_summary!T$27)</f>
        <v>20.561827786776938</v>
      </c>
      <c r="U28" s="146">
        <f>IF(SER_hh_tesh_in!U28=0,0,SER_hh_tesh_in!U28/SER_summary!U$27)</f>
        <v>20.94654466950135</v>
      </c>
      <c r="V28" s="146">
        <f>IF(SER_hh_tesh_in!V28=0,0,SER_hh_tesh_in!V28/SER_summary!V$27)</f>
        <v>19.70935136946898</v>
      </c>
      <c r="W28" s="146">
        <f>IF(SER_hh_tesh_in!W28=0,0,SER_hh_tesh_in!W28/SER_summary!W$27)</f>
        <v>16.274661320681926</v>
      </c>
      <c r="X28" s="146">
        <f>IF(SER_hh_tesh_in!X28=0,0,SER_hh_tesh_in!X28/SER_summary!X$27)</f>
        <v>21.468160315330721</v>
      </c>
      <c r="Y28" s="146">
        <f>IF(SER_hh_tesh_in!Y28=0,0,SER_hh_tesh_in!Y28/SER_summary!Y$27)</f>
        <v>17.745603419813634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23.510145406203186</v>
      </c>
      <c r="D29" s="130">
        <f>IF(SER_hh_tesh_in!D29=0,0,SER_hh_tesh_in!D29/SER_summary!D$27)</f>
        <v>33.068105467012273</v>
      </c>
      <c r="E29" s="130">
        <f>IF(SER_hh_tesh_in!E29=0,0,SER_hh_tesh_in!E29/SER_summary!E$27)</f>
        <v>28.04812218050909</v>
      </c>
      <c r="F29" s="130">
        <f>IF(SER_hh_tesh_in!F29=0,0,SER_hh_tesh_in!F29/SER_summary!F$27)</f>
        <v>28.893933788264039</v>
      </c>
      <c r="G29" s="130">
        <f>IF(SER_hh_tesh_in!G29=0,0,SER_hh_tesh_in!G29/SER_summary!G$27)</f>
        <v>31.487952470365517</v>
      </c>
      <c r="H29" s="130">
        <f>IF(SER_hh_tesh_in!H29=0,0,SER_hh_tesh_in!H29/SER_summary!H$27)</f>
        <v>29.883039247525719</v>
      </c>
      <c r="I29" s="130">
        <f>IF(SER_hh_tesh_in!I29=0,0,SER_hh_tesh_in!I29/SER_summary!I$27)</f>
        <v>31.256642935286589</v>
      </c>
      <c r="J29" s="130">
        <f>IF(SER_hh_tesh_in!J29=0,0,SER_hh_tesh_in!J29/SER_summary!J$27)</f>
        <v>31.113771591175777</v>
      </c>
      <c r="K29" s="130">
        <f>IF(SER_hh_tesh_in!K29=0,0,SER_hh_tesh_in!K29/SER_summary!K$27)</f>
        <v>30.308042873973644</v>
      </c>
      <c r="L29" s="130">
        <f>IF(SER_hh_tesh_in!L29=0,0,SER_hh_tesh_in!L29/SER_summary!L$27)</f>
        <v>30.005617152020413</v>
      </c>
      <c r="M29" s="130">
        <f>IF(SER_hh_tesh_in!M29=0,0,SER_hh_tesh_in!M29/SER_summary!M$27)</f>
        <v>31.739077330696723</v>
      </c>
      <c r="N29" s="130">
        <f>IF(SER_hh_tesh_in!N29=0,0,SER_hh_tesh_in!N29/SER_summary!N$27)</f>
        <v>29.243321833480888</v>
      </c>
      <c r="O29" s="130">
        <f>IF(SER_hh_tesh_in!O29=0,0,SER_hh_tesh_in!O29/SER_summary!O$27)</f>
        <v>30.351824681506855</v>
      </c>
      <c r="P29" s="130">
        <f>IF(SER_hh_tesh_in!P29=0,0,SER_hh_tesh_in!P29/SER_summary!P$27)</f>
        <v>29.074196075418509</v>
      </c>
      <c r="Q29" s="130">
        <f>IF(SER_hh_tesh_in!Q29=0,0,SER_hh_tesh_in!Q29/SER_summary!Q$27)</f>
        <v>29.103694517484918</v>
      </c>
      <c r="R29" s="130">
        <f>IF(SER_hh_tesh_in!R29=0,0,SER_hh_tesh_in!R29/SER_summary!R$27)</f>
        <v>28.309786324571789</v>
      </c>
      <c r="S29" s="130">
        <f>IF(SER_hh_tesh_in!S29=0,0,SER_hh_tesh_in!S29/SER_summary!S$27)</f>
        <v>28.682448807298496</v>
      </c>
      <c r="T29" s="130">
        <f>IF(SER_hh_tesh_in!T29=0,0,SER_hh_tesh_in!T29/SER_summary!T$27)</f>
        <v>28.535433920235036</v>
      </c>
      <c r="U29" s="130">
        <f>IF(SER_hh_tesh_in!U29=0,0,SER_hh_tesh_in!U29/SER_summary!U$27)</f>
        <v>27.984706819615813</v>
      </c>
      <c r="V29" s="130">
        <f>IF(SER_hh_tesh_in!V29=0,0,SER_hh_tesh_in!V29/SER_summary!V$27)</f>
        <v>24.493241952966869</v>
      </c>
      <c r="W29" s="130">
        <f>IF(SER_hh_tesh_in!W29=0,0,SER_hh_tesh_in!W29/SER_summary!W$27)</f>
        <v>27.73860447459332</v>
      </c>
      <c r="X29" s="130">
        <f>IF(SER_hh_tesh_in!X29=0,0,SER_hh_tesh_in!X29/SER_summary!X$27)</f>
        <v>28.22415384036492</v>
      </c>
      <c r="Y29" s="130">
        <f>IF(SER_hh_tesh_in!Y29=0,0,SER_hh_tesh_in!Y29/SER_summary!Y$27)</f>
        <v>27.182340126619724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21.653361546962515</v>
      </c>
      <c r="D30" s="132">
        <f>IF(SER_hh_tesh_in!D30=0,0,SER_hh_tesh_in!D30/SER_summary!D$27)</f>
        <v>34.79228915151166</v>
      </c>
      <c r="E30" s="132">
        <f>IF(SER_hh_tesh_in!E30=0,0,SER_hh_tesh_in!E30/SER_summary!E$27)</f>
        <v>35.898570891614426</v>
      </c>
      <c r="F30" s="132">
        <f>IF(SER_hh_tesh_in!F30=0,0,SER_hh_tesh_in!F30/SER_summary!F$27)</f>
        <v>38.853075998897737</v>
      </c>
      <c r="G30" s="132">
        <f>IF(SER_hh_tesh_in!G30=0,0,SER_hh_tesh_in!G30/SER_summary!G$27)</f>
        <v>0</v>
      </c>
      <c r="H30" s="132">
        <f>IF(SER_hh_tesh_in!H30=0,0,SER_hh_tesh_in!H30/SER_summary!H$27)</f>
        <v>0</v>
      </c>
      <c r="I30" s="132">
        <f>IF(SER_hh_tesh_in!I30=0,0,SER_hh_tesh_in!I30/SER_summary!I$27)</f>
        <v>0</v>
      </c>
      <c r="J30" s="132">
        <f>IF(SER_hh_tesh_in!J30=0,0,SER_hh_tesh_in!J30/SER_summary!J$27)</f>
        <v>0</v>
      </c>
      <c r="K30" s="132">
        <f>IF(SER_hh_tesh_in!K30=0,0,SER_hh_tesh_in!K30/SER_summary!K$27)</f>
        <v>33.267031312767379</v>
      </c>
      <c r="L30" s="132">
        <f>IF(SER_hh_tesh_in!L30=0,0,SER_hh_tesh_in!L30/SER_summary!L$27)</f>
        <v>58.000180460633629</v>
      </c>
      <c r="M30" s="132">
        <f>IF(SER_hh_tesh_in!M30=0,0,SER_hh_tesh_in!M30/SER_summary!M$27)</f>
        <v>0</v>
      </c>
      <c r="N30" s="132">
        <f>IF(SER_hh_tesh_in!N30=0,0,SER_hh_tesh_in!N30/SER_summary!N$27)</f>
        <v>34.002655693542842</v>
      </c>
      <c r="O30" s="132">
        <f>IF(SER_hh_tesh_in!O30=0,0,SER_hh_tesh_in!O30/SER_summary!O$27)</f>
        <v>32.848242352313996</v>
      </c>
      <c r="P30" s="132">
        <f>IF(SER_hh_tesh_in!P30=0,0,SER_hh_tesh_in!P30/SER_summary!P$27)</f>
        <v>30.096629356299662</v>
      </c>
      <c r="Q30" s="132">
        <f>IF(SER_hh_tesh_in!Q30=0,0,SER_hh_tesh_in!Q30/SER_summary!Q$27)</f>
        <v>0</v>
      </c>
      <c r="R30" s="132">
        <f>IF(SER_hh_tesh_in!R30=0,0,SER_hh_tesh_in!R30/SER_summary!R$27)</f>
        <v>0</v>
      </c>
      <c r="S30" s="132">
        <f>IF(SER_hh_tesh_in!S30=0,0,SER_hh_tesh_in!S30/SER_summary!S$27)</f>
        <v>0</v>
      </c>
      <c r="T30" s="132">
        <f>IF(SER_hh_tesh_in!T30=0,0,SER_hh_tesh_in!T30/SER_summary!T$27)</f>
        <v>0</v>
      </c>
      <c r="U30" s="132">
        <f>IF(SER_hh_tesh_in!U30=0,0,SER_hh_tesh_in!U30/SER_summary!U$27)</f>
        <v>0</v>
      </c>
      <c r="V30" s="132">
        <f>IF(SER_hh_tesh_in!V30=0,0,SER_hh_tesh_in!V30/SER_summary!V$27)</f>
        <v>0</v>
      </c>
      <c r="W30" s="132">
        <f>IF(SER_hh_tesh_in!W30=0,0,SER_hh_tesh_in!W30/SER_summary!W$27)</f>
        <v>21.692706719833833</v>
      </c>
      <c r="X30" s="132">
        <f>IF(SER_hh_tesh_in!X30=0,0,SER_hh_tesh_in!X30/SER_summary!X$27)</f>
        <v>36.655152123986163</v>
      </c>
      <c r="Y30" s="132">
        <f>IF(SER_hh_tesh_in!Y30=0,0,SER_hh_tesh_in!Y30/SER_summary!Y$27)</f>
        <v>0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28.514401272889078</v>
      </c>
      <c r="D31" s="132">
        <f>IF(SER_hh_tesh_in!D31=0,0,SER_hh_tesh_in!D31/SER_summary!D$27)</f>
        <v>30.140735891312769</v>
      </c>
      <c r="E31" s="132">
        <f>IF(SER_hh_tesh_in!E31=0,0,SER_hh_tesh_in!E31/SER_summary!E$27)</f>
        <v>30.071178060083913</v>
      </c>
      <c r="F31" s="132">
        <f>IF(SER_hh_tesh_in!F31=0,0,SER_hh_tesh_in!F31/SER_summary!F$27)</f>
        <v>23.546632845719259</v>
      </c>
      <c r="G31" s="132">
        <f>IF(SER_hh_tesh_in!G31=0,0,SER_hh_tesh_in!G31/SER_summary!G$27)</f>
        <v>31.540633471018587</v>
      </c>
      <c r="H31" s="132">
        <f>IF(SER_hh_tesh_in!H31=0,0,SER_hh_tesh_in!H31/SER_summary!H$27)</f>
        <v>31.473712264651454</v>
      </c>
      <c r="I31" s="132">
        <f>IF(SER_hh_tesh_in!I31=0,0,SER_hh_tesh_in!I31/SER_summary!I$27)</f>
        <v>31.218846324874939</v>
      </c>
      <c r="J31" s="132">
        <f>IF(SER_hh_tesh_in!J31=0,0,SER_hh_tesh_in!J31/SER_summary!J$27)</f>
        <v>30.540382150608821</v>
      </c>
      <c r="K31" s="132">
        <f>IF(SER_hh_tesh_in!K31=0,0,SER_hh_tesh_in!K31/SER_summary!K$27)</f>
        <v>30.201441919790426</v>
      </c>
      <c r="L31" s="132">
        <f>IF(SER_hh_tesh_in!L31=0,0,SER_hh_tesh_in!L31/SER_summary!L$27)</f>
        <v>29.895956892460024</v>
      </c>
      <c r="M31" s="132">
        <f>IF(SER_hh_tesh_in!M31=0,0,SER_hh_tesh_in!M31/SER_summary!M$27)</f>
        <v>26.876422243821604</v>
      </c>
      <c r="N31" s="132">
        <f>IF(SER_hh_tesh_in!N31=0,0,SER_hh_tesh_in!N31/SER_summary!N$27)</f>
        <v>28.093586004352279</v>
      </c>
      <c r="O31" s="132">
        <f>IF(SER_hh_tesh_in!O31=0,0,SER_hh_tesh_in!O31/SER_summary!O$27)</f>
        <v>30.142272349315949</v>
      </c>
      <c r="P31" s="132">
        <f>IF(SER_hh_tesh_in!P31=0,0,SER_hh_tesh_in!P31/SER_summary!P$27)</f>
        <v>28.973255570907192</v>
      </c>
      <c r="Q31" s="132">
        <f>IF(SER_hh_tesh_in!Q31=0,0,SER_hh_tesh_in!Q31/SER_summary!Q$27)</f>
        <v>30.317161551258231</v>
      </c>
      <c r="R31" s="132">
        <f>IF(SER_hh_tesh_in!R31=0,0,SER_hh_tesh_in!R31/SER_summary!R$27)</f>
        <v>29.970612140920903</v>
      </c>
      <c r="S31" s="132">
        <f>IF(SER_hh_tesh_in!S31=0,0,SER_hh_tesh_in!S31/SER_summary!S$27)</f>
        <v>29.191689144394072</v>
      </c>
      <c r="T31" s="132">
        <f>IF(SER_hh_tesh_in!T31=0,0,SER_hh_tesh_in!T31/SER_summary!T$27)</f>
        <v>26.584362319225594</v>
      </c>
      <c r="U31" s="132">
        <f>IF(SER_hh_tesh_in!U31=0,0,SER_hh_tesh_in!U31/SER_summary!U$27)</f>
        <v>22.074415384073585</v>
      </c>
      <c r="V31" s="132">
        <f>IF(SER_hh_tesh_in!V31=0,0,SER_hh_tesh_in!V31/SER_summary!V$27)</f>
        <v>19.452897466397008</v>
      </c>
      <c r="W31" s="132">
        <f>IF(SER_hh_tesh_in!W31=0,0,SER_hh_tesh_in!W31/SER_summary!W$27)</f>
        <v>30.96374845231372</v>
      </c>
      <c r="X31" s="132">
        <f>IF(SER_hh_tesh_in!X31=0,0,SER_hh_tesh_in!X31/SER_summary!X$27)</f>
        <v>29.218732398933515</v>
      </c>
      <c r="Y31" s="132">
        <f>IF(SER_hh_tesh_in!Y31=0,0,SER_hh_tesh_in!Y31/SER_summary!Y$27)</f>
        <v>26.664693535614092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0</v>
      </c>
      <c r="D33" s="68">
        <f>IF(SER_hh_tesh_in!D33=0,0,SER_hh_tesh_in!D33/SER_summary!D$27)</f>
        <v>23.654995615847884</v>
      </c>
      <c r="E33" s="68">
        <f>IF(SER_hh_tesh_in!E33=0,0,SER_hh_tesh_in!E33/SER_summary!E$27)</f>
        <v>24.688654668018163</v>
      </c>
      <c r="F33" s="68">
        <f>IF(SER_hh_tesh_in!F33=0,0,SER_hh_tesh_in!F33/SER_summary!F$27)</f>
        <v>30.548453229524927</v>
      </c>
      <c r="G33" s="68">
        <f>IF(SER_hh_tesh_in!G33=0,0,SER_hh_tesh_in!G33/SER_summary!G$27)</f>
        <v>31.46096034964528</v>
      </c>
      <c r="H33" s="68">
        <f>IF(SER_hh_tesh_in!H33=0,0,SER_hh_tesh_in!H33/SER_summary!H$27)</f>
        <v>28.76363288077415</v>
      </c>
      <c r="I33" s="68">
        <f>IF(SER_hh_tesh_in!I33=0,0,SER_hh_tesh_in!I33/SER_summary!I$27)</f>
        <v>31.277916177436531</v>
      </c>
      <c r="J33" s="68">
        <f>IF(SER_hh_tesh_in!J33=0,0,SER_hh_tesh_in!J33/SER_summary!J$27)</f>
        <v>31.464349205949471</v>
      </c>
      <c r="K33" s="68">
        <f>IF(SER_hh_tesh_in!K33=0,0,SER_hh_tesh_in!K33/SER_summary!K$27)</f>
        <v>29.8361011436842</v>
      </c>
      <c r="L33" s="68">
        <f>IF(SER_hh_tesh_in!L33=0,0,SER_hh_tesh_in!L33/SER_summary!L$27)</f>
        <v>26.030686957967998</v>
      </c>
      <c r="M33" s="68">
        <f>IF(SER_hh_tesh_in!M33=0,0,SER_hh_tesh_in!M33/SER_summary!M$27)</f>
        <v>33.462061502735274</v>
      </c>
      <c r="N33" s="68">
        <f>IF(SER_hh_tesh_in!N33=0,0,SER_hh_tesh_in!N33/SER_summary!N$27)</f>
        <v>29.551040233252575</v>
      </c>
      <c r="O33" s="68">
        <f>IF(SER_hh_tesh_in!O33=0,0,SER_hh_tesh_in!O33/SER_summary!O$27)</f>
        <v>28.233007953362176</v>
      </c>
      <c r="P33" s="68">
        <f>IF(SER_hh_tesh_in!P33=0,0,SER_hh_tesh_in!P33/SER_summary!P$27)</f>
        <v>28.778089400177134</v>
      </c>
      <c r="Q33" s="68">
        <f>IF(SER_hh_tesh_in!Q33=0,0,SER_hh_tesh_in!Q33/SER_summary!Q$27)</f>
        <v>27.811073486813985</v>
      </c>
      <c r="R33" s="68">
        <f>IF(SER_hh_tesh_in!R33=0,0,SER_hh_tesh_in!R33/SER_summary!R$27)</f>
        <v>27.427023184995985</v>
      </c>
      <c r="S33" s="68">
        <f>IF(SER_hh_tesh_in!S33=0,0,SER_hh_tesh_in!S33/SER_summary!S$27)</f>
        <v>28.585464375266401</v>
      </c>
      <c r="T33" s="68">
        <f>IF(SER_hh_tesh_in!T33=0,0,SER_hh_tesh_in!T33/SER_summary!T$27)</f>
        <v>29.230268594345688</v>
      </c>
      <c r="U33" s="68">
        <f>IF(SER_hh_tesh_in!U33=0,0,SER_hh_tesh_in!U33/SER_summary!U$27)</f>
        <v>31.458962023764304</v>
      </c>
      <c r="V33" s="68">
        <f>IF(SER_hh_tesh_in!V33=0,0,SER_hh_tesh_in!V33/SER_summary!V$27)</f>
        <v>29.300228934917847</v>
      </c>
      <c r="W33" s="68">
        <f>IF(SER_hh_tesh_in!W33=0,0,SER_hh_tesh_in!W33/SER_summary!W$27)</f>
        <v>25.81379393918137</v>
      </c>
      <c r="X33" s="68">
        <f>IF(SER_hh_tesh_in!X33=0,0,SER_hh_tesh_in!X33/SER_summary!X$27)</f>
        <v>25.790668468654307</v>
      </c>
      <c r="Y33" s="68">
        <f>IF(SER_hh_tesh_in!Y33=0,0,SER_hh_tesh_in!Y33/SER_summary!Y$27)</f>
        <v>27.841253872945973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21.078895890476797</v>
      </c>
      <c r="D3" s="125">
        <f>IF(SER_hh_emih_in!D3=0,0,SER_hh_emih_in!D3/SER_summary!D$27)</f>
        <v>20.23901883209998</v>
      </c>
      <c r="E3" s="125">
        <f>IF(SER_hh_emih_in!E3=0,0,SER_hh_emih_in!E3/SER_summary!E$27)</f>
        <v>9.5708696391778698</v>
      </c>
      <c r="F3" s="125">
        <f>IF(SER_hh_emih_in!F3=0,0,SER_hh_emih_in!F3/SER_summary!F$27)</f>
        <v>44.311659307767371</v>
      </c>
      <c r="G3" s="125">
        <f>IF(SER_hh_emih_in!G3=0,0,SER_hh_emih_in!G3/SER_summary!G$27)</f>
        <v>121.91961914659294</v>
      </c>
      <c r="H3" s="125">
        <f>IF(SER_hh_emih_in!H3=0,0,SER_hh_emih_in!H3/SER_summary!H$27)</f>
        <v>123.0459199165071</v>
      </c>
      <c r="I3" s="125">
        <f>IF(SER_hh_emih_in!I3=0,0,SER_hh_emih_in!I3/SER_summary!I$27)</f>
        <v>123.17372398329702</v>
      </c>
      <c r="J3" s="125">
        <f>IF(SER_hh_emih_in!J3=0,0,SER_hh_emih_in!J3/SER_summary!J$27)</f>
        <v>110.56961840065162</v>
      </c>
      <c r="K3" s="125">
        <f>IF(SER_hh_emih_in!K3=0,0,SER_hh_emih_in!K3/SER_summary!K$27)</f>
        <v>122.55406219201906</v>
      </c>
      <c r="L3" s="125">
        <f>IF(SER_hh_emih_in!L3=0,0,SER_hh_emih_in!L3/SER_summary!L$27)</f>
        <v>38.017221376915586</v>
      </c>
      <c r="M3" s="125">
        <f>IF(SER_hh_emih_in!M3=0,0,SER_hh_emih_in!M3/SER_summary!M$27)</f>
        <v>27.69682295370929</v>
      </c>
      <c r="N3" s="125">
        <f>IF(SER_hh_emih_in!N3=0,0,SER_hh_emih_in!N3/SER_summary!N$27)</f>
        <v>65.251041776834384</v>
      </c>
      <c r="O3" s="125">
        <f>IF(SER_hh_emih_in!O3=0,0,SER_hh_emih_in!O3/SER_summary!O$27)</f>
        <v>50.650989973607295</v>
      </c>
      <c r="P3" s="125">
        <f>IF(SER_hh_emih_in!P3=0,0,SER_hh_emih_in!P3/SER_summary!P$27)</f>
        <v>31.172138524335839</v>
      </c>
      <c r="Q3" s="125">
        <f>IF(SER_hh_emih_in!Q3=0,0,SER_hh_emih_in!Q3/SER_summary!Q$27)</f>
        <v>15.305555844676666</v>
      </c>
      <c r="R3" s="125">
        <f>IF(SER_hh_emih_in!R3=0,0,SER_hh_emih_in!R3/SER_summary!R$27)</f>
        <v>18.358909634182954</v>
      </c>
      <c r="S3" s="125">
        <f>IF(SER_hh_emih_in!S3=0,0,SER_hh_emih_in!S3/SER_summary!S$27)</f>
        <v>13.419082481710666</v>
      </c>
      <c r="T3" s="125">
        <f>IF(SER_hh_emih_in!T3=0,0,SER_hh_emih_in!T3/SER_summary!T$27)</f>
        <v>16.541037384176999</v>
      </c>
      <c r="U3" s="125">
        <f>IF(SER_hh_emih_in!U3=0,0,SER_hh_emih_in!U3/SER_summary!U$27)</f>
        <v>16.889628311944712</v>
      </c>
      <c r="V3" s="125">
        <f>IF(SER_hh_emih_in!V3=0,0,SER_hh_emih_in!V3/SER_summary!V$27)</f>
        <v>13.073582706327484</v>
      </c>
      <c r="W3" s="125">
        <f>IF(SER_hh_emih_in!W3=0,0,SER_hh_emih_in!W3/SER_summary!W$27)</f>
        <v>17.23325743411656</v>
      </c>
      <c r="X3" s="125">
        <f>IF(SER_hh_emih_in!X3=0,0,SER_hh_emih_in!X3/SER_summary!X$27)</f>
        <v>15.645493742967387</v>
      </c>
      <c r="Y3" s="125">
        <f>IF(SER_hh_emih_in!Y3=0,0,SER_hh_emih_in!Y3/SER_summary!Y$27)</f>
        <v>13.25469901959308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5.9513390184151049</v>
      </c>
      <c r="D4" s="130">
        <f>IF(SER_hh_emih_in!D4=0,0,SER_hh_emih_in!D4/SER_summary!D$27)</f>
        <v>5.315409865902204</v>
      </c>
      <c r="E4" s="130">
        <f>IF(SER_hh_emih_in!E4=0,0,SER_hh_emih_in!E4/SER_summary!E$27)</f>
        <v>2.634048240531726</v>
      </c>
      <c r="F4" s="130">
        <f>IF(SER_hh_emih_in!F4=0,0,SER_hh_emih_in!F4/SER_summary!F$27)</f>
        <v>36.468737421460389</v>
      </c>
      <c r="G4" s="130">
        <f>IF(SER_hh_emih_in!G4=0,0,SER_hh_emih_in!G4/SER_summary!G$27)</f>
        <v>116.73287790793147</v>
      </c>
      <c r="H4" s="130">
        <f>IF(SER_hh_emih_in!H4=0,0,SER_hh_emih_in!H4/SER_summary!H$27)</f>
        <v>115.54534814162331</v>
      </c>
      <c r="I4" s="130">
        <f>IF(SER_hh_emih_in!I4=0,0,SER_hh_emih_in!I4/SER_summary!I$27)</f>
        <v>115.04657772522002</v>
      </c>
      <c r="J4" s="130">
        <f>IF(SER_hh_emih_in!J4=0,0,SER_hh_emih_in!J4/SER_summary!J$27)</f>
        <v>101.92046536325923</v>
      </c>
      <c r="K4" s="130">
        <f>IF(SER_hh_emih_in!K4=0,0,SER_hh_emih_in!K4/SER_summary!K$27)</f>
        <v>112.40652826232586</v>
      </c>
      <c r="L4" s="130">
        <f>IF(SER_hh_emih_in!L4=0,0,SER_hh_emih_in!L4/SER_summary!L$27)</f>
        <v>30.020188380477521</v>
      </c>
      <c r="M4" s="130">
        <f>IF(SER_hh_emih_in!M4=0,0,SER_hh_emih_in!M4/SER_summary!M$27)</f>
        <v>21.183881450461762</v>
      </c>
      <c r="N4" s="130">
        <f>IF(SER_hh_emih_in!N4=0,0,SER_hh_emih_in!N4/SER_summary!N$27)</f>
        <v>50.841011920077854</v>
      </c>
      <c r="O4" s="130">
        <f>IF(SER_hh_emih_in!O4=0,0,SER_hh_emih_in!O4/SER_summary!O$27)</f>
        <v>35.986104402164742</v>
      </c>
      <c r="P4" s="130">
        <f>IF(SER_hh_emih_in!P4=0,0,SER_hh_emih_in!P4/SER_summary!P$27)</f>
        <v>20.368467085640539</v>
      </c>
      <c r="Q4" s="130">
        <f>IF(SER_hh_emih_in!Q4=0,0,SER_hh_emih_in!Q4/SER_summary!Q$27)</f>
        <v>8.042943840558495</v>
      </c>
      <c r="R4" s="130">
        <f>IF(SER_hh_emih_in!R4=0,0,SER_hh_emih_in!R4/SER_summary!R$27)</f>
        <v>13.030602934972256</v>
      </c>
      <c r="S4" s="130">
        <f>IF(SER_hh_emih_in!S4=0,0,SER_hh_emih_in!S4/SER_summary!S$27)</f>
        <v>10.868855557842338</v>
      </c>
      <c r="T4" s="130">
        <f>IF(SER_hh_emih_in!T4=0,0,SER_hh_emih_in!T4/SER_summary!T$27)</f>
        <v>14.318671831639289</v>
      </c>
      <c r="U4" s="130">
        <f>IF(SER_hh_emih_in!U4=0,0,SER_hh_emih_in!U4/SER_summary!U$27)</f>
        <v>14.229064146350881</v>
      </c>
      <c r="V4" s="130">
        <f>IF(SER_hh_emih_in!V4=0,0,SER_hh_emih_in!V4/SER_summary!V$27)</f>
        <v>9.6766586400870107</v>
      </c>
      <c r="W4" s="130">
        <f>IF(SER_hh_emih_in!W4=0,0,SER_hh_emih_in!W4/SER_summary!W$27)</f>
        <v>11.57460703795703</v>
      </c>
      <c r="X4" s="130">
        <f>IF(SER_hh_emih_in!X4=0,0,SER_hh_emih_in!X4/SER_summary!X$27)</f>
        <v>7.0669684959910581</v>
      </c>
      <c r="Y4" s="130">
        <f>IF(SER_hh_emih_in!Y4=0,0,SER_hh_emih_in!Y4/SER_summary!Y$27)</f>
        <v>5.882863883220705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185.62760263751329</v>
      </c>
      <c r="D5" s="132">
        <f>IF(SER_hh_emih_in!D5=0,0,SER_hh_emih_in!D5/SER_summary!D$27)</f>
        <v>253.07963637011383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49.297248677449694</v>
      </c>
      <c r="H5" s="132">
        <f>IF(SER_hh_emih_in!H5=0,0,SER_hh_emih_in!H5/SER_summary!H$27)</f>
        <v>114.83053753990872</v>
      </c>
      <c r="I5" s="132">
        <f>IF(SER_hh_emih_in!I5=0,0,SER_hh_emih_in!I5/SER_summary!I$27)</f>
        <v>134.76552484695137</v>
      </c>
      <c r="J5" s="132">
        <f>IF(SER_hh_emih_in!J5=0,0,SER_hh_emih_in!J5/SER_summary!J$27)</f>
        <v>136.37921126551524</v>
      </c>
      <c r="K5" s="132">
        <f>IF(SER_hh_emih_in!K5=0,0,SER_hh_emih_in!K5/SER_summary!K$27)</f>
        <v>247.80475096421776</v>
      </c>
      <c r="L5" s="132">
        <f>IF(SER_hh_emih_in!L5=0,0,SER_hh_emih_in!L5/SER_summary!L$27)</f>
        <v>127.11270369796769</v>
      </c>
      <c r="M5" s="132">
        <f>IF(SER_hh_emih_in!M5=0,0,SER_hh_emih_in!M5/SER_summary!M$27)</f>
        <v>147.51387507615192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45.345602799411878</v>
      </c>
      <c r="T5" s="132">
        <f>IF(SER_hh_emih_in!T5=0,0,SER_hh_emih_in!T5/SER_summary!T$27)</f>
        <v>44.030707112098497</v>
      </c>
      <c r="U5" s="132">
        <f>IF(SER_hh_emih_in!U5=0,0,SER_hh_emih_in!U5/SER_summary!U$27)</f>
        <v>58.211625458946848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17.746884509980056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250.41824231241216</v>
      </c>
      <c r="D7" s="132">
        <f>IF(SER_hh_emih_in!D7=0,0,SER_hh_emih_in!D7/SER_summary!D$27)</f>
        <v>0</v>
      </c>
      <c r="E7" s="132">
        <f>IF(SER_hh_emih_in!E7=0,0,SER_hh_emih_in!E7/SER_summary!E$27)</f>
        <v>61.476766780379251</v>
      </c>
      <c r="F7" s="132">
        <f>IF(SER_hh_emih_in!F7=0,0,SER_hh_emih_in!F7/SER_summary!F$27)</f>
        <v>163.46976581833079</v>
      </c>
      <c r="G7" s="132">
        <f>IF(SER_hh_emih_in!G7=0,0,SER_hh_emih_in!G7/SER_summary!G$27)</f>
        <v>180.79742486735836</v>
      </c>
      <c r="H7" s="132">
        <f>IF(SER_hh_emih_in!H7=0,0,SER_hh_emih_in!H7/SER_summary!H$27)</f>
        <v>0</v>
      </c>
      <c r="I7" s="132">
        <f>IF(SER_hh_emih_in!I7=0,0,SER_hh_emih_in!I7/SER_summary!I$27)</f>
        <v>0</v>
      </c>
      <c r="J7" s="132">
        <f>IF(SER_hh_emih_in!J7=0,0,SER_hh_emih_in!J7/SER_summary!J$27)</f>
        <v>0</v>
      </c>
      <c r="K7" s="132">
        <f>IF(SER_hh_emih_in!K7=0,0,SER_hh_emih_in!K7/SER_summary!K$27)</f>
        <v>0</v>
      </c>
      <c r="L7" s="132">
        <f>IF(SER_hh_emih_in!L7=0,0,SER_hh_emih_in!L7/SER_summary!L$27)</f>
        <v>0</v>
      </c>
      <c r="M7" s="132">
        <f>IF(SER_hh_emih_in!M7=0,0,SER_hh_emih_in!M7/SER_summary!M$27)</f>
        <v>0</v>
      </c>
      <c r="N7" s="132">
        <f>IF(SER_hh_emih_in!N7=0,0,SER_hh_emih_in!N7/SER_summary!N$27)</f>
        <v>0</v>
      </c>
      <c r="O7" s="132">
        <f>IF(SER_hh_emih_in!O7=0,0,SER_hh_emih_in!O7/SER_summary!O$27)</f>
        <v>24.884424213563264</v>
      </c>
      <c r="P7" s="132">
        <f>IF(SER_hh_emih_in!P7=0,0,SER_hh_emih_in!P7/SER_summary!P$27)</f>
        <v>57.907154154934553</v>
      </c>
      <c r="Q7" s="132">
        <f>IF(SER_hh_emih_in!Q7=0,0,SER_hh_emih_in!Q7/SER_summary!Q$27)</f>
        <v>53.560198213523876</v>
      </c>
      <c r="R7" s="132">
        <f>IF(SER_hh_emih_in!R7=0,0,SER_hh_emih_in!R7/SER_summary!R$27)</f>
        <v>0</v>
      </c>
      <c r="S7" s="132">
        <f>IF(SER_hh_emih_in!S7=0,0,SER_hh_emih_in!S7/SER_summary!S$27)</f>
        <v>0</v>
      </c>
      <c r="T7" s="132">
        <f>IF(SER_hh_emih_in!T7=0,0,SER_hh_emih_in!T7/SER_summary!T$27)</f>
        <v>0</v>
      </c>
      <c r="U7" s="132">
        <f>IF(SER_hh_emih_in!U7=0,0,SER_hh_emih_in!U7/SER_summary!U$27)</f>
        <v>0</v>
      </c>
      <c r="V7" s="132">
        <f>IF(SER_hh_emih_in!V7=0,0,SER_hh_emih_in!V7/SER_summary!V$27)</f>
        <v>0</v>
      </c>
      <c r="W7" s="132">
        <f>IF(SER_hh_emih_in!W7=0,0,SER_hh_emih_in!W7/SER_summary!W$27)</f>
        <v>0</v>
      </c>
      <c r="X7" s="132">
        <f>IF(SER_hh_emih_in!X7=0,0,SER_hh_emih_in!X7/SER_summary!X$27)</f>
        <v>0</v>
      </c>
      <c r="Y7" s="132">
        <f>IF(SER_hh_emih_in!Y7=0,0,SER_hh_emih_in!Y7/SER_summary!Y$27)</f>
        <v>0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52.15202314245478</v>
      </c>
      <c r="D8" s="132">
        <f>IF(SER_hh_emih_in!D8=0,0,SER_hh_emih_in!D8/SER_summary!D$27)</f>
        <v>38.651263802408863</v>
      </c>
      <c r="E8" s="132">
        <f>IF(SER_hh_emih_in!E8=0,0,SER_hh_emih_in!E8/SER_summary!E$27)</f>
        <v>38.10831036913109</v>
      </c>
      <c r="F8" s="132">
        <f>IF(SER_hh_emih_in!F8=0,0,SER_hh_emih_in!F8/SER_summary!F$27)</f>
        <v>38.353645999585758</v>
      </c>
      <c r="G8" s="132">
        <f>IF(SER_hh_emih_in!G8=0,0,SER_hh_emih_in!G8/SER_summary!G$27)</f>
        <v>38.034553430829341</v>
      </c>
      <c r="H8" s="132">
        <f>IF(SER_hh_emih_in!H8=0,0,SER_hh_emih_in!H8/SER_summary!H$27)</f>
        <v>37.573269392594341</v>
      </c>
      <c r="I8" s="132">
        <f>IF(SER_hh_emih_in!I8=0,0,SER_hh_emih_in!I8/SER_summary!I$27)</f>
        <v>34.172280415173383</v>
      </c>
      <c r="J8" s="132">
        <f>IF(SER_hh_emih_in!J8=0,0,SER_hh_emih_in!J8/SER_summary!J$27)</f>
        <v>30.816214916136872</v>
      </c>
      <c r="K8" s="132">
        <f>IF(SER_hh_emih_in!K8=0,0,SER_hh_emih_in!K8/SER_summary!K$27)</f>
        <v>27.564516107551825</v>
      </c>
      <c r="L8" s="132">
        <f>IF(SER_hh_emih_in!L8=0,0,SER_hh_emih_in!L8/SER_summary!L$27)</f>
        <v>23.397084840934955</v>
      </c>
      <c r="M8" s="132">
        <f>IF(SER_hh_emih_in!M8=0,0,SER_hh_emih_in!M8/SER_summary!M$27)</f>
        <v>20.136193580120633</v>
      </c>
      <c r="N8" s="132">
        <f>IF(SER_hh_emih_in!N8=0,0,SER_hh_emih_in!N8/SER_summary!N$27)</f>
        <v>14.251982682962861</v>
      </c>
      <c r="O8" s="132">
        <f>IF(SER_hh_emih_in!O8=0,0,SER_hh_emih_in!O8/SER_summary!O$27)</f>
        <v>14.188932676282501</v>
      </c>
      <c r="P8" s="132">
        <f>IF(SER_hh_emih_in!P8=0,0,SER_hh_emih_in!P8/SER_summary!P$27)</f>
        <v>10.977289641280873</v>
      </c>
      <c r="Q8" s="132">
        <f>IF(SER_hh_emih_in!Q8=0,0,SER_hh_emih_in!Q8/SER_summary!Q$27)</f>
        <v>10.282552948436678</v>
      </c>
      <c r="R8" s="132">
        <f>IF(SER_hh_emih_in!R8=0,0,SER_hh_emih_in!R8/SER_summary!R$27)</f>
        <v>8.3797759783991275</v>
      </c>
      <c r="S8" s="132">
        <f>IF(SER_hh_emih_in!S8=0,0,SER_hh_emih_in!S8/SER_summary!S$27)</f>
        <v>7.6904339035487226</v>
      </c>
      <c r="T8" s="132">
        <f>IF(SER_hh_emih_in!T8=0,0,SER_hh_emih_in!T8/SER_summary!T$27)</f>
        <v>6.6016761695364359</v>
      </c>
      <c r="U8" s="132">
        <f>IF(SER_hh_emih_in!U8=0,0,SER_hh_emih_in!U8/SER_summary!U$27)</f>
        <v>5.0807406841607259</v>
      </c>
      <c r="V8" s="132">
        <f>IF(SER_hh_emih_in!V8=0,0,SER_hh_emih_in!V8/SER_summary!V$27)</f>
        <v>4.945342422021537</v>
      </c>
      <c r="W8" s="132">
        <f>IF(SER_hh_emih_in!W8=0,0,SER_hh_emih_in!W8/SER_summary!W$27)</f>
        <v>3.9523703081931192</v>
      </c>
      <c r="X8" s="132">
        <f>IF(SER_hh_emih_in!X8=0,0,SER_hh_emih_in!X8/SER_summary!X$27)</f>
        <v>3.1239415102409418</v>
      </c>
      <c r="Y8" s="132">
        <f>IF(SER_hh_emih_in!Y8=0,0,SER_hh_emih_in!Y8/SER_summary!Y$27)</f>
        <v>3.1415650573313845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0</v>
      </c>
      <c r="D9" s="132">
        <f>IF(SER_hh_emih_in!D9=0,0,SER_hh_emih_in!D9/SER_summary!D$27)</f>
        <v>0</v>
      </c>
      <c r="E9" s="132">
        <f>IF(SER_hh_emih_in!E9=0,0,SER_hh_emih_in!E9/SER_summary!E$27)</f>
        <v>88.279025643494336</v>
      </c>
      <c r="F9" s="132">
        <f>IF(SER_hh_emih_in!F9=0,0,SER_hh_emih_in!F9/SER_summary!F$27)</f>
        <v>51.255890085469908</v>
      </c>
      <c r="G9" s="132">
        <f>IF(SER_hh_emih_in!G9=0,0,SER_hh_emih_in!G9/SER_summary!G$27)</f>
        <v>126.14437658188609</v>
      </c>
      <c r="H9" s="132">
        <f>IF(SER_hh_emih_in!H9=0,0,SER_hh_emih_in!H9/SER_summary!H$27)</f>
        <v>116.18697423241731</v>
      </c>
      <c r="I9" s="132">
        <f>IF(SER_hh_emih_in!I9=0,0,SER_hh_emih_in!I9/SER_summary!I$27)</f>
        <v>99.448085819550556</v>
      </c>
      <c r="J9" s="132">
        <f>IF(SER_hh_emih_in!J9=0,0,SER_hh_emih_in!J9/SER_summary!J$27)</f>
        <v>100.77784612373567</v>
      </c>
      <c r="K9" s="132">
        <f>IF(SER_hh_emih_in!K9=0,0,SER_hh_emih_in!K9/SER_summary!K$27)</f>
        <v>0</v>
      </c>
      <c r="L9" s="132">
        <f>IF(SER_hh_emih_in!L9=0,0,SER_hh_emih_in!L9/SER_summary!L$27)</f>
        <v>107.80768563543521</v>
      </c>
      <c r="M9" s="132">
        <f>IF(SER_hh_emih_in!M9=0,0,SER_hh_emih_in!M9/SER_summary!M$27)</f>
        <v>38.141625063099006</v>
      </c>
      <c r="N9" s="132">
        <f>IF(SER_hh_emih_in!N9=0,0,SER_hh_emih_in!N9/SER_summary!N$27)</f>
        <v>59.355053511079618</v>
      </c>
      <c r="O9" s="132">
        <f>IF(SER_hh_emih_in!O9=0,0,SER_hh_emih_in!O9/SER_summary!O$27)</f>
        <v>64.016906485100293</v>
      </c>
      <c r="P9" s="132">
        <f>IF(SER_hh_emih_in!P9=0,0,SER_hh_emih_in!P9/SER_summary!P$27)</f>
        <v>32.44523238966422</v>
      </c>
      <c r="Q9" s="132">
        <f>IF(SER_hh_emih_in!Q9=0,0,SER_hh_emih_in!Q9/SER_summary!Q$27)</f>
        <v>31.957160578884803</v>
      </c>
      <c r="R9" s="132">
        <f>IF(SER_hh_emih_in!R9=0,0,SER_hh_emih_in!R9/SER_summary!R$27)</f>
        <v>29.229236173032707</v>
      </c>
      <c r="S9" s="132">
        <f>IF(SER_hh_emih_in!S9=0,0,SER_hh_emih_in!S9/SER_summary!S$27)</f>
        <v>30.529908134941184</v>
      </c>
      <c r="T9" s="132">
        <f>IF(SER_hh_emih_in!T9=0,0,SER_hh_emih_in!T9/SER_summary!T$27)</f>
        <v>24.323973318801162</v>
      </c>
      <c r="U9" s="132">
        <f>IF(SER_hh_emih_in!U9=0,0,SER_hh_emih_in!U9/SER_summary!U$27)</f>
        <v>17.740865825404551</v>
      </c>
      <c r="V9" s="132">
        <f>IF(SER_hh_emih_in!V9=0,0,SER_hh_emih_in!V9/SER_summary!V$27)</f>
        <v>14.501556682622862</v>
      </c>
      <c r="W9" s="132">
        <f>IF(SER_hh_emih_in!W9=0,0,SER_hh_emih_in!W9/SER_summary!W$27)</f>
        <v>16.389428637712783</v>
      </c>
      <c r="X9" s="132">
        <f>IF(SER_hh_emih_in!X9=0,0,SER_hh_emih_in!X9/SER_summary!X$27)</f>
        <v>12.153968914271045</v>
      </c>
      <c r="Y9" s="132">
        <f>IF(SER_hh_emih_in!Y9=0,0,SER_hh_emih_in!Y9/SER_summary!Y$27)</f>
        <v>9.7099899802170331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75.114611737356654</v>
      </c>
      <c r="K10" s="132">
        <f>IF(SER_hh_emih_in!K10=0,0,SER_hh_emih_in!K10/SER_summary!K$27)</f>
        <v>89.944783400296672</v>
      </c>
      <c r="L10" s="132">
        <f>IF(SER_hh_emih_in!L10=0,0,SER_hh_emih_in!L10/SER_summary!L$27)</f>
        <v>81.529660508520223</v>
      </c>
      <c r="M10" s="132">
        <f>IF(SER_hh_emih_in!M10=0,0,SER_hh_emih_in!M10/SER_summary!M$27)</f>
        <v>47.155774621898146</v>
      </c>
      <c r="N10" s="132">
        <f>IF(SER_hh_emih_in!N10=0,0,SER_hh_emih_in!N10/SER_summary!N$27)</f>
        <v>68.646670293730224</v>
      </c>
      <c r="O10" s="132">
        <f>IF(SER_hh_emih_in!O10=0,0,SER_hh_emih_in!O10/SER_summary!O$27)</f>
        <v>13.806409040088077</v>
      </c>
      <c r="P10" s="132">
        <f>IF(SER_hh_emih_in!P10=0,0,SER_hh_emih_in!P10/SER_summary!P$27)</f>
        <v>108.66318921473206</v>
      </c>
      <c r="Q10" s="132">
        <f>IF(SER_hh_emih_in!Q10=0,0,SER_hh_emih_in!Q10/SER_summary!Q$27)</f>
        <v>56.536270142517779</v>
      </c>
      <c r="R10" s="132">
        <f>IF(SER_hh_emih_in!R10=0,0,SER_hh_emih_in!R10/SER_summary!R$27)</f>
        <v>6.7122233961367517</v>
      </c>
      <c r="S10" s="132">
        <f>IF(SER_hh_emih_in!S10=0,0,SER_hh_emih_in!S10/SER_summary!S$27)</f>
        <v>29.122043828349188</v>
      </c>
      <c r="T10" s="132">
        <f>IF(SER_hh_emih_in!T10=0,0,SER_hh_emih_in!T10/SER_summary!T$27)</f>
        <v>0.46235835576259204</v>
      </c>
      <c r="U10" s="132">
        <f>IF(SER_hh_emih_in!U10=0,0,SER_hh_emih_in!U10/SER_summary!U$27)</f>
        <v>19.170779073724258</v>
      </c>
      <c r="V10" s="132">
        <f>IF(SER_hh_emih_in!V10=0,0,SER_hh_emih_in!V10/SER_summary!V$27)</f>
        <v>17.316419762661852</v>
      </c>
      <c r="W10" s="132">
        <f>IF(SER_hh_emih_in!W10=0,0,SER_hh_emih_in!W10/SER_summary!W$27)</f>
        <v>14.411506256841635</v>
      </c>
      <c r="X10" s="132">
        <f>IF(SER_hh_emih_in!X10=0,0,SER_hh_emih_in!X10/SER_summary!X$27)</f>
        <v>6.8593423791335573</v>
      </c>
      <c r="Y10" s="132">
        <f>IF(SER_hh_emih_in!Y10=0,0,SER_hh_emih_in!Y10/SER_summary!Y$27)</f>
        <v>11.293549652129672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3.6127162691786049E-2</v>
      </c>
      <c r="D16" s="130">
        <f>IF(SER_hh_emih_in!D16=0,0,SER_hh_emih_in!D16/SER_summary!D$27)</f>
        <v>0</v>
      </c>
      <c r="E16" s="130">
        <f>IF(SER_hh_emih_in!E16=0,0,SER_hh_emih_in!E16/SER_summary!E$27)</f>
        <v>8.1653202764252978E-3</v>
      </c>
      <c r="F16" s="130">
        <f>IF(SER_hh_emih_in!F16=0,0,SER_hh_emih_in!F16/SER_summary!F$27)</f>
        <v>0</v>
      </c>
      <c r="G16" s="130">
        <f>IF(SER_hh_emih_in!G16=0,0,SER_hh_emih_in!G16/SER_summary!G$27)</f>
        <v>3.5833494883791062E-2</v>
      </c>
      <c r="H16" s="130">
        <f>IF(SER_hh_emih_in!H16=0,0,SER_hh_emih_in!H16/SER_summary!H$27)</f>
        <v>2.0038329347351117E-2</v>
      </c>
      <c r="I16" s="130">
        <f>IF(SER_hh_emih_in!I16=0,0,SER_hh_emih_in!I16/SER_summary!I$27)</f>
        <v>9.412348262457057E-3</v>
      </c>
      <c r="J16" s="130">
        <f>IF(SER_hh_emih_in!J16=0,0,SER_hh_emih_in!J16/SER_summary!J$27)</f>
        <v>1.9517334335870835E-2</v>
      </c>
      <c r="K16" s="130">
        <f>IF(SER_hh_emih_in!K16=0,0,SER_hh_emih_in!K16/SER_summary!K$27)</f>
        <v>1.1791583009282409E-2</v>
      </c>
      <c r="L16" s="130">
        <f>IF(SER_hh_emih_in!L16=0,0,SER_hh_emih_in!L16/SER_summary!L$27)</f>
        <v>2.0140775947508602E-2</v>
      </c>
      <c r="M16" s="130">
        <f>IF(SER_hh_emih_in!M16=0,0,SER_hh_emih_in!M16/SER_summary!M$27)</f>
        <v>2.9088268189248485E-2</v>
      </c>
      <c r="N16" s="130">
        <f>IF(SER_hh_emih_in!N16=0,0,SER_hh_emih_in!N16/SER_summary!N$27)</f>
        <v>1.6983839282939714E-2</v>
      </c>
      <c r="O16" s="130">
        <f>IF(SER_hh_emih_in!O16=0,0,SER_hh_emih_in!O16/SER_summary!O$27)</f>
        <v>5.2822743863285691E-2</v>
      </c>
      <c r="P16" s="130">
        <f>IF(SER_hh_emih_in!P16=0,0,SER_hh_emih_in!P16/SER_summary!P$27)</f>
        <v>7.5147200054561047E-2</v>
      </c>
      <c r="Q16" s="130">
        <f>IF(SER_hh_emih_in!Q16=0,0,SER_hh_emih_in!Q16/SER_summary!Q$27)</f>
        <v>5.9937743714268618E-2</v>
      </c>
      <c r="R16" s="130">
        <f>IF(SER_hh_emih_in!R16=0,0,SER_hh_emih_in!R16/SER_summary!R$27)</f>
        <v>0.12177607086825652</v>
      </c>
      <c r="S16" s="130">
        <f>IF(SER_hh_emih_in!S16=0,0,SER_hh_emih_in!S16/SER_summary!S$27)</f>
        <v>5.2497661621481319E-2</v>
      </c>
      <c r="T16" s="130">
        <f>IF(SER_hh_emih_in!T16=0,0,SER_hh_emih_in!T16/SER_summary!T$27)</f>
        <v>7.6697876417802693E-2</v>
      </c>
      <c r="U16" s="130">
        <f>IF(SER_hh_emih_in!U16=0,0,SER_hh_emih_in!U16/SER_summary!U$27)</f>
        <v>5.2303315475153871E-2</v>
      </c>
      <c r="V16" s="130">
        <f>IF(SER_hh_emih_in!V16=0,0,SER_hh_emih_in!V16/SER_summary!V$27)</f>
        <v>6.5480954855249143E-2</v>
      </c>
      <c r="W16" s="130">
        <f>IF(SER_hh_emih_in!W16=0,0,SER_hh_emih_in!W16/SER_summary!W$27)</f>
        <v>5.6066611798299734E-2</v>
      </c>
      <c r="X16" s="130">
        <f>IF(SER_hh_emih_in!X16=0,0,SER_hh_emih_in!X16/SER_summary!X$27)</f>
        <v>5.2906615243966712E-2</v>
      </c>
      <c r="Y16" s="130">
        <f>IF(SER_hh_emih_in!Y16=0,0,SER_hh_emih_in!Y16/SER_summary!Y$27)</f>
        <v>5.8790342290064468E-2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5.1845916374146732</v>
      </c>
      <c r="D17" s="132">
        <f>IF(SER_hh_emih_in!D17=0,0,SER_hh_emih_in!D17/SER_summary!D$27)</f>
        <v>0</v>
      </c>
      <c r="E17" s="132">
        <f>IF(SER_hh_emih_in!E17=0,0,SER_hh_emih_in!E17/SER_summary!E$27)</f>
        <v>1.4289489418471975</v>
      </c>
      <c r="F17" s="132">
        <f>IF(SER_hh_emih_in!F17=0,0,SER_hh_emih_in!F17/SER_summary!F$27)</f>
        <v>0</v>
      </c>
      <c r="G17" s="132">
        <f>IF(SER_hh_emih_in!G17=0,0,SER_hh_emih_in!G17/SER_summary!G$27)</f>
        <v>4.8244278216570793</v>
      </c>
      <c r="H17" s="132">
        <f>IF(SER_hh_emih_in!H17=0,0,SER_hh_emih_in!H17/SER_summary!H$27)</f>
        <v>4.8475077208003077</v>
      </c>
      <c r="I17" s="132">
        <f>IF(SER_hh_emih_in!I17=0,0,SER_hh_emih_in!I17/SER_summary!I$27)</f>
        <v>4.9287412723367998</v>
      </c>
      <c r="J17" s="132">
        <f>IF(SER_hh_emih_in!J17=0,0,SER_hh_emih_in!J17/SER_summary!J$27)</f>
        <v>4.5406465114017065</v>
      </c>
      <c r="K17" s="132">
        <f>IF(SER_hh_emih_in!K17=0,0,SER_hh_emih_in!K17/SER_summary!K$27)</f>
        <v>4.3983732061228942</v>
      </c>
      <c r="L17" s="132">
        <f>IF(SER_hh_emih_in!L17=0,0,SER_hh_emih_in!L17/SER_summary!L$27)</f>
        <v>4.517545542685502</v>
      </c>
      <c r="M17" s="132">
        <f>IF(SER_hh_emih_in!M17=0,0,SER_hh_emih_in!M17/SER_summary!M$27)</f>
        <v>4.232440218049752</v>
      </c>
      <c r="N17" s="132">
        <f>IF(SER_hh_emih_in!N17=0,0,SER_hh_emih_in!N17/SER_summary!N$27)</f>
        <v>4.5329526372868765</v>
      </c>
      <c r="O17" s="132">
        <f>IF(SER_hh_emih_in!O17=0,0,SER_hh_emih_in!O17/SER_summary!O$27)</f>
        <v>4.2969098341905578</v>
      </c>
      <c r="P17" s="132">
        <f>IF(SER_hh_emih_in!P17=0,0,SER_hh_emih_in!P17/SER_summary!P$27)</f>
        <v>3.8229444964576436</v>
      </c>
      <c r="Q17" s="132">
        <f>IF(SER_hh_emih_in!Q17=0,0,SER_hh_emih_in!Q17/SER_summary!Q$27)</f>
        <v>4.2480658631950998</v>
      </c>
      <c r="R17" s="132">
        <f>IF(SER_hh_emih_in!R17=0,0,SER_hh_emih_in!R17/SER_summary!R$27)</f>
        <v>3.5877867406480251</v>
      </c>
      <c r="S17" s="132">
        <f>IF(SER_hh_emih_in!S17=0,0,SER_hh_emih_in!S17/SER_summary!S$27)</f>
        <v>3.6312422133639597</v>
      </c>
      <c r="T17" s="132">
        <f>IF(SER_hh_emih_in!T17=0,0,SER_hh_emih_in!T17/SER_summary!T$27)</f>
        <v>3.3840157274649432</v>
      </c>
      <c r="U17" s="132">
        <f>IF(SER_hh_emih_in!U17=0,0,SER_hh_emih_in!U17/SER_summary!U$27)</f>
        <v>3.2812101024382829</v>
      </c>
      <c r="V17" s="132">
        <f>IF(SER_hh_emih_in!V17=0,0,SER_hh_emih_in!V17/SER_summary!V$27)</f>
        <v>2.9595622880257726</v>
      </c>
      <c r="W17" s="132">
        <f>IF(SER_hh_emih_in!W17=0,0,SER_hh_emih_in!W17/SER_summary!W$27)</f>
        <v>2.5185119286078552</v>
      </c>
      <c r="X17" s="132">
        <f>IF(SER_hh_emih_in!X17=0,0,SER_hh_emih_in!X17/SER_summary!X$27)</f>
        <v>2.4913754338226126</v>
      </c>
      <c r="Y17" s="132">
        <f>IF(SER_hh_emih_in!Y17=0,0,SER_hh_emih_in!Y17/SER_summary!Y$27)</f>
        <v>2.4584044065788735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6.9592673016789277</v>
      </c>
      <c r="D19" s="130">
        <f>IF(SER_hh_emih_in!D19=0,0,SER_hh_emih_in!D19/SER_summary!D$27)</f>
        <v>4.1132173425382605</v>
      </c>
      <c r="E19" s="130">
        <f>IF(SER_hh_emih_in!E19=0,0,SER_hh_emih_in!E19/SER_summary!E$27)</f>
        <v>2.6257026362558462</v>
      </c>
      <c r="F19" s="130">
        <f>IF(SER_hh_emih_in!F19=0,0,SER_hh_emih_in!F19/SER_summary!F$27)</f>
        <v>2.1480933228913925</v>
      </c>
      <c r="G19" s="130">
        <f>IF(SER_hh_emih_in!G19=0,0,SER_hh_emih_in!G19/SER_summary!G$27)</f>
        <v>1.7804139928603133</v>
      </c>
      <c r="H19" s="130">
        <f>IF(SER_hh_emih_in!H19=0,0,SER_hh_emih_in!H19/SER_summary!H$27)</f>
        <v>3.3905340825150891</v>
      </c>
      <c r="I19" s="130">
        <f>IF(SER_hh_emih_in!I19=0,0,SER_hh_emih_in!I19/SER_summary!I$27)</f>
        <v>4.5699518447631755</v>
      </c>
      <c r="J19" s="130">
        <f>IF(SER_hh_emih_in!J19=0,0,SER_hh_emih_in!J19/SER_summary!J$27)</f>
        <v>4.9744613978992485</v>
      </c>
      <c r="K19" s="130">
        <f>IF(SER_hh_emih_in!K19=0,0,SER_hh_emih_in!K19/SER_summary!K$27)</f>
        <v>5.0386981939171234</v>
      </c>
      <c r="L19" s="130">
        <f>IF(SER_hh_emih_in!L19=0,0,SER_hh_emih_in!L19/SER_summary!L$27)</f>
        <v>3.5803310358689568</v>
      </c>
      <c r="M19" s="130">
        <f>IF(SER_hh_emih_in!M19=0,0,SER_hh_emih_in!M19/SER_summary!M$27)</f>
        <v>4.3143606819163089</v>
      </c>
      <c r="N19" s="130">
        <f>IF(SER_hh_emih_in!N19=0,0,SER_hh_emih_in!N19/SER_summary!N$27)</f>
        <v>6.2150956048826451</v>
      </c>
      <c r="O19" s="130">
        <f>IF(SER_hh_emih_in!O19=0,0,SER_hh_emih_in!O19/SER_summary!O$27)</f>
        <v>5.886813628949823</v>
      </c>
      <c r="P19" s="130">
        <f>IF(SER_hh_emih_in!P19=0,0,SER_hh_emih_in!P19/SER_summary!P$27)</f>
        <v>3.60225948631596</v>
      </c>
      <c r="Q19" s="130">
        <f>IF(SER_hh_emih_in!Q19=0,0,SER_hh_emih_in!Q19/SER_summary!Q$27)</f>
        <v>2.3989849624637376</v>
      </c>
      <c r="R19" s="130">
        <f>IF(SER_hh_emih_in!R19=0,0,SER_hh_emih_in!R19/SER_summary!R$27)</f>
        <v>1.9903409632239317</v>
      </c>
      <c r="S19" s="130">
        <f>IF(SER_hh_emih_in!S19=0,0,SER_hh_emih_in!S19/SER_summary!S$27)</f>
        <v>1.0544766970968533</v>
      </c>
      <c r="T19" s="130">
        <f>IF(SER_hh_emih_in!T19=0,0,SER_hh_emih_in!T19/SER_summary!T$27)</f>
        <v>0</v>
      </c>
      <c r="U19" s="130">
        <f>IF(SER_hh_emih_in!U19=0,0,SER_hh_emih_in!U19/SER_summary!U$27)</f>
        <v>0.10541862278134075</v>
      </c>
      <c r="V19" s="130">
        <f>IF(SER_hh_emih_in!V19=0,0,SER_hh_emih_in!V19/SER_summary!V$27)</f>
        <v>0.43314876590574208</v>
      </c>
      <c r="W19" s="130">
        <f>IF(SER_hh_emih_in!W19=0,0,SER_hh_emih_in!W19/SER_summary!W$27)</f>
        <v>1.753667064117777</v>
      </c>
      <c r="X19" s="130">
        <f>IF(SER_hh_emih_in!X19=0,0,SER_hh_emih_in!X19/SER_summary!X$27)</f>
        <v>3.0644109092059559</v>
      </c>
      <c r="Y19" s="130">
        <f>IF(SER_hh_emih_in!Y19=0,0,SER_hh_emih_in!Y19/SER_summary!Y$27)</f>
        <v>2.7578218761389981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12.890815369557526</v>
      </c>
      <c r="I20" s="132">
        <f>IF(SER_hh_emih_in!I20=0,0,SER_hh_emih_in!I20/SER_summary!I$27)</f>
        <v>17.37855079112342</v>
      </c>
      <c r="J20" s="132">
        <f>IF(SER_hh_emih_in!J20=0,0,SER_hh_emih_in!J20/SER_summary!J$27)</f>
        <v>16.658167002272958</v>
      </c>
      <c r="K20" s="132">
        <f>IF(SER_hh_emih_in!K20=0,0,SER_hh_emih_in!K20/SER_summary!K$27)</f>
        <v>16.925390064332717</v>
      </c>
      <c r="L20" s="132">
        <f>IF(SER_hh_emih_in!L20=0,0,SER_hh_emih_in!L20/SER_summary!L$27)</f>
        <v>15.374690410441216</v>
      </c>
      <c r="M20" s="132">
        <f>IF(SER_hh_emih_in!M20=0,0,SER_hh_emih_in!M20/SER_summary!M$27)</f>
        <v>15.697388806798246</v>
      </c>
      <c r="N20" s="132">
        <f>IF(SER_hh_emih_in!N20=0,0,SER_hh_emih_in!N20/SER_summary!N$27)</f>
        <v>15.284827126510708</v>
      </c>
      <c r="O20" s="132">
        <f>IF(SER_hh_emih_in!O20=0,0,SER_hh_emih_in!O20/SER_summary!O$27)</f>
        <v>14.958162162981711</v>
      </c>
      <c r="P20" s="132">
        <f>IF(SER_hh_emih_in!P20=0,0,SER_hh_emih_in!P20/SER_summary!P$27)</f>
        <v>15.628625920261712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19.753097594333937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0</v>
      </c>
      <c r="D22" s="132">
        <f>IF(SER_hh_emih_in!D22=0,0,SER_hh_emih_in!D22/SER_summary!D$27)</f>
        <v>0</v>
      </c>
      <c r="E22" s="132">
        <f>IF(SER_hh_emih_in!E22=0,0,SER_hh_emih_in!E22/SER_summary!E$27)</f>
        <v>0</v>
      </c>
      <c r="F22" s="132">
        <f>IF(SER_hh_emih_in!F22=0,0,SER_hh_emih_in!F22/SER_summary!F$27)</f>
        <v>0</v>
      </c>
      <c r="G22" s="132">
        <f>IF(SER_hh_emih_in!G22=0,0,SER_hh_emih_in!G22/SER_summary!G$27)</f>
        <v>0</v>
      </c>
      <c r="H22" s="132">
        <f>IF(SER_hh_emih_in!H22=0,0,SER_hh_emih_in!H22/SER_summary!H$27)</f>
        <v>0</v>
      </c>
      <c r="I22" s="132">
        <f>IF(SER_hh_emih_in!I22=0,0,SER_hh_emih_in!I22/SER_summary!I$27)</f>
        <v>0</v>
      </c>
      <c r="J22" s="132">
        <f>IF(SER_hh_emih_in!J22=0,0,SER_hh_emih_in!J22/SER_summary!J$27)</f>
        <v>0</v>
      </c>
      <c r="K22" s="132">
        <f>IF(SER_hh_emih_in!K22=0,0,SER_hh_emih_in!K22/SER_summary!K$27)</f>
        <v>0</v>
      </c>
      <c r="L22" s="132">
        <f>IF(SER_hh_emih_in!L22=0,0,SER_hh_emih_in!L22/SER_summary!L$27)</f>
        <v>0</v>
      </c>
      <c r="M22" s="132">
        <f>IF(SER_hh_emih_in!M22=0,0,SER_hh_emih_in!M22/SER_summary!M$27)</f>
        <v>0</v>
      </c>
      <c r="N22" s="132">
        <f>IF(SER_hh_emih_in!N22=0,0,SER_hh_emih_in!N22/SER_summary!N$27)</f>
        <v>0</v>
      </c>
      <c r="O22" s="132">
        <f>IF(SER_hh_emih_in!O22=0,0,SER_hh_emih_in!O22/SER_summary!O$27)</f>
        <v>0</v>
      </c>
      <c r="P22" s="132">
        <f>IF(SER_hh_emih_in!P22=0,0,SER_hh_emih_in!P22/SER_summary!P$27)</f>
        <v>0</v>
      </c>
      <c r="Q22" s="132">
        <f>IF(SER_hh_emih_in!Q22=0,0,SER_hh_emih_in!Q22/SER_summary!Q$27)</f>
        <v>0</v>
      </c>
      <c r="R22" s="132">
        <f>IF(SER_hh_emih_in!R22=0,0,SER_hh_emih_in!R22/SER_summary!R$27)</f>
        <v>0</v>
      </c>
      <c r="S22" s="132">
        <f>IF(SER_hh_emih_in!S22=0,0,SER_hh_emih_in!S22/SER_summary!S$27)</f>
        <v>0</v>
      </c>
      <c r="T22" s="132">
        <f>IF(SER_hh_emih_in!T22=0,0,SER_hh_emih_in!T22/SER_summary!T$27)</f>
        <v>0</v>
      </c>
      <c r="U22" s="132">
        <f>IF(SER_hh_emih_in!U22=0,0,SER_hh_emih_in!U22/SER_summary!U$27)</f>
        <v>0</v>
      </c>
      <c r="V22" s="132">
        <f>IF(SER_hh_emih_in!V22=0,0,SER_hh_emih_in!V22/SER_summary!V$27)</f>
        <v>0</v>
      </c>
      <c r="W22" s="132">
        <f>IF(SER_hh_emih_in!W22=0,0,SER_hh_emih_in!W22/SER_summary!W$27)</f>
        <v>0</v>
      </c>
      <c r="X22" s="132">
        <f>IF(SER_hh_emih_in!X22=0,0,SER_hh_emih_in!X22/SER_summary!X$27)</f>
        <v>0</v>
      </c>
      <c r="Y22" s="132">
        <f>IF(SER_hh_emih_in!Y22=0,0,SER_hh_emih_in!Y22/SER_summary!Y$27)</f>
        <v>0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11.092384938189918</v>
      </c>
      <c r="D23" s="132">
        <f>IF(SER_hh_emih_in!D23=0,0,SER_hh_emih_in!D23/SER_summary!D$27)</f>
        <v>11.01018309558369</v>
      </c>
      <c r="E23" s="132">
        <f>IF(SER_hh_emih_in!E23=0,0,SER_hh_emih_in!E23/SER_summary!E$27)</f>
        <v>9.8155652865744134</v>
      </c>
      <c r="F23" s="132">
        <f>IF(SER_hh_emih_in!F23=0,0,SER_hh_emih_in!F23/SER_summary!F$27)</f>
        <v>10.01792394216846</v>
      </c>
      <c r="G23" s="132">
        <f>IF(SER_hh_emih_in!G23=0,0,SER_hh_emih_in!G23/SER_summary!G$27)</f>
        <v>9.643720331546298</v>
      </c>
      <c r="H23" s="132">
        <f>IF(SER_hh_emih_in!H23=0,0,SER_hh_emih_in!H23/SER_summary!H$27)</f>
        <v>9.459526481204021</v>
      </c>
      <c r="I23" s="132">
        <f>IF(SER_hh_emih_in!I23=0,0,SER_hh_emih_in!I23/SER_summary!I$27)</f>
        <v>9.9712238200881345</v>
      </c>
      <c r="J23" s="132">
        <f>IF(SER_hh_emih_in!J23=0,0,SER_hh_emih_in!J23/SER_summary!J$27)</f>
        <v>9.6005933212596837</v>
      </c>
      <c r="K23" s="132">
        <f>IF(SER_hh_emih_in!K23=0,0,SER_hh_emih_in!K23/SER_summary!K$27)</f>
        <v>9.0132132158771086</v>
      </c>
      <c r="L23" s="132">
        <f>IF(SER_hh_emih_in!L23=0,0,SER_hh_emih_in!L23/SER_summary!L$27)</f>
        <v>8.9865696202777787</v>
      </c>
      <c r="M23" s="132">
        <f>IF(SER_hh_emih_in!M23=0,0,SER_hh_emih_in!M23/SER_summary!M$27)</f>
        <v>8.0877112973749234</v>
      </c>
      <c r="N23" s="132">
        <f>IF(SER_hh_emih_in!N23=0,0,SER_hh_emih_in!N23/SER_summary!N$27)</f>
        <v>8.9134798652477798</v>
      </c>
      <c r="O23" s="132">
        <f>IF(SER_hh_emih_in!O23=0,0,SER_hh_emih_in!O23/SER_summary!O$27)</f>
        <v>8.894487803920109</v>
      </c>
      <c r="P23" s="132">
        <f>IF(SER_hh_emih_in!P23=0,0,SER_hh_emih_in!P23/SER_summary!P$27)</f>
        <v>7.2745906677570069</v>
      </c>
      <c r="Q23" s="132">
        <f>IF(SER_hh_emih_in!Q23=0,0,SER_hh_emih_in!Q23/SER_summary!Q$27)</f>
        <v>8.268391583338417</v>
      </c>
      <c r="R23" s="132">
        <f>IF(SER_hh_emih_in!R23=0,0,SER_hh_emih_in!R23/SER_summary!R$27)</f>
        <v>8.2178317239746494</v>
      </c>
      <c r="S23" s="132">
        <f>IF(SER_hh_emih_in!S23=0,0,SER_hh_emih_in!S23/SER_summary!S$27)</f>
        <v>7.6959220944152698</v>
      </c>
      <c r="T23" s="132">
        <f>IF(SER_hh_emih_in!T23=0,0,SER_hh_emih_in!T23/SER_summary!T$27)</f>
        <v>0</v>
      </c>
      <c r="U23" s="132">
        <f>IF(SER_hh_emih_in!U23=0,0,SER_hh_emih_in!U23/SER_summary!U$27)</f>
        <v>0</v>
      </c>
      <c r="V23" s="132">
        <f>IF(SER_hh_emih_in!V23=0,0,SER_hh_emih_in!V23/SER_summary!V$27)</f>
        <v>4.248190704702183</v>
      </c>
      <c r="W23" s="132">
        <f>IF(SER_hh_emih_in!W23=0,0,SER_hh_emih_in!W23/SER_summary!W$27)</f>
        <v>7.1075345219615951</v>
      </c>
      <c r="X23" s="132">
        <f>IF(SER_hh_emih_in!X23=0,0,SER_hh_emih_in!X23/SER_summary!X$27)</f>
        <v>6.9823106022893224</v>
      </c>
      <c r="Y23" s="132">
        <f>IF(SER_hh_emih_in!Y23=0,0,SER_hh_emih_in!Y23/SER_summary!Y$27)</f>
        <v>6.2371813174807027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8.1321624076909824</v>
      </c>
      <c r="D29" s="130">
        <f>IF(SER_hh_emih_in!D29=0,0,SER_hh_emih_in!D29/SER_summary!D$27)</f>
        <v>10.810391623659516</v>
      </c>
      <c r="E29" s="130">
        <f>IF(SER_hh_emih_in!E29=0,0,SER_hh_emih_in!E29/SER_summary!E$27)</f>
        <v>4.3036850602083128</v>
      </c>
      <c r="F29" s="130">
        <f>IF(SER_hh_emih_in!F29=0,0,SER_hh_emih_in!F29/SER_summary!F$27)</f>
        <v>5.6948285634155971</v>
      </c>
      <c r="G29" s="130">
        <f>IF(SER_hh_emih_in!G29=0,0,SER_hh_emih_in!G29/SER_summary!G$27)</f>
        <v>3.3818770194044823</v>
      </c>
      <c r="H29" s="130">
        <f>IF(SER_hh_emih_in!H29=0,0,SER_hh_emih_in!H29/SER_summary!H$27)</f>
        <v>4.097722804764123</v>
      </c>
      <c r="I29" s="130">
        <f>IF(SER_hh_emih_in!I29=0,0,SER_hh_emih_in!I29/SER_summary!I$27)</f>
        <v>3.5511759141760746</v>
      </c>
      <c r="J29" s="130">
        <f>IF(SER_hh_emih_in!J29=0,0,SER_hh_emih_in!J29/SER_summary!J$27)</f>
        <v>3.6555180941443237</v>
      </c>
      <c r="K29" s="130">
        <f>IF(SER_hh_emih_in!K29=0,0,SER_hh_emih_in!K29/SER_summary!K$27)</f>
        <v>5.0970441527667925</v>
      </c>
      <c r="L29" s="130">
        <f>IF(SER_hh_emih_in!L29=0,0,SER_hh_emih_in!L29/SER_summary!L$27)</f>
        <v>4.3965611846216008</v>
      </c>
      <c r="M29" s="130">
        <f>IF(SER_hh_emih_in!M29=0,0,SER_hh_emih_in!M29/SER_summary!M$27)</f>
        <v>2.1694925531419722</v>
      </c>
      <c r="N29" s="130">
        <f>IF(SER_hh_emih_in!N29=0,0,SER_hh_emih_in!N29/SER_summary!N$27)</f>
        <v>8.1779504125909561</v>
      </c>
      <c r="O29" s="130">
        <f>IF(SER_hh_emih_in!O29=0,0,SER_hh_emih_in!O29/SER_summary!O$27)</f>
        <v>8.7252491986294398</v>
      </c>
      <c r="P29" s="130">
        <f>IF(SER_hh_emih_in!P29=0,0,SER_hh_emih_in!P29/SER_summary!P$27)</f>
        <v>7.1262647523247837</v>
      </c>
      <c r="Q29" s="130">
        <f>IF(SER_hh_emih_in!Q29=0,0,SER_hh_emih_in!Q29/SER_summary!Q$27)</f>
        <v>4.8036892979401644</v>
      </c>
      <c r="R29" s="130">
        <f>IF(SER_hh_emih_in!R29=0,0,SER_hh_emih_in!R29/SER_summary!R$27)</f>
        <v>3.2161896651185105</v>
      </c>
      <c r="S29" s="130">
        <f>IF(SER_hh_emih_in!S29=0,0,SER_hh_emih_in!S29/SER_summary!S$27)</f>
        <v>1.4432525651499917</v>
      </c>
      <c r="T29" s="130">
        <f>IF(SER_hh_emih_in!T29=0,0,SER_hh_emih_in!T29/SER_summary!T$27)</f>
        <v>2.1456676761199134</v>
      </c>
      <c r="U29" s="130">
        <f>IF(SER_hh_emih_in!U29=0,0,SER_hh_emih_in!U29/SER_summary!U$27)</f>
        <v>2.5028422273373372</v>
      </c>
      <c r="V29" s="130">
        <f>IF(SER_hh_emih_in!V29=0,0,SER_hh_emih_in!V29/SER_summary!V$27)</f>
        <v>2.8982943454794823</v>
      </c>
      <c r="W29" s="130">
        <f>IF(SER_hh_emih_in!W29=0,0,SER_hh_emih_in!W29/SER_summary!W$27)</f>
        <v>3.8489167202434524</v>
      </c>
      <c r="X29" s="130">
        <f>IF(SER_hh_emih_in!X29=0,0,SER_hh_emih_in!X29/SER_summary!X$27)</f>
        <v>5.4612077225264093</v>
      </c>
      <c r="Y29" s="130">
        <f>IF(SER_hh_emih_in!Y29=0,0,SER_hh_emih_in!Y29/SER_summary!Y$27)</f>
        <v>4.5552229179433139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7.8186600888114528</v>
      </c>
      <c r="D30" s="132">
        <f>IF(SER_hh_emih_in!D30=0,0,SER_hh_emih_in!D30/SER_summary!D$27)</f>
        <v>12.559241839828569</v>
      </c>
      <c r="E30" s="132">
        <f>IF(SER_hh_emih_in!E30=0,0,SER_hh_emih_in!E30/SER_summary!E$27)</f>
        <v>12.954809119998743</v>
      </c>
      <c r="F30" s="132">
        <f>IF(SER_hh_emih_in!F30=0,0,SER_hh_emih_in!F30/SER_summary!F$27)</f>
        <v>14.016924713499369</v>
      </c>
      <c r="G30" s="132">
        <f>IF(SER_hh_emih_in!G30=0,0,SER_hh_emih_in!G30/SER_summary!G$27)</f>
        <v>0</v>
      </c>
      <c r="H30" s="132">
        <f>IF(SER_hh_emih_in!H30=0,0,SER_hh_emih_in!H30/SER_summary!H$27)</f>
        <v>0</v>
      </c>
      <c r="I30" s="132">
        <f>IF(SER_hh_emih_in!I30=0,0,SER_hh_emih_in!I30/SER_summary!I$27)</f>
        <v>0</v>
      </c>
      <c r="J30" s="132">
        <f>IF(SER_hh_emih_in!J30=0,0,SER_hh_emih_in!J30/SER_summary!J$27)</f>
        <v>0</v>
      </c>
      <c r="K30" s="132">
        <f>IF(SER_hh_emih_in!K30=0,0,SER_hh_emih_in!K30/SER_summary!K$27)</f>
        <v>11.984201737517058</v>
      </c>
      <c r="L30" s="132">
        <f>IF(SER_hh_emih_in!L30=0,0,SER_hh_emih_in!L30/SER_summary!L$27)</f>
        <v>20.888054591176452</v>
      </c>
      <c r="M30" s="132">
        <f>IF(SER_hh_emih_in!M30=0,0,SER_hh_emih_in!M30/SER_summary!M$27)</f>
        <v>0</v>
      </c>
      <c r="N30" s="132">
        <f>IF(SER_hh_emih_in!N30=0,0,SER_hh_emih_in!N30/SER_summary!N$27)</f>
        <v>12.241421925014352</v>
      </c>
      <c r="O30" s="132">
        <f>IF(SER_hh_emih_in!O30=0,0,SER_hh_emih_in!O30/SER_summary!O$27)</f>
        <v>11.824944463252379</v>
      </c>
      <c r="P30" s="132">
        <f>IF(SER_hh_emih_in!P30=0,0,SER_hh_emih_in!P30/SER_summary!P$27)</f>
        <v>10.832168320054839</v>
      </c>
      <c r="Q30" s="132">
        <f>IF(SER_hh_emih_in!Q30=0,0,SER_hh_emih_in!Q30/SER_summary!Q$27)</f>
        <v>0</v>
      </c>
      <c r="R30" s="132">
        <f>IF(SER_hh_emih_in!R30=0,0,SER_hh_emih_in!R30/SER_summary!R$27)</f>
        <v>0</v>
      </c>
      <c r="S30" s="132">
        <f>IF(SER_hh_emih_in!S30=0,0,SER_hh_emih_in!S30/SER_summary!S$27)</f>
        <v>0</v>
      </c>
      <c r="T30" s="132">
        <f>IF(SER_hh_emih_in!T30=0,0,SER_hh_emih_in!T30/SER_summary!T$27)</f>
        <v>0</v>
      </c>
      <c r="U30" s="132">
        <f>IF(SER_hh_emih_in!U30=0,0,SER_hh_emih_in!U30/SER_summary!U$27)</f>
        <v>0</v>
      </c>
      <c r="V30" s="132">
        <f>IF(SER_hh_emih_in!V30=0,0,SER_hh_emih_in!V30/SER_summary!V$27)</f>
        <v>0</v>
      </c>
      <c r="W30" s="132">
        <f>IF(SER_hh_emih_in!W30=0,0,SER_hh_emih_in!W30/SER_summary!W$27)</f>
        <v>7.6851155139215148</v>
      </c>
      <c r="X30" s="132">
        <f>IF(SER_hh_emih_in!X30=0,0,SER_hh_emih_in!X30/SER_summary!X$27)</f>
        <v>12.978411394518034</v>
      </c>
      <c r="Y30" s="132">
        <f>IF(SER_hh_emih_in!Y30=0,0,SER_hh_emih_in!Y30/SER_summary!Y$27)</f>
        <v>0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8.9770888705449199</v>
      </c>
      <c r="D31" s="132">
        <f>IF(SER_hh_emih_in!D31=0,0,SER_hh_emih_in!D31/SER_summary!D$27)</f>
        <v>9.5013644551436087</v>
      </c>
      <c r="E31" s="132">
        <f>IF(SER_hh_emih_in!E31=0,0,SER_hh_emih_in!E31/SER_summary!E$27)</f>
        <v>9.494686630634412</v>
      </c>
      <c r="F31" s="132">
        <f>IF(SER_hh_emih_in!F31=0,0,SER_hh_emih_in!F31/SER_summary!F$27)</f>
        <v>7.3516466170176002</v>
      </c>
      <c r="G31" s="132">
        <f>IF(SER_hh_emih_in!G31=0,0,SER_hh_emih_in!G31/SER_summary!G$27)</f>
        <v>9.9823463680133617</v>
      </c>
      <c r="H31" s="132">
        <f>IF(SER_hh_emih_in!H31=0,0,SER_hh_emih_in!H31/SER_summary!H$27)</f>
        <v>9.9205743542994735</v>
      </c>
      <c r="I31" s="132">
        <f>IF(SER_hh_emih_in!I31=0,0,SER_hh_emih_in!I31/SER_summary!I$27)</f>
        <v>9.8606237917180106</v>
      </c>
      <c r="J31" s="132">
        <f>IF(SER_hh_emih_in!J31=0,0,SER_hh_emih_in!J31/SER_summary!J$27)</f>
        <v>9.6343238896507124</v>
      </c>
      <c r="K31" s="132">
        <f>IF(SER_hh_emih_in!K31=0,0,SER_hh_emih_in!K31/SER_summary!K$27)</f>
        <v>9.4204728176016879</v>
      </c>
      <c r="L31" s="132">
        <f>IF(SER_hh_emih_in!L31=0,0,SER_hh_emih_in!L31/SER_summary!L$27)</f>
        <v>9.4035255041601307</v>
      </c>
      <c r="M31" s="132">
        <f>IF(SER_hh_emih_in!M31=0,0,SER_hh_emih_in!M31/SER_summary!M$27)</f>
        <v>8.2922963320018823</v>
      </c>
      <c r="N31" s="132">
        <f>IF(SER_hh_emih_in!N31=0,0,SER_hh_emih_in!N31/SER_summary!N$27)</f>
        <v>8.7176623909244171</v>
      </c>
      <c r="O31" s="132">
        <f>IF(SER_hh_emih_in!O31=0,0,SER_hh_emih_in!O31/SER_summary!O$27)</f>
        <v>9.4855552796828029</v>
      </c>
      <c r="P31" s="132">
        <f>IF(SER_hh_emih_in!P31=0,0,SER_hh_emih_in!P31/SER_summary!P$27)</f>
        <v>9.0879606846612404</v>
      </c>
      <c r="Q31" s="132">
        <f>IF(SER_hh_emih_in!Q31=0,0,SER_hh_emih_in!Q31/SER_summary!Q$27)</f>
        <v>9.3132233881556559</v>
      </c>
      <c r="R31" s="132">
        <f>IF(SER_hh_emih_in!R31=0,0,SER_hh_emih_in!R31/SER_summary!R$27)</f>
        <v>9.2671115790883345</v>
      </c>
      <c r="S31" s="132">
        <f>IF(SER_hh_emih_in!S31=0,0,SER_hh_emih_in!S31/SER_summary!S$27)</f>
        <v>9.0214010101274038</v>
      </c>
      <c r="T31" s="132">
        <f>IF(SER_hh_emih_in!T31=0,0,SER_hh_emih_in!T31/SER_summary!T$27)</f>
        <v>8.1706278919292075</v>
      </c>
      <c r="U31" s="132">
        <f>IF(SER_hh_emih_in!U31=0,0,SER_hh_emih_in!U31/SER_summary!U$27)</f>
        <v>6.7605970874529833</v>
      </c>
      <c r="V31" s="132">
        <f>IF(SER_hh_emih_in!V31=0,0,SER_hh_emih_in!V31/SER_summary!V$27)</f>
        <v>5.9372877897190808</v>
      </c>
      <c r="W31" s="132">
        <f>IF(SER_hh_emih_in!W31=0,0,SER_hh_emih_in!W31/SER_summary!W$27)</f>
        <v>9.5026010458960997</v>
      </c>
      <c r="X31" s="132">
        <f>IF(SER_hh_emih_in!X31=0,0,SER_hh_emih_in!X31/SER_summary!X$27)</f>
        <v>8.9598595791088584</v>
      </c>
      <c r="Y31" s="132">
        <f>IF(SER_hh_emih_in!Y31=0,0,SER_hh_emih_in!Y31/SER_summary!Y$27)</f>
        <v>8.1338333626198818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156.55284225786414</v>
      </c>
      <c r="C3" s="179">
        <f t="shared" ref="C3:W3" si="1">SUM(C4:C9)</f>
        <v>162.9164259951138</v>
      </c>
      <c r="D3" s="179">
        <f t="shared" si="1"/>
        <v>169.28968548922811</v>
      </c>
      <c r="E3" s="179">
        <f t="shared" si="1"/>
        <v>176.05663260826825</v>
      </c>
      <c r="F3" s="179">
        <f t="shared" si="1"/>
        <v>183.29156318389124</v>
      </c>
      <c r="G3" s="179">
        <f t="shared" si="1"/>
        <v>191.87598165638747</v>
      </c>
      <c r="H3" s="179">
        <f t="shared" si="1"/>
        <v>200.82122251359533</v>
      </c>
      <c r="I3" s="179">
        <f t="shared" si="1"/>
        <v>212.4012784930332</v>
      </c>
      <c r="J3" s="179">
        <f t="shared" si="1"/>
        <v>220.40979798579031</v>
      </c>
      <c r="K3" s="179">
        <f t="shared" si="1"/>
        <v>224.06140543347863</v>
      </c>
      <c r="L3" s="179">
        <f t="shared" si="1"/>
        <v>229.01597875398465</v>
      </c>
      <c r="M3" s="179">
        <f t="shared" si="1"/>
        <v>231.13052897589074</v>
      </c>
      <c r="N3" s="179">
        <f t="shared" si="1"/>
        <v>234.03489877151594</v>
      </c>
      <c r="O3" s="179">
        <f t="shared" si="1"/>
        <v>236.83702093937441</v>
      </c>
      <c r="P3" s="179">
        <f t="shared" si="1"/>
        <v>241.57089707307293</v>
      </c>
      <c r="Q3" s="179">
        <f t="shared" si="1"/>
        <v>248.72378766891833</v>
      </c>
      <c r="R3" s="179">
        <f t="shared" si="1"/>
        <v>250.60265842562092</v>
      </c>
      <c r="S3" s="179">
        <f t="shared" si="1"/>
        <v>257.12244385150268</v>
      </c>
      <c r="T3" s="179">
        <f t="shared" si="1"/>
        <v>257.90263055918552</v>
      </c>
      <c r="U3" s="179">
        <f t="shared" si="1"/>
        <v>257.17529274182152</v>
      </c>
      <c r="V3" s="179">
        <f t="shared" si="1"/>
        <v>256.04830513692229</v>
      </c>
      <c r="W3" s="179">
        <f t="shared" si="1"/>
        <v>264.79528759256635</v>
      </c>
      <c r="X3" s="179">
        <f t="shared" ref="X3:Y3" si="2">SUM(X4:X9)</f>
        <v>255.03843346867484</v>
      </c>
      <c r="Y3" s="179">
        <f t="shared" si="2"/>
        <v>248.36117534813721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6.8072735076927158</v>
      </c>
      <c r="C4" s="180">
        <f t="shared" ref="C4:R9" si="4">C12*C44/11630</f>
        <v>6.9228026744711277</v>
      </c>
      <c r="D4" s="180">
        <f t="shared" si="4"/>
        <v>7.0961509924877113</v>
      </c>
      <c r="E4" s="180">
        <f t="shared" si="4"/>
        <v>7.2684212754499375</v>
      </c>
      <c r="F4" s="180">
        <f t="shared" si="4"/>
        <v>7.4419566234597818</v>
      </c>
      <c r="G4" s="180">
        <f t="shared" si="4"/>
        <v>7.6806193042082702</v>
      </c>
      <c r="H4" s="180">
        <f t="shared" si="4"/>
        <v>8.0352265402299121</v>
      </c>
      <c r="I4" s="180">
        <f t="shared" si="4"/>
        <v>8.4654933922755546</v>
      </c>
      <c r="J4" s="180">
        <f t="shared" si="4"/>
        <v>8.741770231282052</v>
      </c>
      <c r="K4" s="180">
        <f t="shared" si="4"/>
        <v>8.7409322511083509</v>
      </c>
      <c r="L4" s="180">
        <f t="shared" si="4"/>
        <v>8.9680442737611958</v>
      </c>
      <c r="M4" s="180">
        <f t="shared" si="4"/>
        <v>9.1022966300516508</v>
      </c>
      <c r="N4" s="180">
        <f t="shared" si="4"/>
        <v>9.2351712952184233</v>
      </c>
      <c r="O4" s="180">
        <f t="shared" si="4"/>
        <v>9.3905860840781656</v>
      </c>
      <c r="P4" s="180">
        <f t="shared" si="4"/>
        <v>9.5387386090667956</v>
      </c>
      <c r="Q4" s="180">
        <f t="shared" si="4"/>
        <v>9.6877155355127975</v>
      </c>
      <c r="R4" s="180">
        <f t="shared" si="4"/>
        <v>9.8229910793044031</v>
      </c>
      <c r="S4" s="180">
        <f t="shared" ref="D4:W9" si="5">S12*S44/11630</f>
        <v>9.9598900894667679</v>
      </c>
      <c r="T4" s="180">
        <f t="shared" si="5"/>
        <v>10.109254824791012</v>
      </c>
      <c r="U4" s="180">
        <f t="shared" si="5"/>
        <v>10.316497145447302</v>
      </c>
      <c r="V4" s="180">
        <f t="shared" si="5"/>
        <v>10.50687357920029</v>
      </c>
      <c r="W4" s="180">
        <f t="shared" si="5"/>
        <v>10.693311365962471</v>
      </c>
      <c r="X4" s="180">
        <f t="shared" ref="X4:Y4" si="6">X12*X44/11630</f>
        <v>10.783654695547842</v>
      </c>
      <c r="Y4" s="180">
        <f t="shared" si="6"/>
        <v>10.806600607640734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29.008441754238088</v>
      </c>
      <c r="C5" s="180">
        <f t="shared" si="4"/>
        <v>29.780891553005105</v>
      </c>
      <c r="D5" s="180">
        <f t="shared" si="5"/>
        <v>30.594399602373866</v>
      </c>
      <c r="E5" s="180">
        <f t="shared" si="5"/>
        <v>31.703316731571974</v>
      </c>
      <c r="F5" s="180">
        <f t="shared" si="5"/>
        <v>32.473073901543586</v>
      </c>
      <c r="G5" s="180">
        <f t="shared" si="5"/>
        <v>33.194757550727019</v>
      </c>
      <c r="H5" s="180">
        <f t="shared" si="5"/>
        <v>33.883433771084896</v>
      </c>
      <c r="I5" s="180">
        <f t="shared" si="5"/>
        <v>34.311259481625008</v>
      </c>
      <c r="J5" s="180">
        <f t="shared" si="5"/>
        <v>34.869254847483077</v>
      </c>
      <c r="K5" s="180">
        <f t="shared" si="5"/>
        <v>35.654838878430382</v>
      </c>
      <c r="L5" s="180">
        <f t="shared" si="5"/>
        <v>36.28556596066452</v>
      </c>
      <c r="M5" s="180">
        <f t="shared" si="5"/>
        <v>36.658476128048761</v>
      </c>
      <c r="N5" s="180">
        <f t="shared" si="5"/>
        <v>37.26886111963389</v>
      </c>
      <c r="O5" s="180">
        <f t="shared" si="5"/>
        <v>37.722358827470948</v>
      </c>
      <c r="P5" s="180">
        <f t="shared" si="5"/>
        <v>38.136529911843134</v>
      </c>
      <c r="Q5" s="180">
        <f t="shared" si="5"/>
        <v>38.524369263675617</v>
      </c>
      <c r="R5" s="180">
        <f t="shared" si="5"/>
        <v>38.641658245418533</v>
      </c>
      <c r="S5" s="180">
        <f t="shared" si="5"/>
        <v>39.587707988162613</v>
      </c>
      <c r="T5" s="180">
        <f t="shared" si="5"/>
        <v>39.32402007130797</v>
      </c>
      <c r="U5" s="180">
        <f t="shared" si="5"/>
        <v>38.617206089926611</v>
      </c>
      <c r="V5" s="180">
        <f t="shared" si="5"/>
        <v>37.81263011571113</v>
      </c>
      <c r="W5" s="180">
        <f t="shared" si="5"/>
        <v>37.340028464193111</v>
      </c>
      <c r="X5" s="180">
        <f t="shared" ref="X5:Y5" si="7">X13*X45/11630</f>
        <v>36.313773251582695</v>
      </c>
      <c r="Y5" s="180">
        <f t="shared" si="7"/>
        <v>35.281843776574796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44.906282443742739</v>
      </c>
      <c r="C6" s="180">
        <f t="shared" si="4"/>
        <v>46.044769485537671</v>
      </c>
      <c r="D6" s="180">
        <f t="shared" si="5"/>
        <v>47.361986977848872</v>
      </c>
      <c r="E6" s="180">
        <f t="shared" si="5"/>
        <v>48.817557991952526</v>
      </c>
      <c r="F6" s="180">
        <f t="shared" si="5"/>
        <v>50.196268407852649</v>
      </c>
      <c r="G6" s="180">
        <f t="shared" si="5"/>
        <v>51.832199957379466</v>
      </c>
      <c r="H6" s="180">
        <f t="shared" si="5"/>
        <v>53.95458950841941</v>
      </c>
      <c r="I6" s="180">
        <f t="shared" si="5"/>
        <v>56.908498625905288</v>
      </c>
      <c r="J6" s="180">
        <f t="shared" si="5"/>
        <v>59.167464033032573</v>
      </c>
      <c r="K6" s="180">
        <f t="shared" si="5"/>
        <v>59.385177233787104</v>
      </c>
      <c r="L6" s="180">
        <f t="shared" si="5"/>
        <v>61.351821179057573</v>
      </c>
      <c r="M6" s="180">
        <f t="shared" si="5"/>
        <v>62.177635020447397</v>
      </c>
      <c r="N6" s="180">
        <f t="shared" si="5"/>
        <v>62.771364233947835</v>
      </c>
      <c r="O6" s="180">
        <f t="shared" si="5"/>
        <v>62.744920405729339</v>
      </c>
      <c r="P6" s="180">
        <f t="shared" si="5"/>
        <v>63.5356885626409</v>
      </c>
      <c r="Q6" s="180">
        <f t="shared" si="5"/>
        <v>64.498525383147538</v>
      </c>
      <c r="R6" s="180">
        <f t="shared" si="5"/>
        <v>62.361953702174226</v>
      </c>
      <c r="S6" s="180">
        <f t="shared" si="5"/>
        <v>62.499827024366553</v>
      </c>
      <c r="T6" s="180">
        <f t="shared" si="5"/>
        <v>59.564336928701081</v>
      </c>
      <c r="U6" s="180">
        <f t="shared" si="5"/>
        <v>55.902739698322968</v>
      </c>
      <c r="V6" s="180">
        <f t="shared" si="5"/>
        <v>52.602529314399156</v>
      </c>
      <c r="W6" s="180">
        <f t="shared" si="5"/>
        <v>53.106620534522555</v>
      </c>
      <c r="X6" s="180">
        <f t="shared" ref="X6:Y6" si="8">X14*X46/11630</f>
        <v>47.852770326414721</v>
      </c>
      <c r="Y6" s="180">
        <f t="shared" si="8"/>
        <v>44.070893785169908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45.174934020965196</v>
      </c>
      <c r="C7" s="180">
        <f t="shared" si="4"/>
        <v>46.322149860443915</v>
      </c>
      <c r="D7" s="180">
        <f t="shared" si="5"/>
        <v>47.429313261515105</v>
      </c>
      <c r="E7" s="180">
        <f t="shared" si="5"/>
        <v>48.137282933684446</v>
      </c>
      <c r="F7" s="180">
        <f t="shared" si="5"/>
        <v>48.675081994603126</v>
      </c>
      <c r="G7" s="180">
        <f t="shared" si="5"/>
        <v>49.170235502789247</v>
      </c>
      <c r="H7" s="180">
        <f t="shared" si="5"/>
        <v>49.673031232799069</v>
      </c>
      <c r="I7" s="180">
        <f t="shared" si="5"/>
        <v>50.150378339757125</v>
      </c>
      <c r="J7" s="180">
        <f t="shared" si="5"/>
        <v>50.355642436458481</v>
      </c>
      <c r="K7" s="180">
        <f t="shared" si="5"/>
        <v>50.400562318240979</v>
      </c>
      <c r="L7" s="180">
        <f t="shared" si="5"/>
        <v>50.469223740695774</v>
      </c>
      <c r="M7" s="180">
        <f t="shared" si="5"/>
        <v>50.534750667415643</v>
      </c>
      <c r="N7" s="180">
        <f t="shared" si="5"/>
        <v>50.830886466048149</v>
      </c>
      <c r="O7" s="180">
        <f t="shared" si="5"/>
        <v>51.196399526562999</v>
      </c>
      <c r="P7" s="180">
        <f t="shared" si="5"/>
        <v>51.672821946154883</v>
      </c>
      <c r="Q7" s="180">
        <f t="shared" si="5"/>
        <v>52.411635331403737</v>
      </c>
      <c r="R7" s="180">
        <f t="shared" si="5"/>
        <v>53.101568919119003</v>
      </c>
      <c r="S7" s="180">
        <f t="shared" si="5"/>
        <v>53.795989300152002</v>
      </c>
      <c r="T7" s="180">
        <f t="shared" si="5"/>
        <v>54.508010929255299</v>
      </c>
      <c r="U7" s="180">
        <f t="shared" si="5"/>
        <v>55.202995285723674</v>
      </c>
      <c r="V7" s="180">
        <f t="shared" si="5"/>
        <v>55.827990199279611</v>
      </c>
      <c r="W7" s="180">
        <f t="shared" si="5"/>
        <v>56.352672093667742</v>
      </c>
      <c r="X7" s="180">
        <f t="shared" ref="X7:Y7" si="9">X15*X47/11630</f>
        <v>56.104308683238223</v>
      </c>
      <c r="Y7" s="180">
        <f t="shared" si="9"/>
        <v>55.776532797401018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7.4010716672888499</v>
      </c>
      <c r="C8" s="55">
        <f t="shared" si="4"/>
        <v>8.1472221007529821</v>
      </c>
      <c r="D8" s="55">
        <f t="shared" si="5"/>
        <v>9.0780259387454727</v>
      </c>
      <c r="E8" s="55">
        <f t="shared" si="5"/>
        <v>10.134465461496839</v>
      </c>
      <c r="F8" s="55">
        <f t="shared" si="5"/>
        <v>11.319023260508882</v>
      </c>
      <c r="G8" s="55">
        <f t="shared" si="5"/>
        <v>12.617786482178854</v>
      </c>
      <c r="H8" s="55">
        <f t="shared" si="5"/>
        <v>14.021917434496176</v>
      </c>
      <c r="I8" s="55">
        <f t="shared" si="5"/>
        <v>15.431074137235822</v>
      </c>
      <c r="J8" s="55">
        <f t="shared" si="5"/>
        <v>16.468430171489864</v>
      </c>
      <c r="K8" s="55">
        <f t="shared" si="5"/>
        <v>16.871851438293444</v>
      </c>
      <c r="L8" s="55">
        <f t="shared" si="5"/>
        <v>17.538691653001298</v>
      </c>
      <c r="M8" s="55">
        <f t="shared" si="5"/>
        <v>17.927503149715072</v>
      </c>
      <c r="N8" s="55">
        <f t="shared" si="5"/>
        <v>18.301173965363336</v>
      </c>
      <c r="O8" s="55">
        <f t="shared" si="5"/>
        <v>18.630952412216391</v>
      </c>
      <c r="P8" s="55">
        <f t="shared" si="5"/>
        <v>18.946561707599137</v>
      </c>
      <c r="Q8" s="55">
        <f t="shared" si="5"/>
        <v>19.285246083249543</v>
      </c>
      <c r="R8" s="55">
        <f t="shared" si="5"/>
        <v>19.927893405799111</v>
      </c>
      <c r="S8" s="55">
        <f t="shared" si="5"/>
        <v>21.066909209524802</v>
      </c>
      <c r="T8" s="55">
        <f t="shared" si="5"/>
        <v>21.790459004772089</v>
      </c>
      <c r="U8" s="55">
        <f t="shared" si="5"/>
        <v>22.53051268572931</v>
      </c>
      <c r="V8" s="55">
        <f t="shared" si="5"/>
        <v>23.35102517701667</v>
      </c>
      <c r="W8" s="55">
        <f t="shared" si="5"/>
        <v>25.663255966057026</v>
      </c>
      <c r="X8" s="55">
        <f t="shared" ref="X8:Y8" si="10">X16*X48/11630</f>
        <v>24.880872512908677</v>
      </c>
      <c r="Y8" s="55">
        <f t="shared" si="10"/>
        <v>24.654716654367704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23.254838863936563</v>
      </c>
      <c r="C9" s="63">
        <f t="shared" si="4"/>
        <v>25.698590320903019</v>
      </c>
      <c r="D9" s="63">
        <f t="shared" si="5"/>
        <v>27.729808716257072</v>
      </c>
      <c r="E9" s="63">
        <f t="shared" si="5"/>
        <v>29.995588214112523</v>
      </c>
      <c r="F9" s="63">
        <f t="shared" si="5"/>
        <v>33.186158995923222</v>
      </c>
      <c r="G9" s="63">
        <f t="shared" si="5"/>
        <v>37.380382859104635</v>
      </c>
      <c r="H9" s="63">
        <f t="shared" si="5"/>
        <v>41.253024026565882</v>
      </c>
      <c r="I9" s="63">
        <f t="shared" si="5"/>
        <v>47.134574516234451</v>
      </c>
      <c r="J9" s="63">
        <f t="shared" si="5"/>
        <v>50.807236266044228</v>
      </c>
      <c r="K9" s="63">
        <f t="shared" si="5"/>
        <v>53.008043313618387</v>
      </c>
      <c r="L9" s="63">
        <f t="shared" si="5"/>
        <v>54.402631946804277</v>
      </c>
      <c r="M9" s="63">
        <f t="shared" si="5"/>
        <v>54.729867380212191</v>
      </c>
      <c r="N9" s="63">
        <f t="shared" si="5"/>
        <v>55.627441691304298</v>
      </c>
      <c r="O9" s="63">
        <f t="shared" si="5"/>
        <v>57.151803683316558</v>
      </c>
      <c r="P9" s="63">
        <f t="shared" si="5"/>
        <v>59.740556335768098</v>
      </c>
      <c r="Q9" s="63">
        <f t="shared" si="5"/>
        <v>64.316296071929088</v>
      </c>
      <c r="R9" s="63">
        <f t="shared" si="5"/>
        <v>66.746593073805641</v>
      </c>
      <c r="S9" s="63">
        <f t="shared" si="5"/>
        <v>70.212120239829957</v>
      </c>
      <c r="T9" s="63">
        <f t="shared" si="5"/>
        <v>72.606548800358055</v>
      </c>
      <c r="U9" s="63">
        <f t="shared" si="5"/>
        <v>74.60534183667167</v>
      </c>
      <c r="V9" s="63">
        <f t="shared" si="5"/>
        <v>75.94725675131545</v>
      </c>
      <c r="W9" s="63">
        <f t="shared" si="5"/>
        <v>81.639399168163479</v>
      </c>
      <c r="X9" s="63">
        <f t="shared" ref="X9:Y9" si="11">X17*X49/11630</f>
        <v>79.103053998982674</v>
      </c>
      <c r="Y9" s="63">
        <f t="shared" si="11"/>
        <v>77.770587726983052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617.93769319733121</v>
      </c>
      <c r="C11" s="179">
        <f t="shared" ref="C11:W11" si="13">SUM(C12:C17)</f>
        <v>642.06766694055136</v>
      </c>
      <c r="D11" s="179">
        <f t="shared" si="13"/>
        <v>666.24365869291</v>
      </c>
      <c r="E11" s="179">
        <f t="shared" si="13"/>
        <v>694.4458407869538</v>
      </c>
      <c r="F11" s="179">
        <f t="shared" si="13"/>
        <v>729.15602721822779</v>
      </c>
      <c r="G11" s="179">
        <f t="shared" si="13"/>
        <v>773.3627270081364</v>
      </c>
      <c r="H11" s="179">
        <f t="shared" si="13"/>
        <v>819.92387498685798</v>
      </c>
      <c r="I11" s="179">
        <f t="shared" si="13"/>
        <v>883.49466090951501</v>
      </c>
      <c r="J11" s="179">
        <f t="shared" si="13"/>
        <v>923.66635814666563</v>
      </c>
      <c r="K11" s="179">
        <f t="shared" si="13"/>
        <v>937.66517711617587</v>
      </c>
      <c r="L11" s="179">
        <f t="shared" si="13"/>
        <v>956.82763016044896</v>
      </c>
      <c r="M11" s="179">
        <f t="shared" si="13"/>
        <v>962.36579063141642</v>
      </c>
      <c r="N11" s="179">
        <f t="shared" si="13"/>
        <v>973.41606989854438</v>
      </c>
      <c r="O11" s="179">
        <f t="shared" si="13"/>
        <v>984.83417398476877</v>
      </c>
      <c r="P11" s="179">
        <f t="shared" si="13"/>
        <v>1005.0987482621939</v>
      </c>
      <c r="Q11" s="179">
        <f t="shared" si="13"/>
        <v>1038.7010385034021</v>
      </c>
      <c r="R11" s="179">
        <f t="shared" si="13"/>
        <v>1048.3663010783582</v>
      </c>
      <c r="S11" s="179">
        <f t="shared" si="13"/>
        <v>1055.8154805868674</v>
      </c>
      <c r="T11" s="179">
        <f t="shared" si="13"/>
        <v>1062.2879534846938</v>
      </c>
      <c r="U11" s="179">
        <f t="shared" si="13"/>
        <v>1066.7751593825374</v>
      </c>
      <c r="V11" s="179">
        <f t="shared" si="13"/>
        <v>1063.490544109299</v>
      </c>
      <c r="W11" s="179">
        <f t="shared" si="13"/>
        <v>1060.0449035461838</v>
      </c>
      <c r="X11" s="179">
        <f t="shared" ref="X11:Y11" si="14">SUM(X12:X17)</f>
        <v>1050.310450459097</v>
      </c>
      <c r="Y11" s="179">
        <f t="shared" si="14"/>
        <v>1040.027529990926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9.0375103760806272</v>
      </c>
      <c r="C12" s="180">
        <f t="shared" ref="C12:W12" si="15">C20*C52</f>
        <v>9.1908898520661211</v>
      </c>
      <c r="D12" s="180">
        <f t="shared" si="15"/>
        <v>9.4210315117159933</v>
      </c>
      <c r="E12" s="180">
        <f t="shared" si="15"/>
        <v>9.6497419444615016</v>
      </c>
      <c r="F12" s="180">
        <f t="shared" si="15"/>
        <v>9.8801319099129348</v>
      </c>
      <c r="G12" s="180">
        <f t="shared" si="15"/>
        <v>10.196986587664632</v>
      </c>
      <c r="H12" s="180">
        <f t="shared" si="15"/>
        <v>10.667772221789255</v>
      </c>
      <c r="I12" s="180">
        <f t="shared" si="15"/>
        <v>11.239005496822454</v>
      </c>
      <c r="J12" s="180">
        <f t="shared" si="15"/>
        <v>11.605797692900715</v>
      </c>
      <c r="K12" s="180">
        <f t="shared" si="15"/>
        <v>11.604685168994303</v>
      </c>
      <c r="L12" s="180">
        <f t="shared" si="15"/>
        <v>11.906204897698943</v>
      </c>
      <c r="M12" s="180">
        <f t="shared" si="15"/>
        <v>12.084441758847111</v>
      </c>
      <c r="N12" s="180">
        <f t="shared" si="15"/>
        <v>12.260849562030851</v>
      </c>
      <c r="O12" s="180">
        <f t="shared" si="15"/>
        <v>12.467182209797837</v>
      </c>
      <c r="P12" s="180">
        <f t="shared" si="15"/>
        <v>12.663873290347814</v>
      </c>
      <c r="Q12" s="180">
        <f t="shared" si="15"/>
        <v>12.86165886735318</v>
      </c>
      <c r="R12" s="180">
        <f t="shared" si="15"/>
        <v>13.041254138391574</v>
      </c>
      <c r="S12" s="180">
        <f t="shared" si="15"/>
        <v>13.223004764897089</v>
      </c>
      <c r="T12" s="180">
        <f t="shared" si="15"/>
        <v>13.421305206885783</v>
      </c>
      <c r="U12" s="180">
        <f t="shared" si="15"/>
        <v>13.696445411136086</v>
      </c>
      <c r="V12" s="180">
        <f t="shared" si="15"/>
        <v>13.949194032659745</v>
      </c>
      <c r="W12" s="180">
        <f t="shared" si="15"/>
        <v>14.196713605724147</v>
      </c>
      <c r="X12" s="180">
        <f t="shared" ref="X12:Y12" si="16">X20*X52</f>
        <v>14.316655720230754</v>
      </c>
      <c r="Y12" s="180">
        <f t="shared" si="16"/>
        <v>14.347119299870061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86.944873617134604</v>
      </c>
      <c r="C13" s="180">
        <f t="shared" ref="C13:W13" si="17">C21*C53/1000</f>
        <v>89.131307033288138</v>
      </c>
      <c r="D13" s="180">
        <f t="shared" si="17"/>
        <v>91.512654659266119</v>
      </c>
      <c r="E13" s="180">
        <f t="shared" si="17"/>
        <v>94.750710246929387</v>
      </c>
      <c r="F13" s="180">
        <f t="shared" si="17"/>
        <v>96.983030035311572</v>
      </c>
      <c r="G13" s="180">
        <f t="shared" si="17"/>
        <v>99.012684106987734</v>
      </c>
      <c r="H13" s="180">
        <f t="shared" si="17"/>
        <v>100.96109662274617</v>
      </c>
      <c r="I13" s="180">
        <f t="shared" si="17"/>
        <v>102.14720583577878</v>
      </c>
      <c r="J13" s="180">
        <f t="shared" si="17"/>
        <v>103.53968471965368</v>
      </c>
      <c r="K13" s="180">
        <f t="shared" si="17"/>
        <v>105.60495792974827</v>
      </c>
      <c r="L13" s="180">
        <f t="shared" si="17"/>
        <v>107.3183341866992</v>
      </c>
      <c r="M13" s="180">
        <f t="shared" si="17"/>
        <v>108.78581270256336</v>
      </c>
      <c r="N13" s="180">
        <f t="shared" si="17"/>
        <v>111.08384902712238</v>
      </c>
      <c r="O13" s="180">
        <f t="shared" si="17"/>
        <v>113.05396810394603</v>
      </c>
      <c r="P13" s="180">
        <f t="shared" si="17"/>
        <v>115.07096098642162</v>
      </c>
      <c r="Q13" s="180">
        <f t="shared" si="17"/>
        <v>117.0180140252114</v>
      </c>
      <c r="R13" s="180">
        <f t="shared" si="17"/>
        <v>117.80634220923368</v>
      </c>
      <c r="S13" s="180">
        <f t="shared" si="17"/>
        <v>117.89282119768674</v>
      </c>
      <c r="T13" s="180">
        <f t="shared" si="17"/>
        <v>117.67004488348908</v>
      </c>
      <c r="U13" s="180">
        <f t="shared" si="17"/>
        <v>116.579368258339</v>
      </c>
      <c r="V13" s="180">
        <f t="shared" si="17"/>
        <v>114.83332070709658</v>
      </c>
      <c r="W13" s="180">
        <f t="shared" si="17"/>
        <v>113.21635489504445</v>
      </c>
      <c r="X13" s="180">
        <f t="shared" ref="X13:Y13" si="18">X21*X53/1000</f>
        <v>110.78549026363633</v>
      </c>
      <c r="Y13" s="180">
        <f t="shared" si="18"/>
        <v>108.30695980646004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239.45830132261781</v>
      </c>
      <c r="C14" s="180">
        <f t="shared" ref="C14:W14" si="19">C22*C54</f>
        <v>243.23252423665511</v>
      </c>
      <c r="D14" s="180">
        <f t="shared" si="19"/>
        <v>248.09764209654463</v>
      </c>
      <c r="E14" s="180">
        <f t="shared" si="19"/>
        <v>253.58002891124295</v>
      </c>
      <c r="F14" s="180">
        <f t="shared" si="19"/>
        <v>258.5982127235236</v>
      </c>
      <c r="G14" s="180">
        <f t="shared" si="19"/>
        <v>264.65968058995634</v>
      </c>
      <c r="H14" s="180">
        <f t="shared" si="19"/>
        <v>273.17591502504422</v>
      </c>
      <c r="I14" s="180">
        <f t="shared" si="19"/>
        <v>285.48415861171259</v>
      </c>
      <c r="J14" s="180">
        <f t="shared" si="19"/>
        <v>294.1369307283731</v>
      </c>
      <c r="K14" s="180">
        <f t="shared" si="19"/>
        <v>293.57490594627694</v>
      </c>
      <c r="L14" s="180">
        <f t="shared" si="19"/>
        <v>300.97981213882878</v>
      </c>
      <c r="M14" s="180">
        <f t="shared" si="19"/>
        <v>303.45701168562044</v>
      </c>
      <c r="N14" s="180">
        <f t="shared" si="19"/>
        <v>305.08267468194049</v>
      </c>
      <c r="O14" s="180">
        <f t="shared" si="19"/>
        <v>304.23678095223249</v>
      </c>
      <c r="P14" s="180">
        <f t="shared" si="19"/>
        <v>306.04733919605462</v>
      </c>
      <c r="Q14" s="180">
        <f t="shared" si="19"/>
        <v>308.9175312560634</v>
      </c>
      <c r="R14" s="180">
        <f t="shared" si="19"/>
        <v>298.45881650553116</v>
      </c>
      <c r="S14" s="180">
        <f t="shared" si="19"/>
        <v>288.90789798559837</v>
      </c>
      <c r="T14" s="180">
        <f t="shared" si="19"/>
        <v>276.21616281047346</v>
      </c>
      <c r="U14" s="180">
        <f t="shared" si="19"/>
        <v>261.82779843102037</v>
      </c>
      <c r="V14" s="180">
        <f t="shared" si="19"/>
        <v>245.38490962477749</v>
      </c>
      <c r="W14" s="180">
        <f t="shared" si="19"/>
        <v>230.8989849545309</v>
      </c>
      <c r="X14" s="180">
        <f t="shared" ref="X14:Y14" si="20">X22*X54</f>
        <v>219.02964537527052</v>
      </c>
      <c r="Y14" s="180">
        <f t="shared" si="20"/>
        <v>207.18315679033932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59.975397564363632</v>
      </c>
      <c r="C15" s="180">
        <f t="shared" ref="C15:W15" si="21">C23*C55/1000</f>
        <v>61.498470648055118</v>
      </c>
      <c r="D15" s="180">
        <f t="shared" si="21"/>
        <v>62.968369090344829</v>
      </c>
      <c r="E15" s="180">
        <f t="shared" si="21"/>
        <v>63.908287730450965</v>
      </c>
      <c r="F15" s="180">
        <f t="shared" si="21"/>
        <v>64.622283515666041</v>
      </c>
      <c r="G15" s="180">
        <f t="shared" si="21"/>
        <v>65.279661974593495</v>
      </c>
      <c r="H15" s="180">
        <f t="shared" si="21"/>
        <v>65.947186442631619</v>
      </c>
      <c r="I15" s="180">
        <f t="shared" si="21"/>
        <v>66.580924667965249</v>
      </c>
      <c r="J15" s="180">
        <f t="shared" si="21"/>
        <v>66.853438531508203</v>
      </c>
      <c r="K15" s="180">
        <f t="shared" si="21"/>
        <v>66.913075315198952</v>
      </c>
      <c r="L15" s="180">
        <f t="shared" si="21"/>
        <v>67.004231975375788</v>
      </c>
      <c r="M15" s="180">
        <f t="shared" si="21"/>
        <v>67.09122719886345</v>
      </c>
      <c r="N15" s="180">
        <f t="shared" si="21"/>
        <v>67.484384657550194</v>
      </c>
      <c r="O15" s="180">
        <f t="shared" si="21"/>
        <v>67.969649143142448</v>
      </c>
      <c r="P15" s="180">
        <f t="shared" si="21"/>
        <v>68.602159729883738</v>
      </c>
      <c r="Q15" s="180">
        <f t="shared" si="21"/>
        <v>69.583027272171876</v>
      </c>
      <c r="R15" s="180">
        <f t="shared" si="21"/>
        <v>70.499000745360064</v>
      </c>
      <c r="S15" s="180">
        <f t="shared" si="21"/>
        <v>71.420931000087677</v>
      </c>
      <c r="T15" s="180">
        <f t="shared" si="21"/>
        <v>72.366229121830969</v>
      </c>
      <c r="U15" s="180">
        <f t="shared" si="21"/>
        <v>73.288908124767858</v>
      </c>
      <c r="V15" s="180">
        <f t="shared" si="21"/>
        <v>74.118667353609823</v>
      </c>
      <c r="W15" s="180">
        <f t="shared" si="21"/>
        <v>74.81524845312282</v>
      </c>
      <c r="X15" s="180">
        <f t="shared" ref="X15:Y15" si="22">X23*X55/1000</f>
        <v>74.485514838591399</v>
      </c>
      <c r="Y15" s="180">
        <f t="shared" si="22"/>
        <v>74.050351191070092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93.605903429306281</v>
      </c>
      <c r="C16" s="55">
        <f t="shared" ref="C16:W16" si="23">C24*C56</f>
        <v>102.55304288837334</v>
      </c>
      <c r="D16" s="55">
        <f t="shared" si="23"/>
        <v>113.77346544718324</v>
      </c>
      <c r="E16" s="55">
        <f t="shared" si="23"/>
        <v>126.50634514341279</v>
      </c>
      <c r="F16" s="55">
        <f t="shared" si="23"/>
        <v>140.77034666991975</v>
      </c>
      <c r="G16" s="55">
        <f t="shared" si="23"/>
        <v>156.38217193165201</v>
      </c>
      <c r="H16" s="55">
        <f t="shared" si="23"/>
        <v>173.22478696814571</v>
      </c>
      <c r="I16" s="55">
        <f t="shared" si="23"/>
        <v>190.05633109211507</v>
      </c>
      <c r="J16" s="55">
        <f t="shared" si="23"/>
        <v>202.25404073937943</v>
      </c>
      <c r="K16" s="55">
        <f t="shared" si="23"/>
        <v>206.64918277138372</v>
      </c>
      <c r="L16" s="55">
        <f t="shared" si="23"/>
        <v>214.26652320262593</v>
      </c>
      <c r="M16" s="55">
        <f t="shared" si="23"/>
        <v>218.66064621086872</v>
      </c>
      <c r="N16" s="55">
        <f t="shared" si="23"/>
        <v>222.87241698057383</v>
      </c>
      <c r="O16" s="55">
        <f t="shared" si="23"/>
        <v>226.55253441708973</v>
      </c>
      <c r="P16" s="55">
        <f t="shared" si="23"/>
        <v>230.06373362884239</v>
      </c>
      <c r="Q16" s="55">
        <f t="shared" si="23"/>
        <v>233.85786521831906</v>
      </c>
      <c r="R16" s="55">
        <f t="shared" si="23"/>
        <v>241.60331265459476</v>
      </c>
      <c r="S16" s="55">
        <f t="shared" si="23"/>
        <v>248.30581304541292</v>
      </c>
      <c r="T16" s="55">
        <f t="shared" si="23"/>
        <v>256.64989200439982</v>
      </c>
      <c r="U16" s="55">
        <f t="shared" si="23"/>
        <v>266.62182601539092</v>
      </c>
      <c r="V16" s="55">
        <f t="shared" si="23"/>
        <v>275.22579771970828</v>
      </c>
      <c r="W16" s="55">
        <f t="shared" si="23"/>
        <v>281.92077216137181</v>
      </c>
      <c r="X16" s="55">
        <f t="shared" ref="X16:Y16" si="24">X24*X56</f>
        <v>286.82652552762517</v>
      </c>
      <c r="Y16" s="55">
        <f t="shared" si="24"/>
        <v>291.41644704035508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128.91570688782829</v>
      </c>
      <c r="C17" s="63">
        <f t="shared" ref="C17:W17" si="25">C25*C57/1000</f>
        <v>136.46143228211349</v>
      </c>
      <c r="D17" s="63">
        <f t="shared" si="25"/>
        <v>140.47049588785515</v>
      </c>
      <c r="E17" s="63">
        <f t="shared" si="25"/>
        <v>146.05072681045618</v>
      </c>
      <c r="F17" s="63">
        <f t="shared" si="25"/>
        <v>158.30202236389385</v>
      </c>
      <c r="G17" s="63">
        <f t="shared" si="25"/>
        <v>177.83154181728221</v>
      </c>
      <c r="H17" s="63">
        <f t="shared" si="25"/>
        <v>195.94711770650102</v>
      </c>
      <c r="I17" s="63">
        <f t="shared" si="25"/>
        <v>227.98703520512086</v>
      </c>
      <c r="J17" s="63">
        <f t="shared" si="25"/>
        <v>245.27646573485052</v>
      </c>
      <c r="K17" s="63">
        <f t="shared" si="25"/>
        <v>253.31836998457368</v>
      </c>
      <c r="L17" s="63">
        <f t="shared" si="25"/>
        <v>255.35252375922033</v>
      </c>
      <c r="M17" s="63">
        <f t="shared" si="25"/>
        <v>252.28665107465341</v>
      </c>
      <c r="N17" s="63">
        <f t="shared" si="25"/>
        <v>254.63189498932658</v>
      </c>
      <c r="O17" s="63">
        <f t="shared" si="25"/>
        <v>260.55405915856016</v>
      </c>
      <c r="P17" s="63">
        <f t="shared" si="25"/>
        <v>272.65068143064366</v>
      </c>
      <c r="Q17" s="63">
        <f t="shared" si="25"/>
        <v>296.46294186428315</v>
      </c>
      <c r="R17" s="63">
        <f t="shared" si="25"/>
        <v>306.95757482524692</v>
      </c>
      <c r="S17" s="63">
        <f t="shared" si="25"/>
        <v>316.06501259318458</v>
      </c>
      <c r="T17" s="63">
        <f t="shared" si="25"/>
        <v>325.96431945761481</v>
      </c>
      <c r="U17" s="63">
        <f t="shared" si="25"/>
        <v>334.7608131418832</v>
      </c>
      <c r="V17" s="63">
        <f t="shared" si="25"/>
        <v>339.97865467144698</v>
      </c>
      <c r="W17" s="63">
        <f t="shared" si="25"/>
        <v>344.99682947638951</v>
      </c>
      <c r="X17" s="63">
        <f t="shared" ref="X17:Y17" si="26">X25*X57/1000</f>
        <v>344.86661873374294</v>
      </c>
      <c r="Y17" s="63">
        <f t="shared" si="26"/>
        <v>344.7234958628315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11.795916654156843</v>
      </c>
      <c r="C20" s="181">
        <v>12.078267465255482</v>
      </c>
      <c r="D20" s="181">
        <v>12.485821224729714</v>
      </c>
      <c r="E20" s="181">
        <v>12.90508686932349</v>
      </c>
      <c r="F20" s="181">
        <v>13.34217272253956</v>
      </c>
      <c r="G20" s="181">
        <v>13.929578485438219</v>
      </c>
      <c r="H20" s="181">
        <v>14.776319550600952</v>
      </c>
      <c r="I20" s="181">
        <v>15.808058874602777</v>
      </c>
      <c r="J20" s="181">
        <v>16.539735919289996</v>
      </c>
      <c r="K20" s="181">
        <v>16.699250746994462</v>
      </c>
      <c r="L20" s="181">
        <v>17.379528603788252</v>
      </c>
      <c r="M20" s="181">
        <v>17.880462711982648</v>
      </c>
      <c r="N20" s="181">
        <v>18.408590030367836</v>
      </c>
      <c r="O20" s="181">
        <v>19.02489288686245</v>
      </c>
      <c r="P20" s="181">
        <v>19.670977399497737</v>
      </c>
      <c r="Q20" s="181">
        <v>20.371590955441945</v>
      </c>
      <c r="R20" s="181">
        <v>21.056702237201968</v>
      </c>
      <c r="S20" s="181">
        <v>21.76974103440055</v>
      </c>
      <c r="T20" s="181">
        <v>22.538904258123306</v>
      </c>
      <c r="U20" s="181">
        <v>23.334900035776503</v>
      </c>
      <c r="V20" s="181">
        <v>24.132603860874525</v>
      </c>
      <c r="W20" s="181">
        <v>24.923486271925576</v>
      </c>
      <c r="X20" s="181">
        <v>25.466050986420928</v>
      </c>
      <c r="Y20" s="181">
        <v>25.869938303839248</v>
      </c>
      <c r="DA20" s="190" t="s">
        <v>922</v>
      </c>
    </row>
    <row r="21" spans="1:105" ht="12" customHeight="1" x14ac:dyDescent="0.25">
      <c r="A21" s="131" t="s">
        <v>156</v>
      </c>
      <c r="B21" s="181">
        <v>413.33851011849896</v>
      </c>
      <c r="C21" s="181">
        <v>428.32278452399026</v>
      </c>
      <c r="D21" s="181">
        <v>445.33260265224976</v>
      </c>
      <c r="E21" s="181">
        <v>468.17682712664788</v>
      </c>
      <c r="F21" s="181">
        <v>487.3360576746839</v>
      </c>
      <c r="G21" s="181">
        <v>506.82333094959733</v>
      </c>
      <c r="H21" s="181">
        <v>527.87086296872951</v>
      </c>
      <c r="I21" s="181">
        <v>546.77250989114282</v>
      </c>
      <c r="J21" s="181">
        <v>562.58877139755111</v>
      </c>
      <c r="K21" s="181">
        <v>583.69073261785195</v>
      </c>
      <c r="L21" s="181">
        <v>604.74691089474049</v>
      </c>
      <c r="M21" s="181">
        <v>625.44731444616798</v>
      </c>
      <c r="N21" s="181">
        <v>654.29862063163387</v>
      </c>
      <c r="O21" s="181">
        <v>683.94147726827759</v>
      </c>
      <c r="P21" s="181">
        <v>718.49631442997281</v>
      </c>
      <c r="Q21" s="181">
        <v>758.31095359930657</v>
      </c>
      <c r="R21" s="181">
        <v>797.63352153938979</v>
      </c>
      <c r="S21" s="181">
        <v>837.71791574981967</v>
      </c>
      <c r="T21" s="181">
        <v>877.49890967229339</v>
      </c>
      <c r="U21" s="181">
        <v>916.55471596869234</v>
      </c>
      <c r="V21" s="181">
        <v>954.25986690133743</v>
      </c>
      <c r="W21" s="181">
        <v>990.21990949452902</v>
      </c>
      <c r="X21" s="181">
        <v>1011.2818301848018</v>
      </c>
      <c r="Y21" s="181">
        <v>1028.4811561244537</v>
      </c>
      <c r="DA21" s="190" t="s">
        <v>923</v>
      </c>
    </row>
    <row r="22" spans="1:105" ht="12" customHeight="1" x14ac:dyDescent="0.25">
      <c r="A22" s="131" t="s">
        <v>160</v>
      </c>
      <c r="B22" s="181">
        <v>4.6496946113968933</v>
      </c>
      <c r="C22" s="181">
        <v>4.7790096038365446</v>
      </c>
      <c r="D22" s="181">
        <v>4.965752276505544</v>
      </c>
      <c r="E22" s="181">
        <v>5.1940158370206788</v>
      </c>
      <c r="F22" s="181">
        <v>5.4382955598659777</v>
      </c>
      <c r="G22" s="181">
        <v>5.7423603887984642</v>
      </c>
      <c r="H22" s="181">
        <v>6.1396897494074052</v>
      </c>
      <c r="I22" s="181">
        <v>6.6123759343501964</v>
      </c>
      <c r="J22" s="181">
        <v>7.0087727898862386</v>
      </c>
      <c r="K22" s="181">
        <v>7.1910000306741289</v>
      </c>
      <c r="L22" s="181">
        <v>7.6096233837327993</v>
      </c>
      <c r="M22" s="181">
        <v>7.9527047036077194</v>
      </c>
      <c r="N22" s="181">
        <v>8.3428481906602574</v>
      </c>
      <c r="O22" s="181">
        <v>8.7369565152146045</v>
      </c>
      <c r="P22" s="181">
        <v>9.2990971436739169</v>
      </c>
      <c r="Q22" s="181">
        <v>9.9414616458671787</v>
      </c>
      <c r="R22" s="181">
        <v>10.348042393605507</v>
      </c>
      <c r="S22" s="181">
        <v>10.774690121451961</v>
      </c>
      <c r="T22" s="181">
        <v>11.215646182123864</v>
      </c>
      <c r="U22" s="181">
        <v>11.643443588530516</v>
      </c>
      <c r="V22" s="181">
        <v>12.020699134215167</v>
      </c>
      <c r="W22" s="181">
        <v>12.296644139684314</v>
      </c>
      <c r="X22" s="181">
        <v>12.50447761854857</v>
      </c>
      <c r="Y22" s="181">
        <v>12.672503210916604</v>
      </c>
      <c r="DA22" s="190" t="s">
        <v>924</v>
      </c>
    </row>
    <row r="23" spans="1:105" ht="12" customHeight="1" x14ac:dyDescent="0.25">
      <c r="A23" s="131" t="s">
        <v>172</v>
      </c>
      <c r="B23" s="181">
        <v>83.672807713535605</v>
      </c>
      <c r="C23" s="181">
        <v>86.783866589247879</v>
      </c>
      <c r="D23" s="181">
        <v>90.141341920525008</v>
      </c>
      <c r="E23" s="181">
        <v>92.834968033193974</v>
      </c>
      <c r="F23" s="181">
        <v>95.32882478395544</v>
      </c>
      <c r="G23" s="181">
        <v>97.896667737699602</v>
      </c>
      <c r="H23" s="181">
        <v>100.72272769240389</v>
      </c>
      <c r="I23" s="181">
        <v>103.76336576899324</v>
      </c>
      <c r="J23" s="181">
        <v>106.48492238761985</v>
      </c>
      <c r="K23" s="181">
        <v>109.14404630483695</v>
      </c>
      <c r="L23" s="181">
        <v>112.19258473481834</v>
      </c>
      <c r="M23" s="181">
        <v>114.78887749472902</v>
      </c>
      <c r="N23" s="181">
        <v>117.90206538006817</v>
      </c>
      <c r="O23" s="181">
        <v>121.24043416906768</v>
      </c>
      <c r="P23" s="181">
        <v>125.18975879065104</v>
      </c>
      <c r="Q23" s="181">
        <v>130.14631893691455</v>
      </c>
      <c r="R23" s="181">
        <v>135.05092923725789</v>
      </c>
      <c r="S23" s="181">
        <v>140.07165971802829</v>
      </c>
      <c r="T23" s="181">
        <v>145.07166434446708</v>
      </c>
      <c r="U23" s="181">
        <v>150.0075739905908</v>
      </c>
      <c r="V23" s="181">
        <v>154.82529169885157</v>
      </c>
      <c r="W23" s="181">
        <v>159.50637996455947</v>
      </c>
      <c r="X23" s="181">
        <v>162.07962335991439</v>
      </c>
      <c r="Y23" s="181">
        <v>164.2553108092896</v>
      </c>
      <c r="DA23" s="190" t="s">
        <v>925</v>
      </c>
    </row>
    <row r="24" spans="1:105" ht="12" customHeight="1" x14ac:dyDescent="0.25">
      <c r="A24" s="60" t="s">
        <v>159</v>
      </c>
      <c r="B24" s="36">
        <v>1.7280068213259223</v>
      </c>
      <c r="C24" s="36">
        <v>1.9072438628198576</v>
      </c>
      <c r="D24" s="36">
        <v>2.1345722174385613</v>
      </c>
      <c r="E24" s="36">
        <v>2.3952568643288261</v>
      </c>
      <c r="F24" s="36">
        <v>2.6914314741820129</v>
      </c>
      <c r="G24" s="36">
        <v>3.0216656066273564</v>
      </c>
      <c r="H24" s="36">
        <v>3.385275830033446</v>
      </c>
      <c r="I24" s="36">
        <v>3.7573169184905888</v>
      </c>
      <c r="J24" s="36">
        <v>4.0402176606072322</v>
      </c>
      <c r="K24" s="36">
        <v>4.1603590717174974</v>
      </c>
      <c r="L24" s="36">
        <v>4.3616132316249194</v>
      </c>
      <c r="M24" s="36">
        <v>4.5023587890097003</v>
      </c>
      <c r="N24" s="36">
        <v>4.6529067292177233</v>
      </c>
      <c r="O24" s="36">
        <v>4.8062909591297363</v>
      </c>
      <c r="P24" s="36">
        <v>4.9745524527823726</v>
      </c>
      <c r="Q24" s="36">
        <v>5.1717003279857616</v>
      </c>
      <c r="R24" s="36">
        <v>5.4641553105778629</v>
      </c>
      <c r="S24" s="36">
        <v>5.7525882115199867</v>
      </c>
      <c r="T24" s="36">
        <v>6.1063559484171366</v>
      </c>
      <c r="U24" s="36">
        <v>6.526568501517815</v>
      </c>
      <c r="V24" s="36">
        <v>6.9275024153337768</v>
      </c>
      <c r="W24" s="36">
        <v>7.2884298904813463</v>
      </c>
      <c r="X24" s="36">
        <v>7.6022508354965872</v>
      </c>
      <c r="Y24" s="36">
        <v>7.874027552155332</v>
      </c>
      <c r="DA24" s="89" t="s">
        <v>926</v>
      </c>
    </row>
    <row r="25" spans="1:105" ht="12" customHeight="1" x14ac:dyDescent="0.25">
      <c r="A25" s="62" t="s">
        <v>157</v>
      </c>
      <c r="B25" s="38">
        <v>329.0819422825553</v>
      </c>
      <c r="C25" s="38">
        <v>354.5848124496386</v>
      </c>
      <c r="D25" s="38">
        <v>373.38205254071676</v>
      </c>
      <c r="E25" s="38">
        <v>400.3921785386446</v>
      </c>
      <c r="F25" s="38">
        <v>452.75338118062098</v>
      </c>
      <c r="G25" s="38">
        <v>535.06844421064625</v>
      </c>
      <c r="H25" s="38">
        <v>621.29553112469478</v>
      </c>
      <c r="I25" s="38">
        <v>763.46801209238208</v>
      </c>
      <c r="J25" s="38">
        <v>862.78631367009564</v>
      </c>
      <c r="K25" s="38">
        <v>942.1710158159508</v>
      </c>
      <c r="L25" s="38">
        <v>1016.8241309589695</v>
      </c>
      <c r="M25" s="38">
        <v>1082.9422608856089</v>
      </c>
      <c r="N25" s="38">
        <v>1191.5820590245098</v>
      </c>
      <c r="O25" s="38">
        <v>1295.212517430961</v>
      </c>
      <c r="P25" s="38">
        <v>1422.3370153216947</v>
      </c>
      <c r="Q25" s="38">
        <v>1600.2761795434503</v>
      </c>
      <c r="R25" s="38">
        <v>1692.1662444729429</v>
      </c>
      <c r="S25" s="38">
        <v>1785.4228308129545</v>
      </c>
      <c r="T25" s="38">
        <v>1876.7645090075023</v>
      </c>
      <c r="U25" s="38">
        <v>1964.6848151787449</v>
      </c>
      <c r="V25" s="38">
        <v>2047.0577785003102</v>
      </c>
      <c r="W25" s="38">
        <v>2123.0343842407315</v>
      </c>
      <c r="X25" s="38">
        <v>2174.3466667928515</v>
      </c>
      <c r="Y25" s="38">
        <v>2217.3620866959768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0.79397896312923066</v>
      </c>
      <c r="D28" s="182">
        <v>0.93365361784453782</v>
      </c>
      <c r="E28" s="182">
        <v>0.96024655011812321</v>
      </c>
      <c r="F28" s="182">
        <v>0.99336872515698182</v>
      </c>
      <c r="G28" s="182">
        <v>1.1594234264701555</v>
      </c>
      <c r="H28" s="182">
        <v>1.434938588297241</v>
      </c>
      <c r="I28" s="182">
        <v>1.6365743636427386</v>
      </c>
      <c r="J28" s="182">
        <v>1.3536202028765647</v>
      </c>
      <c r="K28" s="182">
        <v>0.79905001774270445</v>
      </c>
      <c r="L28" s="182">
        <v>1.3379026797566738</v>
      </c>
      <c r="M28" s="182">
        <v>1.1771602400998269</v>
      </c>
      <c r="N28" s="182">
        <v>1.2234809083113269</v>
      </c>
      <c r="O28" s="182">
        <v>1.3313249359589854</v>
      </c>
      <c r="P28" s="182">
        <v>1.3813314165534223</v>
      </c>
      <c r="Q28" s="182">
        <v>1.4566573554953521</v>
      </c>
      <c r="R28" s="182">
        <v>1.4625402294967031</v>
      </c>
      <c r="S28" s="182">
        <v>1.5124577847463776</v>
      </c>
      <c r="T28" s="182">
        <v>1.5911942524263587</v>
      </c>
      <c r="U28" s="182">
        <v>1.5899747407824272</v>
      </c>
      <c r="V28" s="182">
        <v>1.73135744294256</v>
      </c>
      <c r="W28" s="182">
        <v>1.7511289611691723</v>
      </c>
      <c r="X28" s="182">
        <v>1.5359334396523359</v>
      </c>
      <c r="Y28" s="182">
        <v>1.5633107438884757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66.83528802167757</v>
      </c>
      <c r="D29" s="182">
        <v>71.092752481760726</v>
      </c>
      <c r="E29" s="182">
        <v>79.255152328893075</v>
      </c>
      <c r="F29" s="182">
        <v>77.998360107932569</v>
      </c>
      <c r="G29" s="182">
        <v>80.859126194904491</v>
      </c>
      <c r="H29" s="182">
        <v>85.061129076152213</v>
      </c>
      <c r="I29" s="182">
        <v>85.670701679822173</v>
      </c>
      <c r="J29" s="182">
        <v>82.651549528085866</v>
      </c>
      <c r="K29" s="182">
        <v>92.194713702061563</v>
      </c>
      <c r="L29" s="182">
        <v>100.31133060578162</v>
      </c>
      <c r="M29" s="182">
        <v>98.698763659359997</v>
      </c>
      <c r="N29" s="182">
        <v>109.71043238037032</v>
      </c>
      <c r="O29" s="182">
        <v>114.70398571279588</v>
      </c>
      <c r="P29" s="182">
        <v>120.22553884151739</v>
      </c>
      <c r="Q29" s="182">
        <v>122.46618869741962</v>
      </c>
      <c r="R29" s="182">
        <v>131.51728164214478</v>
      </c>
      <c r="S29" s="182">
        <v>140.39572481621144</v>
      </c>
      <c r="T29" s="182">
        <v>138.47975758183372</v>
      </c>
      <c r="U29" s="182">
        <v>148.76623867676926</v>
      </c>
      <c r="V29" s="182">
        <v>152.40913664544098</v>
      </c>
      <c r="W29" s="182">
        <v>156.18558143470898</v>
      </c>
      <c r="X29" s="182">
        <v>143.52810938769244</v>
      </c>
      <c r="Y29" s="182">
        <v>148.71660758179667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0.85543965326438265</v>
      </c>
      <c r="D30" s="182">
        <v>0.93173085559034874</v>
      </c>
      <c r="E30" s="182">
        <v>0.99260530875169461</v>
      </c>
      <c r="F30" s="182">
        <v>1.02847781013093</v>
      </c>
      <c r="G30" s="182">
        <v>1.1086350902341282</v>
      </c>
      <c r="H30" s="182">
        <v>1.222801031435921</v>
      </c>
      <c r="I30" s="182">
        <v>1.3281258382071739</v>
      </c>
      <c r="J30" s="182">
        <v>1.3281277111263909</v>
      </c>
      <c r="K30" s="182">
        <v>1.1748325495395848</v>
      </c>
      <c r="L30" s="182">
        <v>1.4471011631896005</v>
      </c>
      <c r="M30" s="182">
        <v>1.4517164101090483</v>
      </c>
      <c r="N30" s="182">
        <v>1.612944518488459</v>
      </c>
      <c r="O30" s="182">
        <v>1.722234162761521</v>
      </c>
      <c r="P30" s="182">
        <v>1.8902683395857034</v>
      </c>
      <c r="Q30" s="182">
        <v>1.8171970517328475</v>
      </c>
      <c r="R30" s="182">
        <v>1.8536819109279286</v>
      </c>
      <c r="S30" s="182">
        <v>1.8783641379555025</v>
      </c>
      <c r="T30" s="182">
        <v>2.0539005791603611</v>
      </c>
      <c r="U30" s="182">
        <v>2.1500315691681742</v>
      </c>
      <c r="V30" s="182">
        <v>2.2675238852703536</v>
      </c>
      <c r="W30" s="182">
        <v>2.0931420572019945</v>
      </c>
      <c r="X30" s="182">
        <v>2.0615153897921843</v>
      </c>
      <c r="Y30" s="182">
        <v>2.0463897303235363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10.715503225626151</v>
      </c>
      <c r="D31" s="182">
        <v>11.122101105273146</v>
      </c>
      <c r="E31" s="182">
        <v>10.621807401928578</v>
      </c>
      <c r="F31" s="182">
        <v>10.589038718947663</v>
      </c>
      <c r="G31" s="182">
        <v>10.83354333408532</v>
      </c>
      <c r="H31" s="182">
        <v>11.26587057861299</v>
      </c>
      <c r="I31" s="182">
        <v>11.658226434480227</v>
      </c>
      <c r="J31" s="182">
        <v>11.520667453611594</v>
      </c>
      <c r="K31" s="182">
        <v>11.643580852370533</v>
      </c>
      <c r="L31" s="182">
        <v>12.222245629882153</v>
      </c>
      <c r="M31" s="182">
        <v>13.311795985536833</v>
      </c>
      <c r="N31" s="182">
        <v>14.23528899061229</v>
      </c>
      <c r="O31" s="182">
        <v>13.960176190928095</v>
      </c>
      <c r="P31" s="182">
        <v>14.538363340531021</v>
      </c>
      <c r="Q31" s="182">
        <v>15.790103480348833</v>
      </c>
      <c r="R31" s="182">
        <v>16.170480878956326</v>
      </c>
      <c r="S31" s="182">
        <v>16.678956915250623</v>
      </c>
      <c r="T31" s="182">
        <v>16.520672080050389</v>
      </c>
      <c r="U31" s="182">
        <v>16.579490498494238</v>
      </c>
      <c r="V31" s="182">
        <v>17.039963338142911</v>
      </c>
      <c r="W31" s="182">
        <v>17.992884251244732</v>
      </c>
      <c r="X31" s="182">
        <v>16.808532385967197</v>
      </c>
      <c r="Y31" s="182">
        <v>16.135863640303285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0.22845491723581501</v>
      </c>
      <c r="D32" s="41">
        <v>0.28208479056815072</v>
      </c>
      <c r="E32" s="41">
        <v>0.32160290540288594</v>
      </c>
      <c r="F32" s="41">
        <v>0.3639480899174603</v>
      </c>
      <c r="G32" s="41">
        <v>0.40563426226144594</v>
      </c>
      <c r="H32" s="41">
        <v>0.44749524112826444</v>
      </c>
      <c r="I32" s="41">
        <v>0.46536581104597419</v>
      </c>
      <c r="J32" s="41">
        <v>0.38672743349469085</v>
      </c>
      <c r="K32" s="41">
        <v>0.23565187332729876</v>
      </c>
      <c r="L32" s="41">
        <v>0.32976318494232615</v>
      </c>
      <c r="M32" s="41">
        <v>0.28371589269858255</v>
      </c>
      <c r="N32" s="41">
        <v>0.30960693839269648</v>
      </c>
      <c r="O32" s="41">
        <v>0.33034237194883698</v>
      </c>
      <c r="P32" s="41">
        <v>0.3651329966201553</v>
      </c>
      <c r="Q32" s="41">
        <v>0.41617361900117711</v>
      </c>
      <c r="R32" s="41">
        <v>0.5209098998279158</v>
      </c>
      <c r="S32" s="41">
        <v>0.57051769151027454</v>
      </c>
      <c r="T32" s="41">
        <v>0.67537064230003541</v>
      </c>
      <c r="U32" s="41">
        <v>0.78416064301813826</v>
      </c>
      <c r="V32" s="41">
        <v>0.80656817607740727</v>
      </c>
      <c r="W32" s="41">
        <v>0.80842271627583351</v>
      </c>
      <c r="X32" s="41">
        <v>0.77918675606121468</v>
      </c>
      <c r="Y32" s="41">
        <v>0.65850415015343611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91.319258623594351</v>
      </c>
      <c r="D33" s="42">
        <v>84.613628547589201</v>
      </c>
      <c r="E33" s="42">
        <v>92.826514454438893</v>
      </c>
      <c r="F33" s="42">
        <v>118.17759109848743</v>
      </c>
      <c r="G33" s="42">
        <v>148.13145148653632</v>
      </c>
      <c r="H33" s="42">
        <v>177.54634553764288</v>
      </c>
      <c r="I33" s="42">
        <v>226.78610951527651</v>
      </c>
      <c r="J33" s="42">
        <v>192.14481603215245</v>
      </c>
      <c r="K33" s="42">
        <v>197.56229324434253</v>
      </c>
      <c r="L33" s="42">
        <v>222.784566629555</v>
      </c>
      <c r="M33" s="42">
        <v>243.6644754642823</v>
      </c>
      <c r="N33" s="42">
        <v>335.42590765417742</v>
      </c>
      <c r="O33" s="42">
        <v>295.77527443860367</v>
      </c>
      <c r="P33" s="42">
        <v>324.68679113507619</v>
      </c>
      <c r="Q33" s="42">
        <v>400.72373085131062</v>
      </c>
      <c r="R33" s="42">
        <v>335.55454039377491</v>
      </c>
      <c r="S33" s="42">
        <v>428.68249399418892</v>
      </c>
      <c r="T33" s="42">
        <v>387.11695263315141</v>
      </c>
      <c r="U33" s="42">
        <v>412.60709730631879</v>
      </c>
      <c r="V33" s="42">
        <v>483.09669417287591</v>
      </c>
      <c r="W33" s="42">
        <v>411.53114613419621</v>
      </c>
      <c r="X33" s="42">
        <v>479.99477654630891</v>
      </c>
      <c r="Y33" s="42">
        <v>430.13237253627676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0.51162815203059075</v>
      </c>
      <c r="D36" s="182">
        <v>0.52609985837030671</v>
      </c>
      <c r="E36" s="182">
        <v>0.54098090552434641</v>
      </c>
      <c r="F36" s="182">
        <v>0.55628287194091186</v>
      </c>
      <c r="G36" s="182">
        <v>0.57201766357149708</v>
      </c>
      <c r="H36" s="182">
        <v>0.58819752313450735</v>
      </c>
      <c r="I36" s="182">
        <v>0.60483503964091234</v>
      </c>
      <c r="J36" s="182">
        <v>0.62194315818934598</v>
      </c>
      <c r="K36" s="182">
        <v>0.639535190038238</v>
      </c>
      <c r="L36" s="182">
        <v>0.65762482296288383</v>
      </c>
      <c r="M36" s="182">
        <v>0.67622613190543035</v>
      </c>
      <c r="N36" s="182">
        <v>0.69535358992613894</v>
      </c>
      <c r="O36" s="182">
        <v>0.71502207946437224</v>
      </c>
      <c r="P36" s="182">
        <v>0.73524690391813508</v>
      </c>
      <c r="Q36" s="182">
        <v>0.75604379955114354</v>
      </c>
      <c r="R36" s="182">
        <v>0.7774289477366807</v>
      </c>
      <c r="S36" s="182">
        <v>0.79941898754779572</v>
      </c>
      <c r="T36" s="182">
        <v>0.82203102870360212</v>
      </c>
      <c r="U36" s="182">
        <v>0.79397896312923066</v>
      </c>
      <c r="V36" s="182">
        <v>0.93365361784453782</v>
      </c>
      <c r="W36" s="182">
        <v>0.96024655011812143</v>
      </c>
      <c r="X36" s="182">
        <v>0.9933687251569836</v>
      </c>
      <c r="Y36" s="182">
        <v>1.1594234264701555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51.851013616186265</v>
      </c>
      <c r="D37" s="182">
        <v>54.08293435350123</v>
      </c>
      <c r="E37" s="182">
        <v>56.410927854494901</v>
      </c>
      <c r="F37" s="182">
        <v>58.839129559896548</v>
      </c>
      <c r="G37" s="182">
        <v>61.371852919991056</v>
      </c>
      <c r="H37" s="182">
        <v>64.013597057020093</v>
      </c>
      <c r="I37" s="182">
        <v>66.769054757408867</v>
      </c>
      <c r="J37" s="182">
        <v>66.83528802167757</v>
      </c>
      <c r="K37" s="182">
        <v>71.092752481760726</v>
      </c>
      <c r="L37" s="182">
        <v>79.255152328893018</v>
      </c>
      <c r="M37" s="182">
        <v>77.998360107932513</v>
      </c>
      <c r="N37" s="182">
        <v>80.859126194904434</v>
      </c>
      <c r="O37" s="182">
        <v>85.061129076152156</v>
      </c>
      <c r="P37" s="182">
        <v>85.670701679822173</v>
      </c>
      <c r="Q37" s="182">
        <v>82.651549528085866</v>
      </c>
      <c r="R37" s="182">
        <v>92.194713702061563</v>
      </c>
      <c r="S37" s="182">
        <v>100.31133060578156</v>
      </c>
      <c r="T37" s="182">
        <v>98.698763659359997</v>
      </c>
      <c r="U37" s="182">
        <v>109.71043238037032</v>
      </c>
      <c r="V37" s="182">
        <v>114.703985712796</v>
      </c>
      <c r="W37" s="182">
        <v>120.22553884151739</v>
      </c>
      <c r="X37" s="182">
        <v>122.46618869741962</v>
      </c>
      <c r="Y37" s="182">
        <v>131.51728164214478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0.72612466082473137</v>
      </c>
      <c r="D38" s="182">
        <v>0.74498818292134938</v>
      </c>
      <c r="E38" s="182">
        <v>0.76434174823655976</v>
      </c>
      <c r="F38" s="182">
        <v>0.78419808728563112</v>
      </c>
      <c r="G38" s="182">
        <v>0.80457026130164166</v>
      </c>
      <c r="H38" s="182">
        <v>0.82547167082698003</v>
      </c>
      <c r="I38" s="182">
        <v>0.85543965326438265</v>
      </c>
      <c r="J38" s="182">
        <v>0.93173085559034874</v>
      </c>
      <c r="K38" s="182">
        <v>0.9926053087516955</v>
      </c>
      <c r="L38" s="182">
        <v>1.02847781013093</v>
      </c>
      <c r="M38" s="182">
        <v>1.1086350902341282</v>
      </c>
      <c r="N38" s="182">
        <v>1.222801031435921</v>
      </c>
      <c r="O38" s="182">
        <v>1.3281258382071748</v>
      </c>
      <c r="P38" s="182">
        <v>1.3281277111263901</v>
      </c>
      <c r="Q38" s="182">
        <v>1.1748325495395857</v>
      </c>
      <c r="R38" s="182">
        <v>1.4471011631896005</v>
      </c>
      <c r="S38" s="182">
        <v>1.4517164101090483</v>
      </c>
      <c r="T38" s="182">
        <v>1.6129445184884581</v>
      </c>
      <c r="U38" s="182">
        <v>1.7222341627615219</v>
      </c>
      <c r="V38" s="182">
        <v>1.8902683395857025</v>
      </c>
      <c r="W38" s="182">
        <v>1.8171970517328475</v>
      </c>
      <c r="X38" s="182">
        <v>1.8536819109279286</v>
      </c>
      <c r="Y38" s="182">
        <v>1.8783641379555025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7.6044443499138765</v>
      </c>
      <c r="D39" s="182">
        <v>7.7646257739960163</v>
      </c>
      <c r="E39" s="182">
        <v>7.9281812892596122</v>
      </c>
      <c r="F39" s="182">
        <v>8.0951819681861963</v>
      </c>
      <c r="G39" s="182">
        <v>8.2657003803411584</v>
      </c>
      <c r="H39" s="182">
        <v>8.4398106239086985</v>
      </c>
      <c r="I39" s="182">
        <v>8.617588357890881</v>
      </c>
      <c r="J39" s="182">
        <v>8.7991108349849867</v>
      </c>
      <c r="K39" s="182">
        <v>8.9844569351534318</v>
      </c>
      <c r="L39" s="182">
        <v>9.1737071999007611</v>
      </c>
      <c r="M39" s="182">
        <v>10.715503225626151</v>
      </c>
      <c r="N39" s="182">
        <v>11.122101105273146</v>
      </c>
      <c r="O39" s="182">
        <v>10.621807401928592</v>
      </c>
      <c r="P39" s="182">
        <v>10.589038718947648</v>
      </c>
      <c r="Q39" s="182">
        <v>10.833543334085334</v>
      </c>
      <c r="R39" s="182">
        <v>11.265870578612976</v>
      </c>
      <c r="S39" s="182">
        <v>11.658226434480241</v>
      </c>
      <c r="T39" s="182">
        <v>11.520667453611594</v>
      </c>
      <c r="U39" s="182">
        <v>11.643580852370519</v>
      </c>
      <c r="V39" s="182">
        <v>12.222245629882138</v>
      </c>
      <c r="W39" s="182">
        <v>13.311795985536833</v>
      </c>
      <c r="X39" s="182">
        <v>14.235288990612275</v>
      </c>
      <c r="Y39" s="182">
        <v>13.960176190928081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4.9217875741879746E-2</v>
      </c>
      <c r="D40" s="41">
        <v>5.4756435949447013E-2</v>
      </c>
      <c r="E40" s="41">
        <v>6.0918258512621115E-2</v>
      </c>
      <c r="F40" s="41">
        <v>6.7773480064273528E-2</v>
      </c>
      <c r="G40" s="41">
        <v>7.5400129816102446E-2</v>
      </c>
      <c r="H40" s="41">
        <v>8.3885017722174826E-2</v>
      </c>
      <c r="I40" s="41">
        <v>9.3324722588831399E-2</v>
      </c>
      <c r="J40" s="41">
        <v>0.10382669137804701</v>
      </c>
      <c r="K40" s="41">
        <v>0.11551046221703309</v>
      </c>
      <c r="L40" s="41">
        <v>0.12850902503490413</v>
      </c>
      <c r="M40" s="41">
        <v>0.14297033531380166</v>
      </c>
      <c r="N40" s="41">
        <v>0.15905899818467351</v>
      </c>
      <c r="O40" s="41">
        <v>0.17695814203682403</v>
      </c>
      <c r="P40" s="41">
        <v>0.19687150296751899</v>
      </c>
      <c r="Q40" s="41">
        <v>0.21902574379778805</v>
      </c>
      <c r="R40" s="41">
        <v>0.22845491723581457</v>
      </c>
      <c r="S40" s="41">
        <v>0.28208479056815072</v>
      </c>
      <c r="T40" s="41">
        <v>0.3216029054028855</v>
      </c>
      <c r="U40" s="41">
        <v>0.36394808991745986</v>
      </c>
      <c r="V40" s="41">
        <v>0.4056342622614455</v>
      </c>
      <c r="W40" s="41">
        <v>0.447495241128264</v>
      </c>
      <c r="X40" s="41">
        <v>0.46536581104597374</v>
      </c>
      <c r="Y40" s="41">
        <v>0.38672743349469219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65.816388456511049</v>
      </c>
      <c r="D41" s="42">
        <v>65.816388456511049</v>
      </c>
      <c r="E41" s="42">
        <v>65.816388456511049</v>
      </c>
      <c r="F41" s="42">
        <v>65.816388456511049</v>
      </c>
      <c r="G41" s="42">
        <v>65.816388456511049</v>
      </c>
      <c r="H41" s="42">
        <v>91.319258623594351</v>
      </c>
      <c r="I41" s="42">
        <v>84.613628547589201</v>
      </c>
      <c r="J41" s="42">
        <v>92.826514454438893</v>
      </c>
      <c r="K41" s="42">
        <v>118.17759109848748</v>
      </c>
      <c r="L41" s="42">
        <v>148.13145148653632</v>
      </c>
      <c r="M41" s="42">
        <v>177.54634553764299</v>
      </c>
      <c r="N41" s="42">
        <v>226.78610951527662</v>
      </c>
      <c r="O41" s="42">
        <v>192.14481603215245</v>
      </c>
      <c r="P41" s="42">
        <v>197.56229324434253</v>
      </c>
      <c r="Q41" s="42">
        <v>222.784566629555</v>
      </c>
      <c r="R41" s="42">
        <v>243.6644754642823</v>
      </c>
      <c r="S41" s="42">
        <v>335.42590765417708</v>
      </c>
      <c r="T41" s="42">
        <v>295.77527443860367</v>
      </c>
      <c r="U41" s="42">
        <v>324.68679113507596</v>
      </c>
      <c r="V41" s="42">
        <v>400.72373085131085</v>
      </c>
      <c r="W41" s="42">
        <v>335.55454039377491</v>
      </c>
      <c r="X41" s="42">
        <v>428.68249399418892</v>
      </c>
      <c r="Y41" s="42">
        <v>387.11695263315141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8759.9999999999982</v>
      </c>
      <c r="C44" s="184">
        <v>8760</v>
      </c>
      <c r="D44" s="184">
        <v>8759.9999999999982</v>
      </c>
      <c r="E44" s="184">
        <v>8760.0000000000018</v>
      </c>
      <c r="F44" s="184">
        <v>8759.9999999999964</v>
      </c>
      <c r="G44" s="184">
        <v>8760</v>
      </c>
      <c r="H44" s="184">
        <v>8760</v>
      </c>
      <c r="I44" s="184">
        <v>8760</v>
      </c>
      <c r="J44" s="184">
        <v>8760</v>
      </c>
      <c r="K44" s="184">
        <v>8760.0000000000018</v>
      </c>
      <c r="L44" s="184">
        <v>8759.9999999999982</v>
      </c>
      <c r="M44" s="184">
        <v>8760</v>
      </c>
      <c r="N44" s="184">
        <v>8760</v>
      </c>
      <c r="O44" s="184">
        <v>8760</v>
      </c>
      <c r="P44" s="184">
        <v>8759.9999999999982</v>
      </c>
      <c r="Q44" s="184">
        <v>8759.9999999999982</v>
      </c>
      <c r="R44" s="184">
        <v>8760.0000000000018</v>
      </c>
      <c r="S44" s="184">
        <v>8760</v>
      </c>
      <c r="T44" s="184">
        <v>8760</v>
      </c>
      <c r="U44" s="184">
        <v>8760.0000000000018</v>
      </c>
      <c r="V44" s="184">
        <v>8760</v>
      </c>
      <c r="W44" s="184">
        <v>8760</v>
      </c>
      <c r="X44" s="184">
        <v>8760</v>
      </c>
      <c r="Y44" s="184">
        <v>8760</v>
      </c>
      <c r="DA44" s="193" t="s">
        <v>940</v>
      </c>
    </row>
    <row r="45" spans="1:105" ht="12" customHeight="1" x14ac:dyDescent="0.25">
      <c r="A45" s="131" t="s">
        <v>6</v>
      </c>
      <c r="B45" s="184">
        <v>3880.2538156234937</v>
      </c>
      <c r="C45" s="184">
        <v>3885.8598655138799</v>
      </c>
      <c r="D45" s="184">
        <v>3888.1274802968492</v>
      </c>
      <c r="E45" s="184">
        <v>3891.3647467896521</v>
      </c>
      <c r="F45" s="184">
        <v>3894.1023943822443</v>
      </c>
      <c r="G45" s="184">
        <v>3899.0462060174546</v>
      </c>
      <c r="H45" s="184">
        <v>3903.1304922349277</v>
      </c>
      <c r="I45" s="184">
        <v>3906.5184848309227</v>
      </c>
      <c r="J45" s="184">
        <v>3916.6570284065342</v>
      </c>
      <c r="K45" s="184">
        <v>3926.5748908492915</v>
      </c>
      <c r="L45" s="184">
        <v>3932.2370713319392</v>
      </c>
      <c r="M45" s="184">
        <v>3919.0595425791321</v>
      </c>
      <c r="N45" s="184">
        <v>3901.8890560365226</v>
      </c>
      <c r="O45" s="184">
        <v>3880.5451990868632</v>
      </c>
      <c r="P45" s="184">
        <v>3854.3854945912194</v>
      </c>
      <c r="Q45" s="184">
        <v>3828.7986535134501</v>
      </c>
      <c r="R45" s="184">
        <v>3814.7562938168649</v>
      </c>
      <c r="S45" s="184">
        <v>3905.2848106018955</v>
      </c>
      <c r="T45" s="184">
        <v>3886.6166311243014</v>
      </c>
      <c r="U45" s="184">
        <v>3852.4664658552974</v>
      </c>
      <c r="V45" s="184">
        <v>3829.5582287253637</v>
      </c>
      <c r="W45" s="184">
        <v>3835.7049336303439</v>
      </c>
      <c r="X45" s="184">
        <v>3812.1344402673094</v>
      </c>
      <c r="Y45" s="184">
        <v>3788.5639469042749</v>
      </c>
      <c r="DA45" s="193" t="s">
        <v>941</v>
      </c>
    </row>
    <row r="46" spans="1:105" ht="12" customHeight="1" x14ac:dyDescent="0.25">
      <c r="A46" s="131" t="s">
        <v>5</v>
      </c>
      <c r="B46" s="184">
        <v>2181.0063043798868</v>
      </c>
      <c r="C46" s="184">
        <v>2201.5997687701633</v>
      </c>
      <c r="D46" s="184">
        <v>2220.1738956391873</v>
      </c>
      <c r="E46" s="184">
        <v>2238.9310462817589</v>
      </c>
      <c r="F46" s="184">
        <v>2257.4889262961333</v>
      </c>
      <c r="G46" s="184">
        <v>2277.6740460072911</v>
      </c>
      <c r="H46" s="184">
        <v>2297.0248893479152</v>
      </c>
      <c r="I46" s="184">
        <v>2318.3277217124191</v>
      </c>
      <c r="J46" s="184">
        <v>2339.4464782106038</v>
      </c>
      <c r="K46" s="184">
        <v>2352.5498850209297</v>
      </c>
      <c r="L46" s="184">
        <v>2370.6629200211055</v>
      </c>
      <c r="M46" s="184">
        <v>2382.9599166980433</v>
      </c>
      <c r="N46" s="184">
        <v>2392.8955218512378</v>
      </c>
      <c r="O46" s="184">
        <v>2398.5378166133187</v>
      </c>
      <c r="P46" s="184">
        <v>2414.3979161019915</v>
      </c>
      <c r="Q46" s="184">
        <v>2428.2139221947527</v>
      </c>
      <c r="R46" s="184">
        <v>2430.0489094207919</v>
      </c>
      <c r="S46" s="184">
        <v>2515.9332554128255</v>
      </c>
      <c r="T46" s="184">
        <v>2507.9388238265929</v>
      </c>
      <c r="U46" s="184">
        <v>2483.116256514606</v>
      </c>
      <c r="V46" s="184">
        <v>2493.0930629023878</v>
      </c>
      <c r="W46" s="184">
        <v>2674.8926459686354</v>
      </c>
      <c r="X46" s="184">
        <v>2540.8785095857065</v>
      </c>
      <c r="Y46" s="184">
        <v>2473.8714413942421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8759.9999999999982</v>
      </c>
      <c r="D47" s="184">
        <v>8760</v>
      </c>
      <c r="E47" s="184">
        <v>8759.9999999999945</v>
      </c>
      <c r="F47" s="184">
        <v>8759.9999999999964</v>
      </c>
      <c r="G47" s="184">
        <v>8759.9999999999982</v>
      </c>
      <c r="H47" s="184">
        <v>8760.0000000000018</v>
      </c>
      <c r="I47" s="184">
        <v>8759.9999999999964</v>
      </c>
      <c r="J47" s="184">
        <v>8760.0000000000036</v>
      </c>
      <c r="K47" s="184">
        <v>8759.9999999999964</v>
      </c>
      <c r="L47" s="184">
        <v>8760</v>
      </c>
      <c r="M47" s="184">
        <v>8760.0000000000018</v>
      </c>
      <c r="N47" s="184">
        <v>8760.0000000000036</v>
      </c>
      <c r="O47" s="184">
        <v>8759.9999999999982</v>
      </c>
      <c r="P47" s="184">
        <v>8759.9999999999964</v>
      </c>
      <c r="Q47" s="184">
        <v>8759.9999999999982</v>
      </c>
      <c r="R47" s="184">
        <v>8759.9999999999982</v>
      </c>
      <c r="S47" s="184">
        <v>8759.9999999999964</v>
      </c>
      <c r="T47" s="184">
        <v>8759.9999999999982</v>
      </c>
      <c r="U47" s="184">
        <v>8759.9999999999982</v>
      </c>
      <c r="V47" s="184">
        <v>8759.9999999999982</v>
      </c>
      <c r="W47" s="184">
        <v>8759.9999999999982</v>
      </c>
      <c r="X47" s="184">
        <v>8759.9999999999982</v>
      </c>
      <c r="Y47" s="184">
        <v>8759.9999999999982</v>
      </c>
      <c r="DA47" s="193" t="s">
        <v>943</v>
      </c>
    </row>
    <row r="48" spans="1:105" ht="12" customHeight="1" x14ac:dyDescent="0.25">
      <c r="A48" s="60" t="s">
        <v>4</v>
      </c>
      <c r="B48" s="44">
        <v>919.54097270772138</v>
      </c>
      <c r="C48" s="44">
        <v>923.93351150870092</v>
      </c>
      <c r="D48" s="44">
        <v>927.96190440926478</v>
      </c>
      <c r="E48" s="44">
        <v>931.68317512922351</v>
      </c>
      <c r="F48" s="44">
        <v>935.14183657151989</v>
      </c>
      <c r="G48" s="44">
        <v>938.37331311574326</v>
      </c>
      <c r="H48" s="44">
        <v>941.40626533533191</v>
      </c>
      <c r="I48" s="44">
        <v>944.26421463998292</v>
      </c>
      <c r="J48" s="44">
        <v>946.96670679240526</v>
      </c>
      <c r="K48" s="44">
        <v>949.53016312883665</v>
      </c>
      <c r="L48" s="44">
        <v>951.96851507928557</v>
      </c>
      <c r="M48" s="44">
        <v>953.5179980677417</v>
      </c>
      <c r="N48" s="44">
        <v>954.99773413292121</v>
      </c>
      <c r="O48" s="44">
        <v>956.41382742232418</v>
      </c>
      <c r="P48" s="44">
        <v>957.77161043062176</v>
      </c>
      <c r="Q48" s="44">
        <v>959.07576911645742</v>
      </c>
      <c r="R48" s="44">
        <v>959.26416638491435</v>
      </c>
      <c r="S48" s="44">
        <v>986.71936472934556</v>
      </c>
      <c r="T48" s="44">
        <v>987.42702070240841</v>
      </c>
      <c r="U48" s="44">
        <v>982.77724089964806</v>
      </c>
      <c r="V48" s="44">
        <v>986.7258994568341</v>
      </c>
      <c r="W48" s="44">
        <v>1058.6792331655583</v>
      </c>
      <c r="X48" s="44">
        <v>1008.848629996246</v>
      </c>
      <c r="Y48" s="44">
        <v>983.93332841158986</v>
      </c>
      <c r="DA48" s="95" t="s">
        <v>944</v>
      </c>
    </row>
    <row r="49" spans="1:105" ht="12" customHeight="1" x14ac:dyDescent="0.25">
      <c r="A49" s="62" t="s">
        <v>3</v>
      </c>
      <c r="B49" s="185">
        <v>2097.9117480456325</v>
      </c>
      <c r="C49" s="185">
        <v>2190.1763775586337</v>
      </c>
      <c r="D49" s="185">
        <v>2295.8392318023584</v>
      </c>
      <c r="E49" s="185">
        <v>2388.5447101051577</v>
      </c>
      <c r="F49" s="185">
        <v>2438.0928516211879</v>
      </c>
      <c r="G49" s="185">
        <v>2444.6386069017267</v>
      </c>
      <c r="H49" s="185">
        <v>2448.4803606429555</v>
      </c>
      <c r="I49" s="185">
        <v>2404.4134839975059</v>
      </c>
      <c r="J49" s="185">
        <v>2409.0699285142914</v>
      </c>
      <c r="K49" s="185">
        <v>2433.6314171566942</v>
      </c>
      <c r="L49" s="185">
        <v>2477.7613325565885</v>
      </c>
      <c r="M49" s="185">
        <v>2522.9569417191256</v>
      </c>
      <c r="N49" s="185">
        <v>2540.7152819444991</v>
      </c>
      <c r="O49" s="185">
        <v>2551.0079519908127</v>
      </c>
      <c r="P49" s="185">
        <v>2548.2520950959752</v>
      </c>
      <c r="Q49" s="185">
        <v>2523.0759656259474</v>
      </c>
      <c r="R49" s="185">
        <v>2528.893049439459</v>
      </c>
      <c r="S49" s="185">
        <v>2583.5411255729427</v>
      </c>
      <c r="T49" s="185">
        <v>2590.5110226579982</v>
      </c>
      <c r="U49" s="185">
        <v>2591.880804139244</v>
      </c>
      <c r="V49" s="185">
        <v>2598.0060332651806</v>
      </c>
      <c r="W49" s="185">
        <v>2752.1012693559255</v>
      </c>
      <c r="X49" s="185">
        <v>2667.6067442712906</v>
      </c>
      <c r="Y49" s="185">
        <v>2623.7606258922083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0.76615583519707542</v>
      </c>
      <c r="C52" s="180">
        <v>0.76094438863063485</v>
      </c>
      <c r="D52" s="180">
        <v>0.7545383953645336</v>
      </c>
      <c r="E52" s="180">
        <v>0.74774715135004433</v>
      </c>
      <c r="F52" s="180">
        <v>0.74051896309376686</v>
      </c>
      <c r="G52" s="180">
        <v>0.73203841726613739</v>
      </c>
      <c r="H52" s="180">
        <v>0.72195056321419337</v>
      </c>
      <c r="I52" s="180">
        <v>0.71096682938593037</v>
      </c>
      <c r="J52" s="180">
        <v>0.70169183773757127</v>
      </c>
      <c r="K52" s="180">
        <v>0.69492250549521928</v>
      </c>
      <c r="L52" s="180">
        <v>0.68507064657114591</v>
      </c>
      <c r="M52" s="180">
        <v>0.67584614299431323</v>
      </c>
      <c r="N52" s="180">
        <v>0.6660395794465882</v>
      </c>
      <c r="O52" s="180">
        <v>0.6553089304595765</v>
      </c>
      <c r="P52" s="180">
        <v>0.64378464949439484</v>
      </c>
      <c r="Q52" s="180">
        <v>0.63135269579509168</v>
      </c>
      <c r="R52" s="180">
        <v>0.61933981833826357</v>
      </c>
      <c r="S52" s="180">
        <v>0.60740294264420025</v>
      </c>
      <c r="T52" s="180">
        <v>0.59547283457884048</v>
      </c>
      <c r="U52" s="180">
        <v>0.58695110714582144</v>
      </c>
      <c r="V52" s="180">
        <v>0.57802274935093767</v>
      </c>
      <c r="W52" s="180">
        <v>0.56961186933609975</v>
      </c>
      <c r="X52" s="180">
        <v>0.56218593640076808</v>
      </c>
      <c r="Y52" s="180">
        <v>0.55458652940586506</v>
      </c>
      <c r="DA52" s="189" t="s">
        <v>946</v>
      </c>
    </row>
    <row r="53" spans="1:105" ht="12" customHeight="1" x14ac:dyDescent="0.25">
      <c r="A53" s="131" t="s">
        <v>100</v>
      </c>
      <c r="B53" s="180">
        <v>210.3478661889225</v>
      </c>
      <c r="C53" s="180">
        <v>208.09377939663611</v>
      </c>
      <c r="D53" s="180">
        <v>205.49282516987938</v>
      </c>
      <c r="E53" s="180">
        <v>202.38231530690027</v>
      </c>
      <c r="F53" s="180">
        <v>199.00647306514631</v>
      </c>
      <c r="G53" s="180">
        <v>195.35936501083131</v>
      </c>
      <c r="H53" s="180">
        <v>191.26097632088286</v>
      </c>
      <c r="I53" s="180">
        <v>186.81847384045571</v>
      </c>
      <c r="J53" s="180">
        <v>184.04150595193408</v>
      </c>
      <c r="K53" s="180">
        <v>180.9262200482612</v>
      </c>
      <c r="L53" s="180">
        <v>177.45991298726707</v>
      </c>
      <c r="M53" s="180">
        <v>173.93281606603895</v>
      </c>
      <c r="N53" s="180">
        <v>169.77545959043357</v>
      </c>
      <c r="O53" s="180">
        <v>165.29772189792249</v>
      </c>
      <c r="P53" s="180">
        <v>160.15525574089335</v>
      </c>
      <c r="Q53" s="180">
        <v>154.31402311912802</v>
      </c>
      <c r="R53" s="180">
        <v>147.69482353484062</v>
      </c>
      <c r="S53" s="180">
        <v>140.73092980489014</v>
      </c>
      <c r="T53" s="180">
        <v>134.09708386695726</v>
      </c>
      <c r="U53" s="180">
        <v>127.19302647974278</v>
      </c>
      <c r="V53" s="180">
        <v>120.33757751961436</v>
      </c>
      <c r="W53" s="180">
        <v>114.33455721248551</v>
      </c>
      <c r="X53" s="180">
        <v>109.54957061118301</v>
      </c>
      <c r="Y53" s="180">
        <v>105.30767546056441</v>
      </c>
      <c r="DA53" s="189" t="s">
        <v>947</v>
      </c>
    </row>
    <row r="54" spans="1:105" ht="12" customHeight="1" x14ac:dyDescent="0.25">
      <c r="A54" s="131" t="s">
        <v>140</v>
      </c>
      <c r="B54" s="180">
        <v>51.49979113374031</v>
      </c>
      <c r="C54" s="180">
        <v>50.896010763692608</v>
      </c>
      <c r="D54" s="180">
        <v>49.961743615437406</v>
      </c>
      <c r="E54" s="180">
        <v>48.821574070651678</v>
      </c>
      <c r="F54" s="180">
        <v>47.551334765978872</v>
      </c>
      <c r="G54" s="180">
        <v>46.08900568244097</v>
      </c>
      <c r="H54" s="180">
        <v>44.493439599518979</v>
      </c>
      <c r="I54" s="180">
        <v>43.17421777680088</v>
      </c>
      <c r="J54" s="180">
        <v>41.966966193114004</v>
      </c>
      <c r="K54" s="180">
        <v>40.825323973577483</v>
      </c>
      <c r="L54" s="180">
        <v>39.552524081840588</v>
      </c>
      <c r="M54" s="180">
        <v>38.157711495053768</v>
      </c>
      <c r="N54" s="180">
        <v>36.56816805362439</v>
      </c>
      <c r="O54" s="180">
        <v>34.821826161367767</v>
      </c>
      <c r="P54" s="180">
        <v>32.911511135708004</v>
      </c>
      <c r="Q54" s="180">
        <v>31.073653176993872</v>
      </c>
      <c r="R54" s="180">
        <v>28.842055835600508</v>
      </c>
      <c r="S54" s="180">
        <v>26.813569089137395</v>
      </c>
      <c r="T54" s="180">
        <v>24.627752902077326</v>
      </c>
      <c r="U54" s="180">
        <v>22.487144498122213</v>
      </c>
      <c r="V54" s="180">
        <v>20.413530601254724</v>
      </c>
      <c r="W54" s="180">
        <v>18.777398315477207</v>
      </c>
      <c r="X54" s="180">
        <v>17.516097197884697</v>
      </c>
      <c r="Y54" s="180">
        <v>16.34903170605342</v>
      </c>
      <c r="DA54" s="189" t="s">
        <v>948</v>
      </c>
    </row>
    <row r="55" spans="1:105" ht="12" customHeight="1" x14ac:dyDescent="0.25">
      <c r="A55" s="131" t="s">
        <v>173</v>
      </c>
      <c r="B55" s="180">
        <v>716.78480982372378</v>
      </c>
      <c r="C55" s="180">
        <v>708.63944031360427</v>
      </c>
      <c r="D55" s="180">
        <v>698.55149422849956</v>
      </c>
      <c r="E55" s="180">
        <v>688.40749433553947</v>
      </c>
      <c r="F55" s="180">
        <v>677.88817980416832</v>
      </c>
      <c r="G55" s="180">
        <v>666.82210419563205</v>
      </c>
      <c r="H55" s="180">
        <v>654.73987801469252</v>
      </c>
      <c r="I55" s="180">
        <v>641.66118913483706</v>
      </c>
      <c r="J55" s="180">
        <v>627.82070017530214</v>
      </c>
      <c r="K55" s="180">
        <v>613.07123549654909</v>
      </c>
      <c r="L55" s="180">
        <v>597.22513866445763</v>
      </c>
      <c r="M55" s="180">
        <v>584.47498279564763</v>
      </c>
      <c r="N55" s="180">
        <v>572.37661138511919</v>
      </c>
      <c r="O55" s="180">
        <v>560.61865506321067</v>
      </c>
      <c r="P55" s="180">
        <v>547.98539746852555</v>
      </c>
      <c r="Q55" s="180">
        <v>534.65228859757963</v>
      </c>
      <c r="R55" s="180">
        <v>522.01788720392449</v>
      </c>
      <c r="S55" s="180">
        <v>509.88851809039613</v>
      </c>
      <c r="T55" s="180">
        <v>498.83090160184656</v>
      </c>
      <c r="U55" s="180">
        <v>488.5680514329556</v>
      </c>
      <c r="V55" s="180">
        <v>478.7245451975441</v>
      </c>
      <c r="W55" s="180">
        <v>469.04235723828685</v>
      </c>
      <c r="X55" s="180">
        <v>459.56125325630035</v>
      </c>
      <c r="Y55" s="180">
        <v>450.82469982993149</v>
      </c>
      <c r="DA55" s="189" t="s">
        <v>949</v>
      </c>
    </row>
    <row r="56" spans="1:105" ht="12" customHeight="1" x14ac:dyDescent="0.25">
      <c r="A56" s="60" t="s">
        <v>99</v>
      </c>
      <c r="B56" s="55">
        <v>54.169869166072644</v>
      </c>
      <c r="C56" s="55">
        <v>53.770283332698106</v>
      </c>
      <c r="D56" s="55">
        <v>53.300358974834239</v>
      </c>
      <c r="E56" s="55">
        <v>52.815356476960176</v>
      </c>
      <c r="F56" s="55">
        <v>52.30315095155936</v>
      </c>
      <c r="G56" s="55">
        <v>51.75363269471719</v>
      </c>
      <c r="H56" s="55">
        <v>51.170065798282167</v>
      </c>
      <c r="I56" s="55">
        <v>50.582991856983305</v>
      </c>
      <c r="J56" s="55">
        <v>50.060184309223892</v>
      </c>
      <c r="K56" s="55">
        <v>49.670996952211127</v>
      </c>
      <c r="L56" s="55">
        <v>49.125521183087784</v>
      </c>
      <c r="M56" s="55">
        <v>48.565797720213098</v>
      </c>
      <c r="N56" s="55">
        <v>47.899609846261541</v>
      </c>
      <c r="O56" s="55">
        <v>47.136666577944972</v>
      </c>
      <c r="P56" s="55">
        <v>46.248127004905307</v>
      </c>
      <c r="Q56" s="55">
        <v>45.218757930121683</v>
      </c>
      <c r="R56" s="55">
        <v>44.216040526315851</v>
      </c>
      <c r="S56" s="55">
        <v>43.16419043312748</v>
      </c>
      <c r="T56" s="55">
        <v>42.029959303457822</v>
      </c>
      <c r="U56" s="55">
        <v>40.851762446588204</v>
      </c>
      <c r="V56" s="55">
        <v>39.7294408891877</v>
      </c>
      <c r="W56" s="55">
        <v>38.680590524655926</v>
      </c>
      <c r="X56" s="55">
        <v>37.729158341943787</v>
      </c>
      <c r="Y56" s="55">
        <v>37.009833291805869</v>
      </c>
      <c r="DA56" s="101" t="s">
        <v>950</v>
      </c>
    </row>
    <row r="57" spans="1:105" ht="12" customHeight="1" x14ac:dyDescent="0.25">
      <c r="A57" s="62" t="s">
        <v>98</v>
      </c>
      <c r="B57" s="63">
        <v>391.74348490121372</v>
      </c>
      <c r="C57" s="63">
        <v>384.84849742822814</v>
      </c>
      <c r="D57" s="63">
        <v>376.21116208454356</v>
      </c>
      <c r="E57" s="63">
        <v>364.76918041584531</v>
      </c>
      <c r="F57" s="63">
        <v>349.64293795244129</v>
      </c>
      <c r="G57" s="63">
        <v>332.3528863295727</v>
      </c>
      <c r="H57" s="63">
        <v>315.38472094236613</v>
      </c>
      <c r="I57" s="63">
        <v>298.62028479790939</v>
      </c>
      <c r="J57" s="63">
        <v>284.28414063674762</v>
      </c>
      <c r="K57" s="63">
        <v>268.86665555636068</v>
      </c>
      <c r="L57" s="63">
        <v>251.12752145092847</v>
      </c>
      <c r="M57" s="63">
        <v>232.9640833005615</v>
      </c>
      <c r="N57" s="63">
        <v>213.69228670477074</v>
      </c>
      <c r="O57" s="63">
        <v>201.16703294017424</v>
      </c>
      <c r="P57" s="63">
        <v>191.69203816929235</v>
      </c>
      <c r="Q57" s="63">
        <v>185.2573609818165</v>
      </c>
      <c r="R57" s="63">
        <v>181.39918334138301</v>
      </c>
      <c r="S57" s="63">
        <v>177.02530019136759</v>
      </c>
      <c r="T57" s="63">
        <v>173.6841878100071</v>
      </c>
      <c r="U57" s="63">
        <v>170.38906727205861</v>
      </c>
      <c r="V57" s="63">
        <v>166.08161149243082</v>
      </c>
      <c r="W57" s="63">
        <v>162.50176258910287</v>
      </c>
      <c r="X57" s="63">
        <v>158.60700779716012</v>
      </c>
      <c r="Y57" s="63">
        <v>155.46558585589122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0.6868776068895166</v>
      </c>
      <c r="D60" s="180">
        <v>0.67821312308359238</v>
      </c>
      <c r="E60" s="180">
        <v>0.66981350796216332</v>
      </c>
      <c r="F60" s="180">
        <v>0.66097242361379016</v>
      </c>
      <c r="G60" s="180">
        <v>0.6512800511817447</v>
      </c>
      <c r="H60" s="180">
        <v>0.6421435775979849</v>
      </c>
      <c r="I60" s="180">
        <v>0.63219319144339237</v>
      </c>
      <c r="J60" s="180">
        <v>0.62299422991311781</v>
      </c>
      <c r="K60" s="180">
        <v>0.61181538439396377</v>
      </c>
      <c r="L60" s="180">
        <v>0.60195919805958331</v>
      </c>
      <c r="M60" s="180">
        <v>0.59153497909614261</v>
      </c>
      <c r="N60" s="180">
        <v>0.57962245983035376</v>
      </c>
      <c r="O60" s="180">
        <v>0.56646650706660961</v>
      </c>
      <c r="P60" s="180">
        <v>0.550197278647101</v>
      </c>
      <c r="Q60" s="180">
        <v>0.53343563794506965</v>
      </c>
      <c r="R60" s="180">
        <v>0.53005516030471989</v>
      </c>
      <c r="S60" s="180">
        <v>0.52512549876939596</v>
      </c>
      <c r="T60" s="180">
        <v>0.52042942593606234</v>
      </c>
      <c r="U60" s="180">
        <v>0.51605006879628734</v>
      </c>
      <c r="V60" s="180">
        <v>0.5117168388143698</v>
      </c>
      <c r="W60" s="180">
        <v>0.50864653778148361</v>
      </c>
      <c r="X60" s="180">
        <v>0.50557623674859731</v>
      </c>
      <c r="Y60" s="180">
        <v>0.50250593571571112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195.90225280101106</v>
      </c>
      <c r="D61" s="180">
        <v>193.51589274873183</v>
      </c>
      <c r="E61" s="180">
        <v>190.57403143854984</v>
      </c>
      <c r="F61" s="180">
        <v>187.29887550846337</v>
      </c>
      <c r="G61" s="180">
        <v>184.75456117899671</v>
      </c>
      <c r="H61" s="180">
        <v>181.20540170564738</v>
      </c>
      <c r="I61" s="180">
        <v>177.78350252840477</v>
      </c>
      <c r="J61" s="180">
        <v>175.26183667014743</v>
      </c>
      <c r="K61" s="180">
        <v>171.62427257706545</v>
      </c>
      <c r="L61" s="180">
        <v>167.65155089643659</v>
      </c>
      <c r="M61" s="180">
        <v>162.88434687053459</v>
      </c>
      <c r="N61" s="180">
        <v>157.11476409329907</v>
      </c>
      <c r="O61" s="180">
        <v>151.55231993533494</v>
      </c>
      <c r="P61" s="180">
        <v>143.46228311704016</v>
      </c>
      <c r="Q61" s="180">
        <v>134.18165117652595</v>
      </c>
      <c r="R61" s="180">
        <v>126.30415296894594</v>
      </c>
      <c r="S61" s="180">
        <v>120.40130964903595</v>
      </c>
      <c r="T61" s="180">
        <v>114.48393337934478</v>
      </c>
      <c r="U61" s="180">
        <v>108.53572840506986</v>
      </c>
      <c r="V61" s="180">
        <v>102.60282246555892</v>
      </c>
      <c r="W61" s="180">
        <v>100.07879303290618</v>
      </c>
      <c r="X61" s="180">
        <v>97.554763600253423</v>
      </c>
      <c r="Y61" s="180">
        <v>95.030734167600684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48.126704351925966</v>
      </c>
      <c r="D62" s="180">
        <v>46.399508418181341</v>
      </c>
      <c r="E62" s="180">
        <v>45.179918753484642</v>
      </c>
      <c r="F62" s="180">
        <v>44.147011309061796</v>
      </c>
      <c r="G62" s="180">
        <v>42.842472418814964</v>
      </c>
      <c r="H62" s="180">
        <v>41.730299335432825</v>
      </c>
      <c r="I62" s="180">
        <v>40.265563195748477</v>
      </c>
      <c r="J62" s="180">
        <v>39.065991440010407</v>
      </c>
      <c r="K62" s="180">
        <v>37.693714256502098</v>
      </c>
      <c r="L62" s="180">
        <v>36.4930448892204</v>
      </c>
      <c r="M62" s="180">
        <v>34.423987684291482</v>
      </c>
      <c r="N62" s="180">
        <v>32.644344217840995</v>
      </c>
      <c r="O62" s="180">
        <v>30.560212007487234</v>
      </c>
      <c r="P62" s="180">
        <v>28.406117223385767</v>
      </c>
      <c r="Q62" s="180">
        <v>25.948751367732285</v>
      </c>
      <c r="R62" s="180">
        <v>22.846645213141674</v>
      </c>
      <c r="S62" s="180">
        <v>21.520294433827473</v>
      </c>
      <c r="T62" s="180">
        <v>19.456531292779818</v>
      </c>
      <c r="U62" s="180">
        <v>17.787402431431389</v>
      </c>
      <c r="V62" s="180">
        <v>16.428623078094663</v>
      </c>
      <c r="W62" s="180">
        <v>15.607191924189928</v>
      </c>
      <c r="X62" s="180">
        <v>14.785760770285195</v>
      </c>
      <c r="Y62" s="180">
        <v>13.964329616380461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650.81621777516511</v>
      </c>
      <c r="D63" s="180">
        <v>632.56611178621677</v>
      </c>
      <c r="E63" s="180">
        <v>623.50203756976691</v>
      </c>
      <c r="F63" s="180">
        <v>615.40045567209472</v>
      </c>
      <c r="G63" s="180">
        <v>607.56732410909751</v>
      </c>
      <c r="H63" s="180">
        <v>596.23022243805565</v>
      </c>
      <c r="I63" s="180">
        <v>584.19646383264137</v>
      </c>
      <c r="J63" s="180">
        <v>571.11125518625272</v>
      </c>
      <c r="K63" s="180">
        <v>558.2096368576241</v>
      </c>
      <c r="L63" s="180">
        <v>545.45873423920989</v>
      </c>
      <c r="M63" s="180">
        <v>530.41817287605443</v>
      </c>
      <c r="N63" s="180">
        <v>521.84551466721109</v>
      </c>
      <c r="O63" s="180">
        <v>509.16141359214566</v>
      </c>
      <c r="P63" s="180">
        <v>491.73415686899705</v>
      </c>
      <c r="Q63" s="180">
        <v>478.96927881508657</v>
      </c>
      <c r="R63" s="180">
        <v>472.0345703612511</v>
      </c>
      <c r="S63" s="180">
        <v>463.61561766735809</v>
      </c>
      <c r="T63" s="180">
        <v>455.4827391583861</v>
      </c>
      <c r="U63" s="180">
        <v>447.67588261744953</v>
      </c>
      <c r="V63" s="180">
        <v>439.93579744962005</v>
      </c>
      <c r="W63" s="180">
        <v>431.13708150062763</v>
      </c>
      <c r="X63" s="180">
        <v>422.33836555163526</v>
      </c>
      <c r="Y63" s="180">
        <v>413.53964960264284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50.833947849103694</v>
      </c>
      <c r="D64" s="55">
        <v>50.291869694989629</v>
      </c>
      <c r="E64" s="55">
        <v>49.852826328164554</v>
      </c>
      <c r="F64" s="55">
        <v>49.27978074726439</v>
      </c>
      <c r="G64" s="55">
        <v>48.556648837223875</v>
      </c>
      <c r="H64" s="55">
        <v>47.791917110840565</v>
      </c>
      <c r="I64" s="55">
        <v>47.031671895647939</v>
      </c>
      <c r="J64" s="55">
        <v>46.084105733357738</v>
      </c>
      <c r="K64" s="55">
        <v>45.203666354132928</v>
      </c>
      <c r="L64" s="55">
        <v>44.209475677499434</v>
      </c>
      <c r="M64" s="55">
        <v>42.785080706483903</v>
      </c>
      <c r="N64" s="55">
        <v>41.433102105692676</v>
      </c>
      <c r="O64" s="55">
        <v>40.158084354302943</v>
      </c>
      <c r="P64" s="55">
        <v>38.823395588041343</v>
      </c>
      <c r="Q64" s="55">
        <v>37.625468698822843</v>
      </c>
      <c r="R64" s="55">
        <v>37.163265262011073</v>
      </c>
      <c r="S64" s="55">
        <v>36.614240420332045</v>
      </c>
      <c r="T64" s="55">
        <v>36.094095925834736</v>
      </c>
      <c r="U64" s="55">
        <v>35.588646706493343</v>
      </c>
      <c r="V64" s="55">
        <v>35.087191600994672</v>
      </c>
      <c r="W64" s="55">
        <v>34.736319684984721</v>
      </c>
      <c r="X64" s="55">
        <v>34.385447768974778</v>
      </c>
      <c r="Y64" s="55">
        <v>34.034575852964828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364.97084266997774</v>
      </c>
      <c r="D65" s="63">
        <v>352.09700251244152</v>
      </c>
      <c r="E65" s="63">
        <v>337.87083878454217</v>
      </c>
      <c r="F65" s="63">
        <v>321.84136245683004</v>
      </c>
      <c r="G65" s="63">
        <v>305.89493572249563</v>
      </c>
      <c r="H65" s="63">
        <v>289.75219121118175</v>
      </c>
      <c r="I65" s="63">
        <v>272.64510429710458</v>
      </c>
      <c r="J65" s="63">
        <v>253.20903178441779</v>
      </c>
      <c r="K65" s="63">
        <v>233.2243690031469</v>
      </c>
      <c r="L65" s="63">
        <v>212.52286602208255</v>
      </c>
      <c r="M65" s="63">
        <v>198.54584827895567</v>
      </c>
      <c r="N65" s="63">
        <v>191.33097632627388</v>
      </c>
      <c r="O65" s="63">
        <v>184.51497375064901</v>
      </c>
      <c r="P65" s="63">
        <v>179.16639986937102</v>
      </c>
      <c r="Q65" s="63">
        <v>177.57639381143599</v>
      </c>
      <c r="R65" s="63">
        <v>175.4504733220968</v>
      </c>
      <c r="S65" s="63">
        <v>170.95357331184005</v>
      </c>
      <c r="T65" s="63">
        <v>166.54985896383286</v>
      </c>
      <c r="U65" s="63">
        <v>162.30805910582882</v>
      </c>
      <c r="V65" s="63">
        <v>158.09861149965272</v>
      </c>
      <c r="W65" s="63">
        <v>155.25283649265896</v>
      </c>
      <c r="X65" s="63">
        <v>152.40706148566522</v>
      </c>
      <c r="Y65" s="63">
        <v>149.56128647867146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405.80537705703227</v>
      </c>
      <c r="C68" s="187">
        <f>1000000*C20/SER_summary!C$8</f>
        <v>407.63899544902284</v>
      </c>
      <c r="D68" s="187">
        <f>1000000*D20/SER_summary!D$8</f>
        <v>411.17620581107673</v>
      </c>
      <c r="E68" s="187">
        <f>1000000*E20/SER_summary!E$8</f>
        <v>414.49858556611883</v>
      </c>
      <c r="F68" s="187">
        <f>1000000*F20/SER_summary!F$8</f>
        <v>417.56549396925107</v>
      </c>
      <c r="G68" s="187">
        <f>1000000*G20/SER_summary!G$8</f>
        <v>420.88371198305367</v>
      </c>
      <c r="H68" s="187">
        <f>1000000*H20/SER_summary!H$8</f>
        <v>426.98379230024085</v>
      </c>
      <c r="I68" s="187">
        <f>1000000*I20/SER_summary!I$8</f>
        <v>432.76076942912812</v>
      </c>
      <c r="J68" s="187">
        <f>1000000*J20/SER_summary!J$8</f>
        <v>438.32582323795378</v>
      </c>
      <c r="K68" s="187">
        <f>1000000*K20/SER_summary!K$8</f>
        <v>443.28505763113907</v>
      </c>
      <c r="L68" s="187">
        <f>1000000*L20/SER_summary!L$8</f>
        <v>451.43691307870108</v>
      </c>
      <c r="M68" s="187">
        <f>1000000*M20/SER_summary!M$8</f>
        <v>459.91782335793874</v>
      </c>
      <c r="N68" s="187">
        <f>1000000*N20/SER_summary!N$8</f>
        <v>468.84850796241085</v>
      </c>
      <c r="O68" s="187">
        <f>1000000*O20/SER_summary!O$8</f>
        <v>480.37835161115015</v>
      </c>
      <c r="P68" s="187">
        <f>1000000*P20/SER_summary!P$8</f>
        <v>492.03918414265831</v>
      </c>
      <c r="Q68" s="187">
        <f>1000000*Q20/SER_summary!Q$8</f>
        <v>503.26358959464051</v>
      </c>
      <c r="R68" s="187">
        <f>1000000*R20/SER_summary!R$8</f>
        <v>514.01209913573985</v>
      </c>
      <c r="S68" s="187">
        <f>1000000*S20/SER_summary!S$8</f>
        <v>524.75865714586098</v>
      </c>
      <c r="T68" s="187">
        <f>1000000*T20/SER_summary!T$8</f>
        <v>535.51358473847154</v>
      </c>
      <c r="U68" s="187">
        <f>1000000*U20/SER_summary!U$8</f>
        <v>546.28314181173164</v>
      </c>
      <c r="V68" s="187">
        <f>1000000*V20/SER_summary!V$8</f>
        <v>557.07898027937415</v>
      </c>
      <c r="W68" s="187">
        <f>1000000*W20/SER_summary!W$8</f>
        <v>567.92930025683722</v>
      </c>
      <c r="X68" s="187">
        <f>1000000*X20/SER_summary!X$8</f>
        <v>573.43345490314459</v>
      </c>
      <c r="Y68" s="187">
        <f>1000000*Y20/SER_summary!Y$8</f>
        <v>576.2055040957639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7.6563210094380676E-2</v>
      </c>
      <c r="C69" s="187">
        <f>1000*C21/SER_summary!C$3</f>
        <v>7.9631913859322875E-2</v>
      </c>
      <c r="D69" s="187">
        <f>1000*D21/SER_summary!D$3</f>
        <v>8.2791719547593901E-2</v>
      </c>
      <c r="E69" s="187">
        <f>1000*E21/SER_summary!E$3</f>
        <v>8.7104723614241278E-2</v>
      </c>
      <c r="F69" s="187">
        <f>1000*F21/SER_summary!F$3</f>
        <v>9.0719917659045288E-2</v>
      </c>
      <c r="G69" s="187">
        <f>1000*G21/SER_summary!G$3</f>
        <v>9.4333341885779146E-2</v>
      </c>
      <c r="H69" s="187">
        <f>1000*H21/SER_summary!H$3</f>
        <v>9.8246405492262212E-2</v>
      </c>
      <c r="I69" s="187">
        <f>1000*I21/SER_summary!I$3</f>
        <v>0.10175957438446931</v>
      </c>
      <c r="J69" s="187">
        <f>1000*J21/SER_summary!J$3</f>
        <v>0.10464696316813771</v>
      </c>
      <c r="K69" s="187">
        <f>1000*K21/SER_summary!K$3</f>
        <v>0.10844430443176789</v>
      </c>
      <c r="L69" s="187">
        <f>1000*L21/SER_summary!L$3</f>
        <v>0.11218940876384922</v>
      </c>
      <c r="M69" s="187">
        <f>1000*M21/SER_summary!M$3</f>
        <v>0.11598582803539767</v>
      </c>
      <c r="N69" s="187">
        <f>1000*N21/SER_summary!N$3</f>
        <v>0.12106951077889769</v>
      </c>
      <c r="O69" s="187">
        <f>1000*O21/SER_summary!O$3</f>
        <v>0.12640218207838447</v>
      </c>
      <c r="P69" s="187">
        <f>1000*P21/SER_summary!P$3</f>
        <v>0.13266305026690112</v>
      </c>
      <c r="Q69" s="187">
        <f>1000*Q21/SER_summary!Q$3</f>
        <v>0.13987495614086209</v>
      </c>
      <c r="R69" s="187">
        <f>1000*R21/SER_summary!R$3</f>
        <v>0.14699529648445922</v>
      </c>
      <c r="S69" s="187">
        <f>1000*S21/SER_summary!S$3</f>
        <v>0.15412420444299829</v>
      </c>
      <c r="T69" s="187">
        <f>1000*T21/SER_summary!T$3</f>
        <v>0.16121248652836853</v>
      </c>
      <c r="U69" s="187">
        <f>1000*U21/SER_summary!U$3</f>
        <v>0.16816218709870162</v>
      </c>
      <c r="V69" s="187">
        <f>1000*V21/SER_summary!V$3</f>
        <v>0.17484098052507588</v>
      </c>
      <c r="W69" s="187">
        <f>1000*W21/SER_summary!W$3</f>
        <v>0.18136623236253047</v>
      </c>
      <c r="X69" s="187">
        <f>1000*X21/SER_summary!X$3</f>
        <v>0.18607827428294302</v>
      </c>
      <c r="Y69" s="187">
        <f>1000*Y21/SER_summary!Y$3</f>
        <v>0.18944935744903355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159.95968183727712</v>
      </c>
      <c r="C70" s="187">
        <f>1000000*C22/SER_summary!C$8</f>
        <v>161.2905724892353</v>
      </c>
      <c r="D70" s="187">
        <f>1000000*D22/SER_summary!D$8</f>
        <v>163.52942616279259</v>
      </c>
      <c r="E70" s="187">
        <f>1000000*E22/SER_summary!E$8</f>
        <v>166.82663508222879</v>
      </c>
      <c r="F70" s="187">
        <f>1000000*F22/SER_summary!F$8</f>
        <v>170.20050774563703</v>
      </c>
      <c r="G70" s="187">
        <f>1000000*G22/SER_summary!G$8</f>
        <v>173.50603670516705</v>
      </c>
      <c r="H70" s="187">
        <f>1000000*H22/SER_summary!H$8</f>
        <v>177.41549265847266</v>
      </c>
      <c r="I70" s="187">
        <f>1000000*I22/SER_summary!I$8</f>
        <v>181.02013155463698</v>
      </c>
      <c r="J70" s="187">
        <f>1000000*J22/SER_summary!J$8</f>
        <v>185.74214957275652</v>
      </c>
      <c r="K70" s="187">
        <f>1000000*K22/SER_summary!K$8</f>
        <v>190.8865799620753</v>
      </c>
      <c r="L70" s="187">
        <f>1000000*L22/SER_summary!L$8</f>
        <v>197.6615688698854</v>
      </c>
      <c r="M70" s="187">
        <f>1000000*M22/SER_summary!M$8</f>
        <v>204.55794103362649</v>
      </c>
      <c r="N70" s="187">
        <f>1000000*N22/SER_summary!N$8</f>
        <v>212.48405879512117</v>
      </c>
      <c r="O70" s="187">
        <f>1000000*O22/SER_summary!O$8</f>
        <v>220.60806301702442</v>
      </c>
      <c r="P70" s="187">
        <f>1000000*P22/SER_summary!P$8</f>
        <v>232.60258394447987</v>
      </c>
      <c r="Q70" s="187">
        <f>1000000*Q22/SER_summary!Q$8</f>
        <v>245.59572615903326</v>
      </c>
      <c r="R70" s="187">
        <f>1000000*R22/SER_summary!R$8</f>
        <v>252.60455947776123</v>
      </c>
      <c r="S70" s="187">
        <f>1000000*S22/SER_summary!S$8</f>
        <v>259.72343494400212</v>
      </c>
      <c r="T70" s="187">
        <f>1000000*T22/SER_summary!T$8</f>
        <v>266.47838880556128</v>
      </c>
      <c r="U70" s="187">
        <f>1000000*U22/SER_summary!U$8</f>
        <v>272.57956688471643</v>
      </c>
      <c r="V70" s="187">
        <f>1000000*V22/SER_summary!V$8</f>
        <v>277.48679150162252</v>
      </c>
      <c r="W70" s="187">
        <f>1000000*W22/SER_summary!W$8</f>
        <v>280.2025537504669</v>
      </c>
      <c r="X70" s="187">
        <f>1000000*X22/SER_summary!X$8</f>
        <v>281.57038585946503</v>
      </c>
      <c r="Y70" s="187">
        <f>1000000*Y22/SER_summary!Y$8</f>
        <v>282.25680382537809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1.5498819005085079E-2</v>
      </c>
      <c r="C71" s="187">
        <f>1000*C23/SER_summary!C$3</f>
        <v>1.6134479972374396E-2</v>
      </c>
      <c r="D71" s="187">
        <f>1000*D23/SER_summary!D$3</f>
        <v>1.6758163798206195E-2</v>
      </c>
      <c r="E71" s="187">
        <f>1000*E23/SER_summary!E$3</f>
        <v>1.727203006158359E-2</v>
      </c>
      <c r="F71" s="187">
        <f>1000*F23/SER_summary!F$3</f>
        <v>1.7745912699747377E-2</v>
      </c>
      <c r="G71" s="187">
        <f>1000*G23/SER_summary!G$3</f>
        <v>1.8221181353029185E-2</v>
      </c>
      <c r="H71" s="187">
        <f>1000*H23/SER_summary!H$3</f>
        <v>1.8746338624378345E-2</v>
      </c>
      <c r="I71" s="187">
        <f>1000*I23/SER_summary!I$3</f>
        <v>1.9311351149411196E-2</v>
      </c>
      <c r="J71" s="187">
        <f>1000*J23/SER_summary!J$3</f>
        <v>1.9807227441418079E-2</v>
      </c>
      <c r="K71" s="187">
        <f>1000*K23/SER_summary!K$3</f>
        <v>2.0277947760643799E-2</v>
      </c>
      <c r="L71" s="187">
        <f>1000*L23/SER_summary!L$3</f>
        <v>2.0813367579612375E-2</v>
      </c>
      <c r="M71" s="187">
        <f>1000*M23/SER_summary!M$3</f>
        <v>2.1286977652577147E-2</v>
      </c>
      <c r="N71" s="187">
        <f>1000*N23/SER_summary!N$3</f>
        <v>2.1816254727247592E-2</v>
      </c>
      <c r="O71" s="187">
        <f>1000*O23/SER_summary!O$3</f>
        <v>2.2406968935866415E-2</v>
      </c>
      <c r="P71" s="187">
        <f>1000*P23/SER_summary!P$3</f>
        <v>2.3115018031124562E-2</v>
      </c>
      <c r="Q71" s="187">
        <f>1000*Q23/SER_summary!Q$3</f>
        <v>2.4006260976173008E-2</v>
      </c>
      <c r="R71" s="187">
        <f>1000*R23/SER_summary!R$3</f>
        <v>2.4888436666276815E-2</v>
      </c>
      <c r="S71" s="187">
        <f>1000*S23/SER_summary!S$3</f>
        <v>2.5770528137419903E-2</v>
      </c>
      <c r="T71" s="187">
        <f>1000*T23/SER_summary!T$3</f>
        <v>2.6652299479795978E-2</v>
      </c>
      <c r="U71" s="187">
        <f>1000*U23/SER_summary!U$3</f>
        <v>2.7522199476075482E-2</v>
      </c>
      <c r="V71" s="187">
        <f>1000*V23/SER_summary!V$3</f>
        <v>2.8367331320983753E-2</v>
      </c>
      <c r="W71" s="187">
        <f>1000*W23/SER_summary!W$3</f>
        <v>2.9214794506329005E-2</v>
      </c>
      <c r="X71" s="187">
        <f>1000*X23/SER_summary!X$3</f>
        <v>2.9823038159136013E-2</v>
      </c>
      <c r="Y71" s="187">
        <f>1000*Y23/SER_summary!Y$3</f>
        <v>3.025632789196742E-2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59.447220614107756</v>
      </c>
      <c r="C72" s="187">
        <f>1000000*C24/SER_summary!C$8</f>
        <v>64.369080627885864</v>
      </c>
      <c r="D72" s="187">
        <f>1000000*D24/SER_summary!D$8</f>
        <v>70.294559692858655</v>
      </c>
      <c r="E72" s="187">
        <f>1000000*E24/SER_summary!E$8</f>
        <v>76.933273862098503</v>
      </c>
      <c r="F72" s="187">
        <f>1000000*F24/SER_summary!F$8</f>
        <v>84.23282597013835</v>
      </c>
      <c r="G72" s="187">
        <f>1000000*G24/SER_summary!G$8</f>
        <v>91.299951266891327</v>
      </c>
      <c r="H72" s="187">
        <f>1000000*H24/SER_summary!H$8</f>
        <v>97.822594248866238</v>
      </c>
      <c r="I72" s="187">
        <f>1000000*I24/SER_summary!I$8</f>
        <v>102.86015338970114</v>
      </c>
      <c r="J72" s="187">
        <f>1000000*J24/SER_summary!J$8</f>
        <v>107.07134266157051</v>
      </c>
      <c r="K72" s="187">
        <f>1000000*K24/SER_summary!K$8</f>
        <v>110.43759021370748</v>
      </c>
      <c r="L72" s="187">
        <f>1000000*L24/SER_summary!L$8</f>
        <v>113.29382161140927</v>
      </c>
      <c r="M72" s="187">
        <f>1000000*M24/SER_summary!M$8</f>
        <v>115.80880694044514</v>
      </c>
      <c r="N72" s="187">
        <f>1000000*N24/SER_summary!N$8</f>
        <v>118.50491396045285</v>
      </c>
      <c r="O72" s="187">
        <f>1000000*O24/SER_summary!O$8</f>
        <v>121.35879776251848</v>
      </c>
      <c r="P72" s="187">
        <f>1000000*P24/SER_summary!P$8</f>
        <v>124.4307631813148</v>
      </c>
      <c r="Q72" s="187">
        <f>1000000*Q24/SER_summary!Q$8</f>
        <v>127.76265128544694</v>
      </c>
      <c r="R72" s="187">
        <f>1000000*R24/SER_summary!R$8</f>
        <v>133.38470143874926</v>
      </c>
      <c r="S72" s="187">
        <f>1000000*S24/SER_summary!S$8</f>
        <v>138.6658876750144</v>
      </c>
      <c r="T72" s="187">
        <f>1000000*T24/SER_summary!T$8</f>
        <v>145.08409664357964</v>
      </c>
      <c r="U72" s="187">
        <f>1000000*U24/SER_summary!U$8</f>
        <v>152.79064151945465</v>
      </c>
      <c r="V72" s="187">
        <f>1000000*V24/SER_summary!V$8</f>
        <v>159.91502631316934</v>
      </c>
      <c r="W72" s="187">
        <f>1000000*W24/SER_summary!W$8</f>
        <v>166.08081399650379</v>
      </c>
      <c r="X72" s="187">
        <f>1000000*X24/SER_summary!X$8</f>
        <v>171.18417629665655</v>
      </c>
      <c r="Y72" s="187">
        <f>1000000*Y24/SER_summary!Y$8</f>
        <v>175.37954523379253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6.0956260470438346E-2</v>
      </c>
      <c r="C73" s="52">
        <f>1000*C25/SER_summary!C$3</f>
        <v>6.5922869996733205E-2</v>
      </c>
      <c r="D73" s="52">
        <f>1000*D25/SER_summary!D$3</f>
        <v>6.9415403215369834E-2</v>
      </c>
      <c r="E73" s="52">
        <f>1000*E25/SER_summary!E$3</f>
        <v>7.4493328221642563E-2</v>
      </c>
      <c r="F73" s="52">
        <f>1000*F25/SER_summary!F$3</f>
        <v>8.4282188468760164E-2</v>
      </c>
      <c r="G73" s="52">
        <f>1000*G25/SER_summary!G$3</f>
        <v>9.9590510929013373E-2</v>
      </c>
      <c r="H73" s="52">
        <f>1000*H25/SER_summary!H$3</f>
        <v>0.11563444198855721</v>
      </c>
      <c r="I73" s="52">
        <f>1000*I25/SER_summary!I$3</f>
        <v>0.1420886722745901</v>
      </c>
      <c r="J73" s="52">
        <f>1000*J25/SER_summary!J$3</f>
        <v>0.16048661505333561</v>
      </c>
      <c r="K73" s="52">
        <f>1000*K25/SER_summary!K$3</f>
        <v>0.17504660388847854</v>
      </c>
      <c r="L73" s="52">
        <f>1000*L25/SER_summary!L$3</f>
        <v>0.18863576814360494</v>
      </c>
      <c r="M73" s="52">
        <f>1000*M25/SER_summary!M$3</f>
        <v>0.20082579610173359</v>
      </c>
      <c r="N73" s="52">
        <f>1000*N25/SER_summary!N$3</f>
        <v>0.22048687310351045</v>
      </c>
      <c r="O73" s="52">
        <f>1000*O25/SER_summary!O$3</f>
        <v>0.23937382641628044</v>
      </c>
      <c r="P73" s="52">
        <f>1000*P25/SER_summary!P$3</f>
        <v>0.26262009027812017</v>
      </c>
      <c r="Q73" s="52">
        <f>1000*Q25/SER_summary!Q$3</f>
        <v>0.29518043932302646</v>
      </c>
      <c r="R73" s="52">
        <f>1000*R25/SER_summary!R$3</f>
        <v>0.31184807570178147</v>
      </c>
      <c r="S73" s="52">
        <f>1000*S25/SER_summary!S$3</f>
        <v>0.32848393023456929</v>
      </c>
      <c r="T73" s="52">
        <f>1000*T25/SER_summary!T$3</f>
        <v>0.34479572543091136</v>
      </c>
      <c r="U73" s="52">
        <f>1000*U25/SER_summary!U$3</f>
        <v>0.36046478156068035</v>
      </c>
      <c r="V73" s="52">
        <f>1000*V25/SER_summary!V$3</f>
        <v>0.37506511758340844</v>
      </c>
      <c r="W73" s="52">
        <f>1000*W25/SER_summary!W$3</f>
        <v>0.38884973302788733</v>
      </c>
      <c r="X73" s="52">
        <f>1000*X25/SER_summary!X$3</f>
        <v>0.40008498459400449</v>
      </c>
      <c r="Y73" s="52">
        <f>1000*Y25/SER_summary!Y$3</f>
        <v>0.40844484126412967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6.8072735076927158</v>
      </c>
      <c r="C3" s="198">
        <f>'SER_se-appl'!C4</f>
        <v>6.9228026744711277</v>
      </c>
      <c r="D3" s="198">
        <f>'SER_se-appl'!D4</f>
        <v>7.0961509924877113</v>
      </c>
      <c r="E3" s="198">
        <f>'SER_se-appl'!E4</f>
        <v>7.2684212754499375</v>
      </c>
      <c r="F3" s="198">
        <f>'SER_se-appl'!F4</f>
        <v>7.4419566234597818</v>
      </c>
      <c r="G3" s="198">
        <f>'SER_se-appl'!G4</f>
        <v>7.6806193042082702</v>
      </c>
      <c r="H3" s="198">
        <f>'SER_se-appl'!H4</f>
        <v>8.0352265402299121</v>
      </c>
      <c r="I3" s="198">
        <f>'SER_se-appl'!I4</f>
        <v>8.4654933922755546</v>
      </c>
      <c r="J3" s="198">
        <f>'SER_se-appl'!J4</f>
        <v>8.741770231282052</v>
      </c>
      <c r="K3" s="198">
        <f>'SER_se-appl'!K4</f>
        <v>8.7409322511083509</v>
      </c>
      <c r="L3" s="198">
        <f>'SER_se-appl'!L4</f>
        <v>8.9680442737611958</v>
      </c>
      <c r="M3" s="198">
        <f>'SER_se-appl'!M4</f>
        <v>9.1022966300516508</v>
      </c>
      <c r="N3" s="198">
        <f>'SER_se-appl'!N4</f>
        <v>9.2351712952184233</v>
      </c>
      <c r="O3" s="198">
        <f>'SER_se-appl'!O4</f>
        <v>9.3905860840781656</v>
      </c>
      <c r="P3" s="198">
        <f>'SER_se-appl'!P4</f>
        <v>9.5387386090667956</v>
      </c>
      <c r="Q3" s="198">
        <f>'SER_se-appl'!Q4</f>
        <v>9.6877155355127975</v>
      </c>
      <c r="R3" s="198">
        <f>'SER_se-appl'!R4</f>
        <v>9.8229910793044031</v>
      </c>
      <c r="S3" s="198">
        <f>'SER_se-appl'!S4</f>
        <v>9.9598900894667679</v>
      </c>
      <c r="T3" s="198">
        <f>'SER_se-appl'!T4</f>
        <v>10.109254824791012</v>
      </c>
      <c r="U3" s="198">
        <f>'SER_se-appl'!U4</f>
        <v>10.316497145447302</v>
      </c>
      <c r="V3" s="198">
        <f>'SER_se-appl'!V4</f>
        <v>10.50687357920029</v>
      </c>
      <c r="W3" s="198">
        <f>'SER_se-appl'!W4</f>
        <v>10.693311365962471</v>
      </c>
      <c r="X3" s="198">
        <f>'SER_se-appl'!X4</f>
        <v>10.783654695547842</v>
      </c>
      <c r="Y3" s="198">
        <f>'SER_se-appl'!Y4</f>
        <v>10.806600607640734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9.0375103760806272</v>
      </c>
      <c r="C5" s="59">
        <f>'SER_se-appl'!C12</f>
        <v>9.1908898520661211</v>
      </c>
      <c r="D5" s="59">
        <f>'SER_se-appl'!D12</f>
        <v>9.4210315117159933</v>
      </c>
      <c r="E5" s="59">
        <f>'SER_se-appl'!E12</f>
        <v>9.6497419444615016</v>
      </c>
      <c r="F5" s="59">
        <f>'SER_se-appl'!F12</f>
        <v>9.8801319099129348</v>
      </c>
      <c r="G5" s="59">
        <f>'SER_se-appl'!G12</f>
        <v>10.196986587664632</v>
      </c>
      <c r="H5" s="59">
        <f>'SER_se-appl'!H12</f>
        <v>10.667772221789255</v>
      </c>
      <c r="I5" s="59">
        <f>'SER_se-appl'!I12</f>
        <v>11.239005496822454</v>
      </c>
      <c r="J5" s="59">
        <f>'SER_se-appl'!J12</f>
        <v>11.605797692900715</v>
      </c>
      <c r="K5" s="59">
        <f>'SER_se-appl'!K12</f>
        <v>11.604685168994303</v>
      </c>
      <c r="L5" s="59">
        <f>'SER_se-appl'!L12</f>
        <v>11.906204897698943</v>
      </c>
      <c r="M5" s="59">
        <f>'SER_se-appl'!M12</f>
        <v>12.084441758847111</v>
      </c>
      <c r="N5" s="59">
        <f>'SER_se-appl'!N12</f>
        <v>12.260849562030851</v>
      </c>
      <c r="O5" s="59">
        <f>'SER_se-appl'!O12</f>
        <v>12.467182209797837</v>
      </c>
      <c r="P5" s="59">
        <f>'SER_se-appl'!P12</f>
        <v>12.663873290347814</v>
      </c>
      <c r="Q5" s="59">
        <f>'SER_se-appl'!Q12</f>
        <v>12.86165886735318</v>
      </c>
      <c r="R5" s="59">
        <f>'SER_se-appl'!R12</f>
        <v>13.041254138391574</v>
      </c>
      <c r="S5" s="59">
        <f>'SER_se-appl'!S12</f>
        <v>13.223004764897089</v>
      </c>
      <c r="T5" s="59">
        <f>'SER_se-appl'!T12</f>
        <v>13.421305206885783</v>
      </c>
      <c r="U5" s="59">
        <f>'SER_se-appl'!U12</f>
        <v>13.696445411136086</v>
      </c>
      <c r="V5" s="59">
        <f>'SER_se-appl'!V12</f>
        <v>13.949194032659745</v>
      </c>
      <c r="W5" s="59">
        <f>'SER_se-appl'!W12</f>
        <v>14.196713605724147</v>
      </c>
      <c r="X5" s="59">
        <f>'SER_se-appl'!X12</f>
        <v>14.316655720230754</v>
      </c>
      <c r="Y5" s="59">
        <f>'SER_se-appl'!Y12</f>
        <v>14.347119299870061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405.80537705703227</v>
      </c>
      <c r="C6" s="201">
        <f>'SER_se-appl'!C68</f>
        <v>407.63899544902284</v>
      </c>
      <c r="D6" s="201">
        <f>'SER_se-appl'!D68</f>
        <v>411.17620581107673</v>
      </c>
      <c r="E6" s="201">
        <f>'SER_se-appl'!E68</f>
        <v>414.49858556611883</v>
      </c>
      <c r="F6" s="201">
        <f>'SER_se-appl'!F68</f>
        <v>417.56549396925107</v>
      </c>
      <c r="G6" s="201">
        <f>'SER_se-appl'!G68</f>
        <v>420.88371198305367</v>
      </c>
      <c r="H6" s="201">
        <f>'SER_se-appl'!H68</f>
        <v>426.98379230024085</v>
      </c>
      <c r="I6" s="201">
        <f>'SER_se-appl'!I68</f>
        <v>432.76076942912812</v>
      </c>
      <c r="J6" s="201">
        <f>'SER_se-appl'!J68</f>
        <v>438.32582323795378</v>
      </c>
      <c r="K6" s="201">
        <f>'SER_se-appl'!K68</f>
        <v>443.28505763113907</v>
      </c>
      <c r="L6" s="201">
        <f>'SER_se-appl'!L68</f>
        <v>451.43691307870108</v>
      </c>
      <c r="M6" s="201">
        <f>'SER_se-appl'!M68</f>
        <v>459.91782335793874</v>
      </c>
      <c r="N6" s="201">
        <f>'SER_se-appl'!N68</f>
        <v>468.84850796241085</v>
      </c>
      <c r="O6" s="201">
        <f>'SER_se-appl'!O68</f>
        <v>480.37835161115015</v>
      </c>
      <c r="P6" s="201">
        <f>'SER_se-appl'!P68</f>
        <v>492.03918414265831</v>
      </c>
      <c r="Q6" s="201">
        <f>'SER_se-appl'!Q68</f>
        <v>503.26358959464051</v>
      </c>
      <c r="R6" s="201">
        <f>'SER_se-appl'!R68</f>
        <v>514.01209913573985</v>
      </c>
      <c r="S6" s="201">
        <f>'SER_se-appl'!S68</f>
        <v>524.75865714586098</v>
      </c>
      <c r="T6" s="201">
        <f>'SER_se-appl'!T68</f>
        <v>535.51358473847154</v>
      </c>
      <c r="U6" s="201">
        <f>'SER_se-appl'!U68</f>
        <v>546.28314181173164</v>
      </c>
      <c r="V6" s="201">
        <f>'SER_se-appl'!V68</f>
        <v>557.07898027937415</v>
      </c>
      <c r="W6" s="201">
        <f>'SER_se-appl'!W68</f>
        <v>567.92930025683722</v>
      </c>
      <c r="X6" s="201">
        <f>'SER_se-appl'!X68</f>
        <v>573.43345490314459</v>
      </c>
      <c r="Y6" s="201">
        <f>'SER_se-appl'!Y68</f>
        <v>576.2055040957639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11.795916654156843</v>
      </c>
      <c r="C8" s="34">
        <f>'SER_se-appl'!C20</f>
        <v>12.078267465255482</v>
      </c>
      <c r="D8" s="34">
        <f>'SER_se-appl'!D20</f>
        <v>12.485821224729714</v>
      </c>
      <c r="E8" s="34">
        <f>'SER_se-appl'!E20</f>
        <v>12.90508686932349</v>
      </c>
      <c r="F8" s="34">
        <f>'SER_se-appl'!F20</f>
        <v>13.34217272253956</v>
      </c>
      <c r="G8" s="34">
        <f>'SER_se-appl'!G20</f>
        <v>13.929578485438219</v>
      </c>
      <c r="H8" s="34">
        <f>'SER_se-appl'!H20</f>
        <v>14.776319550600952</v>
      </c>
      <c r="I8" s="34">
        <f>'SER_se-appl'!I20</f>
        <v>15.808058874602777</v>
      </c>
      <c r="J8" s="34">
        <f>'SER_se-appl'!J20</f>
        <v>16.539735919289996</v>
      </c>
      <c r="K8" s="34">
        <f>'SER_se-appl'!K20</f>
        <v>16.699250746994462</v>
      </c>
      <c r="L8" s="34">
        <f>'SER_se-appl'!L20</f>
        <v>17.379528603788252</v>
      </c>
      <c r="M8" s="34">
        <f>'SER_se-appl'!M20</f>
        <v>17.880462711982648</v>
      </c>
      <c r="N8" s="34">
        <f>'SER_se-appl'!N20</f>
        <v>18.408590030367836</v>
      </c>
      <c r="O8" s="34">
        <f>'SER_se-appl'!O20</f>
        <v>19.02489288686245</v>
      </c>
      <c r="P8" s="34">
        <f>'SER_se-appl'!P20</f>
        <v>19.670977399497737</v>
      </c>
      <c r="Q8" s="34">
        <f>'SER_se-appl'!Q20</f>
        <v>20.371590955441945</v>
      </c>
      <c r="R8" s="34">
        <f>'SER_se-appl'!R20</f>
        <v>21.056702237201968</v>
      </c>
      <c r="S8" s="34">
        <f>'SER_se-appl'!S20</f>
        <v>21.76974103440055</v>
      </c>
      <c r="T8" s="34">
        <f>'SER_se-appl'!T20</f>
        <v>22.538904258123306</v>
      </c>
      <c r="U8" s="34">
        <f>'SER_se-appl'!U20</f>
        <v>23.334900035776503</v>
      </c>
      <c r="V8" s="34">
        <f>'SER_se-appl'!V20</f>
        <v>24.132603860874525</v>
      </c>
      <c r="W8" s="34">
        <f>'SER_se-appl'!W20</f>
        <v>24.923486271925576</v>
      </c>
      <c r="X8" s="34">
        <f>'SER_se-appl'!X20</f>
        <v>25.466050986420928</v>
      </c>
      <c r="Y8" s="34">
        <f>'SER_se-appl'!Y20</f>
        <v>25.869938303839248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0.79397896312923066</v>
      </c>
      <c r="D9" s="36">
        <f>'SER_se-appl'!D28</f>
        <v>0.93365361784453782</v>
      </c>
      <c r="E9" s="36">
        <f>'SER_se-appl'!E28</f>
        <v>0.96024655011812321</v>
      </c>
      <c r="F9" s="36">
        <f>'SER_se-appl'!F28</f>
        <v>0.99336872515698182</v>
      </c>
      <c r="G9" s="36">
        <f>'SER_se-appl'!G28</f>
        <v>1.1594234264701555</v>
      </c>
      <c r="H9" s="36">
        <f>'SER_se-appl'!H28</f>
        <v>1.434938588297241</v>
      </c>
      <c r="I9" s="36">
        <f>'SER_se-appl'!I28</f>
        <v>1.6365743636427386</v>
      </c>
      <c r="J9" s="36">
        <f>'SER_se-appl'!J28</f>
        <v>1.3536202028765647</v>
      </c>
      <c r="K9" s="36">
        <f>'SER_se-appl'!K28</f>
        <v>0.79905001774270445</v>
      </c>
      <c r="L9" s="36">
        <f>'SER_se-appl'!L28</f>
        <v>1.3379026797566738</v>
      </c>
      <c r="M9" s="36">
        <f>'SER_se-appl'!M28</f>
        <v>1.1771602400998269</v>
      </c>
      <c r="N9" s="36">
        <f>'SER_se-appl'!N28</f>
        <v>1.2234809083113269</v>
      </c>
      <c r="O9" s="36">
        <f>'SER_se-appl'!O28</f>
        <v>1.3313249359589854</v>
      </c>
      <c r="P9" s="36">
        <f>'SER_se-appl'!P28</f>
        <v>1.3813314165534223</v>
      </c>
      <c r="Q9" s="36">
        <f>'SER_se-appl'!Q28</f>
        <v>1.4566573554953521</v>
      </c>
      <c r="R9" s="36">
        <f>'SER_se-appl'!R28</f>
        <v>1.4625402294967031</v>
      </c>
      <c r="S9" s="36">
        <f>'SER_se-appl'!S28</f>
        <v>1.5124577847463776</v>
      </c>
      <c r="T9" s="36">
        <f>'SER_se-appl'!T28</f>
        <v>1.5911942524263587</v>
      </c>
      <c r="U9" s="36">
        <f>'SER_se-appl'!U28</f>
        <v>1.5899747407824272</v>
      </c>
      <c r="V9" s="36">
        <f>'SER_se-appl'!V28</f>
        <v>1.73135744294256</v>
      </c>
      <c r="W9" s="36">
        <f>'SER_se-appl'!W28</f>
        <v>1.7511289611691723</v>
      </c>
      <c r="X9" s="36">
        <f>'SER_se-appl'!X28</f>
        <v>1.5359334396523359</v>
      </c>
      <c r="Y9" s="36">
        <f>'SER_se-appl'!Y28</f>
        <v>1.5633107438884757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0.51162815203059075</v>
      </c>
      <c r="D10" s="38">
        <f>'SER_se-appl'!D36</f>
        <v>0.52609985837030671</v>
      </c>
      <c r="E10" s="38">
        <f>'SER_se-appl'!E36</f>
        <v>0.54098090552434641</v>
      </c>
      <c r="F10" s="38">
        <f>'SER_se-appl'!F36</f>
        <v>0.55628287194091186</v>
      </c>
      <c r="G10" s="38">
        <f>'SER_se-appl'!G36</f>
        <v>0.57201766357149708</v>
      </c>
      <c r="H10" s="38">
        <f>'SER_se-appl'!H36</f>
        <v>0.58819752313450735</v>
      </c>
      <c r="I10" s="38">
        <f>'SER_se-appl'!I36</f>
        <v>0.60483503964091234</v>
      </c>
      <c r="J10" s="38">
        <f>'SER_se-appl'!J36</f>
        <v>0.62194315818934598</v>
      </c>
      <c r="K10" s="38">
        <f>'SER_se-appl'!K36</f>
        <v>0.639535190038238</v>
      </c>
      <c r="L10" s="38">
        <f>'SER_se-appl'!L36</f>
        <v>0.65762482296288383</v>
      </c>
      <c r="M10" s="38">
        <f>'SER_se-appl'!M36</f>
        <v>0.67622613190543035</v>
      </c>
      <c r="N10" s="38">
        <f>'SER_se-appl'!N36</f>
        <v>0.69535358992613894</v>
      </c>
      <c r="O10" s="38">
        <f>'SER_se-appl'!O36</f>
        <v>0.71502207946437224</v>
      </c>
      <c r="P10" s="38">
        <f>'SER_se-appl'!P36</f>
        <v>0.73524690391813508</v>
      </c>
      <c r="Q10" s="38">
        <f>'SER_se-appl'!Q36</f>
        <v>0.75604379955114354</v>
      </c>
      <c r="R10" s="38">
        <f>'SER_se-appl'!R36</f>
        <v>0.7774289477366807</v>
      </c>
      <c r="S10" s="38">
        <f>'SER_se-appl'!S36</f>
        <v>0.79941898754779572</v>
      </c>
      <c r="T10" s="38">
        <f>'SER_se-appl'!T36</f>
        <v>0.82203102870360212</v>
      </c>
      <c r="U10" s="38">
        <f>'SER_se-appl'!U36</f>
        <v>0.79397896312923066</v>
      </c>
      <c r="V10" s="38">
        <f>'SER_se-appl'!V36</f>
        <v>0.93365361784453782</v>
      </c>
      <c r="W10" s="38">
        <f>'SER_se-appl'!W36</f>
        <v>0.96024655011812143</v>
      </c>
      <c r="X10" s="38">
        <f>'SER_se-appl'!X36</f>
        <v>0.9933687251569836</v>
      </c>
      <c r="Y10" s="38">
        <f>'SER_se-appl'!Y36</f>
        <v>1.1594234264701555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8759.9999999999982</v>
      </c>
      <c r="C12" s="204">
        <f>'SER_se-appl'!C44</f>
        <v>8760</v>
      </c>
      <c r="D12" s="204">
        <f>'SER_se-appl'!D44</f>
        <v>8759.9999999999982</v>
      </c>
      <c r="E12" s="204">
        <f>'SER_se-appl'!E44</f>
        <v>8760.0000000000018</v>
      </c>
      <c r="F12" s="204">
        <f>'SER_se-appl'!F44</f>
        <v>8759.9999999999964</v>
      </c>
      <c r="G12" s="204">
        <f>'SER_se-appl'!G44</f>
        <v>8760</v>
      </c>
      <c r="H12" s="204">
        <f>'SER_se-appl'!H44</f>
        <v>8760</v>
      </c>
      <c r="I12" s="204">
        <f>'SER_se-appl'!I44</f>
        <v>8760</v>
      </c>
      <c r="J12" s="204">
        <f>'SER_se-appl'!J44</f>
        <v>8760</v>
      </c>
      <c r="K12" s="204">
        <f>'SER_se-appl'!K44</f>
        <v>8760.0000000000018</v>
      </c>
      <c r="L12" s="204">
        <f>'SER_se-appl'!L44</f>
        <v>8759.9999999999982</v>
      </c>
      <c r="M12" s="204">
        <f>'SER_se-appl'!M44</f>
        <v>8760</v>
      </c>
      <c r="N12" s="204">
        <f>'SER_se-appl'!N44</f>
        <v>8760</v>
      </c>
      <c r="O12" s="204">
        <f>'SER_se-appl'!O44</f>
        <v>8760</v>
      </c>
      <c r="P12" s="204">
        <f>'SER_se-appl'!P44</f>
        <v>8759.9999999999982</v>
      </c>
      <c r="Q12" s="204">
        <f>'SER_se-appl'!Q44</f>
        <v>8759.9999999999982</v>
      </c>
      <c r="R12" s="204">
        <f>'SER_se-appl'!R44</f>
        <v>8760.0000000000018</v>
      </c>
      <c r="S12" s="204">
        <f>'SER_se-appl'!S44</f>
        <v>8760</v>
      </c>
      <c r="T12" s="204">
        <f>'SER_se-appl'!T44</f>
        <v>8760</v>
      </c>
      <c r="U12" s="204">
        <f>'SER_se-appl'!U44</f>
        <v>8760.0000000000018</v>
      </c>
      <c r="V12" s="204">
        <f>'SER_se-appl'!V44</f>
        <v>8760</v>
      </c>
      <c r="W12" s="204">
        <f>'SER_se-appl'!W44</f>
        <v>8760</v>
      </c>
      <c r="X12" s="204">
        <f>'SER_se-appl'!X44</f>
        <v>8760</v>
      </c>
      <c r="Y12" s="204">
        <f>'SER_se-appl'!Y44</f>
        <v>8760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0.76615583519707542</v>
      </c>
      <c r="C14" s="59">
        <f>'SER_se-appl'!C52</f>
        <v>0.76094438863063485</v>
      </c>
      <c r="D14" s="59">
        <f>'SER_se-appl'!D52</f>
        <v>0.7545383953645336</v>
      </c>
      <c r="E14" s="59">
        <f>'SER_se-appl'!E52</f>
        <v>0.74774715135004433</v>
      </c>
      <c r="F14" s="59">
        <f>'SER_se-appl'!F52</f>
        <v>0.74051896309376686</v>
      </c>
      <c r="G14" s="59">
        <f>'SER_se-appl'!G52</f>
        <v>0.73203841726613739</v>
      </c>
      <c r="H14" s="59">
        <f>'SER_se-appl'!H52</f>
        <v>0.72195056321419337</v>
      </c>
      <c r="I14" s="59">
        <f>'SER_se-appl'!I52</f>
        <v>0.71096682938593037</v>
      </c>
      <c r="J14" s="59">
        <f>'SER_se-appl'!J52</f>
        <v>0.70169183773757127</v>
      </c>
      <c r="K14" s="59">
        <f>'SER_se-appl'!K52</f>
        <v>0.69492250549521928</v>
      </c>
      <c r="L14" s="59">
        <f>'SER_se-appl'!L52</f>
        <v>0.68507064657114591</v>
      </c>
      <c r="M14" s="59">
        <f>'SER_se-appl'!M52</f>
        <v>0.67584614299431323</v>
      </c>
      <c r="N14" s="59">
        <f>'SER_se-appl'!N52</f>
        <v>0.6660395794465882</v>
      </c>
      <c r="O14" s="59">
        <f>'SER_se-appl'!O52</f>
        <v>0.6553089304595765</v>
      </c>
      <c r="P14" s="59">
        <f>'SER_se-appl'!P52</f>
        <v>0.64378464949439484</v>
      </c>
      <c r="Q14" s="59">
        <f>'SER_se-appl'!Q52</f>
        <v>0.63135269579509168</v>
      </c>
      <c r="R14" s="59">
        <f>'SER_se-appl'!R52</f>
        <v>0.61933981833826357</v>
      </c>
      <c r="S14" s="59">
        <f>'SER_se-appl'!S52</f>
        <v>0.60740294264420025</v>
      </c>
      <c r="T14" s="59">
        <f>'SER_se-appl'!T52</f>
        <v>0.59547283457884048</v>
      </c>
      <c r="U14" s="59">
        <f>'SER_se-appl'!U52</f>
        <v>0.58695110714582144</v>
      </c>
      <c r="V14" s="59">
        <f>'SER_se-appl'!V52</f>
        <v>0.57802274935093767</v>
      </c>
      <c r="W14" s="59">
        <f>'SER_se-appl'!W52</f>
        <v>0.56961186933609975</v>
      </c>
      <c r="X14" s="59">
        <f>'SER_se-appl'!X52</f>
        <v>0.56218593640076808</v>
      </c>
      <c r="Y14" s="59">
        <f>'SER_se-appl'!Y52</f>
        <v>0.55458652940586506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0.6868776068895166</v>
      </c>
      <c r="D15" s="63">
        <f>'SER_se-appl'!D60</f>
        <v>0.67821312308359238</v>
      </c>
      <c r="E15" s="63">
        <f>'SER_se-appl'!E60</f>
        <v>0.66981350796216332</v>
      </c>
      <c r="F15" s="63">
        <f>'SER_se-appl'!F60</f>
        <v>0.66097242361379016</v>
      </c>
      <c r="G15" s="63">
        <f>'SER_se-appl'!G60</f>
        <v>0.6512800511817447</v>
      </c>
      <c r="H15" s="63">
        <f>'SER_se-appl'!H60</f>
        <v>0.6421435775979849</v>
      </c>
      <c r="I15" s="63">
        <f>'SER_se-appl'!I60</f>
        <v>0.63219319144339237</v>
      </c>
      <c r="J15" s="63">
        <f>'SER_se-appl'!J60</f>
        <v>0.62299422991311781</v>
      </c>
      <c r="K15" s="63">
        <f>'SER_se-appl'!K60</f>
        <v>0.61181538439396377</v>
      </c>
      <c r="L15" s="63">
        <f>'SER_se-appl'!L60</f>
        <v>0.60195919805958331</v>
      </c>
      <c r="M15" s="63">
        <f>'SER_se-appl'!M60</f>
        <v>0.59153497909614261</v>
      </c>
      <c r="N15" s="63">
        <f>'SER_se-appl'!N60</f>
        <v>0.57962245983035376</v>
      </c>
      <c r="O15" s="63">
        <f>'SER_se-appl'!O60</f>
        <v>0.56646650706660961</v>
      </c>
      <c r="P15" s="63">
        <f>'SER_se-appl'!P60</f>
        <v>0.550197278647101</v>
      </c>
      <c r="Q15" s="63">
        <f>'SER_se-appl'!Q60</f>
        <v>0.53343563794506965</v>
      </c>
      <c r="R15" s="63">
        <f>'SER_se-appl'!R60</f>
        <v>0.53005516030471989</v>
      </c>
      <c r="S15" s="63">
        <f>'SER_se-appl'!S60</f>
        <v>0.52512549876939596</v>
      </c>
      <c r="T15" s="63">
        <f>'SER_se-appl'!T60</f>
        <v>0.52042942593606234</v>
      </c>
      <c r="U15" s="63">
        <f>'SER_se-appl'!U60</f>
        <v>0.51605006879628734</v>
      </c>
      <c r="V15" s="63">
        <f>'SER_se-appl'!V60</f>
        <v>0.5117168388143698</v>
      </c>
      <c r="W15" s="63">
        <f>'SER_se-appl'!W60</f>
        <v>0.50864653778148361</v>
      </c>
      <c r="X15" s="63">
        <f>'SER_se-appl'!X60</f>
        <v>0.50557623674859731</v>
      </c>
      <c r="Y15" s="63">
        <f>'SER_se-appl'!Y60</f>
        <v>0.50250593571571112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29.008441754238088</v>
      </c>
      <c r="C3" s="198">
        <f>'SER_se-appl'!C5</f>
        <v>29.780891553005105</v>
      </c>
      <c r="D3" s="198">
        <f>'SER_se-appl'!D5</f>
        <v>30.594399602373866</v>
      </c>
      <c r="E3" s="198">
        <f>'SER_se-appl'!E5</f>
        <v>31.703316731571974</v>
      </c>
      <c r="F3" s="198">
        <f>'SER_se-appl'!F5</f>
        <v>32.473073901543586</v>
      </c>
      <c r="G3" s="198">
        <f>'SER_se-appl'!G5</f>
        <v>33.194757550727019</v>
      </c>
      <c r="H3" s="198">
        <f>'SER_se-appl'!H5</f>
        <v>33.883433771084896</v>
      </c>
      <c r="I3" s="198">
        <f>'SER_se-appl'!I5</f>
        <v>34.311259481625008</v>
      </c>
      <c r="J3" s="198">
        <f>'SER_se-appl'!J5</f>
        <v>34.869254847483077</v>
      </c>
      <c r="K3" s="198">
        <f>'SER_se-appl'!K5</f>
        <v>35.654838878430382</v>
      </c>
      <c r="L3" s="198">
        <f>'SER_se-appl'!L5</f>
        <v>36.28556596066452</v>
      </c>
      <c r="M3" s="198">
        <f>'SER_se-appl'!M5</f>
        <v>36.658476128048761</v>
      </c>
      <c r="N3" s="198">
        <f>'SER_se-appl'!N5</f>
        <v>37.26886111963389</v>
      </c>
      <c r="O3" s="198">
        <f>'SER_se-appl'!O5</f>
        <v>37.722358827470948</v>
      </c>
      <c r="P3" s="198">
        <f>'SER_se-appl'!P5</f>
        <v>38.136529911843134</v>
      </c>
      <c r="Q3" s="198">
        <f>'SER_se-appl'!Q5</f>
        <v>38.524369263675617</v>
      </c>
      <c r="R3" s="198">
        <f>'SER_se-appl'!R5</f>
        <v>38.641658245418533</v>
      </c>
      <c r="S3" s="198">
        <f>'SER_se-appl'!S5</f>
        <v>39.587707988162613</v>
      </c>
      <c r="T3" s="198">
        <f>'SER_se-appl'!T5</f>
        <v>39.32402007130797</v>
      </c>
      <c r="U3" s="198">
        <f>'SER_se-appl'!U5</f>
        <v>38.617206089926611</v>
      </c>
      <c r="V3" s="198">
        <f>'SER_se-appl'!V5</f>
        <v>37.81263011571113</v>
      </c>
      <c r="W3" s="198">
        <f>'SER_se-appl'!W5</f>
        <v>37.340028464193111</v>
      </c>
      <c r="X3" s="198">
        <f>'SER_se-appl'!X5</f>
        <v>36.313773251582695</v>
      </c>
      <c r="Y3" s="198">
        <f>'SER_se-appl'!Y5</f>
        <v>35.281843776574796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86.944873617134604</v>
      </c>
      <c r="C5" s="59">
        <f>'SER_se-appl'!C13</f>
        <v>89.131307033288138</v>
      </c>
      <c r="D5" s="59">
        <f>'SER_se-appl'!D13</f>
        <v>91.512654659266119</v>
      </c>
      <c r="E5" s="59">
        <f>'SER_se-appl'!E13</f>
        <v>94.750710246929387</v>
      </c>
      <c r="F5" s="59">
        <f>'SER_se-appl'!F13</f>
        <v>96.983030035311572</v>
      </c>
      <c r="G5" s="59">
        <f>'SER_se-appl'!G13</f>
        <v>99.012684106987734</v>
      </c>
      <c r="H5" s="59">
        <f>'SER_se-appl'!H13</f>
        <v>100.96109662274617</v>
      </c>
      <c r="I5" s="59">
        <f>'SER_se-appl'!I13</f>
        <v>102.14720583577878</v>
      </c>
      <c r="J5" s="59">
        <f>'SER_se-appl'!J13</f>
        <v>103.53968471965368</v>
      </c>
      <c r="K5" s="59">
        <f>'SER_se-appl'!K13</f>
        <v>105.60495792974827</v>
      </c>
      <c r="L5" s="59">
        <f>'SER_se-appl'!L13</f>
        <v>107.3183341866992</v>
      </c>
      <c r="M5" s="59">
        <f>'SER_se-appl'!M13</f>
        <v>108.78581270256336</v>
      </c>
      <c r="N5" s="59">
        <f>'SER_se-appl'!N13</f>
        <v>111.08384902712238</v>
      </c>
      <c r="O5" s="59">
        <f>'SER_se-appl'!O13</f>
        <v>113.05396810394603</v>
      </c>
      <c r="P5" s="59">
        <f>'SER_se-appl'!P13</f>
        <v>115.07096098642162</v>
      </c>
      <c r="Q5" s="59">
        <f>'SER_se-appl'!Q13</f>
        <v>117.0180140252114</v>
      </c>
      <c r="R5" s="59">
        <f>'SER_se-appl'!R13</f>
        <v>117.80634220923368</v>
      </c>
      <c r="S5" s="59">
        <f>'SER_se-appl'!S13</f>
        <v>117.89282119768674</v>
      </c>
      <c r="T5" s="59">
        <f>'SER_se-appl'!T13</f>
        <v>117.67004488348908</v>
      </c>
      <c r="U5" s="59">
        <f>'SER_se-appl'!U13</f>
        <v>116.579368258339</v>
      </c>
      <c r="V5" s="59">
        <f>'SER_se-appl'!V13</f>
        <v>114.83332070709658</v>
      </c>
      <c r="W5" s="59">
        <f>'SER_se-appl'!W13</f>
        <v>113.21635489504445</v>
      </c>
      <c r="X5" s="59">
        <f>'SER_se-appl'!X13</f>
        <v>110.78549026363633</v>
      </c>
      <c r="Y5" s="59">
        <f>'SER_se-appl'!Y13</f>
        <v>108.30695980646004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7.6563210094380676E-2</v>
      </c>
      <c r="C6" s="201">
        <f>'SER_se-appl'!C69</f>
        <v>7.9631913859322875E-2</v>
      </c>
      <c r="D6" s="201">
        <f>'SER_se-appl'!D69</f>
        <v>8.2791719547593901E-2</v>
      </c>
      <c r="E6" s="201">
        <f>'SER_se-appl'!E69</f>
        <v>8.7104723614241278E-2</v>
      </c>
      <c r="F6" s="201">
        <f>'SER_se-appl'!F69</f>
        <v>9.0719917659045288E-2</v>
      </c>
      <c r="G6" s="201">
        <f>'SER_se-appl'!G69</f>
        <v>9.4333341885779146E-2</v>
      </c>
      <c r="H6" s="201">
        <f>'SER_se-appl'!H69</f>
        <v>9.8246405492262212E-2</v>
      </c>
      <c r="I6" s="201">
        <f>'SER_se-appl'!I69</f>
        <v>0.10175957438446931</v>
      </c>
      <c r="J6" s="201">
        <f>'SER_se-appl'!J69</f>
        <v>0.10464696316813771</v>
      </c>
      <c r="K6" s="201">
        <f>'SER_se-appl'!K69</f>
        <v>0.10844430443176789</v>
      </c>
      <c r="L6" s="201">
        <f>'SER_se-appl'!L69</f>
        <v>0.11218940876384922</v>
      </c>
      <c r="M6" s="201">
        <f>'SER_se-appl'!M69</f>
        <v>0.11598582803539767</v>
      </c>
      <c r="N6" s="201">
        <f>'SER_se-appl'!N69</f>
        <v>0.12106951077889769</v>
      </c>
      <c r="O6" s="201">
        <f>'SER_se-appl'!O69</f>
        <v>0.12640218207838447</v>
      </c>
      <c r="P6" s="201">
        <f>'SER_se-appl'!P69</f>
        <v>0.13266305026690112</v>
      </c>
      <c r="Q6" s="201">
        <f>'SER_se-appl'!Q69</f>
        <v>0.13987495614086209</v>
      </c>
      <c r="R6" s="201">
        <f>'SER_se-appl'!R69</f>
        <v>0.14699529648445922</v>
      </c>
      <c r="S6" s="201">
        <f>'SER_se-appl'!S69</f>
        <v>0.15412420444299829</v>
      </c>
      <c r="T6" s="201">
        <f>'SER_se-appl'!T69</f>
        <v>0.16121248652836853</v>
      </c>
      <c r="U6" s="201">
        <f>'SER_se-appl'!U69</f>
        <v>0.16816218709870162</v>
      </c>
      <c r="V6" s="201">
        <f>'SER_se-appl'!V69</f>
        <v>0.17484098052507588</v>
      </c>
      <c r="W6" s="201">
        <f>'SER_se-appl'!W69</f>
        <v>0.18136623236253047</v>
      </c>
      <c r="X6" s="201">
        <f>'SER_se-appl'!X69</f>
        <v>0.18607827428294302</v>
      </c>
      <c r="Y6" s="201">
        <f>'SER_se-appl'!Y69</f>
        <v>0.18944935744903355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413.33851011849896</v>
      </c>
      <c r="C8" s="34">
        <f>'SER_se-appl'!C21</f>
        <v>428.32278452399026</v>
      </c>
      <c r="D8" s="34">
        <f>'SER_se-appl'!D21</f>
        <v>445.33260265224976</v>
      </c>
      <c r="E8" s="34">
        <f>'SER_se-appl'!E21</f>
        <v>468.17682712664788</v>
      </c>
      <c r="F8" s="34">
        <f>'SER_se-appl'!F21</f>
        <v>487.3360576746839</v>
      </c>
      <c r="G8" s="34">
        <f>'SER_se-appl'!G21</f>
        <v>506.82333094959733</v>
      </c>
      <c r="H8" s="34">
        <f>'SER_se-appl'!H21</f>
        <v>527.87086296872951</v>
      </c>
      <c r="I8" s="34">
        <f>'SER_se-appl'!I21</f>
        <v>546.77250989114282</v>
      </c>
      <c r="J8" s="34">
        <f>'SER_se-appl'!J21</f>
        <v>562.58877139755111</v>
      </c>
      <c r="K8" s="34">
        <f>'SER_se-appl'!K21</f>
        <v>583.69073261785195</v>
      </c>
      <c r="L8" s="34">
        <f>'SER_se-appl'!L21</f>
        <v>604.74691089474049</v>
      </c>
      <c r="M8" s="34">
        <f>'SER_se-appl'!M21</f>
        <v>625.44731444616798</v>
      </c>
      <c r="N8" s="34">
        <f>'SER_se-appl'!N21</f>
        <v>654.29862063163387</v>
      </c>
      <c r="O8" s="34">
        <f>'SER_se-appl'!O21</f>
        <v>683.94147726827759</v>
      </c>
      <c r="P8" s="34">
        <f>'SER_se-appl'!P21</f>
        <v>718.49631442997281</v>
      </c>
      <c r="Q8" s="34">
        <f>'SER_se-appl'!Q21</f>
        <v>758.31095359930657</v>
      </c>
      <c r="R8" s="34">
        <f>'SER_se-appl'!R21</f>
        <v>797.63352153938979</v>
      </c>
      <c r="S8" s="34">
        <f>'SER_se-appl'!S21</f>
        <v>837.71791574981967</v>
      </c>
      <c r="T8" s="34">
        <f>'SER_se-appl'!T21</f>
        <v>877.49890967229339</v>
      </c>
      <c r="U8" s="34">
        <f>'SER_se-appl'!U21</f>
        <v>916.55471596869234</v>
      </c>
      <c r="V8" s="34">
        <f>'SER_se-appl'!V21</f>
        <v>954.25986690133743</v>
      </c>
      <c r="W8" s="34">
        <f>'SER_se-appl'!W21</f>
        <v>990.21990949452902</v>
      </c>
      <c r="X8" s="34">
        <f>'SER_se-appl'!X21</f>
        <v>1011.2818301848018</v>
      </c>
      <c r="Y8" s="34">
        <f>'SER_se-appl'!Y21</f>
        <v>1028.4811561244537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66.83528802167757</v>
      </c>
      <c r="D9" s="36">
        <f>'SER_se-appl'!D29</f>
        <v>71.092752481760726</v>
      </c>
      <c r="E9" s="36">
        <f>'SER_se-appl'!E29</f>
        <v>79.255152328893075</v>
      </c>
      <c r="F9" s="36">
        <f>'SER_se-appl'!F29</f>
        <v>77.998360107932569</v>
      </c>
      <c r="G9" s="36">
        <f>'SER_se-appl'!G29</f>
        <v>80.859126194904491</v>
      </c>
      <c r="H9" s="36">
        <f>'SER_se-appl'!H29</f>
        <v>85.061129076152213</v>
      </c>
      <c r="I9" s="36">
        <f>'SER_se-appl'!I29</f>
        <v>85.670701679822173</v>
      </c>
      <c r="J9" s="36">
        <f>'SER_se-appl'!J29</f>
        <v>82.651549528085866</v>
      </c>
      <c r="K9" s="36">
        <f>'SER_se-appl'!K29</f>
        <v>92.194713702061563</v>
      </c>
      <c r="L9" s="36">
        <f>'SER_se-appl'!L29</f>
        <v>100.31133060578162</v>
      </c>
      <c r="M9" s="36">
        <f>'SER_se-appl'!M29</f>
        <v>98.698763659359997</v>
      </c>
      <c r="N9" s="36">
        <f>'SER_se-appl'!N29</f>
        <v>109.71043238037032</v>
      </c>
      <c r="O9" s="36">
        <f>'SER_se-appl'!O29</f>
        <v>114.70398571279588</v>
      </c>
      <c r="P9" s="36">
        <f>'SER_se-appl'!P29</f>
        <v>120.22553884151739</v>
      </c>
      <c r="Q9" s="36">
        <f>'SER_se-appl'!Q29</f>
        <v>122.46618869741962</v>
      </c>
      <c r="R9" s="36">
        <f>'SER_se-appl'!R29</f>
        <v>131.51728164214478</v>
      </c>
      <c r="S9" s="36">
        <f>'SER_se-appl'!S29</f>
        <v>140.39572481621144</v>
      </c>
      <c r="T9" s="36">
        <f>'SER_se-appl'!T29</f>
        <v>138.47975758183372</v>
      </c>
      <c r="U9" s="36">
        <f>'SER_se-appl'!U29</f>
        <v>148.76623867676926</v>
      </c>
      <c r="V9" s="36">
        <f>'SER_se-appl'!V29</f>
        <v>152.40913664544098</v>
      </c>
      <c r="W9" s="36">
        <f>'SER_se-appl'!W29</f>
        <v>156.18558143470898</v>
      </c>
      <c r="X9" s="36">
        <f>'SER_se-appl'!X29</f>
        <v>143.52810938769244</v>
      </c>
      <c r="Y9" s="36">
        <f>'SER_se-appl'!Y29</f>
        <v>148.71660758179667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51.851013616186265</v>
      </c>
      <c r="D10" s="38">
        <f>'SER_se-appl'!D37</f>
        <v>54.08293435350123</v>
      </c>
      <c r="E10" s="38">
        <f>'SER_se-appl'!E37</f>
        <v>56.410927854494901</v>
      </c>
      <c r="F10" s="38">
        <f>'SER_se-appl'!F37</f>
        <v>58.839129559896548</v>
      </c>
      <c r="G10" s="38">
        <f>'SER_se-appl'!G37</f>
        <v>61.371852919991056</v>
      </c>
      <c r="H10" s="38">
        <f>'SER_se-appl'!H37</f>
        <v>64.013597057020093</v>
      </c>
      <c r="I10" s="38">
        <f>'SER_se-appl'!I37</f>
        <v>66.769054757408867</v>
      </c>
      <c r="J10" s="38">
        <f>'SER_se-appl'!J37</f>
        <v>66.83528802167757</v>
      </c>
      <c r="K10" s="38">
        <f>'SER_se-appl'!K37</f>
        <v>71.092752481760726</v>
      </c>
      <c r="L10" s="38">
        <f>'SER_se-appl'!L37</f>
        <v>79.255152328893018</v>
      </c>
      <c r="M10" s="38">
        <f>'SER_se-appl'!M37</f>
        <v>77.998360107932513</v>
      </c>
      <c r="N10" s="38">
        <f>'SER_se-appl'!N37</f>
        <v>80.859126194904434</v>
      </c>
      <c r="O10" s="38">
        <f>'SER_se-appl'!O37</f>
        <v>85.061129076152156</v>
      </c>
      <c r="P10" s="38">
        <f>'SER_se-appl'!P37</f>
        <v>85.670701679822173</v>
      </c>
      <c r="Q10" s="38">
        <f>'SER_se-appl'!Q37</f>
        <v>82.651549528085866</v>
      </c>
      <c r="R10" s="38">
        <f>'SER_se-appl'!R37</f>
        <v>92.194713702061563</v>
      </c>
      <c r="S10" s="38">
        <f>'SER_se-appl'!S37</f>
        <v>100.31133060578156</v>
      </c>
      <c r="T10" s="38">
        <f>'SER_se-appl'!T37</f>
        <v>98.698763659359997</v>
      </c>
      <c r="U10" s="38">
        <f>'SER_se-appl'!U37</f>
        <v>109.71043238037032</v>
      </c>
      <c r="V10" s="38">
        <f>'SER_se-appl'!V37</f>
        <v>114.703985712796</v>
      </c>
      <c r="W10" s="38">
        <f>'SER_se-appl'!W37</f>
        <v>120.22553884151739</v>
      </c>
      <c r="X10" s="38">
        <f>'SER_se-appl'!X37</f>
        <v>122.46618869741962</v>
      </c>
      <c r="Y10" s="38">
        <f>'SER_se-appl'!Y37</f>
        <v>131.51728164214478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3880.2538156234937</v>
      </c>
      <c r="C12" s="204">
        <f>'SER_se-appl'!C45</f>
        <v>3885.8598655138799</v>
      </c>
      <c r="D12" s="204">
        <f>'SER_se-appl'!D45</f>
        <v>3888.1274802968492</v>
      </c>
      <c r="E12" s="204">
        <f>'SER_se-appl'!E45</f>
        <v>3891.3647467896521</v>
      </c>
      <c r="F12" s="204">
        <f>'SER_se-appl'!F45</f>
        <v>3894.1023943822443</v>
      </c>
      <c r="G12" s="204">
        <f>'SER_se-appl'!G45</f>
        <v>3899.0462060174546</v>
      </c>
      <c r="H12" s="204">
        <f>'SER_se-appl'!H45</f>
        <v>3903.1304922349277</v>
      </c>
      <c r="I12" s="204">
        <f>'SER_se-appl'!I45</f>
        <v>3906.5184848309227</v>
      </c>
      <c r="J12" s="204">
        <f>'SER_se-appl'!J45</f>
        <v>3916.6570284065342</v>
      </c>
      <c r="K12" s="204">
        <f>'SER_se-appl'!K45</f>
        <v>3926.5748908492915</v>
      </c>
      <c r="L12" s="204">
        <f>'SER_se-appl'!L45</f>
        <v>3932.2370713319392</v>
      </c>
      <c r="M12" s="204">
        <f>'SER_se-appl'!M45</f>
        <v>3919.0595425791321</v>
      </c>
      <c r="N12" s="204">
        <f>'SER_se-appl'!N45</f>
        <v>3901.8890560365226</v>
      </c>
      <c r="O12" s="204">
        <f>'SER_se-appl'!O45</f>
        <v>3880.5451990868632</v>
      </c>
      <c r="P12" s="204">
        <f>'SER_se-appl'!P45</f>
        <v>3854.3854945912194</v>
      </c>
      <c r="Q12" s="204">
        <f>'SER_se-appl'!Q45</f>
        <v>3828.7986535134501</v>
      </c>
      <c r="R12" s="204">
        <f>'SER_se-appl'!R45</f>
        <v>3814.7562938168649</v>
      </c>
      <c r="S12" s="204">
        <f>'SER_se-appl'!S45</f>
        <v>3905.2848106018955</v>
      </c>
      <c r="T12" s="204">
        <f>'SER_se-appl'!T45</f>
        <v>3886.6166311243014</v>
      </c>
      <c r="U12" s="204">
        <f>'SER_se-appl'!U45</f>
        <v>3852.4664658552974</v>
      </c>
      <c r="V12" s="204">
        <f>'SER_se-appl'!V45</f>
        <v>3829.5582287253637</v>
      </c>
      <c r="W12" s="204">
        <f>'SER_se-appl'!W45</f>
        <v>3835.7049336303439</v>
      </c>
      <c r="X12" s="204">
        <f>'SER_se-appl'!X45</f>
        <v>3812.1344402673094</v>
      </c>
      <c r="Y12" s="204">
        <f>'SER_se-appl'!Y45</f>
        <v>3788.5639469042749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210.3478661889225</v>
      </c>
      <c r="C14" s="59">
        <f>'SER_se-appl'!C53</f>
        <v>208.09377939663611</v>
      </c>
      <c r="D14" s="59">
        <f>'SER_se-appl'!D53</f>
        <v>205.49282516987938</v>
      </c>
      <c r="E14" s="59">
        <f>'SER_se-appl'!E53</f>
        <v>202.38231530690027</v>
      </c>
      <c r="F14" s="59">
        <f>'SER_se-appl'!F53</f>
        <v>199.00647306514631</v>
      </c>
      <c r="G14" s="59">
        <f>'SER_se-appl'!G53</f>
        <v>195.35936501083131</v>
      </c>
      <c r="H14" s="59">
        <f>'SER_se-appl'!H53</f>
        <v>191.26097632088286</v>
      </c>
      <c r="I14" s="59">
        <f>'SER_se-appl'!I53</f>
        <v>186.81847384045571</v>
      </c>
      <c r="J14" s="59">
        <f>'SER_se-appl'!J53</f>
        <v>184.04150595193408</v>
      </c>
      <c r="K14" s="59">
        <f>'SER_se-appl'!K53</f>
        <v>180.9262200482612</v>
      </c>
      <c r="L14" s="59">
        <f>'SER_se-appl'!L53</f>
        <v>177.45991298726707</v>
      </c>
      <c r="M14" s="59">
        <f>'SER_se-appl'!M53</f>
        <v>173.93281606603895</v>
      </c>
      <c r="N14" s="59">
        <f>'SER_se-appl'!N53</f>
        <v>169.77545959043357</v>
      </c>
      <c r="O14" s="59">
        <f>'SER_se-appl'!O53</f>
        <v>165.29772189792249</v>
      </c>
      <c r="P14" s="59">
        <f>'SER_se-appl'!P53</f>
        <v>160.15525574089335</v>
      </c>
      <c r="Q14" s="59">
        <f>'SER_se-appl'!Q53</f>
        <v>154.31402311912802</v>
      </c>
      <c r="R14" s="59">
        <f>'SER_se-appl'!R53</f>
        <v>147.69482353484062</v>
      </c>
      <c r="S14" s="59">
        <f>'SER_se-appl'!S53</f>
        <v>140.73092980489014</v>
      </c>
      <c r="T14" s="59">
        <f>'SER_se-appl'!T53</f>
        <v>134.09708386695726</v>
      </c>
      <c r="U14" s="59">
        <f>'SER_se-appl'!U53</f>
        <v>127.19302647974278</v>
      </c>
      <c r="V14" s="59">
        <f>'SER_se-appl'!V53</f>
        <v>120.33757751961436</v>
      </c>
      <c r="W14" s="59">
        <f>'SER_se-appl'!W53</f>
        <v>114.33455721248551</v>
      </c>
      <c r="X14" s="59">
        <f>'SER_se-appl'!X53</f>
        <v>109.54957061118301</v>
      </c>
      <c r="Y14" s="59">
        <f>'SER_se-appl'!Y53</f>
        <v>105.30767546056441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195.90225280101106</v>
      </c>
      <c r="D15" s="63">
        <f>'SER_se-appl'!D61</f>
        <v>193.51589274873183</v>
      </c>
      <c r="E15" s="63">
        <f>'SER_se-appl'!E61</f>
        <v>190.57403143854984</v>
      </c>
      <c r="F15" s="63">
        <f>'SER_se-appl'!F61</f>
        <v>187.29887550846337</v>
      </c>
      <c r="G15" s="63">
        <f>'SER_se-appl'!G61</f>
        <v>184.75456117899671</v>
      </c>
      <c r="H15" s="63">
        <f>'SER_se-appl'!H61</f>
        <v>181.20540170564738</v>
      </c>
      <c r="I15" s="63">
        <f>'SER_se-appl'!I61</f>
        <v>177.78350252840477</v>
      </c>
      <c r="J15" s="63">
        <f>'SER_se-appl'!J61</f>
        <v>175.26183667014743</v>
      </c>
      <c r="K15" s="63">
        <f>'SER_se-appl'!K61</f>
        <v>171.62427257706545</v>
      </c>
      <c r="L15" s="63">
        <f>'SER_se-appl'!L61</f>
        <v>167.65155089643659</v>
      </c>
      <c r="M15" s="63">
        <f>'SER_se-appl'!M61</f>
        <v>162.88434687053459</v>
      </c>
      <c r="N15" s="63">
        <f>'SER_se-appl'!N61</f>
        <v>157.11476409329907</v>
      </c>
      <c r="O15" s="63">
        <f>'SER_se-appl'!O61</f>
        <v>151.55231993533494</v>
      </c>
      <c r="P15" s="63">
        <f>'SER_se-appl'!P61</f>
        <v>143.46228311704016</v>
      </c>
      <c r="Q15" s="63">
        <f>'SER_se-appl'!Q61</f>
        <v>134.18165117652595</v>
      </c>
      <c r="R15" s="63">
        <f>'SER_se-appl'!R61</f>
        <v>126.30415296894594</v>
      </c>
      <c r="S15" s="63">
        <f>'SER_se-appl'!S61</f>
        <v>120.40130964903595</v>
      </c>
      <c r="T15" s="63">
        <f>'SER_se-appl'!T61</f>
        <v>114.48393337934478</v>
      </c>
      <c r="U15" s="63">
        <f>'SER_se-appl'!U61</f>
        <v>108.53572840506986</v>
      </c>
      <c r="V15" s="63">
        <f>'SER_se-appl'!V61</f>
        <v>102.60282246555892</v>
      </c>
      <c r="W15" s="63">
        <f>'SER_se-appl'!W61</f>
        <v>100.07879303290618</v>
      </c>
      <c r="X15" s="63">
        <f>'SER_se-appl'!X61</f>
        <v>97.554763600253423</v>
      </c>
      <c r="Y15" s="63">
        <f>'SER_se-appl'!Y61</f>
        <v>95.030734167600684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44.906282443742739</v>
      </c>
      <c r="C3" s="198">
        <f>'SER_se-appl'!C6</f>
        <v>46.044769485537671</v>
      </c>
      <c r="D3" s="198">
        <f>'SER_se-appl'!D6</f>
        <v>47.361986977848872</v>
      </c>
      <c r="E3" s="198">
        <f>'SER_se-appl'!E6</f>
        <v>48.817557991952526</v>
      </c>
      <c r="F3" s="198">
        <f>'SER_se-appl'!F6</f>
        <v>50.196268407852649</v>
      </c>
      <c r="G3" s="198">
        <f>'SER_se-appl'!G6</f>
        <v>51.832199957379466</v>
      </c>
      <c r="H3" s="198">
        <f>'SER_se-appl'!H6</f>
        <v>53.95458950841941</v>
      </c>
      <c r="I3" s="198">
        <f>'SER_se-appl'!I6</f>
        <v>56.908498625905288</v>
      </c>
      <c r="J3" s="198">
        <f>'SER_se-appl'!J6</f>
        <v>59.167464033032573</v>
      </c>
      <c r="K3" s="198">
        <f>'SER_se-appl'!K6</f>
        <v>59.385177233787104</v>
      </c>
      <c r="L3" s="198">
        <f>'SER_se-appl'!L6</f>
        <v>61.351821179057573</v>
      </c>
      <c r="M3" s="198">
        <f>'SER_se-appl'!M6</f>
        <v>62.177635020447397</v>
      </c>
      <c r="N3" s="198">
        <f>'SER_se-appl'!N6</f>
        <v>62.771364233947835</v>
      </c>
      <c r="O3" s="198">
        <f>'SER_se-appl'!O6</f>
        <v>62.744920405729339</v>
      </c>
      <c r="P3" s="198">
        <f>'SER_se-appl'!P6</f>
        <v>63.5356885626409</v>
      </c>
      <c r="Q3" s="198">
        <f>'SER_se-appl'!Q6</f>
        <v>64.498525383147538</v>
      </c>
      <c r="R3" s="198">
        <f>'SER_se-appl'!R6</f>
        <v>62.361953702174226</v>
      </c>
      <c r="S3" s="198">
        <f>'SER_se-appl'!S6</f>
        <v>62.499827024366553</v>
      </c>
      <c r="T3" s="198">
        <f>'SER_se-appl'!T6</f>
        <v>59.564336928701081</v>
      </c>
      <c r="U3" s="198">
        <f>'SER_se-appl'!U6</f>
        <v>55.902739698322968</v>
      </c>
      <c r="V3" s="198">
        <f>'SER_se-appl'!V6</f>
        <v>52.602529314399156</v>
      </c>
      <c r="W3" s="198">
        <f>'SER_se-appl'!W6</f>
        <v>53.106620534522555</v>
      </c>
      <c r="X3" s="198">
        <f>'SER_se-appl'!X6</f>
        <v>47.852770326414721</v>
      </c>
      <c r="Y3" s="198">
        <f>'SER_se-appl'!Y6</f>
        <v>44.070893785169908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239.45830132261781</v>
      </c>
      <c r="C5" s="59">
        <f>'SER_se-appl'!C14</f>
        <v>243.23252423665511</v>
      </c>
      <c r="D5" s="59">
        <f>'SER_se-appl'!D14</f>
        <v>248.09764209654463</v>
      </c>
      <c r="E5" s="59">
        <f>'SER_se-appl'!E14</f>
        <v>253.58002891124295</v>
      </c>
      <c r="F5" s="59">
        <f>'SER_se-appl'!F14</f>
        <v>258.5982127235236</v>
      </c>
      <c r="G5" s="59">
        <f>'SER_se-appl'!G14</f>
        <v>264.65968058995634</v>
      </c>
      <c r="H5" s="59">
        <f>'SER_se-appl'!H14</f>
        <v>273.17591502504422</v>
      </c>
      <c r="I5" s="59">
        <f>'SER_se-appl'!I14</f>
        <v>285.48415861171259</v>
      </c>
      <c r="J5" s="59">
        <f>'SER_se-appl'!J14</f>
        <v>294.1369307283731</v>
      </c>
      <c r="K5" s="59">
        <f>'SER_se-appl'!K14</f>
        <v>293.57490594627694</v>
      </c>
      <c r="L5" s="59">
        <f>'SER_se-appl'!L14</f>
        <v>300.97981213882878</v>
      </c>
      <c r="M5" s="59">
        <f>'SER_se-appl'!M14</f>
        <v>303.45701168562044</v>
      </c>
      <c r="N5" s="59">
        <f>'SER_se-appl'!N14</f>
        <v>305.08267468194049</v>
      </c>
      <c r="O5" s="59">
        <f>'SER_se-appl'!O14</f>
        <v>304.23678095223249</v>
      </c>
      <c r="P5" s="59">
        <f>'SER_se-appl'!P14</f>
        <v>306.04733919605462</v>
      </c>
      <c r="Q5" s="59">
        <f>'SER_se-appl'!Q14</f>
        <v>308.9175312560634</v>
      </c>
      <c r="R5" s="59">
        <f>'SER_se-appl'!R14</f>
        <v>298.45881650553116</v>
      </c>
      <c r="S5" s="59">
        <f>'SER_se-appl'!S14</f>
        <v>288.90789798559837</v>
      </c>
      <c r="T5" s="59">
        <f>'SER_se-appl'!T14</f>
        <v>276.21616281047346</v>
      </c>
      <c r="U5" s="59">
        <f>'SER_se-appl'!U14</f>
        <v>261.82779843102037</v>
      </c>
      <c r="V5" s="59">
        <f>'SER_se-appl'!V14</f>
        <v>245.38490962477749</v>
      </c>
      <c r="W5" s="59">
        <f>'SER_se-appl'!W14</f>
        <v>230.8989849545309</v>
      </c>
      <c r="X5" s="59">
        <f>'SER_se-appl'!X14</f>
        <v>219.02964537527052</v>
      </c>
      <c r="Y5" s="59">
        <f>'SER_se-appl'!Y14</f>
        <v>207.18315679033932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159.95968183727712</v>
      </c>
      <c r="C6" s="201">
        <f>'SER_se-appl'!C70</f>
        <v>161.2905724892353</v>
      </c>
      <c r="D6" s="201">
        <f>'SER_se-appl'!D70</f>
        <v>163.52942616279259</v>
      </c>
      <c r="E6" s="201">
        <f>'SER_se-appl'!E70</f>
        <v>166.82663508222879</v>
      </c>
      <c r="F6" s="201">
        <f>'SER_se-appl'!F70</f>
        <v>170.20050774563703</v>
      </c>
      <c r="G6" s="201">
        <f>'SER_se-appl'!G70</f>
        <v>173.50603670516705</v>
      </c>
      <c r="H6" s="201">
        <f>'SER_se-appl'!H70</f>
        <v>177.41549265847266</v>
      </c>
      <c r="I6" s="201">
        <f>'SER_se-appl'!I70</f>
        <v>181.02013155463698</v>
      </c>
      <c r="J6" s="201">
        <f>'SER_se-appl'!J70</f>
        <v>185.74214957275652</v>
      </c>
      <c r="K6" s="201">
        <f>'SER_se-appl'!K70</f>
        <v>190.8865799620753</v>
      </c>
      <c r="L6" s="201">
        <f>'SER_se-appl'!L70</f>
        <v>197.6615688698854</v>
      </c>
      <c r="M6" s="201">
        <f>'SER_se-appl'!M70</f>
        <v>204.55794103362649</v>
      </c>
      <c r="N6" s="201">
        <f>'SER_se-appl'!N70</f>
        <v>212.48405879512117</v>
      </c>
      <c r="O6" s="201">
        <f>'SER_se-appl'!O70</f>
        <v>220.60806301702442</v>
      </c>
      <c r="P6" s="201">
        <f>'SER_se-appl'!P70</f>
        <v>232.60258394447987</v>
      </c>
      <c r="Q6" s="201">
        <f>'SER_se-appl'!Q70</f>
        <v>245.59572615903326</v>
      </c>
      <c r="R6" s="201">
        <f>'SER_se-appl'!R70</f>
        <v>252.60455947776123</v>
      </c>
      <c r="S6" s="201">
        <f>'SER_se-appl'!S70</f>
        <v>259.72343494400212</v>
      </c>
      <c r="T6" s="201">
        <f>'SER_se-appl'!T70</f>
        <v>266.47838880556128</v>
      </c>
      <c r="U6" s="201">
        <f>'SER_se-appl'!U70</f>
        <v>272.57956688471643</v>
      </c>
      <c r="V6" s="201">
        <f>'SER_se-appl'!V70</f>
        <v>277.48679150162252</v>
      </c>
      <c r="W6" s="201">
        <f>'SER_se-appl'!W70</f>
        <v>280.2025537504669</v>
      </c>
      <c r="X6" s="201">
        <f>'SER_se-appl'!X70</f>
        <v>281.57038585946503</v>
      </c>
      <c r="Y6" s="201">
        <f>'SER_se-appl'!Y70</f>
        <v>282.25680382537809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4.6496946113968933</v>
      </c>
      <c r="C8" s="34">
        <f>'SER_se-appl'!C22</f>
        <v>4.7790096038365446</v>
      </c>
      <c r="D8" s="34">
        <f>'SER_se-appl'!D22</f>
        <v>4.965752276505544</v>
      </c>
      <c r="E8" s="34">
        <f>'SER_se-appl'!E22</f>
        <v>5.1940158370206788</v>
      </c>
      <c r="F8" s="34">
        <f>'SER_se-appl'!F22</f>
        <v>5.4382955598659777</v>
      </c>
      <c r="G8" s="34">
        <f>'SER_se-appl'!G22</f>
        <v>5.7423603887984642</v>
      </c>
      <c r="H8" s="34">
        <f>'SER_se-appl'!H22</f>
        <v>6.1396897494074052</v>
      </c>
      <c r="I8" s="34">
        <f>'SER_se-appl'!I22</f>
        <v>6.6123759343501964</v>
      </c>
      <c r="J8" s="34">
        <f>'SER_se-appl'!J22</f>
        <v>7.0087727898862386</v>
      </c>
      <c r="K8" s="34">
        <f>'SER_se-appl'!K22</f>
        <v>7.1910000306741289</v>
      </c>
      <c r="L8" s="34">
        <f>'SER_se-appl'!L22</f>
        <v>7.6096233837327993</v>
      </c>
      <c r="M8" s="34">
        <f>'SER_se-appl'!M22</f>
        <v>7.9527047036077194</v>
      </c>
      <c r="N8" s="34">
        <f>'SER_se-appl'!N22</f>
        <v>8.3428481906602574</v>
      </c>
      <c r="O8" s="34">
        <f>'SER_se-appl'!O22</f>
        <v>8.7369565152146045</v>
      </c>
      <c r="P8" s="34">
        <f>'SER_se-appl'!P22</f>
        <v>9.2990971436739169</v>
      </c>
      <c r="Q8" s="34">
        <f>'SER_se-appl'!Q22</f>
        <v>9.9414616458671787</v>
      </c>
      <c r="R8" s="34">
        <f>'SER_se-appl'!R22</f>
        <v>10.348042393605507</v>
      </c>
      <c r="S8" s="34">
        <f>'SER_se-appl'!S22</f>
        <v>10.774690121451961</v>
      </c>
      <c r="T8" s="34">
        <f>'SER_se-appl'!T22</f>
        <v>11.215646182123864</v>
      </c>
      <c r="U8" s="34">
        <f>'SER_se-appl'!U22</f>
        <v>11.643443588530516</v>
      </c>
      <c r="V8" s="34">
        <f>'SER_se-appl'!V22</f>
        <v>12.020699134215167</v>
      </c>
      <c r="W8" s="34">
        <f>'SER_se-appl'!W22</f>
        <v>12.296644139684314</v>
      </c>
      <c r="X8" s="34">
        <f>'SER_se-appl'!X22</f>
        <v>12.50447761854857</v>
      </c>
      <c r="Y8" s="34">
        <f>'SER_se-appl'!Y22</f>
        <v>12.672503210916604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0.85543965326438265</v>
      </c>
      <c r="D9" s="36">
        <f>'SER_se-appl'!D30</f>
        <v>0.93173085559034874</v>
      </c>
      <c r="E9" s="36">
        <f>'SER_se-appl'!E30</f>
        <v>0.99260530875169461</v>
      </c>
      <c r="F9" s="36">
        <f>'SER_se-appl'!F30</f>
        <v>1.02847781013093</v>
      </c>
      <c r="G9" s="36">
        <f>'SER_se-appl'!G30</f>
        <v>1.1086350902341282</v>
      </c>
      <c r="H9" s="36">
        <f>'SER_se-appl'!H30</f>
        <v>1.222801031435921</v>
      </c>
      <c r="I9" s="36">
        <f>'SER_se-appl'!I30</f>
        <v>1.3281258382071739</v>
      </c>
      <c r="J9" s="36">
        <f>'SER_se-appl'!J30</f>
        <v>1.3281277111263909</v>
      </c>
      <c r="K9" s="36">
        <f>'SER_se-appl'!K30</f>
        <v>1.1748325495395848</v>
      </c>
      <c r="L9" s="36">
        <f>'SER_se-appl'!L30</f>
        <v>1.4471011631896005</v>
      </c>
      <c r="M9" s="36">
        <f>'SER_se-appl'!M30</f>
        <v>1.4517164101090483</v>
      </c>
      <c r="N9" s="36">
        <f>'SER_se-appl'!N30</f>
        <v>1.612944518488459</v>
      </c>
      <c r="O9" s="36">
        <f>'SER_se-appl'!O30</f>
        <v>1.722234162761521</v>
      </c>
      <c r="P9" s="36">
        <f>'SER_se-appl'!P30</f>
        <v>1.8902683395857034</v>
      </c>
      <c r="Q9" s="36">
        <f>'SER_se-appl'!Q30</f>
        <v>1.8171970517328475</v>
      </c>
      <c r="R9" s="36">
        <f>'SER_se-appl'!R30</f>
        <v>1.8536819109279286</v>
      </c>
      <c r="S9" s="36">
        <f>'SER_se-appl'!S30</f>
        <v>1.8783641379555025</v>
      </c>
      <c r="T9" s="36">
        <f>'SER_se-appl'!T30</f>
        <v>2.0539005791603611</v>
      </c>
      <c r="U9" s="36">
        <f>'SER_se-appl'!U30</f>
        <v>2.1500315691681742</v>
      </c>
      <c r="V9" s="36">
        <f>'SER_se-appl'!V30</f>
        <v>2.2675238852703536</v>
      </c>
      <c r="W9" s="36">
        <f>'SER_se-appl'!W30</f>
        <v>2.0931420572019945</v>
      </c>
      <c r="X9" s="36">
        <f>'SER_se-appl'!X30</f>
        <v>2.0615153897921843</v>
      </c>
      <c r="Y9" s="36">
        <f>'SER_se-appl'!Y30</f>
        <v>2.0463897303235363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0.72612466082473137</v>
      </c>
      <c r="D10" s="38">
        <f>'SER_se-appl'!D38</f>
        <v>0.74498818292134938</v>
      </c>
      <c r="E10" s="38">
        <f>'SER_se-appl'!E38</f>
        <v>0.76434174823655976</v>
      </c>
      <c r="F10" s="38">
        <f>'SER_se-appl'!F38</f>
        <v>0.78419808728563112</v>
      </c>
      <c r="G10" s="38">
        <f>'SER_se-appl'!G38</f>
        <v>0.80457026130164166</v>
      </c>
      <c r="H10" s="38">
        <f>'SER_se-appl'!H38</f>
        <v>0.82547167082698003</v>
      </c>
      <c r="I10" s="38">
        <f>'SER_se-appl'!I38</f>
        <v>0.85543965326438265</v>
      </c>
      <c r="J10" s="38">
        <f>'SER_se-appl'!J38</f>
        <v>0.93173085559034874</v>
      </c>
      <c r="K10" s="38">
        <f>'SER_se-appl'!K38</f>
        <v>0.9926053087516955</v>
      </c>
      <c r="L10" s="38">
        <f>'SER_se-appl'!L38</f>
        <v>1.02847781013093</v>
      </c>
      <c r="M10" s="38">
        <f>'SER_se-appl'!M38</f>
        <v>1.1086350902341282</v>
      </c>
      <c r="N10" s="38">
        <f>'SER_se-appl'!N38</f>
        <v>1.222801031435921</v>
      </c>
      <c r="O10" s="38">
        <f>'SER_se-appl'!O38</f>
        <v>1.3281258382071748</v>
      </c>
      <c r="P10" s="38">
        <f>'SER_se-appl'!P38</f>
        <v>1.3281277111263901</v>
      </c>
      <c r="Q10" s="38">
        <f>'SER_se-appl'!Q38</f>
        <v>1.1748325495395857</v>
      </c>
      <c r="R10" s="38">
        <f>'SER_se-appl'!R38</f>
        <v>1.4471011631896005</v>
      </c>
      <c r="S10" s="38">
        <f>'SER_se-appl'!S38</f>
        <v>1.4517164101090483</v>
      </c>
      <c r="T10" s="38">
        <f>'SER_se-appl'!T38</f>
        <v>1.6129445184884581</v>
      </c>
      <c r="U10" s="38">
        <f>'SER_se-appl'!U38</f>
        <v>1.7222341627615219</v>
      </c>
      <c r="V10" s="38">
        <f>'SER_se-appl'!V38</f>
        <v>1.8902683395857025</v>
      </c>
      <c r="W10" s="38">
        <f>'SER_se-appl'!W38</f>
        <v>1.8171970517328475</v>
      </c>
      <c r="X10" s="38">
        <f>'SER_se-appl'!X38</f>
        <v>1.8536819109279286</v>
      </c>
      <c r="Y10" s="38">
        <f>'SER_se-appl'!Y38</f>
        <v>1.8783641379555025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2181.0063043798868</v>
      </c>
      <c r="C12" s="204">
        <f>'SER_se-appl'!C46</f>
        <v>2201.5997687701633</v>
      </c>
      <c r="D12" s="204">
        <f>'SER_se-appl'!D46</f>
        <v>2220.1738956391873</v>
      </c>
      <c r="E12" s="204">
        <f>'SER_se-appl'!E46</f>
        <v>2238.9310462817589</v>
      </c>
      <c r="F12" s="204">
        <f>'SER_se-appl'!F46</f>
        <v>2257.4889262961333</v>
      </c>
      <c r="G12" s="204">
        <f>'SER_se-appl'!G46</f>
        <v>2277.6740460072911</v>
      </c>
      <c r="H12" s="204">
        <f>'SER_se-appl'!H46</f>
        <v>2297.0248893479152</v>
      </c>
      <c r="I12" s="204">
        <f>'SER_se-appl'!I46</f>
        <v>2318.3277217124191</v>
      </c>
      <c r="J12" s="204">
        <f>'SER_se-appl'!J46</f>
        <v>2339.4464782106038</v>
      </c>
      <c r="K12" s="204">
        <f>'SER_se-appl'!K46</f>
        <v>2352.5498850209297</v>
      </c>
      <c r="L12" s="204">
        <f>'SER_se-appl'!L46</f>
        <v>2370.6629200211055</v>
      </c>
      <c r="M12" s="204">
        <f>'SER_se-appl'!M46</f>
        <v>2382.9599166980433</v>
      </c>
      <c r="N12" s="204">
        <f>'SER_se-appl'!N46</f>
        <v>2392.8955218512378</v>
      </c>
      <c r="O12" s="204">
        <f>'SER_se-appl'!O46</f>
        <v>2398.5378166133187</v>
      </c>
      <c r="P12" s="204">
        <f>'SER_se-appl'!P46</f>
        <v>2414.3979161019915</v>
      </c>
      <c r="Q12" s="204">
        <f>'SER_se-appl'!Q46</f>
        <v>2428.2139221947527</v>
      </c>
      <c r="R12" s="204">
        <f>'SER_se-appl'!R46</f>
        <v>2430.0489094207919</v>
      </c>
      <c r="S12" s="204">
        <f>'SER_se-appl'!S46</f>
        <v>2515.9332554128255</v>
      </c>
      <c r="T12" s="204">
        <f>'SER_se-appl'!T46</f>
        <v>2507.9388238265929</v>
      </c>
      <c r="U12" s="204">
        <f>'SER_se-appl'!U46</f>
        <v>2483.116256514606</v>
      </c>
      <c r="V12" s="204">
        <f>'SER_se-appl'!V46</f>
        <v>2493.0930629023878</v>
      </c>
      <c r="W12" s="204">
        <f>'SER_se-appl'!W46</f>
        <v>2674.8926459686354</v>
      </c>
      <c r="X12" s="204">
        <f>'SER_se-appl'!X46</f>
        <v>2540.8785095857065</v>
      </c>
      <c r="Y12" s="204">
        <f>'SER_se-appl'!Y46</f>
        <v>2473.8714413942421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51.49979113374031</v>
      </c>
      <c r="C14" s="59">
        <f>'SER_se-appl'!C54</f>
        <v>50.896010763692608</v>
      </c>
      <c r="D14" s="59">
        <f>'SER_se-appl'!D54</f>
        <v>49.961743615437406</v>
      </c>
      <c r="E14" s="59">
        <f>'SER_se-appl'!E54</f>
        <v>48.821574070651678</v>
      </c>
      <c r="F14" s="59">
        <f>'SER_se-appl'!F54</f>
        <v>47.551334765978872</v>
      </c>
      <c r="G14" s="59">
        <f>'SER_se-appl'!G54</f>
        <v>46.08900568244097</v>
      </c>
      <c r="H14" s="59">
        <f>'SER_se-appl'!H54</f>
        <v>44.493439599518979</v>
      </c>
      <c r="I14" s="59">
        <f>'SER_se-appl'!I54</f>
        <v>43.17421777680088</v>
      </c>
      <c r="J14" s="59">
        <f>'SER_se-appl'!J54</f>
        <v>41.966966193114004</v>
      </c>
      <c r="K14" s="59">
        <f>'SER_se-appl'!K54</f>
        <v>40.825323973577483</v>
      </c>
      <c r="L14" s="59">
        <f>'SER_se-appl'!L54</f>
        <v>39.552524081840588</v>
      </c>
      <c r="M14" s="59">
        <f>'SER_se-appl'!M54</f>
        <v>38.157711495053768</v>
      </c>
      <c r="N14" s="59">
        <f>'SER_se-appl'!N54</f>
        <v>36.56816805362439</v>
      </c>
      <c r="O14" s="59">
        <f>'SER_se-appl'!O54</f>
        <v>34.821826161367767</v>
      </c>
      <c r="P14" s="59">
        <f>'SER_se-appl'!P54</f>
        <v>32.911511135708004</v>
      </c>
      <c r="Q14" s="59">
        <f>'SER_se-appl'!Q54</f>
        <v>31.073653176993872</v>
      </c>
      <c r="R14" s="59">
        <f>'SER_se-appl'!R54</f>
        <v>28.842055835600508</v>
      </c>
      <c r="S14" s="59">
        <f>'SER_se-appl'!S54</f>
        <v>26.813569089137395</v>
      </c>
      <c r="T14" s="59">
        <f>'SER_se-appl'!T54</f>
        <v>24.627752902077326</v>
      </c>
      <c r="U14" s="59">
        <f>'SER_se-appl'!U54</f>
        <v>22.487144498122213</v>
      </c>
      <c r="V14" s="59">
        <f>'SER_se-appl'!V54</f>
        <v>20.413530601254724</v>
      </c>
      <c r="W14" s="59">
        <f>'SER_se-appl'!W54</f>
        <v>18.777398315477207</v>
      </c>
      <c r="X14" s="59">
        <f>'SER_se-appl'!X54</f>
        <v>17.516097197884697</v>
      </c>
      <c r="Y14" s="59">
        <f>'SER_se-appl'!Y54</f>
        <v>16.34903170605342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48.126704351925966</v>
      </c>
      <c r="D15" s="63">
        <f>'SER_se-appl'!D62</f>
        <v>46.399508418181341</v>
      </c>
      <c r="E15" s="63">
        <f>'SER_se-appl'!E62</f>
        <v>45.179918753484642</v>
      </c>
      <c r="F15" s="63">
        <f>'SER_se-appl'!F62</f>
        <v>44.147011309061796</v>
      </c>
      <c r="G15" s="63">
        <f>'SER_se-appl'!G62</f>
        <v>42.842472418814964</v>
      </c>
      <c r="H15" s="63">
        <f>'SER_se-appl'!H62</f>
        <v>41.730299335432825</v>
      </c>
      <c r="I15" s="63">
        <f>'SER_se-appl'!I62</f>
        <v>40.265563195748477</v>
      </c>
      <c r="J15" s="63">
        <f>'SER_se-appl'!J62</f>
        <v>39.065991440010407</v>
      </c>
      <c r="K15" s="63">
        <f>'SER_se-appl'!K62</f>
        <v>37.693714256502098</v>
      </c>
      <c r="L15" s="63">
        <f>'SER_se-appl'!L62</f>
        <v>36.4930448892204</v>
      </c>
      <c r="M15" s="63">
        <f>'SER_se-appl'!M62</f>
        <v>34.423987684291482</v>
      </c>
      <c r="N15" s="63">
        <f>'SER_se-appl'!N62</f>
        <v>32.644344217840995</v>
      </c>
      <c r="O15" s="63">
        <f>'SER_se-appl'!O62</f>
        <v>30.560212007487234</v>
      </c>
      <c r="P15" s="63">
        <f>'SER_se-appl'!P62</f>
        <v>28.406117223385767</v>
      </c>
      <c r="Q15" s="63">
        <f>'SER_se-appl'!Q62</f>
        <v>25.948751367732285</v>
      </c>
      <c r="R15" s="63">
        <f>'SER_se-appl'!R62</f>
        <v>22.846645213141674</v>
      </c>
      <c r="S15" s="63">
        <f>'SER_se-appl'!S62</f>
        <v>21.520294433827473</v>
      </c>
      <c r="T15" s="63">
        <f>'SER_se-appl'!T62</f>
        <v>19.456531292779818</v>
      </c>
      <c r="U15" s="63">
        <f>'SER_se-appl'!U62</f>
        <v>17.787402431431389</v>
      </c>
      <c r="V15" s="63">
        <f>'SER_se-appl'!V62</f>
        <v>16.428623078094663</v>
      </c>
      <c r="W15" s="63">
        <f>'SER_se-appl'!W62</f>
        <v>15.607191924189928</v>
      </c>
      <c r="X15" s="63">
        <f>'SER_se-appl'!X62</f>
        <v>14.785760770285195</v>
      </c>
      <c r="Y15" s="63">
        <f>'SER_se-appl'!Y62</f>
        <v>13.964329616380461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45.174934020965196</v>
      </c>
      <c r="C3" s="198">
        <f>'SER_se-appl'!C7</f>
        <v>46.322149860443915</v>
      </c>
      <c r="D3" s="198">
        <f>'SER_se-appl'!D7</f>
        <v>47.429313261515105</v>
      </c>
      <c r="E3" s="198">
        <f>'SER_se-appl'!E7</f>
        <v>48.137282933684446</v>
      </c>
      <c r="F3" s="198">
        <f>'SER_se-appl'!F7</f>
        <v>48.675081994603126</v>
      </c>
      <c r="G3" s="198">
        <f>'SER_se-appl'!G7</f>
        <v>49.170235502789247</v>
      </c>
      <c r="H3" s="198">
        <f>'SER_se-appl'!H7</f>
        <v>49.673031232799069</v>
      </c>
      <c r="I3" s="198">
        <f>'SER_se-appl'!I7</f>
        <v>50.150378339757125</v>
      </c>
      <c r="J3" s="198">
        <f>'SER_se-appl'!J7</f>
        <v>50.355642436458481</v>
      </c>
      <c r="K3" s="198">
        <f>'SER_se-appl'!K7</f>
        <v>50.400562318240979</v>
      </c>
      <c r="L3" s="198">
        <f>'SER_se-appl'!L7</f>
        <v>50.469223740695774</v>
      </c>
      <c r="M3" s="198">
        <f>'SER_se-appl'!M7</f>
        <v>50.534750667415643</v>
      </c>
      <c r="N3" s="198">
        <f>'SER_se-appl'!N7</f>
        <v>50.830886466048149</v>
      </c>
      <c r="O3" s="198">
        <f>'SER_se-appl'!O7</f>
        <v>51.196399526562999</v>
      </c>
      <c r="P3" s="198">
        <f>'SER_se-appl'!P7</f>
        <v>51.672821946154883</v>
      </c>
      <c r="Q3" s="198">
        <f>'SER_se-appl'!Q7</f>
        <v>52.411635331403737</v>
      </c>
      <c r="R3" s="198">
        <f>'SER_se-appl'!R7</f>
        <v>53.101568919119003</v>
      </c>
      <c r="S3" s="198">
        <f>'SER_se-appl'!S7</f>
        <v>53.795989300152002</v>
      </c>
      <c r="T3" s="198">
        <f>'SER_se-appl'!T7</f>
        <v>54.508010929255299</v>
      </c>
      <c r="U3" s="198">
        <f>'SER_se-appl'!U7</f>
        <v>55.202995285723674</v>
      </c>
      <c r="V3" s="198">
        <f>'SER_se-appl'!V7</f>
        <v>55.827990199279611</v>
      </c>
      <c r="W3" s="198">
        <f>'SER_se-appl'!W7</f>
        <v>56.352672093667742</v>
      </c>
      <c r="X3" s="198">
        <f>'SER_se-appl'!X7</f>
        <v>56.104308683238223</v>
      </c>
      <c r="Y3" s="198">
        <f>'SER_se-appl'!Y7</f>
        <v>55.776532797401018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59.975397564363632</v>
      </c>
      <c r="C5" s="59">
        <f>'SER_se-appl'!C15</f>
        <v>61.498470648055118</v>
      </c>
      <c r="D5" s="59">
        <f>'SER_se-appl'!D15</f>
        <v>62.968369090344829</v>
      </c>
      <c r="E5" s="59">
        <f>'SER_se-appl'!E15</f>
        <v>63.908287730450965</v>
      </c>
      <c r="F5" s="59">
        <f>'SER_se-appl'!F15</f>
        <v>64.622283515666041</v>
      </c>
      <c r="G5" s="59">
        <f>'SER_se-appl'!G15</f>
        <v>65.279661974593495</v>
      </c>
      <c r="H5" s="59">
        <f>'SER_se-appl'!H15</f>
        <v>65.947186442631619</v>
      </c>
      <c r="I5" s="59">
        <f>'SER_se-appl'!I15</f>
        <v>66.580924667965249</v>
      </c>
      <c r="J5" s="59">
        <f>'SER_se-appl'!J15</f>
        <v>66.853438531508203</v>
      </c>
      <c r="K5" s="59">
        <f>'SER_se-appl'!K15</f>
        <v>66.913075315198952</v>
      </c>
      <c r="L5" s="59">
        <f>'SER_se-appl'!L15</f>
        <v>67.004231975375788</v>
      </c>
      <c r="M5" s="59">
        <f>'SER_se-appl'!M15</f>
        <v>67.09122719886345</v>
      </c>
      <c r="N5" s="59">
        <f>'SER_se-appl'!N15</f>
        <v>67.484384657550194</v>
      </c>
      <c r="O5" s="59">
        <f>'SER_se-appl'!O15</f>
        <v>67.969649143142448</v>
      </c>
      <c r="P5" s="59">
        <f>'SER_se-appl'!P15</f>
        <v>68.602159729883738</v>
      </c>
      <c r="Q5" s="59">
        <f>'SER_se-appl'!Q15</f>
        <v>69.583027272171876</v>
      </c>
      <c r="R5" s="59">
        <f>'SER_se-appl'!R15</f>
        <v>70.499000745360064</v>
      </c>
      <c r="S5" s="59">
        <f>'SER_se-appl'!S15</f>
        <v>71.420931000087677</v>
      </c>
      <c r="T5" s="59">
        <f>'SER_se-appl'!T15</f>
        <v>72.366229121830969</v>
      </c>
      <c r="U5" s="59">
        <f>'SER_se-appl'!U15</f>
        <v>73.288908124767858</v>
      </c>
      <c r="V5" s="59">
        <f>'SER_se-appl'!V15</f>
        <v>74.118667353609823</v>
      </c>
      <c r="W5" s="59">
        <f>'SER_se-appl'!W15</f>
        <v>74.81524845312282</v>
      </c>
      <c r="X5" s="59">
        <f>'SER_se-appl'!X15</f>
        <v>74.485514838591399</v>
      </c>
      <c r="Y5" s="59">
        <f>'SER_se-appl'!Y15</f>
        <v>74.050351191070092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1.5498819005085079E-2</v>
      </c>
      <c r="C6" s="201">
        <f>'SER_se-appl'!C71</f>
        <v>1.6134479972374396E-2</v>
      </c>
      <c r="D6" s="201">
        <f>'SER_se-appl'!D71</f>
        <v>1.6758163798206195E-2</v>
      </c>
      <c r="E6" s="201">
        <f>'SER_se-appl'!E71</f>
        <v>1.727203006158359E-2</v>
      </c>
      <c r="F6" s="201">
        <f>'SER_se-appl'!F71</f>
        <v>1.7745912699747377E-2</v>
      </c>
      <c r="G6" s="201">
        <f>'SER_se-appl'!G71</f>
        <v>1.8221181353029185E-2</v>
      </c>
      <c r="H6" s="201">
        <f>'SER_se-appl'!H71</f>
        <v>1.8746338624378345E-2</v>
      </c>
      <c r="I6" s="201">
        <f>'SER_se-appl'!I71</f>
        <v>1.9311351149411196E-2</v>
      </c>
      <c r="J6" s="201">
        <f>'SER_se-appl'!J71</f>
        <v>1.9807227441418079E-2</v>
      </c>
      <c r="K6" s="201">
        <f>'SER_se-appl'!K71</f>
        <v>2.0277947760643799E-2</v>
      </c>
      <c r="L6" s="201">
        <f>'SER_se-appl'!L71</f>
        <v>2.0813367579612375E-2</v>
      </c>
      <c r="M6" s="201">
        <f>'SER_se-appl'!M71</f>
        <v>2.1286977652577147E-2</v>
      </c>
      <c r="N6" s="201">
        <f>'SER_se-appl'!N71</f>
        <v>2.1816254727247592E-2</v>
      </c>
      <c r="O6" s="201">
        <f>'SER_se-appl'!O71</f>
        <v>2.2406968935866415E-2</v>
      </c>
      <c r="P6" s="201">
        <f>'SER_se-appl'!P71</f>
        <v>2.3115018031124562E-2</v>
      </c>
      <c r="Q6" s="201">
        <f>'SER_se-appl'!Q71</f>
        <v>2.4006260976173008E-2</v>
      </c>
      <c r="R6" s="201">
        <f>'SER_se-appl'!R71</f>
        <v>2.4888436666276815E-2</v>
      </c>
      <c r="S6" s="201">
        <f>'SER_se-appl'!S71</f>
        <v>2.5770528137419903E-2</v>
      </c>
      <c r="T6" s="201">
        <f>'SER_se-appl'!T71</f>
        <v>2.6652299479795978E-2</v>
      </c>
      <c r="U6" s="201">
        <f>'SER_se-appl'!U71</f>
        <v>2.7522199476075482E-2</v>
      </c>
      <c r="V6" s="201">
        <f>'SER_se-appl'!V71</f>
        <v>2.8367331320983753E-2</v>
      </c>
      <c r="W6" s="201">
        <f>'SER_se-appl'!W71</f>
        <v>2.9214794506329005E-2</v>
      </c>
      <c r="X6" s="201">
        <f>'SER_se-appl'!X71</f>
        <v>2.9823038159136013E-2</v>
      </c>
      <c r="Y6" s="201">
        <f>'SER_se-appl'!Y71</f>
        <v>3.025632789196742E-2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83.672807713535605</v>
      </c>
      <c r="C8" s="34">
        <f>'SER_se-appl'!C23</f>
        <v>86.783866589247879</v>
      </c>
      <c r="D8" s="34">
        <f>'SER_se-appl'!D23</f>
        <v>90.141341920525008</v>
      </c>
      <c r="E8" s="34">
        <f>'SER_se-appl'!E23</f>
        <v>92.834968033193974</v>
      </c>
      <c r="F8" s="34">
        <f>'SER_se-appl'!F23</f>
        <v>95.32882478395544</v>
      </c>
      <c r="G8" s="34">
        <f>'SER_se-appl'!G23</f>
        <v>97.896667737699602</v>
      </c>
      <c r="H8" s="34">
        <f>'SER_se-appl'!H23</f>
        <v>100.72272769240389</v>
      </c>
      <c r="I8" s="34">
        <f>'SER_se-appl'!I23</f>
        <v>103.76336576899324</v>
      </c>
      <c r="J8" s="34">
        <f>'SER_se-appl'!J23</f>
        <v>106.48492238761985</v>
      </c>
      <c r="K8" s="34">
        <f>'SER_se-appl'!K23</f>
        <v>109.14404630483695</v>
      </c>
      <c r="L8" s="34">
        <f>'SER_se-appl'!L23</f>
        <v>112.19258473481834</v>
      </c>
      <c r="M8" s="34">
        <f>'SER_se-appl'!M23</f>
        <v>114.78887749472902</v>
      </c>
      <c r="N8" s="34">
        <f>'SER_se-appl'!N23</f>
        <v>117.90206538006817</v>
      </c>
      <c r="O8" s="34">
        <f>'SER_se-appl'!O23</f>
        <v>121.24043416906768</v>
      </c>
      <c r="P8" s="34">
        <f>'SER_se-appl'!P23</f>
        <v>125.18975879065104</v>
      </c>
      <c r="Q8" s="34">
        <f>'SER_se-appl'!Q23</f>
        <v>130.14631893691455</v>
      </c>
      <c r="R8" s="34">
        <f>'SER_se-appl'!R23</f>
        <v>135.05092923725789</v>
      </c>
      <c r="S8" s="34">
        <f>'SER_se-appl'!S23</f>
        <v>140.07165971802829</v>
      </c>
      <c r="T8" s="34">
        <f>'SER_se-appl'!T23</f>
        <v>145.07166434446708</v>
      </c>
      <c r="U8" s="34">
        <f>'SER_se-appl'!U23</f>
        <v>150.0075739905908</v>
      </c>
      <c r="V8" s="34">
        <f>'SER_se-appl'!V23</f>
        <v>154.82529169885157</v>
      </c>
      <c r="W8" s="34">
        <f>'SER_se-appl'!W23</f>
        <v>159.50637996455947</v>
      </c>
      <c r="X8" s="34">
        <f>'SER_se-appl'!X23</f>
        <v>162.07962335991439</v>
      </c>
      <c r="Y8" s="34">
        <f>'SER_se-appl'!Y23</f>
        <v>164.2553108092896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10.715503225626151</v>
      </c>
      <c r="D9" s="36">
        <f>'SER_se-appl'!D31</f>
        <v>11.122101105273146</v>
      </c>
      <c r="E9" s="36">
        <f>'SER_se-appl'!E31</f>
        <v>10.621807401928578</v>
      </c>
      <c r="F9" s="36">
        <f>'SER_se-appl'!F31</f>
        <v>10.589038718947663</v>
      </c>
      <c r="G9" s="36">
        <f>'SER_se-appl'!G31</f>
        <v>10.83354333408532</v>
      </c>
      <c r="H9" s="36">
        <f>'SER_se-appl'!H31</f>
        <v>11.26587057861299</v>
      </c>
      <c r="I9" s="36">
        <f>'SER_se-appl'!I31</f>
        <v>11.658226434480227</v>
      </c>
      <c r="J9" s="36">
        <f>'SER_se-appl'!J31</f>
        <v>11.520667453611594</v>
      </c>
      <c r="K9" s="36">
        <f>'SER_se-appl'!K31</f>
        <v>11.643580852370533</v>
      </c>
      <c r="L9" s="36">
        <f>'SER_se-appl'!L31</f>
        <v>12.222245629882153</v>
      </c>
      <c r="M9" s="36">
        <f>'SER_se-appl'!M31</f>
        <v>13.311795985536833</v>
      </c>
      <c r="N9" s="36">
        <f>'SER_se-appl'!N31</f>
        <v>14.23528899061229</v>
      </c>
      <c r="O9" s="36">
        <f>'SER_se-appl'!O31</f>
        <v>13.960176190928095</v>
      </c>
      <c r="P9" s="36">
        <f>'SER_se-appl'!P31</f>
        <v>14.538363340531021</v>
      </c>
      <c r="Q9" s="36">
        <f>'SER_se-appl'!Q31</f>
        <v>15.790103480348833</v>
      </c>
      <c r="R9" s="36">
        <f>'SER_se-appl'!R31</f>
        <v>16.170480878956326</v>
      </c>
      <c r="S9" s="36">
        <f>'SER_se-appl'!S31</f>
        <v>16.678956915250623</v>
      </c>
      <c r="T9" s="36">
        <f>'SER_se-appl'!T31</f>
        <v>16.520672080050389</v>
      </c>
      <c r="U9" s="36">
        <f>'SER_se-appl'!U31</f>
        <v>16.579490498494238</v>
      </c>
      <c r="V9" s="36">
        <f>'SER_se-appl'!V31</f>
        <v>17.039963338142911</v>
      </c>
      <c r="W9" s="36">
        <f>'SER_se-appl'!W31</f>
        <v>17.992884251244732</v>
      </c>
      <c r="X9" s="36">
        <f>'SER_se-appl'!X31</f>
        <v>16.808532385967197</v>
      </c>
      <c r="Y9" s="36">
        <f>'SER_se-appl'!Y31</f>
        <v>16.135863640303285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7.6044443499138765</v>
      </c>
      <c r="D10" s="38">
        <f>'SER_se-appl'!D39</f>
        <v>7.7646257739960163</v>
      </c>
      <c r="E10" s="38">
        <f>'SER_se-appl'!E39</f>
        <v>7.9281812892596122</v>
      </c>
      <c r="F10" s="38">
        <f>'SER_se-appl'!F39</f>
        <v>8.0951819681861963</v>
      </c>
      <c r="G10" s="38">
        <f>'SER_se-appl'!G39</f>
        <v>8.2657003803411584</v>
      </c>
      <c r="H10" s="38">
        <f>'SER_se-appl'!H39</f>
        <v>8.4398106239086985</v>
      </c>
      <c r="I10" s="38">
        <f>'SER_se-appl'!I39</f>
        <v>8.617588357890881</v>
      </c>
      <c r="J10" s="38">
        <f>'SER_se-appl'!J39</f>
        <v>8.7991108349849867</v>
      </c>
      <c r="K10" s="38">
        <f>'SER_se-appl'!K39</f>
        <v>8.9844569351534318</v>
      </c>
      <c r="L10" s="38">
        <f>'SER_se-appl'!L39</f>
        <v>9.1737071999007611</v>
      </c>
      <c r="M10" s="38">
        <f>'SER_se-appl'!M39</f>
        <v>10.715503225626151</v>
      </c>
      <c r="N10" s="38">
        <f>'SER_se-appl'!N39</f>
        <v>11.122101105273146</v>
      </c>
      <c r="O10" s="38">
        <f>'SER_se-appl'!O39</f>
        <v>10.621807401928592</v>
      </c>
      <c r="P10" s="38">
        <f>'SER_se-appl'!P39</f>
        <v>10.589038718947648</v>
      </c>
      <c r="Q10" s="38">
        <f>'SER_se-appl'!Q39</f>
        <v>10.833543334085334</v>
      </c>
      <c r="R10" s="38">
        <f>'SER_se-appl'!R39</f>
        <v>11.265870578612976</v>
      </c>
      <c r="S10" s="38">
        <f>'SER_se-appl'!S39</f>
        <v>11.658226434480241</v>
      </c>
      <c r="T10" s="38">
        <f>'SER_se-appl'!T39</f>
        <v>11.520667453611594</v>
      </c>
      <c r="U10" s="38">
        <f>'SER_se-appl'!U39</f>
        <v>11.643580852370519</v>
      </c>
      <c r="V10" s="38">
        <f>'SER_se-appl'!V39</f>
        <v>12.222245629882138</v>
      </c>
      <c r="W10" s="38">
        <f>'SER_se-appl'!W39</f>
        <v>13.311795985536833</v>
      </c>
      <c r="X10" s="38">
        <f>'SER_se-appl'!X39</f>
        <v>14.235288990612275</v>
      </c>
      <c r="Y10" s="38">
        <f>'SER_se-appl'!Y39</f>
        <v>13.960176190928081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8759.9999999999982</v>
      </c>
      <c r="D12" s="204">
        <f>'SER_se-appl'!D47</f>
        <v>8760</v>
      </c>
      <c r="E12" s="204">
        <f>'SER_se-appl'!E47</f>
        <v>8759.9999999999945</v>
      </c>
      <c r="F12" s="204">
        <f>'SER_se-appl'!F47</f>
        <v>8759.9999999999964</v>
      </c>
      <c r="G12" s="204">
        <f>'SER_se-appl'!G47</f>
        <v>8759.9999999999982</v>
      </c>
      <c r="H12" s="204">
        <f>'SER_se-appl'!H47</f>
        <v>8760.0000000000018</v>
      </c>
      <c r="I12" s="204">
        <f>'SER_se-appl'!I47</f>
        <v>8759.9999999999964</v>
      </c>
      <c r="J12" s="204">
        <f>'SER_se-appl'!J47</f>
        <v>8760.0000000000036</v>
      </c>
      <c r="K12" s="204">
        <f>'SER_se-appl'!K47</f>
        <v>8759.9999999999964</v>
      </c>
      <c r="L12" s="204">
        <f>'SER_se-appl'!L47</f>
        <v>8760</v>
      </c>
      <c r="M12" s="204">
        <f>'SER_se-appl'!M47</f>
        <v>8760.0000000000018</v>
      </c>
      <c r="N12" s="204">
        <f>'SER_se-appl'!N47</f>
        <v>8760.0000000000036</v>
      </c>
      <c r="O12" s="204">
        <f>'SER_se-appl'!O47</f>
        <v>8759.9999999999982</v>
      </c>
      <c r="P12" s="204">
        <f>'SER_se-appl'!P47</f>
        <v>8759.9999999999964</v>
      </c>
      <c r="Q12" s="204">
        <f>'SER_se-appl'!Q47</f>
        <v>8759.9999999999982</v>
      </c>
      <c r="R12" s="204">
        <f>'SER_se-appl'!R47</f>
        <v>8759.9999999999982</v>
      </c>
      <c r="S12" s="204">
        <f>'SER_se-appl'!S47</f>
        <v>8759.9999999999964</v>
      </c>
      <c r="T12" s="204">
        <f>'SER_se-appl'!T47</f>
        <v>8759.9999999999982</v>
      </c>
      <c r="U12" s="204">
        <f>'SER_se-appl'!U47</f>
        <v>8759.9999999999982</v>
      </c>
      <c r="V12" s="204">
        <f>'SER_se-appl'!V47</f>
        <v>8759.9999999999982</v>
      </c>
      <c r="W12" s="204">
        <f>'SER_se-appl'!W47</f>
        <v>8759.9999999999982</v>
      </c>
      <c r="X12" s="204">
        <f>'SER_se-appl'!X47</f>
        <v>8759.9999999999982</v>
      </c>
      <c r="Y12" s="204">
        <f>'SER_se-appl'!Y47</f>
        <v>8759.9999999999982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716.78480982372378</v>
      </c>
      <c r="C14" s="59">
        <f>'SER_se-appl'!C55</f>
        <v>708.63944031360427</v>
      </c>
      <c r="D14" s="59">
        <f>'SER_se-appl'!D55</f>
        <v>698.55149422849956</v>
      </c>
      <c r="E14" s="59">
        <f>'SER_se-appl'!E55</f>
        <v>688.40749433553947</v>
      </c>
      <c r="F14" s="59">
        <f>'SER_se-appl'!F55</f>
        <v>677.88817980416832</v>
      </c>
      <c r="G14" s="59">
        <f>'SER_se-appl'!G55</f>
        <v>666.82210419563205</v>
      </c>
      <c r="H14" s="59">
        <f>'SER_se-appl'!H55</f>
        <v>654.73987801469252</v>
      </c>
      <c r="I14" s="59">
        <f>'SER_se-appl'!I55</f>
        <v>641.66118913483706</v>
      </c>
      <c r="J14" s="59">
        <f>'SER_se-appl'!J55</f>
        <v>627.82070017530214</v>
      </c>
      <c r="K14" s="59">
        <f>'SER_se-appl'!K55</f>
        <v>613.07123549654909</v>
      </c>
      <c r="L14" s="59">
        <f>'SER_se-appl'!L55</f>
        <v>597.22513866445763</v>
      </c>
      <c r="M14" s="59">
        <f>'SER_se-appl'!M55</f>
        <v>584.47498279564763</v>
      </c>
      <c r="N14" s="59">
        <f>'SER_se-appl'!N55</f>
        <v>572.37661138511919</v>
      </c>
      <c r="O14" s="59">
        <f>'SER_se-appl'!O55</f>
        <v>560.61865506321067</v>
      </c>
      <c r="P14" s="59">
        <f>'SER_se-appl'!P55</f>
        <v>547.98539746852555</v>
      </c>
      <c r="Q14" s="59">
        <f>'SER_se-appl'!Q55</f>
        <v>534.65228859757963</v>
      </c>
      <c r="R14" s="59">
        <f>'SER_se-appl'!R55</f>
        <v>522.01788720392449</v>
      </c>
      <c r="S14" s="59">
        <f>'SER_se-appl'!S55</f>
        <v>509.88851809039613</v>
      </c>
      <c r="T14" s="59">
        <f>'SER_se-appl'!T55</f>
        <v>498.83090160184656</v>
      </c>
      <c r="U14" s="59">
        <f>'SER_se-appl'!U55</f>
        <v>488.5680514329556</v>
      </c>
      <c r="V14" s="59">
        <f>'SER_se-appl'!V55</f>
        <v>478.7245451975441</v>
      </c>
      <c r="W14" s="59">
        <f>'SER_se-appl'!W55</f>
        <v>469.04235723828685</v>
      </c>
      <c r="X14" s="59">
        <f>'SER_se-appl'!X55</f>
        <v>459.56125325630035</v>
      </c>
      <c r="Y14" s="59">
        <f>'SER_se-appl'!Y55</f>
        <v>450.82469982993149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650.81621777516511</v>
      </c>
      <c r="D15" s="63">
        <f>'SER_se-appl'!D63</f>
        <v>632.56611178621677</v>
      </c>
      <c r="E15" s="63">
        <f>'SER_se-appl'!E63</f>
        <v>623.50203756976691</v>
      </c>
      <c r="F15" s="63">
        <f>'SER_se-appl'!F63</f>
        <v>615.40045567209472</v>
      </c>
      <c r="G15" s="63">
        <f>'SER_se-appl'!G63</f>
        <v>607.56732410909751</v>
      </c>
      <c r="H15" s="63">
        <f>'SER_se-appl'!H63</f>
        <v>596.23022243805565</v>
      </c>
      <c r="I15" s="63">
        <f>'SER_se-appl'!I63</f>
        <v>584.19646383264137</v>
      </c>
      <c r="J15" s="63">
        <f>'SER_se-appl'!J63</f>
        <v>571.11125518625272</v>
      </c>
      <c r="K15" s="63">
        <f>'SER_se-appl'!K63</f>
        <v>558.2096368576241</v>
      </c>
      <c r="L15" s="63">
        <f>'SER_se-appl'!L63</f>
        <v>545.45873423920989</v>
      </c>
      <c r="M15" s="63">
        <f>'SER_se-appl'!M63</f>
        <v>530.41817287605443</v>
      </c>
      <c r="N15" s="63">
        <f>'SER_se-appl'!N63</f>
        <v>521.84551466721109</v>
      </c>
      <c r="O15" s="63">
        <f>'SER_se-appl'!O63</f>
        <v>509.16141359214566</v>
      </c>
      <c r="P15" s="63">
        <f>'SER_se-appl'!P63</f>
        <v>491.73415686899705</v>
      </c>
      <c r="Q15" s="63">
        <f>'SER_se-appl'!Q63</f>
        <v>478.96927881508657</v>
      </c>
      <c r="R15" s="63">
        <f>'SER_se-appl'!R63</f>
        <v>472.0345703612511</v>
      </c>
      <c r="S15" s="63">
        <f>'SER_se-appl'!S63</f>
        <v>463.61561766735809</v>
      </c>
      <c r="T15" s="63">
        <f>'SER_se-appl'!T63</f>
        <v>455.4827391583861</v>
      </c>
      <c r="U15" s="63">
        <f>'SER_se-appl'!U63</f>
        <v>447.67588261744953</v>
      </c>
      <c r="V15" s="63">
        <f>'SER_se-appl'!V63</f>
        <v>439.93579744962005</v>
      </c>
      <c r="W15" s="63">
        <f>'SER_se-appl'!W63</f>
        <v>431.13708150062763</v>
      </c>
      <c r="X15" s="63">
        <f>'SER_se-appl'!X63</f>
        <v>422.33836555163526</v>
      </c>
      <c r="Y15" s="63">
        <f>'SER_se-appl'!Y63</f>
        <v>413.53964960264284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7.4010716672888499</v>
      </c>
      <c r="C3" s="198">
        <f>'SER_se-appl'!C8</f>
        <v>8.1472221007529821</v>
      </c>
      <c r="D3" s="198">
        <f>'SER_se-appl'!D8</f>
        <v>9.0780259387454727</v>
      </c>
      <c r="E3" s="198">
        <f>'SER_se-appl'!E8</f>
        <v>10.134465461496839</v>
      </c>
      <c r="F3" s="198">
        <f>'SER_se-appl'!F8</f>
        <v>11.319023260508882</v>
      </c>
      <c r="G3" s="198">
        <f>'SER_se-appl'!G8</f>
        <v>12.617786482178854</v>
      </c>
      <c r="H3" s="198">
        <f>'SER_se-appl'!H8</f>
        <v>14.021917434496176</v>
      </c>
      <c r="I3" s="198">
        <f>'SER_se-appl'!I8</f>
        <v>15.431074137235822</v>
      </c>
      <c r="J3" s="198">
        <f>'SER_se-appl'!J8</f>
        <v>16.468430171489864</v>
      </c>
      <c r="K3" s="198">
        <f>'SER_se-appl'!K8</f>
        <v>16.871851438293444</v>
      </c>
      <c r="L3" s="198">
        <f>'SER_se-appl'!L8</f>
        <v>17.538691653001298</v>
      </c>
      <c r="M3" s="198">
        <f>'SER_se-appl'!M8</f>
        <v>17.927503149715072</v>
      </c>
      <c r="N3" s="198">
        <f>'SER_se-appl'!N8</f>
        <v>18.301173965363336</v>
      </c>
      <c r="O3" s="198">
        <f>'SER_se-appl'!O8</f>
        <v>18.630952412216391</v>
      </c>
      <c r="P3" s="198">
        <f>'SER_se-appl'!P8</f>
        <v>18.946561707599137</v>
      </c>
      <c r="Q3" s="198">
        <f>'SER_se-appl'!Q8</f>
        <v>19.285246083249543</v>
      </c>
      <c r="R3" s="198">
        <f>'SER_se-appl'!R8</f>
        <v>19.927893405799111</v>
      </c>
      <c r="S3" s="198">
        <f>'SER_se-appl'!S8</f>
        <v>21.066909209524802</v>
      </c>
      <c r="T3" s="198">
        <f>'SER_se-appl'!T8</f>
        <v>21.790459004772089</v>
      </c>
      <c r="U3" s="198">
        <f>'SER_se-appl'!U8</f>
        <v>22.53051268572931</v>
      </c>
      <c r="V3" s="198">
        <f>'SER_se-appl'!V8</f>
        <v>23.35102517701667</v>
      </c>
      <c r="W3" s="198">
        <f>'SER_se-appl'!W8</f>
        <v>25.663255966057026</v>
      </c>
      <c r="X3" s="198">
        <f>'SER_se-appl'!X8</f>
        <v>24.880872512908677</v>
      </c>
      <c r="Y3" s="198">
        <f>'SER_se-appl'!Y8</f>
        <v>24.654716654367704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93.605903429306281</v>
      </c>
      <c r="C5" s="59">
        <f>'SER_se-appl'!C16</f>
        <v>102.55304288837334</v>
      </c>
      <c r="D5" s="59">
        <f>'SER_se-appl'!D16</f>
        <v>113.77346544718324</v>
      </c>
      <c r="E5" s="59">
        <f>'SER_se-appl'!E16</f>
        <v>126.50634514341279</v>
      </c>
      <c r="F5" s="59">
        <f>'SER_se-appl'!F16</f>
        <v>140.77034666991975</v>
      </c>
      <c r="G5" s="59">
        <f>'SER_se-appl'!G16</f>
        <v>156.38217193165201</v>
      </c>
      <c r="H5" s="59">
        <f>'SER_se-appl'!H16</f>
        <v>173.22478696814571</v>
      </c>
      <c r="I5" s="59">
        <f>'SER_se-appl'!I16</f>
        <v>190.05633109211507</v>
      </c>
      <c r="J5" s="59">
        <f>'SER_se-appl'!J16</f>
        <v>202.25404073937943</v>
      </c>
      <c r="K5" s="59">
        <f>'SER_se-appl'!K16</f>
        <v>206.64918277138372</v>
      </c>
      <c r="L5" s="59">
        <f>'SER_se-appl'!L16</f>
        <v>214.26652320262593</v>
      </c>
      <c r="M5" s="59">
        <f>'SER_se-appl'!M16</f>
        <v>218.66064621086872</v>
      </c>
      <c r="N5" s="59">
        <f>'SER_se-appl'!N16</f>
        <v>222.87241698057383</v>
      </c>
      <c r="O5" s="59">
        <f>'SER_se-appl'!O16</f>
        <v>226.55253441708973</v>
      </c>
      <c r="P5" s="59">
        <f>'SER_se-appl'!P16</f>
        <v>230.06373362884239</v>
      </c>
      <c r="Q5" s="59">
        <f>'SER_se-appl'!Q16</f>
        <v>233.85786521831906</v>
      </c>
      <c r="R5" s="59">
        <f>'SER_se-appl'!R16</f>
        <v>241.60331265459476</v>
      </c>
      <c r="S5" s="59">
        <f>'SER_se-appl'!S16</f>
        <v>248.30581304541292</v>
      </c>
      <c r="T5" s="59">
        <f>'SER_se-appl'!T16</f>
        <v>256.64989200439982</v>
      </c>
      <c r="U5" s="59">
        <f>'SER_se-appl'!U16</f>
        <v>266.62182601539092</v>
      </c>
      <c r="V5" s="59">
        <f>'SER_se-appl'!V16</f>
        <v>275.22579771970828</v>
      </c>
      <c r="W5" s="59">
        <f>'SER_se-appl'!W16</f>
        <v>281.92077216137181</v>
      </c>
      <c r="X5" s="59">
        <f>'SER_se-appl'!X16</f>
        <v>286.82652552762517</v>
      </c>
      <c r="Y5" s="59">
        <f>'SER_se-appl'!Y16</f>
        <v>291.41644704035508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59.447220614107756</v>
      </c>
      <c r="C6" s="201">
        <f>'SER_se-appl'!C72</f>
        <v>64.369080627885864</v>
      </c>
      <c r="D6" s="201">
        <f>'SER_se-appl'!D72</f>
        <v>70.294559692858655</v>
      </c>
      <c r="E6" s="201">
        <f>'SER_se-appl'!E72</f>
        <v>76.933273862098503</v>
      </c>
      <c r="F6" s="201">
        <f>'SER_se-appl'!F72</f>
        <v>84.23282597013835</v>
      </c>
      <c r="G6" s="201">
        <f>'SER_se-appl'!G72</f>
        <v>91.299951266891327</v>
      </c>
      <c r="H6" s="201">
        <f>'SER_se-appl'!H72</f>
        <v>97.822594248866238</v>
      </c>
      <c r="I6" s="201">
        <f>'SER_se-appl'!I72</f>
        <v>102.86015338970114</v>
      </c>
      <c r="J6" s="201">
        <f>'SER_se-appl'!J72</f>
        <v>107.07134266157051</v>
      </c>
      <c r="K6" s="201">
        <f>'SER_se-appl'!K72</f>
        <v>110.43759021370748</v>
      </c>
      <c r="L6" s="201">
        <f>'SER_se-appl'!L72</f>
        <v>113.29382161140927</v>
      </c>
      <c r="M6" s="201">
        <f>'SER_se-appl'!M72</f>
        <v>115.80880694044514</v>
      </c>
      <c r="N6" s="201">
        <f>'SER_se-appl'!N72</f>
        <v>118.50491396045285</v>
      </c>
      <c r="O6" s="201">
        <f>'SER_se-appl'!O72</f>
        <v>121.35879776251848</v>
      </c>
      <c r="P6" s="201">
        <f>'SER_se-appl'!P72</f>
        <v>124.4307631813148</v>
      </c>
      <c r="Q6" s="201">
        <f>'SER_se-appl'!Q72</f>
        <v>127.76265128544694</v>
      </c>
      <c r="R6" s="201">
        <f>'SER_se-appl'!R72</f>
        <v>133.38470143874926</v>
      </c>
      <c r="S6" s="201">
        <f>'SER_se-appl'!S72</f>
        <v>138.6658876750144</v>
      </c>
      <c r="T6" s="201">
        <f>'SER_se-appl'!T72</f>
        <v>145.08409664357964</v>
      </c>
      <c r="U6" s="201">
        <f>'SER_se-appl'!U72</f>
        <v>152.79064151945465</v>
      </c>
      <c r="V6" s="201">
        <f>'SER_se-appl'!V72</f>
        <v>159.91502631316934</v>
      </c>
      <c r="W6" s="201">
        <f>'SER_se-appl'!W72</f>
        <v>166.08081399650379</v>
      </c>
      <c r="X6" s="201">
        <f>'SER_se-appl'!X72</f>
        <v>171.18417629665655</v>
      </c>
      <c r="Y6" s="201">
        <f>'SER_se-appl'!Y72</f>
        <v>175.37954523379253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1.7280068213259223</v>
      </c>
      <c r="C8" s="34">
        <f>'SER_se-appl'!C24</f>
        <v>1.9072438628198576</v>
      </c>
      <c r="D8" s="34">
        <f>'SER_se-appl'!D24</f>
        <v>2.1345722174385613</v>
      </c>
      <c r="E8" s="34">
        <f>'SER_se-appl'!E24</f>
        <v>2.3952568643288261</v>
      </c>
      <c r="F8" s="34">
        <f>'SER_se-appl'!F24</f>
        <v>2.6914314741820129</v>
      </c>
      <c r="G8" s="34">
        <f>'SER_se-appl'!G24</f>
        <v>3.0216656066273564</v>
      </c>
      <c r="H8" s="34">
        <f>'SER_se-appl'!H24</f>
        <v>3.385275830033446</v>
      </c>
      <c r="I8" s="34">
        <f>'SER_se-appl'!I24</f>
        <v>3.7573169184905888</v>
      </c>
      <c r="J8" s="34">
        <f>'SER_se-appl'!J24</f>
        <v>4.0402176606072322</v>
      </c>
      <c r="K8" s="34">
        <f>'SER_se-appl'!K24</f>
        <v>4.1603590717174974</v>
      </c>
      <c r="L8" s="34">
        <f>'SER_se-appl'!L24</f>
        <v>4.3616132316249194</v>
      </c>
      <c r="M8" s="34">
        <f>'SER_se-appl'!M24</f>
        <v>4.5023587890097003</v>
      </c>
      <c r="N8" s="34">
        <f>'SER_se-appl'!N24</f>
        <v>4.6529067292177233</v>
      </c>
      <c r="O8" s="34">
        <f>'SER_se-appl'!O24</f>
        <v>4.8062909591297363</v>
      </c>
      <c r="P8" s="34">
        <f>'SER_se-appl'!P24</f>
        <v>4.9745524527823726</v>
      </c>
      <c r="Q8" s="34">
        <f>'SER_se-appl'!Q24</f>
        <v>5.1717003279857616</v>
      </c>
      <c r="R8" s="34">
        <f>'SER_se-appl'!R24</f>
        <v>5.4641553105778629</v>
      </c>
      <c r="S8" s="34">
        <f>'SER_se-appl'!S24</f>
        <v>5.7525882115199867</v>
      </c>
      <c r="T8" s="34">
        <f>'SER_se-appl'!T24</f>
        <v>6.1063559484171366</v>
      </c>
      <c r="U8" s="34">
        <f>'SER_se-appl'!U24</f>
        <v>6.526568501517815</v>
      </c>
      <c r="V8" s="34">
        <f>'SER_se-appl'!V24</f>
        <v>6.9275024153337768</v>
      </c>
      <c r="W8" s="34">
        <f>'SER_se-appl'!W24</f>
        <v>7.2884298904813463</v>
      </c>
      <c r="X8" s="34">
        <f>'SER_se-appl'!X24</f>
        <v>7.6022508354965872</v>
      </c>
      <c r="Y8" s="34">
        <f>'SER_se-appl'!Y24</f>
        <v>7.874027552155332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0.22845491723581501</v>
      </c>
      <c r="D9" s="36">
        <f>'SER_se-appl'!D32</f>
        <v>0.28208479056815072</v>
      </c>
      <c r="E9" s="36">
        <f>'SER_se-appl'!E32</f>
        <v>0.32160290540288594</v>
      </c>
      <c r="F9" s="36">
        <f>'SER_se-appl'!F32</f>
        <v>0.3639480899174603</v>
      </c>
      <c r="G9" s="36">
        <f>'SER_se-appl'!G32</f>
        <v>0.40563426226144594</v>
      </c>
      <c r="H9" s="36">
        <f>'SER_se-appl'!H32</f>
        <v>0.44749524112826444</v>
      </c>
      <c r="I9" s="36">
        <f>'SER_se-appl'!I32</f>
        <v>0.46536581104597419</v>
      </c>
      <c r="J9" s="36">
        <f>'SER_se-appl'!J32</f>
        <v>0.38672743349469085</v>
      </c>
      <c r="K9" s="36">
        <f>'SER_se-appl'!K32</f>
        <v>0.23565187332729876</v>
      </c>
      <c r="L9" s="36">
        <f>'SER_se-appl'!L32</f>
        <v>0.32976318494232615</v>
      </c>
      <c r="M9" s="36">
        <f>'SER_se-appl'!M32</f>
        <v>0.28371589269858255</v>
      </c>
      <c r="N9" s="36">
        <f>'SER_se-appl'!N32</f>
        <v>0.30960693839269648</v>
      </c>
      <c r="O9" s="36">
        <f>'SER_se-appl'!O32</f>
        <v>0.33034237194883698</v>
      </c>
      <c r="P9" s="36">
        <f>'SER_se-appl'!P32</f>
        <v>0.3651329966201553</v>
      </c>
      <c r="Q9" s="36">
        <f>'SER_se-appl'!Q32</f>
        <v>0.41617361900117711</v>
      </c>
      <c r="R9" s="36">
        <f>'SER_se-appl'!R32</f>
        <v>0.5209098998279158</v>
      </c>
      <c r="S9" s="36">
        <f>'SER_se-appl'!S32</f>
        <v>0.57051769151027454</v>
      </c>
      <c r="T9" s="36">
        <f>'SER_se-appl'!T32</f>
        <v>0.67537064230003541</v>
      </c>
      <c r="U9" s="36">
        <f>'SER_se-appl'!U32</f>
        <v>0.78416064301813826</v>
      </c>
      <c r="V9" s="36">
        <f>'SER_se-appl'!V32</f>
        <v>0.80656817607740727</v>
      </c>
      <c r="W9" s="36">
        <f>'SER_se-appl'!W32</f>
        <v>0.80842271627583351</v>
      </c>
      <c r="X9" s="36">
        <f>'SER_se-appl'!X32</f>
        <v>0.77918675606121468</v>
      </c>
      <c r="Y9" s="36">
        <f>'SER_se-appl'!Y32</f>
        <v>0.65850415015343611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4.9217875741879746E-2</v>
      </c>
      <c r="D10" s="38">
        <f>'SER_se-appl'!D40</f>
        <v>5.4756435949447013E-2</v>
      </c>
      <c r="E10" s="38">
        <f>'SER_se-appl'!E40</f>
        <v>6.0918258512621115E-2</v>
      </c>
      <c r="F10" s="38">
        <f>'SER_se-appl'!F40</f>
        <v>6.7773480064273528E-2</v>
      </c>
      <c r="G10" s="38">
        <f>'SER_se-appl'!G40</f>
        <v>7.5400129816102446E-2</v>
      </c>
      <c r="H10" s="38">
        <f>'SER_se-appl'!H40</f>
        <v>8.3885017722174826E-2</v>
      </c>
      <c r="I10" s="38">
        <f>'SER_se-appl'!I40</f>
        <v>9.3324722588831399E-2</v>
      </c>
      <c r="J10" s="38">
        <f>'SER_se-appl'!J40</f>
        <v>0.10382669137804701</v>
      </c>
      <c r="K10" s="38">
        <f>'SER_se-appl'!K40</f>
        <v>0.11551046221703309</v>
      </c>
      <c r="L10" s="38">
        <f>'SER_se-appl'!L40</f>
        <v>0.12850902503490413</v>
      </c>
      <c r="M10" s="38">
        <f>'SER_se-appl'!M40</f>
        <v>0.14297033531380166</v>
      </c>
      <c r="N10" s="38">
        <f>'SER_se-appl'!N40</f>
        <v>0.15905899818467351</v>
      </c>
      <c r="O10" s="38">
        <f>'SER_se-appl'!O40</f>
        <v>0.17695814203682403</v>
      </c>
      <c r="P10" s="38">
        <f>'SER_se-appl'!P40</f>
        <v>0.19687150296751899</v>
      </c>
      <c r="Q10" s="38">
        <f>'SER_se-appl'!Q40</f>
        <v>0.21902574379778805</v>
      </c>
      <c r="R10" s="38">
        <f>'SER_se-appl'!R40</f>
        <v>0.22845491723581457</v>
      </c>
      <c r="S10" s="38">
        <f>'SER_se-appl'!S40</f>
        <v>0.28208479056815072</v>
      </c>
      <c r="T10" s="38">
        <f>'SER_se-appl'!T40</f>
        <v>0.3216029054028855</v>
      </c>
      <c r="U10" s="38">
        <f>'SER_se-appl'!U40</f>
        <v>0.36394808991745986</v>
      </c>
      <c r="V10" s="38">
        <f>'SER_se-appl'!V40</f>
        <v>0.4056342622614455</v>
      </c>
      <c r="W10" s="38">
        <f>'SER_se-appl'!W40</f>
        <v>0.447495241128264</v>
      </c>
      <c r="X10" s="38">
        <f>'SER_se-appl'!X40</f>
        <v>0.46536581104597374</v>
      </c>
      <c r="Y10" s="38">
        <f>'SER_se-appl'!Y40</f>
        <v>0.38672743349469219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919.54097270772138</v>
      </c>
      <c r="C12" s="204">
        <f>'SER_se-appl'!C48</f>
        <v>923.93351150870092</v>
      </c>
      <c r="D12" s="204">
        <f>'SER_se-appl'!D48</f>
        <v>927.96190440926478</v>
      </c>
      <c r="E12" s="204">
        <f>'SER_se-appl'!E48</f>
        <v>931.68317512922351</v>
      </c>
      <c r="F12" s="204">
        <f>'SER_se-appl'!F48</f>
        <v>935.14183657151989</v>
      </c>
      <c r="G12" s="204">
        <f>'SER_se-appl'!G48</f>
        <v>938.37331311574326</v>
      </c>
      <c r="H12" s="204">
        <f>'SER_se-appl'!H48</f>
        <v>941.40626533533191</v>
      </c>
      <c r="I12" s="204">
        <f>'SER_se-appl'!I48</f>
        <v>944.26421463998292</v>
      </c>
      <c r="J12" s="204">
        <f>'SER_se-appl'!J48</f>
        <v>946.96670679240526</v>
      </c>
      <c r="K12" s="204">
        <f>'SER_se-appl'!K48</f>
        <v>949.53016312883665</v>
      </c>
      <c r="L12" s="204">
        <f>'SER_se-appl'!L48</f>
        <v>951.96851507928557</v>
      </c>
      <c r="M12" s="204">
        <f>'SER_se-appl'!M48</f>
        <v>953.5179980677417</v>
      </c>
      <c r="N12" s="204">
        <f>'SER_se-appl'!N48</f>
        <v>954.99773413292121</v>
      </c>
      <c r="O12" s="204">
        <f>'SER_se-appl'!O48</f>
        <v>956.41382742232418</v>
      </c>
      <c r="P12" s="204">
        <f>'SER_se-appl'!P48</f>
        <v>957.77161043062176</v>
      </c>
      <c r="Q12" s="204">
        <f>'SER_se-appl'!Q48</f>
        <v>959.07576911645742</v>
      </c>
      <c r="R12" s="204">
        <f>'SER_se-appl'!R48</f>
        <v>959.26416638491435</v>
      </c>
      <c r="S12" s="204">
        <f>'SER_se-appl'!S48</f>
        <v>986.71936472934556</v>
      </c>
      <c r="T12" s="204">
        <f>'SER_se-appl'!T48</f>
        <v>987.42702070240841</v>
      </c>
      <c r="U12" s="204">
        <f>'SER_se-appl'!U48</f>
        <v>982.77724089964806</v>
      </c>
      <c r="V12" s="204">
        <f>'SER_se-appl'!V48</f>
        <v>986.7258994568341</v>
      </c>
      <c r="W12" s="204">
        <f>'SER_se-appl'!W48</f>
        <v>1058.6792331655583</v>
      </c>
      <c r="X12" s="204">
        <f>'SER_se-appl'!X48</f>
        <v>1008.848629996246</v>
      </c>
      <c r="Y12" s="204">
        <f>'SER_se-appl'!Y48</f>
        <v>983.93332841158986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54.169869166072644</v>
      </c>
      <c r="C14" s="59">
        <f>'SER_se-appl'!C56</f>
        <v>53.770283332698106</v>
      </c>
      <c r="D14" s="59">
        <f>'SER_se-appl'!D56</f>
        <v>53.300358974834239</v>
      </c>
      <c r="E14" s="59">
        <f>'SER_se-appl'!E56</f>
        <v>52.815356476960176</v>
      </c>
      <c r="F14" s="59">
        <f>'SER_se-appl'!F56</f>
        <v>52.30315095155936</v>
      </c>
      <c r="G14" s="59">
        <f>'SER_se-appl'!G56</f>
        <v>51.75363269471719</v>
      </c>
      <c r="H14" s="59">
        <f>'SER_se-appl'!H56</f>
        <v>51.170065798282167</v>
      </c>
      <c r="I14" s="59">
        <f>'SER_se-appl'!I56</f>
        <v>50.582991856983305</v>
      </c>
      <c r="J14" s="59">
        <f>'SER_se-appl'!J56</f>
        <v>50.060184309223892</v>
      </c>
      <c r="K14" s="59">
        <f>'SER_se-appl'!K56</f>
        <v>49.670996952211127</v>
      </c>
      <c r="L14" s="59">
        <f>'SER_se-appl'!L56</f>
        <v>49.125521183087784</v>
      </c>
      <c r="M14" s="59">
        <f>'SER_se-appl'!M56</f>
        <v>48.565797720213098</v>
      </c>
      <c r="N14" s="59">
        <f>'SER_se-appl'!N56</f>
        <v>47.899609846261541</v>
      </c>
      <c r="O14" s="59">
        <f>'SER_se-appl'!O56</f>
        <v>47.136666577944972</v>
      </c>
      <c r="P14" s="59">
        <f>'SER_se-appl'!P56</f>
        <v>46.248127004905307</v>
      </c>
      <c r="Q14" s="59">
        <f>'SER_se-appl'!Q56</f>
        <v>45.218757930121683</v>
      </c>
      <c r="R14" s="59">
        <f>'SER_se-appl'!R56</f>
        <v>44.216040526315851</v>
      </c>
      <c r="S14" s="59">
        <f>'SER_se-appl'!S56</f>
        <v>43.16419043312748</v>
      </c>
      <c r="T14" s="59">
        <f>'SER_se-appl'!T56</f>
        <v>42.029959303457822</v>
      </c>
      <c r="U14" s="59">
        <f>'SER_se-appl'!U56</f>
        <v>40.851762446588204</v>
      </c>
      <c r="V14" s="59">
        <f>'SER_se-appl'!V56</f>
        <v>39.7294408891877</v>
      </c>
      <c r="W14" s="59">
        <f>'SER_se-appl'!W56</f>
        <v>38.680590524655926</v>
      </c>
      <c r="X14" s="59">
        <f>'SER_se-appl'!X56</f>
        <v>37.729158341943787</v>
      </c>
      <c r="Y14" s="59">
        <f>'SER_se-appl'!Y56</f>
        <v>37.009833291805869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50.833947849103694</v>
      </c>
      <c r="D15" s="63">
        <f>'SER_se-appl'!D64</f>
        <v>50.291869694989629</v>
      </c>
      <c r="E15" s="63">
        <f>'SER_se-appl'!E64</f>
        <v>49.852826328164554</v>
      </c>
      <c r="F15" s="63">
        <f>'SER_se-appl'!F64</f>
        <v>49.27978074726439</v>
      </c>
      <c r="G15" s="63">
        <f>'SER_se-appl'!G64</f>
        <v>48.556648837223875</v>
      </c>
      <c r="H15" s="63">
        <f>'SER_se-appl'!H64</f>
        <v>47.791917110840565</v>
      </c>
      <c r="I15" s="63">
        <f>'SER_se-appl'!I64</f>
        <v>47.031671895647939</v>
      </c>
      <c r="J15" s="63">
        <f>'SER_se-appl'!J64</f>
        <v>46.084105733357738</v>
      </c>
      <c r="K15" s="63">
        <f>'SER_se-appl'!K64</f>
        <v>45.203666354132928</v>
      </c>
      <c r="L15" s="63">
        <f>'SER_se-appl'!L64</f>
        <v>44.209475677499434</v>
      </c>
      <c r="M15" s="63">
        <f>'SER_se-appl'!M64</f>
        <v>42.785080706483903</v>
      </c>
      <c r="N15" s="63">
        <f>'SER_se-appl'!N64</f>
        <v>41.433102105692676</v>
      </c>
      <c r="O15" s="63">
        <f>'SER_se-appl'!O64</f>
        <v>40.158084354302943</v>
      </c>
      <c r="P15" s="63">
        <f>'SER_se-appl'!P64</f>
        <v>38.823395588041343</v>
      </c>
      <c r="Q15" s="63">
        <f>'SER_se-appl'!Q64</f>
        <v>37.625468698822843</v>
      </c>
      <c r="R15" s="63">
        <f>'SER_se-appl'!R64</f>
        <v>37.163265262011073</v>
      </c>
      <c r="S15" s="63">
        <f>'SER_se-appl'!S64</f>
        <v>36.614240420332045</v>
      </c>
      <c r="T15" s="63">
        <f>'SER_se-appl'!T64</f>
        <v>36.094095925834736</v>
      </c>
      <c r="U15" s="63">
        <f>'SER_se-appl'!U64</f>
        <v>35.588646706493343</v>
      </c>
      <c r="V15" s="63">
        <f>'SER_se-appl'!V64</f>
        <v>35.087191600994672</v>
      </c>
      <c r="W15" s="63">
        <f>'SER_se-appl'!W64</f>
        <v>34.736319684984721</v>
      </c>
      <c r="X15" s="63">
        <f>'SER_se-appl'!X64</f>
        <v>34.385447768974778</v>
      </c>
      <c r="Y15" s="63">
        <f>'SER_se-appl'!Y64</f>
        <v>34.034575852964828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23.254838863936563</v>
      </c>
      <c r="C3" s="198">
        <f>'SER_se-appl'!C9</f>
        <v>25.698590320903019</v>
      </c>
      <c r="D3" s="198">
        <f>'SER_se-appl'!D9</f>
        <v>27.729808716257072</v>
      </c>
      <c r="E3" s="198">
        <f>'SER_se-appl'!E9</f>
        <v>29.995588214112523</v>
      </c>
      <c r="F3" s="198">
        <f>'SER_se-appl'!F9</f>
        <v>33.186158995923222</v>
      </c>
      <c r="G3" s="198">
        <f>'SER_se-appl'!G9</f>
        <v>37.380382859104635</v>
      </c>
      <c r="H3" s="198">
        <f>'SER_se-appl'!H9</f>
        <v>41.253024026565882</v>
      </c>
      <c r="I3" s="198">
        <f>'SER_se-appl'!I9</f>
        <v>47.134574516234451</v>
      </c>
      <c r="J3" s="198">
        <f>'SER_se-appl'!J9</f>
        <v>50.807236266044228</v>
      </c>
      <c r="K3" s="198">
        <f>'SER_se-appl'!K9</f>
        <v>53.008043313618387</v>
      </c>
      <c r="L3" s="198">
        <f>'SER_se-appl'!L9</f>
        <v>54.402631946804277</v>
      </c>
      <c r="M3" s="198">
        <f>'SER_se-appl'!M9</f>
        <v>54.729867380212191</v>
      </c>
      <c r="N3" s="198">
        <f>'SER_se-appl'!N9</f>
        <v>55.627441691304298</v>
      </c>
      <c r="O3" s="198">
        <f>'SER_se-appl'!O9</f>
        <v>57.151803683316558</v>
      </c>
      <c r="P3" s="198">
        <f>'SER_se-appl'!P9</f>
        <v>59.740556335768098</v>
      </c>
      <c r="Q3" s="198">
        <f>'SER_se-appl'!Q9</f>
        <v>64.316296071929088</v>
      </c>
      <c r="R3" s="198">
        <f>'SER_se-appl'!R9</f>
        <v>66.746593073805641</v>
      </c>
      <c r="S3" s="198">
        <f>'SER_se-appl'!S9</f>
        <v>70.212120239829957</v>
      </c>
      <c r="T3" s="198">
        <f>'SER_se-appl'!T9</f>
        <v>72.606548800358055</v>
      </c>
      <c r="U3" s="198">
        <f>'SER_se-appl'!U9</f>
        <v>74.60534183667167</v>
      </c>
      <c r="V3" s="198">
        <f>'SER_se-appl'!V9</f>
        <v>75.94725675131545</v>
      </c>
      <c r="W3" s="198">
        <f>'SER_se-appl'!W9</f>
        <v>81.639399168163479</v>
      </c>
      <c r="X3" s="198">
        <f>'SER_se-appl'!X9</f>
        <v>79.103053998982674</v>
      </c>
      <c r="Y3" s="198">
        <f>'SER_se-appl'!Y9</f>
        <v>77.770587726983052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128.91570688782829</v>
      </c>
      <c r="C5" s="59">
        <f>'SER_se-appl'!C17</f>
        <v>136.46143228211349</v>
      </c>
      <c r="D5" s="59">
        <f>'SER_se-appl'!D17</f>
        <v>140.47049588785515</v>
      </c>
      <c r="E5" s="59">
        <f>'SER_se-appl'!E17</f>
        <v>146.05072681045618</v>
      </c>
      <c r="F5" s="59">
        <f>'SER_se-appl'!F17</f>
        <v>158.30202236389385</v>
      </c>
      <c r="G5" s="59">
        <f>'SER_se-appl'!G17</f>
        <v>177.83154181728221</v>
      </c>
      <c r="H5" s="59">
        <f>'SER_se-appl'!H17</f>
        <v>195.94711770650102</v>
      </c>
      <c r="I5" s="59">
        <f>'SER_se-appl'!I17</f>
        <v>227.98703520512086</v>
      </c>
      <c r="J5" s="59">
        <f>'SER_se-appl'!J17</f>
        <v>245.27646573485052</v>
      </c>
      <c r="K5" s="59">
        <f>'SER_se-appl'!K17</f>
        <v>253.31836998457368</v>
      </c>
      <c r="L5" s="59">
        <f>'SER_se-appl'!L17</f>
        <v>255.35252375922033</v>
      </c>
      <c r="M5" s="59">
        <f>'SER_se-appl'!M17</f>
        <v>252.28665107465341</v>
      </c>
      <c r="N5" s="59">
        <f>'SER_se-appl'!N17</f>
        <v>254.63189498932658</v>
      </c>
      <c r="O5" s="59">
        <f>'SER_se-appl'!O17</f>
        <v>260.55405915856016</v>
      </c>
      <c r="P5" s="59">
        <f>'SER_se-appl'!P17</f>
        <v>272.65068143064366</v>
      </c>
      <c r="Q5" s="59">
        <f>'SER_se-appl'!Q17</f>
        <v>296.46294186428315</v>
      </c>
      <c r="R5" s="59">
        <f>'SER_se-appl'!R17</f>
        <v>306.95757482524692</v>
      </c>
      <c r="S5" s="59">
        <f>'SER_se-appl'!S17</f>
        <v>316.06501259318458</v>
      </c>
      <c r="T5" s="59">
        <f>'SER_se-appl'!T17</f>
        <v>325.96431945761481</v>
      </c>
      <c r="U5" s="59">
        <f>'SER_se-appl'!U17</f>
        <v>334.7608131418832</v>
      </c>
      <c r="V5" s="59">
        <f>'SER_se-appl'!V17</f>
        <v>339.97865467144698</v>
      </c>
      <c r="W5" s="59">
        <f>'SER_se-appl'!W17</f>
        <v>344.99682947638951</v>
      </c>
      <c r="X5" s="59">
        <f>'SER_se-appl'!X17</f>
        <v>344.86661873374294</v>
      </c>
      <c r="Y5" s="59">
        <f>'SER_se-appl'!Y17</f>
        <v>344.7234958628315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6.0956260470438346E-2</v>
      </c>
      <c r="C6" s="201">
        <f>'SER_se-appl'!C73</f>
        <v>6.5922869996733205E-2</v>
      </c>
      <c r="D6" s="201">
        <f>'SER_se-appl'!D73</f>
        <v>6.9415403215369834E-2</v>
      </c>
      <c r="E6" s="201">
        <f>'SER_se-appl'!E73</f>
        <v>7.4493328221642563E-2</v>
      </c>
      <c r="F6" s="201">
        <f>'SER_se-appl'!F73</f>
        <v>8.4282188468760164E-2</v>
      </c>
      <c r="G6" s="201">
        <f>'SER_se-appl'!G73</f>
        <v>9.9590510929013373E-2</v>
      </c>
      <c r="H6" s="201">
        <f>'SER_se-appl'!H73</f>
        <v>0.11563444198855721</v>
      </c>
      <c r="I6" s="201">
        <f>'SER_se-appl'!I73</f>
        <v>0.1420886722745901</v>
      </c>
      <c r="J6" s="201">
        <f>'SER_se-appl'!J73</f>
        <v>0.16048661505333561</v>
      </c>
      <c r="K6" s="201">
        <f>'SER_se-appl'!K73</f>
        <v>0.17504660388847854</v>
      </c>
      <c r="L6" s="201">
        <f>'SER_se-appl'!L73</f>
        <v>0.18863576814360494</v>
      </c>
      <c r="M6" s="201">
        <f>'SER_se-appl'!M73</f>
        <v>0.20082579610173359</v>
      </c>
      <c r="N6" s="201">
        <f>'SER_se-appl'!N73</f>
        <v>0.22048687310351045</v>
      </c>
      <c r="O6" s="201">
        <f>'SER_se-appl'!O73</f>
        <v>0.23937382641628044</v>
      </c>
      <c r="P6" s="201">
        <f>'SER_se-appl'!P73</f>
        <v>0.26262009027812017</v>
      </c>
      <c r="Q6" s="201">
        <f>'SER_se-appl'!Q73</f>
        <v>0.29518043932302646</v>
      </c>
      <c r="R6" s="201">
        <f>'SER_se-appl'!R73</f>
        <v>0.31184807570178147</v>
      </c>
      <c r="S6" s="201">
        <f>'SER_se-appl'!S73</f>
        <v>0.32848393023456929</v>
      </c>
      <c r="T6" s="201">
        <f>'SER_se-appl'!T73</f>
        <v>0.34479572543091136</v>
      </c>
      <c r="U6" s="201">
        <f>'SER_se-appl'!U73</f>
        <v>0.36046478156068035</v>
      </c>
      <c r="V6" s="201">
        <f>'SER_se-appl'!V73</f>
        <v>0.37506511758340844</v>
      </c>
      <c r="W6" s="201">
        <f>'SER_se-appl'!W73</f>
        <v>0.38884973302788733</v>
      </c>
      <c r="X6" s="201">
        <f>'SER_se-appl'!X73</f>
        <v>0.40008498459400449</v>
      </c>
      <c r="Y6" s="201">
        <f>'SER_se-appl'!Y73</f>
        <v>0.40844484126412967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329.0819422825553</v>
      </c>
      <c r="C8" s="34">
        <f>'SER_se-appl'!C25</f>
        <v>354.5848124496386</v>
      </c>
      <c r="D8" s="34">
        <f>'SER_se-appl'!D25</f>
        <v>373.38205254071676</v>
      </c>
      <c r="E8" s="34">
        <f>'SER_se-appl'!E25</f>
        <v>400.3921785386446</v>
      </c>
      <c r="F8" s="34">
        <f>'SER_se-appl'!F25</f>
        <v>452.75338118062098</v>
      </c>
      <c r="G8" s="34">
        <f>'SER_se-appl'!G25</f>
        <v>535.06844421064625</v>
      </c>
      <c r="H8" s="34">
        <f>'SER_se-appl'!H25</f>
        <v>621.29553112469478</v>
      </c>
      <c r="I8" s="34">
        <f>'SER_se-appl'!I25</f>
        <v>763.46801209238208</v>
      </c>
      <c r="J8" s="34">
        <f>'SER_se-appl'!J25</f>
        <v>862.78631367009564</v>
      </c>
      <c r="K8" s="34">
        <f>'SER_se-appl'!K25</f>
        <v>942.1710158159508</v>
      </c>
      <c r="L8" s="34">
        <f>'SER_se-appl'!L25</f>
        <v>1016.8241309589695</v>
      </c>
      <c r="M8" s="34">
        <f>'SER_se-appl'!M25</f>
        <v>1082.9422608856089</v>
      </c>
      <c r="N8" s="34">
        <f>'SER_se-appl'!N25</f>
        <v>1191.5820590245098</v>
      </c>
      <c r="O8" s="34">
        <f>'SER_se-appl'!O25</f>
        <v>1295.212517430961</v>
      </c>
      <c r="P8" s="34">
        <f>'SER_se-appl'!P25</f>
        <v>1422.3370153216947</v>
      </c>
      <c r="Q8" s="34">
        <f>'SER_se-appl'!Q25</f>
        <v>1600.2761795434503</v>
      </c>
      <c r="R8" s="34">
        <f>'SER_se-appl'!R25</f>
        <v>1692.1662444729429</v>
      </c>
      <c r="S8" s="34">
        <f>'SER_se-appl'!S25</f>
        <v>1785.4228308129545</v>
      </c>
      <c r="T8" s="34">
        <f>'SER_se-appl'!T25</f>
        <v>1876.7645090075023</v>
      </c>
      <c r="U8" s="34">
        <f>'SER_se-appl'!U25</f>
        <v>1964.6848151787449</v>
      </c>
      <c r="V8" s="34">
        <f>'SER_se-appl'!V25</f>
        <v>2047.0577785003102</v>
      </c>
      <c r="W8" s="34">
        <f>'SER_se-appl'!W25</f>
        <v>2123.0343842407315</v>
      </c>
      <c r="X8" s="34">
        <f>'SER_se-appl'!X25</f>
        <v>2174.3466667928515</v>
      </c>
      <c r="Y8" s="34">
        <f>'SER_se-appl'!Y25</f>
        <v>2217.3620866959768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91.319258623594351</v>
      </c>
      <c r="D9" s="36">
        <f>'SER_se-appl'!D33</f>
        <v>84.613628547589201</v>
      </c>
      <c r="E9" s="36">
        <f>'SER_se-appl'!E33</f>
        <v>92.826514454438893</v>
      </c>
      <c r="F9" s="36">
        <f>'SER_se-appl'!F33</f>
        <v>118.17759109848743</v>
      </c>
      <c r="G9" s="36">
        <f>'SER_se-appl'!G33</f>
        <v>148.13145148653632</v>
      </c>
      <c r="H9" s="36">
        <f>'SER_se-appl'!H33</f>
        <v>177.54634553764288</v>
      </c>
      <c r="I9" s="36">
        <f>'SER_se-appl'!I33</f>
        <v>226.78610951527651</v>
      </c>
      <c r="J9" s="36">
        <f>'SER_se-appl'!J33</f>
        <v>192.14481603215245</v>
      </c>
      <c r="K9" s="36">
        <f>'SER_se-appl'!K33</f>
        <v>197.56229324434253</v>
      </c>
      <c r="L9" s="36">
        <f>'SER_se-appl'!L33</f>
        <v>222.784566629555</v>
      </c>
      <c r="M9" s="36">
        <f>'SER_se-appl'!M33</f>
        <v>243.6644754642823</v>
      </c>
      <c r="N9" s="36">
        <f>'SER_se-appl'!N33</f>
        <v>335.42590765417742</v>
      </c>
      <c r="O9" s="36">
        <f>'SER_se-appl'!O33</f>
        <v>295.77527443860367</v>
      </c>
      <c r="P9" s="36">
        <f>'SER_se-appl'!P33</f>
        <v>324.68679113507619</v>
      </c>
      <c r="Q9" s="36">
        <f>'SER_se-appl'!Q33</f>
        <v>400.72373085131062</v>
      </c>
      <c r="R9" s="36">
        <f>'SER_se-appl'!R33</f>
        <v>335.55454039377491</v>
      </c>
      <c r="S9" s="36">
        <f>'SER_se-appl'!S33</f>
        <v>428.68249399418892</v>
      </c>
      <c r="T9" s="36">
        <f>'SER_se-appl'!T33</f>
        <v>387.11695263315141</v>
      </c>
      <c r="U9" s="36">
        <f>'SER_se-appl'!U33</f>
        <v>412.60709730631879</v>
      </c>
      <c r="V9" s="36">
        <f>'SER_se-appl'!V33</f>
        <v>483.09669417287591</v>
      </c>
      <c r="W9" s="36">
        <f>'SER_se-appl'!W33</f>
        <v>411.53114613419621</v>
      </c>
      <c r="X9" s="36">
        <f>'SER_se-appl'!X33</f>
        <v>479.99477654630891</v>
      </c>
      <c r="Y9" s="36">
        <f>'SER_se-appl'!Y33</f>
        <v>430.13237253627676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65.816388456511049</v>
      </c>
      <c r="D10" s="38">
        <f>'SER_se-appl'!D41</f>
        <v>65.816388456511049</v>
      </c>
      <c r="E10" s="38">
        <f>'SER_se-appl'!E41</f>
        <v>65.816388456511049</v>
      </c>
      <c r="F10" s="38">
        <f>'SER_se-appl'!F41</f>
        <v>65.816388456511049</v>
      </c>
      <c r="G10" s="38">
        <f>'SER_se-appl'!G41</f>
        <v>65.816388456511049</v>
      </c>
      <c r="H10" s="38">
        <f>'SER_se-appl'!H41</f>
        <v>91.319258623594351</v>
      </c>
      <c r="I10" s="38">
        <f>'SER_se-appl'!I41</f>
        <v>84.613628547589201</v>
      </c>
      <c r="J10" s="38">
        <f>'SER_se-appl'!J41</f>
        <v>92.826514454438893</v>
      </c>
      <c r="K10" s="38">
        <f>'SER_se-appl'!K41</f>
        <v>118.17759109848748</v>
      </c>
      <c r="L10" s="38">
        <f>'SER_se-appl'!L41</f>
        <v>148.13145148653632</v>
      </c>
      <c r="M10" s="38">
        <f>'SER_se-appl'!M41</f>
        <v>177.54634553764299</v>
      </c>
      <c r="N10" s="38">
        <f>'SER_se-appl'!N41</f>
        <v>226.78610951527662</v>
      </c>
      <c r="O10" s="38">
        <f>'SER_se-appl'!O41</f>
        <v>192.14481603215245</v>
      </c>
      <c r="P10" s="38">
        <f>'SER_se-appl'!P41</f>
        <v>197.56229324434253</v>
      </c>
      <c r="Q10" s="38">
        <f>'SER_se-appl'!Q41</f>
        <v>222.784566629555</v>
      </c>
      <c r="R10" s="38">
        <f>'SER_se-appl'!R41</f>
        <v>243.6644754642823</v>
      </c>
      <c r="S10" s="38">
        <f>'SER_se-appl'!S41</f>
        <v>335.42590765417708</v>
      </c>
      <c r="T10" s="38">
        <f>'SER_se-appl'!T41</f>
        <v>295.77527443860367</v>
      </c>
      <c r="U10" s="38">
        <f>'SER_se-appl'!U41</f>
        <v>324.68679113507596</v>
      </c>
      <c r="V10" s="38">
        <f>'SER_se-appl'!V41</f>
        <v>400.72373085131085</v>
      </c>
      <c r="W10" s="38">
        <f>'SER_se-appl'!W41</f>
        <v>335.55454039377491</v>
      </c>
      <c r="X10" s="38">
        <f>'SER_se-appl'!X41</f>
        <v>428.68249399418892</v>
      </c>
      <c r="Y10" s="38">
        <f>'SER_se-appl'!Y41</f>
        <v>387.11695263315141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2097.9117480456325</v>
      </c>
      <c r="C12" s="204">
        <f>'SER_se-appl'!C49</f>
        <v>2190.1763775586337</v>
      </c>
      <c r="D12" s="204">
        <f>'SER_se-appl'!D49</f>
        <v>2295.8392318023584</v>
      </c>
      <c r="E12" s="204">
        <f>'SER_se-appl'!E49</f>
        <v>2388.5447101051577</v>
      </c>
      <c r="F12" s="204">
        <f>'SER_se-appl'!F49</f>
        <v>2438.0928516211879</v>
      </c>
      <c r="G12" s="204">
        <f>'SER_se-appl'!G49</f>
        <v>2444.6386069017267</v>
      </c>
      <c r="H12" s="204">
        <f>'SER_se-appl'!H49</f>
        <v>2448.4803606429555</v>
      </c>
      <c r="I12" s="204">
        <f>'SER_se-appl'!I49</f>
        <v>2404.4134839975059</v>
      </c>
      <c r="J12" s="204">
        <f>'SER_se-appl'!J49</f>
        <v>2409.0699285142914</v>
      </c>
      <c r="K12" s="204">
        <f>'SER_se-appl'!K49</f>
        <v>2433.6314171566942</v>
      </c>
      <c r="L12" s="204">
        <f>'SER_se-appl'!L49</f>
        <v>2477.7613325565885</v>
      </c>
      <c r="M12" s="204">
        <f>'SER_se-appl'!M49</f>
        <v>2522.9569417191256</v>
      </c>
      <c r="N12" s="204">
        <f>'SER_se-appl'!N49</f>
        <v>2540.7152819444991</v>
      </c>
      <c r="O12" s="204">
        <f>'SER_se-appl'!O49</f>
        <v>2551.0079519908127</v>
      </c>
      <c r="P12" s="204">
        <f>'SER_se-appl'!P49</f>
        <v>2548.2520950959752</v>
      </c>
      <c r="Q12" s="204">
        <f>'SER_se-appl'!Q49</f>
        <v>2523.0759656259474</v>
      </c>
      <c r="R12" s="204">
        <f>'SER_se-appl'!R49</f>
        <v>2528.893049439459</v>
      </c>
      <c r="S12" s="204">
        <f>'SER_se-appl'!S49</f>
        <v>2583.5411255729427</v>
      </c>
      <c r="T12" s="204">
        <f>'SER_se-appl'!T49</f>
        <v>2590.5110226579982</v>
      </c>
      <c r="U12" s="204">
        <f>'SER_se-appl'!U49</f>
        <v>2591.880804139244</v>
      </c>
      <c r="V12" s="204">
        <f>'SER_se-appl'!V49</f>
        <v>2598.0060332651806</v>
      </c>
      <c r="W12" s="204">
        <f>'SER_se-appl'!W49</f>
        <v>2752.1012693559255</v>
      </c>
      <c r="X12" s="204">
        <f>'SER_se-appl'!X49</f>
        <v>2667.6067442712906</v>
      </c>
      <c r="Y12" s="204">
        <f>'SER_se-appl'!Y49</f>
        <v>2623.7606258922083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391.74348490121372</v>
      </c>
      <c r="C14" s="59">
        <f>'SER_se-appl'!C57</f>
        <v>384.84849742822814</v>
      </c>
      <c r="D14" s="59">
        <f>'SER_se-appl'!D57</f>
        <v>376.21116208454356</v>
      </c>
      <c r="E14" s="59">
        <f>'SER_se-appl'!E57</f>
        <v>364.76918041584531</v>
      </c>
      <c r="F14" s="59">
        <f>'SER_se-appl'!F57</f>
        <v>349.64293795244129</v>
      </c>
      <c r="G14" s="59">
        <f>'SER_se-appl'!G57</f>
        <v>332.3528863295727</v>
      </c>
      <c r="H14" s="59">
        <f>'SER_se-appl'!H57</f>
        <v>315.38472094236613</v>
      </c>
      <c r="I14" s="59">
        <f>'SER_se-appl'!I57</f>
        <v>298.62028479790939</v>
      </c>
      <c r="J14" s="59">
        <f>'SER_se-appl'!J57</f>
        <v>284.28414063674762</v>
      </c>
      <c r="K14" s="59">
        <f>'SER_se-appl'!K57</f>
        <v>268.86665555636068</v>
      </c>
      <c r="L14" s="59">
        <f>'SER_se-appl'!L57</f>
        <v>251.12752145092847</v>
      </c>
      <c r="M14" s="59">
        <f>'SER_se-appl'!M57</f>
        <v>232.9640833005615</v>
      </c>
      <c r="N14" s="59">
        <f>'SER_se-appl'!N57</f>
        <v>213.69228670477074</v>
      </c>
      <c r="O14" s="59">
        <f>'SER_se-appl'!O57</f>
        <v>201.16703294017424</v>
      </c>
      <c r="P14" s="59">
        <f>'SER_se-appl'!P57</f>
        <v>191.69203816929235</v>
      </c>
      <c r="Q14" s="59">
        <f>'SER_se-appl'!Q57</f>
        <v>185.2573609818165</v>
      </c>
      <c r="R14" s="59">
        <f>'SER_se-appl'!R57</f>
        <v>181.39918334138301</v>
      </c>
      <c r="S14" s="59">
        <f>'SER_se-appl'!S57</f>
        <v>177.02530019136759</v>
      </c>
      <c r="T14" s="59">
        <f>'SER_se-appl'!T57</f>
        <v>173.6841878100071</v>
      </c>
      <c r="U14" s="59">
        <f>'SER_se-appl'!U57</f>
        <v>170.38906727205861</v>
      </c>
      <c r="V14" s="59">
        <f>'SER_se-appl'!V57</f>
        <v>166.08161149243082</v>
      </c>
      <c r="W14" s="59">
        <f>'SER_se-appl'!W57</f>
        <v>162.50176258910287</v>
      </c>
      <c r="X14" s="59">
        <f>'SER_se-appl'!X57</f>
        <v>158.60700779716012</v>
      </c>
      <c r="Y14" s="59">
        <f>'SER_se-appl'!Y57</f>
        <v>155.46558585589122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364.97084266997774</v>
      </c>
      <c r="D15" s="63">
        <f>'SER_se-appl'!D65</f>
        <v>352.09700251244152</v>
      </c>
      <c r="E15" s="63">
        <f>'SER_se-appl'!E65</f>
        <v>337.87083878454217</v>
      </c>
      <c r="F15" s="63">
        <f>'SER_se-appl'!F65</f>
        <v>321.84136245683004</v>
      </c>
      <c r="G15" s="63">
        <f>'SER_se-appl'!G65</f>
        <v>305.89493572249563</v>
      </c>
      <c r="H15" s="63">
        <f>'SER_se-appl'!H65</f>
        <v>289.75219121118175</v>
      </c>
      <c r="I15" s="63">
        <f>'SER_se-appl'!I65</f>
        <v>272.64510429710458</v>
      </c>
      <c r="J15" s="63">
        <f>'SER_se-appl'!J65</f>
        <v>253.20903178441779</v>
      </c>
      <c r="K15" s="63">
        <f>'SER_se-appl'!K65</f>
        <v>233.2243690031469</v>
      </c>
      <c r="L15" s="63">
        <f>'SER_se-appl'!L65</f>
        <v>212.52286602208255</v>
      </c>
      <c r="M15" s="63">
        <f>'SER_se-appl'!M65</f>
        <v>198.54584827895567</v>
      </c>
      <c r="N15" s="63">
        <f>'SER_se-appl'!N65</f>
        <v>191.33097632627388</v>
      </c>
      <c r="O15" s="63">
        <f>'SER_se-appl'!O65</f>
        <v>184.51497375064901</v>
      </c>
      <c r="P15" s="63">
        <f>'SER_se-appl'!P65</f>
        <v>179.16639986937102</v>
      </c>
      <c r="Q15" s="63">
        <f>'SER_se-appl'!Q65</f>
        <v>177.57639381143599</v>
      </c>
      <c r="R15" s="63">
        <f>'SER_se-appl'!R65</f>
        <v>175.4504733220968</v>
      </c>
      <c r="S15" s="63">
        <f>'SER_se-appl'!S65</f>
        <v>170.95357331184005</v>
      </c>
      <c r="T15" s="63">
        <f>'SER_se-appl'!T65</f>
        <v>166.54985896383286</v>
      </c>
      <c r="U15" s="63">
        <f>'SER_se-appl'!U65</f>
        <v>162.30805910582882</v>
      </c>
      <c r="V15" s="63">
        <f>'SER_se-appl'!V65</f>
        <v>158.09861149965272</v>
      </c>
      <c r="W15" s="63">
        <f>'SER_se-appl'!W65</f>
        <v>155.25283649265896</v>
      </c>
      <c r="X15" s="63">
        <f>'SER_se-appl'!X65</f>
        <v>152.40706148566522</v>
      </c>
      <c r="Y15" s="63">
        <f>'SER_se-appl'!Y65</f>
        <v>149.56128647867146</v>
      </c>
      <c r="DA15" s="105" t="s">
        <v>957</v>
      </c>
    </row>
    <row r="17" spans="1:105" ht="12" customHeight="1" x14ac:dyDescent="0.25">
      <c r="A17" s="197" t="s">
        <v>184</v>
      </c>
      <c r="B17" s="198">
        <v>7.8623253148992438</v>
      </c>
      <c r="C17" s="198">
        <v>9.504179878771355</v>
      </c>
      <c r="D17" s="198">
        <v>11.155329488069182</v>
      </c>
      <c r="E17" s="198">
        <v>12.766615190280726</v>
      </c>
      <c r="F17" s="198">
        <v>14.308221400295556</v>
      </c>
      <c r="G17" s="198">
        <v>15.724650629798489</v>
      </c>
      <c r="H17" s="198">
        <v>16.935527738237653</v>
      </c>
      <c r="I17" s="198">
        <v>18.02218558652547</v>
      </c>
      <c r="J17" s="198">
        <v>19.035662105279929</v>
      </c>
      <c r="K17" s="198">
        <v>20.004534768331855</v>
      </c>
      <c r="L17" s="198">
        <v>20.966200839731322</v>
      </c>
      <c r="M17" s="198">
        <v>21.437928436862578</v>
      </c>
      <c r="N17" s="198">
        <v>21.697399316797146</v>
      </c>
      <c r="O17" s="198">
        <v>21.956870196731725</v>
      </c>
      <c r="P17" s="198">
        <v>22.216341076666343</v>
      </c>
      <c r="Q17" s="198">
        <v>22.475811956600928</v>
      </c>
      <c r="R17" s="198">
        <v>22.735282836535518</v>
      </c>
      <c r="S17" s="198">
        <v>22.99475371647009</v>
      </c>
      <c r="T17" s="198">
        <v>23.254224596404672</v>
      </c>
      <c r="U17" s="198">
        <v>23.513695476339272</v>
      </c>
      <c r="V17" s="198">
        <v>23.773166356273862</v>
      </c>
      <c r="W17" s="198">
        <v>24.032637236208441</v>
      </c>
      <c r="X17" s="198">
        <v>24.292108116143023</v>
      </c>
      <c r="Y17" s="198">
        <v>24.33932227888095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923.21444091724652</v>
      </c>
      <c r="C3" s="219">
        <v>1188.2129040840759</v>
      </c>
      <c r="D3" s="219">
        <v>1189.3469522595469</v>
      </c>
      <c r="E3" s="219">
        <v>1090.48953042328</v>
      </c>
      <c r="F3" s="219">
        <v>1032.4476197620511</v>
      </c>
      <c r="G3" s="219">
        <v>1071.047693778828</v>
      </c>
      <c r="H3" s="219">
        <v>1340.3851820624971</v>
      </c>
      <c r="I3" s="219">
        <v>1878.5630066287879</v>
      </c>
      <c r="J3" s="219">
        <v>2188.412244594062</v>
      </c>
      <c r="K3" s="219">
        <v>1672.793543772352</v>
      </c>
      <c r="L3" s="219">
        <v>1401.9910521373961</v>
      </c>
      <c r="M3" s="219">
        <v>1719.8278571428571</v>
      </c>
      <c r="N3" s="219">
        <v>1746.4480515452569</v>
      </c>
      <c r="O3" s="219">
        <v>2032.601128391892</v>
      </c>
      <c r="P3" s="219">
        <v>2635.5594759372161</v>
      </c>
      <c r="Q3" s="219">
        <v>2169.62174</v>
      </c>
      <c r="R3" s="219">
        <v>2230.4187815678752</v>
      </c>
      <c r="S3" s="219">
        <v>2055.1550238095242</v>
      </c>
      <c r="T3" s="219">
        <v>2322.9385736888589</v>
      </c>
      <c r="U3" s="219">
        <v>1908.2446366061799</v>
      </c>
      <c r="V3" s="219">
        <v>1985.010488639613</v>
      </c>
      <c r="W3" s="219">
        <v>2268.7527428288381</v>
      </c>
      <c r="X3" s="219">
        <v>2345.013681250628</v>
      </c>
      <c r="Y3" s="219">
        <v>2631.7</v>
      </c>
      <c r="DA3" s="210" t="s">
        <v>974</v>
      </c>
    </row>
    <row r="5" spans="1:105" x14ac:dyDescent="0.25">
      <c r="A5" s="218" t="s">
        <v>120</v>
      </c>
      <c r="B5" s="219">
        <v>1840.6179753727581</v>
      </c>
      <c r="C5" s="219">
        <v>1648.012963142759</v>
      </c>
      <c r="D5" s="219">
        <v>1312.8443157528</v>
      </c>
      <c r="E5" s="219">
        <v>1331.660278988167</v>
      </c>
      <c r="F5" s="219">
        <v>1379.0687375080261</v>
      </c>
      <c r="G5" s="219">
        <v>1231.3101673373801</v>
      </c>
      <c r="H5" s="219">
        <v>1092.781061462345</v>
      </c>
      <c r="I5" s="219">
        <v>1160.4828000696809</v>
      </c>
      <c r="J5" s="219">
        <v>1140.0569520961651</v>
      </c>
      <c r="K5" s="219">
        <v>943.3059629225769</v>
      </c>
      <c r="L5" s="219">
        <v>1047.9836547658599</v>
      </c>
      <c r="M5" s="219">
        <v>1358.801706338066</v>
      </c>
      <c r="N5" s="219">
        <v>1212.7018543457129</v>
      </c>
      <c r="O5" s="219">
        <v>1111.6331999963711</v>
      </c>
      <c r="P5" s="219">
        <v>1201.348506407455</v>
      </c>
      <c r="Q5" s="219">
        <v>1288.1419184196311</v>
      </c>
      <c r="R5" s="219">
        <v>1256.1455791508899</v>
      </c>
      <c r="S5" s="219">
        <v>1304.7085925553481</v>
      </c>
      <c r="T5" s="219">
        <v>1153.341696723696</v>
      </c>
      <c r="U5" s="219">
        <v>1131.658116872577</v>
      </c>
      <c r="V5" s="219">
        <v>1089.0511476573131</v>
      </c>
      <c r="W5" s="219">
        <v>1139.51108910264</v>
      </c>
      <c r="X5" s="219">
        <v>1253.094980197546</v>
      </c>
      <c r="Y5" s="219">
        <v>1177.439940920138</v>
      </c>
      <c r="DA5" s="210" t="s">
        <v>975</v>
      </c>
    </row>
    <row r="6" spans="1:105" x14ac:dyDescent="0.25">
      <c r="A6" s="220" t="s">
        <v>119</v>
      </c>
      <c r="B6" s="221">
        <v>2300.7724692159468</v>
      </c>
      <c r="C6" s="221">
        <v>2185.73384575515</v>
      </c>
      <c r="D6" s="221">
        <v>2070.6952222943528</v>
      </c>
      <c r="E6" s="221">
        <v>2070.6952222943528</v>
      </c>
      <c r="F6" s="221">
        <v>1955.6565988335551</v>
      </c>
      <c r="G6" s="221">
        <v>1840.6179753727581</v>
      </c>
      <c r="H6" s="221">
        <v>1840.6179753727581</v>
      </c>
      <c r="I6" s="221">
        <v>1725.57935191196</v>
      </c>
      <c r="J6" s="221">
        <v>1610.540728451163</v>
      </c>
      <c r="K6" s="221">
        <v>1610.540728451163</v>
      </c>
      <c r="L6" s="221">
        <v>1495.502104990366</v>
      </c>
      <c r="M6" s="221">
        <v>1495.502104990366</v>
      </c>
      <c r="N6" s="221">
        <v>1495.502104990366</v>
      </c>
      <c r="O6" s="221">
        <v>1380.4634815295681</v>
      </c>
      <c r="P6" s="221">
        <v>1265.4248580687711</v>
      </c>
      <c r="Q6" s="221">
        <v>1380.4634815295681</v>
      </c>
      <c r="R6" s="221">
        <v>1380.4634815295681</v>
      </c>
      <c r="S6" s="221">
        <v>1380.4634815295681</v>
      </c>
      <c r="T6" s="221">
        <v>1380.4634815295681</v>
      </c>
      <c r="U6" s="221">
        <v>1265.4248580687711</v>
      </c>
      <c r="V6" s="221">
        <v>1150.3862346079729</v>
      </c>
      <c r="W6" s="221">
        <v>1265.4248580687711</v>
      </c>
      <c r="X6" s="221">
        <v>1380.4634815295681</v>
      </c>
      <c r="Y6" s="221">
        <v>1265.4248580687711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0</v>
      </c>
      <c r="M7" s="225">
        <v>115.0386234607974</v>
      </c>
      <c r="N7" s="225">
        <v>0</v>
      </c>
      <c r="O7" s="225">
        <v>0</v>
      </c>
      <c r="P7" s="225">
        <v>0</v>
      </c>
      <c r="Q7" s="225">
        <v>115.0386234607974</v>
      </c>
      <c r="R7" s="225">
        <v>115.0386234607974</v>
      </c>
      <c r="S7" s="225">
        <v>115.0386234607974</v>
      </c>
      <c r="T7" s="225">
        <v>0</v>
      </c>
      <c r="U7" s="225">
        <v>0</v>
      </c>
      <c r="V7" s="225">
        <v>0</v>
      </c>
      <c r="W7" s="225">
        <v>115.03862346079814</v>
      </c>
      <c r="X7" s="225">
        <v>230.07724692159471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115.03862346079677</v>
      </c>
      <c r="D8" s="227">
        <f t="shared" ref="D8" si="1">IF(C6=0,0,C6+D7-D6)</f>
        <v>115.03862346079723</v>
      </c>
      <c r="E8" s="227">
        <f t="shared" ref="E8" si="2">IF(D6=0,0,D6+E7-E6)</f>
        <v>0</v>
      </c>
      <c r="F8" s="227">
        <f t="shared" ref="F8" si="3">IF(E6=0,0,E6+F7-F6)</f>
        <v>115.03862346079768</v>
      </c>
      <c r="G8" s="227">
        <f t="shared" ref="G8" si="4">IF(F6=0,0,F6+G7-G6)</f>
        <v>115.038623460797</v>
      </c>
      <c r="H8" s="227">
        <f t="shared" ref="H8" si="5">IF(G6=0,0,G6+H7-H6)</f>
        <v>0</v>
      </c>
      <c r="I8" s="227">
        <f t="shared" ref="I8" si="6">IF(H6=0,0,H6+I7-I6)</f>
        <v>115.03862346079814</v>
      </c>
      <c r="J8" s="227">
        <f t="shared" ref="J8" si="7">IF(I6=0,0,I6+J7-J6)</f>
        <v>115.038623460797</v>
      </c>
      <c r="K8" s="227">
        <f t="shared" ref="K8" si="8">IF(J6=0,0,J6+K7-K6)</f>
        <v>0</v>
      </c>
      <c r="L8" s="227">
        <f t="shared" ref="L8" si="9">IF(K6=0,0,K6+L7-L6)</f>
        <v>115.038623460797</v>
      </c>
      <c r="M8" s="227">
        <f t="shared" ref="M8" si="10">IF(L6=0,0,L6+M7-M6)</f>
        <v>115.03862346079745</v>
      </c>
      <c r="N8" s="227">
        <f t="shared" ref="N8" si="11">IF(M6=0,0,M6+N7-N6)</f>
        <v>0</v>
      </c>
      <c r="O8" s="227">
        <f t="shared" ref="O8" si="12">IF(N6=0,0,N6+O7-O6)</f>
        <v>115.03862346079791</v>
      </c>
      <c r="P8" s="227">
        <f t="shared" ref="P8" si="13">IF(O6=0,0,O6+P7-P6)</f>
        <v>115.038623460797</v>
      </c>
      <c r="Q8" s="227">
        <f t="shared" ref="Q8" si="14">IF(P6=0,0,P6+Q7-Q6)</f>
        <v>4.5474735088646412E-13</v>
      </c>
      <c r="R8" s="227">
        <f t="shared" ref="R8" si="15">IF(Q6=0,0,Q6+R7-R6)</f>
        <v>115.03862346079745</v>
      </c>
      <c r="S8" s="227">
        <f t="shared" ref="S8" si="16">IF(R6=0,0,R6+S7-S6)</f>
        <v>115.03862346079745</v>
      </c>
      <c r="T8" s="227">
        <f t="shared" ref="T8" si="17">IF(S6=0,0,S6+T7-T6)</f>
        <v>0</v>
      </c>
      <c r="U8" s="227">
        <f t="shared" ref="U8" si="18">IF(T6=0,0,T6+U7-U6)</f>
        <v>115.038623460797</v>
      </c>
      <c r="V8" s="227">
        <f t="shared" ref="V8" si="19">IF(U6=0,0,U6+V7-V6)</f>
        <v>115.03862346079814</v>
      </c>
      <c r="W8" s="227">
        <f t="shared" ref="W8" si="20">IF(V6=0,0,V6+W7-W6)</f>
        <v>0</v>
      </c>
      <c r="X8" s="227">
        <f t="shared" ref="X8" si="21">IF(W6=0,0,W6+X7-X6)</f>
        <v>115.03862346079768</v>
      </c>
      <c r="Y8" s="227">
        <f t="shared" ref="Y8" si="22">IF(X6=0,0,X6+Y7-Y6)</f>
        <v>115.038623460797</v>
      </c>
      <c r="DA8" s="213" t="s">
        <v>978</v>
      </c>
    </row>
    <row r="9" spans="1:105" x14ac:dyDescent="0.25">
      <c r="A9" s="222" t="s">
        <v>116</v>
      </c>
      <c r="B9" s="223">
        <f>B6-B5</f>
        <v>460.15449384318867</v>
      </c>
      <c r="C9" s="223">
        <f t="shared" ref="C9:W9" si="23">C6-C5</f>
        <v>537.72088261239105</v>
      </c>
      <c r="D9" s="223">
        <f t="shared" si="23"/>
        <v>757.85090654155283</v>
      </c>
      <c r="E9" s="223">
        <f t="shared" si="23"/>
        <v>739.03494330618582</v>
      </c>
      <c r="F9" s="223">
        <f t="shared" si="23"/>
        <v>576.58786132552905</v>
      </c>
      <c r="G9" s="223">
        <f t="shared" si="23"/>
        <v>609.307808035378</v>
      </c>
      <c r="H9" s="223">
        <f t="shared" si="23"/>
        <v>747.83691391041316</v>
      </c>
      <c r="I9" s="223">
        <f t="shared" si="23"/>
        <v>565.09655184227904</v>
      </c>
      <c r="J9" s="223">
        <f t="shared" si="23"/>
        <v>470.48377635499787</v>
      </c>
      <c r="K9" s="223">
        <f t="shared" si="23"/>
        <v>667.23476552858608</v>
      </c>
      <c r="L9" s="223">
        <f t="shared" si="23"/>
        <v>447.51845022450607</v>
      </c>
      <c r="M9" s="223">
        <f t="shared" si="23"/>
        <v>136.70039865230001</v>
      </c>
      <c r="N9" s="223">
        <f t="shared" si="23"/>
        <v>282.80025064465303</v>
      </c>
      <c r="O9" s="223">
        <f t="shared" si="23"/>
        <v>268.83028153319697</v>
      </c>
      <c r="P9" s="223">
        <f t="shared" si="23"/>
        <v>64.076351661316039</v>
      </c>
      <c r="Q9" s="223">
        <f t="shared" si="23"/>
        <v>92.32156310993696</v>
      </c>
      <c r="R9" s="223">
        <f t="shared" si="23"/>
        <v>124.31790237867813</v>
      </c>
      <c r="S9" s="223">
        <f t="shared" si="23"/>
        <v>75.754888974219966</v>
      </c>
      <c r="T9" s="223">
        <f t="shared" si="23"/>
        <v>227.12178480587204</v>
      </c>
      <c r="U9" s="223">
        <f t="shared" si="23"/>
        <v>133.76674119619406</v>
      </c>
      <c r="V9" s="223">
        <f t="shared" si="23"/>
        <v>61.335086950659843</v>
      </c>
      <c r="W9" s="223">
        <f t="shared" si="23"/>
        <v>125.9137689661311</v>
      </c>
      <c r="X9" s="223">
        <f t="shared" ref="X9:Y9" si="24">X6-X5</f>
        <v>127.36850133202211</v>
      </c>
      <c r="Y9" s="223">
        <f t="shared" si="24"/>
        <v>87.984917148633031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207.01745485812549</v>
      </c>
      <c r="C12" s="229">
        <f t="shared" ref="C12:W12" si="25">SUM(C13,C14,C18,C19,C26,C27)</f>
        <v>180.98383490971622</v>
      </c>
      <c r="D12" s="229">
        <f t="shared" si="25"/>
        <v>149.41358555460019</v>
      </c>
      <c r="E12" s="229">
        <f t="shared" si="25"/>
        <v>159.18383490971624</v>
      </c>
      <c r="F12" s="229">
        <f t="shared" si="25"/>
        <v>161.77325881341358</v>
      </c>
      <c r="G12" s="229">
        <f t="shared" si="25"/>
        <v>165.35760963026652</v>
      </c>
      <c r="H12" s="229">
        <f t="shared" si="25"/>
        <v>142.12407566638004</v>
      </c>
      <c r="I12" s="229">
        <f t="shared" si="25"/>
        <v>136.7219260533104</v>
      </c>
      <c r="J12" s="229">
        <f t="shared" si="25"/>
        <v>140.79269131556319</v>
      </c>
      <c r="K12" s="229">
        <f t="shared" si="25"/>
        <v>130.01926053310405</v>
      </c>
      <c r="L12" s="229">
        <f t="shared" si="25"/>
        <v>134.64092863284608</v>
      </c>
      <c r="M12" s="229">
        <f t="shared" si="25"/>
        <v>157.64995700773858</v>
      </c>
      <c r="N12" s="229">
        <f t="shared" si="25"/>
        <v>143.47738607050729</v>
      </c>
      <c r="O12" s="229">
        <f t="shared" si="25"/>
        <v>131.05580395528804</v>
      </c>
      <c r="P12" s="229">
        <f t="shared" si="25"/>
        <v>137.20920034393808</v>
      </c>
      <c r="Q12" s="229">
        <f t="shared" si="25"/>
        <v>150.29690455717969</v>
      </c>
      <c r="R12" s="229">
        <f t="shared" si="25"/>
        <v>148.74333619948408</v>
      </c>
      <c r="S12" s="229">
        <f t="shared" si="25"/>
        <v>142.55227858985381</v>
      </c>
      <c r="T12" s="229">
        <f t="shared" si="25"/>
        <v>132.67987962166808</v>
      </c>
      <c r="U12" s="229">
        <f t="shared" si="25"/>
        <v>129.36044711951848</v>
      </c>
      <c r="V12" s="229">
        <f t="shared" si="25"/>
        <v>131.79999999999998</v>
      </c>
      <c r="W12" s="229">
        <f t="shared" si="25"/>
        <v>131.74221840068788</v>
      </c>
      <c r="X12" s="229">
        <f t="shared" ref="X12:Y12" si="26">SUM(X13,X14,X18,X19,X26,X27)</f>
        <v>123.96431642304385</v>
      </c>
      <c r="Y12" s="229">
        <f t="shared" si="26"/>
        <v>119.36758383490971</v>
      </c>
      <c r="DA12" s="210" t="s">
        <v>980</v>
      </c>
    </row>
    <row r="13" spans="1:105" x14ac:dyDescent="0.25">
      <c r="A13" s="58" t="s">
        <v>29</v>
      </c>
      <c r="B13" s="59">
        <v>8.7626827171109198</v>
      </c>
      <c r="C13" s="59">
        <v>4.7141014617368873</v>
      </c>
      <c r="D13" s="59">
        <v>3.1871883061049009</v>
      </c>
      <c r="E13" s="59">
        <v>3.1337919174548579</v>
      </c>
      <c r="F13" s="59">
        <v>1.9690455717970761</v>
      </c>
      <c r="G13" s="59">
        <v>1.7625107480653479</v>
      </c>
      <c r="H13" s="59">
        <v>1.312467755803955</v>
      </c>
      <c r="I13" s="59">
        <v>1.3296646603611348</v>
      </c>
      <c r="J13" s="59">
        <v>1.079707652622528</v>
      </c>
      <c r="K13" s="59">
        <v>0.79174548581255366</v>
      </c>
      <c r="L13" s="59">
        <v>0.79879621668099732</v>
      </c>
      <c r="M13" s="59">
        <v>0.52983662940670673</v>
      </c>
      <c r="N13" s="59">
        <v>0.53319002579535679</v>
      </c>
      <c r="O13" s="59">
        <v>1.1184866723989682</v>
      </c>
      <c r="P13" s="59">
        <v>0.89527085124677563</v>
      </c>
      <c r="Q13" s="59">
        <v>0.26861564918314701</v>
      </c>
      <c r="R13" s="59">
        <v>0.25606190885640578</v>
      </c>
      <c r="S13" s="59">
        <v>0.26646603611349962</v>
      </c>
      <c r="T13" s="59">
        <v>0.27300085984522782</v>
      </c>
      <c r="U13" s="59">
        <v>0.26706792777300081</v>
      </c>
      <c r="V13" s="59">
        <v>0.2743766122098022</v>
      </c>
      <c r="W13" s="59">
        <v>0.26732588134135848</v>
      </c>
      <c r="X13" s="59">
        <v>0.26440240756663802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86.536973344797929</v>
      </c>
      <c r="C14" s="55">
        <f t="shared" ref="C14:W14" si="27">SUM(C15:C17)</f>
        <v>79.171711092003434</v>
      </c>
      <c r="D14" s="55">
        <f t="shared" si="27"/>
        <v>64.810920034393817</v>
      </c>
      <c r="E14" s="55">
        <f t="shared" si="27"/>
        <v>73.010490111779887</v>
      </c>
      <c r="F14" s="55">
        <f t="shared" si="27"/>
        <v>82.379879621668096</v>
      </c>
      <c r="G14" s="55">
        <f t="shared" si="27"/>
        <v>83.352450558899392</v>
      </c>
      <c r="H14" s="55">
        <f t="shared" si="27"/>
        <v>72.991315563198611</v>
      </c>
      <c r="I14" s="55">
        <f t="shared" si="27"/>
        <v>69.910232158211514</v>
      </c>
      <c r="J14" s="55">
        <f t="shared" si="27"/>
        <v>72.991315563198611</v>
      </c>
      <c r="K14" s="55">
        <f t="shared" si="27"/>
        <v>65.802063628546861</v>
      </c>
      <c r="L14" s="55">
        <f t="shared" si="27"/>
        <v>68.954858125537399</v>
      </c>
      <c r="M14" s="55">
        <f t="shared" si="27"/>
        <v>68.954858125537399</v>
      </c>
      <c r="N14" s="55">
        <f t="shared" si="27"/>
        <v>67.724505588993978</v>
      </c>
      <c r="O14" s="55">
        <f t="shared" si="27"/>
        <v>68.357953568357686</v>
      </c>
      <c r="P14" s="55">
        <f t="shared" si="27"/>
        <v>77.187618228718819</v>
      </c>
      <c r="Q14" s="55">
        <f t="shared" si="27"/>
        <v>67.502235597592431</v>
      </c>
      <c r="R14" s="55">
        <f t="shared" si="27"/>
        <v>66.491487532244193</v>
      </c>
      <c r="S14" s="55">
        <f t="shared" si="27"/>
        <v>61.469905417024918</v>
      </c>
      <c r="T14" s="55">
        <f t="shared" si="27"/>
        <v>61.448409286328449</v>
      </c>
      <c r="U14" s="55">
        <f t="shared" si="27"/>
        <v>57.42510748065348</v>
      </c>
      <c r="V14" s="55">
        <f t="shared" si="27"/>
        <v>59.49423903697334</v>
      </c>
      <c r="W14" s="55">
        <f t="shared" si="27"/>
        <v>57.800687876182295</v>
      </c>
      <c r="X14" s="55">
        <f t="shared" ref="X14:Y14" si="28">SUM(X15:X17)</f>
        <v>51.664144453998283</v>
      </c>
      <c r="Y14" s="55">
        <f t="shared" si="28"/>
        <v>50.525021496130698</v>
      </c>
      <c r="DA14" s="10"/>
    </row>
    <row r="15" spans="1:105" x14ac:dyDescent="0.25">
      <c r="A15" s="61" t="s">
        <v>52</v>
      </c>
      <c r="B15" s="55">
        <v>3.296818572656921</v>
      </c>
      <c r="C15" s="55">
        <v>1.098710232158211</v>
      </c>
      <c r="D15" s="55">
        <v>1.098710232158211</v>
      </c>
      <c r="E15" s="55">
        <v>1.098710232158211</v>
      </c>
      <c r="F15" s="55">
        <v>1.098710232158211</v>
      </c>
      <c r="G15" s="55">
        <v>1.098710232158211</v>
      </c>
      <c r="H15" s="55">
        <v>1.098710232158211</v>
      </c>
      <c r="I15" s="55">
        <v>1.098710232158211</v>
      </c>
      <c r="J15" s="55">
        <v>1.098710232158211</v>
      </c>
      <c r="K15" s="55">
        <v>1.098710232158211</v>
      </c>
      <c r="L15" s="55">
        <v>2.1974204643164228</v>
      </c>
      <c r="M15" s="55">
        <v>2.1974204643164228</v>
      </c>
      <c r="N15" s="55">
        <v>1.098710232158211</v>
      </c>
      <c r="O15" s="55">
        <v>1.098710232158211</v>
      </c>
      <c r="P15" s="55">
        <v>1.098710232158211</v>
      </c>
      <c r="Q15" s="55">
        <v>1.098710232158211</v>
      </c>
      <c r="R15" s="55">
        <v>1.098710232158211</v>
      </c>
      <c r="S15" s="55">
        <v>1.098710232158211</v>
      </c>
      <c r="T15" s="55">
        <v>1.098710232158211</v>
      </c>
      <c r="U15" s="55">
        <v>1.098710232158211</v>
      </c>
      <c r="V15" s="55">
        <v>2.1974204643164228</v>
      </c>
      <c r="W15" s="55">
        <v>4.3947549441100593</v>
      </c>
      <c r="X15" s="55">
        <v>4.3947549441100593</v>
      </c>
      <c r="Y15" s="55">
        <v>3.2960447119518479</v>
      </c>
      <c r="DA15" s="10" t="s">
        <v>982</v>
      </c>
    </row>
    <row r="16" spans="1:105" x14ac:dyDescent="0.25">
      <c r="A16" s="61" t="s">
        <v>165</v>
      </c>
      <c r="B16" s="55">
        <v>76.000773860705067</v>
      </c>
      <c r="C16" s="55">
        <v>77.027773000859838</v>
      </c>
      <c r="D16" s="55">
        <v>61.622269991401552</v>
      </c>
      <c r="E16" s="55">
        <v>70.865606190885643</v>
      </c>
      <c r="F16" s="55">
        <v>72.919690455717969</v>
      </c>
      <c r="G16" s="55">
        <v>77.027773000859838</v>
      </c>
      <c r="H16" s="55">
        <v>71.8926053310404</v>
      </c>
      <c r="I16" s="55">
        <v>68.811521926053302</v>
      </c>
      <c r="J16" s="55">
        <v>71.8926053310404</v>
      </c>
      <c r="K16" s="55">
        <v>64.70335339638865</v>
      </c>
      <c r="L16" s="55">
        <v>66.757437661220976</v>
      </c>
      <c r="M16" s="55">
        <v>66.757437661220976</v>
      </c>
      <c r="N16" s="55">
        <v>66.625795356835766</v>
      </c>
      <c r="O16" s="55">
        <v>67.259243336199475</v>
      </c>
      <c r="P16" s="55">
        <v>76.088907996560607</v>
      </c>
      <c r="Q16" s="55">
        <v>66.40352536543422</v>
      </c>
      <c r="R16" s="55">
        <v>65.392777300085982</v>
      </c>
      <c r="S16" s="55">
        <v>60.371195184866707</v>
      </c>
      <c r="T16" s="55">
        <v>60.349699054170237</v>
      </c>
      <c r="U16" s="55">
        <v>56.326397248495269</v>
      </c>
      <c r="V16" s="55">
        <v>57.296818572656917</v>
      </c>
      <c r="W16" s="55">
        <v>53.405932932072233</v>
      </c>
      <c r="X16" s="55">
        <v>47.269389509888221</v>
      </c>
      <c r="Y16" s="55">
        <v>47.228976784178847</v>
      </c>
      <c r="DA16" s="10" t="s">
        <v>983</v>
      </c>
    </row>
    <row r="17" spans="1:105" x14ac:dyDescent="0.25">
      <c r="A17" s="61" t="s">
        <v>113</v>
      </c>
      <c r="B17" s="55">
        <v>7.2393809114359424</v>
      </c>
      <c r="C17" s="55">
        <v>1.045227858985383</v>
      </c>
      <c r="D17" s="55">
        <v>2.0899398108340499</v>
      </c>
      <c r="E17" s="55">
        <v>1.0461736887360269</v>
      </c>
      <c r="F17" s="55">
        <v>8.3614789337919166</v>
      </c>
      <c r="G17" s="55">
        <v>5.2259673258813413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DA17" s="10" t="s">
        <v>984</v>
      </c>
    </row>
    <row r="18" spans="1:105" x14ac:dyDescent="0.25">
      <c r="A18" s="60" t="s">
        <v>149</v>
      </c>
      <c r="B18" s="55">
        <v>47.893379191745481</v>
      </c>
      <c r="C18" s="55">
        <v>43.228718830610489</v>
      </c>
      <c r="D18" s="55">
        <v>28.740326741186589</v>
      </c>
      <c r="E18" s="55">
        <v>31.104901117798789</v>
      </c>
      <c r="F18" s="55">
        <v>34.264832330180568</v>
      </c>
      <c r="G18" s="55">
        <v>39.896818572656919</v>
      </c>
      <c r="H18" s="55">
        <v>30.15907136715391</v>
      </c>
      <c r="I18" s="55">
        <v>27.171109200343931</v>
      </c>
      <c r="J18" s="55">
        <v>30.03009458297506</v>
      </c>
      <c r="K18" s="55">
        <v>27.192605331040411</v>
      </c>
      <c r="L18" s="55">
        <v>32.007738607050733</v>
      </c>
      <c r="M18" s="55">
        <v>38.628546861564907</v>
      </c>
      <c r="N18" s="55">
        <v>31.96474634565778</v>
      </c>
      <c r="O18" s="55">
        <v>33.233018056749778</v>
      </c>
      <c r="P18" s="55">
        <v>27.493551160791061</v>
      </c>
      <c r="Q18" s="55">
        <v>22.699914015477209</v>
      </c>
      <c r="R18" s="55">
        <v>24.763542562338781</v>
      </c>
      <c r="S18" s="55">
        <v>22.57093723129837</v>
      </c>
      <c r="T18" s="55">
        <v>19.152708512467751</v>
      </c>
      <c r="U18" s="55">
        <v>21.88323301805675</v>
      </c>
      <c r="V18" s="55">
        <v>23.774978503869299</v>
      </c>
      <c r="W18" s="55">
        <v>26.311092003439381</v>
      </c>
      <c r="X18" s="55">
        <v>31.513241616509031</v>
      </c>
      <c r="Y18" s="55">
        <v>29.213241616509031</v>
      </c>
      <c r="DA18" s="10" t="s">
        <v>985</v>
      </c>
    </row>
    <row r="19" spans="1:105" x14ac:dyDescent="0.25">
      <c r="A19" s="60" t="s">
        <v>51</v>
      </c>
      <c r="B19" s="55">
        <f>SUM(B20:B25)</f>
        <v>0.50163370593293199</v>
      </c>
      <c r="C19" s="55">
        <f t="shared" ref="C19:W19" si="29">SUM(C20:C25)</f>
        <v>1.5286328460877043</v>
      </c>
      <c r="D19" s="55">
        <f t="shared" si="29"/>
        <v>2.0302665520206356</v>
      </c>
      <c r="E19" s="55">
        <f t="shared" si="29"/>
        <v>1.8630266552020638</v>
      </c>
      <c r="F19" s="55">
        <f t="shared" si="29"/>
        <v>2.2929492691315558</v>
      </c>
      <c r="G19" s="55">
        <f t="shared" si="29"/>
        <v>2.36457437661221</v>
      </c>
      <c r="H19" s="55">
        <f t="shared" si="29"/>
        <v>2.0062768701633709</v>
      </c>
      <c r="I19" s="55">
        <f t="shared" si="29"/>
        <v>2.7944969905417025</v>
      </c>
      <c r="J19" s="55">
        <f t="shared" si="29"/>
        <v>3.2722269991401549</v>
      </c>
      <c r="K19" s="55">
        <f t="shared" si="29"/>
        <v>4.7529664660361135</v>
      </c>
      <c r="L19" s="55">
        <f t="shared" si="29"/>
        <v>4.8963886500429918</v>
      </c>
      <c r="M19" s="55">
        <f t="shared" si="29"/>
        <v>20.373602751504723</v>
      </c>
      <c r="N19" s="55">
        <f t="shared" si="29"/>
        <v>17.698452278589851</v>
      </c>
      <c r="O19" s="55">
        <f t="shared" si="29"/>
        <v>5.684608770421324</v>
      </c>
      <c r="P19" s="55">
        <f t="shared" si="29"/>
        <v>6.3772141014617363</v>
      </c>
      <c r="Q19" s="55">
        <f t="shared" si="29"/>
        <v>36.519518486672403</v>
      </c>
      <c r="R19" s="55">
        <f t="shared" si="29"/>
        <v>34.871453138435079</v>
      </c>
      <c r="S19" s="55">
        <f t="shared" si="29"/>
        <v>34.250472914875324</v>
      </c>
      <c r="T19" s="55">
        <f t="shared" si="29"/>
        <v>30.285726569217541</v>
      </c>
      <c r="U19" s="55">
        <f t="shared" si="29"/>
        <v>22.332072226999141</v>
      </c>
      <c r="V19" s="55">
        <f t="shared" si="29"/>
        <v>26.081943250214959</v>
      </c>
      <c r="W19" s="55">
        <f t="shared" si="29"/>
        <v>27.252278589853827</v>
      </c>
      <c r="X19" s="55">
        <f t="shared" ref="X19:Y19" si="30">SUM(X20:X25)</f>
        <v>22.045399828030959</v>
      </c>
      <c r="Y19" s="55">
        <f t="shared" si="30"/>
        <v>20.636285468615647</v>
      </c>
      <c r="DA19" s="10"/>
    </row>
    <row r="20" spans="1:105" x14ac:dyDescent="0.25">
      <c r="A20" s="61" t="s">
        <v>164</v>
      </c>
      <c r="B20" s="55">
        <v>0.50163370593293199</v>
      </c>
      <c r="C20" s="55">
        <v>1.1703353396388652</v>
      </c>
      <c r="D20" s="55">
        <v>1.0031814273430781</v>
      </c>
      <c r="E20" s="55">
        <v>1.3136715391229581</v>
      </c>
      <c r="F20" s="55">
        <v>1.7674978503869301</v>
      </c>
      <c r="G20" s="55">
        <v>1.8391229578675841</v>
      </c>
      <c r="H20" s="55">
        <v>1.5047291487532248</v>
      </c>
      <c r="I20" s="55">
        <v>2.2690455717970766</v>
      </c>
      <c r="J20" s="55">
        <v>2.7467755803955289</v>
      </c>
      <c r="K20" s="55">
        <v>3.845399828030954</v>
      </c>
      <c r="L20" s="55">
        <v>3.9171109200343932</v>
      </c>
      <c r="M20" s="55">
        <v>10.031556319862419</v>
      </c>
      <c r="N20" s="55">
        <v>9.6493551160791053</v>
      </c>
      <c r="O20" s="55">
        <v>2.842304385210662</v>
      </c>
      <c r="P20" s="55">
        <v>5.5889939810834042</v>
      </c>
      <c r="Q20" s="55">
        <v>11.130180567497851</v>
      </c>
      <c r="R20" s="55">
        <v>11.775064488392086</v>
      </c>
      <c r="S20" s="55">
        <v>10.533104041272569</v>
      </c>
      <c r="T20" s="55">
        <v>8.4790197764402411</v>
      </c>
      <c r="U20" s="55">
        <v>8.0251934651762671</v>
      </c>
      <c r="V20" s="55">
        <v>8.0730008598452265</v>
      </c>
      <c r="W20" s="55">
        <v>8.2640584694754935</v>
      </c>
      <c r="X20" s="55">
        <v>8.2401547721410147</v>
      </c>
      <c r="Y20" s="55">
        <v>6.6398968185726561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2.3903697334479789E-2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0.40601891659501288</v>
      </c>
      <c r="L21" s="55">
        <v>0.45382631126397238</v>
      </c>
      <c r="M21" s="55">
        <v>9.8643164230438511</v>
      </c>
      <c r="N21" s="55">
        <v>7.4997420464316411</v>
      </c>
      <c r="O21" s="55">
        <v>2.07798796216681</v>
      </c>
      <c r="P21" s="55">
        <v>9.5528804815133275E-2</v>
      </c>
      <c r="Q21" s="55">
        <v>24.768357695614789</v>
      </c>
      <c r="R21" s="55">
        <v>22.332072226999141</v>
      </c>
      <c r="S21" s="55">
        <v>23.000859845227861</v>
      </c>
      <c r="T21" s="55">
        <v>21.1140154772141</v>
      </c>
      <c r="U21" s="55">
        <v>13.59036973344798</v>
      </c>
      <c r="V21" s="55">
        <v>17.292433361994838</v>
      </c>
      <c r="W21" s="55">
        <v>18.271711092003439</v>
      </c>
      <c r="X21" s="55">
        <v>13.088736027515051</v>
      </c>
      <c r="Y21" s="55">
        <v>13.23207222699914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0.35829750644883918</v>
      </c>
      <c r="D24" s="55">
        <v>1.0031814273430779</v>
      </c>
      <c r="E24" s="55">
        <v>0.5493551160791057</v>
      </c>
      <c r="F24" s="55">
        <v>0.52545141874462586</v>
      </c>
      <c r="G24" s="55">
        <v>0.52545141874462586</v>
      </c>
      <c r="H24" s="55">
        <v>0.50154772141014614</v>
      </c>
      <c r="I24" s="55">
        <v>0.52545141874462586</v>
      </c>
      <c r="J24" s="55">
        <v>0.52545141874462586</v>
      </c>
      <c r="K24" s="55">
        <v>0.50154772141014614</v>
      </c>
      <c r="L24" s="55">
        <v>0.52545141874462586</v>
      </c>
      <c r="M24" s="55">
        <v>0.47773000859845233</v>
      </c>
      <c r="N24" s="55">
        <v>0.5493551160791057</v>
      </c>
      <c r="O24" s="55">
        <v>0.76431642304385194</v>
      </c>
      <c r="P24" s="55">
        <v>0.69269131556319852</v>
      </c>
      <c r="Q24" s="55">
        <v>0.62098022355975924</v>
      </c>
      <c r="R24" s="55">
        <v>0.76431642304385194</v>
      </c>
      <c r="S24" s="55">
        <v>0.7165090283748925</v>
      </c>
      <c r="T24" s="55">
        <v>0.69269131556319852</v>
      </c>
      <c r="U24" s="55">
        <v>0.7165090283748925</v>
      </c>
      <c r="V24" s="55">
        <v>0.7165090283748925</v>
      </c>
      <c r="W24" s="55">
        <v>0.7165090283748925</v>
      </c>
      <c r="X24" s="55">
        <v>0.7165090283748925</v>
      </c>
      <c r="Y24" s="55">
        <v>0.76431642304385194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10.27033533963886</v>
      </c>
      <c r="C26" s="55">
        <v>6.8548581255374019</v>
      </c>
      <c r="D26" s="55">
        <v>6.44883920894239</v>
      </c>
      <c r="E26" s="55">
        <v>7.1653482373172821</v>
      </c>
      <c r="F26" s="55">
        <v>4.3231298366294064</v>
      </c>
      <c r="G26" s="55">
        <v>4.275322441960447</v>
      </c>
      <c r="H26" s="55">
        <v>4.0126397248495271</v>
      </c>
      <c r="I26" s="55">
        <v>4.9919174548581253</v>
      </c>
      <c r="J26" s="55">
        <v>4.8724849527085121</v>
      </c>
      <c r="K26" s="55">
        <v>3.9648323301805668</v>
      </c>
      <c r="L26" s="55">
        <v>3.3915735167669818</v>
      </c>
      <c r="M26" s="55">
        <v>3.367755803955288</v>
      </c>
      <c r="N26" s="55">
        <v>1.050902837489252</v>
      </c>
      <c r="O26" s="55">
        <v>0.90765262252794487</v>
      </c>
      <c r="P26" s="55">
        <v>0.83594153052450548</v>
      </c>
      <c r="Q26" s="55">
        <v>0.69269131556319852</v>
      </c>
      <c r="R26" s="55">
        <v>0.69269131556319852</v>
      </c>
      <c r="S26" s="55">
        <v>0.69269131556319852</v>
      </c>
      <c r="T26" s="55">
        <v>0.88374892519346515</v>
      </c>
      <c r="U26" s="55">
        <v>0.88374892519346515</v>
      </c>
      <c r="V26" s="55">
        <v>0.76431642304385194</v>
      </c>
      <c r="W26" s="55">
        <v>0.76431642304385194</v>
      </c>
      <c r="X26" s="55">
        <v>1.6241616509028369</v>
      </c>
      <c r="Y26" s="55">
        <v>1.6241616509028369</v>
      </c>
      <c r="DA26" s="10" t="s">
        <v>992</v>
      </c>
    </row>
    <row r="27" spans="1:105" x14ac:dyDescent="0.25">
      <c r="A27" s="62" t="s">
        <v>24</v>
      </c>
      <c r="B27" s="63">
        <v>53.052450558899388</v>
      </c>
      <c r="C27" s="63">
        <v>45.485812553740317</v>
      </c>
      <c r="D27" s="63">
        <v>44.196044711951849</v>
      </c>
      <c r="E27" s="63">
        <v>42.906276870163367</v>
      </c>
      <c r="F27" s="63">
        <v>36.543422184006879</v>
      </c>
      <c r="G27" s="63">
        <v>33.705932932072223</v>
      </c>
      <c r="H27" s="63">
        <v>31.642304385210661</v>
      </c>
      <c r="I27" s="63">
        <v>30.524505588993978</v>
      </c>
      <c r="J27" s="63">
        <v>28.546861564918309</v>
      </c>
      <c r="K27" s="63">
        <v>27.51504729148753</v>
      </c>
      <c r="L27" s="63">
        <v>24.591573516766982</v>
      </c>
      <c r="M27" s="63">
        <v>25.79535683576956</v>
      </c>
      <c r="N27" s="63">
        <v>24.505588993981078</v>
      </c>
      <c r="O27" s="63">
        <v>21.754084264832329</v>
      </c>
      <c r="P27" s="63">
        <v>24.419604471195179</v>
      </c>
      <c r="Q27" s="63">
        <v>22.613929492691309</v>
      </c>
      <c r="R27" s="63">
        <v>21.668099742046429</v>
      </c>
      <c r="S27" s="63">
        <v>23.3018056749785</v>
      </c>
      <c r="T27" s="63">
        <v>20.63628546861565</v>
      </c>
      <c r="U27" s="63">
        <v>26.569217540842651</v>
      </c>
      <c r="V27" s="63">
        <v>21.41014617368873</v>
      </c>
      <c r="W27" s="63">
        <v>19.346517626827168</v>
      </c>
      <c r="X27" s="63">
        <v>16.852966466036111</v>
      </c>
      <c r="Y27" s="63">
        <v>17.368873602751499</v>
      </c>
      <c r="DA27" s="11" t="s">
        <v>993</v>
      </c>
    </row>
    <row r="29" spans="1:105" x14ac:dyDescent="0.25">
      <c r="A29" s="218" t="s">
        <v>84</v>
      </c>
      <c r="B29" s="219">
        <v>417.2398308688721</v>
      </c>
      <c r="C29" s="219">
        <v>367.74294624606262</v>
      </c>
      <c r="D29" s="219">
        <v>282.54036682299107</v>
      </c>
      <c r="E29" s="219">
        <v>312.6506376661581</v>
      </c>
      <c r="F29" s="219">
        <v>342.5054149001399</v>
      </c>
      <c r="G29" s="219">
        <v>358.47563776276797</v>
      </c>
      <c r="H29" s="219">
        <v>302.67910166906086</v>
      </c>
      <c r="I29" s="219">
        <v>286.00718353135949</v>
      </c>
      <c r="J29" s="219">
        <v>301.4022543039996</v>
      </c>
      <c r="K29" s="219">
        <v>270.94842880265492</v>
      </c>
      <c r="L29" s="219">
        <v>291.58834860698317</v>
      </c>
      <c r="M29" s="219">
        <v>305.96176687793479</v>
      </c>
      <c r="N29" s="219">
        <v>286.98265896919884</v>
      </c>
      <c r="O29" s="219">
        <v>294.31248987587776</v>
      </c>
      <c r="P29" s="219">
        <v>307.23286906479598</v>
      </c>
      <c r="Q29" s="219">
        <v>263.38108798368586</v>
      </c>
      <c r="R29" s="219">
        <v>270.05248563979268</v>
      </c>
      <c r="S29" s="219">
        <v>244.33853500709813</v>
      </c>
      <c r="T29" s="219">
        <v>236.25610221405276</v>
      </c>
      <c r="U29" s="219">
        <v>230.16679250237846</v>
      </c>
      <c r="V29" s="219">
        <v>240.53262642540415</v>
      </c>
      <c r="W29" s="219">
        <v>240.16564449001953</v>
      </c>
      <c r="X29" s="219">
        <v>233.33461537604694</v>
      </c>
      <c r="Y29" s="219">
        <v>223.84769976000004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224.23550334897951</v>
      </c>
      <c r="C31" s="59">
        <f t="shared" si="31"/>
        <v>152.31599849458468</v>
      </c>
      <c r="D31" s="59">
        <f t="shared" si="31"/>
        <v>125.6265762238185</v>
      </c>
      <c r="E31" s="59">
        <f t="shared" si="31"/>
        <v>145.97465676532269</v>
      </c>
      <c r="F31" s="59">
        <f t="shared" si="31"/>
        <v>156.68907140363942</v>
      </c>
      <c r="G31" s="59">
        <f t="shared" si="31"/>
        <v>154.38865196269492</v>
      </c>
      <c r="H31" s="59">
        <f t="shared" si="31"/>
        <v>106.03226413446977</v>
      </c>
      <c r="I31" s="59">
        <f t="shared" si="31"/>
        <v>72.780058784755582</v>
      </c>
      <c r="J31" s="59">
        <f t="shared" si="31"/>
        <v>64.335543571992503</v>
      </c>
      <c r="K31" s="59">
        <f t="shared" si="31"/>
        <v>77.725826368204935</v>
      </c>
      <c r="L31" s="59">
        <f t="shared" si="31"/>
        <v>96.035512086600093</v>
      </c>
      <c r="M31" s="59">
        <f t="shared" si="31"/>
        <v>91.666125974748311</v>
      </c>
      <c r="N31" s="59">
        <f t="shared" si="31"/>
        <v>82.153824125234379</v>
      </c>
      <c r="O31" s="59">
        <f t="shared" si="31"/>
        <v>64.476892256265671</v>
      </c>
      <c r="P31" s="59">
        <f t="shared" si="31"/>
        <v>52.060748997191915</v>
      </c>
      <c r="Q31" s="59">
        <f t="shared" si="31"/>
        <v>69.273321605442476</v>
      </c>
      <c r="R31" s="59">
        <f t="shared" si="31"/>
        <v>66.68852389008525</v>
      </c>
      <c r="S31" s="59">
        <f t="shared" si="31"/>
        <v>69.363272813168493</v>
      </c>
      <c r="T31" s="59">
        <f t="shared" si="31"/>
        <v>57.117257048674588</v>
      </c>
      <c r="U31" s="59">
        <f t="shared" si="31"/>
        <v>67.790284661607387</v>
      </c>
      <c r="V31" s="59">
        <f t="shared" si="31"/>
        <v>66.397634044909495</v>
      </c>
      <c r="W31" s="59">
        <f t="shared" si="31"/>
        <v>58.068125236257586</v>
      </c>
      <c r="X31" s="59">
        <f t="shared" si="31"/>
        <v>52.862939527470893</v>
      </c>
      <c r="Y31" s="59">
        <f t="shared" si="31"/>
        <v>45.357595407876929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112.47171201628669</v>
      </c>
      <c r="C32" s="55">
        <f t="shared" si="32"/>
        <v>109.81942433546169</v>
      </c>
      <c r="D32" s="55">
        <f t="shared" si="32"/>
        <v>113.80906613357635</v>
      </c>
      <c r="E32" s="55">
        <f t="shared" si="32"/>
        <v>119.5378711984025</v>
      </c>
      <c r="F32" s="55">
        <f t="shared" si="32"/>
        <v>117.30616060932356</v>
      </c>
      <c r="G32" s="55">
        <f t="shared" si="32"/>
        <v>134.2940341245135</v>
      </c>
      <c r="H32" s="55">
        <f t="shared" si="32"/>
        <v>130.05722800154635</v>
      </c>
      <c r="I32" s="55">
        <f t="shared" si="32"/>
        <v>117.81469406104162</v>
      </c>
      <c r="J32" s="55">
        <f t="shared" si="32"/>
        <v>123.49619118298853</v>
      </c>
      <c r="K32" s="55">
        <f t="shared" si="32"/>
        <v>137.83360398812144</v>
      </c>
      <c r="L32" s="55">
        <f t="shared" si="32"/>
        <v>128.47617233393541</v>
      </c>
      <c r="M32" s="55">
        <f t="shared" si="32"/>
        <v>116.0213122138336</v>
      </c>
      <c r="N32" s="55">
        <f t="shared" si="32"/>
        <v>118.31216844961239</v>
      </c>
      <c r="O32" s="55">
        <f t="shared" si="32"/>
        <v>117.89482713876832</v>
      </c>
      <c r="P32" s="55">
        <f t="shared" si="32"/>
        <v>114.21265320772918</v>
      </c>
      <c r="Q32" s="55">
        <f t="shared" si="32"/>
        <v>116.67728719019783</v>
      </c>
      <c r="R32" s="55">
        <f t="shared" si="32"/>
        <v>118.4124982552017</v>
      </c>
      <c r="S32" s="55">
        <f t="shared" si="32"/>
        <v>109.25986032686183</v>
      </c>
      <c r="T32" s="55">
        <f t="shared" si="32"/>
        <v>115.03952384499107</v>
      </c>
      <c r="U32" s="55">
        <f t="shared" si="32"/>
        <v>114.31053707016734</v>
      </c>
      <c r="V32" s="55">
        <f t="shared" si="32"/>
        <v>121.02278233994654</v>
      </c>
      <c r="W32" s="55">
        <f t="shared" si="32"/>
        <v>115.61293230102244</v>
      </c>
      <c r="X32" s="55">
        <f t="shared" si="32"/>
        <v>98.926512660278405</v>
      </c>
      <c r="Y32" s="55">
        <f t="shared" si="32"/>
        <v>101.37891512464502</v>
      </c>
      <c r="DA32" s="216"/>
    </row>
    <row r="33" spans="1:105" x14ac:dyDescent="0.25">
      <c r="A33" s="35" t="s">
        <v>111</v>
      </c>
      <c r="B33" s="55">
        <f>IF(AGR_ued!B$5=0,"",AGR_ued!B$5/B$5*1000)</f>
        <v>46.073450756347057</v>
      </c>
      <c r="C33" s="55">
        <f>IF(AGR_ued!C$5=0,"",AGR_ued!C$5/C$5*1000)</f>
        <v>44.767110109108415</v>
      </c>
      <c r="D33" s="55">
        <f>IF(AGR_ued!D$5=0,"",AGR_ued!D$5/D$5*1000)</f>
        <v>47.601469380294532</v>
      </c>
      <c r="E33" s="55">
        <f>IF(AGR_ued!E$5=0,"",AGR_ued!E$5/E$5*1000)</f>
        <v>49.250636620826619</v>
      </c>
      <c r="F33" s="55">
        <f>IF(AGR_ued!F$5=0,"",AGR_ued!F$5/F$5*1000)</f>
        <v>46.585306259544666</v>
      </c>
      <c r="G33" s="55">
        <f>IF(AGR_ued!G$5=0,"",AGR_ued!G$5/G$5*1000)</f>
        <v>52.89170153093302</v>
      </c>
      <c r="H33" s="55">
        <f>IF(AGR_ued!H$5=0,"",AGR_ued!H$5/H$5*1000)</f>
        <v>51.815536997818853</v>
      </c>
      <c r="I33" s="55">
        <f>IF(AGR_ued!I$5=0,"",AGR_ued!I$5/I$5*1000)</f>
        <v>47.034288774922707</v>
      </c>
      <c r="J33" s="55">
        <f>IF(AGR_ued!J$5=0,"",AGR_ued!J$5/J$5*1000)</f>
        <v>48.744941727050801</v>
      </c>
      <c r="K33" s="55">
        <f>IF(AGR_ued!K$5=0,"",AGR_ued!K$5/K$5*1000)</f>
        <v>54.513708522007136</v>
      </c>
      <c r="L33" s="55">
        <f>IF(AGR_ued!L$5=0,"",AGR_ued!L$5/L$5*1000)</f>
        <v>50.031186334510203</v>
      </c>
      <c r="M33" s="55">
        <f>IF(AGR_ued!M$5=0,"",AGR_ued!M$5/M$5*1000)</f>
        <v>44.831173797050425</v>
      </c>
      <c r="N33" s="55">
        <f>IF(AGR_ued!N$5=0,"",AGR_ued!N$5/N$5*1000)</f>
        <v>45.395947632274584</v>
      </c>
      <c r="O33" s="55">
        <f>IF(AGR_ued!O$5=0,"",AGR_ued!O$5/O$5*1000)</f>
        <v>45.317704211531627</v>
      </c>
      <c r="P33" s="55">
        <f>IF(AGR_ued!P$5=0,"",AGR_ued!P$5/P$5*1000)</f>
        <v>43.720089426798829</v>
      </c>
      <c r="Q33" s="55">
        <f>IF(AGR_ued!Q$5=0,"",AGR_ued!Q$5/Q$5*1000)</f>
        <v>44.450018776258041</v>
      </c>
      <c r="R33" s="55">
        <f>IF(AGR_ued!R$5=0,"",AGR_ued!R$5/R$5*1000)</f>
        <v>44.983399508097811</v>
      </c>
      <c r="S33" s="55">
        <f>IF(AGR_ued!S$5=0,"",AGR_ued!S$5/S$5*1000)</f>
        <v>41.929526521589075</v>
      </c>
      <c r="T33" s="55">
        <f>IF(AGR_ued!T$5=0,"",AGR_ued!T$5/T$5*1000)</f>
        <v>43.962932509792282</v>
      </c>
      <c r="U33" s="55">
        <f>IF(AGR_ued!U$5=0,"",AGR_ued!U$5/U$5*1000)</f>
        <v>44.729698435379746</v>
      </c>
      <c r="V33" s="55">
        <f>IF(AGR_ued!V$5=0,"",AGR_ued!V$5/V$5*1000)</f>
        <v>46.458519672659719</v>
      </c>
      <c r="W33" s="55">
        <f>IF(AGR_ued!W$5=0,"",AGR_ued!W$5/W$5*1000)</f>
        <v>44.182655213021462</v>
      </c>
      <c r="X33" s="55">
        <f>IF(AGR_ued!X$5=0,"",AGR_ued!X$5/X$5*1000)</f>
        <v>37.825205540170771</v>
      </c>
      <c r="Y33" s="55">
        <f>IF(AGR_ued!Y$5=0,"",AGR_ued!Y$5/Y$5*1000)</f>
        <v>38.983244213863557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2.0154814054438912</v>
      </c>
      <c r="C34" s="217">
        <f t="shared" si="33"/>
        <v>2.0319104544862316</v>
      </c>
      <c r="D34" s="217">
        <f t="shared" si="33"/>
        <v>1.8909951579988178</v>
      </c>
      <c r="E34" s="217">
        <f t="shared" si="33"/>
        <v>1.9640853472557884</v>
      </c>
      <c r="F34" s="217">
        <f t="shared" si="33"/>
        <v>2.117194259498596</v>
      </c>
      <c r="G34" s="217">
        <f t="shared" si="33"/>
        <v>2.1678811066772568</v>
      </c>
      <c r="H34" s="217">
        <f t="shared" si="33"/>
        <v>2.1296821122662237</v>
      </c>
      <c r="I34" s="217">
        <f t="shared" si="33"/>
        <v>2.0918896609153972</v>
      </c>
      <c r="J34" s="217">
        <f t="shared" si="33"/>
        <v>2.1407521334218766</v>
      </c>
      <c r="K34" s="217">
        <f t="shared" si="33"/>
        <v>2.083909935279697</v>
      </c>
      <c r="L34" s="217">
        <f t="shared" si="33"/>
        <v>2.1656739267011358</v>
      </c>
      <c r="M34" s="217">
        <f t="shared" si="33"/>
        <v>1.9407665735228588</v>
      </c>
      <c r="N34" s="217">
        <f t="shared" si="33"/>
        <v>2.0001943639269433</v>
      </c>
      <c r="O34" s="217">
        <f t="shared" si="33"/>
        <v>2.2457035933813931</v>
      </c>
      <c r="P34" s="217">
        <f t="shared" si="33"/>
        <v>2.2391564727049267</v>
      </c>
      <c r="Q34" s="217">
        <f t="shared" si="33"/>
        <v>1.7524052724817354</v>
      </c>
      <c r="R34" s="217">
        <f t="shared" si="33"/>
        <v>1.815560229720929</v>
      </c>
      <c r="S34" s="217">
        <f t="shared" si="33"/>
        <v>1.7140275653544621</v>
      </c>
      <c r="T34" s="217">
        <f t="shared" si="33"/>
        <v>1.7806475472221452</v>
      </c>
      <c r="U34" s="217">
        <f t="shared" si="33"/>
        <v>1.779267137888934</v>
      </c>
      <c r="V34" s="217">
        <f t="shared" si="33"/>
        <v>1.8249819910880438</v>
      </c>
      <c r="W34" s="217">
        <f t="shared" si="33"/>
        <v>1.822996814578959</v>
      </c>
      <c r="X34" s="217">
        <f t="shared" si="33"/>
        <v>1.8822724321712319</v>
      </c>
      <c r="Y34" s="217">
        <f t="shared" si="33"/>
        <v>1.8752804787402804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207.01745485812546</v>
      </c>
      <c r="C5" s="80">
        <f t="shared" ref="C5:W5" si="1">SUM(C6:C9,C16:C17,C25:C27)</f>
        <v>180.98383490971619</v>
      </c>
      <c r="D5" s="80">
        <f t="shared" si="1"/>
        <v>149.41358555460016</v>
      </c>
      <c r="E5" s="80">
        <f t="shared" si="1"/>
        <v>159.18383490971621</v>
      </c>
      <c r="F5" s="80">
        <f t="shared" si="1"/>
        <v>161.77325881341355</v>
      </c>
      <c r="G5" s="80">
        <f t="shared" si="1"/>
        <v>165.35760963026652</v>
      </c>
      <c r="H5" s="80">
        <f t="shared" si="1"/>
        <v>142.12407566637998</v>
      </c>
      <c r="I5" s="80">
        <f t="shared" si="1"/>
        <v>136.72192605331034</v>
      </c>
      <c r="J5" s="80">
        <f t="shared" si="1"/>
        <v>140.79269131556316</v>
      </c>
      <c r="K5" s="80">
        <f t="shared" si="1"/>
        <v>130.01926053310405</v>
      </c>
      <c r="L5" s="80">
        <f t="shared" si="1"/>
        <v>134.64092863284606</v>
      </c>
      <c r="M5" s="80">
        <f t="shared" si="1"/>
        <v>157.64995700773858</v>
      </c>
      <c r="N5" s="80">
        <f t="shared" si="1"/>
        <v>143.47738607050724</v>
      </c>
      <c r="O5" s="80">
        <f t="shared" si="1"/>
        <v>131.05580395528801</v>
      </c>
      <c r="P5" s="80">
        <f t="shared" si="1"/>
        <v>137.20920034393805</v>
      </c>
      <c r="Q5" s="80">
        <f t="shared" si="1"/>
        <v>150.29690455717969</v>
      </c>
      <c r="R5" s="80">
        <f t="shared" si="1"/>
        <v>148.74333619948402</v>
      </c>
      <c r="S5" s="80">
        <f t="shared" si="1"/>
        <v>142.55227858985381</v>
      </c>
      <c r="T5" s="80">
        <f t="shared" si="1"/>
        <v>132.67987962166808</v>
      </c>
      <c r="U5" s="80">
        <f t="shared" si="1"/>
        <v>129.36044711951848</v>
      </c>
      <c r="V5" s="80">
        <f t="shared" si="1"/>
        <v>131.80000000000001</v>
      </c>
      <c r="W5" s="80">
        <f t="shared" si="1"/>
        <v>131.74221840068788</v>
      </c>
      <c r="X5" s="80">
        <f t="shared" ref="X5:Y5" si="2">SUM(X6:X9,X16:X17,X25:X27)</f>
        <v>123.96431642304388</v>
      </c>
      <c r="Y5" s="80">
        <f t="shared" si="2"/>
        <v>119.36758383490969</v>
      </c>
      <c r="DA5" s="103"/>
    </row>
    <row r="6" spans="1:105" x14ac:dyDescent="0.25">
      <c r="A6" s="238" t="s">
        <v>125</v>
      </c>
      <c r="B6" s="239">
        <v>7.5363805234881909</v>
      </c>
      <c r="C6" s="239">
        <v>6.5666705535756753</v>
      </c>
      <c r="D6" s="239">
        <v>5.9596395742624688</v>
      </c>
      <c r="E6" s="239">
        <v>6.0309408504618824</v>
      </c>
      <c r="F6" s="239">
        <v>5.4193117927454493</v>
      </c>
      <c r="G6" s="239">
        <v>5.2257786902257557</v>
      </c>
      <c r="H6" s="239">
        <v>4.7824338246868514</v>
      </c>
      <c r="I6" s="239">
        <v>4.6124977703259207</v>
      </c>
      <c r="J6" s="239">
        <v>4.4652464023495408</v>
      </c>
      <c r="K6" s="239">
        <v>4.2246357422733682</v>
      </c>
      <c r="L6" s="239">
        <v>3.9635932107288552</v>
      </c>
      <c r="M6" s="239">
        <v>4.2855334068868469</v>
      </c>
      <c r="N6" s="239">
        <v>3.9996880985953021</v>
      </c>
      <c r="O6" s="239">
        <v>3.606810168887594</v>
      </c>
      <c r="P6" s="239">
        <v>3.938513570381295</v>
      </c>
      <c r="Q6" s="239">
        <v>3.831182101438289</v>
      </c>
      <c r="R6" s="239">
        <v>3.69979344098464</v>
      </c>
      <c r="S6" s="239">
        <v>3.8575177962441249</v>
      </c>
      <c r="T6" s="239">
        <v>3.469395738496702</v>
      </c>
      <c r="U6" s="239">
        <v>4.0790541245169036</v>
      </c>
      <c r="V6" s="239">
        <v>3.5523699708686531</v>
      </c>
      <c r="W6" s="239">
        <v>3.2959359464640392</v>
      </c>
      <c r="X6" s="239">
        <v>2.931954304023074</v>
      </c>
      <c r="Y6" s="239">
        <v>2.980472002193796</v>
      </c>
      <c r="DA6" s="267" t="s">
        <v>995</v>
      </c>
    </row>
    <row r="7" spans="1:105" x14ac:dyDescent="0.25">
      <c r="A7" s="240" t="s">
        <v>124</v>
      </c>
      <c r="B7" s="241">
        <v>4.8986473402673223</v>
      </c>
      <c r="C7" s="241">
        <v>4.2683358598241874</v>
      </c>
      <c r="D7" s="241">
        <v>3.8737657232706049</v>
      </c>
      <c r="E7" s="241">
        <v>3.9201115528002211</v>
      </c>
      <c r="F7" s="241">
        <v>3.5225526652845409</v>
      </c>
      <c r="G7" s="241">
        <v>3.396756148646741</v>
      </c>
      <c r="H7" s="241">
        <v>3.1085819860464521</v>
      </c>
      <c r="I7" s="241">
        <v>2.9981235507118482</v>
      </c>
      <c r="J7" s="241">
        <v>2.9024101615272011</v>
      </c>
      <c r="K7" s="241">
        <v>2.7460132324776891</v>
      </c>
      <c r="L7" s="241">
        <v>2.5763355869737539</v>
      </c>
      <c r="M7" s="241">
        <v>2.78559671447645</v>
      </c>
      <c r="N7" s="241">
        <v>2.5997972640869471</v>
      </c>
      <c r="O7" s="241">
        <v>2.344426609776936</v>
      </c>
      <c r="P7" s="241">
        <v>2.560033820747841</v>
      </c>
      <c r="Q7" s="241">
        <v>2.4902683659348872</v>
      </c>
      <c r="R7" s="241">
        <v>2.4048657366400148</v>
      </c>
      <c r="S7" s="241">
        <v>2.5073865675586808</v>
      </c>
      <c r="T7" s="241">
        <v>2.2551072300228552</v>
      </c>
      <c r="U7" s="241">
        <v>2.651385180935987</v>
      </c>
      <c r="V7" s="241">
        <v>2.3090404810646241</v>
      </c>
      <c r="W7" s="241">
        <v>2.1423583652016238</v>
      </c>
      <c r="X7" s="241">
        <v>1.9057702976149979</v>
      </c>
      <c r="Y7" s="241">
        <v>1.9373068014259669</v>
      </c>
      <c r="DA7" s="268" t="s">
        <v>996</v>
      </c>
    </row>
    <row r="8" spans="1:105" x14ac:dyDescent="0.25">
      <c r="A8" s="240" t="s">
        <v>123</v>
      </c>
      <c r="B8" s="241">
        <v>6.7827424711393691</v>
      </c>
      <c r="C8" s="241">
        <v>5.9100034982181064</v>
      </c>
      <c r="D8" s="241">
        <v>5.363675616836221</v>
      </c>
      <c r="E8" s="241">
        <v>5.4278467654156923</v>
      </c>
      <c r="F8" s="241">
        <v>4.877380613470903</v>
      </c>
      <c r="G8" s="241">
        <v>4.7032008212031791</v>
      </c>
      <c r="H8" s="241">
        <v>4.3041904422181636</v>
      </c>
      <c r="I8" s="241">
        <v>4.1512479932933282</v>
      </c>
      <c r="J8" s="241">
        <v>4.0187217621145859</v>
      </c>
      <c r="K8" s="241">
        <v>3.8021721680460319</v>
      </c>
      <c r="L8" s="241">
        <v>3.5672338896559692</v>
      </c>
      <c r="M8" s="241">
        <v>3.856980066198163</v>
      </c>
      <c r="N8" s="241">
        <v>3.5997192887357721</v>
      </c>
      <c r="O8" s="241">
        <v>3.2461291519988338</v>
      </c>
      <c r="P8" s="241">
        <v>3.5446622133431638</v>
      </c>
      <c r="Q8" s="241">
        <v>3.448063891294459</v>
      </c>
      <c r="R8" s="241">
        <v>3.3298140968861749</v>
      </c>
      <c r="S8" s="241">
        <v>3.471766016619712</v>
      </c>
      <c r="T8" s="241">
        <v>3.1224561646470299</v>
      </c>
      <c r="U8" s="241">
        <v>3.6711487120652122</v>
      </c>
      <c r="V8" s="241">
        <v>3.1971329737817871</v>
      </c>
      <c r="W8" s="241">
        <v>2.9663423518176342</v>
      </c>
      <c r="X8" s="241">
        <v>2.638758873620767</v>
      </c>
      <c r="Y8" s="241">
        <v>2.6824248019744159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46.922876080164542</v>
      </c>
      <c r="C9" s="243">
        <f t="shared" ref="C9:W9" si="4">SUM(C10:C15)</f>
        <v>40.164762134688068</v>
      </c>
      <c r="D9" s="243">
        <f t="shared" si="4"/>
        <v>34.396941290310679</v>
      </c>
      <c r="E9" s="243">
        <f t="shared" si="4"/>
        <v>35.940568402827694</v>
      </c>
      <c r="F9" s="243">
        <f t="shared" si="4"/>
        <v>34.264759807726996</v>
      </c>
      <c r="G9" s="243">
        <f t="shared" si="4"/>
        <v>35.023406260637451</v>
      </c>
      <c r="H9" s="243">
        <f t="shared" si="4"/>
        <v>30.355211616923572</v>
      </c>
      <c r="I9" s="243">
        <f t="shared" si="4"/>
        <v>29.539166420074071</v>
      </c>
      <c r="J9" s="243">
        <f t="shared" si="4"/>
        <v>30.177783471845256</v>
      </c>
      <c r="K9" s="243">
        <f t="shared" si="4"/>
        <v>27.701025617204742</v>
      </c>
      <c r="L9" s="243">
        <f t="shared" si="4"/>
        <v>28.393637820026296</v>
      </c>
      <c r="M9" s="243">
        <f t="shared" si="4"/>
        <v>33.54638370887605</v>
      </c>
      <c r="N9" s="243">
        <f t="shared" si="4"/>
        <v>29.483892081183679</v>
      </c>
      <c r="O9" s="243">
        <f t="shared" si="4"/>
        <v>27.056446798309906</v>
      </c>
      <c r="P9" s="243">
        <f t="shared" si="4"/>
        <v>27.701896595097061</v>
      </c>
      <c r="Q9" s="243">
        <f t="shared" si="4"/>
        <v>31.214397546434444</v>
      </c>
      <c r="R9" s="243">
        <f t="shared" si="4"/>
        <v>30.925767321840734</v>
      </c>
      <c r="S9" s="243">
        <f t="shared" si="4"/>
        <v>29.625791553475178</v>
      </c>
      <c r="T9" s="243">
        <f t="shared" si="4"/>
        <v>27.549987994529875</v>
      </c>
      <c r="U9" s="243">
        <f t="shared" si="4"/>
        <v>26.745583470202455</v>
      </c>
      <c r="V9" s="243">
        <f t="shared" si="4"/>
        <v>27.36866131983005</v>
      </c>
      <c r="W9" s="243">
        <f t="shared" si="4"/>
        <v>27.648399974085009</v>
      </c>
      <c r="X9" s="243">
        <f t="shared" ref="X9:Y9" si="5">SUM(X10:X15)</f>
        <v>26.651662458288502</v>
      </c>
      <c r="Y9" s="243">
        <f t="shared" si="5"/>
        <v>25.615529940944377</v>
      </c>
      <c r="DA9" s="269"/>
    </row>
    <row r="10" spans="1:105" x14ac:dyDescent="0.25">
      <c r="A10" s="253" t="s">
        <v>166</v>
      </c>
      <c r="B10" s="254">
        <v>7.8878160653894547</v>
      </c>
      <c r="C10" s="254">
        <v>8.8096726103558485</v>
      </c>
      <c r="D10" s="254">
        <v>6.33608573647059</v>
      </c>
      <c r="E10" s="254">
        <v>7.9920909700464087</v>
      </c>
      <c r="F10" s="254">
        <v>9.7561838863896746</v>
      </c>
      <c r="G10" s="254">
        <v>10.552000281710651</v>
      </c>
      <c r="H10" s="254">
        <v>9.7937130381337347</v>
      </c>
      <c r="I10" s="254">
        <v>9.2366007528092293</v>
      </c>
      <c r="J10" s="254">
        <v>10.050697451122719</v>
      </c>
      <c r="K10" s="254">
        <v>8.972536359387405</v>
      </c>
      <c r="L10" s="254">
        <v>9.7036741251036869</v>
      </c>
      <c r="M10" s="254">
        <v>9.002918344837898</v>
      </c>
      <c r="N10" s="254">
        <v>9.9423610229591137</v>
      </c>
      <c r="O10" s="254">
        <v>10.36260245358655</v>
      </c>
      <c r="P10" s="254">
        <v>12.6156023685715</v>
      </c>
      <c r="Q10" s="254">
        <v>9.678110844535432</v>
      </c>
      <c r="R10" s="254">
        <v>9.5692232850109775</v>
      </c>
      <c r="S10" s="254">
        <v>8.4152727857222533</v>
      </c>
      <c r="T10" s="254">
        <v>8.8706143439739868</v>
      </c>
      <c r="U10" s="254">
        <v>7.6899797900038278</v>
      </c>
      <c r="V10" s="254">
        <v>8.1353893283472765</v>
      </c>
      <c r="W10" s="254">
        <v>7.3132393062094634</v>
      </c>
      <c r="X10" s="254">
        <v>6.0698531331963386</v>
      </c>
      <c r="Y10" s="254">
        <v>6.1034107146846894</v>
      </c>
      <c r="DA10" s="270" t="s">
        <v>998</v>
      </c>
    </row>
    <row r="11" spans="1:105" x14ac:dyDescent="0.25">
      <c r="A11" s="253" t="s">
        <v>169</v>
      </c>
      <c r="B11" s="255">
        <v>13.39417673448566</v>
      </c>
      <c r="C11" s="255">
        <v>11.750379605847391</v>
      </c>
      <c r="D11" s="255">
        <v>6.9710472311572644</v>
      </c>
      <c r="E11" s="255">
        <v>7.8921700557919827</v>
      </c>
      <c r="F11" s="255">
        <v>10.57639379986505</v>
      </c>
      <c r="G11" s="255">
        <v>12.45500837525244</v>
      </c>
      <c r="H11" s="255">
        <v>8.6744665343039955</v>
      </c>
      <c r="I11" s="255">
        <v>7.6997294297891568</v>
      </c>
      <c r="J11" s="255">
        <v>8.8786179456771794</v>
      </c>
      <c r="K11" s="255">
        <v>8.2223639469219112</v>
      </c>
      <c r="L11" s="255">
        <v>10.35713305755834</v>
      </c>
      <c r="M11" s="255">
        <v>16.64405001859884</v>
      </c>
      <c r="N11" s="255">
        <v>13.791498758133811</v>
      </c>
      <c r="O11" s="255">
        <v>11.810516429542449</v>
      </c>
      <c r="P11" s="255">
        <v>9.2900662463719321</v>
      </c>
      <c r="Q11" s="255">
        <v>17.16107510934421</v>
      </c>
      <c r="R11" s="255">
        <v>17.215331943468001</v>
      </c>
      <c r="S11" s="255">
        <v>16.248146967778201</v>
      </c>
      <c r="T11" s="255">
        <v>14.260992169726871</v>
      </c>
      <c r="U11" s="255">
        <v>11.760367557670531</v>
      </c>
      <c r="V11" s="255">
        <v>14.56651516781039</v>
      </c>
      <c r="W11" s="255">
        <v>16.439795464571091</v>
      </c>
      <c r="X11" s="255">
        <v>16.49939794249314</v>
      </c>
      <c r="Y11" s="255">
        <v>15.148660744028341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9.7392007593368607E-2</v>
      </c>
      <c r="D12" s="255">
        <v>0.24312227390804869</v>
      </c>
      <c r="E12" s="255">
        <v>0.13938652242281949</v>
      </c>
      <c r="F12" s="255">
        <v>0.16218906527220911</v>
      </c>
      <c r="G12" s="255">
        <v>0.16403568142493041</v>
      </c>
      <c r="H12" s="255">
        <v>0.1442570585733291</v>
      </c>
      <c r="I12" s="255">
        <v>0.1489020460298783</v>
      </c>
      <c r="J12" s="255">
        <v>0.15535356983831991</v>
      </c>
      <c r="K12" s="255">
        <v>0.1494244012013369</v>
      </c>
      <c r="L12" s="255">
        <v>0.16764965807764989</v>
      </c>
      <c r="M12" s="255">
        <v>0.163969739461064</v>
      </c>
      <c r="N12" s="255">
        <v>0.19198096085538319</v>
      </c>
      <c r="O12" s="255">
        <v>0.25564187174085778</v>
      </c>
      <c r="P12" s="255">
        <v>0.23324982992876131</v>
      </c>
      <c r="Q12" s="255">
        <v>0.2245012905206788</v>
      </c>
      <c r="R12" s="255">
        <v>0.27938824010261959</v>
      </c>
      <c r="S12" s="255">
        <v>0.25546378996697311</v>
      </c>
      <c r="T12" s="255">
        <v>0.24532577891898749</v>
      </c>
      <c r="U12" s="255">
        <v>0.23754028005291031</v>
      </c>
      <c r="V12" s="255">
        <v>0.25414408056163329</v>
      </c>
      <c r="W12" s="255">
        <v>0.26421088529998382</v>
      </c>
      <c r="X12" s="255">
        <v>0.26505478485504802</v>
      </c>
      <c r="Y12" s="255">
        <v>0.27278323907484592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10.270335339592</v>
      </c>
      <c r="C14" s="254">
        <v>6.8548581255193728</v>
      </c>
      <c r="D14" s="254">
        <v>6.4488392088955449</v>
      </c>
      <c r="E14" s="254">
        <v>7.1653482372863291</v>
      </c>
      <c r="F14" s="254">
        <v>4.3231298366152169</v>
      </c>
      <c r="G14" s="254">
        <v>4.2753224419535654</v>
      </c>
      <c r="H14" s="254">
        <v>4.0126397248382268</v>
      </c>
      <c r="I14" s="254">
        <v>4.9919174548406327</v>
      </c>
      <c r="J14" s="254">
        <v>4.8724849527001277</v>
      </c>
      <c r="K14" s="254">
        <v>3.9648323301716482</v>
      </c>
      <c r="L14" s="254">
        <v>3.3915735167651628</v>
      </c>
      <c r="M14" s="254">
        <v>3.3677558039542048</v>
      </c>
      <c r="N14" s="254">
        <v>1.050902837489224</v>
      </c>
      <c r="O14" s="254">
        <v>0.90765262252742818</v>
      </c>
      <c r="P14" s="254">
        <v>0.83594153052461806</v>
      </c>
      <c r="Q14" s="254">
        <v>0.69269131556209318</v>
      </c>
      <c r="R14" s="254">
        <v>0.69269131556242136</v>
      </c>
      <c r="S14" s="254">
        <v>0.692691315562875</v>
      </c>
      <c r="T14" s="254">
        <v>0.88374892519267956</v>
      </c>
      <c r="U14" s="254">
        <v>0.88374892519080028</v>
      </c>
      <c r="V14" s="254">
        <v>0.76431642304337788</v>
      </c>
      <c r="W14" s="254">
        <v>0.76431642304315794</v>
      </c>
      <c r="X14" s="254">
        <v>1.6241616508983281</v>
      </c>
      <c r="Y14" s="254">
        <v>1.624161650900896</v>
      </c>
      <c r="DA14" s="270" t="s">
        <v>1002</v>
      </c>
    </row>
    <row r="15" spans="1:105" x14ac:dyDescent="0.25">
      <c r="A15" s="253" t="s">
        <v>24</v>
      </c>
      <c r="B15" s="255">
        <v>15.370547940697429</v>
      </c>
      <c r="C15" s="255">
        <v>12.652459785372089</v>
      </c>
      <c r="D15" s="255">
        <v>14.397846839879231</v>
      </c>
      <c r="E15" s="255">
        <v>12.75157261728015</v>
      </c>
      <c r="F15" s="255">
        <v>9.4468632195848485</v>
      </c>
      <c r="G15" s="255">
        <v>7.5770394802958601</v>
      </c>
      <c r="H15" s="255">
        <v>7.7301352610742846</v>
      </c>
      <c r="I15" s="255">
        <v>7.4620167366051744</v>
      </c>
      <c r="J15" s="255">
        <v>6.2206295525069111</v>
      </c>
      <c r="K15" s="255">
        <v>6.3918685795224421</v>
      </c>
      <c r="L15" s="255">
        <v>4.7736074625214586</v>
      </c>
      <c r="M15" s="255">
        <v>4.367689802024044</v>
      </c>
      <c r="N15" s="255">
        <v>4.5071485017461486</v>
      </c>
      <c r="O15" s="255">
        <v>3.720033420912622</v>
      </c>
      <c r="P15" s="255">
        <v>4.7270366197002494</v>
      </c>
      <c r="Q15" s="255">
        <v>3.4580189864720312</v>
      </c>
      <c r="R15" s="255">
        <v>3.1691325376967159</v>
      </c>
      <c r="S15" s="255">
        <v>4.0142166944448734</v>
      </c>
      <c r="T15" s="255">
        <v>3.2893067767173449</v>
      </c>
      <c r="U15" s="255">
        <v>6.1739469172843817</v>
      </c>
      <c r="V15" s="255">
        <v>3.648296320067371</v>
      </c>
      <c r="W15" s="255">
        <v>2.8668378949613111</v>
      </c>
      <c r="X15" s="255">
        <v>2.1931949468456469</v>
      </c>
      <c r="Y15" s="255">
        <v>2.4665135922556058</v>
      </c>
      <c r="DA15" s="271" t="s">
        <v>1003</v>
      </c>
    </row>
    <row r="16" spans="1:105" x14ac:dyDescent="0.25">
      <c r="A16" s="256" t="s">
        <v>168</v>
      </c>
      <c r="B16" s="257">
        <v>40.092338204116103</v>
      </c>
      <c r="C16" s="257">
        <v>37.425970833058678</v>
      </c>
      <c r="D16" s="257">
        <v>29.75950724953158</v>
      </c>
      <c r="E16" s="257">
        <v>33.02153086650717</v>
      </c>
      <c r="F16" s="257">
        <v>34.653224292810677</v>
      </c>
      <c r="G16" s="257">
        <v>36.259288471955301</v>
      </c>
      <c r="H16" s="257">
        <v>31.7425774314781</v>
      </c>
      <c r="I16" s="257">
        <v>30.379387955907049</v>
      </c>
      <c r="J16" s="257">
        <v>31.789563862231649</v>
      </c>
      <c r="K16" s="257">
        <v>29.01187768265002</v>
      </c>
      <c r="L16" s="257">
        <v>30.4858488575404</v>
      </c>
      <c r="M16" s="257">
        <v>33.994818315460719</v>
      </c>
      <c r="N16" s="257">
        <v>32.02229563360256</v>
      </c>
      <c r="O16" s="257">
        <v>30.42985162172673</v>
      </c>
      <c r="P16" s="257">
        <v>32.398255990508162</v>
      </c>
      <c r="Q16" s="257">
        <v>33.245126482617167</v>
      </c>
      <c r="R16" s="257">
        <v>32.893666095846882</v>
      </c>
      <c r="S16" s="257">
        <v>30.84200967743805</v>
      </c>
      <c r="T16" s="257">
        <v>29.612689022072662</v>
      </c>
      <c r="U16" s="257">
        <v>27.79042278126078</v>
      </c>
      <c r="V16" s="257">
        <v>28.822258381777171</v>
      </c>
      <c r="W16" s="257">
        <v>28.161765158128262</v>
      </c>
      <c r="X16" s="257">
        <v>25.8867177743636</v>
      </c>
      <c r="Y16" s="257">
        <v>25.271573508508752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74.61626105195343</v>
      </c>
      <c r="C17" s="257">
        <f t="shared" ref="C17:W17" si="7">SUM(C18:C24)</f>
        <v>63.368036980762305</v>
      </c>
      <c r="D17" s="257">
        <f t="shared" si="7"/>
        <v>49.740401817892334</v>
      </c>
      <c r="E17" s="257">
        <f t="shared" si="7"/>
        <v>53.721669039708381</v>
      </c>
      <c r="F17" s="257">
        <f t="shared" si="7"/>
        <v>59.099809910836228</v>
      </c>
      <c r="G17" s="257">
        <f t="shared" si="7"/>
        <v>60.978496991712419</v>
      </c>
      <c r="H17" s="257">
        <f t="shared" si="7"/>
        <v>50.014516707167829</v>
      </c>
      <c r="I17" s="257">
        <f t="shared" si="7"/>
        <v>47.903230256500876</v>
      </c>
      <c r="J17" s="257">
        <f t="shared" si="7"/>
        <v>50.390482348121019</v>
      </c>
      <c r="K17" s="257">
        <f t="shared" si="7"/>
        <v>46.608304448144857</v>
      </c>
      <c r="L17" s="257">
        <f t="shared" si="7"/>
        <v>50.085365982971588</v>
      </c>
      <c r="M17" s="257">
        <f t="shared" si="7"/>
        <v>62.148700306177417</v>
      </c>
      <c r="N17" s="257">
        <f t="shared" si="7"/>
        <v>55.819406891735404</v>
      </c>
      <c r="O17" s="257">
        <f t="shared" si="7"/>
        <v>49.688105107677082</v>
      </c>
      <c r="P17" s="257">
        <f t="shared" si="7"/>
        <v>51.19088501968757</v>
      </c>
      <c r="Q17" s="257">
        <f t="shared" si="7"/>
        <v>60.293141911553136</v>
      </c>
      <c r="R17" s="257">
        <f t="shared" si="7"/>
        <v>60.104143509781892</v>
      </c>
      <c r="S17" s="257">
        <f t="shared" si="7"/>
        <v>56.870339189366696</v>
      </c>
      <c r="T17" s="257">
        <f t="shared" si="7"/>
        <v>52.479898932977797</v>
      </c>
      <c r="U17" s="257">
        <f t="shared" si="7"/>
        <v>49.089008910304585</v>
      </c>
      <c r="V17" s="257">
        <f t="shared" si="7"/>
        <v>52.308793299209803</v>
      </c>
      <c r="W17" s="257">
        <f t="shared" si="7"/>
        <v>54.040855668607854</v>
      </c>
      <c r="X17" s="257">
        <f t="shared" ref="X17:Y17" si="8">SUM(X18:X24)</f>
        <v>51.791816117139959</v>
      </c>
      <c r="Y17" s="257">
        <f t="shared" si="8"/>
        <v>48.721976918478425</v>
      </c>
      <c r="DA17" s="272"/>
    </row>
    <row r="18" spans="1:105" x14ac:dyDescent="0.25">
      <c r="A18" s="61" t="s">
        <v>29</v>
      </c>
      <c r="B18" s="55">
        <v>8.7626827171693353</v>
      </c>
      <c r="C18" s="55">
        <v>4.714101461759185</v>
      </c>
      <c r="D18" s="55">
        <v>3.187188306136266</v>
      </c>
      <c r="E18" s="55">
        <v>3.1337919174760258</v>
      </c>
      <c r="F18" s="55">
        <v>1.969045571811453</v>
      </c>
      <c r="G18" s="55">
        <v>1.762510748076304</v>
      </c>
      <c r="H18" s="55">
        <v>1.312467755814716</v>
      </c>
      <c r="I18" s="55">
        <v>1.3296646603736559</v>
      </c>
      <c r="J18" s="55">
        <v>1.079707652630709</v>
      </c>
      <c r="K18" s="55">
        <v>0.79174548581851856</v>
      </c>
      <c r="L18" s="55">
        <v>0.79879621668638279</v>
      </c>
      <c r="M18" s="55">
        <v>0.529836629403451</v>
      </c>
      <c r="N18" s="55">
        <v>0.53319002579138808</v>
      </c>
      <c r="O18" s="55">
        <v>1.1184866723927289</v>
      </c>
      <c r="P18" s="55">
        <v>0.89527085124276606</v>
      </c>
      <c r="Q18" s="55">
        <v>0.268615649180799</v>
      </c>
      <c r="R18" s="55">
        <v>0.25606190885508501</v>
      </c>
      <c r="S18" s="55">
        <v>0.26646603611172331</v>
      </c>
      <c r="T18" s="55">
        <v>0.2730008598435758</v>
      </c>
      <c r="U18" s="55">
        <v>0.2670679277760773</v>
      </c>
      <c r="V18" s="55">
        <v>0.27437661220771831</v>
      </c>
      <c r="W18" s="55">
        <v>0.26732588134013391</v>
      </c>
      <c r="X18" s="55">
        <v>0.26440240756409639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3.296818572678899</v>
      </c>
      <c r="C19" s="55">
        <v>1.0987102321634079</v>
      </c>
      <c r="D19" s="55">
        <v>1.098710232169023</v>
      </c>
      <c r="E19" s="55">
        <v>1.098710232165633</v>
      </c>
      <c r="F19" s="55">
        <v>1.098710232166233</v>
      </c>
      <c r="G19" s="55">
        <v>1.098710232165041</v>
      </c>
      <c r="H19" s="55">
        <v>1.0987102321672191</v>
      </c>
      <c r="I19" s="55">
        <v>1.098710232168558</v>
      </c>
      <c r="J19" s="55">
        <v>1.0987102321665361</v>
      </c>
      <c r="K19" s="55">
        <v>1.098710232166489</v>
      </c>
      <c r="L19" s="55">
        <v>2.1974204643312372</v>
      </c>
      <c r="M19" s="55">
        <v>2.1974204643029212</v>
      </c>
      <c r="N19" s="55">
        <v>1.0987102321500331</v>
      </c>
      <c r="O19" s="55">
        <v>1.0987102321520821</v>
      </c>
      <c r="P19" s="55">
        <v>1.09871023215329</v>
      </c>
      <c r="Q19" s="55">
        <v>1.0987102321486071</v>
      </c>
      <c r="R19" s="55">
        <v>1.098710232152543</v>
      </c>
      <c r="S19" s="55">
        <v>1.098710232150887</v>
      </c>
      <c r="T19" s="55">
        <v>1.098710232151562</v>
      </c>
      <c r="U19" s="55">
        <v>1.0987102321708679</v>
      </c>
      <c r="V19" s="55">
        <v>2.197420464299733</v>
      </c>
      <c r="W19" s="55">
        <v>4.3947549440899252</v>
      </c>
      <c r="X19" s="55">
        <v>4.3947549440678131</v>
      </c>
      <c r="Y19" s="55">
        <v>3.2960447119346838</v>
      </c>
      <c r="DA19" s="101" t="s">
        <v>1006</v>
      </c>
    </row>
    <row r="20" spans="1:105" x14ac:dyDescent="0.25">
      <c r="A20" s="61" t="s">
        <v>166</v>
      </c>
      <c r="B20" s="55">
        <v>20.316542687256021</v>
      </c>
      <c r="C20" s="55">
        <v>23.600417364467461</v>
      </c>
      <c r="D20" s="55">
        <v>19.808139680411109</v>
      </c>
      <c r="E20" s="55">
        <v>23.50662200640383</v>
      </c>
      <c r="F20" s="55">
        <v>21.851376438677441</v>
      </c>
      <c r="G20" s="55">
        <v>23.248959792801539</v>
      </c>
      <c r="H20" s="55">
        <v>24.256714074579349</v>
      </c>
      <c r="I20" s="55">
        <v>23.357880648711301</v>
      </c>
      <c r="J20" s="55">
        <v>23.94371439655573</v>
      </c>
      <c r="K20" s="55">
        <v>21.144065281047791</v>
      </c>
      <c r="L20" s="55">
        <v>20.70980476032404</v>
      </c>
      <c r="M20" s="55">
        <v>17.22731335772599</v>
      </c>
      <c r="N20" s="55">
        <v>18.507787728801489</v>
      </c>
      <c r="O20" s="55">
        <v>20.619439677401129</v>
      </c>
      <c r="P20" s="55">
        <v>24.84945475044718</v>
      </c>
      <c r="Q20" s="55">
        <v>17.091959928332411</v>
      </c>
      <c r="R20" s="55">
        <v>16.609095851808028</v>
      </c>
      <c r="S20" s="55">
        <v>15.18736353295203</v>
      </c>
      <c r="T20" s="55">
        <v>16.176070708167501</v>
      </c>
      <c r="U20" s="55">
        <v>15.50583334269024</v>
      </c>
      <c r="V20" s="55">
        <v>14.800733717265411</v>
      </c>
      <c r="W20" s="55">
        <v>12.51941059993969</v>
      </c>
      <c r="X20" s="55">
        <v>10.338470048716481</v>
      </c>
      <c r="Y20" s="55">
        <v>10.99784910471995</v>
      </c>
      <c r="DA20" s="101" t="s">
        <v>1007</v>
      </c>
    </row>
    <row r="21" spans="1:105" x14ac:dyDescent="0.25">
      <c r="A21" s="61" t="s">
        <v>129</v>
      </c>
      <c r="B21" s="55">
        <v>7.2393809114842043</v>
      </c>
      <c r="C21" s="55">
        <v>1.045227858990327</v>
      </c>
      <c r="D21" s="55">
        <v>2.089939810854617</v>
      </c>
      <c r="E21" s="55">
        <v>1.0461736887430939</v>
      </c>
      <c r="F21" s="55">
        <v>8.3614789338529665</v>
      </c>
      <c r="G21" s="55">
        <v>5.2259673259138264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1008</v>
      </c>
    </row>
    <row r="22" spans="1:105" x14ac:dyDescent="0.25">
      <c r="A22" s="61" t="s">
        <v>169</v>
      </c>
      <c r="B22" s="55">
        <v>34.499202457428687</v>
      </c>
      <c r="C22" s="55">
        <v>31.478339224881079</v>
      </c>
      <c r="D22" s="55">
        <v>21.79318320752763</v>
      </c>
      <c r="E22" s="55">
        <v>23.21273106212951</v>
      </c>
      <c r="F22" s="55">
        <v>23.688438530453759</v>
      </c>
      <c r="G22" s="55">
        <v>27.441810197555011</v>
      </c>
      <c r="H22" s="55">
        <v>21.48460483300164</v>
      </c>
      <c r="I22" s="55">
        <v>19.471379770711149</v>
      </c>
      <c r="J22" s="55">
        <v>21.151476637442862</v>
      </c>
      <c r="K22" s="55">
        <v>19.376260300841</v>
      </c>
      <c r="L22" s="55">
        <v>22.10443186089983</v>
      </c>
      <c r="M22" s="55">
        <v>31.848813265808872</v>
      </c>
      <c r="N22" s="55">
        <v>25.67298963376415</v>
      </c>
      <c r="O22" s="55">
        <v>23.50048958923632</v>
      </c>
      <c r="P22" s="55">
        <v>18.29901371915355</v>
      </c>
      <c r="Q22" s="55">
        <v>30.307196601455502</v>
      </c>
      <c r="R22" s="55">
        <v>29.88028284569646</v>
      </c>
      <c r="S22" s="55">
        <v>29.32365010854496</v>
      </c>
      <c r="T22" s="55">
        <v>26.005731819784941</v>
      </c>
      <c r="U22" s="55">
        <v>23.713235194071899</v>
      </c>
      <c r="V22" s="55">
        <v>26.500896697843441</v>
      </c>
      <c r="W22" s="55">
        <v>28.143007630727869</v>
      </c>
      <c r="X22" s="55">
        <v>28.102579701214999</v>
      </c>
      <c r="Y22" s="55">
        <v>27.296653099319592</v>
      </c>
      <c r="DA22" s="101" t="s">
        <v>1009</v>
      </c>
    </row>
    <row r="23" spans="1:105" x14ac:dyDescent="0.25">
      <c r="A23" s="61" t="s">
        <v>164</v>
      </c>
      <c r="B23" s="55">
        <v>0.50163370593627599</v>
      </c>
      <c r="C23" s="55">
        <v>1.170335339644401</v>
      </c>
      <c r="D23" s="55">
        <v>1.00318142735295</v>
      </c>
      <c r="E23" s="55">
        <v>1.3136715391318321</v>
      </c>
      <c r="F23" s="55">
        <v>1.7674978503998351</v>
      </c>
      <c r="G23" s="55">
        <v>1.839122957879016</v>
      </c>
      <c r="H23" s="55">
        <v>1.5047291487655621</v>
      </c>
      <c r="I23" s="55">
        <v>2.2690455718184439</v>
      </c>
      <c r="J23" s="55">
        <v>2.7467755804163398</v>
      </c>
      <c r="K23" s="55">
        <v>3.8453998280599251</v>
      </c>
      <c r="L23" s="55">
        <v>3.917110920060801</v>
      </c>
      <c r="M23" s="55">
        <v>10.03155631980078</v>
      </c>
      <c r="N23" s="55">
        <v>9.6493551160072855</v>
      </c>
      <c r="O23" s="55">
        <v>2.842304385194808</v>
      </c>
      <c r="P23" s="55">
        <v>5.5889939810583718</v>
      </c>
      <c r="Q23" s="55">
        <v>11.13018056740056</v>
      </c>
      <c r="R23" s="55">
        <v>11.775064488331351</v>
      </c>
      <c r="S23" s="55">
        <v>10.53310404120236</v>
      </c>
      <c r="T23" s="55">
        <v>8.4790197763889328</v>
      </c>
      <c r="U23" s="55">
        <v>8.025193465268714</v>
      </c>
      <c r="V23" s="55">
        <v>8.073000859783912</v>
      </c>
      <c r="W23" s="55">
        <v>8.264058469437634</v>
      </c>
      <c r="X23" s="55">
        <v>8.2401547720618016</v>
      </c>
      <c r="Y23" s="55">
        <v>6.6398968185380793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0.26090549885644848</v>
      </c>
      <c r="D24" s="55">
        <v>0.76005915344074271</v>
      </c>
      <c r="E24" s="55">
        <v>0.40996859365845317</v>
      </c>
      <c r="F24" s="55">
        <v>0.36326235347453678</v>
      </c>
      <c r="G24" s="55">
        <v>0.36141573732167809</v>
      </c>
      <c r="H24" s="55">
        <v>0.35729066283934019</v>
      </c>
      <c r="I24" s="55">
        <v>0.37654937271777178</v>
      </c>
      <c r="J24" s="55">
        <v>0.37009784890884251</v>
      </c>
      <c r="K24" s="55">
        <v>0.35212332021112602</v>
      </c>
      <c r="L24" s="55">
        <v>0.35780176066929831</v>
      </c>
      <c r="M24" s="55">
        <v>0.31376026913540772</v>
      </c>
      <c r="N24" s="55">
        <v>0.35737415522105742</v>
      </c>
      <c r="O24" s="55">
        <v>0.50867455130001116</v>
      </c>
      <c r="P24" s="55">
        <v>0.459441485632411</v>
      </c>
      <c r="Q24" s="55">
        <v>0.39647893303525661</v>
      </c>
      <c r="R24" s="55">
        <v>0.48492818293841727</v>
      </c>
      <c r="S24" s="55">
        <v>0.46104523840472661</v>
      </c>
      <c r="T24" s="55">
        <v>0.44736553664128592</v>
      </c>
      <c r="U24" s="55">
        <v>0.47896874832678349</v>
      </c>
      <c r="V24" s="55">
        <v>0.46236494780958992</v>
      </c>
      <c r="W24" s="55">
        <v>0.45229814307259691</v>
      </c>
      <c r="X24" s="55">
        <v>0.45145424351476893</v>
      </c>
      <c r="Y24" s="55">
        <v>0.49153318396612039</v>
      </c>
      <c r="DA24" s="101" t="s">
        <v>1011</v>
      </c>
    </row>
    <row r="25" spans="1:105" x14ac:dyDescent="0.25">
      <c r="A25" s="256" t="s">
        <v>167</v>
      </c>
      <c r="B25" s="257">
        <v>7.7040769044504591</v>
      </c>
      <c r="C25" s="257">
        <v>7.1917121933287964</v>
      </c>
      <c r="D25" s="257">
        <v>5.7185373255532408</v>
      </c>
      <c r="E25" s="257">
        <v>6.3453623483635484</v>
      </c>
      <c r="F25" s="257">
        <v>6.6589058383124051</v>
      </c>
      <c r="G25" s="257">
        <v>6.9675244548325779</v>
      </c>
      <c r="H25" s="257">
        <v>6.0996007873762297</v>
      </c>
      <c r="I25" s="257">
        <v>5.8376525691987551</v>
      </c>
      <c r="J25" s="257">
        <v>6.1086296216175278</v>
      </c>
      <c r="K25" s="257">
        <v>5.5748740737375826</v>
      </c>
      <c r="L25" s="257">
        <v>5.8581099186635051</v>
      </c>
      <c r="M25" s="257">
        <v>6.5323876427901189</v>
      </c>
      <c r="N25" s="257">
        <v>6.1533509710090764</v>
      </c>
      <c r="O25" s="257">
        <v>5.8473495831363307</v>
      </c>
      <c r="P25" s="257">
        <v>6.2255948867387909</v>
      </c>
      <c r="Q25" s="257">
        <v>6.3883281093835063</v>
      </c>
      <c r="R25" s="257">
        <v>6.3207920670913111</v>
      </c>
      <c r="S25" s="257">
        <v>5.9265491883532402</v>
      </c>
      <c r="T25" s="257">
        <v>5.6903249796042461</v>
      </c>
      <c r="U25" s="257">
        <v>5.3401613351661386</v>
      </c>
      <c r="V25" s="257">
        <v>5.5384371448397172</v>
      </c>
      <c r="W25" s="257">
        <v>5.4115178675465501</v>
      </c>
      <c r="X25" s="257">
        <v>4.9743485531364371</v>
      </c>
      <c r="Y25" s="257">
        <v>4.8561434560091534</v>
      </c>
      <c r="DA25" s="272" t="s">
        <v>1012</v>
      </c>
    </row>
    <row r="26" spans="1:105" x14ac:dyDescent="0.25">
      <c r="A26" s="256" t="s">
        <v>170</v>
      </c>
      <c r="B26" s="257">
        <v>7.5363805234881909</v>
      </c>
      <c r="C26" s="257">
        <v>6.5666705535756753</v>
      </c>
      <c r="D26" s="257">
        <v>5.9596395742624688</v>
      </c>
      <c r="E26" s="257">
        <v>6.0309408504618824</v>
      </c>
      <c r="F26" s="257">
        <v>5.4193117927454493</v>
      </c>
      <c r="G26" s="257">
        <v>5.2257786902257557</v>
      </c>
      <c r="H26" s="257">
        <v>4.7824338246868514</v>
      </c>
      <c r="I26" s="257">
        <v>4.6124977703259207</v>
      </c>
      <c r="J26" s="257">
        <v>4.4652464023495408</v>
      </c>
      <c r="K26" s="257">
        <v>4.2246357422733682</v>
      </c>
      <c r="L26" s="257">
        <v>3.9635932107288552</v>
      </c>
      <c r="M26" s="257">
        <v>4.2855334068868469</v>
      </c>
      <c r="N26" s="257">
        <v>3.9996880985953021</v>
      </c>
      <c r="O26" s="257">
        <v>3.606810168887594</v>
      </c>
      <c r="P26" s="257">
        <v>3.938513570381295</v>
      </c>
      <c r="Q26" s="257">
        <v>3.831182101438289</v>
      </c>
      <c r="R26" s="257">
        <v>3.69979344098464</v>
      </c>
      <c r="S26" s="257">
        <v>3.8575177962441249</v>
      </c>
      <c r="T26" s="257">
        <v>3.469395738496702</v>
      </c>
      <c r="U26" s="257">
        <v>4.0790541245169036</v>
      </c>
      <c r="V26" s="257">
        <v>3.5523699708686531</v>
      </c>
      <c r="W26" s="257">
        <v>3.2959359464640392</v>
      </c>
      <c r="X26" s="257">
        <v>2.931954304023074</v>
      </c>
      <c r="Y26" s="257">
        <v>2.980472002193796</v>
      </c>
      <c r="DA26" s="272" t="s">
        <v>1013</v>
      </c>
    </row>
    <row r="27" spans="1:105" x14ac:dyDescent="0.25">
      <c r="A27" s="128" t="s">
        <v>33</v>
      </c>
      <c r="B27" s="258">
        <v>10.92775175905787</v>
      </c>
      <c r="C27" s="258">
        <v>9.5216723026847259</v>
      </c>
      <c r="D27" s="258">
        <v>8.6414773826805806</v>
      </c>
      <c r="E27" s="258">
        <v>8.7448642331697268</v>
      </c>
      <c r="F27" s="258">
        <v>7.8580020994809017</v>
      </c>
      <c r="G27" s="258">
        <v>7.577379100827347</v>
      </c>
      <c r="H27" s="258">
        <v>6.9345290457959328</v>
      </c>
      <c r="I27" s="258">
        <v>6.6881217669725856</v>
      </c>
      <c r="J27" s="258">
        <v>6.474607283406832</v>
      </c>
      <c r="K27" s="258">
        <v>6.1257218262963837</v>
      </c>
      <c r="L27" s="258">
        <v>5.7472101555568393</v>
      </c>
      <c r="M27" s="258">
        <v>6.2140234399859287</v>
      </c>
      <c r="N27" s="258">
        <v>5.7995477429631892</v>
      </c>
      <c r="O27" s="258">
        <v>5.2298747448870131</v>
      </c>
      <c r="P27" s="258">
        <v>5.7108446770528767</v>
      </c>
      <c r="Q27" s="258">
        <v>5.5552140470855198</v>
      </c>
      <c r="R27" s="258">
        <v>5.3647004894277277</v>
      </c>
      <c r="S27" s="258">
        <v>5.5934008045539834</v>
      </c>
      <c r="T27" s="258">
        <v>5.0306238208202156</v>
      </c>
      <c r="U27" s="258">
        <v>5.9146284805495073</v>
      </c>
      <c r="V27" s="258">
        <v>5.1509364577595482</v>
      </c>
      <c r="W27" s="258">
        <v>4.7791071223728547</v>
      </c>
      <c r="X27" s="258">
        <v>4.2513337408334584</v>
      </c>
      <c r="Y27" s="258">
        <v>4.3216844031810044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1.0000000000000002</v>
      </c>
      <c r="C31" s="235">
        <f t="shared" si="9"/>
        <v>1.0000000000000002</v>
      </c>
      <c r="D31" s="235">
        <f t="shared" si="9"/>
        <v>1</v>
      </c>
      <c r="E31" s="235">
        <f t="shared" si="9"/>
        <v>0.99999999999999989</v>
      </c>
      <c r="F31" s="235">
        <f t="shared" si="9"/>
        <v>1</v>
      </c>
      <c r="G31" s="235">
        <f t="shared" si="9"/>
        <v>1</v>
      </c>
      <c r="H31" s="235">
        <f t="shared" si="9"/>
        <v>1</v>
      </c>
      <c r="I31" s="235">
        <f t="shared" si="9"/>
        <v>1</v>
      </c>
      <c r="J31" s="235">
        <f t="shared" si="9"/>
        <v>0.99999999999999978</v>
      </c>
      <c r="K31" s="235">
        <f t="shared" si="9"/>
        <v>0.99999999999999989</v>
      </c>
      <c r="L31" s="235">
        <f t="shared" si="9"/>
        <v>1.0000000000000002</v>
      </c>
      <c r="M31" s="235">
        <f t="shared" si="9"/>
        <v>0.99999999999999989</v>
      </c>
      <c r="N31" s="235">
        <f t="shared" si="9"/>
        <v>1</v>
      </c>
      <c r="O31" s="235">
        <f t="shared" si="9"/>
        <v>1.0000000000000002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0.99999999999999989</v>
      </c>
      <c r="T31" s="235">
        <f t="shared" si="10"/>
        <v>1</v>
      </c>
      <c r="U31" s="235">
        <f t="shared" si="10"/>
        <v>0.99999999999999989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0.99999999999999978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3.6404565637487292E-2</v>
      </c>
      <c r="C32" s="244">
        <f t="shared" si="12"/>
        <v>3.628318825740133E-2</v>
      </c>
      <c r="D32" s="244">
        <f t="shared" si="12"/>
        <v>3.9886865388720889E-2</v>
      </c>
      <c r="E32" s="244">
        <f t="shared" si="12"/>
        <v>3.788664127788121E-2</v>
      </c>
      <c r="F32" s="244">
        <f t="shared" si="12"/>
        <v>3.3499428969258692E-2</v>
      </c>
      <c r="G32" s="244">
        <f t="shared" si="12"/>
        <v>3.1602892070769543E-2</v>
      </c>
      <c r="H32" s="244">
        <f t="shared" si="12"/>
        <v>3.3649709257656445E-2</v>
      </c>
      <c r="I32" s="244">
        <f t="shared" si="12"/>
        <v>3.3736342834487461E-2</v>
      </c>
      <c r="J32" s="244">
        <f t="shared" si="12"/>
        <v>3.1715044017032401E-2</v>
      </c>
      <c r="K32" s="244">
        <f t="shared" si="12"/>
        <v>3.2492384012580498E-2</v>
      </c>
      <c r="L32" s="244">
        <f t="shared" si="12"/>
        <v>2.9438249208286617E-2</v>
      </c>
      <c r="M32" s="244">
        <f t="shared" si="12"/>
        <v>2.7183853952313368E-2</v>
      </c>
      <c r="N32" s="244">
        <f t="shared" si="12"/>
        <v>2.7876783987615908E-2</v>
      </c>
      <c r="O32" s="244">
        <f t="shared" si="12"/>
        <v>2.7521178460117039E-2</v>
      </c>
      <c r="P32" s="244">
        <f t="shared" si="12"/>
        <v>2.8704442271427464E-2</v>
      </c>
      <c r="Q32" s="244">
        <f t="shared" si="12"/>
        <v>2.5490758527104165E-2</v>
      </c>
      <c r="R32" s="244">
        <f t="shared" si="12"/>
        <v>2.4873675255090013E-2</v>
      </c>
      <c r="S32" s="244">
        <f t="shared" si="12"/>
        <v>2.7060372758704432E-2</v>
      </c>
      <c r="T32" s="244">
        <f t="shared" si="12"/>
        <v>2.614861988411174E-2</v>
      </c>
      <c r="U32" s="244">
        <f t="shared" si="12"/>
        <v>3.1532467731409358E-2</v>
      </c>
      <c r="V32" s="244">
        <f t="shared" si="12"/>
        <v>2.6952731190202223E-2</v>
      </c>
      <c r="W32" s="244">
        <f t="shared" si="12"/>
        <v>2.5018069275557529E-2</v>
      </c>
      <c r="X32" s="244">
        <f t="shared" si="12"/>
        <v>2.3651599013521034E-2</v>
      </c>
      <c r="Y32" s="244">
        <f t="shared" si="12"/>
        <v>2.4968855919174103E-2</v>
      </c>
      <c r="DA32" s="275"/>
    </row>
    <row r="33" spans="1:105" x14ac:dyDescent="0.25">
      <c r="A33" s="240" t="s">
        <v>124</v>
      </c>
      <c r="B33" s="245">
        <f t="shared" ref="B33:Y33" si="13">IF(B$7=0,0,B$7/B$5)</f>
        <v>2.3662967664366732E-2</v>
      </c>
      <c r="C33" s="245">
        <f t="shared" si="13"/>
        <v>2.3584072367310856E-2</v>
      </c>
      <c r="D33" s="245">
        <f t="shared" si="13"/>
        <v>2.5926462502668581E-2</v>
      </c>
      <c r="E33" s="245">
        <f t="shared" si="13"/>
        <v>2.4626316830622771E-2</v>
      </c>
      <c r="F33" s="245">
        <f t="shared" si="13"/>
        <v>2.1774628830018142E-2</v>
      </c>
      <c r="G33" s="245">
        <f t="shared" si="13"/>
        <v>2.0541879846000203E-2</v>
      </c>
      <c r="H33" s="245">
        <f t="shared" si="13"/>
        <v>2.1872311017476678E-2</v>
      </c>
      <c r="I33" s="245">
        <f t="shared" si="13"/>
        <v>2.1928622842416846E-2</v>
      </c>
      <c r="J33" s="245">
        <f t="shared" si="13"/>
        <v>2.0614778611071055E-2</v>
      </c>
      <c r="K33" s="245">
        <f t="shared" si="13"/>
        <v>2.1120049608177323E-2</v>
      </c>
      <c r="L33" s="245">
        <f t="shared" si="13"/>
        <v>1.9134861985386286E-2</v>
      </c>
      <c r="M33" s="245">
        <f t="shared" si="13"/>
        <v>1.7669505069003687E-2</v>
      </c>
      <c r="N33" s="245">
        <f t="shared" si="13"/>
        <v>1.8119909591950346E-2</v>
      </c>
      <c r="O33" s="245">
        <f t="shared" si="13"/>
        <v>1.7888765999076076E-2</v>
      </c>
      <c r="P33" s="245">
        <f t="shared" si="13"/>
        <v>1.8657887476427847E-2</v>
      </c>
      <c r="Q33" s="245">
        <f t="shared" si="13"/>
        <v>1.6568993042617702E-2</v>
      </c>
      <c r="R33" s="245">
        <f t="shared" si="13"/>
        <v>1.61678889158085E-2</v>
      </c>
      <c r="S33" s="245">
        <f t="shared" si="13"/>
        <v>1.7589242293157878E-2</v>
      </c>
      <c r="T33" s="245">
        <f t="shared" si="13"/>
        <v>1.6996602924672623E-2</v>
      </c>
      <c r="U33" s="245">
        <f t="shared" si="13"/>
        <v>2.0496104025416084E-2</v>
      </c>
      <c r="V33" s="245">
        <f t="shared" si="13"/>
        <v>1.7519275273631441E-2</v>
      </c>
      <c r="W33" s="245">
        <f t="shared" si="13"/>
        <v>1.626174502911238E-2</v>
      </c>
      <c r="X33" s="245">
        <f t="shared" si="13"/>
        <v>1.5373539358788671E-2</v>
      </c>
      <c r="Y33" s="245">
        <f t="shared" si="13"/>
        <v>1.6229756347463164E-2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3.276410907373855E-2</v>
      </c>
      <c r="C34" s="245">
        <f t="shared" si="14"/>
        <v>3.2654869431661189E-2</v>
      </c>
      <c r="D34" s="245">
        <f t="shared" si="14"/>
        <v>3.5898178849848798E-2</v>
      </c>
      <c r="E34" s="245">
        <f t="shared" si="14"/>
        <v>3.4097977150093078E-2</v>
      </c>
      <c r="F34" s="245">
        <f t="shared" si="14"/>
        <v>3.0149486072332813E-2</v>
      </c>
      <c r="G34" s="245">
        <f t="shared" si="14"/>
        <v>2.8442602863692584E-2</v>
      </c>
      <c r="H34" s="245">
        <f t="shared" si="14"/>
        <v>3.0284738331890781E-2</v>
      </c>
      <c r="I34" s="245">
        <f t="shared" si="14"/>
        <v>3.036270855103871E-2</v>
      </c>
      <c r="J34" s="245">
        <f t="shared" si="14"/>
        <v>2.8543539615329152E-2</v>
      </c>
      <c r="K34" s="245">
        <f t="shared" si="14"/>
        <v>2.9243145611322449E-2</v>
      </c>
      <c r="L34" s="245">
        <f t="shared" si="14"/>
        <v>2.6494424287457952E-2</v>
      </c>
      <c r="M34" s="245">
        <f t="shared" si="14"/>
        <v>2.4465468557082037E-2</v>
      </c>
      <c r="N34" s="245">
        <f t="shared" si="14"/>
        <v>2.508910558885432E-2</v>
      </c>
      <c r="O34" s="245">
        <f t="shared" si="14"/>
        <v>2.4769060614105328E-2</v>
      </c>
      <c r="P34" s="245">
        <f t="shared" si="14"/>
        <v>2.5833998044284705E-2</v>
      </c>
      <c r="Q34" s="245">
        <f t="shared" si="14"/>
        <v>2.294168267439374E-2</v>
      </c>
      <c r="R34" s="245">
        <f t="shared" si="14"/>
        <v>2.2386307729581004E-2</v>
      </c>
      <c r="S34" s="245">
        <f t="shared" si="14"/>
        <v>2.4354335482833982E-2</v>
      </c>
      <c r="T34" s="245">
        <f t="shared" si="14"/>
        <v>2.3533757895700551E-2</v>
      </c>
      <c r="U34" s="245">
        <f t="shared" si="14"/>
        <v>2.8379220958268416E-2</v>
      </c>
      <c r="V34" s="245">
        <f t="shared" si="14"/>
        <v>2.4257458071181993E-2</v>
      </c>
      <c r="W34" s="245">
        <f t="shared" si="14"/>
        <v>2.2516262348001768E-2</v>
      </c>
      <c r="X34" s="245">
        <f t="shared" si="14"/>
        <v>2.1286439112168935E-2</v>
      </c>
      <c r="Y34" s="245">
        <f t="shared" si="14"/>
        <v>2.2471970327256688E-2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0.22666144800360932</v>
      </c>
      <c r="C35" s="246">
        <f t="shared" si="15"/>
        <v>0.22192458323542688</v>
      </c>
      <c r="D35" s="246">
        <f t="shared" si="15"/>
        <v>0.23021294323829083</v>
      </c>
      <c r="E35" s="246">
        <f t="shared" si="15"/>
        <v>0.22578026483161429</v>
      </c>
      <c r="F35" s="246">
        <f t="shared" si="15"/>
        <v>0.21180731635781272</v>
      </c>
      <c r="G35" s="246">
        <f t="shared" si="15"/>
        <v>0.21180401881079733</v>
      </c>
      <c r="H35" s="246">
        <f t="shared" si="15"/>
        <v>0.21358247344509709</v>
      </c>
      <c r="I35" s="246">
        <f t="shared" si="15"/>
        <v>0.21605288392847991</v>
      </c>
      <c r="J35" s="246">
        <f t="shared" si="15"/>
        <v>0.21434197464275206</v>
      </c>
      <c r="K35" s="246">
        <f t="shared" si="15"/>
        <v>0.21305324690838259</v>
      </c>
      <c r="L35" s="246">
        <f t="shared" si="15"/>
        <v>0.21088415022339338</v>
      </c>
      <c r="M35" s="246">
        <f t="shared" si="15"/>
        <v>0.21279031308095667</v>
      </c>
      <c r="N35" s="246">
        <f t="shared" si="15"/>
        <v>0.2054950462137273</v>
      </c>
      <c r="O35" s="246">
        <f t="shared" si="15"/>
        <v>0.20644981741930857</v>
      </c>
      <c r="P35" s="246">
        <f t="shared" si="15"/>
        <v>0.20189532863435961</v>
      </c>
      <c r="Q35" s="246">
        <f t="shared" si="15"/>
        <v>0.20768489968839701</v>
      </c>
      <c r="R35" s="246">
        <f t="shared" si="15"/>
        <v>0.20791363238192592</v>
      </c>
      <c r="S35" s="246">
        <f t="shared" si="15"/>
        <v>0.20782404775663685</v>
      </c>
      <c r="T35" s="246">
        <f t="shared" si="15"/>
        <v>0.2076425459013656</v>
      </c>
      <c r="U35" s="246">
        <f t="shared" si="15"/>
        <v>0.20675240435348621</v>
      </c>
      <c r="V35" s="246">
        <f t="shared" si="15"/>
        <v>0.2076529690427166</v>
      </c>
      <c r="W35" s="246">
        <f t="shared" si="15"/>
        <v>0.20986742374410061</v>
      </c>
      <c r="X35" s="246">
        <f t="shared" si="15"/>
        <v>0.21499463093344007</v>
      </c>
      <c r="Y35" s="246">
        <f t="shared" si="15"/>
        <v>0.21459368714685315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0.19366646272215279</v>
      </c>
      <c r="C36" s="259">
        <f t="shared" si="16"/>
        <v>0.20679178807172821</v>
      </c>
      <c r="D36" s="259">
        <f t="shared" si="16"/>
        <v>0.19917537711894728</v>
      </c>
      <c r="E36" s="259">
        <f t="shared" si="16"/>
        <v>0.20744273993170154</v>
      </c>
      <c r="F36" s="259">
        <f t="shared" si="16"/>
        <v>0.21420860621210025</v>
      </c>
      <c r="G36" s="259">
        <f t="shared" si="16"/>
        <v>0.21927801540569994</v>
      </c>
      <c r="H36" s="259">
        <f t="shared" si="16"/>
        <v>0.22334412577634047</v>
      </c>
      <c r="I36" s="259">
        <f t="shared" si="16"/>
        <v>0.22219836154196348</v>
      </c>
      <c r="J36" s="259">
        <f t="shared" si="16"/>
        <v>0.22578987279233609</v>
      </c>
      <c r="K36" s="259">
        <f t="shared" si="16"/>
        <v>0.22313523060887847</v>
      </c>
      <c r="L36" s="259">
        <f t="shared" si="16"/>
        <v>0.2264233407114461</v>
      </c>
      <c r="M36" s="259">
        <f t="shared" si="16"/>
        <v>0.21563480866532689</v>
      </c>
      <c r="N36" s="259">
        <f t="shared" si="16"/>
        <v>0.22318705763057503</v>
      </c>
      <c r="O36" s="259">
        <f t="shared" si="16"/>
        <v>0.23219003434680702</v>
      </c>
      <c r="P36" s="259">
        <f t="shared" si="16"/>
        <v>0.23612305814257686</v>
      </c>
      <c r="Q36" s="259">
        <f t="shared" si="16"/>
        <v>0.22119634852472447</v>
      </c>
      <c r="R36" s="259">
        <f t="shared" si="16"/>
        <v>0.22114379666550055</v>
      </c>
      <c r="S36" s="259">
        <f t="shared" si="16"/>
        <v>0.21635578177024831</v>
      </c>
      <c r="T36" s="259">
        <f t="shared" si="16"/>
        <v>0.22318899524564073</v>
      </c>
      <c r="U36" s="259">
        <f t="shared" si="16"/>
        <v>0.21482936554466839</v>
      </c>
      <c r="V36" s="259">
        <f t="shared" si="16"/>
        <v>0.21868177831393906</v>
      </c>
      <c r="W36" s="259">
        <f t="shared" si="16"/>
        <v>0.21376416383452382</v>
      </c>
      <c r="X36" s="259">
        <f t="shared" si="16"/>
        <v>0.20882394644941135</v>
      </c>
      <c r="Y36" s="259">
        <f t="shared" si="16"/>
        <v>0.21171219770570529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0.36043463631165751</v>
      </c>
      <c r="C37" s="259">
        <f t="shared" si="17"/>
        <v>0.35013092198191875</v>
      </c>
      <c r="D37" s="259">
        <f t="shared" si="17"/>
        <v>0.33290414411289071</v>
      </c>
      <c r="E37" s="259">
        <f t="shared" si="17"/>
        <v>0.33748193759861062</v>
      </c>
      <c r="F37" s="259">
        <f t="shared" si="17"/>
        <v>0.3653249637444772</v>
      </c>
      <c r="G37" s="259">
        <f t="shared" si="17"/>
        <v>0.3687674073667252</v>
      </c>
      <c r="H37" s="259">
        <f t="shared" si="17"/>
        <v>0.3519074194337854</v>
      </c>
      <c r="I37" s="259">
        <f t="shared" si="17"/>
        <v>0.35036977344674436</v>
      </c>
      <c r="J37" s="259">
        <f t="shared" si="17"/>
        <v>0.35790552675194781</v>
      </c>
      <c r="K37" s="259">
        <f t="shared" si="17"/>
        <v>0.35847230831064425</v>
      </c>
      <c r="L37" s="259">
        <f t="shared" si="17"/>
        <v>0.37199213115612095</v>
      </c>
      <c r="M37" s="259">
        <f t="shared" si="17"/>
        <v>0.39421958296586607</v>
      </c>
      <c r="N37" s="259">
        <f t="shared" si="17"/>
        <v>0.38904672311429478</v>
      </c>
      <c r="O37" s="259">
        <f t="shared" si="17"/>
        <v>0.37913700582561799</v>
      </c>
      <c r="P37" s="259">
        <f t="shared" si="17"/>
        <v>0.37308638845914827</v>
      </c>
      <c r="Q37" s="259">
        <f t="shared" si="17"/>
        <v>0.40116023739274631</v>
      </c>
      <c r="R37" s="259">
        <f t="shared" si="17"/>
        <v>0.40407957119621463</v>
      </c>
      <c r="S37" s="259">
        <f t="shared" si="17"/>
        <v>0.39894374016280687</v>
      </c>
      <c r="T37" s="259">
        <f t="shared" si="17"/>
        <v>0.39553773400022935</v>
      </c>
      <c r="U37" s="259">
        <f t="shared" si="17"/>
        <v>0.37947463852649144</v>
      </c>
      <c r="V37" s="259">
        <f t="shared" si="17"/>
        <v>0.39688007055546132</v>
      </c>
      <c r="W37" s="259">
        <f t="shared" si="17"/>
        <v>0.41020150051098342</v>
      </c>
      <c r="X37" s="259">
        <f t="shared" si="17"/>
        <v>0.41779616595790231</v>
      </c>
      <c r="Y37" s="259">
        <f t="shared" si="17"/>
        <v>0.40816757241114082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3.7214624775144041E-2</v>
      </c>
      <c r="C38" s="259">
        <f t="shared" si="18"/>
        <v>3.973676542391967E-2</v>
      </c>
      <c r="D38" s="259">
        <f t="shared" si="18"/>
        <v>3.8273208586266858E-2</v>
      </c>
      <c r="E38" s="259">
        <f t="shared" si="18"/>
        <v>3.9861851248667472E-2</v>
      </c>
      <c r="F38" s="259">
        <f t="shared" si="18"/>
        <v>4.1161968839316457E-2</v>
      </c>
      <c r="G38" s="259">
        <f t="shared" si="18"/>
        <v>4.2136098062929818E-2</v>
      </c>
      <c r="H38" s="259">
        <f t="shared" si="18"/>
        <v>4.2917435056494896E-2</v>
      </c>
      <c r="I38" s="259">
        <f t="shared" si="18"/>
        <v>4.2697266910375072E-2</v>
      </c>
      <c r="J38" s="259">
        <f t="shared" si="18"/>
        <v>4.3387405727802024E-2</v>
      </c>
      <c r="K38" s="259">
        <f t="shared" si="18"/>
        <v>4.2877294109192159E-2</v>
      </c>
      <c r="L38" s="259">
        <f t="shared" si="18"/>
        <v>4.3509131867606576E-2</v>
      </c>
      <c r="M38" s="259">
        <f t="shared" si="18"/>
        <v>4.1436025526283289E-2</v>
      </c>
      <c r="N38" s="259">
        <f t="shared" si="18"/>
        <v>4.2887253103323295E-2</v>
      </c>
      <c r="O38" s="259">
        <f t="shared" si="18"/>
        <v>4.4617250107681278E-2</v>
      </c>
      <c r="P38" s="259">
        <f t="shared" si="18"/>
        <v>4.5373013406778011E-2</v>
      </c>
      <c r="Q38" s="259">
        <f t="shared" si="18"/>
        <v>4.2504721758611468E-2</v>
      </c>
      <c r="R38" s="259">
        <f t="shared" si="18"/>
        <v>4.2494623480908836E-2</v>
      </c>
      <c r="S38" s="259">
        <f t="shared" si="18"/>
        <v>4.1574566516785677E-2</v>
      </c>
      <c r="T38" s="259">
        <f t="shared" si="18"/>
        <v>4.2887625432205728E-2</v>
      </c>
      <c r="U38" s="259">
        <f t="shared" si="18"/>
        <v>4.1281252918307136E-2</v>
      </c>
      <c r="V38" s="259">
        <f t="shared" si="18"/>
        <v>4.2021526136871899E-2</v>
      </c>
      <c r="W38" s="259">
        <f t="shared" si="18"/>
        <v>4.1076565532604505E-2</v>
      </c>
      <c r="X38" s="259">
        <f t="shared" si="18"/>
        <v>4.012726159164097E-2</v>
      </c>
      <c r="Y38" s="259">
        <f t="shared" si="18"/>
        <v>4.0682263140430157E-2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3.6404565637487292E-2</v>
      </c>
      <c r="C39" s="259">
        <f t="shared" si="19"/>
        <v>3.628318825740133E-2</v>
      </c>
      <c r="D39" s="259">
        <f t="shared" si="19"/>
        <v>3.9886865388720889E-2</v>
      </c>
      <c r="E39" s="259">
        <f t="shared" si="19"/>
        <v>3.788664127788121E-2</v>
      </c>
      <c r="F39" s="259">
        <f t="shared" si="19"/>
        <v>3.3499428969258692E-2</v>
      </c>
      <c r="G39" s="259">
        <f t="shared" si="19"/>
        <v>3.1602892070769543E-2</v>
      </c>
      <c r="H39" s="259">
        <f t="shared" si="19"/>
        <v>3.3649709257656445E-2</v>
      </c>
      <c r="I39" s="259">
        <f t="shared" si="19"/>
        <v>3.3736342834487461E-2</v>
      </c>
      <c r="J39" s="259">
        <f t="shared" si="19"/>
        <v>3.1715044017032401E-2</v>
      </c>
      <c r="K39" s="259">
        <f t="shared" si="19"/>
        <v>3.2492384012580498E-2</v>
      </c>
      <c r="L39" s="259">
        <f t="shared" si="19"/>
        <v>2.9438249208286617E-2</v>
      </c>
      <c r="M39" s="259">
        <f t="shared" si="19"/>
        <v>2.7183853952313368E-2</v>
      </c>
      <c r="N39" s="259">
        <f t="shared" si="19"/>
        <v>2.7876783987615908E-2</v>
      </c>
      <c r="O39" s="259">
        <f t="shared" si="19"/>
        <v>2.7521178460117039E-2</v>
      </c>
      <c r="P39" s="259">
        <f t="shared" si="19"/>
        <v>2.8704442271427464E-2</v>
      </c>
      <c r="Q39" s="259">
        <f t="shared" si="19"/>
        <v>2.5490758527104165E-2</v>
      </c>
      <c r="R39" s="259">
        <f t="shared" si="19"/>
        <v>2.4873675255090013E-2</v>
      </c>
      <c r="S39" s="259">
        <f t="shared" si="19"/>
        <v>2.7060372758704432E-2</v>
      </c>
      <c r="T39" s="259">
        <f t="shared" si="19"/>
        <v>2.614861988411174E-2</v>
      </c>
      <c r="U39" s="259">
        <f t="shared" si="19"/>
        <v>3.1532467731409358E-2</v>
      </c>
      <c r="V39" s="259">
        <f t="shared" si="19"/>
        <v>2.6952731190202223E-2</v>
      </c>
      <c r="W39" s="259">
        <f t="shared" si="19"/>
        <v>2.5018069275557529E-2</v>
      </c>
      <c r="X39" s="259">
        <f t="shared" si="19"/>
        <v>2.3651599013521034E-2</v>
      </c>
      <c r="Y39" s="259">
        <f t="shared" si="19"/>
        <v>2.4968855919174103E-2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5.2786620174356542E-2</v>
      </c>
      <c r="C40" s="261">
        <f t="shared" si="20"/>
        <v>5.2610622973231908E-2</v>
      </c>
      <c r="D40" s="261">
        <f t="shared" si="20"/>
        <v>5.7835954813645299E-2</v>
      </c>
      <c r="E40" s="261">
        <f t="shared" si="20"/>
        <v>5.4935629852927742E-2</v>
      </c>
      <c r="F40" s="261">
        <f t="shared" si="20"/>
        <v>4.8574172005425097E-2</v>
      </c>
      <c r="G40" s="261">
        <f t="shared" si="20"/>
        <v>4.5824193502615851E-2</v>
      </c>
      <c r="H40" s="261">
        <f t="shared" si="20"/>
        <v>4.879207842360183E-2</v>
      </c>
      <c r="I40" s="261">
        <f t="shared" si="20"/>
        <v>4.8917697110006819E-2</v>
      </c>
      <c r="J40" s="261">
        <f t="shared" si="20"/>
        <v>4.5986813824696965E-2</v>
      </c>
      <c r="K40" s="261">
        <f t="shared" si="20"/>
        <v>4.7113956818241716E-2</v>
      </c>
      <c r="L40" s="261">
        <f t="shared" si="20"/>
        <v>4.2685461352015591E-2</v>
      </c>
      <c r="M40" s="261">
        <f t="shared" si="20"/>
        <v>3.9416588230854387E-2</v>
      </c>
      <c r="N40" s="261">
        <f t="shared" si="20"/>
        <v>4.0421336782043078E-2</v>
      </c>
      <c r="O40" s="261">
        <f t="shared" si="20"/>
        <v>3.9905708767169722E-2</v>
      </c>
      <c r="P40" s="261">
        <f t="shared" si="20"/>
        <v>4.1621441293569816E-2</v>
      </c>
      <c r="Q40" s="261">
        <f t="shared" si="20"/>
        <v>3.6961599864301045E-2</v>
      </c>
      <c r="R40" s="261">
        <f t="shared" si="20"/>
        <v>3.6066829119880517E-2</v>
      </c>
      <c r="S40" s="261">
        <f t="shared" si="20"/>
        <v>3.9237540500121439E-2</v>
      </c>
      <c r="T40" s="261">
        <f t="shared" si="20"/>
        <v>3.7915498831962005E-2</v>
      </c>
      <c r="U40" s="261">
        <f t="shared" si="20"/>
        <v>4.5722078210543554E-2</v>
      </c>
      <c r="V40" s="261">
        <f t="shared" si="20"/>
        <v>3.908146022579323E-2</v>
      </c>
      <c r="W40" s="261">
        <f t="shared" si="20"/>
        <v>3.6276200449558406E-2</v>
      </c>
      <c r="X40" s="261">
        <f t="shared" si="20"/>
        <v>3.4294818569605506E-2</v>
      </c>
      <c r="Y40" s="261">
        <f t="shared" si="20"/>
        <v>3.6204841082802454E-2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112.47171201628666</v>
      </c>
      <c r="C44" s="236">
        <f t="shared" si="21"/>
        <v>109.81942433546168</v>
      </c>
      <c r="D44" s="236">
        <f t="shared" si="21"/>
        <v>113.80906613357635</v>
      </c>
      <c r="E44" s="236">
        <f t="shared" si="21"/>
        <v>119.53787119840247</v>
      </c>
      <c r="F44" s="236">
        <f t="shared" si="21"/>
        <v>117.30616060932356</v>
      </c>
      <c r="G44" s="236">
        <f t="shared" si="21"/>
        <v>134.29403412451347</v>
      </c>
      <c r="H44" s="236">
        <f t="shared" si="21"/>
        <v>130.05722800154632</v>
      </c>
      <c r="I44" s="236">
        <f t="shared" si="21"/>
        <v>117.81469406104159</v>
      </c>
      <c r="J44" s="236">
        <f t="shared" si="21"/>
        <v>123.49619118298851</v>
      </c>
      <c r="K44" s="236">
        <f t="shared" si="21"/>
        <v>137.83360398812144</v>
      </c>
      <c r="L44" s="236">
        <f t="shared" si="21"/>
        <v>128.47617233393538</v>
      </c>
      <c r="M44" s="236">
        <f t="shared" si="21"/>
        <v>116.02131221383357</v>
      </c>
      <c r="N44" s="236">
        <f t="shared" si="21"/>
        <v>118.31216844961233</v>
      </c>
      <c r="O44" s="236">
        <f t="shared" si="21"/>
        <v>117.89482713876831</v>
      </c>
      <c r="P44" s="236">
        <f t="shared" si="21"/>
        <v>114.21265320772916</v>
      </c>
      <c r="Q44" s="236">
        <f t="shared" si="21"/>
        <v>116.67728719019783</v>
      </c>
      <c r="R44" s="236">
        <f t="shared" si="21"/>
        <v>118.41249825520165</v>
      </c>
      <c r="S44" s="236">
        <f t="shared" si="21"/>
        <v>109.25986032686181</v>
      </c>
      <c r="T44" s="236">
        <f t="shared" si="21"/>
        <v>115.03952384499107</v>
      </c>
      <c r="U44" s="236">
        <f t="shared" si="21"/>
        <v>114.31053707016733</v>
      </c>
      <c r="V44" s="236">
        <f t="shared" si="21"/>
        <v>121.02278233994656</v>
      </c>
      <c r="W44" s="236">
        <f t="shared" si="21"/>
        <v>115.61293230102244</v>
      </c>
      <c r="X44" s="236">
        <f t="shared" si="21"/>
        <v>98.926512660278419</v>
      </c>
      <c r="Y44" s="236">
        <f t="shared" si="21"/>
        <v>101.37891512464498</v>
      </c>
      <c r="DA44" s="280"/>
    </row>
    <row r="45" spans="1:105" x14ac:dyDescent="0.25">
      <c r="A45" s="238" t="s">
        <v>125</v>
      </c>
      <c r="B45" s="247">
        <f>IF(B$6=0,0,B$6/AGR!B$5*1000)</f>
        <v>4.0944838224574758</v>
      </c>
      <c r="C45" s="247">
        <f>IF(C$6=0,0,C$6/AGR!C$5*1000)</f>
        <v>3.9845988474829968</v>
      </c>
      <c r="D45" s="247">
        <f>IF(D$6=0,0,D$6/AGR!D$5*1000)</f>
        <v>4.5394869008859926</v>
      </c>
      <c r="E45" s="247">
        <f>IF(E$6=0,0,E$6/AGR!E$5*1000)</f>
        <v>4.5288884452154425</v>
      </c>
      <c r="F45" s="247">
        <f>IF(F$6=0,0,F$6/AGR!F$5*1000)</f>
        <v>3.9296893949884857</v>
      </c>
      <c r="G45" s="247">
        <f>IF(G$6=0,0,G$6/AGR!G$5*1000)</f>
        <v>4.2440798661852419</v>
      </c>
      <c r="H45" s="247">
        <f>IF(H$6=0,0,H$6/AGR!H$5*1000)</f>
        <v>4.3763879091087672</v>
      </c>
      <c r="I45" s="247">
        <f>IF(I$6=0,0,I$6/AGR!I$5*1000)</f>
        <v>3.9746369097835523</v>
      </c>
      <c r="J45" s="247">
        <f>IF(J$6=0,0,J$6/AGR!J$5*1000)</f>
        <v>3.916687139304329</v>
      </c>
      <c r="K45" s="247">
        <f>IF(K$6=0,0,K$6/AGR!K$5*1000)</f>
        <v>4.4785423906199888</v>
      </c>
      <c r="L45" s="247">
        <f>IF(L$6=0,0,L$6/AGR!L$5*1000)</f>
        <v>3.7821135784931679</v>
      </c>
      <c r="M45" s="247">
        <f>IF(M$6=0,0,M$6/AGR!M$5*1000)</f>
        <v>3.1539064065766036</v>
      </c>
      <c r="N45" s="247">
        <f>IF(N$6=0,0,N$6/AGR!N$5*1000)</f>
        <v>3.2981627629762693</v>
      </c>
      <c r="O45" s="247">
        <f>IF(O$6=0,0,O$6/AGR!O$5*1000)</f>
        <v>3.244604577210692</v>
      </c>
      <c r="P45" s="247">
        <f>IF(P$6=0,0,P$6/AGR!P$5*1000)</f>
        <v>3.2784105106678263</v>
      </c>
      <c r="Q45" s="247">
        <f>IF(Q$6=0,0,Q$6/AGR!Q$5*1000)</f>
        <v>2.9741925533629172</v>
      </c>
      <c r="R45" s="247">
        <f>IF(R$6=0,0,R$6/AGR!R$5*1000)</f>
        <v>2.9453540277437984</v>
      </c>
      <c r="S45" s="247">
        <f>IF(S$6=0,0,S$6/AGR!S$5*1000)</f>
        <v>2.9566125480088625</v>
      </c>
      <c r="T45" s="247">
        <f>IF(T$6=0,0,T$6/AGR!T$5*1000)</f>
        <v>3.00812478067188</v>
      </c>
      <c r="U45" s="247">
        <f>IF(U$6=0,0,U$6/AGR!U$5*1000)</f>
        <v>3.6044933215251254</v>
      </c>
      <c r="V45" s="247">
        <f>IF(V$6=0,0,V$6/AGR!V$5*1000)</f>
        <v>3.2618945202989322</v>
      </c>
      <c r="W45" s="247">
        <f>IF(W$6=0,0,W$6/AGR!W$5*1000)</f>
        <v>2.8924123494573224</v>
      </c>
      <c r="X45" s="247">
        <f>IF(X$6=0,0,X$6/AGR!X$5*1000)</f>
        <v>2.3397702092469173</v>
      </c>
      <c r="Y45" s="247">
        <f>IF(Y$6=0,0,Y$6/AGR!Y$5*1000)</f>
        <v>2.5313155249894415</v>
      </c>
      <c r="DA45" s="281"/>
    </row>
    <row r="46" spans="1:105" x14ac:dyDescent="0.25">
      <c r="A46" s="240" t="s">
        <v>124</v>
      </c>
      <c r="B46" s="248">
        <f>IF(B$7=0,0,B$7/AGR!B$5*1000)</f>
        <v>2.6614144845973584</v>
      </c>
      <c r="C46" s="248">
        <f>IF(C$7=0,0,C$7/AGR!C$5*1000)</f>
        <v>2.5899892508639466</v>
      </c>
      <c r="D46" s="248">
        <f>IF(D$7=0,0,D$7/AGR!D$5*1000)</f>
        <v>2.9506664855758946</v>
      </c>
      <c r="E46" s="248">
        <f>IF(E$7=0,0,E$7/AGR!E$5*1000)</f>
        <v>2.9437774893900364</v>
      </c>
      <c r="F46" s="248">
        <f>IF(F$7=0,0,F$7/AGR!F$5*1000)</f>
        <v>2.5542981067425146</v>
      </c>
      <c r="G46" s="248">
        <f>IF(G$7=0,0,G$7/AGR!G$5*1000)</f>
        <v>2.7586519130204072</v>
      </c>
      <c r="H46" s="248">
        <f>IF(H$7=0,0,H$7/AGR!H$5*1000)</f>
        <v>2.8446521409206977</v>
      </c>
      <c r="I46" s="248">
        <f>IF(I$7=0,0,I$7/AGR!I$5*1000)</f>
        <v>2.5835139913593088</v>
      </c>
      <c r="J46" s="248">
        <f>IF(J$7=0,0,J$7/AGR!J$5*1000)</f>
        <v>2.5458466405478131</v>
      </c>
      <c r="K46" s="248">
        <f>IF(K$7=0,0,K$7/AGR!K$5*1000)</f>
        <v>2.911052553902993</v>
      </c>
      <c r="L46" s="248">
        <f>IF(L$7=0,0,L$7/AGR!L$5*1000)</f>
        <v>2.4583738260205572</v>
      </c>
      <c r="M46" s="248">
        <f>IF(M$7=0,0,M$7/AGR!M$5*1000)</f>
        <v>2.0500391642747919</v>
      </c>
      <c r="N46" s="248">
        <f>IF(N$7=0,0,N$7/AGR!N$5*1000)</f>
        <v>2.1438057959345755</v>
      </c>
      <c r="O46" s="248">
        <f>IF(O$7=0,0,O$7/AGR!O$5*1000)</f>
        <v>2.1089929751869496</v>
      </c>
      <c r="P46" s="248">
        <f>IF(P$7=0,0,P$7/AGR!P$5*1000)</f>
        <v>2.1309668319340864</v>
      </c>
      <c r="Q46" s="248">
        <f>IF(Q$7=0,0,Q$7/AGR!Q$5*1000)</f>
        <v>1.9332251596858956</v>
      </c>
      <c r="R46" s="248">
        <f>IF(R$7=0,0,R$7/AGR!R$5*1000)</f>
        <v>1.9144801180334681</v>
      </c>
      <c r="S46" s="248">
        <f>IF(S$7=0,0,S$7/AGR!S$5*1000)</f>
        <v>1.9217981562057604</v>
      </c>
      <c r="T46" s="248">
        <f>IF(T$7=0,0,T$7/AGR!T$5*1000)</f>
        <v>1.9552811074367211</v>
      </c>
      <c r="U46" s="248">
        <f>IF(U$7=0,0,U$7/AGR!U$5*1000)</f>
        <v>2.3429206589913312</v>
      </c>
      <c r="V46" s="248">
        <f>IF(V$7=0,0,V$7/AGR!V$5*1000)</f>
        <v>2.1202314381943057</v>
      </c>
      <c r="W46" s="248">
        <f>IF(W$7=0,0,W$7/AGR!W$5*1000)</f>
        <v>1.8800680271472581</v>
      </c>
      <c r="X46" s="248">
        <f>IF(X$7=0,0,X$7/AGR!X$5*1000)</f>
        <v>1.5208506360104963</v>
      </c>
      <c r="Y46" s="248">
        <f>IF(Y$7=0,0,Y$7/AGR!Y$5*1000)</f>
        <v>1.6453550912431363</v>
      </c>
      <c r="DA46" s="282"/>
    </row>
    <row r="47" spans="1:105" x14ac:dyDescent="0.25">
      <c r="A47" s="240" t="s">
        <v>123</v>
      </c>
      <c r="B47" s="248">
        <f>IF(B$8=0,0,B$8/AGR!B$5*1000)</f>
        <v>3.6850354402117271</v>
      </c>
      <c r="C47" s="248">
        <f>IF(C$8=0,0,C$8/AGR!C$5*1000)</f>
        <v>3.586138962734696</v>
      </c>
      <c r="D47" s="248">
        <f>IF(D$8=0,0,D$8/AGR!D$5*1000)</f>
        <v>4.0855382107973925</v>
      </c>
      <c r="E47" s="248">
        <f>IF(E$8=0,0,E$8/AGR!E$5*1000)</f>
        <v>4.0759996006938968</v>
      </c>
      <c r="F47" s="248">
        <f>IF(F$8=0,0,F$8/AGR!F$5*1000)</f>
        <v>3.5367204554896357</v>
      </c>
      <c r="G47" s="248">
        <f>IF(G$8=0,0,G$8/AGR!G$5*1000)</f>
        <v>3.8196718795667164</v>
      </c>
      <c r="H47" s="248">
        <f>IF(H$8=0,0,H$8/AGR!H$5*1000)</f>
        <v>3.938749118197888</v>
      </c>
      <c r="I47" s="248">
        <f>IF(I$8=0,0,I$8/AGR!I$5*1000)</f>
        <v>3.5771732188051968</v>
      </c>
      <c r="J47" s="248">
        <f>IF(J$8=0,0,J$8/AGR!J$5*1000)</f>
        <v>3.525018425373895</v>
      </c>
      <c r="K47" s="248">
        <f>IF(K$8=0,0,K$8/AGR!K$5*1000)</f>
        <v>4.0306881515579907</v>
      </c>
      <c r="L47" s="248">
        <f>IF(L$8=0,0,L$8/AGR!L$5*1000)</f>
        <v>3.4039022206438507</v>
      </c>
      <c r="M47" s="248">
        <f>IF(M$8=0,0,M$8/AGR!M$5*1000)</f>
        <v>2.8385157659189439</v>
      </c>
      <c r="N47" s="248">
        <f>IF(N$8=0,0,N$8/AGR!N$5*1000)</f>
        <v>2.9683464866786431</v>
      </c>
      <c r="O47" s="248">
        <f>IF(O$8=0,0,O$8/AGR!O$5*1000)</f>
        <v>2.9201441194896218</v>
      </c>
      <c r="P47" s="248">
        <f>IF(P$8=0,0,P$8/AGR!P$5*1000)</f>
        <v>2.9505694596010423</v>
      </c>
      <c r="Q47" s="248">
        <f>IF(Q$8=0,0,Q$8/AGR!Q$5*1000)</f>
        <v>2.6767732980266246</v>
      </c>
      <c r="R47" s="248">
        <f>IF(R$8=0,0,R$8/AGR!R$5*1000)</f>
        <v>2.6508186249694181</v>
      </c>
      <c r="S47" s="248">
        <f>IF(S$8=0,0,S$8/AGR!S$5*1000)</f>
        <v>2.660951293207976</v>
      </c>
      <c r="T47" s="248">
        <f>IF(T$8=0,0,T$8/AGR!T$5*1000)</f>
        <v>2.7073123026046901</v>
      </c>
      <c r="U47" s="248">
        <f>IF(U$8=0,0,U$8/AGR!U$5*1000)</f>
        <v>3.2440439893726118</v>
      </c>
      <c r="V47" s="248">
        <f>IF(V$8=0,0,V$8/AGR!V$5*1000)</f>
        <v>2.9357050682690389</v>
      </c>
      <c r="W47" s="248">
        <f>IF(W$8=0,0,W$8/AGR!W$5*1000)</f>
        <v>2.6031711145115892</v>
      </c>
      <c r="X47" s="248">
        <f>IF(X$8=0,0,X$8/AGR!X$5*1000)</f>
        <v>2.1057931883222261</v>
      </c>
      <c r="Y47" s="248">
        <f>IF(Y$8=0,0,Y$8/AGR!Y$5*1000)</f>
        <v>2.2781839724904964</v>
      </c>
      <c r="DA47" s="282"/>
    </row>
    <row r="48" spans="1:105" x14ac:dyDescent="0.25">
      <c r="A48" s="242" t="s">
        <v>122</v>
      </c>
      <c r="B48" s="249">
        <f>IF(B$9=0,0,B$9/AGR!B$5*1000)</f>
        <v>25.493001105056479</v>
      </c>
      <c r="C48" s="249">
        <f>IF(C$9=0,0,C$9/AGR!C$5*1000)</f>
        <v>24.371629976801827</v>
      </c>
      <c r="D48" s="249">
        <f>IF(D$9=0,0,D$9/AGR!D$5*1000)</f>
        <v>26.200320081811892</v>
      </c>
      <c r="E48" s="249">
        <f>IF(E$9=0,0,E$9/AGR!E$5*1000)</f>
        <v>26.989292216582708</v>
      </c>
      <c r="F48" s="249">
        <f>IF(F$9=0,0,F$9/AGR!F$5*1000)</f>
        <v>24.846303070899378</v>
      </c>
      <c r="G48" s="249">
        <f>IF(G$9=0,0,G$9/AGR!G$5*1000)</f>
        <v>28.444016129886307</v>
      </c>
      <c r="H48" s="249">
        <f>IF(H$9=0,0,H$9/AGR!H$5*1000)</f>
        <v>27.777944445983202</v>
      </c>
      <c r="I48" s="249">
        <f>IF(I$9=0,0,I$9/AGR!I$5*1000)</f>
        <v>25.454204421039588</v>
      </c>
      <c r="J48" s="249">
        <f>IF(J$9=0,0,J$9/AGR!J$5*1000)</f>
        <v>26.470417479020579</v>
      </c>
      <c r="K48" s="249">
        <f>IF(K$9=0,0,K$9/AGR!K$5*1000)</f>
        <v>29.36589686275347</v>
      </c>
      <c r="L48" s="249">
        <f>IF(L$9=0,0,L$9/AGR!L$5*1000)</f>
        <v>27.093588426596206</v>
      </c>
      <c r="M48" s="249">
        <f>IF(M$9=0,0,M$9/AGR!M$5*1000)</f>
        <v>24.688211350045069</v>
      </c>
      <c r="N48" s="249">
        <f>IF(N$9=0,0,N$9/AGR!N$5*1000)</f>
        <v>24.312564523199377</v>
      </c>
      <c r="O48" s="249">
        <f>IF(O$9=0,0,O$9/AGR!O$5*1000)</f>
        <v>24.339365537479654</v>
      </c>
      <c r="P48" s="249">
        <f>IF(P$9=0,0,P$9/AGR!P$5*1000)</f>
        <v>23.059001153576627</v>
      </c>
      <c r="Q48" s="249">
        <f>IF(Q$9=0,0,Q$9/AGR!Q$5*1000)</f>
        <v>24.232110686010529</v>
      </c>
      <c r="R48" s="249">
        <f>IF(R$9=0,0,R$9/AGR!R$5*1000)</f>
        <v>24.619572631657441</v>
      </c>
      <c r="S48" s="249">
        <f>IF(S$9=0,0,S$9/AGR!S$5*1000)</f>
        <v>22.706826430453205</v>
      </c>
      <c r="T48" s="249">
        <f>IF(T$9=0,0,T$9/AGR!T$5*1000)</f>
        <v>23.887099610454797</v>
      </c>
      <c r="U48" s="249">
        <f>IF(U$9=0,0,U$9/AGR!U$5*1000)</f>
        <v>23.633978382195416</v>
      </c>
      <c r="V48" s="249">
        <f>IF(V$9=0,0,V$9/AGR!V$5*1000)</f>
        <v>25.130740074700352</v>
      </c>
      <c r="W48" s="249">
        <f>IF(W$9=0,0,W$9/AGR!W$5*1000)</f>
        <v>24.263388253516695</v>
      </c>
      <c r="X48" s="249">
        <f>IF(X$9=0,0,X$9/AGR!X$5*1000)</f>
        <v>21.268669078928845</v>
      </c>
      <c r="Y48" s="249">
        <f>IF(Y$9=0,0,Y$9/AGR!Y$5*1000)</f>
        <v>21.755275195545448</v>
      </c>
      <c r="DA48" s="283"/>
    </row>
    <row r="49" spans="1:105" x14ac:dyDescent="0.25">
      <c r="A49" s="127" t="s">
        <v>168</v>
      </c>
      <c r="B49" s="262">
        <f>IF(B$16=0,0,B$16/AGR!B$5*1000)</f>
        <v>21.781998622498886</v>
      </c>
      <c r="C49" s="262">
        <f>IF(C$16=0,0,C$16/AGR!C$5*1000)</f>
        <v>22.709755123337981</v>
      </c>
      <c r="D49" s="262">
        <f>IF(D$16=0,0,D$16/AGR!D$5*1000)</f>
        <v>22.667963666710275</v>
      </c>
      <c r="E49" s="262">
        <f>IF(E$16=0,0,E$16/AGR!E$5*1000)</f>
        <v>24.797263526999441</v>
      </c>
      <c r="F49" s="262">
        <f>IF(F$16=0,0,F$16/AGR!F$5*1000)</f>
        <v>25.127989164215972</v>
      </c>
      <c r="G49" s="262">
        <f>IF(G$16=0,0,G$16/AGR!G$5*1000)</f>
        <v>29.447729283648663</v>
      </c>
      <c r="H49" s="262">
        <f>IF(H$16=0,0,H$16/AGR!H$5*1000)</f>
        <v>29.047517888899545</v>
      </c>
      <c r="I49" s="262">
        <f>IF(I$16=0,0,I$16/AGR!I$5*1000)</f>
        <v>26.178231985931134</v>
      </c>
      <c r="J49" s="262">
        <f>IF(J$16=0,0,J$16/AGR!J$5*1000)</f>
        <v>27.884189297544989</v>
      </c>
      <c r="K49" s="262">
        <f>IF(K$16=0,0,K$16/AGR!K$5*1000)</f>
        <v>30.755533011542312</v>
      </c>
      <c r="L49" s="262">
        <f>IF(L$16=0,0,L$16/AGR!L$5*1000)</f>
        <v>29.090004141669112</v>
      </c>
      <c r="M49" s="262">
        <f>IF(M$16=0,0,M$16/AGR!M$5*1000)</f>
        <v>25.018233460330162</v>
      </c>
      <c r="N49" s="262">
        <f>IF(N$16=0,0,N$16/AGR!N$5*1000)</f>
        <v>26.405744758161926</v>
      </c>
      <c r="O49" s="262">
        <f>IF(O$16=0,0,O$16/AGR!O$5*1000)</f>
        <v>27.374003962661487</v>
      </c>
      <c r="P49" s="262">
        <f>IF(P$16=0,0,P$16/AGR!P$5*1000)</f>
        <v>26.968240953986598</v>
      </c>
      <c r="Q49" s="262">
        <f>IF(Q$16=0,0,Q$16/AGR!Q$5*1000)</f>
        <v>25.808589882242369</v>
      </c>
      <c r="R49" s="262">
        <f>IF(R$16=0,0,R$16/AGR!R$5*1000)</f>
        <v>26.186189436802252</v>
      </c>
      <c r="S49" s="262">
        <f>IF(S$16=0,0,S$16/AGR!S$5*1000)</f>
        <v>23.639002497126327</v>
      </c>
      <c r="T49" s="262">
        <f>IF(T$16=0,0,T$16/AGR!T$5*1000)</f>
        <v>25.675555740500482</v>
      </c>
      <c r="U49" s="262">
        <f>IF(U$16=0,0,U$16/AGR!U$5*1000)</f>
        <v>24.557260153854347</v>
      </c>
      <c r="V49" s="262">
        <f>IF(V$16=0,0,V$16/AGR!V$5*1000)</f>
        <v>26.465477258600295</v>
      </c>
      <c r="W49" s="262">
        <f>IF(W$16=0,0,W$16/AGR!W$5*1000)</f>
        <v>24.713901801785475</v>
      </c>
      <c r="X49" s="262">
        <f>IF(X$16=0,0,X$16/AGR!X$5*1000)</f>
        <v>20.658224782196996</v>
      </c>
      <c r="Y49" s="262">
        <f>IF(Y$16=0,0,Y$16/AGR!Y$5*1000)</f>
        <v>21.463152922058757</v>
      </c>
      <c r="DA49" s="284"/>
    </row>
    <row r="50" spans="1:105" x14ac:dyDescent="0.25">
      <c r="A50" s="127" t="s">
        <v>121</v>
      </c>
      <c r="B50" s="262">
        <f>IF(B$17=0,0,B$17/AGR!B$5*1000)</f>
        <v>40.53870061593976</v>
      </c>
      <c r="C50" s="262">
        <f>IF(C$17=0,0,C$17/AGR!C$5*1000)</f>
        <v>38.451176294098758</v>
      </c>
      <c r="D50" s="262">
        <f>IF(D$17=0,0,D$17/AGR!D$5*1000)</f>
        <v>37.887509753485602</v>
      </c>
      <c r="E50" s="262">
        <f>IF(E$17=0,0,E$17/AGR!E$5*1000)</f>
        <v>40.341872388450014</v>
      </c>
      <c r="F50" s="262">
        <f>IF(F$17=0,0,F$17/AGR!F$5*1000)</f>
        <v>42.854868871604936</v>
      </c>
      <c r="G50" s="262">
        <f>IF(G$17=0,0,G$17/AGR!G$5*1000)</f>
        <v>49.523262788915353</v>
      </c>
      <c r="H50" s="262">
        <f>IF(H$17=0,0,H$17/AGR!H$5*1000)</f>
        <v>45.768103484735612</v>
      </c>
      <c r="I50" s="262">
        <f>IF(I$17=0,0,I$17/AGR!I$5*1000)</f>
        <v>41.278707666864634</v>
      </c>
      <c r="J50" s="262">
        <f>IF(J$17=0,0,J$17/AGR!J$5*1000)</f>
        <v>44.199969357206747</v>
      </c>
      <c r="K50" s="262">
        <f>IF(K$17=0,0,K$17/AGR!K$5*1000)</f>
        <v>49.40953018439712</v>
      </c>
      <c r="L50" s="262">
        <f>IF(L$17=0,0,L$17/AGR!L$5*1000)</f>
        <v>47.792125149281681</v>
      </c>
      <c r="M50" s="262">
        <f>IF(M$17=0,0,M$17/AGR!M$5*1000)</f>
        <v>45.737873316090024</v>
      </c>
      <c r="N50" s="262">
        <f>IF(N$17=0,0,N$17/AGR!N$5*1000)</f>
        <v>46.028961439868134</v>
      </c>
      <c r="O50" s="262">
        <f>IF(O$17=0,0,O$17/AGR!O$5*1000)</f>
        <v>44.698291763721421</v>
      </c>
      <c r="P50" s="262">
        <f>IF(P$17=0,0,P$17/AGR!P$5*1000)</f>
        <v>42.611186301608825</v>
      </c>
      <c r="Q50" s="262">
        <f>IF(Q$17=0,0,Q$17/AGR!Q$5*1000)</f>
        <v>46.806288227561403</v>
      </c>
      <c r="R50" s="262">
        <f>IF(R$17=0,0,R$17/AGR!R$5*1000)</f>
        <v>47.848071519234395</v>
      </c>
      <c r="S50" s="262">
        <f>IF(S$17=0,0,S$17/AGR!S$5*1000)</f>
        <v>43.588537328464135</v>
      </c>
      <c r="T50" s="262">
        <f>IF(T$17=0,0,T$17/AGR!T$5*1000)</f>
        <v>45.502472582113114</v>
      </c>
      <c r="U50" s="262">
        <f>IF(U$17=0,0,U$17/AGR!U$5*1000)</f>
        <v>43.377949734470853</v>
      </c>
      <c r="V50" s="262">
        <f>IF(V$17=0,0,V$17/AGR!V$5*1000)</f>
        <v>48.031530393896233</v>
      </c>
      <c r="W50" s="262">
        <f>IF(W$17=0,0,W$17/AGR!W$5*1000)</f>
        <v>47.424598308354149</v>
      </c>
      <c r="X50" s="262">
        <f>IF(X$17=0,0,X$17/AGR!X$5*1000)</f>
        <v>41.331117701050211</v>
      </c>
      <c r="Y50" s="262">
        <f>IF(Y$17=0,0,Y$17/AGR!Y$5*1000)</f>
        <v>41.379585680101435</v>
      </c>
      <c r="DA50" s="284"/>
    </row>
    <row r="51" spans="1:105" x14ac:dyDescent="0.25">
      <c r="A51" s="127" t="s">
        <v>167</v>
      </c>
      <c r="B51" s="262">
        <f>IF(B$25=0,0,B$25/AGR!B$5*1000)</f>
        <v>4.1855925605041673</v>
      </c>
      <c r="C51" s="262">
        <f>IF(C$25=0,0,C$25/AGR!C$5*1000)</f>
        <v>4.3638687038081354</v>
      </c>
      <c r="D51" s="262">
        <f>IF(D$25=0,0,D$25/AGR!D$5*1000)</f>
        <v>4.3558381271386057</v>
      </c>
      <c r="E51" s="262">
        <f>IF(E$25=0,0,E$25/AGR!E$5*1000)</f>
        <v>4.7650008402930917</v>
      </c>
      <c r="F51" s="262">
        <f>IF(F$25=0,0,F$25/AGR!F$5*1000)</f>
        <v>4.8285525276608272</v>
      </c>
      <c r="G51" s="262">
        <f>IF(G$25=0,0,G$25/AGR!G$5*1000)</f>
        <v>5.6586265911369429</v>
      </c>
      <c r="H51" s="262">
        <f>IF(H$25=0,0,H$25/AGR!H$5*1000)</f>
        <v>5.5817226363841126</v>
      </c>
      <c r="I51" s="262">
        <f>IF(I$25=0,0,I$25/AGR!I$5*1000)</f>
        <v>5.0303654382884737</v>
      </c>
      <c r="J51" s="262">
        <f>IF(J$25=0,0,J$25/AGR!J$5*1000)</f>
        <v>5.3581793526945294</v>
      </c>
      <c r="K51" s="262">
        <f>IF(K$25=0,0,K$25/AGR!K$5*1000)</f>
        <v>5.9099319763286049</v>
      </c>
      <c r="L51" s="262">
        <f>IF(L$25=0,0,L$25/AGR!L$5*1000)</f>
        <v>5.5898867239225423</v>
      </c>
      <c r="M51" s="262">
        <f>IF(M$25=0,0,M$25/AGR!M$5*1000)</f>
        <v>4.8074620544852911</v>
      </c>
      <c r="N51" s="262">
        <f>IF(N$25=0,0,N$25/AGR!N$5*1000)</f>
        <v>5.0740839135015454</v>
      </c>
      <c r="O51" s="262">
        <f>IF(O$25=0,0,O$25/AGR!O$5*1000)</f>
        <v>5.2601429888522748</v>
      </c>
      <c r="P51" s="262">
        <f>IF(P$25=0,0,P$25/AGR!P$5*1000)</f>
        <v>5.1821722452179824</v>
      </c>
      <c r="Q51" s="262">
        <f>IF(Q$25=0,0,Q$25/AGR!Q$5*1000)</f>
        <v>4.9593356275689606</v>
      </c>
      <c r="R51" s="262">
        <f>IF(R$25=0,0,R$25/AGR!R$5*1000)</f>
        <v>5.0318945287885688</v>
      </c>
      <c r="S51" s="262">
        <f>IF(S$25=0,0,S$25/AGR!S$5*1000)</f>
        <v>4.5424313307738293</v>
      </c>
      <c r="T51" s="262">
        <f>IF(T$25=0,0,T$25/AGR!T$5*1000)</f>
        <v>4.9337720085632757</v>
      </c>
      <c r="U51" s="262">
        <f>IF(U$25=0,0,U$25/AGR!U$5*1000)</f>
        <v>4.7188821920211019</v>
      </c>
      <c r="V51" s="262">
        <f>IF(V$25=0,0,V$25/AGR!V$5*1000)</f>
        <v>5.0855620112550239</v>
      </c>
      <c r="W51" s="262">
        <f>IF(W$25=0,0,W$25/AGR!W$5*1000)</f>
        <v>4.7489821900795164</v>
      </c>
      <c r="X51" s="262">
        <f>IF(X$25=0,0,X$25/AGR!X$5*1000)</f>
        <v>3.9696500518677755</v>
      </c>
      <c r="Y51" s="262">
        <f>IF(Y$25=0,0,Y$25/AGR!Y$5*1000)</f>
        <v>4.1243237019921422</v>
      </c>
      <c r="DA51" s="284"/>
    </row>
    <row r="52" spans="1:105" x14ac:dyDescent="0.25">
      <c r="A52" s="127" t="s">
        <v>170</v>
      </c>
      <c r="B52" s="262">
        <f>IF(B$26=0,0,B$26/AGR!B$5*1000)</f>
        <v>4.0944838224574758</v>
      </c>
      <c r="C52" s="262">
        <f>IF(C$26=0,0,C$26/AGR!C$5*1000)</f>
        <v>3.9845988474829968</v>
      </c>
      <c r="D52" s="262">
        <f>IF(D$26=0,0,D$26/AGR!D$5*1000)</f>
        <v>4.5394869008859926</v>
      </c>
      <c r="E52" s="262">
        <f>IF(E$26=0,0,E$26/AGR!E$5*1000)</f>
        <v>4.5288884452154425</v>
      </c>
      <c r="F52" s="262">
        <f>IF(F$26=0,0,F$26/AGR!F$5*1000)</f>
        <v>3.9296893949884857</v>
      </c>
      <c r="G52" s="262">
        <f>IF(G$26=0,0,G$26/AGR!G$5*1000)</f>
        <v>4.2440798661852419</v>
      </c>
      <c r="H52" s="262">
        <f>IF(H$26=0,0,H$26/AGR!H$5*1000)</f>
        <v>4.3763879091087672</v>
      </c>
      <c r="I52" s="262">
        <f>IF(I$26=0,0,I$26/AGR!I$5*1000)</f>
        <v>3.9746369097835523</v>
      </c>
      <c r="J52" s="262">
        <f>IF(J$26=0,0,J$26/AGR!J$5*1000)</f>
        <v>3.916687139304329</v>
      </c>
      <c r="K52" s="262">
        <f>IF(K$26=0,0,K$26/AGR!K$5*1000)</f>
        <v>4.4785423906199888</v>
      </c>
      <c r="L52" s="262">
        <f>IF(L$26=0,0,L$26/AGR!L$5*1000)</f>
        <v>3.7821135784931679</v>
      </c>
      <c r="M52" s="262">
        <f>IF(M$26=0,0,M$26/AGR!M$5*1000)</f>
        <v>3.1539064065766036</v>
      </c>
      <c r="N52" s="262">
        <f>IF(N$26=0,0,N$26/AGR!N$5*1000)</f>
        <v>3.2981627629762693</v>
      </c>
      <c r="O52" s="262">
        <f>IF(O$26=0,0,O$26/AGR!O$5*1000)</f>
        <v>3.244604577210692</v>
      </c>
      <c r="P52" s="262">
        <f>IF(P$26=0,0,P$26/AGR!P$5*1000)</f>
        <v>3.2784105106678263</v>
      </c>
      <c r="Q52" s="262">
        <f>IF(Q$26=0,0,Q$26/AGR!Q$5*1000)</f>
        <v>2.9741925533629172</v>
      </c>
      <c r="R52" s="262">
        <f>IF(R$26=0,0,R$26/AGR!R$5*1000)</f>
        <v>2.9453540277437984</v>
      </c>
      <c r="S52" s="262">
        <f>IF(S$26=0,0,S$26/AGR!S$5*1000)</f>
        <v>2.9566125480088625</v>
      </c>
      <c r="T52" s="262">
        <f>IF(T$26=0,0,T$26/AGR!T$5*1000)</f>
        <v>3.00812478067188</v>
      </c>
      <c r="U52" s="262">
        <f>IF(U$26=0,0,U$26/AGR!U$5*1000)</f>
        <v>3.6044933215251254</v>
      </c>
      <c r="V52" s="262">
        <f>IF(V$26=0,0,V$26/AGR!V$5*1000)</f>
        <v>3.2618945202989322</v>
      </c>
      <c r="W52" s="262">
        <f>IF(W$26=0,0,W$26/AGR!W$5*1000)</f>
        <v>2.8924123494573224</v>
      </c>
      <c r="X52" s="262">
        <f>IF(X$26=0,0,X$26/AGR!X$5*1000)</f>
        <v>2.3397702092469173</v>
      </c>
      <c r="Y52" s="262">
        <f>IF(Y$26=0,0,Y$26/AGR!Y$5*1000)</f>
        <v>2.5313155249894415</v>
      </c>
      <c r="DA52" s="284"/>
    </row>
    <row r="53" spans="1:105" x14ac:dyDescent="0.25">
      <c r="A53" s="260" t="s">
        <v>33</v>
      </c>
      <c r="B53" s="263">
        <f>IF(B$27=0,0,B$27/AGR!B$5*1000)</f>
        <v>5.937001542563336</v>
      </c>
      <c r="C53" s="263">
        <f>IF(C$27=0,0,C$27/AGR!C$5*1000)</f>
        <v>5.7776683288503428</v>
      </c>
      <c r="D53" s="263">
        <f>IF(D$27=0,0,D$27/AGR!D$5*1000)</f>
        <v>6.5822560062846893</v>
      </c>
      <c r="E53" s="263">
        <f>IF(E$27=0,0,E$27/AGR!E$5*1000)</f>
        <v>6.5668882455623905</v>
      </c>
      <c r="F53" s="263">
        <f>IF(F$27=0,0,F$27/AGR!F$5*1000)</f>
        <v>5.6980496227333042</v>
      </c>
      <c r="G53" s="263">
        <f>IF(G$27=0,0,G$27/AGR!G$5*1000)</f>
        <v>6.1539158059686008</v>
      </c>
      <c r="H53" s="263">
        <f>IF(H$27=0,0,H$27/AGR!H$5*1000)</f>
        <v>6.3457624682077105</v>
      </c>
      <c r="I53" s="263">
        <f>IF(I$27=0,0,I$27/AGR!I$5*1000)</f>
        <v>5.7632235191861509</v>
      </c>
      <c r="J53" s="263">
        <f>IF(J$27=0,0,J$27/AGR!J$5*1000)</f>
        <v>5.6791963519912745</v>
      </c>
      <c r="K53" s="263">
        <f>IF(K$27=0,0,K$27/AGR!K$5*1000)</f>
        <v>6.4938864663989833</v>
      </c>
      <c r="L53" s="263">
        <f>IF(L$27=0,0,L$27/AGR!L$5*1000)</f>
        <v>5.484064688815093</v>
      </c>
      <c r="M53" s="263">
        <f>IF(M$27=0,0,M$27/AGR!M$5*1000)</f>
        <v>4.5731642895360762</v>
      </c>
      <c r="N53" s="263">
        <f>IF(N$27=0,0,N$27/AGR!N$5*1000)</f>
        <v>4.7823360063155924</v>
      </c>
      <c r="O53" s="263">
        <f>IF(O$27=0,0,O$27/AGR!O$5*1000)</f>
        <v>4.7046766369555044</v>
      </c>
      <c r="P53" s="263">
        <f>IF(P$27=0,0,P$27/AGR!P$5*1000)</f>
        <v>4.753695240468347</v>
      </c>
      <c r="Q53" s="263">
        <f>IF(Q$27=0,0,Q$27/AGR!Q$5*1000)</f>
        <v>4.3125792023762299</v>
      </c>
      <c r="R53" s="263">
        <f>IF(R$27=0,0,R$27/AGR!R$5*1000)</f>
        <v>4.2707633402285072</v>
      </c>
      <c r="S53" s="263">
        <f>IF(S$27=0,0,S$27/AGR!S$5*1000)</f>
        <v>4.2870881946128527</v>
      </c>
      <c r="T53" s="263">
        <f>IF(T$27=0,0,T$27/AGR!T$5*1000)</f>
        <v>4.3617809319742245</v>
      </c>
      <c r="U53" s="263">
        <f>IF(U$27=0,0,U$27/AGR!U$5*1000)</f>
        <v>5.2265153162114295</v>
      </c>
      <c r="V53" s="263">
        <f>IF(V$27=0,0,V$27/AGR!V$5*1000)</f>
        <v>4.729747054433453</v>
      </c>
      <c r="W53" s="263">
        <f>IF(W$27=0,0,W$27/AGR!W$5*1000)</f>
        <v>4.1939979067131157</v>
      </c>
      <c r="X53" s="263">
        <f>IF(X$27=0,0,X$27/AGR!X$5*1000)</f>
        <v>3.392666803408031</v>
      </c>
      <c r="Y53" s="263">
        <f>IF(Y$27=0,0,Y$27/AGR!Y$5*1000)</f>
        <v>3.6704075112346901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84.803621649583988</v>
      </c>
      <c r="C5" s="80">
        <f t="shared" ref="C5:W5" si="1">SUM(C6:C9,C16:C17,C25:C27)</f>
        <v>73.776777782249923</v>
      </c>
      <c r="D5" s="80">
        <f t="shared" si="1"/>
        <v>62.493318497400629</v>
      </c>
      <c r="E5" s="80">
        <f t="shared" si="1"/>
        <v>65.585116502834808</v>
      </c>
      <c r="F5" s="80">
        <f t="shared" si="1"/>
        <v>64.244339489775001</v>
      </c>
      <c r="G5" s="80">
        <f t="shared" si="1"/>
        <v>65.126089862811895</v>
      </c>
      <c r="H5" s="80">
        <f t="shared" si="1"/>
        <v>56.623037520717894</v>
      </c>
      <c r="I5" s="80">
        <f t="shared" si="1"/>
        <v>54.582483136808271</v>
      </c>
      <c r="J5" s="80">
        <f t="shared" si="1"/>
        <v>55.572009695446717</v>
      </c>
      <c r="K5" s="80">
        <f t="shared" si="1"/>
        <v>51.423106309832626</v>
      </c>
      <c r="L5" s="80">
        <f t="shared" si="1"/>
        <v>52.431865507111752</v>
      </c>
      <c r="M5" s="80">
        <f t="shared" si="1"/>
        <v>60.916675452570516</v>
      </c>
      <c r="N5" s="80">
        <f t="shared" si="1"/>
        <v>55.051749873440265</v>
      </c>
      <c r="O5" s="80">
        <f t="shared" si="1"/>
        <v>50.376664549153922</v>
      </c>
      <c r="P5" s="80">
        <f t="shared" si="1"/>
        <v>52.523064132885139</v>
      </c>
      <c r="Q5" s="80">
        <f t="shared" si="1"/>
        <v>57.257932460237654</v>
      </c>
      <c r="R5" s="80">
        <f t="shared" si="1"/>
        <v>56.505698427275384</v>
      </c>
      <c r="S5" s="80">
        <f t="shared" si="1"/>
        <v>54.705813534494617</v>
      </c>
      <c r="T5" s="80">
        <f t="shared" si="1"/>
        <v>50.704283173793165</v>
      </c>
      <c r="U5" s="80">
        <f t="shared" si="1"/>
        <v>50.618726299660096</v>
      </c>
      <c r="V5" s="80">
        <f t="shared" si="1"/>
        <v>50.59570416796992</v>
      </c>
      <c r="W5" s="80">
        <f t="shared" si="1"/>
        <v>50.346625561236522</v>
      </c>
      <c r="X5" s="80">
        <f t="shared" ref="X5:Y5" si="2">SUM(X6:X9,X16:X17,X25:X27)</f>
        <v>47.398575187328397</v>
      </c>
      <c r="Y5" s="80">
        <f t="shared" si="2"/>
        <v>45.900428764046822</v>
      </c>
      <c r="DA5" s="103"/>
    </row>
    <row r="6" spans="1:105" x14ac:dyDescent="0.25">
      <c r="A6" s="238" t="s">
        <v>125</v>
      </c>
      <c r="B6" s="239">
        <v>3.3801721684479591</v>
      </c>
      <c r="C6" s="239">
        <v>2.9452436717313839</v>
      </c>
      <c r="D6" s="239">
        <v>2.6729817795319031</v>
      </c>
      <c r="E6" s="239">
        <v>2.704961400071622</v>
      </c>
      <c r="F6" s="239">
        <v>2.4306372053386518</v>
      </c>
      <c r="G6" s="239">
        <v>2.34383489954058</v>
      </c>
      <c r="H6" s="239">
        <v>2.144988520851451</v>
      </c>
      <c r="I6" s="239">
        <v>2.0687698214935248</v>
      </c>
      <c r="J6" s="239">
        <v>2.0027255215476312</v>
      </c>
      <c r="K6" s="239">
        <v>1.894808272135053</v>
      </c>
      <c r="L6" s="239">
        <v>1.777727042338078</v>
      </c>
      <c r="M6" s="239">
        <v>1.922121727235736</v>
      </c>
      <c r="N6" s="239">
        <v>1.7939161048474841</v>
      </c>
      <c r="O6" s="239">
        <v>1.61770485337782</v>
      </c>
      <c r="P6" s="239">
        <v>1.7664784725460809</v>
      </c>
      <c r="Q6" s="239">
        <v>1.7183388061652409</v>
      </c>
      <c r="R6" s="239">
        <v>1.6594091526092749</v>
      </c>
      <c r="S6" s="239">
        <v>1.730150733965593</v>
      </c>
      <c r="T6" s="239">
        <v>1.5560725576487511</v>
      </c>
      <c r="U6" s="239">
        <v>1.829512878538039</v>
      </c>
      <c r="V6" s="239">
        <v>1.593287662444467</v>
      </c>
      <c r="W6" s="239">
        <v>1.478273412615374</v>
      </c>
      <c r="X6" s="239">
        <v>1.3150225505111499</v>
      </c>
      <c r="Y6" s="239">
        <v>1.336783417352031</v>
      </c>
      <c r="DA6" s="267" t="s">
        <v>1016</v>
      </c>
    </row>
    <row r="7" spans="1:105" x14ac:dyDescent="0.25">
      <c r="A7" s="240" t="s">
        <v>124</v>
      </c>
      <c r="B7" s="241">
        <v>2.178717499123568</v>
      </c>
      <c r="C7" s="241">
        <v>1.898380794529315</v>
      </c>
      <c r="D7" s="241">
        <v>1.72289217462512</v>
      </c>
      <c r="E7" s="241">
        <v>1.7435048994844</v>
      </c>
      <c r="F7" s="241">
        <v>1.566687005686958</v>
      </c>
      <c r="G7" s="241">
        <v>1.5107378725712419</v>
      </c>
      <c r="H7" s="241">
        <v>1.3825698197923559</v>
      </c>
      <c r="I7" s="241">
        <v>1.3334424363999899</v>
      </c>
      <c r="J7" s="241">
        <v>1.29087304500844</v>
      </c>
      <c r="K7" s="241">
        <v>1.221314103026965</v>
      </c>
      <c r="L7" s="241">
        <v>1.1458484428577369</v>
      </c>
      <c r="M7" s="241">
        <v>1.2389192129515021</v>
      </c>
      <c r="N7" s="241">
        <v>1.1562832349410781</v>
      </c>
      <c r="O7" s="241">
        <v>1.042704837750825</v>
      </c>
      <c r="P7" s="241">
        <v>1.138598085590524</v>
      </c>
      <c r="Q7" s="241">
        <v>1.1075692715777561</v>
      </c>
      <c r="R7" s="241">
        <v>1.069585683458153</v>
      </c>
      <c r="S7" s="241">
        <v>1.115182745837213</v>
      </c>
      <c r="T7" s="241">
        <v>1.002979239608367</v>
      </c>
      <c r="U7" s="241">
        <v>1.179227425321641</v>
      </c>
      <c r="V7" s="241">
        <v>1.026966538482369</v>
      </c>
      <c r="W7" s="241">
        <v>0.95283316708481869</v>
      </c>
      <c r="X7" s="241">
        <v>0.84760849440881392</v>
      </c>
      <c r="Y7" s="241">
        <v>0.86163463835049736</v>
      </c>
      <c r="DA7" s="268" t="s">
        <v>1017</v>
      </c>
    </row>
    <row r="8" spans="1:105" x14ac:dyDescent="0.25">
      <c r="A8" s="240" t="s">
        <v>123</v>
      </c>
      <c r="B8" s="241">
        <v>4.3296176396281982</v>
      </c>
      <c r="C8" s="241">
        <v>3.7725235043239338</v>
      </c>
      <c r="D8" s="241">
        <v>3.42378686242481</v>
      </c>
      <c r="E8" s="241">
        <v>3.4647491336634828</v>
      </c>
      <c r="F8" s="241">
        <v>3.113370915837963</v>
      </c>
      <c r="G8" s="241">
        <v>3.0021869951336231</v>
      </c>
      <c r="H8" s="241">
        <v>2.7474873094830121</v>
      </c>
      <c r="I8" s="241">
        <v>2.6498597897105158</v>
      </c>
      <c r="J8" s="241">
        <v>2.5652645230220932</v>
      </c>
      <c r="K8" s="241">
        <v>2.427034751462442</v>
      </c>
      <c r="L8" s="241">
        <v>2.2770669591321768</v>
      </c>
      <c r="M8" s="241">
        <v>2.462020193360039</v>
      </c>
      <c r="N8" s="241">
        <v>2.297803314298946</v>
      </c>
      <c r="O8" s="241">
        <v>2.072096662494189</v>
      </c>
      <c r="P8" s="241">
        <v>2.262658815474103</v>
      </c>
      <c r="Q8" s="241">
        <v>2.200997356133704</v>
      </c>
      <c r="R8" s="241">
        <v>2.125515145518901</v>
      </c>
      <c r="S8" s="241">
        <v>2.2161270975829108</v>
      </c>
      <c r="T8" s="241">
        <v>1.993152673412744</v>
      </c>
      <c r="U8" s="241">
        <v>2.343398748970325</v>
      </c>
      <c r="V8" s="241">
        <v>2.0408210069042081</v>
      </c>
      <c r="W8" s="241">
        <v>1.8935007817639331</v>
      </c>
      <c r="X8" s="241">
        <v>1.684394920574769</v>
      </c>
      <c r="Y8" s="241">
        <v>1.712268125912453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32.01938991284748</v>
      </c>
      <c r="C9" s="243">
        <f t="shared" ref="C9:W9" si="4">SUM(C10:C15)</f>
        <v>27.174497074636001</v>
      </c>
      <c r="D9" s="243">
        <f t="shared" si="4"/>
        <v>23.931890251743248</v>
      </c>
      <c r="E9" s="243">
        <f t="shared" si="4"/>
        <v>24.556770003363823</v>
      </c>
      <c r="F9" s="243">
        <f t="shared" si="4"/>
        <v>22.811198958147365</v>
      </c>
      <c r="G9" s="243">
        <f t="shared" si="4"/>
        <v>22.950944329399338</v>
      </c>
      <c r="H9" s="243">
        <f t="shared" si="4"/>
        <v>20.039105226299068</v>
      </c>
      <c r="I9" s="243">
        <f t="shared" si="4"/>
        <v>19.529122218241934</v>
      </c>
      <c r="J9" s="243">
        <f t="shared" si="4"/>
        <v>19.688946117577508</v>
      </c>
      <c r="K9" s="243">
        <f t="shared" si="4"/>
        <v>18.187721072504221</v>
      </c>
      <c r="L9" s="243">
        <f t="shared" si="4"/>
        <v>18.321257603962241</v>
      </c>
      <c r="M9" s="243">
        <f t="shared" si="4"/>
        <v>21.587070384501263</v>
      </c>
      <c r="N9" s="243">
        <f t="shared" si="4"/>
        <v>18.921255048247446</v>
      </c>
      <c r="O9" s="243">
        <f t="shared" si="4"/>
        <v>17.226611082080591</v>
      </c>
      <c r="P9" s="243">
        <f t="shared" si="4"/>
        <v>17.651211224193503</v>
      </c>
      <c r="Q9" s="243">
        <f t="shared" si="4"/>
        <v>19.873678872845961</v>
      </c>
      <c r="R9" s="243">
        <f t="shared" si="4"/>
        <v>19.656203418653224</v>
      </c>
      <c r="S9" s="243">
        <f t="shared" si="4"/>
        <v>19.030100278612142</v>
      </c>
      <c r="T9" s="243">
        <f t="shared" si="4"/>
        <v>17.566264399688755</v>
      </c>
      <c r="U9" s="243">
        <f t="shared" si="4"/>
        <v>17.579379557694974</v>
      </c>
      <c r="V9" s="243">
        <f t="shared" si="4"/>
        <v>17.551927865353765</v>
      </c>
      <c r="W9" s="243">
        <f t="shared" si="4"/>
        <v>17.66036855075491</v>
      </c>
      <c r="X9" s="243">
        <f t="shared" ref="X9:Y9" si="5">SUM(X10:X15)</f>
        <v>17.012259459780644</v>
      </c>
      <c r="Y9" s="243">
        <f t="shared" si="5"/>
        <v>16.392949401780772</v>
      </c>
      <c r="DA9" s="269"/>
    </row>
    <row r="10" spans="1:105" x14ac:dyDescent="0.25">
      <c r="A10" s="253" t="s">
        <v>166</v>
      </c>
      <c r="B10" s="254">
        <v>4.5343376036862564</v>
      </c>
      <c r="C10" s="254">
        <v>5.0642699401395186</v>
      </c>
      <c r="D10" s="254">
        <v>3.6423202033223641</v>
      </c>
      <c r="E10" s="254">
        <v>4.5942803834604291</v>
      </c>
      <c r="F10" s="254">
        <v>5.6083751316975494</v>
      </c>
      <c r="G10" s="254">
        <v>6.0658528640660156</v>
      </c>
      <c r="H10" s="254">
        <v>5.6299488908441671</v>
      </c>
      <c r="I10" s="254">
        <v>5.3096910192253306</v>
      </c>
      <c r="J10" s="254">
        <v>5.7776772452729892</v>
      </c>
      <c r="K10" s="254">
        <v>5.1578927142241522</v>
      </c>
      <c r="L10" s="254">
        <v>5.5781897187536069</v>
      </c>
      <c r="M10" s="254">
        <v>5.1753579007803276</v>
      </c>
      <c r="N10" s="254">
        <v>5.7153996850460498</v>
      </c>
      <c r="O10" s="254">
        <v>5.9569768853413274</v>
      </c>
      <c r="P10" s="254">
        <v>7.2521214666714933</v>
      </c>
      <c r="Q10" s="254">
        <v>5.563494580911482</v>
      </c>
      <c r="R10" s="254">
        <v>5.5009002009674841</v>
      </c>
      <c r="S10" s="254">
        <v>4.837547873993687</v>
      </c>
      <c r="T10" s="254">
        <v>5.0993025007479043</v>
      </c>
      <c r="U10" s="254">
        <v>4.420610755162186</v>
      </c>
      <c r="V10" s="254">
        <v>4.6766559268559194</v>
      </c>
      <c r="W10" s="254">
        <v>4.2040402205125043</v>
      </c>
      <c r="X10" s="254">
        <v>3.489275495592592</v>
      </c>
      <c r="Y10" s="254">
        <v>3.5085661842153981</v>
      </c>
      <c r="DA10" s="270" t="s">
        <v>1019</v>
      </c>
    </row>
    <row r="11" spans="1:105" x14ac:dyDescent="0.25">
      <c r="A11" s="253" t="s">
        <v>169</v>
      </c>
      <c r="B11" s="255">
        <v>8.5421708990997249</v>
      </c>
      <c r="C11" s="255">
        <v>7.4938350233959996</v>
      </c>
      <c r="D11" s="255">
        <v>4.4458034244781039</v>
      </c>
      <c r="E11" s="255">
        <v>5.0332518913056843</v>
      </c>
      <c r="F11" s="255">
        <v>6.7451225353788269</v>
      </c>
      <c r="G11" s="255">
        <v>7.9432138458497263</v>
      </c>
      <c r="H11" s="255">
        <v>5.5321634963771791</v>
      </c>
      <c r="I11" s="255">
        <v>4.9105223837120251</v>
      </c>
      <c r="J11" s="255">
        <v>5.6623615876680136</v>
      </c>
      <c r="K11" s="255">
        <v>5.2438339004715413</v>
      </c>
      <c r="L11" s="255">
        <v>6.60528842915675</v>
      </c>
      <c r="M11" s="255">
        <v>10.614786002186859</v>
      </c>
      <c r="N11" s="255">
        <v>8.7955640486197151</v>
      </c>
      <c r="O11" s="255">
        <v>7.5321874384428789</v>
      </c>
      <c r="P11" s="255">
        <v>5.9247638069570607</v>
      </c>
      <c r="Q11" s="255">
        <v>10.944520092741181</v>
      </c>
      <c r="R11" s="255">
        <v>10.97912252921167</v>
      </c>
      <c r="S11" s="255">
        <v>10.36229780626231</v>
      </c>
      <c r="T11" s="255">
        <v>9.0949846877026328</v>
      </c>
      <c r="U11" s="255">
        <v>7.5002048655368432</v>
      </c>
      <c r="V11" s="255">
        <v>9.2898327709383306</v>
      </c>
      <c r="W11" s="255">
        <v>10.48452213140097</v>
      </c>
      <c r="X11" s="255">
        <v>10.522533766047321</v>
      </c>
      <c r="Y11" s="255">
        <v>9.6610976197442557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7.1117254992786968E-2</v>
      </c>
      <c r="D12" s="255">
        <v>0.17753190611014971</v>
      </c>
      <c r="E12" s="255">
        <v>0.1017823443899973</v>
      </c>
      <c r="F12" s="255">
        <v>0.1184331383758316</v>
      </c>
      <c r="G12" s="255">
        <v>0.1197815680370744</v>
      </c>
      <c r="H12" s="255">
        <v>0.1053388904549843</v>
      </c>
      <c r="I12" s="255">
        <v>0.1087307371326392</v>
      </c>
      <c r="J12" s="255">
        <v>0.1134417465379758</v>
      </c>
      <c r="K12" s="255">
        <v>0.10911216951958121</v>
      </c>
      <c r="L12" s="255">
        <v>0.1224205535709031</v>
      </c>
      <c r="M12" s="255">
        <v>0.1197334161242542</v>
      </c>
      <c r="N12" s="255">
        <v>0.1401876733449961</v>
      </c>
      <c r="O12" s="255">
        <v>0.18667392354550699</v>
      </c>
      <c r="P12" s="255">
        <v>0.17032288420756811</v>
      </c>
      <c r="Q12" s="255">
        <v>0.1639345560143888</v>
      </c>
      <c r="R12" s="255">
        <v>0.20401391453313561</v>
      </c>
      <c r="S12" s="255">
        <v>0.18654388528840679</v>
      </c>
      <c r="T12" s="255">
        <v>0.1791409419192799</v>
      </c>
      <c r="U12" s="255">
        <v>0.1734558418603859</v>
      </c>
      <c r="V12" s="255">
        <v>0.1855802116501368</v>
      </c>
      <c r="W12" s="255">
        <v>0.19293115899408089</v>
      </c>
      <c r="X12" s="255">
        <v>0.1935473884088845</v>
      </c>
      <c r="Y12" s="255">
        <v>0.19919083352343889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6.7287152489688893</v>
      </c>
      <c r="C14" s="254">
        <v>4.4910304165913262</v>
      </c>
      <c r="D14" s="254">
        <v>4.2250229703568483</v>
      </c>
      <c r="E14" s="254">
        <v>4.6944511891971183</v>
      </c>
      <c r="F14" s="254">
        <v>2.8323427320593</v>
      </c>
      <c r="G14" s="254">
        <v>2.8010212284436151</v>
      </c>
      <c r="H14" s="254">
        <v>2.628921959446934</v>
      </c>
      <c r="I14" s="254">
        <v>3.270505780906126</v>
      </c>
      <c r="J14" s="254">
        <v>3.192258355500516</v>
      </c>
      <c r="K14" s="254">
        <v>2.597600455828021</v>
      </c>
      <c r="L14" s="254">
        <v>2.2220240805850229</v>
      </c>
      <c r="M14" s="254">
        <v>2.206419662414874</v>
      </c>
      <c r="N14" s="254">
        <v>0.68850974325433512</v>
      </c>
      <c r="O14" s="254">
        <v>0.59465789967180638</v>
      </c>
      <c r="P14" s="254">
        <v>0.54767564424150916</v>
      </c>
      <c r="Q14" s="254">
        <v>0.4538238006585027</v>
      </c>
      <c r="R14" s="254">
        <v>0.45382380065871769</v>
      </c>
      <c r="S14" s="254">
        <v>0.45382380065901501</v>
      </c>
      <c r="T14" s="254">
        <v>0.57899714786139367</v>
      </c>
      <c r="U14" s="254">
        <v>0.57899714786016254</v>
      </c>
      <c r="V14" s="254">
        <v>0.50074972245002047</v>
      </c>
      <c r="W14" s="254">
        <v>0.50074972244987637</v>
      </c>
      <c r="X14" s="254">
        <v>1.0640861184990491</v>
      </c>
      <c r="Y14" s="254">
        <v>1.0640861185007311</v>
      </c>
      <c r="DA14" s="270" t="s">
        <v>1023</v>
      </c>
    </row>
    <row r="15" spans="1:105" x14ac:dyDescent="0.25">
      <c r="A15" s="253" t="s">
        <v>24</v>
      </c>
      <c r="B15" s="255">
        <v>12.21416616109261</v>
      </c>
      <c r="C15" s="255">
        <v>10.054244439516371</v>
      </c>
      <c r="D15" s="255">
        <v>11.44121174747578</v>
      </c>
      <c r="E15" s="255">
        <v>10.13300419501059</v>
      </c>
      <c r="F15" s="255">
        <v>7.5069254206358602</v>
      </c>
      <c r="G15" s="255">
        <v>6.0210748230029054</v>
      </c>
      <c r="H15" s="255">
        <v>6.142731989175803</v>
      </c>
      <c r="I15" s="255">
        <v>5.9296722972658147</v>
      </c>
      <c r="J15" s="255">
        <v>4.9432071825980106</v>
      </c>
      <c r="K15" s="255">
        <v>5.079281832460925</v>
      </c>
      <c r="L15" s="255">
        <v>3.7933348218959582</v>
      </c>
      <c r="M15" s="255">
        <v>3.4707734029949471</v>
      </c>
      <c r="N15" s="255">
        <v>3.5815938979823501</v>
      </c>
      <c r="O15" s="255">
        <v>2.9561149350790719</v>
      </c>
      <c r="P15" s="255">
        <v>3.7563274221158731</v>
      </c>
      <c r="Q15" s="255">
        <v>2.747905842520407</v>
      </c>
      <c r="R15" s="255">
        <v>2.5183429732822158</v>
      </c>
      <c r="S15" s="255">
        <v>3.189886912408725</v>
      </c>
      <c r="T15" s="255">
        <v>2.613839121457544</v>
      </c>
      <c r="U15" s="255">
        <v>4.9061109472753968</v>
      </c>
      <c r="V15" s="255">
        <v>2.899109233459356</v>
      </c>
      <c r="W15" s="255">
        <v>2.2781253173974751</v>
      </c>
      <c r="X15" s="255">
        <v>1.7428166912327989</v>
      </c>
      <c r="Y15" s="255">
        <v>1.960008645796947</v>
      </c>
      <c r="DA15" s="271" t="s">
        <v>1024</v>
      </c>
    </row>
    <row r="16" spans="1:105" x14ac:dyDescent="0.25">
      <c r="A16" s="256" t="s">
        <v>168</v>
      </c>
      <c r="B16" s="257">
        <v>12.86753642051516</v>
      </c>
      <c r="C16" s="257">
        <v>12.01177243182287</v>
      </c>
      <c r="D16" s="257">
        <v>9.5512399760864675</v>
      </c>
      <c r="E16" s="257">
        <v>10.598178358236121</v>
      </c>
      <c r="F16" s="257">
        <v>11.121866312856829</v>
      </c>
      <c r="G16" s="257">
        <v>11.63732862422451</v>
      </c>
      <c r="H16" s="257">
        <v>10.187701428165481</v>
      </c>
      <c r="I16" s="257">
        <v>9.7501891499922699</v>
      </c>
      <c r="J16" s="257">
        <v>10.20278160647568</v>
      </c>
      <c r="K16" s="257">
        <v>9.3112901225277938</v>
      </c>
      <c r="L16" s="257">
        <v>9.7843575120906294</v>
      </c>
      <c r="M16" s="257">
        <v>10.91055254886774</v>
      </c>
      <c r="N16" s="257">
        <v>10.27747629075875</v>
      </c>
      <c r="O16" s="257">
        <v>9.766385338264989</v>
      </c>
      <c r="P16" s="257">
        <v>10.398139834015399</v>
      </c>
      <c r="Q16" s="257">
        <v>10.66994081616798</v>
      </c>
      <c r="R16" s="257">
        <v>10.557140477507</v>
      </c>
      <c r="S16" s="257">
        <v>9.8986664430953812</v>
      </c>
      <c r="T16" s="257">
        <v>9.504119030448301</v>
      </c>
      <c r="U16" s="257">
        <v>8.9192672040932379</v>
      </c>
      <c r="V16" s="257">
        <v>9.2504322786277484</v>
      </c>
      <c r="W16" s="257">
        <v>9.0384486181204302</v>
      </c>
      <c r="X16" s="257">
        <v>8.3082778079284694</v>
      </c>
      <c r="Y16" s="257">
        <v>8.1108487828499154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19.837020286926293</v>
      </c>
      <c r="C17" s="257">
        <f t="shared" ref="C17:W17" si="7">SUM(C18:C24)</f>
        <v>16.986899024129112</v>
      </c>
      <c r="D17" s="257">
        <f t="shared" si="7"/>
        <v>13.215487734840892</v>
      </c>
      <c r="E17" s="257">
        <f t="shared" si="7"/>
        <v>14.321045585826823</v>
      </c>
      <c r="F17" s="257">
        <f t="shared" si="7"/>
        <v>15.620845362774224</v>
      </c>
      <c r="G17" s="257">
        <f t="shared" si="7"/>
        <v>16.249248508552196</v>
      </c>
      <c r="H17" s="257">
        <f t="shared" si="7"/>
        <v>13.382066320545052</v>
      </c>
      <c r="I17" s="257">
        <f t="shared" si="7"/>
        <v>12.761601269115397</v>
      </c>
      <c r="J17" s="257">
        <f t="shared" si="7"/>
        <v>13.436346303168349</v>
      </c>
      <c r="K17" s="257">
        <f t="shared" si="7"/>
        <v>12.385890323577321</v>
      </c>
      <c r="L17" s="257">
        <f t="shared" si="7"/>
        <v>13.359974074070475</v>
      </c>
      <c r="M17" s="257">
        <f t="shared" si="7"/>
        <v>16.51746184915412</v>
      </c>
      <c r="N17" s="257">
        <f t="shared" si="7"/>
        <v>14.732532049921337</v>
      </c>
      <c r="O17" s="257">
        <f t="shared" si="7"/>
        <v>13.288470181822635</v>
      </c>
      <c r="P17" s="257">
        <f t="shared" si="7"/>
        <v>13.485937873848792</v>
      </c>
      <c r="Q17" s="257">
        <f t="shared" si="7"/>
        <v>15.95129769596732</v>
      </c>
      <c r="R17" s="257">
        <f t="shared" si="7"/>
        <v>15.864404753881962</v>
      </c>
      <c r="S17" s="257">
        <f t="shared" si="7"/>
        <v>15.053656888280303</v>
      </c>
      <c r="T17" s="257">
        <f t="shared" si="7"/>
        <v>13.908542849909935</v>
      </c>
      <c r="U17" s="257">
        <f t="shared" si="7"/>
        <v>12.98905414934865</v>
      </c>
      <c r="V17" s="257">
        <f t="shared" si="7"/>
        <v>13.900093093388321</v>
      </c>
      <c r="W17" s="257">
        <f t="shared" si="7"/>
        <v>14.407412375377486</v>
      </c>
      <c r="X17" s="257">
        <f t="shared" ref="X17:Y17" si="8">SUM(X18:X24)</f>
        <v>13.822045162929014</v>
      </c>
      <c r="Y17" s="257">
        <f t="shared" si="8"/>
        <v>13.049067956298989</v>
      </c>
      <c r="DA17" s="272"/>
    </row>
    <row r="18" spans="1:105" x14ac:dyDescent="0.25">
      <c r="A18" s="61" t="s">
        <v>29</v>
      </c>
      <c r="B18" s="55">
        <v>2.055874040495965</v>
      </c>
      <c r="C18" s="55">
        <v>1.106008186340625</v>
      </c>
      <c r="D18" s="55">
        <v>0.74776845313812046</v>
      </c>
      <c r="E18" s="55">
        <v>0.73524075439036984</v>
      </c>
      <c r="F18" s="55">
        <v>0.46197149963092421</v>
      </c>
      <c r="G18" s="55">
        <v>0.41351492573905718</v>
      </c>
      <c r="H18" s="55">
        <v>0.30792720394640871</v>
      </c>
      <c r="I18" s="55">
        <v>0.31196188953308851</v>
      </c>
      <c r="J18" s="55">
        <v>0.2533177345356819</v>
      </c>
      <c r="K18" s="55">
        <v>0.185756924393124</v>
      </c>
      <c r="L18" s="55">
        <v>0.18741114548335741</v>
      </c>
      <c r="M18" s="55">
        <v>0.12430866291211699</v>
      </c>
      <c r="N18" s="55">
        <v>0.12509542660127171</v>
      </c>
      <c r="O18" s="55">
        <v>0.26241595052933048</v>
      </c>
      <c r="P18" s="55">
        <v>0.2100457316201102</v>
      </c>
      <c r="Q18" s="55">
        <v>6.3021788856936906E-2</v>
      </c>
      <c r="R18" s="55">
        <v>6.0076468379203107E-2</v>
      </c>
      <c r="S18" s="55">
        <v>6.2517453158787706E-2</v>
      </c>
      <c r="T18" s="55">
        <v>6.4050633681598218E-2</v>
      </c>
      <c r="U18" s="55">
        <v>6.265866715544556E-2</v>
      </c>
      <c r="V18" s="55">
        <v>6.4373408528398249E-2</v>
      </c>
      <c r="W18" s="55">
        <v>6.2719187438230461E-2</v>
      </c>
      <c r="X18" s="55">
        <v>6.2033290888256119E-2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0.89775176488206587</v>
      </c>
      <c r="C19" s="55">
        <v>0.2991881501132132</v>
      </c>
      <c r="D19" s="55">
        <v>0.2991881501147422</v>
      </c>
      <c r="E19" s="55">
        <v>0.299188150113819</v>
      </c>
      <c r="F19" s="55">
        <v>0.29918815011398248</v>
      </c>
      <c r="G19" s="55">
        <v>0.29918815011365779</v>
      </c>
      <c r="H19" s="55">
        <v>0.29918815011425109</v>
      </c>
      <c r="I19" s="55">
        <v>0.29918815011461553</v>
      </c>
      <c r="J19" s="55">
        <v>0.29918815011406491</v>
      </c>
      <c r="K19" s="55">
        <v>0.29918815011405209</v>
      </c>
      <c r="L19" s="55">
        <v>0.59837630022763044</v>
      </c>
      <c r="M19" s="55">
        <v>0.59837630021991961</v>
      </c>
      <c r="N19" s="55">
        <v>0.29918815010957123</v>
      </c>
      <c r="O19" s="55">
        <v>0.29918815011012911</v>
      </c>
      <c r="P19" s="55">
        <v>0.29918815011045807</v>
      </c>
      <c r="Q19" s="55">
        <v>0.29918815010918282</v>
      </c>
      <c r="R19" s="55">
        <v>0.29918815011025468</v>
      </c>
      <c r="S19" s="55">
        <v>0.29918815010980349</v>
      </c>
      <c r="T19" s="55">
        <v>0.29918815010998762</v>
      </c>
      <c r="U19" s="55">
        <v>0.29918815011524458</v>
      </c>
      <c r="V19" s="55">
        <v>0.59837630021905153</v>
      </c>
      <c r="W19" s="55">
        <v>1.196729186124124</v>
      </c>
      <c r="X19" s="55">
        <v>1.1967291861181031</v>
      </c>
      <c r="Y19" s="55">
        <v>0.89754103601313473</v>
      </c>
      <c r="DA19" s="101" t="s">
        <v>1027</v>
      </c>
    </row>
    <row r="20" spans="1:105" x14ac:dyDescent="0.25">
      <c r="A20" s="61" t="s">
        <v>166</v>
      </c>
      <c r="B20" s="55">
        <v>5.2884931214718636</v>
      </c>
      <c r="C20" s="55">
        <v>6.1433013882889327</v>
      </c>
      <c r="D20" s="55">
        <v>5.1561533899524141</v>
      </c>
      <c r="E20" s="55">
        <v>6.1188860084882819</v>
      </c>
      <c r="F20" s="55">
        <v>5.6880176794610824</v>
      </c>
      <c r="G20" s="55">
        <v>6.0518153033355953</v>
      </c>
      <c r="H20" s="55">
        <v>6.3141385573141768</v>
      </c>
      <c r="I20" s="55">
        <v>6.0801679224859484</v>
      </c>
      <c r="J20" s="55">
        <v>6.2326632458041562</v>
      </c>
      <c r="K20" s="55">
        <v>5.5039012060312249</v>
      </c>
      <c r="L20" s="55">
        <v>5.3908611178564332</v>
      </c>
      <c r="M20" s="55">
        <v>4.4843519685523443</v>
      </c>
      <c r="N20" s="55">
        <v>4.8176655646644191</v>
      </c>
      <c r="O20" s="55">
        <v>5.3673386550626621</v>
      </c>
      <c r="P20" s="55">
        <v>6.4684317869939454</v>
      </c>
      <c r="Q20" s="55">
        <v>4.4491188242455326</v>
      </c>
      <c r="R20" s="55">
        <v>4.3234269982978599</v>
      </c>
      <c r="S20" s="55">
        <v>3.953343283534692</v>
      </c>
      <c r="T20" s="55">
        <v>4.2107084846797056</v>
      </c>
      <c r="U20" s="55">
        <v>4.0362424964629549</v>
      </c>
      <c r="V20" s="55">
        <v>3.8527016954313571</v>
      </c>
      <c r="W20" s="55">
        <v>3.2588623892289461</v>
      </c>
      <c r="X20" s="55">
        <v>2.6911531445493422</v>
      </c>
      <c r="Y20" s="55">
        <v>2.862792662935723</v>
      </c>
      <c r="DA20" s="101" t="s">
        <v>1028</v>
      </c>
    </row>
    <row r="21" spans="1:105" x14ac:dyDescent="0.25">
      <c r="A21" s="61" t="s">
        <v>129</v>
      </c>
      <c r="B21" s="55">
        <v>1.756659477701197</v>
      </c>
      <c r="C21" s="55">
        <v>0.25362796174186292</v>
      </c>
      <c r="D21" s="55">
        <v>0.50713073693066979</v>
      </c>
      <c r="E21" s="55">
        <v>0.25385747042773038</v>
      </c>
      <c r="F21" s="55">
        <v>2.028940236236354</v>
      </c>
      <c r="G21" s="55">
        <v>1.268098079859316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1029</v>
      </c>
    </row>
    <row r="22" spans="1:105" x14ac:dyDescent="0.25">
      <c r="A22" s="61" t="s">
        <v>169</v>
      </c>
      <c r="B22" s="55">
        <v>9.7243501942880162</v>
      </c>
      <c r="C22" s="55">
        <v>8.8728542213422319</v>
      </c>
      <c r="D22" s="55">
        <v>6.1428824512620599</v>
      </c>
      <c r="E22" s="55">
        <v>6.5430128737764077</v>
      </c>
      <c r="F22" s="55">
        <v>6.6771013651765037</v>
      </c>
      <c r="G22" s="55">
        <v>7.7350707644763981</v>
      </c>
      <c r="H22" s="55">
        <v>6.0559029281853247</v>
      </c>
      <c r="I22" s="55">
        <v>5.488431678674905</v>
      </c>
      <c r="J22" s="55">
        <v>5.9620035043594459</v>
      </c>
      <c r="K22" s="55">
        <v>5.4616201882801967</v>
      </c>
      <c r="L22" s="55">
        <v>6.230614650481062</v>
      </c>
      <c r="M22" s="55">
        <v>8.9772803835504842</v>
      </c>
      <c r="N22" s="55">
        <v>7.2364902360022789</v>
      </c>
      <c r="O22" s="55">
        <v>6.624123870253273</v>
      </c>
      <c r="P22" s="55">
        <v>5.1579748208588789</v>
      </c>
      <c r="Q22" s="55">
        <v>8.542742213341441</v>
      </c>
      <c r="R22" s="55">
        <v>8.422407290559315</v>
      </c>
      <c r="S22" s="55">
        <v>8.2655082528976287</v>
      </c>
      <c r="T22" s="55">
        <v>7.3302808546483744</v>
      </c>
      <c r="U22" s="55">
        <v>6.6840908438744622</v>
      </c>
      <c r="V22" s="55">
        <v>7.4698538399686747</v>
      </c>
      <c r="W22" s="55">
        <v>7.9327185044182933</v>
      </c>
      <c r="X22" s="55">
        <v>7.9213230136182293</v>
      </c>
      <c r="Y22" s="55">
        <v>7.6941550807538617</v>
      </c>
      <c r="DA22" s="101" t="s">
        <v>1030</v>
      </c>
    </row>
    <row r="23" spans="1:105" x14ac:dyDescent="0.25">
      <c r="A23" s="61" t="s">
        <v>164</v>
      </c>
      <c r="B23" s="55">
        <v>0.1138916880871866</v>
      </c>
      <c r="C23" s="55">
        <v>0.26571473543909768</v>
      </c>
      <c r="D23" s="55">
        <v>0.22776385411680231</v>
      </c>
      <c r="E23" s="55">
        <v>0.29825800661573382</v>
      </c>
      <c r="F23" s="55">
        <v>0.40129543029168557</v>
      </c>
      <c r="G23" s="55">
        <v>0.41755730485014358</v>
      </c>
      <c r="H23" s="55">
        <v>0.34163602014549549</v>
      </c>
      <c r="I23" s="55">
        <v>0.51516759632174036</v>
      </c>
      <c r="J23" s="55">
        <v>0.62363215220234614</v>
      </c>
      <c r="K23" s="55">
        <v>0.87306549102495323</v>
      </c>
      <c r="L23" s="55">
        <v>0.88934688764145742</v>
      </c>
      <c r="M23" s="55">
        <v>2.2775799749567311</v>
      </c>
      <c r="N23" s="55">
        <v>2.1908044258381771</v>
      </c>
      <c r="O23" s="55">
        <v>0.64532115895850939</v>
      </c>
      <c r="P23" s="55">
        <v>1.2689337890957531</v>
      </c>
      <c r="Q23" s="55">
        <v>2.527013313769392</v>
      </c>
      <c r="R23" s="55">
        <v>2.6734287509817021</v>
      </c>
      <c r="S23" s="55">
        <v>2.3914521409829188</v>
      </c>
      <c r="T23" s="55">
        <v>1.925089690404993</v>
      </c>
      <c r="U23" s="55">
        <v>1.822052266762594</v>
      </c>
      <c r="V23" s="55">
        <v>1.8329065311390751</v>
      </c>
      <c r="W23" s="55">
        <v>1.876284544673376</v>
      </c>
      <c r="X23" s="55">
        <v>1.8708574124582911</v>
      </c>
      <c r="Y23" s="55">
        <v>1.507532385561243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4.6204380863148917E-2</v>
      </c>
      <c r="D24" s="55">
        <v>0.1346006993260834</v>
      </c>
      <c r="E24" s="55">
        <v>7.2602322014481149E-2</v>
      </c>
      <c r="F24" s="55">
        <v>6.4331001863690659E-2</v>
      </c>
      <c r="G24" s="55">
        <v>6.4003980178027886E-2</v>
      </c>
      <c r="H24" s="55">
        <v>6.3273460839393073E-2</v>
      </c>
      <c r="I24" s="55">
        <v>6.6684031985099493E-2</v>
      </c>
      <c r="J24" s="55">
        <v>6.5541516152654522E-2</v>
      </c>
      <c r="K24" s="55">
        <v>6.2358363733771092E-2</v>
      </c>
      <c r="L24" s="55">
        <v>6.3363972380534261E-2</v>
      </c>
      <c r="M24" s="55">
        <v>5.5564558962526357E-2</v>
      </c>
      <c r="N24" s="55">
        <v>6.3288246705620277E-2</v>
      </c>
      <c r="O24" s="55">
        <v>9.0082396908731183E-2</v>
      </c>
      <c r="P24" s="55">
        <v>8.1363595169647043E-2</v>
      </c>
      <c r="Q24" s="55">
        <v>7.0213405644835233E-2</v>
      </c>
      <c r="R24" s="55">
        <v>8.5877095553624869E-2</v>
      </c>
      <c r="S24" s="55">
        <v>8.1647607596472785E-2</v>
      </c>
      <c r="T24" s="55">
        <v>7.9225036385277003E-2</v>
      </c>
      <c r="U24" s="55">
        <v>8.4821724977949667E-2</v>
      </c>
      <c r="V24" s="55">
        <v>8.1881318101763939E-2</v>
      </c>
      <c r="W24" s="55">
        <v>8.0098563494514788E-2</v>
      </c>
      <c r="X24" s="55">
        <v>7.9949115296791745E-2</v>
      </c>
      <c r="Y24" s="55">
        <v>8.7046791035027493E-2</v>
      </c>
      <c r="DA24" s="101" t="s">
        <v>1032</v>
      </c>
    </row>
    <row r="25" spans="1:105" x14ac:dyDescent="0.25">
      <c r="A25" s="256" t="s">
        <v>167</v>
      </c>
      <c r="B25" s="257">
        <v>1.730823050400236</v>
      </c>
      <c r="C25" s="257">
        <v>1.6157135229098309</v>
      </c>
      <c r="D25" s="257">
        <v>1.284745251170061</v>
      </c>
      <c r="E25" s="257">
        <v>1.4255698056888499</v>
      </c>
      <c r="F25" s="257">
        <v>1.496011509015166</v>
      </c>
      <c r="G25" s="257">
        <v>1.5653467742105549</v>
      </c>
      <c r="H25" s="257">
        <v>1.370356211648341</v>
      </c>
      <c r="I25" s="257">
        <v>1.3115060703976831</v>
      </c>
      <c r="J25" s="257">
        <v>1.3723846590037989</v>
      </c>
      <c r="K25" s="257">
        <v>1.2524693963438509</v>
      </c>
      <c r="L25" s="257">
        <v>1.316102085266541</v>
      </c>
      <c r="M25" s="257">
        <v>1.467587518468223</v>
      </c>
      <c r="N25" s="257">
        <v>1.382431903252773</v>
      </c>
      <c r="O25" s="257">
        <v>1.313684633183513</v>
      </c>
      <c r="P25" s="257">
        <v>1.3986624570422781</v>
      </c>
      <c r="Q25" s="257">
        <v>1.4352226337269991</v>
      </c>
      <c r="R25" s="257">
        <v>1.4200497661424849</v>
      </c>
      <c r="S25" s="257">
        <v>1.3314778748647891</v>
      </c>
      <c r="T25" s="257">
        <v>1.2784069734918899</v>
      </c>
      <c r="U25" s="257">
        <v>1.1997380667919171</v>
      </c>
      <c r="V25" s="257">
        <v>1.2442833570292919</v>
      </c>
      <c r="W25" s="257">
        <v>1.215769258143252</v>
      </c>
      <c r="X25" s="257">
        <v>1.1175533737883621</v>
      </c>
      <c r="Y25" s="257">
        <v>1.090997031046701</v>
      </c>
      <c r="DA25" s="272" t="s">
        <v>1033</v>
      </c>
    </row>
    <row r="26" spans="1:105" x14ac:dyDescent="0.25">
      <c r="A26" s="256" t="s">
        <v>170</v>
      </c>
      <c r="B26" s="257">
        <v>3.351873075574721</v>
      </c>
      <c r="C26" s="257">
        <v>2.9205858377374092</v>
      </c>
      <c r="D26" s="257">
        <v>2.650603345577109</v>
      </c>
      <c r="E26" s="257">
        <v>2.6823152299760018</v>
      </c>
      <c r="F26" s="257">
        <v>2.41028770105686</v>
      </c>
      <c r="G26" s="257">
        <v>2.3242121116480652</v>
      </c>
      <c r="H26" s="257">
        <v>2.1270304919882408</v>
      </c>
      <c r="I26" s="257">
        <v>2.0514499021538311</v>
      </c>
      <c r="J26" s="257">
        <v>1.985958530782215</v>
      </c>
      <c r="K26" s="257">
        <v>1.878944773887639</v>
      </c>
      <c r="L26" s="257">
        <v>1.762843758242673</v>
      </c>
      <c r="M26" s="257">
        <v>1.906029558386926</v>
      </c>
      <c r="N26" s="257">
        <v>1.7788972845247351</v>
      </c>
      <c r="O26" s="257">
        <v>1.604161288847423</v>
      </c>
      <c r="P26" s="257">
        <v>1.7516893624469609</v>
      </c>
      <c r="Q26" s="257">
        <v>1.703952725504241</v>
      </c>
      <c r="R26" s="257">
        <v>1.645516436089467</v>
      </c>
      <c r="S26" s="257">
        <v>1.7156657628264831</v>
      </c>
      <c r="T26" s="257">
        <v>1.5430449840128739</v>
      </c>
      <c r="U26" s="257">
        <v>1.814196038956372</v>
      </c>
      <c r="V26" s="257">
        <v>1.5799485207421069</v>
      </c>
      <c r="W26" s="257">
        <v>1.465897180130491</v>
      </c>
      <c r="X26" s="257">
        <v>1.3040130683212521</v>
      </c>
      <c r="Y26" s="257">
        <v>1.3255917513084581</v>
      </c>
      <c r="DA26" s="272" t="s">
        <v>1034</v>
      </c>
    </row>
    <row r="27" spans="1:105" x14ac:dyDescent="0.25">
      <c r="A27" s="128" t="s">
        <v>33</v>
      </c>
      <c r="B27" s="258">
        <v>5.1084715961203848</v>
      </c>
      <c r="C27" s="258">
        <v>4.4511619204300672</v>
      </c>
      <c r="D27" s="258">
        <v>4.0396911214010194</v>
      </c>
      <c r="E27" s="258">
        <v>4.0880220865236829</v>
      </c>
      <c r="F27" s="258">
        <v>3.673434519060979</v>
      </c>
      <c r="G27" s="258">
        <v>3.54224974753178</v>
      </c>
      <c r="H27" s="258">
        <v>3.24173219194489</v>
      </c>
      <c r="I27" s="258">
        <v>3.126542479303128</v>
      </c>
      <c r="J27" s="258">
        <v>3.0267293888610012</v>
      </c>
      <c r="K27" s="258">
        <v>2.8636334943673409</v>
      </c>
      <c r="L27" s="258">
        <v>2.6866880291511972</v>
      </c>
      <c r="M27" s="258">
        <v>2.9049124596449651</v>
      </c>
      <c r="N27" s="258">
        <v>2.7111546426477191</v>
      </c>
      <c r="O27" s="258">
        <v>2.4448456713319411</v>
      </c>
      <c r="P27" s="258">
        <v>2.6696880077275011</v>
      </c>
      <c r="Q27" s="258">
        <v>2.5969342821484429</v>
      </c>
      <c r="R27" s="258">
        <v>2.507873593414919</v>
      </c>
      <c r="S27" s="258">
        <v>2.6147857094298042</v>
      </c>
      <c r="T27" s="258">
        <v>2.351700465571545</v>
      </c>
      <c r="U27" s="258">
        <v>2.7649522299449409</v>
      </c>
      <c r="V27" s="258">
        <v>2.4079438449976451</v>
      </c>
      <c r="W27" s="258">
        <v>2.2341222172458259</v>
      </c>
      <c r="X27" s="258">
        <v>1.987400349085924</v>
      </c>
      <c r="Y27" s="258">
        <v>2.0202876591470078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1.0000000000000002</v>
      </c>
      <c r="C31" s="235">
        <f t="shared" si="9"/>
        <v>1</v>
      </c>
      <c r="D31" s="235">
        <f t="shared" si="9"/>
        <v>1</v>
      </c>
      <c r="E31" s="235">
        <f t="shared" si="9"/>
        <v>1.0000000000000002</v>
      </c>
      <c r="F31" s="235">
        <f t="shared" si="9"/>
        <v>1</v>
      </c>
      <c r="G31" s="235">
        <f t="shared" si="9"/>
        <v>1</v>
      </c>
      <c r="H31" s="235">
        <f t="shared" si="9"/>
        <v>0.99999999999999989</v>
      </c>
      <c r="I31" s="235">
        <f t="shared" si="9"/>
        <v>1</v>
      </c>
      <c r="J31" s="235">
        <f t="shared" si="9"/>
        <v>1</v>
      </c>
      <c r="K31" s="235">
        <f t="shared" si="9"/>
        <v>1</v>
      </c>
      <c r="L31" s="235">
        <f t="shared" si="9"/>
        <v>1</v>
      </c>
      <c r="M31" s="235">
        <f t="shared" si="9"/>
        <v>1</v>
      </c>
      <c r="N31" s="235">
        <f t="shared" si="9"/>
        <v>1</v>
      </c>
      <c r="O31" s="235">
        <f t="shared" si="9"/>
        <v>1.0000000000000002</v>
      </c>
      <c r="P31" s="235">
        <f t="shared" si="9"/>
        <v>1.0000000000000002</v>
      </c>
      <c r="Q31" s="235">
        <f t="shared" si="9"/>
        <v>0.99999999999999967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0.99999999999999989</v>
      </c>
      <c r="U31" s="235">
        <f t="shared" si="10"/>
        <v>1</v>
      </c>
      <c r="V31" s="235">
        <f t="shared" si="10"/>
        <v>0.99999999999999989</v>
      </c>
      <c r="W31" s="235">
        <f t="shared" si="10"/>
        <v>1.0000000000000002</v>
      </c>
      <c r="X31" s="235">
        <f t="shared" ref="X31:Y31" si="11">SUM(X32:X40)</f>
        <v>1</v>
      </c>
      <c r="Y31" s="235">
        <f t="shared" si="11"/>
        <v>1.0000000000000002</v>
      </c>
      <c r="DA31" s="274"/>
    </row>
    <row r="32" spans="1:105" x14ac:dyDescent="0.25">
      <c r="A32" s="238" t="s">
        <v>125</v>
      </c>
      <c r="B32" s="244">
        <f t="shared" ref="B32:Y32" si="12">IF(B$6=0,0,B$6/B$5)</f>
        <v>3.985881855865929E-2</v>
      </c>
      <c r="C32" s="244">
        <f t="shared" si="12"/>
        <v>3.9921012549832248E-2</v>
      </c>
      <c r="D32" s="244">
        <f t="shared" si="12"/>
        <v>4.2772281002217603E-2</v>
      </c>
      <c r="E32" s="244">
        <f t="shared" si="12"/>
        <v>4.1243525121354395E-2</v>
      </c>
      <c r="F32" s="244">
        <f t="shared" si="12"/>
        <v>3.7834262514684379E-2</v>
      </c>
      <c r="G32" s="244">
        <f t="shared" si="12"/>
        <v>3.5989185048232869E-2</v>
      </c>
      <c r="H32" s="244">
        <f t="shared" si="12"/>
        <v>3.7881904870727179E-2</v>
      </c>
      <c r="I32" s="244">
        <f t="shared" si="12"/>
        <v>3.7901716862317469E-2</v>
      </c>
      <c r="J32" s="244">
        <f t="shared" si="12"/>
        <v>3.6038385736330933E-2</v>
      </c>
      <c r="K32" s="244">
        <f t="shared" si="12"/>
        <v>3.6847409814539857E-2</v>
      </c>
      <c r="L32" s="244">
        <f t="shared" si="12"/>
        <v>3.3905469987463077E-2</v>
      </c>
      <c r="M32" s="244">
        <f t="shared" si="12"/>
        <v>3.1553293297042984E-2</v>
      </c>
      <c r="N32" s="244">
        <f t="shared" si="12"/>
        <v>3.2585996066820021E-2</v>
      </c>
      <c r="O32" s="244">
        <f t="shared" si="12"/>
        <v>3.2112186621632718E-2</v>
      </c>
      <c r="P32" s="244">
        <f t="shared" si="12"/>
        <v>3.3632433707158252E-2</v>
      </c>
      <c r="Q32" s="244">
        <f t="shared" si="12"/>
        <v>3.0010493434399304E-2</v>
      </c>
      <c r="R32" s="244">
        <f t="shared" si="12"/>
        <v>2.9367111615211459E-2</v>
      </c>
      <c r="S32" s="244">
        <f t="shared" si="12"/>
        <v>3.1626451051215074E-2</v>
      </c>
      <c r="T32" s="244">
        <f t="shared" si="12"/>
        <v>3.0689173778774909E-2</v>
      </c>
      <c r="U32" s="244">
        <f t="shared" si="12"/>
        <v>3.6143005015721312E-2</v>
      </c>
      <c r="V32" s="244">
        <f t="shared" si="12"/>
        <v>3.1490571949646121E-2</v>
      </c>
      <c r="W32" s="244">
        <f t="shared" si="12"/>
        <v>2.9361916437028186E-2</v>
      </c>
      <c r="X32" s="244">
        <f t="shared" si="12"/>
        <v>2.7743925747006629E-2</v>
      </c>
      <c r="Y32" s="244">
        <f t="shared" si="12"/>
        <v>2.9123549678017717E-2</v>
      </c>
      <c r="DA32" s="275"/>
    </row>
    <row r="33" spans="1:105" x14ac:dyDescent="0.25">
      <c r="A33" s="240" t="s">
        <v>124</v>
      </c>
      <c r="B33" s="245">
        <f t="shared" ref="B33:Y33" si="13">IF(B$7=0,0,B$7/B$5)</f>
        <v>2.5691326110177465E-2</v>
      </c>
      <c r="C33" s="245">
        <f t="shared" si="13"/>
        <v>2.573141375369269E-2</v>
      </c>
      <c r="D33" s="245">
        <f t="shared" si="13"/>
        <v>2.7569222055263118E-2</v>
      </c>
      <c r="E33" s="245">
        <f t="shared" si="13"/>
        <v>2.6583850002142483E-2</v>
      </c>
      <c r="F33" s="245">
        <f t="shared" si="13"/>
        <v>2.4386382024151852E-2</v>
      </c>
      <c r="G33" s="245">
        <f t="shared" si="13"/>
        <v>2.3197122316933369E-2</v>
      </c>
      <c r="H33" s="245">
        <f t="shared" si="13"/>
        <v>2.4417090292736154E-2</v>
      </c>
      <c r="I33" s="245">
        <f t="shared" si="13"/>
        <v>2.4429860273263548E-2</v>
      </c>
      <c r="J33" s="245">
        <f t="shared" si="13"/>
        <v>2.3228835021134885E-2</v>
      </c>
      <c r="K33" s="245">
        <f t="shared" si="13"/>
        <v>2.3750298079395434E-2</v>
      </c>
      <c r="L33" s="245">
        <f t="shared" si="13"/>
        <v>2.1854046804844592E-2</v>
      </c>
      <c r="M33" s="245">
        <f t="shared" si="13"/>
        <v>2.0337932163026849E-2</v>
      </c>
      <c r="N33" s="245">
        <f t="shared" si="13"/>
        <v>2.1003569143565541E-2</v>
      </c>
      <c r="O33" s="245">
        <f t="shared" si="13"/>
        <v>2.0698171406990009E-2</v>
      </c>
      <c r="P33" s="245">
        <f t="shared" si="13"/>
        <v>2.1678059046780516E-2</v>
      </c>
      <c r="Q33" s="245">
        <f t="shared" si="13"/>
        <v>1.9343507947076143E-2</v>
      </c>
      <c r="R33" s="245">
        <f t="shared" si="13"/>
        <v>1.8928810955849761E-2</v>
      </c>
      <c r="S33" s="245">
        <f t="shared" si="13"/>
        <v>2.0385086589271489E-2</v>
      </c>
      <c r="T33" s="245">
        <f t="shared" si="13"/>
        <v>1.9780956890181681E-2</v>
      </c>
      <c r="U33" s="245">
        <f t="shared" si="13"/>
        <v>2.3296268229680041E-2</v>
      </c>
      <c r="V33" s="245">
        <f t="shared" si="13"/>
        <v>2.029750460776272E-2</v>
      </c>
      <c r="W33" s="245">
        <f t="shared" si="13"/>
        <v>1.892546236144246E-2</v>
      </c>
      <c r="X33" s="245">
        <f t="shared" si="13"/>
        <v>1.7882573285355099E-2</v>
      </c>
      <c r="Y33" s="245">
        <f t="shared" si="13"/>
        <v>1.8771821125675495E-2</v>
      </c>
      <c r="DA33" s="276"/>
    </row>
    <row r="34" spans="1:105" x14ac:dyDescent="0.25">
      <c r="A34" s="240" t="s">
        <v>123</v>
      </c>
      <c r="B34" s="245">
        <f t="shared" ref="B34:Y34" si="14">IF(B$8=0,0,B$8/B$5)</f>
        <v>5.1054631340139676E-2</v>
      </c>
      <c r="C34" s="245">
        <f t="shared" si="14"/>
        <v>5.1134294797455515E-2</v>
      </c>
      <c r="D34" s="245">
        <f t="shared" si="14"/>
        <v>5.4786446691372621E-2</v>
      </c>
      <c r="E34" s="245">
        <f t="shared" si="14"/>
        <v>5.2828283586470792E-2</v>
      </c>
      <c r="F34" s="245">
        <f t="shared" si="14"/>
        <v>4.8461404390864361E-2</v>
      </c>
      <c r="G34" s="245">
        <f t="shared" si="14"/>
        <v>4.6098069167943748E-2</v>
      </c>
      <c r="H34" s="245">
        <f t="shared" si="14"/>
        <v>4.8522428851997382E-2</v>
      </c>
      <c r="I34" s="245">
        <f t="shared" si="14"/>
        <v>4.8547805768908943E-2</v>
      </c>
      <c r="J34" s="245">
        <f t="shared" si="14"/>
        <v>4.616108967591067E-2</v>
      </c>
      <c r="K34" s="245">
        <f t="shared" si="14"/>
        <v>4.7197357873310114E-2</v>
      </c>
      <c r="L34" s="245">
        <f t="shared" si="14"/>
        <v>4.342906621972701E-2</v>
      </c>
      <c r="M34" s="245">
        <f t="shared" si="14"/>
        <v>4.0416194335440352E-2</v>
      </c>
      <c r="N34" s="245">
        <f t="shared" si="14"/>
        <v>4.1738969598267429E-2</v>
      </c>
      <c r="O34" s="245">
        <f t="shared" si="14"/>
        <v>4.1132073372431917E-2</v>
      </c>
      <c r="P34" s="245">
        <f t="shared" si="14"/>
        <v>4.3079337674388138E-2</v>
      </c>
      <c r="Q34" s="245">
        <f t="shared" si="14"/>
        <v>3.8440042480789367E-2</v>
      </c>
      <c r="R34" s="245">
        <f t="shared" si="14"/>
        <v>3.7615943253130585E-2</v>
      </c>
      <c r="S34" s="245">
        <f t="shared" si="14"/>
        <v>4.050990113117571E-2</v>
      </c>
      <c r="T34" s="245">
        <f t="shared" si="14"/>
        <v>3.9309355120573285E-2</v>
      </c>
      <c r="U34" s="245">
        <f t="shared" si="14"/>
        <v>4.6295095121468136E-2</v>
      </c>
      <c r="V34" s="245">
        <f t="shared" si="14"/>
        <v>4.0335855394540959E-2</v>
      </c>
      <c r="W34" s="245">
        <f t="shared" si="14"/>
        <v>3.760928881839104E-2</v>
      </c>
      <c r="X34" s="245">
        <f t="shared" si="14"/>
        <v>3.5536826031536017E-2</v>
      </c>
      <c r="Y34" s="245">
        <f t="shared" si="14"/>
        <v>3.7303968002443788E-2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0.37757101984576097</v>
      </c>
      <c r="C35" s="246">
        <f t="shared" si="15"/>
        <v>0.36833401907088925</v>
      </c>
      <c r="D35" s="246">
        <f t="shared" si="15"/>
        <v>0.38295118305709241</v>
      </c>
      <c r="E35" s="246">
        <f t="shared" si="15"/>
        <v>0.37442595687548103</v>
      </c>
      <c r="F35" s="246">
        <f t="shared" si="15"/>
        <v>0.35506939816507804</v>
      </c>
      <c r="G35" s="246">
        <f t="shared" si="15"/>
        <v>0.35240783498204026</v>
      </c>
      <c r="H35" s="246">
        <f t="shared" si="15"/>
        <v>0.35390374843396433</v>
      </c>
      <c r="I35" s="246">
        <f t="shared" si="15"/>
        <v>0.35779101821537074</v>
      </c>
      <c r="J35" s="246">
        <f t="shared" si="15"/>
        <v>0.35429609664072881</v>
      </c>
      <c r="K35" s="246">
        <f t="shared" si="15"/>
        <v>0.35368771701421975</v>
      </c>
      <c r="L35" s="246">
        <f t="shared" si="15"/>
        <v>0.34942982529349798</v>
      </c>
      <c r="M35" s="246">
        <f t="shared" si="15"/>
        <v>0.35437046135764372</v>
      </c>
      <c r="N35" s="246">
        <f t="shared" si="15"/>
        <v>0.34369942993176339</v>
      </c>
      <c r="O35" s="246">
        <f t="shared" si="15"/>
        <v>0.34195616633713621</v>
      </c>
      <c r="P35" s="246">
        <f t="shared" si="15"/>
        <v>0.33606590772265948</v>
      </c>
      <c r="Q35" s="246">
        <f t="shared" si="15"/>
        <v>0.34709040335410452</v>
      </c>
      <c r="R35" s="246">
        <f t="shared" si="15"/>
        <v>0.3478623212480309</v>
      </c>
      <c r="S35" s="246">
        <f t="shared" si="15"/>
        <v>0.34786248570479184</v>
      </c>
      <c r="T35" s="246">
        <f t="shared" si="15"/>
        <v>0.34644537502835643</v>
      </c>
      <c r="U35" s="246">
        <f t="shared" si="15"/>
        <v>0.34729004150807757</v>
      </c>
      <c r="V35" s="246">
        <f t="shared" si="15"/>
        <v>0.34690549630624917</v>
      </c>
      <c r="W35" s="246">
        <f t="shared" si="15"/>
        <v>0.35077561512587635</v>
      </c>
      <c r="X35" s="246">
        <f t="shared" si="15"/>
        <v>0.35891921629595158</v>
      </c>
      <c r="Y35" s="246">
        <f t="shared" si="15"/>
        <v>0.35714153098763962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0.15173333603233302</v>
      </c>
      <c r="C36" s="259">
        <f t="shared" si="16"/>
        <v>0.1628123752879975</v>
      </c>
      <c r="D36" s="259">
        <f t="shared" si="16"/>
        <v>0.15283617842255801</v>
      </c>
      <c r="E36" s="259">
        <f t="shared" si="16"/>
        <v>0.16159425984671433</v>
      </c>
      <c r="F36" s="259">
        <f t="shared" si="16"/>
        <v>0.17311822957767295</v>
      </c>
      <c r="G36" s="259">
        <f t="shared" si="16"/>
        <v>0.17868919581597087</v>
      </c>
      <c r="H36" s="259">
        <f t="shared" si="16"/>
        <v>0.17992149263341597</v>
      </c>
      <c r="I36" s="259">
        <f t="shared" si="16"/>
        <v>0.17863220193837476</v>
      </c>
      <c r="J36" s="259">
        <f t="shared" si="16"/>
        <v>0.18359569255080663</v>
      </c>
      <c r="K36" s="259">
        <f t="shared" si="16"/>
        <v>0.18107210533773957</v>
      </c>
      <c r="L36" s="259">
        <f t="shared" si="16"/>
        <v>0.18661089811430606</v>
      </c>
      <c r="M36" s="259">
        <f t="shared" si="16"/>
        <v>0.17910617196046186</v>
      </c>
      <c r="N36" s="259">
        <f t="shared" si="16"/>
        <v>0.18668754970343135</v>
      </c>
      <c r="O36" s="259">
        <f t="shared" si="16"/>
        <v>0.19386724837123057</v>
      </c>
      <c r="P36" s="259">
        <f t="shared" si="16"/>
        <v>0.19797283356713066</v>
      </c>
      <c r="Q36" s="259">
        <f t="shared" si="16"/>
        <v>0.18634869192277664</v>
      </c>
      <c r="R36" s="259">
        <f t="shared" si="16"/>
        <v>0.18683320039118484</v>
      </c>
      <c r="S36" s="259">
        <f t="shared" si="16"/>
        <v>0.18094359271074181</v>
      </c>
      <c r="T36" s="259">
        <f t="shared" si="16"/>
        <v>0.18744213379118563</v>
      </c>
      <c r="U36" s="259">
        <f t="shared" si="16"/>
        <v>0.17620489206487858</v>
      </c>
      <c r="V36" s="259">
        <f t="shared" si="16"/>
        <v>0.1828303890764667</v>
      </c>
      <c r="W36" s="259">
        <f t="shared" si="16"/>
        <v>0.17952441732419544</v>
      </c>
      <c r="X36" s="259">
        <f t="shared" si="16"/>
        <v>0.17528539149315223</v>
      </c>
      <c r="Y36" s="259">
        <f t="shared" si="16"/>
        <v>0.17670529450921016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0.23391713586118532</v>
      </c>
      <c r="C37" s="259">
        <f t="shared" si="17"/>
        <v>0.23024723408584563</v>
      </c>
      <c r="D37" s="259">
        <f t="shared" si="17"/>
        <v>0.21147041079904536</v>
      </c>
      <c r="E37" s="259">
        <f t="shared" si="17"/>
        <v>0.21835816339836522</v>
      </c>
      <c r="F37" s="259">
        <f t="shared" si="17"/>
        <v>0.24314741947437107</v>
      </c>
      <c r="G37" s="259">
        <f t="shared" si="17"/>
        <v>0.24950443889355611</v>
      </c>
      <c r="H37" s="259">
        <f t="shared" si="17"/>
        <v>0.23633607285106642</v>
      </c>
      <c r="I37" s="259">
        <f t="shared" si="17"/>
        <v>0.23380397035307243</v>
      </c>
      <c r="J37" s="259">
        <f t="shared" si="17"/>
        <v>0.2417826236050134</v>
      </c>
      <c r="K37" s="259">
        <f t="shared" si="17"/>
        <v>0.24086235181807777</v>
      </c>
      <c r="L37" s="259">
        <f t="shared" si="17"/>
        <v>0.25480638434004138</v>
      </c>
      <c r="M37" s="259">
        <f t="shared" si="17"/>
        <v>0.27114844542057376</v>
      </c>
      <c r="N37" s="259">
        <f t="shared" si="17"/>
        <v>0.26761242074575819</v>
      </c>
      <c r="O37" s="259">
        <f t="shared" si="17"/>
        <v>0.26378225515221843</v>
      </c>
      <c r="P37" s="259">
        <f t="shared" si="17"/>
        <v>0.25676220716538756</v>
      </c>
      <c r="Q37" s="259">
        <f t="shared" si="17"/>
        <v>0.27858668677994231</v>
      </c>
      <c r="R37" s="259">
        <f t="shared" si="17"/>
        <v>0.28075760844368558</v>
      </c>
      <c r="S37" s="259">
        <f t="shared" si="17"/>
        <v>0.27517471938861227</v>
      </c>
      <c r="T37" s="259">
        <f t="shared" si="17"/>
        <v>0.27430706006112426</v>
      </c>
      <c r="U37" s="259">
        <f t="shared" si="17"/>
        <v>0.25660570897130358</v>
      </c>
      <c r="V37" s="259">
        <f t="shared" si="17"/>
        <v>0.27472872098473339</v>
      </c>
      <c r="W37" s="259">
        <f t="shared" si="17"/>
        <v>0.28616440952638966</v>
      </c>
      <c r="X37" s="259">
        <f t="shared" si="17"/>
        <v>0.29161309402870444</v>
      </c>
      <c r="Y37" s="259">
        <f t="shared" si="17"/>
        <v>0.28429076389195185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2.0409777515778146E-2</v>
      </c>
      <c r="C38" s="259">
        <f t="shared" si="18"/>
        <v>2.1900028321629385E-2</v>
      </c>
      <c r="D38" s="259">
        <f t="shared" si="18"/>
        <v>2.0558121765025156E-2</v>
      </c>
      <c r="E38" s="259">
        <f t="shared" si="18"/>
        <v>2.1736178598192046E-2</v>
      </c>
      <c r="F38" s="259">
        <f t="shared" si="18"/>
        <v>2.3286277373172591E-2</v>
      </c>
      <c r="G38" s="259">
        <f t="shared" si="18"/>
        <v>2.4035632685886068E-2</v>
      </c>
      <c r="H38" s="259">
        <f t="shared" si="18"/>
        <v>2.4201389958052658E-2</v>
      </c>
      <c r="I38" s="259">
        <f t="shared" si="18"/>
        <v>2.40279663919001E-2</v>
      </c>
      <c r="J38" s="259">
        <f t="shared" si="18"/>
        <v>2.4695609651782038E-2</v>
      </c>
      <c r="K38" s="259">
        <f t="shared" si="18"/>
        <v>2.4356159832070779E-2</v>
      </c>
      <c r="L38" s="259">
        <f t="shared" si="18"/>
        <v>2.5101187465626749E-2</v>
      </c>
      <c r="M38" s="259">
        <f t="shared" si="18"/>
        <v>2.4091720494676058E-2</v>
      </c>
      <c r="N38" s="259">
        <f t="shared" si="18"/>
        <v>2.5111497934777325E-2</v>
      </c>
      <c r="O38" s="259">
        <f t="shared" si="18"/>
        <v>2.6077245187634726E-2</v>
      </c>
      <c r="P38" s="259">
        <f t="shared" si="18"/>
        <v>2.6629490874782447E-2</v>
      </c>
      <c r="Q38" s="259">
        <f t="shared" si="18"/>
        <v>2.5065917892227053E-2</v>
      </c>
      <c r="R38" s="259">
        <f t="shared" si="18"/>
        <v>2.5131089530202582E-2</v>
      </c>
      <c r="S38" s="259">
        <f t="shared" si="18"/>
        <v>2.4338873491484208E-2</v>
      </c>
      <c r="T38" s="259">
        <f t="shared" si="18"/>
        <v>2.5212997669448223E-2</v>
      </c>
      <c r="U38" s="259">
        <f t="shared" si="18"/>
        <v>2.3701466917392059E-2</v>
      </c>
      <c r="V38" s="259">
        <f t="shared" si="18"/>
        <v>2.4592668043485737E-2</v>
      </c>
      <c r="W38" s="259">
        <f t="shared" si="18"/>
        <v>2.4147979027204391E-2</v>
      </c>
      <c r="X38" s="259">
        <f t="shared" si="18"/>
        <v>2.3577784128986441E-2</v>
      </c>
      <c r="Y38" s="259">
        <f t="shared" si="18"/>
        <v>2.3768776467318405E-2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3.9525117092580726E-2</v>
      </c>
      <c r="C39" s="259">
        <f t="shared" si="19"/>
        <v>3.9586790390296465E-2</v>
      </c>
      <c r="D39" s="259">
        <f t="shared" si="19"/>
        <v>4.2414187777327896E-2</v>
      </c>
      <c r="E39" s="259">
        <f t="shared" si="19"/>
        <v>4.0898230772526925E-2</v>
      </c>
      <c r="F39" s="259">
        <f t="shared" si="19"/>
        <v>3.7517510806387488E-2</v>
      </c>
      <c r="G39" s="259">
        <f t="shared" si="19"/>
        <v>3.5687880487589807E-2</v>
      </c>
      <c r="H39" s="259">
        <f t="shared" si="19"/>
        <v>3.7564754296517178E-2</v>
      </c>
      <c r="I39" s="259">
        <f t="shared" si="19"/>
        <v>3.7584400420405464E-2</v>
      </c>
      <c r="J39" s="259">
        <f t="shared" si="19"/>
        <v>3.5736669263284428E-2</v>
      </c>
      <c r="K39" s="259">
        <f t="shared" si="19"/>
        <v>3.653892012214683E-2</v>
      </c>
      <c r="L39" s="259">
        <f t="shared" si="19"/>
        <v>3.3621610468991696E-2</v>
      </c>
      <c r="M39" s="259">
        <f t="shared" si="19"/>
        <v>3.1289126404656691E-2</v>
      </c>
      <c r="N39" s="259">
        <f t="shared" si="19"/>
        <v>3.2313183297793133E-2</v>
      </c>
      <c r="O39" s="259">
        <f t="shared" si="19"/>
        <v>3.1843340626138479E-2</v>
      </c>
      <c r="P39" s="259">
        <f t="shared" si="19"/>
        <v>3.3350860071970044E-2</v>
      </c>
      <c r="Q39" s="259">
        <f t="shared" si="19"/>
        <v>2.9759242995501773E-2</v>
      </c>
      <c r="R39" s="259">
        <f t="shared" si="19"/>
        <v>2.9121247624384266E-2</v>
      </c>
      <c r="S39" s="259">
        <f t="shared" si="19"/>
        <v>3.1361671675802325E-2</v>
      </c>
      <c r="T39" s="259">
        <f t="shared" si="19"/>
        <v>3.043224136951031E-2</v>
      </c>
      <c r="U39" s="259">
        <f t="shared" si="19"/>
        <v>3.5840412661046241E-2</v>
      </c>
      <c r="V39" s="259">
        <f t="shared" si="19"/>
        <v>3.1226930165788817E-2</v>
      </c>
      <c r="W39" s="259">
        <f t="shared" si="19"/>
        <v>2.9116095940680722E-2</v>
      </c>
      <c r="X39" s="259">
        <f t="shared" si="19"/>
        <v>2.7511651208238615E-2</v>
      </c>
      <c r="Y39" s="259">
        <f t="shared" si="19"/>
        <v>2.8879724808731546E-2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6.0238837643385536E-2</v>
      </c>
      <c r="C40" s="261">
        <f t="shared" si="20"/>
        <v>6.0332831742361342E-2</v>
      </c>
      <c r="D40" s="261">
        <f t="shared" si="20"/>
        <v>6.4641968430097813E-2</v>
      </c>
      <c r="E40" s="261">
        <f t="shared" si="20"/>
        <v>6.2331551798752771E-2</v>
      </c>
      <c r="F40" s="261">
        <f t="shared" si="20"/>
        <v>5.7179115673617213E-2</v>
      </c>
      <c r="G40" s="261">
        <f t="shared" si="20"/>
        <v>5.4390640601846799E-2</v>
      </c>
      <c r="H40" s="261">
        <f t="shared" si="20"/>
        <v>5.7251117811522693E-2</v>
      </c>
      <c r="I40" s="261">
        <f t="shared" si="20"/>
        <v>5.7281059776386596E-2</v>
      </c>
      <c r="J40" s="261">
        <f t="shared" si="20"/>
        <v>5.4464997855008218E-2</v>
      </c>
      <c r="K40" s="261">
        <f t="shared" si="20"/>
        <v>5.5687680108499879E-2</v>
      </c>
      <c r="L40" s="261">
        <f t="shared" si="20"/>
        <v>5.1241511305501426E-2</v>
      </c>
      <c r="M40" s="261">
        <f t="shared" si="20"/>
        <v>4.7686654566477756E-2</v>
      </c>
      <c r="N40" s="261">
        <f t="shared" si="20"/>
        <v>4.9247383577823683E-2</v>
      </c>
      <c r="O40" s="261">
        <f t="shared" si="20"/>
        <v>4.8531312924587074E-2</v>
      </c>
      <c r="P40" s="261">
        <f t="shared" si="20"/>
        <v>5.0828870169742947E-2</v>
      </c>
      <c r="Q40" s="261">
        <f t="shared" si="20"/>
        <v>4.5355013193182699E-2</v>
      </c>
      <c r="R40" s="261">
        <f t="shared" si="20"/>
        <v>4.4382666938320062E-2</v>
      </c>
      <c r="S40" s="261">
        <f t="shared" si="20"/>
        <v>4.7797218256905319E-2</v>
      </c>
      <c r="T40" s="261">
        <f t="shared" si="20"/>
        <v>4.6380706290845196E-2</v>
      </c>
      <c r="U40" s="261">
        <f t="shared" si="20"/>
        <v>5.4623109510432456E-2</v>
      </c>
      <c r="V40" s="261">
        <f t="shared" si="20"/>
        <v>4.7591863471326414E-2</v>
      </c>
      <c r="W40" s="261">
        <f t="shared" si="20"/>
        <v>4.4374815438791751E-2</v>
      </c>
      <c r="X40" s="261">
        <f t="shared" si="20"/>
        <v>4.1929537781068962E-2</v>
      </c>
      <c r="Y40" s="261">
        <f t="shared" si="20"/>
        <v>4.4014570529011518E-2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0.40964478916863389</v>
      </c>
      <c r="C44" s="237">
        <f>IF(C$5=0,0,C$5/AGR_fec!C$5)</f>
        <v>0.40764291362846566</v>
      </c>
      <c r="D44" s="237">
        <f>IF(D$5=0,0,D$5/AGR_fec!D$5)</f>
        <v>0.41825727068549412</v>
      </c>
      <c r="E44" s="237">
        <f>IF(E$5=0,0,E$5/AGR_fec!E$5)</f>
        <v>0.41200864736066012</v>
      </c>
      <c r="F44" s="237">
        <f>IF(F$5=0,0,F$5/AGR_fec!F$5)</f>
        <v>0.39712582883598396</v>
      </c>
      <c r="G44" s="237">
        <f>IF(G$5=0,0,G$5/AGR_fec!G$5)</f>
        <v>0.3938499716368144</v>
      </c>
      <c r="H44" s="237">
        <f>IF(H$5=0,0,H$5/AGR_fec!H$5)</f>
        <v>0.39840566951959638</v>
      </c>
      <c r="I44" s="237">
        <f>IF(I$5=0,0,I$5/AGR_fec!I$5)</f>
        <v>0.39922260249263586</v>
      </c>
      <c r="J44" s="237">
        <f>IF(J$5=0,0,J$5/AGR_fec!J$5)</f>
        <v>0.39470805747218368</v>
      </c>
      <c r="K44" s="237">
        <f>IF(K$5=0,0,K$5/AGR_fec!K$5)</f>
        <v>0.39550375920450531</v>
      </c>
      <c r="L44" s="237">
        <f>IF(L$5=0,0,L$5/AGR_fec!L$5)</f>
        <v>0.38941996345025831</v>
      </c>
      <c r="M44" s="237">
        <f>IF(M$5=0,0,M$5/AGR_fec!M$5)</f>
        <v>0.38640464360913396</v>
      </c>
      <c r="N44" s="237">
        <f>IF(N$5=0,0,N$5/AGR_fec!N$5)</f>
        <v>0.38369635369846294</v>
      </c>
      <c r="O44" s="237">
        <f>IF(O$5=0,0,O$5/AGR_fec!O$5)</f>
        <v>0.38439094667139506</v>
      </c>
      <c r="P44" s="237">
        <f>IF(P$5=0,0,P$5/AGR_fec!P$5)</f>
        <v>0.38279549768694227</v>
      </c>
      <c r="Q44" s="237">
        <f>IF(Q$5=0,0,Q$5/AGR_fec!Q$5)</f>
        <v>0.38096548048635404</v>
      </c>
      <c r="R44" s="237">
        <f>IF(R$5=0,0,R$5/AGR_fec!R$5)</f>
        <v>0.37988725996769324</v>
      </c>
      <c r="S44" s="237">
        <f>IF(S$5=0,0,S$5/AGR_fec!S$5)</f>
        <v>0.38375965698796144</v>
      </c>
      <c r="T44" s="237">
        <f>IF(T$5=0,0,T$5/AGR_fec!T$5)</f>
        <v>0.38215502846682264</v>
      </c>
      <c r="U44" s="237">
        <f>IF(U$5=0,0,U$5/AGR_fec!U$5)</f>
        <v>0.39129987122642307</v>
      </c>
      <c r="V44" s="237">
        <f>IF(V$5=0,0,V$5/AGR_fec!V$5)</f>
        <v>0.3838824291955229</v>
      </c>
      <c r="W44" s="237">
        <f>IF(W$5=0,0,W$5/AGR_fec!W$5)</f>
        <v>0.38216014708443413</v>
      </c>
      <c r="X44" s="237">
        <f>IF(X$5=0,0,X$5/AGR_fec!X$5)</f>
        <v>0.38235660515058845</v>
      </c>
      <c r="Y44" s="237">
        <f>IF(Y$5=0,0,Y$5/AGR_fec!Y$5)</f>
        <v>0.38453009845226499</v>
      </c>
      <c r="DA44" s="286"/>
    </row>
    <row r="45" spans="1:105" x14ac:dyDescent="0.25">
      <c r="A45" s="238" t="s">
        <v>125</v>
      </c>
      <c r="B45" s="250">
        <f>IF(B$6=0,0,B$6/AGR_fec!B$6)</f>
        <v>0.44851399924846902</v>
      </c>
      <c r="C45" s="250">
        <f>IF(C$6=0,0,C$6/AGR_fec!C$6)</f>
        <v>0.44851399924846902</v>
      </c>
      <c r="D45" s="250">
        <f>IF(D$6=0,0,D$6/AGR_fec!D$6)</f>
        <v>0.44851399924846902</v>
      </c>
      <c r="E45" s="250">
        <f>IF(E$6=0,0,E$6/AGR_fec!E$6)</f>
        <v>0.44851399924846902</v>
      </c>
      <c r="F45" s="250">
        <f>IF(F$6=0,0,F$6/AGR_fec!F$6)</f>
        <v>0.44851399924846902</v>
      </c>
      <c r="G45" s="250">
        <f>IF(G$6=0,0,G$6/AGR_fec!G$6)</f>
        <v>0.44851399924846902</v>
      </c>
      <c r="H45" s="250">
        <f>IF(H$6=0,0,H$6/AGR_fec!H$6)</f>
        <v>0.44851399924846896</v>
      </c>
      <c r="I45" s="250">
        <f>IF(I$6=0,0,I$6/AGR_fec!I$6)</f>
        <v>0.44851399924846896</v>
      </c>
      <c r="J45" s="250">
        <f>IF(J$6=0,0,J$6/AGR_fec!J$6)</f>
        <v>0.44851399924846908</v>
      </c>
      <c r="K45" s="250">
        <f>IF(K$6=0,0,K$6/AGR_fec!K$6)</f>
        <v>0.44851399924846908</v>
      </c>
      <c r="L45" s="250">
        <f>IF(L$6=0,0,L$6/AGR_fec!L$6)</f>
        <v>0.44851399924846885</v>
      </c>
      <c r="M45" s="250">
        <f>IF(M$6=0,0,M$6/AGR_fec!M$6)</f>
        <v>0.44851399924846902</v>
      </c>
      <c r="N45" s="250">
        <f>IF(N$6=0,0,N$6/AGR_fec!N$6)</f>
        <v>0.44851399924846908</v>
      </c>
      <c r="O45" s="250">
        <f>IF(O$6=0,0,O$6/AGR_fec!O$6)</f>
        <v>0.4485139992484688</v>
      </c>
      <c r="P45" s="250">
        <f>IF(P$6=0,0,P$6/AGR_fec!P$6)</f>
        <v>0.44851399924846896</v>
      </c>
      <c r="Q45" s="250">
        <f>IF(Q$6=0,0,Q$6/AGR_fec!Q$6)</f>
        <v>0.44851399924846908</v>
      </c>
      <c r="R45" s="250">
        <f>IF(R$6=0,0,R$6/AGR_fec!R$6)</f>
        <v>0.44851399924846885</v>
      </c>
      <c r="S45" s="250">
        <f>IF(S$6=0,0,S$6/AGR_fec!S$6)</f>
        <v>0.44851399924846896</v>
      </c>
      <c r="T45" s="250">
        <f>IF(T$6=0,0,T$6/AGR_fec!T$6)</f>
        <v>0.44851399924846891</v>
      </c>
      <c r="U45" s="250">
        <f>IF(U$6=0,0,U$6/AGR_fec!U$6)</f>
        <v>0.44851399924846902</v>
      </c>
      <c r="V45" s="250">
        <f>IF(V$6=0,0,V$6/AGR_fec!V$6)</f>
        <v>0.44851399924846902</v>
      </c>
      <c r="W45" s="250">
        <f>IF(W$6=0,0,W$6/AGR_fec!W$6)</f>
        <v>0.44851399924846902</v>
      </c>
      <c r="X45" s="250">
        <f>IF(X$6=0,0,X$6/AGR_fec!X$6)</f>
        <v>0.4485139992484688</v>
      </c>
      <c r="Y45" s="250">
        <f>IF(Y$6=0,0,Y$6/AGR_fec!Y$6)</f>
        <v>0.44851399924846896</v>
      </c>
      <c r="DA45" s="287"/>
    </row>
    <row r="46" spans="1:105" x14ac:dyDescent="0.25">
      <c r="A46" s="240" t="s">
        <v>124</v>
      </c>
      <c r="B46" s="251">
        <f>IF(B$7=0,0,B$7/AGR_fec!B$7)</f>
        <v>0.44475900137050367</v>
      </c>
      <c r="C46" s="251">
        <f>IF(C$7=0,0,C$7/AGR_fec!C$7)</f>
        <v>0.4447590013705035</v>
      </c>
      <c r="D46" s="251">
        <f>IF(D$7=0,0,D$7/AGR_fec!D$7)</f>
        <v>0.44475900137050339</v>
      </c>
      <c r="E46" s="251">
        <f>IF(E$7=0,0,E$7/AGR_fec!E$7)</f>
        <v>0.44475900137050345</v>
      </c>
      <c r="F46" s="251">
        <f>IF(F$7=0,0,F$7/AGR_fec!F$7)</f>
        <v>0.4447590013705035</v>
      </c>
      <c r="G46" s="251">
        <f>IF(G$7=0,0,G$7/AGR_fec!G$7)</f>
        <v>0.44475900137050345</v>
      </c>
      <c r="H46" s="251">
        <f>IF(H$7=0,0,H$7/AGR_fec!H$7)</f>
        <v>0.44475900137050334</v>
      </c>
      <c r="I46" s="251">
        <f>IF(I$7=0,0,I$7/AGR_fec!I$7)</f>
        <v>0.44475900137050356</v>
      </c>
      <c r="J46" s="251">
        <f>IF(J$7=0,0,J$7/AGR_fec!J$7)</f>
        <v>0.44475900137050361</v>
      </c>
      <c r="K46" s="251">
        <f>IF(K$7=0,0,K$7/AGR_fec!K$7)</f>
        <v>0.44475900137050339</v>
      </c>
      <c r="L46" s="251">
        <f>IF(L$7=0,0,L$7/AGR_fec!L$7)</f>
        <v>0.44475900137050356</v>
      </c>
      <c r="M46" s="251">
        <f>IF(M$7=0,0,M$7/AGR_fec!M$7)</f>
        <v>0.44475900137050373</v>
      </c>
      <c r="N46" s="251">
        <f>IF(N$7=0,0,N$7/AGR_fec!N$7)</f>
        <v>0.44475900137050361</v>
      </c>
      <c r="O46" s="251">
        <f>IF(O$7=0,0,O$7/AGR_fec!O$7)</f>
        <v>0.44475900137050345</v>
      </c>
      <c r="P46" s="251">
        <f>IF(P$7=0,0,P$7/AGR_fec!P$7)</f>
        <v>0.44475900137050339</v>
      </c>
      <c r="Q46" s="251">
        <f>IF(Q$7=0,0,Q$7/AGR_fec!Q$7)</f>
        <v>0.4447590013705035</v>
      </c>
      <c r="R46" s="251">
        <f>IF(R$7=0,0,R$7/AGR_fec!R$7)</f>
        <v>0.44475900137050339</v>
      </c>
      <c r="S46" s="251">
        <f>IF(S$7=0,0,S$7/AGR_fec!S$7)</f>
        <v>0.44475900137050334</v>
      </c>
      <c r="T46" s="251">
        <f>IF(T$7=0,0,T$7/AGR_fec!T$7)</f>
        <v>0.44475900137050334</v>
      </c>
      <c r="U46" s="251">
        <f>IF(U$7=0,0,U$7/AGR_fec!U$7)</f>
        <v>0.44475900137050339</v>
      </c>
      <c r="V46" s="251">
        <f>IF(V$7=0,0,V$7/AGR_fec!V$7)</f>
        <v>0.44475900137050339</v>
      </c>
      <c r="W46" s="251">
        <f>IF(W$7=0,0,W$7/AGR_fec!W$7)</f>
        <v>0.4447590013705035</v>
      </c>
      <c r="X46" s="251">
        <f>IF(X$7=0,0,X$7/AGR_fec!X$7)</f>
        <v>0.44475900137050361</v>
      </c>
      <c r="Y46" s="251">
        <f>IF(Y$7=0,0,Y$7/AGR_fec!Y$7)</f>
        <v>0.4447590013705035</v>
      </c>
      <c r="DA46" s="288"/>
    </row>
    <row r="47" spans="1:105" x14ac:dyDescent="0.25">
      <c r="A47" s="240" t="s">
        <v>123</v>
      </c>
      <c r="B47" s="251">
        <f>IF(B$8=0,0,B$8/AGR_fec!B$8)</f>
        <v>0.63832847230316658</v>
      </c>
      <c r="C47" s="251">
        <f>IF(C$8=0,0,C$8/AGR_fec!C$8)</f>
        <v>0.63832847230316647</v>
      </c>
      <c r="D47" s="251">
        <f>IF(D$8=0,0,D$8/AGR_fec!D$8)</f>
        <v>0.63832847230316669</v>
      </c>
      <c r="E47" s="251">
        <f>IF(E$8=0,0,E$8/AGR_fec!E$8)</f>
        <v>0.63832847230316658</v>
      </c>
      <c r="F47" s="251">
        <f>IF(F$8=0,0,F$8/AGR_fec!F$8)</f>
        <v>0.63832847230316658</v>
      </c>
      <c r="G47" s="251">
        <f>IF(G$8=0,0,G$8/AGR_fec!G$8)</f>
        <v>0.63832847230316647</v>
      </c>
      <c r="H47" s="251">
        <f>IF(H$8=0,0,H$8/AGR_fec!H$8)</f>
        <v>0.63832847230316681</v>
      </c>
      <c r="I47" s="251">
        <f>IF(I$8=0,0,I$8/AGR_fec!I$8)</f>
        <v>0.63832847230316647</v>
      </c>
      <c r="J47" s="251">
        <f>IF(J$8=0,0,J$8/AGR_fec!J$8)</f>
        <v>0.63832847230316658</v>
      </c>
      <c r="K47" s="251">
        <f>IF(K$8=0,0,K$8/AGR_fec!K$8)</f>
        <v>0.63832847230316647</v>
      </c>
      <c r="L47" s="251">
        <f>IF(L$8=0,0,L$8/AGR_fec!L$8)</f>
        <v>0.63832847230316636</v>
      </c>
      <c r="M47" s="251">
        <f>IF(M$8=0,0,M$8/AGR_fec!M$8)</f>
        <v>0.63832847230316636</v>
      </c>
      <c r="N47" s="251">
        <f>IF(N$8=0,0,N$8/AGR_fec!N$8)</f>
        <v>0.63832847230316636</v>
      </c>
      <c r="O47" s="251">
        <f>IF(O$8=0,0,O$8/AGR_fec!O$8)</f>
        <v>0.63832847230316647</v>
      </c>
      <c r="P47" s="251">
        <f>IF(P$8=0,0,P$8/AGR_fec!P$8)</f>
        <v>0.63832847230316658</v>
      </c>
      <c r="Q47" s="251">
        <f>IF(Q$8=0,0,Q$8/AGR_fec!Q$8)</f>
        <v>0.63832847230316658</v>
      </c>
      <c r="R47" s="251">
        <f>IF(R$8=0,0,R$8/AGR_fec!R$8)</f>
        <v>0.63832847230316681</v>
      </c>
      <c r="S47" s="251">
        <f>IF(S$8=0,0,S$8/AGR_fec!S$8)</f>
        <v>0.63832847230316658</v>
      </c>
      <c r="T47" s="251">
        <f>IF(T$8=0,0,T$8/AGR_fec!T$8)</f>
        <v>0.63832847230316681</v>
      </c>
      <c r="U47" s="251">
        <f>IF(U$8=0,0,U$8/AGR_fec!U$8)</f>
        <v>0.63832847230316669</v>
      </c>
      <c r="V47" s="251">
        <f>IF(V$8=0,0,V$8/AGR_fec!V$8)</f>
        <v>0.63832847230316658</v>
      </c>
      <c r="W47" s="251">
        <f>IF(W$8=0,0,W$8/AGR_fec!W$8)</f>
        <v>0.63832847230316669</v>
      </c>
      <c r="X47" s="251">
        <f>IF(X$8=0,0,X$8/AGR_fec!X$8)</f>
        <v>0.63832847230316669</v>
      </c>
      <c r="Y47" s="251">
        <f>IF(Y$8=0,0,Y$8/AGR_fec!Y$8)</f>
        <v>0.63832847230316658</v>
      </c>
      <c r="DA47" s="288"/>
    </row>
    <row r="48" spans="1:105" x14ac:dyDescent="0.25">
      <c r="A48" s="242" t="s">
        <v>122</v>
      </c>
      <c r="B48" s="252">
        <f>IF(B$9=0,0,B$9/AGR_fec!B$9)</f>
        <v>0.6823833615429824</v>
      </c>
      <c r="C48" s="252">
        <f>IF(C$9=0,0,C$9/AGR_fec!C$9)</f>
        <v>0.67657557596156914</v>
      </c>
      <c r="D48" s="252">
        <f>IF(D$9=0,0,D$9/AGR_fec!D$9)</f>
        <v>0.69575634791936147</v>
      </c>
      <c r="E48" s="252">
        <f>IF(E$9=0,0,E$9/AGR_fec!E$9)</f>
        <v>0.68326047958194702</v>
      </c>
      <c r="F48" s="252">
        <f>IF(F$9=0,0,F$9/AGR_fec!F$9)</f>
        <v>0.66573351414543536</v>
      </c>
      <c r="G48" s="252">
        <f>IF(G$9=0,0,G$9/AGR_fec!G$9)</f>
        <v>0.65530303245215005</v>
      </c>
      <c r="H48" s="252">
        <f>IF(H$9=0,0,H$9/AGR_fec!H$9)</f>
        <v>0.66015369878452468</v>
      </c>
      <c r="I48" s="252">
        <f>IF(I$9=0,0,I$9/AGR_fec!I$9)</f>
        <v>0.66112638185248296</v>
      </c>
      <c r="J48" s="252">
        <f>IF(J$9=0,0,J$9/AGR_fec!J$9)</f>
        <v>0.65243181746421364</v>
      </c>
      <c r="K48" s="252">
        <f>IF(K$9=0,0,K$9/AGR_fec!K$9)</f>
        <v>0.6565721184419997</v>
      </c>
      <c r="L48" s="252">
        <f>IF(L$9=0,0,L$9/AGR_fec!L$9)</f>
        <v>0.64525925561535791</v>
      </c>
      <c r="M48" s="252">
        <f>IF(M$9=0,0,M$9/AGR_fec!M$9)</f>
        <v>0.64349917928082168</v>
      </c>
      <c r="N48" s="252">
        <f>IF(N$9=0,0,N$9/AGR_fec!N$9)</f>
        <v>0.64174889109442912</v>
      </c>
      <c r="O48" s="252">
        <f>IF(O$9=0,0,O$9/AGR_fec!O$9)</f>
        <v>0.63669155120385801</v>
      </c>
      <c r="P48" s="252">
        <f>IF(P$9=0,0,P$9/AGR_fec!P$9)</f>
        <v>0.6371842145753146</v>
      </c>
      <c r="Q48" s="252">
        <f>IF(Q$9=0,0,Q$9/AGR_fec!Q$9)</f>
        <v>0.63668308328815049</v>
      </c>
      <c r="R48" s="252">
        <f>IF(R$9=0,0,R$9/AGR_fec!R$9)</f>
        <v>0.63559307079088723</v>
      </c>
      <c r="S48" s="252">
        <f>IF(S$9=0,0,S$9/AGR_fec!S$9)</f>
        <v>0.64234909113778138</v>
      </c>
      <c r="T48" s="252">
        <f>IF(T$9=0,0,T$9/AGR_fec!T$9)</f>
        <v>0.63761423065507628</v>
      </c>
      <c r="U48" s="252">
        <f>IF(U$9=0,0,U$9/AGR_fec!U$9)</f>
        <v>0.65728158734246167</v>
      </c>
      <c r="V48" s="252">
        <f>IF(V$9=0,0,V$9/AGR_fec!V$9)</f>
        <v>0.64131481113533528</v>
      </c>
      <c r="W48" s="252">
        <f>IF(W$9=0,0,W$9/AGR_fec!W$9)</f>
        <v>0.63874830251689307</v>
      </c>
      <c r="X48" s="252">
        <f>IF(X$9=0,0,X$9/AGR_fec!X$9)</f>
        <v>0.63831888485027455</v>
      </c>
      <c r="Y48" s="252">
        <f>IF(Y$9=0,0,Y$9/AGR_fec!Y$9)</f>
        <v>0.63996136092339639</v>
      </c>
      <c r="DA48" s="289"/>
    </row>
    <row r="49" spans="1:105" x14ac:dyDescent="0.25">
      <c r="A49" s="127" t="s">
        <v>168</v>
      </c>
      <c r="B49" s="264">
        <f>IF(B$16=0,0,B$16/AGR_fec!B$16)</f>
        <v>0.32094751757816176</v>
      </c>
      <c r="C49" s="264">
        <f>IF(C$16=0,0,C$16/AGR_fec!C$16)</f>
        <v>0.32094751757816176</v>
      </c>
      <c r="D49" s="264">
        <f>IF(D$16=0,0,D$16/AGR_fec!D$16)</f>
        <v>0.3209475175781617</v>
      </c>
      <c r="E49" s="264">
        <f>IF(E$16=0,0,E$16/AGR_fec!E$16)</f>
        <v>0.32094751757816176</v>
      </c>
      <c r="F49" s="264">
        <f>IF(F$16=0,0,F$16/AGR_fec!F$16)</f>
        <v>0.32094751757816153</v>
      </c>
      <c r="G49" s="264">
        <f>IF(G$16=0,0,G$16/AGR_fec!G$16)</f>
        <v>0.3209475175781617</v>
      </c>
      <c r="H49" s="264">
        <f>IF(H$16=0,0,H$16/AGR_fec!H$16)</f>
        <v>0.32094751757816181</v>
      </c>
      <c r="I49" s="264">
        <f>IF(I$16=0,0,I$16/AGR_fec!I$16)</f>
        <v>0.32094751757816165</v>
      </c>
      <c r="J49" s="264">
        <f>IF(J$16=0,0,J$16/AGR_fec!J$16)</f>
        <v>0.32094751757816153</v>
      </c>
      <c r="K49" s="264">
        <f>IF(K$16=0,0,K$16/AGR_fec!K$16)</f>
        <v>0.3209475175781617</v>
      </c>
      <c r="L49" s="264">
        <f>IF(L$16=0,0,L$16/AGR_fec!L$16)</f>
        <v>0.32094751757816176</v>
      </c>
      <c r="M49" s="264">
        <f>IF(M$16=0,0,M$16/AGR_fec!M$16)</f>
        <v>0.32094751757816165</v>
      </c>
      <c r="N49" s="264">
        <f>IF(N$16=0,0,N$16/AGR_fec!N$16)</f>
        <v>0.32094751757816176</v>
      </c>
      <c r="O49" s="264">
        <f>IF(O$16=0,0,O$16/AGR_fec!O$16)</f>
        <v>0.32094751757816159</v>
      </c>
      <c r="P49" s="264">
        <f>IF(P$16=0,0,P$16/AGR_fec!P$16)</f>
        <v>0.32094751757816165</v>
      </c>
      <c r="Q49" s="264">
        <f>IF(Q$16=0,0,Q$16/AGR_fec!Q$16)</f>
        <v>0.32094751757816165</v>
      </c>
      <c r="R49" s="264">
        <f>IF(R$16=0,0,R$16/AGR_fec!R$16)</f>
        <v>0.32094751757816176</v>
      </c>
      <c r="S49" s="264">
        <f>IF(S$16=0,0,S$16/AGR_fec!S$16)</f>
        <v>0.3209475175781617</v>
      </c>
      <c r="T49" s="264">
        <f>IF(T$16=0,0,T$16/AGR_fec!T$16)</f>
        <v>0.3209475175781617</v>
      </c>
      <c r="U49" s="264">
        <f>IF(U$16=0,0,U$16/AGR_fec!U$16)</f>
        <v>0.32094751757816165</v>
      </c>
      <c r="V49" s="264">
        <f>IF(V$16=0,0,V$16/AGR_fec!V$16)</f>
        <v>0.32094751757816176</v>
      </c>
      <c r="W49" s="264">
        <f>IF(W$16=0,0,W$16/AGR_fec!W$16)</f>
        <v>0.32094751757816165</v>
      </c>
      <c r="X49" s="264">
        <f>IF(X$16=0,0,X$16/AGR_fec!X$16)</f>
        <v>0.32094751757816159</v>
      </c>
      <c r="Y49" s="264">
        <f>IF(Y$16=0,0,Y$16/AGR_fec!Y$16)</f>
        <v>0.32094751757816159</v>
      </c>
      <c r="DA49" s="290"/>
    </row>
    <row r="50" spans="1:105" x14ac:dyDescent="0.25">
      <c r="A50" s="127" t="s">
        <v>121</v>
      </c>
      <c r="B50" s="264">
        <f>IF(B$17=0,0,B$17/AGR_fec!B$17)</f>
        <v>0.26585385018306229</v>
      </c>
      <c r="C50" s="264">
        <f>IF(C$17=0,0,C$17/AGR_fec!C$17)</f>
        <v>0.26806730701293635</v>
      </c>
      <c r="D50" s="264">
        <f>IF(D$17=0,0,D$17/AGR_fec!D$17)</f>
        <v>0.26568920338088409</v>
      </c>
      <c r="E50" s="264">
        <f>IF(E$17=0,0,E$17/AGR_fec!E$17)</f>
        <v>0.26657856767706567</v>
      </c>
      <c r="F50" s="264">
        <f>IF(F$17=0,0,F$17/AGR_fec!F$17)</f>
        <v>0.26431295441290531</v>
      </c>
      <c r="G50" s="264">
        <f>IF(G$17=0,0,G$17/AGR_fec!G$17)</f>
        <v>0.26647505776930891</v>
      </c>
      <c r="H50" s="264">
        <f>IF(H$17=0,0,H$17/AGR_fec!H$17)</f>
        <v>0.26756364354965767</v>
      </c>
      <c r="I50" s="264">
        <f>IF(I$17=0,0,I$17/AGR_fec!I$17)</f>
        <v>0.26640377278907074</v>
      </c>
      <c r="J50" s="264">
        <f>IF(J$17=0,0,J$17/AGR_fec!J$17)</f>
        <v>0.26664452644735143</v>
      </c>
      <c r="K50" s="264">
        <f>IF(K$17=0,0,K$17/AGR_fec!K$17)</f>
        <v>0.26574428034294895</v>
      </c>
      <c r="L50" s="264">
        <f>IF(L$17=0,0,L$17/AGR_fec!L$17)</f>
        <v>0.2667440640967404</v>
      </c>
      <c r="M50" s="264">
        <f>IF(M$17=0,0,M$17/AGR_fec!M$17)</f>
        <v>0.2657732465486865</v>
      </c>
      <c r="N50" s="264">
        <f>IF(N$17=0,0,N$17/AGR_fec!N$17)</f>
        <v>0.26393207793296403</v>
      </c>
      <c r="O50" s="264">
        <f>IF(O$17=0,0,O$17/AGR_fec!O$17)</f>
        <v>0.26743765239237299</v>
      </c>
      <c r="P50" s="264">
        <f>IF(P$17=0,0,P$17/AGR_fec!P$17)</f>
        <v>0.2634441242549766</v>
      </c>
      <c r="Q50" s="264">
        <f>IF(Q$17=0,0,Q$17/AGR_fec!Q$17)</f>
        <v>0.26456238952295824</v>
      </c>
      <c r="R50" s="264">
        <f>IF(R$17=0,0,R$17/AGR_fec!R$17)</f>
        <v>0.26394860366490447</v>
      </c>
      <c r="S50" s="264">
        <f>IF(S$17=0,0,S$17/AGR_fec!S$17)</f>
        <v>0.26470137338472133</v>
      </c>
      <c r="T50" s="264">
        <f>IF(T$17=0,0,T$17/AGR_fec!T$17)</f>
        <v>0.2650260982337746</v>
      </c>
      <c r="U50" s="264">
        <f>IF(U$17=0,0,U$17/AGR_fec!U$17)</f>
        <v>0.26460208583722367</v>
      </c>
      <c r="V50" s="264">
        <f>IF(V$17=0,0,V$17/AGR_fec!V$17)</f>
        <v>0.26573148063039531</v>
      </c>
      <c r="W50" s="264">
        <f>IF(W$17=0,0,W$17/AGR_fec!W$17)</f>
        <v>0.26660222524468097</v>
      </c>
      <c r="X50" s="264">
        <f>IF(X$17=0,0,X$17/AGR_fec!X$17)</f>
        <v>0.26687701260884639</v>
      </c>
      <c r="Y50" s="264">
        <f>IF(Y$17=0,0,Y$17/AGR_fec!Y$17)</f>
        <v>0.26782714457856832</v>
      </c>
      <c r="DA50" s="290"/>
    </row>
    <row r="51" spans="1:105" x14ac:dyDescent="0.25">
      <c r="A51" s="127" t="s">
        <v>167</v>
      </c>
      <c r="B51" s="264">
        <f>IF(B$25=0,0,B$25/AGR_fec!B$25)</f>
        <v>0.22466326230471315</v>
      </c>
      <c r="C51" s="264">
        <f>IF(C$25=0,0,C$25/AGR_fec!C$25)</f>
        <v>0.22466326230471309</v>
      </c>
      <c r="D51" s="264">
        <f>IF(D$25=0,0,D$25/AGR_fec!D$25)</f>
        <v>0.22466326230471323</v>
      </c>
      <c r="E51" s="264">
        <f>IF(E$25=0,0,E$25/AGR_fec!E$25)</f>
        <v>0.22466326230471306</v>
      </c>
      <c r="F51" s="264">
        <f>IF(F$25=0,0,F$25/AGR_fec!F$25)</f>
        <v>0.2246632623047132</v>
      </c>
      <c r="G51" s="264">
        <f>IF(G$25=0,0,G$25/AGR_fec!G$25)</f>
        <v>0.22466326230471315</v>
      </c>
      <c r="H51" s="264">
        <f>IF(H$25=0,0,H$25/AGR_fec!H$25)</f>
        <v>0.2246632623047132</v>
      </c>
      <c r="I51" s="264">
        <f>IF(I$25=0,0,I$25/AGR_fec!I$25)</f>
        <v>0.22466326230471323</v>
      </c>
      <c r="J51" s="264">
        <f>IF(J$25=0,0,J$25/AGR_fec!J$25)</f>
        <v>0.22466326230471309</v>
      </c>
      <c r="K51" s="264">
        <f>IF(K$25=0,0,K$25/AGR_fec!K$25)</f>
        <v>0.22466326230471309</v>
      </c>
      <c r="L51" s="264">
        <f>IF(L$25=0,0,L$25/AGR_fec!L$25)</f>
        <v>0.22466326230471317</v>
      </c>
      <c r="M51" s="264">
        <f>IF(M$25=0,0,M$25/AGR_fec!M$25)</f>
        <v>0.22466326230471309</v>
      </c>
      <c r="N51" s="264">
        <f>IF(N$25=0,0,N$25/AGR_fec!N$25)</f>
        <v>0.22466326230471306</v>
      </c>
      <c r="O51" s="264">
        <f>IF(O$25=0,0,O$25/AGR_fec!O$25)</f>
        <v>0.22466326230471323</v>
      </c>
      <c r="P51" s="264">
        <f>IF(P$25=0,0,P$25/AGR_fec!P$25)</f>
        <v>0.22466326230471317</v>
      </c>
      <c r="Q51" s="264">
        <f>IF(Q$25=0,0,Q$25/AGR_fec!Q$25)</f>
        <v>0.22466326230471317</v>
      </c>
      <c r="R51" s="264">
        <f>IF(R$25=0,0,R$25/AGR_fec!R$25)</f>
        <v>0.22466326230471309</v>
      </c>
      <c r="S51" s="264">
        <f>IF(S$25=0,0,S$25/AGR_fec!S$25)</f>
        <v>0.2246632623047132</v>
      </c>
      <c r="T51" s="264">
        <f>IF(T$25=0,0,T$25/AGR_fec!T$25)</f>
        <v>0.22466326230471309</v>
      </c>
      <c r="U51" s="264">
        <f>IF(U$25=0,0,U$25/AGR_fec!U$25)</f>
        <v>0.22466326230471309</v>
      </c>
      <c r="V51" s="264">
        <f>IF(V$25=0,0,V$25/AGR_fec!V$25)</f>
        <v>0.22466326230471315</v>
      </c>
      <c r="W51" s="264">
        <f>IF(W$25=0,0,W$25/AGR_fec!W$25)</f>
        <v>0.22466326230471306</v>
      </c>
      <c r="X51" s="264">
        <f>IF(X$25=0,0,X$25/AGR_fec!X$25)</f>
        <v>0.22466326230471323</v>
      </c>
      <c r="Y51" s="264">
        <f>IF(Y$25=0,0,Y$25/AGR_fec!Y$25)</f>
        <v>0.2246632623047132</v>
      </c>
      <c r="DA51" s="290"/>
    </row>
    <row r="52" spans="1:105" x14ac:dyDescent="0.25">
      <c r="A52" s="127" t="s">
        <v>170</v>
      </c>
      <c r="B52" s="264">
        <f>IF(B$26=0,0,B$26/AGR_fec!B$26)</f>
        <v>0.44475900137050361</v>
      </c>
      <c r="C52" s="264">
        <f>IF(C$26=0,0,C$26/AGR_fec!C$26)</f>
        <v>0.44475900137050356</v>
      </c>
      <c r="D52" s="264">
        <f>IF(D$26=0,0,D$26/AGR_fec!D$26)</f>
        <v>0.44475900137050361</v>
      </c>
      <c r="E52" s="264">
        <f>IF(E$26=0,0,E$26/AGR_fec!E$26)</f>
        <v>0.4447590013705035</v>
      </c>
      <c r="F52" s="264">
        <f>IF(F$26=0,0,F$26/AGR_fec!F$26)</f>
        <v>0.44475900137050367</v>
      </c>
      <c r="G52" s="264">
        <f>IF(G$26=0,0,G$26/AGR_fec!G$26)</f>
        <v>0.44475900137050356</v>
      </c>
      <c r="H52" s="264">
        <f>IF(H$26=0,0,H$26/AGR_fec!H$26)</f>
        <v>0.44475900137050334</v>
      </c>
      <c r="I52" s="264">
        <f>IF(I$26=0,0,I$26/AGR_fec!I$26)</f>
        <v>0.44475900137050361</v>
      </c>
      <c r="J52" s="264">
        <f>IF(J$26=0,0,J$26/AGR_fec!J$26)</f>
        <v>0.44475900137050345</v>
      </c>
      <c r="K52" s="264">
        <f>IF(K$26=0,0,K$26/AGR_fec!K$26)</f>
        <v>0.4447590013705035</v>
      </c>
      <c r="L52" s="264">
        <f>IF(L$26=0,0,L$26/AGR_fec!L$26)</f>
        <v>0.44475900137050345</v>
      </c>
      <c r="M52" s="264">
        <f>IF(M$26=0,0,M$26/AGR_fec!M$26)</f>
        <v>0.44475900137050356</v>
      </c>
      <c r="N52" s="264">
        <f>IF(N$26=0,0,N$26/AGR_fec!N$26)</f>
        <v>0.44475900137050367</v>
      </c>
      <c r="O52" s="264">
        <f>IF(O$26=0,0,O$26/AGR_fec!O$26)</f>
        <v>0.44475900137050339</v>
      </c>
      <c r="P52" s="264">
        <f>IF(P$26=0,0,P$26/AGR_fec!P$26)</f>
        <v>0.4447590013705035</v>
      </c>
      <c r="Q52" s="264">
        <f>IF(Q$26=0,0,Q$26/AGR_fec!Q$26)</f>
        <v>0.44475900137050367</v>
      </c>
      <c r="R52" s="264">
        <f>IF(R$26=0,0,R$26/AGR_fec!R$26)</f>
        <v>0.44475900137050339</v>
      </c>
      <c r="S52" s="264">
        <f>IF(S$26=0,0,S$26/AGR_fec!S$26)</f>
        <v>0.44475900137050367</v>
      </c>
      <c r="T52" s="264">
        <f>IF(T$26=0,0,T$26/AGR_fec!T$26)</f>
        <v>0.44475900137050356</v>
      </c>
      <c r="U52" s="264">
        <f>IF(U$26=0,0,U$26/AGR_fec!U$26)</f>
        <v>0.44475900137050361</v>
      </c>
      <c r="V52" s="264">
        <f>IF(V$26=0,0,V$26/AGR_fec!V$26)</f>
        <v>0.44475900137050356</v>
      </c>
      <c r="W52" s="264">
        <f>IF(W$26=0,0,W$26/AGR_fec!W$26)</f>
        <v>0.44475900137050339</v>
      </c>
      <c r="X52" s="264">
        <f>IF(X$26=0,0,X$26/AGR_fec!X$26)</f>
        <v>0.4447590013705035</v>
      </c>
      <c r="Y52" s="264">
        <f>IF(Y$26=0,0,Y$26/AGR_fec!Y$26)</f>
        <v>0.44475900137050356</v>
      </c>
      <c r="DA52" s="290"/>
    </row>
    <row r="53" spans="1:105" x14ac:dyDescent="0.25">
      <c r="A53" s="260" t="s">
        <v>33</v>
      </c>
      <c r="B53" s="265">
        <f>IF(B$27=0,0,B$27/AGR_fec!B$27)</f>
        <v>0.4674769073049303</v>
      </c>
      <c r="C53" s="265">
        <f>IF(C$27=0,0,C$27/AGR_fec!C$27)</f>
        <v>0.46747690730493002</v>
      </c>
      <c r="D53" s="265">
        <f>IF(D$27=0,0,D$27/AGR_fec!D$27)</f>
        <v>0.46747690730493008</v>
      </c>
      <c r="E53" s="265">
        <f>IF(E$27=0,0,E$27/AGR_fec!E$27)</f>
        <v>0.46747690730493008</v>
      </c>
      <c r="F53" s="265">
        <f>IF(F$27=0,0,F$27/AGR_fec!F$27)</f>
        <v>0.46747690730493002</v>
      </c>
      <c r="G53" s="265">
        <f>IF(G$27=0,0,G$27/AGR_fec!G$27)</f>
        <v>0.46747690730493008</v>
      </c>
      <c r="H53" s="265">
        <f>IF(H$27=0,0,H$27/AGR_fec!H$27)</f>
        <v>0.46747690730493002</v>
      </c>
      <c r="I53" s="265">
        <f>IF(I$27=0,0,I$27/AGR_fec!I$27)</f>
        <v>0.46747690730492997</v>
      </c>
      <c r="J53" s="265">
        <f>IF(J$27=0,0,J$27/AGR_fec!J$27)</f>
        <v>0.46747690730493013</v>
      </c>
      <c r="K53" s="265">
        <f>IF(K$27=0,0,K$27/AGR_fec!K$27)</f>
        <v>0.46747690730492997</v>
      </c>
      <c r="L53" s="265">
        <f>IF(L$27=0,0,L$27/AGR_fec!L$27)</f>
        <v>0.46747690730493002</v>
      </c>
      <c r="M53" s="265">
        <f>IF(M$27=0,0,M$27/AGR_fec!M$27)</f>
        <v>0.46747690730493013</v>
      </c>
      <c r="N53" s="265">
        <f>IF(N$27=0,0,N$27/AGR_fec!N$27)</f>
        <v>0.46747690730493008</v>
      </c>
      <c r="O53" s="265">
        <f>IF(O$27=0,0,O$27/AGR_fec!O$27)</f>
        <v>0.46747690730493008</v>
      </c>
      <c r="P53" s="265">
        <f>IF(P$27=0,0,P$27/AGR_fec!P$27)</f>
        <v>0.46747690730493013</v>
      </c>
      <c r="Q53" s="265">
        <f>IF(Q$27=0,0,Q$27/AGR_fec!Q$27)</f>
        <v>0.46747690730493008</v>
      </c>
      <c r="R53" s="265">
        <f>IF(R$27=0,0,R$27/AGR_fec!R$27)</f>
        <v>0.46747690730493008</v>
      </c>
      <c r="S53" s="265">
        <f>IF(S$27=0,0,S$27/AGR_fec!S$27)</f>
        <v>0.46747690730493013</v>
      </c>
      <c r="T53" s="265">
        <f>IF(T$27=0,0,T$27/AGR_fec!T$27)</f>
        <v>0.46747690730493008</v>
      </c>
      <c r="U53" s="265">
        <f>IF(U$27=0,0,U$27/AGR_fec!U$27)</f>
        <v>0.46747690730492997</v>
      </c>
      <c r="V53" s="265">
        <f>IF(V$27=0,0,V$27/AGR_fec!V$27)</f>
        <v>0.46747690730493008</v>
      </c>
      <c r="W53" s="265">
        <f>IF(W$27=0,0,W$27/AGR_fec!W$27)</f>
        <v>0.46747690730493002</v>
      </c>
      <c r="X53" s="265">
        <f>IF(X$27=0,0,X$27/AGR_fec!X$27)</f>
        <v>0.46747690730493002</v>
      </c>
      <c r="Y53" s="265">
        <f>IF(Y$27=0,0,Y$27/AGR_fec!Y$27)</f>
        <v>0.46747690730492991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417.23983087130131</v>
      </c>
      <c r="C5" s="80">
        <f t="shared" ref="C5:W5" si="0">SUM(C6:C9,C16:C17,C25:C27)</f>
        <v>367.74294624755731</v>
      </c>
      <c r="D5" s="80">
        <f t="shared" si="0"/>
        <v>282.54036682536315</v>
      </c>
      <c r="E5" s="80">
        <f t="shared" si="0"/>
        <v>312.65063766793008</v>
      </c>
      <c r="F5" s="80">
        <f t="shared" si="0"/>
        <v>342.50541490219098</v>
      </c>
      <c r="G5" s="80">
        <f t="shared" si="0"/>
        <v>358.47563776464767</v>
      </c>
      <c r="H5" s="80">
        <f t="shared" si="0"/>
        <v>302.67910167112439</v>
      </c>
      <c r="I5" s="80">
        <f t="shared" si="0"/>
        <v>286.00718353358656</v>
      </c>
      <c r="J5" s="80">
        <f t="shared" si="0"/>
        <v>301.40225430591101</v>
      </c>
      <c r="K5" s="80">
        <f t="shared" si="0"/>
        <v>270.94842880434464</v>
      </c>
      <c r="L5" s="80">
        <f t="shared" si="0"/>
        <v>291.58834860865215</v>
      </c>
      <c r="M5" s="80">
        <f t="shared" si="0"/>
        <v>305.96176687624842</v>
      </c>
      <c r="N5" s="80">
        <f t="shared" si="0"/>
        <v>286.98265896735779</v>
      </c>
      <c r="O5" s="80">
        <f t="shared" si="0"/>
        <v>294.31248987444889</v>
      </c>
      <c r="P5" s="80">
        <f t="shared" si="0"/>
        <v>307.23286906366241</v>
      </c>
      <c r="Q5" s="80">
        <f t="shared" si="0"/>
        <v>263.38108798156708</v>
      </c>
      <c r="R5" s="80">
        <f t="shared" si="0"/>
        <v>270.05248563851194</v>
      </c>
      <c r="S5" s="80">
        <f t="shared" si="0"/>
        <v>244.33853500559059</v>
      </c>
      <c r="T5" s="80">
        <f t="shared" si="0"/>
        <v>236.25610221274678</v>
      </c>
      <c r="U5" s="80">
        <f t="shared" si="0"/>
        <v>230.16679250471037</v>
      </c>
      <c r="V5" s="80">
        <f t="shared" si="0"/>
        <v>240.53262642373971</v>
      </c>
      <c r="W5" s="80">
        <f t="shared" si="0"/>
        <v>240.1656444889918</v>
      </c>
      <c r="X5" s="80">
        <f t="shared" ref="X5:Y5" si="1">SUM(X6:X9,X16:X17,X25:X27)</f>
        <v>233.33461537392611</v>
      </c>
      <c r="Y5" s="80">
        <f t="shared" si="1"/>
        <v>223.84769975890049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55.931481516447171</v>
      </c>
      <c r="C9" s="243">
        <f t="shared" ref="C9:W9" si="2">SUM(C10:C15)</f>
        <v>54.930524444453461</v>
      </c>
      <c r="D9" s="243">
        <f t="shared" si="2"/>
        <v>36.017144212428903</v>
      </c>
      <c r="E9" s="243">
        <f t="shared" si="2"/>
        <v>43.33190126454214</v>
      </c>
      <c r="F9" s="243">
        <f t="shared" si="2"/>
        <v>55.10954706526767</v>
      </c>
      <c r="G9" s="243">
        <f t="shared" si="2"/>
        <v>61.990982957333806</v>
      </c>
      <c r="H9" s="243">
        <f t="shared" si="2"/>
        <v>50.758741339858467</v>
      </c>
      <c r="I9" s="243">
        <f t="shared" si="2"/>
        <v>46.740888269705252</v>
      </c>
      <c r="J9" s="243">
        <f t="shared" si="2"/>
        <v>52.035524387468456</v>
      </c>
      <c r="K9" s="243">
        <f t="shared" si="2"/>
        <v>46.865091951553964</v>
      </c>
      <c r="L9" s="243">
        <f t="shared" si="2"/>
        <v>54.091542698008425</v>
      </c>
      <c r="M9" s="243">
        <f t="shared" si="2"/>
        <v>59.071972098016545</v>
      </c>
      <c r="N9" s="243">
        <f t="shared" si="2"/>
        <v>57.082799799756785</v>
      </c>
      <c r="O9" s="243">
        <f t="shared" si="2"/>
        <v>58.257135882599421</v>
      </c>
      <c r="P9" s="243">
        <f t="shared" si="2"/>
        <v>60.883786634757193</v>
      </c>
      <c r="Q9" s="243">
        <f t="shared" si="2"/>
        <v>49.301262037668977</v>
      </c>
      <c r="R9" s="243">
        <f t="shared" si="2"/>
        <v>50.949183368059067</v>
      </c>
      <c r="S9" s="243">
        <f t="shared" si="2"/>
        <v>45.009465244218603</v>
      </c>
      <c r="T9" s="243">
        <f t="shared" si="2"/>
        <v>43.452669661394161</v>
      </c>
      <c r="U9" s="243">
        <f t="shared" si="2"/>
        <v>40.897638639805677</v>
      </c>
      <c r="V9" s="243">
        <f t="shared" si="2"/>
        <v>45.046605525956771</v>
      </c>
      <c r="W9" s="243">
        <f t="shared" si="2"/>
        <v>45.477086784566296</v>
      </c>
      <c r="X9" s="243">
        <f t="shared" ref="X9:Y9" si="3">SUM(X10:X15)</f>
        <v>46.212405044523209</v>
      </c>
      <c r="Y9" s="243">
        <f t="shared" si="3"/>
        <v>43.424238408282633</v>
      </c>
      <c r="DA9" s="269"/>
    </row>
    <row r="10" spans="1:105" x14ac:dyDescent="0.25">
      <c r="A10" s="253" t="s">
        <v>166</v>
      </c>
      <c r="B10" s="254">
        <v>24.471308852206271</v>
      </c>
      <c r="C10" s="254">
        <v>27.331293928213061</v>
      </c>
      <c r="D10" s="254">
        <v>19.65719150723821</v>
      </c>
      <c r="E10" s="254">
        <v>24.794813276782222</v>
      </c>
      <c r="F10" s="254">
        <v>30.267768305392391</v>
      </c>
      <c r="G10" s="254">
        <v>32.736724051584417</v>
      </c>
      <c r="H10" s="254">
        <v>30.384199451311218</v>
      </c>
      <c r="I10" s="254">
        <v>28.65580382360951</v>
      </c>
      <c r="J10" s="254">
        <v>31.181472725475221</v>
      </c>
      <c r="K10" s="254">
        <v>27.836565485047039</v>
      </c>
      <c r="L10" s="254">
        <v>30.104861034795231</v>
      </c>
      <c r="M10" s="254">
        <v>27.93082312788998</v>
      </c>
      <c r="N10" s="254">
        <v>30.845367754015591</v>
      </c>
      <c r="O10" s="254">
        <v>32.149132668933042</v>
      </c>
      <c r="P10" s="254">
        <v>39.138881961580744</v>
      </c>
      <c r="Q10" s="254">
        <v>30.025553032570599</v>
      </c>
      <c r="R10" s="254">
        <v>29.68773822081582</v>
      </c>
      <c r="S10" s="254">
        <v>26.10770049755309</v>
      </c>
      <c r="T10" s="254">
        <v>27.520360708294561</v>
      </c>
      <c r="U10" s="254">
        <v>23.857537872127931</v>
      </c>
      <c r="V10" s="254">
        <v>25.23938479758397</v>
      </c>
      <c r="W10" s="254">
        <v>22.6887311124832</v>
      </c>
      <c r="X10" s="254">
        <v>18.831226473667229</v>
      </c>
      <c r="Y10" s="254">
        <v>18.935336145359219</v>
      </c>
      <c r="DA10" s="270" t="s">
        <v>1040</v>
      </c>
    </row>
    <row r="11" spans="1:105" x14ac:dyDescent="0.25">
      <c r="A11" s="253" t="s">
        <v>169</v>
      </c>
      <c r="B11" s="255">
        <v>31.460172664240901</v>
      </c>
      <c r="C11" s="255">
        <v>27.5992305162404</v>
      </c>
      <c r="D11" s="255">
        <v>16.35995270519069</v>
      </c>
      <c r="E11" s="255">
        <v>18.537087987759922</v>
      </c>
      <c r="F11" s="255">
        <v>24.841778759875279</v>
      </c>
      <c r="G11" s="255">
        <v>29.254258905749388</v>
      </c>
      <c r="H11" s="255">
        <v>20.374541888547249</v>
      </c>
      <c r="I11" s="255">
        <v>18.085084446095738</v>
      </c>
      <c r="J11" s="255">
        <v>20.854051661993239</v>
      </c>
      <c r="K11" s="255">
        <v>19.028526466506921</v>
      </c>
      <c r="L11" s="255">
        <v>23.98668166321319</v>
      </c>
      <c r="M11" s="255">
        <v>31.141148970126562</v>
      </c>
      <c r="N11" s="255">
        <v>26.23743204574119</v>
      </c>
      <c r="O11" s="255">
        <v>26.108003213666379</v>
      </c>
      <c r="P11" s="255">
        <v>21.74490467317645</v>
      </c>
      <c r="Q11" s="255">
        <v>19.275709005098381</v>
      </c>
      <c r="R11" s="255">
        <v>21.261445147243251</v>
      </c>
      <c r="S11" s="255">
        <v>18.90176474666551</v>
      </c>
      <c r="T11" s="255">
        <v>15.9323089530996</v>
      </c>
      <c r="U11" s="255">
        <v>17.04010076767775</v>
      </c>
      <c r="V11" s="255">
        <v>19.807220728372801</v>
      </c>
      <c r="W11" s="255">
        <v>22.7883556720831</v>
      </c>
      <c r="X11" s="255">
        <v>27.38117857085598</v>
      </c>
      <c r="Y11" s="255">
        <v>24.488902262923411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124.383223780408</v>
      </c>
      <c r="C16" s="257">
        <v>116.1110355207329</v>
      </c>
      <c r="D16" s="257">
        <v>92.326454769683068</v>
      </c>
      <c r="E16" s="257">
        <v>102.44661816503211</v>
      </c>
      <c r="F16" s="257">
        <v>107.50881452663251</v>
      </c>
      <c r="G16" s="257">
        <v>112.4914982300174</v>
      </c>
      <c r="H16" s="257">
        <v>98.47876898387338</v>
      </c>
      <c r="I16" s="257">
        <v>94.249584326899594</v>
      </c>
      <c r="J16" s="257">
        <v>98.624540569988071</v>
      </c>
      <c r="K16" s="257">
        <v>90.006994745953847</v>
      </c>
      <c r="L16" s="257">
        <v>94.579870629591881</v>
      </c>
      <c r="M16" s="257">
        <v>105.4661634444697</v>
      </c>
      <c r="N16" s="257">
        <v>99.346571992846506</v>
      </c>
      <c r="O16" s="257">
        <v>94.406143752455492</v>
      </c>
      <c r="P16" s="257">
        <v>100.5129584721652</v>
      </c>
      <c r="Q16" s="257">
        <v>103.1403054080494</v>
      </c>
      <c r="R16" s="257">
        <v>102.049928096678</v>
      </c>
      <c r="S16" s="257">
        <v>95.684830653065745</v>
      </c>
      <c r="T16" s="257">
        <v>91.870963140631829</v>
      </c>
      <c r="U16" s="257">
        <v>86.217530096531732</v>
      </c>
      <c r="V16" s="257">
        <v>89.418716262083095</v>
      </c>
      <c r="W16" s="257">
        <v>87.369589667762085</v>
      </c>
      <c r="X16" s="257">
        <v>80.3114398934798</v>
      </c>
      <c r="Y16" s="257">
        <v>78.40300475837951</v>
      </c>
      <c r="DA16" s="272" t="s">
        <v>1046</v>
      </c>
    </row>
    <row r="17" spans="1:105" x14ac:dyDescent="0.25">
      <c r="A17" s="256" t="s">
        <v>121</v>
      </c>
      <c r="B17" s="257">
        <f>SUM(B18:B24)</f>
        <v>213.02385254943323</v>
      </c>
      <c r="C17" s="257">
        <f t="shared" ref="C17:W17" si="4">SUM(C18:C24)</f>
        <v>174.3896831695985</v>
      </c>
      <c r="D17" s="257">
        <f t="shared" si="4"/>
        <v>136.45547013595305</v>
      </c>
      <c r="E17" s="257">
        <f t="shared" si="4"/>
        <v>147.18614679598065</v>
      </c>
      <c r="F17" s="257">
        <f t="shared" si="4"/>
        <v>159.22833865008059</v>
      </c>
      <c r="G17" s="257">
        <f t="shared" si="4"/>
        <v>162.37697771916413</v>
      </c>
      <c r="H17" s="257">
        <f t="shared" si="4"/>
        <v>134.51807519214177</v>
      </c>
      <c r="I17" s="257">
        <f t="shared" si="4"/>
        <v>126.90586785843119</v>
      </c>
      <c r="J17" s="257">
        <f t="shared" si="4"/>
        <v>131.79066196811135</v>
      </c>
      <c r="K17" s="257">
        <f t="shared" si="4"/>
        <v>116.78074797284074</v>
      </c>
      <c r="L17" s="257">
        <f t="shared" si="4"/>
        <v>124.74262493692376</v>
      </c>
      <c r="M17" s="257">
        <f t="shared" si="4"/>
        <v>121.1574291018824</v>
      </c>
      <c r="N17" s="257">
        <f t="shared" si="4"/>
        <v>111.46301543929772</v>
      </c>
      <c r="O17" s="257">
        <f t="shared" si="4"/>
        <v>123.50828296249964</v>
      </c>
      <c r="P17" s="257">
        <f t="shared" si="4"/>
        <v>126.52172133893774</v>
      </c>
      <c r="Q17" s="257">
        <f t="shared" si="4"/>
        <v>91.120251308728854</v>
      </c>
      <c r="R17" s="257">
        <f t="shared" si="4"/>
        <v>97.443630033939939</v>
      </c>
      <c r="S17" s="257">
        <f t="shared" si="4"/>
        <v>85.25760148723441</v>
      </c>
      <c r="T17" s="257">
        <f t="shared" si="4"/>
        <v>83.278698215886948</v>
      </c>
      <c r="U17" s="257">
        <f t="shared" si="4"/>
        <v>86.484206847120447</v>
      </c>
      <c r="V17" s="257">
        <f t="shared" si="4"/>
        <v>88.884753114930788</v>
      </c>
      <c r="W17" s="257">
        <f t="shared" si="4"/>
        <v>90.530173267851097</v>
      </c>
      <c r="X17" s="257">
        <f t="shared" ref="X17:Y17" si="5">SUM(X18:X24)</f>
        <v>91.378257966919819</v>
      </c>
      <c r="Y17" s="257">
        <f t="shared" si="5"/>
        <v>86.954665838818556</v>
      </c>
      <c r="DA17" s="272"/>
    </row>
    <row r="18" spans="1:105" x14ac:dyDescent="0.25">
      <c r="A18" s="61" t="s">
        <v>29</v>
      </c>
      <c r="B18" s="55">
        <v>38.389221789128023</v>
      </c>
      <c r="C18" s="55">
        <v>20.727873006160682</v>
      </c>
      <c r="D18" s="55">
        <v>14.03246494312914</v>
      </c>
      <c r="E18" s="55">
        <v>13.7987451062513</v>
      </c>
      <c r="F18" s="55">
        <v>8.6338527402028902</v>
      </c>
      <c r="G18" s="55">
        <v>7.7282407628160188</v>
      </c>
      <c r="H18" s="55">
        <v>5.7548964291080891</v>
      </c>
      <c r="I18" s="55">
        <v>5.6598993714127914</v>
      </c>
      <c r="J18" s="55">
        <v>4.7809890640358459</v>
      </c>
      <c r="K18" s="55">
        <v>3.4390283226808172</v>
      </c>
      <c r="L18" s="55">
        <v>3.493908007006731</v>
      </c>
      <c r="M18" s="55">
        <v>2.3164062779205641</v>
      </c>
      <c r="N18" s="55">
        <v>2.3002584091817222</v>
      </c>
      <c r="O18" s="55">
        <v>4.6859583958516753</v>
      </c>
      <c r="P18" s="55">
        <v>3.6938499447794571</v>
      </c>
      <c r="Q18" s="55">
        <v>1.149452023675809</v>
      </c>
      <c r="R18" s="55">
        <v>1.1046878797869419</v>
      </c>
      <c r="S18" s="55">
        <v>1.124653607090667</v>
      </c>
      <c r="T18" s="55">
        <v>1.1376286540459071</v>
      </c>
      <c r="U18" s="55">
        <v>1.116844342391297</v>
      </c>
      <c r="V18" s="55">
        <v>1.126052465395577</v>
      </c>
      <c r="W18" s="55">
        <v>1.068343290014599</v>
      </c>
      <c r="X18" s="55">
        <v>1.0566598960367839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8.7097687200580616</v>
      </c>
      <c r="C19" s="55">
        <v>2.9026504800137292</v>
      </c>
      <c r="D19" s="55">
        <v>2.9026504800285631</v>
      </c>
      <c r="E19" s="55">
        <v>2.9026504800196058</v>
      </c>
      <c r="F19" s="55">
        <v>2.9026504800211921</v>
      </c>
      <c r="G19" s="55">
        <v>2.9026504800180422</v>
      </c>
      <c r="H19" s="55">
        <v>2.902650480023798</v>
      </c>
      <c r="I19" s="55">
        <v>2.9026504800273329</v>
      </c>
      <c r="J19" s="55">
        <v>2.902650480021991</v>
      </c>
      <c r="K19" s="55">
        <v>2.9026504800218671</v>
      </c>
      <c r="L19" s="55">
        <v>5.8053009600391379</v>
      </c>
      <c r="M19" s="55">
        <v>5.8053009599643293</v>
      </c>
      <c r="N19" s="55">
        <v>2.9026504799783952</v>
      </c>
      <c r="O19" s="55">
        <v>2.9026504799838069</v>
      </c>
      <c r="P19" s="55">
        <v>2.902650479986999</v>
      </c>
      <c r="Q19" s="55">
        <v>2.9026504799746262</v>
      </c>
      <c r="R19" s="55">
        <v>2.9026504799850259</v>
      </c>
      <c r="S19" s="55">
        <v>2.902650479980649</v>
      </c>
      <c r="T19" s="55">
        <v>2.9026504799824351</v>
      </c>
      <c r="U19" s="55">
        <v>2.902650480033437</v>
      </c>
      <c r="V19" s="55">
        <v>5.8053009599559076</v>
      </c>
      <c r="W19" s="55">
        <v>11.61037475994681</v>
      </c>
      <c r="X19" s="55">
        <v>11.610374759888391</v>
      </c>
      <c r="Y19" s="55">
        <v>8.7077242799546557</v>
      </c>
      <c r="DA19" s="101" t="s">
        <v>1048</v>
      </c>
    </row>
    <row r="20" spans="1:105" x14ac:dyDescent="0.25">
      <c r="A20" s="61" t="s">
        <v>166</v>
      </c>
      <c r="B20" s="55">
        <v>63.030423983945603</v>
      </c>
      <c r="C20" s="55">
        <v>73.218378519370305</v>
      </c>
      <c r="D20" s="55">
        <v>61.45314493753343</v>
      </c>
      <c r="E20" s="55">
        <v>72.927386037160957</v>
      </c>
      <c r="F20" s="55">
        <v>67.79212106922995</v>
      </c>
      <c r="G20" s="55">
        <v>72.128009941631618</v>
      </c>
      <c r="H20" s="55">
        <v>75.254485771199569</v>
      </c>
      <c r="I20" s="55">
        <v>72.465928052718155</v>
      </c>
      <c r="J20" s="55">
        <v>74.283429685705144</v>
      </c>
      <c r="K20" s="55">
        <v>65.597745636349941</v>
      </c>
      <c r="L20" s="55">
        <v>64.250487632758791</v>
      </c>
      <c r="M20" s="55">
        <v>53.446340834500241</v>
      </c>
      <c r="N20" s="55">
        <v>57.418908596243043</v>
      </c>
      <c r="O20" s="55">
        <v>63.970137300635187</v>
      </c>
      <c r="P20" s="55">
        <v>77.093415587536626</v>
      </c>
      <c r="Q20" s="55">
        <v>53.026417810505123</v>
      </c>
      <c r="R20" s="55">
        <v>51.528371221651241</v>
      </c>
      <c r="S20" s="55">
        <v>47.11756214706481</v>
      </c>
      <c r="T20" s="55">
        <v>50.184945875148181</v>
      </c>
      <c r="U20" s="55">
        <v>48.105588872029053</v>
      </c>
      <c r="V20" s="55">
        <v>45.918074538238088</v>
      </c>
      <c r="W20" s="55">
        <v>38.84045481017219</v>
      </c>
      <c r="X20" s="55">
        <v>32.074263842374918</v>
      </c>
      <c r="Y20" s="55">
        <v>34.119933822046342</v>
      </c>
      <c r="DA20" s="101" t="s">
        <v>1049</v>
      </c>
    </row>
    <row r="21" spans="1:105" x14ac:dyDescent="0.25">
      <c r="A21" s="61" t="s">
        <v>129</v>
      </c>
      <c r="B21" s="55">
        <v>21.004719120140031</v>
      </c>
      <c r="C21" s="55">
        <v>3.032678880014346</v>
      </c>
      <c r="D21" s="55">
        <v>6.0638608800596732</v>
      </c>
      <c r="E21" s="55">
        <v>3.0354231600205019</v>
      </c>
      <c r="F21" s="55">
        <v>24.260433120177129</v>
      </c>
      <c r="G21" s="55">
        <v>15.16289544009426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1050</v>
      </c>
    </row>
    <row r="22" spans="1:105" x14ac:dyDescent="0.25">
      <c r="A22" s="61" t="s">
        <v>169</v>
      </c>
      <c r="B22" s="55">
        <v>81.031547336155754</v>
      </c>
      <c r="C22" s="55">
        <v>73.936159484036722</v>
      </c>
      <c r="D22" s="55">
        <v>51.14517729519379</v>
      </c>
      <c r="E22" s="55">
        <v>54.521942012528292</v>
      </c>
      <c r="F22" s="55">
        <v>55.639281240449442</v>
      </c>
      <c r="G22" s="55">
        <v>64.4551810946042</v>
      </c>
      <c r="H22" s="55">
        <v>50.46292811180912</v>
      </c>
      <c r="I22" s="55">
        <v>45.734275554271562</v>
      </c>
      <c r="J22" s="55">
        <v>49.680478338347278</v>
      </c>
      <c r="K22" s="55">
        <v>44.841323533788113</v>
      </c>
      <c r="L22" s="55">
        <v>51.192928337119099</v>
      </c>
      <c r="M22" s="55">
        <v>59.589381029497261</v>
      </c>
      <c r="N22" s="55">
        <v>48.841197953894572</v>
      </c>
      <c r="O22" s="55">
        <v>51.949536786028972</v>
      </c>
      <c r="P22" s="55">
        <v>42.831805326634651</v>
      </c>
      <c r="Q22" s="55">
        <v>34.041730994573292</v>
      </c>
      <c r="R22" s="55">
        <v>36.903034852542547</v>
      </c>
      <c r="S22" s="55">
        <v>34.112735253098279</v>
      </c>
      <c r="T22" s="55">
        <v>29.053473206710429</v>
      </c>
      <c r="U22" s="55">
        <v>34.359123152666669</v>
      </c>
      <c r="V22" s="55">
        <v>36.035325151341212</v>
      </c>
      <c r="W22" s="55">
        <v>39.011000407717503</v>
      </c>
      <c r="X22" s="55">
        <v>46.636959468619722</v>
      </c>
      <c r="Y22" s="55">
        <v>44.127007736817561</v>
      </c>
      <c r="DA22" s="101" t="s">
        <v>1051</v>
      </c>
    </row>
    <row r="23" spans="1:105" x14ac:dyDescent="0.25">
      <c r="A23" s="61" t="s">
        <v>164</v>
      </c>
      <c r="B23" s="55">
        <v>0.85817160000572046</v>
      </c>
      <c r="C23" s="55">
        <v>0.57194280000270548</v>
      </c>
      <c r="D23" s="55">
        <v>0.85817160000844495</v>
      </c>
      <c r="E23" s="55">
        <v>0</v>
      </c>
      <c r="F23" s="55">
        <v>0</v>
      </c>
      <c r="G23" s="55">
        <v>0</v>
      </c>
      <c r="H23" s="55">
        <v>0.1431144000011734</v>
      </c>
      <c r="I23" s="55">
        <v>0.1431144000013477</v>
      </c>
      <c r="J23" s="55">
        <v>0.1431144000010843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5.0048855999741821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23.901273025012909</v>
      </c>
      <c r="C25" s="257">
        <v>22.311703112772491</v>
      </c>
      <c r="D25" s="257">
        <v>17.741297707298099</v>
      </c>
      <c r="E25" s="257">
        <v>19.685971442375219</v>
      </c>
      <c r="F25" s="257">
        <v>20.658714660210169</v>
      </c>
      <c r="G25" s="257">
        <v>21.61617885813234</v>
      </c>
      <c r="H25" s="257">
        <v>18.92351615525082</v>
      </c>
      <c r="I25" s="257">
        <v>18.11084307855052</v>
      </c>
      <c r="J25" s="257">
        <v>18.951527380343109</v>
      </c>
      <c r="K25" s="257">
        <v>17.295594133996062</v>
      </c>
      <c r="L25" s="257">
        <v>18.174310344128131</v>
      </c>
      <c r="M25" s="257">
        <v>20.266202231879749</v>
      </c>
      <c r="N25" s="257">
        <v>19.09027173545681</v>
      </c>
      <c r="O25" s="257">
        <v>18.14092727689432</v>
      </c>
      <c r="P25" s="257">
        <v>19.314402617802301</v>
      </c>
      <c r="Q25" s="257">
        <v>19.81926922711985</v>
      </c>
      <c r="R25" s="257">
        <v>19.609744139834941</v>
      </c>
      <c r="S25" s="257">
        <v>18.386637621071831</v>
      </c>
      <c r="T25" s="257">
        <v>17.65377119483383</v>
      </c>
      <c r="U25" s="257">
        <v>16.56741692125253</v>
      </c>
      <c r="V25" s="257">
        <v>17.18255152076906</v>
      </c>
      <c r="W25" s="257">
        <v>16.78879476881233</v>
      </c>
      <c r="X25" s="257">
        <v>15.43251246900329</v>
      </c>
      <c r="Y25" s="257">
        <v>15.065790753419771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</v>
      </c>
      <c r="D31" s="235">
        <f t="shared" si="6"/>
        <v>0.99999999999999989</v>
      </c>
      <c r="E31" s="235">
        <f t="shared" si="6"/>
        <v>1.0000000000000002</v>
      </c>
      <c r="F31" s="235">
        <f t="shared" si="6"/>
        <v>0.99999999999999989</v>
      </c>
      <c r="G31" s="235">
        <f t="shared" si="6"/>
        <v>1</v>
      </c>
      <c r="H31" s="235">
        <f t="shared" si="6"/>
        <v>1.0000000000000002</v>
      </c>
      <c r="I31" s="235">
        <f t="shared" si="6"/>
        <v>1</v>
      </c>
      <c r="J31" s="235">
        <f t="shared" si="6"/>
        <v>0.99999999999999989</v>
      </c>
      <c r="K31" s="235">
        <f t="shared" si="6"/>
        <v>0.99999999999999978</v>
      </c>
      <c r="L31" s="235">
        <f t="shared" si="6"/>
        <v>1</v>
      </c>
      <c r="M31" s="235">
        <f t="shared" si="6"/>
        <v>0.99999999999999978</v>
      </c>
      <c r="N31" s="235">
        <f t="shared" si="6"/>
        <v>1</v>
      </c>
      <c r="O31" s="235">
        <f t="shared" si="6"/>
        <v>1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1</v>
      </c>
      <c r="S31" s="235">
        <f t="shared" si="7"/>
        <v>1</v>
      </c>
      <c r="T31" s="235">
        <f t="shared" si="7"/>
        <v>0.99999999999999978</v>
      </c>
      <c r="U31" s="235">
        <f t="shared" si="7"/>
        <v>1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0.99999999999999989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0.13405115566183656</v>
      </c>
      <c r="C35" s="246">
        <f t="shared" si="12"/>
        <v>0.14937206819318655</v>
      </c>
      <c r="D35" s="246">
        <f t="shared" si="12"/>
        <v>0.12747610055553912</v>
      </c>
      <c r="E35" s="246">
        <f t="shared" si="12"/>
        <v>0.13859527550545239</v>
      </c>
      <c r="F35" s="246">
        <f t="shared" si="12"/>
        <v>0.16090124321393653</v>
      </c>
      <c r="G35" s="246">
        <f t="shared" si="12"/>
        <v>0.1729294167489093</v>
      </c>
      <c r="H35" s="246">
        <f t="shared" si="12"/>
        <v>0.16769820268268906</v>
      </c>
      <c r="I35" s="246">
        <f t="shared" si="12"/>
        <v>0.16342557446364403</v>
      </c>
      <c r="J35" s="246">
        <f t="shared" si="12"/>
        <v>0.17264477502764303</v>
      </c>
      <c r="K35" s="246">
        <f t="shared" si="12"/>
        <v>0.17296683416236325</v>
      </c>
      <c r="L35" s="246">
        <f t="shared" si="12"/>
        <v>0.18550652986003224</v>
      </c>
      <c r="M35" s="246">
        <f t="shared" si="12"/>
        <v>0.1930697835259568</v>
      </c>
      <c r="N35" s="246">
        <f t="shared" si="12"/>
        <v>0.1989067911111993</v>
      </c>
      <c r="O35" s="246">
        <f t="shared" si="12"/>
        <v>0.1979431314907886</v>
      </c>
      <c r="P35" s="246">
        <f t="shared" si="12"/>
        <v>0.19816820648229969</v>
      </c>
      <c r="Q35" s="246">
        <f t="shared" si="12"/>
        <v>0.18718603683921056</v>
      </c>
      <c r="R35" s="246">
        <f t="shared" si="12"/>
        <v>0.18866400450858598</v>
      </c>
      <c r="S35" s="246">
        <f t="shared" si="12"/>
        <v>0.18420944221176069</v>
      </c>
      <c r="T35" s="246">
        <f t="shared" si="12"/>
        <v>0.18392189346400614</v>
      </c>
      <c r="U35" s="246">
        <f t="shared" si="12"/>
        <v>0.1776869642868604</v>
      </c>
      <c r="V35" s="246">
        <f t="shared" si="12"/>
        <v>0.18727856671967405</v>
      </c>
      <c r="W35" s="246">
        <f t="shared" si="12"/>
        <v>0.18935717005373254</v>
      </c>
      <c r="X35" s="246">
        <f t="shared" si="12"/>
        <v>0.19805207628737967</v>
      </c>
      <c r="Y35" s="246">
        <f t="shared" si="12"/>
        <v>0.19399010333835706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0.29810965918729443</v>
      </c>
      <c r="C36" s="259">
        <f t="shared" si="13"/>
        <v>0.31573966735603742</v>
      </c>
      <c r="D36" s="259">
        <f t="shared" si="13"/>
        <v>0.32677261591703677</v>
      </c>
      <c r="E36" s="259">
        <f t="shared" si="13"/>
        <v>0.32767122731360576</v>
      </c>
      <c r="F36" s="259">
        <f t="shared" si="13"/>
        <v>0.31388938641257313</v>
      </c>
      <c r="G36" s="259">
        <f t="shared" si="13"/>
        <v>0.31380514149157374</v>
      </c>
      <c r="H36" s="259">
        <f t="shared" si="13"/>
        <v>0.3253570148720587</v>
      </c>
      <c r="I36" s="259">
        <f t="shared" si="13"/>
        <v>0.32953572411173937</v>
      </c>
      <c r="J36" s="259">
        <f t="shared" si="13"/>
        <v>0.32721898778463737</v>
      </c>
      <c r="K36" s="259">
        <f t="shared" si="13"/>
        <v>0.3321923479798034</v>
      </c>
      <c r="L36" s="259">
        <f t="shared" si="13"/>
        <v>0.32436093925182807</v>
      </c>
      <c r="M36" s="259">
        <f t="shared" si="13"/>
        <v>0.34470373380713065</v>
      </c>
      <c r="N36" s="259">
        <f t="shared" si="13"/>
        <v>0.34617621967237561</v>
      </c>
      <c r="O36" s="259">
        <f t="shared" si="13"/>
        <v>0.32076839074253466</v>
      </c>
      <c r="P36" s="259">
        <f t="shared" si="13"/>
        <v>0.32715561579883462</v>
      </c>
      <c r="Q36" s="259">
        <f t="shared" si="13"/>
        <v>0.39160103027316734</v>
      </c>
      <c r="R36" s="259">
        <f t="shared" si="13"/>
        <v>0.37788923829155363</v>
      </c>
      <c r="S36" s="259">
        <f t="shared" si="13"/>
        <v>0.39160761380056741</v>
      </c>
      <c r="T36" s="259">
        <f t="shared" si="13"/>
        <v>0.38886175755961105</v>
      </c>
      <c r="U36" s="259">
        <f t="shared" si="13"/>
        <v>0.37458718157514964</v>
      </c>
      <c r="V36" s="259">
        <f t="shared" si="13"/>
        <v>0.37175296171487604</v>
      </c>
      <c r="W36" s="259">
        <f t="shared" si="13"/>
        <v>0.36378887518929354</v>
      </c>
      <c r="X36" s="259">
        <f t="shared" si="13"/>
        <v>0.34418999411972445</v>
      </c>
      <c r="Y36" s="259">
        <f t="shared" si="13"/>
        <v>0.35025155426133475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0.51055492977404882</v>
      </c>
      <c r="C37" s="259">
        <f t="shared" si="14"/>
        <v>0.47421625608068846</v>
      </c>
      <c r="D37" s="259">
        <f t="shared" si="14"/>
        <v>0.48295920214577875</v>
      </c>
      <c r="E37" s="259">
        <f t="shared" si="14"/>
        <v>0.47076874013066555</v>
      </c>
      <c r="F37" s="259">
        <f t="shared" si="14"/>
        <v>0.46489290890642215</v>
      </c>
      <c r="G37" s="259">
        <f t="shared" si="14"/>
        <v>0.45296516865609299</v>
      </c>
      <c r="H37" s="259">
        <f t="shared" si="14"/>
        <v>0.44442472060162985</v>
      </c>
      <c r="I37" s="259">
        <f t="shared" si="14"/>
        <v>0.44371566577637483</v>
      </c>
      <c r="J37" s="259">
        <f t="shared" si="14"/>
        <v>0.43725838173177428</v>
      </c>
      <c r="K37" s="259">
        <f t="shared" si="14"/>
        <v>0.43100728979376968</v>
      </c>
      <c r="L37" s="259">
        <f t="shared" si="14"/>
        <v>0.42780387327596509</v>
      </c>
      <c r="M37" s="259">
        <f t="shared" si="14"/>
        <v>0.39598878754967654</v>
      </c>
      <c r="N37" s="259">
        <f t="shared" si="14"/>
        <v>0.38839634366888987</v>
      </c>
      <c r="O37" s="259">
        <f t="shared" si="14"/>
        <v>0.41965015828987473</v>
      </c>
      <c r="P37" s="259">
        <f t="shared" si="14"/>
        <v>0.4118104997181174</v>
      </c>
      <c r="Q37" s="259">
        <f t="shared" si="14"/>
        <v>0.34596353142525543</v>
      </c>
      <c r="R37" s="259">
        <f t="shared" si="14"/>
        <v>0.36083219083706741</v>
      </c>
      <c r="S37" s="259">
        <f t="shared" si="14"/>
        <v>0.34893227744565003</v>
      </c>
      <c r="T37" s="259">
        <f t="shared" si="14"/>
        <v>0.35249332159427199</v>
      </c>
      <c r="U37" s="259">
        <f t="shared" si="14"/>
        <v>0.37574580549168729</v>
      </c>
      <c r="V37" s="259">
        <f t="shared" si="14"/>
        <v>0.36953304188490821</v>
      </c>
      <c r="W37" s="259">
        <f t="shared" si="14"/>
        <v>0.37694889067283155</v>
      </c>
      <c r="X37" s="259">
        <f t="shared" si="14"/>
        <v>0.39161895383796042</v>
      </c>
      <c r="Y37" s="259">
        <f t="shared" si="14"/>
        <v>0.38845458734878563</v>
      </c>
      <c r="DA37" s="278"/>
    </row>
    <row r="38" spans="1:105" x14ac:dyDescent="0.25">
      <c r="A38" s="127" t="s">
        <v>167</v>
      </c>
      <c r="B38" s="259">
        <f t="shared" ref="B38:Y38" si="15">IF(B$25=0,0,B$25/B$5)</f>
        <v>5.7284255376820241E-2</v>
      </c>
      <c r="C38" s="259">
        <f t="shared" si="15"/>
        <v>6.0672008370087654E-2</v>
      </c>
      <c r="D38" s="259">
        <f t="shared" si="15"/>
        <v>6.2792081381645229E-2</v>
      </c>
      <c r="E38" s="259">
        <f t="shared" si="15"/>
        <v>6.2964757050276418E-2</v>
      </c>
      <c r="F38" s="259">
        <f t="shared" si="15"/>
        <v>6.0316461467068087E-2</v>
      </c>
      <c r="G38" s="259">
        <f t="shared" si="15"/>
        <v>6.0300273103423972E-2</v>
      </c>
      <c r="H38" s="259">
        <f t="shared" si="15"/>
        <v>6.2520061843622562E-2</v>
      </c>
      <c r="I38" s="259">
        <f t="shared" si="15"/>
        <v>6.3323035648241738E-2</v>
      </c>
      <c r="J38" s="259">
        <f t="shared" si="15"/>
        <v>6.2877855455945195E-2</v>
      </c>
      <c r="K38" s="259">
        <f t="shared" si="15"/>
        <v>6.3833528064063561E-2</v>
      </c>
      <c r="L38" s="259">
        <f t="shared" si="15"/>
        <v>6.2328657612174744E-2</v>
      </c>
      <c r="M38" s="259">
        <f t="shared" si="15"/>
        <v>6.6237695117235901E-2</v>
      </c>
      <c r="N38" s="259">
        <f t="shared" si="15"/>
        <v>6.6520645547535298E-2</v>
      </c>
      <c r="O38" s="259">
        <f t="shared" si="15"/>
        <v>6.1638319476801956E-2</v>
      </c>
      <c r="P38" s="259">
        <f t="shared" si="15"/>
        <v>6.2865678000748423E-2</v>
      </c>
      <c r="Q38" s="259">
        <f t="shared" si="15"/>
        <v>7.5249401462366639E-2</v>
      </c>
      <c r="R38" s="259">
        <f t="shared" si="15"/>
        <v>7.2614566362793051E-2</v>
      </c>
      <c r="S38" s="259">
        <f t="shared" si="15"/>
        <v>7.5250666542021852E-2</v>
      </c>
      <c r="T38" s="259">
        <f t="shared" si="15"/>
        <v>7.4723027382110729E-2</v>
      </c>
      <c r="U38" s="259">
        <f t="shared" si="15"/>
        <v>7.198004864630278E-2</v>
      </c>
      <c r="V38" s="259">
        <f t="shared" si="15"/>
        <v>7.1435429680541687E-2</v>
      </c>
      <c r="W38" s="259">
        <f t="shared" si="15"/>
        <v>6.990506408414239E-2</v>
      </c>
      <c r="X38" s="259">
        <f t="shared" si="15"/>
        <v>6.6138975754935464E-2</v>
      </c>
      <c r="Y38" s="259">
        <f t="shared" si="15"/>
        <v>6.7303755051522404E-2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2.0154814054556258</v>
      </c>
      <c r="C44" s="237">
        <f>IF(C$5=0,0,C$5/AGR_fec!C$5)</f>
        <v>2.0319104544944908</v>
      </c>
      <c r="D44" s="237">
        <f>IF(D$5=0,0,D$5/AGR_fec!D$5)</f>
        <v>1.8909951580146942</v>
      </c>
      <c r="E44" s="237">
        <f>IF(E$5=0,0,E$5/AGR_fec!E$5)</f>
        <v>1.9640853472669204</v>
      </c>
      <c r="F44" s="237">
        <f>IF(F$5=0,0,F$5/AGR_fec!F$5)</f>
        <v>2.1171942595112752</v>
      </c>
      <c r="G44" s="237">
        <f>IF(G$5=0,0,G$5/AGR_fec!G$5)</f>
        <v>2.1678811066886241</v>
      </c>
      <c r="H44" s="237">
        <f>IF(H$5=0,0,H$5/AGR_fec!H$5)</f>
        <v>2.1296821122807437</v>
      </c>
      <c r="I44" s="237">
        <f>IF(I$5=0,0,I$5/AGR_fec!I$5)</f>
        <v>2.0918896609316868</v>
      </c>
      <c r="J44" s="237">
        <f>IF(J$5=0,0,J$5/AGR_fec!J$5)</f>
        <v>2.1407521334354529</v>
      </c>
      <c r="K44" s="237">
        <f>IF(K$5=0,0,K$5/AGR_fec!K$5)</f>
        <v>2.0839099352926929</v>
      </c>
      <c r="L44" s="237">
        <f>IF(L$5=0,0,L$5/AGR_fec!L$5)</f>
        <v>2.1656739267135321</v>
      </c>
      <c r="M44" s="237">
        <f>IF(M$5=0,0,M$5/AGR_fec!M$5)</f>
        <v>1.9407665735121618</v>
      </c>
      <c r="N44" s="237">
        <f>IF(N$5=0,0,N$5/AGR_fec!N$5)</f>
        <v>2.0001943639141126</v>
      </c>
      <c r="O44" s="237">
        <f>IF(O$5=0,0,O$5/AGR_fec!O$5)</f>
        <v>2.2457035933704907</v>
      </c>
      <c r="P44" s="237">
        <f>IF(P$5=0,0,P$5/AGR_fec!P$5)</f>
        <v>2.2391564726966653</v>
      </c>
      <c r="Q44" s="237">
        <f>IF(Q$5=0,0,Q$5/AGR_fec!Q$5)</f>
        <v>1.7524052724676382</v>
      </c>
      <c r="R44" s="237">
        <f>IF(R$5=0,0,R$5/AGR_fec!R$5)</f>
        <v>1.8155602297123192</v>
      </c>
      <c r="S44" s="237">
        <f>IF(S$5=0,0,S$5/AGR_fec!S$5)</f>
        <v>1.7140275653438866</v>
      </c>
      <c r="T44" s="237">
        <f>IF(T$5=0,0,T$5/AGR_fec!T$5)</f>
        <v>1.7806475472123022</v>
      </c>
      <c r="U44" s="237">
        <f>IF(U$5=0,0,U$5/AGR_fec!U$5)</f>
        <v>1.7792671379069607</v>
      </c>
      <c r="V44" s="237">
        <f>IF(V$5=0,0,V$5/AGR_fec!V$5)</f>
        <v>1.824981991075415</v>
      </c>
      <c r="W44" s="237">
        <f>IF(W$5=0,0,W$5/AGR_fec!W$5)</f>
        <v>1.8229968145711581</v>
      </c>
      <c r="X44" s="237">
        <f>IF(X$5=0,0,X$5/AGR_fec!X$5)</f>
        <v>1.8822724321541231</v>
      </c>
      <c r="Y44" s="237">
        <f>IF(Y$5=0,0,Y$5/AGR_fec!Y$5)</f>
        <v>1.8752804787310693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1.1919874949884155</v>
      </c>
      <c r="C48" s="252">
        <f>IF(C$9=0,0,C$9/AGR_fec!C$9)</f>
        <v>1.3676297710976115</v>
      </c>
      <c r="D48" s="252">
        <f>IF(D$9=0,0,D$9/AGR_fec!D$9)</f>
        <v>1.0471031103737884</v>
      </c>
      <c r="E48" s="252">
        <f>IF(E$9=0,0,E$9/AGR_fec!E$9)</f>
        <v>1.2056543118314433</v>
      </c>
      <c r="F48" s="252">
        <f>IF(F$9=0,0,F$9/AGR_fec!F$9)</f>
        <v>1.6083447651321343</v>
      </c>
      <c r="G48" s="252">
        <f>IF(G$9=0,0,G$9/AGR_fec!G$9)</f>
        <v>1.7699872621186197</v>
      </c>
      <c r="H48" s="252">
        <f>IF(H$9=0,0,H$9/AGR_fec!H$9)</f>
        <v>1.6721590341857331</v>
      </c>
      <c r="I48" s="252">
        <f>IF(I$9=0,0,I$9/AGR_fec!I$9)</f>
        <v>1.5823360620610243</v>
      </c>
      <c r="J48" s="252">
        <f>IF(J$9=0,0,J$9/AGR_fec!J$9)</f>
        <v>1.7242990836625114</v>
      </c>
      <c r="K48" s="252">
        <f>IF(K$9=0,0,K$9/AGR_fec!K$9)</f>
        <v>1.6918179348004601</v>
      </c>
      <c r="L48" s="252">
        <f>IF(L$9=0,0,L$9/AGR_fec!L$9)</f>
        <v>1.9050585571623075</v>
      </c>
      <c r="M48" s="252">
        <f>IF(M$9=0,0,M$9/AGR_fec!M$9)</f>
        <v>1.7609043231204284</v>
      </c>
      <c r="N48" s="252">
        <f>IF(N$9=0,0,N$9/AGR_fec!N$9)</f>
        <v>1.9360673157593888</v>
      </c>
      <c r="O48" s="252">
        <f>IF(O$9=0,0,O$9/AGR_fec!O$9)</f>
        <v>2.1531702339509886</v>
      </c>
      <c r="P48" s="252">
        <f>IF(P$9=0,0,P$9/AGR_fec!P$9)</f>
        <v>2.1978201537844515</v>
      </c>
      <c r="Q48" s="252">
        <f>IF(Q$9=0,0,Q$9/AGR_fec!Q$9)</f>
        <v>1.5794398070418809</v>
      </c>
      <c r="R48" s="252">
        <f>IF(R$9=0,0,R$9/AGR_fec!R$9)</f>
        <v>1.6474670729374976</v>
      </c>
      <c r="S48" s="252">
        <f>IF(S$9=0,0,S$9/AGR_fec!S$9)</f>
        <v>1.5192662502527763</v>
      </c>
      <c r="T48" s="252">
        <f>IF(T$9=0,0,T$9/AGR_fec!T$9)</f>
        <v>1.5772300761082656</v>
      </c>
      <c r="U48" s="252">
        <f>IF(U$9=0,0,U$9/AGR_fec!U$9)</f>
        <v>1.5291361538390136</v>
      </c>
      <c r="V48" s="252">
        <f>IF(V$9=0,0,V$9/AGR_fec!V$9)</f>
        <v>1.6459192139338621</v>
      </c>
      <c r="W48" s="252">
        <f>IF(W$9=0,0,W$9/AGR_fec!W$9)</f>
        <v>1.6448361144656547</v>
      </c>
      <c r="X48" s="252">
        <f>IF(X$9=0,0,X$9/AGR_fec!X$9)</f>
        <v>1.733940804512607</v>
      </c>
      <c r="Y48" s="252">
        <f>IF(Y$9=0,0,Y$9/AGR_fec!Y$9)</f>
        <v>1.6952309207888945</v>
      </c>
      <c r="DA48" s="289"/>
    </row>
    <row r="49" spans="1:105" x14ac:dyDescent="0.25">
      <c r="A49" s="127" t="s">
        <v>168</v>
      </c>
      <c r="B49" s="264">
        <f>IF(B$16=0,0,B$16/AGR_fec!B$16)</f>
        <v>3.1024187999999993</v>
      </c>
      <c r="C49" s="264">
        <f>IF(C$16=0,0,C$16/AGR_fec!C$16)</f>
        <v>3.1024187999999997</v>
      </c>
      <c r="D49" s="264">
        <f>IF(D$16=0,0,D$16/AGR_fec!D$16)</f>
        <v>3.1024188000000001</v>
      </c>
      <c r="E49" s="264">
        <f>IF(E$16=0,0,E$16/AGR_fec!E$16)</f>
        <v>3.1024187999999993</v>
      </c>
      <c r="F49" s="264">
        <f>IF(F$16=0,0,F$16/AGR_fec!F$16)</f>
        <v>3.1024187999999988</v>
      </c>
      <c r="G49" s="264">
        <f>IF(G$16=0,0,G$16/AGR_fec!G$16)</f>
        <v>3.1024188000000001</v>
      </c>
      <c r="H49" s="264">
        <f>IF(H$16=0,0,H$16/AGR_fec!H$16)</f>
        <v>3.1024188000000001</v>
      </c>
      <c r="I49" s="264">
        <f>IF(I$16=0,0,I$16/AGR_fec!I$16)</f>
        <v>3.1024187999999997</v>
      </c>
      <c r="J49" s="264">
        <f>IF(J$16=0,0,J$16/AGR_fec!J$16)</f>
        <v>3.1024187999999997</v>
      </c>
      <c r="K49" s="264">
        <f>IF(K$16=0,0,K$16/AGR_fec!K$16)</f>
        <v>3.1024187999999997</v>
      </c>
      <c r="L49" s="264">
        <f>IF(L$16=0,0,L$16/AGR_fec!L$16)</f>
        <v>3.1024188000000006</v>
      </c>
      <c r="M49" s="264">
        <f>IF(M$16=0,0,M$16/AGR_fec!M$16)</f>
        <v>3.102418800000001</v>
      </c>
      <c r="N49" s="264">
        <f>IF(N$16=0,0,N$16/AGR_fec!N$16)</f>
        <v>3.1024188000000001</v>
      </c>
      <c r="O49" s="264">
        <f>IF(O$16=0,0,O$16/AGR_fec!O$16)</f>
        <v>3.1024187999999997</v>
      </c>
      <c r="P49" s="264">
        <f>IF(P$16=0,0,P$16/AGR_fec!P$16)</f>
        <v>3.1024188000000015</v>
      </c>
      <c r="Q49" s="264">
        <f>IF(Q$16=0,0,Q$16/AGR_fec!Q$16)</f>
        <v>3.102418800000001</v>
      </c>
      <c r="R49" s="264">
        <f>IF(R$16=0,0,R$16/AGR_fec!R$16)</f>
        <v>3.102418800000001</v>
      </c>
      <c r="S49" s="264">
        <f>IF(S$16=0,0,S$16/AGR_fec!S$16)</f>
        <v>3.1024188000000001</v>
      </c>
      <c r="T49" s="264">
        <f>IF(T$16=0,0,T$16/AGR_fec!T$16)</f>
        <v>3.1024187999999997</v>
      </c>
      <c r="U49" s="264">
        <f>IF(U$16=0,0,U$16/AGR_fec!U$16)</f>
        <v>3.1024188000000001</v>
      </c>
      <c r="V49" s="264">
        <f>IF(V$16=0,0,V$16/AGR_fec!V$16)</f>
        <v>3.1024188000000006</v>
      </c>
      <c r="W49" s="264">
        <f>IF(W$16=0,0,W$16/AGR_fec!W$16)</f>
        <v>3.1024187999999997</v>
      </c>
      <c r="X49" s="264">
        <f>IF(X$16=0,0,X$16/AGR_fec!X$16)</f>
        <v>3.1024188000000006</v>
      </c>
      <c r="Y49" s="264">
        <f>IF(Y$16=0,0,Y$16/AGR_fec!Y$16)</f>
        <v>3.1024188000000001</v>
      </c>
      <c r="DA49" s="290"/>
    </row>
    <row r="50" spans="1:105" x14ac:dyDescent="0.25">
      <c r="A50" s="127" t="s">
        <v>121</v>
      </c>
      <c r="B50" s="264">
        <f>IF(B$17=0,0,B$17/AGR_fec!B$17)</f>
        <v>2.854925314484869</v>
      </c>
      <c r="C50" s="264">
        <f>IF(C$17=0,0,C$17/AGR_fec!C$17)</f>
        <v>2.7520133410877299</v>
      </c>
      <c r="D50" s="264">
        <f>IF(D$17=0,0,D$17/AGR_fec!D$17)</f>
        <v>2.7433527906657975</v>
      </c>
      <c r="E50" s="264">
        <f>IF(E$17=0,0,E$17/AGR_fec!E$17)</f>
        <v>2.7397910271028247</v>
      </c>
      <c r="F50" s="264">
        <f>IF(F$17=0,0,F$17/AGR_fec!F$17)</f>
        <v>2.6942275937995075</v>
      </c>
      <c r="G50" s="264">
        <f>IF(G$17=0,0,G$17/AGR_fec!G$17)</f>
        <v>2.662856346577922</v>
      </c>
      <c r="H50" s="264">
        <f>IF(H$17=0,0,H$17/AGR_fec!H$17)</f>
        <v>2.689580626755578</v>
      </c>
      <c r="I50" s="264">
        <f>IF(I$17=0,0,I$17/AGR_fec!I$17)</f>
        <v>2.6492131570022668</v>
      </c>
      <c r="J50" s="264">
        <f>IF(J$17=0,0,J$17/AGR_fec!J$17)</f>
        <v>2.6153879825487643</v>
      </c>
      <c r="K50" s="264">
        <f>IF(K$17=0,0,K$17/AGR_fec!K$17)</f>
        <v>2.5055781229451899</v>
      </c>
      <c r="L50" s="264">
        <f>IF(L$17=0,0,L$17/AGR_fec!L$17)</f>
        <v>2.4906002479713281</v>
      </c>
      <c r="M50" s="264">
        <f>IF(M$17=0,0,M$17/AGR_fec!M$17)</f>
        <v>1.9494764734418697</v>
      </c>
      <c r="N50" s="264">
        <f>IF(N$17=0,0,N$17/AGR_fec!N$17)</f>
        <v>1.9968505873859594</v>
      </c>
      <c r="O50" s="264">
        <f>IF(O$17=0,0,O$17/AGR_fec!O$17)</f>
        <v>2.4856710211598898</v>
      </c>
      <c r="P50" s="264">
        <f>IF(P$17=0,0,P$17/AGR_fec!P$17)</f>
        <v>2.4715673755255176</v>
      </c>
      <c r="Q50" s="264">
        <f>IF(Q$17=0,0,Q$17/AGR_fec!Q$17)</f>
        <v>1.5112871616874348</v>
      </c>
      <c r="R50" s="264">
        <f>IF(R$17=0,0,R$17/AGR_fec!R$17)</f>
        <v>1.6212464622856007</v>
      </c>
      <c r="S50" s="264">
        <f>IF(S$17=0,0,S$17/AGR_fec!S$17)</f>
        <v>1.4991576048692778</v>
      </c>
      <c r="T50" s="264">
        <f>IF(T$17=0,0,T$17/AGR_fec!T$17)</f>
        <v>1.5868684945876586</v>
      </c>
      <c r="U50" s="264">
        <f>IF(U$17=0,0,U$17/AGR_fec!U$17)</f>
        <v>1.7617835186924298</v>
      </c>
      <c r="V50" s="264">
        <f>IF(V$17=0,0,V$17/AGR_fec!V$17)</f>
        <v>1.6992315729117291</v>
      </c>
      <c r="W50" s="264">
        <f>IF(W$17=0,0,W$17/AGR_fec!W$17)</f>
        <v>1.6752172434686257</v>
      </c>
      <c r="X50" s="264">
        <f>IF(X$17=0,0,X$17/AGR_fec!X$17)</f>
        <v>1.7643377818658716</v>
      </c>
      <c r="Y50" s="264">
        <f>IF(Y$17=0,0,Y$17/AGR_fec!Y$17)</f>
        <v>1.7847113630941338</v>
      </c>
      <c r="DA50" s="290"/>
    </row>
    <row r="51" spans="1:105" x14ac:dyDescent="0.25">
      <c r="A51" s="127" t="s">
        <v>167</v>
      </c>
      <c r="B51" s="264">
        <f>IF(B$25=0,0,B$25/AGR_fec!B$25)</f>
        <v>3.1024188000000001</v>
      </c>
      <c r="C51" s="264">
        <f>IF(C$25=0,0,C$25/AGR_fec!C$25)</f>
        <v>3.1024187999999997</v>
      </c>
      <c r="D51" s="264">
        <f>IF(D$25=0,0,D$25/AGR_fec!D$25)</f>
        <v>3.1024188000000006</v>
      </c>
      <c r="E51" s="264">
        <f>IF(E$25=0,0,E$25/AGR_fec!E$25)</f>
        <v>3.1024187999999997</v>
      </c>
      <c r="F51" s="264">
        <f>IF(F$25=0,0,F$25/AGR_fec!F$25)</f>
        <v>3.1024188000000006</v>
      </c>
      <c r="G51" s="264">
        <f>IF(G$25=0,0,G$25/AGR_fec!G$25)</f>
        <v>3.1024188000000001</v>
      </c>
      <c r="H51" s="264">
        <f>IF(H$25=0,0,H$25/AGR_fec!H$25)</f>
        <v>3.1024188000000001</v>
      </c>
      <c r="I51" s="264">
        <f>IF(I$25=0,0,I$25/AGR_fec!I$25)</f>
        <v>3.1024188000000001</v>
      </c>
      <c r="J51" s="264">
        <f>IF(J$25=0,0,J$25/AGR_fec!J$25)</f>
        <v>3.1024188000000006</v>
      </c>
      <c r="K51" s="264">
        <f>IF(K$25=0,0,K$25/AGR_fec!K$25)</f>
        <v>3.1024187999999997</v>
      </c>
      <c r="L51" s="264">
        <f>IF(L$25=0,0,L$25/AGR_fec!L$25)</f>
        <v>3.1024188000000001</v>
      </c>
      <c r="M51" s="264">
        <f>IF(M$25=0,0,M$25/AGR_fec!M$25)</f>
        <v>3.1024188000000001</v>
      </c>
      <c r="N51" s="264">
        <f>IF(N$25=0,0,N$25/AGR_fec!N$25)</f>
        <v>3.1024187999999993</v>
      </c>
      <c r="O51" s="264">
        <f>IF(O$25=0,0,O$25/AGR_fec!O$25)</f>
        <v>3.102418800000001</v>
      </c>
      <c r="P51" s="264">
        <f>IF(P$25=0,0,P$25/AGR_fec!P$25)</f>
        <v>3.102418800000001</v>
      </c>
      <c r="Q51" s="264">
        <f>IF(Q$25=0,0,Q$25/AGR_fec!Q$25)</f>
        <v>3.1024188000000006</v>
      </c>
      <c r="R51" s="264">
        <f>IF(R$25=0,0,R$25/AGR_fec!R$25)</f>
        <v>3.1024187999999993</v>
      </c>
      <c r="S51" s="264">
        <f>IF(S$25=0,0,S$25/AGR_fec!S$25)</f>
        <v>3.1024187999999997</v>
      </c>
      <c r="T51" s="264">
        <f>IF(T$25=0,0,T$25/AGR_fec!T$25)</f>
        <v>3.1024188000000001</v>
      </c>
      <c r="U51" s="264">
        <f>IF(U$25=0,0,U$25/AGR_fec!U$25)</f>
        <v>3.1024188000000001</v>
      </c>
      <c r="V51" s="264">
        <f>IF(V$25=0,0,V$25/AGR_fec!V$25)</f>
        <v>3.1024187999999997</v>
      </c>
      <c r="W51" s="264">
        <f>IF(W$25=0,0,W$25/AGR_fec!W$25)</f>
        <v>3.1024188000000006</v>
      </c>
      <c r="X51" s="264">
        <f>IF(X$25=0,0,X$25/AGR_fec!X$25)</f>
        <v>3.1024188000000019</v>
      </c>
      <c r="Y51" s="264">
        <f>IF(Y$25=0,0,Y$25/AGR_fec!Y$25)</f>
        <v>3.1024188000000001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2025-11-06T10:31:54Z</dcterms:created>
  <dcterms:modified xsi:type="dcterms:W3CDTF">2025-11-06T10:31:54Z</dcterms:modified>
</cp:coreProperties>
</file>