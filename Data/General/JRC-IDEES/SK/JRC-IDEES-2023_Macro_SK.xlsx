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88" i="59"/>
  <c r="AA117" i="59"/>
  <c r="AA84" i="59"/>
  <c r="AA82" i="59"/>
  <c r="AA81" i="59"/>
  <c r="AA79" i="59"/>
  <c r="AA110" i="59"/>
  <c r="AA109" i="59"/>
  <c r="AA74" i="59"/>
  <c r="AA105" i="59"/>
  <c r="AA70" i="59"/>
  <c r="AA101" i="59"/>
  <c r="AA66" i="59"/>
  <c r="AA89" i="59"/>
  <c r="AA97" i="59"/>
  <c r="AA94" i="59"/>
  <c r="AA93" i="59"/>
  <c r="AA5" i="59"/>
  <c r="Z115" i="59"/>
  <c r="Z107" i="59"/>
  <c r="Z103" i="59"/>
  <c r="Z99" i="59"/>
  <c r="Z54" i="55"/>
  <c r="Y75" i="57"/>
  <c r="F75" i="57"/>
  <c r="T75" i="57"/>
  <c r="K75" i="57"/>
  <c r="D75" i="57"/>
  <c r="U75" i="57"/>
  <c r="J75" i="57"/>
  <c r="E75" i="57"/>
  <c r="R54" i="57"/>
  <c r="Q54" i="57"/>
  <c r="S54" i="57"/>
  <c r="P54" i="57"/>
  <c r="K54" i="57"/>
  <c r="O39" i="57"/>
  <c r="U39" i="57"/>
  <c r="Q39" i="57"/>
  <c r="I39" i="57"/>
  <c r="E39" i="57"/>
  <c r="G16" i="57"/>
  <c r="Y16" i="57"/>
  <c r="O16" i="57"/>
  <c r="M16" i="57"/>
  <c r="E16" i="57"/>
  <c r="Q75" i="57"/>
  <c r="O75" i="57"/>
  <c r="L54" i="57"/>
  <c r="I54" i="57"/>
  <c r="S16" i="57"/>
  <c r="I16" i="57" l="1"/>
  <c r="K16" i="57"/>
  <c r="S39" i="57"/>
  <c r="M39" i="57"/>
  <c r="W39" i="57"/>
  <c r="Y39" i="57"/>
  <c r="AA80" i="59"/>
  <c r="AA98" i="59"/>
  <c r="AA102" i="59"/>
  <c r="AA106" i="59"/>
  <c r="AA113" i="59"/>
  <c r="AA114" i="59"/>
  <c r="H39" i="57"/>
  <c r="J54" i="57"/>
  <c r="Z111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Q16" i="57"/>
  <c r="U16" i="57"/>
  <c r="K39" i="57"/>
  <c r="G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4" i="4"/>
  <c r="B5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<sst xmlns="http://schemas.openxmlformats.org/spreadsheetml/2006/main" count="722" uniqueCount="281">
  <si>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</si>
  <si>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</si>
  <si>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</si>
  <si>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</si>
  <si>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</si>
  <si>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</si>
  <si>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</si>
  <si>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</si>
  <si>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</si>
  <si>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</si>
  <si>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</si>
  <si>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</si>
  <si>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</si>
  <si>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</si>
  <si>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</si>
  <si>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</si>
  <si>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</si>
  <si>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</si>
  <si>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</si>
  <si>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</si>
  <si>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</si>
  <si>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</si>
  <si>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</si>
  <si>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</si>
  <si>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</si>
  <si>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</si>
  <si>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</si>
  <si>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</si>
  <si>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</si>
  <si>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</si>
  <si>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</si>
  <si>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</si>
  <si>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</si>
  <si>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</si>
  <si>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</si>
  <si>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</si>
  <si>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</si>
  <si>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</si>
  <si>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</si>
  <si>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</si>
  <si>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</si>
  <si>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</si>
  <si>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</si>
  <si>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</si>
  <si>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</si>
  <si>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</si>
  <si>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</si>
  <si>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</si>
  <si>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</si>
  <si>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</si>
  <si>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</si>
  <si>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</si>
  <si>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</si>
  <si>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</si>
  <si>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</si>
  <si>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</si>
  <si>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</si>
  <si>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</si>
  <si>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</si>
  <si>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</si>
  <si>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</si>
  <si>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</si>
  <si>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</si>
  <si>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</si>
  <si>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</si>
  <si>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</si>
  <si>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</si>
  <si>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</si>
  <si>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</si>
  <si>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</si>
  <si>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</si>
  <si>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</si>
  <si>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</si>
  <si>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</si>
  <si>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</si>
  <si>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</si>
  <si>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</si>
  <si>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</si>
  <si>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</si>
  <si>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</si>
  <si>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</si>
  <si>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</si>
  <si>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</si>
  <si>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</si>
  <si>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</si>
  <si>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</si>
  <si>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</si>
  <si>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</si>
  <si>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</si>
  <si>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</si>
  <si>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</si>
  <si>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</si>
  <si>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</si>
  <si>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</si>
  <si>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</si>
  <si>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</si>
  <si>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</si>
  <si>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</si>
  <si>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</si>
  <si>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</si>
  <si>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</si>
  <si>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</si>
  <si>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</si>
  <si>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</si>
  <si>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</si>
  <si>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</si>
  <si>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</si>
  <si>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</si>
  <si>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</si>
  <si>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</si>
  <si>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</si>
  <si>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</si>
  <si>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</si>
  <si>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</si>
  <si>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</si>
  <si>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</si>
  <si>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</si>
  <si>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</si>
  <si>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</si>
  <si>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</si>
  <si>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</si>
  <si>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</si>
  <si>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</si>
  <si>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</si>
  <si>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</si>
  <si>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</si>
  <si>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</si>
  <si>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</si>
  <si>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</si>
  <si>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</si>
  <si>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</si>
  <si>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</si>
  <si>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</si>
  <si>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</si>
  <si>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</si>
  <si>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</si>
  <si>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</si>
  <si>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</si>
  <si>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</si>
  <si>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</si>
  <si>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</si>
  <si>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</si>
  <si>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</si>
  <si>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</si>
  <si>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</si>
  <si>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</si>
  <si>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</si>
  <si>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</si>
  <si>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</si>
  <si>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</si>
  <si>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</si>
  <si>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</si>
  <si>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</si>
  <si>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</si>
  <si>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</si>
  <si>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</si>
  <si>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</si>
  <si>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</si>
  <si>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</si>
  <si>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</si>
  <si>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</si>
  <si>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</si>
  <si>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</si>
  <si>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</si>
  <si>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</si>
  <si>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</si>
  <si>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</si>
  <si>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</si>
  <si>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</si>
  <si>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</si>
  <si>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</si>
  <si>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</si>
  <si>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</si>
  <si>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</si>
  <si>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</si>
  <si>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</si>
  <si>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</si>
  <si>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</si>
  <si>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</si>
  <si>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</si>
  <si>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</si>
  <si>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</si>
  <si>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</si>
  <si>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</si>
  <si>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</si>
  <si>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</si>
  <si>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</si>
  <si>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</si>
  <si>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</si>
  <si>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</si>
  <si>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</si>
  <si>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</si>
  <si>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</si>
  <si>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</si>
  <si>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</si>
  <si>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</si>
  <si>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</si>
  <si>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</si>
  <si>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</si>
  <si>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</si>
  <si>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</si>
  <si>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</si>
  <si>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</si>
  <si>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</si>
  <si>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</si>
  <si>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</si>
  <si>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</si>
  <si>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</si>
  <si>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</si>
  <si>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</si>
  <si>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</si>
  <si>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</si>
  <si>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</si>
  <si>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</si>
  <si>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</si>
  <si>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</si>
  <si>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</si>
  <si>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</si>
  <si>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</si>
  <si>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</si>
  <si>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</si>
  <si>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</si>
  <si>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</si>
  <si>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</si>
  <si>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</si>
  <si>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</si>
  <si>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</si>
  <si>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</si>
  <si>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</si>
  <si>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</si>
  <si>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</si>
  <si>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</si>
  <si>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</si>
  <si>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</si>
  <si>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</si>
  <si>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</si>
  <si>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</si>
  <si>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</si>
  <si>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</si>
  <si>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</si>
  <si>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</si>
  <si>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</si>
  <si>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</si>
  <si>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</si>
  <si>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</si>
  <si>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</si>
  <si>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</si>
  <si>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</si>
  <si>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</si>
  <si>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</si>
  <si>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</si>
  <si>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</si>
  <si>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</si>
  <si>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</si>
  <si>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</si>
  <si>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</si>
  <si>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</si>
  <si>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</si>
  <si>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</si>
  <si>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</si>
  <si>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</si>
  <si>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</si>
  <si>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</si>
  <si>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</si>
  <si>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</si>
  <si>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</si>
  <si>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</si>
  <si>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</si>
  <si>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</si>
  <si>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</si>
  <si>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</si>
  <si>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</si>
  <si>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</si>
  <si>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</si>
  <si>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</si>
  <si>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</si>
  <si>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</si>
  <si>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</si>
  <si>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</si>
  <si>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SK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</si>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</sst>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45967.480324074073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22368.6</v>
      </c>
      <c r="E2" s="19">
        <v>23869.3</v>
      </c>
      <c r="F2" s="19">
        <v>26300.3</v>
      </c>
      <c r="G2" s="19">
        <v>29924.1</v>
      </c>
      <c r="H2" s="19">
        <v>34623.4</v>
      </c>
      <c r="I2" s="19">
        <v>39239.699999999997</v>
      </c>
      <c r="J2" s="19">
        <v>45592</v>
      </c>
      <c r="K2" s="19">
        <v>56354.7</v>
      </c>
      <c r="L2" s="19">
        <v>66065.399999999994</v>
      </c>
      <c r="M2" s="19">
        <v>64055.1</v>
      </c>
      <c r="N2" s="19">
        <v>68726.7</v>
      </c>
      <c r="O2" s="19">
        <v>71629.5</v>
      </c>
      <c r="P2" s="19">
        <v>73727.600000000006</v>
      </c>
      <c r="Q2" s="19">
        <v>74642.7</v>
      </c>
      <c r="R2" s="19">
        <v>76562.3</v>
      </c>
      <c r="S2" s="19">
        <v>80376.3</v>
      </c>
      <c r="T2" s="19">
        <v>81621.600000000006</v>
      </c>
      <c r="U2" s="19">
        <v>84960.4</v>
      </c>
      <c r="V2" s="19">
        <v>90275.9</v>
      </c>
      <c r="W2" s="19">
        <v>94547.5</v>
      </c>
      <c r="X2" s="19">
        <v>94320.6</v>
      </c>
      <c r="Y2" s="19">
        <v>101933.5</v>
      </c>
      <c r="Z2" s="19">
        <v>110046.39999999999</v>
      </c>
      <c r="AA2" s="19">
        <v>123833.2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11986.2</v>
      </c>
      <c r="E3" s="23">
        <v>13101.8</v>
      </c>
      <c r="F3" s="23">
        <v>14466.8</v>
      </c>
      <c r="G3" s="23">
        <v>15971.7</v>
      </c>
      <c r="H3" s="23">
        <v>18966.900000000001</v>
      </c>
      <c r="I3" s="23">
        <v>21182.799999999999</v>
      </c>
      <c r="J3" s="23">
        <v>24518.400000000001</v>
      </c>
      <c r="K3" s="23">
        <v>29922.1</v>
      </c>
      <c r="L3" s="23">
        <v>36129.199999999997</v>
      </c>
      <c r="M3" s="23">
        <v>37512.9</v>
      </c>
      <c r="N3" s="23">
        <v>38362.400000000001</v>
      </c>
      <c r="O3" s="23">
        <v>39135.1</v>
      </c>
      <c r="P3" s="23">
        <v>40695.199999999997</v>
      </c>
      <c r="Q3" s="23">
        <v>40564.199999999997</v>
      </c>
      <c r="R3" s="23">
        <v>41532.6</v>
      </c>
      <c r="S3" s="23">
        <v>42806.400000000001</v>
      </c>
      <c r="T3" s="23">
        <v>44228.5</v>
      </c>
      <c r="U3" s="23">
        <v>47360.9</v>
      </c>
      <c r="V3" s="23">
        <v>50241.3</v>
      </c>
      <c r="W3" s="23">
        <v>52844.6</v>
      </c>
      <c r="X3" s="23">
        <v>54205.2</v>
      </c>
      <c r="Y3" s="23">
        <v>57594.2</v>
      </c>
      <c r="Z3" s="23">
        <v>67707.5</v>
      </c>
      <c r="AA3" s="23">
        <v>72320.5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19756.3</v>
      </c>
      <c r="E4" s="27">
        <v>21343.9</v>
      </c>
      <c r="F4" s="27">
        <v>23517.1</v>
      </c>
      <c r="G4" s="27">
        <v>26585.4</v>
      </c>
      <c r="H4" s="27">
        <v>30660.799999999999</v>
      </c>
      <c r="I4" s="27">
        <v>34663.300000000003</v>
      </c>
      <c r="J4" s="27">
        <v>40821.199999999997</v>
      </c>
      <c r="K4" s="27">
        <v>50472.1</v>
      </c>
      <c r="L4" s="27">
        <v>59534.7</v>
      </c>
      <c r="M4" s="27">
        <v>57953.2</v>
      </c>
      <c r="N4" s="27">
        <v>62293.1</v>
      </c>
      <c r="O4" s="27">
        <v>64503.5</v>
      </c>
      <c r="P4" s="27">
        <v>67018.899999999994</v>
      </c>
      <c r="Q4" s="27">
        <v>67552.600000000006</v>
      </c>
      <c r="R4" s="27">
        <v>69149.600000000006</v>
      </c>
      <c r="S4" s="27">
        <v>72394.899999999994</v>
      </c>
      <c r="T4" s="27">
        <v>73592.100000000006</v>
      </c>
      <c r="U4" s="27">
        <v>76152.399999999994</v>
      </c>
      <c r="V4" s="27">
        <v>80918.5</v>
      </c>
      <c r="W4" s="27">
        <v>84543.6</v>
      </c>
      <c r="X4" s="27">
        <v>84655</v>
      </c>
      <c r="Y4" s="27">
        <v>91143.3</v>
      </c>
      <c r="Z4" s="27">
        <v>98176.8</v>
      </c>
      <c r="AA4" s="27">
        <v>113130.1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354.9</v>
      </c>
      <c r="E6" s="19">
        <v>473.9</v>
      </c>
      <c r="F6" s="19">
        <v>502.1</v>
      </c>
      <c r="G6" s="19">
        <v>499.9</v>
      </c>
      <c r="H6" s="19">
        <v>521.6</v>
      </c>
      <c r="I6" s="19">
        <v>577.29999999999995</v>
      </c>
      <c r="J6" s="19">
        <v>771.2</v>
      </c>
      <c r="K6" s="19">
        <v>1202.9000000000001</v>
      </c>
      <c r="L6" s="19">
        <v>1559.5</v>
      </c>
      <c r="M6" s="19">
        <v>1223.0999999999999</v>
      </c>
      <c r="N6" s="19">
        <v>1029.9000000000001</v>
      </c>
      <c r="O6" s="19">
        <v>1284.8</v>
      </c>
      <c r="P6" s="19">
        <v>1323.1</v>
      </c>
      <c r="Q6" s="19">
        <v>1548.3</v>
      </c>
      <c r="R6" s="19">
        <v>2002</v>
      </c>
      <c r="S6" s="19">
        <v>1644.5</v>
      </c>
      <c r="T6" s="19">
        <v>1683.6</v>
      </c>
      <c r="U6" s="19">
        <v>1570.2</v>
      </c>
      <c r="V6" s="19">
        <v>1813.9</v>
      </c>
      <c r="W6" s="19">
        <v>1528.8</v>
      </c>
      <c r="X6" s="19">
        <v>1631</v>
      </c>
      <c r="Y6" s="19">
        <v>1909.4</v>
      </c>
      <c r="Z6" s="19">
        <v>2123.9</v>
      </c>
      <c r="AA6" s="19">
        <v>2631.7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5405</v>
      </c>
      <c r="E7" s="23">
        <v>5872.2</v>
      </c>
      <c r="F7" s="23">
        <v>6143.7</v>
      </c>
      <c r="G7" s="23">
        <v>7513.4</v>
      </c>
      <c r="H7" s="23">
        <v>9121.2000000000007</v>
      </c>
      <c r="I7" s="23">
        <v>10197.299999999999</v>
      </c>
      <c r="J7" s="23">
        <v>12462.1</v>
      </c>
      <c r="K7" s="23">
        <v>14819.1</v>
      </c>
      <c r="L7" s="23">
        <v>16055.9</v>
      </c>
      <c r="M7" s="23">
        <v>12968.3</v>
      </c>
      <c r="N7" s="23">
        <v>14911.9</v>
      </c>
      <c r="O7" s="23">
        <v>15905.5</v>
      </c>
      <c r="P7" s="23">
        <v>16253.4</v>
      </c>
      <c r="Q7" s="23">
        <v>15723.2</v>
      </c>
      <c r="R7" s="23">
        <v>17450.599999999999</v>
      </c>
      <c r="S7" s="23">
        <v>18189.2</v>
      </c>
      <c r="T7" s="23">
        <v>17541</v>
      </c>
      <c r="U7" s="23">
        <v>17431</v>
      </c>
      <c r="V7" s="23">
        <v>19151.3</v>
      </c>
      <c r="W7" s="23">
        <v>21324.3</v>
      </c>
      <c r="X7" s="23">
        <v>20321.5</v>
      </c>
      <c r="Y7" s="23">
        <v>19989.599999999999</v>
      </c>
      <c r="Z7" s="23">
        <v>20786</v>
      </c>
      <c r="AA7" s="23">
        <v>26403.9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1196</v>
      </c>
      <c r="E8" s="23">
        <v>1270.5999999999999</v>
      </c>
      <c r="F8" s="23">
        <v>1567</v>
      </c>
      <c r="G8" s="23">
        <v>1696.6</v>
      </c>
      <c r="H8" s="23">
        <v>2017.4</v>
      </c>
      <c r="I8" s="23">
        <v>2381.5</v>
      </c>
      <c r="J8" s="23">
        <v>3141.9</v>
      </c>
      <c r="K8" s="23">
        <v>4003.8</v>
      </c>
      <c r="L8" s="23">
        <v>5690.5</v>
      </c>
      <c r="M8" s="23">
        <v>5791.7</v>
      </c>
      <c r="N8" s="23">
        <v>5676.3</v>
      </c>
      <c r="O8" s="23">
        <v>5532.9</v>
      </c>
      <c r="P8" s="23">
        <v>5917.3</v>
      </c>
      <c r="Q8" s="23">
        <v>5144.2</v>
      </c>
      <c r="R8" s="23">
        <v>5437.6</v>
      </c>
      <c r="S8" s="23">
        <v>5869</v>
      </c>
      <c r="T8" s="23">
        <v>5860.3</v>
      </c>
      <c r="U8" s="23">
        <v>6423.2</v>
      </c>
      <c r="V8" s="23">
        <v>6661.3</v>
      </c>
      <c r="W8" s="23">
        <v>6233.2</v>
      </c>
      <c r="X8" s="23">
        <v>6595.4</v>
      </c>
      <c r="Y8" s="23">
        <v>7956.5</v>
      </c>
      <c r="Z8" s="23">
        <v>8414</v>
      </c>
      <c r="AA8" s="23">
        <v>9687.1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4134.5</v>
      </c>
      <c r="E9" s="23">
        <v>4440.8999999999996</v>
      </c>
      <c r="F9" s="23">
        <v>4505.7</v>
      </c>
      <c r="G9" s="23">
        <v>5273.2</v>
      </c>
      <c r="H9" s="23">
        <v>5991.7</v>
      </c>
      <c r="I9" s="23">
        <v>7270.9</v>
      </c>
      <c r="J9" s="23">
        <v>7806.5</v>
      </c>
      <c r="K9" s="23">
        <v>9814.2999999999993</v>
      </c>
      <c r="L9" s="23">
        <v>11769.3</v>
      </c>
      <c r="M9" s="23">
        <v>10914.4</v>
      </c>
      <c r="N9" s="23">
        <v>12152.9</v>
      </c>
      <c r="O9" s="23">
        <v>13314.9</v>
      </c>
      <c r="P9" s="23">
        <v>13123.6</v>
      </c>
      <c r="Q9" s="23">
        <v>12602.9</v>
      </c>
      <c r="R9" s="23">
        <v>13435.4</v>
      </c>
      <c r="S9" s="23">
        <v>13690.9</v>
      </c>
      <c r="T9" s="23">
        <v>12932.1</v>
      </c>
      <c r="U9" s="23">
        <v>13814.4</v>
      </c>
      <c r="V9" s="23">
        <v>14132.1</v>
      </c>
      <c r="W9" s="23">
        <v>16032.9</v>
      </c>
      <c r="X9" s="23">
        <v>16641.2</v>
      </c>
      <c r="Y9" s="23">
        <v>16618.8</v>
      </c>
      <c r="Z9" s="23">
        <v>19497.7</v>
      </c>
      <c r="AA9" s="23">
        <v>22147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787.3</v>
      </c>
      <c r="E10" s="23">
        <v>926.5</v>
      </c>
      <c r="F10" s="23">
        <v>1001.2</v>
      </c>
      <c r="G10" s="23">
        <v>1148.7</v>
      </c>
      <c r="H10" s="23">
        <v>1333.3</v>
      </c>
      <c r="I10" s="23">
        <v>1540.5</v>
      </c>
      <c r="J10" s="23">
        <v>1819.6</v>
      </c>
      <c r="K10" s="23">
        <v>2335.5</v>
      </c>
      <c r="L10" s="23">
        <v>2723.8</v>
      </c>
      <c r="M10" s="23">
        <v>3039.3</v>
      </c>
      <c r="N10" s="23">
        <v>3279.8</v>
      </c>
      <c r="O10" s="23">
        <v>3253</v>
      </c>
      <c r="P10" s="23">
        <v>3686.6</v>
      </c>
      <c r="Q10" s="23">
        <v>3468.4</v>
      </c>
      <c r="R10" s="23">
        <v>3362.8</v>
      </c>
      <c r="S10" s="23">
        <v>3577</v>
      </c>
      <c r="T10" s="23">
        <v>3933.6</v>
      </c>
      <c r="U10" s="23">
        <v>4093</v>
      </c>
      <c r="V10" s="23">
        <v>4105.3999999999996</v>
      </c>
      <c r="W10" s="23">
        <v>4240.2</v>
      </c>
      <c r="X10" s="23">
        <v>4199</v>
      </c>
      <c r="Y10" s="23">
        <v>4652.3999999999996</v>
      </c>
      <c r="Z10" s="23">
        <v>5168.2</v>
      </c>
      <c r="AA10" s="23">
        <v>5809.6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572.6</v>
      </c>
      <c r="E11" s="23">
        <v>544.20000000000005</v>
      </c>
      <c r="F11" s="23">
        <v>1008.1</v>
      </c>
      <c r="G11" s="23">
        <v>1070.5999999999999</v>
      </c>
      <c r="H11" s="23">
        <v>1175.8</v>
      </c>
      <c r="I11" s="23">
        <v>1375</v>
      </c>
      <c r="J11" s="23">
        <v>1423.8</v>
      </c>
      <c r="K11" s="23">
        <v>1561.4</v>
      </c>
      <c r="L11" s="23">
        <v>1731.6</v>
      </c>
      <c r="M11" s="23">
        <v>1979.9</v>
      </c>
      <c r="N11" s="23">
        <v>2072.1999999999998</v>
      </c>
      <c r="O11" s="23">
        <v>2262.8000000000002</v>
      </c>
      <c r="P11" s="23">
        <v>2260</v>
      </c>
      <c r="Q11" s="23">
        <v>2336.9</v>
      </c>
      <c r="R11" s="23">
        <v>2471.6999999999998</v>
      </c>
      <c r="S11" s="23">
        <v>2498.9</v>
      </c>
      <c r="T11" s="23">
        <v>2284.1999999999998</v>
      </c>
      <c r="U11" s="23">
        <v>2073.8000000000002</v>
      </c>
      <c r="V11" s="23">
        <v>2426</v>
      </c>
      <c r="W11" s="23">
        <v>2640.7</v>
      </c>
      <c r="X11" s="23">
        <v>2554.4</v>
      </c>
      <c r="Y11" s="23">
        <v>2917.3</v>
      </c>
      <c r="Z11" s="23">
        <v>2680.7</v>
      </c>
      <c r="AA11" s="23">
        <v>3147.7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2052.6999999999998</v>
      </c>
      <c r="E12" s="23">
        <v>2330.4</v>
      </c>
      <c r="F12" s="23">
        <v>2574.9</v>
      </c>
      <c r="G12" s="23">
        <v>2616.6</v>
      </c>
      <c r="H12" s="23">
        <v>3168.8</v>
      </c>
      <c r="I12" s="23">
        <v>2997.7</v>
      </c>
      <c r="J12" s="23">
        <v>3570.3</v>
      </c>
      <c r="K12" s="23">
        <v>4549.8</v>
      </c>
      <c r="L12" s="23">
        <v>5845.1</v>
      </c>
      <c r="M12" s="23">
        <v>6181.9</v>
      </c>
      <c r="N12" s="23">
        <v>6243.3</v>
      </c>
      <c r="O12" s="23">
        <v>6208.3</v>
      </c>
      <c r="P12" s="23">
        <v>6620.4</v>
      </c>
      <c r="Q12" s="23">
        <v>8145.2</v>
      </c>
      <c r="R12" s="23">
        <v>6108</v>
      </c>
      <c r="S12" s="23">
        <v>6334.2</v>
      </c>
      <c r="T12" s="23">
        <v>7302.2</v>
      </c>
      <c r="U12" s="23">
        <v>7615</v>
      </c>
      <c r="V12" s="23">
        <v>8090</v>
      </c>
      <c r="W12" s="23">
        <v>8147.2</v>
      </c>
      <c r="X12" s="23">
        <v>8833.1</v>
      </c>
      <c r="Y12" s="23">
        <v>10034.5</v>
      </c>
      <c r="Z12" s="23">
        <v>11417.4</v>
      </c>
      <c r="AA12" s="23">
        <v>11746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1504.3</v>
      </c>
      <c r="E13" s="23">
        <v>1475</v>
      </c>
      <c r="F13" s="23">
        <v>1767.2</v>
      </c>
      <c r="G13" s="23">
        <v>1884.2</v>
      </c>
      <c r="H13" s="23">
        <v>2198.1999999999998</v>
      </c>
      <c r="I13" s="23">
        <v>2586.3000000000002</v>
      </c>
      <c r="J13" s="23">
        <v>3169.9</v>
      </c>
      <c r="K13" s="23">
        <v>4070.8</v>
      </c>
      <c r="L13" s="23">
        <v>5156.7</v>
      </c>
      <c r="M13" s="23">
        <v>5349.5</v>
      </c>
      <c r="N13" s="23">
        <v>5780.3</v>
      </c>
      <c r="O13" s="23">
        <v>5700.8</v>
      </c>
      <c r="P13" s="23">
        <v>6096.3</v>
      </c>
      <c r="Q13" s="23">
        <v>6444</v>
      </c>
      <c r="R13" s="23">
        <v>6910.3</v>
      </c>
      <c r="S13" s="23">
        <v>7812.5</v>
      </c>
      <c r="T13" s="23">
        <v>8069.6</v>
      </c>
      <c r="U13" s="23">
        <v>8539.7000000000007</v>
      </c>
      <c r="V13" s="23">
        <v>9051.7000000000007</v>
      </c>
      <c r="W13" s="23">
        <v>7775.7</v>
      </c>
      <c r="X13" s="23">
        <v>7441.6</v>
      </c>
      <c r="Y13" s="23">
        <v>8630.1</v>
      </c>
      <c r="Z13" s="23">
        <v>9400.9</v>
      </c>
      <c r="AA13" s="23">
        <v>10726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3286.4000000000015</v>
      </c>
      <c r="E14" s="23">
        <v>3482.8000000000029</v>
      </c>
      <c r="F14" s="23">
        <v>3838.9999999999964</v>
      </c>
      <c r="G14" s="23">
        <v>4274.8000000000029</v>
      </c>
      <c r="H14" s="23">
        <v>4484.7999999999993</v>
      </c>
      <c r="I14" s="23">
        <v>4848.5000000000036</v>
      </c>
      <c r="J14" s="23">
        <v>5621</v>
      </c>
      <c r="K14" s="23">
        <v>6695.5999999999913</v>
      </c>
      <c r="L14" s="23">
        <v>7685.8000000000029</v>
      </c>
      <c r="M14" s="23">
        <v>8628.7999999999884</v>
      </c>
      <c r="N14" s="23">
        <v>8999.8999999999942</v>
      </c>
      <c r="O14" s="23">
        <v>8764.4999999999927</v>
      </c>
      <c r="P14" s="23">
        <v>9222.6999999999898</v>
      </c>
      <c r="Q14" s="23">
        <v>9597.1000000000058</v>
      </c>
      <c r="R14" s="23">
        <v>9303.9000000000015</v>
      </c>
      <c r="S14" s="23">
        <v>9663.7999999999956</v>
      </c>
      <c r="T14" s="23">
        <v>10894.300000000017</v>
      </c>
      <c r="U14" s="23">
        <v>11478.099999999991</v>
      </c>
      <c r="V14" s="23">
        <v>12140</v>
      </c>
      <c r="W14" s="23">
        <v>13322.300000000017</v>
      </c>
      <c r="X14" s="23">
        <v>14114.199999999983</v>
      </c>
      <c r="Y14" s="23">
        <v>15344.800000000003</v>
      </c>
      <c r="Z14" s="23">
        <v>16183.200000000012</v>
      </c>
      <c r="AA14" s="23">
        <v>18113.300000000003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462.6</v>
      </c>
      <c r="E15" s="23">
        <v>527.4</v>
      </c>
      <c r="F15" s="23">
        <v>608.20000000000005</v>
      </c>
      <c r="G15" s="23">
        <v>607.4</v>
      </c>
      <c r="H15" s="23">
        <v>648</v>
      </c>
      <c r="I15" s="23">
        <v>888.3</v>
      </c>
      <c r="J15" s="23">
        <v>1034.9000000000001</v>
      </c>
      <c r="K15" s="23">
        <v>1418.9</v>
      </c>
      <c r="L15" s="23">
        <v>1316.5</v>
      </c>
      <c r="M15" s="23">
        <v>1876.3</v>
      </c>
      <c r="N15" s="23">
        <v>2146.6</v>
      </c>
      <c r="O15" s="23">
        <v>2276</v>
      </c>
      <c r="P15" s="23">
        <v>2515.5</v>
      </c>
      <c r="Q15" s="23">
        <v>2542.4</v>
      </c>
      <c r="R15" s="23">
        <v>2667.3</v>
      </c>
      <c r="S15" s="23">
        <v>3114.9</v>
      </c>
      <c r="T15" s="23">
        <v>3091.2</v>
      </c>
      <c r="U15" s="23">
        <v>3114</v>
      </c>
      <c r="V15" s="23">
        <v>3346.8</v>
      </c>
      <c r="W15" s="23">
        <v>3298.3</v>
      </c>
      <c r="X15" s="23">
        <v>2323.6</v>
      </c>
      <c r="Y15" s="23">
        <v>3089.9</v>
      </c>
      <c r="Z15" s="23">
        <v>2504.8000000000002</v>
      </c>
      <c r="AA15" s="23">
        <v>2717.8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19756.3</v>
      </c>
      <c r="E16" s="30">
        <f t="shared" ref="E16:Y16" si="0">SUM(E6:E15)</f>
        <v>21343.9</v>
      </c>
      <c r="F16" s="30">
        <f t="shared" si="0"/>
        <v>23517.1</v>
      </c>
      <c r="G16" s="30">
        <f t="shared" si="0"/>
        <v>26585.4</v>
      </c>
      <c r="H16" s="30">
        <f t="shared" si="0"/>
        <v>30660.799999999999</v>
      </c>
      <c r="I16" s="30">
        <f t="shared" si="0"/>
        <v>34663.300000000003</v>
      </c>
      <c r="J16" s="30">
        <f t="shared" si="0"/>
        <v>40821.199999999997</v>
      </c>
      <c r="K16" s="30">
        <f t="shared" si="0"/>
        <v>50472.1</v>
      </c>
      <c r="L16" s="30">
        <f t="shared" si="0"/>
        <v>59534.7</v>
      </c>
      <c r="M16" s="30">
        <f t="shared" si="0"/>
        <v>57953.2</v>
      </c>
      <c r="N16" s="30">
        <f t="shared" si="0"/>
        <v>62293.1</v>
      </c>
      <c r="O16" s="30">
        <f t="shared" si="0"/>
        <v>64503.5</v>
      </c>
      <c r="P16" s="30">
        <f t="shared" si="0"/>
        <v>67018.899999999994</v>
      </c>
      <c r="Q16" s="30">
        <f t="shared" si="0"/>
        <v>67552.600000000006</v>
      </c>
      <c r="R16" s="30">
        <f t="shared" si="0"/>
        <v>69149.600000000006</v>
      </c>
      <c r="S16" s="30">
        <f t="shared" si="0"/>
        <v>72394.899999999994</v>
      </c>
      <c r="T16" s="30">
        <f t="shared" si="0"/>
        <v>73592.100000000006</v>
      </c>
      <c r="U16" s="30">
        <f t="shared" si="0"/>
        <v>76152.399999999994</v>
      </c>
      <c r="V16" s="30">
        <f t="shared" si="0"/>
        <v>80918.5</v>
      </c>
      <c r="W16" s="30">
        <f t="shared" si="0"/>
        <v>84543.6</v>
      </c>
      <c r="X16" s="30">
        <f t="shared" si="0"/>
        <v>84655</v>
      </c>
      <c r="Y16" s="30">
        <f t="shared" si="0"/>
        <v>91143.3</v>
      </c>
      <c r="Z16" s="30">
        <f t="shared" ref="Z16:AA16" si="1">SUM(Z6:Z15)</f>
        <v>98176.8</v>
      </c>
      <c r="AA16" s="30">
        <f t="shared" si="1"/>
        <v>113130.1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354.9</v>
      </c>
      <c r="E18" s="19">
        <v>473.9</v>
      </c>
      <c r="F18" s="19">
        <v>502.1</v>
      </c>
      <c r="G18" s="19">
        <v>499.9</v>
      </c>
      <c r="H18" s="19">
        <v>521.6</v>
      </c>
      <c r="I18" s="19">
        <v>577.29999999999995</v>
      </c>
      <c r="J18" s="19">
        <v>771.2</v>
      </c>
      <c r="K18" s="19">
        <v>1202.9000000000001</v>
      </c>
      <c r="L18" s="19">
        <v>1559.5</v>
      </c>
      <c r="M18" s="19">
        <v>1223.0999999999999</v>
      </c>
      <c r="N18" s="19">
        <v>1029.9000000000001</v>
      </c>
      <c r="O18" s="19">
        <v>1284.8</v>
      </c>
      <c r="P18" s="19">
        <v>1323.1</v>
      </c>
      <c r="Q18" s="19">
        <v>1548.3</v>
      </c>
      <c r="R18" s="19">
        <v>2002</v>
      </c>
      <c r="S18" s="19">
        <v>1644.5</v>
      </c>
      <c r="T18" s="19">
        <v>1683.6</v>
      </c>
      <c r="U18" s="19">
        <v>1570.2</v>
      </c>
      <c r="V18" s="19">
        <v>1813.9</v>
      </c>
      <c r="W18" s="19">
        <v>1528.8</v>
      </c>
      <c r="X18" s="19">
        <v>1631</v>
      </c>
      <c r="Y18" s="19">
        <v>1909.4</v>
      </c>
      <c r="Z18" s="19">
        <v>2123.9</v>
      </c>
      <c r="AA18" s="19">
        <v>2631.7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137.19999999999999</v>
      </c>
      <c r="E19" s="23">
        <v>135.81568310428457</v>
      </c>
      <c r="F19" s="23">
        <v>135.58807387862791</v>
      </c>
      <c r="G19" s="23">
        <v>152.49999999999991</v>
      </c>
      <c r="H19" s="23">
        <v>151.79303925165084</v>
      </c>
      <c r="I19" s="23">
        <v>185.79173303670743</v>
      </c>
      <c r="J19" s="23">
        <v>119.49631206987009</v>
      </c>
      <c r="K19" s="23">
        <v>175.79513329457691</v>
      </c>
      <c r="L19" s="23">
        <v>201.89999999999992</v>
      </c>
      <c r="M19" s="23">
        <v>207.39999999999995</v>
      </c>
      <c r="N19" s="23">
        <v>153.69999999999996</v>
      </c>
      <c r="O19" s="23">
        <v>163.40000000000003</v>
      </c>
      <c r="P19" s="23">
        <v>159.49999999999997</v>
      </c>
      <c r="Q19" s="23">
        <v>168.00511929792492</v>
      </c>
      <c r="R19" s="23">
        <v>150.29539027756471</v>
      </c>
      <c r="S19" s="23">
        <v>166.39455390456249</v>
      </c>
      <c r="T19" s="23">
        <v>174.6</v>
      </c>
      <c r="U19" s="23">
        <v>171.60594635802894</v>
      </c>
      <c r="V19" s="23">
        <v>186.00663125245103</v>
      </c>
      <c r="W19" s="23">
        <v>171.89528019549161</v>
      </c>
      <c r="X19" s="23">
        <v>161.80428382314</v>
      </c>
      <c r="Y19" s="23">
        <v>157.0051575178212</v>
      </c>
      <c r="Z19" s="23">
        <v>147.81733216065678</v>
      </c>
      <c r="AA19" s="23">
        <v>205.20000000000005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4391.5</v>
      </c>
      <c r="E20" s="23">
        <v>5006.2</v>
      </c>
      <c r="F20" s="23">
        <v>5006.8</v>
      </c>
      <c r="G20" s="23">
        <v>5810.6</v>
      </c>
      <c r="H20" s="23">
        <v>6940.5</v>
      </c>
      <c r="I20" s="23">
        <v>7949.9</v>
      </c>
      <c r="J20" s="23">
        <v>9221.9</v>
      </c>
      <c r="K20" s="23">
        <v>11206.9</v>
      </c>
      <c r="L20" s="23">
        <v>12239.2</v>
      </c>
      <c r="M20" s="23">
        <v>9406.5</v>
      </c>
      <c r="N20" s="23">
        <v>11777.2</v>
      </c>
      <c r="O20" s="23">
        <v>12469.9</v>
      </c>
      <c r="P20" s="23">
        <v>12736.1</v>
      </c>
      <c r="Q20" s="23">
        <v>12441.4</v>
      </c>
      <c r="R20" s="23">
        <v>14190.2</v>
      </c>
      <c r="S20" s="23">
        <v>15133.9</v>
      </c>
      <c r="T20" s="23">
        <v>14502.1</v>
      </c>
      <c r="U20" s="23">
        <v>14545.1</v>
      </c>
      <c r="V20" s="23">
        <v>16346.3</v>
      </c>
      <c r="W20" s="23">
        <v>17682.3</v>
      </c>
      <c r="X20" s="23">
        <v>16544.400000000001</v>
      </c>
      <c r="Y20" s="23">
        <v>16945.400000000001</v>
      </c>
      <c r="Z20" s="23">
        <v>19080.3</v>
      </c>
      <c r="AA20" s="23">
        <v>20825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635.90000000000009</v>
      </c>
      <c r="E21" s="23">
        <v>481.15556068830114</v>
      </c>
      <c r="F21" s="23">
        <v>737.0351715039576</v>
      </c>
      <c r="G21" s="23">
        <v>1239.8999999999994</v>
      </c>
      <c r="H21" s="23">
        <v>1729.9206713132799</v>
      </c>
      <c r="I21" s="23">
        <v>1688.8248542825361</v>
      </c>
      <c r="J21" s="23">
        <v>2671.8175415856563</v>
      </c>
      <c r="K21" s="23">
        <v>2760.7235722392943</v>
      </c>
      <c r="L21" s="23">
        <v>2913.7999999999993</v>
      </c>
      <c r="M21" s="23">
        <v>2694.4999999999991</v>
      </c>
      <c r="N21" s="23">
        <v>2302.7999999999997</v>
      </c>
      <c r="O21" s="23">
        <v>2600.6999999999998</v>
      </c>
      <c r="P21" s="23">
        <v>2634.1999999999994</v>
      </c>
      <c r="Q21" s="23">
        <v>2270.1691745132107</v>
      </c>
      <c r="R21" s="23">
        <v>2400.6263701886196</v>
      </c>
      <c r="S21" s="23">
        <v>2128.8303233619176</v>
      </c>
      <c r="T21" s="23">
        <v>2145.6999999999998</v>
      </c>
      <c r="U21" s="23">
        <v>1957.6678356088432</v>
      </c>
      <c r="V21" s="23">
        <v>1808.2644657563549</v>
      </c>
      <c r="W21" s="23">
        <v>2612.3282721506821</v>
      </c>
      <c r="X21" s="23">
        <v>2770.0733386285401</v>
      </c>
      <c r="Y21" s="23">
        <v>1957.6643080056485</v>
      </c>
      <c r="Z21" s="23">
        <v>613.17189680445642</v>
      </c>
      <c r="AA21" s="23">
        <v>4356.5000000000018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240.40000000000003</v>
      </c>
      <c r="E22" s="23">
        <v>249.02875620741423</v>
      </c>
      <c r="F22" s="23">
        <v>264.27675461741421</v>
      </c>
      <c r="G22" s="23">
        <v>310.39999999999981</v>
      </c>
      <c r="H22" s="23">
        <v>298.98628943506975</v>
      </c>
      <c r="I22" s="23">
        <v>372.78341268075633</v>
      </c>
      <c r="J22" s="23">
        <v>448.8861463444743</v>
      </c>
      <c r="K22" s="23">
        <v>675.68129446612977</v>
      </c>
      <c r="L22" s="23">
        <v>700.99999999999966</v>
      </c>
      <c r="M22" s="23">
        <v>659.89999999999975</v>
      </c>
      <c r="N22" s="23">
        <v>678.19999999999982</v>
      </c>
      <c r="O22" s="23">
        <v>671.50000000000011</v>
      </c>
      <c r="P22" s="23">
        <v>723.59999999999991</v>
      </c>
      <c r="Q22" s="23">
        <v>843.62570618886582</v>
      </c>
      <c r="R22" s="23">
        <v>709.47823953381339</v>
      </c>
      <c r="S22" s="23">
        <v>760.07512273352131</v>
      </c>
      <c r="T22" s="23">
        <v>718.6</v>
      </c>
      <c r="U22" s="23">
        <v>756.62621803312777</v>
      </c>
      <c r="V22" s="23">
        <v>810.72890299119388</v>
      </c>
      <c r="W22" s="23">
        <v>857.77644765382593</v>
      </c>
      <c r="X22" s="23">
        <v>845.22237754831849</v>
      </c>
      <c r="Y22" s="23">
        <v>929.53053447652758</v>
      </c>
      <c r="Z22" s="23">
        <v>944.71077103488756</v>
      </c>
      <c r="AA22" s="23">
        <v>1017.2000000000003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1196</v>
      </c>
      <c r="E23" s="23">
        <v>1270.5999999999999</v>
      </c>
      <c r="F23" s="23">
        <v>1567</v>
      </c>
      <c r="G23" s="23">
        <v>1696.6</v>
      </c>
      <c r="H23" s="23">
        <v>2017.4</v>
      </c>
      <c r="I23" s="23">
        <v>2381.5</v>
      </c>
      <c r="J23" s="23">
        <v>3141.9</v>
      </c>
      <c r="K23" s="23">
        <v>4003.8</v>
      </c>
      <c r="L23" s="23">
        <v>5690.5</v>
      </c>
      <c r="M23" s="23">
        <v>5791.7</v>
      </c>
      <c r="N23" s="23">
        <v>5676.3</v>
      </c>
      <c r="O23" s="23">
        <v>5532.9</v>
      </c>
      <c r="P23" s="23">
        <v>5917.3</v>
      </c>
      <c r="Q23" s="23">
        <v>5144.2</v>
      </c>
      <c r="R23" s="23">
        <v>5437.6</v>
      </c>
      <c r="S23" s="23">
        <v>5869</v>
      </c>
      <c r="T23" s="23">
        <v>5860.3</v>
      </c>
      <c r="U23" s="23">
        <v>6423.2</v>
      </c>
      <c r="V23" s="23">
        <v>6661.3</v>
      </c>
      <c r="W23" s="23">
        <v>6233.2</v>
      </c>
      <c r="X23" s="23">
        <v>6595.4</v>
      </c>
      <c r="Y23" s="23">
        <v>7956.5</v>
      </c>
      <c r="Z23" s="23">
        <v>8414</v>
      </c>
      <c r="AA23" s="23">
        <v>9687.1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2476.3000000000002</v>
      </c>
      <c r="E24" s="23">
        <v>2483.0999999999995</v>
      </c>
      <c r="F24" s="23">
        <v>2584.6999999999998</v>
      </c>
      <c r="G24" s="23">
        <v>3136.2</v>
      </c>
      <c r="H24" s="23">
        <v>3822.2999999999997</v>
      </c>
      <c r="I24" s="23">
        <v>4693.3999999999996</v>
      </c>
      <c r="J24" s="23">
        <v>5372.3</v>
      </c>
      <c r="K24" s="23">
        <v>6670.9</v>
      </c>
      <c r="L24" s="23">
        <v>8187.6999999999989</v>
      </c>
      <c r="M24" s="23">
        <v>7470.5</v>
      </c>
      <c r="N24" s="23">
        <v>8599.2999999999993</v>
      </c>
      <c r="O24" s="23">
        <v>9356.5</v>
      </c>
      <c r="P24" s="23">
        <v>8688.9000000000015</v>
      </c>
      <c r="Q24" s="23">
        <v>7850.2</v>
      </c>
      <c r="R24" s="23">
        <v>7724.1999999999989</v>
      </c>
      <c r="S24" s="23">
        <v>7605.8</v>
      </c>
      <c r="T24" s="23">
        <v>7200.1</v>
      </c>
      <c r="U24" s="23">
        <v>7756.4</v>
      </c>
      <c r="V24" s="23">
        <v>7744.5</v>
      </c>
      <c r="W24" s="23">
        <v>9134</v>
      </c>
      <c r="X24" s="23">
        <v>9914.6</v>
      </c>
      <c r="Y24" s="23">
        <v>9628.3999999999978</v>
      </c>
      <c r="Z24" s="23">
        <v>11084.2</v>
      </c>
      <c r="AA24" s="23">
        <v>13571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1384.2</v>
      </c>
      <c r="E25" s="23">
        <v>1671.4</v>
      </c>
      <c r="F25" s="23">
        <v>1625.4</v>
      </c>
      <c r="G25" s="23">
        <v>1807.5</v>
      </c>
      <c r="H25" s="23">
        <v>1793.2</v>
      </c>
      <c r="I25" s="23">
        <v>2128.6999999999998</v>
      </c>
      <c r="J25" s="23">
        <v>1918.7</v>
      </c>
      <c r="K25" s="23">
        <v>2622.5</v>
      </c>
      <c r="L25" s="23">
        <v>2931.4</v>
      </c>
      <c r="M25" s="23">
        <v>2799.7</v>
      </c>
      <c r="N25" s="23">
        <v>2766</v>
      </c>
      <c r="O25" s="23">
        <v>3175.5</v>
      </c>
      <c r="P25" s="23">
        <v>3430</v>
      </c>
      <c r="Q25" s="23">
        <v>3729</v>
      </c>
      <c r="R25" s="23">
        <v>4767.1000000000004</v>
      </c>
      <c r="S25" s="23">
        <v>5079.3999999999996</v>
      </c>
      <c r="T25" s="23">
        <v>4689.8999999999996</v>
      </c>
      <c r="U25" s="23">
        <v>4979.8999999999996</v>
      </c>
      <c r="V25" s="23">
        <v>5188.2</v>
      </c>
      <c r="W25" s="23">
        <v>5561.2</v>
      </c>
      <c r="X25" s="23">
        <v>5507.2</v>
      </c>
      <c r="Y25" s="23">
        <v>5637.1</v>
      </c>
      <c r="Z25" s="23">
        <v>6600.4</v>
      </c>
      <c r="AA25" s="23">
        <v>6342.2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274</v>
      </c>
      <c r="E26" s="23">
        <v>286.39999999999998</v>
      </c>
      <c r="F26" s="23">
        <v>295.60000000000002</v>
      </c>
      <c r="G26" s="23">
        <v>329.5</v>
      </c>
      <c r="H26" s="23">
        <v>376.2</v>
      </c>
      <c r="I26" s="23">
        <v>448.8</v>
      </c>
      <c r="J26" s="23">
        <v>515.5</v>
      </c>
      <c r="K26" s="23">
        <v>520.9</v>
      </c>
      <c r="L26" s="23">
        <v>650.20000000000005</v>
      </c>
      <c r="M26" s="23">
        <v>644.20000000000005</v>
      </c>
      <c r="N26" s="23">
        <v>787.6</v>
      </c>
      <c r="O26" s="23">
        <v>782.9</v>
      </c>
      <c r="P26" s="23">
        <v>1004.7</v>
      </c>
      <c r="Q26" s="23">
        <v>1023.7</v>
      </c>
      <c r="R26" s="23">
        <v>944.1</v>
      </c>
      <c r="S26" s="23">
        <v>1005.7</v>
      </c>
      <c r="T26" s="23">
        <v>1042.0999999999999</v>
      </c>
      <c r="U26" s="23">
        <v>1078.0999999999999</v>
      </c>
      <c r="V26" s="23">
        <v>1199.4000000000001</v>
      </c>
      <c r="W26" s="23">
        <v>1337.7</v>
      </c>
      <c r="X26" s="23">
        <v>1219.4000000000001</v>
      </c>
      <c r="Y26" s="23">
        <v>1353.3</v>
      </c>
      <c r="Z26" s="23">
        <v>1813.1</v>
      </c>
      <c r="AA26" s="23">
        <v>2233.8000000000002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787.3</v>
      </c>
      <c r="E27" s="23">
        <v>926.5</v>
      </c>
      <c r="F27" s="23">
        <v>1001.2</v>
      </c>
      <c r="G27" s="23">
        <v>1148.7</v>
      </c>
      <c r="H27" s="23">
        <v>1333.3</v>
      </c>
      <c r="I27" s="23">
        <v>1540.5</v>
      </c>
      <c r="J27" s="23">
        <v>1819.6</v>
      </c>
      <c r="K27" s="23">
        <v>2335.5</v>
      </c>
      <c r="L27" s="23">
        <v>2723.8</v>
      </c>
      <c r="M27" s="23">
        <v>3039.3</v>
      </c>
      <c r="N27" s="23">
        <v>3279.8</v>
      </c>
      <c r="O27" s="23">
        <v>3253</v>
      </c>
      <c r="P27" s="23">
        <v>3686.6</v>
      </c>
      <c r="Q27" s="23">
        <v>3468.4</v>
      </c>
      <c r="R27" s="23">
        <v>3362.8</v>
      </c>
      <c r="S27" s="23">
        <v>3577</v>
      </c>
      <c r="T27" s="23">
        <v>3933.6</v>
      </c>
      <c r="U27" s="23">
        <v>4093</v>
      </c>
      <c r="V27" s="23">
        <v>4105.3999999999996</v>
      </c>
      <c r="W27" s="23">
        <v>4240.2</v>
      </c>
      <c r="X27" s="23">
        <v>4199</v>
      </c>
      <c r="Y27" s="23">
        <v>4652.3999999999996</v>
      </c>
      <c r="Z27" s="23">
        <v>5168.2</v>
      </c>
      <c r="AA27" s="23">
        <v>5809.6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572.6</v>
      </c>
      <c r="E28" s="23">
        <v>544.20000000000005</v>
      </c>
      <c r="F28" s="23">
        <v>1008.1</v>
      </c>
      <c r="G28" s="23">
        <v>1070.5999999999999</v>
      </c>
      <c r="H28" s="23">
        <v>1175.8</v>
      </c>
      <c r="I28" s="23">
        <v>1375</v>
      </c>
      <c r="J28" s="23">
        <v>1423.8</v>
      </c>
      <c r="K28" s="23">
        <v>1561.4</v>
      </c>
      <c r="L28" s="23">
        <v>1731.6</v>
      </c>
      <c r="M28" s="23">
        <v>1979.9</v>
      </c>
      <c r="N28" s="23">
        <v>2072.1999999999998</v>
      </c>
      <c r="O28" s="23">
        <v>2262.8000000000002</v>
      </c>
      <c r="P28" s="23">
        <v>2260</v>
      </c>
      <c r="Q28" s="23">
        <v>2336.9</v>
      </c>
      <c r="R28" s="23">
        <v>2471.6999999999998</v>
      </c>
      <c r="S28" s="23">
        <v>2498.9</v>
      </c>
      <c r="T28" s="23">
        <v>2284.1999999999998</v>
      </c>
      <c r="U28" s="23">
        <v>2073.8000000000002</v>
      </c>
      <c r="V28" s="23">
        <v>2426</v>
      </c>
      <c r="W28" s="23">
        <v>2640.7</v>
      </c>
      <c r="X28" s="23">
        <v>2554.4</v>
      </c>
      <c r="Y28" s="23">
        <v>2917.3</v>
      </c>
      <c r="Z28" s="23">
        <v>2680.7</v>
      </c>
      <c r="AA28" s="23">
        <v>3147.7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2052.6999999999998</v>
      </c>
      <c r="E29" s="23">
        <v>2330.4</v>
      </c>
      <c r="F29" s="23">
        <v>2574.9</v>
      </c>
      <c r="G29" s="23">
        <v>2616.6</v>
      </c>
      <c r="H29" s="23">
        <v>3168.8</v>
      </c>
      <c r="I29" s="23">
        <v>2997.7</v>
      </c>
      <c r="J29" s="23">
        <v>3570.3</v>
      </c>
      <c r="K29" s="23">
        <v>4549.8</v>
      </c>
      <c r="L29" s="23">
        <v>5845.1</v>
      </c>
      <c r="M29" s="23">
        <v>6181.9</v>
      </c>
      <c r="N29" s="23">
        <v>6243.3</v>
      </c>
      <c r="O29" s="23">
        <v>6208.3</v>
      </c>
      <c r="P29" s="23">
        <v>6620.4</v>
      </c>
      <c r="Q29" s="23">
        <v>8145.2</v>
      </c>
      <c r="R29" s="23">
        <v>6108</v>
      </c>
      <c r="S29" s="23">
        <v>6334.2</v>
      </c>
      <c r="T29" s="23">
        <v>7302.2</v>
      </c>
      <c r="U29" s="23">
        <v>7615</v>
      </c>
      <c r="V29" s="23">
        <v>8090</v>
      </c>
      <c r="W29" s="23">
        <v>8147.2</v>
      </c>
      <c r="X29" s="23">
        <v>8833.1</v>
      </c>
      <c r="Y29" s="23">
        <v>10034.5</v>
      </c>
      <c r="Z29" s="23">
        <v>11417.4</v>
      </c>
      <c r="AA29" s="23">
        <v>11746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922.69999999999993</v>
      </c>
      <c r="E30" s="23">
        <v>902.4</v>
      </c>
      <c r="F30" s="23">
        <v>1108.0999999999999</v>
      </c>
      <c r="G30" s="23">
        <v>1173.8000000000002</v>
      </c>
      <c r="H30" s="23">
        <v>1370.4999999999998</v>
      </c>
      <c r="I30" s="23">
        <v>1625.9</v>
      </c>
      <c r="J30" s="23">
        <v>1976.4</v>
      </c>
      <c r="K30" s="23">
        <v>2587.7000000000003</v>
      </c>
      <c r="L30" s="23">
        <v>3237</v>
      </c>
      <c r="M30" s="23">
        <v>3290</v>
      </c>
      <c r="N30" s="23">
        <v>3555.4</v>
      </c>
      <c r="O30" s="23">
        <v>3715.9</v>
      </c>
      <c r="P30" s="23">
        <v>3950.2000000000003</v>
      </c>
      <c r="Q30" s="23">
        <v>3984.7</v>
      </c>
      <c r="R30" s="23">
        <v>4545.8999999999996</v>
      </c>
      <c r="S30" s="23">
        <v>5053.3</v>
      </c>
      <c r="T30" s="23">
        <v>5628.5</v>
      </c>
      <c r="U30" s="23">
        <v>5630.6</v>
      </c>
      <c r="V30" s="23">
        <v>5851.1</v>
      </c>
      <c r="W30" s="23">
        <v>5088.7999999999993</v>
      </c>
      <c r="X30" s="23">
        <v>4808.7000000000007</v>
      </c>
      <c r="Y30" s="23">
        <v>5558.2000000000007</v>
      </c>
      <c r="Z30" s="23">
        <v>5929</v>
      </c>
      <c r="AA30" s="23">
        <v>6667.1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581.6</v>
      </c>
      <c r="E31" s="23">
        <v>572.6</v>
      </c>
      <c r="F31" s="23">
        <v>659.1</v>
      </c>
      <c r="G31" s="23">
        <v>710.4</v>
      </c>
      <c r="H31" s="23">
        <v>827.7</v>
      </c>
      <c r="I31" s="23">
        <v>960.4</v>
      </c>
      <c r="J31" s="23">
        <v>1193.5</v>
      </c>
      <c r="K31" s="23">
        <v>1483.1</v>
      </c>
      <c r="L31" s="23">
        <v>1919.7</v>
      </c>
      <c r="M31" s="23">
        <v>2059.5</v>
      </c>
      <c r="N31" s="23">
        <v>2224.9</v>
      </c>
      <c r="O31" s="23">
        <v>1984.9</v>
      </c>
      <c r="P31" s="23">
        <v>2146.1</v>
      </c>
      <c r="Q31" s="23">
        <v>2459.3000000000002</v>
      </c>
      <c r="R31" s="23">
        <v>2364.4</v>
      </c>
      <c r="S31" s="23">
        <v>2759.2</v>
      </c>
      <c r="T31" s="23">
        <v>2441.1</v>
      </c>
      <c r="U31" s="23">
        <v>2909.1</v>
      </c>
      <c r="V31" s="23">
        <v>3200.6</v>
      </c>
      <c r="W31" s="23">
        <v>2686.9</v>
      </c>
      <c r="X31" s="23">
        <v>2632.9</v>
      </c>
      <c r="Y31" s="23">
        <v>3071.9</v>
      </c>
      <c r="Z31" s="23">
        <v>3471.9</v>
      </c>
      <c r="AA31" s="23">
        <v>4058.9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1871.1000000000015</v>
      </c>
      <c r="E32" s="23">
        <v>1888.3000000000029</v>
      </c>
      <c r="F32" s="23">
        <v>2044.3999999999965</v>
      </c>
      <c r="G32" s="23">
        <v>2311.700000000003</v>
      </c>
      <c r="H32" s="23">
        <v>2443.0999999999995</v>
      </c>
      <c r="I32" s="23">
        <v>2704.4000000000033</v>
      </c>
      <c r="J32" s="23">
        <v>3189.7</v>
      </c>
      <c r="K32" s="23">
        <v>3594.1999999999912</v>
      </c>
      <c r="L32" s="23">
        <v>3967.6000000000031</v>
      </c>
      <c r="M32" s="23">
        <v>4649.199999999988</v>
      </c>
      <c r="N32" s="23">
        <v>4840.4999999999945</v>
      </c>
      <c r="O32" s="23">
        <v>4541.299999999992</v>
      </c>
      <c r="P32" s="23">
        <v>4703.2999999999902</v>
      </c>
      <c r="Q32" s="23">
        <v>4851.0000000000055</v>
      </c>
      <c r="R32" s="23">
        <v>4357.9000000000015</v>
      </c>
      <c r="S32" s="23">
        <v>4341.6999999999953</v>
      </c>
      <c r="T32" s="23">
        <v>5174.0000000000173</v>
      </c>
      <c r="U32" s="23">
        <v>5401.9999999999909</v>
      </c>
      <c r="V32" s="23">
        <v>5839.9</v>
      </c>
      <c r="W32" s="23">
        <v>6470.6000000000167</v>
      </c>
      <c r="X32" s="23">
        <v>6912.4999999999818</v>
      </c>
      <c r="Y32" s="23">
        <v>7200.9000000000033</v>
      </c>
      <c r="Z32" s="23">
        <v>7499.800000000012</v>
      </c>
      <c r="AA32" s="23">
        <v>8100.1000000000022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715.3</v>
      </c>
      <c r="E33" s="23">
        <v>826.9</v>
      </c>
      <c r="F33" s="23">
        <v>941.2</v>
      </c>
      <c r="G33" s="23">
        <v>1058.3</v>
      </c>
      <c r="H33" s="23">
        <v>1104.5</v>
      </c>
      <c r="I33" s="23">
        <v>1222.4000000000001</v>
      </c>
      <c r="J33" s="23">
        <v>1313.7</v>
      </c>
      <c r="K33" s="23">
        <v>1506.7</v>
      </c>
      <c r="L33" s="23">
        <v>1893.6</v>
      </c>
      <c r="M33" s="23">
        <v>2058.9</v>
      </c>
      <c r="N33" s="23">
        <v>2139.8000000000002</v>
      </c>
      <c r="O33" s="23">
        <v>2193.3000000000002</v>
      </c>
      <c r="P33" s="23">
        <v>2338.4</v>
      </c>
      <c r="Q33" s="23">
        <v>2468.9</v>
      </c>
      <c r="R33" s="23">
        <v>2567.1999999999998</v>
      </c>
      <c r="S33" s="23">
        <v>2663.6</v>
      </c>
      <c r="T33" s="23">
        <v>2789.4</v>
      </c>
      <c r="U33" s="23">
        <v>2915.7</v>
      </c>
      <c r="V33" s="23">
        <v>3150.6</v>
      </c>
      <c r="W33" s="23">
        <v>3320.3</v>
      </c>
      <c r="X33" s="23">
        <v>3522.9</v>
      </c>
      <c r="Y33" s="23">
        <v>3734.2</v>
      </c>
      <c r="Z33" s="23">
        <v>4044.4</v>
      </c>
      <c r="AA33" s="23">
        <v>4538.5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700</v>
      </c>
      <c r="E34" s="23">
        <v>767.6</v>
      </c>
      <c r="F34" s="23">
        <v>853.4</v>
      </c>
      <c r="G34" s="23">
        <v>904.8</v>
      </c>
      <c r="H34" s="23">
        <v>937.2</v>
      </c>
      <c r="I34" s="23">
        <v>921.7</v>
      </c>
      <c r="J34" s="23">
        <v>1117.5999999999999</v>
      </c>
      <c r="K34" s="23">
        <v>1594.7</v>
      </c>
      <c r="L34" s="23">
        <v>1824.6</v>
      </c>
      <c r="M34" s="23">
        <v>1920.7</v>
      </c>
      <c r="N34" s="23">
        <v>2019.6</v>
      </c>
      <c r="O34" s="23">
        <v>2029.9</v>
      </c>
      <c r="P34" s="23">
        <v>2181</v>
      </c>
      <c r="Q34" s="23">
        <v>2277.1999999999998</v>
      </c>
      <c r="R34" s="23">
        <v>2378.8000000000002</v>
      </c>
      <c r="S34" s="23">
        <v>2658.5</v>
      </c>
      <c r="T34" s="23">
        <v>2930.9</v>
      </c>
      <c r="U34" s="23">
        <v>3160.4</v>
      </c>
      <c r="V34" s="23">
        <v>3149.5</v>
      </c>
      <c r="W34" s="23">
        <v>3531.4</v>
      </c>
      <c r="X34" s="23">
        <v>3678.8</v>
      </c>
      <c r="Y34" s="23">
        <v>4409.7</v>
      </c>
      <c r="Z34" s="23">
        <v>4639</v>
      </c>
      <c r="AA34" s="23">
        <v>5474.7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269</v>
      </c>
      <c r="E35" s="23">
        <v>305.09999999999997</v>
      </c>
      <c r="F35" s="23">
        <v>363.70000000000005</v>
      </c>
      <c r="G35" s="23">
        <v>357.9</v>
      </c>
      <c r="H35" s="23">
        <v>328.5</v>
      </c>
      <c r="I35" s="23">
        <v>532.59999999999991</v>
      </c>
      <c r="J35" s="23">
        <v>646.80000000000007</v>
      </c>
      <c r="K35" s="23">
        <v>963.80000000000007</v>
      </c>
      <c r="L35" s="23">
        <v>802.6</v>
      </c>
      <c r="M35" s="23">
        <v>1319.2</v>
      </c>
      <c r="N35" s="23">
        <v>1379.3</v>
      </c>
      <c r="O35" s="23">
        <v>1553.1999999999998</v>
      </c>
      <c r="P35" s="23">
        <v>1769.9</v>
      </c>
      <c r="Q35" s="23">
        <v>1769.8000000000002</v>
      </c>
      <c r="R35" s="23">
        <v>1894.2000000000003</v>
      </c>
      <c r="S35" s="23">
        <v>2282.4</v>
      </c>
      <c r="T35" s="23">
        <v>2183.3999999999996</v>
      </c>
      <c r="U35" s="23">
        <v>2209.3000000000002</v>
      </c>
      <c r="V35" s="23">
        <v>2401.4</v>
      </c>
      <c r="W35" s="23">
        <v>2372.8000000000002</v>
      </c>
      <c r="X35" s="23">
        <v>1531.1</v>
      </c>
      <c r="Y35" s="23">
        <v>2103.4</v>
      </c>
      <c r="Z35" s="23">
        <v>1443.9</v>
      </c>
      <c r="AA35" s="23">
        <v>1584.4000000000003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182.8</v>
      </c>
      <c r="E36" s="23">
        <v>210.3</v>
      </c>
      <c r="F36" s="23">
        <v>231</v>
      </c>
      <c r="G36" s="23">
        <v>235.1</v>
      </c>
      <c r="H36" s="23">
        <v>303.89999999999998</v>
      </c>
      <c r="I36" s="23">
        <v>338</v>
      </c>
      <c r="J36" s="23">
        <v>368</v>
      </c>
      <c r="K36" s="23">
        <v>430.6</v>
      </c>
      <c r="L36" s="23">
        <v>486.3</v>
      </c>
      <c r="M36" s="23">
        <v>528.29999999999995</v>
      </c>
      <c r="N36" s="23">
        <v>733.4</v>
      </c>
      <c r="O36" s="23">
        <v>691.6</v>
      </c>
      <c r="P36" s="23">
        <v>713.1</v>
      </c>
      <c r="Q36" s="23">
        <v>741.9</v>
      </c>
      <c r="R36" s="23">
        <v>738</v>
      </c>
      <c r="S36" s="23">
        <v>797.3</v>
      </c>
      <c r="T36" s="23">
        <v>865.4</v>
      </c>
      <c r="U36" s="23">
        <v>865.1</v>
      </c>
      <c r="V36" s="23">
        <v>902.9</v>
      </c>
      <c r="W36" s="23">
        <v>876.9</v>
      </c>
      <c r="X36" s="23">
        <v>747.9</v>
      </c>
      <c r="Y36" s="23">
        <v>940.2</v>
      </c>
      <c r="Z36" s="23">
        <v>1009.7</v>
      </c>
      <c r="AA36" s="23">
        <v>1080.3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10.8</v>
      </c>
      <c r="E37" s="23">
        <v>12</v>
      </c>
      <c r="F37" s="23">
        <v>13.5</v>
      </c>
      <c r="G37" s="23">
        <v>14.4</v>
      </c>
      <c r="H37" s="23">
        <v>15.6</v>
      </c>
      <c r="I37" s="23">
        <v>17.7</v>
      </c>
      <c r="J37" s="23">
        <v>20.100000000000001</v>
      </c>
      <c r="K37" s="23">
        <v>24.5</v>
      </c>
      <c r="L37" s="23">
        <v>27.6</v>
      </c>
      <c r="M37" s="23">
        <v>28.8</v>
      </c>
      <c r="N37" s="23">
        <v>33.9</v>
      </c>
      <c r="O37" s="23">
        <v>31.2</v>
      </c>
      <c r="P37" s="23">
        <v>32.5</v>
      </c>
      <c r="Q37" s="23">
        <v>30.7</v>
      </c>
      <c r="R37" s="23">
        <v>35.1</v>
      </c>
      <c r="S37" s="23">
        <v>35.200000000000003</v>
      </c>
      <c r="T37" s="23">
        <v>42.4</v>
      </c>
      <c r="U37" s="23">
        <v>39.6</v>
      </c>
      <c r="V37" s="23">
        <v>42.5</v>
      </c>
      <c r="W37" s="23">
        <v>48.6</v>
      </c>
      <c r="X37" s="23">
        <v>44.6</v>
      </c>
      <c r="Y37" s="23">
        <v>46.3</v>
      </c>
      <c r="Z37" s="23">
        <v>51.2</v>
      </c>
      <c r="AA37" s="23">
        <v>53.1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19756.3</v>
      </c>
      <c r="E39" s="30">
        <f t="shared" ref="E39:Y39" si="2">SUM(E18:E38)</f>
        <v>21343.899999999998</v>
      </c>
      <c r="F39" s="30">
        <f t="shared" si="2"/>
        <v>23517.1</v>
      </c>
      <c r="G39" s="30">
        <f t="shared" si="2"/>
        <v>26585.4</v>
      </c>
      <c r="H39" s="30">
        <f t="shared" si="2"/>
        <v>30660.799999999996</v>
      </c>
      <c r="I39" s="30">
        <f t="shared" si="2"/>
        <v>34663.300000000003</v>
      </c>
      <c r="J39" s="30">
        <f t="shared" si="2"/>
        <v>40821.19999999999</v>
      </c>
      <c r="K39" s="30">
        <f t="shared" si="2"/>
        <v>50472.099999999991</v>
      </c>
      <c r="L39" s="30">
        <f t="shared" si="2"/>
        <v>59534.7</v>
      </c>
      <c r="M39" s="30">
        <f t="shared" si="2"/>
        <v>57953.2</v>
      </c>
      <c r="N39" s="30">
        <f t="shared" si="2"/>
        <v>62293.1</v>
      </c>
      <c r="O39" s="30">
        <f t="shared" si="2"/>
        <v>64503.5</v>
      </c>
      <c r="P39" s="30">
        <f t="shared" si="2"/>
        <v>67018.89999999998</v>
      </c>
      <c r="Q39" s="30">
        <f t="shared" si="2"/>
        <v>67552.599999999991</v>
      </c>
      <c r="R39" s="30">
        <f t="shared" si="2"/>
        <v>69149.599999999991</v>
      </c>
      <c r="S39" s="30">
        <f t="shared" si="2"/>
        <v>72394.899999999994</v>
      </c>
      <c r="T39" s="30">
        <f t="shared" si="2"/>
        <v>73592.099999999977</v>
      </c>
      <c r="U39" s="30">
        <f t="shared" si="2"/>
        <v>76152.399999999994</v>
      </c>
      <c r="V39" s="30">
        <f t="shared" si="2"/>
        <v>80918.499999999985</v>
      </c>
      <c r="W39" s="30">
        <f t="shared" si="2"/>
        <v>84543.599999999991</v>
      </c>
      <c r="X39" s="30">
        <f t="shared" si="2"/>
        <v>84654.999999999985</v>
      </c>
      <c r="Y39" s="30">
        <f t="shared" si="2"/>
        <v>91143.299999999988</v>
      </c>
      <c r="Z39" s="30">
        <f t="shared" ref="Z39:AA39" si="3">SUM(Z18:Z38)</f>
        <v>98176.799999999988</v>
      </c>
      <c r="AA39" s="30">
        <f t="shared" si="3"/>
        <v>113130.1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559.1</v>
      </c>
      <c r="E41" s="19">
        <v>724.6</v>
      </c>
      <c r="F41" s="19">
        <v>571</v>
      </c>
      <c r="G41" s="19">
        <v>572.5</v>
      </c>
      <c r="H41" s="19">
        <v>644.4</v>
      </c>
      <c r="I41" s="19">
        <v>720.8</v>
      </c>
      <c r="J41" s="19">
        <v>842.9</v>
      </c>
      <c r="K41" s="19">
        <v>912.5</v>
      </c>
      <c r="L41" s="19">
        <v>1008.4</v>
      </c>
      <c r="M41" s="19">
        <v>887.7</v>
      </c>
      <c r="N41" s="19">
        <v>885</v>
      </c>
      <c r="O41" s="19">
        <v>985.2</v>
      </c>
      <c r="P41" s="19">
        <v>995.3</v>
      </c>
      <c r="Q41" s="19">
        <v>892.5</v>
      </c>
      <c r="R41" s="19">
        <v>893.5</v>
      </c>
      <c r="S41" s="19">
        <v>960.9</v>
      </c>
      <c r="T41" s="19">
        <v>832.3</v>
      </c>
      <c r="U41" s="19">
        <v>884.5</v>
      </c>
      <c r="V41" s="19">
        <v>1105.4000000000001</v>
      </c>
      <c r="W41" s="19">
        <v>1180.3</v>
      </c>
      <c r="X41" s="19">
        <v>1246.4000000000001</v>
      </c>
      <c r="Y41" s="19">
        <v>1260.2</v>
      </c>
      <c r="Z41" s="19">
        <v>1353.1</v>
      </c>
      <c r="AA41" s="19">
        <v>1618.4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389.7</v>
      </c>
      <c r="E42" s="23">
        <v>351.6</v>
      </c>
      <c r="F42" s="23">
        <v>362.9</v>
      </c>
      <c r="G42" s="23">
        <v>385.4</v>
      </c>
      <c r="H42" s="23">
        <v>394.1</v>
      </c>
      <c r="I42" s="23">
        <v>471.6</v>
      </c>
      <c r="J42" s="23">
        <v>479</v>
      </c>
      <c r="K42" s="23">
        <v>564</v>
      </c>
      <c r="L42" s="23">
        <v>453.1</v>
      </c>
      <c r="M42" s="23">
        <v>395.3</v>
      </c>
      <c r="N42" s="23">
        <v>643.70000000000005</v>
      </c>
      <c r="O42" s="23">
        <v>579.79999999999995</v>
      </c>
      <c r="P42" s="23">
        <v>577.6</v>
      </c>
      <c r="Q42" s="23">
        <v>553</v>
      </c>
      <c r="R42" s="23">
        <v>645.20000000000005</v>
      </c>
      <c r="S42" s="23">
        <v>647.20000000000005</v>
      </c>
      <c r="T42" s="23">
        <v>592.6</v>
      </c>
      <c r="U42" s="23">
        <v>526.79999999999995</v>
      </c>
      <c r="V42" s="23">
        <v>648.5</v>
      </c>
      <c r="W42" s="23">
        <v>623.79999999999995</v>
      </c>
      <c r="X42" s="23">
        <v>567.20000000000005</v>
      </c>
      <c r="Y42" s="23">
        <v>540.5</v>
      </c>
      <c r="Z42" s="23">
        <v>595.20000000000005</v>
      </c>
      <c r="AA42" s="23">
        <v>593.20000000000005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413.1</v>
      </c>
      <c r="E43" s="23">
        <v>477.6</v>
      </c>
      <c r="F43" s="23">
        <v>456.1</v>
      </c>
      <c r="G43" s="23">
        <v>465.6</v>
      </c>
      <c r="H43" s="23">
        <v>511.1</v>
      </c>
      <c r="I43" s="23">
        <v>574.29999999999995</v>
      </c>
      <c r="J43" s="23">
        <v>737.8</v>
      </c>
      <c r="K43" s="23">
        <v>862.9</v>
      </c>
      <c r="L43" s="23">
        <v>960.3</v>
      </c>
      <c r="M43" s="23">
        <v>839.7</v>
      </c>
      <c r="N43" s="23">
        <v>869.2</v>
      </c>
      <c r="O43" s="23">
        <v>866.3</v>
      </c>
      <c r="P43" s="23">
        <v>859.5</v>
      </c>
      <c r="Q43" s="23">
        <v>821.5</v>
      </c>
      <c r="R43" s="23">
        <v>947.9</v>
      </c>
      <c r="S43" s="23">
        <v>993.4</v>
      </c>
      <c r="T43" s="23">
        <v>940.8</v>
      </c>
      <c r="U43" s="23">
        <v>945.7</v>
      </c>
      <c r="V43" s="23">
        <v>970.1</v>
      </c>
      <c r="W43" s="23">
        <v>987</v>
      </c>
      <c r="X43" s="23">
        <v>962</v>
      </c>
      <c r="Y43" s="23">
        <v>961.5</v>
      </c>
      <c r="Z43" s="23">
        <v>1102.5</v>
      </c>
      <c r="AA43" s="23">
        <v>1146.2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159.80000000000001</v>
      </c>
      <c r="E44" s="23">
        <v>142.4</v>
      </c>
      <c r="F44" s="23">
        <v>96.5</v>
      </c>
      <c r="G44" s="23">
        <v>110</v>
      </c>
      <c r="H44" s="23">
        <v>348.2</v>
      </c>
      <c r="I44" s="23">
        <v>337.4</v>
      </c>
      <c r="J44" s="23">
        <v>218.5</v>
      </c>
      <c r="K44" s="23">
        <v>258.3</v>
      </c>
      <c r="L44" s="23">
        <v>124.1</v>
      </c>
      <c r="M44" s="23">
        <v>151.19999999999999</v>
      </c>
      <c r="N44" s="23">
        <v>415.4</v>
      </c>
      <c r="O44" s="23">
        <v>90.1</v>
      </c>
      <c r="P44" s="23">
        <v>367.1</v>
      </c>
      <c r="Q44" s="23">
        <v>261.3</v>
      </c>
      <c r="R44" s="23">
        <v>297.39999999999998</v>
      </c>
      <c r="S44" s="23">
        <v>328.1</v>
      </c>
      <c r="T44" s="23">
        <v>41.5</v>
      </c>
      <c r="U44" s="23">
        <v>334.6</v>
      </c>
      <c r="V44" s="23">
        <v>298.39999999999998</v>
      </c>
      <c r="W44" s="23">
        <v>390.5</v>
      </c>
      <c r="X44" s="23">
        <v>289.39999999999998</v>
      </c>
      <c r="Y44" s="23">
        <v>384.5</v>
      </c>
      <c r="Z44" s="23">
        <v>1237.8</v>
      </c>
      <c r="AA44" s="23">
        <v>1057.0999999999999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268.89999999999998</v>
      </c>
      <c r="E45" s="23">
        <v>284.8</v>
      </c>
      <c r="F45" s="23">
        <v>314.7</v>
      </c>
      <c r="G45" s="23">
        <v>245.6</v>
      </c>
      <c r="H45" s="23">
        <v>265.39999999999998</v>
      </c>
      <c r="I45" s="23">
        <v>313.2</v>
      </c>
      <c r="J45" s="23">
        <v>386.7</v>
      </c>
      <c r="K45" s="23">
        <v>417.3</v>
      </c>
      <c r="L45" s="23">
        <v>463</v>
      </c>
      <c r="M45" s="23">
        <v>399.9</v>
      </c>
      <c r="N45" s="23">
        <v>264.3</v>
      </c>
      <c r="O45" s="23">
        <v>369.2</v>
      </c>
      <c r="P45" s="23">
        <v>311.5</v>
      </c>
      <c r="Q45" s="23">
        <v>266.7</v>
      </c>
      <c r="R45" s="23">
        <v>348.9</v>
      </c>
      <c r="S45" s="23">
        <v>479</v>
      </c>
      <c r="T45" s="23">
        <v>401.3</v>
      </c>
      <c r="U45" s="23">
        <v>376.9</v>
      </c>
      <c r="V45" s="23">
        <v>323.10000000000002</v>
      </c>
      <c r="W45" s="23">
        <v>386.2</v>
      </c>
      <c r="X45" s="23">
        <v>367</v>
      </c>
      <c r="Y45" s="23">
        <v>356.3</v>
      </c>
      <c r="Z45" s="23">
        <v>454.6</v>
      </c>
      <c r="AA45" s="23">
        <v>446.2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57.9</v>
      </c>
      <c r="E46" s="23">
        <v>63.3</v>
      </c>
      <c r="F46" s="23">
        <v>57.5</v>
      </c>
      <c r="G46" s="23">
        <v>46.8</v>
      </c>
      <c r="H46" s="23">
        <v>29.9</v>
      </c>
      <c r="I46" s="23">
        <v>47.7</v>
      </c>
      <c r="J46" s="23">
        <v>58.7</v>
      </c>
      <c r="K46" s="23">
        <v>69.5</v>
      </c>
      <c r="L46" s="23">
        <v>87.5</v>
      </c>
      <c r="M46" s="23">
        <v>127.7</v>
      </c>
      <c r="N46" s="23">
        <v>139.69999999999999</v>
      </c>
      <c r="O46" s="23">
        <v>143.9</v>
      </c>
      <c r="P46" s="23">
        <v>142.6</v>
      </c>
      <c r="Q46" s="23">
        <v>22.6</v>
      </c>
      <c r="R46" s="23">
        <v>76.099999999999994</v>
      </c>
      <c r="S46" s="23">
        <v>57.8</v>
      </c>
      <c r="T46" s="23">
        <v>81.7</v>
      </c>
      <c r="U46" s="23">
        <v>70.7</v>
      </c>
      <c r="V46" s="23">
        <v>71.5</v>
      </c>
      <c r="W46" s="23">
        <v>74.099999999999994</v>
      </c>
      <c r="X46" s="23">
        <v>80.2</v>
      </c>
      <c r="Y46" s="23">
        <v>87.2</v>
      </c>
      <c r="Z46" s="23">
        <v>93.5</v>
      </c>
      <c r="AA46" s="23">
        <v>126.7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494.5</v>
      </c>
      <c r="E47" s="23">
        <v>533.29999999999995</v>
      </c>
      <c r="F47" s="23">
        <v>633.79999999999995</v>
      </c>
      <c r="G47" s="23">
        <v>723.9</v>
      </c>
      <c r="H47" s="23">
        <v>781.6</v>
      </c>
      <c r="I47" s="23">
        <v>901.7</v>
      </c>
      <c r="J47" s="23">
        <v>1016.2</v>
      </c>
      <c r="K47" s="23">
        <v>1262.2</v>
      </c>
      <c r="L47" s="23">
        <v>1356.3</v>
      </c>
      <c r="M47" s="23">
        <v>1214.4000000000001</v>
      </c>
      <c r="N47" s="23">
        <v>1157.5999999999999</v>
      </c>
      <c r="O47" s="23">
        <v>1376.5</v>
      </c>
      <c r="P47" s="23">
        <v>1497.6</v>
      </c>
      <c r="Q47" s="23">
        <v>1583.6</v>
      </c>
      <c r="R47" s="23">
        <v>1702.9</v>
      </c>
      <c r="S47" s="23">
        <v>1783.7</v>
      </c>
      <c r="T47" s="23">
        <v>1910.7</v>
      </c>
      <c r="U47" s="23">
        <v>1923.5</v>
      </c>
      <c r="V47" s="23">
        <v>1954.7</v>
      </c>
      <c r="W47" s="23">
        <v>2149.6999999999998</v>
      </c>
      <c r="X47" s="23">
        <v>1974.5</v>
      </c>
      <c r="Y47" s="23">
        <v>2009.9</v>
      </c>
      <c r="Z47" s="23">
        <v>2112.1999999999998</v>
      </c>
      <c r="AA47" s="23">
        <v>2233.9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751.1</v>
      </c>
      <c r="E48" s="23">
        <v>949.8</v>
      </c>
      <c r="F48" s="23">
        <v>898.2</v>
      </c>
      <c r="G48" s="23">
        <v>1164.2</v>
      </c>
      <c r="H48" s="23">
        <v>1543.5</v>
      </c>
      <c r="I48" s="23">
        <v>1801.9</v>
      </c>
      <c r="J48" s="23">
        <v>2135.6</v>
      </c>
      <c r="K48" s="23">
        <v>2689.3</v>
      </c>
      <c r="L48" s="23">
        <v>2768.4</v>
      </c>
      <c r="M48" s="23">
        <v>1859.5</v>
      </c>
      <c r="N48" s="23">
        <v>2483.6</v>
      </c>
      <c r="O48" s="23">
        <v>2410.9</v>
      </c>
      <c r="P48" s="23">
        <v>2668.7</v>
      </c>
      <c r="Q48" s="23">
        <v>2471.9</v>
      </c>
      <c r="R48" s="23">
        <v>2769.8</v>
      </c>
      <c r="S48" s="23">
        <v>2892.5</v>
      </c>
      <c r="T48" s="23">
        <v>2933.8</v>
      </c>
      <c r="U48" s="23">
        <v>3079.4</v>
      </c>
      <c r="V48" s="23">
        <v>3292.4</v>
      </c>
      <c r="W48" s="23">
        <v>3025.2</v>
      </c>
      <c r="X48" s="23">
        <v>2882.4</v>
      </c>
      <c r="Y48" s="23">
        <v>3565.7</v>
      </c>
      <c r="Z48" s="23">
        <v>4233.8999999999996</v>
      </c>
      <c r="AA48" s="23">
        <v>3989.3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148.80000000000001</v>
      </c>
      <c r="E49" s="23">
        <v>146.19999999999999</v>
      </c>
      <c r="F49" s="23">
        <v>171.6</v>
      </c>
      <c r="G49" s="23">
        <v>195.5</v>
      </c>
      <c r="H49" s="23">
        <v>257.2</v>
      </c>
      <c r="I49" s="23">
        <v>340.7</v>
      </c>
      <c r="J49" s="23">
        <v>547.5</v>
      </c>
      <c r="K49" s="23">
        <v>553.29999999999995</v>
      </c>
      <c r="L49" s="23">
        <v>735.5</v>
      </c>
      <c r="M49" s="23">
        <v>466.3</v>
      </c>
      <c r="N49" s="23">
        <v>619.4</v>
      </c>
      <c r="O49" s="23">
        <v>684.3</v>
      </c>
      <c r="P49" s="23">
        <v>649.4</v>
      </c>
      <c r="Q49" s="23">
        <v>524.1</v>
      </c>
      <c r="R49" s="23">
        <v>717.3</v>
      </c>
      <c r="S49" s="23">
        <v>622.6</v>
      </c>
      <c r="T49" s="23">
        <v>648.6</v>
      </c>
      <c r="U49" s="23">
        <v>543.79999999999995</v>
      </c>
      <c r="V49" s="23">
        <v>560.4</v>
      </c>
      <c r="W49" s="23">
        <v>572.6</v>
      </c>
      <c r="X49" s="23">
        <v>509.6</v>
      </c>
      <c r="Y49" s="23">
        <v>438.4</v>
      </c>
      <c r="Z49" s="23">
        <v>456.9</v>
      </c>
      <c r="AA49" s="23">
        <v>617.4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196.4</v>
      </c>
      <c r="E50" s="23">
        <v>228.7</v>
      </c>
      <c r="F50" s="23">
        <v>232.6</v>
      </c>
      <c r="G50" s="23">
        <v>288.3</v>
      </c>
      <c r="H50" s="23">
        <v>290.5</v>
      </c>
      <c r="I50" s="23">
        <v>385.4</v>
      </c>
      <c r="J50" s="23">
        <v>436.2</v>
      </c>
      <c r="K50" s="23">
        <v>493.4</v>
      </c>
      <c r="L50" s="23">
        <v>656</v>
      </c>
      <c r="M50" s="23">
        <v>435.7</v>
      </c>
      <c r="N50" s="23">
        <v>593.1</v>
      </c>
      <c r="O50" s="23">
        <v>899.8</v>
      </c>
      <c r="P50" s="23">
        <v>662.1</v>
      </c>
      <c r="Q50" s="23">
        <v>745.9</v>
      </c>
      <c r="R50" s="23">
        <v>710.6</v>
      </c>
      <c r="S50" s="23">
        <v>876.1</v>
      </c>
      <c r="T50" s="23">
        <v>872.2</v>
      </c>
      <c r="U50" s="23">
        <v>948.6</v>
      </c>
      <c r="V50" s="23">
        <v>1010.2</v>
      </c>
      <c r="W50" s="23">
        <v>1157.4000000000001</v>
      </c>
      <c r="X50" s="23">
        <v>929.6</v>
      </c>
      <c r="Y50" s="23">
        <v>1020.3</v>
      </c>
      <c r="Z50" s="23">
        <v>1027.5999999999999</v>
      </c>
      <c r="AA50" s="23">
        <v>1118.3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322.39999999999998</v>
      </c>
      <c r="E51" s="23">
        <v>342.9</v>
      </c>
      <c r="F51" s="23">
        <v>356.7</v>
      </c>
      <c r="G51" s="23">
        <v>419.1</v>
      </c>
      <c r="H51" s="23">
        <v>503.8</v>
      </c>
      <c r="I51" s="23">
        <v>572.70000000000005</v>
      </c>
      <c r="J51" s="23">
        <v>651.79999999999995</v>
      </c>
      <c r="K51" s="23">
        <v>780.7</v>
      </c>
      <c r="L51" s="23">
        <v>954.6</v>
      </c>
      <c r="M51" s="23">
        <v>658.2</v>
      </c>
      <c r="N51" s="23">
        <v>893.2</v>
      </c>
      <c r="O51" s="23">
        <v>1053.8</v>
      </c>
      <c r="P51" s="23">
        <v>1029.4000000000001</v>
      </c>
      <c r="Q51" s="23">
        <v>1085.7</v>
      </c>
      <c r="R51" s="23">
        <v>1335</v>
      </c>
      <c r="S51" s="23">
        <v>1497.3</v>
      </c>
      <c r="T51" s="23">
        <v>1292.8</v>
      </c>
      <c r="U51" s="23">
        <v>1094.0999999999999</v>
      </c>
      <c r="V51" s="23">
        <v>1511.5</v>
      </c>
      <c r="W51" s="23">
        <v>1621</v>
      </c>
      <c r="X51" s="23">
        <v>1376.8</v>
      </c>
      <c r="Y51" s="23">
        <v>1616.4</v>
      </c>
      <c r="Z51" s="23">
        <v>1493.3</v>
      </c>
      <c r="AA51" s="23">
        <v>1834.2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343.4</v>
      </c>
      <c r="E52" s="23">
        <v>405.9</v>
      </c>
      <c r="F52" s="23">
        <v>463.6</v>
      </c>
      <c r="G52" s="23">
        <v>725.3</v>
      </c>
      <c r="H52" s="23">
        <v>835.9</v>
      </c>
      <c r="I52" s="23">
        <v>867.8</v>
      </c>
      <c r="J52" s="23">
        <v>1014.8</v>
      </c>
      <c r="K52" s="23">
        <v>1585.7</v>
      </c>
      <c r="L52" s="23">
        <v>1854</v>
      </c>
      <c r="M52" s="23">
        <v>1231.9000000000001</v>
      </c>
      <c r="N52" s="23">
        <v>1975.9</v>
      </c>
      <c r="O52" s="23">
        <v>2061.1</v>
      </c>
      <c r="P52" s="23">
        <v>2127.1999999999998</v>
      </c>
      <c r="Q52" s="23">
        <v>2289.9</v>
      </c>
      <c r="R52" s="23">
        <v>2840.5</v>
      </c>
      <c r="S52" s="23">
        <v>3083.6</v>
      </c>
      <c r="T52" s="23">
        <v>3007.1</v>
      </c>
      <c r="U52" s="23">
        <v>2803</v>
      </c>
      <c r="V52" s="23">
        <v>3506.4</v>
      </c>
      <c r="W52" s="23">
        <v>4405.3</v>
      </c>
      <c r="X52" s="23">
        <v>4289.5</v>
      </c>
      <c r="Y52" s="23">
        <v>3636.3</v>
      </c>
      <c r="Z52" s="23">
        <v>3744.8</v>
      </c>
      <c r="AA52" s="23">
        <v>4762.1000000000004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286.39999999999964</v>
      </c>
      <c r="E53" s="23">
        <v>355.10000000000036</v>
      </c>
      <c r="F53" s="23">
        <v>391.60000000000036</v>
      </c>
      <c r="G53" s="23">
        <v>468.39999999999964</v>
      </c>
      <c r="H53" s="23">
        <v>534.90000000000055</v>
      </c>
      <c r="I53" s="23">
        <v>614.69999999999982</v>
      </c>
      <c r="J53" s="23">
        <v>696.20000000000073</v>
      </c>
      <c r="K53" s="23">
        <v>757.79999999999745</v>
      </c>
      <c r="L53" s="23">
        <v>818</v>
      </c>
      <c r="M53" s="23">
        <v>739</v>
      </c>
      <c r="N53" s="23">
        <v>837.10000000000036</v>
      </c>
      <c r="O53" s="23">
        <v>949</v>
      </c>
      <c r="P53" s="23">
        <v>848.10000000000036</v>
      </c>
      <c r="Q53" s="23">
        <v>922.69999999999891</v>
      </c>
      <c r="R53" s="23">
        <v>905.10000000000036</v>
      </c>
      <c r="S53" s="23">
        <v>911.69999999999891</v>
      </c>
      <c r="T53" s="23">
        <v>946.70000000000073</v>
      </c>
      <c r="U53" s="23">
        <v>1013.5</v>
      </c>
      <c r="V53" s="23">
        <v>1093.6999999999989</v>
      </c>
      <c r="W53" s="23">
        <v>1109.2000000000007</v>
      </c>
      <c r="X53" s="23">
        <v>1069.8000000000011</v>
      </c>
      <c r="Y53" s="23">
        <v>1068.2000000000044</v>
      </c>
      <c r="Z53" s="23">
        <v>1174.9000000000015</v>
      </c>
      <c r="AA53" s="23">
        <v>1282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4391.5</v>
      </c>
      <c r="E54" s="30">
        <f t="shared" ref="E54:Y54" si="4">SUM(E41:E53)</f>
        <v>5006.2</v>
      </c>
      <c r="F54" s="30">
        <f t="shared" si="4"/>
        <v>5006.8</v>
      </c>
      <c r="G54" s="30">
        <f t="shared" si="4"/>
        <v>5810.6</v>
      </c>
      <c r="H54" s="30">
        <f t="shared" si="4"/>
        <v>6940.5</v>
      </c>
      <c r="I54" s="30">
        <f t="shared" si="4"/>
        <v>7949.9</v>
      </c>
      <c r="J54" s="30">
        <f t="shared" si="4"/>
        <v>9221.9</v>
      </c>
      <c r="K54" s="30">
        <f t="shared" si="4"/>
        <v>11206.9</v>
      </c>
      <c r="L54" s="30">
        <f t="shared" si="4"/>
        <v>12239.2</v>
      </c>
      <c r="M54" s="30">
        <f t="shared" si="4"/>
        <v>9406.5</v>
      </c>
      <c r="N54" s="30">
        <f t="shared" si="4"/>
        <v>11777.2</v>
      </c>
      <c r="O54" s="30">
        <f t="shared" si="4"/>
        <v>12469.9</v>
      </c>
      <c r="P54" s="30">
        <f t="shared" si="4"/>
        <v>12736.1</v>
      </c>
      <c r="Q54" s="30">
        <f t="shared" si="4"/>
        <v>12441.4</v>
      </c>
      <c r="R54" s="30">
        <f t="shared" si="4"/>
        <v>14190.2</v>
      </c>
      <c r="S54" s="30">
        <f t="shared" si="4"/>
        <v>15133.9</v>
      </c>
      <c r="T54" s="30">
        <f t="shared" si="4"/>
        <v>14502.1</v>
      </c>
      <c r="U54" s="30">
        <f t="shared" si="4"/>
        <v>14545.1</v>
      </c>
      <c r="V54" s="30">
        <f t="shared" si="4"/>
        <v>16346.3</v>
      </c>
      <c r="W54" s="30">
        <f t="shared" si="4"/>
        <v>17682.3</v>
      </c>
      <c r="X54" s="30">
        <f t="shared" si="4"/>
        <v>16544.400000000001</v>
      </c>
      <c r="Y54" s="30">
        <f t="shared" si="4"/>
        <v>16945.400000000001</v>
      </c>
      <c r="Z54" s="30">
        <f t="shared" ref="Z54:AA54" si="5">SUM(Z41:Z53)</f>
        <v>19080.3</v>
      </c>
      <c r="AA54" s="30">
        <f t="shared" si="5"/>
        <v>20825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559.1</v>
      </c>
      <c r="E56" s="19">
        <v>724.6</v>
      </c>
      <c r="F56" s="19">
        <v>571</v>
      </c>
      <c r="G56" s="19">
        <v>572.5</v>
      </c>
      <c r="H56" s="19">
        <v>644.4</v>
      </c>
      <c r="I56" s="19">
        <v>720.8</v>
      </c>
      <c r="J56" s="19">
        <v>842.9</v>
      </c>
      <c r="K56" s="19">
        <v>912.5</v>
      </c>
      <c r="L56" s="19">
        <v>1008.4</v>
      </c>
      <c r="M56" s="19">
        <v>887.7</v>
      </c>
      <c r="N56" s="19">
        <v>885</v>
      </c>
      <c r="O56" s="19">
        <v>985.2</v>
      </c>
      <c r="P56" s="19">
        <v>995.3</v>
      </c>
      <c r="Q56" s="19">
        <v>892.5</v>
      </c>
      <c r="R56" s="19">
        <v>893.5</v>
      </c>
      <c r="S56" s="19">
        <v>960.9</v>
      </c>
      <c r="T56" s="19">
        <v>832.3</v>
      </c>
      <c r="U56" s="19">
        <v>884.5</v>
      </c>
      <c r="V56" s="19">
        <v>1105.4000000000001</v>
      </c>
      <c r="W56" s="19">
        <v>1180.3</v>
      </c>
      <c r="X56" s="19">
        <v>1246.4000000000001</v>
      </c>
      <c r="Y56" s="19">
        <v>1260.2</v>
      </c>
      <c r="Z56" s="19">
        <v>1353.1</v>
      </c>
      <c r="AA56" s="19">
        <v>1618.4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389.7</v>
      </c>
      <c r="E57" s="23">
        <v>351.6</v>
      </c>
      <c r="F57" s="23">
        <v>362.9</v>
      </c>
      <c r="G57" s="23">
        <v>385.4</v>
      </c>
      <c r="H57" s="23">
        <v>394.1</v>
      </c>
      <c r="I57" s="23">
        <v>471.6</v>
      </c>
      <c r="J57" s="23">
        <v>479</v>
      </c>
      <c r="K57" s="23">
        <v>564</v>
      </c>
      <c r="L57" s="23">
        <v>453.1</v>
      </c>
      <c r="M57" s="23">
        <v>395.3</v>
      </c>
      <c r="N57" s="23">
        <v>643.70000000000005</v>
      </c>
      <c r="O57" s="23">
        <v>579.79999999999995</v>
      </c>
      <c r="P57" s="23">
        <v>577.6</v>
      </c>
      <c r="Q57" s="23">
        <v>553</v>
      </c>
      <c r="R57" s="23">
        <v>645.20000000000005</v>
      </c>
      <c r="S57" s="23">
        <v>647.20000000000005</v>
      </c>
      <c r="T57" s="23">
        <v>592.6</v>
      </c>
      <c r="U57" s="23">
        <v>526.79999999999995</v>
      </c>
      <c r="V57" s="23">
        <v>648.5</v>
      </c>
      <c r="W57" s="23">
        <v>623.79999999999995</v>
      </c>
      <c r="X57" s="23">
        <v>567.20000000000005</v>
      </c>
      <c r="Y57" s="23">
        <v>540.5</v>
      </c>
      <c r="Z57" s="23">
        <v>595.20000000000005</v>
      </c>
      <c r="AA57" s="23">
        <v>593.20000000000005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122.2</v>
      </c>
      <c r="E58" s="23">
        <v>133.80000000000001</v>
      </c>
      <c r="F58" s="23">
        <v>146.1</v>
      </c>
      <c r="G58" s="23">
        <v>173</v>
      </c>
      <c r="H58" s="23">
        <v>229.1</v>
      </c>
      <c r="I58" s="23">
        <v>270.10000000000002</v>
      </c>
      <c r="J58" s="23">
        <v>362</v>
      </c>
      <c r="K58" s="23">
        <v>432.7</v>
      </c>
      <c r="L58" s="23">
        <v>511</v>
      </c>
      <c r="M58" s="23">
        <v>413.7</v>
      </c>
      <c r="N58" s="23">
        <v>426.3</v>
      </c>
      <c r="O58" s="23">
        <v>411.1</v>
      </c>
      <c r="P58" s="23">
        <v>360.9</v>
      </c>
      <c r="Q58" s="23">
        <v>361.8</v>
      </c>
      <c r="R58" s="23">
        <v>483.7</v>
      </c>
      <c r="S58" s="23">
        <v>493.7</v>
      </c>
      <c r="T58" s="23">
        <v>430.6</v>
      </c>
      <c r="U58" s="23">
        <v>475.1</v>
      </c>
      <c r="V58" s="23">
        <v>459.5</v>
      </c>
      <c r="W58" s="23">
        <v>495</v>
      </c>
      <c r="X58" s="23">
        <v>536.6</v>
      </c>
      <c r="Y58" s="23">
        <v>558.1</v>
      </c>
      <c r="Z58" s="23">
        <v>618.4</v>
      </c>
      <c r="AA58" s="23">
        <v>597.6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214</v>
      </c>
      <c r="E59" s="23">
        <v>260.39999999999998</v>
      </c>
      <c r="F59" s="23">
        <v>230</v>
      </c>
      <c r="G59" s="23">
        <v>201.9</v>
      </c>
      <c r="H59" s="23">
        <v>189.3</v>
      </c>
      <c r="I59" s="23">
        <v>205.2</v>
      </c>
      <c r="J59" s="23">
        <v>249.3</v>
      </c>
      <c r="K59" s="23">
        <v>286.10000000000002</v>
      </c>
      <c r="L59" s="23">
        <v>281.3</v>
      </c>
      <c r="M59" s="23">
        <v>291.5</v>
      </c>
      <c r="N59" s="23">
        <v>279.89999999999998</v>
      </c>
      <c r="O59" s="23">
        <v>300</v>
      </c>
      <c r="P59" s="23">
        <v>331</v>
      </c>
      <c r="Q59" s="23">
        <v>305.2</v>
      </c>
      <c r="R59" s="23">
        <v>307</v>
      </c>
      <c r="S59" s="23">
        <v>347.7</v>
      </c>
      <c r="T59" s="23">
        <v>365.7</v>
      </c>
      <c r="U59" s="23">
        <v>318.89999999999998</v>
      </c>
      <c r="V59" s="23">
        <v>335.7</v>
      </c>
      <c r="W59" s="23">
        <v>348</v>
      </c>
      <c r="X59" s="23">
        <v>294</v>
      </c>
      <c r="Y59" s="23">
        <v>262.2</v>
      </c>
      <c r="Z59" s="23">
        <v>350.2</v>
      </c>
      <c r="AA59" s="23">
        <v>409.2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76.900000000000034</v>
      </c>
      <c r="E60" s="23">
        <v>83.400000000000034</v>
      </c>
      <c r="F60" s="23">
        <v>80</v>
      </c>
      <c r="G60" s="23">
        <v>90.700000000000045</v>
      </c>
      <c r="H60" s="23">
        <v>92.700000000000045</v>
      </c>
      <c r="I60" s="23">
        <v>98.999999999999943</v>
      </c>
      <c r="J60" s="23">
        <v>126.5</v>
      </c>
      <c r="K60" s="23">
        <v>144.10000000000002</v>
      </c>
      <c r="L60" s="23">
        <v>168</v>
      </c>
      <c r="M60" s="23">
        <v>134.5</v>
      </c>
      <c r="N60" s="23">
        <v>163</v>
      </c>
      <c r="O60" s="23">
        <v>155.19999999999993</v>
      </c>
      <c r="P60" s="23">
        <v>167.60000000000002</v>
      </c>
      <c r="Q60" s="23">
        <v>154.5</v>
      </c>
      <c r="R60" s="23">
        <v>157.19999999999993</v>
      </c>
      <c r="S60" s="23">
        <v>152</v>
      </c>
      <c r="T60" s="23">
        <v>144.5</v>
      </c>
      <c r="U60" s="23">
        <v>151.70000000000005</v>
      </c>
      <c r="V60" s="23">
        <v>174.89999999999998</v>
      </c>
      <c r="W60" s="23">
        <v>144</v>
      </c>
      <c r="X60" s="23">
        <v>131.39999999999998</v>
      </c>
      <c r="Y60" s="23">
        <v>141.20000000000005</v>
      </c>
      <c r="Z60" s="23">
        <v>133.90000000000009</v>
      </c>
      <c r="AA60" s="23">
        <v>139.40000000000009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159.80000000000001</v>
      </c>
      <c r="E61" s="23">
        <v>142.4</v>
      </c>
      <c r="F61" s="23">
        <v>96.5</v>
      </c>
      <c r="G61" s="23">
        <v>110</v>
      </c>
      <c r="H61" s="23">
        <v>348.2</v>
      </c>
      <c r="I61" s="23">
        <v>337.4</v>
      </c>
      <c r="J61" s="23">
        <v>218.5</v>
      </c>
      <c r="K61" s="23">
        <v>258.3</v>
      </c>
      <c r="L61" s="23">
        <v>124.1</v>
      </c>
      <c r="M61" s="23">
        <v>151.19999999999999</v>
      </c>
      <c r="N61" s="23">
        <v>415.4</v>
      </c>
      <c r="O61" s="23">
        <v>90.1</v>
      </c>
      <c r="P61" s="23">
        <v>367.1</v>
      </c>
      <c r="Q61" s="23">
        <v>261.3</v>
      </c>
      <c r="R61" s="23">
        <v>297.39999999999998</v>
      </c>
      <c r="S61" s="23">
        <v>328.1</v>
      </c>
      <c r="T61" s="23">
        <v>41.5</v>
      </c>
      <c r="U61" s="23">
        <v>334.6</v>
      </c>
      <c r="V61" s="23">
        <v>298.39999999999998</v>
      </c>
      <c r="W61" s="23">
        <v>390.5</v>
      </c>
      <c r="X61" s="23">
        <v>289.39999999999998</v>
      </c>
      <c r="Y61" s="23">
        <v>384.5</v>
      </c>
      <c r="Z61" s="23">
        <v>1237.8</v>
      </c>
      <c r="AA61" s="23">
        <v>1057.0999999999999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268.89999999999998</v>
      </c>
      <c r="E62" s="23">
        <v>284.8</v>
      </c>
      <c r="F62" s="23">
        <v>314.7</v>
      </c>
      <c r="G62" s="23">
        <v>245.6</v>
      </c>
      <c r="H62" s="23">
        <v>265.39999999999998</v>
      </c>
      <c r="I62" s="23">
        <v>313.2</v>
      </c>
      <c r="J62" s="23">
        <v>386.7</v>
      </c>
      <c r="K62" s="23">
        <v>417.3</v>
      </c>
      <c r="L62" s="23">
        <v>463</v>
      </c>
      <c r="M62" s="23">
        <v>399.9</v>
      </c>
      <c r="N62" s="23">
        <v>264.3</v>
      </c>
      <c r="O62" s="23">
        <v>369.2</v>
      </c>
      <c r="P62" s="23">
        <v>311.5</v>
      </c>
      <c r="Q62" s="23">
        <v>266.7</v>
      </c>
      <c r="R62" s="23">
        <v>348.9</v>
      </c>
      <c r="S62" s="23">
        <v>479</v>
      </c>
      <c r="T62" s="23">
        <v>401.3</v>
      </c>
      <c r="U62" s="23">
        <v>376.9</v>
      </c>
      <c r="V62" s="23">
        <v>323.10000000000002</v>
      </c>
      <c r="W62" s="23">
        <v>386.2</v>
      </c>
      <c r="X62" s="23">
        <v>367</v>
      </c>
      <c r="Y62" s="23">
        <v>356.3</v>
      </c>
      <c r="Z62" s="23">
        <v>454.6</v>
      </c>
      <c r="AA62" s="23">
        <v>446.2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57.9</v>
      </c>
      <c r="E63" s="23">
        <v>63.3</v>
      </c>
      <c r="F63" s="23">
        <v>57.5</v>
      </c>
      <c r="G63" s="23">
        <v>46.8</v>
      </c>
      <c r="H63" s="23">
        <v>29.9</v>
      </c>
      <c r="I63" s="23">
        <v>47.7</v>
      </c>
      <c r="J63" s="23">
        <v>58.7</v>
      </c>
      <c r="K63" s="23">
        <v>69.5</v>
      </c>
      <c r="L63" s="23">
        <v>87.5</v>
      </c>
      <c r="M63" s="23">
        <v>127.7</v>
      </c>
      <c r="N63" s="23">
        <v>139.69999999999999</v>
      </c>
      <c r="O63" s="23">
        <v>143.9</v>
      </c>
      <c r="P63" s="23">
        <v>142.6</v>
      </c>
      <c r="Q63" s="23">
        <v>22.6</v>
      </c>
      <c r="R63" s="23">
        <v>76.099999999999994</v>
      </c>
      <c r="S63" s="23">
        <v>57.8</v>
      </c>
      <c r="T63" s="23">
        <v>81.7</v>
      </c>
      <c r="U63" s="23">
        <v>70.7</v>
      </c>
      <c r="V63" s="23">
        <v>71.5</v>
      </c>
      <c r="W63" s="23">
        <v>74.099999999999994</v>
      </c>
      <c r="X63" s="23">
        <v>80.2</v>
      </c>
      <c r="Y63" s="23">
        <v>87.2</v>
      </c>
      <c r="Z63" s="23">
        <v>93.5</v>
      </c>
      <c r="AA63" s="23">
        <v>126.7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201.8</v>
      </c>
      <c r="E64" s="23">
        <v>223.5</v>
      </c>
      <c r="F64" s="23">
        <v>282.39999999999998</v>
      </c>
      <c r="G64" s="23">
        <v>356.5</v>
      </c>
      <c r="H64" s="23">
        <v>383.2</v>
      </c>
      <c r="I64" s="23">
        <v>451.7</v>
      </c>
      <c r="J64" s="23">
        <v>495.5</v>
      </c>
      <c r="K64" s="23">
        <v>589.70000000000005</v>
      </c>
      <c r="L64" s="23">
        <v>616.1</v>
      </c>
      <c r="M64" s="23">
        <v>679</v>
      </c>
      <c r="N64" s="23">
        <v>660.5</v>
      </c>
      <c r="O64" s="23">
        <v>808.9</v>
      </c>
      <c r="P64" s="23">
        <v>1009.1</v>
      </c>
      <c r="Q64" s="23">
        <v>1122.9000000000001</v>
      </c>
      <c r="R64" s="23">
        <v>1193.2</v>
      </c>
      <c r="S64" s="23">
        <v>1265.7</v>
      </c>
      <c r="T64" s="23">
        <v>1349.7</v>
      </c>
      <c r="U64" s="23">
        <v>1320.3</v>
      </c>
      <c r="V64" s="23">
        <v>1341.3</v>
      </c>
      <c r="W64" s="23">
        <v>1458.9</v>
      </c>
      <c r="X64" s="23">
        <v>1302.9000000000001</v>
      </c>
      <c r="Y64" s="23">
        <v>1313.1</v>
      </c>
      <c r="Z64" s="23">
        <v>1353.8</v>
      </c>
      <c r="AA64" s="23">
        <v>1433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292.7</v>
      </c>
      <c r="E65" s="23">
        <v>309.79999999999995</v>
      </c>
      <c r="F65" s="23">
        <v>351.4</v>
      </c>
      <c r="G65" s="23">
        <v>367.4</v>
      </c>
      <c r="H65" s="23">
        <v>398.40000000000003</v>
      </c>
      <c r="I65" s="23">
        <v>450.00000000000006</v>
      </c>
      <c r="J65" s="23">
        <v>520.70000000000005</v>
      </c>
      <c r="K65" s="23">
        <v>672.5</v>
      </c>
      <c r="L65" s="23">
        <v>740.19999999999993</v>
      </c>
      <c r="M65" s="23">
        <v>535.40000000000009</v>
      </c>
      <c r="N65" s="23">
        <v>497.09999999999991</v>
      </c>
      <c r="O65" s="23">
        <v>567.6</v>
      </c>
      <c r="P65" s="23">
        <v>488.49999999999989</v>
      </c>
      <c r="Q65" s="23">
        <v>460.69999999999982</v>
      </c>
      <c r="R65" s="23">
        <v>509.70000000000005</v>
      </c>
      <c r="S65" s="23">
        <v>518</v>
      </c>
      <c r="T65" s="23">
        <v>561</v>
      </c>
      <c r="U65" s="23">
        <v>603.20000000000005</v>
      </c>
      <c r="V65" s="23">
        <v>613.40000000000009</v>
      </c>
      <c r="W65" s="23">
        <v>690.79999999999973</v>
      </c>
      <c r="X65" s="23">
        <v>671.59999999999991</v>
      </c>
      <c r="Y65" s="23">
        <v>696.80000000000018</v>
      </c>
      <c r="Z65" s="23">
        <v>758.39999999999986</v>
      </c>
      <c r="AA65" s="23">
        <v>800.90000000000009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443.1</v>
      </c>
      <c r="E66" s="23">
        <v>534.9</v>
      </c>
      <c r="F66" s="23">
        <v>497.2</v>
      </c>
      <c r="G66" s="23">
        <v>641.1</v>
      </c>
      <c r="H66" s="23">
        <v>914.4</v>
      </c>
      <c r="I66" s="23">
        <v>1026.0999999999999</v>
      </c>
      <c r="J66" s="23">
        <v>1198.2</v>
      </c>
      <c r="K66" s="23">
        <v>1341.5</v>
      </c>
      <c r="L66" s="23">
        <v>1153.5</v>
      </c>
      <c r="M66" s="23">
        <v>591.5</v>
      </c>
      <c r="N66" s="23">
        <v>975.3</v>
      </c>
      <c r="O66" s="23">
        <v>771.3</v>
      </c>
      <c r="P66" s="23">
        <v>846.4</v>
      </c>
      <c r="Q66" s="23">
        <v>789.7</v>
      </c>
      <c r="R66" s="23">
        <v>750.3</v>
      </c>
      <c r="S66" s="23">
        <v>863.7</v>
      </c>
      <c r="T66" s="23">
        <v>940.3</v>
      </c>
      <c r="U66" s="23">
        <v>952.5</v>
      </c>
      <c r="V66" s="23">
        <v>1099.2</v>
      </c>
      <c r="W66" s="23">
        <v>787.2</v>
      </c>
      <c r="X66" s="23">
        <v>754</v>
      </c>
      <c r="Y66" s="23">
        <v>1425.5</v>
      </c>
      <c r="Z66" s="23">
        <v>1719.9</v>
      </c>
      <c r="AA66" s="23">
        <v>1184.5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308</v>
      </c>
      <c r="E67" s="23">
        <v>414.9</v>
      </c>
      <c r="F67" s="23">
        <v>401.00000000000006</v>
      </c>
      <c r="G67" s="23">
        <v>523.1</v>
      </c>
      <c r="H67" s="23">
        <v>629.1</v>
      </c>
      <c r="I67" s="23">
        <v>775.80000000000018</v>
      </c>
      <c r="J67" s="23">
        <v>937.39999999999986</v>
      </c>
      <c r="K67" s="23">
        <v>1347.8000000000002</v>
      </c>
      <c r="L67" s="23">
        <v>1614.9</v>
      </c>
      <c r="M67" s="23">
        <v>1268</v>
      </c>
      <c r="N67" s="23">
        <v>1508.3</v>
      </c>
      <c r="O67" s="23">
        <v>1639.6000000000001</v>
      </c>
      <c r="P67" s="23">
        <v>1822.2999999999997</v>
      </c>
      <c r="Q67" s="23">
        <v>1682.2</v>
      </c>
      <c r="R67" s="23">
        <v>2019.5000000000002</v>
      </c>
      <c r="S67" s="23">
        <v>2028.8</v>
      </c>
      <c r="T67" s="23">
        <v>1993.5000000000002</v>
      </c>
      <c r="U67" s="23">
        <v>2126.9</v>
      </c>
      <c r="V67" s="23">
        <v>2193.1999999999998</v>
      </c>
      <c r="W67" s="23">
        <v>2238</v>
      </c>
      <c r="X67" s="23">
        <v>2128.4</v>
      </c>
      <c r="Y67" s="23">
        <v>2140.1999999999998</v>
      </c>
      <c r="Z67" s="23">
        <v>2513.9999999999995</v>
      </c>
      <c r="AA67" s="23">
        <v>2804.8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148.80000000000001</v>
      </c>
      <c r="E68" s="23">
        <v>146.19999999999999</v>
      </c>
      <c r="F68" s="23">
        <v>171.6</v>
      </c>
      <c r="G68" s="23">
        <v>195.5</v>
      </c>
      <c r="H68" s="23">
        <v>257.2</v>
      </c>
      <c r="I68" s="23">
        <v>340.7</v>
      </c>
      <c r="J68" s="23">
        <v>547.5</v>
      </c>
      <c r="K68" s="23">
        <v>553.29999999999995</v>
      </c>
      <c r="L68" s="23">
        <v>735.5</v>
      </c>
      <c r="M68" s="23">
        <v>466.3</v>
      </c>
      <c r="N68" s="23">
        <v>619.4</v>
      </c>
      <c r="O68" s="23">
        <v>684.3</v>
      </c>
      <c r="P68" s="23">
        <v>649.4</v>
      </c>
      <c r="Q68" s="23">
        <v>524.1</v>
      </c>
      <c r="R68" s="23">
        <v>717.3</v>
      </c>
      <c r="S68" s="23">
        <v>622.6</v>
      </c>
      <c r="T68" s="23">
        <v>648.6</v>
      </c>
      <c r="U68" s="23">
        <v>543.79999999999995</v>
      </c>
      <c r="V68" s="23">
        <v>560.4</v>
      </c>
      <c r="W68" s="23">
        <v>572.6</v>
      </c>
      <c r="X68" s="23">
        <v>509.6</v>
      </c>
      <c r="Y68" s="23">
        <v>438.4</v>
      </c>
      <c r="Z68" s="23">
        <v>456.9</v>
      </c>
      <c r="AA68" s="23">
        <v>617.4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196.4</v>
      </c>
      <c r="E69" s="23">
        <v>228.7</v>
      </c>
      <c r="F69" s="23">
        <v>232.6</v>
      </c>
      <c r="G69" s="23">
        <v>288.3</v>
      </c>
      <c r="H69" s="23">
        <v>290.5</v>
      </c>
      <c r="I69" s="23">
        <v>385.4</v>
      </c>
      <c r="J69" s="23">
        <v>436.2</v>
      </c>
      <c r="K69" s="23">
        <v>493.4</v>
      </c>
      <c r="L69" s="23">
        <v>656</v>
      </c>
      <c r="M69" s="23">
        <v>435.7</v>
      </c>
      <c r="N69" s="23">
        <v>593.1</v>
      </c>
      <c r="O69" s="23">
        <v>899.8</v>
      </c>
      <c r="P69" s="23">
        <v>662.1</v>
      </c>
      <c r="Q69" s="23">
        <v>745.9</v>
      </c>
      <c r="R69" s="23">
        <v>710.6</v>
      </c>
      <c r="S69" s="23">
        <v>876.1</v>
      </c>
      <c r="T69" s="23">
        <v>872.2</v>
      </c>
      <c r="U69" s="23">
        <v>948.6</v>
      </c>
      <c r="V69" s="23">
        <v>1010.2</v>
      </c>
      <c r="W69" s="23">
        <v>1157.4000000000001</v>
      </c>
      <c r="X69" s="23">
        <v>929.6</v>
      </c>
      <c r="Y69" s="23">
        <v>1020.3</v>
      </c>
      <c r="Z69" s="23">
        <v>1027.5999999999999</v>
      </c>
      <c r="AA69" s="23">
        <v>1118.3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322.39999999999998</v>
      </c>
      <c r="E70" s="23">
        <v>342.9</v>
      </c>
      <c r="F70" s="23">
        <v>356.7</v>
      </c>
      <c r="G70" s="23">
        <v>419.1</v>
      </c>
      <c r="H70" s="23">
        <v>503.8</v>
      </c>
      <c r="I70" s="23">
        <v>572.70000000000005</v>
      </c>
      <c r="J70" s="23">
        <v>651.79999999999995</v>
      </c>
      <c r="K70" s="23">
        <v>780.7</v>
      </c>
      <c r="L70" s="23">
        <v>954.6</v>
      </c>
      <c r="M70" s="23">
        <v>658.2</v>
      </c>
      <c r="N70" s="23">
        <v>893.2</v>
      </c>
      <c r="O70" s="23">
        <v>1053.8</v>
      </c>
      <c r="P70" s="23">
        <v>1029.4000000000001</v>
      </c>
      <c r="Q70" s="23">
        <v>1085.7</v>
      </c>
      <c r="R70" s="23">
        <v>1335</v>
      </c>
      <c r="S70" s="23">
        <v>1497.3</v>
      </c>
      <c r="T70" s="23">
        <v>1292.8</v>
      </c>
      <c r="U70" s="23">
        <v>1094.0999999999999</v>
      </c>
      <c r="V70" s="23">
        <v>1511.5</v>
      </c>
      <c r="W70" s="23">
        <v>1621</v>
      </c>
      <c r="X70" s="23">
        <v>1376.8</v>
      </c>
      <c r="Y70" s="23">
        <v>1616.4</v>
      </c>
      <c r="Z70" s="23">
        <v>1493.3</v>
      </c>
      <c r="AA70" s="23">
        <v>1834.2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312.89999999999998</v>
      </c>
      <c r="E71" s="23">
        <v>357.9</v>
      </c>
      <c r="F71" s="23">
        <v>427</v>
      </c>
      <c r="G71" s="23">
        <v>682.2</v>
      </c>
      <c r="H71" s="23">
        <v>791.9</v>
      </c>
      <c r="I71" s="23">
        <v>824.7</v>
      </c>
      <c r="J71" s="23">
        <v>970.7</v>
      </c>
      <c r="K71" s="23">
        <v>1526.5</v>
      </c>
      <c r="L71" s="23">
        <v>1769</v>
      </c>
      <c r="M71" s="23">
        <v>1158.0999999999999</v>
      </c>
      <c r="N71" s="23">
        <v>1826.9</v>
      </c>
      <c r="O71" s="23">
        <v>1957.2</v>
      </c>
      <c r="P71" s="23">
        <v>2016.6</v>
      </c>
      <c r="Q71" s="23">
        <v>2181.6999999999998</v>
      </c>
      <c r="R71" s="23">
        <v>2716.4</v>
      </c>
      <c r="S71" s="23">
        <v>2940.1</v>
      </c>
      <c r="T71" s="23">
        <v>2907.4</v>
      </c>
      <c r="U71" s="23">
        <v>2710.1</v>
      </c>
      <c r="V71" s="23">
        <v>3394.8</v>
      </c>
      <c r="W71" s="23">
        <v>4275.8</v>
      </c>
      <c r="X71" s="23">
        <v>4156.8999999999996</v>
      </c>
      <c r="Y71" s="23">
        <v>3473.8</v>
      </c>
      <c r="Z71" s="23">
        <v>3578.8</v>
      </c>
      <c r="AA71" s="23">
        <v>4578.1000000000004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30.5</v>
      </c>
      <c r="E72" s="23">
        <v>48</v>
      </c>
      <c r="F72" s="23">
        <v>36.600000000000023</v>
      </c>
      <c r="G72" s="23">
        <v>43.099999999999909</v>
      </c>
      <c r="H72" s="23">
        <v>44</v>
      </c>
      <c r="I72" s="23">
        <v>43.099999999999909</v>
      </c>
      <c r="J72" s="23">
        <v>44.099999999999909</v>
      </c>
      <c r="K72" s="23">
        <v>59.200000000000045</v>
      </c>
      <c r="L72" s="23">
        <v>85</v>
      </c>
      <c r="M72" s="23">
        <v>73.800000000000182</v>
      </c>
      <c r="N72" s="23">
        <v>149</v>
      </c>
      <c r="O72" s="23">
        <v>103.89999999999986</v>
      </c>
      <c r="P72" s="23">
        <v>110.59999999999991</v>
      </c>
      <c r="Q72" s="23">
        <v>108.20000000000027</v>
      </c>
      <c r="R72" s="23">
        <v>124.09999999999991</v>
      </c>
      <c r="S72" s="23">
        <v>143.5</v>
      </c>
      <c r="T72" s="23">
        <v>99.699999999999818</v>
      </c>
      <c r="U72" s="23">
        <v>92.900000000000091</v>
      </c>
      <c r="V72" s="23">
        <v>111.59999999999991</v>
      </c>
      <c r="W72" s="23">
        <v>129.5</v>
      </c>
      <c r="X72" s="23">
        <v>132.60000000000036</v>
      </c>
      <c r="Y72" s="23">
        <v>162.5</v>
      </c>
      <c r="Z72" s="23">
        <v>166</v>
      </c>
      <c r="AA72" s="23">
        <v>184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118.4</v>
      </c>
      <c r="E73" s="23">
        <v>147</v>
      </c>
      <c r="F73" s="23">
        <v>198.6</v>
      </c>
      <c r="G73" s="23">
        <v>216.9</v>
      </c>
      <c r="H73" s="23">
        <v>249.7</v>
      </c>
      <c r="I73" s="23">
        <v>305.2</v>
      </c>
      <c r="J73" s="23">
        <v>341.7</v>
      </c>
      <c r="K73" s="23">
        <v>328.8</v>
      </c>
      <c r="L73" s="23">
        <v>334.2</v>
      </c>
      <c r="M73" s="23">
        <v>333.9</v>
      </c>
      <c r="N73" s="23">
        <v>400.2</v>
      </c>
      <c r="O73" s="23">
        <v>409.5</v>
      </c>
      <c r="P73" s="23">
        <v>387.2</v>
      </c>
      <c r="Q73" s="23">
        <v>422.3</v>
      </c>
      <c r="R73" s="23">
        <v>420.9</v>
      </c>
      <c r="S73" s="23">
        <v>432.7</v>
      </c>
      <c r="T73" s="23">
        <v>449.6</v>
      </c>
      <c r="U73" s="23">
        <v>462.5</v>
      </c>
      <c r="V73" s="23">
        <v>492.5</v>
      </c>
      <c r="W73" s="23">
        <v>503.2</v>
      </c>
      <c r="X73" s="23">
        <v>513.70000000000005</v>
      </c>
      <c r="Y73" s="23">
        <v>515.20000000000005</v>
      </c>
      <c r="Z73" s="23">
        <v>510.7</v>
      </c>
      <c r="AA73" s="23">
        <v>467.5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167.99999999999963</v>
      </c>
      <c r="E74" s="23">
        <v>208.10000000000036</v>
      </c>
      <c r="F74" s="23">
        <v>193.00000000000037</v>
      </c>
      <c r="G74" s="23">
        <v>251.49999999999963</v>
      </c>
      <c r="H74" s="23">
        <v>285.20000000000056</v>
      </c>
      <c r="I74" s="23">
        <v>309.49999999999983</v>
      </c>
      <c r="J74" s="23">
        <v>354.50000000000074</v>
      </c>
      <c r="K74" s="23">
        <v>428.99999999999744</v>
      </c>
      <c r="L74" s="23">
        <v>483.8</v>
      </c>
      <c r="M74" s="23">
        <v>405.1</v>
      </c>
      <c r="N74" s="23">
        <v>436.90000000000038</v>
      </c>
      <c r="O74" s="23">
        <v>539.5</v>
      </c>
      <c r="P74" s="23">
        <v>460.90000000000038</v>
      </c>
      <c r="Q74" s="23">
        <v>500.3999999999989</v>
      </c>
      <c r="R74" s="23">
        <v>484.20000000000039</v>
      </c>
      <c r="S74" s="23">
        <v>478.99999999999892</v>
      </c>
      <c r="T74" s="23">
        <v>497.1000000000007</v>
      </c>
      <c r="U74" s="23">
        <v>551</v>
      </c>
      <c r="V74" s="23">
        <v>601.19999999999891</v>
      </c>
      <c r="W74" s="23">
        <v>606.00000000000068</v>
      </c>
      <c r="X74" s="23">
        <v>556.10000000000105</v>
      </c>
      <c r="Y74" s="23">
        <v>553.00000000000432</v>
      </c>
      <c r="Z74" s="23">
        <v>664.20000000000141</v>
      </c>
      <c r="AA74" s="23">
        <v>814.5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4391.5</v>
      </c>
      <c r="E75" s="30">
        <f t="shared" ref="E75:Y75" si="6">SUM(E56:E74)</f>
        <v>5006.2</v>
      </c>
      <c r="F75" s="30">
        <f t="shared" si="6"/>
        <v>5006.8</v>
      </c>
      <c r="G75" s="30">
        <f t="shared" si="6"/>
        <v>5810.6</v>
      </c>
      <c r="H75" s="30">
        <f t="shared" si="6"/>
        <v>6940.5</v>
      </c>
      <c r="I75" s="30">
        <f t="shared" si="6"/>
        <v>7949.8999999999987</v>
      </c>
      <c r="J75" s="30">
        <f t="shared" si="6"/>
        <v>9221.9</v>
      </c>
      <c r="K75" s="30">
        <f t="shared" si="6"/>
        <v>11206.9</v>
      </c>
      <c r="L75" s="30">
        <f t="shared" si="6"/>
        <v>12239.2</v>
      </c>
      <c r="M75" s="30">
        <f t="shared" si="6"/>
        <v>9406.5</v>
      </c>
      <c r="N75" s="30">
        <f t="shared" si="6"/>
        <v>11777.2</v>
      </c>
      <c r="O75" s="30">
        <f t="shared" si="6"/>
        <v>12469.9</v>
      </c>
      <c r="P75" s="30">
        <f t="shared" si="6"/>
        <v>12736.1</v>
      </c>
      <c r="Q75" s="30">
        <f t="shared" si="6"/>
        <v>12441.4</v>
      </c>
      <c r="R75" s="30">
        <f t="shared" si="6"/>
        <v>14190.2</v>
      </c>
      <c r="S75" s="30">
        <f t="shared" si="6"/>
        <v>15133.899999999998</v>
      </c>
      <c r="T75" s="30">
        <f t="shared" si="6"/>
        <v>14502.099999999999</v>
      </c>
      <c r="U75" s="30">
        <f t="shared" si="6"/>
        <v>14545.1</v>
      </c>
      <c r="V75" s="30">
        <f t="shared" si="6"/>
        <v>16346.3</v>
      </c>
      <c r="W75" s="30">
        <f t="shared" si="6"/>
        <v>17682.3</v>
      </c>
      <c r="X75" s="30">
        <f t="shared" si="6"/>
        <v>16544.400000000001</v>
      </c>
      <c r="Y75" s="30">
        <f t="shared" si="6"/>
        <v>16945.400000000001</v>
      </c>
      <c r="Z75" s="30">
        <f t="shared" ref="Z75:AA75" si="7">SUM(Z56:Z74)</f>
        <v>19080.3</v>
      </c>
      <c r="AA75" s="30">
        <f t="shared" si="7"/>
        <v>20825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57083.649909160165</v>
      </c>
      <c r="E2" s="19">
        <v>58753.262565242789</v>
      </c>
      <c r="F2" s="19">
        <v>61348.894496625122</v>
      </c>
      <c r="G2" s="19">
        <v>64328.418898415257</v>
      </c>
      <c r="H2" s="19">
        <v>67794.70866821555</v>
      </c>
      <c r="I2" s="19">
        <v>72191.542713893388</v>
      </c>
      <c r="J2" s="19">
        <v>78635.500125430757</v>
      </c>
      <c r="K2" s="19">
        <v>87142.688365155846</v>
      </c>
      <c r="L2" s="19">
        <v>91816.110780360643</v>
      </c>
      <c r="M2" s="19">
        <v>86761.704441955953</v>
      </c>
      <c r="N2" s="19">
        <v>92653.163887799557</v>
      </c>
      <c r="O2" s="19">
        <v>95026.859934191831</v>
      </c>
      <c r="P2" s="19">
        <v>96518.387781853162</v>
      </c>
      <c r="Q2" s="19">
        <v>97197.192818907686</v>
      </c>
      <c r="R2" s="19">
        <v>99829.181458487219</v>
      </c>
      <c r="S2" s="19">
        <v>104997.16821600002</v>
      </c>
      <c r="T2" s="19">
        <v>107042.4645483842</v>
      </c>
      <c r="U2" s="19">
        <v>110119.92710098624</v>
      </c>
      <c r="V2" s="19">
        <v>114592.28631063433</v>
      </c>
      <c r="W2" s="19">
        <v>117200.3930425211</v>
      </c>
      <c r="X2" s="19">
        <v>114170.57653076354</v>
      </c>
      <c r="Y2" s="19">
        <v>120677.32116510486</v>
      </c>
      <c r="Z2" s="19">
        <v>121205.5252712786</v>
      </c>
      <c r="AA2" s="19">
        <v>123833.2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36430.096335707924</v>
      </c>
      <c r="E3" s="23">
        <v>38319.396928020557</v>
      </c>
      <c r="F3" s="23">
        <v>40520.039463318557</v>
      </c>
      <c r="G3" s="23">
        <v>40738.487574262974</v>
      </c>
      <c r="H3" s="23">
        <v>43507.01383255767</v>
      </c>
      <c r="I3" s="23">
        <v>45597.542540007875</v>
      </c>
      <c r="J3" s="23">
        <v>48538.00618864641</v>
      </c>
      <c r="K3" s="23">
        <v>52394.184259330505</v>
      </c>
      <c r="L3" s="23">
        <v>56079.803635867524</v>
      </c>
      <c r="M3" s="23">
        <v>56088.79213128757</v>
      </c>
      <c r="N3" s="23">
        <v>56815.136787980686</v>
      </c>
      <c r="O3" s="23">
        <v>55824.864671403193</v>
      </c>
      <c r="P3" s="23">
        <v>56144.398896512692</v>
      </c>
      <c r="Q3" s="23">
        <v>55253.449864812275</v>
      </c>
      <c r="R3" s="23">
        <v>56629.028774305654</v>
      </c>
      <c r="S3" s="23">
        <v>58442.29372799999</v>
      </c>
      <c r="T3" s="23">
        <v>60567.363305816609</v>
      </c>
      <c r="U3" s="23">
        <v>64170.155951530309</v>
      </c>
      <c r="V3" s="23">
        <v>66816.94524635197</v>
      </c>
      <c r="W3" s="23">
        <v>68692.596370526226</v>
      </c>
      <c r="X3" s="23">
        <v>68976.356980147248</v>
      </c>
      <c r="Y3" s="23">
        <v>71016.530832798962</v>
      </c>
      <c r="Z3" s="23">
        <v>74650.541088921003</v>
      </c>
      <c r="AA3" s="23">
        <v>72320.5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51392.790811759362</v>
      </c>
      <c r="E4" s="27">
        <v>53515.715137117768</v>
      </c>
      <c r="F4" s="27">
        <v>55706.017149936255</v>
      </c>
      <c r="G4" s="27">
        <v>57993.799484126983</v>
      </c>
      <c r="H4" s="27">
        <v>60689.551342025108</v>
      </c>
      <c r="I4" s="27">
        <v>64309.799971875356</v>
      </c>
      <c r="J4" s="27">
        <v>70949.340759867191</v>
      </c>
      <c r="K4" s="27">
        <v>78822.030033143936</v>
      </c>
      <c r="L4" s="27">
        <v>83543.742518906147</v>
      </c>
      <c r="M4" s="27">
        <v>79260.680893588331</v>
      </c>
      <c r="N4" s="27">
        <v>84798.882231187497</v>
      </c>
      <c r="O4" s="27">
        <v>86344.112844967516</v>
      </c>
      <c r="P4" s="27">
        <v>88462.721881722042</v>
      </c>
      <c r="Q4" s="27">
        <v>88682.742999293521</v>
      </c>
      <c r="R4" s="27">
        <v>91032.908859774281</v>
      </c>
      <c r="S4" s="27">
        <v>95512.039467999974</v>
      </c>
      <c r="T4" s="27">
        <v>97494.180336790945</v>
      </c>
      <c r="U4" s="27">
        <v>99672.008301587295</v>
      </c>
      <c r="V4" s="27">
        <v>103626.82891837586</v>
      </c>
      <c r="W4" s="27">
        <v>105527.12667410925</v>
      </c>
      <c r="X4" s="27">
        <v>103029.46837264649</v>
      </c>
      <c r="Y4" s="27">
        <v>108296.6439014725</v>
      </c>
      <c r="Z4" s="27">
        <v>108397.73020453252</v>
      </c>
      <c r="AA4" s="27">
        <v>113130.1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923.21444091724652</v>
      </c>
      <c r="E6" s="19">
        <v>1188.2129040840759</v>
      </c>
      <c r="F6" s="19">
        <v>1189.3469522595472</v>
      </c>
      <c r="G6" s="19">
        <v>1090.4895304232803</v>
      </c>
      <c r="H6" s="19">
        <v>1032.4476197620511</v>
      </c>
      <c r="I6" s="19">
        <v>1071.0476937788276</v>
      </c>
      <c r="J6" s="19">
        <v>1340.3851820624966</v>
      </c>
      <c r="K6" s="19">
        <v>1878.5630066287879</v>
      </c>
      <c r="L6" s="19">
        <v>2188.4122445940625</v>
      </c>
      <c r="M6" s="19">
        <v>1672.7935437723525</v>
      </c>
      <c r="N6" s="19">
        <v>1401.9910521373959</v>
      </c>
      <c r="O6" s="19">
        <v>1719.8278571428568</v>
      </c>
      <c r="P6" s="19">
        <v>1746.4480515452569</v>
      </c>
      <c r="Q6" s="19">
        <v>2032.6011283918922</v>
      </c>
      <c r="R6" s="19">
        <v>2635.5594759372157</v>
      </c>
      <c r="S6" s="19">
        <v>2169.6217399999996</v>
      </c>
      <c r="T6" s="19">
        <v>2230.4187815678752</v>
      </c>
      <c r="U6" s="19">
        <v>2055.1550238095238</v>
      </c>
      <c r="V6" s="19">
        <v>2322.9385736888594</v>
      </c>
      <c r="W6" s="19">
        <v>1908.2446366061797</v>
      </c>
      <c r="X6" s="19">
        <v>1985.010488639613</v>
      </c>
      <c r="Y6" s="19">
        <v>2268.7527428288377</v>
      </c>
      <c r="Z6" s="19">
        <v>2345.0136812506275</v>
      </c>
      <c r="AA6" s="19">
        <v>2631.7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14060.225565392273</v>
      </c>
      <c r="E7" s="23">
        <v>14723.409612497386</v>
      </c>
      <c r="F7" s="23">
        <v>14552.859730326587</v>
      </c>
      <c r="G7" s="23">
        <v>16389.846044973543</v>
      </c>
      <c r="H7" s="23">
        <v>18054.373522572125</v>
      </c>
      <c r="I7" s="23">
        <v>18918.750472494092</v>
      </c>
      <c r="J7" s="23">
        <v>21659.769420877903</v>
      </c>
      <c r="K7" s="23">
        <v>23142.915497159091</v>
      </c>
      <c r="L7" s="23">
        <v>22530.893336311517</v>
      </c>
      <c r="M7" s="23">
        <v>17736.316338568391</v>
      </c>
      <c r="N7" s="23">
        <v>20299.398359420946</v>
      </c>
      <c r="O7" s="23">
        <v>21291.035166396101</v>
      </c>
      <c r="P7" s="23">
        <v>21453.948122580063</v>
      </c>
      <c r="Q7" s="23">
        <v>20641.344740639026</v>
      </c>
      <c r="R7" s="23">
        <v>22973.074021373614</v>
      </c>
      <c r="S7" s="23">
        <v>23997.375343999996</v>
      </c>
      <c r="T7" s="23">
        <v>23238.165744524886</v>
      </c>
      <c r="U7" s="23">
        <v>22814.550515873016</v>
      </c>
      <c r="V7" s="23">
        <v>24525.769615903551</v>
      </c>
      <c r="W7" s="23">
        <v>26616.942114325717</v>
      </c>
      <c r="X7" s="23">
        <v>24732.305729546224</v>
      </c>
      <c r="Y7" s="23">
        <v>23751.681066330435</v>
      </c>
      <c r="Z7" s="23">
        <v>22949.976165768418</v>
      </c>
      <c r="AA7" s="23">
        <v>26403.9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3111.1988485123329</v>
      </c>
      <c r="E8" s="23">
        <v>3185.7845873163683</v>
      </c>
      <c r="F8" s="23">
        <v>3711.8236888880906</v>
      </c>
      <c r="G8" s="23">
        <v>3700.9892724867718</v>
      </c>
      <c r="H8" s="23">
        <v>3993.2128606364299</v>
      </c>
      <c r="I8" s="23">
        <v>4418.3268365395434</v>
      </c>
      <c r="J8" s="23">
        <v>5460.7834589239601</v>
      </c>
      <c r="K8" s="23">
        <v>6252.7147443181811</v>
      </c>
      <c r="L8" s="23">
        <v>7985.3542018996559</v>
      </c>
      <c r="M8" s="23">
        <v>7921.1171347120708</v>
      </c>
      <c r="N8" s="23">
        <v>7727.0820557796878</v>
      </c>
      <c r="O8" s="23">
        <v>7406.3165868506476</v>
      </c>
      <c r="P8" s="23">
        <v>7810.6394493301723</v>
      </c>
      <c r="Q8" s="23">
        <v>6753.2821318049291</v>
      </c>
      <c r="R8" s="23">
        <v>7158.4007024756274</v>
      </c>
      <c r="S8" s="23">
        <v>7743.0890799999988</v>
      </c>
      <c r="T8" s="23">
        <v>7763.6749736411375</v>
      </c>
      <c r="U8" s="23">
        <v>8407.0002222222211</v>
      </c>
      <c r="V8" s="23">
        <v>8530.6746352685368</v>
      </c>
      <c r="W8" s="23">
        <v>7780.2658744725532</v>
      </c>
      <c r="X8" s="23">
        <v>8026.939409425936</v>
      </c>
      <c r="Y8" s="23">
        <v>9453.9285630656996</v>
      </c>
      <c r="Z8" s="23">
        <v>9289.9595621464196</v>
      </c>
      <c r="AA8" s="23">
        <v>9687.1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10755.227123055385</v>
      </c>
      <c r="E9" s="23">
        <v>11134.700750679411</v>
      </c>
      <c r="F9" s="23">
        <v>10672.855134028761</v>
      </c>
      <c r="G9" s="23">
        <v>11503.03939153439</v>
      </c>
      <c r="H9" s="23">
        <v>11859.885742577226</v>
      </c>
      <c r="I9" s="23">
        <v>13489.486708291146</v>
      </c>
      <c r="J9" s="23">
        <v>13568.09767086473</v>
      </c>
      <c r="K9" s="23">
        <v>15326.943982007573</v>
      </c>
      <c r="L9" s="23">
        <v>16515.601301892209</v>
      </c>
      <c r="M9" s="23">
        <v>14927.265026693618</v>
      </c>
      <c r="N9" s="23">
        <v>16543.603318303289</v>
      </c>
      <c r="O9" s="23">
        <v>17823.268940746751</v>
      </c>
      <c r="P9" s="23">
        <v>17322.716082880612</v>
      </c>
      <c r="Q9" s="23">
        <v>16545.029232713412</v>
      </c>
      <c r="R9" s="23">
        <v>17687.210680822613</v>
      </c>
      <c r="S9" s="23">
        <v>18062.678187999998</v>
      </c>
      <c r="T9" s="23">
        <v>17132.33471437035</v>
      </c>
      <c r="U9" s="23">
        <v>18080.966476190475</v>
      </c>
      <c r="V9" s="23">
        <v>18098.020958833633</v>
      </c>
      <c r="W9" s="23">
        <v>20012.228829306136</v>
      </c>
      <c r="X9" s="23">
        <v>20253.192240067154</v>
      </c>
      <c r="Y9" s="23">
        <v>19746.490040077453</v>
      </c>
      <c r="Z9" s="23">
        <v>21527.554617882368</v>
      </c>
      <c r="AA9" s="23">
        <v>22147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2048.0324861486283</v>
      </c>
      <c r="E10" s="23">
        <v>2323.0201638191525</v>
      </c>
      <c r="F10" s="23">
        <v>2371.5876689947395</v>
      </c>
      <c r="G10" s="23">
        <v>2505.7918055555551</v>
      </c>
      <c r="H10" s="23">
        <v>2639.1150525857797</v>
      </c>
      <c r="I10" s="23">
        <v>2858.0442963212959</v>
      </c>
      <c r="J10" s="23">
        <v>3162.5581914949671</v>
      </c>
      <c r="K10" s="23">
        <v>3647.3388494318178</v>
      </c>
      <c r="L10" s="23">
        <v>3822.2489719944265</v>
      </c>
      <c r="M10" s="23">
        <v>4156.750402736744</v>
      </c>
      <c r="N10" s="23">
        <v>4464.754105058968</v>
      </c>
      <c r="O10" s="23">
        <v>4354.4520698051938</v>
      </c>
      <c r="P10" s="23">
        <v>4866.1895448769892</v>
      </c>
      <c r="Q10" s="23">
        <v>4553.299589042459</v>
      </c>
      <c r="R10" s="23">
        <v>4427.0027001406943</v>
      </c>
      <c r="S10" s="23">
        <v>4719.2076399999996</v>
      </c>
      <c r="T10" s="23">
        <v>5211.1994055448995</v>
      </c>
      <c r="U10" s="23">
        <v>5357.1198015873015</v>
      </c>
      <c r="V10" s="23">
        <v>5257.5070403121681</v>
      </c>
      <c r="W10" s="23">
        <v>5292.6078676985371</v>
      </c>
      <c r="X10" s="23">
        <v>5110.3979410163911</v>
      </c>
      <c r="Y10" s="23">
        <v>5527.9906047642626</v>
      </c>
      <c r="Z10" s="23">
        <v>5706.2478023633375</v>
      </c>
      <c r="AA10" s="23">
        <v>5809.6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1489.5254687777274</v>
      </c>
      <c r="E11" s="23">
        <v>1364.4766035082384</v>
      </c>
      <c r="F11" s="23">
        <v>2387.9320107007557</v>
      </c>
      <c r="G11" s="23">
        <v>2335.4232671957666</v>
      </c>
      <c r="H11" s="23">
        <v>2327.361793167599</v>
      </c>
      <c r="I11" s="23">
        <v>2550.997018787265</v>
      </c>
      <c r="J11" s="23">
        <v>2474.6374769457761</v>
      </c>
      <c r="K11" s="23">
        <v>2438.4306912878787</v>
      </c>
      <c r="L11" s="23">
        <v>2429.9164108618652</v>
      </c>
      <c r="M11" s="23">
        <v>2707.8439516923236</v>
      </c>
      <c r="N11" s="23">
        <v>2820.8620819876796</v>
      </c>
      <c r="O11" s="23">
        <v>3028.974529220779</v>
      </c>
      <c r="P11" s="23">
        <v>2983.1249312162959</v>
      </c>
      <c r="Q11" s="23">
        <v>3067.8715862165041</v>
      </c>
      <c r="R11" s="23">
        <v>3253.9022760609469</v>
      </c>
      <c r="S11" s="23">
        <v>3296.8487479999999</v>
      </c>
      <c r="T11" s="23">
        <v>3026.0884894614755</v>
      </c>
      <c r="U11" s="23">
        <v>2714.2914841269844</v>
      </c>
      <c r="V11" s="23">
        <v>3106.8134846293469</v>
      </c>
      <c r="W11" s="23">
        <v>3296.1156540331885</v>
      </c>
      <c r="X11" s="23">
        <v>3108.8355562115435</v>
      </c>
      <c r="Y11" s="23">
        <v>3466.341456297564</v>
      </c>
      <c r="Z11" s="23">
        <v>2959.7806748568937</v>
      </c>
      <c r="AA11" s="23">
        <v>3147.7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5339.7641106532319</v>
      </c>
      <c r="E12" s="23">
        <v>5843.0288070848928</v>
      </c>
      <c r="F12" s="23">
        <v>6099.2819505538901</v>
      </c>
      <c r="G12" s="23">
        <v>5707.8913888888883</v>
      </c>
      <c r="H12" s="23">
        <v>6272.2776409163871</v>
      </c>
      <c r="I12" s="23">
        <v>5561.5445550680615</v>
      </c>
      <c r="J12" s="23">
        <v>6205.3646466775572</v>
      </c>
      <c r="K12" s="23">
        <v>7105.4002556818177</v>
      </c>
      <c r="L12" s="23">
        <v>8202.3010008828187</v>
      </c>
      <c r="M12" s="23">
        <v>8454.7808096200679</v>
      </c>
      <c r="N12" s="23">
        <v>8498.932649586759</v>
      </c>
      <c r="O12" s="23">
        <v>8310.4041761363624</v>
      </c>
      <c r="P12" s="23">
        <v>8738.7080949665324</v>
      </c>
      <c r="Q12" s="23">
        <v>10692.981147695951</v>
      </c>
      <c r="R12" s="23">
        <v>8040.9576818304267</v>
      </c>
      <c r="S12" s="23">
        <v>8356.8367439999984</v>
      </c>
      <c r="T12" s="23">
        <v>9673.8916766244583</v>
      </c>
      <c r="U12" s="23">
        <v>9966.8867063492053</v>
      </c>
      <c r="V12" s="23">
        <v>10360.313722444937</v>
      </c>
      <c r="W12" s="23">
        <v>10169.316263316239</v>
      </c>
      <c r="X12" s="23">
        <v>10750.33485420145</v>
      </c>
      <c r="Y12" s="23">
        <v>11923.012149322285</v>
      </c>
      <c r="Z12" s="23">
        <v>12606.035691092289</v>
      </c>
      <c r="AA12" s="23">
        <v>11746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3913.1909931581122</v>
      </c>
      <c r="E13" s="23">
        <v>3698.2781884870483</v>
      </c>
      <c r="F13" s="23">
        <v>4186.0464728800471</v>
      </c>
      <c r="G13" s="23">
        <v>4110.2227910052907</v>
      </c>
      <c r="H13" s="23">
        <v>4351.0858085907603</v>
      </c>
      <c r="I13" s="23">
        <v>4798.2862470469117</v>
      </c>
      <c r="J13" s="23">
        <v>5509.4488960320386</v>
      </c>
      <c r="K13" s="23">
        <v>6357.3483143939393</v>
      </c>
      <c r="L13" s="23">
        <v>7236.2843358116079</v>
      </c>
      <c r="M13" s="23">
        <v>7316.33477427046</v>
      </c>
      <c r="N13" s="23">
        <v>7868.6560624039121</v>
      </c>
      <c r="O13" s="23">
        <v>7631.0668181818173</v>
      </c>
      <c r="P13" s="23">
        <v>8046.9135036167727</v>
      </c>
      <c r="Q13" s="23">
        <v>8459.6536016000482</v>
      </c>
      <c r="R13" s="23">
        <v>9097.1561671173549</v>
      </c>
      <c r="S13" s="23">
        <v>10307.187499999998</v>
      </c>
      <c r="T13" s="23">
        <v>10690.536588108889</v>
      </c>
      <c r="U13" s="23">
        <v>11177.179567460318</v>
      </c>
      <c r="V13" s="23">
        <v>11591.897616990711</v>
      </c>
      <c r="W13" s="23">
        <v>9705.6108195046254</v>
      </c>
      <c r="X13" s="23">
        <v>9056.8081252363845</v>
      </c>
      <c r="Y13" s="23">
        <v>10254.301375242041</v>
      </c>
      <c r="Z13" s="23">
        <v>10379.603143306664</v>
      </c>
      <c r="AA13" s="23">
        <v>10726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8549.0333576512839</v>
      </c>
      <c r="E14" s="23">
        <v>8732.449677873019</v>
      </c>
      <c r="F14" s="23">
        <v>9093.6127259995956</v>
      </c>
      <c r="G14" s="23">
        <v>9325.1143121693167</v>
      </c>
      <c r="H14" s="23">
        <v>8877.1493196105166</v>
      </c>
      <c r="I14" s="23">
        <v>8995.2793058836833</v>
      </c>
      <c r="J14" s="23">
        <v>9769.5864994466974</v>
      </c>
      <c r="K14" s="23">
        <v>10456.48554924241</v>
      </c>
      <c r="L14" s="23">
        <v>10785.315055787787</v>
      </c>
      <c r="M14" s="23">
        <v>11801.325264085403</v>
      </c>
      <c r="N14" s="23">
        <v>12251.46059824385</v>
      </c>
      <c r="O14" s="23">
        <v>11732.122706980508</v>
      </c>
      <c r="P14" s="23">
        <v>12173.657656251549</v>
      </c>
      <c r="Q14" s="23">
        <v>12599.028798869625</v>
      </c>
      <c r="R14" s="23">
        <v>12248.242661424709</v>
      </c>
      <c r="S14" s="23">
        <v>12749.644615999992</v>
      </c>
      <c r="T14" s="23">
        <v>14432.674823019091</v>
      </c>
      <c r="U14" s="23">
        <v>15023.102075396813</v>
      </c>
      <c r="V14" s="23">
        <v>15546.873744188077</v>
      </c>
      <c r="W14" s="23">
        <v>16628.864156370055</v>
      </c>
      <c r="X14" s="23">
        <v>17177.703886423784</v>
      </c>
      <c r="Y14" s="23">
        <v>18232.720796145364</v>
      </c>
      <c r="Z14" s="23">
        <v>17867.990680547664</v>
      </c>
      <c r="AA14" s="23">
        <v>18113.300000000003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1203.3784174931482</v>
      </c>
      <c r="E15" s="23">
        <v>1322.3538417681825</v>
      </c>
      <c r="F15" s="23">
        <v>1440.6708153042355</v>
      </c>
      <c r="G15" s="23">
        <v>1324.9916798941797</v>
      </c>
      <c r="H15" s="23">
        <v>1282.6419816062291</v>
      </c>
      <c r="I15" s="23">
        <v>1648.036837664529</v>
      </c>
      <c r="J15" s="23">
        <v>1798.7093165410761</v>
      </c>
      <c r="K15" s="23">
        <v>2215.8891429924242</v>
      </c>
      <c r="L15" s="23">
        <v>1847.4156588702042</v>
      </c>
      <c r="M15" s="23">
        <v>2566.1536474368941</v>
      </c>
      <c r="N15" s="23">
        <v>2922.1419482650099</v>
      </c>
      <c r="O15" s="23">
        <v>3046.6439935064932</v>
      </c>
      <c r="P15" s="23">
        <v>3320.3764444577841</v>
      </c>
      <c r="Q15" s="23">
        <v>3337.6510423196714</v>
      </c>
      <c r="R15" s="23">
        <v>3511.4024925910771</v>
      </c>
      <c r="S15" s="23">
        <v>4109.5498679999992</v>
      </c>
      <c r="T15" s="23">
        <v>4095.1951399279014</v>
      </c>
      <c r="U15" s="23">
        <v>4075.7564285714284</v>
      </c>
      <c r="V15" s="23">
        <v>4286.0195261160343</v>
      </c>
      <c r="W15" s="23">
        <v>4116.9304584760357</v>
      </c>
      <c r="X15" s="23">
        <v>2827.9401418779917</v>
      </c>
      <c r="Y15" s="23">
        <v>3671.4251073985679</v>
      </c>
      <c r="Z15" s="23">
        <v>2765.5681853178453</v>
      </c>
      <c r="AA15" s="23">
        <v>2717.8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51392.790811759376</v>
      </c>
      <c r="E16" s="30">
        <f t="shared" ref="E16:S16" si="0">SUM(E6:E15)</f>
        <v>53515.715137117775</v>
      </c>
      <c r="F16" s="30">
        <f t="shared" si="0"/>
        <v>55706.017149936255</v>
      </c>
      <c r="G16" s="30">
        <f t="shared" si="0"/>
        <v>57993.799484126976</v>
      </c>
      <c r="H16" s="30">
        <f t="shared" si="0"/>
        <v>60689.551342025094</v>
      </c>
      <c r="I16" s="30">
        <f t="shared" si="0"/>
        <v>64309.799971875356</v>
      </c>
      <c r="J16" s="30">
        <f t="shared" si="0"/>
        <v>70949.340759867206</v>
      </c>
      <c r="K16" s="30">
        <f t="shared" si="0"/>
        <v>78822.030033143936</v>
      </c>
      <c r="L16" s="30">
        <f t="shared" si="0"/>
        <v>83543.742518906147</v>
      </c>
      <c r="M16" s="30">
        <f t="shared" si="0"/>
        <v>79260.680893588316</v>
      </c>
      <c r="N16" s="30">
        <f t="shared" si="0"/>
        <v>84798.882231187497</v>
      </c>
      <c r="O16" s="30">
        <f t="shared" si="0"/>
        <v>86344.112844967516</v>
      </c>
      <c r="P16" s="30">
        <f t="shared" si="0"/>
        <v>88462.721881722027</v>
      </c>
      <c r="Q16" s="30">
        <f t="shared" si="0"/>
        <v>88682.742999293521</v>
      </c>
      <c r="R16" s="30">
        <f t="shared" si="0"/>
        <v>91032.908859774281</v>
      </c>
      <c r="S16" s="30">
        <f t="shared" si="0"/>
        <v>95512.039467999974</v>
      </c>
      <c r="T16" s="30">
        <f t="shared" ref="T16:Y16" si="1">SUM(T6:T15)</f>
        <v>97494.18033679096</v>
      </c>
      <c r="U16" s="30">
        <f t="shared" si="1"/>
        <v>99672.008301587281</v>
      </c>
      <c r="V16" s="30">
        <f t="shared" si="1"/>
        <v>103626.82891837586</v>
      </c>
      <c r="W16" s="30">
        <f t="shared" si="1"/>
        <v>105527.12667410927</v>
      </c>
      <c r="X16" s="30">
        <f t="shared" si="1"/>
        <v>103029.46837264647</v>
      </c>
      <c r="Y16" s="30">
        <f t="shared" si="1"/>
        <v>108296.64390147252</v>
      </c>
      <c r="Z16" s="30">
        <f t="shared" ref="Z16:AA16" si="2">SUM(Z6:Z15)</f>
        <v>108397.73020453252</v>
      </c>
      <c r="AA16" s="30">
        <f t="shared" si="2"/>
        <v>113130.1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923.21444091724652</v>
      </c>
      <c r="E18" s="19">
        <v>1188.2129040840759</v>
      </c>
      <c r="F18" s="19">
        <v>1189.3469522595472</v>
      </c>
      <c r="G18" s="19">
        <v>1090.4895304232803</v>
      </c>
      <c r="H18" s="19">
        <v>1032.4476197620511</v>
      </c>
      <c r="I18" s="19">
        <v>1071.0476937788276</v>
      </c>
      <c r="J18" s="19">
        <v>1340.3851820624966</v>
      </c>
      <c r="K18" s="19">
        <v>1878.5630066287879</v>
      </c>
      <c r="L18" s="19">
        <v>2188.4122445940625</v>
      </c>
      <c r="M18" s="19">
        <v>1672.7935437723525</v>
      </c>
      <c r="N18" s="19">
        <v>1401.9910521373959</v>
      </c>
      <c r="O18" s="19">
        <v>1719.8278571428568</v>
      </c>
      <c r="P18" s="19">
        <v>1746.4480515452569</v>
      </c>
      <c r="Q18" s="19">
        <v>2032.6011283918922</v>
      </c>
      <c r="R18" s="19">
        <v>2635.5594759372157</v>
      </c>
      <c r="S18" s="19">
        <v>2169.6217399999996</v>
      </c>
      <c r="T18" s="19">
        <v>2230.4187815678752</v>
      </c>
      <c r="U18" s="19">
        <v>2055.1550238095238</v>
      </c>
      <c r="V18" s="19">
        <v>2322.9385736888594</v>
      </c>
      <c r="W18" s="19">
        <v>1908.2446366061797</v>
      </c>
      <c r="X18" s="19">
        <v>1985.010488639613</v>
      </c>
      <c r="Y18" s="19">
        <v>2268.7527428288377</v>
      </c>
      <c r="Z18" s="19">
        <v>2345.0136812506275</v>
      </c>
      <c r="AA18" s="19">
        <v>2631.7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356.90341305676588</v>
      </c>
      <c r="E19" s="23">
        <v>340.5316464264709</v>
      </c>
      <c r="F19" s="23">
        <v>321.17359575839157</v>
      </c>
      <c r="G19" s="23">
        <v>332.66583994708969</v>
      </c>
      <c r="H19" s="23">
        <v>300.45698249964437</v>
      </c>
      <c r="I19" s="23">
        <v>344.69393243051644</v>
      </c>
      <c r="J19" s="23">
        <v>207.69072356012671</v>
      </c>
      <c r="K19" s="23">
        <v>274.53839400828741</v>
      </c>
      <c r="L19" s="23">
        <v>283.32185455821804</v>
      </c>
      <c r="M19" s="23">
        <v>283.65414191675728</v>
      </c>
      <c r="N19" s="23">
        <v>209.23004632830148</v>
      </c>
      <c r="O19" s="23">
        <v>218.72655032467534</v>
      </c>
      <c r="P19" s="23">
        <v>210.53470200398192</v>
      </c>
      <c r="Q19" s="23">
        <v>220.55634893791685</v>
      </c>
      <c r="R19" s="23">
        <v>197.85836165620267</v>
      </c>
      <c r="S19" s="23">
        <v>219.52766285736735</v>
      </c>
      <c r="T19" s="23">
        <v>231.30857642061713</v>
      </c>
      <c r="U19" s="23">
        <v>224.60630669551065</v>
      </c>
      <c r="V19" s="23">
        <v>238.20606356372357</v>
      </c>
      <c r="W19" s="23">
        <v>214.55929257650664</v>
      </c>
      <c r="X19" s="23">
        <v>196.92409595079934</v>
      </c>
      <c r="Y19" s="23">
        <v>186.55382934787397</v>
      </c>
      <c r="Z19" s="23">
        <v>163.20620850450044</v>
      </c>
      <c r="AA19" s="23">
        <v>205.20000000000005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11423.770688329356</v>
      </c>
      <c r="E20" s="23">
        <v>12552.081537087362</v>
      </c>
      <c r="F20" s="23">
        <v>11859.833341113525</v>
      </c>
      <c r="G20" s="23">
        <v>12675.331997354497</v>
      </c>
      <c r="H20" s="23">
        <v>13737.926965027829</v>
      </c>
      <c r="I20" s="23">
        <v>14749.215417932275</v>
      </c>
      <c r="J20" s="23">
        <v>16028.135516678083</v>
      </c>
      <c r="K20" s="23">
        <v>17501.760544507575</v>
      </c>
      <c r="L20" s="23">
        <v>17175.001695438059</v>
      </c>
      <c r="M20" s="23">
        <v>12864.959912921784</v>
      </c>
      <c r="N20" s="23">
        <v>16032.167219373277</v>
      </c>
      <c r="O20" s="23">
        <v>16692.155507305193</v>
      </c>
      <c r="P20" s="23">
        <v>16811.228954187551</v>
      </c>
      <c r="Q20" s="23">
        <v>16333.012774510682</v>
      </c>
      <c r="R20" s="23">
        <v>18680.87716056158</v>
      </c>
      <c r="S20" s="23">
        <v>19966.456947999995</v>
      </c>
      <c r="T20" s="23">
        <v>19212.257194212096</v>
      </c>
      <c r="U20" s="23">
        <v>19037.34259126984</v>
      </c>
      <c r="V20" s="23">
        <v>20933.596563807376</v>
      </c>
      <c r="W20" s="23">
        <v>22071.006107967984</v>
      </c>
      <c r="X20" s="23">
        <v>20135.381685008713</v>
      </c>
      <c r="Y20" s="23">
        <v>20134.556786598823</v>
      </c>
      <c r="Z20" s="23">
        <v>21066.700194155255</v>
      </c>
      <c r="AA20" s="23">
        <v>20825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1654.1900901078534</v>
      </c>
      <c r="E21" s="23">
        <v>1206.4048239747799</v>
      </c>
      <c r="F21" s="23">
        <v>1745.8485061468325</v>
      </c>
      <c r="G21" s="23">
        <v>2704.7368849206332</v>
      </c>
      <c r="H21" s="23">
        <v>3424.1803670908075</v>
      </c>
      <c r="I21" s="23">
        <v>3133.2270316571539</v>
      </c>
      <c r="J21" s="23">
        <v>4643.7560190820304</v>
      </c>
      <c r="K21" s="23">
        <v>4311.4084082939698</v>
      </c>
      <c r="L21" s="23">
        <v>4088.8718167990883</v>
      </c>
      <c r="M21" s="23">
        <v>3685.1788109677068</v>
      </c>
      <c r="N21" s="23">
        <v>3134.7752159063934</v>
      </c>
      <c r="O21" s="23">
        <v>3481.2860430194796</v>
      </c>
      <c r="P21" s="23">
        <v>3477.056501685825</v>
      </c>
      <c r="Q21" s="23">
        <v>2980.2676650236017</v>
      </c>
      <c r="R21" s="23">
        <v>3160.3364526150744</v>
      </c>
      <c r="S21" s="23">
        <v>2808.6084222178447</v>
      </c>
      <c r="T21" s="23">
        <v>2842.604882163334</v>
      </c>
      <c r="U21" s="23">
        <v>2562.2919929320028</v>
      </c>
      <c r="V21" s="23">
        <v>2315.7215276125003</v>
      </c>
      <c r="W21" s="23">
        <v>3260.7021287194061</v>
      </c>
      <c r="X21" s="23">
        <v>3371.3210493431038</v>
      </c>
      <c r="Y21" s="23">
        <v>2326.1004861872493</v>
      </c>
      <c r="Z21" s="23">
        <v>677.00762134038712</v>
      </c>
      <c r="AA21" s="23">
        <v>4356.5000000000018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625.36137389829844</v>
      </c>
      <c r="E22" s="23">
        <v>624.39160500877199</v>
      </c>
      <c r="F22" s="23">
        <v>626.00428730783869</v>
      </c>
      <c r="G22" s="23">
        <v>677.11132275132229</v>
      </c>
      <c r="H22" s="23">
        <v>591.80920795384475</v>
      </c>
      <c r="I22" s="23">
        <v>691.61409047414702</v>
      </c>
      <c r="J22" s="23">
        <v>780.18716155766424</v>
      </c>
      <c r="K22" s="23">
        <v>1055.2081503492593</v>
      </c>
      <c r="L22" s="23">
        <v>983.69796951615081</v>
      </c>
      <c r="M22" s="23">
        <v>902.5234727621413</v>
      </c>
      <c r="N22" s="23">
        <v>923.22587781297375</v>
      </c>
      <c r="O22" s="23">
        <v>898.86706574675327</v>
      </c>
      <c r="P22" s="23">
        <v>955.12796470270416</v>
      </c>
      <c r="Q22" s="23">
        <v>1107.5079521668254</v>
      </c>
      <c r="R22" s="23">
        <v>934.00204654075708</v>
      </c>
      <c r="S22" s="23">
        <v>1002.7823109247892</v>
      </c>
      <c r="T22" s="23">
        <v>951.99509172884007</v>
      </c>
      <c r="U22" s="23">
        <v>990.30962497566077</v>
      </c>
      <c r="V22" s="23">
        <v>1038.2454609199501</v>
      </c>
      <c r="W22" s="23">
        <v>1070.6745850618229</v>
      </c>
      <c r="X22" s="23">
        <v>1028.678899243607</v>
      </c>
      <c r="Y22" s="23">
        <v>1104.4699641964896</v>
      </c>
      <c r="Z22" s="23">
        <v>1043.0621417682755</v>
      </c>
      <c r="AA22" s="23">
        <v>1017.2000000000003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3111.1988485123329</v>
      </c>
      <c r="E23" s="23">
        <v>3185.7845873163683</v>
      </c>
      <c r="F23" s="23">
        <v>3711.8236888880906</v>
      </c>
      <c r="G23" s="23">
        <v>3700.9892724867718</v>
      </c>
      <c r="H23" s="23">
        <v>3993.2128606364299</v>
      </c>
      <c r="I23" s="23">
        <v>4418.3268365395434</v>
      </c>
      <c r="J23" s="23">
        <v>5460.7834589239601</v>
      </c>
      <c r="K23" s="23">
        <v>6252.7147443181811</v>
      </c>
      <c r="L23" s="23">
        <v>7985.3542018996559</v>
      </c>
      <c r="M23" s="23">
        <v>7921.1171347120708</v>
      </c>
      <c r="N23" s="23">
        <v>7727.0820557796878</v>
      </c>
      <c r="O23" s="23">
        <v>7406.3165868506476</v>
      </c>
      <c r="P23" s="23">
        <v>7810.6394493301723</v>
      </c>
      <c r="Q23" s="23">
        <v>6753.2821318049291</v>
      </c>
      <c r="R23" s="23">
        <v>7158.4007024756274</v>
      </c>
      <c r="S23" s="23">
        <v>7743.0890799999988</v>
      </c>
      <c r="T23" s="23">
        <v>7763.6749736411375</v>
      </c>
      <c r="U23" s="23">
        <v>8407.0002222222211</v>
      </c>
      <c r="V23" s="23">
        <v>8530.6746352685368</v>
      </c>
      <c r="W23" s="23">
        <v>7780.2658744725532</v>
      </c>
      <c r="X23" s="23">
        <v>8026.939409425936</v>
      </c>
      <c r="Y23" s="23">
        <v>9453.9285630656996</v>
      </c>
      <c r="Z23" s="23">
        <v>9289.9595621464196</v>
      </c>
      <c r="AA23" s="23">
        <v>9687.1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6441.6903917818481</v>
      </c>
      <c r="E24" s="23">
        <v>6225.8946236150423</v>
      </c>
      <c r="F24" s="23">
        <v>6122.495653266782</v>
      </c>
      <c r="G24" s="23">
        <v>6841.3548015873002</v>
      </c>
      <c r="H24" s="23">
        <v>7565.8062442800756</v>
      </c>
      <c r="I24" s="23">
        <v>8707.5268421644723</v>
      </c>
      <c r="J24" s="23">
        <v>9337.3331348474458</v>
      </c>
      <c r="K24" s="23">
        <v>10417.91168087121</v>
      </c>
      <c r="L24" s="23">
        <v>11489.620349511257</v>
      </c>
      <c r="M24" s="23">
        <v>10217.156543824183</v>
      </c>
      <c r="N24" s="23">
        <v>11706.128415035544</v>
      </c>
      <c r="O24" s="23">
        <v>12524.571408279218</v>
      </c>
      <c r="P24" s="23">
        <v>11469.05938709968</v>
      </c>
      <c r="Q24" s="23">
        <v>10305.706502681671</v>
      </c>
      <c r="R24" s="23">
        <v>10168.625626390729</v>
      </c>
      <c r="S24" s="23">
        <v>10034.484055999999</v>
      </c>
      <c r="T24" s="23">
        <v>9538.6304758653241</v>
      </c>
      <c r="U24" s="23">
        <v>10151.957984126984</v>
      </c>
      <c r="V24" s="23">
        <v>9917.855330466602</v>
      </c>
      <c r="W24" s="23">
        <v>11401.037749058638</v>
      </c>
      <c r="X24" s="23">
        <v>12066.57571469424</v>
      </c>
      <c r="Y24" s="23">
        <v>11440.48335029495</v>
      </c>
      <c r="Z24" s="23">
        <v>12238.14710942992</v>
      </c>
      <c r="AA24" s="23">
        <v>13571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3600.7704398919491</v>
      </c>
      <c r="E25" s="23">
        <v>4190.7133316862728</v>
      </c>
      <c r="F25" s="23">
        <v>3850.1584070955346</v>
      </c>
      <c r="G25" s="23">
        <v>3942.9082341269836</v>
      </c>
      <c r="H25" s="23">
        <v>3549.4345700868676</v>
      </c>
      <c r="I25" s="23">
        <v>3949.3144391945098</v>
      </c>
      <c r="J25" s="23">
        <v>3334.7990778310586</v>
      </c>
      <c r="K25" s="23">
        <v>4095.545336174242</v>
      </c>
      <c r="L25" s="23">
        <v>4113.5695118967842</v>
      </c>
      <c r="M25" s="23">
        <v>3829.0573824703251</v>
      </c>
      <c r="N25" s="23">
        <v>3765.3240607942876</v>
      </c>
      <c r="O25" s="23">
        <v>4250.7108969155834</v>
      </c>
      <c r="P25" s="23">
        <v>4527.4860681734053</v>
      </c>
      <c r="Q25" s="23">
        <v>4895.4140720618525</v>
      </c>
      <c r="R25" s="23">
        <v>6275.7120767933575</v>
      </c>
      <c r="S25" s="23">
        <v>6701.3540079999984</v>
      </c>
      <c r="T25" s="23">
        <v>6213.1391326177099</v>
      </c>
      <c r="U25" s="23">
        <v>6517.9381626984123</v>
      </c>
      <c r="V25" s="23">
        <v>6644.175482668581</v>
      </c>
      <c r="W25" s="23">
        <v>6941.4770232170895</v>
      </c>
      <c r="X25" s="23">
        <v>6702.5443059693898</v>
      </c>
      <c r="Y25" s="23">
        <v>6698.0130337281043</v>
      </c>
      <c r="Z25" s="23">
        <v>7287.5504033742836</v>
      </c>
      <c r="AA25" s="23">
        <v>6342.2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712.76629138158796</v>
      </c>
      <c r="E26" s="23">
        <v>718.09279537809527</v>
      </c>
      <c r="F26" s="23">
        <v>700.20107366644527</v>
      </c>
      <c r="G26" s="23">
        <v>718.77635582010578</v>
      </c>
      <c r="H26" s="23">
        <v>744.64492821028296</v>
      </c>
      <c r="I26" s="23">
        <v>832.64542693216333</v>
      </c>
      <c r="J26" s="23">
        <v>895.96545818622542</v>
      </c>
      <c r="K26" s="23">
        <v>813.48696496212108</v>
      </c>
      <c r="L26" s="23">
        <v>912.41144048416777</v>
      </c>
      <c r="M26" s="23">
        <v>881.05110039910846</v>
      </c>
      <c r="N26" s="23">
        <v>1072.1508424734566</v>
      </c>
      <c r="O26" s="23">
        <v>1047.9866355519478</v>
      </c>
      <c r="P26" s="23">
        <v>1326.1706276075276</v>
      </c>
      <c r="Q26" s="23">
        <v>1343.9086579698896</v>
      </c>
      <c r="R26" s="23">
        <v>1242.8729776385242</v>
      </c>
      <c r="S26" s="23">
        <v>1326.8401239999998</v>
      </c>
      <c r="T26" s="23">
        <v>1380.5651058873143</v>
      </c>
      <c r="U26" s="23">
        <v>1411.0703293650793</v>
      </c>
      <c r="V26" s="23">
        <v>1535.9901456984499</v>
      </c>
      <c r="W26" s="23">
        <v>1669.7140570304073</v>
      </c>
      <c r="X26" s="23">
        <v>1484.0722194035218</v>
      </c>
      <c r="Y26" s="23">
        <v>1607.9936560543972</v>
      </c>
      <c r="Z26" s="23">
        <v>2001.8571050781638</v>
      </c>
      <c r="AA26" s="23">
        <v>2233.8000000000002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2048.0324861486283</v>
      </c>
      <c r="E27" s="23">
        <v>2323.0201638191525</v>
      </c>
      <c r="F27" s="23">
        <v>2371.5876689947395</v>
      </c>
      <c r="G27" s="23">
        <v>2505.7918055555551</v>
      </c>
      <c r="H27" s="23">
        <v>2639.1150525857797</v>
      </c>
      <c r="I27" s="23">
        <v>2858.0442963212959</v>
      </c>
      <c r="J27" s="23">
        <v>3162.5581914949671</v>
      </c>
      <c r="K27" s="23">
        <v>3647.3388494318178</v>
      </c>
      <c r="L27" s="23">
        <v>3822.2489719944265</v>
      </c>
      <c r="M27" s="23">
        <v>4156.750402736744</v>
      </c>
      <c r="N27" s="23">
        <v>4464.754105058968</v>
      </c>
      <c r="O27" s="23">
        <v>4354.4520698051938</v>
      </c>
      <c r="P27" s="23">
        <v>4866.1895448769892</v>
      </c>
      <c r="Q27" s="23">
        <v>4553.299589042459</v>
      </c>
      <c r="R27" s="23">
        <v>4427.0027001406943</v>
      </c>
      <c r="S27" s="23">
        <v>4719.2076399999996</v>
      </c>
      <c r="T27" s="23">
        <v>5211.1994055448995</v>
      </c>
      <c r="U27" s="23">
        <v>5357.1198015873015</v>
      </c>
      <c r="V27" s="23">
        <v>5257.5070403121681</v>
      </c>
      <c r="W27" s="23">
        <v>5292.6078676985371</v>
      </c>
      <c r="X27" s="23">
        <v>5110.3979410163911</v>
      </c>
      <c r="Y27" s="23">
        <v>5527.9906047642626</v>
      </c>
      <c r="Z27" s="23">
        <v>5706.2478023633375</v>
      </c>
      <c r="AA27" s="23">
        <v>5809.6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1489.5254687777274</v>
      </c>
      <c r="E28" s="23">
        <v>1364.4766035082384</v>
      </c>
      <c r="F28" s="23">
        <v>2387.9320107007557</v>
      </c>
      <c r="G28" s="23">
        <v>2335.4232671957666</v>
      </c>
      <c r="H28" s="23">
        <v>2327.361793167599</v>
      </c>
      <c r="I28" s="23">
        <v>2550.997018787265</v>
      </c>
      <c r="J28" s="23">
        <v>2474.6374769457761</v>
      </c>
      <c r="K28" s="23">
        <v>2438.4306912878787</v>
      </c>
      <c r="L28" s="23">
        <v>2429.9164108618652</v>
      </c>
      <c r="M28" s="23">
        <v>2707.8439516923236</v>
      </c>
      <c r="N28" s="23">
        <v>2820.8620819876796</v>
      </c>
      <c r="O28" s="23">
        <v>3028.974529220779</v>
      </c>
      <c r="P28" s="23">
        <v>2983.1249312162959</v>
      </c>
      <c r="Q28" s="23">
        <v>3067.8715862165041</v>
      </c>
      <c r="R28" s="23">
        <v>3253.9022760609469</v>
      </c>
      <c r="S28" s="23">
        <v>3296.8487479999999</v>
      </c>
      <c r="T28" s="23">
        <v>3026.0884894614755</v>
      </c>
      <c r="U28" s="23">
        <v>2714.2914841269844</v>
      </c>
      <c r="V28" s="23">
        <v>3106.8134846293469</v>
      </c>
      <c r="W28" s="23">
        <v>3296.1156540331885</v>
      </c>
      <c r="X28" s="23">
        <v>3108.8355562115435</v>
      </c>
      <c r="Y28" s="23">
        <v>3466.341456297564</v>
      </c>
      <c r="Z28" s="23">
        <v>2959.7806748568937</v>
      </c>
      <c r="AA28" s="23">
        <v>3147.7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5339.7641106532319</v>
      </c>
      <c r="E29" s="23">
        <v>5843.0288070848928</v>
      </c>
      <c r="F29" s="23">
        <v>6099.2819505538901</v>
      </c>
      <c r="G29" s="23">
        <v>5707.8913888888883</v>
      </c>
      <c r="H29" s="23">
        <v>6272.2776409163871</v>
      </c>
      <c r="I29" s="23">
        <v>5561.5445550680615</v>
      </c>
      <c r="J29" s="23">
        <v>6205.3646466775572</v>
      </c>
      <c r="K29" s="23">
        <v>7105.4002556818177</v>
      </c>
      <c r="L29" s="23">
        <v>8202.3010008828187</v>
      </c>
      <c r="M29" s="23">
        <v>8454.7808096200679</v>
      </c>
      <c r="N29" s="23">
        <v>8498.932649586759</v>
      </c>
      <c r="O29" s="23">
        <v>8310.4041761363624</v>
      </c>
      <c r="P29" s="23">
        <v>8738.7080949665324</v>
      </c>
      <c r="Q29" s="23">
        <v>10692.981147695951</v>
      </c>
      <c r="R29" s="23">
        <v>8040.9576818304267</v>
      </c>
      <c r="S29" s="23">
        <v>8356.8367439999984</v>
      </c>
      <c r="T29" s="23">
        <v>9673.8916766244583</v>
      </c>
      <c r="U29" s="23">
        <v>9966.8867063492053</v>
      </c>
      <c r="V29" s="23">
        <v>10360.313722444937</v>
      </c>
      <c r="W29" s="23">
        <v>10169.316263316239</v>
      </c>
      <c r="X29" s="23">
        <v>10750.33485420145</v>
      </c>
      <c r="Y29" s="23">
        <v>11923.012149322285</v>
      </c>
      <c r="Z29" s="23">
        <v>12606.035691092289</v>
      </c>
      <c r="AA29" s="23">
        <v>11746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2400.2534929116464</v>
      </c>
      <c r="E30" s="23">
        <v>2262.5940591801436</v>
      </c>
      <c r="F30" s="23">
        <v>2624.8065281792551</v>
      </c>
      <c r="G30" s="23">
        <v>2560.5453306878308</v>
      </c>
      <c r="H30" s="23">
        <v>2712.7482033816923</v>
      </c>
      <c r="I30" s="23">
        <v>3016.4844020699743</v>
      </c>
      <c r="J30" s="23">
        <v>3435.0846393002053</v>
      </c>
      <c r="K30" s="23">
        <v>4041.1983475378788</v>
      </c>
      <c r="L30" s="23">
        <v>4542.4113085931267</v>
      </c>
      <c r="M30" s="23">
        <v>4499.624527030529</v>
      </c>
      <c r="N30" s="23">
        <v>4839.9252226131639</v>
      </c>
      <c r="O30" s="23">
        <v>4974.0880560064925</v>
      </c>
      <c r="P30" s="23">
        <v>5214.1327890666425</v>
      </c>
      <c r="Q30" s="23">
        <v>5231.0958575877885</v>
      </c>
      <c r="R30" s="23">
        <v>5984.5104004310633</v>
      </c>
      <c r="S30" s="23">
        <v>6666.9197559999993</v>
      </c>
      <c r="T30" s="23">
        <v>7456.5883298020817</v>
      </c>
      <c r="U30" s="23">
        <v>7369.6063412698413</v>
      </c>
      <c r="V30" s="23">
        <v>7493.1065044990828</v>
      </c>
      <c r="W30" s="23">
        <v>6351.8284319476234</v>
      </c>
      <c r="X30" s="23">
        <v>5852.4340507181532</v>
      </c>
      <c r="Y30" s="23">
        <v>6604.2639023731263</v>
      </c>
      <c r="Z30" s="23">
        <v>6546.2527031098307</v>
      </c>
      <c r="AA30" s="23">
        <v>6667.1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1512.9375002464656</v>
      </c>
      <c r="E31" s="23">
        <v>1435.6841293069044</v>
      </c>
      <c r="F31" s="23">
        <v>1561.2399447007917</v>
      </c>
      <c r="G31" s="23">
        <v>1549.6774603174601</v>
      </c>
      <c r="H31" s="23">
        <v>1638.3376052090678</v>
      </c>
      <c r="I31" s="23">
        <v>1781.8018449769377</v>
      </c>
      <c r="J31" s="23">
        <v>2074.3642567318329</v>
      </c>
      <c r="K31" s="23">
        <v>2316.14996685606</v>
      </c>
      <c r="L31" s="23">
        <v>2693.8730272184816</v>
      </c>
      <c r="M31" s="23">
        <v>2816.710247239931</v>
      </c>
      <c r="N31" s="23">
        <v>3028.7308397907486</v>
      </c>
      <c r="O31" s="23">
        <v>2656.9787621753244</v>
      </c>
      <c r="P31" s="23">
        <v>2832.7807145501292</v>
      </c>
      <c r="Q31" s="23">
        <v>3228.5577440122593</v>
      </c>
      <c r="R31" s="23">
        <v>3112.6457666862902</v>
      </c>
      <c r="S31" s="23">
        <v>3640.2677439999993</v>
      </c>
      <c r="T31" s="23">
        <v>3233.9482583068066</v>
      </c>
      <c r="U31" s="23">
        <v>3807.5732261904759</v>
      </c>
      <c r="V31" s="23">
        <v>4098.7911124916272</v>
      </c>
      <c r="W31" s="23">
        <v>3353.782387557002</v>
      </c>
      <c r="X31" s="23">
        <v>3204.3740745182322</v>
      </c>
      <c r="Y31" s="23">
        <v>3650.0374728689153</v>
      </c>
      <c r="Z31" s="23">
        <v>3833.350440196833</v>
      </c>
      <c r="AA31" s="23">
        <v>4058.9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4867.3613423506949</v>
      </c>
      <c r="E32" s="23">
        <v>4734.5482734373581</v>
      </c>
      <c r="F32" s="23">
        <v>4842.66263533044</v>
      </c>
      <c r="G32" s="23">
        <v>5042.7778505291062</v>
      </c>
      <c r="H32" s="23">
        <v>4835.8373846638542</v>
      </c>
      <c r="I32" s="23">
        <v>5017.3937000787546</v>
      </c>
      <c r="J32" s="23">
        <v>5543.8623122727504</v>
      </c>
      <c r="K32" s="23">
        <v>5613.0444412878642</v>
      </c>
      <c r="L32" s="23">
        <v>5567.6463107735872</v>
      </c>
      <c r="M32" s="23">
        <v>6358.5575535168027</v>
      </c>
      <c r="N32" s="23">
        <v>6589.3171063899963</v>
      </c>
      <c r="O32" s="23">
        <v>6078.9650121753129</v>
      </c>
      <c r="P32" s="23">
        <v>6208.1997738891923</v>
      </c>
      <c r="Q32" s="23">
        <v>6368.3705185229483</v>
      </c>
      <c r="R32" s="23">
        <v>5737.0153047886097</v>
      </c>
      <c r="S32" s="23">
        <v>5728.0916439999928</v>
      </c>
      <c r="T32" s="23">
        <v>6854.4706437587456</v>
      </c>
      <c r="U32" s="23">
        <v>7070.4034126984006</v>
      </c>
      <c r="V32" s="23">
        <v>7478.7634249327793</v>
      </c>
      <c r="W32" s="23">
        <v>8076.588007341692</v>
      </c>
      <c r="X32" s="23">
        <v>8412.8663413373924</v>
      </c>
      <c r="Y32" s="23">
        <v>8556.1231935876112</v>
      </c>
      <c r="Z32" s="23">
        <v>8280.5845880895922</v>
      </c>
      <c r="AA32" s="23">
        <v>8100.1000000000022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1860.736234398722</v>
      </c>
      <c r="E33" s="23">
        <v>2073.2923620745355</v>
      </c>
      <c r="F33" s="23">
        <v>2229.4629585076395</v>
      </c>
      <c r="G33" s="23">
        <v>2308.5918584656079</v>
      </c>
      <c r="H33" s="23">
        <v>2186.2315874754322</v>
      </c>
      <c r="I33" s="23">
        <v>2267.882731465857</v>
      </c>
      <c r="J33" s="23">
        <v>2283.2780260315117</v>
      </c>
      <c r="K33" s="23">
        <v>2353.0059706439392</v>
      </c>
      <c r="L33" s="23">
        <v>2657.247468011104</v>
      </c>
      <c r="M33" s="23">
        <v>2815.8896470222357</v>
      </c>
      <c r="N33" s="23">
        <v>2912.8851862934266</v>
      </c>
      <c r="O33" s="23">
        <v>2935.9421225649348</v>
      </c>
      <c r="P33" s="23">
        <v>3086.6103270602598</v>
      </c>
      <c r="Q33" s="23">
        <v>3241.1605799178087</v>
      </c>
      <c r="R33" s="23">
        <v>3379.6245187942159</v>
      </c>
      <c r="S33" s="23">
        <v>3514.1407519999993</v>
      </c>
      <c r="T33" s="23">
        <v>3695.3730988984503</v>
      </c>
      <c r="U33" s="23">
        <v>3816.2116309523808</v>
      </c>
      <c r="V33" s="23">
        <v>4034.7595072849217</v>
      </c>
      <c r="W33" s="23">
        <v>4144.3908077730894</v>
      </c>
      <c r="X33" s="23">
        <v>4287.5496323902471</v>
      </c>
      <c r="Y33" s="23">
        <v>4436.9836033683068</v>
      </c>
      <c r="Z33" s="23">
        <v>4465.4519197937934</v>
      </c>
      <c r="AA33" s="23">
        <v>4538.5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1820.935780901867</v>
      </c>
      <c r="E34" s="23">
        <v>1924.6090423611242</v>
      </c>
      <c r="F34" s="23">
        <v>2021.4871321615167</v>
      </c>
      <c r="G34" s="23">
        <v>1973.7446031746028</v>
      </c>
      <c r="H34" s="23">
        <v>1855.0803474712313</v>
      </c>
      <c r="I34" s="23">
        <v>1710.0028743390708</v>
      </c>
      <c r="J34" s="23">
        <v>1942.4461611424354</v>
      </c>
      <c r="K34" s="23">
        <v>2490.435137310606</v>
      </c>
      <c r="L34" s="23">
        <v>2560.4212770030949</v>
      </c>
      <c r="M34" s="23">
        <v>2626.8780635463636</v>
      </c>
      <c r="N34" s="23">
        <v>2749.2583055604277</v>
      </c>
      <c r="O34" s="23">
        <v>2717.2155722402595</v>
      </c>
      <c r="P34" s="23">
        <v>2878.847555302098</v>
      </c>
      <c r="Q34" s="23">
        <v>2989.497700428868</v>
      </c>
      <c r="R34" s="23">
        <v>3131.6028378418828</v>
      </c>
      <c r="S34" s="23">
        <v>3507.4122199999997</v>
      </c>
      <c r="T34" s="23">
        <v>3882.8310803618942</v>
      </c>
      <c r="U34" s="23">
        <v>4136.4870317460318</v>
      </c>
      <c r="V34" s="23">
        <v>4033.3508119703747</v>
      </c>
      <c r="W34" s="23">
        <v>4407.8853412552744</v>
      </c>
      <c r="X34" s="23">
        <v>4477.2879126961425</v>
      </c>
      <c r="Y34" s="23">
        <v>5239.6139991894443</v>
      </c>
      <c r="Z34" s="23">
        <v>5121.9541726642783</v>
      </c>
      <c r="AA34" s="23">
        <v>5474.7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699.75960723228889</v>
      </c>
      <c r="E35" s="23">
        <v>764.97944088637166</v>
      </c>
      <c r="F35" s="23">
        <v>861.51262006930358</v>
      </c>
      <c r="G35" s="23">
        <v>780.72855158730147</v>
      </c>
      <c r="H35" s="23">
        <v>650.22822678649118</v>
      </c>
      <c r="I35" s="23">
        <v>988.11709978625242</v>
      </c>
      <c r="J35" s="23">
        <v>1124.1715971966064</v>
      </c>
      <c r="K35" s="23">
        <v>1505.1617140151516</v>
      </c>
      <c r="L35" s="23">
        <v>1126.2710275801185</v>
      </c>
      <c r="M35" s="23">
        <v>1804.2263453065877</v>
      </c>
      <c r="N35" s="23">
        <v>1877.625262853782</v>
      </c>
      <c r="O35" s="23">
        <v>2079.1069642857137</v>
      </c>
      <c r="P35" s="23">
        <v>2336.2092105131514</v>
      </c>
      <c r="Q35" s="23">
        <v>2323.3853110043087</v>
      </c>
      <c r="R35" s="23">
        <v>2493.6447349252121</v>
      </c>
      <c r="S35" s="23">
        <v>3011.2159679999995</v>
      </c>
      <c r="T35" s="23">
        <v>2892.5495175073042</v>
      </c>
      <c r="U35" s="23">
        <v>2891.6405515873016</v>
      </c>
      <c r="V35" s="23">
        <v>3075.3099348676483</v>
      </c>
      <c r="W35" s="23">
        <v>2961.7234914567921</v>
      </c>
      <c r="X35" s="23">
        <v>1863.4270748964507</v>
      </c>
      <c r="Y35" s="23">
        <v>2499.2639149817624</v>
      </c>
      <c r="Z35" s="23">
        <v>1594.2206574498712</v>
      </c>
      <c r="AA35" s="23">
        <v>1584.4000000000003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475.52437249837334</v>
      </c>
      <c r="E36" s="23">
        <v>527.28671392462797</v>
      </c>
      <c r="F36" s="23">
        <v>547.18013537533432</v>
      </c>
      <c r="G36" s="23">
        <v>512.85074735449723</v>
      </c>
      <c r="H36" s="23">
        <v>601.53533674403241</v>
      </c>
      <c r="I36" s="23">
        <v>627.08144898188766</v>
      </c>
      <c r="J36" s="23">
        <v>639.60288770617058</v>
      </c>
      <c r="K36" s="23">
        <v>672.46589962121209</v>
      </c>
      <c r="L36" s="23">
        <v>682.4141548868821</v>
      </c>
      <c r="M36" s="23">
        <v>722.5384916809204</v>
      </c>
      <c r="N36" s="23">
        <v>998.36900440583167</v>
      </c>
      <c r="O36" s="23">
        <v>925.77284090909075</v>
      </c>
      <c r="P36" s="23">
        <v>941.26831347360212</v>
      </c>
      <c r="Q36" s="23">
        <v>973.96291232574106</v>
      </c>
      <c r="R36" s="23">
        <v>971.54989672410852</v>
      </c>
      <c r="S36" s="23">
        <v>1051.8938359999997</v>
      </c>
      <c r="T36" s="23">
        <v>1146.4744675509855</v>
      </c>
      <c r="U36" s="23">
        <v>1132.2854484126983</v>
      </c>
      <c r="V36" s="23">
        <v>1156.2827268226865</v>
      </c>
      <c r="W36" s="23">
        <v>1094.5445590266609</v>
      </c>
      <c r="X36" s="23">
        <v>910.23258396907806</v>
      </c>
      <c r="Y36" s="23">
        <v>1117.1474435988653</v>
      </c>
      <c r="Z36" s="23">
        <v>1114.8172296053292</v>
      </c>
      <c r="AA36" s="23">
        <v>1080.3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28.094437762485949</v>
      </c>
      <c r="E37" s="23">
        <v>30.087686957182765</v>
      </c>
      <c r="F37" s="23">
        <v>31.978059859597462</v>
      </c>
      <c r="G37" s="23">
        <v>31.41238095238095</v>
      </c>
      <c r="H37" s="23">
        <v>30.878418075705515</v>
      </c>
      <c r="I37" s="23">
        <v>32.838288896388796</v>
      </c>
      <c r="J37" s="23">
        <v>34.934831638298995</v>
      </c>
      <c r="K37" s="23">
        <v>38.261529356060599</v>
      </c>
      <c r="L37" s="23">
        <v>38.730476403203674</v>
      </c>
      <c r="M37" s="23">
        <v>39.388810449385787</v>
      </c>
      <c r="N37" s="23">
        <v>46.147681005396365</v>
      </c>
      <c r="O37" s="23">
        <v>41.764188311688301</v>
      </c>
      <c r="P37" s="23">
        <v>42.898920471030806</v>
      </c>
      <c r="Q37" s="23">
        <v>40.302818989621578</v>
      </c>
      <c r="R37" s="23">
        <v>46.20786094175638</v>
      </c>
      <c r="S37" s="23">
        <v>46.440064</v>
      </c>
      <c r="T37" s="23">
        <v>56.171154869611492</v>
      </c>
      <c r="U37" s="23">
        <v>51.83042857142857</v>
      </c>
      <c r="V37" s="23">
        <v>54.426864425699605</v>
      </c>
      <c r="W37" s="23">
        <v>60.662407992582636</v>
      </c>
      <c r="X37" s="23">
        <v>54.280483012462746</v>
      </c>
      <c r="Y37" s="23">
        <v>55.013748817940282</v>
      </c>
      <c r="Z37" s="23">
        <v>56.530298262645196</v>
      </c>
      <c r="AA37" s="23">
        <v>53.1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51392.790811759376</v>
      </c>
      <c r="E39" s="30">
        <f t="shared" ref="E39:S39" si="3">SUM(E18:E38)</f>
        <v>53515.715137117768</v>
      </c>
      <c r="F39" s="30">
        <f t="shared" si="3"/>
        <v>55706.017149936248</v>
      </c>
      <c r="G39" s="30">
        <f t="shared" si="3"/>
        <v>57993.799484126983</v>
      </c>
      <c r="H39" s="30">
        <f t="shared" si="3"/>
        <v>60689.551342025115</v>
      </c>
      <c r="I39" s="30">
        <f t="shared" si="3"/>
        <v>64309.799971875356</v>
      </c>
      <c r="J39" s="30">
        <f t="shared" si="3"/>
        <v>70949.340759867191</v>
      </c>
      <c r="K39" s="30">
        <f t="shared" si="3"/>
        <v>78822.030033143921</v>
      </c>
      <c r="L39" s="30">
        <f t="shared" si="3"/>
        <v>83543.742518906161</v>
      </c>
      <c r="M39" s="30">
        <f t="shared" si="3"/>
        <v>79260.680893588316</v>
      </c>
      <c r="N39" s="30">
        <f t="shared" si="3"/>
        <v>84798.882231187497</v>
      </c>
      <c r="O39" s="30">
        <f t="shared" si="3"/>
        <v>86344.112844967502</v>
      </c>
      <c r="P39" s="30">
        <f t="shared" si="3"/>
        <v>88462.721881722027</v>
      </c>
      <c r="Q39" s="30">
        <f t="shared" si="3"/>
        <v>88682.742999293536</v>
      </c>
      <c r="R39" s="30">
        <f t="shared" si="3"/>
        <v>91032.908859774267</v>
      </c>
      <c r="S39" s="30">
        <f t="shared" si="3"/>
        <v>95512.039467999974</v>
      </c>
      <c r="T39" s="30">
        <f t="shared" ref="T39:Y39" si="4">SUM(T18:T38)</f>
        <v>97494.180336790945</v>
      </c>
      <c r="U39" s="30">
        <f t="shared" si="4"/>
        <v>99672.008301587295</v>
      </c>
      <c r="V39" s="30">
        <f t="shared" si="4"/>
        <v>103626.82891837585</v>
      </c>
      <c r="W39" s="30">
        <f t="shared" si="4"/>
        <v>105527.12667410927</v>
      </c>
      <c r="X39" s="30">
        <f t="shared" si="4"/>
        <v>103029.46837264646</v>
      </c>
      <c r="Y39" s="30">
        <f t="shared" si="4"/>
        <v>108296.64390147252</v>
      </c>
      <c r="Z39" s="30">
        <f t="shared" ref="Z39:AA39" si="5">SUM(Z18:Z38)</f>
        <v>108397.73020453252</v>
      </c>
      <c r="AA39" s="30">
        <f t="shared" si="5"/>
        <v>113130.1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1454.4074215746198</v>
      </c>
      <c r="E41" s="19">
        <v>1816.7948307645527</v>
      </c>
      <c r="F41" s="19">
        <v>1352.5534948022334</v>
      </c>
      <c r="G41" s="19">
        <v>1248.8602843915342</v>
      </c>
      <c r="H41" s="19">
        <v>1275.5161928195278</v>
      </c>
      <c r="I41" s="19">
        <v>1337.2790190122623</v>
      </c>
      <c r="J41" s="19">
        <v>1465.0034620856825</v>
      </c>
      <c r="K41" s="19">
        <v>1425.0467566287878</v>
      </c>
      <c r="L41" s="19">
        <v>1415.0656668474849</v>
      </c>
      <c r="M41" s="19">
        <v>1214.0780220805473</v>
      </c>
      <c r="N41" s="19">
        <v>1204.7403448311441</v>
      </c>
      <c r="O41" s="19">
        <v>1318.7845616883114</v>
      </c>
      <c r="P41" s="19">
        <v>1313.7629398405218</v>
      </c>
      <c r="Q41" s="19">
        <v>1171.6699005940475</v>
      </c>
      <c r="R41" s="19">
        <v>1176.2599359390122</v>
      </c>
      <c r="S41" s="19">
        <v>1267.7345879999998</v>
      </c>
      <c r="T41" s="19">
        <v>1102.6238725938124</v>
      </c>
      <c r="U41" s="19">
        <v>1157.6771230158729</v>
      </c>
      <c r="V41" s="19">
        <v>1415.6107279098435</v>
      </c>
      <c r="W41" s="19">
        <v>1473.24773978694</v>
      </c>
      <c r="X41" s="19">
        <v>1516.9326014962683</v>
      </c>
      <c r="Y41" s="19">
        <v>1497.3720574593597</v>
      </c>
      <c r="Z41" s="19">
        <v>1493.9677066247111</v>
      </c>
      <c r="AA41" s="19">
        <v>1618.4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1013.7409625963679</v>
      </c>
      <c r="E42" s="23">
        <v>881.56922784545509</v>
      </c>
      <c r="F42" s="23">
        <v>859.61762392947549</v>
      </c>
      <c r="G42" s="23">
        <v>840.71747354497336</v>
      </c>
      <c r="H42" s="23">
        <v>780.07593356638108</v>
      </c>
      <c r="I42" s="23">
        <v>874.945595680054</v>
      </c>
      <c r="J42" s="23">
        <v>832.52658481319486</v>
      </c>
      <c r="K42" s="23">
        <v>880.79602272727266</v>
      </c>
      <c r="L42" s="23">
        <v>635.82532095259364</v>
      </c>
      <c r="M42" s="23">
        <v>540.63877675840979</v>
      </c>
      <c r="N42" s="23">
        <v>876.26142369243792</v>
      </c>
      <c r="O42" s="23">
        <v>776.11783279220765</v>
      </c>
      <c r="P42" s="23">
        <v>762.41281427899673</v>
      </c>
      <c r="Q42" s="23">
        <v>725.97585997591966</v>
      </c>
      <c r="R42" s="23">
        <v>849.38210483251339</v>
      </c>
      <c r="S42" s="23">
        <v>853.86390399999993</v>
      </c>
      <c r="T42" s="23">
        <v>785.07137678612662</v>
      </c>
      <c r="U42" s="23">
        <v>689.50176190476179</v>
      </c>
      <c r="V42" s="23">
        <v>830.48991953096936</v>
      </c>
      <c r="W42" s="23">
        <v>778.62572234100924</v>
      </c>
      <c r="X42" s="23">
        <v>690.31143418540069</v>
      </c>
      <c r="Y42" s="23">
        <v>642.22313684874132</v>
      </c>
      <c r="Z42" s="23">
        <v>657.16471730325043</v>
      </c>
      <c r="AA42" s="23">
        <v>593.20000000000005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1074.6122444150876</v>
      </c>
      <c r="E43" s="23">
        <v>1197.489940895874</v>
      </c>
      <c r="F43" s="23">
        <v>1080.3846742194373</v>
      </c>
      <c r="G43" s="23">
        <v>1015.6669841269841</v>
      </c>
      <c r="H43" s="23">
        <v>1011.6640691341725</v>
      </c>
      <c r="I43" s="23">
        <v>1065.4818821014737</v>
      </c>
      <c r="J43" s="23">
        <v>1282.3342677978603</v>
      </c>
      <c r="K43" s="23">
        <v>1347.5866808712119</v>
      </c>
      <c r="L43" s="23">
        <v>1347.5679887679885</v>
      </c>
      <c r="M43" s="23">
        <v>1148.4300046649043</v>
      </c>
      <c r="N43" s="23">
        <v>1183.2319861324638</v>
      </c>
      <c r="O43" s="23">
        <v>1159.6255235389608</v>
      </c>
      <c r="P43" s="23">
        <v>1134.5114506107993</v>
      </c>
      <c r="Q43" s="23">
        <v>1078.461426709255</v>
      </c>
      <c r="R43" s="23">
        <v>1247.8755380823611</v>
      </c>
      <c r="S43" s="23">
        <v>1310.6124879999998</v>
      </c>
      <c r="T43" s="23">
        <v>1246.3637382389265</v>
      </c>
      <c r="U43" s="23">
        <v>1237.7786944444445</v>
      </c>
      <c r="V43" s="23">
        <v>1242.3412042204986</v>
      </c>
      <c r="W43" s="23">
        <v>1231.9711252814623</v>
      </c>
      <c r="X43" s="23">
        <v>1170.8032434526717</v>
      </c>
      <c r="Y43" s="23">
        <v>1142.4561444589544</v>
      </c>
      <c r="Z43" s="23">
        <v>1217.2783952063735</v>
      </c>
      <c r="AA43" s="23">
        <v>1146.2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415.69362541159768</v>
      </c>
      <c r="E44" s="23">
        <v>357.04055189190217</v>
      </c>
      <c r="F44" s="23">
        <v>228.58390936675224</v>
      </c>
      <c r="G44" s="23">
        <v>239.95568783068779</v>
      </c>
      <c r="H44" s="23">
        <v>689.22212653593976</v>
      </c>
      <c r="I44" s="23">
        <v>625.96828664641691</v>
      </c>
      <c r="J44" s="23">
        <v>379.7642145755388</v>
      </c>
      <c r="K44" s="23">
        <v>403.38583806818178</v>
      </c>
      <c r="L44" s="23">
        <v>174.14681600136143</v>
      </c>
      <c r="M44" s="23">
        <v>206.79125485927534</v>
      </c>
      <c r="N44" s="23">
        <v>565.47925338175958</v>
      </c>
      <c r="O44" s="23">
        <v>120.60747970779218</v>
      </c>
      <c r="P44" s="23">
        <v>484.55980630508952</v>
      </c>
      <c r="Q44" s="23">
        <v>343.03343980417327</v>
      </c>
      <c r="R44" s="23">
        <v>391.51617789397</v>
      </c>
      <c r="S44" s="23">
        <v>432.86889199999996</v>
      </c>
      <c r="T44" s="23">
        <v>54.978842620020679</v>
      </c>
      <c r="U44" s="23">
        <v>437.94094444444448</v>
      </c>
      <c r="V44" s="23">
        <v>382.14061987361794</v>
      </c>
      <c r="W44" s="23">
        <v>487.42120002270616</v>
      </c>
      <c r="X44" s="23">
        <v>352.21461398669766</v>
      </c>
      <c r="Y44" s="23">
        <v>456.86363759175032</v>
      </c>
      <c r="Z44" s="23">
        <v>1366.6641247949651</v>
      </c>
      <c r="AA44" s="23">
        <v>1057.0999999999999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699.49947354930282</v>
      </c>
      <c r="E45" s="23">
        <v>714.08110378380434</v>
      </c>
      <c r="F45" s="23">
        <v>745.4441065048386</v>
      </c>
      <c r="G45" s="23">
        <v>535.75560846560836</v>
      </c>
      <c r="H45" s="23">
        <v>525.32898444181046</v>
      </c>
      <c r="I45" s="23">
        <v>581.07073911576106</v>
      </c>
      <c r="J45" s="23">
        <v>672.10444748906571</v>
      </c>
      <c r="K45" s="23">
        <v>651.69535511363631</v>
      </c>
      <c r="L45" s="23">
        <v>649.7177744450471</v>
      </c>
      <c r="M45" s="23">
        <v>546.93004509407547</v>
      </c>
      <c r="N45" s="23">
        <v>359.7885572190637</v>
      </c>
      <c r="O45" s="23">
        <v>494.20956168831157</v>
      </c>
      <c r="P45" s="23">
        <v>411.16965313003374</v>
      </c>
      <c r="Q45" s="23">
        <v>350.12253500104481</v>
      </c>
      <c r="R45" s="23">
        <v>459.31403654070658</v>
      </c>
      <c r="S45" s="23">
        <v>631.95427999999993</v>
      </c>
      <c r="T45" s="23">
        <v>531.63878417865783</v>
      </c>
      <c r="U45" s="23">
        <v>493.30526587301586</v>
      </c>
      <c r="V45" s="23">
        <v>413.77223284573046</v>
      </c>
      <c r="W45" s="23">
        <v>482.05394993282744</v>
      </c>
      <c r="X45" s="23">
        <v>446.65778622362842</v>
      </c>
      <c r="Y45" s="23">
        <v>423.35634349529425</v>
      </c>
      <c r="Z45" s="23">
        <v>501.92721855856456</v>
      </c>
      <c r="AA45" s="23">
        <v>446.2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150.61740244888301</v>
      </c>
      <c r="E46" s="23">
        <v>158.71254869913906</v>
      </c>
      <c r="F46" s="23">
        <v>136.20284755013734</v>
      </c>
      <c r="G46" s="23">
        <v>102.09023809523808</v>
      </c>
      <c r="H46" s="23">
        <v>59.183634645102238</v>
      </c>
      <c r="I46" s="23">
        <v>88.496405669929132</v>
      </c>
      <c r="J46" s="23">
        <v>102.02361279443537</v>
      </c>
      <c r="K46" s="23">
        <v>108.5378077651515</v>
      </c>
      <c r="L46" s="23">
        <v>122.78683642320004</v>
      </c>
      <c r="M46" s="23">
        <v>174.65107966620016</v>
      </c>
      <c r="N46" s="23">
        <v>190.17200697504046</v>
      </c>
      <c r="O46" s="23">
        <v>192.6239326298701</v>
      </c>
      <c r="P46" s="23">
        <v>188.22726335904593</v>
      </c>
      <c r="Q46" s="23">
        <v>29.669176194314261</v>
      </c>
      <c r="R46" s="23">
        <v>100.18285520420685</v>
      </c>
      <c r="S46" s="23">
        <v>76.256695999999991</v>
      </c>
      <c r="T46" s="23">
        <v>108.23545643507686</v>
      </c>
      <c r="U46" s="23">
        <v>92.535638888888897</v>
      </c>
      <c r="V46" s="23">
        <v>91.565195445588756</v>
      </c>
      <c r="W46" s="23">
        <v>92.491449223258712</v>
      </c>
      <c r="X46" s="23">
        <v>97.607505327343318</v>
      </c>
      <c r="Y46" s="23">
        <v>103.61120727698473</v>
      </c>
      <c r="Z46" s="23">
        <v>103.23404077260402</v>
      </c>
      <c r="AA46" s="23">
        <v>126.7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1286.3610623656762</v>
      </c>
      <c r="E47" s="23">
        <v>1337.1469545221305</v>
      </c>
      <c r="F47" s="23">
        <v>1501.3106917787311</v>
      </c>
      <c r="G47" s="23">
        <v>1579.1265674603171</v>
      </c>
      <c r="H47" s="23">
        <v>1547.0879210238097</v>
      </c>
      <c r="I47" s="23">
        <v>1672.8974631567105</v>
      </c>
      <c r="J47" s="23">
        <v>1766.2077567581809</v>
      </c>
      <c r="K47" s="23">
        <v>1971.171524621212</v>
      </c>
      <c r="L47" s="23">
        <v>1903.2661284661283</v>
      </c>
      <c r="M47" s="23">
        <v>1660.8948406157674</v>
      </c>
      <c r="N47" s="23">
        <v>1575.8275968096411</v>
      </c>
      <c r="O47" s="23">
        <v>1842.5770900974023</v>
      </c>
      <c r="P47" s="23">
        <v>1976.7822553050994</v>
      </c>
      <c r="Q47" s="23">
        <v>2078.9428062529228</v>
      </c>
      <c r="R47" s="23">
        <v>2241.8053104762662</v>
      </c>
      <c r="S47" s="23">
        <v>2353.271084</v>
      </c>
      <c r="T47" s="23">
        <v>2531.2789058812896</v>
      </c>
      <c r="U47" s="23">
        <v>2517.5714484126984</v>
      </c>
      <c r="V47" s="23">
        <v>2503.2515739509417</v>
      </c>
      <c r="W47" s="23">
        <v>2683.2505856307589</v>
      </c>
      <c r="X47" s="23">
        <v>2403.0675719306655</v>
      </c>
      <c r="Y47" s="23">
        <v>2388.1670356193995</v>
      </c>
      <c r="Z47" s="23">
        <v>2332.0956248117022</v>
      </c>
      <c r="AA47" s="23">
        <v>2233.9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1953.8640929077035</v>
      </c>
      <c r="E48" s="23">
        <v>2381.4404226610159</v>
      </c>
      <c r="F48" s="23">
        <v>2127.6069159918848</v>
      </c>
      <c r="G48" s="23">
        <v>2539.603743386243</v>
      </c>
      <c r="H48" s="23">
        <v>3055.1819422981707</v>
      </c>
      <c r="I48" s="23">
        <v>3343.0120204747441</v>
      </c>
      <c r="J48" s="23">
        <v>3711.7824102861355</v>
      </c>
      <c r="K48" s="23">
        <v>4199.8665672348479</v>
      </c>
      <c r="L48" s="23">
        <v>3884.8351766169944</v>
      </c>
      <c r="M48" s="23">
        <v>2543.1768413414188</v>
      </c>
      <c r="N48" s="23">
        <v>3380.8961812685079</v>
      </c>
      <c r="O48" s="23">
        <v>3227.2205641233763</v>
      </c>
      <c r="P48" s="23">
        <v>3522.5953557243047</v>
      </c>
      <c r="Q48" s="23">
        <v>3245.0989661382928</v>
      </c>
      <c r="R48" s="23">
        <v>3646.3399782472034</v>
      </c>
      <c r="S48" s="23">
        <v>3816.1330999999996</v>
      </c>
      <c r="T48" s="23">
        <v>3886.6729753883537</v>
      </c>
      <c r="U48" s="23">
        <v>4030.4702460317462</v>
      </c>
      <c r="V48" s="23">
        <v>4216.3531396511389</v>
      </c>
      <c r="W48" s="23">
        <v>3776.0476678839709</v>
      </c>
      <c r="X48" s="23">
        <v>3508.0283460789824</v>
      </c>
      <c r="Y48" s="23">
        <v>4236.7715801323902</v>
      </c>
      <c r="Z48" s="23">
        <v>4674.6802698088568</v>
      </c>
      <c r="AA48" s="23">
        <v>3989.3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387.07892028313978</v>
      </c>
      <c r="E49" s="23">
        <v>366.56831942834333</v>
      </c>
      <c r="F49" s="23">
        <v>406.47667199310553</v>
      </c>
      <c r="G49" s="23">
        <v>426.46669973544971</v>
      </c>
      <c r="H49" s="23">
        <v>509.09802109432422</v>
      </c>
      <c r="I49" s="23">
        <v>632.09067949150631</v>
      </c>
      <c r="J49" s="23">
        <v>951.58310059545761</v>
      </c>
      <c r="K49" s="23">
        <v>864.08588541666654</v>
      </c>
      <c r="L49" s="23">
        <v>1032.1110650201558</v>
      </c>
      <c r="M49" s="23">
        <v>637.74313585238167</v>
      </c>
      <c r="N49" s="23">
        <v>843.18211252927756</v>
      </c>
      <c r="O49" s="23">
        <v>916.00109172077896</v>
      </c>
      <c r="P49" s="23">
        <v>857.18642935038167</v>
      </c>
      <c r="Q49" s="23">
        <v>688.03607271858868</v>
      </c>
      <c r="R49" s="23">
        <v>944.29910693794443</v>
      </c>
      <c r="S49" s="23">
        <v>821.4086319999999</v>
      </c>
      <c r="T49" s="23">
        <v>859.25969453844368</v>
      </c>
      <c r="U49" s="23">
        <v>711.75219841269836</v>
      </c>
      <c r="V49" s="23">
        <v>717.66623115675429</v>
      </c>
      <c r="W49" s="23">
        <v>714.71800034059299</v>
      </c>
      <c r="X49" s="23">
        <v>620.20928572087473</v>
      </c>
      <c r="Y49" s="23">
        <v>520.90772098887737</v>
      </c>
      <c r="Z49" s="23">
        <v>504.46666555083181</v>
      </c>
      <c r="AA49" s="23">
        <v>617.4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510.90255338446673</v>
      </c>
      <c r="E50" s="23">
        <v>573.42116725897483</v>
      </c>
      <c r="F50" s="23">
        <v>550.97012765499039</v>
      </c>
      <c r="G50" s="23">
        <v>628.90204365079364</v>
      </c>
      <c r="H50" s="23">
        <v>575.011567371311</v>
      </c>
      <c r="I50" s="23">
        <v>715.02127348408135</v>
      </c>
      <c r="J50" s="23">
        <v>758.13798809084676</v>
      </c>
      <c r="K50" s="23">
        <v>770.54035037878782</v>
      </c>
      <c r="L50" s="23">
        <v>920.55045364136265</v>
      </c>
      <c r="M50" s="23">
        <v>595.89252474990917</v>
      </c>
      <c r="N50" s="23">
        <v>807.3802243156515</v>
      </c>
      <c r="O50" s="23">
        <v>1204.4684821428568</v>
      </c>
      <c r="P50" s="23">
        <v>873.95000750367683</v>
      </c>
      <c r="Q50" s="23">
        <v>979.21409395305329</v>
      </c>
      <c r="R50" s="23">
        <v>935.47880299749534</v>
      </c>
      <c r="S50" s="23">
        <v>1155.8562519999998</v>
      </c>
      <c r="T50" s="23">
        <v>1155.4830489923384</v>
      </c>
      <c r="U50" s="23">
        <v>1241.5743571428573</v>
      </c>
      <c r="V50" s="23">
        <v>1293.6945515962764</v>
      </c>
      <c r="W50" s="23">
        <v>1444.6640125640977</v>
      </c>
      <c r="X50" s="23">
        <v>1131.3707849413759</v>
      </c>
      <c r="Y50" s="23">
        <v>1212.3224172558203</v>
      </c>
      <c r="Z50" s="23">
        <v>1134.580751849496</v>
      </c>
      <c r="AA50" s="23">
        <v>1118.3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838.6709939468027</v>
      </c>
      <c r="E51" s="23">
        <v>859.75565480149749</v>
      </c>
      <c r="F51" s="23">
        <v>844.93140384580852</v>
      </c>
      <c r="G51" s="23">
        <v>914.23117063492055</v>
      </c>
      <c r="H51" s="23">
        <v>997.2145529833615</v>
      </c>
      <c r="I51" s="23">
        <v>1062.5134492068851</v>
      </c>
      <c r="J51" s="23">
        <v>1132.8618538230487</v>
      </c>
      <c r="K51" s="23">
        <v>1219.2153456439394</v>
      </c>
      <c r="L51" s="23">
        <v>1339.5693034238489</v>
      </c>
      <c r="M51" s="23">
        <v>900.19843881200427</v>
      </c>
      <c r="N51" s="23">
        <v>1215.9029107380543</v>
      </c>
      <c r="O51" s="23">
        <v>1410.6122321428568</v>
      </c>
      <c r="P51" s="23">
        <v>1358.7738071655112</v>
      </c>
      <c r="Q51" s="23">
        <v>1425.3019731932297</v>
      </c>
      <c r="R51" s="23">
        <v>1757.4784717163752</v>
      </c>
      <c r="S51" s="23">
        <v>1975.4178359999996</v>
      </c>
      <c r="T51" s="23">
        <v>1712.6903069677767</v>
      </c>
      <c r="U51" s="23">
        <v>1432.0119166666666</v>
      </c>
      <c r="V51" s="23">
        <v>1935.6754253987049</v>
      </c>
      <c r="W51" s="23">
        <v>2023.3284641147418</v>
      </c>
      <c r="X51" s="23">
        <v>1675.6360764923475</v>
      </c>
      <c r="Y51" s="23">
        <v>1920.6095807628226</v>
      </c>
      <c r="Z51" s="23">
        <v>1648.7635624142199</v>
      </c>
      <c r="AA51" s="23">
        <v>1834.2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893.29906737385875</v>
      </c>
      <c r="E52" s="23">
        <v>1017.716011326707</v>
      </c>
      <c r="F52" s="23">
        <v>1098.1502630303248</v>
      </c>
      <c r="G52" s="23">
        <v>1582.1805489417986</v>
      </c>
      <c r="H52" s="23">
        <v>1654.5685685565538</v>
      </c>
      <c r="I52" s="23">
        <v>1610.0037912026098</v>
      </c>
      <c r="J52" s="23">
        <v>1763.7744849027767</v>
      </c>
      <c r="K52" s="23">
        <v>2476.3798816287876</v>
      </c>
      <c r="L52" s="23">
        <v>2601.6776540412902</v>
      </c>
      <c r="M52" s="23">
        <v>1684.8290136318872</v>
      </c>
      <c r="N52" s="23">
        <v>2689.7699970077488</v>
      </c>
      <c r="O52" s="23">
        <v>2758.9797605519475</v>
      </c>
      <c r="P52" s="23">
        <v>2807.8333423377453</v>
      </c>
      <c r="Q52" s="23">
        <v>3006.170202095585</v>
      </c>
      <c r="R52" s="23">
        <v>3739.4139317680629</v>
      </c>
      <c r="S52" s="23">
        <v>4068.2551519999993</v>
      </c>
      <c r="T52" s="23">
        <v>3983.7801841605828</v>
      </c>
      <c r="U52" s="23">
        <v>3668.7043253968254</v>
      </c>
      <c r="V52" s="23">
        <v>4490.4084099358379</v>
      </c>
      <c r="W52" s="23">
        <v>5498.6853071959731</v>
      </c>
      <c r="X52" s="23">
        <v>5220.5410735865235</v>
      </c>
      <c r="Y52" s="23">
        <v>4320.6586355653626</v>
      </c>
      <c r="Z52" s="23">
        <v>4134.6613463662834</v>
      </c>
      <c r="AA52" s="23">
        <v>4762.1000000000004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745.02286807184862</v>
      </c>
      <c r="E53" s="23">
        <v>890.34480320796752</v>
      </c>
      <c r="F53" s="23">
        <v>927.60061044580573</v>
      </c>
      <c r="G53" s="23">
        <v>1021.7749470899462</v>
      </c>
      <c r="H53" s="23">
        <v>1058.7734505573651</v>
      </c>
      <c r="I53" s="23">
        <v>1140.434812689841</v>
      </c>
      <c r="J53" s="23">
        <v>1210.03133266586</v>
      </c>
      <c r="K53" s="23">
        <v>1183.4525284090869</v>
      </c>
      <c r="L53" s="23">
        <v>1147.8815107906016</v>
      </c>
      <c r="M53" s="23">
        <v>1010.7059347950033</v>
      </c>
      <c r="N53" s="23">
        <v>1139.5346244724872</v>
      </c>
      <c r="O53" s="23">
        <v>1270.3273944805192</v>
      </c>
      <c r="P53" s="23">
        <v>1119.4638292763459</v>
      </c>
      <c r="Q53" s="23">
        <v>1211.3163218802538</v>
      </c>
      <c r="R53" s="23">
        <v>1191.5309099254621</v>
      </c>
      <c r="S53" s="23">
        <v>1202.8240439999984</v>
      </c>
      <c r="T53" s="23">
        <v>1254.1800074306896</v>
      </c>
      <c r="U53" s="23">
        <v>1326.5186706349207</v>
      </c>
      <c r="V53" s="23">
        <v>1400.6273322914731</v>
      </c>
      <c r="W53" s="23">
        <v>1384.5008836496443</v>
      </c>
      <c r="X53" s="23">
        <v>1302.001361585935</v>
      </c>
      <c r="Y53" s="23">
        <v>1269.2372891430682</v>
      </c>
      <c r="Z53" s="23">
        <v>1297.2157700933969</v>
      </c>
      <c r="AA53" s="23">
        <v>1282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11423.770688329354</v>
      </c>
      <c r="E54" s="30">
        <f t="shared" ref="E54:S54" si="6">SUM(E41:E53)</f>
        <v>12552.081537087364</v>
      </c>
      <c r="F54" s="30">
        <f t="shared" si="6"/>
        <v>11859.833341113525</v>
      </c>
      <c r="G54" s="30">
        <f t="shared" si="6"/>
        <v>12675.331997354497</v>
      </c>
      <c r="H54" s="30">
        <f t="shared" si="6"/>
        <v>13737.926965027829</v>
      </c>
      <c r="I54" s="30">
        <f t="shared" si="6"/>
        <v>14749.215417932273</v>
      </c>
      <c r="J54" s="30">
        <f t="shared" si="6"/>
        <v>16028.135516678083</v>
      </c>
      <c r="K54" s="30">
        <f t="shared" si="6"/>
        <v>17501.760544507568</v>
      </c>
      <c r="L54" s="30">
        <f t="shared" si="6"/>
        <v>17175.001695438055</v>
      </c>
      <c r="M54" s="30">
        <f t="shared" si="6"/>
        <v>12864.959912921784</v>
      </c>
      <c r="N54" s="30">
        <f t="shared" si="6"/>
        <v>16032.167219373277</v>
      </c>
      <c r="O54" s="30">
        <f t="shared" si="6"/>
        <v>16692.15550730519</v>
      </c>
      <c r="P54" s="30">
        <f t="shared" si="6"/>
        <v>16811.228954187551</v>
      </c>
      <c r="Q54" s="30">
        <f t="shared" si="6"/>
        <v>16333.01277451068</v>
      </c>
      <c r="R54" s="30">
        <f t="shared" si="6"/>
        <v>18680.877160561577</v>
      </c>
      <c r="S54" s="30">
        <f t="shared" si="6"/>
        <v>19966.456947999995</v>
      </c>
      <c r="T54" s="30">
        <f t="shared" ref="T54:Y54" si="7">SUM(T41:T53)</f>
        <v>19212.257194212096</v>
      </c>
      <c r="U54" s="30">
        <f t="shared" si="7"/>
        <v>19037.34259126984</v>
      </c>
      <c r="V54" s="30">
        <f t="shared" si="7"/>
        <v>20933.596563807376</v>
      </c>
      <c r="W54" s="30">
        <f t="shared" si="7"/>
        <v>22071.006107967984</v>
      </c>
      <c r="X54" s="30">
        <f t="shared" si="7"/>
        <v>20135.381685008713</v>
      </c>
      <c r="Y54" s="30">
        <f t="shared" si="7"/>
        <v>20134.556786598823</v>
      </c>
      <c r="Z54" s="30">
        <f t="shared" ref="Z54:AA54" si="8">SUM(Z41:Z53)</f>
        <v>21066.700194155255</v>
      </c>
      <c r="AA54" s="30">
        <f t="shared" si="8"/>
        <v>20825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1454.4074215746198</v>
      </c>
      <c r="E56" s="19">
        <v>1816.7948307645527</v>
      </c>
      <c r="F56" s="19">
        <v>1352.5534948022334</v>
      </c>
      <c r="G56" s="19">
        <v>1248.8602843915342</v>
      </c>
      <c r="H56" s="19">
        <v>1275.5161928195278</v>
      </c>
      <c r="I56" s="19">
        <v>1337.2790190122623</v>
      </c>
      <c r="J56" s="19">
        <v>1465.0034620856825</v>
      </c>
      <c r="K56" s="19">
        <v>1425.0467566287878</v>
      </c>
      <c r="L56" s="19">
        <v>1415.0656668474849</v>
      </c>
      <c r="M56" s="19">
        <v>1214.0780220805473</v>
      </c>
      <c r="N56" s="19">
        <v>1204.7403448311441</v>
      </c>
      <c r="O56" s="19">
        <v>1318.7845616883114</v>
      </c>
      <c r="P56" s="19">
        <v>1313.7629398405218</v>
      </c>
      <c r="Q56" s="19">
        <v>1171.6699005940475</v>
      </c>
      <c r="R56" s="19">
        <v>1176.2599359390122</v>
      </c>
      <c r="S56" s="19">
        <v>1267.7345879999998</v>
      </c>
      <c r="T56" s="19">
        <v>1102.6238725938124</v>
      </c>
      <c r="U56" s="19">
        <v>1157.6771230158729</v>
      </c>
      <c r="V56" s="19">
        <v>1415.6107279098435</v>
      </c>
      <c r="W56" s="19">
        <v>1473.24773978694</v>
      </c>
      <c r="X56" s="19">
        <v>1516.9326014962683</v>
      </c>
      <c r="Y56" s="19">
        <v>1497.3720574593597</v>
      </c>
      <c r="Z56" s="19">
        <v>1493.9677066247111</v>
      </c>
      <c r="AA56" s="19">
        <v>1618.4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1013.7409625963679</v>
      </c>
      <c r="E57" s="23">
        <v>881.56922784545509</v>
      </c>
      <c r="F57" s="23">
        <v>859.61762392947549</v>
      </c>
      <c r="G57" s="23">
        <v>840.71747354497336</v>
      </c>
      <c r="H57" s="23">
        <v>780.07593356638108</v>
      </c>
      <c r="I57" s="23">
        <v>874.945595680054</v>
      </c>
      <c r="J57" s="23">
        <v>832.52658481319486</v>
      </c>
      <c r="K57" s="23">
        <v>880.79602272727266</v>
      </c>
      <c r="L57" s="23">
        <v>635.82532095259364</v>
      </c>
      <c r="M57" s="23">
        <v>540.63877675840979</v>
      </c>
      <c r="N57" s="23">
        <v>876.26142369243792</v>
      </c>
      <c r="O57" s="23">
        <v>776.11783279220765</v>
      </c>
      <c r="P57" s="23">
        <v>762.41281427899673</v>
      </c>
      <c r="Q57" s="23">
        <v>725.97585997591966</v>
      </c>
      <c r="R57" s="23">
        <v>849.38210483251339</v>
      </c>
      <c r="S57" s="23">
        <v>853.86390399999993</v>
      </c>
      <c r="T57" s="23">
        <v>785.07137678612662</v>
      </c>
      <c r="U57" s="23">
        <v>689.50176190476179</v>
      </c>
      <c r="V57" s="23">
        <v>830.48991953096936</v>
      </c>
      <c r="W57" s="23">
        <v>778.62572234100924</v>
      </c>
      <c r="X57" s="23">
        <v>690.31143418540069</v>
      </c>
      <c r="Y57" s="23">
        <v>642.22313684874132</v>
      </c>
      <c r="Z57" s="23">
        <v>657.16471730325043</v>
      </c>
      <c r="AA57" s="23">
        <v>593.20000000000005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317.88336060886877</v>
      </c>
      <c r="E58" s="23">
        <v>335.47770957258786</v>
      </c>
      <c r="F58" s="23">
        <v>346.07367003608806</v>
      </c>
      <c r="G58" s="23">
        <v>377.38485449735447</v>
      </c>
      <c r="H58" s="23">
        <v>453.47728084257267</v>
      </c>
      <c r="I58" s="23">
        <v>501.10857801777479</v>
      </c>
      <c r="J58" s="23">
        <v>629.17457975443949</v>
      </c>
      <c r="K58" s="23">
        <v>675.74545928030295</v>
      </c>
      <c r="L58" s="23">
        <v>717.07512471148834</v>
      </c>
      <c r="M58" s="23">
        <v>565.80385010107284</v>
      </c>
      <c r="N58" s="23">
        <v>580.31729830679853</v>
      </c>
      <c r="O58" s="23">
        <v>550.29672483766228</v>
      </c>
      <c r="P58" s="23">
        <v>476.37601224600053</v>
      </c>
      <c r="Q58" s="23">
        <v>474.96937819039374</v>
      </c>
      <c r="R58" s="23">
        <v>636.77328596944619</v>
      </c>
      <c r="S58" s="23">
        <v>651.34828399999992</v>
      </c>
      <c r="T58" s="23">
        <v>570.45517185978088</v>
      </c>
      <c r="U58" s="23">
        <v>621.83425793650792</v>
      </c>
      <c r="V58" s="23">
        <v>588.45045184962282</v>
      </c>
      <c r="W58" s="23">
        <v>617.85785918371209</v>
      </c>
      <c r="X58" s="23">
        <v>653.06966781362132</v>
      </c>
      <c r="Y58" s="23">
        <v>663.13549061106858</v>
      </c>
      <c r="Z58" s="23">
        <v>682.78000870351138</v>
      </c>
      <c r="AA58" s="23">
        <v>597.6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556.68608158999939</v>
      </c>
      <c r="E59" s="23">
        <v>652.90280697086598</v>
      </c>
      <c r="F59" s="23">
        <v>544.81139020054934</v>
      </c>
      <c r="G59" s="23">
        <v>440.42775793650787</v>
      </c>
      <c r="H59" s="23">
        <v>374.69772703404198</v>
      </c>
      <c r="I59" s="23">
        <v>380.70151873101582</v>
      </c>
      <c r="J59" s="23">
        <v>433.29619539442484</v>
      </c>
      <c r="K59" s="23">
        <v>446.80096117424239</v>
      </c>
      <c r="L59" s="23">
        <v>394.74213812395629</v>
      </c>
      <c r="M59" s="23">
        <v>398.67493909708179</v>
      </c>
      <c r="N59" s="23">
        <v>381.02465821269743</v>
      </c>
      <c r="O59" s="23">
        <v>401.57873376623371</v>
      </c>
      <c r="P59" s="23">
        <v>436.90900541265222</v>
      </c>
      <c r="Q59" s="23">
        <v>400.6651581639253</v>
      </c>
      <c r="R59" s="23">
        <v>404.15422533103163</v>
      </c>
      <c r="S59" s="23">
        <v>458.72756399999992</v>
      </c>
      <c r="T59" s="23">
        <v>484.4762107503991</v>
      </c>
      <c r="U59" s="23">
        <v>417.39201190476189</v>
      </c>
      <c r="V59" s="23">
        <v>429.9081973578202</v>
      </c>
      <c r="W59" s="23">
        <v>434.37279797157936</v>
      </c>
      <c r="X59" s="23">
        <v>357.81304945435079</v>
      </c>
      <c r="Y59" s="23">
        <v>311.54654298194259</v>
      </c>
      <c r="Z59" s="23">
        <v>386.65840725738957</v>
      </c>
      <c r="AA59" s="23">
        <v>409.2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200.04280221621948</v>
      </c>
      <c r="E60" s="23">
        <v>209.10942435242029</v>
      </c>
      <c r="F60" s="23">
        <v>189.49961398279979</v>
      </c>
      <c r="G60" s="23">
        <v>197.85437169312178</v>
      </c>
      <c r="H60" s="23">
        <v>183.48906125755786</v>
      </c>
      <c r="I60" s="23">
        <v>183.67178535268297</v>
      </c>
      <c r="J60" s="23">
        <v>219.86349264899613</v>
      </c>
      <c r="K60" s="23">
        <v>225.04026041666668</v>
      </c>
      <c r="L60" s="23">
        <v>235.7507259325441</v>
      </c>
      <c r="M60" s="23">
        <v>183.95121546674957</v>
      </c>
      <c r="N60" s="23">
        <v>221.89002961296779</v>
      </c>
      <c r="O60" s="23">
        <v>207.75006493506481</v>
      </c>
      <c r="P60" s="23">
        <v>221.22643295214658</v>
      </c>
      <c r="Q60" s="23">
        <v>202.82689035493595</v>
      </c>
      <c r="R60" s="23">
        <v>206.94802678188319</v>
      </c>
      <c r="S60" s="23">
        <v>200.53663999999998</v>
      </c>
      <c r="T60" s="23">
        <v>191.43235562874671</v>
      </c>
      <c r="U60" s="23">
        <v>198.55242460317467</v>
      </c>
      <c r="V60" s="23">
        <v>223.98255501305553</v>
      </c>
      <c r="W60" s="23">
        <v>179.74046812617078</v>
      </c>
      <c r="X60" s="23">
        <v>159.92052618469961</v>
      </c>
      <c r="Y60" s="23">
        <v>167.77411086594321</v>
      </c>
      <c r="Z60" s="23">
        <v>147.83997924547259</v>
      </c>
      <c r="AA60" s="23">
        <v>139.40000000000009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415.69362541159768</v>
      </c>
      <c r="E61" s="23">
        <v>357.04055189190217</v>
      </c>
      <c r="F61" s="23">
        <v>228.58390936675224</v>
      </c>
      <c r="G61" s="23">
        <v>239.95568783068779</v>
      </c>
      <c r="H61" s="23">
        <v>689.22212653593976</v>
      </c>
      <c r="I61" s="23">
        <v>625.96828664641691</v>
      </c>
      <c r="J61" s="23">
        <v>379.7642145755388</v>
      </c>
      <c r="K61" s="23">
        <v>403.38583806818178</v>
      </c>
      <c r="L61" s="23">
        <v>174.14681600136143</v>
      </c>
      <c r="M61" s="23">
        <v>206.79125485927534</v>
      </c>
      <c r="N61" s="23">
        <v>565.47925338175958</v>
      </c>
      <c r="O61" s="23">
        <v>120.60747970779218</v>
      </c>
      <c r="P61" s="23">
        <v>484.55980630508952</v>
      </c>
      <c r="Q61" s="23">
        <v>343.03343980417327</v>
      </c>
      <c r="R61" s="23">
        <v>391.51617789397</v>
      </c>
      <c r="S61" s="23">
        <v>432.86889199999996</v>
      </c>
      <c r="T61" s="23">
        <v>54.978842620020679</v>
      </c>
      <c r="U61" s="23">
        <v>437.94094444444448</v>
      </c>
      <c r="V61" s="23">
        <v>382.14061987361794</v>
      </c>
      <c r="W61" s="23">
        <v>487.42120002270616</v>
      </c>
      <c r="X61" s="23">
        <v>352.21461398669766</v>
      </c>
      <c r="Y61" s="23">
        <v>456.86363759175032</v>
      </c>
      <c r="Z61" s="23">
        <v>1366.6641247949651</v>
      </c>
      <c r="AA61" s="23">
        <v>1057.0999999999999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699.49947354930282</v>
      </c>
      <c r="E62" s="23">
        <v>714.08110378380434</v>
      </c>
      <c r="F62" s="23">
        <v>745.4441065048386</v>
      </c>
      <c r="G62" s="23">
        <v>535.75560846560836</v>
      </c>
      <c r="H62" s="23">
        <v>525.32898444181046</v>
      </c>
      <c r="I62" s="23">
        <v>581.07073911576106</v>
      </c>
      <c r="J62" s="23">
        <v>672.10444748906571</v>
      </c>
      <c r="K62" s="23">
        <v>651.69535511363631</v>
      </c>
      <c r="L62" s="23">
        <v>649.7177744450471</v>
      </c>
      <c r="M62" s="23">
        <v>546.93004509407547</v>
      </c>
      <c r="N62" s="23">
        <v>359.7885572190637</v>
      </c>
      <c r="O62" s="23">
        <v>494.20956168831157</v>
      </c>
      <c r="P62" s="23">
        <v>411.16965313003374</v>
      </c>
      <c r="Q62" s="23">
        <v>350.12253500104481</v>
      </c>
      <c r="R62" s="23">
        <v>459.31403654070658</v>
      </c>
      <c r="S62" s="23">
        <v>631.95427999999993</v>
      </c>
      <c r="T62" s="23">
        <v>531.63878417865783</v>
      </c>
      <c r="U62" s="23">
        <v>493.30526587301586</v>
      </c>
      <c r="V62" s="23">
        <v>413.77223284573046</v>
      </c>
      <c r="W62" s="23">
        <v>482.05394993282744</v>
      </c>
      <c r="X62" s="23">
        <v>446.65778622362842</v>
      </c>
      <c r="Y62" s="23">
        <v>423.35634349529425</v>
      </c>
      <c r="Z62" s="23">
        <v>501.92721855856456</v>
      </c>
      <c r="AA62" s="23">
        <v>446.2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150.61740244888301</v>
      </c>
      <c r="E63" s="23">
        <v>158.71254869913906</v>
      </c>
      <c r="F63" s="23">
        <v>136.20284755013734</v>
      </c>
      <c r="G63" s="23">
        <v>102.09023809523808</v>
      </c>
      <c r="H63" s="23">
        <v>59.183634645102238</v>
      </c>
      <c r="I63" s="23">
        <v>88.496405669929132</v>
      </c>
      <c r="J63" s="23">
        <v>102.02361279443537</v>
      </c>
      <c r="K63" s="23">
        <v>108.5378077651515</v>
      </c>
      <c r="L63" s="23">
        <v>122.78683642320004</v>
      </c>
      <c r="M63" s="23">
        <v>174.65107966620016</v>
      </c>
      <c r="N63" s="23">
        <v>190.17200697504046</v>
      </c>
      <c r="O63" s="23">
        <v>192.6239326298701</v>
      </c>
      <c r="P63" s="23">
        <v>188.22726335904593</v>
      </c>
      <c r="Q63" s="23">
        <v>29.669176194314261</v>
      </c>
      <c r="R63" s="23">
        <v>100.18285520420685</v>
      </c>
      <c r="S63" s="23">
        <v>76.256695999999991</v>
      </c>
      <c r="T63" s="23">
        <v>108.23545643507686</v>
      </c>
      <c r="U63" s="23">
        <v>92.535638888888897</v>
      </c>
      <c r="V63" s="23">
        <v>91.565195445588756</v>
      </c>
      <c r="W63" s="23">
        <v>92.491449223258712</v>
      </c>
      <c r="X63" s="23">
        <v>97.607505327343318</v>
      </c>
      <c r="Y63" s="23">
        <v>103.61120727698473</v>
      </c>
      <c r="Z63" s="23">
        <v>103.23404077260402</v>
      </c>
      <c r="AA63" s="23">
        <v>126.7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524.94977226570973</v>
      </c>
      <c r="E64" s="23">
        <v>560.38316957752897</v>
      </c>
      <c r="F64" s="23">
        <v>668.93363735928313</v>
      </c>
      <c r="G64" s="23">
        <v>777.67457010581995</v>
      </c>
      <c r="H64" s="23">
        <v>758.50062862886875</v>
      </c>
      <c r="I64" s="23">
        <v>838.02571155360556</v>
      </c>
      <c r="J64" s="23">
        <v>861.20443168045529</v>
      </c>
      <c r="K64" s="23">
        <v>920.9315861742424</v>
      </c>
      <c r="L64" s="23">
        <v>864.55965623238342</v>
      </c>
      <c r="M64" s="23">
        <v>928.64591302544954</v>
      </c>
      <c r="N64" s="23">
        <v>899.13107091635106</v>
      </c>
      <c r="O64" s="23">
        <v>1082.7901258116881</v>
      </c>
      <c r="P64" s="23">
        <v>1331.9784814559134</v>
      </c>
      <c r="Q64" s="23">
        <v>1474.1379623272337</v>
      </c>
      <c r="R64" s="23">
        <v>1570.8039793647783</v>
      </c>
      <c r="S64" s="23">
        <v>1669.8633239999999</v>
      </c>
      <c r="T64" s="23">
        <v>1788.0709369696847</v>
      </c>
      <c r="U64" s="23">
        <v>1728.0736071428571</v>
      </c>
      <c r="V64" s="23">
        <v>1717.7118412750797</v>
      </c>
      <c r="W64" s="23">
        <v>1820.9956177032677</v>
      </c>
      <c r="X64" s="23">
        <v>1585.6959936533119</v>
      </c>
      <c r="Y64" s="23">
        <v>1560.2279389381724</v>
      </c>
      <c r="Z64" s="23">
        <v>1494.7405817962706</v>
      </c>
      <c r="AA64" s="23">
        <v>1433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761.41129009996632</v>
      </c>
      <c r="E65" s="23">
        <v>776.76378494460164</v>
      </c>
      <c r="F65" s="23">
        <v>832.37705441944797</v>
      </c>
      <c r="G65" s="23">
        <v>801.45199735449717</v>
      </c>
      <c r="H65" s="23">
        <v>788.58729239494096</v>
      </c>
      <c r="I65" s="23">
        <v>834.87175160310505</v>
      </c>
      <c r="J65" s="23">
        <v>905.00332507772566</v>
      </c>
      <c r="K65" s="23">
        <v>1050.2399384469695</v>
      </c>
      <c r="L65" s="23">
        <v>1038.7064722337448</v>
      </c>
      <c r="M65" s="23">
        <v>732.24892759031775</v>
      </c>
      <c r="N65" s="23">
        <v>676.69652589328996</v>
      </c>
      <c r="O65" s="23">
        <v>759.78696428571413</v>
      </c>
      <c r="P65" s="23">
        <v>644.80377384918597</v>
      </c>
      <c r="Q65" s="23">
        <v>604.80484392568906</v>
      </c>
      <c r="R65" s="23">
        <v>671.00133111148807</v>
      </c>
      <c r="S65" s="23">
        <v>683.40775999999994</v>
      </c>
      <c r="T65" s="23">
        <v>743.20796891160489</v>
      </c>
      <c r="U65" s="23">
        <v>789.49784126984127</v>
      </c>
      <c r="V65" s="23">
        <v>785.53973267586218</v>
      </c>
      <c r="W65" s="23">
        <v>862.25496792749118</v>
      </c>
      <c r="X65" s="23">
        <v>817.37157827735371</v>
      </c>
      <c r="Y65" s="23">
        <v>827.93909668122683</v>
      </c>
      <c r="Z65" s="23">
        <v>837.35504301543176</v>
      </c>
      <c r="AA65" s="23">
        <v>800.90000000000009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1152.6523493108818</v>
      </c>
      <c r="E66" s="23">
        <v>1341.1586461164218</v>
      </c>
      <c r="F66" s="23">
        <v>1177.7401009031007</v>
      </c>
      <c r="G66" s="23">
        <v>1398.5053769841268</v>
      </c>
      <c r="H66" s="23">
        <v>1809.9503518221231</v>
      </c>
      <c r="I66" s="23">
        <v>1903.6931207109908</v>
      </c>
      <c r="J66" s="23">
        <v>2082.5330979606892</v>
      </c>
      <c r="K66" s="23">
        <v>2095.0139441287874</v>
      </c>
      <c r="L66" s="23">
        <v>1618.6813235904144</v>
      </c>
      <c r="M66" s="23">
        <v>808.97504794485042</v>
      </c>
      <c r="N66" s="23">
        <v>1327.6646986596777</v>
      </c>
      <c r="O66" s="23">
        <v>1032.4589245129869</v>
      </c>
      <c r="P66" s="23">
        <v>1117.2198857440146</v>
      </c>
      <c r="Q66" s="23">
        <v>1036.7145327721225</v>
      </c>
      <c r="R66" s="23">
        <v>987.74239500284364</v>
      </c>
      <c r="S66" s="23">
        <v>1139.496684</v>
      </c>
      <c r="T66" s="23">
        <v>1245.7013425447094</v>
      </c>
      <c r="U66" s="23">
        <v>1246.6788690476189</v>
      </c>
      <c r="V66" s="23">
        <v>1407.6708088642119</v>
      </c>
      <c r="W66" s="23">
        <v>982.58122575640027</v>
      </c>
      <c r="X66" s="23">
        <v>917.65659621966165</v>
      </c>
      <c r="Y66" s="23">
        <v>1693.7818345566714</v>
      </c>
      <c r="Z66" s="23">
        <v>1898.9542965219428</v>
      </c>
      <c r="AA66" s="23">
        <v>1184.5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801.21174359682152</v>
      </c>
      <c r="E67" s="23">
        <v>1040.2817765445941</v>
      </c>
      <c r="F67" s="23">
        <v>949.86681508878405</v>
      </c>
      <c r="G67" s="23">
        <v>1141.0983664021162</v>
      </c>
      <c r="H67" s="23">
        <v>1245.2315904760474</v>
      </c>
      <c r="I67" s="23">
        <v>1439.3188997637533</v>
      </c>
      <c r="J67" s="23">
        <v>1629.2493123254462</v>
      </c>
      <c r="K67" s="23">
        <v>2104.8526231060605</v>
      </c>
      <c r="L67" s="23">
        <v>2266.1538530265802</v>
      </c>
      <c r="M67" s="23">
        <v>1734.2017933965685</v>
      </c>
      <c r="N67" s="23">
        <v>2053.23148260883</v>
      </c>
      <c r="O67" s="23">
        <v>2194.7616396103895</v>
      </c>
      <c r="P67" s="23">
        <v>2405.3754699802898</v>
      </c>
      <c r="Q67" s="23">
        <v>2208.38443336617</v>
      </c>
      <c r="R67" s="23">
        <v>2658.5975832443596</v>
      </c>
      <c r="S67" s="23">
        <v>2676.6364159999994</v>
      </c>
      <c r="T67" s="23">
        <v>2640.9716328436443</v>
      </c>
      <c r="U67" s="23">
        <v>2783.7913769841271</v>
      </c>
      <c r="V67" s="23">
        <v>2808.6823307869263</v>
      </c>
      <c r="W67" s="23">
        <v>2793.4664421275706</v>
      </c>
      <c r="X67" s="23">
        <v>2590.371749859321</v>
      </c>
      <c r="Y67" s="23">
        <v>2542.9897455757191</v>
      </c>
      <c r="Z67" s="23">
        <v>2775.7259732869138</v>
      </c>
      <c r="AA67" s="23">
        <v>2804.8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387.07892028313978</v>
      </c>
      <c r="E68" s="23">
        <v>366.56831942834333</v>
      </c>
      <c r="F68" s="23">
        <v>406.47667199310553</v>
      </c>
      <c r="G68" s="23">
        <v>426.46669973544971</v>
      </c>
      <c r="H68" s="23">
        <v>509.09802109432422</v>
      </c>
      <c r="I68" s="23">
        <v>632.09067949150631</v>
      </c>
      <c r="J68" s="23">
        <v>951.58310059545761</v>
      </c>
      <c r="K68" s="23">
        <v>864.08588541666654</v>
      </c>
      <c r="L68" s="23">
        <v>1032.1110650201558</v>
      </c>
      <c r="M68" s="23">
        <v>637.74313585238167</v>
      </c>
      <c r="N68" s="23">
        <v>843.18211252927756</v>
      </c>
      <c r="O68" s="23">
        <v>916.00109172077896</v>
      </c>
      <c r="P68" s="23">
        <v>857.18642935038167</v>
      </c>
      <c r="Q68" s="23">
        <v>688.03607271858868</v>
      </c>
      <c r="R68" s="23">
        <v>944.29910693794443</v>
      </c>
      <c r="S68" s="23">
        <v>821.4086319999999</v>
      </c>
      <c r="T68" s="23">
        <v>859.25969453844368</v>
      </c>
      <c r="U68" s="23">
        <v>711.75219841269836</v>
      </c>
      <c r="V68" s="23">
        <v>717.66623115675429</v>
      </c>
      <c r="W68" s="23">
        <v>714.71800034059299</v>
      </c>
      <c r="X68" s="23">
        <v>620.20928572087473</v>
      </c>
      <c r="Y68" s="23">
        <v>520.90772098887737</v>
      </c>
      <c r="Z68" s="23">
        <v>504.46666555083181</v>
      </c>
      <c r="AA68" s="23">
        <v>617.4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510.90255338446673</v>
      </c>
      <c r="E69" s="23">
        <v>573.42116725897483</v>
      </c>
      <c r="F69" s="23">
        <v>550.97012765499039</v>
      </c>
      <c r="G69" s="23">
        <v>628.90204365079364</v>
      </c>
      <c r="H69" s="23">
        <v>575.011567371311</v>
      </c>
      <c r="I69" s="23">
        <v>715.02127348408135</v>
      </c>
      <c r="J69" s="23">
        <v>758.13798809084676</v>
      </c>
      <c r="K69" s="23">
        <v>770.54035037878782</v>
      </c>
      <c r="L69" s="23">
        <v>920.55045364136265</v>
      </c>
      <c r="M69" s="23">
        <v>595.89252474990917</v>
      </c>
      <c r="N69" s="23">
        <v>807.3802243156515</v>
      </c>
      <c r="O69" s="23">
        <v>1204.4684821428568</v>
      </c>
      <c r="P69" s="23">
        <v>873.95000750367683</v>
      </c>
      <c r="Q69" s="23">
        <v>979.21409395305329</v>
      </c>
      <c r="R69" s="23">
        <v>935.47880299749534</v>
      </c>
      <c r="S69" s="23">
        <v>1155.8562519999998</v>
      </c>
      <c r="T69" s="23">
        <v>1155.4830489923384</v>
      </c>
      <c r="U69" s="23">
        <v>1241.5743571428573</v>
      </c>
      <c r="V69" s="23">
        <v>1293.6945515962764</v>
      </c>
      <c r="W69" s="23">
        <v>1444.6640125640977</v>
      </c>
      <c r="X69" s="23">
        <v>1131.3707849413759</v>
      </c>
      <c r="Y69" s="23">
        <v>1212.3224172558203</v>
      </c>
      <c r="Z69" s="23">
        <v>1134.580751849496</v>
      </c>
      <c r="AA69" s="23">
        <v>1118.3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838.6709939468027</v>
      </c>
      <c r="E70" s="23">
        <v>859.75565480149749</v>
      </c>
      <c r="F70" s="23">
        <v>844.93140384580852</v>
      </c>
      <c r="G70" s="23">
        <v>914.23117063492055</v>
      </c>
      <c r="H70" s="23">
        <v>997.2145529833615</v>
      </c>
      <c r="I70" s="23">
        <v>1062.5134492068851</v>
      </c>
      <c r="J70" s="23">
        <v>1132.8618538230487</v>
      </c>
      <c r="K70" s="23">
        <v>1219.2153456439394</v>
      </c>
      <c r="L70" s="23">
        <v>1339.5693034238489</v>
      </c>
      <c r="M70" s="23">
        <v>900.19843881200427</v>
      </c>
      <c r="N70" s="23">
        <v>1215.9029107380543</v>
      </c>
      <c r="O70" s="23">
        <v>1410.6122321428568</v>
      </c>
      <c r="P70" s="23">
        <v>1358.7738071655112</v>
      </c>
      <c r="Q70" s="23">
        <v>1425.3019731932297</v>
      </c>
      <c r="R70" s="23">
        <v>1757.4784717163752</v>
      </c>
      <c r="S70" s="23">
        <v>1975.4178359999996</v>
      </c>
      <c r="T70" s="23">
        <v>1712.6903069677767</v>
      </c>
      <c r="U70" s="23">
        <v>1432.0119166666666</v>
      </c>
      <c r="V70" s="23">
        <v>1935.6754253987049</v>
      </c>
      <c r="W70" s="23">
        <v>2023.3284641147418</v>
      </c>
      <c r="X70" s="23">
        <v>1675.6360764923475</v>
      </c>
      <c r="Y70" s="23">
        <v>1920.6095807628226</v>
      </c>
      <c r="Z70" s="23">
        <v>1648.7635624142199</v>
      </c>
      <c r="AA70" s="23">
        <v>1834.2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813.95829406313453</v>
      </c>
      <c r="E71" s="23">
        <v>897.36526349797589</v>
      </c>
      <c r="F71" s="23">
        <v>1011.4541896331938</v>
      </c>
      <c r="G71" s="23">
        <v>1488.1615476190475</v>
      </c>
      <c r="H71" s="23">
        <v>1567.4755944968715</v>
      </c>
      <c r="I71" s="23">
        <v>1530.0416301046237</v>
      </c>
      <c r="J71" s="23">
        <v>1687.1264214575538</v>
      </c>
      <c r="K71" s="23">
        <v>2383.9275331439389</v>
      </c>
      <c r="L71" s="23">
        <v>2482.3990129444674</v>
      </c>
      <c r="M71" s="23">
        <v>1583.8951868553359</v>
      </c>
      <c r="N71" s="23">
        <v>2486.938006748042</v>
      </c>
      <c r="O71" s="23">
        <v>2619.8996590909087</v>
      </c>
      <c r="P71" s="23">
        <v>2661.8450160578682</v>
      </c>
      <c r="Q71" s="23">
        <v>2864.1257390767882</v>
      </c>
      <c r="R71" s="23">
        <v>3576.0408393785483</v>
      </c>
      <c r="S71" s="23">
        <v>3878.9327319999993</v>
      </c>
      <c r="T71" s="23">
        <v>3851.6984827336901</v>
      </c>
      <c r="U71" s="23">
        <v>3547.1122341269838</v>
      </c>
      <c r="V71" s="23">
        <v>4347.489867114472</v>
      </c>
      <c r="W71" s="23">
        <v>5337.0437056519513</v>
      </c>
      <c r="X71" s="23">
        <v>5059.160085975479</v>
      </c>
      <c r="Y71" s="23">
        <v>4127.57582383933</v>
      </c>
      <c r="Z71" s="23">
        <v>3951.3795199678639</v>
      </c>
      <c r="AA71" s="23">
        <v>4578.1000000000004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79.340773310724202</v>
      </c>
      <c r="E72" s="23">
        <v>120.35074782873106</v>
      </c>
      <c r="F72" s="23">
        <v>86.696073397130959</v>
      </c>
      <c r="G72" s="23">
        <v>94.019001322751109</v>
      </c>
      <c r="H72" s="23">
        <v>87.09297405968222</v>
      </c>
      <c r="I72" s="23">
        <v>79.962161097986098</v>
      </c>
      <c r="J72" s="23">
        <v>76.648063445223002</v>
      </c>
      <c r="K72" s="23">
        <v>92.452348484848542</v>
      </c>
      <c r="L72" s="23">
        <v>119.27864109682291</v>
      </c>
      <c r="M72" s="23">
        <v>100.93382677655131</v>
      </c>
      <c r="N72" s="23">
        <v>202.83199025970674</v>
      </c>
      <c r="O72" s="23">
        <v>139.08010146103877</v>
      </c>
      <c r="P72" s="23">
        <v>145.98832627987701</v>
      </c>
      <c r="Q72" s="23">
        <v>142.04446301879693</v>
      </c>
      <c r="R72" s="23">
        <v>163.3730923895146</v>
      </c>
      <c r="S72" s="23">
        <v>189.32241999999997</v>
      </c>
      <c r="T72" s="23">
        <v>132.08170142689281</v>
      </c>
      <c r="U72" s="23">
        <v>121.59209126984139</v>
      </c>
      <c r="V72" s="23">
        <v>142.91854282136637</v>
      </c>
      <c r="W72" s="23">
        <v>161.64160154402163</v>
      </c>
      <c r="X72" s="23">
        <v>161.38098761104439</v>
      </c>
      <c r="Y72" s="23">
        <v>193.08281172603233</v>
      </c>
      <c r="Z72" s="23">
        <v>183.28182639841995</v>
      </c>
      <c r="AA72" s="23">
        <v>184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307.99828065540152</v>
      </c>
      <c r="E73" s="23">
        <v>368.57416522548885</v>
      </c>
      <c r="F73" s="23">
        <v>470.43279171230046</v>
      </c>
      <c r="G73" s="23">
        <v>473.14898809523805</v>
      </c>
      <c r="H73" s="23">
        <v>494.2526277886966</v>
      </c>
      <c r="I73" s="23">
        <v>566.22857464281697</v>
      </c>
      <c r="J73" s="23">
        <v>593.89213785108279</v>
      </c>
      <c r="K73" s="23">
        <v>513.48534090909084</v>
      </c>
      <c r="L73" s="23">
        <v>468.97555123009664</v>
      </c>
      <c r="M73" s="23">
        <v>456.66402114756642</v>
      </c>
      <c r="N73" s="23">
        <v>544.7876677982191</v>
      </c>
      <c r="O73" s="23">
        <v>548.15497159090899</v>
      </c>
      <c r="P73" s="23">
        <v>511.09113865794239</v>
      </c>
      <c r="Q73" s="23">
        <v>554.39350030349169</v>
      </c>
      <c r="R73" s="23">
        <v>554.09939231866838</v>
      </c>
      <c r="S73" s="23">
        <v>570.86976399999992</v>
      </c>
      <c r="T73" s="23">
        <v>595.62620824003136</v>
      </c>
      <c r="U73" s="23">
        <v>605.34275793650795</v>
      </c>
      <c r="V73" s="23">
        <v>630.71131128604839</v>
      </c>
      <c r="W73" s="23">
        <v>628.09308028534122</v>
      </c>
      <c r="X73" s="23">
        <v>625.19919559421783</v>
      </c>
      <c r="Y73" s="23">
        <v>612.16162831539611</v>
      </c>
      <c r="Z73" s="23">
        <v>563.86764302212691</v>
      </c>
      <c r="AA73" s="23">
        <v>467.5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437.0245874164471</v>
      </c>
      <c r="E74" s="23">
        <v>521.77063798247866</v>
      </c>
      <c r="F74" s="23">
        <v>457.16781873350533</v>
      </c>
      <c r="G74" s="23">
        <v>548.62595899470807</v>
      </c>
      <c r="H74" s="23">
        <v>564.52082276866861</v>
      </c>
      <c r="I74" s="23">
        <v>574.20623804702404</v>
      </c>
      <c r="J74" s="23">
        <v>616.13919481477706</v>
      </c>
      <c r="K74" s="23">
        <v>669.96718749999593</v>
      </c>
      <c r="L74" s="23">
        <v>678.90595956050493</v>
      </c>
      <c r="M74" s="23">
        <v>554.0419136474369</v>
      </c>
      <c r="N74" s="23">
        <v>594.74695667426818</v>
      </c>
      <c r="O74" s="23">
        <v>722.17242288961029</v>
      </c>
      <c r="P74" s="23">
        <v>608.37269061840345</v>
      </c>
      <c r="Q74" s="23">
        <v>656.92282157676198</v>
      </c>
      <c r="R74" s="23">
        <v>637.4315176067937</v>
      </c>
      <c r="S74" s="23">
        <v>631.95427999999845</v>
      </c>
      <c r="T74" s="23">
        <v>658.55379919065831</v>
      </c>
      <c r="U74" s="23">
        <v>721.17591269841273</v>
      </c>
      <c r="V74" s="23">
        <v>769.91602100542457</v>
      </c>
      <c r="W74" s="23">
        <v>756.40780336430282</v>
      </c>
      <c r="X74" s="23">
        <v>676.80216599171717</v>
      </c>
      <c r="Y74" s="23">
        <v>657.0756608276721</v>
      </c>
      <c r="Z74" s="23">
        <v>733.3481270712698</v>
      </c>
      <c r="AA74" s="23">
        <v>814.5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11423.770688329352</v>
      </c>
      <c r="E75" s="30">
        <f t="shared" ref="E75:S75" si="9">SUM(E56:E74)</f>
        <v>12552.081537087364</v>
      </c>
      <c r="F75" s="30">
        <f t="shared" si="9"/>
        <v>11859.833341113526</v>
      </c>
      <c r="G75" s="30">
        <f t="shared" si="9"/>
        <v>12675.331997354495</v>
      </c>
      <c r="H75" s="30">
        <f t="shared" si="9"/>
        <v>13737.926965027831</v>
      </c>
      <c r="I75" s="30">
        <f t="shared" si="9"/>
        <v>14749.215417932273</v>
      </c>
      <c r="J75" s="30">
        <f t="shared" si="9"/>
        <v>16028.135516678083</v>
      </c>
      <c r="K75" s="30">
        <f t="shared" si="9"/>
        <v>17501.760544507568</v>
      </c>
      <c r="L75" s="30">
        <f t="shared" si="9"/>
        <v>17175.001695438055</v>
      </c>
      <c r="M75" s="30">
        <f t="shared" si="9"/>
        <v>12864.95991292178</v>
      </c>
      <c r="N75" s="30">
        <f t="shared" si="9"/>
        <v>16032.167219373276</v>
      </c>
      <c r="O75" s="30">
        <f t="shared" si="9"/>
        <v>16692.15550730519</v>
      </c>
      <c r="P75" s="30">
        <f t="shared" si="9"/>
        <v>16811.228954187554</v>
      </c>
      <c r="Q75" s="30">
        <f t="shared" si="9"/>
        <v>16333.012774510678</v>
      </c>
      <c r="R75" s="30">
        <f t="shared" si="9"/>
        <v>18680.87716056158</v>
      </c>
      <c r="S75" s="30">
        <f t="shared" si="9"/>
        <v>19966.456947999999</v>
      </c>
      <c r="T75" s="30">
        <f t="shared" ref="T75:Y75" si="10">SUM(T56:T74)</f>
        <v>19212.257194212096</v>
      </c>
      <c r="U75" s="30">
        <f t="shared" si="10"/>
        <v>19037.342591269844</v>
      </c>
      <c r="V75" s="30">
        <f t="shared" si="10"/>
        <v>20933.596563807379</v>
      </c>
      <c r="W75" s="30">
        <f t="shared" si="10"/>
        <v>22071.006107967984</v>
      </c>
      <c r="X75" s="30">
        <f t="shared" si="10"/>
        <v>20135.381685008717</v>
      </c>
      <c r="Y75" s="30">
        <f t="shared" si="10"/>
        <v>20134.556786598827</v>
      </c>
      <c r="Z75" s="30">
        <f t="shared" ref="Z75:AA75" si="11">SUM(Z56:Z74)</f>
        <v>21066.700194155255</v>
      </c>
      <c r="AA75" s="30">
        <f t="shared" si="11"/>
        <v>20825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5398657</v>
      </c>
      <c r="E3" s="42">
        <v>5378783</v>
      </c>
      <c r="F3" s="42">
        <v>5378951</v>
      </c>
      <c r="G3" s="42">
        <v>5374873</v>
      </c>
      <c r="H3" s="42">
        <v>5371875</v>
      </c>
      <c r="I3" s="42">
        <v>5372685</v>
      </c>
      <c r="J3" s="42">
        <v>5372928</v>
      </c>
      <c r="K3" s="42">
        <v>5373180</v>
      </c>
      <c r="L3" s="42">
        <v>5376064</v>
      </c>
      <c r="M3" s="42">
        <v>5382401</v>
      </c>
      <c r="N3" s="42">
        <v>5390410</v>
      </c>
      <c r="O3" s="42">
        <v>5392446</v>
      </c>
      <c r="P3" s="42">
        <v>5404322</v>
      </c>
      <c r="Q3" s="42">
        <v>5410836</v>
      </c>
      <c r="R3" s="42">
        <v>5415949</v>
      </c>
      <c r="S3" s="42">
        <v>5421349</v>
      </c>
      <c r="T3" s="42">
        <v>5426252</v>
      </c>
      <c r="U3" s="42">
        <v>5435343</v>
      </c>
      <c r="V3" s="42">
        <v>5443120</v>
      </c>
      <c r="W3" s="42">
        <v>5450421</v>
      </c>
      <c r="X3" s="42">
        <v>5457873</v>
      </c>
      <c r="Y3" s="42">
        <v>5459781</v>
      </c>
      <c r="Z3" s="42">
        <v>5434712</v>
      </c>
      <c r="AA3" s="42">
        <v>5428792</v>
      </c>
    </row>
    <row r="4" spans="1:27" x14ac:dyDescent="0.25">
      <c r="A4" s="43" t="s">
        <v>239</v>
      </c>
      <c r="B4" s="44"/>
      <c r="C4" s="44"/>
      <c r="D4" s="45">
        <v>1827247</v>
      </c>
      <c r="E4" s="45">
        <v>1831621</v>
      </c>
      <c r="F4" s="45">
        <v>1842915</v>
      </c>
      <c r="G4" s="45">
        <v>1852885</v>
      </c>
      <c r="H4" s="45">
        <v>1863354</v>
      </c>
      <c r="I4" s="45">
        <v>1875283</v>
      </c>
      <c r="J4" s="45">
        <v>1890545</v>
      </c>
      <c r="K4" s="45">
        <v>1925181</v>
      </c>
      <c r="L4" s="45">
        <v>1909114</v>
      </c>
      <c r="M4" s="45">
        <v>1933334</v>
      </c>
      <c r="N4" s="45">
        <v>1933433</v>
      </c>
      <c r="O4" s="45">
        <v>1943224</v>
      </c>
      <c r="P4" s="45">
        <v>1933568</v>
      </c>
      <c r="Q4" s="45">
        <v>1935899</v>
      </c>
      <c r="R4" s="45">
        <v>1940505</v>
      </c>
      <c r="S4" s="45">
        <v>1943833</v>
      </c>
      <c r="T4" s="45">
        <v>1939332</v>
      </c>
      <c r="U4" s="45">
        <v>1940501</v>
      </c>
      <c r="V4" s="45">
        <v>1907190</v>
      </c>
      <c r="W4" s="45">
        <v>1906408</v>
      </c>
      <c r="X4" s="45">
        <v>1894437</v>
      </c>
      <c r="Y4" s="45">
        <v>1892472</v>
      </c>
      <c r="Z4" s="45">
        <v>1838847</v>
      </c>
      <c r="AA4" s="45">
        <v>1794049</v>
      </c>
    </row>
    <row r="5" spans="1:27" x14ac:dyDescent="0.25">
      <c r="A5" s="46" t="s">
        <v>240</v>
      </c>
      <c r="B5" s="47"/>
      <c r="C5" s="47"/>
      <c r="D5" s="48">
        <f>D3/D4</f>
        <v>2.9545305040862018</v>
      </c>
      <c r="E5" s="48">
        <f t="shared" ref="E5:S5" si="0">E3/E4</f>
        <v>2.9366244435939532</v>
      </c>
      <c r="F5" s="48">
        <f t="shared" si="0"/>
        <v>2.918718985954317</v>
      </c>
      <c r="G5" s="48">
        <f t="shared" si="0"/>
        <v>2.9008130563958368</v>
      </c>
      <c r="H5" s="48">
        <f t="shared" si="0"/>
        <v>2.8829063076581263</v>
      </c>
      <c r="I5" s="48">
        <f t="shared" si="0"/>
        <v>2.8649995760639859</v>
      </c>
      <c r="J5" s="48">
        <f t="shared" si="0"/>
        <v>2.8419995292362783</v>
      </c>
      <c r="K5" s="48">
        <f t="shared" si="0"/>
        <v>2.7909999111771828</v>
      </c>
      <c r="L5" s="48">
        <f t="shared" si="0"/>
        <v>2.815999463625535</v>
      </c>
      <c r="M5" s="48">
        <f t="shared" si="0"/>
        <v>2.7839995572415321</v>
      </c>
      <c r="N5" s="48">
        <f t="shared" si="0"/>
        <v>2.7879993772734819</v>
      </c>
      <c r="O5" s="48">
        <f t="shared" si="0"/>
        <v>2.7749996912347727</v>
      </c>
      <c r="P5" s="48">
        <f t="shared" si="0"/>
        <v>2.7949997103799813</v>
      </c>
      <c r="Q5" s="48">
        <f t="shared" si="0"/>
        <v>2.7949991192722345</v>
      </c>
      <c r="R5" s="48">
        <f t="shared" si="0"/>
        <v>2.7909997655249534</v>
      </c>
      <c r="S5" s="48">
        <f t="shared" si="0"/>
        <v>2.7889993636284598</v>
      </c>
      <c r="T5" s="48">
        <f t="shared" ref="T5:Y5" si="1">T3/T4</f>
        <v>2.7980005486425221</v>
      </c>
      <c r="U5" s="48">
        <f t="shared" si="1"/>
        <v>2.800999844885419</v>
      </c>
      <c r="V5" s="48">
        <f t="shared" si="1"/>
        <v>2.8539998636737818</v>
      </c>
      <c r="W5" s="48">
        <f t="shared" si="1"/>
        <v>2.8590002769606504</v>
      </c>
      <c r="X5" s="48">
        <f t="shared" si="1"/>
        <v>2.8810000015835837</v>
      </c>
      <c r="Y5" s="48">
        <f t="shared" si="1"/>
        <v>2.8849996195452299</v>
      </c>
      <c r="Z5" s="48">
        <f t="shared" ref="Z5:AA5" si="2">Z3/Z4</f>
        <v>2.955499832231828</v>
      </c>
      <c r="AA5" s="48">
        <f t="shared" si="2"/>
        <v>3.0259998472728449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3941.24</v>
      </c>
      <c r="E8" s="42">
        <v>3526.82</v>
      </c>
      <c r="F8" s="42">
        <v>3411.25</v>
      </c>
      <c r="G8" s="42">
        <v>3314.38</v>
      </c>
      <c r="H8" s="42">
        <v>3573.64</v>
      </c>
      <c r="I8" s="42">
        <v>3841.94</v>
      </c>
      <c r="J8" s="42">
        <v>3624.38</v>
      </c>
      <c r="K8" s="42">
        <v>3760.49</v>
      </c>
      <c r="L8" s="42">
        <v>3484.29</v>
      </c>
      <c r="M8" s="42">
        <v>3240.68</v>
      </c>
      <c r="N8" s="42">
        <v>3283.93</v>
      </c>
      <c r="O8" s="42">
        <v>3636.8</v>
      </c>
      <c r="P8" s="42">
        <v>3386.43</v>
      </c>
      <c r="Q8" s="42">
        <v>3508.55</v>
      </c>
      <c r="R8" s="42">
        <v>3218.46</v>
      </c>
      <c r="S8" s="42">
        <v>3355.53</v>
      </c>
      <c r="T8" s="42">
        <v>3671.21</v>
      </c>
      <c r="U8" s="42">
        <v>3456.03</v>
      </c>
      <c r="V8" s="42">
        <v>3444.4</v>
      </c>
      <c r="W8" s="42">
        <v>3316.29</v>
      </c>
      <c r="X8" s="42">
        <v>3057.85</v>
      </c>
      <c r="Y8" s="42">
        <v>3419.03</v>
      </c>
      <c r="Z8" s="42">
        <v>3231.5</v>
      </c>
      <c r="AA8" s="42">
        <v>3473.71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3478.79</v>
      </c>
      <c r="E9" s="45">
        <f t="shared" si="3"/>
        <v>3478.79</v>
      </c>
      <c r="F9" s="45">
        <f t="shared" si="3"/>
        <v>3478.79</v>
      </c>
      <c r="G9" s="45">
        <f t="shared" si="3"/>
        <v>3478.79</v>
      </c>
      <c r="H9" s="45">
        <f t="shared" si="3"/>
        <v>3478.79</v>
      </c>
      <c r="I9" s="45">
        <f t="shared" si="3"/>
        <v>3478.79</v>
      </c>
      <c r="J9" s="45">
        <f t="shared" si="3"/>
        <v>3478.79</v>
      </c>
      <c r="K9" s="45">
        <f t="shared" si="3"/>
        <v>3478.79</v>
      </c>
      <c r="L9" s="45">
        <f t="shared" si="3"/>
        <v>3478.79</v>
      </c>
      <c r="M9" s="45">
        <f t="shared" si="3"/>
        <v>3478.79</v>
      </c>
      <c r="N9" s="45">
        <f t="shared" si="3"/>
        <v>3478.79</v>
      </c>
      <c r="O9" s="45">
        <f t="shared" si="3"/>
        <v>3478.79</v>
      </c>
      <c r="P9" s="45">
        <f t="shared" si="3"/>
        <v>3478.79</v>
      </c>
      <c r="Q9" s="45">
        <f t="shared" si="3"/>
        <v>3478.79</v>
      </c>
      <c r="R9" s="45">
        <f t="shared" si="3"/>
        <v>3478.79</v>
      </c>
      <c r="S9" s="45">
        <f t="shared" si="3"/>
        <v>3478.79</v>
      </c>
      <c r="T9" s="45">
        <f t="shared" si="3"/>
        <v>3478.79</v>
      </c>
      <c r="U9" s="45">
        <f t="shared" si="3"/>
        <v>3478.79</v>
      </c>
      <c r="V9" s="45">
        <f t="shared" si="3"/>
        <v>3478.79</v>
      </c>
      <c r="W9" s="45">
        <f t="shared" si="3"/>
        <v>3478.79</v>
      </c>
      <c r="X9" s="45">
        <f>AVERAGE($D8:$X8)</f>
        <v>3478.79</v>
      </c>
      <c r="Y9" s="45">
        <f t="shared" ref="Y9:AA9" si="4">AVERAGE($D8:$X8)</f>
        <v>3478.79</v>
      </c>
      <c r="Z9" s="45">
        <f t="shared" si="4"/>
        <v>3478.79</v>
      </c>
      <c r="AA9" s="45">
        <f t="shared" si="4"/>
        <v>3478.79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1.1329341523920673</v>
      </c>
      <c r="E10" s="53">
        <f t="shared" si="5"/>
        <v>1.0138065246824328</v>
      </c>
      <c r="F10" s="53">
        <f t="shared" si="5"/>
        <v>0.98058520347592126</v>
      </c>
      <c r="G10" s="53">
        <f t="shared" si="5"/>
        <v>0.95273931453177685</v>
      </c>
      <c r="H10" s="53">
        <f t="shared" si="5"/>
        <v>1.0272652272773004</v>
      </c>
      <c r="I10" s="53">
        <f t="shared" si="5"/>
        <v>1.1043897447100861</v>
      </c>
      <c r="J10" s="53">
        <f t="shared" si="5"/>
        <v>1.0418507584533703</v>
      </c>
      <c r="K10" s="53">
        <f t="shared" si="5"/>
        <v>1.080976431460364</v>
      </c>
      <c r="L10" s="53">
        <f t="shared" si="5"/>
        <v>1.0015810094889315</v>
      </c>
      <c r="M10" s="53">
        <f t="shared" si="5"/>
        <v>0.93155378738009476</v>
      </c>
      <c r="N10" s="53">
        <f t="shared" si="5"/>
        <v>0.94398627108851063</v>
      </c>
      <c r="O10" s="53">
        <f t="shared" si="5"/>
        <v>1.0454209653356483</v>
      </c>
      <c r="P10" s="53">
        <f t="shared" si="5"/>
        <v>0.97345053883677946</v>
      </c>
      <c r="Q10" s="53">
        <f t="shared" si="5"/>
        <v>1.0085546986164731</v>
      </c>
      <c r="R10" s="53">
        <f t="shared" si="5"/>
        <v>0.92516650904481157</v>
      </c>
      <c r="S10" s="53">
        <f t="shared" si="5"/>
        <v>0.96456814007169167</v>
      </c>
      <c r="T10" s="53">
        <f t="shared" ref="T10:Y10" si="6">IF(T8=0,0,T8/T9)</f>
        <v>1.0553123356109453</v>
      </c>
      <c r="U10" s="53">
        <f t="shared" si="6"/>
        <v>0.99345749527853078</v>
      </c>
      <c r="V10" s="53">
        <f t="shared" si="6"/>
        <v>0.99011437885011744</v>
      </c>
      <c r="W10" s="53">
        <f t="shared" si="6"/>
        <v>0.95328835600884221</v>
      </c>
      <c r="X10" s="53">
        <f t="shared" si="6"/>
        <v>0.87899815740530474</v>
      </c>
      <c r="Y10" s="53">
        <f t="shared" si="6"/>
        <v>0.98282161326208262</v>
      </c>
      <c r="Z10" s="53">
        <f t="shared" ref="Z10:AA10" si="7">IF(Z8=0,0,Z8/Z9)</f>
        <v>0.92891493881493281</v>
      </c>
      <c r="AA10" s="53">
        <f t="shared" si="7"/>
        <v>0.99853972214476872</v>
      </c>
    </row>
    <row r="11" spans="1:27" x14ac:dyDescent="0.25">
      <c r="A11" s="43" t="s">
        <v>251</v>
      </c>
      <c r="B11" s="44"/>
      <c r="C11" s="44"/>
      <c r="D11" s="45">
        <v>2.15</v>
      </c>
      <c r="E11" s="45">
        <v>10.44</v>
      </c>
      <c r="F11" s="45">
        <v>5.64</v>
      </c>
      <c r="G11" s="45">
        <v>16.29</v>
      </c>
      <c r="H11" s="45">
        <v>5.23</v>
      </c>
      <c r="I11" s="45">
        <v>9.6999999999999993</v>
      </c>
      <c r="J11" s="45">
        <v>15.22</v>
      </c>
      <c r="K11" s="45">
        <v>16.27</v>
      </c>
      <c r="L11" s="45">
        <v>23.36</v>
      </c>
      <c r="M11" s="45">
        <v>10.6</v>
      </c>
      <c r="N11" s="45">
        <v>6.94</v>
      </c>
      <c r="O11" s="45">
        <v>11.16</v>
      </c>
      <c r="P11" s="45">
        <v>47.74</v>
      </c>
      <c r="Q11" s="45">
        <v>16.13</v>
      </c>
      <c r="R11" s="45">
        <v>56.34</v>
      </c>
      <c r="S11" s="45">
        <v>17.420000000000002</v>
      </c>
      <c r="T11" s="45">
        <v>10.18</v>
      </c>
      <c r="U11" s="45">
        <v>8.08</v>
      </c>
      <c r="V11" s="45">
        <v>36.299999999999997</v>
      </c>
      <c r="W11" s="45">
        <v>11.29</v>
      </c>
      <c r="X11" s="45">
        <v>37.08</v>
      </c>
      <c r="Y11" s="45">
        <v>24.33</v>
      </c>
      <c r="Z11" s="45">
        <v>35.630000000000003</v>
      </c>
      <c r="AA11" s="45">
        <v>40.950000000000003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17.78857142857143</v>
      </c>
      <c r="E12" s="45">
        <f t="shared" ref="E12" si="9">AVERAGE($D11:$X11)</f>
        <v>17.78857142857143</v>
      </c>
      <c r="F12" s="45">
        <f t="shared" ref="F12" si="10">AVERAGE($D11:$X11)</f>
        <v>17.78857142857143</v>
      </c>
      <c r="G12" s="45">
        <f t="shared" ref="G12" si="11">AVERAGE($D11:$X11)</f>
        <v>17.78857142857143</v>
      </c>
      <c r="H12" s="45">
        <f t="shared" ref="H12" si="12">AVERAGE($D11:$X11)</f>
        <v>17.78857142857143</v>
      </c>
      <c r="I12" s="45">
        <f t="shared" ref="I12" si="13">AVERAGE($D11:$X11)</f>
        <v>17.78857142857143</v>
      </c>
      <c r="J12" s="45">
        <f t="shared" ref="J12" si="14">AVERAGE($D11:$X11)</f>
        <v>17.78857142857143</v>
      </c>
      <c r="K12" s="45">
        <f t="shared" ref="K12" si="15">AVERAGE($D11:$X11)</f>
        <v>17.78857142857143</v>
      </c>
      <c r="L12" s="45">
        <f t="shared" ref="L12" si="16">AVERAGE($D11:$X11)</f>
        <v>17.78857142857143</v>
      </c>
      <c r="M12" s="45">
        <f t="shared" ref="M12" si="17">AVERAGE($D11:$X11)</f>
        <v>17.78857142857143</v>
      </c>
      <c r="N12" s="45">
        <f t="shared" ref="N12" si="18">AVERAGE($D11:$X11)</f>
        <v>17.78857142857143</v>
      </c>
      <c r="O12" s="45">
        <f t="shared" ref="O12" si="19">AVERAGE($D11:$X11)</f>
        <v>17.78857142857143</v>
      </c>
      <c r="P12" s="45">
        <f t="shared" ref="P12" si="20">AVERAGE($D11:$X11)</f>
        <v>17.78857142857143</v>
      </c>
      <c r="Q12" s="45">
        <f t="shared" ref="Q12" si="21">AVERAGE($D11:$X11)</f>
        <v>17.78857142857143</v>
      </c>
      <c r="R12" s="45">
        <f t="shared" ref="R12" si="22">AVERAGE($D11:$X11)</f>
        <v>17.78857142857143</v>
      </c>
      <c r="S12" s="45">
        <f t="shared" ref="S12" si="23">AVERAGE($D11:$X11)</f>
        <v>17.78857142857143</v>
      </c>
      <c r="T12" s="45">
        <f t="shared" ref="T12" si="24">AVERAGE($D11:$X11)</f>
        <v>17.78857142857143</v>
      </c>
      <c r="U12" s="45">
        <f t="shared" ref="U12" si="25">AVERAGE($D11:$X11)</f>
        <v>17.78857142857143</v>
      </c>
      <c r="V12" s="45">
        <f t="shared" ref="V12" si="26">AVERAGE($D11:$X11)</f>
        <v>17.78857142857143</v>
      </c>
      <c r="W12" s="45">
        <f t="shared" ref="W12" si="27">AVERAGE($D11:$X11)</f>
        <v>17.78857142857143</v>
      </c>
      <c r="X12" s="45">
        <f>AVERAGE($D11:$X11)</f>
        <v>17.78857142857143</v>
      </c>
      <c r="Y12" s="45">
        <f t="shared" ref="Y12:AA12" si="28">AVERAGE($D11:$X11)</f>
        <v>17.78857142857143</v>
      </c>
      <c r="Z12" s="45">
        <f t="shared" si="28"/>
        <v>17.78857142857143</v>
      </c>
      <c r="AA12" s="45">
        <f t="shared" si="28"/>
        <v>17.78857142857143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0.12086411821394152</v>
      </c>
      <c r="E13" s="55">
        <f t="shared" si="29"/>
        <v>0.58689367169932538</v>
      </c>
      <c r="F13" s="55">
        <f t="shared" ref="F13" si="30">IF(F11=0,0,F11/F12)</f>
        <v>0.31705750080308381</v>
      </c>
      <c r="G13" s="55">
        <f t="shared" ref="G13" si="31">IF(G11=0,0,G11/G12)</f>
        <v>0.91575650497911965</v>
      </c>
      <c r="H13" s="55">
        <f t="shared" ref="H13" si="32">IF(H11=0,0,H11/H12)</f>
        <v>0.2940089945390299</v>
      </c>
      <c r="I13" s="55">
        <f t="shared" ref="I13" si="33">IF(I11=0,0,I11/I12)</f>
        <v>0.54529392868615478</v>
      </c>
      <c r="J13" s="55">
        <f t="shared" ref="J13" si="34">IF(J11=0,0,J11/J12)</f>
        <v>0.85560552521683264</v>
      </c>
      <c r="K13" s="55">
        <f t="shared" ref="K13" si="35">IF(K11=0,0,K11/K12)</f>
        <v>0.91463218760038534</v>
      </c>
      <c r="L13" s="55">
        <f t="shared" ref="L13" si="36">IF(L11=0,0,L11/L12)</f>
        <v>1.3132026983617089</v>
      </c>
      <c r="M13" s="55">
        <f t="shared" ref="M13" si="37">IF(M11=0,0,M11/M12)</f>
        <v>0.59588821072920006</v>
      </c>
      <c r="N13" s="55">
        <f t="shared" ref="N13" si="38">IF(N11=0,0,N11/N12)</f>
        <v>0.39013813042081591</v>
      </c>
      <c r="O13" s="55">
        <f t="shared" ref="O13" si="39">IF(O11=0,0,O11/O12)</f>
        <v>0.62736909733376156</v>
      </c>
      <c r="P13" s="55">
        <f t="shared" ref="P13" si="40">IF(P11=0,0,P11/P12)</f>
        <v>2.6837455830388692</v>
      </c>
      <c r="Q13" s="55">
        <f t="shared" ref="Q13" si="41">IF(Q11=0,0,Q11/Q12)</f>
        <v>0.90676196594924496</v>
      </c>
      <c r="R13" s="55">
        <f t="shared" ref="R13" si="42">IF(R11=0,0,R11/R12)</f>
        <v>3.1672020558946352</v>
      </c>
      <c r="S13" s="55">
        <f t="shared" ref="S13:Y13" si="43">IF(S11=0,0,S11/S12)</f>
        <v>0.97928043687761002</v>
      </c>
      <c r="T13" s="55">
        <f t="shared" si="43"/>
        <v>0.57227754577577894</v>
      </c>
      <c r="U13" s="55">
        <f t="shared" si="43"/>
        <v>0.45422422100867327</v>
      </c>
      <c r="V13" s="55">
        <f t="shared" si="43"/>
        <v>2.0406360424028267</v>
      </c>
      <c r="W13" s="55">
        <f t="shared" si="43"/>
        <v>0.63467716029553478</v>
      </c>
      <c r="X13" s="55">
        <f t="shared" si="43"/>
        <v>2.084484420173466</v>
      </c>
      <c r="Y13" s="55">
        <f t="shared" si="43"/>
        <v>1.3677320912303241</v>
      </c>
      <c r="Z13" s="55">
        <f t="shared" ref="Z13:AA13" si="44">IF(Z11=0,0,Z11/Z12)</f>
        <v>2.0029714102152263</v>
      </c>
      <c r="AA13" s="55">
        <f t="shared" si="44"/>
        <v>2.302039832958561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57083.649909160165</v>
      </c>
      <c r="E16" s="42">
        <v>58753.262565242789</v>
      </c>
      <c r="F16" s="42">
        <v>61348.894496625122</v>
      </c>
      <c r="G16" s="42">
        <v>64328.418898415257</v>
      </c>
      <c r="H16" s="42">
        <v>67794.70866821555</v>
      </c>
      <c r="I16" s="42">
        <v>72191.542713893388</v>
      </c>
      <c r="J16" s="42">
        <v>78635.500125430757</v>
      </c>
      <c r="K16" s="42">
        <v>87142.688365155846</v>
      </c>
      <c r="L16" s="42">
        <v>91816.110780360643</v>
      </c>
      <c r="M16" s="42">
        <v>86761.704441955953</v>
      </c>
      <c r="N16" s="42">
        <v>92653.163887799557</v>
      </c>
      <c r="O16" s="42">
        <v>95026.859934191831</v>
      </c>
      <c r="P16" s="42">
        <v>96518.387781853162</v>
      </c>
      <c r="Q16" s="42">
        <v>97197.192818907686</v>
      </c>
      <c r="R16" s="42">
        <v>99829.181458487219</v>
      </c>
      <c r="S16" s="42">
        <v>104997.16821600002</v>
      </c>
      <c r="T16" s="42">
        <v>107042.4645483842</v>
      </c>
      <c r="U16" s="42">
        <v>110119.92710098624</v>
      </c>
      <c r="V16" s="42">
        <v>114592.28631063433</v>
      </c>
      <c r="W16" s="42">
        <v>117200.3930425211</v>
      </c>
      <c r="X16" s="42">
        <v>114170.57653076354</v>
      </c>
      <c r="Y16" s="42">
        <v>120677.32116510486</v>
      </c>
      <c r="Z16" s="42">
        <v>121205.5252712786</v>
      </c>
      <c r="AA16" s="42">
        <v>123833.2</v>
      </c>
    </row>
    <row r="17" spans="1:27" x14ac:dyDescent="0.25">
      <c r="A17" s="46" t="s">
        <v>141</v>
      </c>
      <c r="B17" s="47"/>
      <c r="C17" s="47"/>
      <c r="D17" s="57">
        <v>36430.096335707924</v>
      </c>
      <c r="E17" s="57">
        <v>38319.396928020557</v>
      </c>
      <c r="F17" s="57">
        <v>40520.039463318557</v>
      </c>
      <c r="G17" s="57">
        <v>40738.487574262974</v>
      </c>
      <c r="H17" s="57">
        <v>43507.01383255767</v>
      </c>
      <c r="I17" s="57">
        <v>45597.542540007875</v>
      </c>
      <c r="J17" s="57">
        <v>48538.00618864641</v>
      </c>
      <c r="K17" s="57">
        <v>52394.184259330505</v>
      </c>
      <c r="L17" s="57">
        <v>56079.803635867524</v>
      </c>
      <c r="M17" s="57">
        <v>56088.79213128757</v>
      </c>
      <c r="N17" s="57">
        <v>56815.136787980686</v>
      </c>
      <c r="O17" s="57">
        <v>55824.864671403193</v>
      </c>
      <c r="P17" s="57">
        <v>56144.398896512692</v>
      </c>
      <c r="Q17" s="57">
        <v>55253.449864812275</v>
      </c>
      <c r="R17" s="57">
        <v>56629.028774305654</v>
      </c>
      <c r="S17" s="57">
        <v>58442.29372799999</v>
      </c>
      <c r="T17" s="57">
        <v>60567.363305816609</v>
      </c>
      <c r="U17" s="57">
        <v>64170.155951530309</v>
      </c>
      <c r="V17" s="57">
        <v>66816.94524635197</v>
      </c>
      <c r="W17" s="57">
        <v>68692.596370526226</v>
      </c>
      <c r="X17" s="57">
        <v>68976.356980147248</v>
      </c>
      <c r="Y17" s="57">
        <v>71016.530832798962</v>
      </c>
      <c r="Z17" s="57">
        <v>74650.541088921003</v>
      </c>
      <c r="AA17" s="57">
        <v>72320.5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10573.675991855042</v>
      </c>
      <c r="E20" s="42">
        <f t="shared" ref="E20:S20" si="45">1000000*E16/E$3</f>
        <v>10923.151680453142</v>
      </c>
      <c r="F20" s="42">
        <f t="shared" si="45"/>
        <v>11405.364075007399</v>
      </c>
      <c r="G20" s="42">
        <f t="shared" si="45"/>
        <v>11968.360721902687</v>
      </c>
      <c r="H20" s="42">
        <f t="shared" si="45"/>
        <v>12620.30644201802</v>
      </c>
      <c r="I20" s="42">
        <f t="shared" si="45"/>
        <v>13436.771877356179</v>
      </c>
      <c r="J20" s="42">
        <f t="shared" si="45"/>
        <v>14635.502304410324</v>
      </c>
      <c r="K20" s="42">
        <f t="shared" si="45"/>
        <v>16218.08470312847</v>
      </c>
      <c r="L20" s="42">
        <f t="shared" si="45"/>
        <v>17078.686336390459</v>
      </c>
      <c r="M20" s="42">
        <f t="shared" si="45"/>
        <v>16119.517004020316</v>
      </c>
      <c r="N20" s="42">
        <f t="shared" si="45"/>
        <v>17188.518848807336</v>
      </c>
      <c r="O20" s="42">
        <f t="shared" si="45"/>
        <v>17622.218179689113</v>
      </c>
      <c r="P20" s="42">
        <f t="shared" si="45"/>
        <v>17859.481315482899</v>
      </c>
      <c r="Q20" s="42">
        <f t="shared" si="45"/>
        <v>17963.433528369311</v>
      </c>
      <c r="R20" s="42">
        <f t="shared" si="45"/>
        <v>18432.444887957256</v>
      </c>
      <c r="S20" s="42">
        <f t="shared" si="45"/>
        <v>19367.35085972145</v>
      </c>
      <c r="T20" s="42">
        <f t="shared" ref="T20:Y20" si="46">1000000*T16/T$3</f>
        <v>19726.777257743321</v>
      </c>
      <c r="U20" s="42">
        <f t="shared" si="46"/>
        <v>20259.977539777385</v>
      </c>
      <c r="V20" s="42">
        <f t="shared" si="46"/>
        <v>21052.684179410764</v>
      </c>
      <c r="W20" s="42">
        <f t="shared" si="46"/>
        <v>21502.998216563657</v>
      </c>
      <c r="X20" s="42">
        <f t="shared" si="46"/>
        <v>20918.51102632171</v>
      </c>
      <c r="Y20" s="42">
        <f t="shared" si="46"/>
        <v>22102.960020759965</v>
      </c>
      <c r="Z20" s="42">
        <f t="shared" ref="Z20:AA20" si="47">1000000*Z16/Z$3</f>
        <v>22302.106398881595</v>
      </c>
      <c r="AA20" s="42">
        <f t="shared" si="47"/>
        <v>22810.452122682174</v>
      </c>
    </row>
    <row r="21" spans="1:27" x14ac:dyDescent="0.25">
      <c r="A21" s="46" t="s">
        <v>141</v>
      </c>
      <c r="B21" s="47"/>
      <c r="C21" s="47"/>
      <c r="D21" s="57">
        <f>1000000*D17/D$3</f>
        <v>6747.9923869414051</v>
      </c>
      <c r="E21" s="57">
        <f t="shared" ref="E21:S21" si="48">1000000*E17/E$3</f>
        <v>7124.1760316451791</v>
      </c>
      <c r="F21" s="57">
        <f t="shared" si="48"/>
        <v>7533.074657738759</v>
      </c>
      <c r="G21" s="57">
        <f t="shared" si="48"/>
        <v>7579.4325883165939</v>
      </c>
      <c r="H21" s="57">
        <f t="shared" si="48"/>
        <v>8099.0368972765882</v>
      </c>
      <c r="I21" s="57">
        <f t="shared" si="48"/>
        <v>8486.9190246604576</v>
      </c>
      <c r="J21" s="57">
        <f t="shared" si="48"/>
        <v>9033.8091611587588</v>
      </c>
      <c r="K21" s="57">
        <f t="shared" si="48"/>
        <v>9751.0569642800929</v>
      </c>
      <c r="L21" s="57">
        <f t="shared" si="48"/>
        <v>10431.386909803812</v>
      </c>
      <c r="M21" s="57">
        <f t="shared" si="48"/>
        <v>10420.775436703354</v>
      </c>
      <c r="N21" s="57">
        <f t="shared" si="48"/>
        <v>10540.039957624871</v>
      </c>
      <c r="O21" s="57">
        <f t="shared" si="48"/>
        <v>10352.419787125025</v>
      </c>
      <c r="P21" s="57">
        <f t="shared" si="48"/>
        <v>10388.796022241586</v>
      </c>
      <c r="Q21" s="57">
        <f t="shared" si="48"/>
        <v>10211.629009789296</v>
      </c>
      <c r="R21" s="57">
        <f t="shared" si="48"/>
        <v>10455.975263856004</v>
      </c>
      <c r="S21" s="57">
        <f t="shared" si="48"/>
        <v>10780.027946549833</v>
      </c>
      <c r="T21" s="57">
        <f t="shared" ref="T21:Y21" si="49">1000000*T17/T$3</f>
        <v>11161.914947152585</v>
      </c>
      <c r="U21" s="57">
        <f t="shared" si="49"/>
        <v>11806.091345390771</v>
      </c>
      <c r="V21" s="57">
        <f t="shared" si="49"/>
        <v>12275.486347233198</v>
      </c>
      <c r="W21" s="57">
        <f t="shared" si="49"/>
        <v>12603.172556858675</v>
      </c>
      <c r="X21" s="57">
        <f t="shared" si="49"/>
        <v>12637.955661509026</v>
      </c>
      <c r="Y21" s="57">
        <f t="shared" si="49"/>
        <v>13007.212346575616</v>
      </c>
      <c r="Z21" s="57">
        <f t="shared" ref="Z21:AA21" si="50">1000000*Z17/Z$3</f>
        <v>13735.878016888661</v>
      </c>
      <c r="AA21" s="57">
        <f t="shared" si="50"/>
        <v>13321.656088499984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51392.790811759362</v>
      </c>
      <c r="E23" s="60">
        <v>53515.715137117768</v>
      </c>
      <c r="F23" s="60">
        <v>55706.017149936255</v>
      </c>
      <c r="G23" s="60">
        <v>57993.799484126983</v>
      </c>
      <c r="H23" s="60">
        <v>60689.551342025108</v>
      </c>
      <c r="I23" s="60">
        <v>64309.799971875356</v>
      </c>
      <c r="J23" s="60">
        <v>70949.340759867191</v>
      </c>
      <c r="K23" s="60">
        <v>78822.030033143936</v>
      </c>
      <c r="L23" s="60">
        <v>83543.742518906147</v>
      </c>
      <c r="M23" s="60">
        <v>79260.680893588331</v>
      </c>
      <c r="N23" s="60">
        <v>84798.882231187497</v>
      </c>
      <c r="O23" s="60">
        <v>86344.112844967516</v>
      </c>
      <c r="P23" s="60">
        <v>88462.721881722042</v>
      </c>
      <c r="Q23" s="60">
        <v>88682.742999293521</v>
      </c>
      <c r="R23" s="60">
        <v>91032.908859774281</v>
      </c>
      <c r="S23" s="60">
        <v>95512.039467999974</v>
      </c>
      <c r="T23" s="60">
        <v>97494.180336790945</v>
      </c>
      <c r="U23" s="60">
        <v>99672.008301587295</v>
      </c>
      <c r="V23" s="60">
        <v>103626.82891837586</v>
      </c>
      <c r="W23" s="60">
        <v>105527.12667410925</v>
      </c>
      <c r="X23" s="60">
        <v>103029.46837264649</v>
      </c>
      <c r="Y23" s="60">
        <v>108296.6439014725</v>
      </c>
      <c r="Z23" s="60">
        <v>108397.73020453252</v>
      </c>
      <c r="AA23" s="60">
        <v>113130.1</v>
      </c>
    </row>
    <row r="24" spans="1:27" x14ac:dyDescent="0.25">
      <c r="A24" s="61" t="s">
        <v>33</v>
      </c>
      <c r="B24" s="62"/>
      <c r="C24" s="62"/>
      <c r="D24" s="63">
        <v>923.21444091724652</v>
      </c>
      <c r="E24" s="63">
        <v>1188.2129040840759</v>
      </c>
      <c r="F24" s="63">
        <v>1189.3469522595472</v>
      </c>
      <c r="G24" s="63">
        <v>1090.4895304232803</v>
      </c>
      <c r="H24" s="63">
        <v>1032.4476197620511</v>
      </c>
      <c r="I24" s="63">
        <v>1071.0476937788276</v>
      </c>
      <c r="J24" s="63">
        <v>1340.3851820624966</v>
      </c>
      <c r="K24" s="63">
        <v>1878.5630066287879</v>
      </c>
      <c r="L24" s="63">
        <v>2188.4122445940625</v>
      </c>
      <c r="M24" s="63">
        <v>1672.7935437723525</v>
      </c>
      <c r="N24" s="63">
        <v>1401.9910521373959</v>
      </c>
      <c r="O24" s="63">
        <v>1719.8278571428568</v>
      </c>
      <c r="P24" s="63">
        <v>1746.4480515452569</v>
      </c>
      <c r="Q24" s="63">
        <v>2032.6011283918922</v>
      </c>
      <c r="R24" s="63">
        <v>2635.5594759372157</v>
      </c>
      <c r="S24" s="63">
        <v>2169.6217399999996</v>
      </c>
      <c r="T24" s="63">
        <v>2230.4187815678752</v>
      </c>
      <c r="U24" s="63">
        <v>2055.1550238095238</v>
      </c>
      <c r="V24" s="63">
        <v>2322.9385736888594</v>
      </c>
      <c r="W24" s="63">
        <v>1908.2446366061797</v>
      </c>
      <c r="X24" s="63">
        <v>1985.010488639613</v>
      </c>
      <c r="Y24" s="63">
        <v>2268.7527428288377</v>
      </c>
      <c r="Z24" s="63">
        <v>2345.0136812506275</v>
      </c>
      <c r="AA24" s="63">
        <v>2631.7</v>
      </c>
    </row>
    <row r="25" spans="1:27" x14ac:dyDescent="0.25">
      <c r="A25" s="64" t="s">
        <v>56</v>
      </c>
      <c r="B25" s="65"/>
      <c r="C25" s="65"/>
      <c r="D25" s="66">
        <v>356.90341305676588</v>
      </c>
      <c r="E25" s="66">
        <v>340.5316464264709</v>
      </c>
      <c r="F25" s="66">
        <v>321.17359575839157</v>
      </c>
      <c r="G25" s="66">
        <v>332.66583994708969</v>
      </c>
      <c r="H25" s="66">
        <v>300.45698249964437</v>
      </c>
      <c r="I25" s="66">
        <v>344.69393243051644</v>
      </c>
      <c r="J25" s="66">
        <v>207.69072356012671</v>
      </c>
      <c r="K25" s="66">
        <v>274.53839400828741</v>
      </c>
      <c r="L25" s="66">
        <v>283.32185455821804</v>
      </c>
      <c r="M25" s="66">
        <v>283.65414191675728</v>
      </c>
      <c r="N25" s="66">
        <v>209.23004632830148</v>
      </c>
      <c r="O25" s="66">
        <v>218.72655032467534</v>
      </c>
      <c r="P25" s="66">
        <v>210.53470200398192</v>
      </c>
      <c r="Q25" s="66">
        <v>220.55634893791685</v>
      </c>
      <c r="R25" s="66">
        <v>197.85836165620267</v>
      </c>
      <c r="S25" s="66">
        <v>219.52766285736735</v>
      </c>
      <c r="T25" s="66">
        <v>231.30857642061713</v>
      </c>
      <c r="U25" s="66">
        <v>224.60630669551065</v>
      </c>
      <c r="V25" s="66">
        <v>238.20606356372357</v>
      </c>
      <c r="W25" s="66">
        <v>214.55929257650664</v>
      </c>
      <c r="X25" s="66">
        <v>196.92409595079934</v>
      </c>
      <c r="Y25" s="66">
        <v>186.55382934787397</v>
      </c>
      <c r="Z25" s="66">
        <v>163.20620850450044</v>
      </c>
      <c r="AA25" s="66">
        <v>205.20000000000005</v>
      </c>
    </row>
    <row r="26" spans="1:27" x14ac:dyDescent="0.25">
      <c r="A26" s="67" t="s">
        <v>146</v>
      </c>
      <c r="B26" s="44"/>
      <c r="C26" s="44"/>
      <c r="D26" s="45">
        <v>34360.537918252259</v>
      </c>
      <c r="E26" s="45">
        <v>35564.470276211199</v>
      </c>
      <c r="F26" s="45">
        <v>37335.158884503369</v>
      </c>
      <c r="G26" s="45">
        <v>38038.211917989414</v>
      </c>
      <c r="H26" s="45">
        <v>38765.84736977701</v>
      </c>
      <c r="I26" s="45">
        <v>41167.495297584064</v>
      </c>
      <c r="J26" s="45">
        <v>43884.72905437529</v>
      </c>
      <c r="K26" s="45">
        <v>49273.012122887121</v>
      </c>
      <c r="L26" s="45">
        <v>52501.686665177578</v>
      </c>
      <c r="M26" s="45">
        <v>53387.01926294509</v>
      </c>
      <c r="N26" s="45">
        <v>56888.38359833671</v>
      </c>
      <c r="O26" s="45">
        <v>57547.972723214269</v>
      </c>
      <c r="P26" s="45">
        <v>59015.186913587633</v>
      </c>
      <c r="Q26" s="45">
        <v>61019.945772201259</v>
      </c>
      <c r="R26" s="45">
        <v>59837.30822413537</v>
      </c>
      <c r="S26" s="45">
        <v>63236.689894924777</v>
      </c>
      <c r="T26" s="45">
        <v>65872.469727976553</v>
      </c>
      <c r="U26" s="45">
        <v>68106.788077356599</v>
      </c>
      <c r="V26" s="45">
        <v>70055.607575440285</v>
      </c>
      <c r="W26" s="45">
        <v>71048.756437130942</v>
      </c>
      <c r="X26" s="45">
        <v>69990.693810270022</v>
      </c>
      <c r="Y26" s="45">
        <v>74583.827154271698</v>
      </c>
      <c r="Z26" s="45">
        <v>75589.191064206592</v>
      </c>
      <c r="AA26" s="45">
        <v>76239.100000000006</v>
      </c>
    </row>
    <row r="27" spans="1:27" x14ac:dyDescent="0.25">
      <c r="A27" s="68" t="s">
        <v>148</v>
      </c>
      <c r="B27" s="69"/>
      <c r="C27" s="69"/>
      <c r="D27" s="70">
        <v>13562.32969615711</v>
      </c>
      <c r="E27" s="70">
        <v>14406.235245823756</v>
      </c>
      <c r="F27" s="70">
        <v>14505.48482683088</v>
      </c>
      <c r="G27" s="70">
        <v>14767.527453703708</v>
      </c>
      <c r="H27" s="70">
        <v>13821.457044694162</v>
      </c>
      <c r="I27" s="70">
        <v>14765.356271796607</v>
      </c>
      <c r="J27" s="70">
        <v>15124.522632660588</v>
      </c>
      <c r="K27" s="70">
        <v>16870.679564393922</v>
      </c>
      <c r="L27" s="70">
        <v>16937.56703574886</v>
      </c>
      <c r="M27" s="70">
        <v>18315.66009226142</v>
      </c>
      <c r="N27" s="70">
        <v>18966.560764365375</v>
      </c>
      <c r="O27" s="70">
        <v>19109.927203733754</v>
      </c>
      <c r="P27" s="70">
        <v>20363.523562545633</v>
      </c>
      <c r="Q27" s="70">
        <v>21161.736839905676</v>
      </c>
      <c r="R27" s="70">
        <v>22260.472450781799</v>
      </c>
      <c r="S27" s="70">
        <v>23789.054715999988</v>
      </c>
      <c r="T27" s="70">
        <v>24918.928579031421</v>
      </c>
      <c r="U27" s="70">
        <v>25843.751119047603</v>
      </c>
      <c r="V27" s="70">
        <v>26802.349307422752</v>
      </c>
      <c r="W27" s="70">
        <v>28201.778728074343</v>
      </c>
      <c r="X27" s="70">
        <v>27227.747486693144</v>
      </c>
      <c r="Y27" s="70">
        <v>29037.991400909628</v>
      </c>
      <c r="Z27" s="70">
        <v>28751.618846449979</v>
      </c>
      <c r="AA27" s="70">
        <v>28273.700000000004</v>
      </c>
    </row>
    <row r="28" spans="1:27" x14ac:dyDescent="0.25">
      <c r="A28" s="68" t="s">
        <v>150</v>
      </c>
      <c r="B28" s="71"/>
      <c r="C28" s="71"/>
      <c r="D28" s="70">
        <v>13294.13186899856</v>
      </c>
      <c r="E28" s="70">
        <v>13786.178163781144</v>
      </c>
      <c r="F28" s="70">
        <v>15624.006298364364</v>
      </c>
      <c r="G28" s="70">
        <v>15203.592380952379</v>
      </c>
      <c r="H28" s="70">
        <v>16222.254050080264</v>
      </c>
      <c r="I28" s="70">
        <v>16428.791855101812</v>
      </c>
      <c r="J28" s="70">
        <v>18026.546930494809</v>
      </c>
      <c r="K28" s="70">
        <v>20259.245539772728</v>
      </c>
      <c r="L28" s="70">
        <v>22411.895350840805</v>
      </c>
      <c r="M28" s="70">
        <v>23397.637240449902</v>
      </c>
      <c r="N28" s="70">
        <v>24697.721584448547</v>
      </c>
      <c r="O28" s="70">
        <v>24292.434622564931</v>
      </c>
      <c r="P28" s="70">
        <v>25619.103308621223</v>
      </c>
      <c r="Q28" s="70">
        <v>27788.071655870321</v>
      </c>
      <c r="R28" s="70">
        <v>25836.776582815284</v>
      </c>
      <c r="S28" s="70">
        <v>27778.414531999995</v>
      </c>
      <c r="T28" s="70">
        <v>29804.361782160318</v>
      </c>
      <c r="U28" s="70">
        <v>30399.593436507937</v>
      </c>
      <c r="V28" s="70">
        <v>31527.241455625546</v>
      </c>
      <c r="W28" s="70">
        <v>29618.857571571833</v>
      </c>
      <c r="X28" s="70">
        <v>28990.889543647314</v>
      </c>
      <c r="Y28" s="70">
        <v>32343.806778042959</v>
      </c>
      <c r="Z28" s="70">
        <v>32823.014839487158</v>
      </c>
      <c r="AA28" s="70">
        <v>32562.7</v>
      </c>
    </row>
    <row r="29" spans="1:27" x14ac:dyDescent="0.25">
      <c r="A29" s="68" t="s">
        <v>152</v>
      </c>
      <c r="B29" s="71"/>
      <c r="C29" s="71"/>
      <c r="D29" s="70">
        <v>7504.0763530965942</v>
      </c>
      <c r="E29" s="70">
        <v>7372.0568666062927</v>
      </c>
      <c r="F29" s="70">
        <v>7205.6677593081258</v>
      </c>
      <c r="G29" s="70">
        <v>8067.0920833333312</v>
      </c>
      <c r="H29" s="70">
        <v>8722.1362750025892</v>
      </c>
      <c r="I29" s="70">
        <v>9973.3471706856435</v>
      </c>
      <c r="J29" s="70">
        <v>10733.659491219887</v>
      </c>
      <c r="K29" s="70">
        <v>12143.087018720465</v>
      </c>
      <c r="L29" s="70">
        <v>13152.224278587912</v>
      </c>
      <c r="M29" s="70">
        <v>11673.721930233762</v>
      </c>
      <c r="N29" s="70">
        <v>13224.101249522786</v>
      </c>
      <c r="O29" s="70">
        <v>14145.610896915583</v>
      </c>
      <c r="P29" s="70">
        <v>13032.560042420788</v>
      </c>
      <c r="Q29" s="70">
        <v>12070.137276425257</v>
      </c>
      <c r="R29" s="70">
        <v>11740.059190538281</v>
      </c>
      <c r="S29" s="70">
        <v>11669.220646924787</v>
      </c>
      <c r="T29" s="70">
        <v>11149.179366784823</v>
      </c>
      <c r="U29" s="70">
        <v>11863.443521801057</v>
      </c>
      <c r="V29" s="70">
        <v>11726.016812391978</v>
      </c>
      <c r="W29" s="70">
        <v>13228.120137484764</v>
      </c>
      <c r="X29" s="70">
        <v>13772.056779929564</v>
      </c>
      <c r="Y29" s="70">
        <v>13202.02897531911</v>
      </c>
      <c r="Z29" s="70">
        <v>14014.557378269465</v>
      </c>
      <c r="AA29" s="70">
        <v>15402.7</v>
      </c>
    </row>
    <row r="30" spans="1:27" x14ac:dyDescent="0.25">
      <c r="A30" s="64" t="s">
        <v>154</v>
      </c>
      <c r="B30" s="65"/>
      <c r="C30" s="65"/>
      <c r="D30" s="66">
        <v>2069.883715519451</v>
      </c>
      <c r="E30" s="66">
        <v>1563.4453758666821</v>
      </c>
      <c r="F30" s="66">
        <v>1974.4324155135848</v>
      </c>
      <c r="G30" s="66">
        <v>2944.6925727513208</v>
      </c>
      <c r="H30" s="66">
        <v>4113.4024936267469</v>
      </c>
      <c r="I30" s="66">
        <v>3759.1953183035707</v>
      </c>
      <c r="J30" s="66">
        <v>5023.5202336575694</v>
      </c>
      <c r="K30" s="66">
        <v>4714.7942463621512</v>
      </c>
      <c r="L30" s="66">
        <v>4263.0186328004493</v>
      </c>
      <c r="M30" s="66">
        <v>3891.9700658269821</v>
      </c>
      <c r="N30" s="66">
        <v>3700.2544692881529</v>
      </c>
      <c r="O30" s="66">
        <v>3601.8935227272718</v>
      </c>
      <c r="P30" s="66">
        <v>3961.6163079909147</v>
      </c>
      <c r="Q30" s="66">
        <v>3323.3011048277749</v>
      </c>
      <c r="R30" s="66">
        <v>3551.8526305090445</v>
      </c>
      <c r="S30" s="66">
        <v>3241.4773142178447</v>
      </c>
      <c r="T30" s="66">
        <v>2897.5837247833547</v>
      </c>
      <c r="U30" s="66">
        <v>3000.2329373764474</v>
      </c>
      <c r="V30" s="66">
        <v>2697.8621474861184</v>
      </c>
      <c r="W30" s="66">
        <v>3748.1233287421123</v>
      </c>
      <c r="X30" s="66">
        <v>3723.5356633298015</v>
      </c>
      <c r="Y30" s="66">
        <v>2782.9641237789997</v>
      </c>
      <c r="Z30" s="66">
        <v>2043.6717461353524</v>
      </c>
      <c r="AA30" s="66">
        <v>5413.6000000000022</v>
      </c>
    </row>
    <row r="31" spans="1:27" x14ac:dyDescent="0.25">
      <c r="A31" s="64" t="s">
        <v>37</v>
      </c>
      <c r="B31" s="65"/>
      <c r="C31" s="65"/>
      <c r="D31" s="66">
        <v>3111.1988485123329</v>
      </c>
      <c r="E31" s="66">
        <v>3185.7845873163683</v>
      </c>
      <c r="F31" s="66">
        <v>3711.8236888880906</v>
      </c>
      <c r="G31" s="66">
        <v>3700.9892724867718</v>
      </c>
      <c r="H31" s="66">
        <v>3993.2128606364299</v>
      </c>
      <c r="I31" s="66">
        <v>4418.3268365395434</v>
      </c>
      <c r="J31" s="66">
        <v>5460.7834589239601</v>
      </c>
      <c r="K31" s="66">
        <v>6252.7147443181811</v>
      </c>
      <c r="L31" s="66">
        <v>7985.3542018996559</v>
      </c>
      <c r="M31" s="66">
        <v>7921.1171347120708</v>
      </c>
      <c r="N31" s="66">
        <v>7727.0820557796878</v>
      </c>
      <c r="O31" s="66">
        <v>7406.3165868506476</v>
      </c>
      <c r="P31" s="66">
        <v>7810.6394493301723</v>
      </c>
      <c r="Q31" s="66">
        <v>6753.2821318049291</v>
      </c>
      <c r="R31" s="66">
        <v>7158.4007024756274</v>
      </c>
      <c r="S31" s="66">
        <v>7743.0890799999988</v>
      </c>
      <c r="T31" s="66">
        <v>7763.6749736411375</v>
      </c>
      <c r="U31" s="66">
        <v>8407.0002222222211</v>
      </c>
      <c r="V31" s="66">
        <v>8530.6746352685368</v>
      </c>
      <c r="W31" s="66">
        <v>7780.2658744725532</v>
      </c>
      <c r="X31" s="66">
        <v>8026.939409425936</v>
      </c>
      <c r="Y31" s="66">
        <v>9453.9285630656996</v>
      </c>
      <c r="Z31" s="66">
        <v>9289.9595621464196</v>
      </c>
      <c r="AA31" s="66">
        <v>9687.1</v>
      </c>
    </row>
    <row r="32" spans="1:27" x14ac:dyDescent="0.25">
      <c r="A32" s="64" t="s">
        <v>58</v>
      </c>
      <c r="B32" s="65"/>
      <c r="C32" s="65"/>
      <c r="D32" s="66">
        <v>10571.052475501312</v>
      </c>
      <c r="E32" s="66">
        <v>11673.270347212982</v>
      </c>
      <c r="F32" s="66">
        <v>11174.081613013266</v>
      </c>
      <c r="G32" s="66">
        <v>11886.750350529101</v>
      </c>
      <c r="H32" s="66">
        <v>12484.18401572322</v>
      </c>
      <c r="I32" s="66">
        <v>13549.040893238835</v>
      </c>
      <c r="J32" s="66">
        <v>15032.232107287768</v>
      </c>
      <c r="K32" s="66">
        <v>16428.407518939399</v>
      </c>
      <c r="L32" s="66">
        <v>16321.948919876195</v>
      </c>
      <c r="M32" s="66">
        <v>12104.126744415071</v>
      </c>
      <c r="N32" s="66">
        <v>14871.94100931725</v>
      </c>
      <c r="O32" s="66">
        <v>15849.37560470779</v>
      </c>
      <c r="P32" s="66">
        <v>15718.296457264058</v>
      </c>
      <c r="Q32" s="66">
        <v>15333.056513129746</v>
      </c>
      <c r="R32" s="66">
        <v>17651.929465060817</v>
      </c>
      <c r="S32" s="66">
        <v>18901.633775999999</v>
      </c>
      <c r="T32" s="66">
        <v>18498.724552401418</v>
      </c>
      <c r="U32" s="66">
        <v>17878.225734126983</v>
      </c>
      <c r="V32" s="66">
        <v>19781.539922928332</v>
      </c>
      <c r="W32" s="66">
        <v>20827.177104580976</v>
      </c>
      <c r="X32" s="66">
        <v>19106.364905030299</v>
      </c>
      <c r="Y32" s="66">
        <v>19020.617488179403</v>
      </c>
      <c r="Z32" s="66">
        <v>18966.68794228902</v>
      </c>
      <c r="AA32" s="66">
        <v>18953.400000000001</v>
      </c>
    </row>
    <row r="33" spans="1:27" x14ac:dyDescent="0.25">
      <c r="A33" s="72" t="s">
        <v>158</v>
      </c>
      <c r="B33" s="65"/>
      <c r="C33" s="65"/>
      <c r="D33" s="66">
        <v>1152.6523493108818</v>
      </c>
      <c r="E33" s="66">
        <v>1341.1586461164218</v>
      </c>
      <c r="F33" s="66">
        <v>1177.7401009031007</v>
      </c>
      <c r="G33" s="66">
        <v>1398.5053769841268</v>
      </c>
      <c r="H33" s="66">
        <v>1809.9503518221231</v>
      </c>
      <c r="I33" s="66">
        <v>1903.6931207109908</v>
      </c>
      <c r="J33" s="66">
        <v>2082.5330979606892</v>
      </c>
      <c r="K33" s="66">
        <v>2095.0139441287874</v>
      </c>
      <c r="L33" s="66">
        <v>1618.6813235904144</v>
      </c>
      <c r="M33" s="66">
        <v>808.97504794485042</v>
      </c>
      <c r="N33" s="66">
        <v>1327.6646986596777</v>
      </c>
      <c r="O33" s="66">
        <v>1032.4589245129869</v>
      </c>
      <c r="P33" s="66">
        <v>1117.2198857440146</v>
      </c>
      <c r="Q33" s="66">
        <v>1036.7145327721225</v>
      </c>
      <c r="R33" s="66">
        <v>987.74239500284364</v>
      </c>
      <c r="S33" s="66">
        <v>1139.496684</v>
      </c>
      <c r="T33" s="66">
        <v>1245.7013425447094</v>
      </c>
      <c r="U33" s="66">
        <v>1246.6788690476189</v>
      </c>
      <c r="V33" s="66">
        <v>1407.6708088642119</v>
      </c>
      <c r="W33" s="66">
        <v>982.58122575640027</v>
      </c>
      <c r="X33" s="66">
        <v>917.65659621966165</v>
      </c>
      <c r="Y33" s="66">
        <v>1693.7818345566714</v>
      </c>
      <c r="Z33" s="66">
        <v>1898.9542965219428</v>
      </c>
      <c r="AA33" s="66">
        <v>1184.5</v>
      </c>
    </row>
    <row r="34" spans="1:27" x14ac:dyDescent="0.25">
      <c r="A34" s="73" t="s">
        <v>5</v>
      </c>
      <c r="B34" s="65"/>
      <c r="C34" s="65"/>
      <c r="D34" s="66">
        <v>779.67344115987578</v>
      </c>
      <c r="E34" s="66">
        <v>907.18227172665411</v>
      </c>
      <c r="F34" s="66">
        <v>796.64321841020069</v>
      </c>
      <c r="G34" s="66">
        <v>945.97256528014736</v>
      </c>
      <c r="H34" s="66">
        <v>1224.2808683618757</v>
      </c>
      <c r="I34" s="66">
        <v>1287.6900543554971</v>
      </c>
      <c r="J34" s="66">
        <v>1408.660423749694</v>
      </c>
      <c r="K34" s="66">
        <v>1417.1026780740669</v>
      </c>
      <c r="L34" s="66">
        <v>1094.9032797785721</v>
      </c>
      <c r="M34" s="66">
        <v>548.29381457277896</v>
      </c>
      <c r="N34" s="66">
        <v>477.46977163270685</v>
      </c>
      <c r="O34" s="66">
        <v>305.23383374139019</v>
      </c>
      <c r="P34" s="66">
        <v>786.83568418820187</v>
      </c>
      <c r="Q34" s="66">
        <v>758.62354470817536</v>
      </c>
      <c r="R34" s="66">
        <v>773.21886802259235</v>
      </c>
      <c r="S34" s="66">
        <v>773.76491987983025</v>
      </c>
      <c r="T34" s="66">
        <v>816.04877080636186</v>
      </c>
      <c r="U34" s="66">
        <v>936.68055993323242</v>
      </c>
      <c r="V34" s="66">
        <v>1154.7423642407273</v>
      </c>
      <c r="W34" s="66">
        <v>649.52015915945094</v>
      </c>
      <c r="X34" s="66">
        <v>640.82801860145139</v>
      </c>
      <c r="Y34" s="66">
        <v>1409.8377688367061</v>
      </c>
      <c r="Z34" s="66">
        <v>1727.4258980380364</v>
      </c>
      <c r="AA34" s="66">
        <v>1029.4675582496147</v>
      </c>
    </row>
    <row r="35" spans="1:27" x14ac:dyDescent="0.25">
      <c r="A35" s="74" t="s">
        <v>264</v>
      </c>
      <c r="B35" s="44"/>
      <c r="C35" s="44"/>
      <c r="D35" s="45">
        <v>723.18050929716367</v>
      </c>
      <c r="E35" s="45">
        <v>844.98228435175702</v>
      </c>
      <c r="F35" s="45">
        <v>747.95921286984515</v>
      </c>
      <c r="G35" s="45">
        <v>889.38679833922708</v>
      </c>
      <c r="H35" s="45">
        <v>1145.9454840370727</v>
      </c>
      <c r="I35" s="45">
        <v>1199.8293011693354</v>
      </c>
      <c r="J35" s="45">
        <v>1319.3379195828506</v>
      </c>
      <c r="K35" s="45">
        <v>1323.4410399844273</v>
      </c>
      <c r="L35" s="45">
        <v>1015.0712898839191</v>
      </c>
      <c r="M35" s="45">
        <v>506.26350770360244</v>
      </c>
      <c r="N35" s="45">
        <v>448.19016183534512</v>
      </c>
      <c r="O35" s="45">
        <v>282.1009082601318</v>
      </c>
      <c r="P35" s="45">
        <v>730.99477904658534</v>
      </c>
      <c r="Q35" s="45">
        <v>664.11039293795625</v>
      </c>
      <c r="R35" s="45">
        <v>700.80722151155533</v>
      </c>
      <c r="S35" s="45">
        <v>727.56893846152548</v>
      </c>
      <c r="T35" s="45">
        <v>773.14628376368307</v>
      </c>
      <c r="U35" s="45">
        <v>878.86234080926033</v>
      </c>
      <c r="V35" s="45">
        <v>1077.9682138743112</v>
      </c>
      <c r="W35" s="45">
        <v>602.00894934291171</v>
      </c>
      <c r="X35" s="45">
        <v>594.45688915214726</v>
      </c>
      <c r="Y35" s="45">
        <v>1316.8559776014472</v>
      </c>
      <c r="Z35" s="45">
        <v>1585.6957303218765</v>
      </c>
      <c r="AA35" s="45">
        <v>978.34880762738487</v>
      </c>
    </row>
    <row r="36" spans="1:27" x14ac:dyDescent="0.25">
      <c r="A36" s="74" t="s">
        <v>15</v>
      </c>
      <c r="B36" s="44"/>
      <c r="C36" s="44"/>
      <c r="D36" s="45">
        <v>56.492931862712112</v>
      </c>
      <c r="E36" s="45">
        <v>62.199987374897091</v>
      </c>
      <c r="F36" s="45">
        <v>48.684005540355543</v>
      </c>
      <c r="G36" s="45">
        <v>56.58576694092028</v>
      </c>
      <c r="H36" s="45">
        <v>78.335384324803044</v>
      </c>
      <c r="I36" s="45">
        <v>87.860753186161674</v>
      </c>
      <c r="J36" s="45">
        <v>89.322504166843373</v>
      </c>
      <c r="K36" s="45">
        <v>93.661638089639609</v>
      </c>
      <c r="L36" s="45">
        <v>79.83198989465302</v>
      </c>
      <c r="M36" s="45">
        <v>42.030306869176513</v>
      </c>
      <c r="N36" s="45">
        <v>29.279609797361729</v>
      </c>
      <c r="O36" s="45">
        <v>23.132925481258383</v>
      </c>
      <c r="P36" s="45">
        <v>55.840905141616531</v>
      </c>
      <c r="Q36" s="45">
        <v>94.51315177021911</v>
      </c>
      <c r="R36" s="45">
        <v>72.41164651103702</v>
      </c>
      <c r="S36" s="45">
        <v>46.195981418304768</v>
      </c>
      <c r="T36" s="45">
        <v>42.902487042678786</v>
      </c>
      <c r="U36" s="45">
        <v>57.818219123972085</v>
      </c>
      <c r="V36" s="45">
        <v>76.774150366416052</v>
      </c>
      <c r="W36" s="45">
        <v>47.511209816539235</v>
      </c>
      <c r="X36" s="45">
        <v>46.371129449304135</v>
      </c>
      <c r="Y36" s="45">
        <v>92.981791235258925</v>
      </c>
      <c r="Z36" s="45">
        <v>141.73016771615994</v>
      </c>
      <c r="AA36" s="45">
        <v>51.118750622229868</v>
      </c>
    </row>
    <row r="37" spans="1:27" x14ac:dyDescent="0.25">
      <c r="A37" s="73" t="s">
        <v>263</v>
      </c>
      <c r="B37" s="65"/>
      <c r="C37" s="65"/>
      <c r="D37" s="66">
        <v>372.97890815100607</v>
      </c>
      <c r="E37" s="66">
        <v>433.97637438976767</v>
      </c>
      <c r="F37" s="66">
        <v>381.09688249290002</v>
      </c>
      <c r="G37" s="66">
        <v>452.53281170397941</v>
      </c>
      <c r="H37" s="66">
        <v>585.66948346024742</v>
      </c>
      <c r="I37" s="66">
        <v>616.00306635549373</v>
      </c>
      <c r="J37" s="66">
        <v>673.87267421099523</v>
      </c>
      <c r="K37" s="66">
        <v>677.9112660547205</v>
      </c>
      <c r="L37" s="66">
        <v>523.77804381184228</v>
      </c>
      <c r="M37" s="66">
        <v>260.68123337207146</v>
      </c>
      <c r="N37" s="66">
        <v>850.19492702697096</v>
      </c>
      <c r="O37" s="66">
        <v>727.22509077159668</v>
      </c>
      <c r="P37" s="66">
        <v>330.38420155581275</v>
      </c>
      <c r="Q37" s="66">
        <v>278.09098806394718</v>
      </c>
      <c r="R37" s="66">
        <v>214.52352698025129</v>
      </c>
      <c r="S37" s="66">
        <v>365.73176412016971</v>
      </c>
      <c r="T37" s="66">
        <v>429.65257173834755</v>
      </c>
      <c r="U37" s="66">
        <v>309.99830911438653</v>
      </c>
      <c r="V37" s="66">
        <v>252.92844462348469</v>
      </c>
      <c r="W37" s="66">
        <v>333.06106659694933</v>
      </c>
      <c r="X37" s="66">
        <v>276.82857761821026</v>
      </c>
      <c r="Y37" s="66">
        <v>283.94406571996524</v>
      </c>
      <c r="Z37" s="66">
        <v>171.52839848390636</v>
      </c>
      <c r="AA37" s="66">
        <v>155.03244175038526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184.06904228845937</v>
      </c>
      <c r="E39" s="45">
        <v>202.53652476043095</v>
      </c>
      <c r="F39" s="45">
        <v>177.85769625289117</v>
      </c>
      <c r="G39" s="45">
        <v>211.19680340080626</v>
      </c>
      <c r="H39" s="45">
        <v>273.33161166911674</v>
      </c>
      <c r="I39" s="45">
        <v>287.48827739031987</v>
      </c>
      <c r="J39" s="45">
        <v>314.49599015068196</v>
      </c>
      <c r="K39" s="45">
        <v>316.3807986453935</v>
      </c>
      <c r="L39" s="45">
        <v>244.44691232013884</v>
      </c>
      <c r="M39" s="45">
        <v>169.12023463707811</v>
      </c>
      <c r="N39" s="45">
        <v>800.89358908663723</v>
      </c>
      <c r="O39" s="45">
        <v>690.85553477922974</v>
      </c>
      <c r="P39" s="45">
        <v>311.76575229778177</v>
      </c>
      <c r="Q39" s="45">
        <v>263.23486874491107</v>
      </c>
      <c r="R39" s="45">
        <v>197.85031429367001</v>
      </c>
      <c r="S39" s="45">
        <v>330.81276355279584</v>
      </c>
      <c r="T39" s="45">
        <v>373.30995932540509</v>
      </c>
      <c r="U39" s="45">
        <v>267.61257072439651</v>
      </c>
      <c r="V39" s="45">
        <v>199.70430825243076</v>
      </c>
      <c r="W39" s="45">
        <v>271.81552989814912</v>
      </c>
      <c r="X39" s="45">
        <v>208.42248222546115</v>
      </c>
      <c r="Y39" s="45">
        <v>272.18929091521568</v>
      </c>
      <c r="Z39" s="45">
        <v>158.22686436143692</v>
      </c>
      <c r="AA39" s="45">
        <v>147.91089115905785</v>
      </c>
    </row>
    <row r="40" spans="1:27" x14ac:dyDescent="0.25">
      <c r="A40" s="75" t="s">
        <v>267</v>
      </c>
      <c r="B40" s="76"/>
      <c r="C40" s="76"/>
      <c r="D40" s="45">
        <v>173.12294667015209</v>
      </c>
      <c r="E40" s="45">
        <v>198.4838557535634</v>
      </c>
      <c r="F40" s="45">
        <v>169.13589183748815</v>
      </c>
      <c r="G40" s="45">
        <v>206.1997798138722</v>
      </c>
      <c r="H40" s="45">
        <v>263.9346278813303</v>
      </c>
      <c r="I40" s="45">
        <v>276.77316047396891</v>
      </c>
      <c r="J40" s="45">
        <v>304.47037247988141</v>
      </c>
      <c r="K40" s="45">
        <v>289.22066023179877</v>
      </c>
      <c r="L40" s="45">
        <v>225.69019268751629</v>
      </c>
      <c r="M40" s="45">
        <v>151.97118362973541</v>
      </c>
      <c r="N40" s="45">
        <v>672.49905232837614</v>
      </c>
      <c r="O40" s="45">
        <v>577.88359924460894</v>
      </c>
      <c r="P40" s="45">
        <v>267.56703425579144</v>
      </c>
      <c r="Q40" s="45">
        <v>229.12250425546969</v>
      </c>
      <c r="R40" s="45">
        <v>168.45284991512295</v>
      </c>
      <c r="S40" s="45">
        <v>281.8601757153196</v>
      </c>
      <c r="T40" s="45">
        <v>308.0660521576043</v>
      </c>
      <c r="U40" s="45">
        <v>218.56605218028611</v>
      </c>
      <c r="V40" s="45">
        <v>166.50050293824751</v>
      </c>
      <c r="W40" s="45">
        <v>226.72453738719045</v>
      </c>
      <c r="X40" s="45">
        <v>172.40952990700467</v>
      </c>
      <c r="Y40" s="45">
        <v>213.95121199201409</v>
      </c>
      <c r="Z40" s="45">
        <v>92.668309734807522</v>
      </c>
      <c r="AA40" s="45">
        <v>42.897479555630291</v>
      </c>
    </row>
    <row r="41" spans="1:27" x14ac:dyDescent="0.25">
      <c r="A41" s="75" t="s">
        <v>268</v>
      </c>
      <c r="B41" s="76"/>
      <c r="C41" s="76"/>
      <c r="D41" s="45">
        <v>10.946095618307282</v>
      </c>
      <c r="E41" s="45">
        <v>4.0526690068675464</v>
      </c>
      <c r="F41" s="45">
        <v>8.7218044154030281</v>
      </c>
      <c r="G41" s="45">
        <v>4.9970235869340627</v>
      </c>
      <c r="H41" s="45">
        <v>9.3969837877864393</v>
      </c>
      <c r="I41" s="45">
        <v>10.715116916350951</v>
      </c>
      <c r="J41" s="45">
        <v>10.025617670800557</v>
      </c>
      <c r="K41" s="45">
        <v>27.160138413594723</v>
      </c>
      <c r="L41" s="45">
        <v>18.756719632622548</v>
      </c>
      <c r="M41" s="45">
        <v>17.149051007342706</v>
      </c>
      <c r="N41" s="45">
        <v>128.3945367582611</v>
      </c>
      <c r="O41" s="45">
        <v>112.9719355346208</v>
      </c>
      <c r="P41" s="45">
        <v>44.198718041990332</v>
      </c>
      <c r="Q41" s="45">
        <v>34.112364489441376</v>
      </c>
      <c r="R41" s="45">
        <v>29.397464378547056</v>
      </c>
      <c r="S41" s="45">
        <v>48.952587837476244</v>
      </c>
      <c r="T41" s="45">
        <v>65.243907167800785</v>
      </c>
      <c r="U41" s="45">
        <v>49.046518544110398</v>
      </c>
      <c r="V41" s="45">
        <v>33.203805314183256</v>
      </c>
      <c r="W41" s="45">
        <v>45.090992510958671</v>
      </c>
      <c r="X41" s="45">
        <v>36.012952318456485</v>
      </c>
      <c r="Y41" s="45">
        <v>58.238078923201584</v>
      </c>
      <c r="Z41" s="45">
        <v>65.558554626629402</v>
      </c>
      <c r="AA41" s="45">
        <v>105.01341160342756</v>
      </c>
    </row>
    <row r="42" spans="1:27" x14ac:dyDescent="0.25">
      <c r="A42" s="74" t="s">
        <v>13</v>
      </c>
      <c r="B42" s="44"/>
      <c r="C42" s="44"/>
      <c r="D42" s="45">
        <v>188.9098658625467</v>
      </c>
      <c r="E42" s="45">
        <v>231.43984962933672</v>
      </c>
      <c r="F42" s="45">
        <v>203.23918624000885</v>
      </c>
      <c r="G42" s="45">
        <v>241.33600830317314</v>
      </c>
      <c r="H42" s="45">
        <v>312.33787179113068</v>
      </c>
      <c r="I42" s="45">
        <v>328.51478896517386</v>
      </c>
      <c r="J42" s="45">
        <v>359.37668406031327</v>
      </c>
      <c r="K42" s="45">
        <v>361.530467409327</v>
      </c>
      <c r="L42" s="45">
        <v>279.33113149170345</v>
      </c>
      <c r="M42" s="45">
        <v>91.560998734993348</v>
      </c>
      <c r="N42" s="45">
        <v>49.301337940333724</v>
      </c>
      <c r="O42" s="45">
        <v>36.369555992366941</v>
      </c>
      <c r="P42" s="45">
        <v>18.618449258030978</v>
      </c>
      <c r="Q42" s="45">
        <v>14.856119319036111</v>
      </c>
      <c r="R42" s="45">
        <v>16.67321268658128</v>
      </c>
      <c r="S42" s="45">
        <v>34.919000567373871</v>
      </c>
      <c r="T42" s="45">
        <v>56.342612412942465</v>
      </c>
      <c r="U42" s="45">
        <v>42.385738389990024</v>
      </c>
      <c r="V42" s="45">
        <v>53.224136371053923</v>
      </c>
      <c r="W42" s="45">
        <v>61.245536698800208</v>
      </c>
      <c r="X42" s="45">
        <v>68.40609539274908</v>
      </c>
      <c r="Y42" s="45">
        <v>11.754774804749559</v>
      </c>
      <c r="Z42" s="45">
        <v>13.301534122469434</v>
      </c>
      <c r="AA42" s="45">
        <v>7.1215505913274049</v>
      </c>
    </row>
    <row r="43" spans="1:27" x14ac:dyDescent="0.25">
      <c r="A43" s="72" t="s">
        <v>265</v>
      </c>
      <c r="B43" s="65"/>
      <c r="C43" s="65"/>
      <c r="D43" s="66">
        <v>850.11687599818583</v>
      </c>
      <c r="E43" s="66">
        <v>872.79365248294334</v>
      </c>
      <c r="F43" s="66">
        <v>881.64695405497594</v>
      </c>
      <c r="G43" s="66">
        <v>637.84584656084644</v>
      </c>
      <c r="H43" s="66">
        <v>584.51261908691265</v>
      </c>
      <c r="I43" s="66">
        <v>669.56714478569018</v>
      </c>
      <c r="J43" s="66">
        <v>774.1280602835011</v>
      </c>
      <c r="K43" s="66">
        <v>760.23316287878777</v>
      </c>
      <c r="L43" s="66">
        <v>772.50461086824714</v>
      </c>
      <c r="M43" s="66">
        <v>721.58112476027566</v>
      </c>
      <c r="N43" s="66">
        <v>549.96056419410411</v>
      </c>
      <c r="O43" s="66">
        <v>686.83349431818169</v>
      </c>
      <c r="P43" s="66">
        <v>599.39691648907967</v>
      </c>
      <c r="Q43" s="66">
        <v>379.79171119535908</v>
      </c>
      <c r="R43" s="66">
        <v>559.49689174491346</v>
      </c>
      <c r="S43" s="66">
        <v>708.21097599999996</v>
      </c>
      <c r="T43" s="66">
        <v>639.87424061373463</v>
      </c>
      <c r="U43" s="66">
        <v>585.84090476190477</v>
      </c>
      <c r="V43" s="66">
        <v>505.33742829131921</v>
      </c>
      <c r="W43" s="66">
        <v>574.54539915608621</v>
      </c>
      <c r="X43" s="66">
        <v>544.26529155097171</v>
      </c>
      <c r="Y43" s="66">
        <v>526.96755077227897</v>
      </c>
      <c r="Z43" s="66">
        <v>605.16125933116859</v>
      </c>
      <c r="AA43" s="66">
        <v>572.9</v>
      </c>
    </row>
    <row r="44" spans="1:27" x14ac:dyDescent="0.25">
      <c r="A44" s="73" t="s">
        <v>266</v>
      </c>
      <c r="B44" s="65"/>
      <c r="C44" s="65"/>
      <c r="D44" s="66">
        <v>699.49947354930282</v>
      </c>
      <c r="E44" s="66">
        <v>714.08110378380434</v>
      </c>
      <c r="F44" s="66">
        <v>745.4441065048386</v>
      </c>
      <c r="G44" s="66">
        <v>535.75560846560836</v>
      </c>
      <c r="H44" s="66">
        <v>525.32898444181046</v>
      </c>
      <c r="I44" s="66">
        <v>581.07073911576106</v>
      </c>
      <c r="J44" s="66">
        <v>672.10444748906571</v>
      </c>
      <c r="K44" s="66">
        <v>651.69535511363631</v>
      </c>
      <c r="L44" s="66">
        <v>649.7177744450471</v>
      </c>
      <c r="M44" s="66">
        <v>546.93004509407547</v>
      </c>
      <c r="N44" s="66">
        <v>359.7885572190637</v>
      </c>
      <c r="O44" s="66">
        <v>494.20956168831157</v>
      </c>
      <c r="P44" s="66">
        <v>411.16965313003374</v>
      </c>
      <c r="Q44" s="66">
        <v>350.12253500104481</v>
      </c>
      <c r="R44" s="66">
        <v>459.31403654070658</v>
      </c>
      <c r="S44" s="66">
        <v>631.95427999999993</v>
      </c>
      <c r="T44" s="66">
        <v>531.63878417865783</v>
      </c>
      <c r="U44" s="66">
        <v>493.30526587301586</v>
      </c>
      <c r="V44" s="66">
        <v>413.77223284573046</v>
      </c>
      <c r="W44" s="66">
        <v>482.05394993282744</v>
      </c>
      <c r="X44" s="66">
        <v>446.65778622362842</v>
      </c>
      <c r="Y44" s="66">
        <v>423.35634349529425</v>
      </c>
      <c r="Z44" s="66">
        <v>501.92721855856456</v>
      </c>
      <c r="AA44" s="66">
        <v>446.2</v>
      </c>
    </row>
    <row r="45" spans="1:27" x14ac:dyDescent="0.25">
      <c r="A45" s="74" t="s">
        <v>20</v>
      </c>
      <c r="B45" s="44"/>
      <c r="C45" s="44"/>
      <c r="D45" s="45">
        <v>432.09501795976479</v>
      </c>
      <c r="E45" s="45">
        <v>436.57547315038147</v>
      </c>
      <c r="F45" s="45">
        <v>446.0598209585919</v>
      </c>
      <c r="G45" s="45">
        <v>378.15419800203841</v>
      </c>
      <c r="H45" s="45">
        <v>374.45638865122066</v>
      </c>
      <c r="I45" s="45">
        <v>393.82208407391846</v>
      </c>
      <c r="J45" s="45">
        <v>423.54927977202294</v>
      </c>
      <c r="K45" s="45">
        <v>417.06896644391048</v>
      </c>
      <c r="L45" s="45">
        <v>520.54460525866864</v>
      </c>
      <c r="M45" s="45">
        <v>357.89040795369073</v>
      </c>
      <c r="N45" s="45">
        <v>258.02234610871136</v>
      </c>
      <c r="O45" s="45">
        <v>380.06860243515348</v>
      </c>
      <c r="P45" s="45">
        <v>235.14718636235347</v>
      </c>
      <c r="Q45" s="45">
        <v>191.35943525613152</v>
      </c>
      <c r="R45" s="45">
        <v>141.19824151565584</v>
      </c>
      <c r="S45" s="45">
        <v>428.23543152936287</v>
      </c>
      <c r="T45" s="45">
        <v>341.77704810337229</v>
      </c>
      <c r="U45" s="45">
        <v>315.10486214865074</v>
      </c>
      <c r="V45" s="45">
        <v>263.68801582202002</v>
      </c>
      <c r="W45" s="45">
        <v>321.65946068829385</v>
      </c>
      <c r="X45" s="45">
        <v>268.54510567860819</v>
      </c>
      <c r="Y45" s="45">
        <v>251.78232592906281</v>
      </c>
      <c r="Z45" s="45">
        <v>309.86895635865278</v>
      </c>
      <c r="AA45" s="45">
        <v>257.4883288888156</v>
      </c>
    </row>
    <row r="46" spans="1:27" x14ac:dyDescent="0.25">
      <c r="A46" s="74" t="s">
        <v>12</v>
      </c>
      <c r="B46" s="44"/>
      <c r="C46" s="44"/>
      <c r="D46" s="45">
        <v>267.40445558953803</v>
      </c>
      <c r="E46" s="45">
        <v>277.50563063342287</v>
      </c>
      <c r="F46" s="45">
        <v>299.3842855462467</v>
      </c>
      <c r="G46" s="45">
        <v>157.60141046356995</v>
      </c>
      <c r="H46" s="45">
        <v>150.8725957905898</v>
      </c>
      <c r="I46" s="45">
        <v>187.2486550418426</v>
      </c>
      <c r="J46" s="45">
        <v>248.55516771704276</v>
      </c>
      <c r="K46" s="45">
        <v>234.62638866972583</v>
      </c>
      <c r="L46" s="45">
        <v>129.17316918637846</v>
      </c>
      <c r="M46" s="45">
        <v>189.03963714038474</v>
      </c>
      <c r="N46" s="45">
        <v>101.76621111035234</v>
      </c>
      <c r="O46" s="45">
        <v>114.14095925315809</v>
      </c>
      <c r="P46" s="45">
        <v>176.02246676768027</v>
      </c>
      <c r="Q46" s="45">
        <v>158.76309974491329</v>
      </c>
      <c r="R46" s="45">
        <v>318.11579502505072</v>
      </c>
      <c r="S46" s="45">
        <v>203.71884847063706</v>
      </c>
      <c r="T46" s="45">
        <v>189.86173607528553</v>
      </c>
      <c r="U46" s="45">
        <v>178.20040372436512</v>
      </c>
      <c r="V46" s="45">
        <v>150.08421702371044</v>
      </c>
      <c r="W46" s="45">
        <v>160.39448924453359</v>
      </c>
      <c r="X46" s="45">
        <v>178.11268054502023</v>
      </c>
      <c r="Y46" s="45">
        <v>171.57401756623145</v>
      </c>
      <c r="Z46" s="45">
        <v>192.05826219991178</v>
      </c>
      <c r="AA46" s="45">
        <v>188.71167111118439</v>
      </c>
    </row>
    <row r="47" spans="1:27" x14ac:dyDescent="0.25">
      <c r="A47" s="73" t="s">
        <v>11</v>
      </c>
      <c r="B47" s="65"/>
      <c r="C47" s="65"/>
      <c r="D47" s="66">
        <v>150.61740244888301</v>
      </c>
      <c r="E47" s="66">
        <v>158.71254869913906</v>
      </c>
      <c r="F47" s="66">
        <v>136.20284755013734</v>
      </c>
      <c r="G47" s="66">
        <v>102.09023809523808</v>
      </c>
      <c r="H47" s="66">
        <v>59.183634645102238</v>
      </c>
      <c r="I47" s="66">
        <v>88.496405669929132</v>
      </c>
      <c r="J47" s="66">
        <v>102.02361279443537</v>
      </c>
      <c r="K47" s="66">
        <v>108.5378077651515</v>
      </c>
      <c r="L47" s="66">
        <v>122.78683642320004</v>
      </c>
      <c r="M47" s="66">
        <v>174.65107966620016</v>
      </c>
      <c r="N47" s="66">
        <v>190.17200697504046</v>
      </c>
      <c r="O47" s="66">
        <v>192.6239326298701</v>
      </c>
      <c r="P47" s="66">
        <v>188.22726335904593</v>
      </c>
      <c r="Q47" s="66">
        <v>29.669176194314261</v>
      </c>
      <c r="R47" s="66">
        <v>100.18285520420685</v>
      </c>
      <c r="S47" s="66">
        <v>76.256695999999991</v>
      </c>
      <c r="T47" s="66">
        <v>108.23545643507686</v>
      </c>
      <c r="U47" s="66">
        <v>92.535638888888897</v>
      </c>
      <c r="V47" s="66">
        <v>91.565195445588756</v>
      </c>
      <c r="W47" s="66">
        <v>92.491449223258712</v>
      </c>
      <c r="X47" s="66">
        <v>97.607505327343318</v>
      </c>
      <c r="Y47" s="66">
        <v>103.61120727698473</v>
      </c>
      <c r="Z47" s="66">
        <v>103.23404077260402</v>
      </c>
      <c r="AA47" s="66">
        <v>126.7</v>
      </c>
    </row>
    <row r="48" spans="1:27" x14ac:dyDescent="0.25">
      <c r="A48" s="72" t="s">
        <v>4</v>
      </c>
      <c r="B48" s="65"/>
      <c r="C48" s="65"/>
      <c r="D48" s="66">
        <v>761.41129009996632</v>
      </c>
      <c r="E48" s="66">
        <v>776.76378494460164</v>
      </c>
      <c r="F48" s="66">
        <v>832.37705441944797</v>
      </c>
      <c r="G48" s="66">
        <v>801.45199735449717</v>
      </c>
      <c r="H48" s="66">
        <v>788.58729239494096</v>
      </c>
      <c r="I48" s="66">
        <v>834.87175160310505</v>
      </c>
      <c r="J48" s="66">
        <v>905.00332507772566</v>
      </c>
      <c r="K48" s="66">
        <v>1050.2399384469695</v>
      </c>
      <c r="L48" s="66">
        <v>1038.7064722337448</v>
      </c>
      <c r="M48" s="66">
        <v>732.24892759031775</v>
      </c>
      <c r="N48" s="66">
        <v>676.69652589328996</v>
      </c>
      <c r="O48" s="66">
        <v>759.78696428571413</v>
      </c>
      <c r="P48" s="66">
        <v>644.80377384918597</v>
      </c>
      <c r="Q48" s="66">
        <v>604.80484392568906</v>
      </c>
      <c r="R48" s="66">
        <v>671.00133111148807</v>
      </c>
      <c r="S48" s="66">
        <v>683.40775999999994</v>
      </c>
      <c r="T48" s="66">
        <v>743.20796891160489</v>
      </c>
      <c r="U48" s="66">
        <v>789.49784126984127</v>
      </c>
      <c r="V48" s="66">
        <v>785.53973267586218</v>
      </c>
      <c r="W48" s="66">
        <v>862.25496792749118</v>
      </c>
      <c r="X48" s="66">
        <v>817.37157827735371</v>
      </c>
      <c r="Y48" s="66">
        <v>827.93909668122683</v>
      </c>
      <c r="Z48" s="66">
        <v>837.35504301543176</v>
      </c>
      <c r="AA48" s="66">
        <v>800.90000000000009</v>
      </c>
    </row>
    <row r="49" spans="1:27" x14ac:dyDescent="0.25">
      <c r="A49" s="77" t="s">
        <v>10</v>
      </c>
      <c r="B49" s="44"/>
      <c r="C49" s="44"/>
      <c r="D49" s="45">
        <v>300.43112674645761</v>
      </c>
      <c r="E49" s="45">
        <v>378.90645316747322</v>
      </c>
      <c r="F49" s="45">
        <v>405.87784438138709</v>
      </c>
      <c r="G49" s="45">
        <v>407.2634523471848</v>
      </c>
      <c r="H49" s="45">
        <v>482.17448994215266</v>
      </c>
      <c r="I49" s="45">
        <v>493.68136482086584</v>
      </c>
      <c r="J49" s="45">
        <v>532.65883366208027</v>
      </c>
      <c r="K49" s="45">
        <v>566.97053128993639</v>
      </c>
      <c r="L49" s="45">
        <v>579.56270071756353</v>
      </c>
      <c r="M49" s="45">
        <v>431.1933378598539</v>
      </c>
      <c r="N49" s="45">
        <v>348.23502504461192</v>
      </c>
      <c r="O49" s="45">
        <v>397.0534534944328</v>
      </c>
      <c r="P49" s="45">
        <v>348.89210845996979</v>
      </c>
      <c r="Q49" s="45">
        <v>359.79464034865157</v>
      </c>
      <c r="R49" s="45">
        <v>335.45892903483445</v>
      </c>
      <c r="S49" s="45">
        <v>331.41691398870933</v>
      </c>
      <c r="T49" s="45">
        <v>345.33750549068952</v>
      </c>
      <c r="U49" s="45">
        <v>387.64664626613501</v>
      </c>
      <c r="V49" s="45">
        <v>374.01774435650077</v>
      </c>
      <c r="W49" s="45">
        <v>402.6165858700104</v>
      </c>
      <c r="X49" s="45">
        <v>417.24744736138587</v>
      </c>
      <c r="Y49" s="45">
        <v>438.78915171605428</v>
      </c>
      <c r="Z49" s="45">
        <v>432.26320313995467</v>
      </c>
      <c r="AA49" s="45">
        <v>411.90329573447428</v>
      </c>
    </row>
    <row r="50" spans="1:27" x14ac:dyDescent="0.25">
      <c r="A50" s="77" t="s">
        <v>18</v>
      </c>
      <c r="B50" s="44"/>
      <c r="C50" s="44"/>
      <c r="D50" s="45">
        <v>132.89633827714462</v>
      </c>
      <c r="E50" s="45">
        <v>163.85768533550694</v>
      </c>
      <c r="F50" s="45">
        <v>171.55019032776221</v>
      </c>
      <c r="G50" s="45">
        <v>173.60403799086589</v>
      </c>
      <c r="H50" s="45">
        <v>210.52058724987842</v>
      </c>
      <c r="I50" s="45">
        <v>211.47934492951097</v>
      </c>
      <c r="J50" s="45">
        <v>220.48946364528234</v>
      </c>
      <c r="K50" s="45">
        <v>245.64312762368971</v>
      </c>
      <c r="L50" s="45">
        <v>222.57885940235593</v>
      </c>
      <c r="M50" s="45">
        <v>156.7908623039086</v>
      </c>
      <c r="N50" s="45">
        <v>169.41618219716977</v>
      </c>
      <c r="O50" s="45">
        <v>180.72984197618194</v>
      </c>
      <c r="P50" s="45">
        <v>168.1203629696418</v>
      </c>
      <c r="Q50" s="45">
        <v>191.38912805075478</v>
      </c>
      <c r="R50" s="45">
        <v>189.02942960020363</v>
      </c>
      <c r="S50" s="45">
        <v>213.08957297911829</v>
      </c>
      <c r="T50" s="45">
        <v>238.89823864724517</v>
      </c>
      <c r="U50" s="45">
        <v>225.61305016907582</v>
      </c>
      <c r="V50" s="45">
        <v>232.17351794180527</v>
      </c>
      <c r="W50" s="45">
        <v>274.34445505287096</v>
      </c>
      <c r="X50" s="45">
        <v>232.04789816149713</v>
      </c>
      <c r="Y50" s="45">
        <v>216.10440498626397</v>
      </c>
      <c r="Z50" s="45">
        <v>208.61799367489564</v>
      </c>
      <c r="AA50" s="45">
        <v>183.3232594321276</v>
      </c>
    </row>
    <row r="51" spans="1:27" x14ac:dyDescent="0.25">
      <c r="A51" s="77" t="s">
        <v>9</v>
      </c>
      <c r="B51" s="44"/>
      <c r="C51" s="44"/>
      <c r="D51" s="45">
        <v>328.08382507636406</v>
      </c>
      <c r="E51" s="45">
        <v>233.99964644162148</v>
      </c>
      <c r="F51" s="45">
        <v>254.94901971029867</v>
      </c>
      <c r="G51" s="45">
        <v>220.58450701644648</v>
      </c>
      <c r="H51" s="45">
        <v>95.892215202909881</v>
      </c>
      <c r="I51" s="45">
        <v>129.71104185272824</v>
      </c>
      <c r="J51" s="45">
        <v>151.85502777036305</v>
      </c>
      <c r="K51" s="45">
        <v>237.62627953334342</v>
      </c>
      <c r="L51" s="45">
        <v>236.5649121138253</v>
      </c>
      <c r="M51" s="45">
        <v>144.26472742655525</v>
      </c>
      <c r="N51" s="45">
        <v>159.04531865150827</v>
      </c>
      <c r="O51" s="45">
        <v>182.00366881509939</v>
      </c>
      <c r="P51" s="45">
        <v>127.79130241957438</v>
      </c>
      <c r="Q51" s="45">
        <v>53.621075526282709</v>
      </c>
      <c r="R51" s="45">
        <v>146.51297247644999</v>
      </c>
      <c r="S51" s="45">
        <v>138.90127303217233</v>
      </c>
      <c r="T51" s="45">
        <v>158.97222477367021</v>
      </c>
      <c r="U51" s="45">
        <v>176.23814483463045</v>
      </c>
      <c r="V51" s="45">
        <v>179.34847037755614</v>
      </c>
      <c r="W51" s="45">
        <v>185.29392700460983</v>
      </c>
      <c r="X51" s="45">
        <v>168.07623275447071</v>
      </c>
      <c r="Y51" s="45">
        <v>173.04553997890858</v>
      </c>
      <c r="Z51" s="45">
        <v>196.47384620058145</v>
      </c>
      <c r="AA51" s="45">
        <v>205.67344483339821</v>
      </c>
    </row>
    <row r="52" spans="1:27" x14ac:dyDescent="0.25">
      <c r="A52" s="72" t="s">
        <v>3</v>
      </c>
      <c r="B52" s="65"/>
      <c r="C52" s="65"/>
      <c r="D52" s="66">
        <v>756.72888380621885</v>
      </c>
      <c r="E52" s="66">
        <v>862.0122313232863</v>
      </c>
      <c r="F52" s="66">
        <v>734.31100418334916</v>
      </c>
      <c r="G52" s="66">
        <v>638.28212962962971</v>
      </c>
      <c r="H52" s="66">
        <v>558.1867882915999</v>
      </c>
      <c r="I52" s="66">
        <v>564.37330408369883</v>
      </c>
      <c r="J52" s="66">
        <v>653.15968804342094</v>
      </c>
      <c r="K52" s="66">
        <v>671.84122159090907</v>
      </c>
      <c r="L52" s="66">
        <v>630.49286405650037</v>
      </c>
      <c r="M52" s="66">
        <v>582.62615456383139</v>
      </c>
      <c r="N52" s="66">
        <v>602.91468782566517</v>
      </c>
      <c r="O52" s="66">
        <v>609.32879870129852</v>
      </c>
      <c r="P52" s="66">
        <v>658.1354383647988</v>
      </c>
      <c r="Q52" s="66">
        <v>603.49204851886122</v>
      </c>
      <c r="R52" s="66">
        <v>611.10225211291481</v>
      </c>
      <c r="S52" s="66">
        <v>659.26420399999984</v>
      </c>
      <c r="T52" s="66">
        <v>675.90856637914578</v>
      </c>
      <c r="U52" s="66">
        <v>615.94443650793653</v>
      </c>
      <c r="V52" s="66">
        <v>653.8907523708757</v>
      </c>
      <c r="W52" s="66">
        <v>614.11326609775017</v>
      </c>
      <c r="X52" s="66">
        <v>517.7335756390504</v>
      </c>
      <c r="Y52" s="66">
        <v>479.32065384788581</v>
      </c>
      <c r="Z52" s="66">
        <v>534.4983865028621</v>
      </c>
      <c r="AA52" s="66">
        <v>548.60000000000014</v>
      </c>
    </row>
    <row r="53" spans="1:27" x14ac:dyDescent="0.25">
      <c r="A53" s="73" t="s">
        <v>21</v>
      </c>
      <c r="B53" s="65"/>
      <c r="C53" s="65"/>
      <c r="D53" s="66">
        <v>556.68608158999939</v>
      </c>
      <c r="E53" s="66">
        <v>652.90280697086598</v>
      </c>
      <c r="F53" s="66">
        <v>544.81139020054934</v>
      </c>
      <c r="G53" s="66">
        <v>440.42775793650787</v>
      </c>
      <c r="H53" s="66">
        <v>374.69772703404198</v>
      </c>
      <c r="I53" s="66">
        <v>380.70151873101582</v>
      </c>
      <c r="J53" s="66">
        <v>433.29619539442484</v>
      </c>
      <c r="K53" s="66">
        <v>446.80096117424239</v>
      </c>
      <c r="L53" s="66">
        <v>394.74213812395629</v>
      </c>
      <c r="M53" s="66">
        <v>398.67493909708179</v>
      </c>
      <c r="N53" s="66">
        <v>381.02465821269743</v>
      </c>
      <c r="O53" s="66">
        <v>401.57873376623371</v>
      </c>
      <c r="P53" s="66">
        <v>436.90900541265222</v>
      </c>
      <c r="Q53" s="66">
        <v>400.6651581639253</v>
      </c>
      <c r="R53" s="66">
        <v>404.15422533103163</v>
      </c>
      <c r="S53" s="66">
        <v>458.72756399999992</v>
      </c>
      <c r="T53" s="66">
        <v>484.4762107503991</v>
      </c>
      <c r="U53" s="66">
        <v>417.39201190476189</v>
      </c>
      <c r="V53" s="66">
        <v>429.9081973578202</v>
      </c>
      <c r="W53" s="66">
        <v>434.37279797157936</v>
      </c>
      <c r="X53" s="66">
        <v>357.81304945435079</v>
      </c>
      <c r="Y53" s="66">
        <v>311.54654298194259</v>
      </c>
      <c r="Z53" s="66">
        <v>386.65840725738957</v>
      </c>
      <c r="AA53" s="66">
        <v>409.2</v>
      </c>
    </row>
    <row r="54" spans="1:27" x14ac:dyDescent="0.25">
      <c r="A54" s="74" t="s">
        <v>8</v>
      </c>
      <c r="B54" s="44"/>
      <c r="C54" s="44"/>
      <c r="D54" s="45">
        <v>41.180097134059245</v>
      </c>
      <c r="E54" s="45">
        <v>49.903300323172779</v>
      </c>
      <c r="F54" s="45">
        <v>39.120211040817161</v>
      </c>
      <c r="G54" s="45">
        <v>35.226172419002701</v>
      </c>
      <c r="H54" s="45">
        <v>27.478730704097522</v>
      </c>
      <c r="I54" s="45">
        <v>30.410934875356023</v>
      </c>
      <c r="J54" s="45">
        <v>34.376479633687524</v>
      </c>
      <c r="K54" s="45">
        <v>36.490199777984913</v>
      </c>
      <c r="L54" s="45">
        <v>33.423101672582035</v>
      </c>
      <c r="M54" s="45">
        <v>33.629864924061735</v>
      </c>
      <c r="N54" s="45">
        <v>28.311374703414714</v>
      </c>
      <c r="O54" s="45">
        <v>32.671521972265673</v>
      </c>
      <c r="P54" s="45">
        <v>35.72859886691537</v>
      </c>
      <c r="Q54" s="45">
        <v>32.830657612263195</v>
      </c>
      <c r="R54" s="45">
        <v>31.901074543090541</v>
      </c>
      <c r="S54" s="45">
        <v>35.397094085965499</v>
      </c>
      <c r="T54" s="45">
        <v>35.906736965935288</v>
      </c>
      <c r="U54" s="45">
        <v>32.27908399970412</v>
      </c>
      <c r="V54" s="45">
        <v>31.954418053999333</v>
      </c>
      <c r="W54" s="45">
        <v>32.124654166044195</v>
      </c>
      <c r="X54" s="45">
        <v>24.971189690013791</v>
      </c>
      <c r="Y54" s="45">
        <v>22.075984860477028</v>
      </c>
      <c r="Z54" s="45">
        <v>26.533297908883835</v>
      </c>
      <c r="AA54" s="45">
        <v>26.979296661519673</v>
      </c>
    </row>
    <row r="55" spans="1:27" x14ac:dyDescent="0.25">
      <c r="A55" s="74" t="s">
        <v>17</v>
      </c>
      <c r="B55" s="44"/>
      <c r="C55" s="44"/>
      <c r="D55" s="45">
        <v>515.50598445594017</v>
      </c>
      <c r="E55" s="45">
        <v>602.99950664769324</v>
      </c>
      <c r="F55" s="45">
        <v>505.6911791597322</v>
      </c>
      <c r="G55" s="45">
        <v>405.20158551750518</v>
      </c>
      <c r="H55" s="45">
        <v>347.21899632994445</v>
      </c>
      <c r="I55" s="45">
        <v>350.2905838556598</v>
      </c>
      <c r="J55" s="45">
        <v>398.91971576073729</v>
      </c>
      <c r="K55" s="45">
        <v>410.31076139625748</v>
      </c>
      <c r="L55" s="45">
        <v>361.31903645137425</v>
      </c>
      <c r="M55" s="45">
        <v>365.04507417302005</v>
      </c>
      <c r="N55" s="45">
        <v>352.71328350928275</v>
      </c>
      <c r="O55" s="45">
        <v>368.90721179396803</v>
      </c>
      <c r="P55" s="45">
        <v>401.18040654573684</v>
      </c>
      <c r="Q55" s="45">
        <v>367.83450055166213</v>
      </c>
      <c r="R55" s="45">
        <v>372.25315078794108</v>
      </c>
      <c r="S55" s="45">
        <v>423.33046991403444</v>
      </c>
      <c r="T55" s="45">
        <v>448.56947378446381</v>
      </c>
      <c r="U55" s="45">
        <v>385.11292790505775</v>
      </c>
      <c r="V55" s="45">
        <v>397.95377930382085</v>
      </c>
      <c r="W55" s="45">
        <v>402.24814380553516</v>
      </c>
      <c r="X55" s="45">
        <v>332.84185976433702</v>
      </c>
      <c r="Y55" s="45">
        <v>289.47055812146556</v>
      </c>
      <c r="Z55" s="45">
        <v>360.12510934850576</v>
      </c>
      <c r="AA55" s="45">
        <v>382.22070333848029</v>
      </c>
    </row>
    <row r="56" spans="1:27" x14ac:dyDescent="0.25">
      <c r="A56" s="73" t="s">
        <v>16</v>
      </c>
      <c r="B56" s="65"/>
      <c r="C56" s="65"/>
      <c r="D56" s="66">
        <v>200.04280221621948</v>
      </c>
      <c r="E56" s="66">
        <v>209.10942435242029</v>
      </c>
      <c r="F56" s="66">
        <v>189.49961398279979</v>
      </c>
      <c r="G56" s="66">
        <v>197.85437169312178</v>
      </c>
      <c r="H56" s="66">
        <v>183.48906125755786</v>
      </c>
      <c r="I56" s="66">
        <v>183.67178535268297</v>
      </c>
      <c r="J56" s="66">
        <v>219.86349264899613</v>
      </c>
      <c r="K56" s="66">
        <v>225.04026041666668</v>
      </c>
      <c r="L56" s="66">
        <v>235.7507259325441</v>
      </c>
      <c r="M56" s="66">
        <v>183.95121546674957</v>
      </c>
      <c r="N56" s="66">
        <v>221.89002961296779</v>
      </c>
      <c r="O56" s="66">
        <v>207.75006493506481</v>
      </c>
      <c r="P56" s="66">
        <v>221.22643295214658</v>
      </c>
      <c r="Q56" s="66">
        <v>202.82689035493595</v>
      </c>
      <c r="R56" s="66">
        <v>206.94802678188319</v>
      </c>
      <c r="S56" s="66">
        <v>200.53663999999998</v>
      </c>
      <c r="T56" s="66">
        <v>191.43235562874671</v>
      </c>
      <c r="U56" s="66">
        <v>198.55242460317467</v>
      </c>
      <c r="V56" s="66">
        <v>223.98255501305553</v>
      </c>
      <c r="W56" s="66">
        <v>179.74046812617078</v>
      </c>
      <c r="X56" s="66">
        <v>159.92052618469961</v>
      </c>
      <c r="Y56" s="66">
        <v>167.77411086594321</v>
      </c>
      <c r="Z56" s="66">
        <v>147.83997924547259</v>
      </c>
      <c r="AA56" s="66">
        <v>139.40000000000009</v>
      </c>
    </row>
    <row r="57" spans="1:27" x14ac:dyDescent="0.25">
      <c r="A57" s="72" t="s">
        <v>2</v>
      </c>
      <c r="B57" s="65"/>
      <c r="C57" s="65"/>
      <c r="D57" s="66">
        <v>1454.4074215746198</v>
      </c>
      <c r="E57" s="66">
        <v>1816.7948307645527</v>
      </c>
      <c r="F57" s="66">
        <v>1352.5534948022334</v>
      </c>
      <c r="G57" s="66">
        <v>1248.8602843915342</v>
      </c>
      <c r="H57" s="66">
        <v>1275.5161928195278</v>
      </c>
      <c r="I57" s="66">
        <v>1337.2790190122623</v>
      </c>
      <c r="J57" s="66">
        <v>1465.0034620856825</v>
      </c>
      <c r="K57" s="66">
        <v>1425.0467566287878</v>
      </c>
      <c r="L57" s="66">
        <v>1415.0656668474849</v>
      </c>
      <c r="M57" s="66">
        <v>1214.0780220805473</v>
      </c>
      <c r="N57" s="66">
        <v>1204.7403448311441</v>
      </c>
      <c r="O57" s="66">
        <v>1318.7845616883114</v>
      </c>
      <c r="P57" s="66">
        <v>1313.7629398405218</v>
      </c>
      <c r="Q57" s="66">
        <v>1171.6699005940475</v>
      </c>
      <c r="R57" s="66">
        <v>1176.2599359390122</v>
      </c>
      <c r="S57" s="66">
        <v>1267.7345879999998</v>
      </c>
      <c r="T57" s="66">
        <v>1102.6238725938124</v>
      </c>
      <c r="U57" s="66">
        <v>1157.6771230158729</v>
      </c>
      <c r="V57" s="66">
        <v>1415.6107279098435</v>
      </c>
      <c r="W57" s="66">
        <v>1473.24773978694</v>
      </c>
      <c r="X57" s="66">
        <v>1516.9326014962683</v>
      </c>
      <c r="Y57" s="66">
        <v>1497.3720574593597</v>
      </c>
      <c r="Z57" s="66">
        <v>1493.9677066247111</v>
      </c>
      <c r="AA57" s="66">
        <v>1618.4</v>
      </c>
    </row>
    <row r="58" spans="1:27" x14ac:dyDescent="0.25">
      <c r="A58" s="72" t="s">
        <v>269</v>
      </c>
      <c r="B58" s="65"/>
      <c r="C58" s="65"/>
      <c r="D58" s="66">
        <v>893.29906737385875</v>
      </c>
      <c r="E58" s="66">
        <v>1017.716011326707</v>
      </c>
      <c r="F58" s="66">
        <v>1098.1502630303248</v>
      </c>
      <c r="G58" s="66">
        <v>1582.1805489417986</v>
      </c>
      <c r="H58" s="66">
        <v>1654.5685685565538</v>
      </c>
      <c r="I58" s="66">
        <v>1610.0037912026098</v>
      </c>
      <c r="J58" s="66">
        <v>1763.7744849027767</v>
      </c>
      <c r="K58" s="66">
        <v>2476.3798816287876</v>
      </c>
      <c r="L58" s="66">
        <v>2601.6776540412902</v>
      </c>
      <c r="M58" s="66">
        <v>1684.8290136318872</v>
      </c>
      <c r="N58" s="66">
        <v>2689.7699970077488</v>
      </c>
      <c r="O58" s="66">
        <v>2758.9797605519475</v>
      </c>
      <c r="P58" s="66">
        <v>2807.8333423377453</v>
      </c>
      <c r="Q58" s="66">
        <v>3006.170202095585</v>
      </c>
      <c r="R58" s="66">
        <v>3739.4139317680629</v>
      </c>
      <c r="S58" s="66">
        <v>4068.2551519999993</v>
      </c>
      <c r="T58" s="66">
        <v>3983.7801841605828</v>
      </c>
      <c r="U58" s="66">
        <v>3668.7043253968254</v>
      </c>
      <c r="V58" s="66">
        <v>4490.4084099358379</v>
      </c>
      <c r="W58" s="66">
        <v>5498.6853071959731</v>
      </c>
      <c r="X58" s="66">
        <v>5220.5410735865235</v>
      </c>
      <c r="Y58" s="66">
        <v>4320.6586355653626</v>
      </c>
      <c r="Z58" s="66">
        <v>4134.6613463662834</v>
      </c>
      <c r="AA58" s="66">
        <v>4762.1000000000004</v>
      </c>
    </row>
    <row r="59" spans="1:27" x14ac:dyDescent="0.25">
      <c r="A59" s="72" t="s">
        <v>270</v>
      </c>
      <c r="B59" s="65"/>
      <c r="C59" s="65"/>
      <c r="D59" s="66">
        <v>2537.8642112112307</v>
      </c>
      <c r="E59" s="66">
        <v>2840.0269180334099</v>
      </c>
      <c r="F59" s="66">
        <v>2752.2450185826883</v>
      </c>
      <c r="G59" s="66">
        <v>3110.6982804232803</v>
      </c>
      <c r="H59" s="66">
        <v>3326.5557319250438</v>
      </c>
      <c r="I59" s="66">
        <v>3848.944301946226</v>
      </c>
      <c r="J59" s="66">
        <v>4471.8322548347996</v>
      </c>
      <c r="K59" s="66">
        <v>4958.6942045454543</v>
      </c>
      <c r="L59" s="66">
        <v>5558.3846751119472</v>
      </c>
      <c r="M59" s="66">
        <v>3868.035892810864</v>
      </c>
      <c r="N59" s="66">
        <v>4919.6967301918139</v>
      </c>
      <c r="O59" s="66">
        <v>5725.8434456168816</v>
      </c>
      <c r="P59" s="66">
        <v>5495.2857139998596</v>
      </c>
      <c r="Q59" s="66">
        <v>5300.9365732310416</v>
      </c>
      <c r="R59" s="66">
        <v>6295.8539648961741</v>
      </c>
      <c r="S59" s="66">
        <v>6629.3191359999983</v>
      </c>
      <c r="T59" s="66">
        <v>6368.4046833422035</v>
      </c>
      <c r="U59" s="66">
        <v>6169.1298492063488</v>
      </c>
      <c r="V59" s="66">
        <v>6755.7185389386614</v>
      </c>
      <c r="W59" s="66">
        <v>6976.176919147003</v>
      </c>
      <c r="X59" s="66">
        <v>6017.5878970139183</v>
      </c>
      <c r="Y59" s="66">
        <v>6196.8294645832393</v>
      </c>
      <c r="Z59" s="66">
        <v>6063.5369531014621</v>
      </c>
      <c r="AA59" s="66">
        <v>6374.7</v>
      </c>
    </row>
    <row r="60" spans="1:27" x14ac:dyDescent="0.25">
      <c r="A60" s="72" t="s">
        <v>1</v>
      </c>
      <c r="B60" s="65"/>
      <c r="C60" s="65"/>
      <c r="D60" s="66">
        <v>1013.7409625963679</v>
      </c>
      <c r="E60" s="66">
        <v>881.56922784545509</v>
      </c>
      <c r="F60" s="66">
        <v>859.61762392947549</v>
      </c>
      <c r="G60" s="66">
        <v>840.71747354497336</v>
      </c>
      <c r="H60" s="66">
        <v>780.07593356638108</v>
      </c>
      <c r="I60" s="66">
        <v>874.945595680054</v>
      </c>
      <c r="J60" s="66">
        <v>832.52658481319486</v>
      </c>
      <c r="K60" s="66">
        <v>880.79602272727266</v>
      </c>
      <c r="L60" s="66">
        <v>635.82532095259364</v>
      </c>
      <c r="M60" s="66">
        <v>540.63877675840979</v>
      </c>
      <c r="N60" s="66">
        <v>876.26142369243792</v>
      </c>
      <c r="O60" s="66">
        <v>776.11783279220765</v>
      </c>
      <c r="P60" s="66">
        <v>762.41281427899673</v>
      </c>
      <c r="Q60" s="66">
        <v>725.97585997591966</v>
      </c>
      <c r="R60" s="66">
        <v>849.38210483251339</v>
      </c>
      <c r="S60" s="66">
        <v>853.86390399999993</v>
      </c>
      <c r="T60" s="66">
        <v>785.07137678612662</v>
      </c>
      <c r="U60" s="66">
        <v>689.50176190476179</v>
      </c>
      <c r="V60" s="66">
        <v>830.48991953096936</v>
      </c>
      <c r="W60" s="66">
        <v>778.62572234100924</v>
      </c>
      <c r="X60" s="66">
        <v>690.31143418540069</v>
      </c>
      <c r="Y60" s="66">
        <v>642.22313684874132</v>
      </c>
      <c r="Z60" s="66">
        <v>657.16471730325043</v>
      </c>
      <c r="AA60" s="66">
        <v>593.20000000000005</v>
      </c>
    </row>
    <row r="61" spans="1:27" x14ac:dyDescent="0.25">
      <c r="A61" s="72" t="s">
        <v>0</v>
      </c>
      <c r="B61" s="65"/>
      <c r="C61" s="65"/>
      <c r="D61" s="66">
        <v>317.88336060886877</v>
      </c>
      <c r="E61" s="66">
        <v>335.47770957258786</v>
      </c>
      <c r="F61" s="66">
        <v>346.07367003608806</v>
      </c>
      <c r="G61" s="66">
        <v>377.38485449735447</v>
      </c>
      <c r="H61" s="66">
        <v>453.47728084257267</v>
      </c>
      <c r="I61" s="66">
        <v>501.10857801777479</v>
      </c>
      <c r="J61" s="66">
        <v>629.17457975443949</v>
      </c>
      <c r="K61" s="66">
        <v>675.74545928030295</v>
      </c>
      <c r="L61" s="66">
        <v>717.07512471148834</v>
      </c>
      <c r="M61" s="66">
        <v>565.80385010107284</v>
      </c>
      <c r="N61" s="66">
        <v>580.31729830679853</v>
      </c>
      <c r="O61" s="66">
        <v>550.29672483766228</v>
      </c>
      <c r="P61" s="66">
        <v>476.37601224600053</v>
      </c>
      <c r="Q61" s="66">
        <v>474.96937819039374</v>
      </c>
      <c r="R61" s="66">
        <v>636.77328596944619</v>
      </c>
      <c r="S61" s="66">
        <v>651.34828399999992</v>
      </c>
      <c r="T61" s="66">
        <v>570.45517185978088</v>
      </c>
      <c r="U61" s="66">
        <v>621.83425793650792</v>
      </c>
      <c r="V61" s="66">
        <v>588.45045184962282</v>
      </c>
      <c r="W61" s="66">
        <v>617.85785918371209</v>
      </c>
      <c r="X61" s="66">
        <v>653.06966781362132</v>
      </c>
      <c r="Y61" s="66">
        <v>663.13549061106858</v>
      </c>
      <c r="Z61" s="66">
        <v>682.78000870351138</v>
      </c>
      <c r="AA61" s="66">
        <v>597.6</v>
      </c>
    </row>
    <row r="62" spans="1:27" x14ac:dyDescent="0.25">
      <c r="A62" s="78" t="s">
        <v>271</v>
      </c>
      <c r="B62" s="79"/>
      <c r="C62" s="79"/>
      <c r="D62" s="80">
        <v>832.94805292111118</v>
      </c>
      <c r="E62" s="80">
        <v>928.95733480301783</v>
      </c>
      <c r="F62" s="80">
        <v>1139.3664290715835</v>
      </c>
      <c r="G62" s="80">
        <v>1250.8235582010579</v>
      </c>
      <c r="H62" s="80">
        <v>1252.7532564175654</v>
      </c>
      <c r="I62" s="80">
        <v>1404.2542861964225</v>
      </c>
      <c r="J62" s="80">
        <v>1455.0965695315381</v>
      </c>
      <c r="K62" s="80">
        <v>1434.4169270833331</v>
      </c>
      <c r="L62" s="80">
        <v>1333.53520746248</v>
      </c>
      <c r="M62" s="80">
        <v>1385.309934173016</v>
      </c>
      <c r="N62" s="80">
        <v>1443.9187387145703</v>
      </c>
      <c r="O62" s="80">
        <v>1630.9450974025972</v>
      </c>
      <c r="P62" s="80">
        <v>1843.0696201138558</v>
      </c>
      <c r="Q62" s="80">
        <v>2028.5314626307254</v>
      </c>
      <c r="R62" s="80">
        <v>2124.9033716834465</v>
      </c>
      <c r="S62" s="80">
        <v>2240.733088</v>
      </c>
      <c r="T62" s="80">
        <v>2383.6971452097159</v>
      </c>
      <c r="U62" s="80">
        <v>2333.4163650793653</v>
      </c>
      <c r="V62" s="80">
        <v>2348.4231525611281</v>
      </c>
      <c r="W62" s="80">
        <v>2449.0886979886091</v>
      </c>
      <c r="X62" s="80">
        <v>2210.8951892475297</v>
      </c>
      <c r="Y62" s="80">
        <v>2172.3895672535687</v>
      </c>
      <c r="Z62" s="80">
        <v>2058.6082248183975</v>
      </c>
      <c r="AA62" s="80">
        <v>1900.5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1.7963889999645682E-2</v>
      </c>
      <c r="E66" s="83">
        <f t="shared" ref="E66:S66" si="55">E24/E$23</f>
        <v>2.2203065044345223E-2</v>
      </c>
      <c r="F66" s="83">
        <f t="shared" si="55"/>
        <v>2.1350421608106445E-2</v>
      </c>
      <c r="G66" s="83">
        <f t="shared" si="55"/>
        <v>1.8803553830297831E-2</v>
      </c>
      <c r="H66" s="83">
        <f t="shared" si="55"/>
        <v>1.7011950112195376E-2</v>
      </c>
      <c r="I66" s="83">
        <f t="shared" si="55"/>
        <v>1.6654502023754226E-2</v>
      </c>
      <c r="J66" s="83">
        <f t="shared" si="55"/>
        <v>1.8892144277973213E-2</v>
      </c>
      <c r="K66" s="83">
        <f t="shared" si="55"/>
        <v>2.3832969105703945E-2</v>
      </c>
      <c r="L66" s="83">
        <f t="shared" si="55"/>
        <v>2.6194807398038453E-2</v>
      </c>
      <c r="M66" s="83">
        <f t="shared" si="55"/>
        <v>2.1104960554378362E-2</v>
      </c>
      <c r="N66" s="83">
        <f t="shared" si="55"/>
        <v>1.6533131277781971E-2</v>
      </c>
      <c r="O66" s="83">
        <f t="shared" si="55"/>
        <v>1.9918299007030627E-2</v>
      </c>
      <c r="P66" s="83">
        <f t="shared" si="55"/>
        <v>1.9742192127892279E-2</v>
      </c>
      <c r="Q66" s="83">
        <f t="shared" si="55"/>
        <v>2.2919917220062584E-2</v>
      </c>
      <c r="R66" s="83">
        <f t="shared" si="55"/>
        <v>2.8951722063468188E-2</v>
      </c>
      <c r="S66" s="83">
        <f t="shared" si="55"/>
        <v>2.2715688536070915E-2</v>
      </c>
      <c r="T66" s="83">
        <f t="shared" ref="T66:Y66" si="56">T24/T$23</f>
        <v>2.2877455596456684E-2</v>
      </c>
      <c r="U66" s="83">
        <f t="shared" si="56"/>
        <v>2.0619179434922603E-2</v>
      </c>
      <c r="V66" s="83">
        <f t="shared" si="56"/>
        <v>2.2416381915136833E-2</v>
      </c>
      <c r="W66" s="83">
        <f t="shared" si="56"/>
        <v>1.8082977304018279E-2</v>
      </c>
      <c r="X66" s="83">
        <f t="shared" si="56"/>
        <v>1.9266434351190128E-2</v>
      </c>
      <c r="Y66" s="83">
        <f t="shared" si="56"/>
        <v>2.0949427988672782E-2</v>
      </c>
      <c r="Z66" s="83">
        <f t="shared" ref="Z66:AA66" si="57">Z24/Z$23</f>
        <v>2.1633420522974876E-2</v>
      </c>
      <c r="AA66" s="83">
        <f t="shared" si="57"/>
        <v>2.3262597664105305E-2</v>
      </c>
    </row>
    <row r="67" spans="1:27" x14ac:dyDescent="0.25">
      <c r="A67" s="64" t="s">
        <v>56</v>
      </c>
      <c r="B67" s="65"/>
      <c r="C67" s="65"/>
      <c r="D67" s="83">
        <f t="shared" si="51"/>
        <v>6.9446201971016834E-3</v>
      </c>
      <c r="E67" s="83">
        <f t="shared" ref="E67:S67" si="58">E25/E$23</f>
        <v>6.3632083688681344E-3</v>
      </c>
      <c r="F67" s="83">
        <f t="shared" si="58"/>
        <v>5.7655099429193184E-3</v>
      </c>
      <c r="G67" s="83">
        <f t="shared" si="58"/>
        <v>5.7362311644737294E-3</v>
      </c>
      <c r="H67" s="83">
        <f t="shared" si="58"/>
        <v>4.9507201133581263E-3</v>
      </c>
      <c r="I67" s="83">
        <f t="shared" si="58"/>
        <v>5.359897443022084E-3</v>
      </c>
      <c r="J67" s="83">
        <f t="shared" si="58"/>
        <v>2.9273101248829063E-3</v>
      </c>
      <c r="K67" s="83">
        <f t="shared" si="58"/>
        <v>3.4830160285499695E-3</v>
      </c>
      <c r="L67" s="83">
        <f t="shared" si="58"/>
        <v>3.3912995278383849E-3</v>
      </c>
      <c r="M67" s="83">
        <f t="shared" si="58"/>
        <v>3.5787497497981125E-3</v>
      </c>
      <c r="N67" s="83">
        <f t="shared" si="58"/>
        <v>2.4673679749442554E-3</v>
      </c>
      <c r="O67" s="83">
        <f t="shared" si="58"/>
        <v>2.5331958730921587E-3</v>
      </c>
      <c r="P67" s="83">
        <f t="shared" si="58"/>
        <v>2.379925662760803E-3</v>
      </c>
      <c r="Q67" s="83">
        <f t="shared" si="58"/>
        <v>2.4870266917620476E-3</v>
      </c>
      <c r="R67" s="83">
        <f t="shared" si="58"/>
        <v>2.1734817016665995E-3</v>
      </c>
      <c r="S67" s="83">
        <f t="shared" si="58"/>
        <v>2.2984292250498653E-3</v>
      </c>
      <c r="T67" s="83">
        <f t="shared" ref="T67:Y67" si="59">T25/T$23</f>
        <v>2.372537269625408E-3</v>
      </c>
      <c r="U67" s="83">
        <f t="shared" si="59"/>
        <v>2.2534542096904228E-3</v>
      </c>
      <c r="V67" s="83">
        <f t="shared" si="59"/>
        <v>2.2986910441055012E-3</v>
      </c>
      <c r="W67" s="83">
        <f t="shared" si="59"/>
        <v>2.0332145803525236E-3</v>
      </c>
      <c r="X67" s="83">
        <f t="shared" si="59"/>
        <v>1.9113375916737347E-3</v>
      </c>
      <c r="Y67" s="83">
        <f t="shared" si="59"/>
        <v>1.7226187500103815E-3</v>
      </c>
      <c r="Z67" s="83">
        <f t="shared" ref="Z67:AA67" si="60">Z25/Z$23</f>
        <v>1.5056238557445013E-3</v>
      </c>
      <c r="AA67" s="83">
        <f t="shared" si="60"/>
        <v>1.8138408787758522E-3</v>
      </c>
    </row>
    <row r="68" spans="1:27" x14ac:dyDescent="0.25">
      <c r="A68" s="64" t="s">
        <v>146</v>
      </c>
      <c r="B68" s="65"/>
      <c r="C68" s="65"/>
      <c r="D68" s="83">
        <f t="shared" si="51"/>
        <v>0.66858672929647767</v>
      </c>
      <c r="E68" s="83">
        <f t="shared" ref="E68:S68" si="61">E26/E$23</f>
        <v>0.66456124495558067</v>
      </c>
      <c r="F68" s="83">
        <f t="shared" si="61"/>
        <v>0.67021770348458831</v>
      </c>
      <c r="G68" s="83">
        <f t="shared" si="61"/>
        <v>0.65590135939274941</v>
      </c>
      <c r="H68" s="83">
        <f t="shared" si="61"/>
        <v>0.6387565324269121</v>
      </c>
      <c r="I68" s="83">
        <f t="shared" si="61"/>
        <v>0.64014342006331648</v>
      </c>
      <c r="J68" s="83">
        <f t="shared" si="61"/>
        <v>0.61853610737421938</v>
      </c>
      <c r="K68" s="83">
        <f t="shared" si="61"/>
        <v>0.62511726863883454</v>
      </c>
      <c r="L68" s="83">
        <f t="shared" si="61"/>
        <v>0.62843350180650959</v>
      </c>
      <c r="M68" s="83">
        <f t="shared" si="61"/>
        <v>0.67356246074418658</v>
      </c>
      <c r="N68" s="83">
        <f t="shared" si="61"/>
        <v>0.67086242296498322</v>
      </c>
      <c r="O68" s="83">
        <f t="shared" si="61"/>
        <v>0.66649561651693312</v>
      </c>
      <c r="P68" s="83">
        <f t="shared" si="61"/>
        <v>0.66711927530890514</v>
      </c>
      <c r="Q68" s="83">
        <f t="shared" si="61"/>
        <v>0.68807012174496418</v>
      </c>
      <c r="R68" s="83">
        <f t="shared" si="61"/>
        <v>0.65731512893109734</v>
      </c>
      <c r="S68" s="83">
        <f t="shared" si="61"/>
        <v>0.66208082506825106</v>
      </c>
      <c r="T68" s="83">
        <f t="shared" ref="T68:Y68" si="62">T26/T$23</f>
        <v>0.67565540322942286</v>
      </c>
      <c r="U68" s="83">
        <f t="shared" si="62"/>
        <v>0.68330907782332695</v>
      </c>
      <c r="V68" s="83">
        <f t="shared" si="62"/>
        <v>0.67603735737799375</v>
      </c>
      <c r="W68" s="83">
        <f t="shared" si="62"/>
        <v>0.67327481261330058</v>
      </c>
      <c r="X68" s="83">
        <f t="shared" si="62"/>
        <v>0.67932694321124931</v>
      </c>
      <c r="Y68" s="83">
        <f t="shared" si="62"/>
        <v>0.68869933977019193</v>
      </c>
      <c r="Z68" s="83">
        <f t="shared" ref="Z68:AA68" si="63">Z26/Z$23</f>
        <v>0.69733186222238741</v>
      </c>
      <c r="AA68" s="83">
        <f t="shared" si="63"/>
        <v>0.6739064139428852</v>
      </c>
    </row>
    <row r="69" spans="1:27" x14ac:dyDescent="0.25">
      <c r="A69" s="68" t="s">
        <v>148</v>
      </c>
      <c r="B69" s="69"/>
      <c r="C69" s="69"/>
      <c r="D69" s="84">
        <f t="shared" si="51"/>
        <v>0.26389556748986409</v>
      </c>
      <c r="E69" s="84">
        <f t="shared" ref="E69:S69" si="64">E27/E$23</f>
        <v>0.26919635118230512</v>
      </c>
      <c r="F69" s="84">
        <f t="shared" si="64"/>
        <v>0.26039350089934543</v>
      </c>
      <c r="G69" s="84">
        <f t="shared" si="64"/>
        <v>0.25463976468287114</v>
      </c>
      <c r="H69" s="84">
        <f t="shared" si="64"/>
        <v>0.22774030684130878</v>
      </c>
      <c r="I69" s="84">
        <f t="shared" si="64"/>
        <v>0.22959729742984661</v>
      </c>
      <c r="J69" s="84">
        <f t="shared" si="64"/>
        <v>0.21317354707847885</v>
      </c>
      <c r="K69" s="84">
        <f t="shared" si="64"/>
        <v>0.21403508076739405</v>
      </c>
      <c r="L69" s="84">
        <f t="shared" si="64"/>
        <v>0.20273890688959556</v>
      </c>
      <c r="M69" s="84">
        <f t="shared" si="64"/>
        <v>0.23108128627927338</v>
      </c>
      <c r="N69" s="84">
        <f t="shared" si="64"/>
        <v>0.22366522134875283</v>
      </c>
      <c r="O69" s="84">
        <f t="shared" si="64"/>
        <v>0.22132287395257613</v>
      </c>
      <c r="P69" s="84">
        <f t="shared" si="64"/>
        <v>0.23019327383767849</v>
      </c>
      <c r="Q69" s="84">
        <f t="shared" si="64"/>
        <v>0.23862293975361426</v>
      </c>
      <c r="R69" s="84">
        <f t="shared" si="64"/>
        <v>0.24453214479910221</v>
      </c>
      <c r="S69" s="84">
        <f t="shared" si="64"/>
        <v>0.24906864986345717</v>
      </c>
      <c r="T69" s="84">
        <f t="shared" ref="T69:Y69" si="65">T27/T$23</f>
        <v>0.25559401077017802</v>
      </c>
      <c r="U69" s="84">
        <f t="shared" si="65"/>
        <v>0.25928795415508887</v>
      </c>
      <c r="V69" s="84">
        <f t="shared" si="65"/>
        <v>0.25864295556640315</v>
      </c>
      <c r="W69" s="84">
        <f t="shared" si="65"/>
        <v>0.26724672240122271</v>
      </c>
      <c r="X69" s="84">
        <f t="shared" si="65"/>
        <v>0.2642714547280135</v>
      </c>
      <c r="Y69" s="84">
        <f t="shared" si="65"/>
        <v>0.26813380687335225</v>
      </c>
      <c r="Z69" s="84">
        <f t="shared" ref="Z69:AA69" si="66">Z27/Z$23</f>
        <v>0.26524189014105171</v>
      </c>
      <c r="AA69" s="84">
        <f t="shared" si="66"/>
        <v>0.24992199246707997</v>
      </c>
    </row>
    <row r="70" spans="1:27" x14ac:dyDescent="0.25">
      <c r="A70" s="68" t="s">
        <v>150</v>
      </c>
      <c r="B70" s="71"/>
      <c r="C70" s="71"/>
      <c r="D70" s="84">
        <f t="shared" si="51"/>
        <v>0.25867697898898079</v>
      </c>
      <c r="E70" s="84">
        <f t="shared" ref="E70:S70" si="67">E28/E$23</f>
        <v>0.25760990259512084</v>
      </c>
      <c r="F70" s="84">
        <f t="shared" si="67"/>
        <v>0.28047250723941303</v>
      </c>
      <c r="G70" s="84">
        <f t="shared" si="67"/>
        <v>0.26215892933715496</v>
      </c>
      <c r="H70" s="84">
        <f t="shared" si="67"/>
        <v>0.26729896154046862</v>
      </c>
      <c r="I70" s="84">
        <f t="shared" si="67"/>
        <v>0.25546327095227517</v>
      </c>
      <c r="J70" s="84">
        <f t="shared" si="67"/>
        <v>0.25407631328819347</v>
      </c>
      <c r="K70" s="84">
        <f t="shared" si="67"/>
        <v>0.25702516836034167</v>
      </c>
      <c r="L70" s="84">
        <f t="shared" si="67"/>
        <v>0.26826539816275219</v>
      </c>
      <c r="M70" s="84">
        <f t="shared" si="67"/>
        <v>0.29519853951119185</v>
      </c>
      <c r="N70" s="84">
        <f t="shared" si="67"/>
        <v>0.29125055584005294</v>
      </c>
      <c r="O70" s="84">
        <f t="shared" si="67"/>
        <v>0.28134442317083569</v>
      </c>
      <c r="P70" s="84">
        <f t="shared" si="67"/>
        <v>0.28960338053892259</v>
      </c>
      <c r="Q70" s="84">
        <f t="shared" si="67"/>
        <v>0.3133424916287455</v>
      </c>
      <c r="R70" s="84">
        <f t="shared" si="67"/>
        <v>0.28381798303967049</v>
      </c>
      <c r="S70" s="84">
        <f t="shared" si="67"/>
        <v>0.29083678546416947</v>
      </c>
      <c r="T70" s="84">
        <f t="shared" ref="T70:Y70" si="68">T28/T$23</f>
        <v>0.30570400899009537</v>
      </c>
      <c r="U70" s="84">
        <f t="shared" si="68"/>
        <v>0.30499629689937552</v>
      </c>
      <c r="V70" s="84">
        <f t="shared" si="68"/>
        <v>0.30423821499409898</v>
      </c>
      <c r="W70" s="84">
        <f t="shared" si="68"/>
        <v>0.2806752965333863</v>
      </c>
      <c r="X70" s="84">
        <f t="shared" si="68"/>
        <v>0.28138444273817265</v>
      </c>
      <c r="Y70" s="84">
        <f t="shared" si="68"/>
        <v>0.29865936388083381</v>
      </c>
      <c r="Z70" s="84">
        <f t="shared" ref="Z70:AA70" si="69">Z28/Z$23</f>
        <v>0.30280168023402676</v>
      </c>
      <c r="AA70" s="84">
        <f t="shared" si="69"/>
        <v>0.28783409543525551</v>
      </c>
    </row>
    <row r="71" spans="1:27" x14ac:dyDescent="0.25">
      <c r="A71" s="68" t="s">
        <v>152</v>
      </c>
      <c r="B71" s="71"/>
      <c r="C71" s="71"/>
      <c r="D71" s="84">
        <f t="shared" si="51"/>
        <v>0.14601418281763287</v>
      </c>
      <c r="E71" s="84">
        <f t="shared" ref="E71:S71" si="70">E29/E$23</f>
        <v>0.1377549911781546</v>
      </c>
      <c r="F71" s="84">
        <f t="shared" si="70"/>
        <v>0.12935169534582983</v>
      </c>
      <c r="G71" s="84">
        <f t="shared" si="70"/>
        <v>0.13910266537272334</v>
      </c>
      <c r="H71" s="84">
        <f t="shared" si="70"/>
        <v>0.14371726404513482</v>
      </c>
      <c r="I71" s="84">
        <f t="shared" si="70"/>
        <v>0.15508285168119468</v>
      </c>
      <c r="J71" s="84">
        <f t="shared" si="70"/>
        <v>0.15128624700754695</v>
      </c>
      <c r="K71" s="84">
        <f t="shared" si="70"/>
        <v>0.15405701951109874</v>
      </c>
      <c r="L71" s="84">
        <f t="shared" si="70"/>
        <v>0.15742919675416184</v>
      </c>
      <c r="M71" s="84">
        <f t="shared" si="70"/>
        <v>0.14728263495372129</v>
      </c>
      <c r="N71" s="84">
        <f t="shared" si="70"/>
        <v>0.15594664577617748</v>
      </c>
      <c r="O71" s="84">
        <f t="shared" si="70"/>
        <v>0.1638283193935213</v>
      </c>
      <c r="P71" s="84">
        <f t="shared" si="70"/>
        <v>0.14732262093230419</v>
      </c>
      <c r="Q71" s="84">
        <f t="shared" si="70"/>
        <v>0.13610469036260428</v>
      </c>
      <c r="R71" s="84">
        <f t="shared" si="70"/>
        <v>0.12896500109232464</v>
      </c>
      <c r="S71" s="84">
        <f t="shared" si="70"/>
        <v>0.12217538974062429</v>
      </c>
      <c r="T71" s="84">
        <f t="shared" ref="T71:Y71" si="71">T29/T$23</f>
        <v>0.11435738346914956</v>
      </c>
      <c r="U71" s="84">
        <f t="shared" si="71"/>
        <v>0.11902482676886254</v>
      </c>
      <c r="V71" s="84">
        <f t="shared" si="71"/>
        <v>0.11315618681749158</v>
      </c>
      <c r="W71" s="84">
        <f t="shared" si="71"/>
        <v>0.12535279367869154</v>
      </c>
      <c r="X71" s="84">
        <f t="shared" si="71"/>
        <v>0.13367104574506314</v>
      </c>
      <c r="Y71" s="84">
        <f t="shared" si="71"/>
        <v>0.12190616901600589</v>
      </c>
      <c r="Z71" s="84">
        <f t="shared" ref="Z71:AA71" si="72">Z29/Z$23</f>
        <v>0.12928829184730903</v>
      </c>
      <c r="AA71" s="84">
        <f t="shared" si="72"/>
        <v>0.13615032604054977</v>
      </c>
    </row>
    <row r="72" spans="1:27" x14ac:dyDescent="0.25">
      <c r="A72" s="64" t="s">
        <v>154</v>
      </c>
      <c r="B72" s="65"/>
      <c r="C72" s="65"/>
      <c r="D72" s="83">
        <f t="shared" si="51"/>
        <v>4.0275760137272673E-2</v>
      </c>
      <c r="E72" s="83">
        <f t="shared" ref="E72:S72" si="73">E30/E$23</f>
        <v>2.9214696502902524E-2</v>
      </c>
      <c r="F72" s="83">
        <f t="shared" si="73"/>
        <v>3.5443790752429413E-2</v>
      </c>
      <c r="G72" s="83">
        <f t="shared" si="73"/>
        <v>5.0775989829003859E-2</v>
      </c>
      <c r="H72" s="83">
        <f t="shared" si="73"/>
        <v>6.7777770681563418E-2</v>
      </c>
      <c r="I72" s="83">
        <f t="shared" si="73"/>
        <v>5.845447070193939E-2</v>
      </c>
      <c r="J72" s="83">
        <f t="shared" si="73"/>
        <v>7.0804325732356149E-2</v>
      </c>
      <c r="K72" s="83">
        <f t="shared" si="73"/>
        <v>5.9815691683906436E-2</v>
      </c>
      <c r="L72" s="83">
        <f t="shared" si="73"/>
        <v>5.1027384029817886E-2</v>
      </c>
      <c r="M72" s="83">
        <f t="shared" si="73"/>
        <v>4.9103414479269469E-2</v>
      </c>
      <c r="N72" s="83">
        <f t="shared" si="73"/>
        <v>4.363565146059515E-2</v>
      </c>
      <c r="O72" s="83">
        <f t="shared" si="73"/>
        <v>4.1715565822009658E-2</v>
      </c>
      <c r="P72" s="83">
        <f t="shared" si="73"/>
        <v>4.4782889602783683E-2</v>
      </c>
      <c r="Q72" s="83">
        <f t="shared" si="73"/>
        <v>3.7474045033251281E-2</v>
      </c>
      <c r="R72" s="83">
        <f t="shared" si="73"/>
        <v>3.9017237557247175E-2</v>
      </c>
      <c r="S72" s="83">
        <f t="shared" si="73"/>
        <v>3.3937892356532266E-2</v>
      </c>
      <c r="T72" s="83">
        <f t="shared" ref="T72:Y72" si="74">T30/T$23</f>
        <v>2.972058142110362E-2</v>
      </c>
      <c r="U72" s="83">
        <f t="shared" si="74"/>
        <v>3.010105834627462E-2</v>
      </c>
      <c r="V72" s="83">
        <f t="shared" si="74"/>
        <v>2.6034398385491018E-2</v>
      </c>
      <c r="W72" s="83">
        <f t="shared" si="74"/>
        <v>3.5518102755864221E-2</v>
      </c>
      <c r="X72" s="83">
        <f t="shared" si="74"/>
        <v>3.6140491862601619E-2</v>
      </c>
      <c r="Y72" s="83">
        <f t="shared" si="74"/>
        <v>2.5697602654343749E-2</v>
      </c>
      <c r="Z72" s="83">
        <f t="shared" ref="Z72:AA72" si="75">Z30/Z$23</f>
        <v>1.8853455162568512E-2</v>
      </c>
      <c r="AA72" s="83">
        <f t="shared" si="75"/>
        <v>4.7852870279439352E-2</v>
      </c>
    </row>
    <row r="73" spans="1:27" x14ac:dyDescent="0.25">
      <c r="A73" s="64" t="s">
        <v>37</v>
      </c>
      <c r="B73" s="65"/>
      <c r="C73" s="65"/>
      <c r="D73" s="83">
        <f t="shared" si="51"/>
        <v>6.0537651280857252E-2</v>
      </c>
      <c r="E73" s="83">
        <f t="shared" ref="E73:S73" si="76">E31/E$23</f>
        <v>5.9529889101804262E-2</v>
      </c>
      <c r="F73" s="83">
        <f t="shared" si="76"/>
        <v>6.6632365385187797E-2</v>
      </c>
      <c r="G73" s="83">
        <f t="shared" si="76"/>
        <v>6.3816982253417281E-2</v>
      </c>
      <c r="H73" s="83">
        <f t="shared" si="76"/>
        <v>6.5797369931639094E-2</v>
      </c>
      <c r="I73" s="83">
        <f t="shared" si="76"/>
        <v>6.8703787579370679E-2</v>
      </c>
      <c r="J73" s="83">
        <f t="shared" si="76"/>
        <v>7.696736009720441E-2</v>
      </c>
      <c r="K73" s="83">
        <f t="shared" si="76"/>
        <v>7.9326994517763275E-2</v>
      </c>
      <c r="L73" s="83">
        <f t="shared" si="76"/>
        <v>9.5582912150392968E-2</v>
      </c>
      <c r="M73" s="83">
        <f t="shared" si="76"/>
        <v>9.9937535804752814E-2</v>
      </c>
      <c r="N73" s="83">
        <f t="shared" si="76"/>
        <v>9.1122451764320628E-2</v>
      </c>
      <c r="O73" s="83">
        <f t="shared" si="76"/>
        <v>8.5776740797011017E-2</v>
      </c>
      <c r="P73" s="83">
        <f t="shared" si="76"/>
        <v>8.8293003913821333E-2</v>
      </c>
      <c r="Q73" s="83">
        <f t="shared" si="76"/>
        <v>7.6151028975938742E-2</v>
      </c>
      <c r="R73" s="83">
        <f t="shared" si="76"/>
        <v>7.8635306639517802E-2</v>
      </c>
      <c r="S73" s="83">
        <f t="shared" si="76"/>
        <v>8.1069246590574767E-2</v>
      </c>
      <c r="T73" s="83">
        <f t="shared" ref="T73:Y73" si="77">T31/T$23</f>
        <v>7.9632188781132748E-2</v>
      </c>
      <c r="U73" s="83">
        <f t="shared" si="77"/>
        <v>8.4346652239456657E-2</v>
      </c>
      <c r="V73" s="83">
        <f t="shared" si="77"/>
        <v>8.2321100860742596E-2</v>
      </c>
      <c r="W73" s="83">
        <f t="shared" si="77"/>
        <v>7.3727638756807129E-2</v>
      </c>
      <c r="X73" s="83">
        <f t="shared" si="77"/>
        <v>7.7909160711121611E-2</v>
      </c>
      <c r="Y73" s="83">
        <f t="shared" si="77"/>
        <v>8.7296597775151877E-2</v>
      </c>
      <c r="Z73" s="83">
        <f t="shared" ref="Z73:AA73" si="78">Z31/Z$23</f>
        <v>8.5702528499604788E-2</v>
      </c>
      <c r="AA73" s="83">
        <f t="shared" si="78"/>
        <v>8.5627962849851635E-2</v>
      </c>
    </row>
    <row r="74" spans="1:27" x14ac:dyDescent="0.25">
      <c r="A74" s="64" t="s">
        <v>58</v>
      </c>
      <c r="B74" s="65"/>
      <c r="C74" s="65"/>
      <c r="D74" s="83">
        <f t="shared" si="51"/>
        <v>0.2056913490886452</v>
      </c>
      <c r="E74" s="83">
        <f t="shared" ref="E74:S74" si="79">E32/E$23</f>
        <v>0.21812789602649935</v>
      </c>
      <c r="F74" s="83">
        <f t="shared" si="79"/>
        <v>0.20059020882676859</v>
      </c>
      <c r="G74" s="83">
        <f t="shared" si="79"/>
        <v>0.20496588353005785</v>
      </c>
      <c r="H74" s="83">
        <f t="shared" si="79"/>
        <v>0.20570565673433175</v>
      </c>
      <c r="I74" s="83">
        <f t="shared" si="79"/>
        <v>0.21068392218859713</v>
      </c>
      <c r="J74" s="83">
        <f t="shared" si="79"/>
        <v>0.21187275239336426</v>
      </c>
      <c r="K74" s="83">
        <f t="shared" si="79"/>
        <v>0.20842406002524175</v>
      </c>
      <c r="L74" s="83">
        <f t="shared" si="79"/>
        <v>0.19537009508740286</v>
      </c>
      <c r="M74" s="83">
        <f t="shared" si="79"/>
        <v>0.15271287866761457</v>
      </c>
      <c r="N74" s="83">
        <f t="shared" si="79"/>
        <v>0.17537897455737475</v>
      </c>
      <c r="O74" s="83">
        <f t="shared" si="79"/>
        <v>0.18356058198392336</v>
      </c>
      <c r="P74" s="83">
        <f t="shared" si="79"/>
        <v>0.17768271338383648</v>
      </c>
      <c r="Q74" s="83">
        <f t="shared" si="79"/>
        <v>0.17289786033402119</v>
      </c>
      <c r="R74" s="83">
        <f t="shared" si="79"/>
        <v>0.19390712310700281</v>
      </c>
      <c r="S74" s="83">
        <f t="shared" si="79"/>
        <v>0.19789791822352132</v>
      </c>
      <c r="T74" s="83">
        <f t="shared" ref="T74:Y74" si="80">T32/T$23</f>
        <v>0.18974183370225881</v>
      </c>
      <c r="U74" s="83">
        <f t="shared" si="80"/>
        <v>0.17937057794632869</v>
      </c>
      <c r="V74" s="83">
        <f t="shared" si="80"/>
        <v>0.1908920704165302</v>
      </c>
      <c r="W74" s="83">
        <f t="shared" si="80"/>
        <v>0.1973632539896574</v>
      </c>
      <c r="X74" s="83">
        <f t="shared" si="80"/>
        <v>0.18544563227216349</v>
      </c>
      <c r="Y74" s="83">
        <f t="shared" si="80"/>
        <v>0.17563441306162933</v>
      </c>
      <c r="Z74" s="83">
        <f t="shared" ref="Z74:AA74" si="81">Z32/Z$23</f>
        <v>0.17497310973671984</v>
      </c>
      <c r="AA74" s="83">
        <f t="shared" si="81"/>
        <v>0.16753631438494265</v>
      </c>
    </row>
    <row r="75" spans="1:27" x14ac:dyDescent="0.25">
      <c r="A75" s="85" t="s">
        <v>158</v>
      </c>
      <c r="B75" s="86"/>
      <c r="C75" s="86"/>
      <c r="D75" s="87">
        <f t="shared" si="51"/>
        <v>2.2428288697782482E-2</v>
      </c>
      <c r="E75" s="87">
        <f t="shared" ref="E75:S75" si="82">E33/E$23</f>
        <v>2.5061024461321503E-2</v>
      </c>
      <c r="F75" s="87">
        <f t="shared" si="82"/>
        <v>2.1142062584247209E-2</v>
      </c>
      <c r="G75" s="87">
        <f t="shared" si="82"/>
        <v>2.4114739669141707E-2</v>
      </c>
      <c r="H75" s="87">
        <f t="shared" si="82"/>
        <v>2.9823096592391584E-2</v>
      </c>
      <c r="I75" s="87">
        <f t="shared" si="82"/>
        <v>2.9601913262730317E-2</v>
      </c>
      <c r="J75" s="87">
        <f t="shared" si="82"/>
        <v>2.9352395323998321E-2</v>
      </c>
      <c r="K75" s="87">
        <f t="shared" si="82"/>
        <v>2.6579040697732009E-2</v>
      </c>
      <c r="L75" s="87">
        <f t="shared" si="82"/>
        <v>1.9375255103326296E-2</v>
      </c>
      <c r="M75" s="87">
        <f t="shared" si="82"/>
        <v>1.0206511460971958E-2</v>
      </c>
      <c r="N75" s="87">
        <f t="shared" si="82"/>
        <v>1.5656629706981992E-2</v>
      </c>
      <c r="O75" s="87">
        <f t="shared" si="82"/>
        <v>1.1957490678800376E-2</v>
      </c>
      <c r="P75" s="87">
        <f t="shared" si="82"/>
        <v>1.2629273234863599E-2</v>
      </c>
      <c r="Q75" s="87">
        <f t="shared" si="82"/>
        <v>1.169014960193982E-2</v>
      </c>
      <c r="R75" s="87">
        <f t="shared" si="82"/>
        <v>1.0850388143966124E-2</v>
      </c>
      <c r="S75" s="87">
        <f t="shared" si="82"/>
        <v>1.1930398412042841E-2</v>
      </c>
      <c r="T75" s="87">
        <f t="shared" ref="T75:Y75" si="83">T33/T$23</f>
        <v>1.2777186681722627E-2</v>
      </c>
      <c r="U75" s="87">
        <f t="shared" si="83"/>
        <v>1.2507813279686524E-2</v>
      </c>
      <c r="V75" s="87">
        <f t="shared" si="83"/>
        <v>1.3584038260719118E-2</v>
      </c>
      <c r="W75" s="87">
        <f t="shared" si="83"/>
        <v>9.311171986998424E-3</v>
      </c>
      <c r="X75" s="87">
        <f t="shared" si="83"/>
        <v>8.9067391175949445E-3</v>
      </c>
      <c r="Y75" s="87">
        <f t="shared" si="83"/>
        <v>1.564020613692943E-2</v>
      </c>
      <c r="Z75" s="87">
        <f t="shared" ref="Z75:AA75" si="84">Z33/Z$23</f>
        <v>1.7518395384652993E-2</v>
      </c>
      <c r="AA75" s="87">
        <f t="shared" si="84"/>
        <v>1.047024620326509E-2</v>
      </c>
    </row>
    <row r="76" spans="1:27" x14ac:dyDescent="0.25">
      <c r="A76" s="88" t="s">
        <v>5</v>
      </c>
      <c r="B76" s="44"/>
      <c r="C76" s="44"/>
      <c r="D76" s="89">
        <f t="shared" si="51"/>
        <v>1.5170871806040858E-2</v>
      </c>
      <c r="E76" s="89">
        <f t="shared" ref="E76:S76" si="85">E34/E$23</f>
        <v>1.6951698569331927E-2</v>
      </c>
      <c r="F76" s="89">
        <f t="shared" si="85"/>
        <v>1.4300846823530486E-2</v>
      </c>
      <c r="G76" s="89">
        <f t="shared" si="85"/>
        <v>1.6311615615718745E-2</v>
      </c>
      <c r="H76" s="89">
        <f t="shared" si="85"/>
        <v>2.0172844275322725E-2</v>
      </c>
      <c r="I76" s="89">
        <f t="shared" si="85"/>
        <v>2.0023232149977817E-2</v>
      </c>
      <c r="J76" s="89">
        <f t="shared" si="85"/>
        <v>1.9854454018359381E-2</v>
      </c>
      <c r="K76" s="89">
        <f t="shared" si="85"/>
        <v>1.7978510290564558E-2</v>
      </c>
      <c r="L76" s="89">
        <f t="shared" si="85"/>
        <v>1.3105748518876718E-2</v>
      </c>
      <c r="M76" s="89">
        <f t="shared" si="85"/>
        <v>6.9176016202648133E-3</v>
      </c>
      <c r="N76" s="89">
        <f t="shared" si="85"/>
        <v>5.630613978271309E-3</v>
      </c>
      <c r="O76" s="89">
        <f t="shared" si="85"/>
        <v>3.5350856437594454E-3</v>
      </c>
      <c r="P76" s="89">
        <f t="shared" si="85"/>
        <v>8.8945452666517599E-3</v>
      </c>
      <c r="Q76" s="89">
        <f t="shared" si="85"/>
        <v>8.5543536324109732E-3</v>
      </c>
      <c r="R76" s="89">
        <f t="shared" si="85"/>
        <v>8.4938389611788311E-3</v>
      </c>
      <c r="S76" s="89">
        <f t="shared" si="85"/>
        <v>8.1012291663928905E-3</v>
      </c>
      <c r="T76" s="89">
        <f t="shared" ref="T76:Y76" si="86">T34/T$23</f>
        <v>8.3702305920963071E-3</v>
      </c>
      <c r="U76" s="89">
        <f t="shared" si="86"/>
        <v>9.3976290424391453E-3</v>
      </c>
      <c r="V76" s="89">
        <f t="shared" si="86"/>
        <v>1.1143276082975459E-2</v>
      </c>
      <c r="W76" s="89">
        <f t="shared" si="86"/>
        <v>6.1550065810595852E-3</v>
      </c>
      <c r="X76" s="89">
        <f t="shared" si="86"/>
        <v>6.219851744586757E-3</v>
      </c>
      <c r="Y76" s="89">
        <f t="shared" si="86"/>
        <v>1.3018296025123052E-2</v>
      </c>
      <c r="Z76" s="89">
        <f t="shared" ref="Z76:AA76" si="87">Z34/Z$23</f>
        <v>1.5935996951030311E-2</v>
      </c>
      <c r="AA76" s="89">
        <f t="shared" si="87"/>
        <v>9.0998554606564891E-3</v>
      </c>
    </row>
    <row r="77" spans="1:27" x14ac:dyDescent="0.25">
      <c r="A77" s="88" t="s">
        <v>263</v>
      </c>
      <c r="B77" s="44"/>
      <c r="C77" s="44"/>
      <c r="D77" s="89">
        <f>D37/D$23</f>
        <v>7.2574168917416233E-3</v>
      </c>
      <c r="E77" s="89">
        <f t="shared" ref="E77:S77" si="88">E37/E$23</f>
        <v>8.1093258919895765E-3</v>
      </c>
      <c r="F77" s="89">
        <f t="shared" si="88"/>
        <v>6.8412157607167234E-3</v>
      </c>
      <c r="G77" s="89">
        <f t="shared" si="88"/>
        <v>7.8031240534229621E-3</v>
      </c>
      <c r="H77" s="89">
        <f t="shared" si="88"/>
        <v>9.6502523170688605E-3</v>
      </c>
      <c r="I77" s="89">
        <f t="shared" si="88"/>
        <v>9.5786811127525004E-3</v>
      </c>
      <c r="J77" s="89">
        <f t="shared" si="88"/>
        <v>9.4979413056389423E-3</v>
      </c>
      <c r="K77" s="89">
        <f t="shared" si="88"/>
        <v>8.6005304071674511E-3</v>
      </c>
      <c r="L77" s="89">
        <f t="shared" si="88"/>
        <v>6.2695065844495784E-3</v>
      </c>
      <c r="M77" s="89">
        <f t="shared" si="88"/>
        <v>3.288909840707145E-3</v>
      </c>
      <c r="N77" s="89">
        <f t="shared" si="88"/>
        <v>1.0026015728710687E-2</v>
      </c>
      <c r="O77" s="89">
        <f t="shared" si="88"/>
        <v>8.4224050350409311E-3</v>
      </c>
      <c r="P77" s="89">
        <f t="shared" si="88"/>
        <v>3.734727968211839E-3</v>
      </c>
      <c r="Q77" s="89">
        <f t="shared" si="88"/>
        <v>3.1357959695288468E-3</v>
      </c>
      <c r="R77" s="89">
        <f t="shared" si="88"/>
        <v>2.3565491827872939E-3</v>
      </c>
      <c r="S77" s="89">
        <f t="shared" si="88"/>
        <v>3.8291692456499499E-3</v>
      </c>
      <c r="T77" s="89">
        <f t="shared" ref="T77:Y77" si="89">T37/T$23</f>
        <v>4.4069560896263203E-3</v>
      </c>
      <c r="U77" s="89">
        <f t="shared" si="89"/>
        <v>3.1101842372473773E-3</v>
      </c>
      <c r="V77" s="89">
        <f t="shared" si="89"/>
        <v>2.4407621777436596E-3</v>
      </c>
      <c r="W77" s="89">
        <f t="shared" si="89"/>
        <v>3.1561654059388392E-3</v>
      </c>
      <c r="X77" s="89">
        <f t="shared" si="89"/>
        <v>2.6868873730081875E-3</v>
      </c>
      <c r="Y77" s="89">
        <f t="shared" si="89"/>
        <v>2.6219101118063778E-3</v>
      </c>
      <c r="Z77" s="89">
        <f t="shared" ref="Z77:AA77" si="90">Z37/Z$23</f>
        <v>1.5823984336226821E-3</v>
      </c>
      <c r="AA77" s="89">
        <f t="shared" si="90"/>
        <v>1.3703907426086007E-3</v>
      </c>
    </row>
    <row r="78" spans="1:27" x14ac:dyDescent="0.25">
      <c r="A78" s="68" t="s">
        <v>265</v>
      </c>
      <c r="B78" s="44"/>
      <c r="C78" s="44"/>
      <c r="D78" s="89">
        <f>D43/D$23</f>
        <v>1.6541558895137247E-2</v>
      </c>
      <c r="E78" s="89">
        <f t="shared" ref="E78:S78" si="91">E43/E$23</f>
        <v>1.630910939425316E-2</v>
      </c>
      <c r="F78" s="89">
        <f t="shared" si="91"/>
        <v>1.5826781363348374E-2</v>
      </c>
      <c r="G78" s="89">
        <f t="shared" si="91"/>
        <v>1.0998517983554881E-2</v>
      </c>
      <c r="H78" s="89">
        <f t="shared" si="91"/>
        <v>9.6311903146688912E-3</v>
      </c>
      <c r="I78" s="89">
        <f t="shared" si="91"/>
        <v>1.0411588048454705E-2</v>
      </c>
      <c r="J78" s="89">
        <f t="shared" si="91"/>
        <v>1.0910997226931108E-2</v>
      </c>
      <c r="K78" s="89">
        <f t="shared" si="91"/>
        <v>9.6449325468922417E-3</v>
      </c>
      <c r="L78" s="89">
        <f t="shared" si="91"/>
        <v>9.2467082222636547E-3</v>
      </c>
      <c r="M78" s="89">
        <f t="shared" si="91"/>
        <v>9.1038976277410064E-3</v>
      </c>
      <c r="N78" s="89">
        <f t="shared" si="91"/>
        <v>6.48546949822693E-3</v>
      </c>
      <c r="O78" s="89">
        <f t="shared" si="91"/>
        <v>7.9546071143426333E-3</v>
      </c>
      <c r="P78" s="89">
        <f t="shared" si="91"/>
        <v>6.7757005859541116E-3</v>
      </c>
      <c r="Q78" s="89">
        <f t="shared" si="91"/>
        <v>4.2825886790441815E-3</v>
      </c>
      <c r="R78" s="89">
        <f t="shared" si="91"/>
        <v>6.1460948436433465E-3</v>
      </c>
      <c r="S78" s="89">
        <f t="shared" si="91"/>
        <v>7.4148869602693023E-3</v>
      </c>
      <c r="T78" s="89">
        <f t="shared" ref="T78:Y78" si="92">T43/T$23</f>
        <v>6.5632044743933107E-3</v>
      </c>
      <c r="U78" s="89">
        <f t="shared" si="92"/>
        <v>5.8776873742652893E-3</v>
      </c>
      <c r="V78" s="89">
        <f t="shared" si="92"/>
        <v>4.8765115517465105E-3</v>
      </c>
      <c r="W78" s="89">
        <f t="shared" si="92"/>
        <v>5.4445280305073359E-3</v>
      </c>
      <c r="X78" s="89">
        <f t="shared" si="92"/>
        <v>5.2826176835390707E-3</v>
      </c>
      <c r="Y78" s="89">
        <f t="shared" si="92"/>
        <v>4.8659638174171878E-3</v>
      </c>
      <c r="Z78" s="89">
        <f t="shared" ref="Z78:AA78" si="93">Z43/Z$23</f>
        <v>5.5827853423619424E-3</v>
      </c>
      <c r="AA78" s="89">
        <f t="shared" si="93"/>
        <v>5.064081088940962E-3</v>
      </c>
    </row>
    <row r="79" spans="1:27" x14ac:dyDescent="0.25">
      <c r="A79" s="88" t="s">
        <v>266</v>
      </c>
      <c r="B79" s="44"/>
      <c r="C79" s="44"/>
      <c r="D79" s="89">
        <f>D44/D$23</f>
        <v>1.3610848185135879E-2</v>
      </c>
      <c r="E79" s="89">
        <f t="shared" ref="E79:S79" si="94">E44/E$23</f>
        <v>1.334339085171876E-2</v>
      </c>
      <c r="F79" s="89">
        <f t="shared" si="94"/>
        <v>1.3381752001734908E-2</v>
      </c>
      <c r="G79" s="89">
        <f t="shared" si="94"/>
        <v>9.2381532720967139E-3</v>
      </c>
      <c r="H79" s="89">
        <f t="shared" si="94"/>
        <v>8.656003757240514E-3</v>
      </c>
      <c r="I79" s="89">
        <f t="shared" si="94"/>
        <v>9.0354928699806422E-3</v>
      </c>
      <c r="J79" s="89">
        <f t="shared" si="94"/>
        <v>9.4730189215407705E-3</v>
      </c>
      <c r="K79" s="89">
        <f t="shared" si="94"/>
        <v>8.2679341656083268E-3</v>
      </c>
      <c r="L79" s="89">
        <f t="shared" si="94"/>
        <v>7.7769771242653446E-3</v>
      </c>
      <c r="M79" s="89">
        <f t="shared" si="94"/>
        <v>6.9003954915345484E-3</v>
      </c>
      <c r="N79" s="89">
        <f t="shared" si="94"/>
        <v>4.2428455157954899E-3</v>
      </c>
      <c r="O79" s="89">
        <f t="shared" si="94"/>
        <v>5.7237204182718762E-3</v>
      </c>
      <c r="P79" s="89">
        <f t="shared" si="94"/>
        <v>4.6479425952977447E-3</v>
      </c>
      <c r="Q79" s="89">
        <f t="shared" si="94"/>
        <v>3.9480345686176395E-3</v>
      </c>
      <c r="R79" s="89">
        <f t="shared" si="94"/>
        <v>5.0455823316403851E-3</v>
      </c>
      <c r="S79" s="89">
        <f t="shared" si="94"/>
        <v>6.6164881780346419E-3</v>
      </c>
      <c r="T79" s="89">
        <f t="shared" ref="T79:Y79" si="95">T44/T$23</f>
        <v>5.4530309639213986E-3</v>
      </c>
      <c r="U79" s="89">
        <f t="shared" si="95"/>
        <v>4.9492859056313393E-3</v>
      </c>
      <c r="V79" s="89">
        <f t="shared" si="95"/>
        <v>3.9929064429024266E-3</v>
      </c>
      <c r="W79" s="89">
        <f t="shared" si="95"/>
        <v>4.5680571917921632E-3</v>
      </c>
      <c r="X79" s="89">
        <f t="shared" si="95"/>
        <v>4.3352430453015185E-3</v>
      </c>
      <c r="Y79" s="89">
        <f t="shared" si="95"/>
        <v>3.9092286542181378E-3</v>
      </c>
      <c r="Z79" s="89">
        <f t="shared" ref="Z79:AA79" si="96">Z44/Z$23</f>
        <v>4.6304218511909129E-3</v>
      </c>
      <c r="AA79" s="89">
        <f t="shared" si="96"/>
        <v>3.9441315794823831E-3</v>
      </c>
    </row>
    <row r="80" spans="1:27" x14ac:dyDescent="0.25">
      <c r="A80" s="88" t="s">
        <v>11</v>
      </c>
      <c r="B80" s="44"/>
      <c r="C80" s="44"/>
      <c r="D80" s="89">
        <f>D47/D$23</f>
        <v>2.9307107100013672E-3</v>
      </c>
      <c r="E80" s="89">
        <f t="shared" ref="E80:S80" si="97">E47/E$23</f>
        <v>2.9657185425344007E-3</v>
      </c>
      <c r="F80" s="89">
        <f t="shared" si="97"/>
        <v>2.4450293616134645E-3</v>
      </c>
      <c r="G80" s="89">
        <f t="shared" si="97"/>
        <v>1.7603647114581686E-3</v>
      </c>
      <c r="H80" s="89">
        <f t="shared" si="97"/>
        <v>9.7518655742837761E-4</v>
      </c>
      <c r="I80" s="89">
        <f t="shared" si="97"/>
        <v>1.3760951784740634E-3</v>
      </c>
      <c r="J80" s="89">
        <f t="shared" si="97"/>
        <v>1.4379783053903366E-3</v>
      </c>
      <c r="K80" s="89">
        <f t="shared" si="97"/>
        <v>1.3769983812839171E-3</v>
      </c>
      <c r="L80" s="89">
        <f t="shared" si="97"/>
        <v>1.4697310979983102E-3</v>
      </c>
      <c r="M80" s="89">
        <f t="shared" si="97"/>
        <v>2.2035021362064567E-3</v>
      </c>
      <c r="N80" s="89">
        <f t="shared" si="97"/>
        <v>2.2426239824314409E-3</v>
      </c>
      <c r="O80" s="89">
        <f t="shared" si="97"/>
        <v>2.2308866960707558E-3</v>
      </c>
      <c r="P80" s="89">
        <f t="shared" si="97"/>
        <v>2.1277579906563674E-3</v>
      </c>
      <c r="Q80" s="89">
        <f t="shared" si="97"/>
        <v>3.345541104265417E-4</v>
      </c>
      <c r="R80" s="89">
        <f t="shared" si="97"/>
        <v>1.1005125120029616E-3</v>
      </c>
      <c r="S80" s="89">
        <f t="shared" si="97"/>
        <v>7.9839878223466026E-4</v>
      </c>
      <c r="T80" s="89">
        <f t="shared" ref="T80:Y80" si="98">T47/T$23</f>
        <v>1.110173510471912E-3</v>
      </c>
      <c r="U80" s="89">
        <f t="shared" si="98"/>
        <v>9.2840146863394993E-4</v>
      </c>
      <c r="V80" s="89">
        <f t="shared" si="98"/>
        <v>8.8360510884408379E-4</v>
      </c>
      <c r="W80" s="89">
        <f t="shared" si="98"/>
        <v>8.7647083871517171E-4</v>
      </c>
      <c r="X80" s="89">
        <f t="shared" si="98"/>
        <v>9.473746382375525E-4</v>
      </c>
      <c r="Y80" s="89">
        <f t="shared" si="98"/>
        <v>9.5673516319905031E-4</v>
      </c>
      <c r="Z80" s="89">
        <f t="shared" ref="Z80:AA80" si="99">Z47/Z$23</f>
        <v>9.5236349117103019E-4</v>
      </c>
      <c r="AA80" s="89">
        <f t="shared" si="99"/>
        <v>1.1199495094585791E-3</v>
      </c>
    </row>
    <row r="81" spans="1:27" x14ac:dyDescent="0.25">
      <c r="A81" s="68" t="s">
        <v>4</v>
      </c>
      <c r="B81" s="44"/>
      <c r="C81" s="44"/>
      <c r="D81" s="89">
        <f>D48/D$23</f>
        <v>1.4815527198918826E-2</v>
      </c>
      <c r="E81" s="89">
        <f t="shared" ref="E81:S81" si="100">E48/E$23</f>
        <v>1.4514685694741822E-2</v>
      </c>
      <c r="F81" s="89">
        <f t="shared" si="100"/>
        <v>1.4942318568190806E-2</v>
      </c>
      <c r="G81" s="89">
        <f t="shared" si="100"/>
        <v>1.3819615277558357E-2</v>
      </c>
      <c r="H81" s="89">
        <f t="shared" si="100"/>
        <v>1.2993790116370089E-2</v>
      </c>
      <c r="I81" s="89">
        <f t="shared" si="100"/>
        <v>1.2982029985604372E-2</v>
      </c>
      <c r="J81" s="89">
        <f t="shared" si="100"/>
        <v>1.2755626978138814E-2</v>
      </c>
      <c r="K81" s="89">
        <f t="shared" si="100"/>
        <v>1.332419296997747E-2</v>
      </c>
      <c r="L81" s="89">
        <f t="shared" si="100"/>
        <v>1.243308524272399E-2</v>
      </c>
      <c r="M81" s="89">
        <f t="shared" si="100"/>
        <v>9.2384889876659122E-3</v>
      </c>
      <c r="N81" s="89">
        <f t="shared" si="100"/>
        <v>7.9800170484371456E-3</v>
      </c>
      <c r="O81" s="89">
        <f t="shared" si="100"/>
        <v>8.7995225065306531E-3</v>
      </c>
      <c r="P81" s="89">
        <f t="shared" si="100"/>
        <v>7.2889886285808919E-3</v>
      </c>
      <c r="Q81" s="89">
        <f t="shared" si="100"/>
        <v>6.8198707377658263E-3</v>
      </c>
      <c r="R81" s="89">
        <f t="shared" si="100"/>
        <v>7.370975392482387E-3</v>
      </c>
      <c r="S81" s="89">
        <f t="shared" si="100"/>
        <v>7.1552001591272327E-3</v>
      </c>
      <c r="T81" s="89">
        <f t="shared" ref="T81:Y81" si="101">T48/T$23</f>
        <v>7.6231008491400567E-3</v>
      </c>
      <c r="U81" s="89">
        <f t="shared" si="101"/>
        <v>7.9209584990098808E-3</v>
      </c>
      <c r="V81" s="89">
        <f t="shared" si="101"/>
        <v>7.580466765943511E-3</v>
      </c>
      <c r="W81" s="89">
        <f t="shared" si="101"/>
        <v>8.1709319215174155E-3</v>
      </c>
      <c r="X81" s="89">
        <f t="shared" si="101"/>
        <v>7.9333766463882821E-3</v>
      </c>
      <c r="Y81" s="89">
        <f t="shared" si="101"/>
        <v>7.6451039187740641E-3</v>
      </c>
      <c r="Z81" s="89">
        <f t="shared" ref="Z81:AA81" si="102">Z48/Z$23</f>
        <v>7.7248392695626646E-3</v>
      </c>
      <c r="AA81" s="89">
        <f t="shared" si="102"/>
        <v>7.0794598431363539E-3</v>
      </c>
    </row>
    <row r="82" spans="1:27" x14ac:dyDescent="0.25">
      <c r="A82" s="68" t="s">
        <v>3</v>
      </c>
      <c r="B82" s="44"/>
      <c r="C82" s="44"/>
      <c r="D82" s="89">
        <f>D52/D$23</f>
        <v>1.4724417021405834E-2</v>
      </c>
      <c r="E82" s="89">
        <f t="shared" ref="E82:S82" si="103">E52/E$23</f>
        <v>1.6107646681253193E-2</v>
      </c>
      <c r="F82" s="89">
        <f t="shared" si="103"/>
        <v>1.3181897427829112E-2</v>
      </c>
      <c r="G82" s="89">
        <f t="shared" si="103"/>
        <v>1.1006040909672228E-2</v>
      </c>
      <c r="H82" s="89">
        <f t="shared" si="103"/>
        <v>9.1974116787559394E-3</v>
      </c>
      <c r="I82" s="89">
        <f t="shared" si="103"/>
        <v>8.775852270268553E-3</v>
      </c>
      <c r="J82" s="89">
        <f t="shared" si="103"/>
        <v>9.2060008035040625E-3</v>
      </c>
      <c r="K82" s="89">
        <f t="shared" si="103"/>
        <v>8.5235209155157012E-3</v>
      </c>
      <c r="L82" s="89">
        <f t="shared" si="103"/>
        <v>7.5468592266358945E-3</v>
      </c>
      <c r="M82" s="89">
        <f t="shared" si="103"/>
        <v>7.3507588882063468E-3</v>
      </c>
      <c r="N82" s="89">
        <f t="shared" si="103"/>
        <v>7.1099367345661075E-3</v>
      </c>
      <c r="O82" s="89">
        <f t="shared" si="103"/>
        <v>7.0569814041098536E-3</v>
      </c>
      <c r="P82" s="89">
        <f t="shared" si="103"/>
        <v>7.4396923852823611E-3</v>
      </c>
      <c r="Q82" s="89">
        <f t="shared" si="103"/>
        <v>6.8050674585434156E-3</v>
      </c>
      <c r="R82" s="89">
        <f t="shared" si="103"/>
        <v>6.7129817092217445E-3</v>
      </c>
      <c r="S82" s="89">
        <f t="shared" si="103"/>
        <v>6.9024199218453239E-3</v>
      </c>
      <c r="T82" s="89">
        <f t="shared" ref="T82:Y82" si="104">T52/T$23</f>
        <v>6.9328093640485863E-3</v>
      </c>
      <c r="U82" s="89">
        <f t="shared" si="104"/>
        <v>6.1797133117275369E-3</v>
      </c>
      <c r="V82" s="89">
        <f t="shared" si="104"/>
        <v>6.3100527073536947E-3</v>
      </c>
      <c r="W82" s="89">
        <f t="shared" si="104"/>
        <v>5.8194824918740154E-3</v>
      </c>
      <c r="X82" s="89">
        <f t="shared" si="104"/>
        <v>5.0251018841178897E-3</v>
      </c>
      <c r="Y82" s="89">
        <f t="shared" si="104"/>
        <v>4.4259973031479001E-3</v>
      </c>
      <c r="Z82" s="89">
        <f t="shared" ref="Z82:AA82" si="105">Z52/Z$23</f>
        <v>4.9309001719347141E-3</v>
      </c>
      <c r="AA82" s="89">
        <f t="shared" si="105"/>
        <v>4.8492841427701392E-3</v>
      </c>
    </row>
    <row r="83" spans="1:27" x14ac:dyDescent="0.25">
      <c r="A83" s="88" t="s">
        <v>21</v>
      </c>
      <c r="B83" s="44"/>
      <c r="C83" s="44"/>
      <c r="D83" s="89">
        <f>D53/D$23</f>
        <v>1.0831987770989508E-2</v>
      </c>
      <c r="E83" s="89">
        <f t="shared" ref="E83:S83" si="106">E53/E$23</f>
        <v>1.2200207084928246E-2</v>
      </c>
      <c r="F83" s="89">
        <f t="shared" si="106"/>
        <v>9.7801174464538579E-3</v>
      </c>
      <c r="G83" s="89">
        <f t="shared" si="106"/>
        <v>7.5943939154573554E-3</v>
      </c>
      <c r="H83" s="89">
        <f t="shared" si="106"/>
        <v>6.1740072013776555E-3</v>
      </c>
      <c r="I83" s="89">
        <f t="shared" si="106"/>
        <v>5.9198056734355922E-3</v>
      </c>
      <c r="J83" s="89">
        <f t="shared" si="106"/>
        <v>6.1071208097753142E-3</v>
      </c>
      <c r="K83" s="89">
        <f t="shared" si="106"/>
        <v>5.6684782285658809E-3</v>
      </c>
      <c r="L83" s="89">
        <f t="shared" si="106"/>
        <v>4.7249755184791391E-3</v>
      </c>
      <c r="M83" s="89">
        <f t="shared" si="106"/>
        <v>5.0299206946294601E-3</v>
      </c>
      <c r="N83" s="89">
        <f t="shared" si="106"/>
        <v>4.4932745360240544E-3</v>
      </c>
      <c r="O83" s="89">
        <f t="shared" si="106"/>
        <v>4.6509104157138759E-3</v>
      </c>
      <c r="P83" s="89">
        <f t="shared" si="106"/>
        <v>4.9389052938797863E-3</v>
      </c>
      <c r="Q83" s="89">
        <f t="shared" si="106"/>
        <v>4.5179608186805536E-3</v>
      </c>
      <c r="R83" s="89">
        <f t="shared" si="106"/>
        <v>4.4396496870553123E-3</v>
      </c>
      <c r="S83" s="89">
        <f t="shared" si="106"/>
        <v>4.8028245083562519E-3</v>
      </c>
      <c r="T83" s="89">
        <f t="shared" ref="T83:Y83" si="107">T53/T$23</f>
        <v>4.9692833877549355E-3</v>
      </c>
      <c r="U83" s="89">
        <f t="shared" si="107"/>
        <v>4.1876552807265429E-3</v>
      </c>
      <c r="V83" s="89">
        <f t="shared" si="107"/>
        <v>4.1486186718735513E-3</v>
      </c>
      <c r="W83" s="89">
        <f t="shared" si="107"/>
        <v>4.1162193235206443E-3</v>
      </c>
      <c r="X83" s="89">
        <f t="shared" si="107"/>
        <v>3.4729194967810526E-3</v>
      </c>
      <c r="Y83" s="89">
        <f t="shared" si="107"/>
        <v>2.8767885297109057E-3</v>
      </c>
      <c r="Z83" s="89">
        <f t="shared" ref="Z83:AA83" si="108">Z53/Z$23</f>
        <v>3.5670341669314948E-3</v>
      </c>
      <c r="AA83" s="89">
        <f t="shared" si="108"/>
        <v>3.6170745009506751E-3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3.892429250416325E-3</v>
      </c>
      <c r="E84" s="89">
        <f t="shared" ref="E84:S84" si="110">E56/E$23</f>
        <v>3.9074395963249464E-3</v>
      </c>
      <c r="F84" s="89">
        <f t="shared" si="110"/>
        <v>3.4017799813752551E-3</v>
      </c>
      <c r="G84" s="89">
        <f t="shared" si="110"/>
        <v>3.4116469942148714E-3</v>
      </c>
      <c r="H84" s="89">
        <f t="shared" si="110"/>
        <v>3.0234044773782827E-3</v>
      </c>
      <c r="I84" s="89">
        <f t="shared" si="110"/>
        <v>2.8560465968329595E-3</v>
      </c>
      <c r="J84" s="89">
        <f t="shared" si="110"/>
        <v>3.0988799937287492E-3</v>
      </c>
      <c r="K84" s="89">
        <f t="shared" si="110"/>
        <v>2.8550426869498203E-3</v>
      </c>
      <c r="L84" s="89">
        <f t="shared" si="110"/>
        <v>2.8218837081567557E-3</v>
      </c>
      <c r="M84" s="89">
        <f t="shared" si="110"/>
        <v>2.3208381935768863E-3</v>
      </c>
      <c r="N84" s="89">
        <f t="shared" si="110"/>
        <v>2.616662198542054E-3</v>
      </c>
      <c r="O84" s="89">
        <f t="shared" si="110"/>
        <v>2.4060709883959776E-3</v>
      </c>
      <c r="P84" s="89">
        <f t="shared" si="110"/>
        <v>2.5007870914025747E-3</v>
      </c>
      <c r="Q84" s="89">
        <f t="shared" si="110"/>
        <v>2.287106639862862E-3</v>
      </c>
      <c r="R84" s="89">
        <f t="shared" si="110"/>
        <v>2.2733320221664322E-3</v>
      </c>
      <c r="S84" s="89">
        <f t="shared" si="110"/>
        <v>2.0995954134890721E-3</v>
      </c>
      <c r="T84" s="89">
        <f t="shared" ref="T84:Y84" si="111">T56/T$23</f>
        <v>1.9635259762936508E-3</v>
      </c>
      <c r="U84" s="89">
        <f t="shared" si="111"/>
        <v>1.9920580310009935E-3</v>
      </c>
      <c r="V84" s="89">
        <f t="shared" si="111"/>
        <v>2.161434035480143E-3</v>
      </c>
      <c r="W84" s="89">
        <f t="shared" si="111"/>
        <v>1.7032631683533703E-3</v>
      </c>
      <c r="X84" s="89">
        <f t="shared" si="111"/>
        <v>1.5521823873368373E-3</v>
      </c>
      <c r="Y84" s="89">
        <f t="shared" si="111"/>
        <v>1.5492087734369948E-3</v>
      </c>
      <c r="Z84" s="89">
        <f t="shared" ref="Z84:AA84" si="112">Z56/Z$23</f>
        <v>1.3638660050032194E-3</v>
      </c>
      <c r="AA84" s="89">
        <f t="shared" si="112"/>
        <v>1.2322096418194634E-3</v>
      </c>
    </row>
    <row r="85" spans="1:27" x14ac:dyDescent="0.25">
      <c r="A85" s="68" t="s">
        <v>2</v>
      </c>
      <c r="B85" s="44"/>
      <c r="C85" s="44"/>
      <c r="D85" s="89">
        <f t="shared" si="109"/>
        <v>2.8299833470842212E-2</v>
      </c>
      <c r="E85" s="89">
        <f t="shared" ref="E85:S85" si="113">E57/E$23</f>
        <v>3.3948809730180524E-2</v>
      </c>
      <c r="F85" s="89">
        <f t="shared" si="113"/>
        <v>2.4280204617065881E-2</v>
      </c>
      <c r="G85" s="89">
        <f t="shared" si="113"/>
        <v>2.1534376010893194E-2</v>
      </c>
      <c r="H85" s="89">
        <f t="shared" si="113"/>
        <v>2.1017064134008244E-2</v>
      </c>
      <c r="I85" s="89">
        <f t="shared" si="113"/>
        <v>2.0794327141385845E-2</v>
      </c>
      <c r="J85" s="89">
        <f t="shared" si="113"/>
        <v>2.0648584559003657E-2</v>
      </c>
      <c r="K85" s="89">
        <f t="shared" si="113"/>
        <v>1.8079295293835604E-2</v>
      </c>
      <c r="L85" s="89">
        <f t="shared" si="113"/>
        <v>1.6938021019674239E-2</v>
      </c>
      <c r="M85" s="89">
        <f t="shared" si="113"/>
        <v>1.5317532077607452E-2</v>
      </c>
      <c r="N85" s="89">
        <f t="shared" si="113"/>
        <v>1.4207030955274341E-2</v>
      </c>
      <c r="O85" s="89">
        <f t="shared" si="113"/>
        <v>1.5273589805204369E-2</v>
      </c>
      <c r="P85" s="89">
        <f t="shared" si="113"/>
        <v>1.4851034558908009E-2</v>
      </c>
      <c r="Q85" s="89">
        <f t="shared" si="113"/>
        <v>1.321192670600391E-2</v>
      </c>
      <c r="R85" s="89">
        <f t="shared" si="113"/>
        <v>1.2921260571283131E-2</v>
      </c>
      <c r="S85" s="89">
        <f t="shared" si="113"/>
        <v>1.3273034426458219E-2</v>
      </c>
      <c r="T85" s="89">
        <f t="shared" ref="T85:Y85" si="114">T57/T$23</f>
        <v>1.1309637855150212E-2</v>
      </c>
      <c r="U85" s="89">
        <f t="shared" si="114"/>
        <v>1.1614867029798141E-2</v>
      </c>
      <c r="V85" s="89">
        <f t="shared" si="114"/>
        <v>1.3660658563863641E-2</v>
      </c>
      <c r="W85" s="89">
        <f t="shared" si="114"/>
        <v>1.3960843872274186E-2</v>
      </c>
      <c r="X85" s="89">
        <f t="shared" si="114"/>
        <v>1.4723288642135728E-2</v>
      </c>
      <c r="Y85" s="89">
        <f t="shared" si="114"/>
        <v>1.3826578585589945E-2</v>
      </c>
      <c r="Z85" s="89">
        <f t="shared" ref="Z85:AA85" si="115">Z57/Z$23</f>
        <v>1.3782278501641935E-2</v>
      </c>
      <c r="AA85" s="89">
        <f t="shared" si="115"/>
        <v>1.4305653402586932E-2</v>
      </c>
    </row>
    <row r="86" spans="1:27" x14ac:dyDescent="0.25">
      <c r="A86" s="68" t="s">
        <v>269</v>
      </c>
      <c r="B86" s="44"/>
      <c r="C86" s="44"/>
      <c r="D86" s="89">
        <f t="shared" si="109"/>
        <v>1.7381797198868211E-2</v>
      </c>
      <c r="E86" s="89">
        <f t="shared" ref="E86:S86" si="116">E58/E$23</f>
        <v>1.9017143071322483E-2</v>
      </c>
      <c r="F86" s="89">
        <f t="shared" si="116"/>
        <v>1.9713314992069603E-2</v>
      </c>
      <c r="G86" s="89">
        <f t="shared" si="116"/>
        <v>2.7281891564542939E-2</v>
      </c>
      <c r="H86" s="89">
        <f t="shared" si="116"/>
        <v>2.7262824192454207E-2</v>
      </c>
      <c r="I86" s="89">
        <f t="shared" si="116"/>
        <v>2.5035123603349935E-2</v>
      </c>
      <c r="J86" s="89">
        <f t="shared" si="116"/>
        <v>2.4859631759967863E-2</v>
      </c>
      <c r="K86" s="89">
        <f t="shared" si="116"/>
        <v>3.1417357312257664E-2</v>
      </c>
      <c r="L86" s="89">
        <f t="shared" si="116"/>
        <v>3.1141502350729912E-2</v>
      </c>
      <c r="M86" s="89">
        <f t="shared" si="116"/>
        <v>2.1256807216857743E-2</v>
      </c>
      <c r="N86" s="89">
        <f t="shared" si="116"/>
        <v>3.1719403914719294E-2</v>
      </c>
      <c r="O86" s="89">
        <f t="shared" si="116"/>
        <v>3.1953304859426233E-2</v>
      </c>
      <c r="P86" s="89">
        <f t="shared" si="116"/>
        <v>3.1740300124293297E-2</v>
      </c>
      <c r="Q86" s="89">
        <f t="shared" si="116"/>
        <v>3.3898029091404325E-2</v>
      </c>
      <c r="R86" s="89">
        <f t="shared" si="116"/>
        <v>4.1077605654985715E-2</v>
      </c>
      <c r="S86" s="89">
        <f t="shared" si="116"/>
        <v>4.2594160638387515E-2</v>
      </c>
      <c r="T86" s="89">
        <f t="shared" ref="T86:Y86" si="117">T58/T$23</f>
        <v>4.0861722929499224E-2</v>
      </c>
      <c r="U86" s="89">
        <f t="shared" si="117"/>
        <v>3.6807769682899033E-2</v>
      </c>
      <c r="V86" s="89">
        <f t="shared" si="117"/>
        <v>4.3332488862250287E-2</v>
      </c>
      <c r="W86" s="89">
        <f t="shared" si="117"/>
        <v>5.2106841913521544E-2</v>
      </c>
      <c r="X86" s="89">
        <f t="shared" si="117"/>
        <v>5.0670367964089545E-2</v>
      </c>
      <c r="Y86" s="89">
        <f t="shared" si="117"/>
        <v>3.9896514609411779E-2</v>
      </c>
      <c r="Z86" s="89">
        <f t="shared" ref="Z86:AA86" si="118">Z58/Z$23</f>
        <v>3.8143431034623247E-2</v>
      </c>
      <c r="AA86" s="89">
        <f t="shared" si="118"/>
        <v>4.2094013883131012E-2</v>
      </c>
    </row>
    <row r="87" spans="1:27" x14ac:dyDescent="0.25">
      <c r="A87" s="68" t="s">
        <v>270</v>
      </c>
      <c r="B87" s="44"/>
      <c r="C87" s="44"/>
      <c r="D87" s="89">
        <f t="shared" si="109"/>
        <v>4.9381716212043757E-2</v>
      </c>
      <c r="E87" s="89">
        <f t="shared" ref="E87:S87" si="119">E59/E$23</f>
        <v>5.3069026747689034E-2</v>
      </c>
      <c r="F87" s="89">
        <f t="shared" si="119"/>
        <v>4.940660200449886E-2</v>
      </c>
      <c r="G87" s="89">
        <f t="shared" si="119"/>
        <v>5.3638463216652749E-2</v>
      </c>
      <c r="H87" s="89">
        <f t="shared" si="119"/>
        <v>5.4812659813181647E-2</v>
      </c>
      <c r="I87" s="89">
        <f t="shared" si="119"/>
        <v>5.9850043129188506E-2</v>
      </c>
      <c r="J87" s="89">
        <f t="shared" si="119"/>
        <v>6.3028524394187338E-2</v>
      </c>
      <c r="K87" s="89">
        <f t="shared" si="119"/>
        <v>6.2910003744643075E-2</v>
      </c>
      <c r="L87" s="89">
        <f t="shared" si="119"/>
        <v>6.6532627190529214E-2</v>
      </c>
      <c r="M87" s="89">
        <f t="shared" si="119"/>
        <v>4.880144668456618E-2</v>
      </c>
      <c r="N87" s="89">
        <f t="shared" si="119"/>
        <v>5.8016056352950818E-2</v>
      </c>
      <c r="O87" s="89">
        <f t="shared" si="119"/>
        <v>6.6314231010720343E-2</v>
      </c>
      <c r="P87" s="89">
        <f t="shared" si="119"/>
        <v>6.2119790089064424E-2</v>
      </c>
      <c r="Q87" s="89">
        <f t="shared" si="119"/>
        <v>5.9774161172182851E-2</v>
      </c>
      <c r="R87" s="89">
        <f t="shared" si="119"/>
        <v>6.9160197600564563E-2</v>
      </c>
      <c r="S87" s="89">
        <f t="shared" si="119"/>
        <v>6.9408204169078211E-2</v>
      </c>
      <c r="T87" s="89">
        <f t="shared" ref="T87:Y87" si="120">T59/T$23</f>
        <v>6.5320870039039525E-2</v>
      </c>
      <c r="U87" s="89">
        <f t="shared" si="120"/>
        <v>6.1894306679763214E-2</v>
      </c>
      <c r="V87" s="89">
        <f t="shared" si="120"/>
        <v>6.5192755673918801E-2</v>
      </c>
      <c r="W87" s="89">
        <f t="shared" si="120"/>
        <v>6.6107901721715184E-2</v>
      </c>
      <c r="X87" s="89">
        <f t="shared" si="120"/>
        <v>5.8406473332939572E-2</v>
      </c>
      <c r="Y87" s="89">
        <f t="shared" si="120"/>
        <v>5.7220881842110174E-2</v>
      </c>
      <c r="Z87" s="89">
        <f t="shared" ref="Z87:AA87" si="121">Z59/Z$23</f>
        <v>5.5937859046129017E-2</v>
      </c>
      <c r="AA87" s="89">
        <f t="shared" si="121"/>
        <v>5.6348398878812975E-2</v>
      </c>
    </row>
    <row r="88" spans="1:27" x14ac:dyDescent="0.25">
      <c r="A88" s="68" t="s">
        <v>1</v>
      </c>
      <c r="B88" s="44"/>
      <c r="C88" s="44"/>
      <c r="D88" s="89">
        <f t="shared" si="109"/>
        <v>1.9725353431563602E-2</v>
      </c>
      <c r="E88" s="89">
        <f t="shared" ref="E88:S88" si="122">E60/E$23</f>
        <v>1.647309067227639E-2</v>
      </c>
      <c r="F88" s="89">
        <f t="shared" si="122"/>
        <v>1.5431324440513499E-2</v>
      </c>
      <c r="G88" s="89">
        <f t="shared" si="122"/>
        <v>1.4496678628119191E-2</v>
      </c>
      <c r="H88" s="89">
        <f t="shared" si="122"/>
        <v>1.2853545895736576E-2</v>
      </c>
      <c r="I88" s="89">
        <f t="shared" si="122"/>
        <v>1.360516742491338E-2</v>
      </c>
      <c r="J88" s="89">
        <f t="shared" si="122"/>
        <v>1.173409894858554E-2</v>
      </c>
      <c r="K88" s="89">
        <f t="shared" si="122"/>
        <v>1.1174490461066609E-2</v>
      </c>
      <c r="L88" s="89">
        <f t="shared" si="122"/>
        <v>7.6106875486061073E-3</v>
      </c>
      <c r="M88" s="89">
        <f t="shared" si="122"/>
        <v>6.821021099783965E-3</v>
      </c>
      <c r="N88" s="89">
        <f t="shared" si="122"/>
        <v>1.0333407712892763E-2</v>
      </c>
      <c r="O88" s="89">
        <f t="shared" si="122"/>
        <v>8.9886595301030183E-3</v>
      </c>
      <c r="P88" s="89">
        <f t="shared" si="122"/>
        <v>8.6184643436403759E-3</v>
      </c>
      <c r="Q88" s="89">
        <f t="shared" si="122"/>
        <v>8.1862134099945812E-3</v>
      </c>
      <c r="R88" s="89">
        <f t="shared" si="122"/>
        <v>9.3304950426322062E-3</v>
      </c>
      <c r="S88" s="89">
        <f t="shared" si="122"/>
        <v>8.9398562605929443E-3</v>
      </c>
      <c r="T88" s="89">
        <f t="shared" ref="T88:Y88" si="123">T60/T$23</f>
        <v>8.0524947650630965E-3</v>
      </c>
      <c r="U88" s="89">
        <f t="shared" si="123"/>
        <v>6.9177071241352858E-3</v>
      </c>
      <c r="V88" s="89">
        <f t="shared" si="123"/>
        <v>8.014236546648788E-3</v>
      </c>
      <c r="W88" s="89">
        <f t="shared" si="123"/>
        <v>7.3784414195752247E-3</v>
      </c>
      <c r="X88" s="89">
        <f t="shared" si="123"/>
        <v>6.7001358454905216E-3</v>
      </c>
      <c r="Y88" s="89">
        <f t="shared" si="123"/>
        <v>5.9302219691409024E-3</v>
      </c>
      <c r="Z88" s="89">
        <f t="shared" ref="Z88:AA88" si="124">Z60/Z$23</f>
        <v>6.0625320849732323E-3</v>
      </c>
      <c r="AA88" s="89">
        <f t="shared" si="124"/>
        <v>5.2435205131083594E-3</v>
      </c>
    </row>
    <row r="89" spans="1:27" x14ac:dyDescent="0.25">
      <c r="A89" s="68" t="s">
        <v>0</v>
      </c>
      <c r="B89" s="44"/>
      <c r="C89" s="44"/>
      <c r="D89" s="89">
        <f t="shared" si="109"/>
        <v>6.1853687178267183E-3</v>
      </c>
      <c r="E89" s="89">
        <f t="shared" ref="E89:S89" si="125">E61/E$23</f>
        <v>6.2687699998594448E-3</v>
      </c>
      <c r="F89" s="89">
        <f t="shared" si="125"/>
        <v>6.212500690986558E-3</v>
      </c>
      <c r="G89" s="89">
        <f t="shared" si="125"/>
        <v>6.5073310915013498E-3</v>
      </c>
      <c r="H89" s="89">
        <f t="shared" si="125"/>
        <v>7.4720816156134216E-3</v>
      </c>
      <c r="I89" s="89">
        <f t="shared" si="125"/>
        <v>7.7921028869149785E-3</v>
      </c>
      <c r="J89" s="89">
        <f t="shared" si="125"/>
        <v>8.8679411678245623E-3</v>
      </c>
      <c r="K89" s="89">
        <f t="shared" si="125"/>
        <v>8.5730532313892226E-3</v>
      </c>
      <c r="L89" s="89">
        <f t="shared" si="125"/>
        <v>8.5832296123101327E-3</v>
      </c>
      <c r="M89" s="89">
        <f t="shared" si="125"/>
        <v>7.1385186667863041E-3</v>
      </c>
      <c r="N89" s="89">
        <f t="shared" si="125"/>
        <v>6.8434545720151996E-3</v>
      </c>
      <c r="O89" s="89">
        <f t="shared" si="125"/>
        <v>6.3732975729999149E-3</v>
      </c>
      <c r="P89" s="89">
        <f t="shared" si="125"/>
        <v>5.3850480983722504E-3</v>
      </c>
      <c r="Q89" s="89">
        <f t="shared" si="125"/>
        <v>5.355826422669149E-3</v>
      </c>
      <c r="R89" s="89">
        <f t="shared" si="125"/>
        <v>6.9949790020477336E-3</v>
      </c>
      <c r="S89" s="89">
        <f t="shared" si="125"/>
        <v>6.8195411555233877E-3</v>
      </c>
      <c r="T89" s="89">
        <f t="shared" ref="T89:Y89" si="126">T61/T$23</f>
        <v>5.8511715252044716E-3</v>
      </c>
      <c r="U89" s="89">
        <f t="shared" si="126"/>
        <v>6.2388053429701497E-3</v>
      </c>
      <c r="V89" s="89">
        <f t="shared" si="126"/>
        <v>5.6785531120819091E-3</v>
      </c>
      <c r="W89" s="89">
        <f t="shared" si="126"/>
        <v>5.8549671412147109E-3</v>
      </c>
      <c r="X89" s="89">
        <f t="shared" si="126"/>
        <v>6.3386687141929014E-3</v>
      </c>
      <c r="Y89" s="89">
        <f t="shared" si="126"/>
        <v>6.1233244791443807E-3</v>
      </c>
      <c r="Z89" s="89">
        <f t="shared" ref="Z89:AA89" si="127">Z61/Z$23</f>
        <v>6.2988404592531017E-3</v>
      </c>
      <c r="AA89" s="89">
        <f t="shared" si="127"/>
        <v>5.2824137873121301E-3</v>
      </c>
    </row>
    <row r="90" spans="1:27" x14ac:dyDescent="0.25">
      <c r="A90" s="90" t="s">
        <v>272</v>
      </c>
      <c r="B90" s="47"/>
      <c r="C90" s="47"/>
      <c r="D90" s="91">
        <f t="shared" si="109"/>
        <v>1.6207488244256264E-2</v>
      </c>
      <c r="E90" s="91">
        <f t="shared" ref="E90:S90" si="128">E62/E$23</f>
        <v>1.7358589573601826E-2</v>
      </c>
      <c r="F90" s="91">
        <f t="shared" si="128"/>
        <v>2.0453202138018718E-2</v>
      </c>
      <c r="G90" s="91">
        <f t="shared" si="128"/>
        <v>2.1568229178421234E-2</v>
      </c>
      <c r="H90" s="91">
        <f t="shared" si="128"/>
        <v>2.0641992381151174E-2</v>
      </c>
      <c r="I90" s="91">
        <f t="shared" si="128"/>
        <v>2.1835774435786551E-2</v>
      </c>
      <c r="J90" s="91">
        <f t="shared" si="128"/>
        <v>2.0508951231222997E-2</v>
      </c>
      <c r="K90" s="91">
        <f t="shared" si="128"/>
        <v>1.8198172851932055E-2</v>
      </c>
      <c r="L90" s="91">
        <f t="shared" si="128"/>
        <v>1.5962119570603363E-2</v>
      </c>
      <c r="M90" s="91">
        <f t="shared" si="128"/>
        <v>1.7477895957427721E-2</v>
      </c>
      <c r="N90" s="91">
        <f t="shared" si="128"/>
        <v>1.7027568061310165E-2</v>
      </c>
      <c r="O90" s="91">
        <f t="shared" si="128"/>
        <v>1.8888897501685955E-2</v>
      </c>
      <c r="P90" s="91">
        <f t="shared" si="128"/>
        <v>2.0834421334877177E-2</v>
      </c>
      <c r="Q90" s="91">
        <f t="shared" si="128"/>
        <v>2.2874027054473105E-2</v>
      </c>
      <c r="R90" s="91">
        <f t="shared" si="128"/>
        <v>2.3342145146175827E-2</v>
      </c>
      <c r="S90" s="91">
        <f t="shared" si="128"/>
        <v>2.3460216120196317E-2</v>
      </c>
      <c r="T90" s="91">
        <f t="shared" ref="T90:Y90" si="129">T62/T$23</f>
        <v>2.4449635218997689E-2</v>
      </c>
      <c r="U90" s="91">
        <f t="shared" si="129"/>
        <v>2.3410949622073636E-2</v>
      </c>
      <c r="V90" s="91">
        <f t="shared" si="129"/>
        <v>2.2662308372003927E-2</v>
      </c>
      <c r="W90" s="91">
        <f t="shared" si="129"/>
        <v>2.3208143490459361E-2</v>
      </c>
      <c r="X90" s="91">
        <f t="shared" si="129"/>
        <v>2.1458862441675036E-2</v>
      </c>
      <c r="Y90" s="91">
        <f t="shared" si="129"/>
        <v>2.0059620399963573E-2</v>
      </c>
      <c r="Z90" s="91">
        <f t="shared" ref="Z90:AA90" si="130">Z62/Z$23</f>
        <v>1.8991248441587012E-2</v>
      </c>
      <c r="AA90" s="91">
        <f t="shared" si="130"/>
        <v>1.6799242641878685E-2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2.9248526657625229E-2</v>
      </c>
      <c r="F93" s="92">
        <f t="shared" ref="F93:F94" si="132">IF(E16=0,"",F16/E16-1)</f>
        <v>4.4178515678171992E-2</v>
      </c>
      <c r="G93" s="92">
        <f t="shared" ref="G93:G94" si="133">IF(F16=0,"",G16/F16-1)</f>
        <v>4.8566880075631147E-2</v>
      </c>
      <c r="H93" s="92">
        <f t="shared" ref="H93:H94" si="134">IF(G16=0,"",H16/G16-1)</f>
        <v>5.3884268091123344E-2</v>
      </c>
      <c r="I93" s="92">
        <f t="shared" ref="I93:I94" si="135">IF(H16=0,"",I16/H16-1)</f>
        <v>6.4855121174659303E-2</v>
      </c>
      <c r="J93" s="92">
        <f t="shared" ref="J93:J94" si="136">IF(I16=0,"",J16/I16-1)</f>
        <v>8.9261943564162394E-2</v>
      </c>
      <c r="K93" s="92">
        <f t="shared" ref="K93:K94" si="137">IF(J16=0,"",K16/J16-1)</f>
        <v>0.10818508467747212</v>
      </c>
      <c r="L93" s="92">
        <f t="shared" ref="L93:L94" si="138">IF(K16=0,"",L16/K16-1)</f>
        <v>5.3629541420866733E-2</v>
      </c>
      <c r="M93" s="92">
        <f t="shared" ref="M93:M94" si="139">IF(L16=0,"",M16/L16-1)</f>
        <v>-5.50492315068285E-2</v>
      </c>
      <c r="N93" s="92">
        <f t="shared" ref="N93:N94" si="140">IF(M16=0,"",N16/M16-1)</f>
        <v>6.790391548595065E-2</v>
      </c>
      <c r="O93" s="92">
        <f t="shared" ref="O93:O94" si="141">IF(N16=0,"",O16/N16-1)</f>
        <v>2.5619158016738197E-2</v>
      </c>
      <c r="P93" s="92">
        <f t="shared" ref="P93:P94" si="142">IF(O16=0,"",P16/O16-1)</f>
        <v>1.5695855347574783E-2</v>
      </c>
      <c r="Q93" s="92">
        <f t="shared" ref="Q93:Q94" si="143">IF(P16=0,"",Q16/P16-1)</f>
        <v>7.0329089892045005E-3</v>
      </c>
      <c r="R93" s="92">
        <f t="shared" ref="R93:R94" si="144">IF(Q16=0,"",R16/Q16-1)</f>
        <v>2.7078854473537195E-2</v>
      </c>
      <c r="S93" s="92">
        <f t="shared" ref="S93:S94" si="145">IF(R16=0,"",S16/R16-1)</f>
        <v>5.1768297425756726E-2</v>
      </c>
      <c r="T93" s="92">
        <f t="shared" ref="T93:T94" si="146">IF(S16=0,"",T16/S16-1)</f>
        <v>1.9479538040269917E-2</v>
      </c>
      <c r="U93" s="92">
        <f t="shared" ref="U93:U94" si="147">IF(T16=0,"",U16/T16-1)</f>
        <v>2.8749922431120734E-2</v>
      </c>
      <c r="V93" s="92">
        <f t="shared" ref="V93:V94" si="148">IF(U16=0,"",V16/U16-1)</f>
        <v>4.0613532240596939E-2</v>
      </c>
      <c r="W93" s="92">
        <f t="shared" ref="W93:W94" si="149">IF(V16=0,"",W16/V16-1)</f>
        <v>2.2759880406057809E-2</v>
      </c>
      <c r="X93" s="92">
        <f t="shared" ref="X93:X94" si="150">IF(W16=0,"",X16/W16-1)</f>
        <v>-2.5851590025455895E-2</v>
      </c>
      <c r="Y93" s="92">
        <f t="shared" ref="Y93:Y94" si="151">IF(X16=0,"",Y16/X16-1)</f>
        <v>5.6991431873763654E-2</v>
      </c>
      <c r="Z93" s="92">
        <f t="shared" ref="Z93:Z94" si="152">IF(Y16=0,"",Z16/Y16-1)</f>
        <v>4.3769956200061522E-3</v>
      </c>
      <c r="AA93" s="92">
        <f t="shared" ref="AA93:AA94" si="153">IF(Z16=0,"",AA16/Z16-1)</f>
        <v>2.1679496234517481E-2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5.1860982603572969E-2</v>
      </c>
      <c r="F94" s="93">
        <f t="shared" si="132"/>
        <v>5.7428944913504365E-2</v>
      </c>
      <c r="G94" s="93">
        <f t="shared" si="133"/>
        <v>5.3911129860120255E-3</v>
      </c>
      <c r="H94" s="93">
        <f t="shared" si="134"/>
        <v>6.7958493875058368E-2</v>
      </c>
      <c r="I94" s="93">
        <f t="shared" si="135"/>
        <v>4.8050383680568576E-2</v>
      </c>
      <c r="J94" s="93">
        <f t="shared" si="136"/>
        <v>6.4487327273361927E-2</v>
      </c>
      <c r="K94" s="93">
        <f t="shared" si="137"/>
        <v>7.9446569265675837E-2</v>
      </c>
      <c r="L94" s="93">
        <f t="shared" si="138"/>
        <v>7.0344054948821455E-2</v>
      </c>
      <c r="M94" s="93">
        <f t="shared" si="139"/>
        <v>1.6028043675775372E-4</v>
      </c>
      <c r="N94" s="93">
        <f t="shared" si="140"/>
        <v>1.2949907264769633E-2</v>
      </c>
      <c r="O94" s="93">
        <f t="shared" si="141"/>
        <v>-1.742972335476245E-2</v>
      </c>
      <c r="P94" s="93">
        <f t="shared" si="142"/>
        <v>5.7238692290675353E-3</v>
      </c>
      <c r="Q94" s="93">
        <f t="shared" si="143"/>
        <v>-1.5868885395721177E-2</v>
      </c>
      <c r="R94" s="93">
        <f t="shared" si="144"/>
        <v>2.4895801309402055E-2</v>
      </c>
      <c r="S94" s="93">
        <f t="shared" si="145"/>
        <v>3.2020060964158104E-2</v>
      </c>
      <c r="T94" s="93">
        <f t="shared" si="146"/>
        <v>3.6361844175847091E-2</v>
      </c>
      <c r="U94" s="93">
        <f t="shared" si="147"/>
        <v>5.9484059550726887E-2</v>
      </c>
      <c r="V94" s="93">
        <f t="shared" si="148"/>
        <v>4.1246421417782786E-2</v>
      </c>
      <c r="W94" s="93">
        <f t="shared" si="149"/>
        <v>2.8071488710817105E-2</v>
      </c>
      <c r="X94" s="93">
        <f t="shared" si="150"/>
        <v>4.1308761731821964E-3</v>
      </c>
      <c r="Y94" s="93">
        <f t="shared" si="151"/>
        <v>2.9577871925577481E-2</v>
      </c>
      <c r="Z94" s="93">
        <f t="shared" si="152"/>
        <v>5.1171328893521162E-2</v>
      </c>
      <c r="AA94" s="93">
        <f t="shared" si="153"/>
        <v>-3.1212648360385509E-2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3.3051484542112375E-2</v>
      </c>
      <c r="F95" s="92">
        <f t="shared" ref="F95:F96" si="155">IF(E20=0,"",F20/E20-1)</f>
        <v>4.4145903001344466E-2</v>
      </c>
      <c r="G95" s="92">
        <f t="shared" ref="G95:G96" si="156">IF(F20=0,"",G20/F20-1)</f>
        <v>4.9362444126530347E-2</v>
      </c>
      <c r="H95" s="92">
        <f t="shared" ref="H95:H96" si="157">IF(G20=0,"",H20/G20-1)</f>
        <v>5.4472432379334856E-2</v>
      </c>
      <c r="I95" s="92">
        <f t="shared" ref="I95:I96" si="158">IF(H20=0,"",I20/H20-1)</f>
        <v>6.4694580839956606E-2</v>
      </c>
      <c r="J95" s="92">
        <f t="shared" ref="J95:J96" si="159">IF(I20=0,"",J20/I20-1)</f>
        <v>8.9212679801036199E-2</v>
      </c>
      <c r="K95" s="92">
        <f t="shared" ref="K95:K96" si="160">IF(J20=0,"",K20/J20-1)</f>
        <v>0.10813311123877489</v>
      </c>
      <c r="L95" s="92">
        <f t="shared" ref="L95:L96" si="161">IF(K20=0,"",L20/K20-1)</f>
        <v>5.306431980195403E-2</v>
      </c>
      <c r="M95" s="92">
        <f t="shared" ref="M95:M96" si="162">IF(L20=0,"",M20/L20-1)</f>
        <v>-5.6161774593072256E-2</v>
      </c>
      <c r="N95" s="92">
        <f t="shared" ref="N95:N96" si="163">IF(M20=0,"",N20/M20-1)</f>
        <v>6.6317237949524488E-2</v>
      </c>
      <c r="O95" s="92">
        <f t="shared" ref="O95:O96" si="164">IF(N20=0,"",O20/N20-1)</f>
        <v>2.5231919905179589E-2</v>
      </c>
      <c r="P95" s="92">
        <f t="shared" ref="P95:P96" si="165">IF(O20=0,"",P20/O20-1)</f>
        <v>1.3463863253449615E-2</v>
      </c>
      <c r="Q95" s="92">
        <f t="shared" ref="Q95:Q96" si="166">IF(P20=0,"",Q20/P20-1)</f>
        <v>5.8205616977404784E-3</v>
      </c>
      <c r="R95" s="92">
        <f t="shared" ref="R95:R96" si="167">IF(Q20=0,"",R20/Q20-1)</f>
        <v>2.6109226771554805E-2</v>
      </c>
      <c r="S95" s="92">
        <f t="shared" ref="S95:S96" si="168">IF(R20=0,"",S20/R20-1)</f>
        <v>5.0720670939046641E-2</v>
      </c>
      <c r="T95" s="92">
        <f t="shared" ref="T95:T96" si="169">IF(S20=0,"",T20/S20-1)</f>
        <v>1.8558366635954116E-2</v>
      </c>
      <c r="U95" s="92">
        <f t="shared" ref="U95:U96" si="170">IF(T20=0,"",U20/T20-1)</f>
        <v>2.7029264591344582E-2</v>
      </c>
      <c r="V95" s="92">
        <f t="shared" ref="V95:V96" si="171">IF(U20=0,"",V20/U20-1)</f>
        <v>3.9126728451550408E-2</v>
      </c>
      <c r="W95" s="92">
        <f t="shared" ref="W95:W96" si="172">IF(V20=0,"",W20/V20-1)</f>
        <v>2.1389863321718217E-2</v>
      </c>
      <c r="X95" s="92">
        <f t="shared" ref="X95:X96" si="173">IF(W20=0,"",X20/W20-1)</f>
        <v>-2.7181660173869138E-2</v>
      </c>
      <c r="Y95" s="92">
        <f t="shared" ref="Y95:Y96" si="174">IF(X20=0,"",Y20/X20-1)</f>
        <v>5.6622050821297343E-2</v>
      </c>
      <c r="Z95" s="92">
        <f t="shared" ref="Z95:Z96" si="175">IF(Y20=0,"",Z20/Y20-1)</f>
        <v>9.009941561428203E-3</v>
      </c>
      <c r="AA95" s="92">
        <f t="shared" ref="AA95:AA96" si="176">IF(Z20=0,"",AA20/Z20-1)</f>
        <v>2.279361934288282E-2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5.5747490976984171E-2</v>
      </c>
      <c r="F96" s="93">
        <f t="shared" si="155"/>
        <v>5.7395918387933564E-2</v>
      </c>
      <c r="G96" s="93">
        <f t="shared" si="156"/>
        <v>6.1539189088231083E-3</v>
      </c>
      <c r="H96" s="93">
        <f t="shared" si="157"/>
        <v>6.8554512874874574E-2</v>
      </c>
      <c r="I96" s="93">
        <f t="shared" si="158"/>
        <v>4.7892376871909281E-2</v>
      </c>
      <c r="J96" s="93">
        <f t="shared" si="159"/>
        <v>6.443918398528381E-2</v>
      </c>
      <c r="K96" s="93">
        <f t="shared" si="160"/>
        <v>7.9395943651894951E-2</v>
      </c>
      <c r="L96" s="93">
        <f t="shared" si="161"/>
        <v>6.9769866796583369E-2</v>
      </c>
      <c r="M96" s="93">
        <f t="shared" si="162"/>
        <v>-1.0172638779686327E-3</v>
      </c>
      <c r="N96" s="93">
        <f t="shared" si="163"/>
        <v>1.1444879668114805E-2</v>
      </c>
      <c r="O96" s="93">
        <f t="shared" si="164"/>
        <v>-1.7800707706436936E-2</v>
      </c>
      <c r="P96" s="93">
        <f t="shared" si="165"/>
        <v>3.5137905788751311E-3</v>
      </c>
      <c r="Q96" s="93">
        <f t="shared" si="166"/>
        <v>-1.7053661663294695E-2</v>
      </c>
      <c r="R96" s="93">
        <f t="shared" si="167"/>
        <v>2.3928234548324046E-2</v>
      </c>
      <c r="S96" s="93">
        <f t="shared" si="168"/>
        <v>3.0992104946346632E-2</v>
      </c>
      <c r="T96" s="93">
        <f t="shared" si="169"/>
        <v>3.5425418421570543E-2</v>
      </c>
      <c r="U96" s="93">
        <f t="shared" si="170"/>
        <v>5.7711996667965559E-2</v>
      </c>
      <c r="V96" s="93">
        <f t="shared" si="171"/>
        <v>3.9758713371778498E-2</v>
      </c>
      <c r="W96" s="93">
        <f t="shared" si="172"/>
        <v>2.6694356570184707E-2</v>
      </c>
      <c r="X96" s="93">
        <f t="shared" si="173"/>
        <v>2.7598689531089793E-3</v>
      </c>
      <c r="Y96" s="93">
        <f t="shared" si="174"/>
        <v>2.9218070940953078E-2</v>
      </c>
      <c r="Z96" s="93">
        <f t="shared" si="175"/>
        <v>5.6020125673190702E-2</v>
      </c>
      <c r="AA96" s="93">
        <f t="shared" si="176"/>
        <v>-3.0156203184054098E-2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4.1307823370289709E-2</v>
      </c>
      <c r="F97" s="89">
        <f t="shared" ref="F97:F106" si="178">IF(E23=0,"",F23/E23-1)</f>
        <v>4.0928202252487944E-2</v>
      </c>
      <c r="G97" s="89">
        <f t="shared" ref="G97:G106" si="179">IF(F23=0,"",G23/F23-1)</f>
        <v>4.1068854878513639E-2</v>
      </c>
      <c r="H97" s="89">
        <f t="shared" ref="H97:H106" si="180">IF(G23=0,"",H23/G23-1)</f>
        <v>4.6483449642507946E-2</v>
      </c>
      <c r="I97" s="89">
        <f t="shared" ref="I97:I106" si="181">IF(H23=0,"",I23/H23-1)</f>
        <v>5.9651926069576477E-2</v>
      </c>
      <c r="J97" s="89">
        <f t="shared" ref="J97:J106" si="182">IF(I23=0,"",J23/I23-1)</f>
        <v>0.10324306390154403</v>
      </c>
      <c r="K97" s="89">
        <f t="shared" ref="K97:K106" si="183">IF(J23=0,"",K23/J23-1)</f>
        <v>0.11096212014037432</v>
      </c>
      <c r="L97" s="89">
        <f t="shared" ref="L97:L106" si="184">IF(K23=0,"",L23/K23-1)</f>
        <v>5.9903462062278479E-2</v>
      </c>
      <c r="M97" s="89">
        <f t="shared" ref="M97:M106" si="185">IF(L23=0,"",M23/L23-1)</f>
        <v>-5.1267294188413359E-2</v>
      </c>
      <c r="N97" s="89">
        <f t="shared" ref="N97:N106" si="186">IF(M23=0,"",N23/M23-1)</f>
        <v>6.9873249575467256E-2</v>
      </c>
      <c r="O97" s="89">
        <f t="shared" ref="O97:O106" si="187">IF(N23=0,"",O23/N23-1)</f>
        <v>1.8222299317192103E-2</v>
      </c>
      <c r="P97" s="89">
        <f t="shared" ref="P97:P106" si="188">IF(O23=0,"",P23/O23-1)</f>
        <v>2.4536809366013435E-2</v>
      </c>
      <c r="Q97" s="89">
        <f t="shared" ref="Q97:Q106" si="189">IF(P23=0,"",Q23/P23-1)</f>
        <v>2.4871619693733749E-3</v>
      </c>
      <c r="R97" s="89">
        <f t="shared" ref="R97:R106" si="190">IF(Q23=0,"",R23/Q23-1)</f>
        <v>2.6500825087238056E-2</v>
      </c>
      <c r="S97" s="89">
        <f t="shared" ref="S97:S106" si="191">IF(R23=0,"",S23/R23-1)</f>
        <v>4.9203421755150911E-2</v>
      </c>
      <c r="T97" s="89">
        <f t="shared" ref="T97:T106" si="192">IF(S23=0,"",T23/S23-1)</f>
        <v>2.0752785510930849E-2</v>
      </c>
      <c r="U97" s="89">
        <f t="shared" ref="U97:U106" si="193">IF(T23=0,"",U23/T23-1)</f>
        <v>2.2338030406257037E-2</v>
      </c>
      <c r="V97" s="89">
        <f t="shared" ref="V97:V106" si="194">IF(U23=0,"",V23/U23-1)</f>
        <v>3.9678347854917195E-2</v>
      </c>
      <c r="W97" s="89">
        <f t="shared" ref="W97:W106" si="195">IF(V23=0,"",W23/V23-1)</f>
        <v>1.8337893531705118E-2</v>
      </c>
      <c r="X97" s="89">
        <f t="shared" ref="X97:X106" si="196">IF(W23=0,"",X23/W23-1)</f>
        <v>-2.3668400535305834E-2</v>
      </c>
      <c r="Y97" s="89">
        <f t="shared" ref="Y97:Y106" si="197">IF(X23=0,"",Y23/X23-1)</f>
        <v>5.1123000167051291E-2</v>
      </c>
      <c r="Z97" s="89">
        <f t="shared" ref="Z97:Z108" si="198">IF(Y23=0,"",Z23/Y23-1)</f>
        <v>9.3342045901234627E-4</v>
      </c>
      <c r="AA97" s="89">
        <f t="shared" ref="AA97:AA108" si="199">IF(Z23=0,"",AA23/Z23-1)</f>
        <v>4.3657462075433751E-2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0.28703890604607962</v>
      </c>
      <c r="F98" s="83">
        <f t="shared" si="178"/>
        <v>9.5441496349124577E-4</v>
      </c>
      <c r="G98" s="83">
        <f t="shared" si="179"/>
        <v>-8.3119077783362916E-2</v>
      </c>
      <c r="H98" s="83">
        <f t="shared" si="180"/>
        <v>-5.3225555167595084E-2</v>
      </c>
      <c r="I98" s="83">
        <f t="shared" si="181"/>
        <v>3.7386956275488936E-2</v>
      </c>
      <c r="J98" s="83">
        <f t="shared" si="182"/>
        <v>0.25147105012046977</v>
      </c>
      <c r="K98" s="83">
        <f t="shared" si="183"/>
        <v>0.40150982849435768</v>
      </c>
      <c r="L98" s="83">
        <f t="shared" si="184"/>
        <v>0.1649394973029521</v>
      </c>
      <c r="M98" s="83">
        <f t="shared" si="185"/>
        <v>-0.23561314925714749</v>
      </c>
      <c r="N98" s="83">
        <f t="shared" si="186"/>
        <v>-0.16188638020700641</v>
      </c>
      <c r="O98" s="83">
        <f t="shared" si="187"/>
        <v>0.22670387554963711</v>
      </c>
      <c r="P98" s="83">
        <f t="shared" si="188"/>
        <v>1.5478406336913331E-2</v>
      </c>
      <c r="Q98" s="83">
        <f t="shared" si="189"/>
        <v>0.16384860494043729</v>
      </c>
      <c r="R98" s="83">
        <f t="shared" si="190"/>
        <v>0.29664371387137756</v>
      </c>
      <c r="S98" s="83">
        <f t="shared" si="191"/>
        <v>-0.17678892857142858</v>
      </c>
      <c r="T98" s="83">
        <f t="shared" si="192"/>
        <v>2.8021954448094633E-2</v>
      </c>
      <c r="U98" s="83">
        <f t="shared" si="193"/>
        <v>-7.8578856673341635E-2</v>
      </c>
      <c r="V98" s="83">
        <f t="shared" si="194"/>
        <v>0.1302984674036709</v>
      </c>
      <c r="W98" s="83">
        <f t="shared" si="195"/>
        <v>-0.17852126689004089</v>
      </c>
      <c r="X98" s="83">
        <f t="shared" si="196"/>
        <v>4.0228517120300511E-2</v>
      </c>
      <c r="Y98" s="83">
        <f t="shared" si="197"/>
        <v>0.14294244580222926</v>
      </c>
      <c r="Z98" s="83">
        <f t="shared" si="198"/>
        <v>3.3613596132429313E-2</v>
      </c>
      <c r="AA98" s="83">
        <f t="shared" si="199"/>
        <v>0.12225358045522294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-4.5871700945855132E-2</v>
      </c>
      <c r="F99" s="83">
        <f t="shared" si="178"/>
        <v>-5.684655411977757E-2</v>
      </c>
      <c r="G99" s="83">
        <f t="shared" si="179"/>
        <v>3.5782032958099563E-2</v>
      </c>
      <c r="H99" s="83">
        <f t="shared" si="180"/>
        <v>-9.6820453379187099E-2</v>
      </c>
      <c r="I99" s="83">
        <f t="shared" si="181"/>
        <v>0.14723222460281615</v>
      </c>
      <c r="J99" s="83">
        <f t="shared" si="182"/>
        <v>-0.39746336091369083</v>
      </c>
      <c r="K99" s="83">
        <f t="shared" si="183"/>
        <v>0.32186160894570826</v>
      </c>
      <c r="L99" s="83">
        <f t="shared" si="184"/>
        <v>3.1993559886802192E-2</v>
      </c>
      <c r="M99" s="83">
        <f t="shared" si="185"/>
        <v>1.1728264275885358E-3</v>
      </c>
      <c r="N99" s="83">
        <f t="shared" si="186"/>
        <v>-0.26237619900610054</v>
      </c>
      <c r="O99" s="83">
        <f t="shared" si="187"/>
        <v>4.5387859741105041E-2</v>
      </c>
      <c r="P99" s="83">
        <f t="shared" si="188"/>
        <v>-3.7452464314613576E-2</v>
      </c>
      <c r="Q99" s="83">
        <f t="shared" si="189"/>
        <v>4.7600926776173003E-2</v>
      </c>
      <c r="R99" s="83">
        <f t="shared" si="190"/>
        <v>-0.10291241848632204</v>
      </c>
      <c r="S99" s="83">
        <f t="shared" si="191"/>
        <v>0.10951925923058581</v>
      </c>
      <c r="T99" s="83">
        <f t="shared" si="192"/>
        <v>5.3664824787499121E-2</v>
      </c>
      <c r="U99" s="83">
        <f t="shared" si="193"/>
        <v>-2.8975448419685468E-2</v>
      </c>
      <c r="V99" s="83">
        <f t="shared" si="194"/>
        <v>6.0549309893820347E-2</v>
      </c>
      <c r="W99" s="83">
        <f t="shared" si="195"/>
        <v>-9.9270231132848941E-2</v>
      </c>
      <c r="X99" s="83">
        <f t="shared" si="196"/>
        <v>-8.2192649005957241E-2</v>
      </c>
      <c r="Y99" s="83">
        <f t="shared" si="197"/>
        <v>-5.2661237584233134E-2</v>
      </c>
      <c r="Z99" s="83">
        <f t="shared" si="198"/>
        <v>-0.12515219293535029</v>
      </c>
      <c r="AA99" s="83">
        <f t="shared" si="199"/>
        <v>0.25730511038948389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3.5038227888726237E-2</v>
      </c>
      <c r="F100" s="83">
        <f t="shared" si="178"/>
        <v>4.9788133902744169E-2</v>
      </c>
      <c r="G100" s="83">
        <f t="shared" si="179"/>
        <v>1.8830856878390367E-2</v>
      </c>
      <c r="H100" s="83">
        <f t="shared" si="180"/>
        <v>1.9129065618446628E-2</v>
      </c>
      <c r="I100" s="83">
        <f t="shared" si="181"/>
        <v>6.1952674602940627E-2</v>
      </c>
      <c r="J100" s="83">
        <f t="shared" si="182"/>
        <v>6.6004349721773936E-2</v>
      </c>
      <c r="K100" s="83">
        <f t="shared" si="183"/>
        <v>0.12278264409096584</v>
      </c>
      <c r="L100" s="83">
        <f t="shared" si="184"/>
        <v>6.5526226288705969E-2</v>
      </c>
      <c r="M100" s="83">
        <f t="shared" si="185"/>
        <v>1.6862936297906028E-2</v>
      </c>
      <c r="N100" s="83">
        <f t="shared" si="186"/>
        <v>6.5584563134092111E-2</v>
      </c>
      <c r="O100" s="83">
        <f t="shared" si="187"/>
        <v>1.1594443068283056E-2</v>
      </c>
      <c r="P100" s="83">
        <f t="shared" si="188"/>
        <v>2.5495497424907532E-2</v>
      </c>
      <c r="Q100" s="83">
        <f t="shared" si="189"/>
        <v>3.3970219590240047E-2</v>
      </c>
      <c r="R100" s="83">
        <f t="shared" si="190"/>
        <v>-1.9381163537589785E-2</v>
      </c>
      <c r="S100" s="83">
        <f t="shared" si="191"/>
        <v>5.6810404272467974E-2</v>
      </c>
      <c r="T100" s="83">
        <f t="shared" si="192"/>
        <v>4.1681179666921864E-2</v>
      </c>
      <c r="U100" s="83">
        <f t="shared" si="193"/>
        <v>3.3918848930467815E-2</v>
      </c>
      <c r="V100" s="83">
        <f t="shared" si="194"/>
        <v>2.8614174197587827E-2</v>
      </c>
      <c r="W100" s="83">
        <f t="shared" si="195"/>
        <v>1.4176579092846753E-2</v>
      </c>
      <c r="X100" s="83">
        <f t="shared" si="196"/>
        <v>-1.4892063984218606E-2</v>
      </c>
      <c r="Y100" s="83">
        <f t="shared" si="197"/>
        <v>6.5624915170189535E-2</v>
      </c>
      <c r="Z100" s="83">
        <f t="shared" si="198"/>
        <v>1.3479650324933923E-2</v>
      </c>
      <c r="AA100" s="83">
        <f t="shared" si="199"/>
        <v>8.5979083337639484E-3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6.2224232014191916E-2</v>
      </c>
      <c r="F101" s="84">
        <f t="shared" si="178"/>
        <v>6.8893489043846401E-3</v>
      </c>
      <c r="G101" s="84">
        <f t="shared" si="179"/>
        <v>1.806507193665996E-2</v>
      </c>
      <c r="H101" s="84">
        <f t="shared" si="180"/>
        <v>-6.4064239052575522E-2</v>
      </c>
      <c r="I101" s="84">
        <f t="shared" si="181"/>
        <v>6.8292309852006072E-2</v>
      </c>
      <c r="J101" s="84">
        <f t="shared" si="182"/>
        <v>2.4324936984421175E-2</v>
      </c>
      <c r="K101" s="84">
        <f t="shared" si="183"/>
        <v>0.11545203601749399</v>
      </c>
      <c r="L101" s="84">
        <f t="shared" si="184"/>
        <v>3.9647170761341055E-3</v>
      </c>
      <c r="M101" s="84">
        <f t="shared" si="185"/>
        <v>8.1363105669422398E-2</v>
      </c>
      <c r="N101" s="84">
        <f t="shared" si="186"/>
        <v>3.5537931410889678E-2</v>
      </c>
      <c r="O101" s="84">
        <f t="shared" si="187"/>
        <v>7.5589054415041712E-3</v>
      </c>
      <c r="P101" s="84">
        <f t="shared" si="188"/>
        <v>6.5599222092638243E-2</v>
      </c>
      <c r="Q101" s="84">
        <f t="shared" si="189"/>
        <v>3.9198190573864533E-2</v>
      </c>
      <c r="R101" s="84">
        <f t="shared" si="190"/>
        <v>5.1920861656505668E-2</v>
      </c>
      <c r="S101" s="84">
        <f t="shared" si="191"/>
        <v>6.8668006422500927E-2</v>
      </c>
      <c r="T101" s="84">
        <f t="shared" si="192"/>
        <v>4.7495534249686111E-2</v>
      </c>
      <c r="U101" s="84">
        <f t="shared" si="193"/>
        <v>3.7113254572044285E-2</v>
      </c>
      <c r="V101" s="84">
        <f t="shared" si="194"/>
        <v>3.7092068560768299E-2</v>
      </c>
      <c r="W101" s="84">
        <f t="shared" si="195"/>
        <v>5.2212938671910569E-2</v>
      </c>
      <c r="X101" s="84">
        <f t="shared" si="196"/>
        <v>-3.4537936446241591E-2</v>
      </c>
      <c r="Y101" s="84">
        <f t="shared" si="197"/>
        <v>6.6485261592101663E-2</v>
      </c>
      <c r="Z101" s="84">
        <f t="shared" si="198"/>
        <v>-9.8619959798830203E-3</v>
      </c>
      <c r="AA101" s="84">
        <f t="shared" si="199"/>
        <v>-1.6622328259230712E-2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3.7012292312972983E-2</v>
      </c>
      <c r="F102" s="84">
        <f t="shared" si="178"/>
        <v>0.13330947219379019</v>
      </c>
      <c r="G102" s="84">
        <f t="shared" si="179"/>
        <v>-2.6908201992724257E-2</v>
      </c>
      <c r="H102" s="84">
        <f t="shared" si="180"/>
        <v>6.7001379910980985E-2</v>
      </c>
      <c r="I102" s="84">
        <f t="shared" si="181"/>
        <v>1.2731757521731391E-2</v>
      </c>
      <c r="J102" s="84">
        <f t="shared" si="182"/>
        <v>9.7253351888856532E-2</v>
      </c>
      <c r="K102" s="84">
        <f t="shared" si="183"/>
        <v>0.12385614493372277</v>
      </c>
      <c r="L102" s="84">
        <f t="shared" si="184"/>
        <v>0.10625518145984358</v>
      </c>
      <c r="M102" s="84">
        <f t="shared" si="185"/>
        <v>4.3982977529480438E-2</v>
      </c>
      <c r="N102" s="84">
        <f t="shared" si="186"/>
        <v>5.5564770520976303E-2</v>
      </c>
      <c r="O102" s="84">
        <f t="shared" si="187"/>
        <v>-1.6409892730300024E-2</v>
      </c>
      <c r="P102" s="84">
        <f t="shared" si="188"/>
        <v>5.4612421795877442E-2</v>
      </c>
      <c r="Q102" s="84">
        <f t="shared" si="189"/>
        <v>8.4662149222030303E-2</v>
      </c>
      <c r="R102" s="84">
        <f t="shared" si="190"/>
        <v>-7.0220600307212E-2</v>
      </c>
      <c r="S102" s="84">
        <f t="shared" si="191"/>
        <v>7.5150162132691989E-2</v>
      </c>
      <c r="T102" s="84">
        <f t="shared" si="192"/>
        <v>7.2932429164612067E-2</v>
      </c>
      <c r="U102" s="84">
        <f t="shared" si="193"/>
        <v>1.9971293420008696E-2</v>
      </c>
      <c r="V102" s="84">
        <f t="shared" si="194"/>
        <v>3.7094180929517773E-2</v>
      </c>
      <c r="W102" s="84">
        <f t="shared" si="195"/>
        <v>-6.0531267435489311E-2</v>
      </c>
      <c r="X102" s="84">
        <f t="shared" si="196"/>
        <v>-2.1201628942206119E-2</v>
      </c>
      <c r="Y102" s="84">
        <f t="shared" si="197"/>
        <v>0.11565416885010205</v>
      </c>
      <c r="Z102" s="84">
        <f t="shared" si="198"/>
        <v>1.4816068644384561E-2</v>
      </c>
      <c r="AA102" s="84">
        <f t="shared" si="199"/>
        <v>-7.9308631690343523E-3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-1.7593036141726248E-2</v>
      </c>
      <c r="F103" s="84">
        <f t="shared" si="178"/>
        <v>-2.2570241970306992E-2</v>
      </c>
      <c r="G103" s="84">
        <f t="shared" si="179"/>
        <v>0.1195481602537718</v>
      </c>
      <c r="H103" s="84">
        <f t="shared" si="180"/>
        <v>8.1199543144249375E-2</v>
      </c>
      <c r="I103" s="84">
        <f t="shared" si="181"/>
        <v>0.14345234426902853</v>
      </c>
      <c r="J103" s="84">
        <f t="shared" si="182"/>
        <v>7.6234418347433719E-2</v>
      </c>
      <c r="K103" s="84">
        <f t="shared" si="183"/>
        <v>0.13130913353954332</v>
      </c>
      <c r="L103" s="84">
        <f t="shared" si="184"/>
        <v>8.3103848165767324E-2</v>
      </c>
      <c r="M103" s="84">
        <f t="shared" si="185"/>
        <v>-0.11241462409983238</v>
      </c>
      <c r="N103" s="84">
        <f t="shared" si="186"/>
        <v>0.13280934123278176</v>
      </c>
      <c r="O103" s="84">
        <f t="shared" si="187"/>
        <v>6.9684104046469741E-2</v>
      </c>
      <c r="P103" s="84">
        <f t="shared" si="188"/>
        <v>-7.8685244674550847E-2</v>
      </c>
      <c r="Q103" s="84">
        <f t="shared" si="189"/>
        <v>-7.3847560484115116E-2</v>
      </c>
      <c r="R103" s="84">
        <f t="shared" si="190"/>
        <v>-2.7346672065749145E-2</v>
      </c>
      <c r="S103" s="84">
        <f t="shared" si="191"/>
        <v>-6.0339170751869675E-3</v>
      </c>
      <c r="T103" s="84">
        <f t="shared" si="192"/>
        <v>-4.4565210983221193E-2</v>
      </c>
      <c r="U103" s="84">
        <f t="shared" si="193"/>
        <v>6.4064280564374076E-2</v>
      </c>
      <c r="V103" s="84">
        <f t="shared" si="194"/>
        <v>-1.158404886039488E-2</v>
      </c>
      <c r="W103" s="84">
        <f t="shared" si="195"/>
        <v>0.12810004873141345</v>
      </c>
      <c r="X103" s="84">
        <f t="shared" si="196"/>
        <v>4.11197234974785E-2</v>
      </c>
      <c r="Y103" s="84">
        <f t="shared" si="197"/>
        <v>-4.139017241354781E-2</v>
      </c>
      <c r="Z103" s="84">
        <f t="shared" si="198"/>
        <v>6.1545721833315081E-2</v>
      </c>
      <c r="AA103" s="84">
        <f t="shared" si="199"/>
        <v>9.9050050905135745E-2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-0.24466994732874392</v>
      </c>
      <c r="F104" s="83">
        <f t="shared" si="178"/>
        <v>0.26287265675596494</v>
      </c>
      <c r="G104" s="83">
        <f t="shared" si="179"/>
        <v>0.49141218996111036</v>
      </c>
      <c r="H104" s="83">
        <f t="shared" si="180"/>
        <v>0.39688690483009004</v>
      </c>
      <c r="I104" s="83">
        <f t="shared" si="181"/>
        <v>-8.6110507267883496E-2</v>
      </c>
      <c r="J104" s="83">
        <f t="shared" si="182"/>
        <v>0.33632860447500135</v>
      </c>
      <c r="K104" s="83">
        <f t="shared" si="183"/>
        <v>-6.1456105068902755E-2</v>
      </c>
      <c r="L104" s="83">
        <f t="shared" si="184"/>
        <v>-9.5820854517730814E-2</v>
      </c>
      <c r="M104" s="83">
        <f t="shared" si="185"/>
        <v>-8.7038926857732068E-2</v>
      </c>
      <c r="N104" s="83">
        <f t="shared" si="186"/>
        <v>-4.9259268004696932E-2</v>
      </c>
      <c r="O104" s="83">
        <f t="shared" si="187"/>
        <v>-2.6582211406612655E-2</v>
      </c>
      <c r="P104" s="83">
        <f t="shared" si="188"/>
        <v>9.9870466185038476E-2</v>
      </c>
      <c r="Q104" s="83">
        <f t="shared" si="189"/>
        <v>-0.16112494334082883</v>
      </c>
      <c r="R104" s="83">
        <f t="shared" si="190"/>
        <v>6.8772439954132292E-2</v>
      </c>
      <c r="S104" s="83">
        <f t="shared" si="191"/>
        <v>-8.7384063636310683E-2</v>
      </c>
      <c r="T104" s="83">
        <f t="shared" si="192"/>
        <v>-0.10609162307756892</v>
      </c>
      <c r="U104" s="83">
        <f t="shared" si="193"/>
        <v>3.5425796920075969E-2</v>
      </c>
      <c r="V104" s="83">
        <f t="shared" si="194"/>
        <v>-0.10078243796454589</v>
      </c>
      <c r="W104" s="83">
        <f t="shared" si="195"/>
        <v>0.38929386448993797</v>
      </c>
      <c r="X104" s="83">
        <f t="shared" si="196"/>
        <v>-6.5599936970490713E-3</v>
      </c>
      <c r="Y104" s="83">
        <f t="shared" si="197"/>
        <v>-0.25260172712020923</v>
      </c>
      <c r="Z104" s="83">
        <f t="shared" si="198"/>
        <v>-0.26564926630809704</v>
      </c>
      <c r="AA104" s="83">
        <f t="shared" si="199"/>
        <v>1.6489576959887469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2.3973311393998387E-2</v>
      </c>
      <c r="F105" s="83">
        <f t="shared" si="178"/>
        <v>0.16512073781323844</v>
      </c>
      <c r="G105" s="83">
        <f t="shared" si="179"/>
        <v>-2.9188930588899265E-3</v>
      </c>
      <c r="H105" s="83">
        <f t="shared" si="180"/>
        <v>7.8958237010318788E-2</v>
      </c>
      <c r="I105" s="83">
        <f t="shared" si="181"/>
        <v>0.1064591322174997</v>
      </c>
      <c r="J105" s="83">
        <f t="shared" si="182"/>
        <v>0.23593922789126975</v>
      </c>
      <c r="K105" s="83">
        <f t="shared" si="183"/>
        <v>0.145021550726399</v>
      </c>
      <c r="L105" s="83">
        <f t="shared" si="184"/>
        <v>0.27710195146131023</v>
      </c>
      <c r="M105" s="83">
        <f t="shared" si="185"/>
        <v>-8.0443604082462983E-3</v>
      </c>
      <c r="N105" s="83">
        <f t="shared" si="186"/>
        <v>-2.4495923445201795E-2</v>
      </c>
      <c r="O105" s="83">
        <f t="shared" si="187"/>
        <v>-4.1511849701287296E-2</v>
      </c>
      <c r="P105" s="83">
        <f t="shared" si="188"/>
        <v>5.4591625639844876E-2</v>
      </c>
      <c r="Q105" s="83">
        <f t="shared" si="189"/>
        <v>-0.13537397602137691</v>
      </c>
      <c r="R105" s="83">
        <f t="shared" si="190"/>
        <v>5.9988397162140217E-2</v>
      </c>
      <c r="S105" s="83">
        <f t="shared" si="191"/>
        <v>8.167863211711035E-2</v>
      </c>
      <c r="T105" s="83">
        <f t="shared" si="192"/>
        <v>2.6586151119338819E-3</v>
      </c>
      <c r="U105" s="83">
        <f t="shared" si="193"/>
        <v>8.2863495801314579E-2</v>
      </c>
      <c r="V105" s="83">
        <f t="shared" si="194"/>
        <v>1.4710884950306813E-2</v>
      </c>
      <c r="W105" s="83">
        <f t="shared" si="195"/>
        <v>-8.7965933865717272E-2</v>
      </c>
      <c r="X105" s="83">
        <f t="shared" si="196"/>
        <v>3.1705026400541403E-2</v>
      </c>
      <c r="Y105" s="83">
        <f t="shared" si="197"/>
        <v>0.17777500001607938</v>
      </c>
      <c r="Z105" s="83">
        <f t="shared" si="198"/>
        <v>-1.7344006761365716E-2</v>
      </c>
      <c r="AA105" s="83">
        <f t="shared" si="199"/>
        <v>4.2749425893283677E-2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0.10426756221919131</v>
      </c>
      <c r="F106" s="83">
        <f t="shared" si="178"/>
        <v>-4.2763400431216625E-2</v>
      </c>
      <c r="G106" s="83">
        <f t="shared" si="179"/>
        <v>6.3778730297250119E-2</v>
      </c>
      <c r="H106" s="83">
        <f t="shared" si="180"/>
        <v>5.0260470488263209E-2</v>
      </c>
      <c r="I106" s="83">
        <f t="shared" si="181"/>
        <v>8.5296474016602009E-2</v>
      </c>
      <c r="J106" s="83">
        <f t="shared" si="182"/>
        <v>0.10946835467808391</v>
      </c>
      <c r="K106" s="83">
        <f t="shared" si="183"/>
        <v>9.2878782185298547E-2</v>
      </c>
      <c r="L106" s="83">
        <f t="shared" si="184"/>
        <v>-6.4801532918192795E-3</v>
      </c>
      <c r="M106" s="83">
        <f t="shared" si="185"/>
        <v>-0.25841412665645791</v>
      </c>
      <c r="N106" s="83">
        <f t="shared" si="186"/>
        <v>0.22866699294761328</v>
      </c>
      <c r="O106" s="83">
        <f t="shared" si="187"/>
        <v>6.5723404549424824E-2</v>
      </c>
      <c r="P106" s="83">
        <f t="shared" si="188"/>
        <v>-8.2703035572453398E-3</v>
      </c>
      <c r="Q106" s="83">
        <f t="shared" si="189"/>
        <v>-2.4509013758693743E-2</v>
      </c>
      <c r="R106" s="83">
        <f t="shared" si="190"/>
        <v>0.15123357498522316</v>
      </c>
      <c r="S106" s="83">
        <f t="shared" si="191"/>
        <v>7.0797037423742992E-2</v>
      </c>
      <c r="T106" s="83">
        <f t="shared" si="192"/>
        <v>-2.1316105706701838E-2</v>
      </c>
      <c r="U106" s="83">
        <f t="shared" si="193"/>
        <v>-3.3542789207804291E-2</v>
      </c>
      <c r="V106" s="83">
        <f t="shared" si="194"/>
        <v>0.10645990363396041</v>
      </c>
      <c r="W106" s="83">
        <f t="shared" si="195"/>
        <v>5.2859240773296401E-2</v>
      </c>
      <c r="X106" s="83">
        <f t="shared" si="196"/>
        <v>-8.2623400709075479E-2</v>
      </c>
      <c r="Y106" s="83">
        <f t="shared" si="197"/>
        <v>-4.4878980003318913E-3</v>
      </c>
      <c r="Z106" s="83">
        <f t="shared" si="198"/>
        <v>-2.8353204581238467E-3</v>
      </c>
      <c r="AA106" s="83">
        <f t="shared" si="199"/>
        <v>-7.0059371090247513E-4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0.1635413287607832</v>
      </c>
      <c r="F107" s="87">
        <f t="shared" ref="F107:F108" si="201">IF(E33=0,"",F33/E33-1)</f>
        <v>-0.12184878029644763</v>
      </c>
      <c r="G107" s="87">
        <f t="shared" ref="G107:G108" si="202">IF(F33=0,"",G33/F33-1)</f>
        <v>0.18744821197116535</v>
      </c>
      <c r="H107" s="87">
        <f t="shared" ref="H107:H108" si="203">IF(G33=0,"",H33/G33-1)</f>
        <v>0.29420335567481071</v>
      </c>
      <c r="I107" s="87">
        <f t="shared" ref="I107:I108" si="204">IF(H33=0,"",I33/H33-1)</f>
        <v>5.1793005700125683E-2</v>
      </c>
      <c r="J107" s="87">
        <f t="shared" ref="J107:J108" si="205">IF(I33=0,"",J33/I33-1)</f>
        <v>9.3943700958957876E-2</v>
      </c>
      <c r="K107" s="87">
        <f t="shared" ref="K107:K108" si="206">IF(J33=0,"",K33/J33-1)</f>
        <v>5.9931081913271456E-3</v>
      </c>
      <c r="L107" s="87">
        <f t="shared" ref="L107:L108" si="207">IF(K33=0,"",L33/K33-1)</f>
        <v>-0.22736489266492976</v>
      </c>
      <c r="M107" s="87">
        <f t="shared" ref="M107:M108" si="208">IF(L33=0,"",M33/L33-1)</f>
        <v>-0.50022587142078456</v>
      </c>
      <c r="N107" s="87">
        <f t="shared" ref="N107:N108" si="209">IF(M33=0,"",N33/M33-1)</f>
        <v>0.64116891124457465</v>
      </c>
      <c r="O107" s="87">
        <f t="shared" ref="O107:O108" si="210">IF(N33=0,"",O33/N33-1)</f>
        <v>-0.22234964478961516</v>
      </c>
      <c r="P107" s="87">
        <f t="shared" ref="P107:P108" si="211">IF(O33=0,"",P33/O33-1)</f>
        <v>8.2096206656366189E-2</v>
      </c>
      <c r="Q107" s="87">
        <f t="shared" ref="Q107:Q108" si="212">IF(P33=0,"",Q33/P33-1)</f>
        <v>-7.2058646645265734E-2</v>
      </c>
      <c r="R107" s="87">
        <f t="shared" ref="R107:R108" si="213">IF(Q33=0,"",R33/Q33-1)</f>
        <v>-4.7237823162688652E-2</v>
      </c>
      <c r="S107" s="87">
        <f t="shared" ref="S107:S108" si="214">IF(R33=0,"",S33/R33-1)</f>
        <v>0.15363751699320294</v>
      </c>
      <c r="T107" s="87">
        <f t="shared" ref="T107:T108" si="215">IF(S33=0,"",T33/S33-1)</f>
        <v>9.3203130852383742E-2</v>
      </c>
      <c r="U107" s="87">
        <f t="shared" ref="U107:U108" si="216">IF(T33=0,"",U33/T33-1)</f>
        <v>7.8471979560745808E-4</v>
      </c>
      <c r="V107" s="87">
        <f t="shared" ref="V107:V108" si="217">IF(U33=0,"",V33/U33-1)</f>
        <v>0.12913665564860355</v>
      </c>
      <c r="W107" s="87">
        <f t="shared" ref="W107:W108" si="218">IF(V33=0,"",W33/V33-1)</f>
        <v>-0.30198081854861925</v>
      </c>
      <c r="X107" s="87">
        <f t="shared" ref="X107:X108" si="219">IF(W33=0,"",X33/W33-1)</f>
        <v>-6.6075585239031009E-2</v>
      </c>
      <c r="Y107" s="87">
        <f t="shared" ref="Y107:Y108" si="220">IF(X33=0,"",Y33/X33-1)</f>
        <v>0.84576871297422329</v>
      </c>
      <c r="Z107" s="87">
        <f t="shared" si="198"/>
        <v>0.12113275616689623</v>
      </c>
      <c r="AA107" s="87">
        <f t="shared" si="199"/>
        <v>-0.37623564602397852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0.1635413287607832</v>
      </c>
      <c r="F108" s="89">
        <f t="shared" si="201"/>
        <v>-0.12184878029644775</v>
      </c>
      <c r="G108" s="89">
        <f t="shared" si="202"/>
        <v>0.18744821197116535</v>
      </c>
      <c r="H108" s="89">
        <f t="shared" si="203"/>
        <v>0.29420335567481071</v>
      </c>
      <c r="I108" s="89">
        <f t="shared" si="204"/>
        <v>5.1793005700125683E-2</v>
      </c>
      <c r="J108" s="89">
        <f t="shared" si="205"/>
        <v>9.3943700958957876E-2</v>
      </c>
      <c r="K108" s="89">
        <f t="shared" si="206"/>
        <v>5.9931081913273676E-3</v>
      </c>
      <c r="L108" s="89">
        <f t="shared" si="207"/>
        <v>-0.22736489266492976</v>
      </c>
      <c r="M108" s="89">
        <f t="shared" si="208"/>
        <v>-0.49923082275937358</v>
      </c>
      <c r="N108" s="89">
        <f t="shared" si="209"/>
        <v>-0.12917169783368243</v>
      </c>
      <c r="O108" s="89">
        <f t="shared" si="210"/>
        <v>-0.36072637080742564</v>
      </c>
      <c r="P108" s="89">
        <f t="shared" si="211"/>
        <v>1.5778128018889594</v>
      </c>
      <c r="Q108" s="89">
        <f t="shared" si="212"/>
        <v>-3.585518558316747E-2</v>
      </c>
      <c r="R108" s="89">
        <f t="shared" si="213"/>
        <v>1.9239217417159837E-2</v>
      </c>
      <c r="S108" s="89">
        <f t="shared" si="214"/>
        <v>7.0620606896776295E-4</v>
      </c>
      <c r="T108" s="89">
        <f t="shared" si="215"/>
        <v>5.4646895769193682E-2</v>
      </c>
      <c r="U108" s="89">
        <f t="shared" si="216"/>
        <v>0.14782423972977843</v>
      </c>
      <c r="V108" s="89">
        <f t="shared" si="217"/>
        <v>0.23280274368354403</v>
      </c>
      <c r="W108" s="89">
        <f t="shared" si="218"/>
        <v>-0.43751941621495194</v>
      </c>
      <c r="X108" s="89">
        <f t="shared" si="219"/>
        <v>-1.3382403048502911E-2</v>
      </c>
      <c r="Y108" s="89">
        <f t="shared" si="220"/>
        <v>1.200025167303933</v>
      </c>
      <c r="Z108" s="89">
        <f t="shared" si="198"/>
        <v>0.22526572646963516</v>
      </c>
      <c r="AA108" s="89">
        <f t="shared" si="199"/>
        <v>-0.40404531423382262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0.1635413287607832</v>
      </c>
      <c r="F109" s="89">
        <f t="shared" ref="F109" si="222">IF(E37=0,"",F37/E37-1)</f>
        <v>-0.12184878029644752</v>
      </c>
      <c r="G109" s="89">
        <f t="shared" ref="G109" si="223">IF(F37=0,"",G37/F37-1)</f>
        <v>0.18744821197116535</v>
      </c>
      <c r="H109" s="89">
        <f t="shared" ref="H109" si="224">IF(G37=0,"",H37/G37-1)</f>
        <v>0.29420335567481071</v>
      </c>
      <c r="I109" s="89">
        <f t="shared" ref="I109" si="225">IF(H37=0,"",I37/H37-1)</f>
        <v>5.1793005700125683E-2</v>
      </c>
      <c r="J109" s="89">
        <f t="shared" ref="J109" si="226">IF(I37=0,"",J37/I37-1)</f>
        <v>9.3943700958957654E-2</v>
      </c>
      <c r="K109" s="89">
        <f t="shared" ref="K109" si="227">IF(J37=0,"",K37/J37-1)</f>
        <v>5.9931081913269235E-3</v>
      </c>
      <c r="L109" s="89">
        <f t="shared" ref="L109" si="228">IF(K37=0,"",L37/K37-1)</f>
        <v>-0.22736489266492987</v>
      </c>
      <c r="M109" s="89">
        <f t="shared" ref="M109" si="229">IF(L37=0,"",M37/L37-1)</f>
        <v>-0.50230591669146696</v>
      </c>
      <c r="N109" s="89">
        <f t="shared" ref="N109" si="230">IF(M37=0,"",N37/M37-1)</f>
        <v>2.2614351099585446</v>
      </c>
      <c r="O109" s="89">
        <f t="shared" ref="O109" si="231">IF(N37=0,"",O37/N37-1)</f>
        <v>-0.14463722653037336</v>
      </c>
      <c r="P109" s="89">
        <f t="shared" ref="P109" si="232">IF(O37=0,"",P37/O37-1)</f>
        <v>-0.54569196559861521</v>
      </c>
      <c r="Q109" s="89">
        <f t="shared" ref="Q109" si="233">IF(P37=0,"",Q37/P37-1)</f>
        <v>-0.15828000626425698</v>
      </c>
      <c r="R109" s="89">
        <f t="shared" ref="R109" si="234">IF(Q37=0,"",R37/Q37-1)</f>
        <v>-0.22858511714546648</v>
      </c>
      <c r="S109" s="89">
        <f t="shared" ref="S109" si="235">IF(R37=0,"",S37/R37-1)</f>
        <v>0.70485619581407688</v>
      </c>
      <c r="T109" s="89">
        <f t="shared" ref="T109" si="236">IF(S37=0,"",T37/S37-1)</f>
        <v>0.17477510538891883</v>
      </c>
      <c r="U109" s="89">
        <f t="shared" ref="U109" si="237">IF(T37=0,"",U37/T37-1)</f>
        <v>-0.2784907399479708</v>
      </c>
      <c r="V109" s="89">
        <f t="shared" ref="V109" si="238">IF(U37=0,"",V37/U37-1)</f>
        <v>-0.18409734122079868</v>
      </c>
      <c r="W109" s="89">
        <f t="shared" ref="W109" si="239">IF(V37=0,"",W37/V37-1)</f>
        <v>0.31681933636508131</v>
      </c>
      <c r="X109" s="89">
        <f t="shared" ref="X109" si="240">IF(W37=0,"",X37/W37-1)</f>
        <v>-0.16883537170313656</v>
      </c>
      <c r="Y109" s="89">
        <f t="shared" ref="Y109" si="241">IF(X37=0,"",Y37/X37-1)</f>
        <v>2.5703589430598361E-2</v>
      </c>
      <c r="Z109" s="89">
        <f t="shared" ref="Z109" si="242">IF(Y37=0,"",Z37/Y37-1)</f>
        <v>-0.39590778891969103</v>
      </c>
      <c r="AA109" s="89">
        <f t="shared" ref="AA109" si="243">IF(Z37=0,"",AA37/Z37-1)</f>
        <v>-9.6170411892867014E-2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2.6674892741225698E-2</v>
      </c>
      <c r="F110" s="89">
        <f t="shared" ref="F110:F111" si="245">IF(E43=0,"",F43/E43-1)</f>
        <v>1.0143636524906574E-2</v>
      </c>
      <c r="G110" s="89">
        <f t="shared" ref="G110:G111" si="246">IF(F43=0,"",G43/F43-1)</f>
        <v>-0.27652917800351984</v>
      </c>
      <c r="H110" s="89">
        <f t="shared" ref="H110:H111" si="247">IF(G43=0,"",H43/G43-1)</f>
        <v>-8.3614603373992735E-2</v>
      </c>
      <c r="I110" s="89">
        <f t="shared" ref="I110:I111" si="248">IF(H43=0,"",I43/H43-1)</f>
        <v>0.14551358331945696</v>
      </c>
      <c r="J110" s="89">
        <f t="shared" ref="J110:J111" si="249">IF(I43=0,"",J43/I43-1)</f>
        <v>0.15616195673889877</v>
      </c>
      <c r="K110" s="89">
        <f t="shared" ref="K110:K111" si="250">IF(J43=0,"",K43/J43-1)</f>
        <v>-1.7949094106761487E-2</v>
      </c>
      <c r="L110" s="89">
        <f t="shared" ref="L110:L111" si="251">IF(K43=0,"",L43/K43-1)</f>
        <v>1.6141689929693337E-2</v>
      </c>
      <c r="M110" s="89">
        <f t="shared" ref="M110:M111" si="252">IF(L43=0,"",M43/L43-1)</f>
        <v>-6.591997690568685E-2</v>
      </c>
      <c r="N110" s="89">
        <f t="shared" ref="N110:N111" si="253">IF(M43=0,"",N43/M43-1)</f>
        <v>-0.23783959235794516</v>
      </c>
      <c r="O110" s="89">
        <f t="shared" ref="O110:O111" si="254">IF(N43=0,"",O43/N43-1)</f>
        <v>0.24887771784990997</v>
      </c>
      <c r="P110" s="89">
        <f t="shared" ref="P110:P111" si="255">IF(O43=0,"",P43/O43-1)</f>
        <v>-0.12730389323237667</v>
      </c>
      <c r="Q110" s="89">
        <f t="shared" ref="Q110:Q111" si="256">IF(P43=0,"",Q43/P43-1)</f>
        <v>-0.36637693530363957</v>
      </c>
      <c r="R110" s="89">
        <f t="shared" ref="R110:R111" si="257">IF(Q43=0,"",R43/Q43-1)</f>
        <v>0.473167726551875</v>
      </c>
      <c r="S110" s="89">
        <f t="shared" ref="S110:S111" si="258">IF(R43=0,"",S43/R43-1)</f>
        <v>0.2657996611764708</v>
      </c>
      <c r="T110" s="89">
        <f t="shared" ref="T110:T111" si="259">IF(S43=0,"",T43/S43-1)</f>
        <v>-9.6492059149144493E-2</v>
      </c>
      <c r="U110" s="89">
        <f t="shared" ref="U110:U111" si="260">IF(T43=0,"",U43/T43-1)</f>
        <v>-8.4443680370698826E-2</v>
      </c>
      <c r="V110" s="89">
        <f t="shared" ref="V110:V111" si="261">IF(U43=0,"",V43/U43-1)</f>
        <v>-0.13741525355472317</v>
      </c>
      <c r="W110" s="89">
        <f t="shared" ref="W110:W111" si="262">IF(V43=0,"",W43/V43-1)</f>
        <v>0.13695397765959583</v>
      </c>
      <c r="X110" s="89">
        <f t="shared" ref="X110:X111" si="263">IF(W43=0,"",X43/W43-1)</f>
        <v>-5.2702724013787283E-2</v>
      </c>
      <c r="Y110" s="89">
        <f t="shared" ref="Y110:Y111" si="264">IF(X43=0,"",Y43/X43-1)</f>
        <v>-3.1781818622679481E-2</v>
      </c>
      <c r="Z110" s="89">
        <f t="shared" ref="Z110:Z111" si="265">IF(Y43=0,"",Z43/Y43-1)</f>
        <v>0.1483842950942531</v>
      </c>
      <c r="AA110" s="89">
        <f t="shared" ref="AA110:AA111" si="266">IF(Z43=0,"",AA43/Z43-1)</f>
        <v>-5.3310186059868037E-2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2.0845805873896506E-2</v>
      </c>
      <c r="F111" s="89">
        <f t="shared" si="245"/>
        <v>4.392078512489217E-2</v>
      </c>
      <c r="G111" s="89">
        <f t="shared" si="246"/>
        <v>-0.28129338767247891</v>
      </c>
      <c r="H111" s="89">
        <f t="shared" si="247"/>
        <v>-1.9461530330330157E-2</v>
      </c>
      <c r="I111" s="89">
        <f t="shared" si="248"/>
        <v>0.10610827943022993</v>
      </c>
      <c r="J111" s="89">
        <f t="shared" si="249"/>
        <v>0.15666544922195591</v>
      </c>
      <c r="K111" s="89">
        <f t="shared" si="250"/>
        <v>-3.0365953464043138E-2</v>
      </c>
      <c r="L111" s="89">
        <f t="shared" si="251"/>
        <v>-3.034517053208674E-3</v>
      </c>
      <c r="M111" s="89">
        <f t="shared" si="252"/>
        <v>-0.15820365917919854</v>
      </c>
      <c r="N111" s="89">
        <f t="shared" si="253"/>
        <v>-0.34216713737644866</v>
      </c>
      <c r="O111" s="89">
        <f t="shared" si="254"/>
        <v>0.37361111622958942</v>
      </c>
      <c r="P111" s="89">
        <f t="shared" si="255"/>
        <v>-0.16802570204145406</v>
      </c>
      <c r="Q111" s="89">
        <f t="shared" si="256"/>
        <v>-0.14847184772579158</v>
      </c>
      <c r="R111" s="89">
        <f t="shared" si="257"/>
        <v>0.31186653421019006</v>
      </c>
      <c r="S111" s="89">
        <f t="shared" si="258"/>
        <v>0.37586537689882493</v>
      </c>
      <c r="T111" s="89">
        <f t="shared" si="259"/>
        <v>-0.15873853377706704</v>
      </c>
      <c r="U111" s="89">
        <f t="shared" si="260"/>
        <v>-7.2104442802953916E-2</v>
      </c>
      <c r="V111" s="89">
        <f t="shared" si="261"/>
        <v>-0.16122478012987274</v>
      </c>
      <c r="W111" s="89">
        <f t="shared" si="262"/>
        <v>0.1650224729133889</v>
      </c>
      <c r="X111" s="89">
        <f t="shared" si="263"/>
        <v>-7.3427805568508142E-2</v>
      </c>
      <c r="Y111" s="89">
        <f t="shared" si="264"/>
        <v>-5.2168446284887593E-2</v>
      </c>
      <c r="Z111" s="89">
        <f t="shared" si="265"/>
        <v>0.18559040456221165</v>
      </c>
      <c r="AA111" s="89">
        <f t="shared" si="266"/>
        <v>-0.11102649248351604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5.3746420524038774E-2</v>
      </c>
      <c r="F112" s="89">
        <f t="shared" ref="F112:F113" si="268">IF(E47=0,"",F47/E47-1)</f>
        <v>-0.1418268519628646</v>
      </c>
      <c r="G112" s="89">
        <f t="shared" ref="G112:G113" si="269">IF(F47=0,"",G47/F47-1)</f>
        <v>-0.25045445134575572</v>
      </c>
      <c r="H112" s="89">
        <f t="shared" ref="H112:H113" si="270">IF(G47=0,"",H47/G47-1)</f>
        <v>-0.42028115763731566</v>
      </c>
      <c r="I112" s="89">
        <f t="shared" ref="I112:I113" si="271">IF(H47=0,"",I47/H47-1)</f>
        <v>0.49528507670409994</v>
      </c>
      <c r="J112" s="89">
        <f t="shared" ref="J112:J113" si="272">IF(I47=0,"",J47/I47-1)</f>
        <v>0.15285600609542893</v>
      </c>
      <c r="K112" s="89">
        <f t="shared" ref="K112:K113" si="273">IF(J47=0,"",K47/J47-1)</f>
        <v>6.38498754581589E-2</v>
      </c>
      <c r="L112" s="89">
        <f t="shared" ref="L112:L113" si="274">IF(K47=0,"",L47/K47-1)</f>
        <v>0.13128170682127527</v>
      </c>
      <c r="M112" s="89">
        <f t="shared" ref="M112:M113" si="275">IF(L47=0,"",M47/L47-1)</f>
        <v>0.42239253615300898</v>
      </c>
      <c r="N112" s="89">
        <f t="shared" ref="N112:N113" si="276">IF(M47=0,"",N47/M47-1)</f>
        <v>8.8868201321769646E-2</v>
      </c>
      <c r="O112" s="89">
        <f t="shared" ref="O112:O113" si="277">IF(N47=0,"",O47/N47-1)</f>
        <v>1.2893199655569898E-2</v>
      </c>
      <c r="P112" s="89">
        <f t="shared" ref="P112:P113" si="278">IF(O47=0,"",P47/O47-1)</f>
        <v>-2.2825145405334646E-2</v>
      </c>
      <c r="Q112" s="89">
        <f t="shared" ref="Q112:Q113" si="279">IF(P47=0,"",Q47/P47-1)</f>
        <v>-0.84237577668161745</v>
      </c>
      <c r="R112" s="89">
        <f t="shared" ref="R112:R113" si="280">IF(Q47=0,"",R47/Q47-1)</f>
        <v>2.3766645406017601</v>
      </c>
      <c r="S112" s="89">
        <f t="shared" ref="S112:S113" si="281">IF(R47=0,"",S47/R47-1)</f>
        <v>-0.23882488830486193</v>
      </c>
      <c r="T112" s="89">
        <f t="shared" ref="T112:T113" si="282">IF(S47=0,"",T47/S47-1)</f>
        <v>0.41935675307879672</v>
      </c>
      <c r="U112" s="89">
        <f t="shared" ref="U112:U113" si="283">IF(T47=0,"",U47/T47-1)</f>
        <v>-0.1450524445804432</v>
      </c>
      <c r="V112" s="89">
        <f t="shared" ref="V112:V113" si="284">IF(U47=0,"",V47/U47-1)</f>
        <v>-1.0487239888897215E-2</v>
      </c>
      <c r="W112" s="89">
        <f t="shared" ref="W112:W113" si="285">IF(V47=0,"",W47/V47-1)</f>
        <v>1.0115784421826257E-2</v>
      </c>
      <c r="X112" s="89">
        <f t="shared" ref="X112:X113" si="286">IF(W47=0,"",X47/W47-1)</f>
        <v>5.5313827894893475E-2</v>
      </c>
      <c r="Y112" s="89">
        <f t="shared" ref="Y112:Y113" si="287">IF(X47=0,"",Y47/X47-1)</f>
        <v>6.1508609706876216E-2</v>
      </c>
      <c r="Z112" s="89">
        <f t="shared" ref="Z112:Z113" si="288">IF(Y47=0,"",Z47/Y47-1)</f>
        <v>-3.6402095322799477E-3</v>
      </c>
      <c r="AA112" s="89">
        <f t="shared" ref="AA112:AA113" si="289">IF(Z47=0,"",AA47/Z47-1)</f>
        <v>0.22730834763200813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2.0163208825836554E-2</v>
      </c>
      <c r="F113" s="89">
        <f t="shared" si="268"/>
        <v>7.1596115257629656E-2</v>
      </c>
      <c r="G113" s="89">
        <f t="shared" si="269"/>
        <v>-3.7152702493126633E-2</v>
      </c>
      <c r="H113" s="89">
        <f t="shared" si="270"/>
        <v>-1.6051747331120469E-2</v>
      </c>
      <c r="I113" s="89">
        <f t="shared" si="271"/>
        <v>5.8692879855568147E-2</v>
      </c>
      <c r="J113" s="89">
        <f t="shared" si="272"/>
        <v>8.4002810419630647E-2</v>
      </c>
      <c r="K113" s="89">
        <f t="shared" si="273"/>
        <v>0.16048185608242971</v>
      </c>
      <c r="L113" s="89">
        <f t="shared" si="274"/>
        <v>-1.0981744067245947E-2</v>
      </c>
      <c r="M113" s="89">
        <f t="shared" si="275"/>
        <v>-0.29503767699106387</v>
      </c>
      <c r="N113" s="89">
        <f t="shared" si="276"/>
        <v>-7.5865459960234305E-2</v>
      </c>
      <c r="O113" s="89">
        <f t="shared" si="277"/>
        <v>0.12278833304595227</v>
      </c>
      <c r="P113" s="89">
        <f t="shared" si="278"/>
        <v>-0.15133609266990433</v>
      </c>
      <c r="Q113" s="89">
        <f t="shared" si="279"/>
        <v>-6.2032716844570346E-2</v>
      </c>
      <c r="R113" s="89">
        <f t="shared" si="280"/>
        <v>0.10945098712524937</v>
      </c>
      <c r="S113" s="89">
        <f t="shared" si="281"/>
        <v>1.848942515205021E-2</v>
      </c>
      <c r="T113" s="89">
        <f t="shared" si="282"/>
        <v>8.750297027883458E-2</v>
      </c>
      <c r="U113" s="89">
        <f t="shared" si="283"/>
        <v>6.2283875166228242E-2</v>
      </c>
      <c r="V113" s="89">
        <f t="shared" si="284"/>
        <v>-5.0134508127505084E-3</v>
      </c>
      <c r="W113" s="89">
        <f t="shared" si="285"/>
        <v>9.7659267966378138E-2</v>
      </c>
      <c r="X113" s="89">
        <f t="shared" si="286"/>
        <v>-5.2053500785294138E-2</v>
      </c>
      <c r="Y113" s="89">
        <f t="shared" si="287"/>
        <v>1.2928658990253306E-2</v>
      </c>
      <c r="Z113" s="89">
        <f t="shared" si="288"/>
        <v>1.1372752382329265E-2</v>
      </c>
      <c r="AA113" s="89">
        <f t="shared" si="289"/>
        <v>-4.3535944901164081E-2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0.13912954793995702</v>
      </c>
      <c r="F114" s="89">
        <f t="shared" ref="F114:F115" si="291">IF(E52=0,"",F52/E52-1)</f>
        <v>-0.14814317303120084</v>
      </c>
      <c r="G114" s="89">
        <f t="shared" ref="G114:G115" si="292">IF(F52=0,"",G52/F52-1)</f>
        <v>-0.13077411887694135</v>
      </c>
      <c r="H114" s="89">
        <f t="shared" ref="H114:H115" si="293">IF(G52=0,"",H52/G52-1)</f>
        <v>-0.12548579635858836</v>
      </c>
      <c r="I114" s="89">
        <f t="shared" ref="I114:I115" si="294">IF(H52=0,"",I52/H52-1)</f>
        <v>1.1083235794658419E-2</v>
      </c>
      <c r="J114" s="89">
        <f t="shared" ref="J114:J115" si="295">IF(I52=0,"",J52/I52-1)</f>
        <v>0.15731853955047237</v>
      </c>
      <c r="K114" s="89">
        <f t="shared" ref="K114:K115" si="296">IF(J52=0,"",K52/J52-1)</f>
        <v>2.8601785887077291E-2</v>
      </c>
      <c r="L114" s="89">
        <f t="shared" ref="L114:L115" si="297">IF(K52=0,"",L52/K52-1)</f>
        <v>-6.1544835603413062E-2</v>
      </c>
      <c r="M114" s="89">
        <f t="shared" ref="M114:M115" si="298">IF(L52=0,"",M52/L52-1)</f>
        <v>-7.5919510309286342E-2</v>
      </c>
      <c r="N114" s="89">
        <f t="shared" ref="N114:N115" si="299">IF(M52=0,"",N52/M52-1)</f>
        <v>3.4822558347079813E-2</v>
      </c>
      <c r="O114" s="89">
        <f t="shared" ref="O114:O115" si="300">IF(N52=0,"",O52/N52-1)</f>
        <v>1.0638504924743275E-2</v>
      </c>
      <c r="P114" s="89">
        <f t="shared" ref="P114:P115" si="301">IF(O52=0,"",P52/O52-1)</f>
        <v>8.0099020048822522E-2</v>
      </c>
      <c r="Q114" s="89">
        <f t="shared" ref="Q114:Q115" si="302">IF(P52=0,"",Q52/P52-1)</f>
        <v>-8.3027575572748979E-2</v>
      </c>
      <c r="R114" s="89">
        <f t="shared" ref="R114:R115" si="303">IF(Q52=0,"",R52/Q52-1)</f>
        <v>1.261027980854279E-2</v>
      </c>
      <c r="S114" s="89">
        <f t="shared" ref="S114:S115" si="304">IF(R52=0,"",S52/R52-1)</f>
        <v>7.8811609220163836E-2</v>
      </c>
      <c r="T114" s="89">
        <f t="shared" ref="T114:T115" si="305">IF(S52=0,"",T52/S52-1)</f>
        <v>2.5246877167239612E-2</v>
      </c>
      <c r="U114" s="89">
        <f t="shared" ref="U114:U115" si="306">IF(T52=0,"",U52/T52-1)</f>
        <v>-8.8716333619557664E-2</v>
      </c>
      <c r="V114" s="89">
        <f t="shared" ref="V114:V115" si="307">IF(U52=0,"",V52/U52-1)</f>
        <v>6.1606719070430582E-2</v>
      </c>
      <c r="W114" s="89">
        <f t="shared" ref="W114:W115" si="308">IF(V52=0,"",W52/V52-1)</f>
        <v>-6.0832006155310259E-2</v>
      </c>
      <c r="X114" s="89">
        <f t="shared" ref="X114:X115" si="309">IF(W52=0,"",X52/W52-1)</f>
        <v>-0.15694122856378534</v>
      </c>
      <c r="Y114" s="89">
        <f t="shared" ref="Y114:Y115" si="310">IF(X52=0,"",Y52/X52-1)</f>
        <v>-7.4194380273194804E-2</v>
      </c>
      <c r="Z114" s="89">
        <f t="shared" ref="Z114:Z115" si="311">IF(Y52=0,"",Z52/Y52-1)</f>
        <v>0.11511653464548433</v>
      </c>
      <c r="AA114" s="89">
        <f t="shared" ref="AA114:AA115" si="312">IF(Z52=0,"",AA52/Z52-1)</f>
        <v>2.6382892546042314E-2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0.17283838874874258</v>
      </c>
      <c r="F115" s="89">
        <f t="shared" si="291"/>
        <v>-0.16555514177034303</v>
      </c>
      <c r="G115" s="89">
        <f t="shared" si="292"/>
        <v>-0.19159590665976534</v>
      </c>
      <c r="H115" s="89">
        <f t="shared" si="293"/>
        <v>-0.14924134484716456</v>
      </c>
      <c r="I115" s="89">
        <f t="shared" si="294"/>
        <v>1.6023026732767898E-2</v>
      </c>
      <c r="J115" s="89">
        <f t="shared" si="295"/>
        <v>0.13815200117593895</v>
      </c>
      <c r="K115" s="89">
        <f t="shared" si="296"/>
        <v>3.1167515254834743E-2</v>
      </c>
      <c r="L115" s="89">
        <f t="shared" si="297"/>
        <v>-0.11651457264879139</v>
      </c>
      <c r="M115" s="89">
        <f t="shared" si="298"/>
        <v>9.962962129699271E-3</v>
      </c>
      <c r="N115" s="89">
        <f t="shared" si="299"/>
        <v>-4.4272361148053774E-2</v>
      </c>
      <c r="O115" s="89">
        <f t="shared" si="300"/>
        <v>5.3944213610612302E-2</v>
      </c>
      <c r="P115" s="89">
        <f t="shared" si="301"/>
        <v>8.7978442770290988E-2</v>
      </c>
      <c r="Q115" s="89">
        <f t="shared" si="302"/>
        <v>-8.2955138941334661E-2</v>
      </c>
      <c r="R115" s="89">
        <f t="shared" si="303"/>
        <v>8.7081871133871669E-3</v>
      </c>
      <c r="S115" s="89">
        <f t="shared" si="304"/>
        <v>0.13503097394136798</v>
      </c>
      <c r="T115" s="89">
        <f t="shared" si="305"/>
        <v>5.6130585495837382E-2</v>
      </c>
      <c r="U115" s="89">
        <f t="shared" si="306"/>
        <v>-0.13846747757073841</v>
      </c>
      <c r="V115" s="89">
        <f t="shared" si="307"/>
        <v>2.9986643481605846E-2</v>
      </c>
      <c r="W115" s="89">
        <f t="shared" si="308"/>
        <v>1.03850092675557E-2</v>
      </c>
      <c r="X115" s="89">
        <f t="shared" si="309"/>
        <v>-0.1762535519598486</v>
      </c>
      <c r="Y115" s="89">
        <f t="shared" si="310"/>
        <v>-0.12930357498968414</v>
      </c>
      <c r="Z115" s="89">
        <f t="shared" si="311"/>
        <v>0.24109355718256364</v>
      </c>
      <c r="AA115" s="89">
        <f t="shared" si="312"/>
        <v>5.829846789702664E-2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4.5323410968823641E-2</v>
      </c>
      <c r="F116" s="89">
        <f t="shared" ref="F116:F122" si="314">IF(E56=0,"",F56/E56-1)</f>
        <v>-9.3777745457188644E-2</v>
      </c>
      <c r="G116" s="89">
        <f t="shared" ref="G116:G122" si="315">IF(F56=0,"",G56/F56-1)</f>
        <v>4.4088520998677661E-2</v>
      </c>
      <c r="H116" s="89">
        <f t="shared" ref="H116:H122" si="316">IF(G56=0,"",H56/G56-1)</f>
        <v>-7.2605473978836099E-2</v>
      </c>
      <c r="I116" s="89">
        <f t="shared" ref="I116:I122" si="317">IF(H56=0,"",I56/H56-1)</f>
        <v>9.9583099871347613E-4</v>
      </c>
      <c r="J116" s="89">
        <f t="shared" ref="J116:J122" si="318">IF(I56=0,"",J56/I56-1)</f>
        <v>0.19704554636314198</v>
      </c>
      <c r="K116" s="89">
        <f t="shared" ref="K116:K122" si="319">IF(J56=0,"",K56/J56-1)</f>
        <v>2.3545372200263648E-2</v>
      </c>
      <c r="L116" s="89">
        <f t="shared" ref="L116:L122" si="320">IF(K56=0,"",L56/K56-1)</f>
        <v>4.7593552798271599E-2</v>
      </c>
      <c r="M116" s="89">
        <f t="shared" ref="M116:M122" si="321">IF(L56=0,"",M56/L56-1)</f>
        <v>-0.2197215311252787</v>
      </c>
      <c r="N116" s="89">
        <f t="shared" ref="N116:N122" si="322">IF(M56=0,"",N56/M56-1)</f>
        <v>0.20624388944619887</v>
      </c>
      <c r="O116" s="89">
        <f t="shared" ref="O116:O122" si="323">IF(N56=0,"",O56/N56-1)</f>
        <v>-6.3725101585531574E-2</v>
      </c>
      <c r="P116" s="89">
        <f t="shared" ref="P116:P122" si="324">IF(O56=0,"",P56/O56-1)</f>
        <v>6.4868177159386198E-2</v>
      </c>
      <c r="Q116" s="89">
        <f t="shared" ref="Q116:Q122" si="325">IF(P56=0,"",Q56/P56-1)</f>
        <v>-8.3170633597797194E-2</v>
      </c>
      <c r="R116" s="89">
        <f t="shared" ref="R116:R122" si="326">IF(Q56=0,"",R56/Q56-1)</f>
        <v>2.0318491397937732E-2</v>
      </c>
      <c r="S116" s="89">
        <f t="shared" ref="S116:S122" si="327">IF(R56=0,"",S56/R56-1)</f>
        <v>-3.0980661577607704E-2</v>
      </c>
      <c r="T116" s="89">
        <f t="shared" ref="T116:T122" si="328">IF(S56=0,"",T56/S56-1)</f>
        <v>-4.539960563442802E-2</v>
      </c>
      <c r="U116" s="89">
        <f t="shared" ref="U116:U122" si="329">IF(T56=0,"",U56/T56-1)</f>
        <v>3.7193654912946128E-2</v>
      </c>
      <c r="V116" s="89">
        <f t="shared" ref="V116:V122" si="330">IF(U56=0,"",V56/U56-1)</f>
        <v>0.12807766241437402</v>
      </c>
      <c r="W116" s="89">
        <f t="shared" ref="W116:W122" si="331">IF(V56=0,"",W56/V56-1)</f>
        <v>-0.19752469956557983</v>
      </c>
      <c r="X116" s="89">
        <f t="shared" ref="X116:X122" si="332">IF(W56=0,"",X56/W56-1)</f>
        <v>-0.1102697803566326</v>
      </c>
      <c r="Y116" s="89">
        <f t="shared" ref="Y116:Y122" si="333">IF(X56=0,"",Y56/X56-1)</f>
        <v>4.9109297402968322E-2</v>
      </c>
      <c r="Z116" s="89">
        <f t="shared" ref="Z116:Z122" si="334">IF(Y56=0,"",Z56/Y56-1)</f>
        <v>-0.11881530182209477</v>
      </c>
      <c r="AA116" s="89">
        <f t="shared" ref="AA116:AA122" si="335">IF(Z56=0,"",AA56/Z56-1)</f>
        <v>-5.7088612218071377E-2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0.24916498899434436</v>
      </c>
      <c r="F117" s="89">
        <f t="shared" si="314"/>
        <v>-0.25552766228807178</v>
      </c>
      <c r="G117" s="89">
        <f t="shared" si="315"/>
        <v>-7.6664775780909911E-2</v>
      </c>
      <c r="H117" s="89">
        <f t="shared" si="316"/>
        <v>2.1344187785570234E-2</v>
      </c>
      <c r="I117" s="89">
        <f t="shared" si="317"/>
        <v>4.842182838636333E-2</v>
      </c>
      <c r="J117" s="89">
        <f t="shared" si="318"/>
        <v>9.5510690931021713E-2</v>
      </c>
      <c r="K117" s="89">
        <f t="shared" si="319"/>
        <v>-2.7274137222863315E-2</v>
      </c>
      <c r="L117" s="89">
        <f t="shared" si="320"/>
        <v>-7.0040437163725322E-3</v>
      </c>
      <c r="M117" s="89">
        <f t="shared" si="321"/>
        <v>-0.14203414687793425</v>
      </c>
      <c r="N117" s="89">
        <f t="shared" si="322"/>
        <v>-7.6911673546329329E-3</v>
      </c>
      <c r="O117" s="89">
        <f t="shared" si="323"/>
        <v>9.466290171692715E-2</v>
      </c>
      <c r="P117" s="89">
        <f t="shared" si="324"/>
        <v>-3.8077651146909419E-3</v>
      </c>
      <c r="Q117" s="89">
        <f t="shared" si="325"/>
        <v>-0.10815728997784257</v>
      </c>
      <c r="R117" s="89">
        <f t="shared" si="326"/>
        <v>3.9175157974422614E-3</v>
      </c>
      <c r="S117" s="89">
        <f t="shared" si="327"/>
        <v>7.7767378847229951E-2</v>
      </c>
      <c r="T117" s="89">
        <f t="shared" si="328"/>
        <v>-0.13024075935852553</v>
      </c>
      <c r="U117" s="89">
        <f t="shared" si="329"/>
        <v>4.9929311155356482E-2</v>
      </c>
      <c r="V117" s="89">
        <f t="shared" si="330"/>
        <v>0.22280271395708851</v>
      </c>
      <c r="W117" s="89">
        <f t="shared" si="331"/>
        <v>4.0715297461893174E-2</v>
      </c>
      <c r="X117" s="89">
        <f t="shared" si="332"/>
        <v>2.9652081268861208E-2</v>
      </c>
      <c r="Y117" s="89">
        <f t="shared" si="333"/>
        <v>-1.2894801006725354E-2</v>
      </c>
      <c r="Z117" s="89">
        <f t="shared" si="334"/>
        <v>-2.2735503963021708E-3</v>
      </c>
      <c r="AA117" s="89">
        <f t="shared" si="335"/>
        <v>8.3289814648280558E-2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0.13927804080061557</v>
      </c>
      <c r="F118" s="89">
        <f t="shared" si="314"/>
        <v>7.9034082994098531E-2</v>
      </c>
      <c r="G118" s="89">
        <f t="shared" si="315"/>
        <v>0.44076872009828727</v>
      </c>
      <c r="H118" s="89">
        <f t="shared" si="316"/>
        <v>4.5752060131929895E-2</v>
      </c>
      <c r="I118" s="89">
        <f t="shared" si="317"/>
        <v>-2.6934379270133424E-2</v>
      </c>
      <c r="J118" s="89">
        <f t="shared" si="318"/>
        <v>9.5509522735537367E-2</v>
      </c>
      <c r="K118" s="89">
        <f t="shared" si="319"/>
        <v>0.40402296485499467</v>
      </c>
      <c r="L118" s="89">
        <f t="shared" si="320"/>
        <v>5.0597153264744898E-2</v>
      </c>
      <c r="M118" s="89">
        <f t="shared" si="321"/>
        <v>-0.35240670149325581</v>
      </c>
      <c r="N118" s="89">
        <f t="shared" si="322"/>
        <v>0.59646467104075396</v>
      </c>
      <c r="O118" s="89">
        <f t="shared" si="323"/>
        <v>2.5730736687966438E-2</v>
      </c>
      <c r="P118" s="89">
        <f t="shared" si="324"/>
        <v>1.7707118582132919E-2</v>
      </c>
      <c r="Q118" s="89">
        <f t="shared" si="325"/>
        <v>7.0636977190643435E-2</v>
      </c>
      <c r="R118" s="89">
        <f t="shared" si="326"/>
        <v>0.24391291256940062</v>
      </c>
      <c r="S118" s="89">
        <f t="shared" si="327"/>
        <v>8.7939240274599539E-2</v>
      </c>
      <c r="T118" s="89">
        <f t="shared" si="328"/>
        <v>-2.0764422260459159E-2</v>
      </c>
      <c r="U118" s="89">
        <f t="shared" si="329"/>
        <v>-7.9089669660111217E-2</v>
      </c>
      <c r="V118" s="89">
        <f t="shared" si="330"/>
        <v>0.22397664452016941</v>
      </c>
      <c r="W118" s="89">
        <f t="shared" si="331"/>
        <v>0.22454013203546053</v>
      </c>
      <c r="X118" s="89">
        <f t="shared" si="332"/>
        <v>-5.0583770132371475E-2</v>
      </c>
      <c r="Y118" s="89">
        <f t="shared" si="333"/>
        <v>-0.17237340446838767</v>
      </c>
      <c r="Z118" s="89">
        <f t="shared" si="334"/>
        <v>-4.3048364818282225E-2</v>
      </c>
      <c r="AA118" s="89">
        <f t="shared" si="335"/>
        <v>0.15175091768643556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0.11906181011866179</v>
      </c>
      <c r="F119" s="89">
        <f t="shared" si="314"/>
        <v>-3.0908826565456127E-2</v>
      </c>
      <c r="G119" s="89">
        <f t="shared" si="315"/>
        <v>0.13024031633098687</v>
      </c>
      <c r="H119" s="89">
        <f t="shared" si="316"/>
        <v>6.9391960274717279E-2</v>
      </c>
      <c r="I119" s="89">
        <f t="shared" si="317"/>
        <v>0.15703586896434807</v>
      </c>
      <c r="J119" s="89">
        <f t="shared" si="318"/>
        <v>0.161833454584835</v>
      </c>
      <c r="K119" s="89">
        <f t="shared" si="319"/>
        <v>0.10887303502591705</v>
      </c>
      <c r="L119" s="89">
        <f t="shared" si="320"/>
        <v>0.12093717535894388</v>
      </c>
      <c r="M119" s="89">
        <f t="shared" si="321"/>
        <v>-0.30410791643653901</v>
      </c>
      <c r="N119" s="89">
        <f t="shared" si="322"/>
        <v>0.27188497380170862</v>
      </c>
      <c r="O119" s="89">
        <f t="shared" si="323"/>
        <v>0.16386105884897439</v>
      </c>
      <c r="P119" s="89">
        <f t="shared" si="324"/>
        <v>-4.0266160576484689E-2</v>
      </c>
      <c r="Q119" s="89">
        <f t="shared" si="325"/>
        <v>-3.5366521575701082E-2</v>
      </c>
      <c r="R119" s="89">
        <f t="shared" si="326"/>
        <v>0.18768709602927913</v>
      </c>
      <c r="S119" s="89">
        <f t="shared" si="327"/>
        <v>5.2965836400133748E-2</v>
      </c>
      <c r="T119" s="89">
        <f t="shared" si="328"/>
        <v>-3.9357654580380541E-2</v>
      </c>
      <c r="U119" s="89">
        <f t="shared" si="329"/>
        <v>-3.1291170088027953E-2</v>
      </c>
      <c r="V119" s="89">
        <f t="shared" si="330"/>
        <v>9.5084510144939793E-2</v>
      </c>
      <c r="W119" s="89">
        <f t="shared" si="331"/>
        <v>3.2632854512464116E-2</v>
      </c>
      <c r="X119" s="89">
        <f t="shared" si="332"/>
        <v>-0.13740893231966567</v>
      </c>
      <c r="Y119" s="89">
        <f t="shared" si="333"/>
        <v>2.9786281586059671E-2</v>
      </c>
      <c r="Z119" s="89">
        <f t="shared" si="334"/>
        <v>-2.150979178039103E-2</v>
      </c>
      <c r="AA119" s="89">
        <f t="shared" si="335"/>
        <v>5.1317085936019469E-2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-0.13038018549866814</v>
      </c>
      <c r="F120" s="89">
        <f t="shared" si="314"/>
        <v>-2.490060136244665E-2</v>
      </c>
      <c r="G120" s="89">
        <f t="shared" si="315"/>
        <v>-2.1986694849398192E-2</v>
      </c>
      <c r="H120" s="89">
        <f t="shared" si="316"/>
        <v>-7.2130700130319525E-2</v>
      </c>
      <c r="I120" s="89">
        <f t="shared" si="317"/>
        <v>0.12161593254126446</v>
      </c>
      <c r="J120" s="89">
        <f t="shared" si="318"/>
        <v>-4.8481883989471175E-2</v>
      </c>
      <c r="K120" s="89">
        <f t="shared" si="319"/>
        <v>5.7979455304611793E-2</v>
      </c>
      <c r="L120" s="89">
        <f t="shared" si="320"/>
        <v>-0.27812421429442702</v>
      </c>
      <c r="M120" s="89">
        <f t="shared" si="321"/>
        <v>-0.14970549466569738</v>
      </c>
      <c r="N120" s="89">
        <f t="shared" si="322"/>
        <v>0.62078907648166104</v>
      </c>
      <c r="O120" s="89">
        <f t="shared" si="323"/>
        <v>-0.11428506173219377</v>
      </c>
      <c r="P120" s="89">
        <f t="shared" si="324"/>
        <v>-1.7658424963519992E-2</v>
      </c>
      <c r="Q120" s="89">
        <f t="shared" si="325"/>
        <v>-4.7791634165455399E-2</v>
      </c>
      <c r="R120" s="89">
        <f t="shared" si="326"/>
        <v>0.16998670570215246</v>
      </c>
      <c r="S120" s="89">
        <f t="shared" si="327"/>
        <v>5.2765406075634402E-3</v>
      </c>
      <c r="T120" s="89">
        <f t="shared" si="328"/>
        <v>-8.0566149818031563E-2</v>
      </c>
      <c r="U120" s="89">
        <f t="shared" si="329"/>
        <v>-0.12173366359706228</v>
      </c>
      <c r="V120" s="89">
        <f t="shared" si="330"/>
        <v>0.20447831378519621</v>
      </c>
      <c r="W120" s="89">
        <f t="shared" si="331"/>
        <v>-6.2450122476201964E-2</v>
      </c>
      <c r="X120" s="89">
        <f t="shared" si="332"/>
        <v>-0.11342328621007225</v>
      </c>
      <c r="Y120" s="89">
        <f t="shared" si="333"/>
        <v>-6.9661742447314046E-2</v>
      </c>
      <c r="Z120" s="89">
        <f t="shared" si="334"/>
        <v>2.3265403560239761E-2</v>
      </c>
      <c r="AA120" s="89">
        <f t="shared" si="335"/>
        <v>-9.7334375414640073E-2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5.5348442680419385E-2</v>
      </c>
      <c r="F121" s="89">
        <f t="shared" si="314"/>
        <v>3.1584692994953034E-2</v>
      </c>
      <c r="G121" s="89">
        <f t="shared" si="315"/>
        <v>9.0475488811389004E-2</v>
      </c>
      <c r="H121" s="89">
        <f t="shared" si="316"/>
        <v>0.20163084299333378</v>
      </c>
      <c r="I121" s="89">
        <f t="shared" si="317"/>
        <v>0.10503568577173694</v>
      </c>
      <c r="J121" s="89">
        <f t="shared" si="318"/>
        <v>0.25556537515931743</v>
      </c>
      <c r="K121" s="89">
        <f t="shared" si="319"/>
        <v>7.4019010024275911E-2</v>
      </c>
      <c r="L121" s="89">
        <f t="shared" si="320"/>
        <v>6.1161588085554053E-2</v>
      </c>
      <c r="M121" s="89">
        <f t="shared" si="321"/>
        <v>-0.21095596458080845</v>
      </c>
      <c r="N121" s="89">
        <f t="shared" si="322"/>
        <v>2.5651024119282884E-2</v>
      </c>
      <c r="O121" s="89">
        <f t="shared" si="323"/>
        <v>-5.1731308986872837E-2</v>
      </c>
      <c r="P121" s="89">
        <f t="shared" si="324"/>
        <v>-0.13432882525962409</v>
      </c>
      <c r="Q121" s="89">
        <f t="shared" si="325"/>
        <v>-2.9527810373466412E-3</v>
      </c>
      <c r="R121" s="89">
        <f t="shared" si="326"/>
        <v>0.34066176728174802</v>
      </c>
      <c r="S121" s="89">
        <f t="shared" si="327"/>
        <v>2.2888833988009116E-2</v>
      </c>
      <c r="T121" s="89">
        <f t="shared" si="328"/>
        <v>-0.12419332963226026</v>
      </c>
      <c r="U121" s="89">
        <f t="shared" si="329"/>
        <v>9.0066824899180942E-2</v>
      </c>
      <c r="V121" s="89">
        <f t="shared" si="330"/>
        <v>-5.3686019483175085E-2</v>
      </c>
      <c r="W121" s="89">
        <f t="shared" si="331"/>
        <v>4.9974313456053299E-2</v>
      </c>
      <c r="X121" s="89">
        <f t="shared" si="332"/>
        <v>5.6990144426469769E-2</v>
      </c>
      <c r="Y121" s="89">
        <f t="shared" si="333"/>
        <v>1.5413091885198238E-2</v>
      </c>
      <c r="Z121" s="89">
        <f t="shared" si="334"/>
        <v>2.9623686819024941E-2</v>
      </c>
      <c r="AA121" s="89">
        <f t="shared" si="335"/>
        <v>-0.12475469055582689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0.11526442921044877</v>
      </c>
      <c r="F122" s="91">
        <f t="shared" si="314"/>
        <v>0.22650027766149483</v>
      </c>
      <c r="G122" s="91">
        <f t="shared" si="315"/>
        <v>9.7823778448778542E-2</v>
      </c>
      <c r="H122" s="91">
        <f t="shared" si="316"/>
        <v>1.5427421428508836E-3</v>
      </c>
      <c r="I122" s="91">
        <f t="shared" si="317"/>
        <v>0.12093445297607675</v>
      </c>
      <c r="J122" s="91">
        <f t="shared" si="318"/>
        <v>3.6205895068212701E-2</v>
      </c>
      <c r="K122" s="91">
        <f t="shared" si="319"/>
        <v>-1.4211869425864054E-2</v>
      </c>
      <c r="L122" s="91">
        <f t="shared" si="320"/>
        <v>-7.0329426344668544E-2</v>
      </c>
      <c r="M122" s="91">
        <f t="shared" si="321"/>
        <v>3.882516668536673E-2</v>
      </c>
      <c r="N122" s="91">
        <f t="shared" si="322"/>
        <v>4.2307358877449852E-2</v>
      </c>
      <c r="O122" s="91">
        <f t="shared" si="323"/>
        <v>0.12952692812514144</v>
      </c>
      <c r="P122" s="91">
        <f t="shared" si="324"/>
        <v>0.13006233198719119</v>
      </c>
      <c r="Q122" s="91">
        <f t="shared" si="325"/>
        <v>0.10062660709768134</v>
      </c>
      <c r="R122" s="91">
        <f t="shared" si="326"/>
        <v>4.7508215094549167E-2</v>
      </c>
      <c r="S122" s="91">
        <f t="shared" si="327"/>
        <v>5.4510580509262274E-2</v>
      </c>
      <c r="T122" s="91">
        <f t="shared" si="328"/>
        <v>6.3802359136545306E-2</v>
      </c>
      <c r="U122" s="91">
        <f t="shared" si="329"/>
        <v>-2.1093610919237338E-2</v>
      </c>
      <c r="V122" s="91">
        <f t="shared" si="330"/>
        <v>6.4312514930238152E-3</v>
      </c>
      <c r="W122" s="91">
        <f t="shared" si="331"/>
        <v>4.286516478842306E-2</v>
      </c>
      <c r="X122" s="91">
        <f t="shared" si="332"/>
        <v>-9.7258016394711766E-2</v>
      </c>
      <c r="Y122" s="91">
        <f t="shared" si="333"/>
        <v>-1.7416303667957433E-2</v>
      </c>
      <c r="Z122" s="91">
        <f t="shared" si="334"/>
        <v>-5.237612265787972E-2</v>
      </c>
      <c r="AA122" s="91">
        <f t="shared" si="335"/>
        <v>-7.6803455321055702E-2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2025-11-06T10:31:40Z</dcterms:created>
  <dcterms:modified xsi:type="dcterms:W3CDTF">2025-11-06T10:31:40Z</dcterms:modified>
</cp:coreProperties>
</file>